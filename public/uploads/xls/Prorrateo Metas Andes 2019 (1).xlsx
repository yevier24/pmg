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alores" sheetId="1" state="visible" r:id="rId2"/>
    <sheet name="Matríz Tiendas" sheetId="2" state="visible" r:id="rId3"/>
  </sheets>
  <definedNames>
    <definedName function="false" hidden="true" localSheetId="1" name="_xlnm._FilterDatabase" vbProcedure="false">'Matríz Tiendas'!$A$1:$CT$163</definedName>
    <definedName function="false" hidden="false" name="Feriados" vbProcedure="false">Valores!$A$2:$A$19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<sst xmlns="http://schemas.openxmlformats.org/spreadsheetml/2006/main" count="211" uniqueCount="118">
  <si>
    <t xml:space="preserve">Feriados</t>
  </si>
  <si>
    <t xml:space="preserve">Día</t>
  </si>
  <si>
    <t xml:space="preserve">Ventas Semana</t>
  </si>
  <si>
    <t xml:space="preserve">%</t>
  </si>
  <si>
    <t xml:space="preserve">Cálculo 01</t>
  </si>
  <si>
    <t xml:space="preserve">N° Semana</t>
  </si>
  <si>
    <t xml:space="preserve">Año</t>
  </si>
  <si>
    <t xml:space="preserve">Cálculo02</t>
  </si>
  <si>
    <t xml:space="preserve">Pondera Día</t>
  </si>
  <si>
    <t xml:space="preserve">Calculo03</t>
  </si>
  <si>
    <t xml:space="preserve">Peso Día Final</t>
  </si>
  <si>
    <t xml:space="preserve">Plata</t>
  </si>
  <si>
    <t xml:space="preserve">Mes</t>
  </si>
  <si>
    <t xml:space="preserve">4 SEMANAS</t>
  </si>
  <si>
    <t xml:space="preserve">5 SEMANANAS</t>
  </si>
  <si>
    <t xml:space="preserve">6 SEMANAS</t>
  </si>
  <si>
    <t xml:space="preserve">Total</t>
  </si>
  <si>
    <t xml:space="preserve">Cadena</t>
  </si>
  <si>
    <t xml:space="preserve">Tienda</t>
  </si>
  <si>
    <t xml:space="preserve">Meta</t>
  </si>
  <si>
    <t xml:space="preserve">SEPTIEMBRE 2019</t>
  </si>
  <si>
    <t xml:space="preserve">OCTUBRE 2019</t>
  </si>
  <si>
    <t xml:space="preserve">NOVIEMBRE 2019</t>
  </si>
  <si>
    <t xml:space="preserve">Ripley</t>
  </si>
  <si>
    <t xml:space="preserve">Talca</t>
  </si>
  <si>
    <t xml:space="preserve">Temuco</t>
  </si>
  <si>
    <t xml:space="preserve">La Calera</t>
  </si>
  <si>
    <t xml:space="preserve">Costanera Center</t>
  </si>
  <si>
    <t xml:space="preserve">Curico</t>
  </si>
  <si>
    <t xml:space="preserve">Marina Arauco</t>
  </si>
  <si>
    <t xml:space="preserve">Plaza Oeste</t>
  </si>
  <si>
    <t xml:space="preserve">Arica</t>
  </si>
  <si>
    <t xml:space="preserve">Copiapo</t>
  </si>
  <si>
    <t xml:space="preserve">Antofagasta</t>
  </si>
  <si>
    <t xml:space="preserve">Mall Concepcion</t>
  </si>
  <si>
    <t xml:space="preserve">Rancagua</t>
  </si>
  <si>
    <t xml:space="preserve">Plaza Vespucio</t>
  </si>
  <si>
    <t xml:space="preserve">Los Andes</t>
  </si>
  <si>
    <t xml:space="preserve">Florida Center</t>
  </si>
  <si>
    <t xml:space="preserve">M.Costanera P.Montt</t>
  </si>
  <si>
    <t xml:space="preserve">La Serena</t>
  </si>
  <si>
    <t xml:space="preserve">Plaza Egana</t>
  </si>
  <si>
    <t xml:space="preserve">Coquimbo</t>
  </si>
  <si>
    <t xml:space="preserve">Los Angeles</t>
  </si>
  <si>
    <t xml:space="preserve">El Trebol</t>
  </si>
  <si>
    <t xml:space="preserve">San Bernardo</t>
  </si>
  <si>
    <t xml:space="preserve">Valparaiso</t>
  </si>
  <si>
    <t xml:space="preserve">Portal Temuco</t>
  </si>
  <si>
    <t xml:space="preserve">Puente</t>
  </si>
  <si>
    <t xml:space="preserve">Maipu</t>
  </si>
  <si>
    <t xml:space="preserve">Iquique</t>
  </si>
  <si>
    <t xml:space="preserve">Plaza Tobalaba</t>
  </si>
  <si>
    <t xml:space="preserve">Los Dominicos</t>
  </si>
  <si>
    <t xml:space="preserve">Quilpue</t>
  </si>
  <si>
    <t xml:space="preserve">Paris</t>
  </si>
  <si>
    <t xml:space="preserve">Paris Costanera Center</t>
  </si>
  <si>
    <t xml:space="preserve">Paris Portal Belloto</t>
  </si>
  <si>
    <t xml:space="preserve">Paris Marina Arauco</t>
  </si>
  <si>
    <t xml:space="preserve">Paris Talca</t>
  </si>
  <si>
    <t xml:space="preserve">Paris Parque Arauco</t>
  </si>
  <si>
    <t xml:space="preserve">Paris Copiapo</t>
  </si>
  <si>
    <t xml:space="preserve">Paris Temuco Centro</t>
  </si>
  <si>
    <t xml:space="preserve">Paris Portal Osorno</t>
  </si>
  <si>
    <t xml:space="preserve">Paris Arauco Maipu</t>
  </si>
  <si>
    <t xml:space="preserve">Paris Plaza Oeste</t>
  </si>
  <si>
    <t xml:space="preserve">Paris Rancagua</t>
  </si>
  <si>
    <t xml:space="preserve">Paris Ovalle</t>
  </si>
  <si>
    <t xml:space="preserve">Paris Los Angeles</t>
  </si>
  <si>
    <t xml:space="preserve">Paris Plaza La Serena</t>
  </si>
  <si>
    <t xml:space="preserve">Paris Plaza Del Trebol</t>
  </si>
  <si>
    <t xml:space="preserve">Paris El Roble</t>
  </si>
  <si>
    <t xml:space="preserve">Paris Antofagasta</t>
  </si>
  <si>
    <t xml:space="preserve">Paris Barros Arana</t>
  </si>
  <si>
    <t xml:space="preserve">Paris Arica</t>
  </si>
  <si>
    <t xml:space="preserve">Paris Florida Center</t>
  </si>
  <si>
    <t xml:space="preserve">Paris Plaza Vespucio</t>
  </si>
  <si>
    <t xml:space="preserve">Paris Curico</t>
  </si>
  <si>
    <t xml:space="preserve">Paris Portal Temuco</t>
  </si>
  <si>
    <t xml:space="preserve">Paris Mall Paseo Estacion</t>
  </si>
  <si>
    <t xml:space="preserve">Paris San Bernardo</t>
  </si>
  <si>
    <t xml:space="preserve">Paris Plaza Tobalaba</t>
  </si>
  <si>
    <t xml:space="preserve">Paris Valparaiso</t>
  </si>
  <si>
    <t xml:space="preserve">Paris Portal Nunoa</t>
  </si>
  <si>
    <t xml:space="preserve">Paris Quilin</t>
  </si>
  <si>
    <t xml:space="preserve">Paris Puerto Montt</t>
  </si>
  <si>
    <t xml:space="preserve">Paris Iquique</t>
  </si>
  <si>
    <t xml:space="preserve">Paris Centrorex Rancagua</t>
  </si>
  <si>
    <t xml:space="preserve">Paris Bandera</t>
  </si>
  <si>
    <t xml:space="preserve">Paris Coquimbo</t>
  </si>
  <si>
    <t xml:space="preserve">Paris Independencia</t>
  </si>
  <si>
    <t xml:space="preserve">Paris Lyon</t>
  </si>
  <si>
    <t xml:space="preserve">Johnson</t>
  </si>
  <si>
    <t xml:space="preserve">Mega Johnson La Serena</t>
  </si>
  <si>
    <t xml:space="preserve">Mega Johnson Maipu</t>
  </si>
  <si>
    <t xml:space="preserve">Mega Johnson Quillota</t>
  </si>
  <si>
    <t xml:space="preserve">Johnson Copiapo</t>
  </si>
  <si>
    <t xml:space="preserve">Johnson Chillan</t>
  </si>
  <si>
    <t xml:space="preserve">MEGA JOHNSON VIÑA DEL MAR</t>
  </si>
  <si>
    <t xml:space="preserve">Johnson Rancagua</t>
  </si>
  <si>
    <t xml:space="preserve">Mega Johnson Puente</t>
  </si>
  <si>
    <t xml:space="preserve">Mega Johnson San Bernardo</t>
  </si>
  <si>
    <t xml:space="preserve">Johnson Antofagasta</t>
  </si>
  <si>
    <t xml:space="preserve">Johnson Arica</t>
  </si>
  <si>
    <t xml:space="preserve">Johnson Melipilla</t>
  </si>
  <si>
    <t xml:space="preserve">Johnson Iquique</t>
  </si>
  <si>
    <t xml:space="preserve">Johnson Talca</t>
  </si>
  <si>
    <t xml:space="preserve">Mega Johnson Quilin</t>
  </si>
  <si>
    <t xml:space="preserve">Johnson San Felipe</t>
  </si>
  <si>
    <t xml:space="preserve">Mega Johnson Florida Center</t>
  </si>
  <si>
    <t xml:space="preserve">Johnson Maipu</t>
  </si>
  <si>
    <t xml:space="preserve">Johnson Temuco</t>
  </si>
  <si>
    <t xml:space="preserve">Johnson Concepcion</t>
  </si>
  <si>
    <t xml:space="preserve">Mega Johnson Puente Alto</t>
  </si>
  <si>
    <t xml:space="preserve">Johnson Coronel</t>
  </si>
  <si>
    <t xml:space="preserve">Mega Johnson Mall Plaza Alam</t>
  </si>
  <si>
    <t xml:space="preserve">Johnson Talcahuano</t>
  </si>
  <si>
    <t xml:space="preserve">Johnson Los Andes</t>
  </si>
  <si>
    <t xml:space="preserve">Johnson Linares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</si>
</sst>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 $&quot;* #,##0\ ;&quot; $&quot;* \-#,##0\ ;&quot; $&quot;* &quot;- &quot;;\ @\ "/>
    <numFmt numFmtId="166" formatCode="0\ %"/>
    <numFmt numFmtId="167" formatCode="0.00\ %"/>
    <numFmt numFmtId="168" formatCode="[$-340A]DD/MM/YYYY"/>
    <numFmt numFmtId="169" formatCode="\ * #,##0\ ;\ * \-#,##0\ ;\ * &quot;- &quot;;\ @\ "/>
    <numFmt numFmtId="170" formatCode="DDD\ DD/MM"/>
    <numFmt numFmtId="171" formatCode="0.00"/>
    <numFmt numFmtId="172" formatCode="General"/>
    <numFmt numFmtId="173" formatCode="[$-340A]MMM/YY"/>
    <numFmt numFmtId="174" formatCode="MMMM"/>
  </numFmts>
  <fonts count="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7E6E6"/>
      <name val="Calibri"/>
      <family val="2"/>
    </font>
    <font>
      <b val="true"/>
      <sz val="11"/>
      <color rgb="FF000000"/>
      <name val="Calibri"/>
      <family val="2"/>
    </font>
    <font>
      <b val="true"/>
      <sz val="11"/>
      <color rgb="FFFFFFFF"/>
      <name val="Calibri"/>
      <family val="2"/>
    </font>
    <font>
      <b val="true"/>
      <u val="single"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4472C4"/>
        <bgColor rgb="FF2F5597"/>
      </patternFill>
    </fill>
    <fill>
      <patternFill patternType="solid">
        <fgColor rgb="FF535353"/>
        <bgColor rgb="FF2F5597"/>
      </patternFill>
    </fill>
    <fill>
      <patternFill patternType="solid">
        <fgColor rgb="FFA5A5A5"/>
        <bgColor rgb="FFBFBFBF"/>
      </patternFill>
    </fill>
    <fill>
      <patternFill patternType="solid">
        <fgColor rgb="FFDBDBDB"/>
        <bgColor rgb="FFD6DCE5"/>
      </patternFill>
    </fill>
    <fill>
      <patternFill patternType="solid">
        <fgColor rgb="FFEDEDED"/>
        <bgColor rgb="FFE7E6E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5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6" fillId="5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9" fontId="5" fillId="6" borderId="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6" borderId="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6" borderId="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7" borderId="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7" borderId="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6" borderId="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7" fillId="6" borderId="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7" fillId="7" borderId="8" xfId="21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urrency [0] 1" xfId="20"/>
    <cellStyle name="Excel Built-in Comma [0]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E7E6E6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DBD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35353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22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ia" displayName="Dia" ref="C1:E8" headerRowCount="1" totalsRowCount="0" totalsRowShown="0">
  <autoFilter ref="C1:E8"/>
  <tableColumns count="3">
    <tableColumn id="1" name="Día"/>
    <tableColumn id="2" name="Ventas Semana"/>
    <tableColumn id="3" name="%"/>
  </tableColumns>
</table>
</file>

<file path=xl/tables/table2.xml><?xml version="1.0" encoding="utf-8"?>
<table xmlns="http://schemas.openxmlformats.org/spreadsheetml/2006/main" id="2" name="Feriado" displayName="Feriado" ref="A1:A19" headerRowCount="1" totalsRowCount="0" totalsRowShown="0">
  <autoFilter ref="A1:A19"/>
  <tableColumns count="1">
    <tableColumn id="1" name="Feriados"/>
  </tableColumns>
</table>
</file>

<file path=xl/tables/table3.xml><?xml version="1.0" encoding="utf-8"?>
<table xmlns="http://schemas.openxmlformats.org/spreadsheetml/2006/main" id="3" name="ProyDia" displayName="ProyDia" ref="H1:P154" headerRowCount="1" totalsRowCount="0" totalsRowShown="0">
  <autoFilter ref="H1:P154"/>
  <tableColumns count="9">
    <tableColumn id="1" name="Día"/>
    <tableColumn id="2" name="Cálculo 01"/>
    <tableColumn id="3" name="N° Semana"/>
    <tableColumn id="4" name="Año"/>
    <tableColumn id="5" name="Cálculo02"/>
    <tableColumn id="6" name="Pondera Día"/>
    <tableColumn id="7" name="Calculo03"/>
    <tableColumn id="8" name="Peso Día Final"/>
    <tableColumn id="9" name="Plata"/>
  </tableColumns>
</table>
</file>

<file path=xl/tables/table4.xml><?xml version="1.0" encoding="utf-8"?>
<table xmlns="http://schemas.openxmlformats.org/spreadsheetml/2006/main" id="4" name="Semana" displayName="Semana" ref="C10:F17" headerRowCount="1" totalsRowCount="0" totalsRowShown="0">
  <autoFilter ref="C10:F17"/>
  <tableColumns count="4">
    <tableColumn id="1" name="Mes"/>
    <tableColumn id="2" name="4 SEMANAS"/>
    <tableColumn id="3" name="5 SEMANANAS"/>
    <tableColumn id="4" name="6 SEMANA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1.12"/>
    <col collapsed="false" customWidth="true" hidden="false" outlineLevel="0" max="3" min="3" style="1" width="14.01"/>
    <col collapsed="false" customWidth="true" hidden="false" outlineLevel="0" max="4" min="4" style="0" width="16.89"/>
    <col collapsed="false" customWidth="true" hidden="false" outlineLevel="0" max="7" min="5" style="0" width="11.45"/>
    <col collapsed="false" customWidth="true" hidden="false" outlineLevel="0" max="8" min="8" style="0" width="10.99"/>
    <col collapsed="false" customWidth="true" hidden="false" outlineLevel="0" max="9" min="9" style="0" width="14.43"/>
    <col collapsed="false" customWidth="true" hidden="false" outlineLevel="0" max="10" min="10" style="0" width="15.11"/>
    <col collapsed="false" customWidth="true" hidden="false" outlineLevel="0" max="11" min="11" style="0" width="8.89"/>
    <col collapsed="false" customWidth="true" hidden="false" outlineLevel="0" max="12" min="12" style="2" width="13.55"/>
    <col collapsed="false" customWidth="true" hidden="false" outlineLevel="0" max="13" min="13" style="0" width="16.33"/>
    <col collapsed="false" customWidth="true" hidden="false" outlineLevel="0" max="14" min="14" style="0" width="13.55"/>
    <col collapsed="false" customWidth="true" hidden="false" outlineLevel="0" max="15" min="15" style="0" width="16.89"/>
    <col collapsed="false" customWidth="true" hidden="false" outlineLevel="0" max="64" min="16" style="0" width="11.45"/>
  </cols>
  <sheetData>
    <row r="1" customFormat="false" ht="13.8" hidden="false" customHeight="false" outlineLevel="0" collapsed="false">
      <c r="A1" s="3" t="s">
        <v>0</v>
      </c>
      <c r="C1" s="4" t="s">
        <v>1</v>
      </c>
      <c r="D1" s="3" t="s">
        <v>2</v>
      </c>
      <c r="E1" s="3" t="s">
        <v>3</v>
      </c>
      <c r="H1" s="4" t="s">
        <v>1</v>
      </c>
      <c r="I1" s="4" t="s">
        <v>4</v>
      </c>
      <c r="J1" s="4" t="s">
        <v>5</v>
      </c>
      <c r="K1" s="4" t="s">
        <v>6</v>
      </c>
      <c r="L1" s="4" t="s">
        <v>7</v>
      </c>
      <c r="M1" s="5" t="s">
        <v>8</v>
      </c>
      <c r="N1" s="4" t="s">
        <v>9</v>
      </c>
      <c r="O1" s="6" t="s">
        <v>10</v>
      </c>
      <c r="P1" s="4" t="s">
        <v>11</v>
      </c>
    </row>
    <row r="2" customFormat="false" ht="13.8" hidden="false" customHeight="false" outlineLevel="0" collapsed="false">
      <c r="A2" s="7" t="n">
        <v>43726</v>
      </c>
      <c r="C2" s="8" t="n">
        <v>1</v>
      </c>
      <c r="D2" s="2" t="n">
        <v>10000</v>
      </c>
      <c r="E2" s="9" t="n">
        <f aca="false">Valores!$D2/SUM(Valores!$D$2:$D$8)</f>
        <v>0.1</v>
      </c>
      <c r="F2" s="9"/>
      <c r="G2" s="9"/>
      <c r="H2" s="10" t="n">
        <v>43709</v>
      </c>
      <c r="I2" s="11" t="n">
        <f aca="false">VLOOKUP(WEEKNUM(Valores!$H2,2)-WEEKNUM(EOMONTH(Valores!$H2,-1)+1,2)+1,Valores!$C$11:$F$16,IF((WEEKNUM(EOMONTH(H2,0),2)-WEEKNUM(EOMONTH(H2,-1)+1,2)+1)=4,2,IF((WEEKNUM(EOMONTH(H2,0),2)-WEEKNUM(EOMONTH(H2,-1)+1,2)+1)=5,3,IF((WEEKNUM(EOMONTH(H2,0),2)-WEEKNUM(EOMONTH(H2,-1)+1,2)+1)=6,4,0))),0)</f>
        <v>0.25</v>
      </c>
      <c r="J2" s="0" t="n">
        <f aca="false">WEEKNUM(Valores!$H2,2)</f>
        <v>35</v>
      </c>
      <c r="K2" s="0" t="n">
        <v>2019</v>
      </c>
      <c r="L2" s="2" t="n">
        <f aca="false">WEEKDAY(Valores!$H2,2)</f>
        <v>7</v>
      </c>
      <c r="M2" s="0" t="n">
        <v>0.07</v>
      </c>
      <c r="N2" s="0" t="n">
        <f aca="false">Valores!$I2*Valores!$M2</f>
        <v>0.0175</v>
      </c>
      <c r="O2" s="12" t="n">
        <f aca="false">Valores!$N2/SUMIFS(Valores!$N$2:$N$154,Valores!$H$2:$H$154,"&gt;="&amp;EOMONTH(Valores!$H2,-1)+1,Valores!$H$2:$H$154,"&lt;="&amp;EOMONTH(Valores!$H2,0))</f>
        <v>0.0287971038341287</v>
      </c>
      <c r="P2" s="2" t="n">
        <f aca="false">Valores!$O2*7754000</f>
        <v>223292.743129834</v>
      </c>
    </row>
    <row r="3" customFormat="false" ht="13.8" hidden="false" customHeight="false" outlineLevel="0" collapsed="false">
      <c r="A3" s="7" t="n">
        <v>43727</v>
      </c>
      <c r="C3" s="8" t="n">
        <v>2</v>
      </c>
      <c r="D3" s="2" t="n">
        <v>10000</v>
      </c>
      <c r="E3" s="9" t="n">
        <f aca="false">Valores!$D3/SUM(Valores!$D$2:$D$8)</f>
        <v>0.1</v>
      </c>
      <c r="F3" s="9"/>
      <c r="G3" s="9"/>
      <c r="H3" s="10" t="n">
        <v>43710</v>
      </c>
      <c r="I3" s="11" t="n">
        <f aca="false">VLOOKUP(WEEKNUM(Valores!$H3,2)-WEEKNUM(EOMONTH(Valores!$H3,-1)+1,2)+1,Valores!$C$11:$F$16,IF((WEEKNUM(EOMONTH(H3,0),2)-WEEKNUM(EOMONTH(H3,-1)+1,2)+1)=4,2,IF((WEEKNUM(EOMONTH(H3,0),2)-WEEKNUM(EOMONTH(H3,-1)+1,2)+1)=5,3,IF((WEEKNUM(EOMONTH(H3,0),2)-WEEKNUM(EOMONTH(H3,-1)+1,2)+1)=6,4,0))),0)</f>
        <v>0.12</v>
      </c>
      <c r="J3" s="0" t="n">
        <f aca="false">WEEKNUM(Valores!$H3,2)</f>
        <v>36</v>
      </c>
      <c r="K3" s="0" t="n">
        <v>2019</v>
      </c>
      <c r="L3" s="2" t="n">
        <f aca="false">WEEKDAY(Valores!$H3,2)</f>
        <v>1</v>
      </c>
      <c r="M3" s="0" t="n">
        <f aca="false">VLOOKUP(Valores!$L3,Valores!$C$2:$E$8,3,0)</f>
        <v>0.1</v>
      </c>
      <c r="N3" s="0" t="n">
        <f aca="false">Valores!$I3*Valores!$M3</f>
        <v>0.012</v>
      </c>
      <c r="O3" s="12" t="n">
        <f aca="false">Valores!$N3/SUMIFS(Valores!$N$2:$N$154,Valores!$H$2:$H$154,"&gt;="&amp;EOMONTH(Valores!$H3,-1)+1,Valores!$H$2:$H$154,"&lt;="&amp;EOMONTH(Valores!$H3,0))</f>
        <v>0.0197465854862597</v>
      </c>
      <c r="P3" s="2" t="n">
        <f aca="false">Valores!$O3*7754000</f>
        <v>153115.023860457</v>
      </c>
    </row>
    <row r="4" customFormat="false" ht="13.8" hidden="false" customHeight="false" outlineLevel="0" collapsed="false">
      <c r="A4" s="7" t="n">
        <v>43728</v>
      </c>
      <c r="C4" s="8" t="n">
        <v>3</v>
      </c>
      <c r="D4" s="2" t="n">
        <v>10000</v>
      </c>
      <c r="E4" s="9" t="n">
        <f aca="false">Valores!$D4/SUM(Valores!$D$2:$D$8)</f>
        <v>0.1</v>
      </c>
      <c r="F4" s="9"/>
      <c r="G4" s="9"/>
      <c r="H4" s="10" t="n">
        <v>43711</v>
      </c>
      <c r="I4" s="11" t="n">
        <f aca="false">VLOOKUP(WEEKNUM(Valores!$H4,2)-WEEKNUM(EOMONTH(Valores!$H4,-1)+1,2)+1,Valores!$C$11:$F$16,IF((WEEKNUM(EOMONTH(H4,0),2)-WEEKNUM(EOMONTH(H4,-1)+1,2)+1)=4,2,IF((WEEKNUM(EOMONTH(H4,0),2)-WEEKNUM(EOMONTH(H4,-1)+1,2)+1)=5,3,IF((WEEKNUM(EOMONTH(H4,0),2)-WEEKNUM(EOMONTH(H4,-1)+1,2)+1)=6,4,0))),0)</f>
        <v>0.12</v>
      </c>
      <c r="J4" s="0" t="n">
        <f aca="false">WEEKNUM(Valores!$H4,2)</f>
        <v>36</v>
      </c>
      <c r="K4" s="0" t="n">
        <v>2019</v>
      </c>
      <c r="L4" s="2" t="n">
        <f aca="false">WEEKDAY(Valores!$H4,2)</f>
        <v>2</v>
      </c>
      <c r="M4" s="0" t="n">
        <f aca="false">VLOOKUP(Valores!$L4,Valores!$C$2:$E$8,3,0)</f>
        <v>0.1</v>
      </c>
      <c r="N4" s="0" t="n">
        <f aca="false">Valores!$I4*Valores!$M4</f>
        <v>0.012</v>
      </c>
      <c r="O4" s="12" t="n">
        <f aca="false">Valores!$N4/SUMIFS(Valores!$N$2:$N$154,Valores!$H$2:$H$154,"&gt;="&amp;EOMONTH(Valores!$H4,-1)+1,Valores!$H$2:$H$154,"&lt;="&amp;EOMONTH(Valores!$H4,0))</f>
        <v>0.0197465854862597</v>
      </c>
      <c r="P4" s="2" t="n">
        <f aca="false">Valores!$O4*7754000</f>
        <v>153115.023860457</v>
      </c>
    </row>
    <row r="5" customFormat="false" ht="13.8" hidden="false" customHeight="false" outlineLevel="0" collapsed="false">
      <c r="A5" s="7" t="n">
        <v>43750</v>
      </c>
      <c r="C5" s="8" t="n">
        <v>4</v>
      </c>
      <c r="D5" s="2" t="n">
        <v>10000</v>
      </c>
      <c r="E5" s="9" t="n">
        <f aca="false">Valores!$D5/SUM(Valores!$D$2:$D$8)</f>
        <v>0.1</v>
      </c>
      <c r="F5" s="9"/>
      <c r="G5" s="9"/>
      <c r="H5" s="10" t="n">
        <v>43712</v>
      </c>
      <c r="I5" s="11" t="n">
        <f aca="false">VLOOKUP(WEEKNUM(Valores!$H5,2)-WEEKNUM(EOMONTH(Valores!$H5,-1)+1,2)+1,Valores!$C$11:$F$16,IF((WEEKNUM(EOMONTH(H5,0),2)-WEEKNUM(EOMONTH(H5,-1)+1,2)+1)=4,2,IF((WEEKNUM(EOMONTH(H5,0),2)-WEEKNUM(EOMONTH(H5,-1)+1,2)+1)=5,3,IF((WEEKNUM(EOMONTH(H5,0),2)-WEEKNUM(EOMONTH(H5,-1)+1,2)+1)=6,4,0))),0)</f>
        <v>0.12</v>
      </c>
      <c r="J5" s="0" t="n">
        <f aca="false">WEEKNUM(Valores!$H5,2)</f>
        <v>36</v>
      </c>
      <c r="K5" s="0" t="n">
        <v>2019</v>
      </c>
      <c r="L5" s="2" t="n">
        <f aca="false">WEEKDAY(Valores!$H5,2)</f>
        <v>3</v>
      </c>
      <c r="M5" s="0" t="n">
        <f aca="false">VLOOKUP(Valores!$L5,Valores!$C$2:$E$8,3,0)</f>
        <v>0.1</v>
      </c>
      <c r="N5" s="0" t="n">
        <f aca="false">Valores!$I5*Valores!$M5</f>
        <v>0.012</v>
      </c>
      <c r="O5" s="12" t="n">
        <f aca="false">Valores!$N5/SUMIFS(Valores!$N$2:$N$154,Valores!$H$2:$H$154,"&gt;="&amp;EOMONTH(Valores!$H5,-1)+1,Valores!$H$2:$H$154,"&lt;="&amp;EOMONTH(Valores!$H5,0))</f>
        <v>0.0197465854862597</v>
      </c>
      <c r="P5" s="2" t="n">
        <f aca="false">Valores!$O5*7754000</f>
        <v>153115.023860457</v>
      </c>
    </row>
    <row r="6" customFormat="false" ht="13.8" hidden="false" customHeight="false" outlineLevel="0" collapsed="false">
      <c r="A6" s="7" t="n">
        <v>43769</v>
      </c>
      <c r="C6" s="8" t="n">
        <v>5</v>
      </c>
      <c r="D6" s="2" t="n">
        <v>20000</v>
      </c>
      <c r="E6" s="9" t="n">
        <f aca="false">Valores!$D6/SUM(Valores!$D$2:$D$8)</f>
        <v>0.2</v>
      </c>
      <c r="F6" s="9"/>
      <c r="G6" s="9"/>
      <c r="H6" s="10" t="n">
        <v>43713</v>
      </c>
      <c r="I6" s="11" t="n">
        <f aca="false">VLOOKUP(WEEKNUM(Valores!$H6,2)-WEEKNUM(EOMONTH(Valores!$H6,-1)+1,2)+1,Valores!$C$11:$F$16,IF((WEEKNUM(EOMONTH(H6,0),2)-WEEKNUM(EOMONTH(H6,-1)+1,2)+1)=4,2,IF((WEEKNUM(EOMONTH(H6,0),2)-WEEKNUM(EOMONTH(H6,-1)+1,2)+1)=5,3,IF((WEEKNUM(EOMONTH(H6,0),2)-WEEKNUM(EOMONTH(H6,-1)+1,2)+1)=6,4,0))),0)</f>
        <v>0.12</v>
      </c>
      <c r="J6" s="0" t="n">
        <f aca="false">WEEKNUM(Valores!$H6,2)</f>
        <v>36</v>
      </c>
      <c r="K6" s="0" t="n">
        <v>2019</v>
      </c>
      <c r="L6" s="2" t="n">
        <f aca="false">WEEKDAY(Valores!$H6,2)</f>
        <v>4</v>
      </c>
      <c r="M6" s="0" t="n">
        <f aca="false">VLOOKUP(Valores!$L6,Valores!$C$2:$E$8,3,0)</f>
        <v>0.1</v>
      </c>
      <c r="N6" s="0" t="n">
        <f aca="false">Valores!$I6*Valores!$M6</f>
        <v>0.012</v>
      </c>
      <c r="O6" s="12" t="n">
        <f aca="false">Valores!$N6/SUMIFS(Valores!$N$2:$N$154,Valores!$H$2:$H$154,"&gt;="&amp;EOMONTH(Valores!$H6,-1)+1,Valores!$H$2:$H$154,"&lt;="&amp;EOMONTH(Valores!$H6,0))</f>
        <v>0.0197465854862597</v>
      </c>
      <c r="P6" s="2" t="n">
        <f aca="false">Valores!$O6*7754000</f>
        <v>153115.023860457</v>
      </c>
    </row>
    <row r="7" customFormat="false" ht="13.8" hidden="false" customHeight="false" outlineLevel="0" collapsed="false">
      <c r="A7" s="7" t="n">
        <v>43770</v>
      </c>
      <c r="C7" s="8" t="n">
        <v>6</v>
      </c>
      <c r="D7" s="2" t="n">
        <v>25000</v>
      </c>
      <c r="E7" s="9" t="n">
        <f aca="false">Valores!$D7/SUM(Valores!$D$2:$D$8)</f>
        <v>0.25</v>
      </c>
      <c r="F7" s="9"/>
      <c r="G7" s="9"/>
      <c r="H7" s="10" t="n">
        <v>43714</v>
      </c>
      <c r="I7" s="11" t="n">
        <f aca="false">VLOOKUP(WEEKNUM(Valores!$H7,2)-WEEKNUM(EOMONTH(Valores!$H7,-1)+1,2)+1,Valores!$C$11:$F$16,IF((WEEKNUM(EOMONTH(H7,0),2)-WEEKNUM(EOMONTH(H7,-1)+1,2)+1)=4,2,IF((WEEKNUM(EOMONTH(H7,0),2)-WEEKNUM(EOMONTH(H7,-1)+1,2)+1)=5,3,IF((WEEKNUM(EOMONTH(H7,0),2)-WEEKNUM(EOMONTH(H7,-1)+1,2)+1)=6,4,0))),0)</f>
        <v>0.12</v>
      </c>
      <c r="J7" s="0" t="n">
        <f aca="false">WEEKNUM(Valores!$H7,2)</f>
        <v>36</v>
      </c>
      <c r="K7" s="0" t="n">
        <v>2019</v>
      </c>
      <c r="L7" s="2" t="n">
        <f aca="false">WEEKDAY(Valores!$H7,2)</f>
        <v>5</v>
      </c>
      <c r="M7" s="0" t="n">
        <f aca="false">VLOOKUP(Valores!$L7,Valores!$C$2:$E$8,3,0)</f>
        <v>0.2</v>
      </c>
      <c r="N7" s="0" t="n">
        <f aca="false">Valores!$I7*Valores!$M7</f>
        <v>0.024</v>
      </c>
      <c r="O7" s="12" t="n">
        <f aca="false">Valores!$N7/SUMIFS(Valores!$N$2:$N$154,Valores!$H$2:$H$154,"&gt;="&amp;EOMONTH(Valores!$H7,-1)+1,Valores!$H$2:$H$154,"&lt;="&amp;EOMONTH(Valores!$H7,0))</f>
        <v>0.0394931709725193</v>
      </c>
      <c r="P7" s="2" t="n">
        <f aca="false">Valores!$O7*7754000</f>
        <v>306230.047720915</v>
      </c>
    </row>
    <row r="8" customFormat="false" ht="13.8" hidden="false" customHeight="false" outlineLevel="0" collapsed="false">
      <c r="A8" s="7" t="n">
        <v>43807</v>
      </c>
      <c r="C8" s="8" t="n">
        <v>7</v>
      </c>
      <c r="D8" s="2" t="n">
        <v>15000</v>
      </c>
      <c r="E8" s="9" t="n">
        <f aca="false">Valores!$D8/SUM(Valores!$D$2:$D$8)</f>
        <v>0.15</v>
      </c>
      <c r="F8" s="9"/>
      <c r="G8" s="9"/>
      <c r="H8" s="10" t="n">
        <v>43715</v>
      </c>
      <c r="I8" s="11" t="n">
        <f aca="false">VLOOKUP(WEEKNUM(Valores!$H8,2)-WEEKNUM(EOMONTH(Valores!$H8,-1)+1,2)+1,Valores!$C$11:$F$16,IF((WEEKNUM(EOMONTH(H8,0),2)-WEEKNUM(EOMONTH(H8,-1)+1,2)+1)=4,2,IF((WEEKNUM(EOMONTH(H8,0),2)-WEEKNUM(EOMONTH(H8,-1)+1,2)+1)=5,3,IF((WEEKNUM(EOMONTH(H8,0),2)-WEEKNUM(EOMONTH(H8,-1)+1,2)+1)=6,4,0))),0)</f>
        <v>0.12</v>
      </c>
      <c r="J8" s="0" t="n">
        <f aca="false">WEEKNUM(Valores!$H8,2)</f>
        <v>36</v>
      </c>
      <c r="K8" s="0" t="n">
        <v>2019</v>
      </c>
      <c r="L8" s="2" t="n">
        <f aca="false">WEEKDAY(Valores!$H8,2)</f>
        <v>6</v>
      </c>
      <c r="M8" s="0" t="n">
        <f aca="false">VLOOKUP(Valores!$L8,Valores!$C$2:$E$8,3,0)</f>
        <v>0.25</v>
      </c>
      <c r="N8" s="0" t="n">
        <f aca="false">Valores!$I8*Valores!$M8</f>
        <v>0.03</v>
      </c>
      <c r="O8" s="12" t="n">
        <f aca="false">Valores!$N8/SUMIFS(Valores!$N$2:$N$154,Valores!$H$2:$H$154,"&gt;="&amp;EOMONTH(Valores!$H8,-1)+1,Valores!$H$2:$H$154,"&lt;="&amp;EOMONTH(Valores!$H8,0))</f>
        <v>0.0493664637156492</v>
      </c>
      <c r="P8" s="2" t="n">
        <f aca="false">Valores!$O8*7754000</f>
        <v>382787.559651144</v>
      </c>
    </row>
    <row r="9" customFormat="false" ht="13.8" hidden="false" customHeight="false" outlineLevel="0" collapsed="false">
      <c r="A9" s="7" t="n">
        <v>43824</v>
      </c>
      <c r="H9" s="10" t="n">
        <v>43716</v>
      </c>
      <c r="I9" s="11" t="n">
        <f aca="false">VLOOKUP(WEEKNUM(Valores!$H9,2)-WEEKNUM(EOMONTH(Valores!$H9,-1)+1,2)+1,Valores!$C$11:$F$16,IF((WEEKNUM(EOMONTH(H9,0),2)-WEEKNUM(EOMONTH(H9,-1)+1,2)+1)=4,2,IF((WEEKNUM(EOMONTH(H9,0),2)-WEEKNUM(EOMONTH(H9,-1)+1,2)+1)=5,3,IF((WEEKNUM(EOMONTH(H9,0),2)-WEEKNUM(EOMONTH(H9,-1)+1,2)+1)=6,4,0))),0)</f>
        <v>0.12</v>
      </c>
      <c r="J9" s="0" t="n">
        <f aca="false">WEEKNUM(Valores!$H9,2)</f>
        <v>36</v>
      </c>
      <c r="K9" s="0" t="n">
        <v>2019</v>
      </c>
      <c r="L9" s="2" t="n">
        <f aca="false">WEEKDAY(Valores!$H9,2)</f>
        <v>7</v>
      </c>
      <c r="M9" s="0" t="n">
        <f aca="false">VLOOKUP(Valores!$L9,Valores!$C$2:$E$8,3,0)</f>
        <v>0.15</v>
      </c>
      <c r="N9" s="0" t="n">
        <f aca="false">Valores!$I9*Valores!$M9</f>
        <v>0.018</v>
      </c>
      <c r="O9" s="12" t="n">
        <f aca="false">Valores!$N9/SUMIFS(Valores!$N$2:$N$154,Valores!$H$2:$H$154,"&gt;="&amp;EOMONTH(Valores!$H9,-1)+1,Valores!$H$2:$H$154,"&lt;="&amp;EOMONTH(Valores!$H9,0))</f>
        <v>0.0296198782293895</v>
      </c>
      <c r="P9" s="2" t="n">
        <f aca="false">Valores!$O9*7754000</f>
        <v>229672.535790686</v>
      </c>
    </row>
    <row r="10" customFormat="false" ht="13.8" hidden="false" customHeight="false" outlineLevel="0" collapsed="false">
      <c r="A10" s="7" t="n">
        <v>43831</v>
      </c>
      <c r="C10" s="4" t="s">
        <v>12</v>
      </c>
      <c r="D10" s="3" t="s">
        <v>13</v>
      </c>
      <c r="E10" s="3" t="s">
        <v>14</v>
      </c>
      <c r="F10" s="3" t="s">
        <v>15</v>
      </c>
      <c r="H10" s="10" t="n">
        <v>43717</v>
      </c>
      <c r="I10" s="11" t="n">
        <f aca="false">VLOOKUP(WEEKNUM(Valores!$H10,2)-WEEKNUM(EOMONTH(Valores!$H10,-1)+1,2)+1,Valores!$C$11:$F$16,IF((WEEKNUM(EOMONTH(H10,0),2)-WEEKNUM(EOMONTH(H10,-1)+1,2)+1)=4,2,IF((WEEKNUM(EOMONTH(H10,0),2)-WEEKNUM(EOMONTH(H10,-1)+1,2)+1)=5,3,IF((WEEKNUM(EOMONTH(H10,0),2)-WEEKNUM(EOMONTH(H10,-1)+1,2)+1)=6,4,0))),0)</f>
        <v>0.16</v>
      </c>
      <c r="J10" s="0" t="n">
        <f aca="false">WEEKNUM(Valores!$H10,2)</f>
        <v>37</v>
      </c>
      <c r="K10" s="0" t="n">
        <v>2019</v>
      </c>
      <c r="L10" s="2" t="n">
        <f aca="false">WEEKDAY(Valores!$H10,2)</f>
        <v>1</v>
      </c>
      <c r="M10" s="0" t="n">
        <f aca="false">VLOOKUP(Valores!$L10,Valores!$C$2:$E$8,3,0)</f>
        <v>0.1</v>
      </c>
      <c r="N10" s="0" t="n">
        <f aca="false">Valores!$I10*Valores!$M10</f>
        <v>0.016</v>
      </c>
      <c r="O10" s="12" t="n">
        <f aca="false">Valores!$N10/SUMIFS(Valores!$N$2:$N$154,Valores!$H$2:$H$154,"&gt;="&amp;EOMONTH(Valores!$H10,-1)+1,Valores!$H$2:$H$154,"&lt;="&amp;EOMONTH(Valores!$H10,0))</f>
        <v>0.0263287806483462</v>
      </c>
      <c r="P10" s="2" t="n">
        <f aca="false">Valores!$O10*7754000</f>
        <v>204153.365147277</v>
      </c>
    </row>
    <row r="11" customFormat="false" ht="13.8" hidden="false" customHeight="false" outlineLevel="0" collapsed="false">
      <c r="A11" s="7" t="n">
        <v>43931</v>
      </c>
      <c r="C11" s="1" t="n">
        <v>1</v>
      </c>
      <c r="D11" s="13" t="n">
        <v>0.32</v>
      </c>
      <c r="E11" s="13" t="n">
        <v>0.28</v>
      </c>
      <c r="F11" s="13" t="n">
        <v>0.25</v>
      </c>
      <c r="H11" s="10" t="n">
        <v>43718</v>
      </c>
      <c r="I11" s="11" t="n">
        <f aca="false">VLOOKUP(WEEKNUM(Valores!$H11,2)-WEEKNUM(EOMONTH(Valores!$H11,-1)+1,2)+1,Valores!$C$11:$F$16,IF((WEEKNUM(EOMONTH(H11,0),2)-WEEKNUM(EOMONTH(H11,-1)+1,2)+1)=4,2,IF((WEEKNUM(EOMONTH(H11,0),2)-WEEKNUM(EOMONTH(H11,-1)+1,2)+1)=5,3,IF((WEEKNUM(EOMONTH(H11,0),2)-WEEKNUM(EOMONTH(H11,-1)+1,2)+1)=6,4,0))),0)</f>
        <v>0.16</v>
      </c>
      <c r="J11" s="0" t="n">
        <f aca="false">WEEKNUM(Valores!$H11,2)</f>
        <v>37</v>
      </c>
      <c r="K11" s="0" t="n">
        <v>2019</v>
      </c>
      <c r="L11" s="2" t="n">
        <f aca="false">WEEKDAY(Valores!$H11,2)</f>
        <v>2</v>
      </c>
      <c r="M11" s="0" t="n">
        <f aca="false">VLOOKUP(Valores!$L11,Valores!$C$2:$E$8,3,0)</f>
        <v>0.1</v>
      </c>
      <c r="N11" s="0" t="n">
        <f aca="false">Valores!$I11*Valores!$M11</f>
        <v>0.016</v>
      </c>
      <c r="O11" s="12" t="n">
        <f aca="false">Valores!$N11/SUMIFS(Valores!$N$2:$N$154,Valores!$H$2:$H$154,"&gt;="&amp;EOMONTH(Valores!$H11,-1)+1,Valores!$H$2:$H$154,"&lt;="&amp;EOMONTH(Valores!$H11,0))</f>
        <v>0.0263287806483462</v>
      </c>
      <c r="P11" s="2" t="n">
        <f aca="false">Valores!$O11*7754000</f>
        <v>204153.365147277</v>
      </c>
    </row>
    <row r="12" customFormat="false" ht="13.8" hidden="false" customHeight="false" outlineLevel="0" collapsed="false">
      <c r="A12" s="7" t="n">
        <v>43932</v>
      </c>
      <c r="C12" s="1" t="n">
        <v>2</v>
      </c>
      <c r="D12" s="13" t="n">
        <v>0.2</v>
      </c>
      <c r="E12" s="13" t="n">
        <v>0.15</v>
      </c>
      <c r="F12" s="13" t="n">
        <v>0.12</v>
      </c>
      <c r="H12" s="10" t="n">
        <v>43719</v>
      </c>
      <c r="I12" s="11" t="n">
        <f aca="false">VLOOKUP(WEEKNUM(Valores!$H12,2)-WEEKNUM(EOMONTH(Valores!$H12,-1)+1,2)+1,Valores!$C$11:$F$16,IF((WEEKNUM(EOMONTH(H12,0),2)-WEEKNUM(EOMONTH(H12,-1)+1,2)+1)=4,2,IF((WEEKNUM(EOMONTH(H12,0),2)-WEEKNUM(EOMONTH(H12,-1)+1,2)+1)=5,3,IF((WEEKNUM(EOMONTH(H12,0),2)-WEEKNUM(EOMONTH(H12,-1)+1,2)+1)=6,4,0))),0)</f>
        <v>0.16</v>
      </c>
      <c r="J12" s="0" t="n">
        <f aca="false">WEEKNUM(Valores!$H12,2)</f>
        <v>37</v>
      </c>
      <c r="K12" s="0" t="n">
        <v>2019</v>
      </c>
      <c r="L12" s="2" t="n">
        <f aca="false">WEEKDAY(Valores!$H12,2)</f>
        <v>3</v>
      </c>
      <c r="M12" s="0" t="n">
        <v>0.06</v>
      </c>
      <c r="N12" s="0" t="n">
        <f aca="false">Valores!$I12*Valores!$M12</f>
        <v>0.0096</v>
      </c>
      <c r="O12" s="12" t="n">
        <f aca="false">Valores!$N12/SUMIFS(Valores!$N$2:$N$154,Valores!$H$2:$H$154,"&gt;="&amp;EOMONTH(Valores!$H12,-1)+1,Valores!$H$2:$H$154,"&lt;="&amp;EOMONTH(Valores!$H12,0))</f>
        <v>0.0157972683890077</v>
      </c>
      <c r="P12" s="2" t="n">
        <f aca="false">Valores!$O12*7754000</f>
        <v>122492.019088366</v>
      </c>
    </row>
    <row r="13" customFormat="false" ht="13.8" hidden="false" customHeight="false" outlineLevel="0" collapsed="false">
      <c r="A13" s="7" t="n">
        <v>43952</v>
      </c>
      <c r="C13" s="1" t="n">
        <v>3</v>
      </c>
      <c r="D13" s="13" t="n">
        <v>0.23</v>
      </c>
      <c r="E13" s="13" t="n">
        <v>0.15</v>
      </c>
      <c r="F13" s="13" t="n">
        <v>0.16</v>
      </c>
      <c r="H13" s="10" t="n">
        <v>43720</v>
      </c>
      <c r="I13" s="11" t="n">
        <f aca="false">VLOOKUP(WEEKNUM(Valores!$H13,2)-WEEKNUM(EOMONTH(Valores!$H13,-1)+1,2)+1,Valores!$C$11:$F$16,IF((WEEKNUM(EOMONTH(H13,0),2)-WEEKNUM(EOMONTH(H13,-1)+1,2)+1)=4,2,IF((WEEKNUM(EOMONTH(H13,0),2)-WEEKNUM(EOMONTH(H13,-1)+1,2)+1)=5,3,IF((WEEKNUM(EOMONTH(H13,0),2)-WEEKNUM(EOMONTH(H13,-1)+1,2)+1)=6,4,0))),0)</f>
        <v>0.16</v>
      </c>
      <c r="J13" s="0" t="n">
        <f aca="false">WEEKNUM(Valores!$H13,2)</f>
        <v>37</v>
      </c>
      <c r="K13" s="0" t="n">
        <v>2019</v>
      </c>
      <c r="L13" s="2" t="n">
        <f aca="false">WEEKDAY(Valores!$H13,2)</f>
        <v>4</v>
      </c>
      <c r="M13" s="0" t="n">
        <f aca="false">VLOOKUP(Valores!$L13,Valores!$C$2:$E$8,3,0)</f>
        <v>0.1</v>
      </c>
      <c r="N13" s="0" t="n">
        <f aca="false">Valores!$I13*Valores!$M13</f>
        <v>0.016</v>
      </c>
      <c r="O13" s="12" t="n">
        <f aca="false">Valores!$N13/SUMIFS(Valores!$N$2:$N$154,Valores!$H$2:$H$154,"&gt;="&amp;EOMONTH(Valores!$H13,-1)+1,Valores!$H$2:$H$154,"&lt;="&amp;EOMONTH(Valores!$H13,0))</f>
        <v>0.0263287806483462</v>
      </c>
      <c r="P13" s="2" t="n">
        <f aca="false">Valores!$O13*7754000</f>
        <v>204153.365147277</v>
      </c>
    </row>
    <row r="14" customFormat="false" ht="13.8" hidden="false" customHeight="false" outlineLevel="0" collapsed="false">
      <c r="A14" s="7" t="n">
        <v>43972</v>
      </c>
      <c r="C14" s="1" t="n">
        <v>4</v>
      </c>
      <c r="D14" s="13" t="n">
        <v>0.25</v>
      </c>
      <c r="E14" s="13" t="n">
        <v>0.2</v>
      </c>
      <c r="F14" s="13" t="n">
        <v>0.2</v>
      </c>
      <c r="H14" s="10" t="n">
        <v>43721</v>
      </c>
      <c r="I14" s="11" t="n">
        <f aca="false">VLOOKUP(WEEKNUM(Valores!$H14,2)-WEEKNUM(EOMONTH(Valores!$H14,-1)+1,2)+1,Valores!$C$11:$F$16,IF((WEEKNUM(EOMONTH(H14,0),2)-WEEKNUM(EOMONTH(H14,-1)+1,2)+1)=4,2,IF((WEEKNUM(EOMONTH(H14,0),2)-WEEKNUM(EOMONTH(H14,-1)+1,2)+1)=5,3,IF((WEEKNUM(EOMONTH(H14,0),2)-WEEKNUM(EOMONTH(H14,-1)+1,2)+1)=6,4,0))),0)</f>
        <v>0.16</v>
      </c>
      <c r="J14" s="0" t="n">
        <f aca="false">WEEKNUM(Valores!$H14,2)</f>
        <v>37</v>
      </c>
      <c r="K14" s="0" t="n">
        <v>2019</v>
      </c>
      <c r="L14" s="2" t="n">
        <f aca="false">WEEKDAY(Valores!$H14,2)</f>
        <v>5</v>
      </c>
      <c r="M14" s="0" t="n">
        <f aca="false">VLOOKUP(Valores!$L14,Valores!$C$2:$E$8,3,0)</f>
        <v>0.2</v>
      </c>
      <c r="N14" s="0" t="n">
        <f aca="false">Valores!$I14*Valores!$M14</f>
        <v>0.032</v>
      </c>
      <c r="O14" s="12" t="n">
        <f aca="false">Valores!$N14/SUMIFS(Valores!$N$2:$N$154,Valores!$H$2:$H$154,"&gt;="&amp;EOMONTH(Valores!$H14,-1)+1,Valores!$H$2:$H$154,"&lt;="&amp;EOMONTH(Valores!$H14,0))</f>
        <v>0.0526575612966924</v>
      </c>
      <c r="P14" s="2" t="n">
        <f aca="false">Valores!$O14*7754000</f>
        <v>408306.730294553</v>
      </c>
    </row>
    <row r="15" customFormat="false" ht="13.8" hidden="false" customHeight="false" outlineLevel="0" collapsed="false">
      <c r="A15" s="7" t="n">
        <v>44011</v>
      </c>
      <c r="C15" s="1" t="n">
        <v>5</v>
      </c>
      <c r="D15" s="13"/>
      <c r="E15" s="13" t="n">
        <v>0.22</v>
      </c>
      <c r="F15" s="13" t="n">
        <v>0.22</v>
      </c>
      <c r="H15" s="10" t="n">
        <v>43722</v>
      </c>
      <c r="I15" s="11" t="n">
        <f aca="false">VLOOKUP(WEEKNUM(Valores!$H15,2)-WEEKNUM(EOMONTH(Valores!$H15,-1)+1,2)+1,Valores!$C$11:$F$16,IF((WEEKNUM(EOMONTH(H15,0),2)-WEEKNUM(EOMONTH(H15,-1)+1,2)+1)=4,2,IF((WEEKNUM(EOMONTH(H15,0),2)-WEEKNUM(EOMONTH(H15,-1)+1,2)+1)=5,3,IF((WEEKNUM(EOMONTH(H15,0),2)-WEEKNUM(EOMONTH(H15,-1)+1,2)+1)=6,4,0))),0)</f>
        <v>0.16</v>
      </c>
      <c r="J15" s="0" t="n">
        <f aca="false">WEEKNUM(Valores!$H15,2)</f>
        <v>37</v>
      </c>
      <c r="K15" s="0" t="n">
        <v>2019</v>
      </c>
      <c r="L15" s="2" t="n">
        <f aca="false">WEEKDAY(Valores!$H15,2)</f>
        <v>6</v>
      </c>
      <c r="M15" s="0" t="n">
        <f aca="false">VLOOKUP(Valores!$L15,Valores!$C$2:$E$8,3,0)</f>
        <v>0.25</v>
      </c>
      <c r="N15" s="0" t="n">
        <f aca="false">Valores!$I15*Valores!$M15</f>
        <v>0.04</v>
      </c>
      <c r="O15" s="12" t="n">
        <f aca="false">Valores!$N15/SUMIFS(Valores!$N$2:$N$154,Valores!$H$2:$H$154,"&gt;="&amp;EOMONTH(Valores!$H15,-1)+1,Valores!$H$2:$H$154,"&lt;="&amp;EOMONTH(Valores!$H15,0))</f>
        <v>0.0658219516208655</v>
      </c>
      <c r="P15" s="2" t="n">
        <f aca="false">Valores!$O15*7754000</f>
        <v>510383.412868191</v>
      </c>
    </row>
    <row r="16" customFormat="false" ht="13.8" hidden="false" customHeight="false" outlineLevel="0" collapsed="false">
      <c r="A16" s="7" t="n">
        <v>44028</v>
      </c>
      <c r="C16" s="1" t="n">
        <v>6</v>
      </c>
      <c r="D16" s="13"/>
      <c r="E16" s="13"/>
      <c r="F16" s="13" t="n">
        <v>0.05</v>
      </c>
      <c r="H16" s="10" t="n">
        <v>43723</v>
      </c>
      <c r="I16" s="11" t="n">
        <f aca="false">VLOOKUP(WEEKNUM(Valores!$H16,2)-WEEKNUM(EOMONTH(Valores!$H16,-1)+1,2)+1,Valores!$C$11:$F$16,IF((WEEKNUM(EOMONTH(H16,0),2)-WEEKNUM(EOMONTH(H16,-1)+1,2)+1)=4,2,IF((WEEKNUM(EOMONTH(H16,0),2)-WEEKNUM(EOMONTH(H16,-1)+1,2)+1)=5,3,IF((WEEKNUM(EOMONTH(H16,0),2)-WEEKNUM(EOMONTH(H16,-1)+1,2)+1)=6,4,0))),0)</f>
        <v>0.16</v>
      </c>
      <c r="J16" s="0" t="n">
        <f aca="false">WEEKNUM(Valores!$H16,2)</f>
        <v>37</v>
      </c>
      <c r="K16" s="0" t="n">
        <v>2019</v>
      </c>
      <c r="L16" s="2" t="n">
        <f aca="false">WEEKDAY(Valores!$H16,2)</f>
        <v>7</v>
      </c>
      <c r="M16" s="0" t="n">
        <f aca="false">VLOOKUP(Valores!$L16,Valores!$C$2:$E$8,3,0)</f>
        <v>0.15</v>
      </c>
      <c r="N16" s="0" t="n">
        <f aca="false">Valores!$I16*Valores!$M16</f>
        <v>0.024</v>
      </c>
      <c r="O16" s="12" t="n">
        <f aca="false">Valores!$N16/SUMIFS(Valores!$N$2:$N$154,Valores!$H$2:$H$154,"&gt;="&amp;EOMONTH(Valores!$H16,-1)+1,Valores!$H$2:$H$154,"&lt;="&amp;EOMONTH(Valores!$H16,0))</f>
        <v>0.0394931709725193</v>
      </c>
      <c r="P16" s="2" t="n">
        <f aca="false">Valores!$O16*7754000</f>
        <v>306230.047720915</v>
      </c>
    </row>
    <row r="17" customFormat="false" ht="13.8" hidden="false" customHeight="false" outlineLevel="0" collapsed="false">
      <c r="A17" s="7" t="n">
        <v>44058</v>
      </c>
      <c r="C17" s="1" t="s">
        <v>16</v>
      </c>
      <c r="D17" s="13" t="n">
        <f aca="false">SUBTOTAL(109,Valores!$D$11:$D$16)</f>
        <v>1</v>
      </c>
      <c r="E17" s="13" t="n">
        <f aca="false">SUBTOTAL(109,Valores!$E$11:$E$16)</f>
        <v>1</v>
      </c>
      <c r="F17" s="13" t="n">
        <f aca="false">SUBTOTAL(109,Valores!$F$11:$F$16)</f>
        <v>1</v>
      </c>
      <c r="H17" s="10" t="n">
        <v>43724</v>
      </c>
      <c r="I17" s="11" t="n">
        <f aca="false">VLOOKUP(WEEKNUM(Valores!$H17,2)-WEEKNUM(EOMONTH(Valores!$H17,-1)+1,2)+1,Valores!$C$11:$F$16,IF((WEEKNUM(EOMONTH(H17,0),2)-WEEKNUM(EOMONTH(H17,-1)+1,2)+1)=4,2,IF((WEEKNUM(EOMONTH(H17,0),2)-WEEKNUM(EOMONTH(H17,-1)+1,2)+1)=5,3,IF((WEEKNUM(EOMONTH(H17,0),2)-WEEKNUM(EOMONTH(H17,-1)+1,2)+1)=6,4,0))),0)</f>
        <v>0.2</v>
      </c>
      <c r="J17" s="0" t="n">
        <f aca="false">WEEKNUM(Valores!$H17,2)</f>
        <v>38</v>
      </c>
      <c r="K17" s="0" t="n">
        <v>2019</v>
      </c>
      <c r="L17" s="2" t="n">
        <f aca="false">WEEKDAY(Valores!$H17,2)</f>
        <v>1</v>
      </c>
      <c r="M17" s="0" t="n">
        <f aca="false">VLOOKUP(Valores!$L17,Valores!$C$2:$E$8,3,0)</f>
        <v>0.1</v>
      </c>
      <c r="N17" s="0" t="n">
        <f aca="false">Valores!$I17*Valores!$M17</f>
        <v>0.02</v>
      </c>
      <c r="O17" s="12" t="n">
        <f aca="false">Valores!$N17/SUMIFS(Valores!$N$2:$N$154,Valores!$H$2:$H$154,"&gt;="&amp;EOMONTH(Valores!$H17,-1)+1,Valores!$H$2:$H$154,"&lt;="&amp;EOMONTH(Valores!$H17,0))</f>
        <v>0.0329109758104328</v>
      </c>
      <c r="P17" s="2" t="n">
        <f aca="false">Valores!$O17*7754000</f>
        <v>255191.706434096</v>
      </c>
    </row>
    <row r="18" customFormat="false" ht="13.8" hidden="false" customHeight="false" outlineLevel="0" collapsed="false">
      <c r="A18" s="7" t="n">
        <v>44092</v>
      </c>
      <c r="H18" s="10" t="n">
        <v>43725</v>
      </c>
      <c r="I18" s="11" t="n">
        <f aca="false">VLOOKUP(WEEKNUM(Valores!$H18,2)-WEEKNUM(EOMONTH(Valores!$H18,-1)+1,2)+1,Valores!$C$11:$F$16,IF((WEEKNUM(EOMONTH(H18,0),2)-WEEKNUM(EOMONTH(H18,-1)+1,2)+1)=4,2,IF((WEEKNUM(EOMONTH(H18,0),2)-WEEKNUM(EOMONTH(H18,-1)+1,2)+1)=5,3,IF((WEEKNUM(EOMONTH(H18,0),2)-WEEKNUM(EOMONTH(H18,-1)+1,2)+1)=6,4,0))),0)</f>
        <v>0.2</v>
      </c>
      <c r="J18" s="0" t="n">
        <f aca="false">WEEKNUM(Valores!$H18,2)</f>
        <v>38</v>
      </c>
      <c r="K18" s="0" t="n">
        <v>2019</v>
      </c>
      <c r="L18" s="2" t="n">
        <f aca="false">WEEKDAY(Valores!$H18,2)</f>
        <v>2</v>
      </c>
      <c r="M18" s="0" t="n">
        <f aca="false">VLOOKUP(Valores!$L18,Valores!$C$2:$E$8,3,0)</f>
        <v>0.1</v>
      </c>
      <c r="N18" s="0" t="n">
        <f aca="false">Valores!$I18*Valores!$M18</f>
        <v>0.02</v>
      </c>
      <c r="O18" s="12" t="n">
        <f aca="false">Valores!$N18/SUMIFS(Valores!$N$2:$N$154,Valores!$H$2:$H$154,"&gt;="&amp;EOMONTH(Valores!$H18,-1)+1,Valores!$H$2:$H$154,"&lt;="&amp;EOMONTH(Valores!$H18,0))</f>
        <v>0.0329109758104328</v>
      </c>
      <c r="P18" s="2" t="n">
        <f aca="false">Valores!$O18*7754000</f>
        <v>255191.706434096</v>
      </c>
    </row>
    <row r="19" customFormat="false" ht="13.8" hidden="false" customHeight="false" outlineLevel="0" collapsed="false">
      <c r="A19" s="7" t="n">
        <v>44093</v>
      </c>
      <c r="H19" s="10" t="n">
        <v>43726</v>
      </c>
      <c r="I19" s="11" t="n">
        <f aca="false">VLOOKUP(WEEKNUM(Valores!$H19,2)-WEEKNUM(EOMONTH(Valores!$H19,-1)+1,2)+1,Valores!$C$11:$F$16,IF((WEEKNUM(EOMONTH(H19,0),2)-WEEKNUM(EOMONTH(H19,-1)+1,2)+1)=4,2,IF((WEEKNUM(EOMONTH(H19,0),2)-WEEKNUM(EOMONTH(H19,-1)+1,2)+1)=5,3,IF((WEEKNUM(EOMONTH(H19,0),2)-WEEKNUM(EOMONTH(H19,-1)+1,2)+1)=6,4,0))),0)</f>
        <v>0.2</v>
      </c>
      <c r="J19" s="0" t="n">
        <f aca="false">WEEKNUM(Valores!$H19,2)</f>
        <v>38</v>
      </c>
      <c r="K19" s="0" t="n">
        <v>2019</v>
      </c>
      <c r="L19" s="2" t="n">
        <f aca="false">WEEKDAY(Valores!$H19,2)</f>
        <v>3</v>
      </c>
      <c r="N19" s="0" t="n">
        <f aca="false">Valores!$I19*Valores!$M19</f>
        <v>0</v>
      </c>
      <c r="O19" s="12" t="n">
        <f aca="false">Valores!$N19/SUMIFS(Valores!$N$2:$N$154,Valores!$H$2:$H$154,"&gt;="&amp;EOMONTH(Valores!$H19,-1)+1,Valores!$H$2:$H$154,"&lt;="&amp;EOMONTH(Valores!$H19,0))</f>
        <v>0</v>
      </c>
      <c r="P19" s="2" t="n">
        <f aca="false">Valores!$O19*7754000</f>
        <v>0</v>
      </c>
    </row>
    <row r="20" customFormat="false" ht="13.8" hidden="false" customHeight="false" outlineLevel="0" collapsed="false">
      <c r="H20" s="10" t="n">
        <v>43727</v>
      </c>
      <c r="I20" s="11" t="n">
        <f aca="false">VLOOKUP(WEEKNUM(Valores!$H20,2)-WEEKNUM(EOMONTH(Valores!$H20,-1)+1,2)+1,Valores!$C$11:$F$16,IF((WEEKNUM(EOMONTH(H20,0),2)-WEEKNUM(EOMONTH(H20,-1)+1,2)+1)=4,2,IF((WEEKNUM(EOMONTH(H20,0),2)-WEEKNUM(EOMONTH(H20,-1)+1,2)+1)=5,3,IF((WEEKNUM(EOMONTH(H20,0),2)-WEEKNUM(EOMONTH(H20,-1)+1,2)+1)=6,4,0))),0)</f>
        <v>0.2</v>
      </c>
      <c r="J20" s="0" t="n">
        <f aca="false">WEEKNUM(Valores!$H20,2)</f>
        <v>38</v>
      </c>
      <c r="K20" s="0" t="n">
        <v>2019</v>
      </c>
      <c r="L20" s="2" t="n">
        <f aca="false">WEEKDAY(Valores!$H20,2)</f>
        <v>4</v>
      </c>
      <c r="N20" s="0" t="n">
        <f aca="false">Valores!$I20*Valores!$M20</f>
        <v>0</v>
      </c>
      <c r="O20" s="12" t="n">
        <f aca="false">Valores!$N20/SUMIFS(Valores!$N$2:$N$154,Valores!$H$2:$H$154,"&gt;="&amp;EOMONTH(Valores!$H20,-1)+1,Valores!$H$2:$H$154,"&lt;="&amp;EOMONTH(Valores!$H20,0))</f>
        <v>0</v>
      </c>
      <c r="P20" s="2" t="n">
        <f aca="false">Valores!$O20*7754000</f>
        <v>0</v>
      </c>
    </row>
    <row r="21" customFormat="false" ht="13.8" hidden="false" customHeight="false" outlineLevel="0" collapsed="false">
      <c r="H21" s="10" t="n">
        <v>43728</v>
      </c>
      <c r="I21" s="11" t="n">
        <f aca="false">VLOOKUP(WEEKNUM(Valores!$H21,2)-WEEKNUM(EOMONTH(Valores!$H21,-1)+1,2)+1,Valores!$C$11:$F$16,IF((WEEKNUM(EOMONTH(H21,0),2)-WEEKNUM(EOMONTH(H21,-1)+1,2)+1)=4,2,IF((WEEKNUM(EOMONTH(H21,0),2)-WEEKNUM(EOMONTH(H21,-1)+1,2)+1)=5,3,IF((WEEKNUM(EOMONTH(H21,0),2)-WEEKNUM(EOMONTH(H21,-1)+1,2)+1)=6,4,0))),0)</f>
        <v>0.2</v>
      </c>
      <c r="J21" s="0" t="n">
        <f aca="false">WEEKNUM(Valores!$H21,2)</f>
        <v>38</v>
      </c>
      <c r="K21" s="0" t="n">
        <v>2019</v>
      </c>
      <c r="L21" s="2" t="n">
        <f aca="false">WEEKDAY(Valores!$H21,2)</f>
        <v>5</v>
      </c>
      <c r="M21" s="0" t="n">
        <v>0.15</v>
      </c>
      <c r="N21" s="0" t="n">
        <f aca="false">Valores!$I21*Valores!$M21</f>
        <v>0.03</v>
      </c>
      <c r="O21" s="12" t="n">
        <f aca="false">Valores!$N21/SUMIFS(Valores!$N$2:$N$154,Valores!$H$2:$H$154,"&gt;="&amp;EOMONTH(Valores!$H21,-1)+1,Valores!$H$2:$H$154,"&lt;="&amp;EOMONTH(Valores!$H21,0))</f>
        <v>0.0493664637156492</v>
      </c>
      <c r="P21" s="2" t="n">
        <f aca="false">Valores!$O21*7754000</f>
        <v>382787.559651144</v>
      </c>
    </row>
    <row r="22" customFormat="false" ht="13.8" hidden="false" customHeight="false" outlineLevel="0" collapsed="false">
      <c r="H22" s="10" t="n">
        <v>43729</v>
      </c>
      <c r="I22" s="11" t="n">
        <f aca="false">VLOOKUP(WEEKNUM(Valores!$H22,2)-WEEKNUM(EOMONTH(Valores!$H22,-1)+1,2)+1,Valores!$C$11:$F$16,IF((WEEKNUM(EOMONTH(H22,0),2)-WEEKNUM(EOMONTH(H22,-1)+1,2)+1)=4,2,IF((WEEKNUM(EOMONTH(H22,0),2)-WEEKNUM(EOMONTH(H22,-1)+1,2)+1)=5,3,IF((WEEKNUM(EOMONTH(H22,0),2)-WEEKNUM(EOMONTH(H22,-1)+1,2)+1)=6,4,0))),0)</f>
        <v>0.2</v>
      </c>
      <c r="J22" s="0" t="n">
        <f aca="false">WEEKNUM(Valores!$H22,2)</f>
        <v>38</v>
      </c>
      <c r="K22" s="0" t="n">
        <v>2019</v>
      </c>
      <c r="L22" s="2" t="n">
        <f aca="false">WEEKDAY(Valores!$H22,2)</f>
        <v>6</v>
      </c>
      <c r="M22" s="0" t="n">
        <v>0.18</v>
      </c>
      <c r="N22" s="0" t="n">
        <f aca="false">Valores!$I22*Valores!$M22</f>
        <v>0.036</v>
      </c>
      <c r="O22" s="12" t="n">
        <f aca="false">Valores!$N22/SUMIFS(Valores!$N$2:$N$154,Valores!$H$2:$H$154,"&gt;="&amp;EOMONTH(Valores!$H22,-1)+1,Valores!$H$2:$H$154,"&lt;="&amp;EOMONTH(Valores!$H22,0))</f>
        <v>0.059239756458779</v>
      </c>
      <c r="P22" s="2" t="n">
        <f aca="false">Valores!$O22*7754000</f>
        <v>459345.071581372</v>
      </c>
    </row>
    <row r="23" customFormat="false" ht="13.8" hidden="false" customHeight="false" outlineLevel="0" collapsed="false">
      <c r="H23" s="10" t="n">
        <v>43730</v>
      </c>
      <c r="I23" s="11" t="n">
        <f aca="false">VLOOKUP(WEEKNUM(Valores!$H23,2)-WEEKNUM(EOMONTH(Valores!$H23,-1)+1,2)+1,Valores!$C$11:$F$16,IF((WEEKNUM(EOMONTH(H23,0),2)-WEEKNUM(EOMONTH(H23,-1)+1,2)+1)=4,2,IF((WEEKNUM(EOMONTH(H23,0),2)-WEEKNUM(EOMONTH(H23,-1)+1,2)+1)=5,3,IF((WEEKNUM(EOMONTH(H23,0),2)-WEEKNUM(EOMONTH(H23,-1)+1,2)+1)=6,4,0))),0)</f>
        <v>0.2</v>
      </c>
      <c r="J23" s="0" t="n">
        <f aca="false">WEEKNUM(Valores!$H23,2)</f>
        <v>38</v>
      </c>
      <c r="K23" s="0" t="n">
        <v>2019</v>
      </c>
      <c r="L23" s="2" t="n">
        <f aca="false">WEEKDAY(Valores!$H23,2)</f>
        <v>7</v>
      </c>
      <c r="M23" s="0" t="n">
        <v>0.09</v>
      </c>
      <c r="N23" s="0" t="n">
        <f aca="false">Valores!$I23*Valores!$M23</f>
        <v>0.018</v>
      </c>
      <c r="O23" s="12" t="n">
        <f aca="false">Valores!$N23/SUMIFS(Valores!$N$2:$N$154,Valores!$H$2:$H$154,"&gt;="&amp;EOMONTH(Valores!$H23,-1)+1,Valores!$H$2:$H$154,"&lt;="&amp;EOMONTH(Valores!$H23,0))</f>
        <v>0.0296198782293895</v>
      </c>
      <c r="P23" s="2" t="n">
        <f aca="false">Valores!$O23*7754000</f>
        <v>229672.535790686</v>
      </c>
    </row>
    <row r="24" customFormat="false" ht="13.8" hidden="false" customHeight="false" outlineLevel="0" collapsed="false">
      <c r="H24" s="10" t="n">
        <v>43731</v>
      </c>
      <c r="I24" s="11" t="n">
        <f aca="false">VLOOKUP(WEEKNUM(Valores!$H24,2)-WEEKNUM(EOMONTH(Valores!$H24,-1)+1,2)+1,Valores!$C$11:$F$16,IF((WEEKNUM(EOMONTH(H24,0),2)-WEEKNUM(EOMONTH(H24,-1)+1,2)+1)=4,2,IF((WEEKNUM(EOMONTH(H24,0),2)-WEEKNUM(EOMONTH(H24,-1)+1,2)+1)=5,3,IF((WEEKNUM(EOMONTH(H24,0),2)-WEEKNUM(EOMONTH(H24,-1)+1,2)+1)=6,4,0))),0)</f>
        <v>0.22</v>
      </c>
      <c r="J24" s="0" t="n">
        <f aca="false">WEEKNUM(Valores!$H24,2)</f>
        <v>39</v>
      </c>
      <c r="K24" s="0" t="n">
        <v>2019</v>
      </c>
      <c r="L24" s="2" t="n">
        <f aca="false">WEEKDAY(Valores!$H24,2)</f>
        <v>1</v>
      </c>
      <c r="M24" s="0" t="n">
        <f aca="false">VLOOKUP(Valores!$L24,Valores!$C$2:$E$8,3,0)</f>
        <v>0.1</v>
      </c>
      <c r="N24" s="0" t="n">
        <f aca="false">Valores!$I24*Valores!$M24</f>
        <v>0.022</v>
      </c>
      <c r="O24" s="12" t="n">
        <f aca="false">Valores!$N24/SUMIFS(Valores!$N$2:$N$154,Valores!$H$2:$H$154,"&gt;="&amp;EOMONTH(Valores!$H24,-1)+1,Valores!$H$2:$H$154,"&lt;="&amp;EOMONTH(Valores!$H24,0))</f>
        <v>0.0362020733914761</v>
      </c>
      <c r="P24" s="2" t="n">
        <f aca="false">Valores!$O24*7754000</f>
        <v>280710.877077505</v>
      </c>
    </row>
    <row r="25" customFormat="false" ht="13.8" hidden="false" customHeight="false" outlineLevel="0" collapsed="false">
      <c r="H25" s="10" t="n">
        <v>43732</v>
      </c>
      <c r="I25" s="11" t="n">
        <f aca="false">VLOOKUP(WEEKNUM(Valores!$H25,2)-WEEKNUM(EOMONTH(Valores!$H25,-1)+1,2)+1,Valores!$C$11:$F$16,IF((WEEKNUM(EOMONTH(H25,0),2)-WEEKNUM(EOMONTH(H25,-1)+1,2)+1)=4,2,IF((WEEKNUM(EOMONTH(H25,0),2)-WEEKNUM(EOMONTH(H25,-1)+1,2)+1)=5,3,IF((WEEKNUM(EOMONTH(H25,0),2)-WEEKNUM(EOMONTH(H25,-1)+1,2)+1)=6,4,0))),0)</f>
        <v>0.22</v>
      </c>
      <c r="J25" s="0" t="n">
        <f aca="false">WEEKNUM(Valores!$H25,2)</f>
        <v>39</v>
      </c>
      <c r="K25" s="0" t="n">
        <v>2019</v>
      </c>
      <c r="L25" s="2" t="n">
        <f aca="false">WEEKDAY(Valores!$H25,2)</f>
        <v>2</v>
      </c>
      <c r="M25" s="0" t="n">
        <f aca="false">VLOOKUP(Valores!$L25,Valores!$C$2:$E$8,3,0)</f>
        <v>0.1</v>
      </c>
      <c r="N25" s="0" t="n">
        <f aca="false">Valores!$I25*Valores!$M25</f>
        <v>0.022</v>
      </c>
      <c r="O25" s="12" t="n">
        <f aca="false">Valores!$N25/SUMIFS(Valores!$N$2:$N$154,Valores!$H$2:$H$154,"&gt;="&amp;EOMONTH(Valores!$H25,-1)+1,Valores!$H$2:$H$154,"&lt;="&amp;EOMONTH(Valores!$H25,0))</f>
        <v>0.0362020733914761</v>
      </c>
      <c r="P25" s="2" t="n">
        <f aca="false">Valores!$O25*7754000</f>
        <v>280710.877077505</v>
      </c>
    </row>
    <row r="26" customFormat="false" ht="13.8" hidden="false" customHeight="false" outlineLevel="0" collapsed="false">
      <c r="H26" s="10" t="n">
        <v>43733</v>
      </c>
      <c r="I26" s="11" t="n">
        <f aca="false">VLOOKUP(WEEKNUM(Valores!$H26,2)-WEEKNUM(EOMONTH(Valores!$H26,-1)+1,2)+1,Valores!$C$11:$F$16,IF((WEEKNUM(EOMONTH(H26,0),2)-WEEKNUM(EOMONTH(H26,-1)+1,2)+1)=4,2,IF((WEEKNUM(EOMONTH(H26,0),2)-WEEKNUM(EOMONTH(H26,-1)+1,2)+1)=5,3,IF((WEEKNUM(EOMONTH(H26,0),2)-WEEKNUM(EOMONTH(H26,-1)+1,2)+1)=6,4,0))),0)</f>
        <v>0.22</v>
      </c>
      <c r="J26" s="0" t="n">
        <f aca="false">WEEKNUM(Valores!$H26,2)</f>
        <v>39</v>
      </c>
      <c r="K26" s="0" t="n">
        <v>2019</v>
      </c>
      <c r="L26" s="2" t="n">
        <f aca="false">WEEKDAY(Valores!$H26,2)</f>
        <v>3</v>
      </c>
      <c r="M26" s="0" t="n">
        <f aca="false">VLOOKUP(Valores!$L26,Valores!$C$2:$E$8,3,0)</f>
        <v>0.1</v>
      </c>
      <c r="N26" s="0" t="n">
        <f aca="false">Valores!$I26*Valores!$M26</f>
        <v>0.022</v>
      </c>
      <c r="O26" s="12" t="n">
        <f aca="false">Valores!$N26/SUMIFS(Valores!$N$2:$N$154,Valores!$H$2:$H$154,"&gt;="&amp;EOMONTH(Valores!$H26,-1)+1,Valores!$H$2:$H$154,"&lt;="&amp;EOMONTH(Valores!$H26,0))</f>
        <v>0.0362020733914761</v>
      </c>
      <c r="P26" s="2" t="n">
        <f aca="false">Valores!$O26*7754000</f>
        <v>280710.877077505</v>
      </c>
    </row>
    <row r="27" customFormat="false" ht="13.8" hidden="false" customHeight="false" outlineLevel="0" collapsed="false">
      <c r="H27" s="10" t="n">
        <v>43734</v>
      </c>
      <c r="I27" s="11" t="n">
        <f aca="false">VLOOKUP(WEEKNUM(Valores!$H27,2)-WEEKNUM(EOMONTH(Valores!$H27,-1)+1,2)+1,Valores!$C$11:$F$16,IF((WEEKNUM(EOMONTH(H27,0),2)-WEEKNUM(EOMONTH(H27,-1)+1,2)+1)=4,2,IF((WEEKNUM(EOMONTH(H27,0),2)-WEEKNUM(EOMONTH(H27,-1)+1,2)+1)=5,3,IF((WEEKNUM(EOMONTH(H27,0),2)-WEEKNUM(EOMONTH(H27,-1)+1,2)+1)=6,4,0))),0)</f>
        <v>0.22</v>
      </c>
      <c r="J27" s="0" t="n">
        <f aca="false">WEEKNUM(Valores!$H27,2)</f>
        <v>39</v>
      </c>
      <c r="K27" s="0" t="n">
        <v>2019</v>
      </c>
      <c r="L27" s="2" t="n">
        <f aca="false">WEEKDAY(Valores!$H27,2)</f>
        <v>4</v>
      </c>
      <c r="M27" s="0" t="n">
        <f aca="false">VLOOKUP(Valores!$L27,Valores!$C$2:$E$8,3,0)</f>
        <v>0.1</v>
      </c>
      <c r="N27" s="0" t="n">
        <f aca="false">Valores!$I27*Valores!$M27</f>
        <v>0.022</v>
      </c>
      <c r="O27" s="12" t="n">
        <f aca="false">Valores!$N27/SUMIFS(Valores!$N$2:$N$154,Valores!$H$2:$H$154,"&gt;="&amp;EOMONTH(Valores!$H27,-1)+1,Valores!$H$2:$H$154,"&lt;="&amp;EOMONTH(Valores!$H27,0))</f>
        <v>0.0362020733914761</v>
      </c>
      <c r="P27" s="2" t="n">
        <f aca="false">Valores!$O27*7754000</f>
        <v>280710.877077505</v>
      </c>
    </row>
    <row r="28" customFormat="false" ht="13.8" hidden="false" customHeight="false" outlineLevel="0" collapsed="false">
      <c r="H28" s="10" t="n">
        <v>43735</v>
      </c>
      <c r="I28" s="11" t="n">
        <f aca="false">VLOOKUP(WEEKNUM(Valores!$H28,2)-WEEKNUM(EOMONTH(Valores!$H28,-1)+1,2)+1,Valores!$C$11:$F$16,IF((WEEKNUM(EOMONTH(H28,0),2)-WEEKNUM(EOMONTH(H28,-1)+1,2)+1)=4,2,IF((WEEKNUM(EOMONTH(H28,0),2)-WEEKNUM(EOMONTH(H28,-1)+1,2)+1)=5,3,IF((WEEKNUM(EOMONTH(H28,0),2)-WEEKNUM(EOMONTH(H28,-1)+1,2)+1)=6,4,0))),0)</f>
        <v>0.22</v>
      </c>
      <c r="J28" s="0" t="n">
        <f aca="false">WEEKNUM(Valores!$H28,2)</f>
        <v>39</v>
      </c>
      <c r="K28" s="0" t="n">
        <v>2019</v>
      </c>
      <c r="L28" s="2" t="n">
        <f aca="false">WEEKDAY(Valores!$H28,2)</f>
        <v>5</v>
      </c>
      <c r="M28" s="0" t="n">
        <v>0.16</v>
      </c>
      <c r="N28" s="0" t="n">
        <f aca="false">Valores!$I28*Valores!$M28</f>
        <v>0.0352</v>
      </c>
      <c r="O28" s="12" t="n">
        <f aca="false">Valores!$N28/SUMIFS(Valores!$N$2:$N$154,Valores!$H$2:$H$154,"&gt;="&amp;EOMONTH(Valores!$H28,-1)+1,Valores!$H$2:$H$154,"&lt;="&amp;EOMONTH(Valores!$H28,0))</f>
        <v>0.0579233174263617</v>
      </c>
      <c r="P28" s="2" t="n">
        <f aca="false">Valores!$O28*7754000</f>
        <v>449137.403324009</v>
      </c>
    </row>
    <row r="29" customFormat="false" ht="13.8" hidden="false" customHeight="false" outlineLevel="0" collapsed="false">
      <c r="H29" s="10" t="n">
        <v>43736</v>
      </c>
      <c r="I29" s="11" t="n">
        <f aca="false">VLOOKUP(WEEKNUM(Valores!$H29,2)-WEEKNUM(EOMONTH(Valores!$H29,-1)+1,2)+1,Valores!$C$11:$F$16,IF((WEEKNUM(EOMONTH(H29,0),2)-WEEKNUM(EOMONTH(H29,-1)+1,2)+1)=4,2,IF((WEEKNUM(EOMONTH(H29,0),2)-WEEKNUM(EOMONTH(H29,-1)+1,2)+1)=5,3,IF((WEEKNUM(EOMONTH(H29,0),2)-WEEKNUM(EOMONTH(H29,-1)+1,2)+1)=6,4,0))),0)</f>
        <v>0.22</v>
      </c>
      <c r="J29" s="0" t="n">
        <f aca="false">WEEKNUM(Valores!$H29,2)</f>
        <v>39</v>
      </c>
      <c r="K29" s="0" t="n">
        <v>2019</v>
      </c>
      <c r="L29" s="2" t="n">
        <f aca="false">WEEKDAY(Valores!$H29,2)</f>
        <v>6</v>
      </c>
      <c r="M29" s="0" t="n">
        <v>0.2</v>
      </c>
      <c r="N29" s="0" t="n">
        <f aca="false">Valores!$I29*Valores!$M29</f>
        <v>0.044</v>
      </c>
      <c r="O29" s="12" t="n">
        <f aca="false">Valores!$N29/SUMIFS(Valores!$N$2:$N$154,Valores!$H$2:$H$154,"&gt;="&amp;EOMONTH(Valores!$H29,-1)+1,Valores!$H$2:$H$154,"&lt;="&amp;EOMONTH(Valores!$H29,0))</f>
        <v>0.0724041467829521</v>
      </c>
      <c r="P29" s="2" t="n">
        <f aca="false">Valores!$O29*7754000</f>
        <v>561421.754155011</v>
      </c>
    </row>
    <row r="30" customFormat="false" ht="13.8" hidden="false" customHeight="false" outlineLevel="0" collapsed="false">
      <c r="H30" s="10" t="n">
        <v>43737</v>
      </c>
      <c r="I30" s="11" t="n">
        <f aca="false">VLOOKUP(WEEKNUM(Valores!$H30,2)-WEEKNUM(EOMONTH(Valores!$H30,-1)+1,2)+1,Valores!$C$11:$F$16,IF((WEEKNUM(EOMONTH(H30,0),2)-WEEKNUM(EOMONTH(H30,-1)+1,2)+1)=4,2,IF((WEEKNUM(EOMONTH(H30,0),2)-WEEKNUM(EOMONTH(H30,-1)+1,2)+1)=5,3,IF((WEEKNUM(EOMONTH(H30,0),2)-WEEKNUM(EOMONTH(H30,-1)+1,2)+1)=6,4,0))),0)</f>
        <v>0.22</v>
      </c>
      <c r="J30" s="0" t="n">
        <f aca="false">WEEKNUM(Valores!$H30,2)</f>
        <v>39</v>
      </c>
      <c r="K30" s="0" t="n">
        <v>2019</v>
      </c>
      <c r="L30" s="2" t="n">
        <f aca="false">WEEKDAY(Valores!$H30,2)</f>
        <v>7</v>
      </c>
      <c r="M30" s="0" t="n">
        <v>0.07</v>
      </c>
      <c r="N30" s="0" t="n">
        <f aca="false">Valores!$I30*Valores!$M30</f>
        <v>0.0154</v>
      </c>
      <c r="O30" s="12" t="n">
        <f aca="false">Valores!$N30/SUMIFS(Valores!$N$2:$N$154,Valores!$H$2:$H$154,"&gt;="&amp;EOMONTH(Valores!$H30,-1)+1,Valores!$H$2:$H$154,"&lt;="&amp;EOMONTH(Valores!$H30,0))</f>
        <v>0.0253414513740332</v>
      </c>
      <c r="P30" s="2" t="n">
        <f aca="false">Valores!$O30*7754000</f>
        <v>196497.613954254</v>
      </c>
    </row>
    <row r="31" customFormat="false" ht="13.8" hidden="false" customHeight="false" outlineLevel="0" collapsed="false">
      <c r="H31" s="10" t="n">
        <v>43738</v>
      </c>
      <c r="I31" s="11" t="n">
        <f aca="false">VLOOKUP(WEEKNUM(Valores!$H31,2)-WEEKNUM(EOMONTH(Valores!$H31,-1)+1,2)+1,Valores!$C$11:$F$16,IF((WEEKNUM(EOMONTH(H31,0),2)-WEEKNUM(EOMONTH(H31,-1)+1,2)+1)=4,2,IF((WEEKNUM(EOMONTH(H31,0),2)-WEEKNUM(EOMONTH(H31,-1)+1,2)+1)=5,3,IF((WEEKNUM(EOMONTH(H31,0),2)-WEEKNUM(EOMONTH(H31,-1)+1,2)+1)=6,4,0))),0)</f>
        <v>0.05</v>
      </c>
      <c r="J31" s="0" t="n">
        <f aca="false">WEEKNUM(Valores!$H31,2)</f>
        <v>40</v>
      </c>
      <c r="K31" s="0" t="n">
        <v>2019</v>
      </c>
      <c r="L31" s="2" t="n">
        <f aca="false">WEEKDAY(Valores!$H31,2)</f>
        <v>1</v>
      </c>
      <c r="M31" s="0" t="n">
        <v>0.2</v>
      </c>
      <c r="N31" s="0" t="n">
        <f aca="false">Valores!$I31*Valores!$M31</f>
        <v>0.01</v>
      </c>
      <c r="O31" s="12" t="n">
        <f aca="false">Valores!$N31/SUMIFS(Valores!$N$2:$N$154,Valores!$H$2:$H$154,"&gt;="&amp;EOMONTH(Valores!$H31,-1)+1,Valores!$H$2:$H$154,"&lt;="&amp;EOMONTH(Valores!$H31,0))</f>
        <v>0.0164554879052164</v>
      </c>
      <c r="P31" s="2" t="n">
        <f aca="false">Valores!$O31*7754000</f>
        <v>127595.853217048</v>
      </c>
    </row>
    <row r="32" customFormat="false" ht="13.8" hidden="false" customHeight="false" outlineLevel="0" collapsed="false">
      <c r="H32" s="10" t="n">
        <v>43739</v>
      </c>
      <c r="I32" s="11" t="n">
        <f aca="false">VLOOKUP(WEEKNUM(Valores!$H32,2)-WEEKNUM(EOMONTH(Valores!$H32,-1)+1,2)+1,Valores!$C$11:$F$16,IF((WEEKNUM(EOMONTH(H32,0),2)-WEEKNUM(EOMONTH(H32,-1)+1,2)+1)=4,2,IF((WEEKNUM(EOMONTH(H32,0),2)-WEEKNUM(EOMONTH(H32,-1)+1,2)+1)=5,3,IF((WEEKNUM(EOMONTH(H32,0),2)-WEEKNUM(EOMONTH(H32,-1)+1,2)+1)=6,4,0))),0)</f>
        <v>0.28</v>
      </c>
      <c r="J32" s="0" t="n">
        <f aca="false">WEEKNUM(Valores!$H32,2)</f>
        <v>40</v>
      </c>
      <c r="K32" s="0" t="n">
        <v>2019</v>
      </c>
      <c r="L32" s="2" t="n">
        <f aca="false">WEEKDAY(Valores!$H32,2)</f>
        <v>2</v>
      </c>
      <c r="M32" s="0" t="n">
        <f aca="false">VLOOKUP(Valores!$L32,Valores!$C$2:$E$8,3,0)</f>
        <v>0.1</v>
      </c>
      <c r="N32" s="0" t="n">
        <f aca="false">Valores!$I32*Valores!$M32</f>
        <v>0.028</v>
      </c>
      <c r="O32" s="12" t="n">
        <f aca="false">Valores!$N32/SUMIFS(Valores!$N$2:$N$154,Valores!$H$2:$H$154,"&gt;="&amp;EOMONTH(Valores!$H32,-1)+1,Valores!$H$2:$H$154,"&lt;="&amp;EOMONTH(Valores!$H32,0))</f>
        <v>0.0333420657791326</v>
      </c>
      <c r="P32" s="2" t="n">
        <f aca="false">Valores!$O32*7754000</f>
        <v>258534.378051394</v>
      </c>
    </row>
    <row r="33" customFormat="false" ht="13.8" hidden="false" customHeight="false" outlineLevel="0" collapsed="false">
      <c r="H33" s="10" t="n">
        <v>43740</v>
      </c>
      <c r="I33" s="11" t="n">
        <f aca="false">VLOOKUP(WEEKNUM(Valores!$H33,2)-WEEKNUM(EOMONTH(Valores!$H33,-1)+1,2)+1,Valores!$C$11:$F$16,IF((WEEKNUM(EOMONTH(H33,0),2)-WEEKNUM(EOMONTH(H33,-1)+1,2)+1)=4,2,IF((WEEKNUM(EOMONTH(H33,0),2)-WEEKNUM(EOMONTH(H33,-1)+1,2)+1)=5,3,IF((WEEKNUM(EOMONTH(H33,0),2)-WEEKNUM(EOMONTH(H33,-1)+1,2)+1)=6,4,0))),0)</f>
        <v>0.28</v>
      </c>
      <c r="J33" s="0" t="n">
        <f aca="false">WEEKNUM(Valores!$H33,2)</f>
        <v>40</v>
      </c>
      <c r="K33" s="0" t="n">
        <v>2019</v>
      </c>
      <c r="L33" s="2" t="n">
        <f aca="false">WEEKDAY(Valores!$H33,2)</f>
        <v>3</v>
      </c>
      <c r="M33" s="0" t="n">
        <f aca="false">VLOOKUP(Valores!$L33,Valores!$C$2:$E$8,3,0)</f>
        <v>0.1</v>
      </c>
      <c r="N33" s="0" t="n">
        <f aca="false">Valores!$I33*Valores!$M33</f>
        <v>0.028</v>
      </c>
      <c r="O33" s="12" t="n">
        <f aca="false">Valores!$N33/SUMIFS(Valores!$N$2:$N$154,Valores!$H$2:$H$154,"&gt;="&amp;EOMONTH(Valores!$H33,-1)+1,Valores!$H$2:$H$154,"&lt;="&amp;EOMONTH(Valores!$H33,0))</f>
        <v>0.0333420657791326</v>
      </c>
      <c r="P33" s="2" t="n">
        <f aca="false">Valores!$O33*7754000</f>
        <v>258534.378051394</v>
      </c>
    </row>
    <row r="34" customFormat="false" ht="13.8" hidden="false" customHeight="false" outlineLevel="0" collapsed="false">
      <c r="H34" s="10" t="n">
        <v>43741</v>
      </c>
      <c r="I34" s="11" t="n">
        <f aca="false">VLOOKUP(WEEKNUM(Valores!$H34,2)-WEEKNUM(EOMONTH(Valores!$H34,-1)+1,2)+1,Valores!$C$11:$F$16,IF((WEEKNUM(EOMONTH(H34,0),2)-WEEKNUM(EOMONTH(H34,-1)+1,2)+1)=4,2,IF((WEEKNUM(EOMONTH(H34,0),2)-WEEKNUM(EOMONTH(H34,-1)+1,2)+1)=5,3,IF((WEEKNUM(EOMONTH(H34,0),2)-WEEKNUM(EOMONTH(H34,-1)+1,2)+1)=6,4,0))),0)</f>
        <v>0.28</v>
      </c>
      <c r="J34" s="0" t="n">
        <f aca="false">WEEKNUM(Valores!$H34,2)</f>
        <v>40</v>
      </c>
      <c r="K34" s="0" t="n">
        <v>2019</v>
      </c>
      <c r="L34" s="2" t="n">
        <f aca="false">WEEKDAY(Valores!$H34,2)</f>
        <v>4</v>
      </c>
      <c r="M34" s="0" t="n">
        <f aca="false">VLOOKUP(Valores!$L34,Valores!$C$2:$E$8,3,0)</f>
        <v>0.1</v>
      </c>
      <c r="N34" s="0" t="n">
        <f aca="false">Valores!$I34*Valores!$M34</f>
        <v>0.028</v>
      </c>
      <c r="O34" s="12" t="n">
        <f aca="false">Valores!$N34/SUMIFS(Valores!$N$2:$N$154,Valores!$H$2:$H$154,"&gt;="&amp;EOMONTH(Valores!$H34,-1)+1,Valores!$H$2:$H$154,"&lt;="&amp;EOMONTH(Valores!$H34,0))</f>
        <v>0.0333420657791326</v>
      </c>
      <c r="P34" s="2" t="n">
        <f aca="false">Valores!$O34*7754000</f>
        <v>258534.378051394</v>
      </c>
    </row>
    <row r="35" customFormat="false" ht="13.8" hidden="false" customHeight="false" outlineLevel="0" collapsed="false">
      <c r="H35" s="10" t="n">
        <v>43742</v>
      </c>
      <c r="I35" s="11" t="n">
        <f aca="false">VLOOKUP(WEEKNUM(Valores!$H35,2)-WEEKNUM(EOMONTH(Valores!$H35,-1)+1,2)+1,Valores!$C$11:$F$16,IF((WEEKNUM(EOMONTH(H35,0),2)-WEEKNUM(EOMONTH(H35,-1)+1,2)+1)=4,2,IF((WEEKNUM(EOMONTH(H35,0),2)-WEEKNUM(EOMONTH(H35,-1)+1,2)+1)=5,3,IF((WEEKNUM(EOMONTH(H35,0),2)-WEEKNUM(EOMONTH(H35,-1)+1,2)+1)=6,4,0))),0)</f>
        <v>0.28</v>
      </c>
      <c r="J35" s="0" t="n">
        <f aca="false">WEEKNUM(Valores!$H35,2)</f>
        <v>40</v>
      </c>
      <c r="K35" s="0" t="n">
        <v>2019</v>
      </c>
      <c r="L35" s="2" t="n">
        <f aca="false">WEEKDAY(Valores!$H35,2)</f>
        <v>5</v>
      </c>
      <c r="M35" s="0" t="n">
        <f aca="false">VLOOKUP(Valores!$L35,Valores!$C$2:$E$8,3,0)</f>
        <v>0.2</v>
      </c>
      <c r="N35" s="0" t="n">
        <f aca="false">Valores!$I35*Valores!$M35</f>
        <v>0.056</v>
      </c>
      <c r="O35" s="12" t="n">
        <f aca="false">Valores!$N35/SUMIFS(Valores!$N$2:$N$154,Valores!$H$2:$H$154,"&gt;="&amp;EOMONTH(Valores!$H35,-1)+1,Valores!$H$2:$H$154,"&lt;="&amp;EOMONTH(Valores!$H35,0))</f>
        <v>0.0666841315582653</v>
      </c>
      <c r="P35" s="2" t="n">
        <f aca="false">Valores!$O35*7754000</f>
        <v>517068.756102789</v>
      </c>
    </row>
    <row r="36" customFormat="false" ht="13.8" hidden="false" customHeight="false" outlineLevel="0" collapsed="false">
      <c r="H36" s="10" t="n">
        <v>43743</v>
      </c>
      <c r="I36" s="11" t="n">
        <f aca="false">VLOOKUP(WEEKNUM(Valores!$H36,2)-WEEKNUM(EOMONTH(Valores!$H36,-1)+1,2)+1,Valores!$C$11:$F$16,IF((WEEKNUM(EOMONTH(H36,0),2)-WEEKNUM(EOMONTH(H36,-1)+1,2)+1)=4,2,IF((WEEKNUM(EOMONTH(H36,0),2)-WEEKNUM(EOMONTH(H36,-1)+1,2)+1)=5,3,IF((WEEKNUM(EOMONTH(H36,0),2)-WEEKNUM(EOMONTH(H36,-1)+1,2)+1)=6,4,0))),0)</f>
        <v>0.28</v>
      </c>
      <c r="J36" s="0" t="n">
        <f aca="false">WEEKNUM(Valores!$H36,2)</f>
        <v>40</v>
      </c>
      <c r="K36" s="0" t="n">
        <v>2019</v>
      </c>
      <c r="L36" s="2" t="n">
        <f aca="false">WEEKDAY(Valores!$H36,2)</f>
        <v>6</v>
      </c>
      <c r="M36" s="0" t="n">
        <f aca="false">VLOOKUP(Valores!$L36,Valores!$C$2:$E$8,3,0)</f>
        <v>0.25</v>
      </c>
      <c r="N36" s="0" t="n">
        <f aca="false">Valores!$I36*Valores!$M36</f>
        <v>0.07</v>
      </c>
      <c r="O36" s="12" t="n">
        <f aca="false">Valores!$N36/SUMIFS(Valores!$N$2:$N$154,Valores!$H$2:$H$154,"&gt;="&amp;EOMONTH(Valores!$H36,-1)+1,Valores!$H$2:$H$154,"&lt;="&amp;EOMONTH(Valores!$H36,0))</f>
        <v>0.0833551644478316</v>
      </c>
      <c r="P36" s="2" t="n">
        <f aca="false">Valores!$O36*7754000</f>
        <v>646335.945128486</v>
      </c>
    </row>
    <row r="37" customFormat="false" ht="13.8" hidden="false" customHeight="false" outlineLevel="0" collapsed="false">
      <c r="H37" s="10" t="n">
        <v>43744</v>
      </c>
      <c r="I37" s="11" t="n">
        <f aca="false">VLOOKUP(WEEKNUM(Valores!$H37,2)-WEEKNUM(EOMONTH(Valores!$H37,-1)+1,2)+1,Valores!$C$11:$F$16,IF((WEEKNUM(EOMONTH(H37,0),2)-WEEKNUM(EOMONTH(H37,-1)+1,2)+1)=4,2,IF((WEEKNUM(EOMONTH(H37,0),2)-WEEKNUM(EOMONTH(H37,-1)+1,2)+1)=5,3,IF((WEEKNUM(EOMONTH(H37,0),2)-WEEKNUM(EOMONTH(H37,-1)+1,2)+1)=6,4,0))),0)</f>
        <v>0.28</v>
      </c>
      <c r="J37" s="0" t="n">
        <f aca="false">WEEKNUM(Valores!$H37,2)</f>
        <v>40</v>
      </c>
      <c r="K37" s="0" t="n">
        <v>2019</v>
      </c>
      <c r="L37" s="2" t="n">
        <f aca="false">WEEKDAY(Valores!$H37,2)</f>
        <v>7</v>
      </c>
      <c r="M37" s="0" t="n">
        <f aca="false">VLOOKUP(Valores!$L37,Valores!$C$2:$E$8,3,0)</f>
        <v>0.15</v>
      </c>
      <c r="N37" s="0" t="n">
        <f aca="false">Valores!$I37*Valores!$M37</f>
        <v>0.042</v>
      </c>
      <c r="O37" s="12" t="n">
        <f aca="false">Valores!$N37/SUMIFS(Valores!$N$2:$N$154,Valores!$H$2:$H$154,"&gt;="&amp;EOMONTH(Valores!$H37,-1)+1,Valores!$H$2:$H$154,"&lt;="&amp;EOMONTH(Valores!$H37,0))</f>
        <v>0.0500130986686989</v>
      </c>
      <c r="P37" s="2" t="n">
        <f aca="false">Valores!$O37*7754000</f>
        <v>387801.567077092</v>
      </c>
    </row>
    <row r="38" customFormat="false" ht="13.8" hidden="false" customHeight="false" outlineLevel="0" collapsed="false">
      <c r="H38" s="10" t="n">
        <v>43745</v>
      </c>
      <c r="I38" s="11" t="n">
        <f aca="false">VLOOKUP(WEEKNUM(Valores!$H38,2)-WEEKNUM(EOMONTH(Valores!$H38,-1)+1,2)+1,Valores!$C$11:$F$16,IF((WEEKNUM(EOMONTH(H38,0),2)-WEEKNUM(EOMONTH(H38,-1)+1,2)+1)=4,2,IF((WEEKNUM(EOMONTH(H38,0),2)-WEEKNUM(EOMONTH(H38,-1)+1,2)+1)=5,3,IF((WEEKNUM(EOMONTH(H38,0),2)-WEEKNUM(EOMONTH(H38,-1)+1,2)+1)=6,4,0))),0)</f>
        <v>0.15</v>
      </c>
      <c r="J38" s="0" t="n">
        <f aca="false">WEEKNUM(Valores!$H38,2)</f>
        <v>41</v>
      </c>
      <c r="K38" s="0" t="n">
        <v>2019</v>
      </c>
      <c r="L38" s="2" t="n">
        <f aca="false">WEEKDAY(Valores!$H38,2)</f>
        <v>1</v>
      </c>
      <c r="M38" s="0" t="n">
        <f aca="false">VLOOKUP(Valores!$L38,Valores!$C$2:$E$8,3,0)</f>
        <v>0.1</v>
      </c>
      <c r="N38" s="0" t="n">
        <f aca="false">Valores!$I38*Valores!$M38</f>
        <v>0.015</v>
      </c>
      <c r="O38" s="12" t="n">
        <f aca="false">Valores!$N38/SUMIFS(Valores!$N$2:$N$154,Valores!$H$2:$H$154,"&gt;="&amp;EOMONTH(Valores!$H38,-1)+1,Valores!$H$2:$H$154,"&lt;="&amp;EOMONTH(Valores!$H38,0))</f>
        <v>0.0178618209531068</v>
      </c>
      <c r="P38" s="2" t="n">
        <f aca="false">Valores!$O38*7754000</f>
        <v>138500.55967039</v>
      </c>
    </row>
    <row r="39" customFormat="false" ht="13.8" hidden="false" customHeight="false" outlineLevel="0" collapsed="false">
      <c r="H39" s="10" t="n">
        <v>43746</v>
      </c>
      <c r="I39" s="11" t="n">
        <f aca="false">VLOOKUP(WEEKNUM(Valores!$H39,2)-WEEKNUM(EOMONTH(Valores!$H39,-1)+1,2)+1,Valores!$C$11:$F$16,IF((WEEKNUM(EOMONTH(H39,0),2)-WEEKNUM(EOMONTH(H39,-1)+1,2)+1)=4,2,IF((WEEKNUM(EOMONTH(H39,0),2)-WEEKNUM(EOMONTH(H39,-1)+1,2)+1)=5,3,IF((WEEKNUM(EOMONTH(H39,0),2)-WEEKNUM(EOMONTH(H39,-1)+1,2)+1)=6,4,0))),0)</f>
        <v>0.15</v>
      </c>
      <c r="J39" s="0" t="n">
        <f aca="false">WEEKNUM(Valores!$H39,2)</f>
        <v>41</v>
      </c>
      <c r="K39" s="0" t="n">
        <v>2019</v>
      </c>
      <c r="L39" s="2" t="n">
        <f aca="false">WEEKDAY(Valores!$H39,2)</f>
        <v>2</v>
      </c>
      <c r="M39" s="0" t="n">
        <f aca="false">VLOOKUP(Valores!$L39,Valores!$C$2:$E$8,3,0)</f>
        <v>0.1</v>
      </c>
      <c r="N39" s="0" t="n">
        <f aca="false">Valores!$I39*Valores!$M39</f>
        <v>0.015</v>
      </c>
      <c r="O39" s="12" t="n">
        <f aca="false">Valores!$N39/SUMIFS(Valores!$N$2:$N$154,Valores!$H$2:$H$154,"&gt;="&amp;EOMONTH(Valores!$H39,-1)+1,Valores!$H$2:$H$154,"&lt;="&amp;EOMONTH(Valores!$H39,0))</f>
        <v>0.0178618209531068</v>
      </c>
      <c r="P39" s="2" t="n">
        <f aca="false">Valores!$O39*7754000</f>
        <v>138500.55967039</v>
      </c>
    </row>
    <row r="40" customFormat="false" ht="13.8" hidden="false" customHeight="false" outlineLevel="0" collapsed="false">
      <c r="H40" s="10" t="n">
        <v>43747</v>
      </c>
      <c r="I40" s="11" t="n">
        <f aca="false">VLOOKUP(WEEKNUM(Valores!$H40,2)-WEEKNUM(EOMONTH(Valores!$H40,-1)+1,2)+1,Valores!$C$11:$F$16,IF((WEEKNUM(EOMONTH(H40,0),2)-WEEKNUM(EOMONTH(H40,-1)+1,2)+1)=4,2,IF((WEEKNUM(EOMONTH(H40,0),2)-WEEKNUM(EOMONTH(H40,-1)+1,2)+1)=5,3,IF((WEEKNUM(EOMONTH(H40,0),2)-WEEKNUM(EOMONTH(H40,-1)+1,2)+1)=6,4,0))),0)</f>
        <v>0.15</v>
      </c>
      <c r="J40" s="0" t="n">
        <f aca="false">WEEKNUM(Valores!$H40,2)</f>
        <v>41</v>
      </c>
      <c r="K40" s="0" t="n">
        <v>2019</v>
      </c>
      <c r="L40" s="2" t="n">
        <f aca="false">WEEKDAY(Valores!$H40,2)</f>
        <v>3</v>
      </c>
      <c r="M40" s="0" t="n">
        <f aca="false">VLOOKUP(Valores!$L40,Valores!$C$2:$E$8,3,0)</f>
        <v>0.1</v>
      </c>
      <c r="N40" s="0" t="n">
        <f aca="false">Valores!$I40*Valores!$M40</f>
        <v>0.015</v>
      </c>
      <c r="O40" s="12" t="n">
        <f aca="false">Valores!$N40/SUMIFS(Valores!$N$2:$N$154,Valores!$H$2:$H$154,"&gt;="&amp;EOMONTH(Valores!$H40,-1)+1,Valores!$H$2:$H$154,"&lt;="&amp;EOMONTH(Valores!$H40,0))</f>
        <v>0.0178618209531068</v>
      </c>
      <c r="P40" s="2" t="n">
        <f aca="false">Valores!$O40*7754000</f>
        <v>138500.55967039</v>
      </c>
    </row>
    <row r="41" customFormat="false" ht="13.8" hidden="false" customHeight="false" outlineLevel="0" collapsed="false">
      <c r="H41" s="10" t="n">
        <v>43748</v>
      </c>
      <c r="I41" s="11" t="n">
        <f aca="false">VLOOKUP(WEEKNUM(Valores!$H41,2)-WEEKNUM(EOMONTH(Valores!$H41,-1)+1,2)+1,Valores!$C$11:$F$16,IF((WEEKNUM(EOMONTH(H41,0),2)-WEEKNUM(EOMONTH(H41,-1)+1,2)+1)=4,2,IF((WEEKNUM(EOMONTH(H41,0),2)-WEEKNUM(EOMONTH(H41,-1)+1,2)+1)=5,3,IF((WEEKNUM(EOMONTH(H41,0),2)-WEEKNUM(EOMONTH(H41,-1)+1,2)+1)=6,4,0))),0)</f>
        <v>0.15</v>
      </c>
      <c r="J41" s="0" t="n">
        <f aca="false">WEEKNUM(Valores!$H41,2)</f>
        <v>41</v>
      </c>
      <c r="K41" s="0" t="n">
        <v>2019</v>
      </c>
      <c r="L41" s="2" t="n">
        <f aca="false">WEEKDAY(Valores!$H41,2)</f>
        <v>4</v>
      </c>
      <c r="M41" s="0" t="n">
        <f aca="false">VLOOKUP(Valores!$L41,Valores!$C$2:$E$8,3,0)</f>
        <v>0.1</v>
      </c>
      <c r="N41" s="0" t="n">
        <f aca="false">Valores!$I41*Valores!$M41</f>
        <v>0.015</v>
      </c>
      <c r="O41" s="12" t="n">
        <f aca="false">Valores!$N41/SUMIFS(Valores!$N$2:$N$154,Valores!$H$2:$H$154,"&gt;="&amp;EOMONTH(Valores!$H41,-1)+1,Valores!$H$2:$H$154,"&lt;="&amp;EOMONTH(Valores!$H41,0))</f>
        <v>0.0178618209531068</v>
      </c>
      <c r="P41" s="2" t="n">
        <f aca="false">Valores!$O41*7754000</f>
        <v>138500.55967039</v>
      </c>
    </row>
    <row r="42" customFormat="false" ht="13.8" hidden="false" customHeight="false" outlineLevel="0" collapsed="false">
      <c r="H42" s="10" t="n">
        <v>43749</v>
      </c>
      <c r="I42" s="11" t="n">
        <f aca="false">VLOOKUP(WEEKNUM(Valores!$H42,2)-WEEKNUM(EOMONTH(Valores!$H42,-1)+1,2)+1,Valores!$C$11:$F$16,IF((WEEKNUM(EOMONTH(H42,0),2)-WEEKNUM(EOMONTH(H42,-1)+1,2)+1)=4,2,IF((WEEKNUM(EOMONTH(H42,0),2)-WEEKNUM(EOMONTH(H42,-1)+1,2)+1)=5,3,IF((WEEKNUM(EOMONTH(H42,0),2)-WEEKNUM(EOMONTH(H42,-1)+1,2)+1)=6,4,0))),0)</f>
        <v>0.15</v>
      </c>
      <c r="J42" s="0" t="n">
        <f aca="false">WEEKNUM(Valores!$H42,2)</f>
        <v>41</v>
      </c>
      <c r="K42" s="0" t="n">
        <v>2019</v>
      </c>
      <c r="L42" s="2" t="n">
        <f aca="false">WEEKDAY(Valores!$H42,2)</f>
        <v>5</v>
      </c>
      <c r="M42" s="0" t="n">
        <f aca="false">VLOOKUP(Valores!$L42,Valores!$C$2:$E$8,3,0)</f>
        <v>0.2</v>
      </c>
      <c r="N42" s="0" t="n">
        <f aca="false">Valores!$I42*Valores!$M42</f>
        <v>0.03</v>
      </c>
      <c r="O42" s="12" t="n">
        <f aca="false">Valores!$N42/SUMIFS(Valores!$N$2:$N$154,Valores!$H$2:$H$154,"&gt;="&amp;EOMONTH(Valores!$H42,-1)+1,Valores!$H$2:$H$154,"&lt;="&amp;EOMONTH(Valores!$H42,0))</f>
        <v>0.0357236419062135</v>
      </c>
      <c r="P42" s="2" t="n">
        <f aca="false">Valores!$O42*7754000</f>
        <v>277001.11934078</v>
      </c>
    </row>
    <row r="43" customFormat="false" ht="13.8" hidden="false" customHeight="false" outlineLevel="0" collapsed="false">
      <c r="H43" s="10" t="n">
        <v>43750</v>
      </c>
      <c r="I43" s="11" t="n">
        <f aca="false">VLOOKUP(WEEKNUM(Valores!$H43,2)-WEEKNUM(EOMONTH(Valores!$H43,-1)+1,2)+1,Valores!$C$11:$F$16,IF((WEEKNUM(EOMONTH(H43,0),2)-WEEKNUM(EOMONTH(H43,-1)+1,2)+1)=4,2,IF((WEEKNUM(EOMONTH(H43,0),2)-WEEKNUM(EOMONTH(H43,-1)+1,2)+1)=5,3,IF((WEEKNUM(EOMONTH(H43,0),2)-WEEKNUM(EOMONTH(H43,-1)+1,2)+1)=6,4,0))),0)</f>
        <v>0.15</v>
      </c>
      <c r="J43" s="0" t="n">
        <f aca="false">WEEKNUM(Valores!$H43,2)</f>
        <v>41</v>
      </c>
      <c r="K43" s="0" t="n">
        <v>2019</v>
      </c>
      <c r="L43" s="2" t="n">
        <f aca="false">WEEKDAY(Valores!$H43,2)</f>
        <v>6</v>
      </c>
      <c r="M43" s="0" t="n">
        <f aca="false">VLOOKUP(Valores!$L43,Valores!$C$2:$E$8,3,0)</f>
        <v>0.25</v>
      </c>
      <c r="N43" s="0" t="n">
        <f aca="false">Valores!$I43*Valores!$M43</f>
        <v>0.0375</v>
      </c>
      <c r="O43" s="12" t="n">
        <f aca="false">Valores!$N43/SUMIFS(Valores!$N$2:$N$154,Valores!$H$2:$H$154,"&gt;="&amp;EOMONTH(Valores!$H43,-1)+1,Valores!$H$2:$H$154,"&lt;="&amp;EOMONTH(Valores!$H43,0))</f>
        <v>0.0446545523827669</v>
      </c>
      <c r="P43" s="2" t="n">
        <f aca="false">Valores!$O43*7754000</f>
        <v>346251.399175975</v>
      </c>
    </row>
    <row r="44" customFormat="false" ht="13.8" hidden="false" customHeight="false" outlineLevel="0" collapsed="false">
      <c r="H44" s="10" t="n">
        <v>43751</v>
      </c>
      <c r="I44" s="11" t="n">
        <f aca="false">VLOOKUP(WEEKNUM(Valores!$H44,2)-WEEKNUM(EOMONTH(Valores!$H44,-1)+1,2)+1,Valores!$C$11:$F$16,IF((WEEKNUM(EOMONTH(H44,0),2)-WEEKNUM(EOMONTH(H44,-1)+1,2)+1)=4,2,IF((WEEKNUM(EOMONTH(H44,0),2)-WEEKNUM(EOMONTH(H44,-1)+1,2)+1)=5,3,IF((WEEKNUM(EOMONTH(H44,0),2)-WEEKNUM(EOMONTH(H44,-1)+1,2)+1)=6,4,0))),0)</f>
        <v>0.15</v>
      </c>
      <c r="J44" s="0" t="n">
        <f aca="false">WEEKNUM(Valores!$H44,2)</f>
        <v>41</v>
      </c>
      <c r="K44" s="0" t="n">
        <v>2019</v>
      </c>
      <c r="L44" s="2" t="n">
        <f aca="false">WEEKDAY(Valores!$H44,2)</f>
        <v>7</v>
      </c>
      <c r="M44" s="0" t="n">
        <f aca="false">VLOOKUP(Valores!$L44,Valores!$C$2:$E$8,3,0)</f>
        <v>0.15</v>
      </c>
      <c r="N44" s="0" t="n">
        <f aca="false">Valores!$I44*Valores!$M44</f>
        <v>0.0225</v>
      </c>
      <c r="O44" s="12" t="n">
        <f aca="false">Valores!$N44/SUMIFS(Valores!$N$2:$N$154,Valores!$H$2:$H$154,"&gt;="&amp;EOMONTH(Valores!$H44,-1)+1,Valores!$H$2:$H$154,"&lt;="&amp;EOMONTH(Valores!$H44,0))</f>
        <v>0.0267927314296601</v>
      </c>
      <c r="P44" s="2" t="n">
        <f aca="false">Valores!$O44*7754000</f>
        <v>207750.839505585</v>
      </c>
    </row>
    <row r="45" customFormat="false" ht="13.8" hidden="false" customHeight="false" outlineLevel="0" collapsed="false">
      <c r="H45" s="10" t="n">
        <v>43752</v>
      </c>
      <c r="I45" s="11" t="n">
        <f aca="false">VLOOKUP(WEEKNUM(Valores!$H45,2)-WEEKNUM(EOMONTH(Valores!$H45,-1)+1,2)+1,Valores!$C$11:$F$16,IF((WEEKNUM(EOMONTH(H45,0),2)-WEEKNUM(EOMONTH(H45,-1)+1,2)+1)=4,2,IF((WEEKNUM(EOMONTH(H45,0),2)-WEEKNUM(EOMONTH(H45,-1)+1,2)+1)=5,3,IF((WEEKNUM(EOMONTH(H45,0),2)-WEEKNUM(EOMONTH(H45,-1)+1,2)+1)=6,4,0))),0)</f>
        <v>0.15</v>
      </c>
      <c r="J45" s="0" t="n">
        <f aca="false">WEEKNUM(Valores!$H45,2)</f>
        <v>42</v>
      </c>
      <c r="K45" s="0" t="n">
        <v>2019</v>
      </c>
      <c r="L45" s="2" t="n">
        <f aca="false">WEEKDAY(Valores!$H45,2)</f>
        <v>1</v>
      </c>
      <c r="M45" s="0" t="n">
        <f aca="false">VLOOKUP(Valores!$L45,Valores!$C$2:$E$8,3,0)</f>
        <v>0.1</v>
      </c>
      <c r="N45" s="0" t="n">
        <f aca="false">Valores!$I45*Valores!$M45</f>
        <v>0.015</v>
      </c>
      <c r="O45" s="12" t="n">
        <f aca="false">Valores!$N45/SUMIFS(Valores!$N$2:$N$154,Valores!$H$2:$H$154,"&gt;="&amp;EOMONTH(Valores!$H45,-1)+1,Valores!$H$2:$H$154,"&lt;="&amp;EOMONTH(Valores!$H45,0))</f>
        <v>0.0178618209531068</v>
      </c>
      <c r="P45" s="2" t="n">
        <f aca="false">Valores!$O45*7754000</f>
        <v>138500.55967039</v>
      </c>
    </row>
    <row r="46" customFormat="false" ht="13.8" hidden="false" customHeight="false" outlineLevel="0" collapsed="false">
      <c r="H46" s="10" t="n">
        <v>43753</v>
      </c>
      <c r="I46" s="11" t="n">
        <f aca="false">VLOOKUP(WEEKNUM(Valores!$H46,2)-WEEKNUM(EOMONTH(Valores!$H46,-1)+1,2)+1,Valores!$C$11:$F$16,IF((WEEKNUM(EOMONTH(H46,0),2)-WEEKNUM(EOMONTH(H46,-1)+1,2)+1)=4,2,IF((WEEKNUM(EOMONTH(H46,0),2)-WEEKNUM(EOMONTH(H46,-1)+1,2)+1)=5,3,IF((WEEKNUM(EOMONTH(H46,0),2)-WEEKNUM(EOMONTH(H46,-1)+1,2)+1)=6,4,0))),0)</f>
        <v>0.15</v>
      </c>
      <c r="J46" s="0" t="n">
        <f aca="false">WEEKNUM(Valores!$H46,2)</f>
        <v>42</v>
      </c>
      <c r="K46" s="0" t="n">
        <v>2019</v>
      </c>
      <c r="L46" s="2" t="n">
        <f aca="false">WEEKDAY(Valores!$H46,2)</f>
        <v>2</v>
      </c>
      <c r="M46" s="0" t="n">
        <v>0.13</v>
      </c>
      <c r="N46" s="0" t="n">
        <f aca="false">Valores!$I46*Valores!$M46</f>
        <v>0.0195</v>
      </c>
      <c r="O46" s="12" t="n">
        <f aca="false">Valores!$N46/SUMIFS(Valores!$N$2:$N$154,Valores!$H$2:$H$154,"&gt;="&amp;EOMONTH(Valores!$H46,-1)+1,Valores!$H$2:$H$154,"&lt;="&amp;EOMONTH(Valores!$H46,0))</f>
        <v>0.0232203672390388</v>
      </c>
      <c r="P46" s="2" t="n">
        <f aca="false">Valores!$O46*7754000</f>
        <v>180050.727571507</v>
      </c>
    </row>
    <row r="47" customFormat="false" ht="13.8" hidden="false" customHeight="false" outlineLevel="0" collapsed="false">
      <c r="H47" s="10" t="n">
        <v>43754</v>
      </c>
      <c r="I47" s="11" t="n">
        <f aca="false">VLOOKUP(WEEKNUM(Valores!$H47,2)-WEEKNUM(EOMONTH(Valores!$H47,-1)+1,2)+1,Valores!$C$11:$F$16,IF((WEEKNUM(EOMONTH(H47,0),2)-WEEKNUM(EOMONTH(H47,-1)+1,2)+1)=4,2,IF((WEEKNUM(EOMONTH(H47,0),2)-WEEKNUM(EOMONTH(H47,-1)+1,2)+1)=5,3,IF((WEEKNUM(EOMONTH(H47,0),2)-WEEKNUM(EOMONTH(H47,-1)+1,2)+1)=6,4,0))),0)</f>
        <v>0.15</v>
      </c>
      <c r="J47" s="0" t="n">
        <f aca="false">WEEKNUM(Valores!$H47,2)</f>
        <v>42</v>
      </c>
      <c r="K47" s="0" t="n">
        <v>2019</v>
      </c>
      <c r="L47" s="2" t="n">
        <f aca="false">WEEKDAY(Valores!$H47,2)</f>
        <v>3</v>
      </c>
      <c r="M47" s="0" t="n">
        <v>0.13</v>
      </c>
      <c r="N47" s="0" t="n">
        <f aca="false">Valores!$I47*Valores!$M47</f>
        <v>0.0195</v>
      </c>
      <c r="O47" s="12" t="n">
        <f aca="false">Valores!$N47/SUMIFS(Valores!$N$2:$N$154,Valores!$H$2:$H$154,"&gt;="&amp;EOMONTH(Valores!$H47,-1)+1,Valores!$H$2:$H$154,"&lt;="&amp;EOMONTH(Valores!$H47,0))</f>
        <v>0.0232203672390388</v>
      </c>
      <c r="P47" s="2" t="n">
        <f aca="false">Valores!$O47*7754000</f>
        <v>180050.727571507</v>
      </c>
    </row>
    <row r="48" customFormat="false" ht="13.8" hidden="false" customHeight="false" outlineLevel="0" collapsed="false">
      <c r="G48" s="1"/>
      <c r="H48" s="10" t="n">
        <v>43755</v>
      </c>
      <c r="I48" s="11" t="n">
        <f aca="false">VLOOKUP(WEEKNUM(Valores!$H48,2)-WEEKNUM(EOMONTH(Valores!$H48,-1)+1,2)+1,Valores!$C$11:$F$16,IF((WEEKNUM(EOMONTH(H48,0),2)-WEEKNUM(EOMONTH(H48,-1)+1,2)+1)=4,2,IF((WEEKNUM(EOMONTH(H48,0),2)-WEEKNUM(EOMONTH(H48,-1)+1,2)+1)=5,3,IF((WEEKNUM(EOMONTH(H48,0),2)-WEEKNUM(EOMONTH(H48,-1)+1,2)+1)=6,4,0))),0)</f>
        <v>0.15</v>
      </c>
      <c r="J48" s="0" t="n">
        <f aca="false">WEEKNUM(Valores!$H48,2)</f>
        <v>42</v>
      </c>
      <c r="K48" s="0" t="n">
        <v>2019</v>
      </c>
      <c r="L48" s="2" t="n">
        <f aca="false">WEEKDAY(Valores!$H48,2)</f>
        <v>4</v>
      </c>
      <c r="M48" s="0" t="n">
        <v>0.13</v>
      </c>
      <c r="N48" s="0" t="n">
        <f aca="false">Valores!$I48*Valores!$M48</f>
        <v>0.0195</v>
      </c>
      <c r="O48" s="12" t="n">
        <f aca="false">Valores!$N48/SUMIFS(Valores!$N$2:$N$154,Valores!$H$2:$H$154,"&gt;="&amp;EOMONTH(Valores!$H48,-1)+1,Valores!$H$2:$H$154,"&lt;="&amp;EOMONTH(Valores!$H48,0))</f>
        <v>0.0232203672390388</v>
      </c>
      <c r="P48" s="2" t="n">
        <f aca="false">Valores!$O48*7754000</f>
        <v>180050.727571507</v>
      </c>
    </row>
    <row r="49" customFormat="false" ht="13.8" hidden="false" customHeight="false" outlineLevel="0" collapsed="false">
      <c r="D49" s="1"/>
      <c r="E49" s="1"/>
      <c r="F49" s="1"/>
      <c r="G49" s="1"/>
      <c r="H49" s="10" t="n">
        <v>43756</v>
      </c>
      <c r="I49" s="11" t="n">
        <f aca="false">VLOOKUP(WEEKNUM(Valores!$H49,2)-WEEKNUM(EOMONTH(Valores!$H49,-1)+1,2)+1,Valores!$C$11:$F$16,IF((WEEKNUM(EOMONTH(H49,0),2)-WEEKNUM(EOMONTH(H49,-1)+1,2)+1)=4,2,IF((WEEKNUM(EOMONTH(H49,0),2)-WEEKNUM(EOMONTH(H49,-1)+1,2)+1)=5,3,IF((WEEKNUM(EOMONTH(H49,0),2)-WEEKNUM(EOMONTH(H49,-1)+1,2)+1)=6,4,0))),0)</f>
        <v>0.15</v>
      </c>
      <c r="J49" s="0" t="n">
        <f aca="false">WEEKNUM(Valores!$H49,2)</f>
        <v>42</v>
      </c>
      <c r="K49" s="0" t="n">
        <v>2019</v>
      </c>
      <c r="L49" s="2" t="n">
        <f aca="false">WEEKDAY(Valores!$H49,2)</f>
        <v>5</v>
      </c>
      <c r="M49" s="0" t="n">
        <v>0.23</v>
      </c>
      <c r="N49" s="0" t="n">
        <f aca="false">Valores!$I49*Valores!$M49</f>
        <v>0.0345</v>
      </c>
      <c r="O49" s="12" t="n">
        <f aca="false">Valores!$N49/SUMIFS(Valores!$N$2:$N$154,Valores!$H$2:$H$154,"&gt;="&amp;EOMONTH(Valores!$H49,-1)+1,Valores!$H$2:$H$154,"&lt;="&amp;EOMONTH(Valores!$H49,0))</f>
        <v>0.0410821881921456</v>
      </c>
      <c r="P49" s="2" t="n">
        <f aca="false">Valores!$O49*7754000</f>
        <v>318551.287241897</v>
      </c>
    </row>
    <row r="50" customFormat="false" ht="13.8" hidden="false" customHeight="false" outlineLevel="0" collapsed="false">
      <c r="D50" s="1"/>
      <c r="E50" s="1"/>
      <c r="F50" s="1"/>
      <c r="G50" s="1"/>
      <c r="H50" s="10" t="n">
        <v>43757</v>
      </c>
      <c r="I50" s="11" t="n">
        <f aca="false">VLOOKUP(WEEKNUM(Valores!$H50,2)-WEEKNUM(EOMONTH(Valores!$H50,-1)+1,2)+1,Valores!$C$11:$F$16,IF((WEEKNUM(EOMONTH(H50,0),2)-WEEKNUM(EOMONTH(H50,-1)+1,2)+1)=4,2,IF((WEEKNUM(EOMONTH(H50,0),2)-WEEKNUM(EOMONTH(H50,-1)+1,2)+1)=5,3,IF((WEEKNUM(EOMONTH(H50,0),2)-WEEKNUM(EOMONTH(H50,-1)+1,2)+1)=6,4,0))),0)</f>
        <v>0.15</v>
      </c>
      <c r="J50" s="0" t="n">
        <f aca="false">WEEKNUM(Valores!$H50,2)</f>
        <v>42</v>
      </c>
      <c r="K50" s="0" t="n">
        <v>2019</v>
      </c>
      <c r="L50" s="2" t="n">
        <f aca="false">WEEKDAY(Valores!$H50,2)</f>
        <v>6</v>
      </c>
      <c r="M50" s="0" t="n">
        <v>0.28</v>
      </c>
      <c r="N50" s="0" t="n">
        <f aca="false">Valores!$I50*Valores!$M50</f>
        <v>0.042</v>
      </c>
      <c r="O50" s="12" t="n">
        <f aca="false">Valores!$N50/SUMIFS(Valores!$N$2:$N$154,Valores!$H$2:$H$154,"&gt;="&amp;EOMONTH(Valores!$H50,-1)+1,Valores!$H$2:$H$154,"&lt;="&amp;EOMONTH(Valores!$H50,0))</f>
        <v>0.0500130986686989</v>
      </c>
      <c r="P50" s="2" t="n">
        <f aca="false">Valores!$O50*7754000</f>
        <v>387801.567077092</v>
      </c>
    </row>
    <row r="51" customFormat="false" ht="13.8" hidden="false" customHeight="false" outlineLevel="0" collapsed="false">
      <c r="D51" s="1"/>
      <c r="E51" s="1"/>
      <c r="F51" s="1"/>
      <c r="G51" s="1"/>
      <c r="H51" s="10" t="n">
        <v>43758</v>
      </c>
      <c r="I51" s="11" t="n">
        <f aca="false">VLOOKUP(WEEKNUM(Valores!$H51,2)-WEEKNUM(EOMONTH(Valores!$H51,-1)+1,2)+1,Valores!$C$11:$F$16,IF((WEEKNUM(EOMONTH(H51,0),2)-WEEKNUM(EOMONTH(H51,-1)+1,2)+1)=4,2,IF((WEEKNUM(EOMONTH(H51,0),2)-WEEKNUM(EOMONTH(H51,-1)+1,2)+1)=5,3,IF((WEEKNUM(EOMONTH(H51,0),2)-WEEKNUM(EOMONTH(H51,-1)+1,2)+1)=6,4,0))),0)</f>
        <v>0.15</v>
      </c>
      <c r="J51" s="0" t="n">
        <f aca="false">WEEKNUM(Valores!$H51,2)</f>
        <v>42</v>
      </c>
      <c r="K51" s="0" t="n">
        <v>2019</v>
      </c>
      <c r="L51" s="2" t="n">
        <f aca="false">WEEKDAY(Valores!$H51,2)</f>
        <v>7</v>
      </c>
      <c r="M51" s="0" t="n">
        <f aca="false">VLOOKUP(Valores!$L51,Valores!$C$2:$E$8,3,0)</f>
        <v>0.15</v>
      </c>
      <c r="N51" s="0" t="n">
        <f aca="false">Valores!$I51*Valores!$M51</f>
        <v>0.0225</v>
      </c>
      <c r="O51" s="12" t="n">
        <f aca="false">Valores!$N51/SUMIFS(Valores!$N$2:$N$154,Valores!$H$2:$H$154,"&gt;="&amp;EOMONTH(Valores!$H51,-1)+1,Valores!$H$2:$H$154,"&lt;="&amp;EOMONTH(Valores!$H51,0))</f>
        <v>0.0267927314296601</v>
      </c>
      <c r="P51" s="2" t="n">
        <f aca="false">Valores!$O51*7754000</f>
        <v>207750.839505585</v>
      </c>
    </row>
    <row r="52" customFormat="false" ht="13.8" hidden="false" customHeight="false" outlineLevel="0" collapsed="false">
      <c r="G52" s="1"/>
      <c r="H52" s="10" t="n">
        <v>43759</v>
      </c>
      <c r="I52" s="11" t="n">
        <f aca="false">VLOOKUP(WEEKNUM(Valores!$H52,2)-WEEKNUM(EOMONTH(Valores!$H52,-1)+1,2)+1,Valores!$C$11:$F$16,IF((WEEKNUM(EOMONTH(H52,0),2)-WEEKNUM(EOMONTH(H52,-1)+1,2)+1)=4,2,IF((WEEKNUM(EOMONTH(H52,0),2)-WEEKNUM(EOMONTH(H52,-1)+1,2)+1)=5,3,IF((WEEKNUM(EOMONTH(H52,0),2)-WEEKNUM(EOMONTH(H52,-1)+1,2)+1)=6,4,0))),0)</f>
        <v>0.2</v>
      </c>
      <c r="J52" s="0" t="n">
        <f aca="false">WEEKNUM(Valores!$H52,2)</f>
        <v>43</v>
      </c>
      <c r="K52" s="0" t="n">
        <v>2019</v>
      </c>
      <c r="L52" s="2" t="n">
        <f aca="false">WEEKDAY(Valores!$H52,2)</f>
        <v>1</v>
      </c>
      <c r="M52" s="0" t="n">
        <f aca="false">VLOOKUP(Valores!$L52,Valores!$C$2:$E$8,3,0)</f>
        <v>0.1</v>
      </c>
      <c r="N52" s="0" t="n">
        <f aca="false">Valores!$I52*Valores!$M52</f>
        <v>0.02</v>
      </c>
      <c r="O52" s="12" t="n">
        <f aca="false">Valores!$N52/SUMIFS(Valores!$N$2:$N$154,Valores!$H$2:$H$154,"&gt;="&amp;EOMONTH(Valores!$H52,-1)+1,Valores!$H$2:$H$154,"&lt;="&amp;EOMONTH(Valores!$H52,0))</f>
        <v>0.023815761270809</v>
      </c>
      <c r="P52" s="2" t="n">
        <f aca="false">Valores!$O52*7754000</f>
        <v>184667.412893853</v>
      </c>
    </row>
    <row r="53" customFormat="false" ht="13.8" hidden="false" customHeight="false" outlineLevel="0" collapsed="false">
      <c r="H53" s="10" t="n">
        <v>43760</v>
      </c>
      <c r="I53" s="11" t="n">
        <f aca="false">VLOOKUP(WEEKNUM(Valores!$H53,2)-WEEKNUM(EOMONTH(Valores!$H53,-1)+1,2)+1,Valores!$C$11:$F$16,IF((WEEKNUM(EOMONTH(H53,0),2)-WEEKNUM(EOMONTH(H53,-1)+1,2)+1)=4,2,IF((WEEKNUM(EOMONTH(H53,0),2)-WEEKNUM(EOMONTH(H53,-1)+1,2)+1)=5,3,IF((WEEKNUM(EOMONTH(H53,0),2)-WEEKNUM(EOMONTH(H53,-1)+1,2)+1)=6,4,0))),0)</f>
        <v>0.2</v>
      </c>
      <c r="J53" s="0" t="n">
        <f aca="false">WEEKNUM(Valores!$H53,2)</f>
        <v>43</v>
      </c>
      <c r="K53" s="0" t="n">
        <v>2019</v>
      </c>
      <c r="L53" s="2" t="n">
        <f aca="false">WEEKDAY(Valores!$H53,2)</f>
        <v>2</v>
      </c>
      <c r="M53" s="0" t="n">
        <f aca="false">VLOOKUP(Valores!$L53,Valores!$C$2:$E$8,3,0)</f>
        <v>0.1</v>
      </c>
      <c r="N53" s="0" t="n">
        <f aca="false">Valores!$I53*Valores!$M53</f>
        <v>0.02</v>
      </c>
      <c r="O53" s="12" t="n">
        <f aca="false">Valores!$N53/SUMIFS(Valores!$N$2:$N$154,Valores!$H$2:$H$154,"&gt;="&amp;EOMONTH(Valores!$H53,-1)+1,Valores!$H$2:$H$154,"&lt;="&amp;EOMONTH(Valores!$H53,0))</f>
        <v>0.023815761270809</v>
      </c>
      <c r="P53" s="2" t="n">
        <f aca="false">Valores!$O53*7754000</f>
        <v>184667.412893853</v>
      </c>
    </row>
    <row r="54" customFormat="false" ht="13.8" hidden="false" customHeight="false" outlineLevel="0" collapsed="false">
      <c r="H54" s="10" t="n">
        <v>43761</v>
      </c>
      <c r="I54" s="11" t="n">
        <f aca="false">VLOOKUP(WEEKNUM(Valores!$H54,2)-WEEKNUM(EOMONTH(Valores!$H54,-1)+1,2)+1,Valores!$C$11:$F$16,IF((WEEKNUM(EOMONTH(H54,0),2)-WEEKNUM(EOMONTH(H54,-1)+1,2)+1)=4,2,IF((WEEKNUM(EOMONTH(H54,0),2)-WEEKNUM(EOMONTH(H54,-1)+1,2)+1)=5,3,IF((WEEKNUM(EOMONTH(H54,0),2)-WEEKNUM(EOMONTH(H54,-1)+1,2)+1)=6,4,0))),0)</f>
        <v>0.2</v>
      </c>
      <c r="J54" s="0" t="n">
        <f aca="false">WEEKNUM(Valores!$H54,2)</f>
        <v>43</v>
      </c>
      <c r="K54" s="0" t="n">
        <v>2019</v>
      </c>
      <c r="L54" s="2" t="n">
        <f aca="false">WEEKDAY(Valores!$H54,2)</f>
        <v>3</v>
      </c>
      <c r="M54" s="0" t="n">
        <f aca="false">VLOOKUP(Valores!$L54,Valores!$C$2:$E$8,3,0)</f>
        <v>0.1</v>
      </c>
      <c r="N54" s="0" t="n">
        <f aca="false">Valores!$I54*Valores!$M54</f>
        <v>0.02</v>
      </c>
      <c r="O54" s="12" t="n">
        <f aca="false">Valores!$N54/SUMIFS(Valores!$N$2:$N$154,Valores!$H$2:$H$154,"&gt;="&amp;EOMONTH(Valores!$H54,-1)+1,Valores!$H$2:$H$154,"&lt;="&amp;EOMONTH(Valores!$H54,0))</f>
        <v>0.023815761270809</v>
      </c>
      <c r="P54" s="2" t="n">
        <f aca="false">Valores!$O54*7754000</f>
        <v>184667.412893853</v>
      </c>
    </row>
    <row r="55" customFormat="false" ht="13.8" hidden="false" customHeight="false" outlineLevel="0" collapsed="false">
      <c r="H55" s="10" t="n">
        <v>43762</v>
      </c>
      <c r="I55" s="11" t="n">
        <f aca="false">VLOOKUP(WEEKNUM(Valores!$H55,2)-WEEKNUM(EOMONTH(Valores!$H55,-1)+1,2)+1,Valores!$C$11:$F$16,IF((WEEKNUM(EOMONTH(H55,0),2)-WEEKNUM(EOMONTH(H55,-1)+1,2)+1)=4,2,IF((WEEKNUM(EOMONTH(H55,0),2)-WEEKNUM(EOMONTH(H55,-1)+1,2)+1)=5,3,IF((WEEKNUM(EOMONTH(H55,0),2)-WEEKNUM(EOMONTH(H55,-1)+1,2)+1)=6,4,0))),0)</f>
        <v>0.2</v>
      </c>
      <c r="J55" s="0" t="n">
        <f aca="false">WEEKNUM(Valores!$H55,2)</f>
        <v>43</v>
      </c>
      <c r="K55" s="0" t="n">
        <v>2019</v>
      </c>
      <c r="L55" s="2" t="n">
        <f aca="false">WEEKDAY(Valores!$H55,2)</f>
        <v>4</v>
      </c>
      <c r="M55" s="0" t="n">
        <f aca="false">VLOOKUP(Valores!$L55,Valores!$C$2:$E$8,3,0)</f>
        <v>0.1</v>
      </c>
      <c r="N55" s="0" t="n">
        <f aca="false">Valores!$I55*Valores!$M55</f>
        <v>0.02</v>
      </c>
      <c r="O55" s="12" t="n">
        <f aca="false">Valores!$N55/SUMIFS(Valores!$N$2:$N$154,Valores!$H$2:$H$154,"&gt;="&amp;EOMONTH(Valores!$H55,-1)+1,Valores!$H$2:$H$154,"&lt;="&amp;EOMONTH(Valores!$H55,0))</f>
        <v>0.023815761270809</v>
      </c>
      <c r="P55" s="2" t="n">
        <f aca="false">Valores!$O55*7754000</f>
        <v>184667.412893853</v>
      </c>
    </row>
    <row r="56" customFormat="false" ht="13.8" hidden="false" customHeight="false" outlineLevel="0" collapsed="false">
      <c r="H56" s="10" t="n">
        <v>43763</v>
      </c>
      <c r="I56" s="11" t="n">
        <f aca="false">VLOOKUP(WEEKNUM(Valores!$H56,2)-WEEKNUM(EOMONTH(Valores!$H56,-1)+1,2)+1,Valores!$C$11:$F$16,IF((WEEKNUM(EOMONTH(H56,0),2)-WEEKNUM(EOMONTH(H56,-1)+1,2)+1)=4,2,IF((WEEKNUM(EOMONTH(H56,0),2)-WEEKNUM(EOMONTH(H56,-1)+1,2)+1)=5,3,IF((WEEKNUM(EOMONTH(H56,0),2)-WEEKNUM(EOMONTH(H56,-1)+1,2)+1)=6,4,0))),0)</f>
        <v>0.2</v>
      </c>
      <c r="J56" s="0" t="n">
        <f aca="false">WEEKNUM(Valores!$H56,2)</f>
        <v>43</v>
      </c>
      <c r="K56" s="0" t="n">
        <v>2019</v>
      </c>
      <c r="L56" s="2" t="n">
        <f aca="false">WEEKDAY(Valores!$H56,2)</f>
        <v>5</v>
      </c>
      <c r="M56" s="0" t="n">
        <f aca="false">VLOOKUP(Valores!$L56,Valores!$C$2:$E$8,3,0)</f>
        <v>0.2</v>
      </c>
      <c r="N56" s="0" t="n">
        <f aca="false">Valores!$I56*Valores!$M56</f>
        <v>0.04</v>
      </c>
      <c r="O56" s="12" t="n">
        <f aca="false">Valores!$N56/SUMIFS(Valores!$N$2:$N$154,Valores!$H$2:$H$154,"&gt;="&amp;EOMONTH(Valores!$H56,-1)+1,Valores!$H$2:$H$154,"&lt;="&amp;EOMONTH(Valores!$H56,0))</f>
        <v>0.047631522541618</v>
      </c>
      <c r="P56" s="2" t="n">
        <f aca="false">Valores!$O56*7754000</f>
        <v>369334.825787706</v>
      </c>
    </row>
    <row r="57" customFormat="false" ht="13.8" hidden="false" customHeight="false" outlineLevel="0" collapsed="false">
      <c r="H57" s="10" t="n">
        <v>43764</v>
      </c>
      <c r="I57" s="11" t="n">
        <f aca="false">VLOOKUP(WEEKNUM(Valores!$H57,2)-WEEKNUM(EOMONTH(Valores!$H57,-1)+1,2)+1,Valores!$C$11:$F$16,IF((WEEKNUM(EOMONTH(H57,0),2)-WEEKNUM(EOMONTH(H57,-1)+1,2)+1)=4,2,IF((WEEKNUM(EOMONTH(H57,0),2)-WEEKNUM(EOMONTH(H57,-1)+1,2)+1)=5,3,IF((WEEKNUM(EOMONTH(H57,0),2)-WEEKNUM(EOMONTH(H57,-1)+1,2)+1)=6,4,0))),0)</f>
        <v>0.2</v>
      </c>
      <c r="J57" s="0" t="n">
        <f aca="false">WEEKNUM(Valores!$H57,2)</f>
        <v>43</v>
      </c>
      <c r="K57" s="0" t="n">
        <v>2019</v>
      </c>
      <c r="L57" s="2" t="n">
        <f aca="false">WEEKDAY(Valores!$H57,2)</f>
        <v>6</v>
      </c>
      <c r="M57" s="0" t="n">
        <f aca="false">VLOOKUP(Valores!$L57,Valores!$C$2:$E$8,3,0)</f>
        <v>0.25</v>
      </c>
      <c r="N57" s="0" t="n">
        <f aca="false">Valores!$I57*Valores!$M57</f>
        <v>0.05</v>
      </c>
      <c r="O57" s="12" t="n">
        <f aca="false">Valores!$N57/SUMIFS(Valores!$N$2:$N$154,Valores!$H$2:$H$154,"&gt;="&amp;EOMONTH(Valores!$H57,-1)+1,Valores!$H$2:$H$154,"&lt;="&amp;EOMONTH(Valores!$H57,0))</f>
        <v>0.0595394031770225</v>
      </c>
      <c r="P57" s="2" t="n">
        <f aca="false">Valores!$O57*7754000</f>
        <v>461668.532234633</v>
      </c>
    </row>
    <row r="58" customFormat="false" ht="13.8" hidden="false" customHeight="false" outlineLevel="0" collapsed="false">
      <c r="H58" s="10" t="n">
        <v>43765</v>
      </c>
      <c r="I58" s="11" t="n">
        <f aca="false">VLOOKUP(WEEKNUM(Valores!$H58,2)-WEEKNUM(EOMONTH(Valores!$H58,-1)+1,2)+1,Valores!$C$11:$F$16,IF((WEEKNUM(EOMONTH(H58,0),2)-WEEKNUM(EOMONTH(H58,-1)+1,2)+1)=4,2,IF((WEEKNUM(EOMONTH(H58,0),2)-WEEKNUM(EOMONTH(H58,-1)+1,2)+1)=5,3,IF((WEEKNUM(EOMONTH(H58,0),2)-WEEKNUM(EOMONTH(H58,-1)+1,2)+1)=6,4,0))),0)</f>
        <v>0.2</v>
      </c>
      <c r="J58" s="0" t="n">
        <f aca="false">WEEKNUM(Valores!$H58,2)</f>
        <v>43</v>
      </c>
      <c r="K58" s="0" t="n">
        <v>2019</v>
      </c>
      <c r="L58" s="2" t="n">
        <f aca="false">WEEKDAY(Valores!$H58,2)</f>
        <v>7</v>
      </c>
      <c r="M58" s="0" t="n">
        <v>0.12</v>
      </c>
      <c r="N58" s="0" t="n">
        <f aca="false">Valores!$I58*Valores!$M58</f>
        <v>0.024</v>
      </c>
      <c r="O58" s="12" t="n">
        <f aca="false">Valores!$N58/SUMIFS(Valores!$N$2:$N$154,Valores!$H$2:$H$154,"&gt;="&amp;EOMONTH(Valores!$H58,-1)+1,Valores!$H$2:$H$154,"&lt;="&amp;EOMONTH(Valores!$H58,0))</f>
        <v>0.0285789135249708</v>
      </c>
      <c r="P58" s="2" t="n">
        <f aca="false">Valores!$O58*7754000</f>
        <v>221600.895472624</v>
      </c>
    </row>
    <row r="59" customFormat="false" ht="13.8" hidden="false" customHeight="false" outlineLevel="0" collapsed="false">
      <c r="H59" s="10" t="n">
        <v>43766</v>
      </c>
      <c r="I59" s="11" t="n">
        <f aca="false">VLOOKUP(WEEKNUM(Valores!$H59,2)-WEEKNUM(EOMONTH(Valores!$H59,-1)+1,2)+1,Valores!$C$11:$F$16,IF((WEEKNUM(EOMONTH(H59,0),2)-WEEKNUM(EOMONTH(H59,-1)+1,2)+1)=4,2,IF((WEEKNUM(EOMONTH(H59,0),2)-WEEKNUM(EOMONTH(H59,-1)+1,2)+1)=5,3,IF((WEEKNUM(EOMONTH(H59,0),2)-WEEKNUM(EOMONTH(H59,-1)+1,2)+1)=6,4,0))),0)</f>
        <v>0.22</v>
      </c>
      <c r="J59" s="0" t="n">
        <f aca="false">WEEKNUM(Valores!$H59,2)</f>
        <v>44</v>
      </c>
      <c r="K59" s="0" t="n">
        <v>2019</v>
      </c>
      <c r="L59" s="2" t="n">
        <f aca="false">WEEKDAY(Valores!$H59,2)</f>
        <v>1</v>
      </c>
      <c r="M59" s="0" t="n">
        <v>0.08</v>
      </c>
      <c r="N59" s="0" t="n">
        <f aca="false">Valores!$I59*Valores!$M59</f>
        <v>0.0176</v>
      </c>
      <c r="O59" s="12" t="n">
        <f aca="false">Valores!$N59/SUMIFS(Valores!$N$2:$N$154,Valores!$H$2:$H$154,"&gt;="&amp;EOMONTH(Valores!$H59,-1)+1,Valores!$H$2:$H$154,"&lt;="&amp;EOMONTH(Valores!$H59,0))</f>
        <v>0.0209578699183119</v>
      </c>
      <c r="P59" s="2" t="n">
        <f aca="false">Valores!$O59*7754000</f>
        <v>162507.323346591</v>
      </c>
    </row>
    <row r="60" customFormat="false" ht="13.8" hidden="false" customHeight="false" outlineLevel="0" collapsed="false">
      <c r="H60" s="10" t="n">
        <v>43767</v>
      </c>
      <c r="I60" s="11" t="n">
        <f aca="false">VLOOKUP(WEEKNUM(Valores!$H60,2)-WEEKNUM(EOMONTH(Valores!$H60,-1)+1,2)+1,Valores!$C$11:$F$16,IF((WEEKNUM(EOMONTH(H60,0),2)-WEEKNUM(EOMONTH(H60,-1)+1,2)+1)=4,2,IF((WEEKNUM(EOMONTH(H60,0),2)-WEEKNUM(EOMONTH(H60,-1)+1,2)+1)=5,3,IF((WEEKNUM(EOMONTH(H60,0),2)-WEEKNUM(EOMONTH(H60,-1)+1,2)+1)=6,4,0))),0)</f>
        <v>0.22</v>
      </c>
      <c r="J60" s="0" t="n">
        <f aca="false">WEEKNUM(Valores!$H60,2)</f>
        <v>44</v>
      </c>
      <c r="K60" s="0" t="n">
        <v>2019</v>
      </c>
      <c r="L60" s="2" t="n">
        <f aca="false">WEEKDAY(Valores!$H60,2)</f>
        <v>2</v>
      </c>
      <c r="M60" s="0" t="n">
        <v>0.08</v>
      </c>
      <c r="N60" s="0" t="n">
        <f aca="false">Valores!$I60*Valores!$M60</f>
        <v>0.0176</v>
      </c>
      <c r="O60" s="12" t="n">
        <f aca="false">Valores!$N60/SUMIFS(Valores!$N$2:$N$154,Valores!$H$2:$H$154,"&gt;="&amp;EOMONTH(Valores!$H60,-1)+1,Valores!$H$2:$H$154,"&lt;="&amp;EOMONTH(Valores!$H60,0))</f>
        <v>0.0209578699183119</v>
      </c>
      <c r="P60" s="2" t="n">
        <f aca="false">Valores!$O60*7754000</f>
        <v>162507.323346591</v>
      </c>
    </row>
    <row r="61" customFormat="false" ht="13.8" hidden="false" customHeight="false" outlineLevel="0" collapsed="false">
      <c r="H61" s="10" t="n">
        <v>43768</v>
      </c>
      <c r="I61" s="11" t="n">
        <f aca="false">VLOOKUP(WEEKNUM(Valores!$H61,2)-WEEKNUM(EOMONTH(Valores!$H61,-1)+1,2)+1,Valores!$C$11:$F$16,IF((WEEKNUM(EOMONTH(H61,0),2)-WEEKNUM(EOMONTH(H61,-1)+1,2)+1)=4,2,IF((WEEKNUM(EOMONTH(H61,0),2)-WEEKNUM(EOMONTH(H61,-1)+1,2)+1)=5,3,IF((WEEKNUM(EOMONTH(H61,0),2)-WEEKNUM(EOMONTH(H61,-1)+1,2)+1)=6,4,0))),0)</f>
        <v>0.22</v>
      </c>
      <c r="J61" s="0" t="n">
        <f aca="false">WEEKNUM(Valores!$H61,2)</f>
        <v>44</v>
      </c>
      <c r="K61" s="0" t="n">
        <v>2019</v>
      </c>
      <c r="L61" s="2" t="n">
        <f aca="false">WEEKDAY(Valores!$H61,2)</f>
        <v>3</v>
      </c>
      <c r="M61" s="0" t="n">
        <v>0.08</v>
      </c>
      <c r="N61" s="0" t="n">
        <f aca="false">Valores!$I61*Valores!$M61</f>
        <v>0.0176</v>
      </c>
      <c r="O61" s="12" t="n">
        <f aca="false">Valores!$N61/SUMIFS(Valores!$N$2:$N$154,Valores!$H$2:$H$154,"&gt;="&amp;EOMONTH(Valores!$H61,-1)+1,Valores!$H$2:$H$154,"&lt;="&amp;EOMONTH(Valores!$H61,0))</f>
        <v>0.0209578699183119</v>
      </c>
      <c r="P61" s="2" t="n">
        <f aca="false">Valores!$O61*7754000</f>
        <v>162507.323346591</v>
      </c>
    </row>
    <row r="62" customFormat="false" ht="13.8" hidden="false" customHeight="false" outlineLevel="0" collapsed="false">
      <c r="H62" s="10" t="n">
        <v>43769</v>
      </c>
      <c r="I62" s="11" t="n">
        <f aca="false">VLOOKUP(WEEKNUM(Valores!$H62,2)-WEEKNUM(EOMONTH(Valores!$H62,-1)+1,2)+1,Valores!$C$11:$F$16,IF((WEEKNUM(EOMONTH(H62,0),2)-WEEKNUM(EOMONTH(H62,-1)+1,2)+1)=4,2,IF((WEEKNUM(EOMONTH(H62,0),2)-WEEKNUM(EOMONTH(H62,-1)+1,2)+1)=5,3,IF((WEEKNUM(EOMONTH(H62,0),2)-WEEKNUM(EOMONTH(H62,-1)+1,2)+1)=6,4,0))),0)</f>
        <v>0.22</v>
      </c>
      <c r="J62" s="0" t="n">
        <f aca="false">WEEKNUM(Valores!$H62,2)</f>
        <v>44</v>
      </c>
      <c r="K62" s="0" t="n">
        <v>2019</v>
      </c>
      <c r="L62" s="2" t="n">
        <f aca="false">WEEKDAY(Valores!$H62,2)</f>
        <v>4</v>
      </c>
      <c r="M62" s="0" t="n">
        <v>0.084</v>
      </c>
      <c r="N62" s="0" t="n">
        <f aca="false">Valores!$I62*Valores!$M62</f>
        <v>0.01848</v>
      </c>
      <c r="O62" s="12" t="n">
        <f aca="false">Valores!$N62/SUMIFS(Valores!$N$2:$N$154,Valores!$H$2:$H$154,"&gt;="&amp;EOMONTH(Valores!$H62,-1)+1,Valores!$H$2:$H$154,"&lt;="&amp;EOMONTH(Valores!$H62,0))</f>
        <v>0.0220057634142275</v>
      </c>
      <c r="P62" s="2" t="n">
        <f aca="false">Valores!$O62*7754000</f>
        <v>170632.68951392</v>
      </c>
    </row>
    <row r="63" customFormat="false" ht="13.8" hidden="false" customHeight="false" outlineLevel="0" collapsed="false">
      <c r="H63" s="10" t="n">
        <v>43770</v>
      </c>
      <c r="I63" s="11" t="n">
        <f aca="false">VLOOKUP(WEEKNUM(Valores!$H63,2)-WEEKNUM(EOMONTH(Valores!$H63,-1)+1,2)+1,Valores!$C$11:$F$16,IF((WEEKNUM(EOMONTH(H63,0),2)-WEEKNUM(EOMONTH(H63,-1)+1,2)+1)=4,2,IF((WEEKNUM(EOMONTH(H63,0),2)-WEEKNUM(EOMONTH(H63,-1)+1,2)+1)=5,3,IF((WEEKNUM(EOMONTH(H63,0),2)-WEEKNUM(EOMONTH(H63,-1)+1,2)+1)=6,4,0))),0)</f>
        <v>0.28</v>
      </c>
      <c r="J63" s="0" t="n">
        <f aca="false">WEEKNUM(Valores!$H63,2)</f>
        <v>44</v>
      </c>
      <c r="K63" s="0" t="n">
        <v>2019</v>
      </c>
      <c r="L63" s="2" t="n">
        <f aca="false">WEEKDAY(Valores!$H63,2)</f>
        <v>5</v>
      </c>
      <c r="M63" s="0" t="n">
        <f aca="false">VLOOKUP(Valores!$L63,Valores!$C$2:$E$8,3,0)</f>
        <v>0.2</v>
      </c>
      <c r="N63" s="0" t="n">
        <f aca="false">Valores!$I63*Valores!$M63</f>
        <v>0.056</v>
      </c>
      <c r="O63" s="12" t="n">
        <f aca="false">Valores!$N63/SUMIFS(Valores!$N$2:$N$154,Valores!$H$2:$H$154,"&gt;="&amp;EOMONTH(Valores!$H63,-1)+1,Valores!$H$2:$H$154,"&lt;="&amp;EOMONTH(Valores!$H63,0))</f>
        <v>0.0615316998132073</v>
      </c>
      <c r="P63" s="2" t="n">
        <f aca="false">Valores!$O63*7754000</f>
        <v>477116.80035161</v>
      </c>
    </row>
    <row r="64" customFormat="false" ht="13.8" hidden="false" customHeight="false" outlineLevel="0" collapsed="false">
      <c r="H64" s="10" t="n">
        <v>43771</v>
      </c>
      <c r="I64" s="11" t="n">
        <f aca="false">VLOOKUP(WEEKNUM(Valores!$H64,2)-WEEKNUM(EOMONTH(Valores!$H64,-1)+1,2)+1,Valores!$C$11:$F$16,IF((WEEKNUM(EOMONTH(H64,0),2)-WEEKNUM(EOMONTH(H64,-1)+1,2)+1)=4,2,IF((WEEKNUM(EOMONTH(H64,0),2)-WEEKNUM(EOMONTH(H64,-1)+1,2)+1)=5,3,IF((WEEKNUM(EOMONTH(H64,0),2)-WEEKNUM(EOMONTH(H64,-1)+1,2)+1)=6,4,0))),0)</f>
        <v>0.28</v>
      </c>
      <c r="J64" s="0" t="n">
        <f aca="false">WEEKNUM(Valores!$H64,2)</f>
        <v>44</v>
      </c>
      <c r="K64" s="0" t="n">
        <v>2019</v>
      </c>
      <c r="L64" s="2" t="n">
        <f aca="false">WEEKDAY(Valores!$H64,2)</f>
        <v>6</v>
      </c>
      <c r="M64" s="0" t="n">
        <f aca="false">VLOOKUP(Valores!$L64,Valores!$C$2:$E$8,3,0)</f>
        <v>0.25</v>
      </c>
      <c r="N64" s="0" t="n">
        <f aca="false">Valores!$I64*Valores!$M64</f>
        <v>0.07</v>
      </c>
      <c r="O64" s="12" t="n">
        <f aca="false">Valores!$N64/SUMIFS(Valores!$N$2:$N$154,Valores!$H$2:$H$154,"&gt;="&amp;EOMONTH(Valores!$H64,-1)+1,Valores!$H$2:$H$154,"&lt;="&amp;EOMONTH(Valores!$H64,0))</f>
        <v>0.0769146247665092</v>
      </c>
      <c r="P64" s="2" t="n">
        <f aca="false">Valores!$O64*7754000</f>
        <v>596396.000439512</v>
      </c>
    </row>
    <row r="65" customFormat="false" ht="13.8" hidden="false" customHeight="false" outlineLevel="0" collapsed="false">
      <c r="H65" s="10" t="n">
        <v>43772</v>
      </c>
      <c r="I65" s="11" t="n">
        <f aca="false">VLOOKUP(WEEKNUM(Valores!$H65,2)-WEEKNUM(EOMONTH(Valores!$H65,-1)+1,2)+1,Valores!$C$11:$F$16,IF((WEEKNUM(EOMONTH(H65,0),2)-WEEKNUM(EOMONTH(H65,-1)+1,2)+1)=4,2,IF((WEEKNUM(EOMONTH(H65,0),2)-WEEKNUM(EOMONTH(H65,-1)+1,2)+1)=5,3,IF((WEEKNUM(EOMONTH(H65,0),2)-WEEKNUM(EOMONTH(H65,-1)+1,2)+1)=6,4,0))),0)</f>
        <v>0.28</v>
      </c>
      <c r="J65" s="0" t="n">
        <f aca="false">WEEKNUM(Valores!$H65,2)</f>
        <v>44</v>
      </c>
      <c r="K65" s="0" t="n">
        <v>2019</v>
      </c>
      <c r="L65" s="2" t="n">
        <f aca="false">WEEKDAY(Valores!$H65,2)</f>
        <v>7</v>
      </c>
      <c r="M65" s="0" t="n">
        <v>0.12</v>
      </c>
      <c r="N65" s="0" t="n">
        <f aca="false">Valores!$I65*Valores!$M65</f>
        <v>0.0336</v>
      </c>
      <c r="O65" s="12" t="n">
        <f aca="false">Valores!$N65/SUMIFS(Valores!$N$2:$N$154,Valores!$H$2:$H$154,"&gt;="&amp;EOMONTH(Valores!$H65,-1)+1,Valores!$H$2:$H$154,"&lt;="&amp;EOMONTH(Valores!$H65,0))</f>
        <v>0.0369190198879244</v>
      </c>
      <c r="P65" s="2" t="n">
        <f aca="false">Valores!$O65*7754000</f>
        <v>286270.080210966</v>
      </c>
    </row>
    <row r="66" customFormat="false" ht="13.8" hidden="false" customHeight="false" outlineLevel="0" collapsed="false">
      <c r="H66" s="10" t="n">
        <v>43773</v>
      </c>
      <c r="I66" s="11" t="n">
        <f aca="false">VLOOKUP(WEEKNUM(Valores!$H66,2)-WEEKNUM(EOMONTH(Valores!$H66,-1)+1,2)+1,Valores!$C$11:$F$16,IF((WEEKNUM(EOMONTH(H66,0),2)-WEEKNUM(EOMONTH(H66,-1)+1,2)+1)=4,2,IF((WEEKNUM(EOMONTH(H66,0),2)-WEEKNUM(EOMONTH(H66,-1)+1,2)+1)=5,3,IF((WEEKNUM(EOMONTH(H66,0),2)-WEEKNUM(EOMONTH(H66,-1)+1,2)+1)=6,4,0))),0)</f>
        <v>0.15</v>
      </c>
      <c r="J66" s="0" t="n">
        <f aca="false">WEEKNUM(Valores!$H66,2)</f>
        <v>45</v>
      </c>
      <c r="K66" s="0" t="n">
        <v>2019</v>
      </c>
      <c r="L66" s="2" t="n">
        <f aca="false">WEEKDAY(Valores!$H66,2)</f>
        <v>1</v>
      </c>
      <c r="M66" s="0" t="n">
        <f aca="false">VLOOKUP(Valores!$L66,Valores!$C$2:$E$8,3,0)</f>
        <v>0.1</v>
      </c>
      <c r="N66" s="0" t="n">
        <f aca="false">Valores!$I66*Valores!$M66</f>
        <v>0.015</v>
      </c>
      <c r="O66" s="12" t="n">
        <f aca="false">Valores!$N66/SUMIFS(Valores!$N$2:$N$154,Valores!$H$2:$H$154,"&gt;="&amp;EOMONTH(Valores!$H66,-1)+1,Valores!$H$2:$H$154,"&lt;="&amp;EOMONTH(Valores!$H66,0))</f>
        <v>0.0164817053071091</v>
      </c>
      <c r="P66" s="2" t="n">
        <f aca="false">Valores!$O66*7754000</f>
        <v>127799.142951324</v>
      </c>
    </row>
    <row r="67" customFormat="false" ht="13.8" hidden="false" customHeight="false" outlineLevel="0" collapsed="false">
      <c r="H67" s="10" t="n">
        <v>43774</v>
      </c>
      <c r="I67" s="11" t="n">
        <f aca="false">VLOOKUP(WEEKNUM(Valores!$H67,2)-WEEKNUM(EOMONTH(Valores!$H67,-1)+1,2)+1,Valores!$C$11:$F$16,IF((WEEKNUM(EOMONTH(H67,0),2)-WEEKNUM(EOMONTH(H67,-1)+1,2)+1)=4,2,IF((WEEKNUM(EOMONTH(H67,0),2)-WEEKNUM(EOMONTH(H67,-1)+1,2)+1)=5,3,IF((WEEKNUM(EOMONTH(H67,0),2)-WEEKNUM(EOMONTH(H67,-1)+1,2)+1)=6,4,0))),0)</f>
        <v>0.15</v>
      </c>
      <c r="J67" s="0" t="n">
        <f aca="false">WEEKNUM(Valores!$H67,2)</f>
        <v>45</v>
      </c>
      <c r="K67" s="0" t="n">
        <v>2019</v>
      </c>
      <c r="L67" s="2" t="n">
        <f aca="false">WEEKDAY(Valores!$H67,2)</f>
        <v>2</v>
      </c>
      <c r="M67" s="0" t="n">
        <f aca="false">VLOOKUP(Valores!$L67,Valores!$C$2:$E$8,3,0)</f>
        <v>0.1</v>
      </c>
      <c r="N67" s="0" t="n">
        <f aca="false">Valores!$I67*Valores!$M67</f>
        <v>0.015</v>
      </c>
      <c r="O67" s="12" t="n">
        <f aca="false">Valores!$N67/SUMIFS(Valores!$N$2:$N$154,Valores!$H$2:$H$154,"&gt;="&amp;EOMONTH(Valores!$H67,-1)+1,Valores!$H$2:$H$154,"&lt;="&amp;EOMONTH(Valores!$H67,0))</f>
        <v>0.0164817053071091</v>
      </c>
      <c r="P67" s="2" t="n">
        <f aca="false">Valores!$O67*7754000</f>
        <v>127799.142951324</v>
      </c>
    </row>
    <row r="68" customFormat="false" ht="13.8" hidden="false" customHeight="false" outlineLevel="0" collapsed="false">
      <c r="H68" s="10" t="n">
        <v>43775</v>
      </c>
      <c r="I68" s="11" t="n">
        <f aca="false">VLOOKUP(WEEKNUM(Valores!$H68,2)-WEEKNUM(EOMONTH(Valores!$H68,-1)+1,2)+1,Valores!$C$11:$F$16,IF((WEEKNUM(EOMONTH(H68,0),2)-WEEKNUM(EOMONTH(H68,-1)+1,2)+1)=4,2,IF((WEEKNUM(EOMONTH(H68,0),2)-WEEKNUM(EOMONTH(H68,-1)+1,2)+1)=5,3,IF((WEEKNUM(EOMONTH(H68,0),2)-WEEKNUM(EOMONTH(H68,-1)+1,2)+1)=6,4,0))),0)</f>
        <v>0.15</v>
      </c>
      <c r="J68" s="0" t="n">
        <f aca="false">WEEKNUM(Valores!$H68,2)</f>
        <v>45</v>
      </c>
      <c r="K68" s="0" t="n">
        <v>2019</v>
      </c>
      <c r="L68" s="2" t="n">
        <f aca="false">WEEKDAY(Valores!$H68,2)</f>
        <v>3</v>
      </c>
      <c r="M68" s="0" t="n">
        <f aca="false">VLOOKUP(Valores!$L68,Valores!$C$2:$E$8,3,0)</f>
        <v>0.1</v>
      </c>
      <c r="N68" s="0" t="n">
        <f aca="false">Valores!$I68*Valores!$M68</f>
        <v>0.015</v>
      </c>
      <c r="O68" s="12" t="n">
        <f aca="false">Valores!$N68/SUMIFS(Valores!$N$2:$N$154,Valores!$H$2:$H$154,"&gt;="&amp;EOMONTH(Valores!$H68,-1)+1,Valores!$H$2:$H$154,"&lt;="&amp;EOMONTH(Valores!$H68,0))</f>
        <v>0.0164817053071091</v>
      </c>
      <c r="P68" s="2" t="n">
        <f aca="false">Valores!$O68*7754000</f>
        <v>127799.142951324</v>
      </c>
    </row>
    <row r="69" customFormat="false" ht="13.8" hidden="false" customHeight="false" outlineLevel="0" collapsed="false">
      <c r="H69" s="10" t="n">
        <v>43776</v>
      </c>
      <c r="I69" s="11" t="n">
        <f aca="false">VLOOKUP(WEEKNUM(Valores!$H69,2)-WEEKNUM(EOMONTH(Valores!$H69,-1)+1,2)+1,Valores!$C$11:$F$16,IF((WEEKNUM(EOMONTH(H69,0),2)-WEEKNUM(EOMONTH(H69,-1)+1,2)+1)=4,2,IF((WEEKNUM(EOMONTH(H69,0),2)-WEEKNUM(EOMONTH(H69,-1)+1,2)+1)=5,3,IF((WEEKNUM(EOMONTH(H69,0),2)-WEEKNUM(EOMONTH(H69,-1)+1,2)+1)=6,4,0))),0)</f>
        <v>0.15</v>
      </c>
      <c r="J69" s="0" t="n">
        <f aca="false">WEEKNUM(Valores!$H69,2)</f>
        <v>45</v>
      </c>
      <c r="K69" s="0" t="n">
        <v>2019</v>
      </c>
      <c r="L69" s="2" t="n">
        <f aca="false">WEEKDAY(Valores!$H69,2)</f>
        <v>4</v>
      </c>
      <c r="M69" s="0" t="n">
        <f aca="false">VLOOKUP(Valores!$L69,Valores!$C$2:$E$8,3,0)</f>
        <v>0.1</v>
      </c>
      <c r="N69" s="0" t="n">
        <f aca="false">Valores!$I69*Valores!$M69</f>
        <v>0.015</v>
      </c>
      <c r="O69" s="12" t="n">
        <f aca="false">Valores!$N69/SUMIFS(Valores!$N$2:$N$154,Valores!$H$2:$H$154,"&gt;="&amp;EOMONTH(Valores!$H69,-1)+1,Valores!$H$2:$H$154,"&lt;="&amp;EOMONTH(Valores!$H69,0))</f>
        <v>0.0164817053071091</v>
      </c>
      <c r="P69" s="2" t="n">
        <f aca="false">Valores!$O69*7754000</f>
        <v>127799.142951324</v>
      </c>
    </row>
    <row r="70" customFormat="false" ht="13.8" hidden="false" customHeight="false" outlineLevel="0" collapsed="false">
      <c r="H70" s="10" t="n">
        <v>43777</v>
      </c>
      <c r="I70" s="11" t="n">
        <f aca="false">VLOOKUP(WEEKNUM(Valores!$H70,2)-WEEKNUM(EOMONTH(Valores!$H70,-1)+1,2)+1,Valores!$C$11:$F$16,IF((WEEKNUM(EOMONTH(H70,0),2)-WEEKNUM(EOMONTH(H70,-1)+1,2)+1)=4,2,IF((WEEKNUM(EOMONTH(H70,0),2)-WEEKNUM(EOMONTH(H70,-1)+1,2)+1)=5,3,IF((WEEKNUM(EOMONTH(H70,0),2)-WEEKNUM(EOMONTH(H70,-1)+1,2)+1)=6,4,0))),0)</f>
        <v>0.15</v>
      </c>
      <c r="J70" s="0" t="n">
        <f aca="false">WEEKNUM(Valores!$H70,2)</f>
        <v>45</v>
      </c>
      <c r="K70" s="0" t="n">
        <v>2019</v>
      </c>
      <c r="L70" s="2" t="n">
        <f aca="false">WEEKDAY(Valores!$H70,2)</f>
        <v>5</v>
      </c>
      <c r="M70" s="0" t="n">
        <f aca="false">VLOOKUP(Valores!$L70,Valores!$C$2:$E$8,3,0)</f>
        <v>0.2</v>
      </c>
      <c r="N70" s="0" t="n">
        <f aca="false">Valores!$I70*Valores!$M70</f>
        <v>0.03</v>
      </c>
      <c r="O70" s="12" t="n">
        <f aca="false">Valores!$N70/SUMIFS(Valores!$N$2:$N$154,Valores!$H$2:$H$154,"&gt;="&amp;EOMONTH(Valores!$H70,-1)+1,Valores!$H$2:$H$154,"&lt;="&amp;EOMONTH(Valores!$H70,0))</f>
        <v>0.0329634106142182</v>
      </c>
      <c r="P70" s="2" t="n">
        <f aca="false">Valores!$O70*7754000</f>
        <v>255598.285902648</v>
      </c>
    </row>
    <row r="71" customFormat="false" ht="13.8" hidden="false" customHeight="false" outlineLevel="0" collapsed="false">
      <c r="H71" s="10" t="n">
        <v>43778</v>
      </c>
      <c r="I71" s="11" t="n">
        <f aca="false">VLOOKUP(WEEKNUM(Valores!$H71,2)-WEEKNUM(EOMONTH(Valores!$H71,-1)+1,2)+1,Valores!$C$11:$F$16,IF((WEEKNUM(EOMONTH(H71,0),2)-WEEKNUM(EOMONTH(H71,-1)+1,2)+1)=4,2,IF((WEEKNUM(EOMONTH(H71,0),2)-WEEKNUM(EOMONTH(H71,-1)+1,2)+1)=5,3,IF((WEEKNUM(EOMONTH(H71,0),2)-WEEKNUM(EOMONTH(H71,-1)+1,2)+1)=6,4,0))),0)</f>
        <v>0.15</v>
      </c>
      <c r="J71" s="0" t="n">
        <f aca="false">WEEKNUM(Valores!$H71,2)</f>
        <v>45</v>
      </c>
      <c r="K71" s="0" t="n">
        <v>2019</v>
      </c>
      <c r="L71" s="2" t="n">
        <f aca="false">WEEKDAY(Valores!$H71,2)</f>
        <v>6</v>
      </c>
      <c r="M71" s="0" t="n">
        <f aca="false">VLOOKUP(Valores!$L71,Valores!$C$2:$E$8,3,0)</f>
        <v>0.25</v>
      </c>
      <c r="N71" s="0" t="n">
        <f aca="false">Valores!$I71*Valores!$M71</f>
        <v>0.0375</v>
      </c>
      <c r="O71" s="12" t="n">
        <f aca="false">Valores!$N71/SUMIFS(Valores!$N$2:$N$154,Valores!$H$2:$H$154,"&gt;="&amp;EOMONTH(Valores!$H71,-1)+1,Valores!$H$2:$H$154,"&lt;="&amp;EOMONTH(Valores!$H71,0))</f>
        <v>0.0412042632677728</v>
      </c>
      <c r="P71" s="2" t="n">
        <f aca="false">Valores!$O71*7754000</f>
        <v>319497.85737831</v>
      </c>
    </row>
    <row r="72" customFormat="false" ht="13.8" hidden="false" customHeight="false" outlineLevel="0" collapsed="false">
      <c r="H72" s="10" t="n">
        <v>43779</v>
      </c>
      <c r="I72" s="11" t="n">
        <f aca="false">VLOOKUP(WEEKNUM(Valores!$H72,2)-WEEKNUM(EOMONTH(Valores!$H72,-1)+1,2)+1,Valores!$C$11:$F$16,IF((WEEKNUM(EOMONTH(H72,0),2)-WEEKNUM(EOMONTH(H72,-1)+1,2)+1)=4,2,IF((WEEKNUM(EOMONTH(H72,0),2)-WEEKNUM(EOMONTH(H72,-1)+1,2)+1)=5,3,IF((WEEKNUM(EOMONTH(H72,0),2)-WEEKNUM(EOMONTH(H72,-1)+1,2)+1)=6,4,0))),0)</f>
        <v>0.15</v>
      </c>
      <c r="J72" s="0" t="n">
        <f aca="false">WEEKNUM(Valores!$H72,2)</f>
        <v>45</v>
      </c>
      <c r="K72" s="0" t="n">
        <v>2019</v>
      </c>
      <c r="L72" s="2" t="n">
        <f aca="false">WEEKDAY(Valores!$H72,2)</f>
        <v>7</v>
      </c>
      <c r="M72" s="0" t="n">
        <f aca="false">VLOOKUP(Valores!$L72,Valores!$C$2:$E$8,3,0)</f>
        <v>0.15</v>
      </c>
      <c r="N72" s="0" t="n">
        <f aca="false">Valores!$I72*Valores!$M72</f>
        <v>0.0225</v>
      </c>
      <c r="O72" s="12" t="n">
        <f aca="false">Valores!$N72/SUMIFS(Valores!$N$2:$N$154,Valores!$H$2:$H$154,"&gt;="&amp;EOMONTH(Valores!$H72,-1)+1,Valores!$H$2:$H$154,"&lt;="&amp;EOMONTH(Valores!$H72,0))</f>
        <v>0.0247225579606636</v>
      </c>
      <c r="P72" s="2" t="n">
        <f aca="false">Valores!$O72*7754000</f>
        <v>191698.714426986</v>
      </c>
    </row>
    <row r="73" customFormat="false" ht="13.8" hidden="false" customHeight="false" outlineLevel="0" collapsed="false">
      <c r="H73" s="10" t="n">
        <v>43780</v>
      </c>
      <c r="I73" s="11" t="n">
        <f aca="false">VLOOKUP(WEEKNUM(Valores!$H73,2)-WEEKNUM(EOMONTH(Valores!$H73,-1)+1,2)+1,Valores!$C$11:$F$16,IF((WEEKNUM(EOMONTH(H73,0),2)-WEEKNUM(EOMONTH(H73,-1)+1,2)+1)=4,2,IF((WEEKNUM(EOMONTH(H73,0),2)-WEEKNUM(EOMONTH(H73,-1)+1,2)+1)=5,3,IF((WEEKNUM(EOMONTH(H73,0),2)-WEEKNUM(EOMONTH(H73,-1)+1,2)+1)=6,4,0))),0)</f>
        <v>0.15</v>
      </c>
      <c r="J73" s="0" t="n">
        <f aca="false">WEEKNUM(Valores!$H73,2)</f>
        <v>46</v>
      </c>
      <c r="K73" s="0" t="n">
        <v>2019</v>
      </c>
      <c r="L73" s="2" t="n">
        <f aca="false">WEEKDAY(Valores!$H73,2)</f>
        <v>1</v>
      </c>
      <c r="M73" s="0" t="n">
        <f aca="false">VLOOKUP(Valores!$L73,Valores!$C$2:$E$8,3,0)</f>
        <v>0.1</v>
      </c>
      <c r="N73" s="0" t="n">
        <f aca="false">Valores!$I73*Valores!$M73</f>
        <v>0.015</v>
      </c>
      <c r="O73" s="12" t="n">
        <f aca="false">Valores!$N73/SUMIFS(Valores!$N$2:$N$154,Valores!$H$2:$H$154,"&gt;="&amp;EOMONTH(Valores!$H73,-1)+1,Valores!$H$2:$H$154,"&lt;="&amp;EOMONTH(Valores!$H73,0))</f>
        <v>0.0164817053071091</v>
      </c>
      <c r="P73" s="2" t="n">
        <f aca="false">Valores!$O73*7754000</f>
        <v>127799.142951324</v>
      </c>
    </row>
    <row r="74" customFormat="false" ht="13.8" hidden="false" customHeight="false" outlineLevel="0" collapsed="false">
      <c r="H74" s="10" t="n">
        <v>43781</v>
      </c>
      <c r="I74" s="11" t="n">
        <f aca="false">VLOOKUP(WEEKNUM(Valores!$H74,2)-WEEKNUM(EOMONTH(Valores!$H74,-1)+1,2)+1,Valores!$C$11:$F$16,IF((WEEKNUM(EOMONTH(H74,0),2)-WEEKNUM(EOMONTH(H74,-1)+1,2)+1)=4,2,IF((WEEKNUM(EOMONTH(H74,0),2)-WEEKNUM(EOMONTH(H74,-1)+1,2)+1)=5,3,IF((WEEKNUM(EOMONTH(H74,0),2)-WEEKNUM(EOMONTH(H74,-1)+1,2)+1)=6,4,0))),0)</f>
        <v>0.15</v>
      </c>
      <c r="J74" s="0" t="n">
        <f aca="false">WEEKNUM(Valores!$H74,2)</f>
        <v>46</v>
      </c>
      <c r="K74" s="0" t="n">
        <v>2019</v>
      </c>
      <c r="L74" s="2" t="n">
        <f aca="false">WEEKDAY(Valores!$H74,2)</f>
        <v>2</v>
      </c>
      <c r="M74" s="0" t="n">
        <f aca="false">VLOOKUP(Valores!$L74,Valores!$C$2:$E$8,3,0)</f>
        <v>0.1</v>
      </c>
      <c r="N74" s="0" t="n">
        <f aca="false">Valores!$I74*Valores!$M74</f>
        <v>0.015</v>
      </c>
      <c r="O74" s="12" t="n">
        <f aca="false">Valores!$N74/SUMIFS(Valores!$N$2:$N$154,Valores!$H$2:$H$154,"&gt;="&amp;EOMONTH(Valores!$H74,-1)+1,Valores!$H$2:$H$154,"&lt;="&amp;EOMONTH(Valores!$H74,0))</f>
        <v>0.0164817053071091</v>
      </c>
      <c r="P74" s="2" t="n">
        <f aca="false">Valores!$O74*7754000</f>
        <v>127799.142951324</v>
      </c>
    </row>
    <row r="75" customFormat="false" ht="13.8" hidden="false" customHeight="false" outlineLevel="0" collapsed="false">
      <c r="H75" s="10" t="n">
        <v>43782</v>
      </c>
      <c r="I75" s="11" t="n">
        <f aca="false">VLOOKUP(WEEKNUM(Valores!$H75,2)-WEEKNUM(EOMONTH(Valores!$H75,-1)+1,2)+1,Valores!$C$11:$F$16,IF((WEEKNUM(EOMONTH(H75,0),2)-WEEKNUM(EOMONTH(H75,-1)+1,2)+1)=4,2,IF((WEEKNUM(EOMONTH(H75,0),2)-WEEKNUM(EOMONTH(H75,-1)+1,2)+1)=5,3,IF((WEEKNUM(EOMONTH(H75,0),2)-WEEKNUM(EOMONTH(H75,-1)+1,2)+1)=6,4,0))),0)</f>
        <v>0.15</v>
      </c>
      <c r="J75" s="0" t="n">
        <f aca="false">WEEKNUM(Valores!$H75,2)</f>
        <v>46</v>
      </c>
      <c r="K75" s="0" t="n">
        <v>2019</v>
      </c>
      <c r="L75" s="2" t="n">
        <f aca="false">WEEKDAY(Valores!$H75,2)</f>
        <v>3</v>
      </c>
      <c r="M75" s="0" t="n">
        <f aca="false">VLOOKUP(Valores!$L75,Valores!$C$2:$E$8,3,0)</f>
        <v>0.1</v>
      </c>
      <c r="N75" s="0" t="n">
        <f aca="false">Valores!$I75*Valores!$M75</f>
        <v>0.015</v>
      </c>
      <c r="O75" s="12" t="n">
        <f aca="false">Valores!$N75/SUMIFS(Valores!$N$2:$N$154,Valores!$H$2:$H$154,"&gt;="&amp;EOMONTH(Valores!$H75,-1)+1,Valores!$H$2:$H$154,"&lt;="&amp;EOMONTH(Valores!$H75,0))</f>
        <v>0.0164817053071091</v>
      </c>
      <c r="P75" s="2" t="n">
        <f aca="false">Valores!$O75*7754000</f>
        <v>127799.142951324</v>
      </c>
    </row>
    <row r="76" customFormat="false" ht="13.8" hidden="false" customHeight="false" outlineLevel="0" collapsed="false">
      <c r="H76" s="10" t="n">
        <v>43783</v>
      </c>
      <c r="I76" s="11" t="n">
        <f aca="false">VLOOKUP(WEEKNUM(Valores!$H76,2)-WEEKNUM(EOMONTH(Valores!$H76,-1)+1,2)+1,Valores!$C$11:$F$16,IF((WEEKNUM(EOMONTH(H76,0),2)-WEEKNUM(EOMONTH(H76,-1)+1,2)+1)=4,2,IF((WEEKNUM(EOMONTH(H76,0),2)-WEEKNUM(EOMONTH(H76,-1)+1,2)+1)=5,3,IF((WEEKNUM(EOMONTH(H76,0),2)-WEEKNUM(EOMONTH(H76,-1)+1,2)+1)=6,4,0))),0)</f>
        <v>0.15</v>
      </c>
      <c r="J76" s="0" t="n">
        <f aca="false">WEEKNUM(Valores!$H76,2)</f>
        <v>46</v>
      </c>
      <c r="K76" s="0" t="n">
        <v>2019</v>
      </c>
      <c r="L76" s="2" t="n">
        <f aca="false">WEEKDAY(Valores!$H76,2)</f>
        <v>4</v>
      </c>
      <c r="M76" s="0" t="n">
        <f aca="false">VLOOKUP(Valores!$L76,Valores!$C$2:$E$8,3,0)</f>
        <v>0.1</v>
      </c>
      <c r="N76" s="0" t="n">
        <f aca="false">Valores!$I76*Valores!$M76</f>
        <v>0.015</v>
      </c>
      <c r="O76" s="12" t="n">
        <f aca="false">Valores!$N76/SUMIFS(Valores!$N$2:$N$154,Valores!$H$2:$H$154,"&gt;="&amp;EOMONTH(Valores!$H76,-1)+1,Valores!$H$2:$H$154,"&lt;="&amp;EOMONTH(Valores!$H76,0))</f>
        <v>0.0164817053071091</v>
      </c>
      <c r="P76" s="2" t="n">
        <f aca="false">Valores!$O76*7754000</f>
        <v>127799.142951324</v>
      </c>
    </row>
    <row r="77" customFormat="false" ht="13.8" hidden="false" customHeight="false" outlineLevel="0" collapsed="false">
      <c r="H77" s="10" t="n">
        <v>43784</v>
      </c>
      <c r="I77" s="11" t="n">
        <f aca="false">VLOOKUP(WEEKNUM(Valores!$H77,2)-WEEKNUM(EOMONTH(Valores!$H77,-1)+1,2)+1,Valores!$C$11:$F$16,IF((WEEKNUM(EOMONTH(H77,0),2)-WEEKNUM(EOMONTH(H77,-1)+1,2)+1)=4,2,IF((WEEKNUM(EOMONTH(H77,0),2)-WEEKNUM(EOMONTH(H77,-1)+1,2)+1)=5,3,IF((WEEKNUM(EOMONTH(H77,0),2)-WEEKNUM(EOMONTH(H77,-1)+1,2)+1)=6,4,0))),0)</f>
        <v>0.15</v>
      </c>
      <c r="J77" s="0" t="n">
        <f aca="false">WEEKNUM(Valores!$H77,2)</f>
        <v>46</v>
      </c>
      <c r="K77" s="0" t="n">
        <v>2019</v>
      </c>
      <c r="L77" s="2" t="n">
        <f aca="false">WEEKDAY(Valores!$H77,2)</f>
        <v>5</v>
      </c>
      <c r="M77" s="0" t="n">
        <v>0.3</v>
      </c>
      <c r="N77" s="0" t="n">
        <f aca="false">Valores!$I77*Valores!$M77</f>
        <v>0.045</v>
      </c>
      <c r="O77" s="12" t="n">
        <f aca="false">Valores!$N77/SUMIFS(Valores!$N$2:$N$154,Valores!$H$2:$H$154,"&gt;="&amp;EOMONTH(Valores!$H77,-1)+1,Valores!$H$2:$H$154,"&lt;="&amp;EOMONTH(Valores!$H77,0))</f>
        <v>0.0494451159213273</v>
      </c>
      <c r="P77" s="2" t="n">
        <f aca="false">Valores!$O77*7754000</f>
        <v>383397.428853972</v>
      </c>
    </row>
    <row r="78" customFormat="false" ht="13.8" hidden="false" customHeight="false" outlineLevel="0" collapsed="false">
      <c r="H78" s="10" t="n">
        <v>43785</v>
      </c>
      <c r="I78" s="11" t="n">
        <f aca="false">VLOOKUP(WEEKNUM(Valores!$H78,2)-WEEKNUM(EOMONTH(Valores!$H78,-1)+1,2)+1,Valores!$C$11:$F$16,IF((WEEKNUM(EOMONTH(H78,0),2)-WEEKNUM(EOMONTH(H78,-1)+1,2)+1)=4,2,IF((WEEKNUM(EOMONTH(H78,0),2)-WEEKNUM(EOMONTH(H78,-1)+1,2)+1)=5,3,IF((WEEKNUM(EOMONTH(H78,0),2)-WEEKNUM(EOMONTH(H78,-1)+1,2)+1)=6,4,0))),0)</f>
        <v>0.15</v>
      </c>
      <c r="J78" s="0" t="n">
        <f aca="false">WEEKNUM(Valores!$H78,2)</f>
        <v>46</v>
      </c>
      <c r="K78" s="0" t="n">
        <v>2019</v>
      </c>
      <c r="L78" s="2" t="n">
        <f aca="false">WEEKDAY(Valores!$H78,2)</f>
        <v>6</v>
      </c>
      <c r="M78" s="0" t="n">
        <v>0.4</v>
      </c>
      <c r="N78" s="0" t="n">
        <f aca="false">Valores!$I78*Valores!$M78</f>
        <v>0.06</v>
      </c>
      <c r="O78" s="12" t="n">
        <f aca="false">Valores!$N78/SUMIFS(Valores!$N$2:$N$154,Valores!$H$2:$H$154,"&gt;="&amp;EOMONTH(Valores!$H78,-1)+1,Valores!$H$2:$H$154,"&lt;="&amp;EOMONTH(Valores!$H78,0))</f>
        <v>0.0659268212284364</v>
      </c>
      <c r="P78" s="2" t="n">
        <f aca="false">Valores!$O78*7754000</f>
        <v>511196.571805296</v>
      </c>
    </row>
    <row r="79" customFormat="false" ht="13.8" hidden="false" customHeight="false" outlineLevel="0" collapsed="false">
      <c r="H79" s="10" t="n">
        <v>43786</v>
      </c>
      <c r="I79" s="11" t="n">
        <f aca="false">VLOOKUP(WEEKNUM(Valores!$H79,2)-WEEKNUM(EOMONTH(Valores!$H79,-1)+1,2)+1,Valores!$C$11:$F$16,IF((WEEKNUM(EOMONTH(H79,0),2)-WEEKNUM(EOMONTH(H79,-1)+1,2)+1)=4,2,IF((WEEKNUM(EOMONTH(H79,0),2)-WEEKNUM(EOMONTH(H79,-1)+1,2)+1)=5,3,IF((WEEKNUM(EOMONTH(H79,0),2)-WEEKNUM(EOMONTH(H79,-1)+1,2)+1)=6,4,0))),0)</f>
        <v>0.15</v>
      </c>
      <c r="J79" s="0" t="n">
        <f aca="false">WEEKNUM(Valores!$H79,2)</f>
        <v>46</v>
      </c>
      <c r="K79" s="0" t="n">
        <v>2019</v>
      </c>
      <c r="L79" s="2" t="n">
        <f aca="false">WEEKDAY(Valores!$H79,2)</f>
        <v>7</v>
      </c>
      <c r="M79" s="0" t="n">
        <v>0.25</v>
      </c>
      <c r="N79" s="0" t="n">
        <f aca="false">Valores!$I79*Valores!$M79</f>
        <v>0.0375</v>
      </c>
      <c r="O79" s="12" t="n">
        <f aca="false">Valores!$N79/SUMIFS(Valores!$N$2:$N$154,Valores!$H$2:$H$154,"&gt;="&amp;EOMONTH(Valores!$H79,-1)+1,Valores!$H$2:$H$154,"&lt;="&amp;EOMONTH(Valores!$H79,0))</f>
        <v>0.0412042632677728</v>
      </c>
      <c r="P79" s="2" t="n">
        <f aca="false">Valores!$O79*7754000</f>
        <v>319497.85737831</v>
      </c>
    </row>
    <row r="80" customFormat="false" ht="13.8" hidden="false" customHeight="false" outlineLevel="0" collapsed="false">
      <c r="H80" s="10" t="n">
        <v>43787</v>
      </c>
      <c r="I80" s="11" t="n">
        <f aca="false">VLOOKUP(WEEKNUM(Valores!$H80,2)-WEEKNUM(EOMONTH(Valores!$H80,-1)+1,2)+1,Valores!$C$11:$F$16,IF((WEEKNUM(EOMONTH(H80,0),2)-WEEKNUM(EOMONTH(H80,-1)+1,2)+1)=4,2,IF((WEEKNUM(EOMONTH(H80,0),2)-WEEKNUM(EOMONTH(H80,-1)+1,2)+1)=5,3,IF((WEEKNUM(EOMONTH(H80,0),2)-WEEKNUM(EOMONTH(H80,-1)+1,2)+1)=6,4,0))),0)</f>
        <v>0.2</v>
      </c>
      <c r="J80" s="0" t="n">
        <f aca="false">WEEKNUM(Valores!$H80,2)</f>
        <v>47</v>
      </c>
      <c r="K80" s="0" t="n">
        <v>2019</v>
      </c>
      <c r="L80" s="2" t="n">
        <f aca="false">WEEKDAY(Valores!$H80,2)</f>
        <v>1</v>
      </c>
      <c r="M80" s="0" t="n">
        <f aca="false">VLOOKUP(Valores!$L80,Valores!$C$2:$E$8,3,0)</f>
        <v>0.1</v>
      </c>
      <c r="N80" s="0" t="n">
        <f aca="false">Valores!$I80*Valores!$M80</f>
        <v>0.02</v>
      </c>
      <c r="O80" s="12" t="n">
        <f aca="false">Valores!$N80/SUMIFS(Valores!$N$2:$N$154,Valores!$H$2:$H$154,"&gt;="&amp;EOMONTH(Valores!$H80,-1)+1,Valores!$H$2:$H$154,"&lt;="&amp;EOMONTH(Valores!$H80,0))</f>
        <v>0.0219756070761455</v>
      </c>
      <c r="P80" s="2" t="n">
        <f aca="false">Valores!$O80*7754000</f>
        <v>170398.857268432</v>
      </c>
    </row>
    <row r="81" customFormat="false" ht="13.8" hidden="false" customHeight="false" outlineLevel="0" collapsed="false">
      <c r="H81" s="10" t="n">
        <v>43788</v>
      </c>
      <c r="I81" s="11" t="n">
        <f aca="false">VLOOKUP(WEEKNUM(Valores!$H81,2)-WEEKNUM(EOMONTH(Valores!$H81,-1)+1,2)+1,Valores!$C$11:$F$16,IF((WEEKNUM(EOMONTH(H81,0),2)-WEEKNUM(EOMONTH(H81,-1)+1,2)+1)=4,2,IF((WEEKNUM(EOMONTH(H81,0),2)-WEEKNUM(EOMONTH(H81,-1)+1,2)+1)=5,3,IF((WEEKNUM(EOMONTH(H81,0),2)-WEEKNUM(EOMONTH(H81,-1)+1,2)+1)=6,4,0))),0)</f>
        <v>0.2</v>
      </c>
      <c r="J81" s="0" t="n">
        <f aca="false">WEEKNUM(Valores!$H81,2)</f>
        <v>47</v>
      </c>
      <c r="K81" s="0" t="n">
        <v>2019</v>
      </c>
      <c r="L81" s="2" t="n">
        <f aca="false">WEEKDAY(Valores!$H81,2)</f>
        <v>2</v>
      </c>
      <c r="M81" s="0" t="n">
        <f aca="false">VLOOKUP(Valores!$L81,Valores!$C$2:$E$8,3,0)</f>
        <v>0.1</v>
      </c>
      <c r="N81" s="0" t="n">
        <f aca="false">Valores!$I81*Valores!$M81</f>
        <v>0.02</v>
      </c>
      <c r="O81" s="12" t="n">
        <f aca="false">Valores!$N81/SUMIFS(Valores!$N$2:$N$154,Valores!$H$2:$H$154,"&gt;="&amp;EOMONTH(Valores!$H81,-1)+1,Valores!$H$2:$H$154,"&lt;="&amp;EOMONTH(Valores!$H81,0))</f>
        <v>0.0219756070761455</v>
      </c>
      <c r="P81" s="2" t="n">
        <f aca="false">Valores!$O81*7754000</f>
        <v>170398.857268432</v>
      </c>
    </row>
    <row r="82" customFormat="false" ht="13.8" hidden="false" customHeight="false" outlineLevel="0" collapsed="false">
      <c r="H82" s="10" t="n">
        <v>43789</v>
      </c>
      <c r="I82" s="11" t="n">
        <f aca="false">VLOOKUP(WEEKNUM(Valores!$H82,2)-WEEKNUM(EOMONTH(Valores!$H82,-1)+1,2)+1,Valores!$C$11:$F$16,IF((WEEKNUM(EOMONTH(H82,0),2)-WEEKNUM(EOMONTH(H82,-1)+1,2)+1)=4,2,IF((WEEKNUM(EOMONTH(H82,0),2)-WEEKNUM(EOMONTH(H82,-1)+1,2)+1)=5,3,IF((WEEKNUM(EOMONTH(H82,0),2)-WEEKNUM(EOMONTH(H82,-1)+1,2)+1)=6,4,0))),0)</f>
        <v>0.2</v>
      </c>
      <c r="J82" s="0" t="n">
        <f aca="false">WEEKNUM(Valores!$H82,2)</f>
        <v>47</v>
      </c>
      <c r="K82" s="0" t="n">
        <v>2019</v>
      </c>
      <c r="L82" s="2" t="n">
        <f aca="false">WEEKDAY(Valores!$H82,2)</f>
        <v>3</v>
      </c>
      <c r="M82" s="0" t="n">
        <f aca="false">VLOOKUP(Valores!$L82,Valores!$C$2:$E$8,3,0)</f>
        <v>0.1</v>
      </c>
      <c r="N82" s="0" t="n">
        <f aca="false">Valores!$I82*Valores!$M82</f>
        <v>0.02</v>
      </c>
      <c r="O82" s="12" t="n">
        <f aca="false">Valores!$N82/SUMIFS(Valores!$N$2:$N$154,Valores!$H$2:$H$154,"&gt;="&amp;EOMONTH(Valores!$H82,-1)+1,Valores!$H$2:$H$154,"&lt;="&amp;EOMONTH(Valores!$H82,0))</f>
        <v>0.0219756070761455</v>
      </c>
      <c r="P82" s="2" t="n">
        <f aca="false">Valores!$O82*7754000</f>
        <v>170398.857268432</v>
      </c>
    </row>
    <row r="83" customFormat="false" ht="13.8" hidden="false" customHeight="false" outlineLevel="0" collapsed="false">
      <c r="H83" s="10" t="n">
        <v>43790</v>
      </c>
      <c r="I83" s="11" t="n">
        <f aca="false">VLOOKUP(WEEKNUM(Valores!$H83,2)-WEEKNUM(EOMONTH(Valores!$H83,-1)+1,2)+1,Valores!$C$11:$F$16,IF((WEEKNUM(EOMONTH(H83,0),2)-WEEKNUM(EOMONTH(H83,-1)+1,2)+1)=4,2,IF((WEEKNUM(EOMONTH(H83,0),2)-WEEKNUM(EOMONTH(H83,-1)+1,2)+1)=5,3,IF((WEEKNUM(EOMONTH(H83,0),2)-WEEKNUM(EOMONTH(H83,-1)+1,2)+1)=6,4,0))),0)</f>
        <v>0.2</v>
      </c>
      <c r="J83" s="0" t="n">
        <f aca="false">WEEKNUM(Valores!$H83,2)</f>
        <v>47</v>
      </c>
      <c r="K83" s="0" t="n">
        <v>2019</v>
      </c>
      <c r="L83" s="2" t="n">
        <f aca="false">WEEKDAY(Valores!$H83,2)</f>
        <v>4</v>
      </c>
      <c r="M83" s="0" t="n">
        <f aca="false">VLOOKUP(Valores!$L83,Valores!$C$2:$E$8,3,0)</f>
        <v>0.1</v>
      </c>
      <c r="N83" s="0" t="n">
        <f aca="false">Valores!$I83*Valores!$M83</f>
        <v>0.02</v>
      </c>
      <c r="O83" s="12" t="n">
        <f aca="false">Valores!$N83/SUMIFS(Valores!$N$2:$N$154,Valores!$H$2:$H$154,"&gt;="&amp;EOMONTH(Valores!$H83,-1)+1,Valores!$H$2:$H$154,"&lt;="&amp;EOMONTH(Valores!$H83,0))</f>
        <v>0.0219756070761455</v>
      </c>
      <c r="P83" s="2" t="n">
        <f aca="false">Valores!$O83*7754000</f>
        <v>170398.857268432</v>
      </c>
    </row>
    <row r="84" customFormat="false" ht="13.8" hidden="false" customHeight="false" outlineLevel="0" collapsed="false">
      <c r="H84" s="10" t="n">
        <v>43791</v>
      </c>
      <c r="I84" s="11" t="n">
        <f aca="false">VLOOKUP(WEEKNUM(Valores!$H84,2)-WEEKNUM(EOMONTH(Valores!$H84,-1)+1,2)+1,Valores!$C$11:$F$16,IF((WEEKNUM(EOMONTH(H84,0),2)-WEEKNUM(EOMONTH(H84,-1)+1,2)+1)=4,2,IF((WEEKNUM(EOMONTH(H84,0),2)-WEEKNUM(EOMONTH(H84,-1)+1,2)+1)=5,3,IF((WEEKNUM(EOMONTH(H84,0),2)-WEEKNUM(EOMONTH(H84,-1)+1,2)+1)=6,4,0))),0)</f>
        <v>0.2</v>
      </c>
      <c r="J84" s="0" t="n">
        <f aca="false">WEEKNUM(Valores!$H84,2)</f>
        <v>47</v>
      </c>
      <c r="K84" s="0" t="n">
        <v>2019</v>
      </c>
      <c r="L84" s="2" t="n">
        <f aca="false">WEEKDAY(Valores!$H84,2)</f>
        <v>5</v>
      </c>
      <c r="M84" s="0" t="n">
        <f aca="false">VLOOKUP(Valores!$L84,Valores!$C$2:$E$8,3,0)</f>
        <v>0.2</v>
      </c>
      <c r="N84" s="0" t="n">
        <f aca="false">Valores!$I84*Valores!$M84</f>
        <v>0.04</v>
      </c>
      <c r="O84" s="12" t="n">
        <f aca="false">Valores!$N84/SUMIFS(Valores!$N$2:$N$154,Valores!$H$2:$H$154,"&gt;="&amp;EOMONTH(Valores!$H84,-1)+1,Valores!$H$2:$H$154,"&lt;="&amp;EOMONTH(Valores!$H84,0))</f>
        <v>0.0439512141522909</v>
      </c>
      <c r="P84" s="2" t="n">
        <f aca="false">Valores!$O84*7754000</f>
        <v>340797.714536864</v>
      </c>
    </row>
    <row r="85" customFormat="false" ht="13.8" hidden="false" customHeight="false" outlineLevel="0" collapsed="false">
      <c r="H85" s="10" t="n">
        <v>43792</v>
      </c>
      <c r="I85" s="11" t="n">
        <f aca="false">VLOOKUP(WEEKNUM(Valores!$H85,2)-WEEKNUM(EOMONTH(Valores!$H85,-1)+1,2)+1,Valores!$C$11:$F$16,IF((WEEKNUM(EOMONTH(H85,0),2)-WEEKNUM(EOMONTH(H85,-1)+1,2)+1)=4,2,IF((WEEKNUM(EOMONTH(H85,0),2)-WEEKNUM(EOMONTH(H85,-1)+1,2)+1)=5,3,IF((WEEKNUM(EOMONTH(H85,0),2)-WEEKNUM(EOMONTH(H85,-1)+1,2)+1)=6,4,0))),0)</f>
        <v>0.2</v>
      </c>
      <c r="J85" s="0" t="n">
        <f aca="false">WEEKNUM(Valores!$H85,2)</f>
        <v>47</v>
      </c>
      <c r="K85" s="0" t="n">
        <v>2019</v>
      </c>
      <c r="L85" s="2" t="n">
        <f aca="false">WEEKDAY(Valores!$H85,2)</f>
        <v>6</v>
      </c>
      <c r="M85" s="0" t="n">
        <f aca="false">VLOOKUP(Valores!$L85,Valores!$C$2:$E$8,3,0)</f>
        <v>0.25</v>
      </c>
      <c r="N85" s="0" t="n">
        <f aca="false">Valores!$I85*Valores!$M85</f>
        <v>0.05</v>
      </c>
      <c r="O85" s="12" t="n">
        <f aca="false">Valores!$N85/SUMIFS(Valores!$N$2:$N$154,Valores!$H$2:$H$154,"&gt;="&amp;EOMONTH(Valores!$H85,-1)+1,Valores!$H$2:$H$154,"&lt;="&amp;EOMONTH(Valores!$H85,0))</f>
        <v>0.0549390176903637</v>
      </c>
      <c r="P85" s="2" t="n">
        <f aca="false">Valores!$O85*7754000</f>
        <v>425997.14317108</v>
      </c>
    </row>
    <row r="86" customFormat="false" ht="13.8" hidden="false" customHeight="false" outlineLevel="0" collapsed="false">
      <c r="H86" s="10" t="n">
        <v>43793</v>
      </c>
      <c r="I86" s="11" t="n">
        <f aca="false">VLOOKUP(WEEKNUM(Valores!$H86,2)-WEEKNUM(EOMONTH(Valores!$H86,-1)+1,2)+1,Valores!$C$11:$F$16,IF((WEEKNUM(EOMONTH(H86,0),2)-WEEKNUM(EOMONTH(H86,-1)+1,2)+1)=4,2,IF((WEEKNUM(EOMONTH(H86,0),2)-WEEKNUM(EOMONTH(H86,-1)+1,2)+1)=5,3,IF((WEEKNUM(EOMONTH(H86,0),2)-WEEKNUM(EOMONTH(H86,-1)+1,2)+1)=6,4,0))),0)</f>
        <v>0.2</v>
      </c>
      <c r="J86" s="0" t="n">
        <f aca="false">WEEKNUM(Valores!$H86,2)</f>
        <v>47</v>
      </c>
      <c r="K86" s="0" t="n">
        <v>2019</v>
      </c>
      <c r="L86" s="2" t="n">
        <f aca="false">WEEKDAY(Valores!$H86,2)</f>
        <v>7</v>
      </c>
      <c r="M86" s="0" t="n">
        <f aca="false">VLOOKUP(Valores!$L86,Valores!$C$2:$E$8,3,0)</f>
        <v>0.15</v>
      </c>
      <c r="N86" s="0" t="n">
        <f aca="false">Valores!$I86*Valores!$M86</f>
        <v>0.03</v>
      </c>
      <c r="O86" s="12" t="n">
        <f aca="false">Valores!$N86/SUMIFS(Valores!$N$2:$N$154,Valores!$H$2:$H$154,"&gt;="&amp;EOMONTH(Valores!$H86,-1)+1,Valores!$H$2:$H$154,"&lt;="&amp;EOMONTH(Valores!$H86,0))</f>
        <v>0.0329634106142182</v>
      </c>
      <c r="P86" s="2" t="n">
        <f aca="false">Valores!$O86*7754000</f>
        <v>255598.285902648</v>
      </c>
    </row>
    <row r="87" customFormat="false" ht="13.8" hidden="false" customHeight="false" outlineLevel="0" collapsed="false">
      <c r="H87" s="10" t="n">
        <v>43794</v>
      </c>
      <c r="I87" s="11" t="n">
        <f aca="false">VLOOKUP(WEEKNUM(Valores!$H87,2)-WEEKNUM(EOMONTH(Valores!$H87,-1)+1,2)+1,Valores!$C$11:$F$16,IF((WEEKNUM(EOMONTH(H87,0),2)-WEEKNUM(EOMONTH(H87,-1)+1,2)+1)=4,2,IF((WEEKNUM(EOMONTH(H87,0),2)-WEEKNUM(EOMONTH(H87,-1)+1,2)+1)=5,3,IF((WEEKNUM(EOMONTH(H87,0),2)-WEEKNUM(EOMONTH(H87,-1)+1,2)+1)=6,4,0))),0)</f>
        <v>0.22</v>
      </c>
      <c r="J87" s="0" t="n">
        <f aca="false">WEEKNUM(Valores!$H87,2)</f>
        <v>48</v>
      </c>
      <c r="K87" s="0" t="n">
        <v>2019</v>
      </c>
      <c r="L87" s="2" t="n">
        <f aca="false">WEEKDAY(Valores!$H87,2)</f>
        <v>1</v>
      </c>
      <c r="M87" s="0" t="n">
        <f aca="false">VLOOKUP(Valores!$L87,Valores!$C$2:$E$8,3,0)</f>
        <v>0.1</v>
      </c>
      <c r="N87" s="0" t="n">
        <f aca="false">Valores!$I87*Valores!$M87</f>
        <v>0.022</v>
      </c>
      <c r="O87" s="12" t="n">
        <f aca="false">Valores!$N87/SUMIFS(Valores!$N$2:$N$154,Valores!$H$2:$H$154,"&gt;="&amp;EOMONTH(Valores!$H87,-1)+1,Valores!$H$2:$H$154,"&lt;="&amp;EOMONTH(Valores!$H87,0))</f>
        <v>0.02417316778376</v>
      </c>
      <c r="P87" s="2" t="n">
        <f aca="false">Valores!$O87*7754000</f>
        <v>187438.742995275</v>
      </c>
    </row>
    <row r="88" customFormat="false" ht="13.8" hidden="false" customHeight="false" outlineLevel="0" collapsed="false">
      <c r="H88" s="10" t="n">
        <v>43795</v>
      </c>
      <c r="I88" s="11" t="n">
        <f aca="false">VLOOKUP(WEEKNUM(Valores!$H88,2)-WEEKNUM(EOMONTH(Valores!$H88,-1)+1,2)+1,Valores!$C$11:$F$16,IF((WEEKNUM(EOMONTH(H88,0),2)-WEEKNUM(EOMONTH(H88,-1)+1,2)+1)=4,2,IF((WEEKNUM(EOMONTH(H88,0),2)-WEEKNUM(EOMONTH(H88,-1)+1,2)+1)=5,3,IF((WEEKNUM(EOMONTH(H88,0),2)-WEEKNUM(EOMONTH(H88,-1)+1,2)+1)=6,4,0))),0)</f>
        <v>0.22</v>
      </c>
      <c r="J88" s="0" t="n">
        <f aca="false">WEEKNUM(Valores!$H88,2)</f>
        <v>48</v>
      </c>
      <c r="K88" s="0" t="n">
        <v>2019</v>
      </c>
      <c r="L88" s="2" t="n">
        <f aca="false">WEEKDAY(Valores!$H88,2)</f>
        <v>2</v>
      </c>
      <c r="M88" s="0" t="n">
        <f aca="false">VLOOKUP(Valores!$L88,Valores!$C$2:$E$8,3,0)</f>
        <v>0.1</v>
      </c>
      <c r="N88" s="0" t="n">
        <f aca="false">Valores!$I88*Valores!$M88</f>
        <v>0.022</v>
      </c>
      <c r="O88" s="12" t="n">
        <f aca="false">Valores!$N88/SUMIFS(Valores!$N$2:$N$154,Valores!$H$2:$H$154,"&gt;="&amp;EOMONTH(Valores!$H88,-1)+1,Valores!$H$2:$H$154,"&lt;="&amp;EOMONTH(Valores!$H88,0))</f>
        <v>0.02417316778376</v>
      </c>
      <c r="P88" s="2" t="n">
        <f aca="false">Valores!$O88*7754000</f>
        <v>187438.742995275</v>
      </c>
    </row>
    <row r="89" customFormat="false" ht="13.8" hidden="false" customHeight="false" outlineLevel="0" collapsed="false">
      <c r="H89" s="10" t="n">
        <v>43796</v>
      </c>
      <c r="I89" s="11" t="n">
        <f aca="false">VLOOKUP(WEEKNUM(Valores!$H89,2)-WEEKNUM(EOMONTH(Valores!$H89,-1)+1,2)+1,Valores!$C$11:$F$16,IF((WEEKNUM(EOMONTH(H89,0),2)-WEEKNUM(EOMONTH(H89,-1)+1,2)+1)=4,2,IF((WEEKNUM(EOMONTH(H89,0),2)-WEEKNUM(EOMONTH(H89,-1)+1,2)+1)=5,3,IF((WEEKNUM(EOMONTH(H89,0),2)-WEEKNUM(EOMONTH(H89,-1)+1,2)+1)=6,4,0))),0)</f>
        <v>0.22</v>
      </c>
      <c r="J89" s="0" t="n">
        <f aca="false">WEEKNUM(Valores!$H89,2)</f>
        <v>48</v>
      </c>
      <c r="K89" s="0" t="n">
        <v>2019</v>
      </c>
      <c r="L89" s="2" t="n">
        <f aca="false">WEEKDAY(Valores!$H89,2)</f>
        <v>3</v>
      </c>
      <c r="M89" s="0" t="n">
        <f aca="false">VLOOKUP(Valores!$L89,Valores!$C$2:$E$8,3,0)</f>
        <v>0.1</v>
      </c>
      <c r="N89" s="0" t="n">
        <f aca="false">Valores!$I89*Valores!$M89</f>
        <v>0.022</v>
      </c>
      <c r="O89" s="12" t="n">
        <f aca="false">Valores!$N89/SUMIFS(Valores!$N$2:$N$154,Valores!$H$2:$H$154,"&gt;="&amp;EOMONTH(Valores!$H89,-1)+1,Valores!$H$2:$H$154,"&lt;="&amp;EOMONTH(Valores!$H89,0))</f>
        <v>0.02417316778376</v>
      </c>
      <c r="P89" s="2" t="n">
        <f aca="false">Valores!$O89*7754000</f>
        <v>187438.742995275</v>
      </c>
    </row>
    <row r="90" customFormat="false" ht="13.8" hidden="false" customHeight="false" outlineLevel="0" collapsed="false">
      <c r="H90" s="10" t="n">
        <v>43797</v>
      </c>
      <c r="I90" s="11" t="n">
        <f aca="false">VLOOKUP(WEEKNUM(Valores!$H90,2)-WEEKNUM(EOMONTH(Valores!$H90,-1)+1,2)+1,Valores!$C$11:$F$16,IF((WEEKNUM(EOMONTH(H90,0),2)-WEEKNUM(EOMONTH(H90,-1)+1,2)+1)=4,2,IF((WEEKNUM(EOMONTH(H90,0),2)-WEEKNUM(EOMONTH(H90,-1)+1,2)+1)=5,3,IF((WEEKNUM(EOMONTH(H90,0),2)-WEEKNUM(EOMONTH(H90,-1)+1,2)+1)=6,4,0))),0)</f>
        <v>0.22</v>
      </c>
      <c r="J90" s="0" t="n">
        <f aca="false">WEEKNUM(Valores!$H90,2)</f>
        <v>48</v>
      </c>
      <c r="K90" s="0" t="n">
        <v>2019</v>
      </c>
      <c r="L90" s="2" t="n">
        <f aca="false">WEEKDAY(Valores!$H90,2)</f>
        <v>4</v>
      </c>
      <c r="M90" s="0" t="n">
        <f aca="false">VLOOKUP(Valores!$L90,Valores!$C$2:$E$8,3,0)</f>
        <v>0.1</v>
      </c>
      <c r="N90" s="0" t="n">
        <f aca="false">Valores!$I90*Valores!$M90</f>
        <v>0.022</v>
      </c>
      <c r="O90" s="12" t="n">
        <f aca="false">Valores!$N90/SUMIFS(Valores!$N$2:$N$154,Valores!$H$2:$H$154,"&gt;="&amp;EOMONTH(Valores!$H90,-1)+1,Valores!$H$2:$H$154,"&lt;="&amp;EOMONTH(Valores!$H90,0))</f>
        <v>0.02417316778376</v>
      </c>
      <c r="P90" s="2" t="n">
        <f aca="false">Valores!$O90*7754000</f>
        <v>187438.742995275</v>
      </c>
    </row>
    <row r="91" customFormat="false" ht="13.8" hidden="false" customHeight="false" outlineLevel="0" collapsed="false">
      <c r="H91" s="10" t="n">
        <v>43798</v>
      </c>
      <c r="I91" s="11" t="n">
        <f aca="false">VLOOKUP(WEEKNUM(Valores!$H91,2)-WEEKNUM(EOMONTH(Valores!$H91,-1)+1,2)+1,Valores!$C$11:$F$16,IF((WEEKNUM(EOMONTH(H91,0),2)-WEEKNUM(EOMONTH(H91,-1)+1,2)+1)=4,2,IF((WEEKNUM(EOMONTH(H91,0),2)-WEEKNUM(EOMONTH(H91,-1)+1,2)+1)=5,3,IF((WEEKNUM(EOMONTH(H91,0),2)-WEEKNUM(EOMONTH(H91,-1)+1,2)+1)=6,4,0))),0)</f>
        <v>0.22</v>
      </c>
      <c r="J91" s="0" t="n">
        <f aca="false">WEEKNUM(Valores!$H91,2)</f>
        <v>48</v>
      </c>
      <c r="K91" s="0" t="n">
        <v>2019</v>
      </c>
      <c r="L91" s="2" t="n">
        <f aca="false">WEEKDAY(Valores!$H91,2)</f>
        <v>5</v>
      </c>
      <c r="M91" s="0" t="n">
        <f aca="false">VLOOKUP(Valores!$L91,Valores!$C$2:$E$8,3,0)</f>
        <v>0.2</v>
      </c>
      <c r="N91" s="0" t="n">
        <f aca="false">Valores!$I91*Valores!$M91</f>
        <v>0.044</v>
      </c>
      <c r="O91" s="12" t="n">
        <f aca="false">Valores!$N91/SUMIFS(Valores!$N$2:$N$154,Valores!$H$2:$H$154,"&gt;="&amp;EOMONTH(Valores!$H91,-1)+1,Valores!$H$2:$H$154,"&lt;="&amp;EOMONTH(Valores!$H91,0))</f>
        <v>0.04834633556752</v>
      </c>
      <c r="P91" s="2" t="n">
        <f aca="false">Valores!$O91*7754000</f>
        <v>374877.48599055</v>
      </c>
    </row>
    <row r="92" customFormat="false" ht="13.8" hidden="false" customHeight="false" outlineLevel="0" collapsed="false">
      <c r="H92" s="10" t="n">
        <v>43799</v>
      </c>
      <c r="I92" s="11" t="n">
        <f aca="false">VLOOKUP(WEEKNUM(Valores!$H92,2)-WEEKNUM(EOMONTH(Valores!$H92,-1)+1,2)+1,Valores!$C$11:$F$16,IF((WEEKNUM(EOMONTH(H92,0),2)-WEEKNUM(EOMONTH(H92,-1)+1,2)+1)=4,2,IF((WEEKNUM(EOMONTH(H92,0),2)-WEEKNUM(EOMONTH(H92,-1)+1,2)+1)=5,3,IF((WEEKNUM(EOMONTH(H92,0),2)-WEEKNUM(EOMONTH(H92,-1)+1,2)+1)=6,4,0))),0)</f>
        <v>0.22</v>
      </c>
      <c r="J92" s="0" t="n">
        <f aca="false">WEEKNUM(Valores!$H92,2)</f>
        <v>48</v>
      </c>
      <c r="K92" s="0" t="n">
        <v>2019</v>
      </c>
      <c r="L92" s="2" t="n">
        <f aca="false">WEEKDAY(Valores!$H92,2)</f>
        <v>6</v>
      </c>
      <c r="M92" s="0" t="n">
        <v>0.3</v>
      </c>
      <c r="N92" s="0" t="n">
        <f aca="false">Valores!$I92*Valores!$M92</f>
        <v>0.066</v>
      </c>
      <c r="O92" s="12" t="n">
        <f aca="false">Valores!$N92/SUMIFS(Valores!$N$2:$N$154,Valores!$H$2:$H$154,"&gt;="&amp;EOMONTH(Valores!$H92,-1)+1,Valores!$H$2:$H$154,"&lt;="&amp;EOMONTH(Valores!$H92,0))</f>
        <v>0.0725195033512801</v>
      </c>
      <c r="P92" s="2" t="n">
        <f aca="false">Valores!$O92*7754000</f>
        <v>562316.228985826</v>
      </c>
    </row>
    <row r="93" customFormat="false" ht="13.8" hidden="false" customHeight="false" outlineLevel="0" collapsed="false">
      <c r="H93" s="10" t="n">
        <v>43800</v>
      </c>
      <c r="I93" s="11" t="e">
        <f aca="false">VLOOKUP(WEEKNUM(Valores!$H93,2)-WEEKNUM(EOMONTH(Valores!$H93,-1)+1,2)+1,Valores!$C$11:$F$16,IF((WEEKNUM(EOMONTH(H93,0),2)-WEEKNUM(EOMONTH(H93,-1)+1,2)+1)=4,2,IF((WEEKNUM(EOMONTH(H93,0),2)-WEEKNUM(EOMONTH(H93,-1)+1,2)+1)=5,3,IF((WEEKNUM(EOMONTH(H93,0),2)-WEEKNUM(EOMONTH(H93,-1)+1,2)+1)=6,4,0))),0)</f>
        <v>#VALUE!</v>
      </c>
      <c r="J93" s="0" t="n">
        <f aca="false">WEEKNUM(Valores!$H93,2)</f>
        <v>48</v>
      </c>
      <c r="K93" s="0" t="n">
        <v>2019</v>
      </c>
      <c r="L93" s="2" t="n">
        <f aca="false">WEEKDAY(Valores!$H93,2)</f>
        <v>7</v>
      </c>
      <c r="M93" s="0" t="n">
        <v>0.098</v>
      </c>
      <c r="N93" s="0" t="e">
        <f aca="false">Valores!$I93*Valores!$M93</f>
        <v>#VALUE!</v>
      </c>
      <c r="O93" s="12" t="e">
        <f aca="false">Valores!$N93/SUMIFS(Valores!$N$2:$N$154,Valores!$H$2:$H$154,"&gt;="&amp;EOMONTH(Valores!$H93,-1)+1,Valores!$H$2:$H$154,"&lt;="&amp;EOMONTH(Valores!$H93,0))</f>
        <v>#VALUE!</v>
      </c>
      <c r="P93" s="2" t="e">
        <f aca="false">Valores!$O93*7754000</f>
        <v>#VALUE!</v>
      </c>
    </row>
    <row r="94" customFormat="false" ht="13.8" hidden="false" customHeight="false" outlineLevel="0" collapsed="false">
      <c r="H94" s="10" t="n">
        <v>43801</v>
      </c>
      <c r="I94" s="11" t="e">
        <f aca="false">VLOOKUP(WEEKNUM(Valores!$H94,2)-WEEKNUM(EOMONTH(Valores!$H94,-1)+1,2)+1,Valores!$C$11:$F$16,IF((WEEKNUM(EOMONTH(H94,0),2)-WEEKNUM(EOMONTH(H94,-1)+1,2)+1)=4,2,IF((WEEKNUM(EOMONTH(H94,0),2)-WEEKNUM(EOMONTH(H94,-1)+1,2)+1)=5,3,IF((WEEKNUM(EOMONTH(H94,0),2)-WEEKNUM(EOMONTH(H94,-1)+1,2)+1)=6,4,0))),0)</f>
        <v>#VALUE!</v>
      </c>
      <c r="J94" s="0" t="n">
        <f aca="false">WEEKNUM(Valores!$H94,2)</f>
        <v>49</v>
      </c>
      <c r="K94" s="0" t="n">
        <v>2019</v>
      </c>
      <c r="L94" s="2" t="n">
        <f aca="false">WEEKDAY(Valores!$H94,2)</f>
        <v>1</v>
      </c>
      <c r="M94" s="0" t="n">
        <f aca="false">VLOOKUP(Valores!$L94,Valores!$C$2:$E$8,3,0)</f>
        <v>0.1</v>
      </c>
      <c r="N94" s="0" t="e">
        <f aca="false">Valores!$I94*Valores!$M94</f>
        <v>#VALUE!</v>
      </c>
      <c r="O94" s="12" t="e">
        <f aca="false">Valores!$N94/SUMIFS(Valores!$N$2:$N$154,Valores!$H$2:$H$154,"&gt;="&amp;EOMONTH(Valores!$H94,-1)+1,Valores!$H$2:$H$154,"&lt;="&amp;EOMONTH(Valores!$H94,0))</f>
        <v>#VALUE!</v>
      </c>
      <c r="P94" s="2" t="e">
        <f aca="false">Valores!$O94*7754000</f>
        <v>#VALUE!</v>
      </c>
    </row>
    <row r="95" customFormat="false" ht="13.8" hidden="false" customHeight="false" outlineLevel="0" collapsed="false">
      <c r="H95" s="10" t="n">
        <v>43802</v>
      </c>
      <c r="I95" s="11" t="e">
        <f aca="false">VLOOKUP(WEEKNUM(Valores!$H95,2)-WEEKNUM(EOMONTH(Valores!$H95,-1)+1,2)+1,Valores!$C$11:$F$16,IF((WEEKNUM(EOMONTH(H95,0),2)-WEEKNUM(EOMONTH(H95,-1)+1,2)+1)=4,2,IF((WEEKNUM(EOMONTH(H95,0),2)-WEEKNUM(EOMONTH(H95,-1)+1,2)+1)=5,3,IF((WEEKNUM(EOMONTH(H95,0),2)-WEEKNUM(EOMONTH(H95,-1)+1,2)+1)=6,4,0))),0)</f>
        <v>#VALUE!</v>
      </c>
      <c r="J95" s="0" t="n">
        <f aca="false">WEEKNUM(Valores!$H95,2)</f>
        <v>49</v>
      </c>
      <c r="K95" s="0" t="n">
        <v>2019</v>
      </c>
      <c r="L95" s="2" t="n">
        <f aca="false">WEEKDAY(Valores!$H95,2)</f>
        <v>2</v>
      </c>
      <c r="M95" s="0" t="n">
        <f aca="false">VLOOKUP(Valores!$L95,Valores!$C$2:$E$8,3,0)</f>
        <v>0.1</v>
      </c>
      <c r="N95" s="0" t="e">
        <f aca="false">Valores!$I95*Valores!$M95</f>
        <v>#VALUE!</v>
      </c>
      <c r="O95" s="12" t="e">
        <f aca="false">Valores!$N95/SUMIFS(Valores!$N$2:$N$154,Valores!$H$2:$H$154,"&gt;="&amp;EOMONTH(Valores!$H95,-1)+1,Valores!$H$2:$H$154,"&lt;="&amp;EOMONTH(Valores!$H95,0))</f>
        <v>#VALUE!</v>
      </c>
      <c r="P95" s="2" t="e">
        <f aca="false">Valores!$O95*7754000</f>
        <v>#VALUE!</v>
      </c>
    </row>
    <row r="96" customFormat="false" ht="13.8" hidden="false" customHeight="false" outlineLevel="0" collapsed="false">
      <c r="H96" s="10" t="n">
        <v>43803</v>
      </c>
      <c r="I96" s="11" t="e">
        <f aca="false">VLOOKUP(WEEKNUM(Valores!$H96,2)-WEEKNUM(EOMONTH(Valores!$H96,-1)+1,2)+1,Valores!$C$11:$F$16,IF((WEEKNUM(EOMONTH(H96,0),2)-WEEKNUM(EOMONTH(H96,-1)+1,2)+1)=4,2,IF((WEEKNUM(EOMONTH(H96,0),2)-WEEKNUM(EOMONTH(H96,-1)+1,2)+1)=5,3,IF((WEEKNUM(EOMONTH(H96,0),2)-WEEKNUM(EOMONTH(H96,-1)+1,2)+1)=6,4,0))),0)</f>
        <v>#VALUE!</v>
      </c>
      <c r="J96" s="0" t="n">
        <f aca="false">WEEKNUM(Valores!$H96,2)</f>
        <v>49</v>
      </c>
      <c r="K96" s="0" t="n">
        <v>2019</v>
      </c>
      <c r="L96" s="2" t="n">
        <f aca="false">WEEKDAY(Valores!$H96,2)</f>
        <v>3</v>
      </c>
      <c r="M96" s="0" t="n">
        <f aca="false">VLOOKUP(Valores!$L96,Valores!$C$2:$E$8,3,0)</f>
        <v>0.1</v>
      </c>
      <c r="N96" s="0" t="e">
        <f aca="false">Valores!$I96*Valores!$M96</f>
        <v>#VALUE!</v>
      </c>
      <c r="O96" s="12" t="e">
        <f aca="false">Valores!$N96/SUMIFS(Valores!$N$2:$N$154,Valores!$H$2:$H$154,"&gt;="&amp;EOMONTH(Valores!$H96,-1)+1,Valores!$H$2:$H$154,"&lt;="&amp;EOMONTH(Valores!$H96,0))</f>
        <v>#VALUE!</v>
      </c>
      <c r="P96" s="2" t="e">
        <f aca="false">Valores!$O96*7754000</f>
        <v>#VALUE!</v>
      </c>
    </row>
    <row r="97" customFormat="false" ht="13.8" hidden="false" customHeight="false" outlineLevel="0" collapsed="false">
      <c r="H97" s="10" t="n">
        <v>43804</v>
      </c>
      <c r="I97" s="11" t="e">
        <f aca="false">VLOOKUP(WEEKNUM(Valores!$H97,2)-WEEKNUM(EOMONTH(Valores!$H97,-1)+1,2)+1,Valores!$C$11:$F$16,IF((WEEKNUM(EOMONTH(H97,0),2)-WEEKNUM(EOMONTH(H97,-1)+1,2)+1)=4,2,IF((WEEKNUM(EOMONTH(H97,0),2)-WEEKNUM(EOMONTH(H97,-1)+1,2)+1)=5,3,IF((WEEKNUM(EOMONTH(H97,0),2)-WEEKNUM(EOMONTH(H97,-1)+1,2)+1)=6,4,0))),0)</f>
        <v>#VALUE!</v>
      </c>
      <c r="J97" s="0" t="n">
        <f aca="false">WEEKNUM(Valores!$H97,2)</f>
        <v>49</v>
      </c>
      <c r="K97" s="0" t="n">
        <v>2019</v>
      </c>
      <c r="L97" s="2" t="n">
        <f aca="false">WEEKDAY(Valores!$H97,2)</f>
        <v>4</v>
      </c>
      <c r="M97" s="0" t="n">
        <f aca="false">VLOOKUP(Valores!$L97,Valores!$C$2:$E$8,3,0)</f>
        <v>0.1</v>
      </c>
      <c r="N97" s="0" t="e">
        <f aca="false">Valores!$I97*Valores!$M97</f>
        <v>#VALUE!</v>
      </c>
      <c r="O97" s="12" t="e">
        <f aca="false">Valores!$N97/SUMIFS(Valores!$N$2:$N$154,Valores!$H$2:$H$154,"&gt;="&amp;EOMONTH(Valores!$H97,-1)+1,Valores!$H$2:$H$154,"&lt;="&amp;EOMONTH(Valores!$H97,0))</f>
        <v>#VALUE!</v>
      </c>
      <c r="P97" s="2" t="e">
        <f aca="false">Valores!$O97*7754000</f>
        <v>#VALUE!</v>
      </c>
    </row>
    <row r="98" customFormat="false" ht="13.8" hidden="false" customHeight="false" outlineLevel="0" collapsed="false">
      <c r="H98" s="10" t="n">
        <v>43805</v>
      </c>
      <c r="I98" s="11" t="e">
        <f aca="false">VLOOKUP(WEEKNUM(Valores!$H98,2)-WEEKNUM(EOMONTH(Valores!$H98,-1)+1,2)+1,Valores!$C$11:$F$16,IF((WEEKNUM(EOMONTH(H98,0),2)-WEEKNUM(EOMONTH(H98,-1)+1,2)+1)=4,2,IF((WEEKNUM(EOMONTH(H98,0),2)-WEEKNUM(EOMONTH(H98,-1)+1,2)+1)=5,3,IF((WEEKNUM(EOMONTH(H98,0),2)-WEEKNUM(EOMONTH(H98,-1)+1,2)+1)=6,4,0))),0)</f>
        <v>#VALUE!</v>
      </c>
      <c r="J98" s="0" t="n">
        <f aca="false">WEEKNUM(Valores!$H98,2)</f>
        <v>49</v>
      </c>
      <c r="K98" s="0" t="n">
        <v>2019</v>
      </c>
      <c r="L98" s="2" t="n">
        <f aca="false">WEEKDAY(Valores!$H98,2)</f>
        <v>5</v>
      </c>
      <c r="M98" s="0" t="n">
        <f aca="false">VLOOKUP(Valores!$L98,Valores!$C$2:$E$8,3,0)</f>
        <v>0.2</v>
      </c>
      <c r="N98" s="0" t="e">
        <f aca="false">Valores!$I98*Valores!$M98</f>
        <v>#VALUE!</v>
      </c>
      <c r="O98" s="12" t="e">
        <f aca="false">Valores!$N98/SUMIFS(Valores!$N$2:$N$154,Valores!$H$2:$H$154,"&gt;="&amp;EOMONTH(Valores!$H98,-1)+1,Valores!$H$2:$H$154,"&lt;="&amp;EOMONTH(Valores!$H98,0))</f>
        <v>#VALUE!</v>
      </c>
      <c r="P98" s="2" t="e">
        <f aca="false">Valores!$O98*7754000</f>
        <v>#VALUE!</v>
      </c>
    </row>
    <row r="99" customFormat="false" ht="13.8" hidden="false" customHeight="false" outlineLevel="0" collapsed="false">
      <c r="H99" s="10" t="n">
        <v>43806</v>
      </c>
      <c r="I99" s="11" t="e">
        <f aca="false">VLOOKUP(WEEKNUM(Valores!$H99,2)-WEEKNUM(EOMONTH(Valores!$H99,-1)+1,2)+1,Valores!$C$11:$F$16,IF((WEEKNUM(EOMONTH(H99,0),2)-WEEKNUM(EOMONTH(H99,-1)+1,2)+1)=4,2,IF((WEEKNUM(EOMONTH(H99,0),2)-WEEKNUM(EOMONTH(H99,-1)+1,2)+1)=5,3,IF((WEEKNUM(EOMONTH(H99,0),2)-WEEKNUM(EOMONTH(H99,-1)+1,2)+1)=6,4,0))),0)</f>
        <v>#VALUE!</v>
      </c>
      <c r="J99" s="0" t="n">
        <f aca="false">WEEKNUM(Valores!$H99,2)</f>
        <v>49</v>
      </c>
      <c r="K99" s="0" t="n">
        <v>2019</v>
      </c>
      <c r="L99" s="2" t="n">
        <f aca="false">WEEKDAY(Valores!$H99,2)</f>
        <v>6</v>
      </c>
      <c r="M99" s="0" t="n">
        <v>0.3</v>
      </c>
      <c r="N99" s="0" t="e">
        <f aca="false">Valores!$I99*Valores!$M99</f>
        <v>#VALUE!</v>
      </c>
      <c r="O99" s="12" t="e">
        <f aca="false">Valores!$N99/SUMIFS(Valores!$N$2:$N$154,Valores!$H$2:$H$154,"&gt;="&amp;EOMONTH(Valores!$H99,-1)+1,Valores!$H$2:$H$154,"&lt;="&amp;EOMONTH(Valores!$H99,0))</f>
        <v>#VALUE!</v>
      </c>
      <c r="P99" s="2" t="e">
        <f aca="false">Valores!$O99*7754000</f>
        <v>#VALUE!</v>
      </c>
    </row>
    <row r="100" customFormat="false" ht="13.8" hidden="false" customHeight="false" outlineLevel="0" collapsed="false">
      <c r="H100" s="10" t="n">
        <v>43807</v>
      </c>
      <c r="I100" s="11" t="e">
        <f aca="false">VLOOKUP(WEEKNUM(Valores!$H100,2)-WEEKNUM(EOMONTH(Valores!$H100,-1)+1,2)+1,Valores!$C$11:$F$16,IF((WEEKNUM(EOMONTH(H100,0),2)-WEEKNUM(EOMONTH(H100,-1)+1,2)+1)=4,2,IF((WEEKNUM(EOMONTH(H100,0),2)-WEEKNUM(EOMONTH(H100,-1)+1,2)+1)=5,3,IF((WEEKNUM(EOMONTH(H100,0),2)-WEEKNUM(EOMONTH(H100,-1)+1,2)+1)=6,4,0))),0)</f>
        <v>#VALUE!</v>
      </c>
      <c r="J100" s="0" t="n">
        <f aca="false">WEEKNUM(Valores!$H100,2)</f>
        <v>49</v>
      </c>
      <c r="K100" s="0" t="n">
        <v>2019</v>
      </c>
      <c r="L100" s="2" t="n">
        <f aca="false">WEEKDAY(Valores!$H100,2)</f>
        <v>7</v>
      </c>
      <c r="M100" s="0" t="n">
        <v>0.18</v>
      </c>
      <c r="N100" s="0" t="e">
        <f aca="false">Valores!$I100*Valores!$M100</f>
        <v>#VALUE!</v>
      </c>
      <c r="O100" s="12" t="e">
        <f aca="false">Valores!$N100/SUMIFS(Valores!$N$2:$N$154,Valores!$H$2:$H$154,"&gt;="&amp;EOMONTH(Valores!$H100,-1)+1,Valores!$H$2:$H$154,"&lt;="&amp;EOMONTH(Valores!$H100,0))</f>
        <v>#VALUE!</v>
      </c>
      <c r="P100" s="2" t="e">
        <f aca="false">Valores!$O100*7754000</f>
        <v>#VALUE!</v>
      </c>
    </row>
    <row r="101" customFormat="false" ht="13.8" hidden="false" customHeight="false" outlineLevel="0" collapsed="false">
      <c r="H101" s="10" t="n">
        <v>43808</v>
      </c>
      <c r="I101" s="11" t="e">
        <f aca="false">VLOOKUP(WEEKNUM(Valores!$H101,2)-WEEKNUM(EOMONTH(Valores!$H101,-1)+1,2)+1,Valores!$C$11:$F$16,IF((WEEKNUM(EOMONTH(H101,0),2)-WEEKNUM(EOMONTH(H101,-1)+1,2)+1)=4,2,IF((WEEKNUM(EOMONTH(H101,0),2)-WEEKNUM(EOMONTH(H101,-1)+1,2)+1)=5,3,IF((WEEKNUM(EOMONTH(H101,0),2)-WEEKNUM(EOMONTH(H101,-1)+1,2)+1)=6,4,0))),0)</f>
        <v>#VALUE!</v>
      </c>
      <c r="J101" s="0" t="n">
        <f aca="false">WEEKNUM(Valores!$H101,2)</f>
        <v>50</v>
      </c>
      <c r="K101" s="0" t="n">
        <v>2019</v>
      </c>
      <c r="L101" s="2" t="n">
        <f aca="false">WEEKDAY(Valores!$H101,2)</f>
        <v>1</v>
      </c>
      <c r="M101" s="0" t="n">
        <f aca="false">VLOOKUP(Valores!$L101,Valores!$C$2:$E$8,3,0)</f>
        <v>0.1</v>
      </c>
      <c r="N101" s="0" t="e">
        <f aca="false">Valores!$I101*Valores!$M101</f>
        <v>#VALUE!</v>
      </c>
      <c r="O101" s="12" t="e">
        <f aca="false">Valores!$N101/SUMIFS(Valores!$N$2:$N$154,Valores!$H$2:$H$154,"&gt;="&amp;EOMONTH(Valores!$H101,-1)+1,Valores!$H$2:$H$154,"&lt;="&amp;EOMONTH(Valores!$H101,0))</f>
        <v>#VALUE!</v>
      </c>
      <c r="P101" s="2" t="e">
        <f aca="false">Valores!$O101*7754000</f>
        <v>#VALUE!</v>
      </c>
    </row>
    <row r="102" customFormat="false" ht="13.8" hidden="false" customHeight="false" outlineLevel="0" collapsed="false">
      <c r="H102" s="10" t="n">
        <v>43809</v>
      </c>
      <c r="I102" s="11" t="e">
        <f aca="false">VLOOKUP(WEEKNUM(Valores!$H102,2)-WEEKNUM(EOMONTH(Valores!$H102,-1)+1,2)+1,Valores!$C$11:$F$16,IF((WEEKNUM(EOMONTH(H102,0),2)-WEEKNUM(EOMONTH(H102,-1)+1,2)+1)=4,2,IF((WEEKNUM(EOMONTH(H102,0),2)-WEEKNUM(EOMONTH(H102,-1)+1,2)+1)=5,3,IF((WEEKNUM(EOMONTH(H102,0),2)-WEEKNUM(EOMONTH(H102,-1)+1,2)+1)=6,4,0))),0)</f>
        <v>#VALUE!</v>
      </c>
      <c r="J102" s="0" t="n">
        <f aca="false">WEEKNUM(Valores!$H102,2)</f>
        <v>50</v>
      </c>
      <c r="K102" s="0" t="n">
        <v>2019</v>
      </c>
      <c r="L102" s="2" t="n">
        <f aca="false">WEEKDAY(Valores!$H102,2)</f>
        <v>2</v>
      </c>
      <c r="M102" s="0" t="n">
        <f aca="false">VLOOKUP(Valores!$L102,Valores!$C$2:$E$8,3,0)</f>
        <v>0.1</v>
      </c>
      <c r="N102" s="0" t="e">
        <f aca="false">Valores!$I102*Valores!$M102</f>
        <v>#VALUE!</v>
      </c>
      <c r="O102" s="12" t="e">
        <f aca="false">Valores!$N102/SUMIFS(Valores!$N$2:$N$154,Valores!$H$2:$H$154,"&gt;="&amp;EOMONTH(Valores!$H102,-1)+1,Valores!$H$2:$H$154,"&lt;="&amp;EOMONTH(Valores!$H102,0))</f>
        <v>#VALUE!</v>
      </c>
      <c r="P102" s="2" t="e">
        <f aca="false">Valores!$O102*7754000</f>
        <v>#VALUE!</v>
      </c>
    </row>
    <row r="103" customFormat="false" ht="13.8" hidden="false" customHeight="false" outlineLevel="0" collapsed="false">
      <c r="H103" s="10" t="n">
        <v>43810</v>
      </c>
      <c r="I103" s="11" t="e">
        <f aca="false">VLOOKUP(WEEKNUM(Valores!$H103,2)-WEEKNUM(EOMONTH(Valores!$H103,-1)+1,2)+1,Valores!$C$11:$F$16,IF((WEEKNUM(EOMONTH(H103,0),2)-WEEKNUM(EOMONTH(H103,-1)+1,2)+1)=4,2,IF((WEEKNUM(EOMONTH(H103,0),2)-WEEKNUM(EOMONTH(H103,-1)+1,2)+1)=5,3,IF((WEEKNUM(EOMONTH(H103,0),2)-WEEKNUM(EOMONTH(H103,-1)+1,2)+1)=6,4,0))),0)</f>
        <v>#VALUE!</v>
      </c>
      <c r="J103" s="0" t="n">
        <f aca="false">WEEKNUM(Valores!$H103,2)</f>
        <v>50</v>
      </c>
      <c r="K103" s="0" t="n">
        <v>2019</v>
      </c>
      <c r="L103" s="2" t="n">
        <f aca="false">WEEKDAY(Valores!$H103,2)</f>
        <v>3</v>
      </c>
      <c r="M103" s="0" t="n">
        <f aca="false">VLOOKUP(Valores!$L103,Valores!$C$2:$E$8,3,0)</f>
        <v>0.1</v>
      </c>
      <c r="N103" s="0" t="e">
        <f aca="false">Valores!$I103*Valores!$M103</f>
        <v>#VALUE!</v>
      </c>
      <c r="O103" s="12" t="e">
        <f aca="false">Valores!$N103/SUMIFS(Valores!$N$2:$N$154,Valores!$H$2:$H$154,"&gt;="&amp;EOMONTH(Valores!$H103,-1)+1,Valores!$H$2:$H$154,"&lt;="&amp;EOMONTH(Valores!$H103,0))</f>
        <v>#VALUE!</v>
      </c>
      <c r="P103" s="2" t="e">
        <f aca="false">Valores!$O103*7754000</f>
        <v>#VALUE!</v>
      </c>
    </row>
    <row r="104" customFormat="false" ht="13.8" hidden="false" customHeight="false" outlineLevel="0" collapsed="false">
      <c r="H104" s="10" t="n">
        <v>43811</v>
      </c>
      <c r="I104" s="11" t="e">
        <f aca="false">VLOOKUP(WEEKNUM(Valores!$H104,2)-WEEKNUM(EOMONTH(Valores!$H104,-1)+1,2)+1,Valores!$C$11:$F$16,IF((WEEKNUM(EOMONTH(H104,0),2)-WEEKNUM(EOMONTH(H104,-1)+1,2)+1)=4,2,IF((WEEKNUM(EOMONTH(H104,0),2)-WEEKNUM(EOMONTH(H104,-1)+1,2)+1)=5,3,IF((WEEKNUM(EOMONTH(H104,0),2)-WEEKNUM(EOMONTH(H104,-1)+1,2)+1)=6,4,0))),0)</f>
        <v>#VALUE!</v>
      </c>
      <c r="J104" s="0" t="n">
        <f aca="false">WEEKNUM(Valores!$H104,2)</f>
        <v>50</v>
      </c>
      <c r="K104" s="0" t="n">
        <v>2019</v>
      </c>
      <c r="L104" s="2" t="n">
        <f aca="false">WEEKDAY(Valores!$H104,2)</f>
        <v>4</v>
      </c>
      <c r="M104" s="0" t="n">
        <f aca="false">VLOOKUP(Valores!$L104,Valores!$C$2:$E$8,3,0)</f>
        <v>0.1</v>
      </c>
      <c r="N104" s="0" t="e">
        <f aca="false">Valores!$I104*Valores!$M104</f>
        <v>#VALUE!</v>
      </c>
      <c r="O104" s="12" t="e">
        <f aca="false">Valores!$N104/SUMIFS(Valores!$N$2:$N$154,Valores!$H$2:$H$154,"&gt;="&amp;EOMONTH(Valores!$H104,-1)+1,Valores!$H$2:$H$154,"&lt;="&amp;EOMONTH(Valores!$H104,0))</f>
        <v>#VALUE!</v>
      </c>
      <c r="P104" s="2" t="e">
        <f aca="false">Valores!$O104*7754000</f>
        <v>#VALUE!</v>
      </c>
    </row>
    <row r="105" customFormat="false" ht="13.8" hidden="false" customHeight="false" outlineLevel="0" collapsed="false">
      <c r="H105" s="10" t="n">
        <v>43812</v>
      </c>
      <c r="I105" s="11" t="e">
        <f aca="false">VLOOKUP(WEEKNUM(Valores!$H105,2)-WEEKNUM(EOMONTH(Valores!$H105,-1)+1,2)+1,Valores!$C$11:$F$16,IF((WEEKNUM(EOMONTH(H105,0),2)-WEEKNUM(EOMONTH(H105,-1)+1,2)+1)=4,2,IF((WEEKNUM(EOMONTH(H105,0),2)-WEEKNUM(EOMONTH(H105,-1)+1,2)+1)=5,3,IF((WEEKNUM(EOMONTH(H105,0),2)-WEEKNUM(EOMONTH(H105,-1)+1,2)+1)=6,4,0))),0)</f>
        <v>#VALUE!</v>
      </c>
      <c r="J105" s="0" t="n">
        <f aca="false">WEEKNUM(Valores!$H105,2)</f>
        <v>50</v>
      </c>
      <c r="K105" s="0" t="n">
        <v>2019</v>
      </c>
      <c r="L105" s="2" t="n">
        <f aca="false">WEEKDAY(Valores!$H105,2)</f>
        <v>5</v>
      </c>
      <c r="M105" s="0" t="n">
        <v>0.17</v>
      </c>
      <c r="N105" s="0" t="e">
        <f aca="false">Valores!$I105*Valores!$M105</f>
        <v>#VALUE!</v>
      </c>
      <c r="O105" s="12" t="e">
        <f aca="false">Valores!$N105/SUMIFS(Valores!$N$2:$N$154,Valores!$H$2:$H$154,"&gt;="&amp;EOMONTH(Valores!$H105,-1)+1,Valores!$H$2:$H$154,"&lt;="&amp;EOMONTH(Valores!$H105,0))</f>
        <v>#VALUE!</v>
      </c>
      <c r="P105" s="2" t="e">
        <f aca="false">Valores!$O105*7754000</f>
        <v>#VALUE!</v>
      </c>
    </row>
    <row r="106" customFormat="false" ht="13.8" hidden="false" customHeight="false" outlineLevel="0" collapsed="false">
      <c r="H106" s="10" t="n">
        <v>43813</v>
      </c>
      <c r="I106" s="11" t="e">
        <f aca="false">VLOOKUP(WEEKNUM(Valores!$H106,2)-WEEKNUM(EOMONTH(Valores!$H106,-1)+1,2)+1,Valores!$C$11:$F$16,IF((WEEKNUM(EOMONTH(H106,0),2)-WEEKNUM(EOMONTH(H106,-1)+1,2)+1)=4,2,IF((WEEKNUM(EOMONTH(H106,0),2)-WEEKNUM(EOMONTH(H106,-1)+1,2)+1)=5,3,IF((WEEKNUM(EOMONTH(H106,0),2)-WEEKNUM(EOMONTH(H106,-1)+1,2)+1)=6,4,0))),0)</f>
        <v>#VALUE!</v>
      </c>
      <c r="J106" s="0" t="n">
        <f aca="false">WEEKNUM(Valores!$H106,2)</f>
        <v>50</v>
      </c>
      <c r="K106" s="0" t="n">
        <v>2019</v>
      </c>
      <c r="L106" s="2" t="n">
        <f aca="false">WEEKDAY(Valores!$H106,2)</f>
        <v>6</v>
      </c>
      <c r="M106" s="0" t="n">
        <v>0.21</v>
      </c>
      <c r="N106" s="0" t="e">
        <f aca="false">Valores!$I106*Valores!$M106</f>
        <v>#VALUE!</v>
      </c>
      <c r="O106" s="12" t="e">
        <f aca="false">Valores!$N106/SUMIFS(Valores!$N$2:$N$154,Valores!$H$2:$H$154,"&gt;="&amp;EOMONTH(Valores!$H106,-1)+1,Valores!$H$2:$H$154,"&lt;="&amp;EOMONTH(Valores!$H106,0))</f>
        <v>#VALUE!</v>
      </c>
      <c r="P106" s="2" t="e">
        <f aca="false">Valores!$O106*7754000</f>
        <v>#VALUE!</v>
      </c>
    </row>
    <row r="107" customFormat="false" ht="13.8" hidden="false" customHeight="false" outlineLevel="0" collapsed="false">
      <c r="H107" s="10" t="n">
        <v>43814</v>
      </c>
      <c r="I107" s="11" t="e">
        <f aca="false">VLOOKUP(WEEKNUM(Valores!$H107,2)-WEEKNUM(EOMONTH(Valores!$H107,-1)+1,2)+1,Valores!$C$11:$F$16,IF((WEEKNUM(EOMONTH(H107,0),2)-WEEKNUM(EOMONTH(H107,-1)+1,2)+1)=4,2,IF((WEEKNUM(EOMONTH(H107,0),2)-WEEKNUM(EOMONTH(H107,-1)+1,2)+1)=5,3,IF((WEEKNUM(EOMONTH(H107,0),2)-WEEKNUM(EOMONTH(H107,-1)+1,2)+1)=6,4,0))),0)</f>
        <v>#VALUE!</v>
      </c>
      <c r="J107" s="0" t="n">
        <f aca="false">WEEKNUM(Valores!$H107,2)</f>
        <v>50</v>
      </c>
      <c r="K107" s="0" t="n">
        <v>2019</v>
      </c>
      <c r="L107" s="2" t="n">
        <f aca="false">WEEKDAY(Valores!$H107,2)</f>
        <v>7</v>
      </c>
      <c r="M107" s="0" t="n">
        <f aca="false">VLOOKUP(Valores!$L107,Valores!$C$2:$E$8,3,0)</f>
        <v>0.15</v>
      </c>
      <c r="N107" s="0" t="e">
        <f aca="false">Valores!$I107*Valores!$M107</f>
        <v>#VALUE!</v>
      </c>
      <c r="O107" s="12" t="e">
        <f aca="false">Valores!$N107/SUMIFS(Valores!$N$2:$N$154,Valores!$H$2:$H$154,"&gt;="&amp;EOMONTH(Valores!$H107,-1)+1,Valores!$H$2:$H$154,"&lt;="&amp;EOMONTH(Valores!$H107,0))</f>
        <v>#VALUE!</v>
      </c>
      <c r="P107" s="2" t="e">
        <f aca="false">Valores!$O107*7754000</f>
        <v>#VALUE!</v>
      </c>
    </row>
    <row r="108" customFormat="false" ht="13.8" hidden="false" customHeight="false" outlineLevel="0" collapsed="false">
      <c r="H108" s="10" t="n">
        <v>43815</v>
      </c>
      <c r="I108" s="11" t="e">
        <f aca="false">VLOOKUP(WEEKNUM(Valores!$H108,2)-WEEKNUM(EOMONTH(Valores!$H108,-1)+1,2)+1,Valores!$C$11:$F$16,IF((WEEKNUM(EOMONTH(H108,0),2)-WEEKNUM(EOMONTH(H108,-1)+1,2)+1)=4,2,IF((WEEKNUM(EOMONTH(H108,0),2)-WEEKNUM(EOMONTH(H108,-1)+1,2)+1)=5,3,IF((WEEKNUM(EOMONTH(H108,0),2)-WEEKNUM(EOMONTH(H108,-1)+1,2)+1)=6,4,0))),0)</f>
        <v>#VALUE!</v>
      </c>
      <c r="J108" s="0" t="n">
        <f aca="false">WEEKNUM(Valores!$H108,2)</f>
        <v>51</v>
      </c>
      <c r="K108" s="0" t="n">
        <v>2019</v>
      </c>
      <c r="L108" s="2" t="n">
        <f aca="false">WEEKDAY(Valores!$H108,2)</f>
        <v>1</v>
      </c>
      <c r="M108" s="0" t="n">
        <f aca="false">VLOOKUP(Valores!$L108,Valores!$C$2:$E$8,3,0)</f>
        <v>0.1</v>
      </c>
      <c r="N108" s="0" t="e">
        <f aca="false">Valores!$I108*Valores!$M108</f>
        <v>#VALUE!</v>
      </c>
      <c r="O108" s="12" t="e">
        <f aca="false">Valores!$N108/SUMIFS(Valores!$N$2:$N$154,Valores!$H$2:$H$154,"&gt;="&amp;EOMONTH(Valores!$H108,-1)+1,Valores!$H$2:$H$154,"&lt;="&amp;EOMONTH(Valores!$H108,0))</f>
        <v>#VALUE!</v>
      </c>
      <c r="P108" s="2" t="e">
        <f aca="false">Valores!$O108*7754000</f>
        <v>#VALUE!</v>
      </c>
    </row>
    <row r="109" customFormat="false" ht="13.8" hidden="false" customHeight="false" outlineLevel="0" collapsed="false">
      <c r="H109" s="10" t="n">
        <v>43816</v>
      </c>
      <c r="I109" s="11" t="e">
        <f aca="false">VLOOKUP(WEEKNUM(Valores!$H109,2)-WEEKNUM(EOMONTH(Valores!$H109,-1)+1,2)+1,Valores!$C$11:$F$16,IF((WEEKNUM(EOMONTH(H109,0),2)-WEEKNUM(EOMONTH(H109,-1)+1,2)+1)=4,2,IF((WEEKNUM(EOMONTH(H109,0),2)-WEEKNUM(EOMONTH(H109,-1)+1,2)+1)=5,3,IF((WEEKNUM(EOMONTH(H109,0),2)-WEEKNUM(EOMONTH(H109,-1)+1,2)+1)=6,4,0))),0)</f>
        <v>#VALUE!</v>
      </c>
      <c r="J109" s="0" t="n">
        <f aca="false">WEEKNUM(Valores!$H109,2)</f>
        <v>51</v>
      </c>
      <c r="K109" s="0" t="n">
        <v>2019</v>
      </c>
      <c r="L109" s="2" t="n">
        <f aca="false">WEEKDAY(Valores!$H109,2)</f>
        <v>2</v>
      </c>
      <c r="M109" s="0" t="n">
        <f aca="false">VLOOKUP(Valores!$L109,Valores!$C$2:$E$8,3,0)</f>
        <v>0.1</v>
      </c>
      <c r="N109" s="0" t="e">
        <f aca="false">Valores!$I109*Valores!$M109</f>
        <v>#VALUE!</v>
      </c>
      <c r="O109" s="12" t="e">
        <f aca="false">Valores!$N109/SUMIFS(Valores!$N$2:$N$154,Valores!$H$2:$H$154,"&gt;="&amp;EOMONTH(Valores!$H109,-1)+1,Valores!$H$2:$H$154,"&lt;="&amp;EOMONTH(Valores!$H109,0))</f>
        <v>#VALUE!</v>
      </c>
      <c r="P109" s="2" t="e">
        <f aca="false">Valores!$O109*7754000</f>
        <v>#VALUE!</v>
      </c>
    </row>
    <row r="110" customFormat="false" ht="13.8" hidden="false" customHeight="false" outlineLevel="0" collapsed="false">
      <c r="H110" s="10" t="n">
        <v>43817</v>
      </c>
      <c r="I110" s="11" t="e">
        <f aca="false">VLOOKUP(WEEKNUM(Valores!$H110,2)-WEEKNUM(EOMONTH(Valores!$H110,-1)+1,2)+1,Valores!$C$11:$F$16,IF((WEEKNUM(EOMONTH(H110,0),2)-WEEKNUM(EOMONTH(H110,-1)+1,2)+1)=4,2,IF((WEEKNUM(EOMONTH(H110,0),2)-WEEKNUM(EOMONTH(H110,-1)+1,2)+1)=5,3,IF((WEEKNUM(EOMONTH(H110,0),2)-WEEKNUM(EOMONTH(H110,-1)+1,2)+1)=6,4,0))),0)</f>
        <v>#VALUE!</v>
      </c>
      <c r="J110" s="0" t="n">
        <f aca="false">WEEKNUM(Valores!$H110,2)</f>
        <v>51</v>
      </c>
      <c r="K110" s="0" t="n">
        <v>2019</v>
      </c>
      <c r="L110" s="2" t="n">
        <f aca="false">WEEKDAY(Valores!$H110,2)</f>
        <v>3</v>
      </c>
      <c r="M110" s="0" t="n">
        <f aca="false">VLOOKUP(Valores!$L110,Valores!$C$2:$E$8,3,0)</f>
        <v>0.1</v>
      </c>
      <c r="N110" s="0" t="e">
        <f aca="false">Valores!$I110*Valores!$M110</f>
        <v>#VALUE!</v>
      </c>
      <c r="O110" s="12" t="e">
        <f aca="false">Valores!$N110/SUMIFS(Valores!$N$2:$N$154,Valores!$H$2:$H$154,"&gt;="&amp;EOMONTH(Valores!$H110,-1)+1,Valores!$H$2:$H$154,"&lt;="&amp;EOMONTH(Valores!$H110,0))</f>
        <v>#VALUE!</v>
      </c>
      <c r="P110" s="2" t="e">
        <f aca="false">Valores!$O110*7754000</f>
        <v>#VALUE!</v>
      </c>
    </row>
    <row r="111" customFormat="false" ht="13.8" hidden="false" customHeight="false" outlineLevel="0" collapsed="false">
      <c r="H111" s="10" t="n">
        <v>43818</v>
      </c>
      <c r="I111" s="11" t="e">
        <f aca="false">VLOOKUP(WEEKNUM(Valores!$H111,2)-WEEKNUM(EOMONTH(Valores!$H111,-1)+1,2)+1,Valores!$C$11:$F$16,IF((WEEKNUM(EOMONTH(H111,0),2)-WEEKNUM(EOMONTH(H111,-1)+1,2)+1)=4,2,IF((WEEKNUM(EOMONTH(H111,0),2)-WEEKNUM(EOMONTH(H111,-1)+1,2)+1)=5,3,IF((WEEKNUM(EOMONTH(H111,0),2)-WEEKNUM(EOMONTH(H111,-1)+1,2)+1)=6,4,0))),0)</f>
        <v>#VALUE!</v>
      </c>
      <c r="J111" s="0" t="n">
        <f aca="false">WEEKNUM(Valores!$H111,2)</f>
        <v>51</v>
      </c>
      <c r="K111" s="0" t="n">
        <v>2019</v>
      </c>
      <c r="L111" s="2" t="n">
        <f aca="false">WEEKDAY(Valores!$H111,2)</f>
        <v>4</v>
      </c>
      <c r="M111" s="0" t="n">
        <v>0.17</v>
      </c>
      <c r="N111" s="0" t="e">
        <f aca="false">Valores!$I111*Valores!$M111</f>
        <v>#VALUE!</v>
      </c>
      <c r="O111" s="12" t="e">
        <f aca="false">Valores!$N111/SUMIFS(Valores!$N$2:$N$154,Valores!$H$2:$H$154,"&gt;="&amp;EOMONTH(Valores!$H111,-1)+1,Valores!$H$2:$H$154,"&lt;="&amp;EOMONTH(Valores!$H111,0))</f>
        <v>#VALUE!</v>
      </c>
      <c r="P111" s="2" t="e">
        <f aca="false">Valores!$O111*7754000</f>
        <v>#VALUE!</v>
      </c>
    </row>
    <row r="112" customFormat="false" ht="13.8" hidden="false" customHeight="false" outlineLevel="0" collapsed="false">
      <c r="H112" s="10" t="n">
        <v>43819</v>
      </c>
      <c r="I112" s="11" t="e">
        <f aca="false">VLOOKUP(WEEKNUM(Valores!$H112,2)-WEEKNUM(EOMONTH(Valores!$H112,-1)+1,2)+1,Valores!$C$11:$F$16,IF((WEEKNUM(EOMONTH(H112,0),2)-WEEKNUM(EOMONTH(H112,-1)+1,2)+1)=4,2,IF((WEEKNUM(EOMONTH(H112,0),2)-WEEKNUM(EOMONTH(H112,-1)+1,2)+1)=5,3,IF((WEEKNUM(EOMONTH(H112,0),2)-WEEKNUM(EOMONTH(H112,-1)+1,2)+1)=6,4,0))),0)</f>
        <v>#VALUE!</v>
      </c>
      <c r="J112" s="0" t="n">
        <f aca="false">WEEKNUM(Valores!$H112,2)</f>
        <v>51</v>
      </c>
      <c r="K112" s="0" t="n">
        <v>2019</v>
      </c>
      <c r="L112" s="2" t="n">
        <f aca="false">WEEKDAY(Valores!$H112,2)</f>
        <v>5</v>
      </c>
      <c r="M112" s="0" t="n">
        <v>0.38</v>
      </c>
      <c r="N112" s="0" t="e">
        <f aca="false">Valores!$I112*Valores!$M112</f>
        <v>#VALUE!</v>
      </c>
      <c r="O112" s="12" t="e">
        <f aca="false">Valores!$N112/SUMIFS(Valores!$N$2:$N$154,Valores!$H$2:$H$154,"&gt;="&amp;EOMONTH(Valores!$H112,-1)+1,Valores!$H$2:$H$154,"&lt;="&amp;EOMONTH(Valores!$H112,0))</f>
        <v>#VALUE!</v>
      </c>
      <c r="P112" s="2" t="e">
        <f aca="false">Valores!$O112*7754000</f>
        <v>#VALUE!</v>
      </c>
    </row>
    <row r="113" customFormat="false" ht="13.8" hidden="false" customHeight="false" outlineLevel="0" collapsed="false">
      <c r="H113" s="10" t="n">
        <v>43820</v>
      </c>
      <c r="I113" s="11" t="e">
        <f aca="false">VLOOKUP(WEEKNUM(Valores!$H113,2)-WEEKNUM(EOMONTH(Valores!$H113,-1)+1,2)+1,Valores!$C$11:$F$16,IF((WEEKNUM(EOMONTH(H113,0),2)-WEEKNUM(EOMONTH(H113,-1)+1,2)+1)=4,2,IF((WEEKNUM(EOMONTH(H113,0),2)-WEEKNUM(EOMONTH(H113,-1)+1,2)+1)=5,3,IF((WEEKNUM(EOMONTH(H113,0),2)-WEEKNUM(EOMONTH(H113,-1)+1,2)+1)=6,4,0))),0)</f>
        <v>#VALUE!</v>
      </c>
      <c r="J113" s="0" t="n">
        <f aca="false">WEEKNUM(Valores!$H113,2)</f>
        <v>51</v>
      </c>
      <c r="K113" s="0" t="n">
        <v>2019</v>
      </c>
      <c r="L113" s="2" t="n">
        <f aca="false">WEEKDAY(Valores!$H113,2)</f>
        <v>6</v>
      </c>
      <c r="M113" s="0" t="n">
        <v>0.46</v>
      </c>
      <c r="N113" s="0" t="e">
        <f aca="false">Valores!$I113*Valores!$M113</f>
        <v>#VALUE!</v>
      </c>
      <c r="O113" s="12" t="e">
        <f aca="false">Valores!$N113/SUMIFS(Valores!$N$2:$N$154,Valores!$H$2:$H$154,"&gt;="&amp;EOMONTH(Valores!$H113,-1)+1,Valores!$H$2:$H$154,"&lt;="&amp;EOMONTH(Valores!$H113,0))</f>
        <v>#VALUE!</v>
      </c>
      <c r="P113" s="2" t="e">
        <f aca="false">Valores!$O113*7754000</f>
        <v>#VALUE!</v>
      </c>
    </row>
    <row r="114" customFormat="false" ht="13.8" hidden="false" customHeight="false" outlineLevel="0" collapsed="false">
      <c r="H114" s="10" t="n">
        <v>43821</v>
      </c>
      <c r="I114" s="11" t="e">
        <f aca="false">VLOOKUP(WEEKNUM(Valores!$H114,2)-WEEKNUM(EOMONTH(Valores!$H114,-1)+1,2)+1,Valores!$C$11:$F$16,IF((WEEKNUM(EOMONTH(H114,0),2)-WEEKNUM(EOMONTH(H114,-1)+1,2)+1)=4,2,IF((WEEKNUM(EOMONTH(H114,0),2)-WEEKNUM(EOMONTH(H114,-1)+1,2)+1)=5,3,IF((WEEKNUM(EOMONTH(H114,0),2)-WEEKNUM(EOMONTH(H114,-1)+1,2)+1)=6,4,0))),0)</f>
        <v>#VALUE!</v>
      </c>
      <c r="J114" s="0" t="n">
        <f aca="false">WEEKNUM(Valores!$H114,2)</f>
        <v>51</v>
      </c>
      <c r="K114" s="0" t="n">
        <v>2019</v>
      </c>
      <c r="L114" s="2" t="n">
        <f aca="false">WEEKDAY(Valores!$H114,2)</f>
        <v>7</v>
      </c>
      <c r="M114" s="0" t="n">
        <v>0.3</v>
      </c>
      <c r="N114" s="0" t="e">
        <f aca="false">Valores!$I114*Valores!$M114</f>
        <v>#VALUE!</v>
      </c>
      <c r="O114" s="12" t="e">
        <f aca="false">Valores!$N114/SUMIFS(Valores!$N$2:$N$154,Valores!$H$2:$H$154,"&gt;="&amp;EOMONTH(Valores!$H114,-1)+1,Valores!$H$2:$H$154,"&lt;="&amp;EOMONTH(Valores!$H114,0))</f>
        <v>#VALUE!</v>
      </c>
      <c r="P114" s="2" t="e">
        <f aca="false">Valores!$O114*7754000</f>
        <v>#VALUE!</v>
      </c>
    </row>
    <row r="115" customFormat="false" ht="13.8" hidden="false" customHeight="false" outlineLevel="0" collapsed="false">
      <c r="H115" s="10" t="n">
        <v>43822</v>
      </c>
      <c r="I115" s="11" t="e">
        <f aca="false">VLOOKUP(WEEKNUM(Valores!$H115,2)-WEEKNUM(EOMONTH(Valores!$H115,-1)+1,2)+1,Valores!$C$11:$F$16,IF((WEEKNUM(EOMONTH(H115,0),2)-WEEKNUM(EOMONTH(H115,-1)+1,2)+1)=4,2,IF((WEEKNUM(EOMONTH(H115,0),2)-WEEKNUM(EOMONTH(H115,-1)+1,2)+1)=5,3,IF((WEEKNUM(EOMONTH(H115,0),2)-WEEKNUM(EOMONTH(H115,-1)+1,2)+1)=6,4,0))),0)</f>
        <v>#VALUE!</v>
      </c>
      <c r="J115" s="0" t="n">
        <f aca="false">WEEKNUM(Valores!$H115,2)</f>
        <v>52</v>
      </c>
      <c r="K115" s="0" t="n">
        <v>2019</v>
      </c>
      <c r="L115" s="2" t="n">
        <f aca="false">WEEKDAY(Valores!$H115,2)</f>
        <v>1</v>
      </c>
      <c r="M115" s="0" t="n">
        <v>0.5</v>
      </c>
      <c r="N115" s="0" t="e">
        <f aca="false">Valores!$I115*Valores!$M115</f>
        <v>#VALUE!</v>
      </c>
      <c r="O115" s="12" t="e">
        <f aca="false">Valores!$N115/SUMIFS(Valores!$N$2:$N$154,Valores!$H$2:$H$154,"&gt;="&amp;EOMONTH(Valores!$H115,-1)+1,Valores!$H$2:$H$154,"&lt;="&amp;EOMONTH(Valores!$H115,0))</f>
        <v>#VALUE!</v>
      </c>
      <c r="P115" s="2" t="e">
        <f aca="false">Valores!$O115*7754000</f>
        <v>#VALUE!</v>
      </c>
    </row>
    <row r="116" customFormat="false" ht="13.8" hidden="false" customHeight="false" outlineLevel="0" collapsed="false">
      <c r="H116" s="10" t="n">
        <v>43823</v>
      </c>
      <c r="I116" s="11" t="e">
        <f aca="false">VLOOKUP(WEEKNUM(Valores!$H116,2)-WEEKNUM(EOMONTH(Valores!$H116,-1)+1,2)+1,Valores!$C$11:$F$16,IF((WEEKNUM(EOMONTH(H116,0),2)-WEEKNUM(EOMONTH(H116,-1)+1,2)+1)=4,2,IF((WEEKNUM(EOMONTH(H116,0),2)-WEEKNUM(EOMONTH(H116,-1)+1,2)+1)=5,3,IF((WEEKNUM(EOMONTH(H116,0),2)-WEEKNUM(EOMONTH(H116,-1)+1,2)+1)=6,4,0))),0)</f>
        <v>#VALUE!</v>
      </c>
      <c r="J116" s="0" t="n">
        <f aca="false">WEEKNUM(Valores!$H116,2)</f>
        <v>52</v>
      </c>
      <c r="K116" s="0" t="n">
        <v>2019</v>
      </c>
      <c r="L116" s="2" t="n">
        <f aca="false">WEEKDAY(Valores!$H116,2)</f>
        <v>2</v>
      </c>
      <c r="M116" s="0" t="n">
        <v>0.45</v>
      </c>
      <c r="N116" s="0" t="e">
        <f aca="false">Valores!$I116*Valores!$M116</f>
        <v>#VALUE!</v>
      </c>
      <c r="O116" s="12" t="e">
        <f aca="false">Valores!$N116/SUMIFS(Valores!$N$2:$N$154,Valores!$H$2:$H$154,"&gt;="&amp;EOMONTH(Valores!$H116,-1)+1,Valores!$H$2:$H$154,"&lt;="&amp;EOMONTH(Valores!$H116,0))</f>
        <v>#VALUE!</v>
      </c>
      <c r="P116" s="2" t="e">
        <f aca="false">Valores!$O116*7754000</f>
        <v>#VALUE!</v>
      </c>
    </row>
    <row r="117" customFormat="false" ht="13.8" hidden="false" customHeight="false" outlineLevel="0" collapsed="false">
      <c r="H117" s="10" t="n">
        <v>43824</v>
      </c>
      <c r="I117" s="11" t="e">
        <f aca="false">VLOOKUP(WEEKNUM(Valores!$H117,2)-WEEKNUM(EOMONTH(Valores!$H117,-1)+1,2)+1,Valores!$C$11:$F$16,IF((WEEKNUM(EOMONTH(H117,0),2)-WEEKNUM(EOMONTH(H117,-1)+1,2)+1)=4,2,IF((WEEKNUM(EOMONTH(H117,0),2)-WEEKNUM(EOMONTH(H117,-1)+1,2)+1)=5,3,IF((WEEKNUM(EOMONTH(H117,0),2)-WEEKNUM(EOMONTH(H117,-1)+1,2)+1)=6,4,0))),0)</f>
        <v>#VALUE!</v>
      </c>
      <c r="J117" s="0" t="n">
        <f aca="false">WEEKNUM(Valores!$H117,2)</f>
        <v>52</v>
      </c>
      <c r="K117" s="0" t="n">
        <v>2019</v>
      </c>
      <c r="L117" s="2" t="n">
        <f aca="false">WEEKDAY(Valores!$H117,2)</f>
        <v>3</v>
      </c>
      <c r="N117" s="0" t="e">
        <f aca="false">Valores!$I117*Valores!$M117</f>
        <v>#VALUE!</v>
      </c>
      <c r="O117" s="12" t="e">
        <f aca="false">Valores!$N117/SUMIFS(Valores!$N$2:$N$154,Valores!$H$2:$H$154,"&gt;="&amp;EOMONTH(Valores!$H117,-1)+1,Valores!$H$2:$H$154,"&lt;="&amp;EOMONTH(Valores!$H117,0))</f>
        <v>#VALUE!</v>
      </c>
      <c r="P117" s="2" t="e">
        <f aca="false">Valores!$O117*7754000</f>
        <v>#VALUE!</v>
      </c>
    </row>
    <row r="118" customFormat="false" ht="13.8" hidden="false" customHeight="false" outlineLevel="0" collapsed="false">
      <c r="H118" s="10" t="n">
        <v>43825</v>
      </c>
      <c r="I118" s="11" t="e">
        <f aca="false">VLOOKUP(WEEKNUM(Valores!$H118,2)-WEEKNUM(EOMONTH(Valores!$H118,-1)+1,2)+1,Valores!$C$11:$F$16,IF((WEEKNUM(EOMONTH(H118,0),2)-WEEKNUM(EOMONTH(H118,-1)+1,2)+1)=4,2,IF((WEEKNUM(EOMONTH(H118,0),2)-WEEKNUM(EOMONTH(H118,-1)+1,2)+1)=5,3,IF((WEEKNUM(EOMONTH(H118,0),2)-WEEKNUM(EOMONTH(H118,-1)+1,2)+1)=6,4,0))),0)</f>
        <v>#VALUE!</v>
      </c>
      <c r="J118" s="0" t="n">
        <f aca="false">WEEKNUM(Valores!$H118,2)</f>
        <v>52</v>
      </c>
      <c r="K118" s="0" t="n">
        <v>2019</v>
      </c>
      <c r="L118" s="2" t="n">
        <f aca="false">WEEKDAY(Valores!$H118,2)</f>
        <v>4</v>
      </c>
      <c r="M118" s="0" t="n">
        <v>0.05</v>
      </c>
      <c r="N118" s="0" t="e">
        <f aca="false">Valores!$I118*Valores!$M118</f>
        <v>#VALUE!</v>
      </c>
      <c r="O118" s="12" t="e">
        <f aca="false">Valores!$N118/SUMIFS(Valores!$N$2:$N$154,Valores!$H$2:$H$154,"&gt;="&amp;EOMONTH(Valores!$H118,-1)+1,Valores!$H$2:$H$154,"&lt;="&amp;EOMONTH(Valores!$H118,0))</f>
        <v>#VALUE!</v>
      </c>
      <c r="P118" s="2" t="e">
        <f aca="false">Valores!$O118*7754000</f>
        <v>#VALUE!</v>
      </c>
    </row>
    <row r="119" customFormat="false" ht="13.8" hidden="false" customHeight="false" outlineLevel="0" collapsed="false">
      <c r="H119" s="10" t="n">
        <v>43826</v>
      </c>
      <c r="I119" s="11" t="e">
        <f aca="false">VLOOKUP(WEEKNUM(Valores!$H119,2)-WEEKNUM(EOMONTH(Valores!$H119,-1)+1,2)+1,Valores!$C$11:$F$16,IF((WEEKNUM(EOMONTH(H119,0),2)-WEEKNUM(EOMONTH(H119,-1)+1,2)+1)=4,2,IF((WEEKNUM(EOMONTH(H119,0),2)-WEEKNUM(EOMONTH(H119,-1)+1,2)+1)=5,3,IF((WEEKNUM(EOMONTH(H119,0),2)-WEEKNUM(EOMONTH(H119,-1)+1,2)+1)=6,4,0))),0)</f>
        <v>#VALUE!</v>
      </c>
      <c r="J119" s="0" t="n">
        <f aca="false">WEEKNUM(Valores!$H119,2)</f>
        <v>52</v>
      </c>
      <c r="K119" s="0" t="n">
        <v>2019</v>
      </c>
      <c r="L119" s="2" t="n">
        <f aca="false">WEEKDAY(Valores!$H119,2)</f>
        <v>5</v>
      </c>
      <c r="M119" s="0" t="n">
        <v>0.15</v>
      </c>
      <c r="N119" s="0" t="e">
        <f aca="false">Valores!$I119*Valores!$M119</f>
        <v>#VALUE!</v>
      </c>
      <c r="O119" s="12" t="e">
        <f aca="false">Valores!$N119/SUMIFS(Valores!$N$2:$N$154,Valores!$H$2:$H$154,"&gt;="&amp;EOMONTH(Valores!$H119,-1)+1,Valores!$H$2:$H$154,"&lt;="&amp;EOMONTH(Valores!$H119,0))</f>
        <v>#VALUE!</v>
      </c>
      <c r="P119" s="2" t="e">
        <f aca="false">Valores!$O119*7754000</f>
        <v>#VALUE!</v>
      </c>
    </row>
    <row r="120" customFormat="false" ht="13.8" hidden="false" customHeight="false" outlineLevel="0" collapsed="false">
      <c r="H120" s="10" t="n">
        <v>43827</v>
      </c>
      <c r="I120" s="11" t="e">
        <f aca="false">VLOOKUP(WEEKNUM(Valores!$H120,2)-WEEKNUM(EOMONTH(Valores!$H120,-1)+1,2)+1,Valores!$C$11:$F$16,IF((WEEKNUM(EOMONTH(H120,0),2)-WEEKNUM(EOMONTH(H120,-1)+1,2)+1)=4,2,IF((WEEKNUM(EOMONTH(H120,0),2)-WEEKNUM(EOMONTH(H120,-1)+1,2)+1)=5,3,IF((WEEKNUM(EOMONTH(H120,0),2)-WEEKNUM(EOMONTH(H120,-1)+1,2)+1)=6,4,0))),0)</f>
        <v>#VALUE!</v>
      </c>
      <c r="J120" s="0" t="n">
        <f aca="false">WEEKNUM(Valores!$H120,2)</f>
        <v>52</v>
      </c>
      <c r="K120" s="0" t="n">
        <v>2019</v>
      </c>
      <c r="L120" s="2" t="n">
        <f aca="false">WEEKDAY(Valores!$H120,2)</f>
        <v>6</v>
      </c>
      <c r="M120" s="0" t="n">
        <f aca="false">VLOOKUP(Valores!$L120,Valores!$C$2:$E$8,3,0)</f>
        <v>0.25</v>
      </c>
      <c r="N120" s="0" t="e">
        <f aca="false">Valores!$I120*Valores!$M120</f>
        <v>#VALUE!</v>
      </c>
      <c r="O120" s="12" t="e">
        <f aca="false">Valores!$N120/SUMIFS(Valores!$N$2:$N$154,Valores!$H$2:$H$154,"&gt;="&amp;EOMONTH(Valores!$H120,-1)+1,Valores!$H$2:$H$154,"&lt;="&amp;EOMONTH(Valores!$H120,0))</f>
        <v>#VALUE!</v>
      </c>
      <c r="P120" s="2" t="e">
        <f aca="false">Valores!$O120*7754000</f>
        <v>#VALUE!</v>
      </c>
    </row>
    <row r="121" customFormat="false" ht="13.8" hidden="false" customHeight="false" outlineLevel="0" collapsed="false">
      <c r="H121" s="10" t="n">
        <v>43828</v>
      </c>
      <c r="I121" s="11" t="e">
        <f aca="false">VLOOKUP(WEEKNUM(Valores!$H121,2)-WEEKNUM(EOMONTH(Valores!$H121,-1)+1,2)+1,Valores!$C$11:$F$16,IF((WEEKNUM(EOMONTH(H121,0),2)-WEEKNUM(EOMONTH(H121,-1)+1,2)+1)=4,2,IF((WEEKNUM(EOMONTH(H121,0),2)-WEEKNUM(EOMONTH(H121,-1)+1,2)+1)=5,3,IF((WEEKNUM(EOMONTH(H121,0),2)-WEEKNUM(EOMONTH(H121,-1)+1,2)+1)=6,4,0))),0)</f>
        <v>#VALUE!</v>
      </c>
      <c r="J121" s="0" t="n">
        <f aca="false">WEEKNUM(Valores!$H121,2)</f>
        <v>52</v>
      </c>
      <c r="K121" s="0" t="n">
        <v>2019</v>
      </c>
      <c r="L121" s="2" t="n">
        <f aca="false">WEEKDAY(Valores!$H121,2)</f>
        <v>7</v>
      </c>
      <c r="M121" s="0" t="n">
        <f aca="false">VLOOKUP(Valores!$L121,Valores!$C$2:$E$8,3,0)</f>
        <v>0.15</v>
      </c>
      <c r="N121" s="0" t="e">
        <f aca="false">Valores!$I121*Valores!$M121</f>
        <v>#VALUE!</v>
      </c>
      <c r="O121" s="12" t="e">
        <f aca="false">Valores!$N121/SUMIFS(Valores!$N$2:$N$154,Valores!$H$2:$H$154,"&gt;="&amp;EOMONTH(Valores!$H121,-1)+1,Valores!$H$2:$H$154,"&lt;="&amp;EOMONTH(Valores!$H121,0))</f>
        <v>#VALUE!</v>
      </c>
      <c r="P121" s="2" t="e">
        <f aca="false">Valores!$O121*7754000</f>
        <v>#VALUE!</v>
      </c>
    </row>
    <row r="122" customFormat="false" ht="13.8" hidden="false" customHeight="false" outlineLevel="0" collapsed="false">
      <c r="H122" s="10" t="n">
        <v>43829</v>
      </c>
      <c r="I122" s="11" t="e">
        <f aca="false">VLOOKUP(WEEKNUM(Valores!$H122,2)-WEEKNUM(EOMONTH(Valores!$H122,-1)+1,2)+1,Valores!$C$11:$F$16,IF((WEEKNUM(EOMONTH(H122,0),2)-WEEKNUM(EOMONTH(H122,-1)+1,2)+1)=4,2,IF((WEEKNUM(EOMONTH(H122,0),2)-WEEKNUM(EOMONTH(H122,-1)+1,2)+1)=5,3,IF((WEEKNUM(EOMONTH(H122,0),2)-WEEKNUM(EOMONTH(H122,-1)+1,2)+1)=6,4,0))),0)</f>
        <v>#VALUE!</v>
      </c>
      <c r="J122" s="0" t="n">
        <f aca="false">WEEKNUM(Valores!$H122,2)</f>
        <v>1</v>
      </c>
      <c r="K122" s="0" t="n">
        <v>2019</v>
      </c>
      <c r="L122" s="2" t="n">
        <f aca="false">WEEKDAY(Valores!$H122,2)</f>
        <v>1</v>
      </c>
      <c r="M122" s="0" t="n">
        <v>0.2</v>
      </c>
      <c r="N122" s="0" t="e">
        <f aca="false">Valores!$I122*Valores!$M122</f>
        <v>#VALUE!</v>
      </c>
      <c r="O122" s="12" t="e">
        <f aca="false">Valores!$N122/SUMIFS(Valores!$N$2:$N$154,Valores!$H$2:$H$154,"&gt;="&amp;EOMONTH(Valores!$H122,-1)+1,Valores!$H$2:$H$154,"&lt;="&amp;EOMONTH(Valores!$H122,0))</f>
        <v>#VALUE!</v>
      </c>
      <c r="P122" s="2" t="e">
        <f aca="false">Valores!$O122*7754000</f>
        <v>#VALUE!</v>
      </c>
    </row>
    <row r="123" customFormat="false" ht="13.8" hidden="false" customHeight="false" outlineLevel="0" collapsed="false">
      <c r="H123" s="10" t="n">
        <v>43830</v>
      </c>
      <c r="I123" s="11" t="e">
        <f aca="false">VLOOKUP(WEEKNUM(Valores!$H123,2)-WEEKNUM(EOMONTH(Valores!$H123,-1)+1,2)+1,Valores!$C$11:$F$16,IF((WEEKNUM(EOMONTH(H123,0),2)-WEEKNUM(EOMONTH(H123,-1)+1,2)+1)=4,2,IF((WEEKNUM(EOMONTH(H123,0),2)-WEEKNUM(EOMONTH(H123,-1)+1,2)+1)=5,3,IF((WEEKNUM(EOMONTH(H123,0),2)-WEEKNUM(EOMONTH(H123,-1)+1,2)+1)=6,4,0))),0)</f>
        <v>#VALUE!</v>
      </c>
      <c r="J123" s="0" t="n">
        <f aca="false">WEEKNUM(Valores!$H123,2)</f>
        <v>1</v>
      </c>
      <c r="K123" s="0" t="n">
        <v>2019</v>
      </c>
      <c r="L123" s="2" t="n">
        <f aca="false">WEEKDAY(Valores!$H123,2)</f>
        <v>2</v>
      </c>
      <c r="M123" s="0" t="n">
        <v>0.3</v>
      </c>
      <c r="N123" s="0" t="e">
        <f aca="false">Valores!$I123*Valores!$M123</f>
        <v>#VALUE!</v>
      </c>
      <c r="O123" s="12" t="e">
        <f aca="false">Valores!$N123/SUMIFS(Valores!$N$2:$N$154,Valores!$H$2:$H$154,"&gt;="&amp;EOMONTH(Valores!$H123,-1)+1,Valores!$H$2:$H$154,"&lt;="&amp;EOMONTH(Valores!$H123,0))</f>
        <v>#VALUE!</v>
      </c>
      <c r="P123" s="2" t="e">
        <f aca="false">Valores!$O123*7754000</f>
        <v>#VALUE!</v>
      </c>
    </row>
    <row r="124" customFormat="false" ht="13.8" hidden="false" customHeight="false" outlineLevel="0" collapsed="false">
      <c r="H124" s="14" t="n">
        <v>43831</v>
      </c>
      <c r="I124" s="11" t="n">
        <f aca="false">VLOOKUP(WEEKNUM(Valores!$H124,2)-WEEKNUM(EOMONTH(Valores!$H124,-1)+1,2)+1,Valores!$C$11:$F$16,IF((WEEKNUM(EOMONTH(H124,0),2)-WEEKNUM(EOMONTH(H124,-1)+1,2)+1)=4,2,IF((WEEKNUM(EOMONTH(H124,0),2)-WEEKNUM(EOMONTH(H124,-1)+1,2)+1)=5,3,IF((WEEKNUM(EOMONTH(H124,0),2)-WEEKNUM(EOMONTH(H124,-1)+1,2)+1)=6,4,0))),0)</f>
        <v>0.28</v>
      </c>
      <c r="J124" s="15" t="n">
        <f aca="false">WEEKNUM(Valores!$H124,2)</f>
        <v>1</v>
      </c>
      <c r="K124" s="15" t="n">
        <v>2020</v>
      </c>
      <c r="L124" s="16" t="n">
        <f aca="false">WEEKDAY(Valores!$H124,2)</f>
        <v>3</v>
      </c>
      <c r="M124" s="15" t="n">
        <f aca="false">VLOOKUP(Valores!$L124,Valores!$C$2:$E$8,3,0)</f>
        <v>0.1</v>
      </c>
      <c r="N124" s="15" t="n">
        <f aca="false">Valores!$I124*Valores!$M124</f>
        <v>0.028</v>
      </c>
      <c r="O124" s="12" t="n">
        <f aca="false">Valores!$N124/SUMIFS(Valores!$N$2:$N$154,Valores!$H$2:$H$154,"&gt;="&amp;EOMONTH(Valores!$H124,-1)+1,Valores!$H$2:$H$154,"&lt;="&amp;EOMONTH(Valores!$H124,0))</f>
        <v>0.0327102803738318</v>
      </c>
      <c r="P124" s="17" t="n">
        <f aca="false">Valores!$O124*7754000</f>
        <v>253635.514018692</v>
      </c>
    </row>
    <row r="125" customFormat="false" ht="13.8" hidden="false" customHeight="false" outlineLevel="0" collapsed="false">
      <c r="H125" s="14" t="n">
        <v>43832</v>
      </c>
      <c r="I125" s="11" t="n">
        <f aca="false">VLOOKUP(WEEKNUM(Valores!$H125,2)-WEEKNUM(EOMONTH(Valores!$H125,-1)+1,2)+1,Valores!$C$11:$F$16,IF((WEEKNUM(EOMONTH(H125,0),2)-WEEKNUM(EOMONTH(H125,-1)+1,2)+1)=4,2,IF((WEEKNUM(EOMONTH(H125,0),2)-WEEKNUM(EOMONTH(H125,-1)+1,2)+1)=5,3,IF((WEEKNUM(EOMONTH(H125,0),2)-WEEKNUM(EOMONTH(H125,-1)+1,2)+1)=6,4,0))),0)</f>
        <v>0.28</v>
      </c>
      <c r="J125" s="15" t="n">
        <f aca="false">WEEKNUM(Valores!$H125,2)</f>
        <v>1</v>
      </c>
      <c r="K125" s="15" t="n">
        <v>2020</v>
      </c>
      <c r="L125" s="16" t="n">
        <f aca="false">WEEKDAY(Valores!$H125,2)</f>
        <v>4</v>
      </c>
      <c r="M125" s="15" t="n">
        <f aca="false">VLOOKUP(Valores!$L125,Valores!$C$2:$E$8,3,0)</f>
        <v>0.1</v>
      </c>
      <c r="N125" s="15" t="n">
        <f aca="false">Valores!$I125*Valores!$M125</f>
        <v>0.028</v>
      </c>
      <c r="O125" s="12" t="n">
        <f aca="false">Valores!$N125/SUMIFS(Valores!$N$2:$N$154,Valores!$H$2:$H$154,"&gt;="&amp;EOMONTH(Valores!$H125,-1)+1,Valores!$H$2:$H$154,"&lt;="&amp;EOMONTH(Valores!$H125,0))</f>
        <v>0.0327102803738318</v>
      </c>
      <c r="P125" s="17" t="n">
        <f aca="false">Valores!$O125*7754000</f>
        <v>253635.514018692</v>
      </c>
    </row>
    <row r="126" customFormat="false" ht="13.8" hidden="false" customHeight="false" outlineLevel="0" collapsed="false">
      <c r="H126" s="14" t="n">
        <v>43833</v>
      </c>
      <c r="I126" s="11" t="n">
        <f aca="false">VLOOKUP(WEEKNUM(Valores!$H126,2)-WEEKNUM(EOMONTH(Valores!$H126,-1)+1,2)+1,Valores!$C$11:$F$16,IF((WEEKNUM(EOMONTH(H126,0),2)-WEEKNUM(EOMONTH(H126,-1)+1,2)+1)=4,2,IF((WEEKNUM(EOMONTH(H126,0),2)-WEEKNUM(EOMONTH(H126,-1)+1,2)+1)=5,3,IF((WEEKNUM(EOMONTH(H126,0),2)-WEEKNUM(EOMONTH(H126,-1)+1,2)+1)=6,4,0))),0)</f>
        <v>0.28</v>
      </c>
      <c r="J126" s="15" t="n">
        <f aca="false">WEEKNUM(Valores!$H126,2)</f>
        <v>1</v>
      </c>
      <c r="K126" s="15" t="n">
        <v>2020</v>
      </c>
      <c r="L126" s="16" t="n">
        <f aca="false">WEEKDAY(Valores!$H126,2)</f>
        <v>5</v>
      </c>
      <c r="M126" s="15" t="n">
        <f aca="false">VLOOKUP(Valores!$L126,Valores!$C$2:$E$8,3,0)</f>
        <v>0.2</v>
      </c>
      <c r="N126" s="15" t="n">
        <f aca="false">Valores!$I126*Valores!$M126</f>
        <v>0.056</v>
      </c>
      <c r="O126" s="12" t="n">
        <f aca="false">Valores!$N126/SUMIFS(Valores!$N$2:$N$154,Valores!$H$2:$H$154,"&gt;="&amp;EOMONTH(Valores!$H126,-1)+1,Valores!$H$2:$H$154,"&lt;="&amp;EOMONTH(Valores!$H126,0))</f>
        <v>0.0654205607476635</v>
      </c>
      <c r="P126" s="17" t="n">
        <f aca="false">Valores!$O126*7754000</f>
        <v>507271.028037383</v>
      </c>
    </row>
    <row r="127" customFormat="false" ht="13.8" hidden="false" customHeight="false" outlineLevel="0" collapsed="false">
      <c r="H127" s="14" t="n">
        <v>43834</v>
      </c>
      <c r="I127" s="11" t="n">
        <f aca="false">VLOOKUP(WEEKNUM(Valores!$H127,2)-WEEKNUM(EOMONTH(Valores!$H127,-1)+1,2)+1,Valores!$C$11:$F$16,IF((WEEKNUM(EOMONTH(H127,0),2)-WEEKNUM(EOMONTH(H127,-1)+1,2)+1)=4,2,IF((WEEKNUM(EOMONTH(H127,0),2)-WEEKNUM(EOMONTH(H127,-1)+1,2)+1)=5,3,IF((WEEKNUM(EOMONTH(H127,0),2)-WEEKNUM(EOMONTH(H127,-1)+1,2)+1)=6,4,0))),0)</f>
        <v>0.28</v>
      </c>
      <c r="J127" s="15" t="n">
        <f aca="false">WEEKNUM(Valores!$H127,2)</f>
        <v>1</v>
      </c>
      <c r="K127" s="15" t="n">
        <v>2020</v>
      </c>
      <c r="L127" s="16" t="n">
        <f aca="false">WEEKDAY(Valores!$H127,2)</f>
        <v>6</v>
      </c>
      <c r="M127" s="15" t="n">
        <f aca="false">VLOOKUP(Valores!$L127,Valores!$C$2:$E$8,3,0)</f>
        <v>0.25</v>
      </c>
      <c r="N127" s="15" t="n">
        <f aca="false">Valores!$I127*Valores!$M127</f>
        <v>0.07</v>
      </c>
      <c r="O127" s="12" t="n">
        <f aca="false">Valores!$N127/SUMIFS(Valores!$N$2:$N$154,Valores!$H$2:$H$154,"&gt;="&amp;EOMONTH(Valores!$H127,-1)+1,Valores!$H$2:$H$154,"&lt;="&amp;EOMONTH(Valores!$H127,0))</f>
        <v>0.0817757009345794</v>
      </c>
      <c r="P127" s="17" t="n">
        <f aca="false">Valores!$O127*7754000</f>
        <v>634088.785046729</v>
      </c>
    </row>
    <row r="128" customFormat="false" ht="13.8" hidden="false" customHeight="false" outlineLevel="0" collapsed="false">
      <c r="H128" s="14" t="n">
        <v>43835</v>
      </c>
      <c r="I128" s="11" t="n">
        <f aca="false">VLOOKUP(WEEKNUM(Valores!$H128,2)-WEEKNUM(EOMONTH(Valores!$H128,-1)+1,2)+1,Valores!$C$11:$F$16,IF((WEEKNUM(EOMONTH(H128,0),2)-WEEKNUM(EOMONTH(H128,-1)+1,2)+1)=4,2,IF((WEEKNUM(EOMONTH(H128,0),2)-WEEKNUM(EOMONTH(H128,-1)+1,2)+1)=5,3,IF((WEEKNUM(EOMONTH(H128,0),2)-WEEKNUM(EOMONTH(H128,-1)+1,2)+1)=6,4,0))),0)</f>
        <v>0.28</v>
      </c>
      <c r="J128" s="15" t="n">
        <f aca="false">WEEKNUM(Valores!$H128,2)</f>
        <v>1</v>
      </c>
      <c r="K128" s="15" t="n">
        <v>2020</v>
      </c>
      <c r="L128" s="16" t="n">
        <f aca="false">WEEKDAY(Valores!$H128,2)</f>
        <v>7</v>
      </c>
      <c r="M128" s="15" t="n">
        <f aca="false">VLOOKUP(Valores!$L128,Valores!$C$2:$E$8,3,0)</f>
        <v>0.15</v>
      </c>
      <c r="N128" s="15" t="n">
        <f aca="false">Valores!$I128*Valores!$M128</f>
        <v>0.042</v>
      </c>
      <c r="O128" s="12" t="n">
        <f aca="false">Valores!$N128/SUMIFS(Valores!$N$2:$N$154,Valores!$H$2:$H$154,"&gt;="&amp;EOMONTH(Valores!$H128,-1)+1,Valores!$H$2:$H$154,"&lt;="&amp;EOMONTH(Valores!$H128,0))</f>
        <v>0.0490654205607476</v>
      </c>
      <c r="P128" s="17" t="n">
        <f aca="false">Valores!$O128*7754000</f>
        <v>380453.271028037</v>
      </c>
    </row>
    <row r="129" customFormat="false" ht="13.8" hidden="false" customHeight="false" outlineLevel="0" collapsed="false">
      <c r="H129" s="14" t="n">
        <v>43836</v>
      </c>
      <c r="I129" s="11" t="n">
        <f aca="false">VLOOKUP(WEEKNUM(Valores!$H129,2)-WEEKNUM(EOMONTH(Valores!$H129,-1)+1,2)+1,Valores!$C$11:$F$16,IF((WEEKNUM(EOMONTH(H129,0),2)-WEEKNUM(EOMONTH(H129,-1)+1,2)+1)=4,2,IF((WEEKNUM(EOMONTH(H129,0),2)-WEEKNUM(EOMONTH(H129,-1)+1,2)+1)=5,3,IF((WEEKNUM(EOMONTH(H129,0),2)-WEEKNUM(EOMONTH(H129,-1)+1,2)+1)=6,4,0))),0)</f>
        <v>0.15</v>
      </c>
      <c r="J129" s="15" t="n">
        <f aca="false">WEEKNUM(Valores!$H129,2)</f>
        <v>2</v>
      </c>
      <c r="K129" s="15" t="n">
        <v>2020</v>
      </c>
      <c r="L129" s="16" t="n">
        <f aca="false">WEEKDAY(Valores!$H129,2)</f>
        <v>1</v>
      </c>
      <c r="M129" s="15" t="n">
        <f aca="false">VLOOKUP(Valores!$L129,Valores!$C$2:$E$8,3,0)</f>
        <v>0.1</v>
      </c>
      <c r="N129" s="15" t="n">
        <f aca="false">Valores!$I129*Valores!$M129</f>
        <v>0.015</v>
      </c>
      <c r="O129" s="12" t="n">
        <f aca="false">Valores!$N129/SUMIFS(Valores!$N$2:$N$154,Valores!$H$2:$H$154,"&gt;="&amp;EOMONTH(Valores!$H129,-1)+1,Valores!$H$2:$H$154,"&lt;="&amp;EOMONTH(Valores!$H129,0))</f>
        <v>0.0175233644859813</v>
      </c>
      <c r="P129" s="17" t="n">
        <f aca="false">Valores!$O129*7754000</f>
        <v>135876.168224299</v>
      </c>
    </row>
    <row r="130" customFormat="false" ht="13.8" hidden="false" customHeight="false" outlineLevel="0" collapsed="false">
      <c r="H130" s="14" t="n">
        <v>43837</v>
      </c>
      <c r="I130" s="11" t="n">
        <f aca="false">VLOOKUP(WEEKNUM(Valores!$H130,2)-WEEKNUM(EOMONTH(Valores!$H130,-1)+1,2)+1,Valores!$C$11:$F$16,IF((WEEKNUM(EOMONTH(H130,0),2)-WEEKNUM(EOMONTH(H130,-1)+1,2)+1)=4,2,IF((WEEKNUM(EOMONTH(H130,0),2)-WEEKNUM(EOMONTH(H130,-1)+1,2)+1)=5,3,IF((WEEKNUM(EOMONTH(H130,0),2)-WEEKNUM(EOMONTH(H130,-1)+1,2)+1)=6,4,0))),0)</f>
        <v>0.15</v>
      </c>
      <c r="J130" s="15" t="n">
        <f aca="false">WEEKNUM(Valores!$H130,2)</f>
        <v>2</v>
      </c>
      <c r="K130" s="15" t="n">
        <v>2020</v>
      </c>
      <c r="L130" s="16" t="n">
        <f aca="false">WEEKDAY(Valores!$H130,2)</f>
        <v>2</v>
      </c>
      <c r="M130" s="15" t="n">
        <f aca="false">VLOOKUP(Valores!$L130,Valores!$C$2:$E$8,3,0)</f>
        <v>0.1</v>
      </c>
      <c r="N130" s="15" t="n">
        <f aca="false">Valores!$I130*Valores!$M130</f>
        <v>0.015</v>
      </c>
      <c r="O130" s="12" t="n">
        <f aca="false">Valores!$N130/SUMIFS(Valores!$N$2:$N$154,Valores!$H$2:$H$154,"&gt;="&amp;EOMONTH(Valores!$H130,-1)+1,Valores!$H$2:$H$154,"&lt;="&amp;EOMONTH(Valores!$H130,0))</f>
        <v>0.0175233644859813</v>
      </c>
      <c r="P130" s="17" t="n">
        <f aca="false">Valores!$O130*7754000</f>
        <v>135876.168224299</v>
      </c>
    </row>
    <row r="131" customFormat="false" ht="13.8" hidden="false" customHeight="false" outlineLevel="0" collapsed="false">
      <c r="H131" s="14" t="n">
        <v>43838</v>
      </c>
      <c r="I131" s="11" t="n">
        <f aca="false">VLOOKUP(WEEKNUM(Valores!$H131,2)-WEEKNUM(EOMONTH(Valores!$H131,-1)+1,2)+1,Valores!$C$11:$F$16,IF((WEEKNUM(EOMONTH(H131,0),2)-WEEKNUM(EOMONTH(H131,-1)+1,2)+1)=4,2,IF((WEEKNUM(EOMONTH(H131,0),2)-WEEKNUM(EOMONTH(H131,-1)+1,2)+1)=5,3,IF((WEEKNUM(EOMONTH(H131,0),2)-WEEKNUM(EOMONTH(H131,-1)+1,2)+1)=6,4,0))),0)</f>
        <v>0.15</v>
      </c>
      <c r="J131" s="15" t="n">
        <f aca="false">WEEKNUM(Valores!$H131,2)</f>
        <v>2</v>
      </c>
      <c r="K131" s="15" t="n">
        <v>2020</v>
      </c>
      <c r="L131" s="16" t="n">
        <f aca="false">WEEKDAY(Valores!$H131,2)</f>
        <v>3</v>
      </c>
      <c r="M131" s="15" t="n">
        <f aca="false">VLOOKUP(Valores!$L131,Valores!$C$2:$E$8,3,0)</f>
        <v>0.1</v>
      </c>
      <c r="N131" s="15" t="n">
        <f aca="false">Valores!$I131*Valores!$M131</f>
        <v>0.015</v>
      </c>
      <c r="O131" s="12" t="n">
        <f aca="false">Valores!$N131/SUMIFS(Valores!$N$2:$N$154,Valores!$H$2:$H$154,"&gt;="&amp;EOMONTH(Valores!$H131,-1)+1,Valores!$H$2:$H$154,"&lt;="&amp;EOMONTH(Valores!$H131,0))</f>
        <v>0.0175233644859813</v>
      </c>
      <c r="P131" s="17" t="n">
        <f aca="false">Valores!$O131*7754000</f>
        <v>135876.168224299</v>
      </c>
    </row>
    <row r="132" customFormat="false" ht="13.8" hidden="false" customHeight="false" outlineLevel="0" collapsed="false">
      <c r="H132" s="14" t="n">
        <v>43839</v>
      </c>
      <c r="I132" s="11" t="n">
        <f aca="false">VLOOKUP(WEEKNUM(Valores!$H132,2)-WEEKNUM(EOMONTH(Valores!$H132,-1)+1,2)+1,Valores!$C$11:$F$16,IF((WEEKNUM(EOMONTH(H132,0),2)-WEEKNUM(EOMONTH(H132,-1)+1,2)+1)=4,2,IF((WEEKNUM(EOMONTH(H132,0),2)-WEEKNUM(EOMONTH(H132,-1)+1,2)+1)=5,3,IF((WEEKNUM(EOMONTH(H132,0),2)-WEEKNUM(EOMONTH(H132,-1)+1,2)+1)=6,4,0))),0)</f>
        <v>0.15</v>
      </c>
      <c r="J132" s="15" t="n">
        <f aca="false">WEEKNUM(Valores!$H132,2)</f>
        <v>2</v>
      </c>
      <c r="K132" s="15" t="n">
        <v>2020</v>
      </c>
      <c r="L132" s="16" t="n">
        <f aca="false">WEEKDAY(Valores!$H132,2)</f>
        <v>4</v>
      </c>
      <c r="M132" s="15" t="n">
        <f aca="false">VLOOKUP(Valores!$L132,Valores!$C$2:$E$8,3,0)</f>
        <v>0.1</v>
      </c>
      <c r="N132" s="15" t="n">
        <f aca="false">Valores!$I132*Valores!$M132</f>
        <v>0.015</v>
      </c>
      <c r="O132" s="12" t="n">
        <f aca="false">Valores!$N132/SUMIFS(Valores!$N$2:$N$154,Valores!$H$2:$H$154,"&gt;="&amp;EOMONTH(Valores!$H132,-1)+1,Valores!$H$2:$H$154,"&lt;="&amp;EOMONTH(Valores!$H132,0))</f>
        <v>0.0175233644859813</v>
      </c>
      <c r="P132" s="17" t="n">
        <f aca="false">Valores!$O132*7754000</f>
        <v>135876.168224299</v>
      </c>
    </row>
    <row r="133" customFormat="false" ht="13.8" hidden="false" customHeight="false" outlineLevel="0" collapsed="false">
      <c r="H133" s="14" t="n">
        <v>43840</v>
      </c>
      <c r="I133" s="11" t="n">
        <f aca="false">VLOOKUP(WEEKNUM(Valores!$H133,2)-WEEKNUM(EOMONTH(Valores!$H133,-1)+1,2)+1,Valores!$C$11:$F$16,IF((WEEKNUM(EOMONTH(H133,0),2)-WEEKNUM(EOMONTH(H133,-1)+1,2)+1)=4,2,IF((WEEKNUM(EOMONTH(H133,0),2)-WEEKNUM(EOMONTH(H133,-1)+1,2)+1)=5,3,IF((WEEKNUM(EOMONTH(H133,0),2)-WEEKNUM(EOMONTH(H133,-1)+1,2)+1)=6,4,0))),0)</f>
        <v>0.15</v>
      </c>
      <c r="J133" s="15" t="n">
        <f aca="false">WEEKNUM(Valores!$H133,2)</f>
        <v>2</v>
      </c>
      <c r="K133" s="15" t="n">
        <v>2020</v>
      </c>
      <c r="L133" s="16" t="n">
        <f aca="false">WEEKDAY(Valores!$H133,2)</f>
        <v>5</v>
      </c>
      <c r="M133" s="15" t="n">
        <f aca="false">VLOOKUP(Valores!$L133,Valores!$C$2:$E$8,3,0)</f>
        <v>0.2</v>
      </c>
      <c r="N133" s="15" t="n">
        <f aca="false">Valores!$I133*Valores!$M133</f>
        <v>0.03</v>
      </c>
      <c r="O133" s="12" t="n">
        <f aca="false">Valores!$N133/SUMIFS(Valores!$N$2:$N$154,Valores!$H$2:$H$154,"&gt;="&amp;EOMONTH(Valores!$H133,-1)+1,Valores!$H$2:$H$154,"&lt;="&amp;EOMONTH(Valores!$H133,0))</f>
        <v>0.0350467289719626</v>
      </c>
      <c r="P133" s="17" t="n">
        <f aca="false">Valores!$O133*7754000</f>
        <v>271752.336448598</v>
      </c>
    </row>
    <row r="134" customFormat="false" ht="13.8" hidden="false" customHeight="false" outlineLevel="0" collapsed="false">
      <c r="H134" s="14" t="n">
        <v>43841</v>
      </c>
      <c r="I134" s="11" t="n">
        <f aca="false">VLOOKUP(WEEKNUM(Valores!$H134,2)-WEEKNUM(EOMONTH(Valores!$H134,-1)+1,2)+1,Valores!$C$11:$F$16,IF((WEEKNUM(EOMONTH(H134,0),2)-WEEKNUM(EOMONTH(H134,-1)+1,2)+1)=4,2,IF((WEEKNUM(EOMONTH(H134,0),2)-WEEKNUM(EOMONTH(H134,-1)+1,2)+1)=5,3,IF((WEEKNUM(EOMONTH(H134,0),2)-WEEKNUM(EOMONTH(H134,-1)+1,2)+1)=6,4,0))),0)</f>
        <v>0.15</v>
      </c>
      <c r="J134" s="15" t="n">
        <f aca="false">WEEKNUM(Valores!$H134,2)</f>
        <v>2</v>
      </c>
      <c r="K134" s="15" t="n">
        <v>2020</v>
      </c>
      <c r="L134" s="16" t="n">
        <f aca="false">WEEKDAY(Valores!$H134,2)</f>
        <v>6</v>
      </c>
      <c r="M134" s="15" t="n">
        <f aca="false">VLOOKUP(Valores!$L134,Valores!$C$2:$E$8,3,0)</f>
        <v>0.25</v>
      </c>
      <c r="N134" s="15" t="n">
        <f aca="false">Valores!$I134*Valores!$M134</f>
        <v>0.0375</v>
      </c>
      <c r="O134" s="12" t="n">
        <f aca="false">Valores!$N134/SUMIFS(Valores!$N$2:$N$154,Valores!$H$2:$H$154,"&gt;="&amp;EOMONTH(Valores!$H134,-1)+1,Valores!$H$2:$H$154,"&lt;="&amp;EOMONTH(Valores!$H134,0))</f>
        <v>0.0438084112149533</v>
      </c>
      <c r="P134" s="17" t="n">
        <f aca="false">Valores!$O134*7754000</f>
        <v>339690.420560748</v>
      </c>
    </row>
    <row r="135" customFormat="false" ht="13.8" hidden="false" customHeight="false" outlineLevel="0" collapsed="false">
      <c r="H135" s="14" t="n">
        <v>43842</v>
      </c>
      <c r="I135" s="11" t="n">
        <f aca="false">VLOOKUP(WEEKNUM(Valores!$H135,2)-WEEKNUM(EOMONTH(Valores!$H135,-1)+1,2)+1,Valores!$C$11:$F$16,IF((WEEKNUM(EOMONTH(H135,0),2)-WEEKNUM(EOMONTH(H135,-1)+1,2)+1)=4,2,IF((WEEKNUM(EOMONTH(H135,0),2)-WEEKNUM(EOMONTH(H135,-1)+1,2)+1)=5,3,IF((WEEKNUM(EOMONTH(H135,0),2)-WEEKNUM(EOMONTH(H135,-1)+1,2)+1)=6,4,0))),0)</f>
        <v>0.15</v>
      </c>
      <c r="J135" s="15" t="n">
        <f aca="false">WEEKNUM(Valores!$H135,2)</f>
        <v>2</v>
      </c>
      <c r="K135" s="15" t="n">
        <v>2020</v>
      </c>
      <c r="L135" s="16" t="n">
        <f aca="false">WEEKDAY(Valores!$H135,2)</f>
        <v>7</v>
      </c>
      <c r="M135" s="15" t="n">
        <f aca="false">VLOOKUP(Valores!$L135,Valores!$C$2:$E$8,3,0)</f>
        <v>0.15</v>
      </c>
      <c r="N135" s="15" t="n">
        <f aca="false">Valores!$I135*Valores!$M135</f>
        <v>0.0225</v>
      </c>
      <c r="O135" s="12" t="n">
        <f aca="false">Valores!$N135/SUMIFS(Valores!$N$2:$N$154,Valores!$H$2:$H$154,"&gt;="&amp;EOMONTH(Valores!$H135,-1)+1,Valores!$H$2:$H$154,"&lt;="&amp;EOMONTH(Valores!$H135,0))</f>
        <v>0.026285046728972</v>
      </c>
      <c r="P135" s="17" t="n">
        <f aca="false">Valores!$O135*7754000</f>
        <v>203814.252336449</v>
      </c>
    </row>
    <row r="136" customFormat="false" ht="13.8" hidden="false" customHeight="false" outlineLevel="0" collapsed="false">
      <c r="H136" s="14" t="n">
        <v>43843</v>
      </c>
      <c r="I136" s="11" t="n">
        <f aca="false">VLOOKUP(WEEKNUM(Valores!$H136,2)-WEEKNUM(EOMONTH(Valores!$H136,-1)+1,2)+1,Valores!$C$11:$F$16,IF((WEEKNUM(EOMONTH(H136,0),2)-WEEKNUM(EOMONTH(H136,-1)+1,2)+1)=4,2,IF((WEEKNUM(EOMONTH(H136,0),2)-WEEKNUM(EOMONTH(H136,-1)+1,2)+1)=5,3,IF((WEEKNUM(EOMONTH(H136,0),2)-WEEKNUM(EOMONTH(H136,-1)+1,2)+1)=6,4,0))),0)</f>
        <v>0.15</v>
      </c>
      <c r="J136" s="15" t="n">
        <f aca="false">WEEKNUM(Valores!$H136,2)</f>
        <v>3</v>
      </c>
      <c r="K136" s="15" t="n">
        <v>2020</v>
      </c>
      <c r="L136" s="16" t="n">
        <f aca="false">WEEKDAY(Valores!$H136,2)</f>
        <v>1</v>
      </c>
      <c r="M136" s="15" t="n">
        <f aca="false">VLOOKUP(Valores!$L136,Valores!$C$2:$E$8,3,0)</f>
        <v>0.1</v>
      </c>
      <c r="N136" s="15" t="n">
        <f aca="false">Valores!$I136*Valores!$M136</f>
        <v>0.015</v>
      </c>
      <c r="O136" s="12" t="n">
        <f aca="false">Valores!$N136/SUMIFS(Valores!$N$2:$N$154,Valores!$H$2:$H$154,"&gt;="&amp;EOMONTH(Valores!$H136,-1)+1,Valores!$H$2:$H$154,"&lt;="&amp;EOMONTH(Valores!$H136,0))</f>
        <v>0.0175233644859813</v>
      </c>
      <c r="P136" s="17" t="n">
        <f aca="false">Valores!$O136*7754000</f>
        <v>135876.168224299</v>
      </c>
    </row>
    <row r="137" customFormat="false" ht="13.8" hidden="false" customHeight="false" outlineLevel="0" collapsed="false">
      <c r="H137" s="14" t="n">
        <v>43844</v>
      </c>
      <c r="I137" s="11" t="n">
        <f aca="false">VLOOKUP(WEEKNUM(Valores!$H137,2)-WEEKNUM(EOMONTH(Valores!$H137,-1)+1,2)+1,Valores!$C$11:$F$16,IF((WEEKNUM(EOMONTH(H137,0),2)-WEEKNUM(EOMONTH(H137,-1)+1,2)+1)=4,2,IF((WEEKNUM(EOMONTH(H137,0),2)-WEEKNUM(EOMONTH(H137,-1)+1,2)+1)=5,3,IF((WEEKNUM(EOMONTH(H137,0),2)-WEEKNUM(EOMONTH(H137,-1)+1,2)+1)=6,4,0))),0)</f>
        <v>0.15</v>
      </c>
      <c r="J137" s="15" t="n">
        <f aca="false">WEEKNUM(Valores!$H137,2)</f>
        <v>3</v>
      </c>
      <c r="K137" s="15" t="n">
        <v>2020</v>
      </c>
      <c r="L137" s="16" t="n">
        <f aca="false">WEEKDAY(Valores!$H137,2)</f>
        <v>2</v>
      </c>
      <c r="M137" s="15" t="n">
        <f aca="false">VLOOKUP(Valores!$L137,Valores!$C$2:$E$8,3,0)</f>
        <v>0.1</v>
      </c>
      <c r="N137" s="15" t="n">
        <f aca="false">Valores!$I137*Valores!$M137</f>
        <v>0.015</v>
      </c>
      <c r="O137" s="12" t="n">
        <f aca="false">Valores!$N137/SUMIFS(Valores!$N$2:$N$154,Valores!$H$2:$H$154,"&gt;="&amp;EOMONTH(Valores!$H137,-1)+1,Valores!$H$2:$H$154,"&lt;="&amp;EOMONTH(Valores!$H137,0))</f>
        <v>0.0175233644859813</v>
      </c>
      <c r="P137" s="17" t="n">
        <f aca="false">Valores!$O137*7754000</f>
        <v>135876.168224299</v>
      </c>
    </row>
    <row r="138" customFormat="false" ht="13.8" hidden="false" customHeight="false" outlineLevel="0" collapsed="false">
      <c r="H138" s="14" t="n">
        <v>43845</v>
      </c>
      <c r="I138" s="11" t="n">
        <f aca="false">VLOOKUP(WEEKNUM(Valores!$H138,2)-WEEKNUM(EOMONTH(Valores!$H138,-1)+1,2)+1,Valores!$C$11:$F$16,IF((WEEKNUM(EOMONTH(H138,0),2)-WEEKNUM(EOMONTH(H138,-1)+1,2)+1)=4,2,IF((WEEKNUM(EOMONTH(H138,0),2)-WEEKNUM(EOMONTH(H138,-1)+1,2)+1)=5,3,IF((WEEKNUM(EOMONTH(H138,0),2)-WEEKNUM(EOMONTH(H138,-1)+1,2)+1)=6,4,0))),0)</f>
        <v>0.15</v>
      </c>
      <c r="J138" s="15" t="n">
        <f aca="false">WEEKNUM(Valores!$H138,2)</f>
        <v>3</v>
      </c>
      <c r="K138" s="15" t="n">
        <v>2020</v>
      </c>
      <c r="L138" s="16" t="n">
        <f aca="false">WEEKDAY(Valores!$H138,2)</f>
        <v>3</v>
      </c>
      <c r="M138" s="15" t="n">
        <f aca="false">VLOOKUP(Valores!$L138,Valores!$C$2:$E$8,3,0)</f>
        <v>0.1</v>
      </c>
      <c r="N138" s="15" t="n">
        <f aca="false">Valores!$I138*Valores!$M138</f>
        <v>0.015</v>
      </c>
      <c r="O138" s="12" t="n">
        <f aca="false">Valores!$N138/SUMIFS(Valores!$N$2:$N$154,Valores!$H$2:$H$154,"&gt;="&amp;EOMONTH(Valores!$H138,-1)+1,Valores!$H$2:$H$154,"&lt;="&amp;EOMONTH(Valores!$H138,0))</f>
        <v>0.0175233644859813</v>
      </c>
      <c r="P138" s="17" t="n">
        <f aca="false">Valores!$O138*7754000</f>
        <v>135876.168224299</v>
      </c>
    </row>
    <row r="139" customFormat="false" ht="13.8" hidden="false" customHeight="false" outlineLevel="0" collapsed="false">
      <c r="H139" s="14" t="n">
        <v>43846</v>
      </c>
      <c r="I139" s="11" t="n">
        <f aca="false">VLOOKUP(WEEKNUM(Valores!$H139,2)-WEEKNUM(EOMONTH(Valores!$H139,-1)+1,2)+1,Valores!$C$11:$F$16,IF((WEEKNUM(EOMONTH(H139,0),2)-WEEKNUM(EOMONTH(H139,-1)+1,2)+1)=4,2,IF((WEEKNUM(EOMONTH(H139,0),2)-WEEKNUM(EOMONTH(H139,-1)+1,2)+1)=5,3,IF((WEEKNUM(EOMONTH(H139,0),2)-WEEKNUM(EOMONTH(H139,-1)+1,2)+1)=6,4,0))),0)</f>
        <v>0.15</v>
      </c>
      <c r="J139" s="15" t="n">
        <f aca="false">WEEKNUM(Valores!$H139,2)</f>
        <v>3</v>
      </c>
      <c r="K139" s="15" t="n">
        <v>2020</v>
      </c>
      <c r="L139" s="16" t="n">
        <f aca="false">WEEKDAY(Valores!$H139,2)</f>
        <v>4</v>
      </c>
      <c r="M139" s="15" t="n">
        <f aca="false">VLOOKUP(Valores!$L139,Valores!$C$2:$E$8,3,0)</f>
        <v>0.1</v>
      </c>
      <c r="N139" s="15" t="n">
        <f aca="false">Valores!$I139*Valores!$M139</f>
        <v>0.015</v>
      </c>
      <c r="O139" s="12" t="n">
        <f aca="false">Valores!$N139/SUMIFS(Valores!$N$2:$N$154,Valores!$H$2:$H$154,"&gt;="&amp;EOMONTH(Valores!$H139,-1)+1,Valores!$H$2:$H$154,"&lt;="&amp;EOMONTH(Valores!$H139,0))</f>
        <v>0.0175233644859813</v>
      </c>
      <c r="P139" s="17" t="n">
        <f aca="false">Valores!$O139*7754000</f>
        <v>135876.168224299</v>
      </c>
    </row>
    <row r="140" customFormat="false" ht="13.8" hidden="false" customHeight="false" outlineLevel="0" collapsed="false">
      <c r="H140" s="14" t="n">
        <v>43847</v>
      </c>
      <c r="I140" s="11" t="n">
        <f aca="false">VLOOKUP(WEEKNUM(Valores!$H140,2)-WEEKNUM(EOMONTH(Valores!$H140,-1)+1,2)+1,Valores!$C$11:$F$16,IF((WEEKNUM(EOMONTH(H140,0),2)-WEEKNUM(EOMONTH(H140,-1)+1,2)+1)=4,2,IF((WEEKNUM(EOMONTH(H140,0),2)-WEEKNUM(EOMONTH(H140,-1)+1,2)+1)=5,3,IF((WEEKNUM(EOMONTH(H140,0),2)-WEEKNUM(EOMONTH(H140,-1)+1,2)+1)=6,4,0))),0)</f>
        <v>0.15</v>
      </c>
      <c r="J140" s="15" t="n">
        <f aca="false">WEEKNUM(Valores!$H140,2)</f>
        <v>3</v>
      </c>
      <c r="K140" s="15" t="n">
        <v>2020</v>
      </c>
      <c r="L140" s="16" t="n">
        <f aca="false">WEEKDAY(Valores!$H140,2)</f>
        <v>5</v>
      </c>
      <c r="M140" s="15" t="n">
        <f aca="false">VLOOKUP(Valores!$L140,Valores!$C$2:$E$8,3,0)</f>
        <v>0.2</v>
      </c>
      <c r="N140" s="15" t="n">
        <f aca="false">Valores!$I140*Valores!$M140</f>
        <v>0.03</v>
      </c>
      <c r="O140" s="12" t="n">
        <f aca="false">Valores!$N140/SUMIFS(Valores!$N$2:$N$154,Valores!$H$2:$H$154,"&gt;="&amp;EOMONTH(Valores!$H140,-1)+1,Valores!$H$2:$H$154,"&lt;="&amp;EOMONTH(Valores!$H140,0))</f>
        <v>0.0350467289719626</v>
      </c>
      <c r="P140" s="17" t="n">
        <f aca="false">Valores!$O140*7754000</f>
        <v>271752.336448598</v>
      </c>
    </row>
    <row r="141" customFormat="false" ht="13.8" hidden="false" customHeight="false" outlineLevel="0" collapsed="false">
      <c r="H141" s="14" t="n">
        <v>43848</v>
      </c>
      <c r="I141" s="11" t="n">
        <f aca="false">VLOOKUP(WEEKNUM(Valores!$H141,2)-WEEKNUM(EOMONTH(Valores!$H141,-1)+1,2)+1,Valores!$C$11:$F$16,IF((WEEKNUM(EOMONTH(H141,0),2)-WEEKNUM(EOMONTH(H141,-1)+1,2)+1)=4,2,IF((WEEKNUM(EOMONTH(H141,0),2)-WEEKNUM(EOMONTH(H141,-1)+1,2)+1)=5,3,IF((WEEKNUM(EOMONTH(H141,0),2)-WEEKNUM(EOMONTH(H141,-1)+1,2)+1)=6,4,0))),0)</f>
        <v>0.15</v>
      </c>
      <c r="J141" s="15" t="n">
        <f aca="false">WEEKNUM(Valores!$H141,2)</f>
        <v>3</v>
      </c>
      <c r="K141" s="15" t="n">
        <v>2020</v>
      </c>
      <c r="L141" s="16" t="n">
        <f aca="false">WEEKDAY(Valores!$H141,2)</f>
        <v>6</v>
      </c>
      <c r="M141" s="15" t="n">
        <f aca="false">VLOOKUP(Valores!$L141,Valores!$C$2:$E$8,3,0)</f>
        <v>0.25</v>
      </c>
      <c r="N141" s="15" t="n">
        <f aca="false">Valores!$I141*Valores!$M141</f>
        <v>0.0375</v>
      </c>
      <c r="O141" s="12" t="n">
        <f aca="false">Valores!$N141/SUMIFS(Valores!$N$2:$N$154,Valores!$H$2:$H$154,"&gt;="&amp;EOMONTH(Valores!$H141,-1)+1,Valores!$H$2:$H$154,"&lt;="&amp;EOMONTH(Valores!$H141,0))</f>
        <v>0.0438084112149533</v>
      </c>
      <c r="P141" s="17" t="n">
        <f aca="false">Valores!$O141*7754000</f>
        <v>339690.420560748</v>
      </c>
    </row>
    <row r="142" customFormat="false" ht="13.8" hidden="false" customHeight="false" outlineLevel="0" collapsed="false">
      <c r="H142" s="14" t="n">
        <v>43849</v>
      </c>
      <c r="I142" s="11" t="n">
        <f aca="false">VLOOKUP(WEEKNUM(Valores!$H142,2)-WEEKNUM(EOMONTH(Valores!$H142,-1)+1,2)+1,Valores!$C$11:$F$16,IF((WEEKNUM(EOMONTH(H142,0),2)-WEEKNUM(EOMONTH(H142,-1)+1,2)+1)=4,2,IF((WEEKNUM(EOMONTH(H142,0),2)-WEEKNUM(EOMONTH(H142,-1)+1,2)+1)=5,3,IF((WEEKNUM(EOMONTH(H142,0),2)-WEEKNUM(EOMONTH(H142,-1)+1,2)+1)=6,4,0))),0)</f>
        <v>0.15</v>
      </c>
      <c r="J142" s="15" t="n">
        <f aca="false">WEEKNUM(Valores!$H142,2)</f>
        <v>3</v>
      </c>
      <c r="K142" s="15" t="n">
        <v>2020</v>
      </c>
      <c r="L142" s="16" t="n">
        <f aca="false">WEEKDAY(Valores!$H142,2)</f>
        <v>7</v>
      </c>
      <c r="M142" s="15" t="n">
        <f aca="false">VLOOKUP(Valores!$L142,Valores!$C$2:$E$8,3,0)</f>
        <v>0.15</v>
      </c>
      <c r="N142" s="15" t="n">
        <f aca="false">Valores!$I142*Valores!$M142</f>
        <v>0.0225</v>
      </c>
      <c r="O142" s="12" t="n">
        <f aca="false">Valores!$N142/SUMIFS(Valores!$N$2:$N$154,Valores!$H$2:$H$154,"&gt;="&amp;EOMONTH(Valores!$H142,-1)+1,Valores!$H$2:$H$154,"&lt;="&amp;EOMONTH(Valores!$H142,0))</f>
        <v>0.026285046728972</v>
      </c>
      <c r="P142" s="17" t="n">
        <f aca="false">Valores!$O142*7754000</f>
        <v>203814.252336449</v>
      </c>
    </row>
    <row r="143" customFormat="false" ht="13.8" hidden="false" customHeight="false" outlineLevel="0" collapsed="false">
      <c r="H143" s="14" t="n">
        <v>43850</v>
      </c>
      <c r="I143" s="11" t="n">
        <f aca="false">VLOOKUP(WEEKNUM(Valores!$H143,2)-WEEKNUM(EOMONTH(Valores!$H143,-1)+1,2)+1,Valores!$C$11:$F$16,IF((WEEKNUM(EOMONTH(H143,0),2)-WEEKNUM(EOMONTH(H143,-1)+1,2)+1)=4,2,IF((WEEKNUM(EOMONTH(H143,0),2)-WEEKNUM(EOMONTH(H143,-1)+1,2)+1)=5,3,IF((WEEKNUM(EOMONTH(H143,0),2)-WEEKNUM(EOMONTH(H143,-1)+1,2)+1)=6,4,0))),0)</f>
        <v>0.2</v>
      </c>
      <c r="J143" s="15" t="n">
        <f aca="false">WEEKNUM(Valores!$H143,2)</f>
        <v>4</v>
      </c>
      <c r="K143" s="15" t="n">
        <v>2020</v>
      </c>
      <c r="L143" s="16" t="n">
        <f aca="false">WEEKDAY(Valores!$H143,2)</f>
        <v>1</v>
      </c>
      <c r="M143" s="15" t="n">
        <f aca="false">VLOOKUP(Valores!$L143,Valores!$C$2:$E$8,3,0)</f>
        <v>0.1</v>
      </c>
      <c r="N143" s="15" t="n">
        <f aca="false">Valores!$I143*Valores!$M143</f>
        <v>0.02</v>
      </c>
      <c r="O143" s="12" t="n">
        <f aca="false">Valores!$N143/SUMIFS(Valores!$N$2:$N$154,Valores!$H$2:$H$154,"&gt;="&amp;EOMONTH(Valores!$H143,-1)+1,Valores!$H$2:$H$154,"&lt;="&amp;EOMONTH(Valores!$H143,0))</f>
        <v>0.0233644859813084</v>
      </c>
      <c r="P143" s="17" t="n">
        <f aca="false">Valores!$O143*7754000</f>
        <v>181168.224299065</v>
      </c>
    </row>
    <row r="144" customFormat="false" ht="13.8" hidden="false" customHeight="false" outlineLevel="0" collapsed="false">
      <c r="H144" s="14" t="n">
        <v>43851</v>
      </c>
      <c r="I144" s="11" t="n">
        <f aca="false">VLOOKUP(WEEKNUM(Valores!$H144,2)-WEEKNUM(EOMONTH(Valores!$H144,-1)+1,2)+1,Valores!$C$11:$F$16,IF((WEEKNUM(EOMONTH(H144,0),2)-WEEKNUM(EOMONTH(H144,-1)+1,2)+1)=4,2,IF((WEEKNUM(EOMONTH(H144,0),2)-WEEKNUM(EOMONTH(H144,-1)+1,2)+1)=5,3,IF((WEEKNUM(EOMONTH(H144,0),2)-WEEKNUM(EOMONTH(H144,-1)+1,2)+1)=6,4,0))),0)</f>
        <v>0.2</v>
      </c>
      <c r="J144" s="15" t="n">
        <f aca="false">WEEKNUM(Valores!$H144,2)</f>
        <v>4</v>
      </c>
      <c r="K144" s="15" t="n">
        <v>2020</v>
      </c>
      <c r="L144" s="16" t="n">
        <f aca="false">WEEKDAY(Valores!$H144,2)</f>
        <v>2</v>
      </c>
      <c r="M144" s="15" t="n">
        <f aca="false">VLOOKUP(Valores!$L144,Valores!$C$2:$E$8,3,0)</f>
        <v>0.1</v>
      </c>
      <c r="N144" s="15" t="n">
        <f aca="false">Valores!$I144*Valores!$M144</f>
        <v>0.02</v>
      </c>
      <c r="O144" s="12" t="n">
        <f aca="false">Valores!$N144/SUMIFS(Valores!$N$2:$N$154,Valores!$H$2:$H$154,"&gt;="&amp;EOMONTH(Valores!$H144,-1)+1,Valores!$H$2:$H$154,"&lt;="&amp;EOMONTH(Valores!$H144,0))</f>
        <v>0.0233644859813084</v>
      </c>
      <c r="P144" s="17" t="n">
        <f aca="false">Valores!$O144*7754000</f>
        <v>181168.224299065</v>
      </c>
    </row>
    <row r="145" customFormat="false" ht="13.8" hidden="false" customHeight="false" outlineLevel="0" collapsed="false">
      <c r="H145" s="14" t="n">
        <v>43852</v>
      </c>
      <c r="I145" s="11" t="n">
        <f aca="false">VLOOKUP(WEEKNUM(Valores!$H145,2)-WEEKNUM(EOMONTH(Valores!$H145,-1)+1,2)+1,Valores!$C$11:$F$16,IF((WEEKNUM(EOMONTH(H145,0),2)-WEEKNUM(EOMONTH(H145,-1)+1,2)+1)=4,2,IF((WEEKNUM(EOMONTH(H145,0),2)-WEEKNUM(EOMONTH(H145,-1)+1,2)+1)=5,3,IF((WEEKNUM(EOMONTH(H145,0),2)-WEEKNUM(EOMONTH(H145,-1)+1,2)+1)=6,4,0))),0)</f>
        <v>0.2</v>
      </c>
      <c r="J145" s="15" t="n">
        <f aca="false">WEEKNUM(Valores!$H145,2)</f>
        <v>4</v>
      </c>
      <c r="K145" s="15" t="n">
        <v>2020</v>
      </c>
      <c r="L145" s="16" t="n">
        <f aca="false">WEEKDAY(Valores!$H145,2)</f>
        <v>3</v>
      </c>
      <c r="M145" s="15" t="n">
        <f aca="false">VLOOKUP(Valores!$L145,Valores!$C$2:$E$8,3,0)</f>
        <v>0.1</v>
      </c>
      <c r="N145" s="15" t="n">
        <f aca="false">Valores!$I145*Valores!$M145</f>
        <v>0.02</v>
      </c>
      <c r="O145" s="12" t="n">
        <f aca="false">Valores!$N145/SUMIFS(Valores!$N$2:$N$154,Valores!$H$2:$H$154,"&gt;="&amp;EOMONTH(Valores!$H145,-1)+1,Valores!$H$2:$H$154,"&lt;="&amp;EOMONTH(Valores!$H145,0))</f>
        <v>0.0233644859813084</v>
      </c>
      <c r="P145" s="17" t="n">
        <f aca="false">Valores!$O145*7754000</f>
        <v>181168.224299065</v>
      </c>
    </row>
    <row r="146" customFormat="false" ht="13.8" hidden="false" customHeight="false" outlineLevel="0" collapsed="false">
      <c r="H146" s="14" t="n">
        <v>43853</v>
      </c>
      <c r="I146" s="11" t="n">
        <f aca="false">VLOOKUP(WEEKNUM(Valores!$H146,2)-WEEKNUM(EOMONTH(Valores!$H146,-1)+1,2)+1,Valores!$C$11:$F$16,IF((WEEKNUM(EOMONTH(H146,0),2)-WEEKNUM(EOMONTH(H146,-1)+1,2)+1)=4,2,IF((WEEKNUM(EOMONTH(H146,0),2)-WEEKNUM(EOMONTH(H146,-1)+1,2)+1)=5,3,IF((WEEKNUM(EOMONTH(H146,0),2)-WEEKNUM(EOMONTH(H146,-1)+1,2)+1)=6,4,0))),0)</f>
        <v>0.2</v>
      </c>
      <c r="J146" s="15" t="n">
        <f aca="false">WEEKNUM(Valores!$H146,2)</f>
        <v>4</v>
      </c>
      <c r="K146" s="15" t="n">
        <v>2020</v>
      </c>
      <c r="L146" s="16" t="n">
        <f aca="false">WEEKDAY(Valores!$H146,2)</f>
        <v>4</v>
      </c>
      <c r="M146" s="15" t="n">
        <f aca="false">VLOOKUP(Valores!$L146,Valores!$C$2:$E$8,3,0)</f>
        <v>0.1</v>
      </c>
      <c r="N146" s="15" t="n">
        <f aca="false">Valores!$I146*Valores!$M146</f>
        <v>0.02</v>
      </c>
      <c r="O146" s="12" t="n">
        <f aca="false">Valores!$N146/SUMIFS(Valores!$N$2:$N$154,Valores!$H$2:$H$154,"&gt;="&amp;EOMONTH(Valores!$H146,-1)+1,Valores!$H$2:$H$154,"&lt;="&amp;EOMONTH(Valores!$H146,0))</f>
        <v>0.0233644859813084</v>
      </c>
      <c r="P146" s="17" t="n">
        <f aca="false">Valores!$O146*7754000</f>
        <v>181168.224299065</v>
      </c>
    </row>
    <row r="147" customFormat="false" ht="13.8" hidden="false" customHeight="false" outlineLevel="0" collapsed="false">
      <c r="H147" s="14" t="n">
        <v>43854</v>
      </c>
      <c r="I147" s="11" t="n">
        <f aca="false">VLOOKUP(WEEKNUM(Valores!$H147,2)-WEEKNUM(EOMONTH(Valores!$H147,-1)+1,2)+1,Valores!$C$11:$F$16,IF((WEEKNUM(EOMONTH(H147,0),2)-WEEKNUM(EOMONTH(H147,-1)+1,2)+1)=4,2,IF((WEEKNUM(EOMONTH(H147,0),2)-WEEKNUM(EOMONTH(H147,-1)+1,2)+1)=5,3,IF((WEEKNUM(EOMONTH(H147,0),2)-WEEKNUM(EOMONTH(H147,-1)+1,2)+1)=6,4,0))),0)</f>
        <v>0.2</v>
      </c>
      <c r="J147" s="15" t="n">
        <f aca="false">WEEKNUM(Valores!$H147,2)</f>
        <v>4</v>
      </c>
      <c r="K147" s="15" t="n">
        <v>2020</v>
      </c>
      <c r="L147" s="16" t="n">
        <f aca="false">WEEKDAY(Valores!$H147,2)</f>
        <v>5</v>
      </c>
      <c r="M147" s="15" t="n">
        <f aca="false">VLOOKUP(Valores!$L147,Valores!$C$2:$E$8,3,0)</f>
        <v>0.2</v>
      </c>
      <c r="N147" s="15" t="n">
        <f aca="false">Valores!$I147*Valores!$M147</f>
        <v>0.04</v>
      </c>
      <c r="O147" s="12" t="n">
        <f aca="false">Valores!$N147/SUMIFS(Valores!$N$2:$N$154,Valores!$H$2:$H$154,"&gt;="&amp;EOMONTH(Valores!$H147,-1)+1,Valores!$H$2:$H$154,"&lt;="&amp;EOMONTH(Valores!$H147,0))</f>
        <v>0.0467289719626168</v>
      </c>
      <c r="P147" s="17" t="n">
        <f aca="false">Valores!$O147*7754000</f>
        <v>362336.448598131</v>
      </c>
    </row>
    <row r="148" customFormat="false" ht="13.8" hidden="false" customHeight="false" outlineLevel="0" collapsed="false">
      <c r="H148" s="14" t="n">
        <v>43855</v>
      </c>
      <c r="I148" s="11" t="n">
        <f aca="false">VLOOKUP(WEEKNUM(Valores!$H148,2)-WEEKNUM(EOMONTH(Valores!$H148,-1)+1,2)+1,Valores!$C$11:$F$16,IF((WEEKNUM(EOMONTH(H148,0),2)-WEEKNUM(EOMONTH(H148,-1)+1,2)+1)=4,2,IF((WEEKNUM(EOMONTH(H148,0),2)-WEEKNUM(EOMONTH(H148,-1)+1,2)+1)=5,3,IF((WEEKNUM(EOMONTH(H148,0),2)-WEEKNUM(EOMONTH(H148,-1)+1,2)+1)=6,4,0))),0)</f>
        <v>0.2</v>
      </c>
      <c r="J148" s="15" t="n">
        <f aca="false">WEEKNUM(Valores!$H148,2)</f>
        <v>4</v>
      </c>
      <c r="K148" s="15" t="n">
        <v>2020</v>
      </c>
      <c r="L148" s="16" t="n">
        <f aca="false">WEEKDAY(Valores!$H148,2)</f>
        <v>6</v>
      </c>
      <c r="M148" s="15" t="n">
        <f aca="false">VLOOKUP(Valores!$L148,Valores!$C$2:$E$8,3,0)</f>
        <v>0.25</v>
      </c>
      <c r="N148" s="15" t="n">
        <f aca="false">Valores!$I148*Valores!$M148</f>
        <v>0.05</v>
      </c>
      <c r="O148" s="12" t="n">
        <f aca="false">Valores!$N148/SUMIFS(Valores!$N$2:$N$154,Valores!$H$2:$H$154,"&gt;="&amp;EOMONTH(Valores!$H148,-1)+1,Valores!$H$2:$H$154,"&lt;="&amp;EOMONTH(Valores!$H148,0))</f>
        <v>0.058411214953271</v>
      </c>
      <c r="P148" s="17" t="n">
        <f aca="false">Valores!$O148*7754000</f>
        <v>452920.560747663</v>
      </c>
    </row>
    <row r="149" customFormat="false" ht="13.8" hidden="false" customHeight="false" outlineLevel="0" collapsed="false">
      <c r="H149" s="14" t="n">
        <v>43856</v>
      </c>
      <c r="I149" s="11" t="n">
        <f aca="false">VLOOKUP(WEEKNUM(Valores!$H149,2)-WEEKNUM(EOMONTH(Valores!$H149,-1)+1,2)+1,Valores!$C$11:$F$16,IF((WEEKNUM(EOMONTH(H149,0),2)-WEEKNUM(EOMONTH(H149,-1)+1,2)+1)=4,2,IF((WEEKNUM(EOMONTH(H149,0),2)-WEEKNUM(EOMONTH(H149,-1)+1,2)+1)=5,3,IF((WEEKNUM(EOMONTH(H149,0),2)-WEEKNUM(EOMONTH(H149,-1)+1,2)+1)=6,4,0))),0)</f>
        <v>0.2</v>
      </c>
      <c r="J149" s="15" t="n">
        <f aca="false">WEEKNUM(Valores!$H149,2)</f>
        <v>4</v>
      </c>
      <c r="K149" s="15" t="n">
        <v>2020</v>
      </c>
      <c r="L149" s="16" t="n">
        <f aca="false">WEEKDAY(Valores!$H149,2)</f>
        <v>7</v>
      </c>
      <c r="M149" s="15" t="n">
        <f aca="false">VLOOKUP(Valores!$L149,Valores!$C$2:$E$8,3,0)</f>
        <v>0.15</v>
      </c>
      <c r="N149" s="15" t="n">
        <f aca="false">Valores!$I149*Valores!$M149</f>
        <v>0.03</v>
      </c>
      <c r="O149" s="12" t="n">
        <f aca="false">Valores!$N149/SUMIFS(Valores!$N$2:$N$154,Valores!$H$2:$H$154,"&gt;="&amp;EOMONTH(Valores!$H149,-1)+1,Valores!$H$2:$H$154,"&lt;="&amp;EOMONTH(Valores!$H149,0))</f>
        <v>0.0350467289719626</v>
      </c>
      <c r="P149" s="17" t="n">
        <f aca="false">Valores!$O149*7754000</f>
        <v>271752.336448598</v>
      </c>
    </row>
    <row r="150" customFormat="false" ht="13.8" hidden="false" customHeight="false" outlineLevel="0" collapsed="false">
      <c r="H150" s="14" t="n">
        <v>43857</v>
      </c>
      <c r="I150" s="11" t="n">
        <f aca="false">VLOOKUP(WEEKNUM(Valores!$H150,2)-WEEKNUM(EOMONTH(Valores!$H150,-1)+1,2)+1,Valores!$C$11:$F$16,IF((WEEKNUM(EOMONTH(H150,0),2)-WEEKNUM(EOMONTH(H150,-1)+1,2)+1)=4,2,IF((WEEKNUM(EOMONTH(H150,0),2)-WEEKNUM(EOMONTH(H150,-1)+1,2)+1)=5,3,IF((WEEKNUM(EOMONTH(H150,0),2)-WEEKNUM(EOMONTH(H150,-1)+1,2)+1)=6,4,0))),0)</f>
        <v>0.22</v>
      </c>
      <c r="J150" s="15" t="n">
        <f aca="false">WEEKNUM(Valores!$H150,2)</f>
        <v>5</v>
      </c>
      <c r="K150" s="15" t="n">
        <v>2020</v>
      </c>
      <c r="L150" s="16" t="n">
        <f aca="false">WEEKDAY(Valores!$H150,2)</f>
        <v>1</v>
      </c>
      <c r="M150" s="15" t="n">
        <f aca="false">VLOOKUP(Valores!$L150,Valores!$C$2:$E$8,3,0)</f>
        <v>0.1</v>
      </c>
      <c r="N150" s="15" t="n">
        <f aca="false">Valores!$I150*Valores!$M150</f>
        <v>0.022</v>
      </c>
      <c r="O150" s="12" t="n">
        <f aca="false">Valores!$N150/SUMIFS(Valores!$N$2:$N$154,Valores!$H$2:$H$154,"&gt;="&amp;EOMONTH(Valores!$H150,-1)+1,Valores!$H$2:$H$154,"&lt;="&amp;EOMONTH(Valores!$H150,0))</f>
        <v>0.0257009345794392</v>
      </c>
      <c r="P150" s="17" t="n">
        <f aca="false">Valores!$O150*7754000</f>
        <v>199285.046728972</v>
      </c>
    </row>
    <row r="151" customFormat="false" ht="13.8" hidden="false" customHeight="false" outlineLevel="0" collapsed="false">
      <c r="H151" s="14" t="n">
        <v>43858</v>
      </c>
      <c r="I151" s="11" t="n">
        <f aca="false">VLOOKUP(WEEKNUM(Valores!$H151,2)-WEEKNUM(EOMONTH(Valores!$H151,-1)+1,2)+1,Valores!$C$11:$F$16,IF((WEEKNUM(EOMONTH(H151,0),2)-WEEKNUM(EOMONTH(H151,-1)+1,2)+1)=4,2,IF((WEEKNUM(EOMONTH(H151,0),2)-WEEKNUM(EOMONTH(H151,-1)+1,2)+1)=5,3,IF((WEEKNUM(EOMONTH(H151,0),2)-WEEKNUM(EOMONTH(H151,-1)+1,2)+1)=6,4,0))),0)</f>
        <v>0.22</v>
      </c>
      <c r="J151" s="15" t="n">
        <f aca="false">WEEKNUM(Valores!$H151,2)</f>
        <v>5</v>
      </c>
      <c r="K151" s="15" t="n">
        <v>2020</v>
      </c>
      <c r="L151" s="16" t="n">
        <f aca="false">WEEKDAY(Valores!$H151,2)</f>
        <v>2</v>
      </c>
      <c r="M151" s="15" t="n">
        <f aca="false">VLOOKUP(Valores!$L151,Valores!$C$2:$E$8,3,0)</f>
        <v>0.1</v>
      </c>
      <c r="N151" s="15" t="n">
        <f aca="false">Valores!$I151*Valores!$M151</f>
        <v>0.022</v>
      </c>
      <c r="O151" s="12" t="n">
        <f aca="false">Valores!$N151/SUMIFS(Valores!$N$2:$N$154,Valores!$H$2:$H$154,"&gt;="&amp;EOMONTH(Valores!$H151,-1)+1,Valores!$H$2:$H$154,"&lt;="&amp;EOMONTH(Valores!$H151,0))</f>
        <v>0.0257009345794392</v>
      </c>
      <c r="P151" s="17" t="n">
        <f aca="false">Valores!$O151*7754000</f>
        <v>199285.046728972</v>
      </c>
    </row>
    <row r="152" customFormat="false" ht="13.8" hidden="false" customHeight="false" outlineLevel="0" collapsed="false">
      <c r="H152" s="14" t="n">
        <v>43859</v>
      </c>
      <c r="I152" s="11" t="n">
        <f aca="false">VLOOKUP(WEEKNUM(Valores!$H152,2)-WEEKNUM(EOMONTH(Valores!$H152,-1)+1,2)+1,Valores!$C$11:$F$16,IF((WEEKNUM(EOMONTH(H152,0),2)-WEEKNUM(EOMONTH(H152,-1)+1,2)+1)=4,2,IF((WEEKNUM(EOMONTH(H152,0),2)-WEEKNUM(EOMONTH(H152,-1)+1,2)+1)=5,3,IF((WEEKNUM(EOMONTH(H152,0),2)-WEEKNUM(EOMONTH(H152,-1)+1,2)+1)=6,4,0))),0)</f>
        <v>0.22</v>
      </c>
      <c r="J152" s="15" t="n">
        <f aca="false">WEEKNUM(Valores!$H152,2)</f>
        <v>5</v>
      </c>
      <c r="K152" s="15" t="n">
        <v>2020</v>
      </c>
      <c r="L152" s="16" t="n">
        <f aca="false">WEEKDAY(Valores!$H152,2)</f>
        <v>3</v>
      </c>
      <c r="M152" s="15" t="n">
        <f aca="false">VLOOKUP(Valores!$L152,Valores!$C$2:$E$8,3,0)</f>
        <v>0.1</v>
      </c>
      <c r="N152" s="15" t="n">
        <f aca="false">Valores!$I152*Valores!$M152</f>
        <v>0.022</v>
      </c>
      <c r="O152" s="12" t="n">
        <f aca="false">Valores!$N152/SUMIFS(Valores!$N$2:$N$154,Valores!$H$2:$H$154,"&gt;="&amp;EOMONTH(Valores!$H152,-1)+1,Valores!$H$2:$H$154,"&lt;="&amp;EOMONTH(Valores!$H152,0))</f>
        <v>0.0257009345794392</v>
      </c>
      <c r="P152" s="17" t="n">
        <f aca="false">Valores!$O152*7754000</f>
        <v>199285.046728972</v>
      </c>
    </row>
    <row r="153" customFormat="false" ht="13.8" hidden="false" customHeight="false" outlineLevel="0" collapsed="false">
      <c r="H153" s="14" t="n">
        <v>43860</v>
      </c>
      <c r="I153" s="11" t="n">
        <f aca="false">VLOOKUP(WEEKNUM(Valores!$H153,2)-WEEKNUM(EOMONTH(Valores!$H153,-1)+1,2)+1,Valores!$C$11:$F$16,IF((WEEKNUM(EOMONTH(H153,0),2)-WEEKNUM(EOMONTH(H153,-1)+1,2)+1)=4,2,IF((WEEKNUM(EOMONTH(H153,0),2)-WEEKNUM(EOMONTH(H153,-1)+1,2)+1)=5,3,IF((WEEKNUM(EOMONTH(H153,0),2)-WEEKNUM(EOMONTH(H153,-1)+1,2)+1)=6,4,0))),0)</f>
        <v>0.22</v>
      </c>
      <c r="J153" s="15" t="n">
        <f aca="false">WEEKNUM(Valores!$H153,2)</f>
        <v>5</v>
      </c>
      <c r="K153" s="15" t="n">
        <v>2020</v>
      </c>
      <c r="L153" s="16" t="n">
        <f aca="false">WEEKDAY(Valores!$H153,2)</f>
        <v>4</v>
      </c>
      <c r="M153" s="15" t="n">
        <f aca="false">VLOOKUP(Valores!$L153,Valores!$C$2:$E$8,3,0)</f>
        <v>0.1</v>
      </c>
      <c r="N153" s="15" t="n">
        <f aca="false">Valores!$I153*Valores!$M153</f>
        <v>0.022</v>
      </c>
      <c r="O153" s="12" t="n">
        <f aca="false">Valores!$N153/SUMIFS(Valores!$N$2:$N$154,Valores!$H$2:$H$154,"&gt;="&amp;EOMONTH(Valores!$H153,-1)+1,Valores!$H$2:$H$154,"&lt;="&amp;EOMONTH(Valores!$H153,0))</f>
        <v>0.0257009345794392</v>
      </c>
      <c r="P153" s="17" t="n">
        <f aca="false">Valores!$O153*7754000</f>
        <v>199285.046728972</v>
      </c>
    </row>
    <row r="154" customFormat="false" ht="13.8" hidden="false" customHeight="false" outlineLevel="0" collapsed="false">
      <c r="H154" s="14" t="n">
        <v>43861</v>
      </c>
      <c r="I154" s="11" t="n">
        <f aca="false">VLOOKUP(WEEKNUM(Valores!$H154,2)-WEEKNUM(EOMONTH(Valores!$H154,-1)+1,2)+1,Valores!$C$11:$F$16,IF((WEEKNUM(EOMONTH(H154,0),2)-WEEKNUM(EOMONTH(H154,-1)+1,2)+1)=4,2,IF((WEEKNUM(EOMONTH(H154,0),2)-WEEKNUM(EOMONTH(H154,-1)+1,2)+1)=5,3,IF((WEEKNUM(EOMONTH(H154,0),2)-WEEKNUM(EOMONTH(H154,-1)+1,2)+1)=6,4,0))),0)</f>
        <v>0.22</v>
      </c>
      <c r="J154" s="15" t="n">
        <f aca="false">WEEKNUM(Valores!$H154,2)</f>
        <v>5</v>
      </c>
      <c r="K154" s="15" t="n">
        <v>2020</v>
      </c>
      <c r="L154" s="16" t="n">
        <f aca="false">WEEKDAY(Valores!$H154,2)</f>
        <v>5</v>
      </c>
      <c r="M154" s="15" t="n">
        <f aca="false">VLOOKUP(Valores!$L154,Valores!$C$2:$E$8,3,0)</f>
        <v>0.2</v>
      </c>
      <c r="N154" s="15" t="n">
        <f aca="false">Valores!$I154*Valores!$M154</f>
        <v>0.044</v>
      </c>
      <c r="O154" s="12" t="n">
        <f aca="false">Valores!$N154/SUMIFS(Valores!$N$2:$N$154,Valores!$H$2:$H$154,"&gt;="&amp;EOMONTH(Valores!$H154,-1)+1,Valores!$H$2:$H$154,"&lt;="&amp;EOMONTH(Valores!$H154,0))</f>
        <v>0.0514018691588785</v>
      </c>
      <c r="P154" s="17" t="n">
        <f aca="false">Valores!$O154*7754000</f>
        <v>398570.093457944</v>
      </c>
    </row>
  </sheetData>
  <conditionalFormatting sqref="H2:H154">
    <cfRule type="expression" priority="2" aboveAverage="0" equalAverage="0" bottom="0" percent="0" rank="0" text="" dxfId="0">
      <formula>WEEKDAY(H2,2)&gt;6</formula>
    </cfRule>
  </conditionalFormatting>
  <conditionalFormatting sqref="H2:H154">
    <cfRule type="expression" priority="3" aboveAverage="0" equalAverage="0" bottom="0" percent="0" rank="0" text="" dxfId="0">
      <formula>COUNTIF(Feriados,H2)&lt;&gt;0</formula>
    </cfRule>
  </conditionalFormatting>
  <conditionalFormatting sqref="H2:H154">
    <cfRule type="expression" priority="4" aboveAverage="0" equalAverage="0" bottom="0" percent="0" rank="0" text="" dxfId="0">
      <formula>H2=TODAY()</formula>
    </cfRule>
  </conditionalFormatting>
  <conditionalFormatting sqref="O2:O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X16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10" activeCellId="0" sqref="D110"/>
    </sheetView>
  </sheetViews>
  <sheetFormatPr defaultColWidth="11.53515625" defaultRowHeight="13.8" zeroHeight="false" outlineLevelRow="0" outlineLevelCol="1"/>
  <cols>
    <col collapsed="false" customWidth="true" hidden="false" outlineLevel="0" max="1" min="1" style="18" width="15.44"/>
    <col collapsed="false" customWidth="true" hidden="false" outlineLevel="0" max="2" min="2" style="18" width="23.43"/>
    <col collapsed="false" customWidth="true" hidden="false" outlineLevel="1" max="6" min="3" style="18" width="13.1"/>
    <col collapsed="false" customWidth="true" hidden="false" outlineLevel="0" max="7" min="7" style="0" width="13.02"/>
    <col collapsed="false" customWidth="true" hidden="false" outlineLevel="0" max="23" min="8" style="0" width="10.77"/>
    <col collapsed="false" customWidth="true" hidden="false" outlineLevel="0" max="25" min="24" style="0" width="5.66"/>
    <col collapsed="false" customWidth="true" hidden="false" outlineLevel="0" max="128" min="26" style="0" width="10.77"/>
  </cols>
  <sheetData>
    <row r="1" customFormat="false" ht="14.4" hidden="false" customHeight="true" outlineLevel="0" collapsed="false">
      <c r="A1" s="19" t="s">
        <v>17</v>
      </c>
      <c r="B1" s="20" t="s">
        <v>18</v>
      </c>
      <c r="C1" s="21" t="s">
        <v>19</v>
      </c>
      <c r="D1" s="21" t="s">
        <v>19</v>
      </c>
      <c r="E1" s="21" t="s">
        <v>19</v>
      </c>
      <c r="F1" s="21" t="s">
        <v>19</v>
      </c>
      <c r="G1" s="22" t="s">
        <v>20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3" t="s">
        <v>21</v>
      </c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 t="s">
        <v>22</v>
      </c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2" t="n">
        <v>43800</v>
      </c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</row>
    <row r="2" customFormat="false" ht="67.2" hidden="false" customHeight="true" outlineLevel="0" collapsed="false">
      <c r="A2" s="19"/>
      <c r="B2" s="20"/>
      <c r="C2" s="24" t="n">
        <v>43709</v>
      </c>
      <c r="D2" s="24" t="n">
        <v>43739</v>
      </c>
      <c r="E2" s="24" t="n">
        <v>43770</v>
      </c>
      <c r="F2" s="24" t="n">
        <v>43800</v>
      </c>
      <c r="G2" s="25" t="n">
        <v>43709</v>
      </c>
      <c r="H2" s="25" t="n">
        <v>43710</v>
      </c>
      <c r="I2" s="25" t="n">
        <v>43711</v>
      </c>
      <c r="J2" s="25" t="n">
        <v>43712</v>
      </c>
      <c r="K2" s="25" t="n">
        <v>43713</v>
      </c>
      <c r="L2" s="25" t="n">
        <v>43714</v>
      </c>
      <c r="M2" s="25" t="n">
        <v>43715</v>
      </c>
      <c r="N2" s="25" t="n">
        <v>43716</v>
      </c>
      <c r="O2" s="25" t="n">
        <v>43717</v>
      </c>
      <c r="P2" s="25" t="n">
        <v>43718</v>
      </c>
      <c r="Q2" s="25" t="n">
        <v>43719</v>
      </c>
      <c r="R2" s="25" t="n">
        <v>43720</v>
      </c>
      <c r="S2" s="25" t="n">
        <v>43721</v>
      </c>
      <c r="T2" s="25" t="n">
        <v>43722</v>
      </c>
      <c r="U2" s="25" t="n">
        <v>43723</v>
      </c>
      <c r="V2" s="25" t="n">
        <v>43724</v>
      </c>
      <c r="W2" s="25" t="n">
        <v>43725</v>
      </c>
      <c r="X2" s="25" t="n">
        <v>43726</v>
      </c>
      <c r="Y2" s="25" t="n">
        <v>43727</v>
      </c>
      <c r="Z2" s="25" t="n">
        <v>43728</v>
      </c>
      <c r="AA2" s="25" t="n">
        <v>43729</v>
      </c>
      <c r="AB2" s="25" t="n">
        <v>43730</v>
      </c>
      <c r="AC2" s="25" t="n">
        <v>43731</v>
      </c>
      <c r="AD2" s="25" t="n">
        <v>43732</v>
      </c>
      <c r="AE2" s="25" t="n">
        <v>43733</v>
      </c>
      <c r="AF2" s="25" t="n">
        <v>43734</v>
      </c>
      <c r="AG2" s="25" t="n">
        <v>43735</v>
      </c>
      <c r="AH2" s="25" t="n">
        <v>43736</v>
      </c>
      <c r="AI2" s="25" t="n">
        <v>43737</v>
      </c>
      <c r="AJ2" s="25" t="n">
        <v>43738</v>
      </c>
      <c r="AK2" s="25" t="n">
        <v>43739</v>
      </c>
      <c r="AL2" s="25" t="n">
        <v>43740</v>
      </c>
      <c r="AM2" s="25" t="n">
        <v>43741</v>
      </c>
      <c r="AN2" s="25" t="n">
        <v>43742</v>
      </c>
      <c r="AO2" s="25" t="n">
        <v>43743</v>
      </c>
      <c r="AP2" s="25" t="n">
        <v>43744</v>
      </c>
      <c r="AQ2" s="25" t="n">
        <v>43745</v>
      </c>
      <c r="AR2" s="25" t="n">
        <v>43746</v>
      </c>
      <c r="AS2" s="25" t="n">
        <v>43747</v>
      </c>
      <c r="AT2" s="25" t="n">
        <v>43748</v>
      </c>
      <c r="AU2" s="25" t="n">
        <v>43749</v>
      </c>
      <c r="AV2" s="25" t="n">
        <v>43750</v>
      </c>
      <c r="AW2" s="25" t="n">
        <v>43751</v>
      </c>
      <c r="AX2" s="25" t="n">
        <v>43752</v>
      </c>
      <c r="AY2" s="25" t="n">
        <v>43753</v>
      </c>
      <c r="AZ2" s="25" t="n">
        <v>43754</v>
      </c>
      <c r="BA2" s="25" t="n">
        <v>43755</v>
      </c>
      <c r="BB2" s="25" t="n">
        <v>43756</v>
      </c>
      <c r="BC2" s="25" t="n">
        <v>43757</v>
      </c>
      <c r="BD2" s="25" t="n">
        <v>43758</v>
      </c>
      <c r="BE2" s="25" t="n">
        <v>43759</v>
      </c>
      <c r="BF2" s="25" t="n">
        <v>43760</v>
      </c>
      <c r="BG2" s="25" t="n">
        <v>43761</v>
      </c>
      <c r="BH2" s="25" t="n">
        <v>43762</v>
      </c>
      <c r="BI2" s="25" t="n">
        <v>43763</v>
      </c>
      <c r="BJ2" s="25" t="n">
        <v>43764</v>
      </c>
      <c r="BK2" s="25" t="n">
        <v>43765</v>
      </c>
      <c r="BL2" s="25" t="n">
        <v>43766</v>
      </c>
      <c r="BM2" s="25" t="n">
        <v>43767</v>
      </c>
      <c r="BN2" s="25" t="n">
        <v>43768</v>
      </c>
      <c r="BO2" s="25" t="n">
        <v>43769</v>
      </c>
      <c r="BP2" s="25" t="n">
        <v>43770</v>
      </c>
      <c r="BQ2" s="25" t="n">
        <v>43771</v>
      </c>
      <c r="BR2" s="25" t="n">
        <v>43772</v>
      </c>
      <c r="BS2" s="25" t="n">
        <v>43773</v>
      </c>
      <c r="BT2" s="25" t="n">
        <v>43774</v>
      </c>
      <c r="BU2" s="25" t="n">
        <v>43775</v>
      </c>
      <c r="BV2" s="25" t="n">
        <v>43776</v>
      </c>
      <c r="BW2" s="25" t="n">
        <v>43777</v>
      </c>
      <c r="BX2" s="25" t="n">
        <v>43778</v>
      </c>
      <c r="BY2" s="25" t="n">
        <v>43779</v>
      </c>
      <c r="BZ2" s="25" t="n">
        <v>43780</v>
      </c>
      <c r="CA2" s="25" t="n">
        <v>43781</v>
      </c>
      <c r="CB2" s="25" t="n">
        <v>43782</v>
      </c>
      <c r="CC2" s="25" t="n">
        <v>43783</v>
      </c>
      <c r="CD2" s="25" t="n">
        <v>43784</v>
      </c>
      <c r="CE2" s="25" t="n">
        <v>43785</v>
      </c>
      <c r="CF2" s="25" t="n">
        <v>43786</v>
      </c>
      <c r="CG2" s="25" t="n">
        <v>43787</v>
      </c>
      <c r="CH2" s="25" t="n">
        <v>43788</v>
      </c>
      <c r="CI2" s="25" t="n">
        <v>43789</v>
      </c>
      <c r="CJ2" s="25" t="n">
        <v>43790</v>
      </c>
      <c r="CK2" s="25" t="n">
        <v>43791</v>
      </c>
      <c r="CL2" s="25" t="n">
        <v>43792</v>
      </c>
      <c r="CM2" s="25" t="n">
        <v>43793</v>
      </c>
      <c r="CN2" s="25" t="n">
        <v>43794</v>
      </c>
      <c r="CO2" s="25" t="n">
        <v>43795</v>
      </c>
      <c r="CP2" s="25" t="n">
        <v>43796</v>
      </c>
      <c r="CQ2" s="25" t="n">
        <v>43797</v>
      </c>
      <c r="CR2" s="25" t="n">
        <v>43798</v>
      </c>
      <c r="CS2" s="25" t="n">
        <v>43799</v>
      </c>
      <c r="CT2" s="25" t="n">
        <v>43800</v>
      </c>
      <c r="CU2" s="25" t="n">
        <v>43801</v>
      </c>
      <c r="CV2" s="25" t="n">
        <v>43802</v>
      </c>
      <c r="CW2" s="25" t="n">
        <v>43803</v>
      </c>
      <c r="CX2" s="25" t="n">
        <v>43804</v>
      </c>
      <c r="CY2" s="25" t="n">
        <v>43805</v>
      </c>
      <c r="CZ2" s="25" t="n">
        <v>43806</v>
      </c>
      <c r="DA2" s="25" t="n">
        <v>43807</v>
      </c>
      <c r="DB2" s="25" t="n">
        <v>43808</v>
      </c>
      <c r="DC2" s="25" t="n">
        <v>43809</v>
      </c>
      <c r="DD2" s="25" t="n">
        <v>43810</v>
      </c>
      <c r="DE2" s="25" t="n">
        <v>43811</v>
      </c>
      <c r="DF2" s="25" t="n">
        <v>43812</v>
      </c>
      <c r="DG2" s="25" t="n">
        <v>43813</v>
      </c>
      <c r="DH2" s="25" t="n">
        <v>43814</v>
      </c>
      <c r="DI2" s="25" t="n">
        <v>43815</v>
      </c>
      <c r="DJ2" s="25" t="n">
        <v>43816</v>
      </c>
      <c r="DK2" s="25" t="n">
        <v>43817</v>
      </c>
      <c r="DL2" s="25" t="n">
        <v>43818</v>
      </c>
      <c r="DM2" s="25" t="n">
        <v>43819</v>
      </c>
      <c r="DN2" s="25" t="n">
        <v>43820</v>
      </c>
      <c r="DO2" s="25" t="n">
        <v>43821</v>
      </c>
      <c r="DP2" s="25" t="n">
        <v>43822</v>
      </c>
      <c r="DQ2" s="25" t="n">
        <v>43823</v>
      </c>
      <c r="DR2" s="25" t="n">
        <v>43824</v>
      </c>
      <c r="DS2" s="25" t="n">
        <v>43825</v>
      </c>
      <c r="DT2" s="25" t="n">
        <v>43826</v>
      </c>
      <c r="DU2" s="25" t="n">
        <v>43827</v>
      </c>
      <c r="DV2" s="25" t="n">
        <v>43828</v>
      </c>
      <c r="DW2" s="25" t="n">
        <v>43829</v>
      </c>
      <c r="DX2" s="25" t="n">
        <v>43830</v>
      </c>
    </row>
    <row r="3" customFormat="false" ht="13.8" hidden="false" customHeight="false" outlineLevel="0" collapsed="false">
      <c r="A3" s="26" t="s">
        <v>23</v>
      </c>
      <c r="B3" s="26" t="s">
        <v>24</v>
      </c>
      <c r="C3" s="26" t="n">
        <v>3154790</v>
      </c>
      <c r="D3" s="26" t="n">
        <v>2839311</v>
      </c>
      <c r="E3" s="26" t="n">
        <v>2555379.9</v>
      </c>
      <c r="F3" s="26" t="n">
        <v>10000000</v>
      </c>
      <c r="G3" s="27" t="n">
        <f aca="false">SUMIF($C$2:$F$2,EOMONTH(G$2,-1)+1,$C3:$F3)*VLOOKUP(G$2,Valores!$H$2:$P$154,8,0)</f>
        <v>90848.8152048708</v>
      </c>
      <c r="H3" s="28" t="n">
        <f aca="false">SUMIF($C$2:$F$2,EOMONTH(H$2,-1)+1,$C3:$F3)*VLOOKUP(H$2,Valores!$H$2:$P$154,8,0)</f>
        <v>62296.3304261971</v>
      </c>
      <c r="I3" s="28" t="n">
        <f aca="false">SUMIF($C$2:$F$2,EOMONTH(I$2,-1)+1,$C3:$F3)*VLOOKUP(I$2,Valores!$H$2:$P$154,8,0)</f>
        <v>62296.3304261971</v>
      </c>
      <c r="J3" s="28" t="n">
        <f aca="false">SUMIF($C$2:$F$2,EOMONTH(J$2,-1)+1,$C3:$F3)*VLOOKUP(J$2,Valores!$H$2:$P$154,8,0)</f>
        <v>62296.3304261971</v>
      </c>
      <c r="K3" s="28" t="n">
        <f aca="false">SUMIF($C$2:$F$2,EOMONTH(K$2,-1)+1,$C3:$F3)*VLOOKUP(K$2,Valores!$H$2:$P$154,8,0)</f>
        <v>62296.3304261971</v>
      </c>
      <c r="L3" s="28" t="n">
        <f aca="false">SUMIF($C$2:$F$2,EOMONTH(L$2,-1)+1,$C3:$F3)*VLOOKUP(L$2,Valores!$H$2:$P$154,8,0)</f>
        <v>124592.660852394</v>
      </c>
      <c r="M3" s="28" t="n">
        <f aca="false">SUMIF($C$2:$F$2,EOMONTH(M$2,-1)+1,$C3:$F3)*VLOOKUP(M$2,Valores!$H$2:$P$154,8,0)</f>
        <v>155740.826065493</v>
      </c>
      <c r="N3" s="28" t="n">
        <f aca="false">SUMIF($C$2:$F$2,EOMONTH(N$2,-1)+1,$C3:$F3)*VLOOKUP(N$2,Valores!$H$2:$P$154,8,0)</f>
        <v>93444.4956392957</v>
      </c>
      <c r="O3" s="28" t="n">
        <f aca="false">SUMIF($C$2:$F$2,EOMONTH(O$2,-1)+1,$C3:$F3)*VLOOKUP(O$2,Valores!$H$2:$P$154,8,0)</f>
        <v>83061.7739015962</v>
      </c>
      <c r="P3" s="28" t="n">
        <f aca="false">SUMIF($C$2:$F$2,EOMONTH(P$2,-1)+1,$C3:$F3)*VLOOKUP(P$2,Valores!$H$2:$P$154,8,0)</f>
        <v>83061.7739015962</v>
      </c>
      <c r="Q3" s="28" t="n">
        <f aca="false">SUMIF($C$2:$F$2,EOMONTH(Q$2,-1)+1,$C3:$F3)*VLOOKUP(Q$2,Valores!$H$2:$P$154,8,0)</f>
        <v>49837.0643409577</v>
      </c>
      <c r="R3" s="28" t="n">
        <f aca="false">SUMIF($C$2:$F$2,EOMONTH(R$2,-1)+1,$C3:$F3)*VLOOKUP(R$2,Valores!$H$2:$P$154,8,0)</f>
        <v>83061.7739015962</v>
      </c>
      <c r="S3" s="28" t="n">
        <f aca="false">SUMIF($C$2:$F$2,EOMONTH(S$2,-1)+1,$C3:$F3)*VLOOKUP(S$2,Valores!$H$2:$P$154,8,0)</f>
        <v>166123.547803192</v>
      </c>
      <c r="T3" s="28" t="n">
        <f aca="false">SUMIF($C$2:$F$2,EOMONTH(T$2,-1)+1,$C3:$F3)*VLOOKUP(T$2,Valores!$H$2:$P$154,8,0)</f>
        <v>207654.43475399</v>
      </c>
      <c r="U3" s="28" t="n">
        <f aca="false">SUMIF($C$2:$F$2,EOMONTH(U$2,-1)+1,$C3:$F3)*VLOOKUP(U$2,Valores!$H$2:$P$154,8,0)</f>
        <v>124592.660852394</v>
      </c>
      <c r="V3" s="28" t="n">
        <f aca="false">SUMIF($C$2:$F$2,EOMONTH(V$2,-1)+1,$C3:$F3)*VLOOKUP(V$2,Valores!$H$2:$P$154,8,0)</f>
        <v>103827.217376995</v>
      </c>
      <c r="W3" s="28" t="n">
        <f aca="false">SUMIF($C$2:$F$2,EOMONTH(W$2,-1)+1,$C3:$F3)*VLOOKUP(W$2,Valores!$H$2:$P$154,8,0)</f>
        <v>103827.217376995</v>
      </c>
      <c r="X3" s="28" t="n">
        <f aca="false">SUMIF($C$2:$F$2,EOMONTH(X$2,-1)+1,$C3:$F3)*VLOOKUP(X$2,Valores!$H$2:$P$154,8,0)</f>
        <v>0</v>
      </c>
      <c r="Y3" s="28" t="n">
        <f aca="false">SUMIF($C$2:$F$2,EOMONTH(Y$2,-1)+1,$C3:$F3)*VLOOKUP(Y$2,Valores!$H$2:$P$154,8,0)</f>
        <v>0</v>
      </c>
      <c r="Z3" s="28" t="n">
        <f aca="false">SUMIF($C$2:$F$2,EOMONTH(Z$2,-1)+1,$C3:$F3)*VLOOKUP(Z$2,Valores!$H$2:$P$154,8,0)</f>
        <v>155740.826065493</v>
      </c>
      <c r="AA3" s="28" t="n">
        <f aca="false">SUMIF($C$2:$F$2,EOMONTH(AA$2,-1)+1,$C3:$F3)*VLOOKUP(AA$2,Valores!$H$2:$P$154,8,0)</f>
        <v>186888.991278591</v>
      </c>
      <c r="AB3" s="28" t="n">
        <f aca="false">SUMIF($C$2:$F$2,EOMONTH(AB$2,-1)+1,$C3:$F3)*VLOOKUP(AB$2,Valores!$H$2:$P$154,8,0)</f>
        <v>93444.4956392957</v>
      </c>
      <c r="AC3" s="28" t="n">
        <f aca="false">SUMIF($C$2:$F$2,EOMONTH(AC$2,-1)+1,$C3:$F3)*VLOOKUP(AC$2,Valores!$H$2:$P$154,8,0)</f>
        <v>114209.939114695</v>
      </c>
      <c r="AD3" s="28" t="n">
        <f aca="false">SUMIF($C$2:$F$2,EOMONTH(AD$2,-1)+1,$C3:$F3)*VLOOKUP(AD$2,Valores!$H$2:$P$154,8,0)</f>
        <v>114209.939114695</v>
      </c>
      <c r="AE3" s="28" t="n">
        <f aca="false">SUMIF($C$2:$F$2,EOMONTH(AE$2,-1)+1,$C3:$F3)*VLOOKUP(AE$2,Valores!$H$2:$P$154,8,0)</f>
        <v>114209.939114695</v>
      </c>
      <c r="AF3" s="28" t="n">
        <f aca="false">SUMIF($C$2:$F$2,EOMONTH(AF$2,-1)+1,$C3:$F3)*VLOOKUP(AF$2,Valores!$H$2:$P$154,8,0)</f>
        <v>114209.939114695</v>
      </c>
      <c r="AG3" s="28" t="n">
        <f aca="false">SUMIF($C$2:$F$2,EOMONTH(AG$2,-1)+1,$C3:$F3)*VLOOKUP(AG$2,Valores!$H$2:$P$154,8,0)</f>
        <v>182735.902583512</v>
      </c>
      <c r="AH3" s="28" t="n">
        <f aca="false">SUMIF($C$2:$F$2,EOMONTH(AH$2,-1)+1,$C3:$F3)*VLOOKUP(AH$2,Valores!$H$2:$P$154,8,0)</f>
        <v>228419.878229389</v>
      </c>
      <c r="AI3" s="28" t="n">
        <f aca="false">SUMIF($C$2:$F$2,EOMONTH(AI$2,-1)+1,$C3:$F3)*VLOOKUP(AI$2,Valores!$H$2:$P$154,8,0)</f>
        <v>79946.9573802863</v>
      </c>
      <c r="AJ3" s="28" t="n">
        <f aca="false">SUMIF($C$2:$F$2,EOMONTH(AJ$2,-1)+1,$C3:$F3)*VLOOKUP(AJ$2,Valores!$H$2:$P$154,8,0)</f>
        <v>51913.6086884976</v>
      </c>
      <c r="AK3" s="28" t="n">
        <f aca="false">SUMIF($C$2:$F$2,EOMONTH(AK$2,-1)+1,$C3:$F3)*VLOOKUP(AK$2,Valores!$H$2:$P$154,8,0)</f>
        <v>94668.4941294149</v>
      </c>
      <c r="AL3" s="28" t="n">
        <f aca="false">SUMIF($C$2:$F$2,EOMONTH(AL$2,-1)+1,$C3:$F3)*VLOOKUP(AL$2,Valores!$H$2:$P$154,8,0)</f>
        <v>94668.4941294149</v>
      </c>
      <c r="AM3" s="28" t="n">
        <f aca="false">SUMIF($C$2:$F$2,EOMONTH(AM$2,-1)+1,$C3:$F3)*VLOOKUP(AM$2,Valores!$H$2:$P$154,8,0)</f>
        <v>94668.4941294149</v>
      </c>
      <c r="AN3" s="28" t="n">
        <f aca="false">SUMIF($C$2:$F$2,EOMONTH(AN$2,-1)+1,$C3:$F3)*VLOOKUP(AN$2,Valores!$H$2:$P$154,8,0)</f>
        <v>189336.98825883</v>
      </c>
      <c r="AO3" s="28" t="n">
        <f aca="false">SUMIF($C$2:$F$2,EOMONTH(AO$2,-1)+1,$C3:$F3)*VLOOKUP(AO$2,Valores!$H$2:$P$154,8,0)</f>
        <v>236671.235323537</v>
      </c>
      <c r="AP3" s="28" t="n">
        <f aca="false">SUMIF($C$2:$F$2,EOMONTH(AP$2,-1)+1,$C3:$F3)*VLOOKUP(AP$2,Valores!$H$2:$P$154,8,0)</f>
        <v>142002.741194122</v>
      </c>
      <c r="AQ3" s="28" t="n">
        <f aca="false">SUMIF($C$2:$F$2,EOMONTH(AQ$2,-1)+1,$C3:$F3)*VLOOKUP(AQ$2,Valores!$H$2:$P$154,8,0)</f>
        <v>50715.2647121865</v>
      </c>
      <c r="AR3" s="28" t="n">
        <f aca="false">SUMIF($C$2:$F$2,EOMONTH(AR$2,-1)+1,$C3:$F3)*VLOOKUP(AR$2,Valores!$H$2:$P$154,8,0)</f>
        <v>50715.2647121865</v>
      </c>
      <c r="AS3" s="28" t="n">
        <f aca="false">SUMIF($C$2:$F$2,EOMONTH(AS$2,-1)+1,$C3:$F3)*VLOOKUP(AS$2,Valores!$H$2:$P$154,8,0)</f>
        <v>50715.2647121865</v>
      </c>
      <c r="AT3" s="28" t="n">
        <f aca="false">SUMIF($C$2:$F$2,EOMONTH(AT$2,-1)+1,$C3:$F3)*VLOOKUP(AT$2,Valores!$H$2:$P$154,8,0)</f>
        <v>50715.2647121865</v>
      </c>
      <c r="AU3" s="28" t="n">
        <f aca="false">SUMIF($C$2:$F$2,EOMONTH(AU$2,-1)+1,$C3:$F3)*VLOOKUP(AU$2,Valores!$H$2:$P$154,8,0)</f>
        <v>101430.529424373</v>
      </c>
      <c r="AV3" s="28" t="n">
        <f aca="false">SUMIF($C$2:$F$2,EOMONTH(AV$2,-1)+1,$C3:$F3)*VLOOKUP(AV$2,Valores!$H$2:$P$154,8,0)</f>
        <v>126788.161780466</v>
      </c>
      <c r="AW3" s="28" t="n">
        <f aca="false">SUMIF($C$2:$F$2,EOMONTH(AW$2,-1)+1,$C3:$F3)*VLOOKUP(AW$2,Valores!$H$2:$P$154,8,0)</f>
        <v>76072.8970682798</v>
      </c>
      <c r="AX3" s="28" t="n">
        <f aca="false">SUMIF($C$2:$F$2,EOMONTH(AX$2,-1)+1,$C3:$F3)*VLOOKUP(AX$2,Valores!$H$2:$P$154,8,0)</f>
        <v>50715.2647121865</v>
      </c>
      <c r="AY3" s="28" t="n">
        <f aca="false">SUMIF($C$2:$F$2,EOMONTH(AY$2,-1)+1,$C3:$F3)*VLOOKUP(AY$2,Valores!$H$2:$P$154,8,0)</f>
        <v>65929.8441258425</v>
      </c>
      <c r="AZ3" s="28" t="n">
        <f aca="false">SUMIF($C$2:$F$2,EOMONTH(AZ$2,-1)+1,$C3:$F3)*VLOOKUP(AZ$2,Valores!$H$2:$P$154,8,0)</f>
        <v>65929.8441258425</v>
      </c>
      <c r="BA3" s="28" t="n">
        <f aca="false">SUMIF($C$2:$F$2,EOMONTH(BA$2,-1)+1,$C3:$F3)*VLOOKUP(BA$2,Valores!$H$2:$P$154,8,0)</f>
        <v>65929.8441258425</v>
      </c>
      <c r="BB3" s="28" t="n">
        <f aca="false">SUMIF($C$2:$F$2,EOMONTH(BB$2,-1)+1,$C3:$F3)*VLOOKUP(BB$2,Valores!$H$2:$P$154,8,0)</f>
        <v>116645.108838029</v>
      </c>
      <c r="BC3" s="28" t="n">
        <f aca="false">SUMIF($C$2:$F$2,EOMONTH(BC$2,-1)+1,$C3:$F3)*VLOOKUP(BC$2,Valores!$H$2:$P$154,8,0)</f>
        <v>142002.741194122</v>
      </c>
      <c r="BD3" s="28" t="n">
        <f aca="false">SUMIF($C$2:$F$2,EOMONTH(BD$2,-1)+1,$C3:$F3)*VLOOKUP(BD$2,Valores!$H$2:$P$154,8,0)</f>
        <v>76072.8970682798</v>
      </c>
      <c r="BE3" s="28" t="n">
        <f aca="false">SUMIF($C$2:$F$2,EOMONTH(BE$2,-1)+1,$C3:$F3)*VLOOKUP(BE$2,Valores!$H$2:$P$154,8,0)</f>
        <v>67620.352949582</v>
      </c>
      <c r="BF3" s="28" t="n">
        <f aca="false">SUMIF($C$2:$F$2,EOMONTH(BF$2,-1)+1,$C3:$F3)*VLOOKUP(BF$2,Valores!$H$2:$P$154,8,0)</f>
        <v>67620.352949582</v>
      </c>
      <c r="BG3" s="28" t="n">
        <f aca="false">SUMIF($C$2:$F$2,EOMONTH(BG$2,-1)+1,$C3:$F3)*VLOOKUP(BG$2,Valores!$H$2:$P$154,8,0)</f>
        <v>67620.352949582</v>
      </c>
      <c r="BH3" s="28" t="n">
        <f aca="false">SUMIF($C$2:$F$2,EOMONTH(BH$2,-1)+1,$C3:$F3)*VLOOKUP(BH$2,Valores!$H$2:$P$154,8,0)</f>
        <v>67620.352949582</v>
      </c>
      <c r="BI3" s="28" t="n">
        <f aca="false">SUMIF($C$2:$F$2,EOMONTH(BI$2,-1)+1,$C3:$F3)*VLOOKUP(BI$2,Valores!$H$2:$P$154,8,0)</f>
        <v>135240.705899164</v>
      </c>
      <c r="BJ3" s="28" t="n">
        <f aca="false">SUMIF($C$2:$F$2,EOMONTH(BJ$2,-1)+1,$C3:$F3)*VLOOKUP(BJ$2,Valores!$H$2:$P$154,8,0)</f>
        <v>169050.882373955</v>
      </c>
      <c r="BK3" s="28" t="n">
        <f aca="false">SUMIF($C$2:$F$2,EOMONTH(BK$2,-1)+1,$C3:$F3)*VLOOKUP(BK$2,Valores!$H$2:$P$154,8,0)</f>
        <v>81144.4235394984</v>
      </c>
      <c r="BL3" s="28" t="n">
        <f aca="false">SUMIF($C$2:$F$2,EOMONTH(BL$2,-1)+1,$C3:$F3)*VLOOKUP(BL$2,Valores!$H$2:$P$154,8,0)</f>
        <v>59505.9105956322</v>
      </c>
      <c r="BM3" s="28" t="n">
        <f aca="false">SUMIF($C$2:$F$2,EOMONTH(BM$2,-1)+1,$C3:$F3)*VLOOKUP(BM$2,Valores!$H$2:$P$154,8,0)</f>
        <v>59505.9105956322</v>
      </c>
      <c r="BN3" s="28" t="n">
        <f aca="false">SUMIF($C$2:$F$2,EOMONTH(BN$2,-1)+1,$C3:$F3)*VLOOKUP(BN$2,Valores!$H$2:$P$154,8,0)</f>
        <v>59505.9105956322</v>
      </c>
      <c r="BO3" s="28" t="n">
        <f aca="false">SUMIF($C$2:$F$2,EOMONTH(BO$2,-1)+1,$C3:$F3)*VLOOKUP(BO$2,Valores!$H$2:$P$154,8,0)</f>
        <v>62481.2061254138</v>
      </c>
      <c r="BP3" s="28" t="n">
        <f aca="false">SUMIF($C$2:$F$2,EOMONTH(BP$2,-1)+1,$C3:$F3)*VLOOKUP(BP$2,Valores!$H$2:$P$154,8,0)</f>
        <v>157236.868915504</v>
      </c>
      <c r="BQ3" s="28" t="n">
        <f aca="false">SUMIF($C$2:$F$2,EOMONTH(BQ$2,-1)+1,$C3:$F3)*VLOOKUP(BQ$2,Valores!$H$2:$P$154,8,0)</f>
        <v>196546.08614438</v>
      </c>
      <c r="BR3" s="28" t="n">
        <f aca="false">SUMIF($C$2:$F$2,EOMONTH(BR$2,-1)+1,$C3:$F3)*VLOOKUP(BR$2,Valores!$H$2:$P$154,8,0)</f>
        <v>94342.1213493022</v>
      </c>
      <c r="BS3" s="28" t="n">
        <f aca="false">SUMIF($C$2:$F$2,EOMONTH(BS$2,-1)+1,$C3:$F3)*VLOOKUP(BS$2,Valores!$H$2:$P$154,8,0)</f>
        <v>42117.0184595099</v>
      </c>
      <c r="BT3" s="28" t="n">
        <f aca="false">SUMIF($C$2:$F$2,EOMONTH(BT$2,-1)+1,$C3:$F3)*VLOOKUP(BT$2,Valores!$H$2:$P$154,8,0)</f>
        <v>42117.0184595099</v>
      </c>
      <c r="BU3" s="28" t="n">
        <f aca="false">SUMIF($C$2:$F$2,EOMONTH(BU$2,-1)+1,$C3:$F3)*VLOOKUP(BU$2,Valores!$H$2:$P$154,8,0)</f>
        <v>42117.0184595099</v>
      </c>
      <c r="BV3" s="28" t="n">
        <f aca="false">SUMIF($C$2:$F$2,EOMONTH(BV$2,-1)+1,$C3:$F3)*VLOOKUP(BV$2,Valores!$H$2:$P$154,8,0)</f>
        <v>42117.0184595099</v>
      </c>
      <c r="BW3" s="28" t="n">
        <f aca="false">SUMIF($C$2:$F$2,EOMONTH(BW$2,-1)+1,$C3:$F3)*VLOOKUP(BW$2,Valores!$H$2:$P$154,8,0)</f>
        <v>84234.0369190198</v>
      </c>
      <c r="BX3" s="28" t="n">
        <f aca="false">SUMIF($C$2:$F$2,EOMONTH(BX$2,-1)+1,$C3:$F3)*VLOOKUP(BX$2,Valores!$H$2:$P$154,8,0)</f>
        <v>105292.546148775</v>
      </c>
      <c r="BY3" s="28" t="n">
        <f aca="false">SUMIF($C$2:$F$2,EOMONTH(BY$2,-1)+1,$C3:$F3)*VLOOKUP(BY$2,Valores!$H$2:$P$154,8,0)</f>
        <v>63175.5276892649</v>
      </c>
      <c r="BZ3" s="28" t="n">
        <f aca="false">SUMIF($C$2:$F$2,EOMONTH(BZ$2,-1)+1,$C3:$F3)*VLOOKUP(BZ$2,Valores!$H$2:$P$154,8,0)</f>
        <v>42117.0184595099</v>
      </c>
      <c r="CA3" s="28" t="n">
        <f aca="false">SUMIF($C$2:$F$2,EOMONTH(CA$2,-1)+1,$C3:$F3)*VLOOKUP(CA$2,Valores!$H$2:$P$154,8,0)</f>
        <v>42117.0184595099</v>
      </c>
      <c r="CB3" s="28" t="n">
        <f aca="false">SUMIF($C$2:$F$2,EOMONTH(CB$2,-1)+1,$C3:$F3)*VLOOKUP(CB$2,Valores!$H$2:$P$154,8,0)</f>
        <v>42117.0184595099</v>
      </c>
      <c r="CC3" s="28" t="n">
        <f aca="false">SUMIF($C$2:$F$2,EOMONTH(CC$2,-1)+1,$C3:$F3)*VLOOKUP(CC$2,Valores!$H$2:$P$154,8,0)</f>
        <v>42117.0184595099</v>
      </c>
      <c r="CD3" s="28" t="n">
        <f aca="false">SUMIF($C$2:$F$2,EOMONTH(CD$2,-1)+1,$C3:$F3)*VLOOKUP(CD$2,Valores!$H$2:$P$154,8,0)</f>
        <v>126351.05537853</v>
      </c>
      <c r="CE3" s="28" t="n">
        <f aca="false">SUMIF($C$2:$F$2,EOMONTH(CE$2,-1)+1,$C3:$F3)*VLOOKUP(CE$2,Valores!$H$2:$P$154,8,0)</f>
        <v>168468.07383804</v>
      </c>
      <c r="CF3" s="28" t="n">
        <f aca="false">SUMIF($C$2:$F$2,EOMONTH(CF$2,-1)+1,$C3:$F3)*VLOOKUP(CF$2,Valores!$H$2:$P$154,8,0)</f>
        <v>105292.546148775</v>
      </c>
      <c r="CG3" s="28" t="n">
        <f aca="false">SUMIF($C$2:$F$2,EOMONTH(CG$2,-1)+1,$C3:$F3)*VLOOKUP(CG$2,Valores!$H$2:$P$154,8,0)</f>
        <v>56156.0246126799</v>
      </c>
      <c r="CH3" s="28" t="n">
        <f aca="false">SUMIF($C$2:$F$2,EOMONTH(CH$2,-1)+1,$C3:$F3)*VLOOKUP(CH$2,Valores!$H$2:$P$154,8,0)</f>
        <v>56156.0246126799</v>
      </c>
      <c r="CI3" s="28" t="n">
        <f aca="false">SUMIF($C$2:$F$2,EOMONTH(CI$2,-1)+1,$C3:$F3)*VLOOKUP(CI$2,Valores!$H$2:$P$154,8,0)</f>
        <v>56156.0246126799</v>
      </c>
      <c r="CJ3" s="28" t="n">
        <f aca="false">SUMIF($C$2:$F$2,EOMONTH(CJ$2,-1)+1,$C3:$F3)*VLOOKUP(CJ$2,Valores!$H$2:$P$154,8,0)</f>
        <v>56156.0246126799</v>
      </c>
      <c r="CK3" s="28" t="n">
        <f aca="false">SUMIF($C$2:$F$2,EOMONTH(CK$2,-1)+1,$C3:$F3)*VLOOKUP(CK$2,Valores!$H$2:$P$154,8,0)</f>
        <v>112312.04922536</v>
      </c>
      <c r="CL3" s="28" t="n">
        <f aca="false">SUMIF($C$2:$F$2,EOMONTH(CL$2,-1)+1,$C3:$F3)*VLOOKUP(CL$2,Valores!$H$2:$P$154,8,0)</f>
        <v>140390.0615317</v>
      </c>
      <c r="CM3" s="28" t="n">
        <f aca="false">SUMIF($C$2:$F$2,EOMONTH(CM$2,-1)+1,$C3:$F3)*VLOOKUP(CM$2,Valores!$H$2:$P$154,8,0)</f>
        <v>84234.0369190198</v>
      </c>
      <c r="CN3" s="28" t="n">
        <f aca="false">SUMIF($C$2:$F$2,EOMONTH(CN$2,-1)+1,$C3:$F3)*VLOOKUP(CN$2,Valores!$H$2:$P$154,8,0)</f>
        <v>61771.6270739479</v>
      </c>
      <c r="CO3" s="28" t="n">
        <f aca="false">SUMIF($C$2:$F$2,EOMONTH(CO$2,-1)+1,$C3:$F3)*VLOOKUP(CO$2,Valores!$H$2:$P$154,8,0)</f>
        <v>61771.6270739479</v>
      </c>
      <c r="CP3" s="28" t="n">
        <f aca="false">SUMIF($C$2:$F$2,EOMONTH(CP$2,-1)+1,$C3:$F3)*VLOOKUP(CP$2,Valores!$H$2:$P$154,8,0)</f>
        <v>61771.6270739479</v>
      </c>
      <c r="CQ3" s="28" t="n">
        <f aca="false">SUMIF($C$2:$F$2,EOMONTH(CQ$2,-1)+1,$C3:$F3)*VLOOKUP(CQ$2,Valores!$H$2:$P$154,8,0)</f>
        <v>61771.6270739479</v>
      </c>
      <c r="CR3" s="28" t="n">
        <f aca="false">SUMIF($C$2:$F$2,EOMONTH(CR$2,-1)+1,$C3:$F3)*VLOOKUP(CR$2,Valores!$H$2:$P$154,8,0)</f>
        <v>123543.254147896</v>
      </c>
      <c r="CS3" s="28" t="n">
        <f aca="false">SUMIF($C$2:$F$2,EOMONTH(CS$2,-1)+1,$C3:$F3)*VLOOKUP(CS$2,Valores!$H$2:$P$154,8,0)</f>
        <v>185314.881221844</v>
      </c>
      <c r="CT3" s="28" t="e">
        <f aca="false">SUMIF($C$2:$F$2,EOMONTH(CT$2,-1)+1,$C3:$F3)*VLOOKUP(CT$2,Valores!$H$2:$P$154,8,0)</f>
        <v>#VALUE!</v>
      </c>
      <c r="CU3" s="28" t="e">
        <f aca="false">SUMIF($C$2:$F$2,EOMONTH(CU$2,-1)+1,$C3:$F3)*VLOOKUP(CU$2,Valores!$H$2:$P$154,8,0)</f>
        <v>#VALUE!</v>
      </c>
      <c r="CV3" s="28" t="e">
        <f aca="false">SUMIF($C$2:$F$2,EOMONTH(CV$2,-1)+1,$C3:$F3)*VLOOKUP(CV$2,Valores!$H$2:$P$154,8,0)</f>
        <v>#VALUE!</v>
      </c>
      <c r="CW3" s="28" t="e">
        <f aca="false">SUMIF($C$2:$F$2,EOMONTH(CW$2,-1)+1,$C3:$F3)*VLOOKUP(CW$2,Valores!$H$2:$P$154,8,0)</f>
        <v>#VALUE!</v>
      </c>
      <c r="CX3" s="28" t="e">
        <f aca="false">SUMIF($C$2:$F$2,EOMONTH(CX$2,-1)+1,$C3:$F3)*VLOOKUP(CX$2,Valores!$H$2:$P$154,8,0)</f>
        <v>#VALUE!</v>
      </c>
      <c r="CY3" s="28" t="e">
        <f aca="false">SUMIF($C$2:$F$2,EOMONTH(CY$2,-1)+1,$C3:$F3)*VLOOKUP(CY$2,Valores!$H$2:$P$154,8,0)</f>
        <v>#VALUE!</v>
      </c>
      <c r="CZ3" s="28" t="e">
        <f aca="false">SUMIF($C$2:$F$2,EOMONTH(CZ$2,-1)+1,$C3:$F3)*VLOOKUP(CZ$2,Valores!$H$2:$P$154,8,0)</f>
        <v>#VALUE!</v>
      </c>
      <c r="DA3" s="28" t="e">
        <f aca="false">SUMIF($C$2:$F$2,EOMONTH(DA$2,-1)+1,$C3:$F3)*VLOOKUP(DA$2,Valores!$H$2:$P$154,8,0)</f>
        <v>#VALUE!</v>
      </c>
      <c r="DB3" s="28" t="e">
        <f aca="false">SUMIF($C$2:$F$2,EOMONTH(DB$2,-1)+1,$C3:$F3)*VLOOKUP(DB$2,Valores!$H$2:$P$154,8,0)</f>
        <v>#VALUE!</v>
      </c>
      <c r="DC3" s="28" t="e">
        <f aca="false">SUMIF($C$2:$F$2,EOMONTH(DC$2,-1)+1,$C3:$F3)*VLOOKUP(DC$2,Valores!$H$2:$P$154,8,0)</f>
        <v>#VALUE!</v>
      </c>
      <c r="DD3" s="28" t="e">
        <f aca="false">SUMIF($C$2:$F$2,EOMONTH(DD$2,-1)+1,$C3:$F3)*VLOOKUP(DD$2,Valores!$H$2:$P$154,8,0)</f>
        <v>#VALUE!</v>
      </c>
      <c r="DE3" s="28" t="e">
        <f aca="false">SUMIF($C$2:$F$2,EOMONTH(DE$2,-1)+1,$C3:$F3)*VLOOKUP(DE$2,Valores!$H$2:$P$154,8,0)</f>
        <v>#VALUE!</v>
      </c>
      <c r="DF3" s="28" t="e">
        <f aca="false">SUMIF($C$2:$F$2,EOMONTH(DF$2,-1)+1,$C3:$F3)*VLOOKUP(DF$2,Valores!$H$2:$P$154,8,0)</f>
        <v>#VALUE!</v>
      </c>
      <c r="DG3" s="28" t="e">
        <f aca="false">SUMIF($C$2:$F$2,EOMONTH(DG$2,-1)+1,$C3:$F3)*VLOOKUP(DG$2,Valores!$H$2:$P$154,8,0)</f>
        <v>#VALUE!</v>
      </c>
      <c r="DH3" s="28" t="e">
        <f aca="false">SUMIF($C$2:$F$2,EOMONTH(DH$2,-1)+1,$C3:$F3)*VLOOKUP(DH$2,Valores!$H$2:$P$154,8,0)</f>
        <v>#VALUE!</v>
      </c>
      <c r="DI3" s="28" t="e">
        <f aca="false">SUMIF($C$2:$F$2,EOMONTH(DI$2,-1)+1,$C3:$F3)*VLOOKUP(DI$2,Valores!$H$2:$P$154,8,0)</f>
        <v>#VALUE!</v>
      </c>
      <c r="DJ3" s="28" t="e">
        <f aca="false">SUMIF($C$2:$F$2,EOMONTH(DJ$2,-1)+1,$C3:$F3)*VLOOKUP(DJ$2,Valores!$H$2:$P$154,8,0)</f>
        <v>#VALUE!</v>
      </c>
      <c r="DK3" s="28" t="e">
        <f aca="false">SUMIF($C$2:$F$2,EOMONTH(DK$2,-1)+1,$C3:$F3)*VLOOKUP(DK$2,Valores!$H$2:$P$154,8,0)</f>
        <v>#VALUE!</v>
      </c>
      <c r="DL3" s="28" t="e">
        <f aca="false">SUMIF($C$2:$F$2,EOMONTH(DL$2,-1)+1,$C3:$F3)*VLOOKUP(DL$2,Valores!$H$2:$P$154,8,0)</f>
        <v>#VALUE!</v>
      </c>
      <c r="DM3" s="28" t="e">
        <f aca="false">SUMIF($C$2:$F$2,EOMONTH(DM$2,-1)+1,$C3:$F3)*VLOOKUP(DM$2,Valores!$H$2:$P$154,8,0)</f>
        <v>#VALUE!</v>
      </c>
      <c r="DN3" s="28" t="e">
        <f aca="false">SUMIF($C$2:$F$2,EOMONTH(DN$2,-1)+1,$C3:$F3)*VLOOKUP(DN$2,Valores!$H$2:$P$154,8,0)</f>
        <v>#VALUE!</v>
      </c>
      <c r="DO3" s="28" t="e">
        <f aca="false">SUMIF($C$2:$F$2,EOMONTH(DO$2,-1)+1,$C3:$F3)*VLOOKUP(DO$2,Valores!$H$2:$P$154,8,0)</f>
        <v>#VALUE!</v>
      </c>
      <c r="DP3" s="28" t="e">
        <f aca="false">SUMIF($C$2:$F$2,EOMONTH(DP$2,-1)+1,$C3:$F3)*VLOOKUP(DP$2,Valores!$H$2:$P$154,8,0)</f>
        <v>#VALUE!</v>
      </c>
      <c r="DQ3" s="28" t="e">
        <f aca="false">SUMIF($C$2:$F$2,EOMONTH(DQ$2,-1)+1,$C3:$F3)*VLOOKUP(DQ$2,Valores!$H$2:$P$154,8,0)</f>
        <v>#VALUE!</v>
      </c>
      <c r="DR3" s="28" t="e">
        <f aca="false">SUMIF($C$2:$F$2,EOMONTH(DR$2,-1)+1,$C3:$F3)*VLOOKUP(DR$2,Valores!$H$2:$P$154,8,0)</f>
        <v>#VALUE!</v>
      </c>
      <c r="DS3" s="28" t="e">
        <f aca="false">SUMIF($C$2:$F$2,EOMONTH(DS$2,-1)+1,$C3:$F3)*VLOOKUP(DS$2,Valores!$H$2:$P$154,8,0)</f>
        <v>#VALUE!</v>
      </c>
      <c r="DT3" s="28" t="e">
        <f aca="false">SUMIF($C$2:$F$2,EOMONTH(DT$2,-1)+1,$C3:$F3)*VLOOKUP(DT$2,Valores!$H$2:$P$154,8,0)</f>
        <v>#VALUE!</v>
      </c>
      <c r="DU3" s="28" t="e">
        <f aca="false">SUMIF($C$2:$F$2,EOMONTH(DU$2,-1)+1,$C3:$F3)*VLOOKUP(DU$2,Valores!$H$2:$P$154,8,0)</f>
        <v>#VALUE!</v>
      </c>
      <c r="DV3" s="28" t="e">
        <f aca="false">SUMIF($C$2:$F$2,EOMONTH(DV$2,-1)+1,$C3:$F3)*VLOOKUP(DV$2,Valores!$H$2:$P$154,8,0)</f>
        <v>#VALUE!</v>
      </c>
      <c r="DW3" s="28" t="e">
        <f aca="false">SUMIF($C$2:$F$2,EOMONTH(DW$2,-1)+1,$C3:$F3)*VLOOKUP(DW$2,Valores!$H$2:$P$154,8,0)</f>
        <v>#VALUE!</v>
      </c>
      <c r="DX3" s="28" t="e">
        <f aca="false">SUMIF($C$2:$F$2,EOMONTH(DX$2,-1)+1,$C3:$F3)*VLOOKUP(DX$2,Valores!$H$2:$P$154,8,0)</f>
        <v>#VALUE!</v>
      </c>
    </row>
    <row r="4" customFormat="false" ht="13.8" hidden="false" customHeight="false" outlineLevel="0" collapsed="false">
      <c r="A4" s="29" t="s">
        <v>23</v>
      </c>
      <c r="B4" s="29" t="s">
        <v>25</v>
      </c>
      <c r="C4" s="29" t="n">
        <v>3075077</v>
      </c>
      <c r="D4" s="29" t="n">
        <v>2767569.3</v>
      </c>
      <c r="E4" s="29" t="n">
        <v>2490812.37</v>
      </c>
      <c r="F4" s="29" t="n">
        <v>2241731.133</v>
      </c>
      <c r="G4" s="30" t="n">
        <f aca="false">SUMIF($C$2:$F$2,EOMONTH(G$2,-1)+1,$C4:$F4)*VLOOKUP(G$2,Valores!$H$2:$P$154,8,0)</f>
        <v>88553.3116669409</v>
      </c>
      <c r="H4" s="30" t="n">
        <f aca="false">SUMIF($C$2:$F$2,EOMONTH(H$2,-1)+1,$C4:$F4)*VLOOKUP(H$2,Valores!$H$2:$P$154,8,0)</f>
        <v>60722.2708573309</v>
      </c>
      <c r="I4" s="30" t="n">
        <f aca="false">SUMIF($C$2:$F$2,EOMONTH(I$2,-1)+1,$C4:$F4)*VLOOKUP(I$2,Valores!$H$2:$P$154,8,0)</f>
        <v>60722.2708573309</v>
      </c>
      <c r="J4" s="30" t="n">
        <f aca="false">SUMIF($C$2:$F$2,EOMONTH(J$2,-1)+1,$C4:$F4)*VLOOKUP(J$2,Valores!$H$2:$P$154,8,0)</f>
        <v>60722.2708573309</v>
      </c>
      <c r="K4" s="30" t="n">
        <f aca="false">SUMIF($C$2:$F$2,EOMONTH(K$2,-1)+1,$C4:$F4)*VLOOKUP(K$2,Valores!$H$2:$P$154,8,0)</f>
        <v>60722.2708573309</v>
      </c>
      <c r="L4" s="30" t="n">
        <f aca="false">SUMIF($C$2:$F$2,EOMONTH(L$2,-1)+1,$C4:$F4)*VLOOKUP(L$2,Valores!$H$2:$P$154,8,0)</f>
        <v>121444.541714662</v>
      </c>
      <c r="M4" s="30" t="n">
        <f aca="false">SUMIF($C$2:$F$2,EOMONTH(M$2,-1)+1,$C4:$F4)*VLOOKUP(M$2,Valores!$H$2:$P$154,8,0)</f>
        <v>151805.677143327</v>
      </c>
      <c r="N4" s="30" t="n">
        <f aca="false">SUMIF($C$2:$F$2,EOMONTH(N$2,-1)+1,$C4:$F4)*VLOOKUP(N$2,Valores!$H$2:$P$154,8,0)</f>
        <v>91083.4062859963</v>
      </c>
      <c r="O4" s="30" t="n">
        <f aca="false">SUMIF($C$2:$F$2,EOMONTH(O$2,-1)+1,$C4:$F4)*VLOOKUP(O$2,Valores!$H$2:$P$154,8,0)</f>
        <v>80963.0278097746</v>
      </c>
      <c r="P4" s="30" t="n">
        <f aca="false">SUMIF($C$2:$F$2,EOMONTH(P$2,-1)+1,$C4:$F4)*VLOOKUP(P$2,Valores!$H$2:$P$154,8,0)</f>
        <v>80963.0278097746</v>
      </c>
      <c r="Q4" s="30" t="n">
        <f aca="false">SUMIF($C$2:$F$2,EOMONTH(Q$2,-1)+1,$C4:$F4)*VLOOKUP(Q$2,Valores!$H$2:$P$154,8,0)</f>
        <v>48577.8166858647</v>
      </c>
      <c r="R4" s="30" t="n">
        <f aca="false">SUMIF($C$2:$F$2,EOMONTH(R$2,-1)+1,$C4:$F4)*VLOOKUP(R$2,Valores!$H$2:$P$154,8,0)</f>
        <v>80963.0278097746</v>
      </c>
      <c r="S4" s="30" t="n">
        <f aca="false">SUMIF($C$2:$F$2,EOMONTH(S$2,-1)+1,$C4:$F4)*VLOOKUP(S$2,Valores!$H$2:$P$154,8,0)</f>
        <v>161926.055619549</v>
      </c>
      <c r="T4" s="30" t="n">
        <f aca="false">SUMIF($C$2:$F$2,EOMONTH(T$2,-1)+1,$C4:$F4)*VLOOKUP(T$2,Valores!$H$2:$P$154,8,0)</f>
        <v>202407.569524436</v>
      </c>
      <c r="U4" s="30" t="n">
        <f aca="false">SUMIF($C$2:$F$2,EOMONTH(U$2,-1)+1,$C4:$F4)*VLOOKUP(U$2,Valores!$H$2:$P$154,8,0)</f>
        <v>121444.541714662</v>
      </c>
      <c r="V4" s="30" t="n">
        <f aca="false">SUMIF($C$2:$F$2,EOMONTH(V$2,-1)+1,$C4:$F4)*VLOOKUP(V$2,Valores!$H$2:$P$154,8,0)</f>
        <v>101203.784762218</v>
      </c>
      <c r="W4" s="30" t="n">
        <f aca="false">SUMIF($C$2:$F$2,EOMONTH(W$2,-1)+1,$C4:$F4)*VLOOKUP(W$2,Valores!$H$2:$P$154,8,0)</f>
        <v>101203.784762218</v>
      </c>
      <c r="X4" s="30" t="n">
        <f aca="false">SUMIF($C$2:$F$2,EOMONTH(X$2,-1)+1,$C4:$F4)*VLOOKUP(X$2,Valores!$H$2:$P$154,8,0)</f>
        <v>0</v>
      </c>
      <c r="Y4" s="30" t="n">
        <f aca="false">SUMIF($C$2:$F$2,EOMONTH(Y$2,-1)+1,$C4:$F4)*VLOOKUP(Y$2,Valores!$H$2:$P$154,8,0)</f>
        <v>0</v>
      </c>
      <c r="Z4" s="30" t="n">
        <f aca="false">SUMIF($C$2:$F$2,EOMONTH(Z$2,-1)+1,$C4:$F4)*VLOOKUP(Z$2,Valores!$H$2:$P$154,8,0)</f>
        <v>151805.677143327</v>
      </c>
      <c r="AA4" s="30" t="n">
        <f aca="false">SUMIF($C$2:$F$2,EOMONTH(AA$2,-1)+1,$C4:$F4)*VLOOKUP(AA$2,Valores!$H$2:$P$154,8,0)</f>
        <v>182166.812571993</v>
      </c>
      <c r="AB4" s="30" t="n">
        <f aca="false">SUMIF($C$2:$F$2,EOMONTH(AB$2,-1)+1,$C4:$F4)*VLOOKUP(AB$2,Valores!$H$2:$P$154,8,0)</f>
        <v>91083.4062859963</v>
      </c>
      <c r="AC4" s="30" t="n">
        <f aca="false">SUMIF($C$2:$F$2,EOMONTH(AC$2,-1)+1,$C4:$F4)*VLOOKUP(AC$2,Valores!$H$2:$P$154,8,0)</f>
        <v>111324.16323844</v>
      </c>
      <c r="AD4" s="30" t="n">
        <f aca="false">SUMIF($C$2:$F$2,EOMONTH(AD$2,-1)+1,$C4:$F4)*VLOOKUP(AD$2,Valores!$H$2:$P$154,8,0)</f>
        <v>111324.16323844</v>
      </c>
      <c r="AE4" s="30" t="n">
        <f aca="false">SUMIF($C$2:$F$2,EOMONTH(AE$2,-1)+1,$C4:$F4)*VLOOKUP(AE$2,Valores!$H$2:$P$154,8,0)</f>
        <v>111324.16323844</v>
      </c>
      <c r="AF4" s="30" t="n">
        <f aca="false">SUMIF($C$2:$F$2,EOMONTH(AF$2,-1)+1,$C4:$F4)*VLOOKUP(AF$2,Valores!$H$2:$P$154,8,0)</f>
        <v>111324.16323844</v>
      </c>
      <c r="AG4" s="30" t="n">
        <f aca="false">SUMIF($C$2:$F$2,EOMONTH(AG$2,-1)+1,$C4:$F4)*VLOOKUP(AG$2,Valores!$H$2:$P$154,8,0)</f>
        <v>178118.661181504</v>
      </c>
      <c r="AH4" s="30" t="n">
        <f aca="false">SUMIF($C$2:$F$2,EOMONTH(AH$2,-1)+1,$C4:$F4)*VLOOKUP(AH$2,Valores!$H$2:$P$154,8,0)</f>
        <v>222648.32647688</v>
      </c>
      <c r="AI4" s="30" t="n">
        <f aca="false">SUMIF($C$2:$F$2,EOMONTH(AI$2,-1)+1,$C4:$F4)*VLOOKUP(AI$2,Valores!$H$2:$P$154,8,0)</f>
        <v>77926.914266908</v>
      </c>
      <c r="AJ4" s="30" t="n">
        <f aca="false">SUMIF($C$2:$F$2,EOMONTH(AJ$2,-1)+1,$C4:$F4)*VLOOKUP(AJ$2,Valores!$H$2:$P$154,8,0)</f>
        <v>50601.8923811091</v>
      </c>
      <c r="AK4" s="30" t="n">
        <f aca="false">SUMIF($C$2:$F$2,EOMONTH(AK$2,-1)+1,$C4:$F4)*VLOOKUP(AK$2,Valores!$H$2:$P$154,8,0)</f>
        <v>92276.477648908</v>
      </c>
      <c r="AL4" s="30" t="n">
        <f aca="false">SUMIF($C$2:$F$2,EOMONTH(AL$2,-1)+1,$C4:$F4)*VLOOKUP(AL$2,Valores!$H$2:$P$154,8,0)</f>
        <v>92276.477648908</v>
      </c>
      <c r="AM4" s="30" t="n">
        <f aca="false">SUMIF($C$2:$F$2,EOMONTH(AM$2,-1)+1,$C4:$F4)*VLOOKUP(AM$2,Valores!$H$2:$P$154,8,0)</f>
        <v>92276.477648908</v>
      </c>
      <c r="AN4" s="30" t="n">
        <f aca="false">SUMIF($C$2:$F$2,EOMONTH(AN$2,-1)+1,$C4:$F4)*VLOOKUP(AN$2,Valores!$H$2:$P$154,8,0)</f>
        <v>184552.955297816</v>
      </c>
      <c r="AO4" s="30" t="n">
        <f aca="false">SUMIF($C$2:$F$2,EOMONTH(AO$2,-1)+1,$C4:$F4)*VLOOKUP(AO$2,Valores!$H$2:$P$154,8,0)</f>
        <v>230691.19412227</v>
      </c>
      <c r="AP4" s="30" t="n">
        <f aca="false">SUMIF($C$2:$F$2,EOMONTH(AP$2,-1)+1,$C4:$F4)*VLOOKUP(AP$2,Valores!$H$2:$P$154,8,0)</f>
        <v>138414.716473362</v>
      </c>
      <c r="AQ4" s="30" t="n">
        <f aca="false">SUMIF($C$2:$F$2,EOMONTH(AQ$2,-1)+1,$C4:$F4)*VLOOKUP(AQ$2,Valores!$H$2:$P$154,8,0)</f>
        <v>49433.827311915</v>
      </c>
      <c r="AR4" s="30" t="n">
        <f aca="false">SUMIF($C$2:$F$2,EOMONTH(AR$2,-1)+1,$C4:$F4)*VLOOKUP(AR$2,Valores!$H$2:$P$154,8,0)</f>
        <v>49433.827311915</v>
      </c>
      <c r="AS4" s="30" t="n">
        <f aca="false">SUMIF($C$2:$F$2,EOMONTH(AS$2,-1)+1,$C4:$F4)*VLOOKUP(AS$2,Valores!$H$2:$P$154,8,0)</f>
        <v>49433.827311915</v>
      </c>
      <c r="AT4" s="30" t="n">
        <f aca="false">SUMIF($C$2:$F$2,EOMONTH(AT$2,-1)+1,$C4:$F4)*VLOOKUP(AT$2,Valores!$H$2:$P$154,8,0)</f>
        <v>49433.827311915</v>
      </c>
      <c r="AU4" s="30" t="n">
        <f aca="false">SUMIF($C$2:$F$2,EOMONTH(AU$2,-1)+1,$C4:$F4)*VLOOKUP(AU$2,Valores!$H$2:$P$154,8,0)</f>
        <v>98867.65462383</v>
      </c>
      <c r="AV4" s="30" t="n">
        <f aca="false">SUMIF($C$2:$F$2,EOMONTH(AV$2,-1)+1,$C4:$F4)*VLOOKUP(AV$2,Valores!$H$2:$P$154,8,0)</f>
        <v>123584.568279788</v>
      </c>
      <c r="AW4" s="30" t="n">
        <f aca="false">SUMIF($C$2:$F$2,EOMONTH(AW$2,-1)+1,$C4:$F4)*VLOOKUP(AW$2,Valores!$H$2:$P$154,8,0)</f>
        <v>74150.7409678725</v>
      </c>
      <c r="AX4" s="30" t="n">
        <f aca="false">SUMIF($C$2:$F$2,EOMONTH(AX$2,-1)+1,$C4:$F4)*VLOOKUP(AX$2,Valores!$H$2:$P$154,8,0)</f>
        <v>49433.827311915</v>
      </c>
      <c r="AY4" s="30" t="n">
        <f aca="false">SUMIF($C$2:$F$2,EOMONTH(AY$2,-1)+1,$C4:$F4)*VLOOKUP(AY$2,Valores!$H$2:$P$154,8,0)</f>
        <v>64263.9755054895</v>
      </c>
      <c r="AZ4" s="30" t="n">
        <f aca="false">SUMIF($C$2:$F$2,EOMONTH(AZ$2,-1)+1,$C4:$F4)*VLOOKUP(AZ$2,Valores!$H$2:$P$154,8,0)</f>
        <v>64263.9755054895</v>
      </c>
      <c r="BA4" s="30" t="n">
        <f aca="false">SUMIF($C$2:$F$2,EOMONTH(BA$2,-1)+1,$C4:$F4)*VLOOKUP(BA$2,Valores!$H$2:$P$154,8,0)</f>
        <v>64263.9755054895</v>
      </c>
      <c r="BB4" s="30" t="n">
        <f aca="false">SUMIF($C$2:$F$2,EOMONTH(BB$2,-1)+1,$C4:$F4)*VLOOKUP(BB$2,Valores!$H$2:$P$154,8,0)</f>
        <v>113697.802817405</v>
      </c>
      <c r="BC4" s="30" t="n">
        <f aca="false">SUMIF($C$2:$F$2,EOMONTH(BC$2,-1)+1,$C4:$F4)*VLOOKUP(BC$2,Valores!$H$2:$P$154,8,0)</f>
        <v>138414.716473362</v>
      </c>
      <c r="BD4" s="30" t="n">
        <f aca="false">SUMIF($C$2:$F$2,EOMONTH(BD$2,-1)+1,$C4:$F4)*VLOOKUP(BD$2,Valores!$H$2:$P$154,8,0)</f>
        <v>74150.7409678725</v>
      </c>
      <c r="BE4" s="30" t="n">
        <f aca="false">SUMIF($C$2:$F$2,EOMONTH(BE$2,-1)+1,$C4:$F4)*VLOOKUP(BE$2,Valores!$H$2:$P$154,8,0)</f>
        <v>65911.76974922</v>
      </c>
      <c r="BF4" s="30" t="n">
        <f aca="false">SUMIF($C$2:$F$2,EOMONTH(BF$2,-1)+1,$C4:$F4)*VLOOKUP(BF$2,Valores!$H$2:$P$154,8,0)</f>
        <v>65911.76974922</v>
      </c>
      <c r="BG4" s="30" t="n">
        <f aca="false">SUMIF($C$2:$F$2,EOMONTH(BG$2,-1)+1,$C4:$F4)*VLOOKUP(BG$2,Valores!$H$2:$P$154,8,0)</f>
        <v>65911.76974922</v>
      </c>
      <c r="BH4" s="30" t="n">
        <f aca="false">SUMIF($C$2:$F$2,EOMONTH(BH$2,-1)+1,$C4:$F4)*VLOOKUP(BH$2,Valores!$H$2:$P$154,8,0)</f>
        <v>65911.76974922</v>
      </c>
      <c r="BI4" s="30" t="n">
        <f aca="false">SUMIF($C$2:$F$2,EOMONTH(BI$2,-1)+1,$C4:$F4)*VLOOKUP(BI$2,Valores!$H$2:$P$154,8,0)</f>
        <v>131823.53949844</v>
      </c>
      <c r="BJ4" s="30" t="n">
        <f aca="false">SUMIF($C$2:$F$2,EOMONTH(BJ$2,-1)+1,$C4:$F4)*VLOOKUP(BJ$2,Valores!$H$2:$P$154,8,0)</f>
        <v>164779.42437305</v>
      </c>
      <c r="BK4" s="30" t="n">
        <f aca="false">SUMIF($C$2:$F$2,EOMONTH(BK$2,-1)+1,$C4:$F4)*VLOOKUP(BK$2,Valores!$H$2:$P$154,8,0)</f>
        <v>79094.123699064</v>
      </c>
      <c r="BL4" s="30" t="n">
        <f aca="false">SUMIF($C$2:$F$2,EOMONTH(BL$2,-1)+1,$C4:$F4)*VLOOKUP(BL$2,Valores!$H$2:$P$154,8,0)</f>
        <v>58002.3573793136</v>
      </c>
      <c r="BM4" s="30" t="n">
        <f aca="false">SUMIF($C$2:$F$2,EOMONTH(BM$2,-1)+1,$C4:$F4)*VLOOKUP(BM$2,Valores!$H$2:$P$154,8,0)</f>
        <v>58002.3573793136</v>
      </c>
      <c r="BN4" s="30" t="n">
        <f aca="false">SUMIF($C$2:$F$2,EOMONTH(BN$2,-1)+1,$C4:$F4)*VLOOKUP(BN$2,Valores!$H$2:$P$154,8,0)</f>
        <v>58002.3573793136</v>
      </c>
      <c r="BO4" s="30" t="n">
        <f aca="false">SUMIF($C$2:$F$2,EOMONTH(BO$2,-1)+1,$C4:$F4)*VLOOKUP(BO$2,Valores!$H$2:$P$154,8,0)</f>
        <v>60902.4752482793</v>
      </c>
      <c r="BP4" s="30" t="n">
        <f aca="false">SUMIF($C$2:$F$2,EOMONTH(BP$2,-1)+1,$C4:$F4)*VLOOKUP(BP$2,Valores!$H$2:$P$154,8,0)</f>
        <v>153263.919041863</v>
      </c>
      <c r="BQ4" s="30" t="n">
        <f aca="false">SUMIF($C$2:$F$2,EOMONTH(BQ$2,-1)+1,$C4:$F4)*VLOOKUP(BQ$2,Valores!$H$2:$P$154,8,0)</f>
        <v>191579.898802329</v>
      </c>
      <c r="BR4" s="30" t="n">
        <f aca="false">SUMIF($C$2:$F$2,EOMONTH(BR$2,-1)+1,$C4:$F4)*VLOOKUP(BR$2,Valores!$H$2:$P$154,8,0)</f>
        <v>91958.3514251181</v>
      </c>
      <c r="BS4" s="30" t="n">
        <f aca="false">SUMIF($C$2:$F$2,EOMONTH(BS$2,-1)+1,$C4:$F4)*VLOOKUP(BS$2,Valores!$H$2:$P$154,8,0)</f>
        <v>41052.835457642</v>
      </c>
      <c r="BT4" s="30" t="n">
        <f aca="false">SUMIF($C$2:$F$2,EOMONTH(BT$2,-1)+1,$C4:$F4)*VLOOKUP(BT$2,Valores!$H$2:$P$154,8,0)</f>
        <v>41052.835457642</v>
      </c>
      <c r="BU4" s="30" t="n">
        <f aca="false">SUMIF($C$2:$F$2,EOMONTH(BU$2,-1)+1,$C4:$F4)*VLOOKUP(BU$2,Valores!$H$2:$P$154,8,0)</f>
        <v>41052.835457642</v>
      </c>
      <c r="BV4" s="30" t="n">
        <f aca="false">SUMIF($C$2:$F$2,EOMONTH(BV$2,-1)+1,$C4:$F4)*VLOOKUP(BV$2,Valores!$H$2:$P$154,8,0)</f>
        <v>41052.835457642</v>
      </c>
      <c r="BW4" s="30" t="n">
        <f aca="false">SUMIF($C$2:$F$2,EOMONTH(BW$2,-1)+1,$C4:$F4)*VLOOKUP(BW$2,Valores!$H$2:$P$154,8,0)</f>
        <v>82105.670915284</v>
      </c>
      <c r="BX4" s="30" t="n">
        <f aca="false">SUMIF($C$2:$F$2,EOMONTH(BX$2,-1)+1,$C4:$F4)*VLOOKUP(BX$2,Valores!$H$2:$P$154,8,0)</f>
        <v>102632.088644105</v>
      </c>
      <c r="BY4" s="30" t="n">
        <f aca="false">SUMIF($C$2:$F$2,EOMONTH(BY$2,-1)+1,$C4:$F4)*VLOOKUP(BY$2,Valores!$H$2:$P$154,8,0)</f>
        <v>61579.253186463</v>
      </c>
      <c r="BZ4" s="30" t="n">
        <f aca="false">SUMIF($C$2:$F$2,EOMONTH(BZ$2,-1)+1,$C4:$F4)*VLOOKUP(BZ$2,Valores!$H$2:$P$154,8,0)</f>
        <v>41052.835457642</v>
      </c>
      <c r="CA4" s="30" t="n">
        <f aca="false">SUMIF($C$2:$F$2,EOMONTH(CA$2,-1)+1,$C4:$F4)*VLOOKUP(CA$2,Valores!$H$2:$P$154,8,0)</f>
        <v>41052.835457642</v>
      </c>
      <c r="CB4" s="30" t="n">
        <f aca="false">SUMIF($C$2:$F$2,EOMONTH(CB$2,-1)+1,$C4:$F4)*VLOOKUP(CB$2,Valores!$H$2:$P$154,8,0)</f>
        <v>41052.835457642</v>
      </c>
      <c r="CC4" s="30" t="n">
        <f aca="false">SUMIF($C$2:$F$2,EOMONTH(CC$2,-1)+1,$C4:$F4)*VLOOKUP(CC$2,Valores!$H$2:$P$154,8,0)</f>
        <v>41052.835457642</v>
      </c>
      <c r="CD4" s="30" t="n">
        <f aca="false">SUMIF($C$2:$F$2,EOMONTH(CD$2,-1)+1,$C4:$F4)*VLOOKUP(CD$2,Valores!$H$2:$P$154,8,0)</f>
        <v>123158.506372926</v>
      </c>
      <c r="CE4" s="30" t="n">
        <f aca="false">SUMIF($C$2:$F$2,EOMONTH(CE$2,-1)+1,$C4:$F4)*VLOOKUP(CE$2,Valores!$H$2:$P$154,8,0)</f>
        <v>164211.341830568</v>
      </c>
      <c r="CF4" s="30" t="n">
        <f aca="false">SUMIF($C$2:$F$2,EOMONTH(CF$2,-1)+1,$C4:$F4)*VLOOKUP(CF$2,Valores!$H$2:$P$154,8,0)</f>
        <v>102632.088644105</v>
      </c>
      <c r="CG4" s="30" t="n">
        <f aca="false">SUMIF($C$2:$F$2,EOMONTH(CG$2,-1)+1,$C4:$F4)*VLOOKUP(CG$2,Valores!$H$2:$P$154,8,0)</f>
        <v>54737.1139435227</v>
      </c>
      <c r="CH4" s="30" t="n">
        <f aca="false">SUMIF($C$2:$F$2,EOMONTH(CH$2,-1)+1,$C4:$F4)*VLOOKUP(CH$2,Valores!$H$2:$P$154,8,0)</f>
        <v>54737.1139435227</v>
      </c>
      <c r="CI4" s="30" t="n">
        <f aca="false">SUMIF($C$2:$F$2,EOMONTH(CI$2,-1)+1,$C4:$F4)*VLOOKUP(CI$2,Valores!$H$2:$P$154,8,0)</f>
        <v>54737.1139435227</v>
      </c>
      <c r="CJ4" s="30" t="n">
        <f aca="false">SUMIF($C$2:$F$2,EOMONTH(CJ$2,-1)+1,$C4:$F4)*VLOOKUP(CJ$2,Valores!$H$2:$P$154,8,0)</f>
        <v>54737.1139435227</v>
      </c>
      <c r="CK4" s="30" t="n">
        <f aca="false">SUMIF($C$2:$F$2,EOMONTH(CK$2,-1)+1,$C4:$F4)*VLOOKUP(CK$2,Valores!$H$2:$P$154,8,0)</f>
        <v>109474.227887045</v>
      </c>
      <c r="CL4" s="30" t="n">
        <f aca="false">SUMIF($C$2:$F$2,EOMONTH(CL$2,-1)+1,$C4:$F4)*VLOOKUP(CL$2,Valores!$H$2:$P$154,8,0)</f>
        <v>136842.784858807</v>
      </c>
      <c r="CM4" s="30" t="n">
        <f aca="false">SUMIF($C$2:$F$2,EOMONTH(CM$2,-1)+1,$C4:$F4)*VLOOKUP(CM$2,Valores!$H$2:$P$154,8,0)</f>
        <v>82105.670915284</v>
      </c>
      <c r="CN4" s="30" t="n">
        <f aca="false">SUMIF($C$2:$F$2,EOMONTH(CN$2,-1)+1,$C4:$F4)*VLOOKUP(CN$2,Valores!$H$2:$P$154,8,0)</f>
        <v>60210.8253378749</v>
      </c>
      <c r="CO4" s="30" t="n">
        <f aca="false">SUMIF($C$2:$F$2,EOMONTH(CO$2,-1)+1,$C4:$F4)*VLOOKUP(CO$2,Valores!$H$2:$P$154,8,0)</f>
        <v>60210.8253378749</v>
      </c>
      <c r="CP4" s="30" t="n">
        <f aca="false">SUMIF($C$2:$F$2,EOMONTH(CP$2,-1)+1,$C4:$F4)*VLOOKUP(CP$2,Valores!$H$2:$P$154,8,0)</f>
        <v>60210.8253378749</v>
      </c>
      <c r="CQ4" s="30" t="n">
        <f aca="false">SUMIF($C$2:$F$2,EOMONTH(CQ$2,-1)+1,$C4:$F4)*VLOOKUP(CQ$2,Valores!$H$2:$P$154,8,0)</f>
        <v>60210.8253378749</v>
      </c>
      <c r="CR4" s="30" t="n">
        <f aca="false">SUMIF($C$2:$F$2,EOMONTH(CR$2,-1)+1,$C4:$F4)*VLOOKUP(CR$2,Valores!$H$2:$P$154,8,0)</f>
        <v>120421.65067575</v>
      </c>
      <c r="CS4" s="30" t="n">
        <f aca="false">SUMIF($C$2:$F$2,EOMONTH(CS$2,-1)+1,$C4:$F4)*VLOOKUP(CS$2,Valores!$H$2:$P$154,8,0)</f>
        <v>180632.476013625</v>
      </c>
      <c r="CT4" s="30" t="e">
        <f aca="false">SUMIF($C$2:$F$2,EOMONTH(CT$2,-1)+1,$C4:$F4)*VLOOKUP(CT$2,Valores!$H$2:$P$154,8,0)</f>
        <v>#VALUE!</v>
      </c>
      <c r="CU4" s="30" t="e">
        <f aca="false">SUMIF($C$2:$F$2,EOMONTH(CU$2,-1)+1,$C4:$F4)*VLOOKUP(CU$2,Valores!$H$2:$P$154,8,0)</f>
        <v>#VALUE!</v>
      </c>
      <c r="CV4" s="30" t="e">
        <f aca="false">SUMIF($C$2:$F$2,EOMONTH(CV$2,-1)+1,$C4:$F4)*VLOOKUP(CV$2,Valores!$H$2:$P$154,8,0)</f>
        <v>#VALUE!</v>
      </c>
      <c r="CW4" s="30" t="e">
        <f aca="false">SUMIF($C$2:$F$2,EOMONTH(CW$2,-1)+1,$C4:$F4)*VLOOKUP(CW$2,Valores!$H$2:$P$154,8,0)</f>
        <v>#VALUE!</v>
      </c>
      <c r="CX4" s="30" t="e">
        <f aca="false">SUMIF($C$2:$F$2,EOMONTH(CX$2,-1)+1,$C4:$F4)*VLOOKUP(CX$2,Valores!$H$2:$P$154,8,0)</f>
        <v>#VALUE!</v>
      </c>
      <c r="CY4" s="30" t="e">
        <f aca="false">SUMIF($C$2:$F$2,EOMONTH(CY$2,-1)+1,$C4:$F4)*VLOOKUP(CY$2,Valores!$H$2:$P$154,8,0)</f>
        <v>#VALUE!</v>
      </c>
      <c r="CZ4" s="30" t="e">
        <f aca="false">SUMIF($C$2:$F$2,EOMONTH(CZ$2,-1)+1,$C4:$F4)*VLOOKUP(CZ$2,Valores!$H$2:$P$154,8,0)</f>
        <v>#VALUE!</v>
      </c>
      <c r="DA4" s="30" t="e">
        <f aca="false">SUMIF($C$2:$F$2,EOMONTH(DA$2,-1)+1,$C4:$F4)*VLOOKUP(DA$2,Valores!$H$2:$P$154,8,0)</f>
        <v>#VALUE!</v>
      </c>
      <c r="DB4" s="30" t="e">
        <f aca="false">SUMIF($C$2:$F$2,EOMONTH(DB$2,-1)+1,$C4:$F4)*VLOOKUP(DB$2,Valores!$H$2:$P$154,8,0)</f>
        <v>#VALUE!</v>
      </c>
      <c r="DC4" s="30" t="e">
        <f aca="false">SUMIF($C$2:$F$2,EOMONTH(DC$2,-1)+1,$C4:$F4)*VLOOKUP(DC$2,Valores!$H$2:$P$154,8,0)</f>
        <v>#VALUE!</v>
      </c>
      <c r="DD4" s="30" t="e">
        <f aca="false">SUMIF($C$2:$F$2,EOMONTH(DD$2,-1)+1,$C4:$F4)*VLOOKUP(DD$2,Valores!$H$2:$P$154,8,0)</f>
        <v>#VALUE!</v>
      </c>
      <c r="DE4" s="30" t="e">
        <f aca="false">SUMIF($C$2:$F$2,EOMONTH(DE$2,-1)+1,$C4:$F4)*VLOOKUP(DE$2,Valores!$H$2:$P$154,8,0)</f>
        <v>#VALUE!</v>
      </c>
      <c r="DF4" s="30" t="e">
        <f aca="false">SUMIF($C$2:$F$2,EOMONTH(DF$2,-1)+1,$C4:$F4)*VLOOKUP(DF$2,Valores!$H$2:$P$154,8,0)</f>
        <v>#VALUE!</v>
      </c>
      <c r="DG4" s="30" t="e">
        <f aca="false">SUMIF($C$2:$F$2,EOMONTH(DG$2,-1)+1,$C4:$F4)*VLOOKUP(DG$2,Valores!$H$2:$P$154,8,0)</f>
        <v>#VALUE!</v>
      </c>
      <c r="DH4" s="30" t="e">
        <f aca="false">SUMIF($C$2:$F$2,EOMONTH(DH$2,-1)+1,$C4:$F4)*VLOOKUP(DH$2,Valores!$H$2:$P$154,8,0)</f>
        <v>#VALUE!</v>
      </c>
      <c r="DI4" s="30" t="e">
        <f aca="false">SUMIF($C$2:$F$2,EOMONTH(DI$2,-1)+1,$C4:$F4)*VLOOKUP(DI$2,Valores!$H$2:$P$154,8,0)</f>
        <v>#VALUE!</v>
      </c>
      <c r="DJ4" s="30" t="e">
        <f aca="false">SUMIF($C$2:$F$2,EOMONTH(DJ$2,-1)+1,$C4:$F4)*VLOOKUP(DJ$2,Valores!$H$2:$P$154,8,0)</f>
        <v>#VALUE!</v>
      </c>
      <c r="DK4" s="30" t="e">
        <f aca="false">SUMIF($C$2:$F$2,EOMONTH(DK$2,-1)+1,$C4:$F4)*VLOOKUP(DK$2,Valores!$H$2:$P$154,8,0)</f>
        <v>#VALUE!</v>
      </c>
      <c r="DL4" s="30" t="e">
        <f aca="false">SUMIF($C$2:$F$2,EOMONTH(DL$2,-1)+1,$C4:$F4)*VLOOKUP(DL$2,Valores!$H$2:$P$154,8,0)</f>
        <v>#VALUE!</v>
      </c>
      <c r="DM4" s="30" t="e">
        <f aca="false">SUMIF($C$2:$F$2,EOMONTH(DM$2,-1)+1,$C4:$F4)*VLOOKUP(DM$2,Valores!$H$2:$P$154,8,0)</f>
        <v>#VALUE!</v>
      </c>
      <c r="DN4" s="30" t="e">
        <f aca="false">SUMIF($C$2:$F$2,EOMONTH(DN$2,-1)+1,$C4:$F4)*VLOOKUP(DN$2,Valores!$H$2:$P$154,8,0)</f>
        <v>#VALUE!</v>
      </c>
      <c r="DO4" s="30" t="e">
        <f aca="false">SUMIF($C$2:$F$2,EOMONTH(DO$2,-1)+1,$C4:$F4)*VLOOKUP(DO$2,Valores!$H$2:$P$154,8,0)</f>
        <v>#VALUE!</v>
      </c>
      <c r="DP4" s="30" t="e">
        <f aca="false">SUMIF($C$2:$F$2,EOMONTH(DP$2,-1)+1,$C4:$F4)*VLOOKUP(DP$2,Valores!$H$2:$P$154,8,0)</f>
        <v>#VALUE!</v>
      </c>
      <c r="DQ4" s="30" t="e">
        <f aca="false">SUMIF($C$2:$F$2,EOMONTH(DQ$2,-1)+1,$C4:$F4)*VLOOKUP(DQ$2,Valores!$H$2:$P$154,8,0)</f>
        <v>#VALUE!</v>
      </c>
      <c r="DR4" s="30" t="e">
        <f aca="false">SUMIF($C$2:$F$2,EOMONTH(DR$2,-1)+1,$C4:$F4)*VLOOKUP(DR$2,Valores!$H$2:$P$154,8,0)</f>
        <v>#VALUE!</v>
      </c>
      <c r="DS4" s="30" t="e">
        <f aca="false">SUMIF($C$2:$F$2,EOMONTH(DS$2,-1)+1,$C4:$F4)*VLOOKUP(DS$2,Valores!$H$2:$P$154,8,0)</f>
        <v>#VALUE!</v>
      </c>
      <c r="DT4" s="30" t="e">
        <f aca="false">SUMIF($C$2:$F$2,EOMONTH(DT$2,-1)+1,$C4:$F4)*VLOOKUP(DT$2,Valores!$H$2:$P$154,8,0)</f>
        <v>#VALUE!</v>
      </c>
      <c r="DU4" s="30" t="e">
        <f aca="false">SUMIF($C$2:$F$2,EOMONTH(DU$2,-1)+1,$C4:$F4)*VLOOKUP(DU$2,Valores!$H$2:$P$154,8,0)</f>
        <v>#VALUE!</v>
      </c>
      <c r="DV4" s="30" t="e">
        <f aca="false">SUMIF($C$2:$F$2,EOMONTH(DV$2,-1)+1,$C4:$F4)*VLOOKUP(DV$2,Valores!$H$2:$P$154,8,0)</f>
        <v>#VALUE!</v>
      </c>
      <c r="DW4" s="30" t="e">
        <f aca="false">SUMIF($C$2:$F$2,EOMONTH(DW$2,-1)+1,$C4:$F4)*VLOOKUP(DW$2,Valores!$H$2:$P$154,8,0)</f>
        <v>#VALUE!</v>
      </c>
      <c r="DX4" s="30" t="e">
        <f aca="false">SUMIF($C$2:$F$2,EOMONTH(DX$2,-1)+1,$C4:$F4)*VLOOKUP(DX$2,Valores!$H$2:$P$154,8,0)</f>
        <v>#VALUE!</v>
      </c>
    </row>
    <row r="5" customFormat="false" ht="13.8" hidden="false" customHeight="false" outlineLevel="0" collapsed="false">
      <c r="A5" s="31" t="s">
        <v>23</v>
      </c>
      <c r="B5" s="31" t="s">
        <v>26</v>
      </c>
      <c r="C5" s="31" t="n">
        <v>2882749</v>
      </c>
      <c r="D5" s="31" t="n">
        <v>2594474.1</v>
      </c>
      <c r="E5" s="31" t="n">
        <v>2335026.69</v>
      </c>
      <c r="F5" s="31" t="n">
        <v>2101524.021</v>
      </c>
      <c r="G5" s="27" t="n">
        <f aca="false">SUMIF($C$2:$F$2,EOMONTH(G$2,-1)+1,$C5:$F5)*VLOOKUP(G$2,Valores!$H$2:$P$154,8,0)</f>
        <v>83014.8222807306</v>
      </c>
      <c r="H5" s="27" t="n">
        <f aca="false">SUMIF($C$2:$F$2,EOMONTH(H$2,-1)+1,$C5:$F5)*VLOOKUP(H$2,Valores!$H$2:$P$154,8,0)</f>
        <v>56924.4495639296</v>
      </c>
      <c r="I5" s="27" t="n">
        <f aca="false">SUMIF($C$2:$F$2,EOMONTH(I$2,-1)+1,$C5:$F5)*VLOOKUP(I$2,Valores!$H$2:$P$154,8,0)</f>
        <v>56924.4495639296</v>
      </c>
      <c r="J5" s="27" t="n">
        <f aca="false">SUMIF($C$2:$F$2,EOMONTH(J$2,-1)+1,$C5:$F5)*VLOOKUP(J$2,Valores!$H$2:$P$154,8,0)</f>
        <v>56924.4495639296</v>
      </c>
      <c r="K5" s="27" t="n">
        <f aca="false">SUMIF($C$2:$F$2,EOMONTH(K$2,-1)+1,$C5:$F5)*VLOOKUP(K$2,Valores!$H$2:$P$154,8,0)</f>
        <v>56924.4495639296</v>
      </c>
      <c r="L5" s="27" t="n">
        <f aca="false">SUMIF($C$2:$F$2,EOMONTH(L$2,-1)+1,$C5:$F5)*VLOOKUP(L$2,Valores!$H$2:$P$154,8,0)</f>
        <v>113848.899127859</v>
      </c>
      <c r="M5" s="27" t="n">
        <f aca="false">SUMIF($C$2:$F$2,EOMONTH(M$2,-1)+1,$C5:$F5)*VLOOKUP(M$2,Valores!$H$2:$P$154,8,0)</f>
        <v>142311.123909824</v>
      </c>
      <c r="N5" s="27" t="n">
        <f aca="false">SUMIF($C$2:$F$2,EOMONTH(N$2,-1)+1,$C5:$F5)*VLOOKUP(N$2,Valores!$H$2:$P$154,8,0)</f>
        <v>85386.6743458943</v>
      </c>
      <c r="O5" s="27" t="n">
        <f aca="false">SUMIF($C$2:$F$2,EOMONTH(O$2,-1)+1,$C5:$F5)*VLOOKUP(O$2,Valores!$H$2:$P$154,8,0)</f>
        <v>75899.2660852394</v>
      </c>
      <c r="P5" s="27" t="n">
        <f aca="false">SUMIF($C$2:$F$2,EOMONTH(P$2,-1)+1,$C5:$F5)*VLOOKUP(P$2,Valores!$H$2:$P$154,8,0)</f>
        <v>75899.2660852394</v>
      </c>
      <c r="Q5" s="27" t="n">
        <f aca="false">SUMIF($C$2:$F$2,EOMONTH(Q$2,-1)+1,$C5:$F5)*VLOOKUP(Q$2,Valores!$H$2:$P$154,8,0)</f>
        <v>45539.5596511436</v>
      </c>
      <c r="R5" s="27" t="n">
        <f aca="false">SUMIF($C$2:$F$2,EOMONTH(R$2,-1)+1,$C5:$F5)*VLOOKUP(R$2,Valores!$H$2:$P$154,8,0)</f>
        <v>75899.2660852394</v>
      </c>
      <c r="S5" s="27" t="n">
        <f aca="false">SUMIF($C$2:$F$2,EOMONTH(S$2,-1)+1,$C5:$F5)*VLOOKUP(S$2,Valores!$H$2:$P$154,8,0)</f>
        <v>151798.532170479</v>
      </c>
      <c r="T5" s="27" t="n">
        <f aca="false">SUMIF($C$2:$F$2,EOMONTH(T$2,-1)+1,$C5:$F5)*VLOOKUP(T$2,Valores!$H$2:$P$154,8,0)</f>
        <v>189748.165213099</v>
      </c>
      <c r="U5" s="27" t="n">
        <f aca="false">SUMIF($C$2:$F$2,EOMONTH(U$2,-1)+1,$C5:$F5)*VLOOKUP(U$2,Valores!$H$2:$P$154,8,0)</f>
        <v>113848.899127859</v>
      </c>
      <c r="V5" s="27" t="n">
        <f aca="false">SUMIF($C$2:$F$2,EOMONTH(V$2,-1)+1,$C5:$F5)*VLOOKUP(V$2,Valores!$H$2:$P$154,8,0)</f>
        <v>94874.0826065493</v>
      </c>
      <c r="W5" s="27" t="n">
        <f aca="false">SUMIF($C$2:$F$2,EOMONTH(W$2,-1)+1,$C5:$F5)*VLOOKUP(W$2,Valores!$H$2:$P$154,8,0)</f>
        <v>94874.0826065493</v>
      </c>
      <c r="X5" s="27" t="n">
        <f aca="false">SUMIF($C$2:$F$2,EOMONTH(X$2,-1)+1,$C5:$F5)*VLOOKUP(X$2,Valores!$H$2:$P$154,8,0)</f>
        <v>0</v>
      </c>
      <c r="Y5" s="27" t="n">
        <f aca="false">SUMIF($C$2:$F$2,EOMONTH(Y$2,-1)+1,$C5:$F5)*VLOOKUP(Y$2,Valores!$H$2:$P$154,8,0)</f>
        <v>0</v>
      </c>
      <c r="Z5" s="27" t="n">
        <f aca="false">SUMIF($C$2:$F$2,EOMONTH(Z$2,-1)+1,$C5:$F5)*VLOOKUP(Z$2,Valores!$H$2:$P$154,8,0)</f>
        <v>142311.123909824</v>
      </c>
      <c r="AA5" s="27" t="n">
        <f aca="false">SUMIF($C$2:$F$2,EOMONTH(AA$2,-1)+1,$C5:$F5)*VLOOKUP(AA$2,Valores!$H$2:$P$154,8,0)</f>
        <v>170773.348691789</v>
      </c>
      <c r="AB5" s="27" t="n">
        <f aca="false">SUMIF($C$2:$F$2,EOMONTH(AB$2,-1)+1,$C5:$F5)*VLOOKUP(AB$2,Valores!$H$2:$P$154,8,0)</f>
        <v>85386.6743458943</v>
      </c>
      <c r="AC5" s="27" t="n">
        <f aca="false">SUMIF($C$2:$F$2,EOMONTH(AC$2,-1)+1,$C5:$F5)*VLOOKUP(AC$2,Valores!$H$2:$P$154,8,0)</f>
        <v>104361.490867204</v>
      </c>
      <c r="AD5" s="27" t="n">
        <f aca="false">SUMIF($C$2:$F$2,EOMONTH(AD$2,-1)+1,$C5:$F5)*VLOOKUP(AD$2,Valores!$H$2:$P$154,8,0)</f>
        <v>104361.490867204</v>
      </c>
      <c r="AE5" s="27" t="n">
        <f aca="false">SUMIF($C$2:$F$2,EOMONTH(AE$2,-1)+1,$C5:$F5)*VLOOKUP(AE$2,Valores!$H$2:$P$154,8,0)</f>
        <v>104361.490867204</v>
      </c>
      <c r="AF5" s="27" t="n">
        <f aca="false">SUMIF($C$2:$F$2,EOMONTH(AF$2,-1)+1,$C5:$F5)*VLOOKUP(AF$2,Valores!$H$2:$P$154,8,0)</f>
        <v>104361.490867204</v>
      </c>
      <c r="AG5" s="27" t="n">
        <f aca="false">SUMIF($C$2:$F$2,EOMONTH(AG$2,-1)+1,$C5:$F5)*VLOOKUP(AG$2,Valores!$H$2:$P$154,8,0)</f>
        <v>166978.385387527</v>
      </c>
      <c r="AH5" s="27" t="n">
        <f aca="false">SUMIF($C$2:$F$2,EOMONTH(AH$2,-1)+1,$C5:$F5)*VLOOKUP(AH$2,Valores!$H$2:$P$154,8,0)</f>
        <v>208722.981734408</v>
      </c>
      <c r="AI5" s="27" t="n">
        <f aca="false">SUMIF($C$2:$F$2,EOMONTH(AI$2,-1)+1,$C5:$F5)*VLOOKUP(AI$2,Valores!$H$2:$P$154,8,0)</f>
        <v>73053.0436070429</v>
      </c>
      <c r="AJ5" s="27" t="n">
        <f aca="false">SUMIF($C$2:$F$2,EOMONTH(AJ$2,-1)+1,$C5:$F5)*VLOOKUP(AJ$2,Valores!$H$2:$P$154,8,0)</f>
        <v>47437.0413032746</v>
      </c>
      <c r="AK5" s="27" t="n">
        <f aca="false">SUMIF($C$2:$F$2,EOMONTH(AK$2,-1)+1,$C5:$F5)*VLOOKUP(AK$2,Valores!$H$2:$P$154,8,0)</f>
        <v>86505.1261044559</v>
      </c>
      <c r="AL5" s="27" t="n">
        <f aca="false">SUMIF($C$2:$F$2,EOMONTH(AL$2,-1)+1,$C5:$F5)*VLOOKUP(AL$2,Valores!$H$2:$P$154,8,0)</f>
        <v>86505.1261044559</v>
      </c>
      <c r="AM5" s="27" t="n">
        <f aca="false">SUMIF($C$2:$F$2,EOMONTH(AM$2,-1)+1,$C5:$F5)*VLOOKUP(AM$2,Valores!$H$2:$P$154,8,0)</f>
        <v>86505.1261044559</v>
      </c>
      <c r="AN5" s="27" t="n">
        <f aca="false">SUMIF($C$2:$F$2,EOMONTH(AN$2,-1)+1,$C5:$F5)*VLOOKUP(AN$2,Valores!$H$2:$P$154,8,0)</f>
        <v>173010.252208912</v>
      </c>
      <c r="AO5" s="27" t="n">
        <f aca="false">SUMIF($C$2:$F$2,EOMONTH(AO$2,-1)+1,$C5:$F5)*VLOOKUP(AO$2,Valores!$H$2:$P$154,8,0)</f>
        <v>216262.81526114</v>
      </c>
      <c r="AP5" s="27" t="n">
        <f aca="false">SUMIF($C$2:$F$2,EOMONTH(AP$2,-1)+1,$C5:$F5)*VLOOKUP(AP$2,Valores!$H$2:$P$154,8,0)</f>
        <v>129757.689156684</v>
      </c>
      <c r="AQ5" s="27" t="n">
        <f aca="false">SUMIF($C$2:$F$2,EOMONTH(AQ$2,-1)+1,$C5:$F5)*VLOOKUP(AQ$2,Valores!$H$2:$P$154,8,0)</f>
        <v>46342.0318416728</v>
      </c>
      <c r="AR5" s="27" t="n">
        <f aca="false">SUMIF($C$2:$F$2,EOMONTH(AR$2,-1)+1,$C5:$F5)*VLOOKUP(AR$2,Valores!$H$2:$P$154,8,0)</f>
        <v>46342.0318416728</v>
      </c>
      <c r="AS5" s="27" t="n">
        <f aca="false">SUMIF($C$2:$F$2,EOMONTH(AS$2,-1)+1,$C5:$F5)*VLOOKUP(AS$2,Valores!$H$2:$P$154,8,0)</f>
        <v>46342.0318416728</v>
      </c>
      <c r="AT5" s="27" t="n">
        <f aca="false">SUMIF($C$2:$F$2,EOMONTH(AT$2,-1)+1,$C5:$F5)*VLOOKUP(AT$2,Valores!$H$2:$P$154,8,0)</f>
        <v>46342.0318416728</v>
      </c>
      <c r="AU5" s="27" t="n">
        <f aca="false">SUMIF($C$2:$F$2,EOMONTH(AU$2,-1)+1,$C5:$F5)*VLOOKUP(AU$2,Valores!$H$2:$P$154,8,0)</f>
        <v>92684.0636833456</v>
      </c>
      <c r="AV5" s="27" t="n">
        <f aca="false">SUMIF($C$2:$F$2,EOMONTH(AV$2,-1)+1,$C5:$F5)*VLOOKUP(AV$2,Valores!$H$2:$P$154,8,0)</f>
        <v>115855.079604182</v>
      </c>
      <c r="AW5" s="27" t="n">
        <f aca="false">SUMIF($C$2:$F$2,EOMONTH(AW$2,-1)+1,$C5:$F5)*VLOOKUP(AW$2,Valores!$H$2:$P$154,8,0)</f>
        <v>69513.0477625092</v>
      </c>
      <c r="AX5" s="27" t="n">
        <f aca="false">SUMIF($C$2:$F$2,EOMONTH(AX$2,-1)+1,$C5:$F5)*VLOOKUP(AX$2,Valores!$H$2:$P$154,8,0)</f>
        <v>46342.0318416728</v>
      </c>
      <c r="AY5" s="27" t="n">
        <f aca="false">SUMIF($C$2:$F$2,EOMONTH(AY$2,-1)+1,$C5:$F5)*VLOOKUP(AY$2,Valores!$H$2:$P$154,8,0)</f>
        <v>60244.6413941747</v>
      </c>
      <c r="AZ5" s="27" t="n">
        <f aca="false">SUMIF($C$2:$F$2,EOMONTH(AZ$2,-1)+1,$C5:$F5)*VLOOKUP(AZ$2,Valores!$H$2:$P$154,8,0)</f>
        <v>60244.6413941747</v>
      </c>
      <c r="BA5" s="27" t="n">
        <f aca="false">SUMIF($C$2:$F$2,EOMONTH(BA$2,-1)+1,$C5:$F5)*VLOOKUP(BA$2,Valores!$H$2:$P$154,8,0)</f>
        <v>60244.6413941747</v>
      </c>
      <c r="BB5" s="27" t="n">
        <f aca="false">SUMIF($C$2:$F$2,EOMONTH(BB$2,-1)+1,$C5:$F5)*VLOOKUP(BB$2,Valores!$H$2:$P$154,8,0)</f>
        <v>106586.673235847</v>
      </c>
      <c r="BC5" s="27" t="n">
        <f aca="false">SUMIF($C$2:$F$2,EOMONTH(BC$2,-1)+1,$C5:$F5)*VLOOKUP(BC$2,Valores!$H$2:$P$154,8,0)</f>
        <v>129757.689156684</v>
      </c>
      <c r="BD5" s="27" t="n">
        <f aca="false">SUMIF($C$2:$F$2,EOMONTH(BD$2,-1)+1,$C5:$F5)*VLOOKUP(BD$2,Valores!$H$2:$P$154,8,0)</f>
        <v>69513.0477625092</v>
      </c>
      <c r="BE5" s="27" t="n">
        <f aca="false">SUMIF($C$2:$F$2,EOMONTH(BE$2,-1)+1,$C5:$F5)*VLOOKUP(BE$2,Valores!$H$2:$P$154,8,0)</f>
        <v>61789.3757888971</v>
      </c>
      <c r="BF5" s="27" t="n">
        <f aca="false">SUMIF($C$2:$F$2,EOMONTH(BF$2,-1)+1,$C5:$F5)*VLOOKUP(BF$2,Valores!$H$2:$P$154,8,0)</f>
        <v>61789.3757888971</v>
      </c>
      <c r="BG5" s="27" t="n">
        <f aca="false">SUMIF($C$2:$F$2,EOMONTH(BG$2,-1)+1,$C5:$F5)*VLOOKUP(BG$2,Valores!$H$2:$P$154,8,0)</f>
        <v>61789.3757888971</v>
      </c>
      <c r="BH5" s="27" t="n">
        <f aca="false">SUMIF($C$2:$F$2,EOMONTH(BH$2,-1)+1,$C5:$F5)*VLOOKUP(BH$2,Valores!$H$2:$P$154,8,0)</f>
        <v>61789.3757888971</v>
      </c>
      <c r="BI5" s="27" t="n">
        <f aca="false">SUMIF($C$2:$F$2,EOMONTH(BI$2,-1)+1,$C5:$F5)*VLOOKUP(BI$2,Valores!$H$2:$P$154,8,0)</f>
        <v>123578.751577794</v>
      </c>
      <c r="BJ5" s="27" t="n">
        <f aca="false">SUMIF($C$2:$F$2,EOMONTH(BJ$2,-1)+1,$C5:$F5)*VLOOKUP(BJ$2,Valores!$H$2:$P$154,8,0)</f>
        <v>154473.439472243</v>
      </c>
      <c r="BK5" s="27" t="n">
        <f aca="false">SUMIF($C$2:$F$2,EOMONTH(BK$2,-1)+1,$C5:$F5)*VLOOKUP(BK$2,Valores!$H$2:$P$154,8,0)</f>
        <v>74147.2509466765</v>
      </c>
      <c r="BL5" s="27" t="n">
        <f aca="false">SUMIF($C$2:$F$2,EOMONTH(BL$2,-1)+1,$C5:$F5)*VLOOKUP(BL$2,Valores!$H$2:$P$154,8,0)</f>
        <v>54374.6506942294</v>
      </c>
      <c r="BM5" s="27" t="n">
        <f aca="false">SUMIF($C$2:$F$2,EOMONTH(BM$2,-1)+1,$C5:$F5)*VLOOKUP(BM$2,Valores!$H$2:$P$154,8,0)</f>
        <v>54374.6506942294</v>
      </c>
      <c r="BN5" s="27" t="n">
        <f aca="false">SUMIF($C$2:$F$2,EOMONTH(BN$2,-1)+1,$C5:$F5)*VLOOKUP(BN$2,Valores!$H$2:$P$154,8,0)</f>
        <v>54374.6506942294</v>
      </c>
      <c r="BO5" s="27" t="n">
        <f aca="false">SUMIF($C$2:$F$2,EOMONTH(BO$2,-1)+1,$C5:$F5)*VLOOKUP(BO$2,Valores!$H$2:$P$154,8,0)</f>
        <v>57093.3832289409</v>
      </c>
      <c r="BP5" s="27" t="n">
        <f aca="false">SUMIF($C$2:$F$2,EOMONTH(BP$2,-1)+1,$C5:$F5)*VLOOKUP(BP$2,Valores!$H$2:$P$154,8,0)</f>
        <v>143678.161344907</v>
      </c>
      <c r="BQ5" s="27" t="n">
        <f aca="false">SUMIF($C$2:$F$2,EOMONTH(BQ$2,-1)+1,$C5:$F5)*VLOOKUP(BQ$2,Valores!$H$2:$P$154,8,0)</f>
        <v>179597.701681134</v>
      </c>
      <c r="BR5" s="27" t="n">
        <f aca="false">SUMIF($C$2:$F$2,EOMONTH(BR$2,-1)+1,$C5:$F5)*VLOOKUP(BR$2,Valores!$H$2:$P$154,8,0)</f>
        <v>86206.8968069443</v>
      </c>
      <c r="BS5" s="27" t="n">
        <f aca="false">SUMIF($C$2:$F$2,EOMONTH(BS$2,-1)+1,$C5:$F5)*VLOOKUP(BS$2,Valores!$H$2:$P$154,8,0)</f>
        <v>38485.2217888144</v>
      </c>
      <c r="BT5" s="27" t="n">
        <f aca="false">SUMIF($C$2:$F$2,EOMONTH(BT$2,-1)+1,$C5:$F5)*VLOOKUP(BT$2,Valores!$H$2:$P$154,8,0)</f>
        <v>38485.2217888144</v>
      </c>
      <c r="BU5" s="27" t="n">
        <f aca="false">SUMIF($C$2:$F$2,EOMONTH(BU$2,-1)+1,$C5:$F5)*VLOOKUP(BU$2,Valores!$H$2:$P$154,8,0)</f>
        <v>38485.2217888144</v>
      </c>
      <c r="BV5" s="27" t="n">
        <f aca="false">SUMIF($C$2:$F$2,EOMONTH(BV$2,-1)+1,$C5:$F5)*VLOOKUP(BV$2,Valores!$H$2:$P$154,8,0)</f>
        <v>38485.2217888144</v>
      </c>
      <c r="BW5" s="27" t="n">
        <f aca="false">SUMIF($C$2:$F$2,EOMONTH(BW$2,-1)+1,$C5:$F5)*VLOOKUP(BW$2,Valores!$H$2:$P$154,8,0)</f>
        <v>76970.4435776288</v>
      </c>
      <c r="BX5" s="27" t="n">
        <f aca="false">SUMIF($C$2:$F$2,EOMONTH(BX$2,-1)+1,$C5:$F5)*VLOOKUP(BX$2,Valores!$H$2:$P$154,8,0)</f>
        <v>96213.054472036</v>
      </c>
      <c r="BY5" s="27" t="n">
        <f aca="false">SUMIF($C$2:$F$2,EOMONTH(BY$2,-1)+1,$C5:$F5)*VLOOKUP(BY$2,Valores!$H$2:$P$154,8,0)</f>
        <v>57727.8326832216</v>
      </c>
      <c r="BZ5" s="27" t="n">
        <f aca="false">SUMIF($C$2:$F$2,EOMONTH(BZ$2,-1)+1,$C5:$F5)*VLOOKUP(BZ$2,Valores!$H$2:$P$154,8,0)</f>
        <v>38485.2217888144</v>
      </c>
      <c r="CA5" s="27" t="n">
        <f aca="false">SUMIF($C$2:$F$2,EOMONTH(CA$2,-1)+1,$C5:$F5)*VLOOKUP(CA$2,Valores!$H$2:$P$154,8,0)</f>
        <v>38485.2217888144</v>
      </c>
      <c r="CB5" s="27" t="n">
        <f aca="false">SUMIF($C$2:$F$2,EOMONTH(CB$2,-1)+1,$C5:$F5)*VLOOKUP(CB$2,Valores!$H$2:$P$154,8,0)</f>
        <v>38485.2217888144</v>
      </c>
      <c r="CC5" s="27" t="n">
        <f aca="false">SUMIF($C$2:$F$2,EOMONTH(CC$2,-1)+1,$C5:$F5)*VLOOKUP(CC$2,Valores!$H$2:$P$154,8,0)</f>
        <v>38485.2217888144</v>
      </c>
      <c r="CD5" s="27" t="n">
        <f aca="false">SUMIF($C$2:$F$2,EOMONTH(CD$2,-1)+1,$C5:$F5)*VLOOKUP(CD$2,Valores!$H$2:$P$154,8,0)</f>
        <v>115455.665366443</v>
      </c>
      <c r="CE5" s="27" t="n">
        <f aca="false">SUMIF($C$2:$F$2,EOMONTH(CE$2,-1)+1,$C5:$F5)*VLOOKUP(CE$2,Valores!$H$2:$P$154,8,0)</f>
        <v>153940.887155258</v>
      </c>
      <c r="CF5" s="27" t="n">
        <f aca="false">SUMIF($C$2:$F$2,EOMONTH(CF$2,-1)+1,$C5:$F5)*VLOOKUP(CF$2,Valores!$H$2:$P$154,8,0)</f>
        <v>96213.054472036</v>
      </c>
      <c r="CG5" s="27" t="n">
        <f aca="false">SUMIF($C$2:$F$2,EOMONTH(CG$2,-1)+1,$C5:$F5)*VLOOKUP(CG$2,Valores!$H$2:$P$154,8,0)</f>
        <v>51313.6290517525</v>
      </c>
      <c r="CH5" s="27" t="n">
        <f aca="false">SUMIF($C$2:$F$2,EOMONTH(CH$2,-1)+1,$C5:$F5)*VLOOKUP(CH$2,Valores!$H$2:$P$154,8,0)</f>
        <v>51313.6290517525</v>
      </c>
      <c r="CI5" s="27" t="n">
        <f aca="false">SUMIF($C$2:$F$2,EOMONTH(CI$2,-1)+1,$C5:$F5)*VLOOKUP(CI$2,Valores!$H$2:$P$154,8,0)</f>
        <v>51313.6290517525</v>
      </c>
      <c r="CJ5" s="27" t="n">
        <f aca="false">SUMIF($C$2:$F$2,EOMONTH(CJ$2,-1)+1,$C5:$F5)*VLOOKUP(CJ$2,Valores!$H$2:$P$154,8,0)</f>
        <v>51313.6290517525</v>
      </c>
      <c r="CK5" s="27" t="n">
        <f aca="false">SUMIF($C$2:$F$2,EOMONTH(CK$2,-1)+1,$C5:$F5)*VLOOKUP(CK$2,Valores!$H$2:$P$154,8,0)</f>
        <v>102627.258103505</v>
      </c>
      <c r="CL5" s="27" t="n">
        <f aca="false">SUMIF($C$2:$F$2,EOMONTH(CL$2,-1)+1,$C5:$F5)*VLOOKUP(CL$2,Valores!$H$2:$P$154,8,0)</f>
        <v>128284.072629381</v>
      </c>
      <c r="CM5" s="27" t="n">
        <f aca="false">SUMIF($C$2:$F$2,EOMONTH(CM$2,-1)+1,$C5:$F5)*VLOOKUP(CM$2,Valores!$H$2:$P$154,8,0)</f>
        <v>76970.4435776288</v>
      </c>
      <c r="CN5" s="27" t="n">
        <f aca="false">SUMIF($C$2:$F$2,EOMONTH(CN$2,-1)+1,$C5:$F5)*VLOOKUP(CN$2,Valores!$H$2:$P$154,8,0)</f>
        <v>56444.9919569278</v>
      </c>
      <c r="CO5" s="27" t="n">
        <f aca="false">SUMIF($C$2:$F$2,EOMONTH(CO$2,-1)+1,$C5:$F5)*VLOOKUP(CO$2,Valores!$H$2:$P$154,8,0)</f>
        <v>56444.9919569278</v>
      </c>
      <c r="CP5" s="27" t="n">
        <f aca="false">SUMIF($C$2:$F$2,EOMONTH(CP$2,-1)+1,$C5:$F5)*VLOOKUP(CP$2,Valores!$H$2:$P$154,8,0)</f>
        <v>56444.9919569278</v>
      </c>
      <c r="CQ5" s="27" t="n">
        <f aca="false">SUMIF($C$2:$F$2,EOMONTH(CQ$2,-1)+1,$C5:$F5)*VLOOKUP(CQ$2,Valores!$H$2:$P$154,8,0)</f>
        <v>56444.9919569278</v>
      </c>
      <c r="CR5" s="27" t="n">
        <f aca="false">SUMIF($C$2:$F$2,EOMONTH(CR$2,-1)+1,$C5:$F5)*VLOOKUP(CR$2,Valores!$H$2:$P$154,8,0)</f>
        <v>112889.983913856</v>
      </c>
      <c r="CS5" s="27" t="n">
        <f aca="false">SUMIF($C$2:$F$2,EOMONTH(CS$2,-1)+1,$C5:$F5)*VLOOKUP(CS$2,Valores!$H$2:$P$154,8,0)</f>
        <v>169334.975870783</v>
      </c>
      <c r="CT5" s="27" t="e">
        <f aca="false">SUMIF($C$2:$F$2,EOMONTH(CT$2,-1)+1,$C5:$F5)*VLOOKUP(CT$2,Valores!$H$2:$P$154,8,0)</f>
        <v>#VALUE!</v>
      </c>
      <c r="CU5" s="27" t="e">
        <f aca="false">SUMIF($C$2:$F$2,EOMONTH(CU$2,-1)+1,$C5:$F5)*VLOOKUP(CU$2,Valores!$H$2:$P$154,8,0)</f>
        <v>#VALUE!</v>
      </c>
      <c r="CV5" s="27" t="e">
        <f aca="false">SUMIF($C$2:$F$2,EOMONTH(CV$2,-1)+1,$C5:$F5)*VLOOKUP(CV$2,Valores!$H$2:$P$154,8,0)</f>
        <v>#VALUE!</v>
      </c>
      <c r="CW5" s="27" t="e">
        <f aca="false">SUMIF($C$2:$F$2,EOMONTH(CW$2,-1)+1,$C5:$F5)*VLOOKUP(CW$2,Valores!$H$2:$P$154,8,0)</f>
        <v>#VALUE!</v>
      </c>
      <c r="CX5" s="27" t="e">
        <f aca="false">SUMIF($C$2:$F$2,EOMONTH(CX$2,-1)+1,$C5:$F5)*VLOOKUP(CX$2,Valores!$H$2:$P$154,8,0)</f>
        <v>#VALUE!</v>
      </c>
      <c r="CY5" s="27" t="e">
        <f aca="false">SUMIF($C$2:$F$2,EOMONTH(CY$2,-1)+1,$C5:$F5)*VLOOKUP(CY$2,Valores!$H$2:$P$154,8,0)</f>
        <v>#VALUE!</v>
      </c>
      <c r="CZ5" s="27" t="e">
        <f aca="false">SUMIF($C$2:$F$2,EOMONTH(CZ$2,-1)+1,$C5:$F5)*VLOOKUP(CZ$2,Valores!$H$2:$P$154,8,0)</f>
        <v>#VALUE!</v>
      </c>
      <c r="DA5" s="27" t="e">
        <f aca="false">SUMIF($C$2:$F$2,EOMONTH(DA$2,-1)+1,$C5:$F5)*VLOOKUP(DA$2,Valores!$H$2:$P$154,8,0)</f>
        <v>#VALUE!</v>
      </c>
      <c r="DB5" s="27" t="e">
        <f aca="false">SUMIF($C$2:$F$2,EOMONTH(DB$2,-1)+1,$C5:$F5)*VLOOKUP(DB$2,Valores!$H$2:$P$154,8,0)</f>
        <v>#VALUE!</v>
      </c>
      <c r="DC5" s="27" t="e">
        <f aca="false">SUMIF($C$2:$F$2,EOMONTH(DC$2,-1)+1,$C5:$F5)*VLOOKUP(DC$2,Valores!$H$2:$P$154,8,0)</f>
        <v>#VALUE!</v>
      </c>
      <c r="DD5" s="27" t="e">
        <f aca="false">SUMIF($C$2:$F$2,EOMONTH(DD$2,-1)+1,$C5:$F5)*VLOOKUP(DD$2,Valores!$H$2:$P$154,8,0)</f>
        <v>#VALUE!</v>
      </c>
      <c r="DE5" s="27" t="e">
        <f aca="false">SUMIF($C$2:$F$2,EOMONTH(DE$2,-1)+1,$C5:$F5)*VLOOKUP(DE$2,Valores!$H$2:$P$154,8,0)</f>
        <v>#VALUE!</v>
      </c>
      <c r="DF5" s="27" t="e">
        <f aca="false">SUMIF($C$2:$F$2,EOMONTH(DF$2,-1)+1,$C5:$F5)*VLOOKUP(DF$2,Valores!$H$2:$P$154,8,0)</f>
        <v>#VALUE!</v>
      </c>
      <c r="DG5" s="27" t="e">
        <f aca="false">SUMIF($C$2:$F$2,EOMONTH(DG$2,-1)+1,$C5:$F5)*VLOOKUP(DG$2,Valores!$H$2:$P$154,8,0)</f>
        <v>#VALUE!</v>
      </c>
      <c r="DH5" s="27" t="e">
        <f aca="false">SUMIF($C$2:$F$2,EOMONTH(DH$2,-1)+1,$C5:$F5)*VLOOKUP(DH$2,Valores!$H$2:$P$154,8,0)</f>
        <v>#VALUE!</v>
      </c>
      <c r="DI5" s="27" t="e">
        <f aca="false">SUMIF($C$2:$F$2,EOMONTH(DI$2,-1)+1,$C5:$F5)*VLOOKUP(DI$2,Valores!$H$2:$P$154,8,0)</f>
        <v>#VALUE!</v>
      </c>
      <c r="DJ5" s="27" t="e">
        <f aca="false">SUMIF($C$2:$F$2,EOMONTH(DJ$2,-1)+1,$C5:$F5)*VLOOKUP(DJ$2,Valores!$H$2:$P$154,8,0)</f>
        <v>#VALUE!</v>
      </c>
      <c r="DK5" s="27" t="e">
        <f aca="false">SUMIF($C$2:$F$2,EOMONTH(DK$2,-1)+1,$C5:$F5)*VLOOKUP(DK$2,Valores!$H$2:$P$154,8,0)</f>
        <v>#VALUE!</v>
      </c>
      <c r="DL5" s="27" t="e">
        <f aca="false">SUMIF($C$2:$F$2,EOMONTH(DL$2,-1)+1,$C5:$F5)*VLOOKUP(DL$2,Valores!$H$2:$P$154,8,0)</f>
        <v>#VALUE!</v>
      </c>
      <c r="DM5" s="27" t="e">
        <f aca="false">SUMIF($C$2:$F$2,EOMONTH(DM$2,-1)+1,$C5:$F5)*VLOOKUP(DM$2,Valores!$H$2:$P$154,8,0)</f>
        <v>#VALUE!</v>
      </c>
      <c r="DN5" s="27" t="e">
        <f aca="false">SUMIF($C$2:$F$2,EOMONTH(DN$2,-1)+1,$C5:$F5)*VLOOKUP(DN$2,Valores!$H$2:$P$154,8,0)</f>
        <v>#VALUE!</v>
      </c>
      <c r="DO5" s="27" t="e">
        <f aca="false">SUMIF($C$2:$F$2,EOMONTH(DO$2,-1)+1,$C5:$F5)*VLOOKUP(DO$2,Valores!$H$2:$P$154,8,0)</f>
        <v>#VALUE!</v>
      </c>
      <c r="DP5" s="27" t="e">
        <f aca="false">SUMIF($C$2:$F$2,EOMONTH(DP$2,-1)+1,$C5:$F5)*VLOOKUP(DP$2,Valores!$H$2:$P$154,8,0)</f>
        <v>#VALUE!</v>
      </c>
      <c r="DQ5" s="27" t="e">
        <f aca="false">SUMIF($C$2:$F$2,EOMONTH(DQ$2,-1)+1,$C5:$F5)*VLOOKUP(DQ$2,Valores!$H$2:$P$154,8,0)</f>
        <v>#VALUE!</v>
      </c>
      <c r="DR5" s="27" t="e">
        <f aca="false">SUMIF($C$2:$F$2,EOMONTH(DR$2,-1)+1,$C5:$F5)*VLOOKUP(DR$2,Valores!$H$2:$P$154,8,0)</f>
        <v>#VALUE!</v>
      </c>
      <c r="DS5" s="27" t="e">
        <f aca="false">SUMIF($C$2:$F$2,EOMONTH(DS$2,-1)+1,$C5:$F5)*VLOOKUP(DS$2,Valores!$H$2:$P$154,8,0)</f>
        <v>#VALUE!</v>
      </c>
      <c r="DT5" s="27" t="e">
        <f aca="false">SUMIF($C$2:$F$2,EOMONTH(DT$2,-1)+1,$C5:$F5)*VLOOKUP(DT$2,Valores!$H$2:$P$154,8,0)</f>
        <v>#VALUE!</v>
      </c>
      <c r="DU5" s="27" t="e">
        <f aca="false">SUMIF($C$2:$F$2,EOMONTH(DU$2,-1)+1,$C5:$F5)*VLOOKUP(DU$2,Valores!$H$2:$P$154,8,0)</f>
        <v>#VALUE!</v>
      </c>
      <c r="DV5" s="27" t="e">
        <f aca="false">SUMIF($C$2:$F$2,EOMONTH(DV$2,-1)+1,$C5:$F5)*VLOOKUP(DV$2,Valores!$H$2:$P$154,8,0)</f>
        <v>#VALUE!</v>
      </c>
      <c r="DW5" s="27" t="e">
        <f aca="false">SUMIF($C$2:$F$2,EOMONTH(DW$2,-1)+1,$C5:$F5)*VLOOKUP(DW$2,Valores!$H$2:$P$154,8,0)</f>
        <v>#VALUE!</v>
      </c>
      <c r="DX5" s="27" t="e">
        <f aca="false">SUMIF($C$2:$F$2,EOMONTH(DX$2,-1)+1,$C5:$F5)*VLOOKUP(DX$2,Valores!$H$2:$P$154,8,0)</f>
        <v>#VALUE!</v>
      </c>
    </row>
    <row r="6" customFormat="false" ht="13.8" hidden="false" customHeight="false" outlineLevel="0" collapsed="false">
      <c r="A6" s="29" t="s">
        <v>23</v>
      </c>
      <c r="B6" s="29" t="s">
        <v>27</v>
      </c>
      <c r="C6" s="29" t="n">
        <v>2658456</v>
      </c>
      <c r="D6" s="29" t="n">
        <v>2392610.4</v>
      </c>
      <c r="E6" s="29" t="n">
        <v>2153349.36</v>
      </c>
      <c r="F6" s="29" t="n">
        <v>1938014.424</v>
      </c>
      <c r="G6" s="30" t="n">
        <f aca="false">SUMIF($C$2:$F$2,EOMONTH(G$2,-1)+1,$C6:$F6)*VLOOKUP(G$2,Valores!$H$2:$P$154,8,0)</f>
        <v>76555.8334704624</v>
      </c>
      <c r="H6" s="30" t="n">
        <f aca="false">SUMIF($C$2:$F$2,EOMONTH(H$2,-1)+1,$C6:$F6)*VLOOKUP(H$2,Valores!$H$2:$P$154,8,0)</f>
        <v>52495.4286654599</v>
      </c>
      <c r="I6" s="30" t="n">
        <f aca="false">SUMIF($C$2:$F$2,EOMONTH(I$2,-1)+1,$C6:$F6)*VLOOKUP(I$2,Valores!$H$2:$P$154,8,0)</f>
        <v>52495.4286654599</v>
      </c>
      <c r="J6" s="30" t="n">
        <f aca="false">SUMIF($C$2:$F$2,EOMONTH(J$2,-1)+1,$C6:$F6)*VLOOKUP(J$2,Valores!$H$2:$P$154,8,0)</f>
        <v>52495.4286654599</v>
      </c>
      <c r="K6" s="30" t="n">
        <f aca="false">SUMIF($C$2:$F$2,EOMONTH(K$2,-1)+1,$C6:$F6)*VLOOKUP(K$2,Valores!$H$2:$P$154,8,0)</f>
        <v>52495.4286654599</v>
      </c>
      <c r="L6" s="30" t="n">
        <f aca="false">SUMIF($C$2:$F$2,EOMONTH(L$2,-1)+1,$C6:$F6)*VLOOKUP(L$2,Valores!$H$2:$P$154,8,0)</f>
        <v>104990.85733092</v>
      </c>
      <c r="M6" s="30" t="n">
        <f aca="false">SUMIF($C$2:$F$2,EOMONTH(M$2,-1)+1,$C6:$F6)*VLOOKUP(M$2,Valores!$H$2:$P$154,8,0)</f>
        <v>131238.57166365</v>
      </c>
      <c r="N6" s="30" t="n">
        <f aca="false">SUMIF($C$2:$F$2,EOMONTH(N$2,-1)+1,$C6:$F6)*VLOOKUP(N$2,Valores!$H$2:$P$154,8,0)</f>
        <v>78743.1429981899</v>
      </c>
      <c r="O6" s="30" t="n">
        <f aca="false">SUMIF($C$2:$F$2,EOMONTH(O$2,-1)+1,$C6:$F6)*VLOOKUP(O$2,Valores!$H$2:$P$154,8,0)</f>
        <v>69993.9048872799</v>
      </c>
      <c r="P6" s="30" t="n">
        <f aca="false">SUMIF($C$2:$F$2,EOMONTH(P$2,-1)+1,$C6:$F6)*VLOOKUP(P$2,Valores!$H$2:$P$154,8,0)</f>
        <v>69993.9048872799</v>
      </c>
      <c r="Q6" s="30" t="n">
        <f aca="false">SUMIF($C$2:$F$2,EOMONTH(Q$2,-1)+1,$C6:$F6)*VLOOKUP(Q$2,Valores!$H$2:$P$154,8,0)</f>
        <v>41996.3429323679</v>
      </c>
      <c r="R6" s="30" t="n">
        <f aca="false">SUMIF($C$2:$F$2,EOMONTH(R$2,-1)+1,$C6:$F6)*VLOOKUP(R$2,Valores!$H$2:$P$154,8,0)</f>
        <v>69993.9048872799</v>
      </c>
      <c r="S6" s="30" t="n">
        <f aca="false">SUMIF($C$2:$F$2,EOMONTH(S$2,-1)+1,$C6:$F6)*VLOOKUP(S$2,Valores!$H$2:$P$154,8,0)</f>
        <v>139987.80977456</v>
      </c>
      <c r="T6" s="30" t="n">
        <f aca="false">SUMIF($C$2:$F$2,EOMONTH(T$2,-1)+1,$C6:$F6)*VLOOKUP(T$2,Valores!$H$2:$P$154,8,0)</f>
        <v>174984.7622182</v>
      </c>
      <c r="U6" s="30" t="n">
        <f aca="false">SUMIF($C$2:$F$2,EOMONTH(U$2,-1)+1,$C6:$F6)*VLOOKUP(U$2,Valores!$H$2:$P$154,8,0)</f>
        <v>104990.85733092</v>
      </c>
      <c r="V6" s="30" t="n">
        <f aca="false">SUMIF($C$2:$F$2,EOMONTH(V$2,-1)+1,$C6:$F6)*VLOOKUP(V$2,Valores!$H$2:$P$154,8,0)</f>
        <v>87492.3811090999</v>
      </c>
      <c r="W6" s="30" t="n">
        <f aca="false">SUMIF($C$2:$F$2,EOMONTH(W$2,-1)+1,$C6:$F6)*VLOOKUP(W$2,Valores!$H$2:$P$154,8,0)</f>
        <v>87492.3811090999</v>
      </c>
      <c r="X6" s="30" t="n">
        <f aca="false">SUMIF($C$2:$F$2,EOMONTH(X$2,-1)+1,$C6:$F6)*VLOOKUP(X$2,Valores!$H$2:$P$154,8,0)</f>
        <v>0</v>
      </c>
      <c r="Y6" s="30" t="n">
        <f aca="false">SUMIF($C$2:$F$2,EOMONTH(Y$2,-1)+1,$C6:$F6)*VLOOKUP(Y$2,Valores!$H$2:$P$154,8,0)</f>
        <v>0</v>
      </c>
      <c r="Z6" s="30" t="n">
        <f aca="false">SUMIF($C$2:$F$2,EOMONTH(Z$2,-1)+1,$C6:$F6)*VLOOKUP(Z$2,Valores!$H$2:$P$154,8,0)</f>
        <v>131238.57166365</v>
      </c>
      <c r="AA6" s="30" t="n">
        <f aca="false">SUMIF($C$2:$F$2,EOMONTH(AA$2,-1)+1,$C6:$F6)*VLOOKUP(AA$2,Valores!$H$2:$P$154,8,0)</f>
        <v>157486.28599638</v>
      </c>
      <c r="AB6" s="30" t="n">
        <f aca="false">SUMIF($C$2:$F$2,EOMONTH(AB$2,-1)+1,$C6:$F6)*VLOOKUP(AB$2,Valores!$H$2:$P$154,8,0)</f>
        <v>78743.1429981899</v>
      </c>
      <c r="AC6" s="30" t="n">
        <f aca="false">SUMIF($C$2:$F$2,EOMONTH(AC$2,-1)+1,$C6:$F6)*VLOOKUP(AC$2,Valores!$H$2:$P$154,8,0)</f>
        <v>96241.6192200099</v>
      </c>
      <c r="AD6" s="30" t="n">
        <f aca="false">SUMIF($C$2:$F$2,EOMONTH(AD$2,-1)+1,$C6:$F6)*VLOOKUP(AD$2,Valores!$H$2:$P$154,8,0)</f>
        <v>96241.6192200099</v>
      </c>
      <c r="AE6" s="30" t="n">
        <f aca="false">SUMIF($C$2:$F$2,EOMONTH(AE$2,-1)+1,$C6:$F6)*VLOOKUP(AE$2,Valores!$H$2:$P$154,8,0)</f>
        <v>96241.6192200099</v>
      </c>
      <c r="AF6" s="30" t="n">
        <f aca="false">SUMIF($C$2:$F$2,EOMONTH(AF$2,-1)+1,$C6:$F6)*VLOOKUP(AF$2,Valores!$H$2:$P$154,8,0)</f>
        <v>96241.6192200099</v>
      </c>
      <c r="AG6" s="30" t="n">
        <f aca="false">SUMIF($C$2:$F$2,EOMONTH(AG$2,-1)+1,$C6:$F6)*VLOOKUP(AG$2,Valores!$H$2:$P$154,8,0)</f>
        <v>153986.590752016</v>
      </c>
      <c r="AH6" s="30" t="n">
        <f aca="false">SUMIF($C$2:$F$2,EOMONTH(AH$2,-1)+1,$C6:$F6)*VLOOKUP(AH$2,Valores!$H$2:$P$154,8,0)</f>
        <v>192483.23844002</v>
      </c>
      <c r="AI6" s="30" t="n">
        <f aca="false">SUMIF($C$2:$F$2,EOMONTH(AI$2,-1)+1,$C6:$F6)*VLOOKUP(AI$2,Valores!$H$2:$P$154,8,0)</f>
        <v>67369.1334540069</v>
      </c>
      <c r="AJ6" s="30" t="n">
        <f aca="false">SUMIF($C$2:$F$2,EOMONTH(AJ$2,-1)+1,$C6:$F6)*VLOOKUP(AJ$2,Valores!$H$2:$P$154,8,0)</f>
        <v>43746.1905545499</v>
      </c>
      <c r="AK6" s="30" t="n">
        <f aca="false">SUMIF($C$2:$F$2,EOMONTH(AK$2,-1)+1,$C6:$F6)*VLOOKUP(AK$2,Valores!$H$2:$P$154,8,0)</f>
        <v>79774.5733406368</v>
      </c>
      <c r="AL6" s="30" t="n">
        <f aca="false">SUMIF($C$2:$F$2,EOMONTH(AL$2,-1)+1,$C6:$F6)*VLOOKUP(AL$2,Valores!$H$2:$P$154,8,0)</f>
        <v>79774.5733406368</v>
      </c>
      <c r="AM6" s="30" t="n">
        <f aca="false">SUMIF($C$2:$F$2,EOMONTH(AM$2,-1)+1,$C6:$F6)*VLOOKUP(AM$2,Valores!$H$2:$P$154,8,0)</f>
        <v>79774.5733406368</v>
      </c>
      <c r="AN6" s="30" t="n">
        <f aca="false">SUMIF($C$2:$F$2,EOMONTH(AN$2,-1)+1,$C6:$F6)*VLOOKUP(AN$2,Valores!$H$2:$P$154,8,0)</f>
        <v>159549.146681274</v>
      </c>
      <c r="AO6" s="30" t="n">
        <f aca="false">SUMIF($C$2:$F$2,EOMONTH(AO$2,-1)+1,$C6:$F6)*VLOOKUP(AO$2,Valores!$H$2:$P$154,8,0)</f>
        <v>199436.433351592</v>
      </c>
      <c r="AP6" s="30" t="n">
        <f aca="false">SUMIF($C$2:$F$2,EOMONTH(AP$2,-1)+1,$C6:$F6)*VLOOKUP(AP$2,Valores!$H$2:$P$154,8,0)</f>
        <v>119661.860010955</v>
      </c>
      <c r="AQ6" s="30" t="n">
        <f aca="false">SUMIF($C$2:$F$2,EOMONTH(AQ$2,-1)+1,$C6:$F6)*VLOOKUP(AQ$2,Valores!$H$2:$P$154,8,0)</f>
        <v>42736.3785753412</v>
      </c>
      <c r="AR6" s="30" t="n">
        <f aca="false">SUMIF($C$2:$F$2,EOMONTH(AR$2,-1)+1,$C6:$F6)*VLOOKUP(AR$2,Valores!$H$2:$P$154,8,0)</f>
        <v>42736.3785753412</v>
      </c>
      <c r="AS6" s="30" t="n">
        <f aca="false">SUMIF($C$2:$F$2,EOMONTH(AS$2,-1)+1,$C6:$F6)*VLOOKUP(AS$2,Valores!$H$2:$P$154,8,0)</f>
        <v>42736.3785753412</v>
      </c>
      <c r="AT6" s="30" t="n">
        <f aca="false">SUMIF($C$2:$F$2,EOMONTH(AT$2,-1)+1,$C6:$F6)*VLOOKUP(AT$2,Valores!$H$2:$P$154,8,0)</f>
        <v>42736.3785753412</v>
      </c>
      <c r="AU6" s="30" t="n">
        <f aca="false">SUMIF($C$2:$F$2,EOMONTH(AU$2,-1)+1,$C6:$F6)*VLOOKUP(AU$2,Valores!$H$2:$P$154,8,0)</f>
        <v>85472.7571506823</v>
      </c>
      <c r="AV6" s="30" t="n">
        <f aca="false">SUMIF($C$2:$F$2,EOMONTH(AV$2,-1)+1,$C6:$F6)*VLOOKUP(AV$2,Valores!$H$2:$P$154,8,0)</f>
        <v>106840.946438353</v>
      </c>
      <c r="AW6" s="30" t="n">
        <f aca="false">SUMIF($C$2:$F$2,EOMONTH(AW$2,-1)+1,$C6:$F6)*VLOOKUP(AW$2,Valores!$H$2:$P$154,8,0)</f>
        <v>64104.5678630117</v>
      </c>
      <c r="AX6" s="30" t="n">
        <f aca="false">SUMIF($C$2:$F$2,EOMONTH(AX$2,-1)+1,$C6:$F6)*VLOOKUP(AX$2,Valores!$H$2:$P$154,8,0)</f>
        <v>42736.3785753412</v>
      </c>
      <c r="AY6" s="30" t="n">
        <f aca="false">SUMIF($C$2:$F$2,EOMONTH(AY$2,-1)+1,$C6:$F6)*VLOOKUP(AY$2,Valores!$H$2:$P$154,8,0)</f>
        <v>55557.2921479435</v>
      </c>
      <c r="AZ6" s="30" t="n">
        <f aca="false">SUMIF($C$2:$F$2,EOMONTH(AZ$2,-1)+1,$C6:$F6)*VLOOKUP(AZ$2,Valores!$H$2:$P$154,8,0)</f>
        <v>55557.2921479435</v>
      </c>
      <c r="BA6" s="30" t="n">
        <f aca="false">SUMIF($C$2:$F$2,EOMONTH(BA$2,-1)+1,$C6:$F6)*VLOOKUP(BA$2,Valores!$H$2:$P$154,8,0)</f>
        <v>55557.2921479435</v>
      </c>
      <c r="BB6" s="30" t="n">
        <f aca="false">SUMIF($C$2:$F$2,EOMONTH(BB$2,-1)+1,$C6:$F6)*VLOOKUP(BB$2,Valores!$H$2:$P$154,8,0)</f>
        <v>98293.6707232846</v>
      </c>
      <c r="BC6" s="30" t="n">
        <f aca="false">SUMIF($C$2:$F$2,EOMONTH(BC$2,-1)+1,$C6:$F6)*VLOOKUP(BC$2,Valores!$H$2:$P$154,8,0)</f>
        <v>119661.860010955</v>
      </c>
      <c r="BD6" s="30" t="n">
        <f aca="false">SUMIF($C$2:$F$2,EOMONTH(BD$2,-1)+1,$C6:$F6)*VLOOKUP(BD$2,Valores!$H$2:$P$154,8,0)</f>
        <v>64104.5678630117</v>
      </c>
      <c r="BE6" s="30" t="n">
        <f aca="false">SUMIF($C$2:$F$2,EOMONTH(BE$2,-1)+1,$C6:$F6)*VLOOKUP(BE$2,Valores!$H$2:$P$154,8,0)</f>
        <v>56981.8381004549</v>
      </c>
      <c r="BF6" s="30" t="n">
        <f aca="false">SUMIF($C$2:$F$2,EOMONTH(BF$2,-1)+1,$C6:$F6)*VLOOKUP(BF$2,Valores!$H$2:$P$154,8,0)</f>
        <v>56981.8381004549</v>
      </c>
      <c r="BG6" s="30" t="n">
        <f aca="false">SUMIF($C$2:$F$2,EOMONTH(BG$2,-1)+1,$C6:$F6)*VLOOKUP(BG$2,Valores!$H$2:$P$154,8,0)</f>
        <v>56981.8381004549</v>
      </c>
      <c r="BH6" s="30" t="n">
        <f aca="false">SUMIF($C$2:$F$2,EOMONTH(BH$2,-1)+1,$C6:$F6)*VLOOKUP(BH$2,Valores!$H$2:$P$154,8,0)</f>
        <v>56981.8381004549</v>
      </c>
      <c r="BI6" s="30" t="n">
        <f aca="false">SUMIF($C$2:$F$2,EOMONTH(BI$2,-1)+1,$C6:$F6)*VLOOKUP(BI$2,Valores!$H$2:$P$154,8,0)</f>
        <v>113963.67620091</v>
      </c>
      <c r="BJ6" s="30" t="n">
        <f aca="false">SUMIF($C$2:$F$2,EOMONTH(BJ$2,-1)+1,$C6:$F6)*VLOOKUP(BJ$2,Valores!$H$2:$P$154,8,0)</f>
        <v>142454.595251137</v>
      </c>
      <c r="BK6" s="30" t="n">
        <f aca="false">SUMIF($C$2:$F$2,EOMONTH(BK$2,-1)+1,$C6:$F6)*VLOOKUP(BK$2,Valores!$H$2:$P$154,8,0)</f>
        <v>68378.2057205458</v>
      </c>
      <c r="BL6" s="30" t="n">
        <f aca="false">SUMIF($C$2:$F$2,EOMONTH(BL$2,-1)+1,$C6:$F6)*VLOOKUP(BL$2,Valores!$H$2:$P$154,8,0)</f>
        <v>50144.0175284003</v>
      </c>
      <c r="BM6" s="30" t="n">
        <f aca="false">SUMIF($C$2:$F$2,EOMONTH(BM$2,-1)+1,$C6:$F6)*VLOOKUP(BM$2,Valores!$H$2:$P$154,8,0)</f>
        <v>50144.0175284003</v>
      </c>
      <c r="BN6" s="30" t="n">
        <f aca="false">SUMIF($C$2:$F$2,EOMONTH(BN$2,-1)+1,$C6:$F6)*VLOOKUP(BN$2,Valores!$H$2:$P$154,8,0)</f>
        <v>50144.0175284003</v>
      </c>
      <c r="BO6" s="30" t="n">
        <f aca="false">SUMIF($C$2:$F$2,EOMONTH(BO$2,-1)+1,$C6:$F6)*VLOOKUP(BO$2,Valores!$H$2:$P$154,8,0)</f>
        <v>52651.2184048203</v>
      </c>
      <c r="BP6" s="30" t="n">
        <f aca="false">SUMIF($C$2:$F$2,EOMONTH(BP$2,-1)+1,$C6:$F6)*VLOOKUP(BP$2,Valores!$H$2:$P$154,8,0)</f>
        <v>132499.246412482</v>
      </c>
      <c r="BQ6" s="30" t="n">
        <f aca="false">SUMIF($C$2:$F$2,EOMONTH(BQ$2,-1)+1,$C6:$F6)*VLOOKUP(BQ$2,Valores!$H$2:$P$154,8,0)</f>
        <v>165624.058015603</v>
      </c>
      <c r="BR6" s="30" t="n">
        <f aca="false">SUMIF($C$2:$F$2,EOMONTH(BR$2,-1)+1,$C6:$F6)*VLOOKUP(BR$2,Valores!$H$2:$P$154,8,0)</f>
        <v>79499.5478474893</v>
      </c>
      <c r="BS6" s="30" t="n">
        <f aca="false">SUMIF($C$2:$F$2,EOMONTH(BS$2,-1)+1,$C6:$F6)*VLOOKUP(BS$2,Valores!$H$2:$P$154,8,0)</f>
        <v>35490.869574772</v>
      </c>
      <c r="BT6" s="30" t="n">
        <f aca="false">SUMIF($C$2:$F$2,EOMONTH(BT$2,-1)+1,$C6:$F6)*VLOOKUP(BT$2,Valores!$H$2:$P$154,8,0)</f>
        <v>35490.869574772</v>
      </c>
      <c r="BU6" s="30" t="n">
        <f aca="false">SUMIF($C$2:$F$2,EOMONTH(BU$2,-1)+1,$C6:$F6)*VLOOKUP(BU$2,Valores!$H$2:$P$154,8,0)</f>
        <v>35490.869574772</v>
      </c>
      <c r="BV6" s="30" t="n">
        <f aca="false">SUMIF($C$2:$F$2,EOMONTH(BV$2,-1)+1,$C6:$F6)*VLOOKUP(BV$2,Valores!$H$2:$P$154,8,0)</f>
        <v>35490.869574772</v>
      </c>
      <c r="BW6" s="30" t="n">
        <f aca="false">SUMIF($C$2:$F$2,EOMONTH(BW$2,-1)+1,$C6:$F6)*VLOOKUP(BW$2,Valores!$H$2:$P$154,8,0)</f>
        <v>70981.739149544</v>
      </c>
      <c r="BX6" s="30" t="n">
        <f aca="false">SUMIF($C$2:$F$2,EOMONTH(BX$2,-1)+1,$C6:$F6)*VLOOKUP(BX$2,Valores!$H$2:$P$154,8,0)</f>
        <v>88727.1739369299</v>
      </c>
      <c r="BY6" s="30" t="n">
        <f aca="false">SUMIF($C$2:$F$2,EOMONTH(BY$2,-1)+1,$C6:$F6)*VLOOKUP(BY$2,Valores!$H$2:$P$154,8,0)</f>
        <v>53236.304362158</v>
      </c>
      <c r="BZ6" s="30" t="n">
        <f aca="false">SUMIF($C$2:$F$2,EOMONTH(BZ$2,-1)+1,$C6:$F6)*VLOOKUP(BZ$2,Valores!$H$2:$P$154,8,0)</f>
        <v>35490.869574772</v>
      </c>
      <c r="CA6" s="30" t="n">
        <f aca="false">SUMIF($C$2:$F$2,EOMONTH(CA$2,-1)+1,$C6:$F6)*VLOOKUP(CA$2,Valores!$H$2:$P$154,8,0)</f>
        <v>35490.869574772</v>
      </c>
      <c r="CB6" s="30" t="n">
        <f aca="false">SUMIF($C$2:$F$2,EOMONTH(CB$2,-1)+1,$C6:$F6)*VLOOKUP(CB$2,Valores!$H$2:$P$154,8,0)</f>
        <v>35490.869574772</v>
      </c>
      <c r="CC6" s="30" t="n">
        <f aca="false">SUMIF($C$2:$F$2,EOMONTH(CC$2,-1)+1,$C6:$F6)*VLOOKUP(CC$2,Valores!$H$2:$P$154,8,0)</f>
        <v>35490.869574772</v>
      </c>
      <c r="CD6" s="30" t="n">
        <f aca="false">SUMIF($C$2:$F$2,EOMONTH(CD$2,-1)+1,$C6:$F6)*VLOOKUP(CD$2,Valores!$H$2:$P$154,8,0)</f>
        <v>106472.608724316</v>
      </c>
      <c r="CE6" s="30" t="n">
        <f aca="false">SUMIF($C$2:$F$2,EOMONTH(CE$2,-1)+1,$C6:$F6)*VLOOKUP(CE$2,Valores!$H$2:$P$154,8,0)</f>
        <v>141963.478299088</v>
      </c>
      <c r="CF6" s="30" t="n">
        <f aca="false">SUMIF($C$2:$F$2,EOMONTH(CF$2,-1)+1,$C6:$F6)*VLOOKUP(CF$2,Valores!$H$2:$P$154,8,0)</f>
        <v>88727.1739369299</v>
      </c>
      <c r="CG6" s="30" t="n">
        <f aca="false">SUMIF($C$2:$F$2,EOMONTH(CG$2,-1)+1,$C6:$F6)*VLOOKUP(CG$2,Valores!$H$2:$P$154,8,0)</f>
        <v>47321.1594330293</v>
      </c>
      <c r="CH6" s="30" t="n">
        <f aca="false">SUMIF($C$2:$F$2,EOMONTH(CH$2,-1)+1,$C6:$F6)*VLOOKUP(CH$2,Valores!$H$2:$P$154,8,0)</f>
        <v>47321.1594330293</v>
      </c>
      <c r="CI6" s="30" t="n">
        <f aca="false">SUMIF($C$2:$F$2,EOMONTH(CI$2,-1)+1,$C6:$F6)*VLOOKUP(CI$2,Valores!$H$2:$P$154,8,0)</f>
        <v>47321.1594330293</v>
      </c>
      <c r="CJ6" s="30" t="n">
        <f aca="false">SUMIF($C$2:$F$2,EOMONTH(CJ$2,-1)+1,$C6:$F6)*VLOOKUP(CJ$2,Valores!$H$2:$P$154,8,0)</f>
        <v>47321.1594330293</v>
      </c>
      <c r="CK6" s="30" t="n">
        <f aca="false">SUMIF($C$2:$F$2,EOMONTH(CK$2,-1)+1,$C6:$F6)*VLOOKUP(CK$2,Valores!$H$2:$P$154,8,0)</f>
        <v>94642.3188660586</v>
      </c>
      <c r="CL6" s="30" t="n">
        <f aca="false">SUMIF($C$2:$F$2,EOMONTH(CL$2,-1)+1,$C6:$F6)*VLOOKUP(CL$2,Valores!$H$2:$P$154,8,0)</f>
        <v>118302.898582573</v>
      </c>
      <c r="CM6" s="30" t="n">
        <f aca="false">SUMIF($C$2:$F$2,EOMONTH(CM$2,-1)+1,$C6:$F6)*VLOOKUP(CM$2,Valores!$H$2:$P$154,8,0)</f>
        <v>70981.739149544</v>
      </c>
      <c r="CN6" s="30" t="n">
        <f aca="false">SUMIF($C$2:$F$2,EOMONTH(CN$2,-1)+1,$C6:$F6)*VLOOKUP(CN$2,Valores!$H$2:$P$154,8,0)</f>
        <v>52053.2753763322</v>
      </c>
      <c r="CO6" s="30" t="n">
        <f aca="false">SUMIF($C$2:$F$2,EOMONTH(CO$2,-1)+1,$C6:$F6)*VLOOKUP(CO$2,Valores!$H$2:$P$154,8,0)</f>
        <v>52053.2753763322</v>
      </c>
      <c r="CP6" s="30" t="n">
        <f aca="false">SUMIF($C$2:$F$2,EOMONTH(CP$2,-1)+1,$C6:$F6)*VLOOKUP(CP$2,Valores!$H$2:$P$154,8,0)</f>
        <v>52053.2753763322</v>
      </c>
      <c r="CQ6" s="30" t="n">
        <f aca="false">SUMIF($C$2:$F$2,EOMONTH(CQ$2,-1)+1,$C6:$F6)*VLOOKUP(CQ$2,Valores!$H$2:$P$154,8,0)</f>
        <v>52053.2753763322</v>
      </c>
      <c r="CR6" s="30" t="n">
        <f aca="false">SUMIF($C$2:$F$2,EOMONTH(CR$2,-1)+1,$C6:$F6)*VLOOKUP(CR$2,Valores!$H$2:$P$154,8,0)</f>
        <v>104106.550752664</v>
      </c>
      <c r="CS6" s="30" t="n">
        <f aca="false">SUMIF($C$2:$F$2,EOMONTH(CS$2,-1)+1,$C6:$F6)*VLOOKUP(CS$2,Valores!$H$2:$P$154,8,0)</f>
        <v>156159.826128997</v>
      </c>
      <c r="CT6" s="30" t="e">
        <f aca="false">SUMIF($C$2:$F$2,EOMONTH(CT$2,-1)+1,$C6:$F6)*VLOOKUP(CT$2,Valores!$H$2:$P$154,8,0)</f>
        <v>#VALUE!</v>
      </c>
      <c r="CU6" s="30" t="e">
        <f aca="false">SUMIF($C$2:$F$2,EOMONTH(CU$2,-1)+1,$C6:$F6)*VLOOKUP(CU$2,Valores!$H$2:$P$154,8,0)</f>
        <v>#VALUE!</v>
      </c>
      <c r="CV6" s="30" t="e">
        <f aca="false">SUMIF($C$2:$F$2,EOMONTH(CV$2,-1)+1,$C6:$F6)*VLOOKUP(CV$2,Valores!$H$2:$P$154,8,0)</f>
        <v>#VALUE!</v>
      </c>
      <c r="CW6" s="30" t="e">
        <f aca="false">SUMIF($C$2:$F$2,EOMONTH(CW$2,-1)+1,$C6:$F6)*VLOOKUP(CW$2,Valores!$H$2:$P$154,8,0)</f>
        <v>#VALUE!</v>
      </c>
      <c r="CX6" s="30" t="e">
        <f aca="false">SUMIF($C$2:$F$2,EOMONTH(CX$2,-1)+1,$C6:$F6)*VLOOKUP(CX$2,Valores!$H$2:$P$154,8,0)</f>
        <v>#VALUE!</v>
      </c>
      <c r="CY6" s="30" t="e">
        <f aca="false">SUMIF($C$2:$F$2,EOMONTH(CY$2,-1)+1,$C6:$F6)*VLOOKUP(CY$2,Valores!$H$2:$P$154,8,0)</f>
        <v>#VALUE!</v>
      </c>
      <c r="CZ6" s="30" t="e">
        <f aca="false">SUMIF($C$2:$F$2,EOMONTH(CZ$2,-1)+1,$C6:$F6)*VLOOKUP(CZ$2,Valores!$H$2:$P$154,8,0)</f>
        <v>#VALUE!</v>
      </c>
      <c r="DA6" s="30" t="e">
        <f aca="false">SUMIF($C$2:$F$2,EOMONTH(DA$2,-1)+1,$C6:$F6)*VLOOKUP(DA$2,Valores!$H$2:$P$154,8,0)</f>
        <v>#VALUE!</v>
      </c>
      <c r="DB6" s="30" t="e">
        <f aca="false">SUMIF($C$2:$F$2,EOMONTH(DB$2,-1)+1,$C6:$F6)*VLOOKUP(DB$2,Valores!$H$2:$P$154,8,0)</f>
        <v>#VALUE!</v>
      </c>
      <c r="DC6" s="30" t="e">
        <f aca="false">SUMIF($C$2:$F$2,EOMONTH(DC$2,-1)+1,$C6:$F6)*VLOOKUP(DC$2,Valores!$H$2:$P$154,8,0)</f>
        <v>#VALUE!</v>
      </c>
      <c r="DD6" s="30" t="e">
        <f aca="false">SUMIF($C$2:$F$2,EOMONTH(DD$2,-1)+1,$C6:$F6)*VLOOKUP(DD$2,Valores!$H$2:$P$154,8,0)</f>
        <v>#VALUE!</v>
      </c>
      <c r="DE6" s="30" t="e">
        <f aca="false">SUMIF($C$2:$F$2,EOMONTH(DE$2,-1)+1,$C6:$F6)*VLOOKUP(DE$2,Valores!$H$2:$P$154,8,0)</f>
        <v>#VALUE!</v>
      </c>
      <c r="DF6" s="30" t="e">
        <f aca="false">SUMIF($C$2:$F$2,EOMONTH(DF$2,-1)+1,$C6:$F6)*VLOOKUP(DF$2,Valores!$H$2:$P$154,8,0)</f>
        <v>#VALUE!</v>
      </c>
      <c r="DG6" s="30" t="e">
        <f aca="false">SUMIF($C$2:$F$2,EOMONTH(DG$2,-1)+1,$C6:$F6)*VLOOKUP(DG$2,Valores!$H$2:$P$154,8,0)</f>
        <v>#VALUE!</v>
      </c>
      <c r="DH6" s="30" t="e">
        <f aca="false">SUMIF($C$2:$F$2,EOMONTH(DH$2,-1)+1,$C6:$F6)*VLOOKUP(DH$2,Valores!$H$2:$P$154,8,0)</f>
        <v>#VALUE!</v>
      </c>
      <c r="DI6" s="30" t="e">
        <f aca="false">SUMIF($C$2:$F$2,EOMONTH(DI$2,-1)+1,$C6:$F6)*VLOOKUP(DI$2,Valores!$H$2:$P$154,8,0)</f>
        <v>#VALUE!</v>
      </c>
      <c r="DJ6" s="30" t="e">
        <f aca="false">SUMIF($C$2:$F$2,EOMONTH(DJ$2,-1)+1,$C6:$F6)*VLOOKUP(DJ$2,Valores!$H$2:$P$154,8,0)</f>
        <v>#VALUE!</v>
      </c>
      <c r="DK6" s="30" t="e">
        <f aca="false">SUMIF($C$2:$F$2,EOMONTH(DK$2,-1)+1,$C6:$F6)*VLOOKUP(DK$2,Valores!$H$2:$P$154,8,0)</f>
        <v>#VALUE!</v>
      </c>
      <c r="DL6" s="30" t="e">
        <f aca="false">SUMIF($C$2:$F$2,EOMONTH(DL$2,-1)+1,$C6:$F6)*VLOOKUP(DL$2,Valores!$H$2:$P$154,8,0)</f>
        <v>#VALUE!</v>
      </c>
      <c r="DM6" s="30" t="e">
        <f aca="false">SUMIF($C$2:$F$2,EOMONTH(DM$2,-1)+1,$C6:$F6)*VLOOKUP(DM$2,Valores!$H$2:$P$154,8,0)</f>
        <v>#VALUE!</v>
      </c>
      <c r="DN6" s="30" t="e">
        <f aca="false">SUMIF($C$2:$F$2,EOMONTH(DN$2,-1)+1,$C6:$F6)*VLOOKUP(DN$2,Valores!$H$2:$P$154,8,0)</f>
        <v>#VALUE!</v>
      </c>
      <c r="DO6" s="30" t="e">
        <f aca="false">SUMIF($C$2:$F$2,EOMONTH(DO$2,-1)+1,$C6:$F6)*VLOOKUP(DO$2,Valores!$H$2:$P$154,8,0)</f>
        <v>#VALUE!</v>
      </c>
      <c r="DP6" s="30" t="e">
        <f aca="false">SUMIF($C$2:$F$2,EOMONTH(DP$2,-1)+1,$C6:$F6)*VLOOKUP(DP$2,Valores!$H$2:$P$154,8,0)</f>
        <v>#VALUE!</v>
      </c>
      <c r="DQ6" s="30" t="e">
        <f aca="false">SUMIF($C$2:$F$2,EOMONTH(DQ$2,-1)+1,$C6:$F6)*VLOOKUP(DQ$2,Valores!$H$2:$P$154,8,0)</f>
        <v>#VALUE!</v>
      </c>
      <c r="DR6" s="30" t="e">
        <f aca="false">SUMIF($C$2:$F$2,EOMONTH(DR$2,-1)+1,$C6:$F6)*VLOOKUP(DR$2,Valores!$H$2:$P$154,8,0)</f>
        <v>#VALUE!</v>
      </c>
      <c r="DS6" s="30" t="e">
        <f aca="false">SUMIF($C$2:$F$2,EOMONTH(DS$2,-1)+1,$C6:$F6)*VLOOKUP(DS$2,Valores!$H$2:$P$154,8,0)</f>
        <v>#VALUE!</v>
      </c>
      <c r="DT6" s="30" t="e">
        <f aca="false">SUMIF($C$2:$F$2,EOMONTH(DT$2,-1)+1,$C6:$F6)*VLOOKUP(DT$2,Valores!$H$2:$P$154,8,0)</f>
        <v>#VALUE!</v>
      </c>
      <c r="DU6" s="30" t="e">
        <f aca="false">SUMIF($C$2:$F$2,EOMONTH(DU$2,-1)+1,$C6:$F6)*VLOOKUP(DU$2,Valores!$H$2:$P$154,8,0)</f>
        <v>#VALUE!</v>
      </c>
      <c r="DV6" s="30" t="e">
        <f aca="false">SUMIF($C$2:$F$2,EOMONTH(DV$2,-1)+1,$C6:$F6)*VLOOKUP(DV$2,Valores!$H$2:$P$154,8,0)</f>
        <v>#VALUE!</v>
      </c>
      <c r="DW6" s="30" t="e">
        <f aca="false">SUMIF($C$2:$F$2,EOMONTH(DW$2,-1)+1,$C6:$F6)*VLOOKUP(DW$2,Valores!$H$2:$P$154,8,0)</f>
        <v>#VALUE!</v>
      </c>
      <c r="DX6" s="30" t="e">
        <f aca="false">SUMIF($C$2:$F$2,EOMONTH(DX$2,-1)+1,$C6:$F6)*VLOOKUP(DX$2,Valores!$H$2:$P$154,8,0)</f>
        <v>#VALUE!</v>
      </c>
    </row>
    <row r="7" customFormat="false" ht="13.8" hidden="false" customHeight="false" outlineLevel="0" collapsed="false">
      <c r="A7" s="31" t="s">
        <v>23</v>
      </c>
      <c r="B7" s="31" t="s">
        <v>28</v>
      </c>
      <c r="C7" s="31" t="n">
        <v>2250873</v>
      </c>
      <c r="D7" s="31" t="n">
        <v>2025785.7</v>
      </c>
      <c r="E7" s="31" t="n">
        <v>1823207.13</v>
      </c>
      <c r="F7" s="31" t="n">
        <v>1640886.417</v>
      </c>
      <c r="G7" s="27" t="n">
        <f aca="false">SUMIF($C$2:$F$2,EOMONTH(G$2,-1)+1,$C7:$F7)*VLOOKUP(G$2,Valores!$H$2:$P$154,8,0)</f>
        <v>64818.6234984367</v>
      </c>
      <c r="H7" s="27" t="n">
        <f aca="false">SUMIF($C$2:$F$2,EOMONTH(H$2,-1)+1,$C7:$F7)*VLOOKUP(H$2,Valores!$H$2:$P$154,8,0)</f>
        <v>44447.0561132138</v>
      </c>
      <c r="I7" s="27" t="n">
        <f aca="false">SUMIF($C$2:$F$2,EOMONTH(I$2,-1)+1,$C7:$F7)*VLOOKUP(I$2,Valores!$H$2:$P$154,8,0)</f>
        <v>44447.0561132138</v>
      </c>
      <c r="J7" s="27" t="n">
        <f aca="false">SUMIF($C$2:$F$2,EOMONTH(J$2,-1)+1,$C7:$F7)*VLOOKUP(J$2,Valores!$H$2:$P$154,8,0)</f>
        <v>44447.0561132138</v>
      </c>
      <c r="K7" s="27" t="n">
        <f aca="false">SUMIF($C$2:$F$2,EOMONTH(K$2,-1)+1,$C7:$F7)*VLOOKUP(K$2,Valores!$H$2:$P$154,8,0)</f>
        <v>44447.0561132138</v>
      </c>
      <c r="L7" s="27" t="n">
        <f aca="false">SUMIF($C$2:$F$2,EOMONTH(L$2,-1)+1,$C7:$F7)*VLOOKUP(L$2,Valores!$H$2:$P$154,8,0)</f>
        <v>88894.1122264275</v>
      </c>
      <c r="M7" s="27" t="n">
        <f aca="false">SUMIF($C$2:$F$2,EOMONTH(M$2,-1)+1,$C7:$F7)*VLOOKUP(M$2,Valores!$H$2:$P$154,8,0)</f>
        <v>111117.640283034</v>
      </c>
      <c r="N7" s="27" t="n">
        <f aca="false">SUMIF($C$2:$F$2,EOMONTH(N$2,-1)+1,$C7:$F7)*VLOOKUP(N$2,Valores!$H$2:$P$154,8,0)</f>
        <v>66670.5841698206</v>
      </c>
      <c r="O7" s="27" t="n">
        <f aca="false">SUMIF($C$2:$F$2,EOMONTH(O$2,-1)+1,$C7:$F7)*VLOOKUP(O$2,Valores!$H$2:$P$154,8,0)</f>
        <v>59262.741484285</v>
      </c>
      <c r="P7" s="27" t="n">
        <f aca="false">SUMIF($C$2:$F$2,EOMONTH(P$2,-1)+1,$C7:$F7)*VLOOKUP(P$2,Valores!$H$2:$P$154,8,0)</f>
        <v>59262.741484285</v>
      </c>
      <c r="Q7" s="27" t="n">
        <f aca="false">SUMIF($C$2:$F$2,EOMONTH(Q$2,-1)+1,$C7:$F7)*VLOOKUP(Q$2,Valores!$H$2:$P$154,8,0)</f>
        <v>35557.644890571</v>
      </c>
      <c r="R7" s="27" t="n">
        <f aca="false">SUMIF($C$2:$F$2,EOMONTH(R$2,-1)+1,$C7:$F7)*VLOOKUP(R$2,Valores!$H$2:$P$154,8,0)</f>
        <v>59262.741484285</v>
      </c>
      <c r="S7" s="27" t="n">
        <f aca="false">SUMIF($C$2:$F$2,EOMONTH(S$2,-1)+1,$C7:$F7)*VLOOKUP(S$2,Valores!$H$2:$P$154,8,0)</f>
        <v>118525.48296857</v>
      </c>
      <c r="T7" s="27" t="n">
        <f aca="false">SUMIF($C$2:$F$2,EOMONTH(T$2,-1)+1,$C7:$F7)*VLOOKUP(T$2,Valores!$H$2:$P$154,8,0)</f>
        <v>148156.853710712</v>
      </c>
      <c r="U7" s="27" t="n">
        <f aca="false">SUMIF($C$2:$F$2,EOMONTH(U$2,-1)+1,$C7:$F7)*VLOOKUP(U$2,Valores!$H$2:$P$154,8,0)</f>
        <v>88894.1122264275</v>
      </c>
      <c r="V7" s="27" t="n">
        <f aca="false">SUMIF($C$2:$F$2,EOMONTH(V$2,-1)+1,$C7:$F7)*VLOOKUP(V$2,Valores!$H$2:$P$154,8,0)</f>
        <v>74078.4268553563</v>
      </c>
      <c r="W7" s="27" t="n">
        <f aca="false">SUMIF($C$2:$F$2,EOMONTH(W$2,-1)+1,$C7:$F7)*VLOOKUP(W$2,Valores!$H$2:$P$154,8,0)</f>
        <v>74078.4268553563</v>
      </c>
      <c r="X7" s="27" t="n">
        <f aca="false">SUMIF($C$2:$F$2,EOMONTH(X$2,-1)+1,$C7:$F7)*VLOOKUP(X$2,Valores!$H$2:$P$154,8,0)</f>
        <v>0</v>
      </c>
      <c r="Y7" s="27" t="n">
        <f aca="false">SUMIF($C$2:$F$2,EOMONTH(Y$2,-1)+1,$C7:$F7)*VLOOKUP(Y$2,Valores!$H$2:$P$154,8,0)</f>
        <v>0</v>
      </c>
      <c r="Z7" s="27" t="n">
        <f aca="false">SUMIF($C$2:$F$2,EOMONTH(Z$2,-1)+1,$C7:$F7)*VLOOKUP(Z$2,Valores!$H$2:$P$154,8,0)</f>
        <v>111117.640283034</v>
      </c>
      <c r="AA7" s="27" t="n">
        <f aca="false">SUMIF($C$2:$F$2,EOMONTH(AA$2,-1)+1,$C7:$F7)*VLOOKUP(AA$2,Valores!$H$2:$P$154,8,0)</f>
        <v>133341.168339641</v>
      </c>
      <c r="AB7" s="27" t="n">
        <f aca="false">SUMIF($C$2:$F$2,EOMONTH(AB$2,-1)+1,$C7:$F7)*VLOOKUP(AB$2,Valores!$H$2:$P$154,8,0)</f>
        <v>66670.5841698206</v>
      </c>
      <c r="AC7" s="27" t="n">
        <f aca="false">SUMIF($C$2:$F$2,EOMONTH(AC$2,-1)+1,$C7:$F7)*VLOOKUP(AC$2,Valores!$H$2:$P$154,8,0)</f>
        <v>81486.2695408919</v>
      </c>
      <c r="AD7" s="27" t="n">
        <f aca="false">SUMIF($C$2:$F$2,EOMONTH(AD$2,-1)+1,$C7:$F7)*VLOOKUP(AD$2,Valores!$H$2:$P$154,8,0)</f>
        <v>81486.2695408919</v>
      </c>
      <c r="AE7" s="27" t="n">
        <f aca="false">SUMIF($C$2:$F$2,EOMONTH(AE$2,-1)+1,$C7:$F7)*VLOOKUP(AE$2,Valores!$H$2:$P$154,8,0)</f>
        <v>81486.2695408919</v>
      </c>
      <c r="AF7" s="27" t="n">
        <f aca="false">SUMIF($C$2:$F$2,EOMONTH(AF$2,-1)+1,$C7:$F7)*VLOOKUP(AF$2,Valores!$H$2:$P$154,8,0)</f>
        <v>81486.2695408919</v>
      </c>
      <c r="AG7" s="27" t="n">
        <f aca="false">SUMIF($C$2:$F$2,EOMONTH(AG$2,-1)+1,$C7:$F7)*VLOOKUP(AG$2,Valores!$H$2:$P$154,8,0)</f>
        <v>130378.031265427</v>
      </c>
      <c r="AH7" s="27" t="n">
        <f aca="false">SUMIF($C$2:$F$2,EOMONTH(AH$2,-1)+1,$C7:$F7)*VLOOKUP(AH$2,Valores!$H$2:$P$154,8,0)</f>
        <v>162972.539081784</v>
      </c>
      <c r="AI7" s="27" t="n">
        <f aca="false">SUMIF($C$2:$F$2,EOMONTH(AI$2,-1)+1,$C7:$F7)*VLOOKUP(AI$2,Valores!$H$2:$P$154,8,0)</f>
        <v>57040.3886786243</v>
      </c>
      <c r="AJ7" s="27" t="n">
        <f aca="false">SUMIF($C$2:$F$2,EOMONTH(AJ$2,-1)+1,$C7:$F7)*VLOOKUP(AJ$2,Valores!$H$2:$P$154,8,0)</f>
        <v>37039.2134276781</v>
      </c>
      <c r="AK7" s="27" t="n">
        <f aca="false">SUMIF($C$2:$F$2,EOMONTH(AK$2,-1)+1,$C7:$F7)*VLOOKUP(AK$2,Valores!$H$2:$P$154,8,0)</f>
        <v>67543.8800638262</v>
      </c>
      <c r="AL7" s="27" t="n">
        <f aca="false">SUMIF($C$2:$F$2,EOMONTH(AL$2,-1)+1,$C7:$F7)*VLOOKUP(AL$2,Valores!$H$2:$P$154,8,0)</f>
        <v>67543.8800638262</v>
      </c>
      <c r="AM7" s="27" t="n">
        <f aca="false">SUMIF($C$2:$F$2,EOMONTH(AM$2,-1)+1,$C7:$F7)*VLOOKUP(AM$2,Valores!$H$2:$P$154,8,0)</f>
        <v>67543.8800638262</v>
      </c>
      <c r="AN7" s="27" t="n">
        <f aca="false">SUMIF($C$2:$F$2,EOMONTH(AN$2,-1)+1,$C7:$F7)*VLOOKUP(AN$2,Valores!$H$2:$P$154,8,0)</f>
        <v>135087.760127652</v>
      </c>
      <c r="AO7" s="27" t="n">
        <f aca="false">SUMIF($C$2:$F$2,EOMONTH(AO$2,-1)+1,$C7:$F7)*VLOOKUP(AO$2,Valores!$H$2:$P$154,8,0)</f>
        <v>168859.700159566</v>
      </c>
      <c r="AP7" s="27" t="n">
        <f aca="false">SUMIF($C$2:$F$2,EOMONTH(AP$2,-1)+1,$C7:$F7)*VLOOKUP(AP$2,Valores!$H$2:$P$154,8,0)</f>
        <v>101315.820095739</v>
      </c>
      <c r="AQ7" s="27" t="n">
        <f aca="false">SUMIF($C$2:$F$2,EOMONTH(AQ$2,-1)+1,$C7:$F7)*VLOOKUP(AQ$2,Valores!$H$2:$P$154,8,0)</f>
        <v>36184.221462764</v>
      </c>
      <c r="AR7" s="27" t="n">
        <f aca="false">SUMIF($C$2:$F$2,EOMONTH(AR$2,-1)+1,$C7:$F7)*VLOOKUP(AR$2,Valores!$H$2:$P$154,8,0)</f>
        <v>36184.221462764</v>
      </c>
      <c r="AS7" s="27" t="n">
        <f aca="false">SUMIF($C$2:$F$2,EOMONTH(AS$2,-1)+1,$C7:$F7)*VLOOKUP(AS$2,Valores!$H$2:$P$154,8,0)</f>
        <v>36184.221462764</v>
      </c>
      <c r="AT7" s="27" t="n">
        <f aca="false">SUMIF($C$2:$F$2,EOMONTH(AT$2,-1)+1,$C7:$F7)*VLOOKUP(AT$2,Valores!$H$2:$P$154,8,0)</f>
        <v>36184.221462764</v>
      </c>
      <c r="AU7" s="27" t="n">
        <f aca="false">SUMIF($C$2:$F$2,EOMONTH(AU$2,-1)+1,$C7:$F7)*VLOOKUP(AU$2,Valores!$H$2:$P$154,8,0)</f>
        <v>72368.4429255281</v>
      </c>
      <c r="AV7" s="27" t="n">
        <f aca="false">SUMIF($C$2:$F$2,EOMONTH(AV$2,-1)+1,$C7:$F7)*VLOOKUP(AV$2,Valores!$H$2:$P$154,8,0)</f>
        <v>90460.5536569101</v>
      </c>
      <c r="AW7" s="27" t="n">
        <f aca="false">SUMIF($C$2:$F$2,EOMONTH(AW$2,-1)+1,$C7:$F7)*VLOOKUP(AW$2,Valores!$H$2:$P$154,8,0)</f>
        <v>54276.3321941461</v>
      </c>
      <c r="AX7" s="27" t="n">
        <f aca="false">SUMIF($C$2:$F$2,EOMONTH(AX$2,-1)+1,$C7:$F7)*VLOOKUP(AX$2,Valores!$H$2:$P$154,8,0)</f>
        <v>36184.221462764</v>
      </c>
      <c r="AY7" s="27" t="n">
        <f aca="false">SUMIF($C$2:$F$2,EOMONTH(AY$2,-1)+1,$C7:$F7)*VLOOKUP(AY$2,Valores!$H$2:$P$154,8,0)</f>
        <v>47039.4879015933</v>
      </c>
      <c r="AZ7" s="27" t="n">
        <f aca="false">SUMIF($C$2:$F$2,EOMONTH(AZ$2,-1)+1,$C7:$F7)*VLOOKUP(AZ$2,Valores!$H$2:$P$154,8,0)</f>
        <v>47039.4879015933</v>
      </c>
      <c r="BA7" s="27" t="n">
        <f aca="false">SUMIF($C$2:$F$2,EOMONTH(BA$2,-1)+1,$C7:$F7)*VLOOKUP(BA$2,Valores!$H$2:$P$154,8,0)</f>
        <v>47039.4879015933</v>
      </c>
      <c r="BB7" s="27" t="n">
        <f aca="false">SUMIF($C$2:$F$2,EOMONTH(BB$2,-1)+1,$C7:$F7)*VLOOKUP(BB$2,Valores!$H$2:$P$154,8,0)</f>
        <v>83223.7093643573</v>
      </c>
      <c r="BC7" s="27" t="n">
        <f aca="false">SUMIF($C$2:$F$2,EOMONTH(BC$2,-1)+1,$C7:$F7)*VLOOKUP(BC$2,Valores!$H$2:$P$154,8,0)</f>
        <v>101315.820095739</v>
      </c>
      <c r="BD7" s="27" t="n">
        <f aca="false">SUMIF($C$2:$F$2,EOMONTH(BD$2,-1)+1,$C7:$F7)*VLOOKUP(BD$2,Valores!$H$2:$P$154,8,0)</f>
        <v>54276.3321941461</v>
      </c>
      <c r="BE7" s="27" t="n">
        <f aca="false">SUMIF($C$2:$F$2,EOMONTH(BE$2,-1)+1,$C7:$F7)*VLOOKUP(BE$2,Valores!$H$2:$P$154,8,0)</f>
        <v>48245.6286170187</v>
      </c>
      <c r="BF7" s="27" t="n">
        <f aca="false">SUMIF($C$2:$F$2,EOMONTH(BF$2,-1)+1,$C7:$F7)*VLOOKUP(BF$2,Valores!$H$2:$P$154,8,0)</f>
        <v>48245.6286170187</v>
      </c>
      <c r="BG7" s="27" t="n">
        <f aca="false">SUMIF($C$2:$F$2,EOMONTH(BG$2,-1)+1,$C7:$F7)*VLOOKUP(BG$2,Valores!$H$2:$P$154,8,0)</f>
        <v>48245.6286170187</v>
      </c>
      <c r="BH7" s="27" t="n">
        <f aca="false">SUMIF($C$2:$F$2,EOMONTH(BH$2,-1)+1,$C7:$F7)*VLOOKUP(BH$2,Valores!$H$2:$P$154,8,0)</f>
        <v>48245.6286170187</v>
      </c>
      <c r="BI7" s="27" t="n">
        <f aca="false">SUMIF($C$2:$F$2,EOMONTH(BI$2,-1)+1,$C7:$F7)*VLOOKUP(BI$2,Valores!$H$2:$P$154,8,0)</f>
        <v>96491.2572340375</v>
      </c>
      <c r="BJ7" s="27" t="n">
        <f aca="false">SUMIF($C$2:$F$2,EOMONTH(BJ$2,-1)+1,$C7:$F7)*VLOOKUP(BJ$2,Valores!$H$2:$P$154,8,0)</f>
        <v>120614.071542547</v>
      </c>
      <c r="BK7" s="27" t="n">
        <f aca="false">SUMIF($C$2:$F$2,EOMONTH(BK$2,-1)+1,$C7:$F7)*VLOOKUP(BK$2,Valores!$H$2:$P$154,8,0)</f>
        <v>57894.7543404225</v>
      </c>
      <c r="BL7" s="27" t="n">
        <f aca="false">SUMIF($C$2:$F$2,EOMONTH(BL$2,-1)+1,$C7:$F7)*VLOOKUP(BL$2,Valores!$H$2:$P$154,8,0)</f>
        <v>42456.1531829765</v>
      </c>
      <c r="BM7" s="27" t="n">
        <f aca="false">SUMIF($C$2:$F$2,EOMONTH(BM$2,-1)+1,$C7:$F7)*VLOOKUP(BM$2,Valores!$H$2:$P$154,8,0)</f>
        <v>42456.1531829765</v>
      </c>
      <c r="BN7" s="27" t="n">
        <f aca="false">SUMIF($C$2:$F$2,EOMONTH(BN$2,-1)+1,$C7:$F7)*VLOOKUP(BN$2,Valores!$H$2:$P$154,8,0)</f>
        <v>42456.1531829765</v>
      </c>
      <c r="BO7" s="27" t="n">
        <f aca="false">SUMIF($C$2:$F$2,EOMONTH(BO$2,-1)+1,$C7:$F7)*VLOOKUP(BO$2,Valores!$H$2:$P$154,8,0)</f>
        <v>44578.9608421253</v>
      </c>
      <c r="BP7" s="27" t="n">
        <f aca="false">SUMIF($C$2:$F$2,EOMONTH(BP$2,-1)+1,$C7:$F7)*VLOOKUP(BP$2,Valores!$H$2:$P$154,8,0)</f>
        <v>112185.033820459</v>
      </c>
      <c r="BQ7" s="27" t="n">
        <f aca="false">SUMIF($C$2:$F$2,EOMONTH(BQ$2,-1)+1,$C7:$F7)*VLOOKUP(BQ$2,Valores!$H$2:$P$154,8,0)</f>
        <v>140231.292275574</v>
      </c>
      <c r="BR7" s="27" t="n">
        <f aca="false">SUMIF($C$2:$F$2,EOMONTH(BR$2,-1)+1,$C7:$F7)*VLOOKUP(BR$2,Valores!$H$2:$P$154,8,0)</f>
        <v>67311.0202922755</v>
      </c>
      <c r="BS7" s="27" t="n">
        <f aca="false">SUMIF($C$2:$F$2,EOMONTH(BS$2,-1)+1,$C7:$F7)*VLOOKUP(BS$2,Valores!$H$2:$P$154,8,0)</f>
        <v>30049.5626304802</v>
      </c>
      <c r="BT7" s="27" t="n">
        <f aca="false">SUMIF($C$2:$F$2,EOMONTH(BT$2,-1)+1,$C7:$F7)*VLOOKUP(BT$2,Valores!$H$2:$P$154,8,0)</f>
        <v>30049.5626304802</v>
      </c>
      <c r="BU7" s="27" t="n">
        <f aca="false">SUMIF($C$2:$F$2,EOMONTH(BU$2,-1)+1,$C7:$F7)*VLOOKUP(BU$2,Valores!$H$2:$P$154,8,0)</f>
        <v>30049.5626304802</v>
      </c>
      <c r="BV7" s="27" t="n">
        <f aca="false">SUMIF($C$2:$F$2,EOMONTH(BV$2,-1)+1,$C7:$F7)*VLOOKUP(BV$2,Valores!$H$2:$P$154,8,0)</f>
        <v>30049.5626304802</v>
      </c>
      <c r="BW7" s="27" t="n">
        <f aca="false">SUMIF($C$2:$F$2,EOMONTH(BW$2,-1)+1,$C7:$F7)*VLOOKUP(BW$2,Valores!$H$2:$P$154,8,0)</f>
        <v>60099.1252609603</v>
      </c>
      <c r="BX7" s="27" t="n">
        <f aca="false">SUMIF($C$2:$F$2,EOMONTH(BX$2,-1)+1,$C7:$F7)*VLOOKUP(BX$2,Valores!$H$2:$P$154,8,0)</f>
        <v>75123.9065762004</v>
      </c>
      <c r="BY7" s="27" t="n">
        <f aca="false">SUMIF($C$2:$F$2,EOMONTH(BY$2,-1)+1,$C7:$F7)*VLOOKUP(BY$2,Valores!$H$2:$P$154,8,0)</f>
        <v>45074.3439457202</v>
      </c>
      <c r="BZ7" s="27" t="n">
        <f aca="false">SUMIF($C$2:$F$2,EOMONTH(BZ$2,-1)+1,$C7:$F7)*VLOOKUP(BZ$2,Valores!$H$2:$P$154,8,0)</f>
        <v>30049.5626304802</v>
      </c>
      <c r="CA7" s="27" t="n">
        <f aca="false">SUMIF($C$2:$F$2,EOMONTH(CA$2,-1)+1,$C7:$F7)*VLOOKUP(CA$2,Valores!$H$2:$P$154,8,0)</f>
        <v>30049.5626304802</v>
      </c>
      <c r="CB7" s="27" t="n">
        <f aca="false">SUMIF($C$2:$F$2,EOMONTH(CB$2,-1)+1,$C7:$F7)*VLOOKUP(CB$2,Valores!$H$2:$P$154,8,0)</f>
        <v>30049.5626304802</v>
      </c>
      <c r="CC7" s="27" t="n">
        <f aca="false">SUMIF($C$2:$F$2,EOMONTH(CC$2,-1)+1,$C7:$F7)*VLOOKUP(CC$2,Valores!$H$2:$P$154,8,0)</f>
        <v>30049.5626304802</v>
      </c>
      <c r="CD7" s="27" t="n">
        <f aca="false">SUMIF($C$2:$F$2,EOMONTH(CD$2,-1)+1,$C7:$F7)*VLOOKUP(CD$2,Valores!$H$2:$P$154,8,0)</f>
        <v>90148.6878914405</v>
      </c>
      <c r="CE7" s="27" t="n">
        <f aca="false">SUMIF($C$2:$F$2,EOMONTH(CE$2,-1)+1,$C7:$F7)*VLOOKUP(CE$2,Valores!$H$2:$P$154,8,0)</f>
        <v>120198.250521921</v>
      </c>
      <c r="CF7" s="27" t="n">
        <f aca="false">SUMIF($C$2:$F$2,EOMONTH(CF$2,-1)+1,$C7:$F7)*VLOOKUP(CF$2,Valores!$H$2:$P$154,8,0)</f>
        <v>75123.9065762004</v>
      </c>
      <c r="CG7" s="27" t="n">
        <f aca="false">SUMIF($C$2:$F$2,EOMONTH(CG$2,-1)+1,$C7:$F7)*VLOOKUP(CG$2,Valores!$H$2:$P$154,8,0)</f>
        <v>40066.0835073069</v>
      </c>
      <c r="CH7" s="27" t="n">
        <f aca="false">SUMIF($C$2:$F$2,EOMONTH(CH$2,-1)+1,$C7:$F7)*VLOOKUP(CH$2,Valores!$H$2:$P$154,8,0)</f>
        <v>40066.0835073069</v>
      </c>
      <c r="CI7" s="27" t="n">
        <f aca="false">SUMIF($C$2:$F$2,EOMONTH(CI$2,-1)+1,$C7:$F7)*VLOOKUP(CI$2,Valores!$H$2:$P$154,8,0)</f>
        <v>40066.0835073069</v>
      </c>
      <c r="CJ7" s="27" t="n">
        <f aca="false">SUMIF($C$2:$F$2,EOMONTH(CJ$2,-1)+1,$C7:$F7)*VLOOKUP(CJ$2,Valores!$H$2:$P$154,8,0)</f>
        <v>40066.0835073069</v>
      </c>
      <c r="CK7" s="27" t="n">
        <f aca="false">SUMIF($C$2:$F$2,EOMONTH(CK$2,-1)+1,$C7:$F7)*VLOOKUP(CK$2,Valores!$H$2:$P$154,8,0)</f>
        <v>80132.1670146137</v>
      </c>
      <c r="CL7" s="27" t="n">
        <f aca="false">SUMIF($C$2:$F$2,EOMONTH(CL$2,-1)+1,$C7:$F7)*VLOOKUP(CL$2,Valores!$H$2:$P$154,8,0)</f>
        <v>100165.208768267</v>
      </c>
      <c r="CM7" s="27" t="n">
        <f aca="false">SUMIF($C$2:$F$2,EOMONTH(CM$2,-1)+1,$C7:$F7)*VLOOKUP(CM$2,Valores!$H$2:$P$154,8,0)</f>
        <v>60099.1252609603</v>
      </c>
      <c r="CN7" s="27" t="n">
        <f aca="false">SUMIF($C$2:$F$2,EOMONTH(CN$2,-1)+1,$C7:$F7)*VLOOKUP(CN$2,Valores!$H$2:$P$154,8,0)</f>
        <v>44072.6918580376</v>
      </c>
      <c r="CO7" s="27" t="n">
        <f aca="false">SUMIF($C$2:$F$2,EOMONTH(CO$2,-1)+1,$C7:$F7)*VLOOKUP(CO$2,Valores!$H$2:$P$154,8,0)</f>
        <v>44072.6918580376</v>
      </c>
      <c r="CP7" s="27" t="n">
        <f aca="false">SUMIF($C$2:$F$2,EOMONTH(CP$2,-1)+1,$C7:$F7)*VLOOKUP(CP$2,Valores!$H$2:$P$154,8,0)</f>
        <v>44072.6918580376</v>
      </c>
      <c r="CQ7" s="27" t="n">
        <f aca="false">SUMIF($C$2:$F$2,EOMONTH(CQ$2,-1)+1,$C7:$F7)*VLOOKUP(CQ$2,Valores!$H$2:$P$154,8,0)</f>
        <v>44072.6918580376</v>
      </c>
      <c r="CR7" s="27" t="n">
        <f aca="false">SUMIF($C$2:$F$2,EOMONTH(CR$2,-1)+1,$C7:$F7)*VLOOKUP(CR$2,Valores!$H$2:$P$154,8,0)</f>
        <v>88145.3837160751</v>
      </c>
      <c r="CS7" s="27" t="n">
        <f aca="false">SUMIF($C$2:$F$2,EOMONTH(CS$2,-1)+1,$C7:$F7)*VLOOKUP(CS$2,Valores!$H$2:$P$154,8,0)</f>
        <v>132218.075574113</v>
      </c>
      <c r="CT7" s="27" t="e">
        <f aca="false">SUMIF($C$2:$F$2,EOMONTH(CT$2,-1)+1,$C7:$F7)*VLOOKUP(CT$2,Valores!$H$2:$P$154,8,0)</f>
        <v>#VALUE!</v>
      </c>
      <c r="CU7" s="27" t="e">
        <f aca="false">SUMIF($C$2:$F$2,EOMONTH(CU$2,-1)+1,$C7:$F7)*VLOOKUP(CU$2,Valores!$H$2:$P$154,8,0)</f>
        <v>#VALUE!</v>
      </c>
      <c r="CV7" s="27" t="e">
        <f aca="false">SUMIF($C$2:$F$2,EOMONTH(CV$2,-1)+1,$C7:$F7)*VLOOKUP(CV$2,Valores!$H$2:$P$154,8,0)</f>
        <v>#VALUE!</v>
      </c>
      <c r="CW7" s="27" t="e">
        <f aca="false">SUMIF($C$2:$F$2,EOMONTH(CW$2,-1)+1,$C7:$F7)*VLOOKUP(CW$2,Valores!$H$2:$P$154,8,0)</f>
        <v>#VALUE!</v>
      </c>
      <c r="CX7" s="27" t="e">
        <f aca="false">SUMIF($C$2:$F$2,EOMONTH(CX$2,-1)+1,$C7:$F7)*VLOOKUP(CX$2,Valores!$H$2:$P$154,8,0)</f>
        <v>#VALUE!</v>
      </c>
      <c r="CY7" s="27" t="e">
        <f aca="false">SUMIF($C$2:$F$2,EOMONTH(CY$2,-1)+1,$C7:$F7)*VLOOKUP(CY$2,Valores!$H$2:$P$154,8,0)</f>
        <v>#VALUE!</v>
      </c>
      <c r="CZ7" s="27" t="e">
        <f aca="false">SUMIF($C$2:$F$2,EOMONTH(CZ$2,-1)+1,$C7:$F7)*VLOOKUP(CZ$2,Valores!$H$2:$P$154,8,0)</f>
        <v>#VALUE!</v>
      </c>
      <c r="DA7" s="27" t="e">
        <f aca="false">SUMIF($C$2:$F$2,EOMONTH(DA$2,-1)+1,$C7:$F7)*VLOOKUP(DA$2,Valores!$H$2:$P$154,8,0)</f>
        <v>#VALUE!</v>
      </c>
      <c r="DB7" s="27" t="e">
        <f aca="false">SUMIF($C$2:$F$2,EOMONTH(DB$2,-1)+1,$C7:$F7)*VLOOKUP(DB$2,Valores!$H$2:$P$154,8,0)</f>
        <v>#VALUE!</v>
      </c>
      <c r="DC7" s="27" t="e">
        <f aca="false">SUMIF($C$2:$F$2,EOMONTH(DC$2,-1)+1,$C7:$F7)*VLOOKUP(DC$2,Valores!$H$2:$P$154,8,0)</f>
        <v>#VALUE!</v>
      </c>
      <c r="DD7" s="27" t="e">
        <f aca="false">SUMIF($C$2:$F$2,EOMONTH(DD$2,-1)+1,$C7:$F7)*VLOOKUP(DD$2,Valores!$H$2:$P$154,8,0)</f>
        <v>#VALUE!</v>
      </c>
      <c r="DE7" s="27" t="e">
        <f aca="false">SUMIF($C$2:$F$2,EOMONTH(DE$2,-1)+1,$C7:$F7)*VLOOKUP(DE$2,Valores!$H$2:$P$154,8,0)</f>
        <v>#VALUE!</v>
      </c>
      <c r="DF7" s="27" t="e">
        <f aca="false">SUMIF($C$2:$F$2,EOMONTH(DF$2,-1)+1,$C7:$F7)*VLOOKUP(DF$2,Valores!$H$2:$P$154,8,0)</f>
        <v>#VALUE!</v>
      </c>
      <c r="DG7" s="27" t="e">
        <f aca="false">SUMIF($C$2:$F$2,EOMONTH(DG$2,-1)+1,$C7:$F7)*VLOOKUP(DG$2,Valores!$H$2:$P$154,8,0)</f>
        <v>#VALUE!</v>
      </c>
      <c r="DH7" s="27" t="e">
        <f aca="false">SUMIF($C$2:$F$2,EOMONTH(DH$2,-1)+1,$C7:$F7)*VLOOKUP(DH$2,Valores!$H$2:$P$154,8,0)</f>
        <v>#VALUE!</v>
      </c>
      <c r="DI7" s="27" t="e">
        <f aca="false">SUMIF($C$2:$F$2,EOMONTH(DI$2,-1)+1,$C7:$F7)*VLOOKUP(DI$2,Valores!$H$2:$P$154,8,0)</f>
        <v>#VALUE!</v>
      </c>
      <c r="DJ7" s="27" t="e">
        <f aca="false">SUMIF($C$2:$F$2,EOMONTH(DJ$2,-1)+1,$C7:$F7)*VLOOKUP(DJ$2,Valores!$H$2:$P$154,8,0)</f>
        <v>#VALUE!</v>
      </c>
      <c r="DK7" s="27" t="e">
        <f aca="false">SUMIF($C$2:$F$2,EOMONTH(DK$2,-1)+1,$C7:$F7)*VLOOKUP(DK$2,Valores!$H$2:$P$154,8,0)</f>
        <v>#VALUE!</v>
      </c>
      <c r="DL7" s="27" t="e">
        <f aca="false">SUMIF($C$2:$F$2,EOMONTH(DL$2,-1)+1,$C7:$F7)*VLOOKUP(DL$2,Valores!$H$2:$P$154,8,0)</f>
        <v>#VALUE!</v>
      </c>
      <c r="DM7" s="27" t="e">
        <f aca="false">SUMIF($C$2:$F$2,EOMONTH(DM$2,-1)+1,$C7:$F7)*VLOOKUP(DM$2,Valores!$H$2:$P$154,8,0)</f>
        <v>#VALUE!</v>
      </c>
      <c r="DN7" s="27" t="e">
        <f aca="false">SUMIF($C$2:$F$2,EOMONTH(DN$2,-1)+1,$C7:$F7)*VLOOKUP(DN$2,Valores!$H$2:$P$154,8,0)</f>
        <v>#VALUE!</v>
      </c>
      <c r="DO7" s="27" t="e">
        <f aca="false">SUMIF($C$2:$F$2,EOMONTH(DO$2,-1)+1,$C7:$F7)*VLOOKUP(DO$2,Valores!$H$2:$P$154,8,0)</f>
        <v>#VALUE!</v>
      </c>
      <c r="DP7" s="27" t="e">
        <f aca="false">SUMIF($C$2:$F$2,EOMONTH(DP$2,-1)+1,$C7:$F7)*VLOOKUP(DP$2,Valores!$H$2:$P$154,8,0)</f>
        <v>#VALUE!</v>
      </c>
      <c r="DQ7" s="27" t="e">
        <f aca="false">SUMIF($C$2:$F$2,EOMONTH(DQ$2,-1)+1,$C7:$F7)*VLOOKUP(DQ$2,Valores!$H$2:$P$154,8,0)</f>
        <v>#VALUE!</v>
      </c>
      <c r="DR7" s="27" t="e">
        <f aca="false">SUMIF($C$2:$F$2,EOMONTH(DR$2,-1)+1,$C7:$F7)*VLOOKUP(DR$2,Valores!$H$2:$P$154,8,0)</f>
        <v>#VALUE!</v>
      </c>
      <c r="DS7" s="27" t="e">
        <f aca="false">SUMIF($C$2:$F$2,EOMONTH(DS$2,-1)+1,$C7:$F7)*VLOOKUP(DS$2,Valores!$H$2:$P$154,8,0)</f>
        <v>#VALUE!</v>
      </c>
      <c r="DT7" s="27" t="e">
        <f aca="false">SUMIF($C$2:$F$2,EOMONTH(DT$2,-1)+1,$C7:$F7)*VLOOKUP(DT$2,Valores!$H$2:$P$154,8,0)</f>
        <v>#VALUE!</v>
      </c>
      <c r="DU7" s="27" t="e">
        <f aca="false">SUMIF($C$2:$F$2,EOMONTH(DU$2,-1)+1,$C7:$F7)*VLOOKUP(DU$2,Valores!$H$2:$P$154,8,0)</f>
        <v>#VALUE!</v>
      </c>
      <c r="DV7" s="27" t="e">
        <f aca="false">SUMIF($C$2:$F$2,EOMONTH(DV$2,-1)+1,$C7:$F7)*VLOOKUP(DV$2,Valores!$H$2:$P$154,8,0)</f>
        <v>#VALUE!</v>
      </c>
      <c r="DW7" s="27" t="e">
        <f aca="false">SUMIF($C$2:$F$2,EOMONTH(DW$2,-1)+1,$C7:$F7)*VLOOKUP(DW$2,Valores!$H$2:$P$154,8,0)</f>
        <v>#VALUE!</v>
      </c>
      <c r="DX7" s="27" t="e">
        <f aca="false">SUMIF($C$2:$F$2,EOMONTH(DX$2,-1)+1,$C7:$F7)*VLOOKUP(DX$2,Valores!$H$2:$P$154,8,0)</f>
        <v>#VALUE!</v>
      </c>
    </row>
    <row r="8" customFormat="false" ht="13.8" hidden="false" customHeight="false" outlineLevel="0" collapsed="false">
      <c r="A8" s="29" t="s">
        <v>23</v>
      </c>
      <c r="B8" s="29" t="s">
        <v>29</v>
      </c>
      <c r="C8" s="29" t="n">
        <v>2164213</v>
      </c>
      <c r="D8" s="29" t="n">
        <v>1947791.7</v>
      </c>
      <c r="E8" s="29" t="n">
        <v>1753012.53</v>
      </c>
      <c r="F8" s="29" t="n">
        <v>1577711.277</v>
      </c>
      <c r="G8" s="30" t="n">
        <f aca="false">SUMIF($C$2:$F$2,EOMONTH(G$2,-1)+1,$C8:$F8)*VLOOKUP(G$2,Valores!$H$2:$P$154,8,0)</f>
        <v>62323.0664801711</v>
      </c>
      <c r="H8" s="30" t="n">
        <f aca="false">SUMIF($C$2:$F$2,EOMONTH(H$2,-1)+1,$C8:$F8)*VLOOKUP(H$2,Valores!$H$2:$P$154,8,0)</f>
        <v>42735.8170149745</v>
      </c>
      <c r="I8" s="30" t="n">
        <f aca="false">SUMIF($C$2:$F$2,EOMONTH(I$2,-1)+1,$C8:$F8)*VLOOKUP(I$2,Valores!$H$2:$P$154,8,0)</f>
        <v>42735.8170149745</v>
      </c>
      <c r="J8" s="30" t="n">
        <f aca="false">SUMIF($C$2:$F$2,EOMONTH(J$2,-1)+1,$C8:$F8)*VLOOKUP(J$2,Valores!$H$2:$P$154,8,0)</f>
        <v>42735.8170149745</v>
      </c>
      <c r="K8" s="30" t="n">
        <f aca="false">SUMIF($C$2:$F$2,EOMONTH(K$2,-1)+1,$C8:$F8)*VLOOKUP(K$2,Valores!$H$2:$P$154,8,0)</f>
        <v>42735.8170149745</v>
      </c>
      <c r="L8" s="30" t="n">
        <f aca="false">SUMIF($C$2:$F$2,EOMONTH(L$2,-1)+1,$C8:$F8)*VLOOKUP(L$2,Valores!$H$2:$P$154,8,0)</f>
        <v>85471.634029949</v>
      </c>
      <c r="M8" s="30" t="n">
        <f aca="false">SUMIF($C$2:$F$2,EOMONTH(M$2,-1)+1,$C8:$F8)*VLOOKUP(M$2,Valores!$H$2:$P$154,8,0)</f>
        <v>106839.542537436</v>
      </c>
      <c r="N8" s="30" t="n">
        <f aca="false">SUMIF($C$2:$F$2,EOMONTH(N$2,-1)+1,$C8:$F8)*VLOOKUP(N$2,Valores!$H$2:$P$154,8,0)</f>
        <v>64103.7255224617</v>
      </c>
      <c r="O8" s="30" t="n">
        <f aca="false">SUMIF($C$2:$F$2,EOMONTH(O$2,-1)+1,$C8:$F8)*VLOOKUP(O$2,Valores!$H$2:$P$154,8,0)</f>
        <v>56981.0893532993</v>
      </c>
      <c r="P8" s="30" t="n">
        <f aca="false">SUMIF($C$2:$F$2,EOMONTH(P$2,-1)+1,$C8:$F8)*VLOOKUP(P$2,Valores!$H$2:$P$154,8,0)</f>
        <v>56981.0893532993</v>
      </c>
      <c r="Q8" s="30" t="n">
        <f aca="false">SUMIF($C$2:$F$2,EOMONTH(Q$2,-1)+1,$C8:$F8)*VLOOKUP(Q$2,Valores!$H$2:$P$154,8,0)</f>
        <v>34188.6536119796</v>
      </c>
      <c r="R8" s="30" t="n">
        <f aca="false">SUMIF($C$2:$F$2,EOMONTH(R$2,-1)+1,$C8:$F8)*VLOOKUP(R$2,Valores!$H$2:$P$154,8,0)</f>
        <v>56981.0893532993</v>
      </c>
      <c r="S8" s="30" t="n">
        <f aca="false">SUMIF($C$2:$F$2,EOMONTH(S$2,-1)+1,$C8:$F8)*VLOOKUP(S$2,Valores!$H$2:$P$154,8,0)</f>
        <v>113962.178706599</v>
      </c>
      <c r="T8" s="30" t="n">
        <f aca="false">SUMIF($C$2:$F$2,EOMONTH(T$2,-1)+1,$C8:$F8)*VLOOKUP(T$2,Valores!$H$2:$P$154,8,0)</f>
        <v>142452.723383248</v>
      </c>
      <c r="U8" s="30" t="n">
        <f aca="false">SUMIF($C$2:$F$2,EOMONTH(U$2,-1)+1,$C8:$F8)*VLOOKUP(U$2,Valores!$H$2:$P$154,8,0)</f>
        <v>85471.634029949</v>
      </c>
      <c r="V8" s="30" t="n">
        <f aca="false">SUMIF($C$2:$F$2,EOMONTH(V$2,-1)+1,$C8:$F8)*VLOOKUP(V$2,Valores!$H$2:$P$154,8,0)</f>
        <v>71226.3616916242</v>
      </c>
      <c r="W8" s="30" t="n">
        <f aca="false">SUMIF($C$2:$F$2,EOMONTH(W$2,-1)+1,$C8:$F8)*VLOOKUP(W$2,Valores!$H$2:$P$154,8,0)</f>
        <v>71226.3616916242</v>
      </c>
      <c r="X8" s="30" t="n">
        <f aca="false">SUMIF($C$2:$F$2,EOMONTH(X$2,-1)+1,$C8:$F8)*VLOOKUP(X$2,Valores!$H$2:$P$154,8,0)</f>
        <v>0</v>
      </c>
      <c r="Y8" s="30" t="n">
        <f aca="false">SUMIF($C$2:$F$2,EOMONTH(Y$2,-1)+1,$C8:$F8)*VLOOKUP(Y$2,Valores!$H$2:$P$154,8,0)</f>
        <v>0</v>
      </c>
      <c r="Z8" s="30" t="n">
        <f aca="false">SUMIF($C$2:$F$2,EOMONTH(Z$2,-1)+1,$C8:$F8)*VLOOKUP(Z$2,Valores!$H$2:$P$154,8,0)</f>
        <v>106839.542537436</v>
      </c>
      <c r="AA8" s="30" t="n">
        <f aca="false">SUMIF($C$2:$F$2,EOMONTH(AA$2,-1)+1,$C8:$F8)*VLOOKUP(AA$2,Valores!$H$2:$P$154,8,0)</f>
        <v>128207.451044923</v>
      </c>
      <c r="AB8" s="30" t="n">
        <f aca="false">SUMIF($C$2:$F$2,EOMONTH(AB$2,-1)+1,$C8:$F8)*VLOOKUP(AB$2,Valores!$H$2:$P$154,8,0)</f>
        <v>64103.7255224617</v>
      </c>
      <c r="AC8" s="30" t="n">
        <f aca="false">SUMIF($C$2:$F$2,EOMONTH(AC$2,-1)+1,$C8:$F8)*VLOOKUP(AC$2,Valores!$H$2:$P$154,8,0)</f>
        <v>78348.9978607866</v>
      </c>
      <c r="AD8" s="30" t="n">
        <f aca="false">SUMIF($C$2:$F$2,EOMONTH(AD$2,-1)+1,$C8:$F8)*VLOOKUP(AD$2,Valores!$H$2:$P$154,8,0)</f>
        <v>78348.9978607866</v>
      </c>
      <c r="AE8" s="30" t="n">
        <f aca="false">SUMIF($C$2:$F$2,EOMONTH(AE$2,-1)+1,$C8:$F8)*VLOOKUP(AE$2,Valores!$H$2:$P$154,8,0)</f>
        <v>78348.9978607866</v>
      </c>
      <c r="AF8" s="30" t="n">
        <f aca="false">SUMIF($C$2:$F$2,EOMONTH(AF$2,-1)+1,$C8:$F8)*VLOOKUP(AF$2,Valores!$H$2:$P$154,8,0)</f>
        <v>78348.9978607866</v>
      </c>
      <c r="AG8" s="30" t="n">
        <f aca="false">SUMIF($C$2:$F$2,EOMONTH(AG$2,-1)+1,$C8:$F8)*VLOOKUP(AG$2,Valores!$H$2:$P$154,8,0)</f>
        <v>125358.396577259</v>
      </c>
      <c r="AH8" s="30" t="n">
        <f aca="false">SUMIF($C$2:$F$2,EOMONTH(AH$2,-1)+1,$C8:$F8)*VLOOKUP(AH$2,Valores!$H$2:$P$154,8,0)</f>
        <v>156697.995721573</v>
      </c>
      <c r="AI8" s="30" t="n">
        <f aca="false">SUMIF($C$2:$F$2,EOMONTH(AI$2,-1)+1,$C8:$F8)*VLOOKUP(AI$2,Valores!$H$2:$P$154,8,0)</f>
        <v>54844.2985025506</v>
      </c>
      <c r="AJ8" s="30" t="n">
        <f aca="false">SUMIF($C$2:$F$2,EOMONTH(AJ$2,-1)+1,$C8:$F8)*VLOOKUP(AJ$2,Valores!$H$2:$P$154,8,0)</f>
        <v>35613.1808458121</v>
      </c>
      <c r="AK8" s="30" t="n">
        <f aca="false">SUMIF($C$2:$F$2,EOMONTH(AK$2,-1)+1,$C8:$F8)*VLOOKUP(AK$2,Valores!$H$2:$P$154,8,0)</f>
        <v>64943.3989854486</v>
      </c>
      <c r="AL8" s="30" t="n">
        <f aca="false">SUMIF($C$2:$F$2,EOMONTH(AL$2,-1)+1,$C8:$F8)*VLOOKUP(AL$2,Valores!$H$2:$P$154,8,0)</f>
        <v>64943.3989854486</v>
      </c>
      <c r="AM8" s="30" t="n">
        <f aca="false">SUMIF($C$2:$F$2,EOMONTH(AM$2,-1)+1,$C8:$F8)*VLOOKUP(AM$2,Valores!$H$2:$P$154,8,0)</f>
        <v>64943.3989854486</v>
      </c>
      <c r="AN8" s="30" t="n">
        <f aca="false">SUMIF($C$2:$F$2,EOMONTH(AN$2,-1)+1,$C8:$F8)*VLOOKUP(AN$2,Valores!$H$2:$P$154,8,0)</f>
        <v>129886.797970897</v>
      </c>
      <c r="AO8" s="30" t="n">
        <f aca="false">SUMIF($C$2:$F$2,EOMONTH(AO$2,-1)+1,$C8:$F8)*VLOOKUP(AO$2,Valores!$H$2:$P$154,8,0)</f>
        <v>162358.497463621</v>
      </c>
      <c r="AP8" s="30" t="n">
        <f aca="false">SUMIF($C$2:$F$2,EOMONTH(AP$2,-1)+1,$C8:$F8)*VLOOKUP(AP$2,Valores!$H$2:$P$154,8,0)</f>
        <v>97415.0984781728</v>
      </c>
      <c r="AQ8" s="30" t="n">
        <f aca="false">SUMIF($C$2:$F$2,EOMONTH(AQ$2,-1)+1,$C8:$F8)*VLOOKUP(AQ$2,Valores!$H$2:$P$154,8,0)</f>
        <v>34791.1065993474</v>
      </c>
      <c r="AR8" s="30" t="n">
        <f aca="false">SUMIF($C$2:$F$2,EOMONTH(AR$2,-1)+1,$C8:$F8)*VLOOKUP(AR$2,Valores!$H$2:$P$154,8,0)</f>
        <v>34791.1065993474</v>
      </c>
      <c r="AS8" s="30" t="n">
        <f aca="false">SUMIF($C$2:$F$2,EOMONTH(AS$2,-1)+1,$C8:$F8)*VLOOKUP(AS$2,Valores!$H$2:$P$154,8,0)</f>
        <v>34791.1065993474</v>
      </c>
      <c r="AT8" s="30" t="n">
        <f aca="false">SUMIF($C$2:$F$2,EOMONTH(AT$2,-1)+1,$C8:$F8)*VLOOKUP(AT$2,Valores!$H$2:$P$154,8,0)</f>
        <v>34791.1065993474</v>
      </c>
      <c r="AU8" s="30" t="n">
        <f aca="false">SUMIF($C$2:$F$2,EOMONTH(AU$2,-1)+1,$C8:$F8)*VLOOKUP(AU$2,Valores!$H$2:$P$154,8,0)</f>
        <v>69582.2131986949</v>
      </c>
      <c r="AV8" s="30" t="n">
        <f aca="false">SUMIF($C$2:$F$2,EOMONTH(AV$2,-1)+1,$C8:$F8)*VLOOKUP(AV$2,Valores!$H$2:$P$154,8,0)</f>
        <v>86977.7664983686</v>
      </c>
      <c r="AW8" s="30" t="n">
        <f aca="false">SUMIF($C$2:$F$2,EOMONTH(AW$2,-1)+1,$C8:$F8)*VLOOKUP(AW$2,Valores!$H$2:$P$154,8,0)</f>
        <v>52186.6598990212</v>
      </c>
      <c r="AX8" s="30" t="n">
        <f aca="false">SUMIF($C$2:$F$2,EOMONTH(AX$2,-1)+1,$C8:$F8)*VLOOKUP(AX$2,Valores!$H$2:$P$154,8,0)</f>
        <v>34791.1065993474</v>
      </c>
      <c r="AY8" s="30" t="n">
        <f aca="false">SUMIF($C$2:$F$2,EOMONTH(AY$2,-1)+1,$C8:$F8)*VLOOKUP(AY$2,Valores!$H$2:$P$154,8,0)</f>
        <v>45228.4385791517</v>
      </c>
      <c r="AZ8" s="30" t="n">
        <f aca="false">SUMIF($C$2:$F$2,EOMONTH(AZ$2,-1)+1,$C8:$F8)*VLOOKUP(AZ$2,Valores!$H$2:$P$154,8,0)</f>
        <v>45228.4385791517</v>
      </c>
      <c r="BA8" s="30" t="n">
        <f aca="false">SUMIF($C$2:$F$2,EOMONTH(BA$2,-1)+1,$C8:$F8)*VLOOKUP(BA$2,Valores!$H$2:$P$154,8,0)</f>
        <v>45228.4385791517</v>
      </c>
      <c r="BB8" s="30" t="n">
        <f aca="false">SUMIF($C$2:$F$2,EOMONTH(BB$2,-1)+1,$C8:$F8)*VLOOKUP(BB$2,Valores!$H$2:$P$154,8,0)</f>
        <v>80019.5451784991</v>
      </c>
      <c r="BC8" s="30" t="n">
        <f aca="false">SUMIF($C$2:$F$2,EOMONTH(BC$2,-1)+1,$C8:$F8)*VLOOKUP(BC$2,Valores!$H$2:$P$154,8,0)</f>
        <v>97415.0984781728</v>
      </c>
      <c r="BD8" s="30" t="n">
        <f aca="false">SUMIF($C$2:$F$2,EOMONTH(BD$2,-1)+1,$C8:$F8)*VLOOKUP(BD$2,Valores!$H$2:$P$154,8,0)</f>
        <v>52186.6598990212</v>
      </c>
      <c r="BE8" s="30" t="n">
        <f aca="false">SUMIF($C$2:$F$2,EOMONTH(BE$2,-1)+1,$C8:$F8)*VLOOKUP(BE$2,Valores!$H$2:$P$154,8,0)</f>
        <v>46388.1421324633</v>
      </c>
      <c r="BF8" s="30" t="n">
        <f aca="false">SUMIF($C$2:$F$2,EOMONTH(BF$2,-1)+1,$C8:$F8)*VLOOKUP(BF$2,Valores!$H$2:$P$154,8,0)</f>
        <v>46388.1421324633</v>
      </c>
      <c r="BG8" s="30" t="n">
        <f aca="false">SUMIF($C$2:$F$2,EOMONTH(BG$2,-1)+1,$C8:$F8)*VLOOKUP(BG$2,Valores!$H$2:$P$154,8,0)</f>
        <v>46388.1421324633</v>
      </c>
      <c r="BH8" s="30" t="n">
        <f aca="false">SUMIF($C$2:$F$2,EOMONTH(BH$2,-1)+1,$C8:$F8)*VLOOKUP(BH$2,Valores!$H$2:$P$154,8,0)</f>
        <v>46388.1421324633</v>
      </c>
      <c r="BI8" s="30" t="n">
        <f aca="false">SUMIF($C$2:$F$2,EOMONTH(BI$2,-1)+1,$C8:$F8)*VLOOKUP(BI$2,Valores!$H$2:$P$154,8,0)</f>
        <v>92776.2842649265</v>
      </c>
      <c r="BJ8" s="30" t="n">
        <f aca="false">SUMIF($C$2:$F$2,EOMONTH(BJ$2,-1)+1,$C8:$F8)*VLOOKUP(BJ$2,Valores!$H$2:$P$154,8,0)</f>
        <v>115970.355331158</v>
      </c>
      <c r="BK8" s="30" t="n">
        <f aca="false">SUMIF($C$2:$F$2,EOMONTH(BK$2,-1)+1,$C8:$F8)*VLOOKUP(BK$2,Valores!$H$2:$P$154,8,0)</f>
        <v>55665.7705589559</v>
      </c>
      <c r="BL8" s="30" t="n">
        <f aca="false">SUMIF($C$2:$F$2,EOMONTH(BL$2,-1)+1,$C8:$F8)*VLOOKUP(BL$2,Valores!$H$2:$P$154,8,0)</f>
        <v>40821.5650765677</v>
      </c>
      <c r="BM8" s="30" t="n">
        <f aca="false">SUMIF($C$2:$F$2,EOMONTH(BM$2,-1)+1,$C8:$F8)*VLOOKUP(BM$2,Valores!$H$2:$P$154,8,0)</f>
        <v>40821.5650765677</v>
      </c>
      <c r="BN8" s="30" t="n">
        <f aca="false">SUMIF($C$2:$F$2,EOMONTH(BN$2,-1)+1,$C8:$F8)*VLOOKUP(BN$2,Valores!$H$2:$P$154,8,0)</f>
        <v>40821.5650765677</v>
      </c>
      <c r="BO8" s="30" t="n">
        <f aca="false">SUMIF($C$2:$F$2,EOMONTH(BO$2,-1)+1,$C8:$F8)*VLOOKUP(BO$2,Valores!$H$2:$P$154,8,0)</f>
        <v>42862.643330396</v>
      </c>
      <c r="BP8" s="30" t="n">
        <f aca="false">SUMIF($C$2:$F$2,EOMONTH(BP$2,-1)+1,$C8:$F8)*VLOOKUP(BP$2,Valores!$H$2:$P$154,8,0)</f>
        <v>107865.840764751</v>
      </c>
      <c r="BQ8" s="30" t="n">
        <f aca="false">SUMIF($C$2:$F$2,EOMONTH(BQ$2,-1)+1,$C8:$F8)*VLOOKUP(BQ$2,Valores!$H$2:$P$154,8,0)</f>
        <v>134832.300955939</v>
      </c>
      <c r="BR8" s="30" t="n">
        <f aca="false">SUMIF($C$2:$F$2,EOMONTH(BR$2,-1)+1,$C8:$F8)*VLOOKUP(BR$2,Valores!$H$2:$P$154,8,0)</f>
        <v>64719.5044588507</v>
      </c>
      <c r="BS8" s="30" t="n">
        <f aca="false">SUMIF($C$2:$F$2,EOMONTH(BS$2,-1)+1,$C8:$F8)*VLOOKUP(BS$2,Valores!$H$2:$P$154,8,0)</f>
        <v>28892.6359191298</v>
      </c>
      <c r="BT8" s="30" t="n">
        <f aca="false">SUMIF($C$2:$F$2,EOMONTH(BT$2,-1)+1,$C8:$F8)*VLOOKUP(BT$2,Valores!$H$2:$P$154,8,0)</f>
        <v>28892.6359191298</v>
      </c>
      <c r="BU8" s="30" t="n">
        <f aca="false">SUMIF($C$2:$F$2,EOMONTH(BU$2,-1)+1,$C8:$F8)*VLOOKUP(BU$2,Valores!$H$2:$P$154,8,0)</f>
        <v>28892.6359191298</v>
      </c>
      <c r="BV8" s="30" t="n">
        <f aca="false">SUMIF($C$2:$F$2,EOMONTH(BV$2,-1)+1,$C8:$F8)*VLOOKUP(BV$2,Valores!$H$2:$P$154,8,0)</f>
        <v>28892.6359191298</v>
      </c>
      <c r="BW8" s="30" t="n">
        <f aca="false">SUMIF($C$2:$F$2,EOMONTH(BW$2,-1)+1,$C8:$F8)*VLOOKUP(BW$2,Valores!$H$2:$P$154,8,0)</f>
        <v>57785.2718382595</v>
      </c>
      <c r="BX8" s="30" t="n">
        <f aca="false">SUMIF($C$2:$F$2,EOMONTH(BX$2,-1)+1,$C8:$F8)*VLOOKUP(BX$2,Valores!$H$2:$P$154,8,0)</f>
        <v>72231.5897978244</v>
      </c>
      <c r="BY8" s="30" t="n">
        <f aca="false">SUMIF($C$2:$F$2,EOMONTH(BY$2,-1)+1,$C8:$F8)*VLOOKUP(BY$2,Valores!$H$2:$P$154,8,0)</f>
        <v>43338.9538786946</v>
      </c>
      <c r="BZ8" s="30" t="n">
        <f aca="false">SUMIF($C$2:$F$2,EOMONTH(BZ$2,-1)+1,$C8:$F8)*VLOOKUP(BZ$2,Valores!$H$2:$P$154,8,0)</f>
        <v>28892.6359191298</v>
      </c>
      <c r="CA8" s="30" t="n">
        <f aca="false">SUMIF($C$2:$F$2,EOMONTH(CA$2,-1)+1,$C8:$F8)*VLOOKUP(CA$2,Valores!$H$2:$P$154,8,0)</f>
        <v>28892.6359191298</v>
      </c>
      <c r="CB8" s="30" t="n">
        <f aca="false">SUMIF($C$2:$F$2,EOMONTH(CB$2,-1)+1,$C8:$F8)*VLOOKUP(CB$2,Valores!$H$2:$P$154,8,0)</f>
        <v>28892.6359191298</v>
      </c>
      <c r="CC8" s="30" t="n">
        <f aca="false">SUMIF($C$2:$F$2,EOMONTH(CC$2,-1)+1,$C8:$F8)*VLOOKUP(CC$2,Valores!$H$2:$P$154,8,0)</f>
        <v>28892.6359191298</v>
      </c>
      <c r="CD8" s="30" t="n">
        <f aca="false">SUMIF($C$2:$F$2,EOMONTH(CD$2,-1)+1,$C8:$F8)*VLOOKUP(CD$2,Valores!$H$2:$P$154,8,0)</f>
        <v>86677.9077573893</v>
      </c>
      <c r="CE8" s="30" t="n">
        <f aca="false">SUMIF($C$2:$F$2,EOMONTH(CE$2,-1)+1,$C8:$F8)*VLOOKUP(CE$2,Valores!$H$2:$P$154,8,0)</f>
        <v>115570.543676519</v>
      </c>
      <c r="CF8" s="30" t="n">
        <f aca="false">SUMIF($C$2:$F$2,EOMONTH(CF$2,-1)+1,$C8:$F8)*VLOOKUP(CF$2,Valores!$H$2:$P$154,8,0)</f>
        <v>72231.5897978244</v>
      </c>
      <c r="CG8" s="30" t="n">
        <f aca="false">SUMIF($C$2:$F$2,EOMONTH(CG$2,-1)+1,$C8:$F8)*VLOOKUP(CG$2,Valores!$H$2:$P$154,8,0)</f>
        <v>38523.5145588397</v>
      </c>
      <c r="CH8" s="30" t="n">
        <f aca="false">SUMIF($C$2:$F$2,EOMONTH(CH$2,-1)+1,$C8:$F8)*VLOOKUP(CH$2,Valores!$H$2:$P$154,8,0)</f>
        <v>38523.5145588397</v>
      </c>
      <c r="CI8" s="30" t="n">
        <f aca="false">SUMIF($C$2:$F$2,EOMONTH(CI$2,-1)+1,$C8:$F8)*VLOOKUP(CI$2,Valores!$H$2:$P$154,8,0)</f>
        <v>38523.5145588397</v>
      </c>
      <c r="CJ8" s="30" t="n">
        <f aca="false">SUMIF($C$2:$F$2,EOMONTH(CJ$2,-1)+1,$C8:$F8)*VLOOKUP(CJ$2,Valores!$H$2:$P$154,8,0)</f>
        <v>38523.5145588397</v>
      </c>
      <c r="CK8" s="30" t="n">
        <f aca="false">SUMIF($C$2:$F$2,EOMONTH(CK$2,-1)+1,$C8:$F8)*VLOOKUP(CK$2,Valores!$H$2:$P$154,8,0)</f>
        <v>77047.0291176794</v>
      </c>
      <c r="CL8" s="30" t="n">
        <f aca="false">SUMIF($C$2:$F$2,EOMONTH(CL$2,-1)+1,$C8:$F8)*VLOOKUP(CL$2,Valores!$H$2:$P$154,8,0)</f>
        <v>96308.7863970992</v>
      </c>
      <c r="CM8" s="30" t="n">
        <f aca="false">SUMIF($C$2:$F$2,EOMONTH(CM$2,-1)+1,$C8:$F8)*VLOOKUP(CM$2,Valores!$H$2:$P$154,8,0)</f>
        <v>57785.2718382595</v>
      </c>
      <c r="CN8" s="30" t="n">
        <f aca="false">SUMIF($C$2:$F$2,EOMONTH(CN$2,-1)+1,$C8:$F8)*VLOOKUP(CN$2,Valores!$H$2:$P$154,8,0)</f>
        <v>42375.8660147236</v>
      </c>
      <c r="CO8" s="30" t="n">
        <f aca="false">SUMIF($C$2:$F$2,EOMONTH(CO$2,-1)+1,$C8:$F8)*VLOOKUP(CO$2,Valores!$H$2:$P$154,8,0)</f>
        <v>42375.8660147236</v>
      </c>
      <c r="CP8" s="30" t="n">
        <f aca="false">SUMIF($C$2:$F$2,EOMONTH(CP$2,-1)+1,$C8:$F8)*VLOOKUP(CP$2,Valores!$H$2:$P$154,8,0)</f>
        <v>42375.8660147236</v>
      </c>
      <c r="CQ8" s="30" t="n">
        <f aca="false">SUMIF($C$2:$F$2,EOMONTH(CQ$2,-1)+1,$C8:$F8)*VLOOKUP(CQ$2,Valores!$H$2:$P$154,8,0)</f>
        <v>42375.8660147236</v>
      </c>
      <c r="CR8" s="30" t="n">
        <f aca="false">SUMIF($C$2:$F$2,EOMONTH(CR$2,-1)+1,$C8:$F8)*VLOOKUP(CR$2,Valores!$H$2:$P$154,8,0)</f>
        <v>84751.7320294473</v>
      </c>
      <c r="CS8" s="30" t="n">
        <f aca="false">SUMIF($C$2:$F$2,EOMONTH(CS$2,-1)+1,$C8:$F8)*VLOOKUP(CS$2,Valores!$H$2:$P$154,8,0)</f>
        <v>127127.598044171</v>
      </c>
      <c r="CT8" s="30" t="e">
        <f aca="false">SUMIF($C$2:$F$2,EOMONTH(CT$2,-1)+1,$C8:$F8)*VLOOKUP(CT$2,Valores!$H$2:$P$154,8,0)</f>
        <v>#VALUE!</v>
      </c>
      <c r="CU8" s="30" t="e">
        <f aca="false">SUMIF($C$2:$F$2,EOMONTH(CU$2,-1)+1,$C8:$F8)*VLOOKUP(CU$2,Valores!$H$2:$P$154,8,0)</f>
        <v>#VALUE!</v>
      </c>
      <c r="CV8" s="30" t="e">
        <f aca="false">SUMIF($C$2:$F$2,EOMONTH(CV$2,-1)+1,$C8:$F8)*VLOOKUP(CV$2,Valores!$H$2:$P$154,8,0)</f>
        <v>#VALUE!</v>
      </c>
      <c r="CW8" s="30" t="e">
        <f aca="false">SUMIF($C$2:$F$2,EOMONTH(CW$2,-1)+1,$C8:$F8)*VLOOKUP(CW$2,Valores!$H$2:$P$154,8,0)</f>
        <v>#VALUE!</v>
      </c>
      <c r="CX8" s="30" t="e">
        <f aca="false">SUMIF($C$2:$F$2,EOMONTH(CX$2,-1)+1,$C8:$F8)*VLOOKUP(CX$2,Valores!$H$2:$P$154,8,0)</f>
        <v>#VALUE!</v>
      </c>
      <c r="CY8" s="30" t="e">
        <f aca="false">SUMIF($C$2:$F$2,EOMONTH(CY$2,-1)+1,$C8:$F8)*VLOOKUP(CY$2,Valores!$H$2:$P$154,8,0)</f>
        <v>#VALUE!</v>
      </c>
      <c r="CZ8" s="30" t="e">
        <f aca="false">SUMIF($C$2:$F$2,EOMONTH(CZ$2,-1)+1,$C8:$F8)*VLOOKUP(CZ$2,Valores!$H$2:$P$154,8,0)</f>
        <v>#VALUE!</v>
      </c>
      <c r="DA8" s="30" t="e">
        <f aca="false">SUMIF($C$2:$F$2,EOMONTH(DA$2,-1)+1,$C8:$F8)*VLOOKUP(DA$2,Valores!$H$2:$P$154,8,0)</f>
        <v>#VALUE!</v>
      </c>
      <c r="DB8" s="30" t="e">
        <f aca="false">SUMIF($C$2:$F$2,EOMONTH(DB$2,-1)+1,$C8:$F8)*VLOOKUP(DB$2,Valores!$H$2:$P$154,8,0)</f>
        <v>#VALUE!</v>
      </c>
      <c r="DC8" s="30" t="e">
        <f aca="false">SUMIF($C$2:$F$2,EOMONTH(DC$2,-1)+1,$C8:$F8)*VLOOKUP(DC$2,Valores!$H$2:$P$154,8,0)</f>
        <v>#VALUE!</v>
      </c>
      <c r="DD8" s="30" t="e">
        <f aca="false">SUMIF($C$2:$F$2,EOMONTH(DD$2,-1)+1,$C8:$F8)*VLOOKUP(DD$2,Valores!$H$2:$P$154,8,0)</f>
        <v>#VALUE!</v>
      </c>
      <c r="DE8" s="30" t="e">
        <f aca="false">SUMIF($C$2:$F$2,EOMONTH(DE$2,-1)+1,$C8:$F8)*VLOOKUP(DE$2,Valores!$H$2:$P$154,8,0)</f>
        <v>#VALUE!</v>
      </c>
      <c r="DF8" s="30" t="e">
        <f aca="false">SUMIF($C$2:$F$2,EOMONTH(DF$2,-1)+1,$C8:$F8)*VLOOKUP(DF$2,Valores!$H$2:$P$154,8,0)</f>
        <v>#VALUE!</v>
      </c>
      <c r="DG8" s="30" t="e">
        <f aca="false">SUMIF($C$2:$F$2,EOMONTH(DG$2,-1)+1,$C8:$F8)*VLOOKUP(DG$2,Valores!$H$2:$P$154,8,0)</f>
        <v>#VALUE!</v>
      </c>
      <c r="DH8" s="30" t="e">
        <f aca="false">SUMIF($C$2:$F$2,EOMONTH(DH$2,-1)+1,$C8:$F8)*VLOOKUP(DH$2,Valores!$H$2:$P$154,8,0)</f>
        <v>#VALUE!</v>
      </c>
      <c r="DI8" s="30" t="e">
        <f aca="false">SUMIF($C$2:$F$2,EOMONTH(DI$2,-1)+1,$C8:$F8)*VLOOKUP(DI$2,Valores!$H$2:$P$154,8,0)</f>
        <v>#VALUE!</v>
      </c>
      <c r="DJ8" s="30" t="e">
        <f aca="false">SUMIF($C$2:$F$2,EOMONTH(DJ$2,-1)+1,$C8:$F8)*VLOOKUP(DJ$2,Valores!$H$2:$P$154,8,0)</f>
        <v>#VALUE!</v>
      </c>
      <c r="DK8" s="30" t="e">
        <f aca="false">SUMIF($C$2:$F$2,EOMONTH(DK$2,-1)+1,$C8:$F8)*VLOOKUP(DK$2,Valores!$H$2:$P$154,8,0)</f>
        <v>#VALUE!</v>
      </c>
      <c r="DL8" s="30" t="e">
        <f aca="false">SUMIF($C$2:$F$2,EOMONTH(DL$2,-1)+1,$C8:$F8)*VLOOKUP(DL$2,Valores!$H$2:$P$154,8,0)</f>
        <v>#VALUE!</v>
      </c>
      <c r="DM8" s="30" t="e">
        <f aca="false">SUMIF($C$2:$F$2,EOMONTH(DM$2,-1)+1,$C8:$F8)*VLOOKUP(DM$2,Valores!$H$2:$P$154,8,0)</f>
        <v>#VALUE!</v>
      </c>
      <c r="DN8" s="30" t="e">
        <f aca="false">SUMIF($C$2:$F$2,EOMONTH(DN$2,-1)+1,$C8:$F8)*VLOOKUP(DN$2,Valores!$H$2:$P$154,8,0)</f>
        <v>#VALUE!</v>
      </c>
      <c r="DO8" s="30" t="e">
        <f aca="false">SUMIF($C$2:$F$2,EOMONTH(DO$2,-1)+1,$C8:$F8)*VLOOKUP(DO$2,Valores!$H$2:$P$154,8,0)</f>
        <v>#VALUE!</v>
      </c>
      <c r="DP8" s="30" t="e">
        <f aca="false">SUMIF($C$2:$F$2,EOMONTH(DP$2,-1)+1,$C8:$F8)*VLOOKUP(DP$2,Valores!$H$2:$P$154,8,0)</f>
        <v>#VALUE!</v>
      </c>
      <c r="DQ8" s="30" t="e">
        <f aca="false">SUMIF($C$2:$F$2,EOMONTH(DQ$2,-1)+1,$C8:$F8)*VLOOKUP(DQ$2,Valores!$H$2:$P$154,8,0)</f>
        <v>#VALUE!</v>
      </c>
      <c r="DR8" s="30" t="e">
        <f aca="false">SUMIF($C$2:$F$2,EOMONTH(DR$2,-1)+1,$C8:$F8)*VLOOKUP(DR$2,Valores!$H$2:$P$154,8,0)</f>
        <v>#VALUE!</v>
      </c>
      <c r="DS8" s="30" t="e">
        <f aca="false">SUMIF($C$2:$F$2,EOMONTH(DS$2,-1)+1,$C8:$F8)*VLOOKUP(DS$2,Valores!$H$2:$P$154,8,0)</f>
        <v>#VALUE!</v>
      </c>
      <c r="DT8" s="30" t="e">
        <f aca="false">SUMIF($C$2:$F$2,EOMONTH(DT$2,-1)+1,$C8:$F8)*VLOOKUP(DT$2,Valores!$H$2:$P$154,8,0)</f>
        <v>#VALUE!</v>
      </c>
      <c r="DU8" s="30" t="e">
        <f aca="false">SUMIF($C$2:$F$2,EOMONTH(DU$2,-1)+1,$C8:$F8)*VLOOKUP(DU$2,Valores!$H$2:$P$154,8,0)</f>
        <v>#VALUE!</v>
      </c>
      <c r="DV8" s="30" t="e">
        <f aca="false">SUMIF($C$2:$F$2,EOMONTH(DV$2,-1)+1,$C8:$F8)*VLOOKUP(DV$2,Valores!$H$2:$P$154,8,0)</f>
        <v>#VALUE!</v>
      </c>
      <c r="DW8" s="30" t="e">
        <f aca="false">SUMIF($C$2:$F$2,EOMONTH(DW$2,-1)+1,$C8:$F8)*VLOOKUP(DW$2,Valores!$H$2:$P$154,8,0)</f>
        <v>#VALUE!</v>
      </c>
      <c r="DX8" s="30" t="e">
        <f aca="false">SUMIF($C$2:$F$2,EOMONTH(DX$2,-1)+1,$C8:$F8)*VLOOKUP(DX$2,Valores!$H$2:$P$154,8,0)</f>
        <v>#VALUE!</v>
      </c>
    </row>
    <row r="9" customFormat="false" ht="13.8" hidden="false" customHeight="false" outlineLevel="0" collapsed="false">
      <c r="A9" s="31" t="s">
        <v>23</v>
      </c>
      <c r="B9" s="31" t="s">
        <v>30</v>
      </c>
      <c r="C9" s="31" t="n">
        <v>1650337</v>
      </c>
      <c r="D9" s="31" t="n">
        <v>1485303.3</v>
      </c>
      <c r="E9" s="31" t="n">
        <v>1336772.97</v>
      </c>
      <c r="F9" s="31" t="n">
        <v>1203095.673</v>
      </c>
      <c r="G9" s="27" t="n">
        <f aca="false">SUMIF($C$2:$F$2,EOMONTH(G$2,-1)+1,$C9:$F9)*VLOOKUP(G$2,Valores!$H$2:$P$154,8,0)</f>
        <v>47524.9259503044</v>
      </c>
      <c r="H9" s="27" t="n">
        <f aca="false">SUMIF($C$2:$F$2,EOMONTH(H$2,-1)+1,$C9:$F9)*VLOOKUP(H$2,Valores!$H$2:$P$154,8,0)</f>
        <v>32588.5206516373</v>
      </c>
      <c r="I9" s="27" t="n">
        <f aca="false">SUMIF($C$2:$F$2,EOMONTH(I$2,-1)+1,$C9:$F9)*VLOOKUP(I$2,Valores!$H$2:$P$154,8,0)</f>
        <v>32588.5206516373</v>
      </c>
      <c r="J9" s="27" t="n">
        <f aca="false">SUMIF($C$2:$F$2,EOMONTH(J$2,-1)+1,$C9:$F9)*VLOOKUP(J$2,Valores!$H$2:$P$154,8,0)</f>
        <v>32588.5206516373</v>
      </c>
      <c r="K9" s="27" t="n">
        <f aca="false">SUMIF($C$2:$F$2,EOMONTH(K$2,-1)+1,$C9:$F9)*VLOOKUP(K$2,Valores!$H$2:$P$154,8,0)</f>
        <v>32588.5206516373</v>
      </c>
      <c r="L9" s="27" t="n">
        <f aca="false">SUMIF($C$2:$F$2,EOMONTH(L$2,-1)+1,$C9:$F9)*VLOOKUP(L$2,Valores!$H$2:$P$154,8,0)</f>
        <v>65177.0413032746</v>
      </c>
      <c r="M9" s="27" t="n">
        <f aca="false">SUMIF($C$2:$F$2,EOMONTH(M$2,-1)+1,$C9:$F9)*VLOOKUP(M$2,Valores!$H$2:$P$154,8,0)</f>
        <v>81471.3016290933</v>
      </c>
      <c r="N9" s="27" t="n">
        <f aca="false">SUMIF($C$2:$F$2,EOMONTH(N$2,-1)+1,$C9:$F9)*VLOOKUP(N$2,Valores!$H$2:$P$154,8,0)</f>
        <v>48882.780977456</v>
      </c>
      <c r="O9" s="27" t="n">
        <f aca="false">SUMIF($C$2:$F$2,EOMONTH(O$2,-1)+1,$C9:$F9)*VLOOKUP(O$2,Valores!$H$2:$P$154,8,0)</f>
        <v>43451.3608688498</v>
      </c>
      <c r="P9" s="27" t="n">
        <f aca="false">SUMIF($C$2:$F$2,EOMONTH(P$2,-1)+1,$C9:$F9)*VLOOKUP(P$2,Valores!$H$2:$P$154,8,0)</f>
        <v>43451.3608688498</v>
      </c>
      <c r="Q9" s="27" t="n">
        <f aca="false">SUMIF($C$2:$F$2,EOMONTH(Q$2,-1)+1,$C9:$F9)*VLOOKUP(Q$2,Valores!$H$2:$P$154,8,0)</f>
        <v>26070.8165213098</v>
      </c>
      <c r="R9" s="27" t="n">
        <f aca="false">SUMIF($C$2:$F$2,EOMONTH(R$2,-1)+1,$C9:$F9)*VLOOKUP(R$2,Valores!$H$2:$P$154,8,0)</f>
        <v>43451.3608688498</v>
      </c>
      <c r="S9" s="27" t="n">
        <f aca="false">SUMIF($C$2:$F$2,EOMONTH(S$2,-1)+1,$C9:$F9)*VLOOKUP(S$2,Valores!$H$2:$P$154,8,0)</f>
        <v>86902.7217376995</v>
      </c>
      <c r="T9" s="27" t="n">
        <f aca="false">SUMIF($C$2:$F$2,EOMONTH(T$2,-1)+1,$C9:$F9)*VLOOKUP(T$2,Valores!$H$2:$P$154,8,0)</f>
        <v>108628.402172124</v>
      </c>
      <c r="U9" s="27" t="n">
        <f aca="false">SUMIF($C$2:$F$2,EOMONTH(U$2,-1)+1,$C9:$F9)*VLOOKUP(U$2,Valores!$H$2:$P$154,8,0)</f>
        <v>65177.0413032746</v>
      </c>
      <c r="V9" s="27" t="n">
        <f aca="false">SUMIF($C$2:$F$2,EOMONTH(V$2,-1)+1,$C9:$F9)*VLOOKUP(V$2,Valores!$H$2:$P$154,8,0)</f>
        <v>54314.2010860622</v>
      </c>
      <c r="W9" s="27" t="n">
        <f aca="false">SUMIF($C$2:$F$2,EOMONTH(W$2,-1)+1,$C9:$F9)*VLOOKUP(W$2,Valores!$H$2:$P$154,8,0)</f>
        <v>54314.2010860622</v>
      </c>
      <c r="X9" s="27" t="n">
        <f aca="false">SUMIF($C$2:$F$2,EOMONTH(X$2,-1)+1,$C9:$F9)*VLOOKUP(X$2,Valores!$H$2:$P$154,8,0)</f>
        <v>0</v>
      </c>
      <c r="Y9" s="27" t="n">
        <f aca="false">SUMIF($C$2:$F$2,EOMONTH(Y$2,-1)+1,$C9:$F9)*VLOOKUP(Y$2,Valores!$H$2:$P$154,8,0)</f>
        <v>0</v>
      </c>
      <c r="Z9" s="27" t="n">
        <f aca="false">SUMIF($C$2:$F$2,EOMONTH(Z$2,-1)+1,$C9:$F9)*VLOOKUP(Z$2,Valores!$H$2:$P$154,8,0)</f>
        <v>81471.3016290933</v>
      </c>
      <c r="AA9" s="27" t="n">
        <f aca="false">SUMIF($C$2:$F$2,EOMONTH(AA$2,-1)+1,$C9:$F9)*VLOOKUP(AA$2,Valores!$H$2:$P$154,8,0)</f>
        <v>97765.5619549119</v>
      </c>
      <c r="AB9" s="27" t="n">
        <f aca="false">SUMIF($C$2:$F$2,EOMONTH(AB$2,-1)+1,$C9:$F9)*VLOOKUP(AB$2,Valores!$H$2:$P$154,8,0)</f>
        <v>48882.780977456</v>
      </c>
      <c r="AC9" s="27" t="n">
        <f aca="false">SUMIF($C$2:$F$2,EOMONTH(AC$2,-1)+1,$C9:$F9)*VLOOKUP(AC$2,Valores!$H$2:$P$154,8,0)</f>
        <v>59745.6211946684</v>
      </c>
      <c r="AD9" s="27" t="n">
        <f aca="false">SUMIF($C$2:$F$2,EOMONTH(AD$2,-1)+1,$C9:$F9)*VLOOKUP(AD$2,Valores!$H$2:$P$154,8,0)</f>
        <v>59745.6211946684</v>
      </c>
      <c r="AE9" s="27" t="n">
        <f aca="false">SUMIF($C$2:$F$2,EOMONTH(AE$2,-1)+1,$C9:$F9)*VLOOKUP(AE$2,Valores!$H$2:$P$154,8,0)</f>
        <v>59745.6211946684</v>
      </c>
      <c r="AF9" s="27" t="n">
        <f aca="false">SUMIF($C$2:$F$2,EOMONTH(AF$2,-1)+1,$C9:$F9)*VLOOKUP(AF$2,Valores!$H$2:$P$154,8,0)</f>
        <v>59745.6211946684</v>
      </c>
      <c r="AG9" s="27" t="n">
        <f aca="false">SUMIF($C$2:$F$2,EOMONTH(AG$2,-1)+1,$C9:$F9)*VLOOKUP(AG$2,Valores!$H$2:$P$154,8,0)</f>
        <v>95592.9939114695</v>
      </c>
      <c r="AH9" s="27" t="n">
        <f aca="false">SUMIF($C$2:$F$2,EOMONTH(AH$2,-1)+1,$C9:$F9)*VLOOKUP(AH$2,Valores!$H$2:$P$154,8,0)</f>
        <v>119491.242389337</v>
      </c>
      <c r="AI9" s="27" t="n">
        <f aca="false">SUMIF($C$2:$F$2,EOMONTH(AI$2,-1)+1,$C9:$F9)*VLOOKUP(AI$2,Valores!$H$2:$P$154,8,0)</f>
        <v>41821.9348362679</v>
      </c>
      <c r="AJ9" s="27" t="n">
        <f aca="false">SUMIF($C$2:$F$2,EOMONTH(AJ$2,-1)+1,$C9:$F9)*VLOOKUP(AJ$2,Valores!$H$2:$P$154,8,0)</f>
        <v>27157.1005430311</v>
      </c>
      <c r="AK9" s="27" t="n">
        <f aca="false">SUMIF($C$2:$F$2,EOMONTH(AK$2,-1)+1,$C9:$F9)*VLOOKUP(AK$2,Valores!$H$2:$P$154,8,0)</f>
        <v>49523.0803305628</v>
      </c>
      <c r="AL9" s="27" t="n">
        <f aca="false">SUMIF($C$2:$F$2,EOMONTH(AL$2,-1)+1,$C9:$F9)*VLOOKUP(AL$2,Valores!$H$2:$P$154,8,0)</f>
        <v>49523.0803305628</v>
      </c>
      <c r="AM9" s="27" t="n">
        <f aca="false">SUMIF($C$2:$F$2,EOMONTH(AM$2,-1)+1,$C9:$F9)*VLOOKUP(AM$2,Valores!$H$2:$P$154,8,0)</f>
        <v>49523.0803305628</v>
      </c>
      <c r="AN9" s="27" t="n">
        <f aca="false">SUMIF($C$2:$F$2,EOMONTH(AN$2,-1)+1,$C9:$F9)*VLOOKUP(AN$2,Valores!$H$2:$P$154,8,0)</f>
        <v>99046.1606611255</v>
      </c>
      <c r="AO9" s="27" t="n">
        <f aca="false">SUMIF($C$2:$F$2,EOMONTH(AO$2,-1)+1,$C9:$F9)*VLOOKUP(AO$2,Valores!$H$2:$P$154,8,0)</f>
        <v>123807.700826407</v>
      </c>
      <c r="AP9" s="27" t="n">
        <f aca="false">SUMIF($C$2:$F$2,EOMONTH(AP$2,-1)+1,$C9:$F9)*VLOOKUP(AP$2,Valores!$H$2:$P$154,8,0)</f>
        <v>74284.6204958441</v>
      </c>
      <c r="AQ9" s="27" t="n">
        <f aca="false">SUMIF($C$2:$F$2,EOMONTH(AQ$2,-1)+1,$C9:$F9)*VLOOKUP(AQ$2,Valores!$H$2:$P$154,8,0)</f>
        <v>26530.2216056586</v>
      </c>
      <c r="AR9" s="27" t="n">
        <f aca="false">SUMIF($C$2:$F$2,EOMONTH(AR$2,-1)+1,$C9:$F9)*VLOOKUP(AR$2,Valores!$H$2:$P$154,8,0)</f>
        <v>26530.2216056586</v>
      </c>
      <c r="AS9" s="27" t="n">
        <f aca="false">SUMIF($C$2:$F$2,EOMONTH(AS$2,-1)+1,$C9:$F9)*VLOOKUP(AS$2,Valores!$H$2:$P$154,8,0)</f>
        <v>26530.2216056586</v>
      </c>
      <c r="AT9" s="27" t="n">
        <f aca="false">SUMIF($C$2:$F$2,EOMONTH(AT$2,-1)+1,$C9:$F9)*VLOOKUP(AT$2,Valores!$H$2:$P$154,8,0)</f>
        <v>26530.2216056586</v>
      </c>
      <c r="AU9" s="27" t="n">
        <f aca="false">SUMIF($C$2:$F$2,EOMONTH(AU$2,-1)+1,$C9:$F9)*VLOOKUP(AU$2,Valores!$H$2:$P$154,8,0)</f>
        <v>53060.4432113172</v>
      </c>
      <c r="AV9" s="27" t="n">
        <f aca="false">SUMIF($C$2:$F$2,EOMONTH(AV$2,-1)+1,$C9:$F9)*VLOOKUP(AV$2,Valores!$H$2:$P$154,8,0)</f>
        <v>66325.5540141465</v>
      </c>
      <c r="AW9" s="27" t="n">
        <f aca="false">SUMIF($C$2:$F$2,EOMONTH(AW$2,-1)+1,$C9:$F9)*VLOOKUP(AW$2,Valores!$H$2:$P$154,8,0)</f>
        <v>39795.3324084879</v>
      </c>
      <c r="AX9" s="27" t="n">
        <f aca="false">SUMIF($C$2:$F$2,EOMONTH(AX$2,-1)+1,$C9:$F9)*VLOOKUP(AX$2,Valores!$H$2:$P$154,8,0)</f>
        <v>26530.2216056586</v>
      </c>
      <c r="AY9" s="27" t="n">
        <f aca="false">SUMIF($C$2:$F$2,EOMONTH(AY$2,-1)+1,$C9:$F9)*VLOOKUP(AY$2,Valores!$H$2:$P$154,8,0)</f>
        <v>34489.2880873562</v>
      </c>
      <c r="AZ9" s="27" t="n">
        <f aca="false">SUMIF($C$2:$F$2,EOMONTH(AZ$2,-1)+1,$C9:$F9)*VLOOKUP(AZ$2,Valores!$H$2:$P$154,8,0)</f>
        <v>34489.2880873562</v>
      </c>
      <c r="BA9" s="27" t="n">
        <f aca="false">SUMIF($C$2:$F$2,EOMONTH(BA$2,-1)+1,$C9:$F9)*VLOOKUP(BA$2,Valores!$H$2:$P$154,8,0)</f>
        <v>34489.2880873562</v>
      </c>
      <c r="BB9" s="27" t="n">
        <f aca="false">SUMIF($C$2:$F$2,EOMONTH(BB$2,-1)+1,$C9:$F9)*VLOOKUP(BB$2,Valores!$H$2:$P$154,8,0)</f>
        <v>61019.5096930148</v>
      </c>
      <c r="BC9" s="27" t="n">
        <f aca="false">SUMIF($C$2:$F$2,EOMONTH(BC$2,-1)+1,$C9:$F9)*VLOOKUP(BC$2,Valores!$H$2:$P$154,8,0)</f>
        <v>74284.6204958441</v>
      </c>
      <c r="BD9" s="27" t="n">
        <f aca="false">SUMIF($C$2:$F$2,EOMONTH(BD$2,-1)+1,$C9:$F9)*VLOOKUP(BD$2,Valores!$H$2:$P$154,8,0)</f>
        <v>39795.3324084879</v>
      </c>
      <c r="BE9" s="27" t="n">
        <f aca="false">SUMIF($C$2:$F$2,EOMONTH(BE$2,-1)+1,$C9:$F9)*VLOOKUP(BE$2,Valores!$H$2:$P$154,8,0)</f>
        <v>35373.6288075448</v>
      </c>
      <c r="BF9" s="27" t="n">
        <f aca="false">SUMIF($C$2:$F$2,EOMONTH(BF$2,-1)+1,$C9:$F9)*VLOOKUP(BF$2,Valores!$H$2:$P$154,8,0)</f>
        <v>35373.6288075448</v>
      </c>
      <c r="BG9" s="27" t="n">
        <f aca="false">SUMIF($C$2:$F$2,EOMONTH(BG$2,-1)+1,$C9:$F9)*VLOOKUP(BG$2,Valores!$H$2:$P$154,8,0)</f>
        <v>35373.6288075448</v>
      </c>
      <c r="BH9" s="27" t="n">
        <f aca="false">SUMIF($C$2:$F$2,EOMONTH(BH$2,-1)+1,$C9:$F9)*VLOOKUP(BH$2,Valores!$H$2:$P$154,8,0)</f>
        <v>35373.6288075448</v>
      </c>
      <c r="BI9" s="27" t="n">
        <f aca="false">SUMIF($C$2:$F$2,EOMONTH(BI$2,-1)+1,$C9:$F9)*VLOOKUP(BI$2,Valores!$H$2:$P$154,8,0)</f>
        <v>70747.2576150897</v>
      </c>
      <c r="BJ9" s="27" t="n">
        <f aca="false">SUMIF($C$2:$F$2,EOMONTH(BJ$2,-1)+1,$C9:$F9)*VLOOKUP(BJ$2,Valores!$H$2:$P$154,8,0)</f>
        <v>88434.0720188621</v>
      </c>
      <c r="BK9" s="27" t="n">
        <f aca="false">SUMIF($C$2:$F$2,EOMONTH(BK$2,-1)+1,$C9:$F9)*VLOOKUP(BK$2,Valores!$H$2:$P$154,8,0)</f>
        <v>42448.3545690538</v>
      </c>
      <c r="BL9" s="27" t="n">
        <f aca="false">SUMIF($C$2:$F$2,EOMONTH(BL$2,-1)+1,$C9:$F9)*VLOOKUP(BL$2,Valores!$H$2:$P$154,8,0)</f>
        <v>31128.7933506394</v>
      </c>
      <c r="BM9" s="27" t="n">
        <f aca="false">SUMIF($C$2:$F$2,EOMONTH(BM$2,-1)+1,$C9:$F9)*VLOOKUP(BM$2,Valores!$H$2:$P$154,8,0)</f>
        <v>31128.7933506394</v>
      </c>
      <c r="BN9" s="27" t="n">
        <f aca="false">SUMIF($C$2:$F$2,EOMONTH(BN$2,-1)+1,$C9:$F9)*VLOOKUP(BN$2,Valores!$H$2:$P$154,8,0)</f>
        <v>31128.7933506394</v>
      </c>
      <c r="BO9" s="27" t="n">
        <f aca="false">SUMIF($C$2:$F$2,EOMONTH(BO$2,-1)+1,$C9:$F9)*VLOOKUP(BO$2,Valores!$H$2:$P$154,8,0)</f>
        <v>32685.2330181714</v>
      </c>
      <c r="BP9" s="27" t="n">
        <f aca="false">SUMIF($C$2:$F$2,EOMONTH(BP$2,-1)+1,$C9:$F9)*VLOOKUP(BP$2,Valores!$H$2:$P$154,8,0)</f>
        <v>82253.9131084496</v>
      </c>
      <c r="BQ9" s="27" t="n">
        <f aca="false">SUMIF($C$2:$F$2,EOMONTH(BQ$2,-1)+1,$C9:$F9)*VLOOKUP(BQ$2,Valores!$H$2:$P$154,8,0)</f>
        <v>102817.391385562</v>
      </c>
      <c r="BR9" s="27" t="n">
        <f aca="false">SUMIF($C$2:$F$2,EOMONTH(BR$2,-1)+1,$C9:$F9)*VLOOKUP(BR$2,Valores!$H$2:$P$154,8,0)</f>
        <v>49352.3478650698</v>
      </c>
      <c r="BS9" s="27" t="n">
        <f aca="false">SUMIF($C$2:$F$2,EOMONTH(BS$2,-1)+1,$C9:$F9)*VLOOKUP(BS$2,Valores!$H$2:$P$154,8,0)</f>
        <v>22032.298154049</v>
      </c>
      <c r="BT9" s="27" t="n">
        <f aca="false">SUMIF($C$2:$F$2,EOMONTH(BT$2,-1)+1,$C9:$F9)*VLOOKUP(BT$2,Valores!$H$2:$P$154,8,0)</f>
        <v>22032.298154049</v>
      </c>
      <c r="BU9" s="27" t="n">
        <f aca="false">SUMIF($C$2:$F$2,EOMONTH(BU$2,-1)+1,$C9:$F9)*VLOOKUP(BU$2,Valores!$H$2:$P$154,8,0)</f>
        <v>22032.298154049</v>
      </c>
      <c r="BV9" s="27" t="n">
        <f aca="false">SUMIF($C$2:$F$2,EOMONTH(BV$2,-1)+1,$C9:$F9)*VLOOKUP(BV$2,Valores!$H$2:$P$154,8,0)</f>
        <v>22032.298154049</v>
      </c>
      <c r="BW9" s="27" t="n">
        <f aca="false">SUMIF($C$2:$F$2,EOMONTH(BW$2,-1)+1,$C9:$F9)*VLOOKUP(BW$2,Valores!$H$2:$P$154,8,0)</f>
        <v>44064.596308098</v>
      </c>
      <c r="BX9" s="27" t="n">
        <f aca="false">SUMIF($C$2:$F$2,EOMONTH(BX$2,-1)+1,$C9:$F9)*VLOOKUP(BX$2,Valores!$H$2:$P$154,8,0)</f>
        <v>55080.7453851225</v>
      </c>
      <c r="BY9" s="27" t="n">
        <f aca="false">SUMIF($C$2:$F$2,EOMONTH(BY$2,-1)+1,$C9:$F9)*VLOOKUP(BY$2,Valores!$H$2:$P$154,8,0)</f>
        <v>33048.4472310735</v>
      </c>
      <c r="BZ9" s="27" t="n">
        <f aca="false">SUMIF($C$2:$F$2,EOMONTH(BZ$2,-1)+1,$C9:$F9)*VLOOKUP(BZ$2,Valores!$H$2:$P$154,8,0)</f>
        <v>22032.298154049</v>
      </c>
      <c r="CA9" s="27" t="n">
        <f aca="false">SUMIF($C$2:$F$2,EOMONTH(CA$2,-1)+1,$C9:$F9)*VLOOKUP(CA$2,Valores!$H$2:$P$154,8,0)</f>
        <v>22032.298154049</v>
      </c>
      <c r="CB9" s="27" t="n">
        <f aca="false">SUMIF($C$2:$F$2,EOMONTH(CB$2,-1)+1,$C9:$F9)*VLOOKUP(CB$2,Valores!$H$2:$P$154,8,0)</f>
        <v>22032.298154049</v>
      </c>
      <c r="CC9" s="27" t="n">
        <f aca="false">SUMIF($C$2:$F$2,EOMONTH(CC$2,-1)+1,$C9:$F9)*VLOOKUP(CC$2,Valores!$H$2:$P$154,8,0)</f>
        <v>22032.298154049</v>
      </c>
      <c r="CD9" s="27" t="n">
        <f aca="false">SUMIF($C$2:$F$2,EOMONTH(CD$2,-1)+1,$C9:$F9)*VLOOKUP(CD$2,Valores!$H$2:$P$154,8,0)</f>
        <v>66096.894462147</v>
      </c>
      <c r="CE9" s="27" t="n">
        <f aca="false">SUMIF($C$2:$F$2,EOMONTH(CE$2,-1)+1,$C9:$F9)*VLOOKUP(CE$2,Valores!$H$2:$P$154,8,0)</f>
        <v>88129.192616196</v>
      </c>
      <c r="CF9" s="27" t="n">
        <f aca="false">SUMIF($C$2:$F$2,EOMONTH(CF$2,-1)+1,$C9:$F9)*VLOOKUP(CF$2,Valores!$H$2:$P$154,8,0)</f>
        <v>55080.7453851225</v>
      </c>
      <c r="CG9" s="27" t="n">
        <f aca="false">SUMIF($C$2:$F$2,EOMONTH(CG$2,-1)+1,$C9:$F9)*VLOOKUP(CG$2,Valores!$H$2:$P$154,8,0)</f>
        <v>29376.397538732</v>
      </c>
      <c r="CH9" s="27" t="n">
        <f aca="false">SUMIF($C$2:$F$2,EOMONTH(CH$2,-1)+1,$C9:$F9)*VLOOKUP(CH$2,Valores!$H$2:$P$154,8,0)</f>
        <v>29376.397538732</v>
      </c>
      <c r="CI9" s="27" t="n">
        <f aca="false">SUMIF($C$2:$F$2,EOMONTH(CI$2,-1)+1,$C9:$F9)*VLOOKUP(CI$2,Valores!$H$2:$P$154,8,0)</f>
        <v>29376.397538732</v>
      </c>
      <c r="CJ9" s="27" t="n">
        <f aca="false">SUMIF($C$2:$F$2,EOMONTH(CJ$2,-1)+1,$C9:$F9)*VLOOKUP(CJ$2,Valores!$H$2:$P$154,8,0)</f>
        <v>29376.397538732</v>
      </c>
      <c r="CK9" s="27" t="n">
        <f aca="false">SUMIF($C$2:$F$2,EOMONTH(CK$2,-1)+1,$C9:$F9)*VLOOKUP(CK$2,Valores!$H$2:$P$154,8,0)</f>
        <v>58752.795077464</v>
      </c>
      <c r="CL9" s="27" t="n">
        <f aca="false">SUMIF($C$2:$F$2,EOMONTH(CL$2,-1)+1,$C9:$F9)*VLOOKUP(CL$2,Valores!$H$2:$P$154,8,0)</f>
        <v>73440.99384683</v>
      </c>
      <c r="CM9" s="27" t="n">
        <f aca="false">SUMIF($C$2:$F$2,EOMONTH(CM$2,-1)+1,$C9:$F9)*VLOOKUP(CM$2,Valores!$H$2:$P$154,8,0)</f>
        <v>44064.596308098</v>
      </c>
      <c r="CN9" s="27" t="n">
        <f aca="false">SUMIF($C$2:$F$2,EOMONTH(CN$2,-1)+1,$C9:$F9)*VLOOKUP(CN$2,Valores!$H$2:$P$154,8,0)</f>
        <v>32314.0372926052</v>
      </c>
      <c r="CO9" s="27" t="n">
        <f aca="false">SUMIF($C$2:$F$2,EOMONTH(CO$2,-1)+1,$C9:$F9)*VLOOKUP(CO$2,Valores!$H$2:$P$154,8,0)</f>
        <v>32314.0372926052</v>
      </c>
      <c r="CP9" s="27" t="n">
        <f aca="false">SUMIF($C$2:$F$2,EOMONTH(CP$2,-1)+1,$C9:$F9)*VLOOKUP(CP$2,Valores!$H$2:$P$154,8,0)</f>
        <v>32314.0372926052</v>
      </c>
      <c r="CQ9" s="27" t="n">
        <f aca="false">SUMIF($C$2:$F$2,EOMONTH(CQ$2,-1)+1,$C9:$F9)*VLOOKUP(CQ$2,Valores!$H$2:$P$154,8,0)</f>
        <v>32314.0372926052</v>
      </c>
      <c r="CR9" s="27" t="n">
        <f aca="false">SUMIF($C$2:$F$2,EOMONTH(CR$2,-1)+1,$C9:$F9)*VLOOKUP(CR$2,Valores!$H$2:$P$154,8,0)</f>
        <v>64628.0745852104</v>
      </c>
      <c r="CS9" s="27" t="n">
        <f aca="false">SUMIF($C$2:$F$2,EOMONTH(CS$2,-1)+1,$C9:$F9)*VLOOKUP(CS$2,Valores!$H$2:$P$154,8,0)</f>
        <v>96942.1118778156</v>
      </c>
      <c r="CT9" s="27" t="e">
        <f aca="false">SUMIF($C$2:$F$2,EOMONTH(CT$2,-1)+1,$C9:$F9)*VLOOKUP(CT$2,Valores!$H$2:$P$154,8,0)</f>
        <v>#VALUE!</v>
      </c>
      <c r="CU9" s="27" t="e">
        <f aca="false">SUMIF($C$2:$F$2,EOMONTH(CU$2,-1)+1,$C9:$F9)*VLOOKUP(CU$2,Valores!$H$2:$P$154,8,0)</f>
        <v>#VALUE!</v>
      </c>
      <c r="CV9" s="27" t="e">
        <f aca="false">SUMIF($C$2:$F$2,EOMONTH(CV$2,-1)+1,$C9:$F9)*VLOOKUP(CV$2,Valores!$H$2:$P$154,8,0)</f>
        <v>#VALUE!</v>
      </c>
      <c r="CW9" s="27" t="e">
        <f aca="false">SUMIF($C$2:$F$2,EOMONTH(CW$2,-1)+1,$C9:$F9)*VLOOKUP(CW$2,Valores!$H$2:$P$154,8,0)</f>
        <v>#VALUE!</v>
      </c>
      <c r="CX9" s="27" t="e">
        <f aca="false">SUMIF($C$2:$F$2,EOMONTH(CX$2,-1)+1,$C9:$F9)*VLOOKUP(CX$2,Valores!$H$2:$P$154,8,0)</f>
        <v>#VALUE!</v>
      </c>
      <c r="CY9" s="27" t="e">
        <f aca="false">SUMIF($C$2:$F$2,EOMONTH(CY$2,-1)+1,$C9:$F9)*VLOOKUP(CY$2,Valores!$H$2:$P$154,8,0)</f>
        <v>#VALUE!</v>
      </c>
      <c r="CZ9" s="27" t="e">
        <f aca="false">SUMIF($C$2:$F$2,EOMONTH(CZ$2,-1)+1,$C9:$F9)*VLOOKUP(CZ$2,Valores!$H$2:$P$154,8,0)</f>
        <v>#VALUE!</v>
      </c>
      <c r="DA9" s="27" t="e">
        <f aca="false">SUMIF($C$2:$F$2,EOMONTH(DA$2,-1)+1,$C9:$F9)*VLOOKUP(DA$2,Valores!$H$2:$P$154,8,0)</f>
        <v>#VALUE!</v>
      </c>
      <c r="DB9" s="27" t="e">
        <f aca="false">SUMIF($C$2:$F$2,EOMONTH(DB$2,-1)+1,$C9:$F9)*VLOOKUP(DB$2,Valores!$H$2:$P$154,8,0)</f>
        <v>#VALUE!</v>
      </c>
      <c r="DC9" s="27" t="e">
        <f aca="false">SUMIF($C$2:$F$2,EOMONTH(DC$2,-1)+1,$C9:$F9)*VLOOKUP(DC$2,Valores!$H$2:$P$154,8,0)</f>
        <v>#VALUE!</v>
      </c>
      <c r="DD9" s="27" t="e">
        <f aca="false">SUMIF($C$2:$F$2,EOMONTH(DD$2,-1)+1,$C9:$F9)*VLOOKUP(DD$2,Valores!$H$2:$P$154,8,0)</f>
        <v>#VALUE!</v>
      </c>
      <c r="DE9" s="27" t="e">
        <f aca="false">SUMIF($C$2:$F$2,EOMONTH(DE$2,-1)+1,$C9:$F9)*VLOOKUP(DE$2,Valores!$H$2:$P$154,8,0)</f>
        <v>#VALUE!</v>
      </c>
      <c r="DF9" s="27" t="e">
        <f aca="false">SUMIF($C$2:$F$2,EOMONTH(DF$2,-1)+1,$C9:$F9)*VLOOKUP(DF$2,Valores!$H$2:$P$154,8,0)</f>
        <v>#VALUE!</v>
      </c>
      <c r="DG9" s="27" t="e">
        <f aca="false">SUMIF($C$2:$F$2,EOMONTH(DG$2,-1)+1,$C9:$F9)*VLOOKUP(DG$2,Valores!$H$2:$P$154,8,0)</f>
        <v>#VALUE!</v>
      </c>
      <c r="DH9" s="27" t="e">
        <f aca="false">SUMIF($C$2:$F$2,EOMONTH(DH$2,-1)+1,$C9:$F9)*VLOOKUP(DH$2,Valores!$H$2:$P$154,8,0)</f>
        <v>#VALUE!</v>
      </c>
      <c r="DI9" s="27" t="e">
        <f aca="false">SUMIF($C$2:$F$2,EOMONTH(DI$2,-1)+1,$C9:$F9)*VLOOKUP(DI$2,Valores!$H$2:$P$154,8,0)</f>
        <v>#VALUE!</v>
      </c>
      <c r="DJ9" s="27" t="e">
        <f aca="false">SUMIF($C$2:$F$2,EOMONTH(DJ$2,-1)+1,$C9:$F9)*VLOOKUP(DJ$2,Valores!$H$2:$P$154,8,0)</f>
        <v>#VALUE!</v>
      </c>
      <c r="DK9" s="27" t="e">
        <f aca="false">SUMIF($C$2:$F$2,EOMONTH(DK$2,-1)+1,$C9:$F9)*VLOOKUP(DK$2,Valores!$H$2:$P$154,8,0)</f>
        <v>#VALUE!</v>
      </c>
      <c r="DL9" s="27" t="e">
        <f aca="false">SUMIF($C$2:$F$2,EOMONTH(DL$2,-1)+1,$C9:$F9)*VLOOKUP(DL$2,Valores!$H$2:$P$154,8,0)</f>
        <v>#VALUE!</v>
      </c>
      <c r="DM9" s="27" t="e">
        <f aca="false">SUMIF($C$2:$F$2,EOMONTH(DM$2,-1)+1,$C9:$F9)*VLOOKUP(DM$2,Valores!$H$2:$P$154,8,0)</f>
        <v>#VALUE!</v>
      </c>
      <c r="DN9" s="27" t="e">
        <f aca="false">SUMIF($C$2:$F$2,EOMONTH(DN$2,-1)+1,$C9:$F9)*VLOOKUP(DN$2,Valores!$H$2:$P$154,8,0)</f>
        <v>#VALUE!</v>
      </c>
      <c r="DO9" s="27" t="e">
        <f aca="false">SUMIF($C$2:$F$2,EOMONTH(DO$2,-1)+1,$C9:$F9)*VLOOKUP(DO$2,Valores!$H$2:$P$154,8,0)</f>
        <v>#VALUE!</v>
      </c>
      <c r="DP9" s="27" t="e">
        <f aca="false">SUMIF($C$2:$F$2,EOMONTH(DP$2,-1)+1,$C9:$F9)*VLOOKUP(DP$2,Valores!$H$2:$P$154,8,0)</f>
        <v>#VALUE!</v>
      </c>
      <c r="DQ9" s="27" t="e">
        <f aca="false">SUMIF($C$2:$F$2,EOMONTH(DQ$2,-1)+1,$C9:$F9)*VLOOKUP(DQ$2,Valores!$H$2:$P$154,8,0)</f>
        <v>#VALUE!</v>
      </c>
      <c r="DR9" s="27" t="e">
        <f aca="false">SUMIF($C$2:$F$2,EOMONTH(DR$2,-1)+1,$C9:$F9)*VLOOKUP(DR$2,Valores!$H$2:$P$154,8,0)</f>
        <v>#VALUE!</v>
      </c>
      <c r="DS9" s="27" t="e">
        <f aca="false">SUMIF($C$2:$F$2,EOMONTH(DS$2,-1)+1,$C9:$F9)*VLOOKUP(DS$2,Valores!$H$2:$P$154,8,0)</f>
        <v>#VALUE!</v>
      </c>
      <c r="DT9" s="27" t="e">
        <f aca="false">SUMIF($C$2:$F$2,EOMONTH(DT$2,-1)+1,$C9:$F9)*VLOOKUP(DT$2,Valores!$H$2:$P$154,8,0)</f>
        <v>#VALUE!</v>
      </c>
      <c r="DU9" s="27" t="e">
        <f aca="false">SUMIF($C$2:$F$2,EOMONTH(DU$2,-1)+1,$C9:$F9)*VLOOKUP(DU$2,Valores!$H$2:$P$154,8,0)</f>
        <v>#VALUE!</v>
      </c>
      <c r="DV9" s="27" t="e">
        <f aca="false">SUMIF($C$2:$F$2,EOMONTH(DV$2,-1)+1,$C9:$F9)*VLOOKUP(DV$2,Valores!$H$2:$P$154,8,0)</f>
        <v>#VALUE!</v>
      </c>
      <c r="DW9" s="27" t="e">
        <f aca="false">SUMIF($C$2:$F$2,EOMONTH(DW$2,-1)+1,$C9:$F9)*VLOOKUP(DW$2,Valores!$H$2:$P$154,8,0)</f>
        <v>#VALUE!</v>
      </c>
      <c r="DX9" s="27" t="e">
        <f aca="false">SUMIF($C$2:$F$2,EOMONTH(DX$2,-1)+1,$C9:$F9)*VLOOKUP(DX$2,Valores!$H$2:$P$154,8,0)</f>
        <v>#VALUE!</v>
      </c>
    </row>
    <row r="10" customFormat="false" ht="13.8" hidden="false" customHeight="false" outlineLevel="0" collapsed="false">
      <c r="A10" s="29" t="s">
        <v>23</v>
      </c>
      <c r="B10" s="29" t="s">
        <v>31</v>
      </c>
      <c r="C10" s="29" t="n">
        <v>1605177</v>
      </c>
      <c r="D10" s="29" t="n">
        <v>1444659.3</v>
      </c>
      <c r="E10" s="29" t="n">
        <v>1300193.37</v>
      </c>
      <c r="F10" s="29" t="n">
        <v>1170174.033</v>
      </c>
      <c r="G10" s="30" t="n">
        <f aca="false">SUMIF($C$2:$F$2,EOMONTH(G$2,-1)+1,$C10:$F10)*VLOOKUP(G$2,Valores!$H$2:$P$154,8,0)</f>
        <v>46224.4487411552</v>
      </c>
      <c r="H10" s="30" t="n">
        <f aca="false">SUMIF($C$2:$F$2,EOMONTH(H$2,-1)+1,$C10:$F10)*VLOOKUP(H$2,Valores!$H$2:$P$154,8,0)</f>
        <v>31696.7648510778</v>
      </c>
      <c r="I10" s="30" t="n">
        <f aca="false">SUMIF($C$2:$F$2,EOMONTH(I$2,-1)+1,$C10:$F10)*VLOOKUP(I$2,Valores!$H$2:$P$154,8,0)</f>
        <v>31696.7648510778</v>
      </c>
      <c r="J10" s="30" t="n">
        <f aca="false">SUMIF($C$2:$F$2,EOMONTH(J$2,-1)+1,$C10:$F10)*VLOOKUP(J$2,Valores!$H$2:$P$154,8,0)</f>
        <v>31696.7648510778</v>
      </c>
      <c r="K10" s="30" t="n">
        <f aca="false">SUMIF($C$2:$F$2,EOMONTH(K$2,-1)+1,$C10:$F10)*VLOOKUP(K$2,Valores!$H$2:$P$154,8,0)</f>
        <v>31696.7648510778</v>
      </c>
      <c r="L10" s="30" t="n">
        <f aca="false">SUMIF($C$2:$F$2,EOMONTH(L$2,-1)+1,$C10:$F10)*VLOOKUP(L$2,Valores!$H$2:$P$154,8,0)</f>
        <v>63393.5297021557</v>
      </c>
      <c r="M10" s="30" t="n">
        <f aca="false">SUMIF($C$2:$F$2,EOMONTH(M$2,-1)+1,$C10:$F10)*VLOOKUP(M$2,Valores!$H$2:$P$154,8,0)</f>
        <v>79241.9121276946</v>
      </c>
      <c r="N10" s="30" t="n">
        <f aca="false">SUMIF($C$2:$F$2,EOMONTH(N$2,-1)+1,$C10:$F10)*VLOOKUP(N$2,Valores!$H$2:$P$154,8,0)</f>
        <v>47545.1472766167</v>
      </c>
      <c r="O10" s="30" t="n">
        <f aca="false">SUMIF($C$2:$F$2,EOMONTH(O$2,-1)+1,$C10:$F10)*VLOOKUP(O$2,Valores!$H$2:$P$154,8,0)</f>
        <v>42262.3531347704</v>
      </c>
      <c r="P10" s="30" t="n">
        <f aca="false">SUMIF($C$2:$F$2,EOMONTH(P$2,-1)+1,$C10:$F10)*VLOOKUP(P$2,Valores!$H$2:$P$154,8,0)</f>
        <v>42262.3531347704</v>
      </c>
      <c r="Q10" s="30" t="n">
        <f aca="false">SUMIF($C$2:$F$2,EOMONTH(Q$2,-1)+1,$C10:$F10)*VLOOKUP(Q$2,Valores!$H$2:$P$154,8,0)</f>
        <v>25357.4118808623</v>
      </c>
      <c r="R10" s="30" t="n">
        <f aca="false">SUMIF($C$2:$F$2,EOMONTH(R$2,-1)+1,$C10:$F10)*VLOOKUP(R$2,Valores!$H$2:$P$154,8,0)</f>
        <v>42262.3531347704</v>
      </c>
      <c r="S10" s="30" t="n">
        <f aca="false">SUMIF($C$2:$F$2,EOMONTH(S$2,-1)+1,$C10:$F10)*VLOOKUP(S$2,Valores!$H$2:$P$154,8,0)</f>
        <v>84524.7062695409</v>
      </c>
      <c r="T10" s="30" t="n">
        <f aca="false">SUMIF($C$2:$F$2,EOMONTH(T$2,-1)+1,$C10:$F10)*VLOOKUP(T$2,Valores!$H$2:$P$154,8,0)</f>
        <v>105655.882836926</v>
      </c>
      <c r="U10" s="30" t="n">
        <f aca="false">SUMIF($C$2:$F$2,EOMONTH(U$2,-1)+1,$C10:$F10)*VLOOKUP(U$2,Valores!$H$2:$P$154,8,0)</f>
        <v>63393.5297021557</v>
      </c>
      <c r="V10" s="30" t="n">
        <f aca="false">SUMIF($C$2:$F$2,EOMONTH(V$2,-1)+1,$C10:$F10)*VLOOKUP(V$2,Valores!$H$2:$P$154,8,0)</f>
        <v>52827.9414184631</v>
      </c>
      <c r="W10" s="30" t="n">
        <f aca="false">SUMIF($C$2:$F$2,EOMONTH(W$2,-1)+1,$C10:$F10)*VLOOKUP(W$2,Valores!$H$2:$P$154,8,0)</f>
        <v>52827.9414184631</v>
      </c>
      <c r="X10" s="30" t="n">
        <f aca="false">SUMIF($C$2:$F$2,EOMONTH(X$2,-1)+1,$C10:$F10)*VLOOKUP(X$2,Valores!$H$2:$P$154,8,0)</f>
        <v>0</v>
      </c>
      <c r="Y10" s="30" t="n">
        <f aca="false">SUMIF($C$2:$F$2,EOMONTH(Y$2,-1)+1,$C10:$F10)*VLOOKUP(Y$2,Valores!$H$2:$P$154,8,0)</f>
        <v>0</v>
      </c>
      <c r="Z10" s="30" t="n">
        <f aca="false">SUMIF($C$2:$F$2,EOMONTH(Z$2,-1)+1,$C10:$F10)*VLOOKUP(Z$2,Valores!$H$2:$P$154,8,0)</f>
        <v>79241.9121276946</v>
      </c>
      <c r="AA10" s="30" t="n">
        <f aca="false">SUMIF($C$2:$F$2,EOMONTH(AA$2,-1)+1,$C10:$F10)*VLOOKUP(AA$2,Valores!$H$2:$P$154,8,0)</f>
        <v>95090.2945532335</v>
      </c>
      <c r="AB10" s="30" t="n">
        <f aca="false">SUMIF($C$2:$F$2,EOMONTH(AB$2,-1)+1,$C10:$F10)*VLOOKUP(AB$2,Valores!$H$2:$P$154,8,0)</f>
        <v>47545.1472766167</v>
      </c>
      <c r="AC10" s="30" t="n">
        <f aca="false">SUMIF($C$2:$F$2,EOMONTH(AC$2,-1)+1,$C10:$F10)*VLOOKUP(AC$2,Valores!$H$2:$P$154,8,0)</f>
        <v>58110.7355603094</v>
      </c>
      <c r="AD10" s="30" t="n">
        <f aca="false">SUMIF($C$2:$F$2,EOMONTH(AD$2,-1)+1,$C10:$F10)*VLOOKUP(AD$2,Valores!$H$2:$P$154,8,0)</f>
        <v>58110.7355603094</v>
      </c>
      <c r="AE10" s="30" t="n">
        <f aca="false">SUMIF($C$2:$F$2,EOMONTH(AE$2,-1)+1,$C10:$F10)*VLOOKUP(AE$2,Valores!$H$2:$P$154,8,0)</f>
        <v>58110.7355603094</v>
      </c>
      <c r="AF10" s="30" t="n">
        <f aca="false">SUMIF($C$2:$F$2,EOMONTH(AF$2,-1)+1,$C10:$F10)*VLOOKUP(AF$2,Valores!$H$2:$P$154,8,0)</f>
        <v>58110.7355603094</v>
      </c>
      <c r="AG10" s="30" t="n">
        <f aca="false">SUMIF($C$2:$F$2,EOMONTH(AG$2,-1)+1,$C10:$F10)*VLOOKUP(AG$2,Valores!$H$2:$P$154,8,0)</f>
        <v>92977.176896495</v>
      </c>
      <c r="AH10" s="30" t="n">
        <f aca="false">SUMIF($C$2:$F$2,EOMONTH(AH$2,-1)+1,$C10:$F10)*VLOOKUP(AH$2,Valores!$H$2:$P$154,8,0)</f>
        <v>116221.471120619</v>
      </c>
      <c r="AI10" s="30" t="n">
        <f aca="false">SUMIF($C$2:$F$2,EOMONTH(AI$2,-1)+1,$C10:$F10)*VLOOKUP(AI$2,Valores!$H$2:$P$154,8,0)</f>
        <v>40677.5148922166</v>
      </c>
      <c r="AJ10" s="30" t="n">
        <f aca="false">SUMIF($C$2:$F$2,EOMONTH(AJ$2,-1)+1,$C10:$F10)*VLOOKUP(AJ$2,Valores!$H$2:$P$154,8,0)</f>
        <v>26413.9707092315</v>
      </c>
      <c r="AK10" s="30" t="n">
        <f aca="false">SUMIF($C$2:$F$2,EOMONTH(AK$2,-1)+1,$C10:$F10)*VLOOKUP(AK$2,Valores!$H$2:$P$154,8,0)</f>
        <v>48167.9254090357</v>
      </c>
      <c r="AL10" s="30" t="n">
        <f aca="false">SUMIF($C$2:$F$2,EOMONTH(AL$2,-1)+1,$C10:$F10)*VLOOKUP(AL$2,Valores!$H$2:$P$154,8,0)</f>
        <v>48167.9254090357</v>
      </c>
      <c r="AM10" s="30" t="n">
        <f aca="false">SUMIF($C$2:$F$2,EOMONTH(AM$2,-1)+1,$C10:$F10)*VLOOKUP(AM$2,Valores!$H$2:$P$154,8,0)</f>
        <v>48167.9254090357</v>
      </c>
      <c r="AN10" s="30" t="n">
        <f aca="false">SUMIF($C$2:$F$2,EOMONTH(AN$2,-1)+1,$C10:$F10)*VLOOKUP(AN$2,Valores!$H$2:$P$154,8,0)</f>
        <v>96335.8508180714</v>
      </c>
      <c r="AO10" s="30" t="n">
        <f aca="false">SUMIF($C$2:$F$2,EOMONTH(AO$2,-1)+1,$C10:$F10)*VLOOKUP(AO$2,Valores!$H$2:$P$154,8,0)</f>
        <v>120419.813522589</v>
      </c>
      <c r="AP10" s="30" t="n">
        <f aca="false">SUMIF($C$2:$F$2,EOMONTH(AP$2,-1)+1,$C10:$F10)*VLOOKUP(AP$2,Valores!$H$2:$P$154,8,0)</f>
        <v>72251.8881135535</v>
      </c>
      <c r="AQ10" s="30" t="n">
        <f aca="false">SUMIF($C$2:$F$2,EOMONTH(AQ$2,-1)+1,$C10:$F10)*VLOOKUP(AQ$2,Valores!$H$2:$P$154,8,0)</f>
        <v>25804.2457548405</v>
      </c>
      <c r="AR10" s="30" t="n">
        <f aca="false">SUMIF($C$2:$F$2,EOMONTH(AR$2,-1)+1,$C10:$F10)*VLOOKUP(AR$2,Valores!$H$2:$P$154,8,0)</f>
        <v>25804.2457548405</v>
      </c>
      <c r="AS10" s="30" t="n">
        <f aca="false">SUMIF($C$2:$F$2,EOMONTH(AS$2,-1)+1,$C10:$F10)*VLOOKUP(AS$2,Valores!$H$2:$P$154,8,0)</f>
        <v>25804.2457548405</v>
      </c>
      <c r="AT10" s="30" t="n">
        <f aca="false">SUMIF($C$2:$F$2,EOMONTH(AT$2,-1)+1,$C10:$F10)*VLOOKUP(AT$2,Valores!$H$2:$P$154,8,0)</f>
        <v>25804.2457548405</v>
      </c>
      <c r="AU10" s="30" t="n">
        <f aca="false">SUMIF($C$2:$F$2,EOMONTH(AU$2,-1)+1,$C10:$F10)*VLOOKUP(AU$2,Valores!$H$2:$P$154,8,0)</f>
        <v>51608.4915096811</v>
      </c>
      <c r="AV10" s="30" t="n">
        <f aca="false">SUMIF($C$2:$F$2,EOMONTH(AV$2,-1)+1,$C10:$F10)*VLOOKUP(AV$2,Valores!$H$2:$P$154,8,0)</f>
        <v>64510.6143871014</v>
      </c>
      <c r="AW10" s="30" t="n">
        <f aca="false">SUMIF($C$2:$F$2,EOMONTH(AW$2,-1)+1,$C10:$F10)*VLOOKUP(AW$2,Valores!$H$2:$P$154,8,0)</f>
        <v>38706.3686322608</v>
      </c>
      <c r="AX10" s="30" t="n">
        <f aca="false">SUMIF($C$2:$F$2,EOMONTH(AX$2,-1)+1,$C10:$F10)*VLOOKUP(AX$2,Valores!$H$2:$P$154,8,0)</f>
        <v>25804.2457548405</v>
      </c>
      <c r="AY10" s="30" t="n">
        <f aca="false">SUMIF($C$2:$F$2,EOMONTH(AY$2,-1)+1,$C10:$F10)*VLOOKUP(AY$2,Valores!$H$2:$P$154,8,0)</f>
        <v>33545.5194812927</v>
      </c>
      <c r="AZ10" s="30" t="n">
        <f aca="false">SUMIF($C$2:$F$2,EOMONTH(AZ$2,-1)+1,$C10:$F10)*VLOOKUP(AZ$2,Valores!$H$2:$P$154,8,0)</f>
        <v>33545.5194812927</v>
      </c>
      <c r="BA10" s="30" t="n">
        <f aca="false">SUMIF($C$2:$F$2,EOMONTH(BA$2,-1)+1,$C10:$F10)*VLOOKUP(BA$2,Valores!$H$2:$P$154,8,0)</f>
        <v>33545.5194812927</v>
      </c>
      <c r="BB10" s="30" t="n">
        <f aca="false">SUMIF($C$2:$F$2,EOMONTH(BB$2,-1)+1,$C10:$F10)*VLOOKUP(BB$2,Valores!$H$2:$P$154,8,0)</f>
        <v>59349.7652361333</v>
      </c>
      <c r="BC10" s="30" t="n">
        <f aca="false">SUMIF($C$2:$F$2,EOMONTH(BC$2,-1)+1,$C10:$F10)*VLOOKUP(BC$2,Valores!$H$2:$P$154,8,0)</f>
        <v>72251.8881135535</v>
      </c>
      <c r="BD10" s="30" t="n">
        <f aca="false">SUMIF($C$2:$F$2,EOMONTH(BD$2,-1)+1,$C10:$F10)*VLOOKUP(BD$2,Valores!$H$2:$P$154,8,0)</f>
        <v>38706.3686322608</v>
      </c>
      <c r="BE10" s="30" t="n">
        <f aca="false">SUMIF($C$2:$F$2,EOMONTH(BE$2,-1)+1,$C10:$F10)*VLOOKUP(BE$2,Valores!$H$2:$P$154,8,0)</f>
        <v>34405.6610064541</v>
      </c>
      <c r="BF10" s="30" t="n">
        <f aca="false">SUMIF($C$2:$F$2,EOMONTH(BF$2,-1)+1,$C10:$F10)*VLOOKUP(BF$2,Valores!$H$2:$P$154,8,0)</f>
        <v>34405.6610064541</v>
      </c>
      <c r="BG10" s="30" t="n">
        <f aca="false">SUMIF($C$2:$F$2,EOMONTH(BG$2,-1)+1,$C10:$F10)*VLOOKUP(BG$2,Valores!$H$2:$P$154,8,0)</f>
        <v>34405.6610064541</v>
      </c>
      <c r="BH10" s="30" t="n">
        <f aca="false">SUMIF($C$2:$F$2,EOMONTH(BH$2,-1)+1,$C10:$F10)*VLOOKUP(BH$2,Valores!$H$2:$P$154,8,0)</f>
        <v>34405.6610064541</v>
      </c>
      <c r="BI10" s="30" t="n">
        <f aca="false">SUMIF($C$2:$F$2,EOMONTH(BI$2,-1)+1,$C10:$F10)*VLOOKUP(BI$2,Valores!$H$2:$P$154,8,0)</f>
        <v>68811.3220129081</v>
      </c>
      <c r="BJ10" s="30" t="n">
        <f aca="false">SUMIF($C$2:$F$2,EOMONTH(BJ$2,-1)+1,$C10:$F10)*VLOOKUP(BJ$2,Valores!$H$2:$P$154,8,0)</f>
        <v>86014.1525161352</v>
      </c>
      <c r="BK10" s="30" t="n">
        <f aca="false">SUMIF($C$2:$F$2,EOMONTH(BK$2,-1)+1,$C10:$F10)*VLOOKUP(BK$2,Valores!$H$2:$P$154,8,0)</f>
        <v>41286.7932077449</v>
      </c>
      <c r="BL10" s="30" t="n">
        <f aca="false">SUMIF($C$2:$F$2,EOMONTH(BL$2,-1)+1,$C10:$F10)*VLOOKUP(BL$2,Valores!$H$2:$P$154,8,0)</f>
        <v>30276.9816856796</v>
      </c>
      <c r="BM10" s="30" t="n">
        <f aca="false">SUMIF($C$2:$F$2,EOMONTH(BM$2,-1)+1,$C10:$F10)*VLOOKUP(BM$2,Valores!$H$2:$P$154,8,0)</f>
        <v>30276.9816856796</v>
      </c>
      <c r="BN10" s="30" t="n">
        <f aca="false">SUMIF($C$2:$F$2,EOMONTH(BN$2,-1)+1,$C10:$F10)*VLOOKUP(BN$2,Valores!$H$2:$P$154,8,0)</f>
        <v>30276.9816856796</v>
      </c>
      <c r="BO10" s="30" t="n">
        <f aca="false">SUMIF($C$2:$F$2,EOMONTH(BO$2,-1)+1,$C10:$F10)*VLOOKUP(BO$2,Valores!$H$2:$P$154,8,0)</f>
        <v>31790.8307699636</v>
      </c>
      <c r="BP10" s="30" t="n">
        <f aca="false">SUMIF($C$2:$F$2,EOMONTH(BP$2,-1)+1,$C10:$F10)*VLOOKUP(BP$2,Valores!$H$2:$P$154,8,0)</f>
        <v>80003.1081419624</v>
      </c>
      <c r="BQ10" s="30" t="n">
        <f aca="false">SUMIF($C$2:$F$2,EOMONTH(BQ$2,-1)+1,$C10:$F10)*VLOOKUP(BQ$2,Valores!$H$2:$P$154,8,0)</f>
        <v>100003.885177453</v>
      </c>
      <c r="BR10" s="30" t="n">
        <f aca="false">SUMIF($C$2:$F$2,EOMONTH(BR$2,-1)+1,$C10:$F10)*VLOOKUP(BR$2,Valores!$H$2:$P$154,8,0)</f>
        <v>48001.8648851774</v>
      </c>
      <c r="BS10" s="30" t="n">
        <f aca="false">SUMIF($C$2:$F$2,EOMONTH(BS$2,-1)+1,$C10:$F10)*VLOOKUP(BS$2,Valores!$H$2:$P$154,8,0)</f>
        <v>21429.4039665971</v>
      </c>
      <c r="BT10" s="30" t="n">
        <f aca="false">SUMIF($C$2:$F$2,EOMONTH(BT$2,-1)+1,$C10:$F10)*VLOOKUP(BT$2,Valores!$H$2:$P$154,8,0)</f>
        <v>21429.4039665971</v>
      </c>
      <c r="BU10" s="30" t="n">
        <f aca="false">SUMIF($C$2:$F$2,EOMONTH(BU$2,-1)+1,$C10:$F10)*VLOOKUP(BU$2,Valores!$H$2:$P$154,8,0)</f>
        <v>21429.4039665971</v>
      </c>
      <c r="BV10" s="30" t="n">
        <f aca="false">SUMIF($C$2:$F$2,EOMONTH(BV$2,-1)+1,$C10:$F10)*VLOOKUP(BV$2,Valores!$H$2:$P$154,8,0)</f>
        <v>21429.4039665971</v>
      </c>
      <c r="BW10" s="30" t="n">
        <f aca="false">SUMIF($C$2:$F$2,EOMONTH(BW$2,-1)+1,$C10:$F10)*VLOOKUP(BW$2,Valores!$H$2:$P$154,8,0)</f>
        <v>42858.8079331941</v>
      </c>
      <c r="BX10" s="30" t="n">
        <f aca="false">SUMIF($C$2:$F$2,EOMONTH(BX$2,-1)+1,$C10:$F10)*VLOOKUP(BX$2,Valores!$H$2:$P$154,8,0)</f>
        <v>53573.5099164927</v>
      </c>
      <c r="BY10" s="30" t="n">
        <f aca="false">SUMIF($C$2:$F$2,EOMONTH(BY$2,-1)+1,$C10:$F10)*VLOOKUP(BY$2,Valores!$H$2:$P$154,8,0)</f>
        <v>32144.1059498956</v>
      </c>
      <c r="BZ10" s="30" t="n">
        <f aca="false">SUMIF($C$2:$F$2,EOMONTH(BZ$2,-1)+1,$C10:$F10)*VLOOKUP(BZ$2,Valores!$H$2:$P$154,8,0)</f>
        <v>21429.4039665971</v>
      </c>
      <c r="CA10" s="30" t="n">
        <f aca="false">SUMIF($C$2:$F$2,EOMONTH(CA$2,-1)+1,$C10:$F10)*VLOOKUP(CA$2,Valores!$H$2:$P$154,8,0)</f>
        <v>21429.4039665971</v>
      </c>
      <c r="CB10" s="30" t="n">
        <f aca="false">SUMIF($C$2:$F$2,EOMONTH(CB$2,-1)+1,$C10:$F10)*VLOOKUP(CB$2,Valores!$H$2:$P$154,8,0)</f>
        <v>21429.4039665971</v>
      </c>
      <c r="CC10" s="30" t="n">
        <f aca="false">SUMIF($C$2:$F$2,EOMONTH(CC$2,-1)+1,$C10:$F10)*VLOOKUP(CC$2,Valores!$H$2:$P$154,8,0)</f>
        <v>21429.4039665971</v>
      </c>
      <c r="CD10" s="30" t="n">
        <f aca="false">SUMIF($C$2:$F$2,EOMONTH(CD$2,-1)+1,$C10:$F10)*VLOOKUP(CD$2,Valores!$H$2:$P$154,8,0)</f>
        <v>64288.2118997912</v>
      </c>
      <c r="CE10" s="30" t="n">
        <f aca="false">SUMIF($C$2:$F$2,EOMONTH(CE$2,-1)+1,$C10:$F10)*VLOOKUP(CE$2,Valores!$H$2:$P$154,8,0)</f>
        <v>85717.6158663883</v>
      </c>
      <c r="CF10" s="30" t="n">
        <f aca="false">SUMIF($C$2:$F$2,EOMONTH(CF$2,-1)+1,$C10:$F10)*VLOOKUP(CF$2,Valores!$H$2:$P$154,8,0)</f>
        <v>53573.5099164927</v>
      </c>
      <c r="CG10" s="30" t="n">
        <f aca="false">SUMIF($C$2:$F$2,EOMONTH(CG$2,-1)+1,$C10:$F10)*VLOOKUP(CG$2,Valores!$H$2:$P$154,8,0)</f>
        <v>28572.5386221294</v>
      </c>
      <c r="CH10" s="30" t="n">
        <f aca="false">SUMIF($C$2:$F$2,EOMONTH(CH$2,-1)+1,$C10:$F10)*VLOOKUP(CH$2,Valores!$H$2:$P$154,8,0)</f>
        <v>28572.5386221294</v>
      </c>
      <c r="CI10" s="30" t="n">
        <f aca="false">SUMIF($C$2:$F$2,EOMONTH(CI$2,-1)+1,$C10:$F10)*VLOOKUP(CI$2,Valores!$H$2:$P$154,8,0)</f>
        <v>28572.5386221294</v>
      </c>
      <c r="CJ10" s="30" t="n">
        <f aca="false">SUMIF($C$2:$F$2,EOMONTH(CJ$2,-1)+1,$C10:$F10)*VLOOKUP(CJ$2,Valores!$H$2:$P$154,8,0)</f>
        <v>28572.5386221294</v>
      </c>
      <c r="CK10" s="30" t="n">
        <f aca="false">SUMIF($C$2:$F$2,EOMONTH(CK$2,-1)+1,$C10:$F10)*VLOOKUP(CK$2,Valores!$H$2:$P$154,8,0)</f>
        <v>57145.0772442589</v>
      </c>
      <c r="CL10" s="30" t="n">
        <f aca="false">SUMIF($C$2:$F$2,EOMONTH(CL$2,-1)+1,$C10:$F10)*VLOOKUP(CL$2,Valores!$H$2:$P$154,8,0)</f>
        <v>71431.3465553236</v>
      </c>
      <c r="CM10" s="30" t="n">
        <f aca="false">SUMIF($C$2:$F$2,EOMONTH(CM$2,-1)+1,$C10:$F10)*VLOOKUP(CM$2,Valores!$H$2:$P$154,8,0)</f>
        <v>42858.8079331941</v>
      </c>
      <c r="CN10" s="30" t="n">
        <f aca="false">SUMIF($C$2:$F$2,EOMONTH(CN$2,-1)+1,$C10:$F10)*VLOOKUP(CN$2,Valores!$H$2:$P$154,8,0)</f>
        <v>31429.7924843424</v>
      </c>
      <c r="CO10" s="30" t="n">
        <f aca="false">SUMIF($C$2:$F$2,EOMONTH(CO$2,-1)+1,$C10:$F10)*VLOOKUP(CO$2,Valores!$H$2:$P$154,8,0)</f>
        <v>31429.7924843424</v>
      </c>
      <c r="CP10" s="30" t="n">
        <f aca="false">SUMIF($C$2:$F$2,EOMONTH(CP$2,-1)+1,$C10:$F10)*VLOOKUP(CP$2,Valores!$H$2:$P$154,8,0)</f>
        <v>31429.7924843424</v>
      </c>
      <c r="CQ10" s="30" t="n">
        <f aca="false">SUMIF($C$2:$F$2,EOMONTH(CQ$2,-1)+1,$C10:$F10)*VLOOKUP(CQ$2,Valores!$H$2:$P$154,8,0)</f>
        <v>31429.7924843424</v>
      </c>
      <c r="CR10" s="30" t="n">
        <f aca="false">SUMIF($C$2:$F$2,EOMONTH(CR$2,-1)+1,$C10:$F10)*VLOOKUP(CR$2,Valores!$H$2:$P$154,8,0)</f>
        <v>62859.5849686847</v>
      </c>
      <c r="CS10" s="30" t="n">
        <f aca="false">SUMIF($C$2:$F$2,EOMONTH(CS$2,-1)+1,$C10:$F10)*VLOOKUP(CS$2,Valores!$H$2:$P$154,8,0)</f>
        <v>94289.3774530271</v>
      </c>
      <c r="CT10" s="30" t="e">
        <f aca="false">SUMIF($C$2:$F$2,EOMONTH(CT$2,-1)+1,$C10:$F10)*VLOOKUP(CT$2,Valores!$H$2:$P$154,8,0)</f>
        <v>#VALUE!</v>
      </c>
      <c r="CU10" s="30" t="e">
        <f aca="false">SUMIF($C$2:$F$2,EOMONTH(CU$2,-1)+1,$C10:$F10)*VLOOKUP(CU$2,Valores!$H$2:$P$154,8,0)</f>
        <v>#VALUE!</v>
      </c>
      <c r="CV10" s="30" t="e">
        <f aca="false">SUMIF($C$2:$F$2,EOMONTH(CV$2,-1)+1,$C10:$F10)*VLOOKUP(CV$2,Valores!$H$2:$P$154,8,0)</f>
        <v>#VALUE!</v>
      </c>
      <c r="CW10" s="30" t="e">
        <f aca="false">SUMIF($C$2:$F$2,EOMONTH(CW$2,-1)+1,$C10:$F10)*VLOOKUP(CW$2,Valores!$H$2:$P$154,8,0)</f>
        <v>#VALUE!</v>
      </c>
      <c r="CX10" s="30" t="e">
        <f aca="false">SUMIF($C$2:$F$2,EOMONTH(CX$2,-1)+1,$C10:$F10)*VLOOKUP(CX$2,Valores!$H$2:$P$154,8,0)</f>
        <v>#VALUE!</v>
      </c>
      <c r="CY10" s="30" t="e">
        <f aca="false">SUMIF($C$2:$F$2,EOMONTH(CY$2,-1)+1,$C10:$F10)*VLOOKUP(CY$2,Valores!$H$2:$P$154,8,0)</f>
        <v>#VALUE!</v>
      </c>
      <c r="CZ10" s="30" t="e">
        <f aca="false">SUMIF($C$2:$F$2,EOMONTH(CZ$2,-1)+1,$C10:$F10)*VLOOKUP(CZ$2,Valores!$H$2:$P$154,8,0)</f>
        <v>#VALUE!</v>
      </c>
      <c r="DA10" s="30" t="e">
        <f aca="false">SUMIF($C$2:$F$2,EOMONTH(DA$2,-1)+1,$C10:$F10)*VLOOKUP(DA$2,Valores!$H$2:$P$154,8,0)</f>
        <v>#VALUE!</v>
      </c>
      <c r="DB10" s="30" t="e">
        <f aca="false">SUMIF($C$2:$F$2,EOMONTH(DB$2,-1)+1,$C10:$F10)*VLOOKUP(DB$2,Valores!$H$2:$P$154,8,0)</f>
        <v>#VALUE!</v>
      </c>
      <c r="DC10" s="30" t="e">
        <f aca="false">SUMIF($C$2:$F$2,EOMONTH(DC$2,-1)+1,$C10:$F10)*VLOOKUP(DC$2,Valores!$H$2:$P$154,8,0)</f>
        <v>#VALUE!</v>
      </c>
      <c r="DD10" s="30" t="e">
        <f aca="false">SUMIF($C$2:$F$2,EOMONTH(DD$2,-1)+1,$C10:$F10)*VLOOKUP(DD$2,Valores!$H$2:$P$154,8,0)</f>
        <v>#VALUE!</v>
      </c>
      <c r="DE10" s="30" t="e">
        <f aca="false">SUMIF($C$2:$F$2,EOMONTH(DE$2,-1)+1,$C10:$F10)*VLOOKUP(DE$2,Valores!$H$2:$P$154,8,0)</f>
        <v>#VALUE!</v>
      </c>
      <c r="DF10" s="30" t="e">
        <f aca="false">SUMIF($C$2:$F$2,EOMONTH(DF$2,-1)+1,$C10:$F10)*VLOOKUP(DF$2,Valores!$H$2:$P$154,8,0)</f>
        <v>#VALUE!</v>
      </c>
      <c r="DG10" s="30" t="e">
        <f aca="false">SUMIF($C$2:$F$2,EOMONTH(DG$2,-1)+1,$C10:$F10)*VLOOKUP(DG$2,Valores!$H$2:$P$154,8,0)</f>
        <v>#VALUE!</v>
      </c>
      <c r="DH10" s="30" t="e">
        <f aca="false">SUMIF($C$2:$F$2,EOMONTH(DH$2,-1)+1,$C10:$F10)*VLOOKUP(DH$2,Valores!$H$2:$P$154,8,0)</f>
        <v>#VALUE!</v>
      </c>
      <c r="DI10" s="30" t="e">
        <f aca="false">SUMIF($C$2:$F$2,EOMONTH(DI$2,-1)+1,$C10:$F10)*VLOOKUP(DI$2,Valores!$H$2:$P$154,8,0)</f>
        <v>#VALUE!</v>
      </c>
      <c r="DJ10" s="30" t="e">
        <f aca="false">SUMIF($C$2:$F$2,EOMONTH(DJ$2,-1)+1,$C10:$F10)*VLOOKUP(DJ$2,Valores!$H$2:$P$154,8,0)</f>
        <v>#VALUE!</v>
      </c>
      <c r="DK10" s="30" t="e">
        <f aca="false">SUMIF($C$2:$F$2,EOMONTH(DK$2,-1)+1,$C10:$F10)*VLOOKUP(DK$2,Valores!$H$2:$P$154,8,0)</f>
        <v>#VALUE!</v>
      </c>
      <c r="DL10" s="30" t="e">
        <f aca="false">SUMIF($C$2:$F$2,EOMONTH(DL$2,-1)+1,$C10:$F10)*VLOOKUP(DL$2,Valores!$H$2:$P$154,8,0)</f>
        <v>#VALUE!</v>
      </c>
      <c r="DM10" s="30" t="e">
        <f aca="false">SUMIF($C$2:$F$2,EOMONTH(DM$2,-1)+1,$C10:$F10)*VLOOKUP(DM$2,Valores!$H$2:$P$154,8,0)</f>
        <v>#VALUE!</v>
      </c>
      <c r="DN10" s="30" t="e">
        <f aca="false">SUMIF($C$2:$F$2,EOMONTH(DN$2,-1)+1,$C10:$F10)*VLOOKUP(DN$2,Valores!$H$2:$P$154,8,0)</f>
        <v>#VALUE!</v>
      </c>
      <c r="DO10" s="30" t="e">
        <f aca="false">SUMIF($C$2:$F$2,EOMONTH(DO$2,-1)+1,$C10:$F10)*VLOOKUP(DO$2,Valores!$H$2:$P$154,8,0)</f>
        <v>#VALUE!</v>
      </c>
      <c r="DP10" s="30" t="e">
        <f aca="false">SUMIF($C$2:$F$2,EOMONTH(DP$2,-1)+1,$C10:$F10)*VLOOKUP(DP$2,Valores!$H$2:$P$154,8,0)</f>
        <v>#VALUE!</v>
      </c>
      <c r="DQ10" s="30" t="e">
        <f aca="false">SUMIF($C$2:$F$2,EOMONTH(DQ$2,-1)+1,$C10:$F10)*VLOOKUP(DQ$2,Valores!$H$2:$P$154,8,0)</f>
        <v>#VALUE!</v>
      </c>
      <c r="DR10" s="30" t="e">
        <f aca="false">SUMIF($C$2:$F$2,EOMONTH(DR$2,-1)+1,$C10:$F10)*VLOOKUP(DR$2,Valores!$H$2:$P$154,8,0)</f>
        <v>#VALUE!</v>
      </c>
      <c r="DS10" s="30" t="e">
        <f aca="false">SUMIF($C$2:$F$2,EOMONTH(DS$2,-1)+1,$C10:$F10)*VLOOKUP(DS$2,Valores!$H$2:$P$154,8,0)</f>
        <v>#VALUE!</v>
      </c>
      <c r="DT10" s="30" t="e">
        <f aca="false">SUMIF($C$2:$F$2,EOMONTH(DT$2,-1)+1,$C10:$F10)*VLOOKUP(DT$2,Valores!$H$2:$P$154,8,0)</f>
        <v>#VALUE!</v>
      </c>
      <c r="DU10" s="30" t="e">
        <f aca="false">SUMIF($C$2:$F$2,EOMONTH(DU$2,-1)+1,$C10:$F10)*VLOOKUP(DU$2,Valores!$H$2:$P$154,8,0)</f>
        <v>#VALUE!</v>
      </c>
      <c r="DV10" s="30" t="e">
        <f aca="false">SUMIF($C$2:$F$2,EOMONTH(DV$2,-1)+1,$C10:$F10)*VLOOKUP(DV$2,Valores!$H$2:$P$154,8,0)</f>
        <v>#VALUE!</v>
      </c>
      <c r="DW10" s="30" t="e">
        <f aca="false">SUMIF($C$2:$F$2,EOMONTH(DW$2,-1)+1,$C10:$F10)*VLOOKUP(DW$2,Valores!$H$2:$P$154,8,0)</f>
        <v>#VALUE!</v>
      </c>
      <c r="DX10" s="30" t="e">
        <f aca="false">SUMIF($C$2:$F$2,EOMONTH(DX$2,-1)+1,$C10:$F10)*VLOOKUP(DX$2,Valores!$H$2:$P$154,8,0)</f>
        <v>#VALUE!</v>
      </c>
    </row>
    <row r="11" customFormat="false" ht="13.8" hidden="false" customHeight="false" outlineLevel="0" collapsed="false">
      <c r="A11" s="31" t="s">
        <v>23</v>
      </c>
      <c r="B11" s="31" t="s">
        <v>32</v>
      </c>
      <c r="C11" s="31" t="n">
        <v>1512890</v>
      </c>
      <c r="D11" s="31" t="n">
        <v>1361601</v>
      </c>
      <c r="E11" s="31" t="n">
        <v>1225440.9</v>
      </c>
      <c r="F11" s="31" t="n">
        <v>1102896.81</v>
      </c>
      <c r="G11" s="27" t="n">
        <f aca="false">SUMIF($C$2:$F$2,EOMONTH(G$2,-1)+1,$C11:$F11)*VLOOKUP(G$2,Valores!$H$2:$P$154,8,0)</f>
        <v>43566.8504196149</v>
      </c>
      <c r="H11" s="27" t="n">
        <f aca="false">SUMIF($C$2:$F$2,EOMONTH(H$2,-1)+1,$C11:$F11)*VLOOKUP(H$2,Valores!$H$2:$P$154,8,0)</f>
        <v>29874.4117163074</v>
      </c>
      <c r="I11" s="27" t="n">
        <f aca="false">SUMIF($C$2:$F$2,EOMONTH(I$2,-1)+1,$C11:$F11)*VLOOKUP(I$2,Valores!$H$2:$P$154,8,0)</f>
        <v>29874.4117163074</v>
      </c>
      <c r="J11" s="27" t="n">
        <f aca="false">SUMIF($C$2:$F$2,EOMONTH(J$2,-1)+1,$C11:$F11)*VLOOKUP(J$2,Valores!$H$2:$P$154,8,0)</f>
        <v>29874.4117163074</v>
      </c>
      <c r="K11" s="27" t="n">
        <f aca="false">SUMIF($C$2:$F$2,EOMONTH(K$2,-1)+1,$C11:$F11)*VLOOKUP(K$2,Valores!$H$2:$P$154,8,0)</f>
        <v>29874.4117163074</v>
      </c>
      <c r="L11" s="27" t="n">
        <f aca="false">SUMIF($C$2:$F$2,EOMONTH(L$2,-1)+1,$C11:$F11)*VLOOKUP(L$2,Valores!$H$2:$P$154,8,0)</f>
        <v>59748.8234326148</v>
      </c>
      <c r="M11" s="27" t="n">
        <f aca="false">SUMIF($C$2:$F$2,EOMONTH(M$2,-1)+1,$C11:$F11)*VLOOKUP(M$2,Valores!$H$2:$P$154,8,0)</f>
        <v>74686.0292907684</v>
      </c>
      <c r="N11" s="27" t="n">
        <f aca="false">SUMIF($C$2:$F$2,EOMONTH(N$2,-1)+1,$C11:$F11)*VLOOKUP(N$2,Valores!$H$2:$P$154,8,0)</f>
        <v>44811.6175744611</v>
      </c>
      <c r="O11" s="27" t="n">
        <f aca="false">SUMIF($C$2:$F$2,EOMONTH(O$2,-1)+1,$C11:$F11)*VLOOKUP(O$2,Valores!$H$2:$P$154,8,0)</f>
        <v>39832.5489550765</v>
      </c>
      <c r="P11" s="27" t="n">
        <f aca="false">SUMIF($C$2:$F$2,EOMONTH(P$2,-1)+1,$C11:$F11)*VLOOKUP(P$2,Valores!$H$2:$P$154,8,0)</f>
        <v>39832.5489550765</v>
      </c>
      <c r="Q11" s="27" t="n">
        <f aca="false">SUMIF($C$2:$F$2,EOMONTH(Q$2,-1)+1,$C11:$F11)*VLOOKUP(Q$2,Valores!$H$2:$P$154,8,0)</f>
        <v>23899.5293730459</v>
      </c>
      <c r="R11" s="27" t="n">
        <f aca="false">SUMIF($C$2:$F$2,EOMONTH(R$2,-1)+1,$C11:$F11)*VLOOKUP(R$2,Valores!$H$2:$P$154,8,0)</f>
        <v>39832.5489550765</v>
      </c>
      <c r="S11" s="27" t="n">
        <f aca="false">SUMIF($C$2:$F$2,EOMONTH(S$2,-1)+1,$C11:$F11)*VLOOKUP(S$2,Valores!$H$2:$P$154,8,0)</f>
        <v>79665.097910153</v>
      </c>
      <c r="T11" s="27" t="n">
        <f aca="false">SUMIF($C$2:$F$2,EOMONTH(T$2,-1)+1,$C11:$F11)*VLOOKUP(T$2,Valores!$H$2:$P$154,8,0)</f>
        <v>99581.3723876913</v>
      </c>
      <c r="U11" s="27" t="n">
        <f aca="false">SUMIF($C$2:$F$2,EOMONTH(U$2,-1)+1,$C11:$F11)*VLOOKUP(U$2,Valores!$H$2:$P$154,8,0)</f>
        <v>59748.8234326148</v>
      </c>
      <c r="V11" s="27" t="n">
        <f aca="false">SUMIF($C$2:$F$2,EOMONTH(V$2,-1)+1,$C11:$F11)*VLOOKUP(V$2,Valores!$H$2:$P$154,8,0)</f>
        <v>49790.6861938457</v>
      </c>
      <c r="W11" s="27" t="n">
        <f aca="false">SUMIF($C$2:$F$2,EOMONTH(W$2,-1)+1,$C11:$F11)*VLOOKUP(W$2,Valores!$H$2:$P$154,8,0)</f>
        <v>49790.6861938457</v>
      </c>
      <c r="X11" s="27" t="n">
        <f aca="false">SUMIF($C$2:$F$2,EOMONTH(X$2,-1)+1,$C11:$F11)*VLOOKUP(X$2,Valores!$H$2:$P$154,8,0)</f>
        <v>0</v>
      </c>
      <c r="Y11" s="27" t="n">
        <f aca="false">SUMIF($C$2:$F$2,EOMONTH(Y$2,-1)+1,$C11:$F11)*VLOOKUP(Y$2,Valores!$H$2:$P$154,8,0)</f>
        <v>0</v>
      </c>
      <c r="Z11" s="27" t="n">
        <f aca="false">SUMIF($C$2:$F$2,EOMONTH(Z$2,-1)+1,$C11:$F11)*VLOOKUP(Z$2,Valores!$H$2:$P$154,8,0)</f>
        <v>74686.0292907684</v>
      </c>
      <c r="AA11" s="27" t="n">
        <f aca="false">SUMIF($C$2:$F$2,EOMONTH(AA$2,-1)+1,$C11:$F11)*VLOOKUP(AA$2,Valores!$H$2:$P$154,8,0)</f>
        <v>89623.2351489221</v>
      </c>
      <c r="AB11" s="27" t="n">
        <f aca="false">SUMIF($C$2:$F$2,EOMONTH(AB$2,-1)+1,$C11:$F11)*VLOOKUP(AB$2,Valores!$H$2:$P$154,8,0)</f>
        <v>44811.6175744611</v>
      </c>
      <c r="AC11" s="27" t="n">
        <f aca="false">SUMIF($C$2:$F$2,EOMONTH(AC$2,-1)+1,$C11:$F11)*VLOOKUP(AC$2,Valores!$H$2:$P$154,8,0)</f>
        <v>54769.7548132302</v>
      </c>
      <c r="AD11" s="27" t="n">
        <f aca="false">SUMIF($C$2:$F$2,EOMONTH(AD$2,-1)+1,$C11:$F11)*VLOOKUP(AD$2,Valores!$H$2:$P$154,8,0)</f>
        <v>54769.7548132302</v>
      </c>
      <c r="AE11" s="27" t="n">
        <f aca="false">SUMIF($C$2:$F$2,EOMONTH(AE$2,-1)+1,$C11:$F11)*VLOOKUP(AE$2,Valores!$H$2:$P$154,8,0)</f>
        <v>54769.7548132302</v>
      </c>
      <c r="AF11" s="27" t="n">
        <f aca="false">SUMIF($C$2:$F$2,EOMONTH(AF$2,-1)+1,$C11:$F11)*VLOOKUP(AF$2,Valores!$H$2:$P$154,8,0)</f>
        <v>54769.7548132302</v>
      </c>
      <c r="AG11" s="27" t="n">
        <f aca="false">SUMIF($C$2:$F$2,EOMONTH(AG$2,-1)+1,$C11:$F11)*VLOOKUP(AG$2,Valores!$H$2:$P$154,8,0)</f>
        <v>87631.6077011683</v>
      </c>
      <c r="AH11" s="27" t="n">
        <f aca="false">SUMIF($C$2:$F$2,EOMONTH(AH$2,-1)+1,$C11:$F11)*VLOOKUP(AH$2,Valores!$H$2:$P$154,8,0)</f>
        <v>109539.50962646</v>
      </c>
      <c r="AI11" s="27" t="n">
        <f aca="false">SUMIF($C$2:$F$2,EOMONTH(AI$2,-1)+1,$C11:$F11)*VLOOKUP(AI$2,Valores!$H$2:$P$154,8,0)</f>
        <v>38338.8283692611</v>
      </c>
      <c r="AJ11" s="27" t="n">
        <f aca="false">SUMIF($C$2:$F$2,EOMONTH(AJ$2,-1)+1,$C11:$F11)*VLOOKUP(AJ$2,Valores!$H$2:$P$154,8,0)</f>
        <v>24895.3430969228</v>
      </c>
      <c r="AK11" s="27" t="n">
        <f aca="false">SUMIF($C$2:$F$2,EOMONTH(AK$2,-1)+1,$C11:$F11)*VLOOKUP(AK$2,Valores!$H$2:$P$154,8,0)</f>
        <v>45398.5901069328</v>
      </c>
      <c r="AL11" s="27" t="n">
        <f aca="false">SUMIF($C$2:$F$2,EOMONTH(AL$2,-1)+1,$C11:$F11)*VLOOKUP(AL$2,Valores!$H$2:$P$154,8,0)</f>
        <v>45398.5901069328</v>
      </c>
      <c r="AM11" s="27" t="n">
        <f aca="false">SUMIF($C$2:$F$2,EOMONTH(AM$2,-1)+1,$C11:$F11)*VLOOKUP(AM$2,Valores!$H$2:$P$154,8,0)</f>
        <v>45398.5901069328</v>
      </c>
      <c r="AN11" s="27" t="n">
        <f aca="false">SUMIF($C$2:$F$2,EOMONTH(AN$2,-1)+1,$C11:$F11)*VLOOKUP(AN$2,Valores!$H$2:$P$154,8,0)</f>
        <v>90797.1802138655</v>
      </c>
      <c r="AO11" s="27" t="n">
        <f aca="false">SUMIF($C$2:$F$2,EOMONTH(AO$2,-1)+1,$C11:$F11)*VLOOKUP(AO$2,Valores!$H$2:$P$154,8,0)</f>
        <v>113496.475267332</v>
      </c>
      <c r="AP11" s="27" t="n">
        <f aca="false">SUMIF($C$2:$F$2,EOMONTH(AP$2,-1)+1,$C11:$F11)*VLOOKUP(AP$2,Valores!$H$2:$P$154,8,0)</f>
        <v>68097.8851603991</v>
      </c>
      <c r="AQ11" s="27" t="n">
        <f aca="false">SUMIF($C$2:$F$2,EOMONTH(AQ$2,-1)+1,$C11:$F11)*VLOOKUP(AQ$2,Valores!$H$2:$P$154,8,0)</f>
        <v>24320.6732715711</v>
      </c>
      <c r="AR11" s="27" t="n">
        <f aca="false">SUMIF($C$2:$F$2,EOMONTH(AR$2,-1)+1,$C11:$F11)*VLOOKUP(AR$2,Valores!$H$2:$P$154,8,0)</f>
        <v>24320.6732715711</v>
      </c>
      <c r="AS11" s="27" t="n">
        <f aca="false">SUMIF($C$2:$F$2,EOMONTH(AS$2,-1)+1,$C11:$F11)*VLOOKUP(AS$2,Valores!$H$2:$P$154,8,0)</f>
        <v>24320.6732715711</v>
      </c>
      <c r="AT11" s="27" t="n">
        <f aca="false">SUMIF($C$2:$F$2,EOMONTH(AT$2,-1)+1,$C11:$F11)*VLOOKUP(AT$2,Valores!$H$2:$P$154,8,0)</f>
        <v>24320.6732715711</v>
      </c>
      <c r="AU11" s="27" t="n">
        <f aca="false">SUMIF($C$2:$F$2,EOMONTH(AU$2,-1)+1,$C11:$F11)*VLOOKUP(AU$2,Valores!$H$2:$P$154,8,0)</f>
        <v>48641.3465431422</v>
      </c>
      <c r="AV11" s="27" t="n">
        <f aca="false">SUMIF($C$2:$F$2,EOMONTH(AV$2,-1)+1,$C11:$F11)*VLOOKUP(AV$2,Valores!$H$2:$P$154,8,0)</f>
        <v>60801.6831789278</v>
      </c>
      <c r="AW11" s="27" t="n">
        <f aca="false">SUMIF($C$2:$F$2,EOMONTH(AW$2,-1)+1,$C11:$F11)*VLOOKUP(AW$2,Valores!$H$2:$P$154,8,0)</f>
        <v>36481.0099073567</v>
      </c>
      <c r="AX11" s="27" t="n">
        <f aca="false">SUMIF($C$2:$F$2,EOMONTH(AX$2,-1)+1,$C11:$F11)*VLOOKUP(AX$2,Valores!$H$2:$P$154,8,0)</f>
        <v>24320.6732715711</v>
      </c>
      <c r="AY11" s="27" t="n">
        <f aca="false">SUMIF($C$2:$F$2,EOMONTH(AY$2,-1)+1,$C11:$F11)*VLOOKUP(AY$2,Valores!$H$2:$P$154,8,0)</f>
        <v>31616.8752530425</v>
      </c>
      <c r="AZ11" s="27" t="n">
        <f aca="false">SUMIF($C$2:$F$2,EOMONTH(AZ$2,-1)+1,$C11:$F11)*VLOOKUP(AZ$2,Valores!$H$2:$P$154,8,0)</f>
        <v>31616.8752530425</v>
      </c>
      <c r="BA11" s="27" t="n">
        <f aca="false">SUMIF($C$2:$F$2,EOMONTH(BA$2,-1)+1,$C11:$F11)*VLOOKUP(BA$2,Valores!$H$2:$P$154,8,0)</f>
        <v>31616.8752530425</v>
      </c>
      <c r="BB11" s="27" t="n">
        <f aca="false">SUMIF($C$2:$F$2,EOMONTH(BB$2,-1)+1,$C11:$F11)*VLOOKUP(BB$2,Valores!$H$2:$P$154,8,0)</f>
        <v>55937.5485246136</v>
      </c>
      <c r="BC11" s="27" t="n">
        <f aca="false">SUMIF($C$2:$F$2,EOMONTH(BC$2,-1)+1,$C11:$F11)*VLOOKUP(BC$2,Valores!$H$2:$P$154,8,0)</f>
        <v>68097.8851603991</v>
      </c>
      <c r="BD11" s="27" t="n">
        <f aca="false">SUMIF($C$2:$F$2,EOMONTH(BD$2,-1)+1,$C11:$F11)*VLOOKUP(BD$2,Valores!$H$2:$P$154,8,0)</f>
        <v>36481.0099073567</v>
      </c>
      <c r="BE11" s="27" t="n">
        <f aca="false">SUMIF($C$2:$F$2,EOMONTH(BE$2,-1)+1,$C11:$F11)*VLOOKUP(BE$2,Valores!$H$2:$P$154,8,0)</f>
        <v>32427.5643620948</v>
      </c>
      <c r="BF11" s="27" t="n">
        <f aca="false">SUMIF($C$2:$F$2,EOMONTH(BF$2,-1)+1,$C11:$F11)*VLOOKUP(BF$2,Valores!$H$2:$P$154,8,0)</f>
        <v>32427.5643620948</v>
      </c>
      <c r="BG11" s="27" t="n">
        <f aca="false">SUMIF($C$2:$F$2,EOMONTH(BG$2,-1)+1,$C11:$F11)*VLOOKUP(BG$2,Valores!$H$2:$P$154,8,0)</f>
        <v>32427.5643620948</v>
      </c>
      <c r="BH11" s="27" t="n">
        <f aca="false">SUMIF($C$2:$F$2,EOMONTH(BH$2,-1)+1,$C11:$F11)*VLOOKUP(BH$2,Valores!$H$2:$P$154,8,0)</f>
        <v>32427.5643620948</v>
      </c>
      <c r="BI11" s="27" t="n">
        <f aca="false">SUMIF($C$2:$F$2,EOMONTH(BI$2,-1)+1,$C11:$F11)*VLOOKUP(BI$2,Valores!$H$2:$P$154,8,0)</f>
        <v>64855.1287241897</v>
      </c>
      <c r="BJ11" s="27" t="n">
        <f aca="false">SUMIF($C$2:$F$2,EOMONTH(BJ$2,-1)+1,$C11:$F11)*VLOOKUP(BJ$2,Valores!$H$2:$P$154,8,0)</f>
        <v>81068.9109052371</v>
      </c>
      <c r="BK11" s="27" t="n">
        <f aca="false">SUMIF($C$2:$F$2,EOMONTH(BK$2,-1)+1,$C11:$F11)*VLOOKUP(BK$2,Valores!$H$2:$P$154,8,0)</f>
        <v>38913.0772345138</v>
      </c>
      <c r="BL11" s="27" t="n">
        <f aca="false">SUMIF($C$2:$F$2,EOMONTH(BL$2,-1)+1,$C11:$F11)*VLOOKUP(BL$2,Valores!$H$2:$P$154,8,0)</f>
        <v>28536.2566386434</v>
      </c>
      <c r="BM11" s="27" t="n">
        <f aca="false">SUMIF($C$2:$F$2,EOMONTH(BM$2,-1)+1,$C11:$F11)*VLOOKUP(BM$2,Valores!$H$2:$P$154,8,0)</f>
        <v>28536.2566386434</v>
      </c>
      <c r="BN11" s="27" t="n">
        <f aca="false">SUMIF($C$2:$F$2,EOMONTH(BN$2,-1)+1,$C11:$F11)*VLOOKUP(BN$2,Valores!$H$2:$P$154,8,0)</f>
        <v>28536.2566386434</v>
      </c>
      <c r="BO11" s="27" t="n">
        <f aca="false">SUMIF($C$2:$F$2,EOMONTH(BO$2,-1)+1,$C11:$F11)*VLOOKUP(BO$2,Valores!$H$2:$P$154,8,0)</f>
        <v>29963.0694705756</v>
      </c>
      <c r="BP11" s="27" t="n">
        <f aca="false">SUMIF($C$2:$F$2,EOMONTH(BP$2,-1)+1,$C11:$F11)*VLOOKUP(BP$2,Valores!$H$2:$P$154,8,0)</f>
        <v>75403.4615976266</v>
      </c>
      <c r="BQ11" s="27" t="n">
        <f aca="false">SUMIF($C$2:$F$2,EOMONTH(BQ$2,-1)+1,$C11:$F11)*VLOOKUP(BQ$2,Valores!$H$2:$P$154,8,0)</f>
        <v>94254.3269970333</v>
      </c>
      <c r="BR11" s="27" t="n">
        <f aca="false">SUMIF($C$2:$F$2,EOMONTH(BR$2,-1)+1,$C11:$F11)*VLOOKUP(BR$2,Valores!$H$2:$P$154,8,0)</f>
        <v>45242.076958576</v>
      </c>
      <c r="BS11" s="27" t="n">
        <f aca="false">SUMIF($C$2:$F$2,EOMONTH(BS$2,-1)+1,$C11:$F11)*VLOOKUP(BS$2,Valores!$H$2:$P$154,8,0)</f>
        <v>20197.3557850786</v>
      </c>
      <c r="BT11" s="27" t="n">
        <f aca="false">SUMIF($C$2:$F$2,EOMONTH(BT$2,-1)+1,$C11:$F11)*VLOOKUP(BT$2,Valores!$H$2:$P$154,8,0)</f>
        <v>20197.3557850786</v>
      </c>
      <c r="BU11" s="27" t="n">
        <f aca="false">SUMIF($C$2:$F$2,EOMONTH(BU$2,-1)+1,$C11:$F11)*VLOOKUP(BU$2,Valores!$H$2:$P$154,8,0)</f>
        <v>20197.3557850786</v>
      </c>
      <c r="BV11" s="27" t="n">
        <f aca="false">SUMIF($C$2:$F$2,EOMONTH(BV$2,-1)+1,$C11:$F11)*VLOOKUP(BV$2,Valores!$H$2:$P$154,8,0)</f>
        <v>20197.3557850786</v>
      </c>
      <c r="BW11" s="27" t="n">
        <f aca="false">SUMIF($C$2:$F$2,EOMONTH(BW$2,-1)+1,$C11:$F11)*VLOOKUP(BW$2,Valores!$H$2:$P$154,8,0)</f>
        <v>40394.7115701571</v>
      </c>
      <c r="BX11" s="27" t="n">
        <f aca="false">SUMIF($C$2:$F$2,EOMONTH(BX$2,-1)+1,$C11:$F11)*VLOOKUP(BX$2,Valores!$H$2:$P$154,8,0)</f>
        <v>50493.3894626964</v>
      </c>
      <c r="BY11" s="27" t="n">
        <f aca="false">SUMIF($C$2:$F$2,EOMONTH(BY$2,-1)+1,$C11:$F11)*VLOOKUP(BY$2,Valores!$H$2:$P$154,8,0)</f>
        <v>30296.0336776178</v>
      </c>
      <c r="BZ11" s="27" t="n">
        <f aca="false">SUMIF($C$2:$F$2,EOMONTH(BZ$2,-1)+1,$C11:$F11)*VLOOKUP(BZ$2,Valores!$H$2:$P$154,8,0)</f>
        <v>20197.3557850786</v>
      </c>
      <c r="CA11" s="27" t="n">
        <f aca="false">SUMIF($C$2:$F$2,EOMONTH(CA$2,-1)+1,$C11:$F11)*VLOOKUP(CA$2,Valores!$H$2:$P$154,8,0)</f>
        <v>20197.3557850786</v>
      </c>
      <c r="CB11" s="27" t="n">
        <f aca="false">SUMIF($C$2:$F$2,EOMONTH(CB$2,-1)+1,$C11:$F11)*VLOOKUP(CB$2,Valores!$H$2:$P$154,8,0)</f>
        <v>20197.3557850786</v>
      </c>
      <c r="CC11" s="27" t="n">
        <f aca="false">SUMIF($C$2:$F$2,EOMONTH(CC$2,-1)+1,$C11:$F11)*VLOOKUP(CC$2,Valores!$H$2:$P$154,8,0)</f>
        <v>20197.3557850786</v>
      </c>
      <c r="CD11" s="27" t="n">
        <f aca="false">SUMIF($C$2:$F$2,EOMONTH(CD$2,-1)+1,$C11:$F11)*VLOOKUP(CD$2,Valores!$H$2:$P$154,8,0)</f>
        <v>60592.0673552357</v>
      </c>
      <c r="CE11" s="27" t="n">
        <f aca="false">SUMIF($C$2:$F$2,EOMONTH(CE$2,-1)+1,$C11:$F11)*VLOOKUP(CE$2,Valores!$H$2:$P$154,8,0)</f>
        <v>80789.4231403142</v>
      </c>
      <c r="CF11" s="27" t="n">
        <f aca="false">SUMIF($C$2:$F$2,EOMONTH(CF$2,-1)+1,$C11:$F11)*VLOOKUP(CF$2,Valores!$H$2:$P$154,8,0)</f>
        <v>50493.3894626964</v>
      </c>
      <c r="CG11" s="27" t="n">
        <f aca="false">SUMIF($C$2:$F$2,EOMONTH(CG$2,-1)+1,$C11:$F11)*VLOOKUP(CG$2,Valores!$H$2:$P$154,8,0)</f>
        <v>26929.8077134381</v>
      </c>
      <c r="CH11" s="27" t="n">
        <f aca="false">SUMIF($C$2:$F$2,EOMONTH(CH$2,-1)+1,$C11:$F11)*VLOOKUP(CH$2,Valores!$H$2:$P$154,8,0)</f>
        <v>26929.8077134381</v>
      </c>
      <c r="CI11" s="27" t="n">
        <f aca="false">SUMIF($C$2:$F$2,EOMONTH(CI$2,-1)+1,$C11:$F11)*VLOOKUP(CI$2,Valores!$H$2:$P$154,8,0)</f>
        <v>26929.8077134381</v>
      </c>
      <c r="CJ11" s="27" t="n">
        <f aca="false">SUMIF($C$2:$F$2,EOMONTH(CJ$2,-1)+1,$C11:$F11)*VLOOKUP(CJ$2,Valores!$H$2:$P$154,8,0)</f>
        <v>26929.8077134381</v>
      </c>
      <c r="CK11" s="27" t="n">
        <f aca="false">SUMIF($C$2:$F$2,EOMONTH(CK$2,-1)+1,$C11:$F11)*VLOOKUP(CK$2,Valores!$H$2:$P$154,8,0)</f>
        <v>53859.6154268762</v>
      </c>
      <c r="CL11" s="27" t="n">
        <f aca="false">SUMIF($C$2:$F$2,EOMONTH(CL$2,-1)+1,$C11:$F11)*VLOOKUP(CL$2,Valores!$H$2:$P$154,8,0)</f>
        <v>67324.5192835952</v>
      </c>
      <c r="CM11" s="27" t="n">
        <f aca="false">SUMIF($C$2:$F$2,EOMONTH(CM$2,-1)+1,$C11:$F11)*VLOOKUP(CM$2,Valores!$H$2:$P$154,8,0)</f>
        <v>40394.7115701571</v>
      </c>
      <c r="CN11" s="27" t="n">
        <f aca="false">SUMIF($C$2:$F$2,EOMONTH(CN$2,-1)+1,$C11:$F11)*VLOOKUP(CN$2,Valores!$H$2:$P$154,8,0)</f>
        <v>29622.7884847819</v>
      </c>
      <c r="CO11" s="27" t="n">
        <f aca="false">SUMIF($C$2:$F$2,EOMONTH(CO$2,-1)+1,$C11:$F11)*VLOOKUP(CO$2,Valores!$H$2:$P$154,8,0)</f>
        <v>29622.7884847819</v>
      </c>
      <c r="CP11" s="27" t="n">
        <f aca="false">SUMIF($C$2:$F$2,EOMONTH(CP$2,-1)+1,$C11:$F11)*VLOOKUP(CP$2,Valores!$H$2:$P$154,8,0)</f>
        <v>29622.7884847819</v>
      </c>
      <c r="CQ11" s="27" t="n">
        <f aca="false">SUMIF($C$2:$F$2,EOMONTH(CQ$2,-1)+1,$C11:$F11)*VLOOKUP(CQ$2,Valores!$H$2:$P$154,8,0)</f>
        <v>29622.7884847819</v>
      </c>
      <c r="CR11" s="27" t="n">
        <f aca="false">SUMIF($C$2:$F$2,EOMONTH(CR$2,-1)+1,$C11:$F11)*VLOOKUP(CR$2,Valores!$H$2:$P$154,8,0)</f>
        <v>59245.5769695638</v>
      </c>
      <c r="CS11" s="27" t="n">
        <f aca="false">SUMIF($C$2:$F$2,EOMONTH(CS$2,-1)+1,$C11:$F11)*VLOOKUP(CS$2,Valores!$H$2:$P$154,8,0)</f>
        <v>88868.3654543457</v>
      </c>
      <c r="CT11" s="27" t="e">
        <f aca="false">SUMIF($C$2:$F$2,EOMONTH(CT$2,-1)+1,$C11:$F11)*VLOOKUP(CT$2,Valores!$H$2:$P$154,8,0)</f>
        <v>#VALUE!</v>
      </c>
      <c r="CU11" s="27" t="e">
        <f aca="false">SUMIF($C$2:$F$2,EOMONTH(CU$2,-1)+1,$C11:$F11)*VLOOKUP(CU$2,Valores!$H$2:$P$154,8,0)</f>
        <v>#VALUE!</v>
      </c>
      <c r="CV11" s="27" t="e">
        <f aca="false">SUMIF($C$2:$F$2,EOMONTH(CV$2,-1)+1,$C11:$F11)*VLOOKUP(CV$2,Valores!$H$2:$P$154,8,0)</f>
        <v>#VALUE!</v>
      </c>
      <c r="CW11" s="27" t="e">
        <f aca="false">SUMIF($C$2:$F$2,EOMONTH(CW$2,-1)+1,$C11:$F11)*VLOOKUP(CW$2,Valores!$H$2:$P$154,8,0)</f>
        <v>#VALUE!</v>
      </c>
      <c r="CX11" s="27" t="e">
        <f aca="false">SUMIF($C$2:$F$2,EOMONTH(CX$2,-1)+1,$C11:$F11)*VLOOKUP(CX$2,Valores!$H$2:$P$154,8,0)</f>
        <v>#VALUE!</v>
      </c>
      <c r="CY11" s="27" t="e">
        <f aca="false">SUMIF($C$2:$F$2,EOMONTH(CY$2,-1)+1,$C11:$F11)*VLOOKUP(CY$2,Valores!$H$2:$P$154,8,0)</f>
        <v>#VALUE!</v>
      </c>
      <c r="CZ11" s="27" t="e">
        <f aca="false">SUMIF($C$2:$F$2,EOMONTH(CZ$2,-1)+1,$C11:$F11)*VLOOKUP(CZ$2,Valores!$H$2:$P$154,8,0)</f>
        <v>#VALUE!</v>
      </c>
      <c r="DA11" s="27" t="e">
        <f aca="false">SUMIF($C$2:$F$2,EOMONTH(DA$2,-1)+1,$C11:$F11)*VLOOKUP(DA$2,Valores!$H$2:$P$154,8,0)</f>
        <v>#VALUE!</v>
      </c>
      <c r="DB11" s="27" t="e">
        <f aca="false">SUMIF($C$2:$F$2,EOMONTH(DB$2,-1)+1,$C11:$F11)*VLOOKUP(DB$2,Valores!$H$2:$P$154,8,0)</f>
        <v>#VALUE!</v>
      </c>
      <c r="DC11" s="27" t="e">
        <f aca="false">SUMIF($C$2:$F$2,EOMONTH(DC$2,-1)+1,$C11:$F11)*VLOOKUP(DC$2,Valores!$H$2:$P$154,8,0)</f>
        <v>#VALUE!</v>
      </c>
      <c r="DD11" s="27" t="e">
        <f aca="false">SUMIF($C$2:$F$2,EOMONTH(DD$2,-1)+1,$C11:$F11)*VLOOKUP(DD$2,Valores!$H$2:$P$154,8,0)</f>
        <v>#VALUE!</v>
      </c>
      <c r="DE11" s="27" t="e">
        <f aca="false">SUMIF($C$2:$F$2,EOMONTH(DE$2,-1)+1,$C11:$F11)*VLOOKUP(DE$2,Valores!$H$2:$P$154,8,0)</f>
        <v>#VALUE!</v>
      </c>
      <c r="DF11" s="27" t="e">
        <f aca="false">SUMIF($C$2:$F$2,EOMONTH(DF$2,-1)+1,$C11:$F11)*VLOOKUP(DF$2,Valores!$H$2:$P$154,8,0)</f>
        <v>#VALUE!</v>
      </c>
      <c r="DG11" s="27" t="e">
        <f aca="false">SUMIF($C$2:$F$2,EOMONTH(DG$2,-1)+1,$C11:$F11)*VLOOKUP(DG$2,Valores!$H$2:$P$154,8,0)</f>
        <v>#VALUE!</v>
      </c>
      <c r="DH11" s="27" t="e">
        <f aca="false">SUMIF($C$2:$F$2,EOMONTH(DH$2,-1)+1,$C11:$F11)*VLOOKUP(DH$2,Valores!$H$2:$P$154,8,0)</f>
        <v>#VALUE!</v>
      </c>
      <c r="DI11" s="27" t="e">
        <f aca="false">SUMIF($C$2:$F$2,EOMONTH(DI$2,-1)+1,$C11:$F11)*VLOOKUP(DI$2,Valores!$H$2:$P$154,8,0)</f>
        <v>#VALUE!</v>
      </c>
      <c r="DJ11" s="27" t="e">
        <f aca="false">SUMIF($C$2:$F$2,EOMONTH(DJ$2,-1)+1,$C11:$F11)*VLOOKUP(DJ$2,Valores!$H$2:$P$154,8,0)</f>
        <v>#VALUE!</v>
      </c>
      <c r="DK11" s="27" t="e">
        <f aca="false">SUMIF($C$2:$F$2,EOMONTH(DK$2,-1)+1,$C11:$F11)*VLOOKUP(DK$2,Valores!$H$2:$P$154,8,0)</f>
        <v>#VALUE!</v>
      </c>
      <c r="DL11" s="27" t="e">
        <f aca="false">SUMIF($C$2:$F$2,EOMONTH(DL$2,-1)+1,$C11:$F11)*VLOOKUP(DL$2,Valores!$H$2:$P$154,8,0)</f>
        <v>#VALUE!</v>
      </c>
      <c r="DM11" s="27" t="e">
        <f aca="false">SUMIF($C$2:$F$2,EOMONTH(DM$2,-1)+1,$C11:$F11)*VLOOKUP(DM$2,Valores!$H$2:$P$154,8,0)</f>
        <v>#VALUE!</v>
      </c>
      <c r="DN11" s="27" t="e">
        <f aca="false">SUMIF($C$2:$F$2,EOMONTH(DN$2,-1)+1,$C11:$F11)*VLOOKUP(DN$2,Valores!$H$2:$P$154,8,0)</f>
        <v>#VALUE!</v>
      </c>
      <c r="DO11" s="27" t="e">
        <f aca="false">SUMIF($C$2:$F$2,EOMONTH(DO$2,-1)+1,$C11:$F11)*VLOOKUP(DO$2,Valores!$H$2:$P$154,8,0)</f>
        <v>#VALUE!</v>
      </c>
      <c r="DP11" s="27" t="e">
        <f aca="false">SUMIF($C$2:$F$2,EOMONTH(DP$2,-1)+1,$C11:$F11)*VLOOKUP(DP$2,Valores!$H$2:$P$154,8,0)</f>
        <v>#VALUE!</v>
      </c>
      <c r="DQ11" s="27" t="e">
        <f aca="false">SUMIF($C$2:$F$2,EOMONTH(DQ$2,-1)+1,$C11:$F11)*VLOOKUP(DQ$2,Valores!$H$2:$P$154,8,0)</f>
        <v>#VALUE!</v>
      </c>
      <c r="DR11" s="27" t="e">
        <f aca="false">SUMIF($C$2:$F$2,EOMONTH(DR$2,-1)+1,$C11:$F11)*VLOOKUP(DR$2,Valores!$H$2:$P$154,8,0)</f>
        <v>#VALUE!</v>
      </c>
      <c r="DS11" s="27" t="e">
        <f aca="false">SUMIF($C$2:$F$2,EOMONTH(DS$2,-1)+1,$C11:$F11)*VLOOKUP(DS$2,Valores!$H$2:$P$154,8,0)</f>
        <v>#VALUE!</v>
      </c>
      <c r="DT11" s="27" t="e">
        <f aca="false">SUMIF($C$2:$F$2,EOMONTH(DT$2,-1)+1,$C11:$F11)*VLOOKUP(DT$2,Valores!$H$2:$P$154,8,0)</f>
        <v>#VALUE!</v>
      </c>
      <c r="DU11" s="27" t="e">
        <f aca="false">SUMIF($C$2:$F$2,EOMONTH(DU$2,-1)+1,$C11:$F11)*VLOOKUP(DU$2,Valores!$H$2:$P$154,8,0)</f>
        <v>#VALUE!</v>
      </c>
      <c r="DV11" s="27" t="e">
        <f aca="false">SUMIF($C$2:$F$2,EOMONTH(DV$2,-1)+1,$C11:$F11)*VLOOKUP(DV$2,Valores!$H$2:$P$154,8,0)</f>
        <v>#VALUE!</v>
      </c>
      <c r="DW11" s="27" t="e">
        <f aca="false">SUMIF($C$2:$F$2,EOMONTH(DW$2,-1)+1,$C11:$F11)*VLOOKUP(DW$2,Valores!$H$2:$P$154,8,0)</f>
        <v>#VALUE!</v>
      </c>
      <c r="DX11" s="27" t="e">
        <f aca="false">SUMIF($C$2:$F$2,EOMONTH(DX$2,-1)+1,$C11:$F11)*VLOOKUP(DX$2,Valores!$H$2:$P$154,8,0)</f>
        <v>#VALUE!</v>
      </c>
    </row>
    <row r="12" customFormat="false" ht="13.8" hidden="false" customHeight="false" outlineLevel="0" collapsed="false">
      <c r="A12" s="29" t="s">
        <v>23</v>
      </c>
      <c r="B12" s="29" t="s">
        <v>33</v>
      </c>
      <c r="C12" s="29" t="n">
        <v>1711581</v>
      </c>
      <c r="D12" s="29" t="n">
        <v>1540422.9</v>
      </c>
      <c r="E12" s="29" t="n">
        <v>1386380.61</v>
      </c>
      <c r="F12" s="29" t="n">
        <v>1247742.549</v>
      </c>
      <c r="G12" s="30" t="n">
        <f aca="false">SUMIF($C$2:$F$2,EOMONTH(G$2,-1)+1,$C12:$F12)*VLOOKUP(G$2,Valores!$H$2:$P$154,8,0)</f>
        <v>49288.5757775218</v>
      </c>
      <c r="H12" s="30" t="n">
        <f aca="false">SUMIF($C$2:$F$2,EOMONTH(H$2,-1)+1,$C12:$F12)*VLOOKUP(H$2,Valores!$H$2:$P$154,8,0)</f>
        <v>33797.8805331578</v>
      </c>
      <c r="I12" s="30" t="n">
        <f aca="false">SUMIF($C$2:$F$2,EOMONTH(I$2,-1)+1,$C12:$F12)*VLOOKUP(I$2,Valores!$H$2:$P$154,8,0)</f>
        <v>33797.8805331578</v>
      </c>
      <c r="J12" s="30" t="n">
        <f aca="false">SUMIF($C$2:$F$2,EOMONTH(J$2,-1)+1,$C12:$F12)*VLOOKUP(J$2,Valores!$H$2:$P$154,8,0)</f>
        <v>33797.8805331578</v>
      </c>
      <c r="K12" s="30" t="n">
        <f aca="false">SUMIF($C$2:$F$2,EOMONTH(K$2,-1)+1,$C12:$F12)*VLOOKUP(K$2,Valores!$H$2:$P$154,8,0)</f>
        <v>33797.8805331578</v>
      </c>
      <c r="L12" s="30" t="n">
        <f aca="false">SUMIF($C$2:$F$2,EOMONTH(L$2,-1)+1,$C12:$F12)*VLOOKUP(L$2,Valores!$H$2:$P$154,8,0)</f>
        <v>67595.7610663156</v>
      </c>
      <c r="M12" s="30" t="n">
        <f aca="false">SUMIF($C$2:$F$2,EOMONTH(M$2,-1)+1,$C12:$F12)*VLOOKUP(M$2,Valores!$H$2:$P$154,8,0)</f>
        <v>84494.7013328945</v>
      </c>
      <c r="N12" s="30" t="n">
        <f aca="false">SUMIF($C$2:$F$2,EOMONTH(N$2,-1)+1,$C12:$F12)*VLOOKUP(N$2,Valores!$H$2:$P$154,8,0)</f>
        <v>50696.8207997367</v>
      </c>
      <c r="O12" s="30" t="n">
        <f aca="false">SUMIF($C$2:$F$2,EOMONTH(O$2,-1)+1,$C12:$F12)*VLOOKUP(O$2,Valores!$H$2:$P$154,8,0)</f>
        <v>45063.8407108771</v>
      </c>
      <c r="P12" s="30" t="n">
        <f aca="false">SUMIF($C$2:$F$2,EOMONTH(P$2,-1)+1,$C12:$F12)*VLOOKUP(P$2,Valores!$H$2:$P$154,8,0)</f>
        <v>45063.8407108771</v>
      </c>
      <c r="Q12" s="30" t="n">
        <f aca="false">SUMIF($C$2:$F$2,EOMONTH(Q$2,-1)+1,$C12:$F12)*VLOOKUP(Q$2,Valores!$H$2:$P$154,8,0)</f>
        <v>27038.3044265262</v>
      </c>
      <c r="R12" s="30" t="n">
        <f aca="false">SUMIF($C$2:$F$2,EOMONTH(R$2,-1)+1,$C12:$F12)*VLOOKUP(R$2,Valores!$H$2:$P$154,8,0)</f>
        <v>45063.8407108771</v>
      </c>
      <c r="S12" s="30" t="n">
        <f aca="false">SUMIF($C$2:$F$2,EOMONTH(S$2,-1)+1,$C12:$F12)*VLOOKUP(S$2,Valores!$H$2:$P$154,8,0)</f>
        <v>90127.6814217541</v>
      </c>
      <c r="T12" s="30" t="n">
        <f aca="false">SUMIF($C$2:$F$2,EOMONTH(T$2,-1)+1,$C12:$F12)*VLOOKUP(T$2,Valores!$H$2:$P$154,8,0)</f>
        <v>112659.601777193</v>
      </c>
      <c r="U12" s="30" t="n">
        <f aca="false">SUMIF($C$2:$F$2,EOMONTH(U$2,-1)+1,$C12:$F12)*VLOOKUP(U$2,Valores!$H$2:$P$154,8,0)</f>
        <v>67595.7610663156</v>
      </c>
      <c r="V12" s="30" t="n">
        <f aca="false">SUMIF($C$2:$F$2,EOMONTH(V$2,-1)+1,$C12:$F12)*VLOOKUP(V$2,Valores!$H$2:$P$154,8,0)</f>
        <v>56329.8008885963</v>
      </c>
      <c r="W12" s="30" t="n">
        <f aca="false">SUMIF($C$2:$F$2,EOMONTH(W$2,-1)+1,$C12:$F12)*VLOOKUP(W$2,Valores!$H$2:$P$154,8,0)</f>
        <v>56329.8008885963</v>
      </c>
      <c r="X12" s="30" t="n">
        <f aca="false">SUMIF($C$2:$F$2,EOMONTH(X$2,-1)+1,$C12:$F12)*VLOOKUP(X$2,Valores!$H$2:$P$154,8,0)</f>
        <v>0</v>
      </c>
      <c r="Y12" s="30" t="n">
        <f aca="false">SUMIF($C$2:$F$2,EOMONTH(Y$2,-1)+1,$C12:$F12)*VLOOKUP(Y$2,Valores!$H$2:$P$154,8,0)</f>
        <v>0</v>
      </c>
      <c r="Z12" s="30" t="n">
        <f aca="false">SUMIF($C$2:$F$2,EOMONTH(Z$2,-1)+1,$C12:$F12)*VLOOKUP(Z$2,Valores!$H$2:$P$154,8,0)</f>
        <v>84494.7013328945</v>
      </c>
      <c r="AA12" s="30" t="n">
        <f aca="false">SUMIF($C$2:$F$2,EOMONTH(AA$2,-1)+1,$C12:$F12)*VLOOKUP(AA$2,Valores!$H$2:$P$154,8,0)</f>
        <v>101393.641599473</v>
      </c>
      <c r="AB12" s="30" t="n">
        <f aca="false">SUMIF($C$2:$F$2,EOMONTH(AB$2,-1)+1,$C12:$F12)*VLOOKUP(AB$2,Valores!$H$2:$P$154,8,0)</f>
        <v>50696.8207997367</v>
      </c>
      <c r="AC12" s="30" t="n">
        <f aca="false">SUMIF($C$2:$F$2,EOMONTH(AC$2,-1)+1,$C12:$F12)*VLOOKUP(AC$2,Valores!$H$2:$P$154,8,0)</f>
        <v>61962.780977456</v>
      </c>
      <c r="AD12" s="30" t="n">
        <f aca="false">SUMIF($C$2:$F$2,EOMONTH(AD$2,-1)+1,$C12:$F12)*VLOOKUP(AD$2,Valores!$H$2:$P$154,8,0)</f>
        <v>61962.780977456</v>
      </c>
      <c r="AE12" s="30" t="n">
        <f aca="false">SUMIF($C$2:$F$2,EOMONTH(AE$2,-1)+1,$C12:$F12)*VLOOKUP(AE$2,Valores!$H$2:$P$154,8,0)</f>
        <v>61962.780977456</v>
      </c>
      <c r="AF12" s="30" t="n">
        <f aca="false">SUMIF($C$2:$F$2,EOMONTH(AF$2,-1)+1,$C12:$F12)*VLOOKUP(AF$2,Valores!$H$2:$P$154,8,0)</f>
        <v>61962.780977456</v>
      </c>
      <c r="AG12" s="30" t="n">
        <f aca="false">SUMIF($C$2:$F$2,EOMONTH(AG$2,-1)+1,$C12:$F12)*VLOOKUP(AG$2,Valores!$H$2:$P$154,8,0)</f>
        <v>99140.4495639296</v>
      </c>
      <c r="AH12" s="30" t="n">
        <f aca="false">SUMIF($C$2:$F$2,EOMONTH(AH$2,-1)+1,$C12:$F12)*VLOOKUP(AH$2,Valores!$H$2:$P$154,8,0)</f>
        <v>123925.561954912</v>
      </c>
      <c r="AI12" s="30" t="n">
        <f aca="false">SUMIF($C$2:$F$2,EOMONTH(AI$2,-1)+1,$C12:$F12)*VLOOKUP(AI$2,Valores!$H$2:$P$154,8,0)</f>
        <v>43373.9466842192</v>
      </c>
      <c r="AJ12" s="30" t="n">
        <f aca="false">SUMIF($C$2:$F$2,EOMONTH(AJ$2,-1)+1,$C12:$F12)*VLOOKUP(AJ$2,Valores!$H$2:$P$154,8,0)</f>
        <v>28164.9004442982</v>
      </c>
      <c r="AK12" s="30" t="n">
        <f aca="false">SUMIF($C$2:$F$2,EOMONTH(AK$2,-1)+1,$C12:$F12)*VLOOKUP(AK$2,Valores!$H$2:$P$154,8,0)</f>
        <v>51360.8816594822</v>
      </c>
      <c r="AL12" s="30" t="n">
        <f aca="false">SUMIF($C$2:$F$2,EOMONTH(AL$2,-1)+1,$C12:$F12)*VLOOKUP(AL$2,Valores!$H$2:$P$154,8,0)</f>
        <v>51360.8816594822</v>
      </c>
      <c r="AM12" s="30" t="n">
        <f aca="false">SUMIF($C$2:$F$2,EOMONTH(AM$2,-1)+1,$C12:$F12)*VLOOKUP(AM$2,Valores!$H$2:$P$154,8,0)</f>
        <v>51360.8816594822</v>
      </c>
      <c r="AN12" s="30" t="n">
        <f aca="false">SUMIF($C$2:$F$2,EOMONTH(AN$2,-1)+1,$C12:$F12)*VLOOKUP(AN$2,Valores!$H$2:$P$154,8,0)</f>
        <v>102721.763318964</v>
      </c>
      <c r="AO12" s="30" t="n">
        <f aca="false">SUMIF($C$2:$F$2,EOMONTH(AO$2,-1)+1,$C12:$F12)*VLOOKUP(AO$2,Valores!$H$2:$P$154,8,0)</f>
        <v>128402.204148706</v>
      </c>
      <c r="AP12" s="30" t="n">
        <f aca="false">SUMIF($C$2:$F$2,EOMONTH(AP$2,-1)+1,$C12:$F12)*VLOOKUP(AP$2,Valores!$H$2:$P$154,8,0)</f>
        <v>77041.3224892234</v>
      </c>
      <c r="AQ12" s="30" t="n">
        <f aca="false">SUMIF($C$2:$F$2,EOMONTH(AQ$2,-1)+1,$C12:$F12)*VLOOKUP(AQ$2,Valores!$H$2:$P$154,8,0)</f>
        <v>27514.7580318655</v>
      </c>
      <c r="AR12" s="30" t="n">
        <f aca="false">SUMIF($C$2:$F$2,EOMONTH(AR$2,-1)+1,$C12:$F12)*VLOOKUP(AR$2,Valores!$H$2:$P$154,8,0)</f>
        <v>27514.7580318655</v>
      </c>
      <c r="AS12" s="30" t="n">
        <f aca="false">SUMIF($C$2:$F$2,EOMONTH(AS$2,-1)+1,$C12:$F12)*VLOOKUP(AS$2,Valores!$H$2:$P$154,8,0)</f>
        <v>27514.7580318655</v>
      </c>
      <c r="AT12" s="30" t="n">
        <f aca="false">SUMIF($C$2:$F$2,EOMONTH(AT$2,-1)+1,$C12:$F12)*VLOOKUP(AT$2,Valores!$H$2:$P$154,8,0)</f>
        <v>27514.7580318655</v>
      </c>
      <c r="AU12" s="30" t="n">
        <f aca="false">SUMIF($C$2:$F$2,EOMONTH(AU$2,-1)+1,$C12:$F12)*VLOOKUP(AU$2,Valores!$H$2:$P$154,8,0)</f>
        <v>55029.516063731</v>
      </c>
      <c r="AV12" s="30" t="n">
        <f aca="false">SUMIF($C$2:$F$2,EOMONTH(AV$2,-1)+1,$C12:$F12)*VLOOKUP(AV$2,Valores!$H$2:$P$154,8,0)</f>
        <v>68786.8950796637</v>
      </c>
      <c r="AW12" s="30" t="n">
        <f aca="false">SUMIF($C$2:$F$2,EOMONTH(AW$2,-1)+1,$C12:$F12)*VLOOKUP(AW$2,Valores!$H$2:$P$154,8,0)</f>
        <v>41272.1370477982</v>
      </c>
      <c r="AX12" s="30" t="n">
        <f aca="false">SUMIF($C$2:$F$2,EOMONTH(AX$2,-1)+1,$C12:$F12)*VLOOKUP(AX$2,Valores!$H$2:$P$154,8,0)</f>
        <v>27514.7580318655</v>
      </c>
      <c r="AY12" s="30" t="n">
        <f aca="false">SUMIF($C$2:$F$2,EOMONTH(AY$2,-1)+1,$C12:$F12)*VLOOKUP(AY$2,Valores!$H$2:$P$154,8,0)</f>
        <v>35769.1854414251</v>
      </c>
      <c r="AZ12" s="30" t="n">
        <f aca="false">SUMIF($C$2:$F$2,EOMONTH(AZ$2,-1)+1,$C12:$F12)*VLOOKUP(AZ$2,Valores!$H$2:$P$154,8,0)</f>
        <v>35769.1854414251</v>
      </c>
      <c r="BA12" s="30" t="n">
        <f aca="false">SUMIF($C$2:$F$2,EOMONTH(BA$2,-1)+1,$C12:$F12)*VLOOKUP(BA$2,Valores!$H$2:$P$154,8,0)</f>
        <v>35769.1854414251</v>
      </c>
      <c r="BB12" s="30" t="n">
        <f aca="false">SUMIF($C$2:$F$2,EOMONTH(BB$2,-1)+1,$C12:$F12)*VLOOKUP(BB$2,Valores!$H$2:$P$154,8,0)</f>
        <v>63283.9434732906</v>
      </c>
      <c r="BC12" s="30" t="n">
        <f aca="false">SUMIF($C$2:$F$2,EOMONTH(BC$2,-1)+1,$C12:$F12)*VLOOKUP(BC$2,Valores!$H$2:$P$154,8,0)</f>
        <v>77041.3224892234</v>
      </c>
      <c r="BD12" s="30" t="n">
        <f aca="false">SUMIF($C$2:$F$2,EOMONTH(BD$2,-1)+1,$C12:$F12)*VLOOKUP(BD$2,Valores!$H$2:$P$154,8,0)</f>
        <v>41272.1370477982</v>
      </c>
      <c r="BE12" s="30" t="n">
        <f aca="false">SUMIF($C$2:$F$2,EOMONTH(BE$2,-1)+1,$C12:$F12)*VLOOKUP(BE$2,Valores!$H$2:$P$154,8,0)</f>
        <v>36686.3440424873</v>
      </c>
      <c r="BF12" s="30" t="n">
        <f aca="false">SUMIF($C$2:$F$2,EOMONTH(BF$2,-1)+1,$C12:$F12)*VLOOKUP(BF$2,Valores!$H$2:$P$154,8,0)</f>
        <v>36686.3440424873</v>
      </c>
      <c r="BG12" s="30" t="n">
        <f aca="false">SUMIF($C$2:$F$2,EOMONTH(BG$2,-1)+1,$C12:$F12)*VLOOKUP(BG$2,Valores!$H$2:$P$154,8,0)</f>
        <v>36686.3440424873</v>
      </c>
      <c r="BH12" s="30" t="n">
        <f aca="false">SUMIF($C$2:$F$2,EOMONTH(BH$2,-1)+1,$C12:$F12)*VLOOKUP(BH$2,Valores!$H$2:$P$154,8,0)</f>
        <v>36686.3440424873</v>
      </c>
      <c r="BI12" s="30" t="n">
        <f aca="false">SUMIF($C$2:$F$2,EOMONTH(BI$2,-1)+1,$C12:$F12)*VLOOKUP(BI$2,Valores!$H$2:$P$154,8,0)</f>
        <v>73372.6880849746</v>
      </c>
      <c r="BJ12" s="30" t="n">
        <f aca="false">SUMIF($C$2:$F$2,EOMONTH(BJ$2,-1)+1,$C12:$F12)*VLOOKUP(BJ$2,Valores!$H$2:$P$154,8,0)</f>
        <v>91715.8601062183</v>
      </c>
      <c r="BK12" s="30" t="n">
        <f aca="false">SUMIF($C$2:$F$2,EOMONTH(BK$2,-1)+1,$C12:$F12)*VLOOKUP(BK$2,Valores!$H$2:$P$154,8,0)</f>
        <v>44023.6128509848</v>
      </c>
      <c r="BL12" s="30" t="n">
        <f aca="false">SUMIF($C$2:$F$2,EOMONTH(BL$2,-1)+1,$C12:$F12)*VLOOKUP(BL$2,Valores!$H$2:$P$154,8,0)</f>
        <v>32283.9827573888</v>
      </c>
      <c r="BM12" s="30" t="n">
        <f aca="false">SUMIF($C$2:$F$2,EOMONTH(BM$2,-1)+1,$C12:$F12)*VLOOKUP(BM$2,Valores!$H$2:$P$154,8,0)</f>
        <v>32283.9827573888</v>
      </c>
      <c r="BN12" s="30" t="n">
        <f aca="false">SUMIF($C$2:$F$2,EOMONTH(BN$2,-1)+1,$C12:$F12)*VLOOKUP(BN$2,Valores!$H$2:$P$154,8,0)</f>
        <v>32283.9827573888</v>
      </c>
      <c r="BO12" s="30" t="n">
        <f aca="false">SUMIF($C$2:$F$2,EOMONTH(BO$2,-1)+1,$C12:$F12)*VLOOKUP(BO$2,Valores!$H$2:$P$154,8,0)</f>
        <v>33898.1818952583</v>
      </c>
      <c r="BP12" s="30" t="n">
        <f aca="false">SUMIF($C$2:$F$2,EOMONTH(BP$2,-1)+1,$C12:$F12)*VLOOKUP(BP$2,Valores!$H$2:$P$154,8,0)</f>
        <v>85306.3555213713</v>
      </c>
      <c r="BQ12" s="30" t="n">
        <f aca="false">SUMIF($C$2:$F$2,EOMONTH(BQ$2,-1)+1,$C12:$F12)*VLOOKUP(BQ$2,Valores!$H$2:$P$154,8,0)</f>
        <v>106632.944401714</v>
      </c>
      <c r="BR12" s="30" t="n">
        <f aca="false">SUMIF($C$2:$F$2,EOMONTH(BR$2,-1)+1,$C12:$F12)*VLOOKUP(BR$2,Valores!$H$2:$P$154,8,0)</f>
        <v>51183.8133128228</v>
      </c>
      <c r="BS12" s="30" t="n">
        <f aca="false">SUMIF($C$2:$F$2,EOMONTH(BS$2,-1)+1,$C12:$F12)*VLOOKUP(BS$2,Valores!$H$2:$P$154,8,0)</f>
        <v>22849.9166575102</v>
      </c>
      <c r="BT12" s="30" t="n">
        <f aca="false">SUMIF($C$2:$F$2,EOMONTH(BT$2,-1)+1,$C12:$F12)*VLOOKUP(BT$2,Valores!$H$2:$P$154,8,0)</f>
        <v>22849.9166575102</v>
      </c>
      <c r="BU12" s="30" t="n">
        <f aca="false">SUMIF($C$2:$F$2,EOMONTH(BU$2,-1)+1,$C12:$F12)*VLOOKUP(BU$2,Valores!$H$2:$P$154,8,0)</f>
        <v>22849.9166575102</v>
      </c>
      <c r="BV12" s="30" t="n">
        <f aca="false">SUMIF($C$2:$F$2,EOMONTH(BV$2,-1)+1,$C12:$F12)*VLOOKUP(BV$2,Valores!$H$2:$P$154,8,0)</f>
        <v>22849.9166575102</v>
      </c>
      <c r="BW12" s="30" t="n">
        <f aca="false">SUMIF($C$2:$F$2,EOMONTH(BW$2,-1)+1,$C12:$F12)*VLOOKUP(BW$2,Valores!$H$2:$P$154,8,0)</f>
        <v>45699.8333150203</v>
      </c>
      <c r="BX12" s="30" t="n">
        <f aca="false">SUMIF($C$2:$F$2,EOMONTH(BX$2,-1)+1,$C12:$F12)*VLOOKUP(BX$2,Valores!$H$2:$P$154,8,0)</f>
        <v>57124.7916437754</v>
      </c>
      <c r="BY12" s="30" t="n">
        <f aca="false">SUMIF($C$2:$F$2,EOMONTH(BY$2,-1)+1,$C12:$F12)*VLOOKUP(BY$2,Valores!$H$2:$P$154,8,0)</f>
        <v>34274.8749862652</v>
      </c>
      <c r="BZ12" s="30" t="n">
        <f aca="false">SUMIF($C$2:$F$2,EOMONTH(BZ$2,-1)+1,$C12:$F12)*VLOOKUP(BZ$2,Valores!$H$2:$P$154,8,0)</f>
        <v>22849.9166575102</v>
      </c>
      <c r="CA12" s="30" t="n">
        <f aca="false">SUMIF($C$2:$F$2,EOMONTH(CA$2,-1)+1,$C12:$F12)*VLOOKUP(CA$2,Valores!$H$2:$P$154,8,0)</f>
        <v>22849.9166575102</v>
      </c>
      <c r="CB12" s="30" t="n">
        <f aca="false">SUMIF($C$2:$F$2,EOMONTH(CB$2,-1)+1,$C12:$F12)*VLOOKUP(CB$2,Valores!$H$2:$P$154,8,0)</f>
        <v>22849.9166575102</v>
      </c>
      <c r="CC12" s="30" t="n">
        <f aca="false">SUMIF($C$2:$F$2,EOMONTH(CC$2,-1)+1,$C12:$F12)*VLOOKUP(CC$2,Valores!$H$2:$P$154,8,0)</f>
        <v>22849.9166575102</v>
      </c>
      <c r="CD12" s="30" t="n">
        <f aca="false">SUMIF($C$2:$F$2,EOMONTH(CD$2,-1)+1,$C12:$F12)*VLOOKUP(CD$2,Valores!$H$2:$P$154,8,0)</f>
        <v>68549.7499725305</v>
      </c>
      <c r="CE12" s="30" t="n">
        <f aca="false">SUMIF($C$2:$F$2,EOMONTH(CE$2,-1)+1,$C12:$F12)*VLOOKUP(CE$2,Valores!$H$2:$P$154,8,0)</f>
        <v>91399.6666300406</v>
      </c>
      <c r="CF12" s="30" t="n">
        <f aca="false">SUMIF($C$2:$F$2,EOMONTH(CF$2,-1)+1,$C12:$F12)*VLOOKUP(CF$2,Valores!$H$2:$P$154,8,0)</f>
        <v>57124.7916437754</v>
      </c>
      <c r="CG12" s="30" t="n">
        <f aca="false">SUMIF($C$2:$F$2,EOMONTH(CG$2,-1)+1,$C12:$F12)*VLOOKUP(CG$2,Valores!$H$2:$P$154,8,0)</f>
        <v>30466.5555433469</v>
      </c>
      <c r="CH12" s="30" t="n">
        <f aca="false">SUMIF($C$2:$F$2,EOMONTH(CH$2,-1)+1,$C12:$F12)*VLOOKUP(CH$2,Valores!$H$2:$P$154,8,0)</f>
        <v>30466.5555433469</v>
      </c>
      <c r="CI12" s="30" t="n">
        <f aca="false">SUMIF($C$2:$F$2,EOMONTH(CI$2,-1)+1,$C12:$F12)*VLOOKUP(CI$2,Valores!$H$2:$P$154,8,0)</f>
        <v>30466.5555433469</v>
      </c>
      <c r="CJ12" s="30" t="n">
        <f aca="false">SUMIF($C$2:$F$2,EOMONTH(CJ$2,-1)+1,$C12:$F12)*VLOOKUP(CJ$2,Valores!$H$2:$P$154,8,0)</f>
        <v>30466.5555433469</v>
      </c>
      <c r="CK12" s="30" t="n">
        <f aca="false">SUMIF($C$2:$F$2,EOMONTH(CK$2,-1)+1,$C12:$F12)*VLOOKUP(CK$2,Valores!$H$2:$P$154,8,0)</f>
        <v>60933.1110866938</v>
      </c>
      <c r="CL12" s="30" t="n">
        <f aca="false">SUMIF($C$2:$F$2,EOMONTH(CL$2,-1)+1,$C12:$F12)*VLOOKUP(CL$2,Valores!$H$2:$P$154,8,0)</f>
        <v>76166.3888583672</v>
      </c>
      <c r="CM12" s="30" t="n">
        <f aca="false">SUMIF($C$2:$F$2,EOMONTH(CM$2,-1)+1,$C12:$F12)*VLOOKUP(CM$2,Valores!$H$2:$P$154,8,0)</f>
        <v>45699.8333150203</v>
      </c>
      <c r="CN12" s="30" t="n">
        <f aca="false">SUMIF($C$2:$F$2,EOMONTH(CN$2,-1)+1,$C12:$F12)*VLOOKUP(CN$2,Valores!$H$2:$P$154,8,0)</f>
        <v>33513.2110976816</v>
      </c>
      <c r="CO12" s="30" t="n">
        <f aca="false">SUMIF($C$2:$F$2,EOMONTH(CO$2,-1)+1,$C12:$F12)*VLOOKUP(CO$2,Valores!$H$2:$P$154,8,0)</f>
        <v>33513.2110976816</v>
      </c>
      <c r="CP12" s="30" t="n">
        <f aca="false">SUMIF($C$2:$F$2,EOMONTH(CP$2,-1)+1,$C12:$F12)*VLOOKUP(CP$2,Valores!$H$2:$P$154,8,0)</f>
        <v>33513.2110976816</v>
      </c>
      <c r="CQ12" s="30" t="n">
        <f aca="false">SUMIF($C$2:$F$2,EOMONTH(CQ$2,-1)+1,$C12:$F12)*VLOOKUP(CQ$2,Valores!$H$2:$P$154,8,0)</f>
        <v>33513.2110976816</v>
      </c>
      <c r="CR12" s="30" t="n">
        <f aca="false">SUMIF($C$2:$F$2,EOMONTH(CR$2,-1)+1,$C12:$F12)*VLOOKUP(CR$2,Valores!$H$2:$P$154,8,0)</f>
        <v>67026.4221953631</v>
      </c>
      <c r="CS12" s="30" t="n">
        <f aca="false">SUMIF($C$2:$F$2,EOMONTH(CS$2,-1)+1,$C12:$F12)*VLOOKUP(CS$2,Valores!$H$2:$P$154,8,0)</f>
        <v>100539.633293045</v>
      </c>
      <c r="CT12" s="30" t="e">
        <f aca="false">SUMIF($C$2:$F$2,EOMONTH(CT$2,-1)+1,$C12:$F12)*VLOOKUP(CT$2,Valores!$H$2:$P$154,8,0)</f>
        <v>#VALUE!</v>
      </c>
      <c r="CU12" s="30" t="e">
        <f aca="false">SUMIF($C$2:$F$2,EOMONTH(CU$2,-1)+1,$C12:$F12)*VLOOKUP(CU$2,Valores!$H$2:$P$154,8,0)</f>
        <v>#VALUE!</v>
      </c>
      <c r="CV12" s="30" t="e">
        <f aca="false">SUMIF($C$2:$F$2,EOMONTH(CV$2,-1)+1,$C12:$F12)*VLOOKUP(CV$2,Valores!$H$2:$P$154,8,0)</f>
        <v>#VALUE!</v>
      </c>
      <c r="CW12" s="30" t="e">
        <f aca="false">SUMIF($C$2:$F$2,EOMONTH(CW$2,-1)+1,$C12:$F12)*VLOOKUP(CW$2,Valores!$H$2:$P$154,8,0)</f>
        <v>#VALUE!</v>
      </c>
      <c r="CX12" s="30" t="e">
        <f aca="false">SUMIF($C$2:$F$2,EOMONTH(CX$2,-1)+1,$C12:$F12)*VLOOKUP(CX$2,Valores!$H$2:$P$154,8,0)</f>
        <v>#VALUE!</v>
      </c>
      <c r="CY12" s="30" t="e">
        <f aca="false">SUMIF($C$2:$F$2,EOMONTH(CY$2,-1)+1,$C12:$F12)*VLOOKUP(CY$2,Valores!$H$2:$P$154,8,0)</f>
        <v>#VALUE!</v>
      </c>
      <c r="CZ12" s="30" t="e">
        <f aca="false">SUMIF($C$2:$F$2,EOMONTH(CZ$2,-1)+1,$C12:$F12)*VLOOKUP(CZ$2,Valores!$H$2:$P$154,8,0)</f>
        <v>#VALUE!</v>
      </c>
      <c r="DA12" s="30" t="e">
        <f aca="false">SUMIF($C$2:$F$2,EOMONTH(DA$2,-1)+1,$C12:$F12)*VLOOKUP(DA$2,Valores!$H$2:$P$154,8,0)</f>
        <v>#VALUE!</v>
      </c>
      <c r="DB12" s="30" t="e">
        <f aca="false">SUMIF($C$2:$F$2,EOMONTH(DB$2,-1)+1,$C12:$F12)*VLOOKUP(DB$2,Valores!$H$2:$P$154,8,0)</f>
        <v>#VALUE!</v>
      </c>
      <c r="DC12" s="30" t="e">
        <f aca="false">SUMIF($C$2:$F$2,EOMONTH(DC$2,-1)+1,$C12:$F12)*VLOOKUP(DC$2,Valores!$H$2:$P$154,8,0)</f>
        <v>#VALUE!</v>
      </c>
      <c r="DD12" s="30" t="e">
        <f aca="false">SUMIF($C$2:$F$2,EOMONTH(DD$2,-1)+1,$C12:$F12)*VLOOKUP(DD$2,Valores!$H$2:$P$154,8,0)</f>
        <v>#VALUE!</v>
      </c>
      <c r="DE12" s="30" t="e">
        <f aca="false">SUMIF($C$2:$F$2,EOMONTH(DE$2,-1)+1,$C12:$F12)*VLOOKUP(DE$2,Valores!$H$2:$P$154,8,0)</f>
        <v>#VALUE!</v>
      </c>
      <c r="DF12" s="30" t="e">
        <f aca="false">SUMIF($C$2:$F$2,EOMONTH(DF$2,-1)+1,$C12:$F12)*VLOOKUP(DF$2,Valores!$H$2:$P$154,8,0)</f>
        <v>#VALUE!</v>
      </c>
      <c r="DG12" s="30" t="e">
        <f aca="false">SUMIF($C$2:$F$2,EOMONTH(DG$2,-1)+1,$C12:$F12)*VLOOKUP(DG$2,Valores!$H$2:$P$154,8,0)</f>
        <v>#VALUE!</v>
      </c>
      <c r="DH12" s="30" t="e">
        <f aca="false">SUMIF($C$2:$F$2,EOMONTH(DH$2,-1)+1,$C12:$F12)*VLOOKUP(DH$2,Valores!$H$2:$P$154,8,0)</f>
        <v>#VALUE!</v>
      </c>
      <c r="DI12" s="30" t="e">
        <f aca="false">SUMIF($C$2:$F$2,EOMONTH(DI$2,-1)+1,$C12:$F12)*VLOOKUP(DI$2,Valores!$H$2:$P$154,8,0)</f>
        <v>#VALUE!</v>
      </c>
      <c r="DJ12" s="30" t="e">
        <f aca="false">SUMIF($C$2:$F$2,EOMONTH(DJ$2,-1)+1,$C12:$F12)*VLOOKUP(DJ$2,Valores!$H$2:$P$154,8,0)</f>
        <v>#VALUE!</v>
      </c>
      <c r="DK12" s="30" t="e">
        <f aca="false">SUMIF($C$2:$F$2,EOMONTH(DK$2,-1)+1,$C12:$F12)*VLOOKUP(DK$2,Valores!$H$2:$P$154,8,0)</f>
        <v>#VALUE!</v>
      </c>
      <c r="DL12" s="30" t="e">
        <f aca="false">SUMIF($C$2:$F$2,EOMONTH(DL$2,-1)+1,$C12:$F12)*VLOOKUP(DL$2,Valores!$H$2:$P$154,8,0)</f>
        <v>#VALUE!</v>
      </c>
      <c r="DM12" s="30" t="e">
        <f aca="false">SUMIF($C$2:$F$2,EOMONTH(DM$2,-1)+1,$C12:$F12)*VLOOKUP(DM$2,Valores!$H$2:$P$154,8,0)</f>
        <v>#VALUE!</v>
      </c>
      <c r="DN12" s="30" t="e">
        <f aca="false">SUMIF($C$2:$F$2,EOMONTH(DN$2,-1)+1,$C12:$F12)*VLOOKUP(DN$2,Valores!$H$2:$P$154,8,0)</f>
        <v>#VALUE!</v>
      </c>
      <c r="DO12" s="30" t="e">
        <f aca="false">SUMIF($C$2:$F$2,EOMONTH(DO$2,-1)+1,$C12:$F12)*VLOOKUP(DO$2,Valores!$H$2:$P$154,8,0)</f>
        <v>#VALUE!</v>
      </c>
      <c r="DP12" s="30" t="e">
        <f aca="false">SUMIF($C$2:$F$2,EOMONTH(DP$2,-1)+1,$C12:$F12)*VLOOKUP(DP$2,Valores!$H$2:$P$154,8,0)</f>
        <v>#VALUE!</v>
      </c>
      <c r="DQ12" s="30" t="e">
        <f aca="false">SUMIF($C$2:$F$2,EOMONTH(DQ$2,-1)+1,$C12:$F12)*VLOOKUP(DQ$2,Valores!$H$2:$P$154,8,0)</f>
        <v>#VALUE!</v>
      </c>
      <c r="DR12" s="30" t="e">
        <f aca="false">SUMIF($C$2:$F$2,EOMONTH(DR$2,-1)+1,$C12:$F12)*VLOOKUP(DR$2,Valores!$H$2:$P$154,8,0)</f>
        <v>#VALUE!</v>
      </c>
      <c r="DS12" s="30" t="e">
        <f aca="false">SUMIF($C$2:$F$2,EOMONTH(DS$2,-1)+1,$C12:$F12)*VLOOKUP(DS$2,Valores!$H$2:$P$154,8,0)</f>
        <v>#VALUE!</v>
      </c>
      <c r="DT12" s="30" t="e">
        <f aca="false">SUMIF($C$2:$F$2,EOMONTH(DT$2,-1)+1,$C12:$F12)*VLOOKUP(DT$2,Valores!$H$2:$P$154,8,0)</f>
        <v>#VALUE!</v>
      </c>
      <c r="DU12" s="30" t="e">
        <f aca="false">SUMIF($C$2:$F$2,EOMONTH(DU$2,-1)+1,$C12:$F12)*VLOOKUP(DU$2,Valores!$H$2:$P$154,8,0)</f>
        <v>#VALUE!</v>
      </c>
      <c r="DV12" s="30" t="e">
        <f aca="false">SUMIF($C$2:$F$2,EOMONTH(DV$2,-1)+1,$C12:$F12)*VLOOKUP(DV$2,Valores!$H$2:$P$154,8,0)</f>
        <v>#VALUE!</v>
      </c>
      <c r="DW12" s="30" t="e">
        <f aca="false">SUMIF($C$2:$F$2,EOMONTH(DW$2,-1)+1,$C12:$F12)*VLOOKUP(DW$2,Valores!$H$2:$P$154,8,0)</f>
        <v>#VALUE!</v>
      </c>
      <c r="DX12" s="30" t="e">
        <f aca="false">SUMIF($C$2:$F$2,EOMONTH(DX$2,-1)+1,$C12:$F12)*VLOOKUP(DX$2,Valores!$H$2:$P$154,8,0)</f>
        <v>#VALUE!</v>
      </c>
    </row>
    <row r="13" customFormat="false" ht="13.8" hidden="false" customHeight="false" outlineLevel="0" collapsed="false">
      <c r="A13" s="31" t="s">
        <v>23</v>
      </c>
      <c r="B13" s="31" t="s">
        <v>34</v>
      </c>
      <c r="C13" s="31" t="n">
        <v>1379235</v>
      </c>
      <c r="D13" s="31" t="n">
        <v>1241311.5</v>
      </c>
      <c r="E13" s="31" t="n">
        <v>1117180.35</v>
      </c>
      <c r="F13" s="31" t="n">
        <v>1005462.315</v>
      </c>
      <c r="G13" s="27" t="n">
        <f aca="false">SUMIF($C$2:$F$2,EOMONTH(G$2,-1)+1,$C13:$F13)*VLOOKUP(G$2,Valores!$H$2:$P$154,8,0)</f>
        <v>39717.9735066645</v>
      </c>
      <c r="H13" s="27" t="n">
        <f aca="false">SUMIF($C$2:$F$2,EOMONTH(H$2,-1)+1,$C13:$F13)*VLOOKUP(H$2,Valores!$H$2:$P$154,8,0)</f>
        <v>27235.1818331413</v>
      </c>
      <c r="I13" s="27" t="n">
        <f aca="false">SUMIF($C$2:$F$2,EOMONTH(I$2,-1)+1,$C13:$F13)*VLOOKUP(I$2,Valores!$H$2:$P$154,8,0)</f>
        <v>27235.1818331413</v>
      </c>
      <c r="J13" s="27" t="n">
        <f aca="false">SUMIF($C$2:$F$2,EOMONTH(J$2,-1)+1,$C13:$F13)*VLOOKUP(J$2,Valores!$H$2:$P$154,8,0)</f>
        <v>27235.1818331413</v>
      </c>
      <c r="K13" s="27" t="n">
        <f aca="false">SUMIF($C$2:$F$2,EOMONTH(K$2,-1)+1,$C13:$F13)*VLOOKUP(K$2,Valores!$H$2:$P$154,8,0)</f>
        <v>27235.1818331413</v>
      </c>
      <c r="L13" s="27" t="n">
        <f aca="false">SUMIF($C$2:$F$2,EOMONTH(L$2,-1)+1,$C13:$F13)*VLOOKUP(L$2,Valores!$H$2:$P$154,8,0)</f>
        <v>54470.3636662827</v>
      </c>
      <c r="M13" s="27" t="n">
        <f aca="false">SUMIF($C$2:$F$2,EOMONTH(M$2,-1)+1,$C13:$F13)*VLOOKUP(M$2,Valores!$H$2:$P$154,8,0)</f>
        <v>68087.9545828534</v>
      </c>
      <c r="N13" s="27" t="n">
        <f aca="false">SUMIF($C$2:$F$2,EOMONTH(N$2,-1)+1,$C13:$F13)*VLOOKUP(N$2,Valores!$H$2:$P$154,8,0)</f>
        <v>40852.772749712</v>
      </c>
      <c r="O13" s="27" t="n">
        <f aca="false">SUMIF($C$2:$F$2,EOMONTH(O$2,-1)+1,$C13:$F13)*VLOOKUP(O$2,Valores!$H$2:$P$154,8,0)</f>
        <v>36313.5757775218</v>
      </c>
      <c r="P13" s="27" t="n">
        <f aca="false">SUMIF($C$2:$F$2,EOMONTH(P$2,-1)+1,$C13:$F13)*VLOOKUP(P$2,Valores!$H$2:$P$154,8,0)</f>
        <v>36313.5757775218</v>
      </c>
      <c r="Q13" s="27" t="n">
        <f aca="false">SUMIF($C$2:$F$2,EOMONTH(Q$2,-1)+1,$C13:$F13)*VLOOKUP(Q$2,Valores!$H$2:$P$154,8,0)</f>
        <v>21788.1454665131</v>
      </c>
      <c r="R13" s="27" t="n">
        <f aca="false">SUMIF($C$2:$F$2,EOMONTH(R$2,-1)+1,$C13:$F13)*VLOOKUP(R$2,Valores!$H$2:$P$154,8,0)</f>
        <v>36313.5757775218</v>
      </c>
      <c r="S13" s="27" t="n">
        <f aca="false">SUMIF($C$2:$F$2,EOMONTH(S$2,-1)+1,$C13:$F13)*VLOOKUP(S$2,Valores!$H$2:$P$154,8,0)</f>
        <v>72627.1515550436</v>
      </c>
      <c r="T13" s="27" t="n">
        <f aca="false">SUMIF($C$2:$F$2,EOMONTH(T$2,-1)+1,$C13:$F13)*VLOOKUP(T$2,Valores!$H$2:$P$154,8,0)</f>
        <v>90783.9394438045</v>
      </c>
      <c r="U13" s="27" t="n">
        <f aca="false">SUMIF($C$2:$F$2,EOMONTH(U$2,-1)+1,$C13:$F13)*VLOOKUP(U$2,Valores!$H$2:$P$154,8,0)</f>
        <v>54470.3636662827</v>
      </c>
      <c r="V13" s="27" t="n">
        <f aca="false">SUMIF($C$2:$F$2,EOMONTH(V$2,-1)+1,$C13:$F13)*VLOOKUP(V$2,Valores!$H$2:$P$154,8,0)</f>
        <v>45391.9697219023</v>
      </c>
      <c r="W13" s="27" t="n">
        <f aca="false">SUMIF($C$2:$F$2,EOMONTH(W$2,-1)+1,$C13:$F13)*VLOOKUP(W$2,Valores!$H$2:$P$154,8,0)</f>
        <v>45391.9697219023</v>
      </c>
      <c r="X13" s="27" t="n">
        <f aca="false">SUMIF($C$2:$F$2,EOMONTH(X$2,-1)+1,$C13:$F13)*VLOOKUP(X$2,Valores!$H$2:$P$154,8,0)</f>
        <v>0</v>
      </c>
      <c r="Y13" s="27" t="n">
        <f aca="false">SUMIF($C$2:$F$2,EOMONTH(Y$2,-1)+1,$C13:$F13)*VLOOKUP(Y$2,Valores!$H$2:$P$154,8,0)</f>
        <v>0</v>
      </c>
      <c r="Z13" s="27" t="n">
        <f aca="false">SUMIF($C$2:$F$2,EOMONTH(Z$2,-1)+1,$C13:$F13)*VLOOKUP(Z$2,Valores!$H$2:$P$154,8,0)</f>
        <v>68087.9545828534</v>
      </c>
      <c r="AA13" s="27" t="n">
        <f aca="false">SUMIF($C$2:$F$2,EOMONTH(AA$2,-1)+1,$C13:$F13)*VLOOKUP(AA$2,Valores!$H$2:$P$154,8,0)</f>
        <v>81705.545499424</v>
      </c>
      <c r="AB13" s="27" t="n">
        <f aca="false">SUMIF($C$2:$F$2,EOMONTH(AB$2,-1)+1,$C13:$F13)*VLOOKUP(AB$2,Valores!$H$2:$P$154,8,0)</f>
        <v>40852.772749712</v>
      </c>
      <c r="AC13" s="27" t="n">
        <f aca="false">SUMIF($C$2:$F$2,EOMONTH(AC$2,-1)+1,$C13:$F13)*VLOOKUP(AC$2,Valores!$H$2:$P$154,8,0)</f>
        <v>49931.1666940925</v>
      </c>
      <c r="AD13" s="27" t="n">
        <f aca="false">SUMIF($C$2:$F$2,EOMONTH(AD$2,-1)+1,$C13:$F13)*VLOOKUP(AD$2,Valores!$H$2:$P$154,8,0)</f>
        <v>49931.1666940925</v>
      </c>
      <c r="AE13" s="27" t="n">
        <f aca="false">SUMIF($C$2:$F$2,EOMONTH(AE$2,-1)+1,$C13:$F13)*VLOOKUP(AE$2,Valores!$H$2:$P$154,8,0)</f>
        <v>49931.1666940925</v>
      </c>
      <c r="AF13" s="27" t="n">
        <f aca="false">SUMIF($C$2:$F$2,EOMONTH(AF$2,-1)+1,$C13:$F13)*VLOOKUP(AF$2,Valores!$H$2:$P$154,8,0)</f>
        <v>49931.1666940925</v>
      </c>
      <c r="AG13" s="27" t="n">
        <f aca="false">SUMIF($C$2:$F$2,EOMONTH(AG$2,-1)+1,$C13:$F13)*VLOOKUP(AG$2,Valores!$H$2:$P$154,8,0)</f>
        <v>79889.866710548</v>
      </c>
      <c r="AH13" s="27" t="n">
        <f aca="false">SUMIF($C$2:$F$2,EOMONTH(AH$2,-1)+1,$C13:$F13)*VLOOKUP(AH$2,Valores!$H$2:$P$154,8,0)</f>
        <v>99862.333388185</v>
      </c>
      <c r="AI13" s="27" t="n">
        <f aca="false">SUMIF($C$2:$F$2,EOMONTH(AI$2,-1)+1,$C13:$F13)*VLOOKUP(AI$2,Valores!$H$2:$P$154,8,0)</f>
        <v>34951.8166858647</v>
      </c>
      <c r="AJ13" s="27" t="n">
        <f aca="false">SUMIF($C$2:$F$2,EOMONTH(AJ$2,-1)+1,$C13:$F13)*VLOOKUP(AJ$2,Valores!$H$2:$P$154,8,0)</f>
        <v>22695.9848609511</v>
      </c>
      <c r="AK13" s="27" t="n">
        <f aca="false">SUMIF($C$2:$F$2,EOMONTH(AK$2,-1)+1,$C13:$F13)*VLOOKUP(AK$2,Valores!$H$2:$P$154,8,0)</f>
        <v>41387.8896853938</v>
      </c>
      <c r="AL13" s="27" t="n">
        <f aca="false">SUMIF($C$2:$F$2,EOMONTH(AL$2,-1)+1,$C13:$F13)*VLOOKUP(AL$2,Valores!$H$2:$P$154,8,0)</f>
        <v>41387.8896853938</v>
      </c>
      <c r="AM13" s="27" t="n">
        <f aca="false">SUMIF($C$2:$F$2,EOMONTH(AM$2,-1)+1,$C13:$F13)*VLOOKUP(AM$2,Valores!$H$2:$P$154,8,0)</f>
        <v>41387.8896853938</v>
      </c>
      <c r="AN13" s="27" t="n">
        <f aca="false">SUMIF($C$2:$F$2,EOMONTH(AN$2,-1)+1,$C13:$F13)*VLOOKUP(AN$2,Valores!$H$2:$P$154,8,0)</f>
        <v>82775.7793707876</v>
      </c>
      <c r="AO13" s="27" t="n">
        <f aca="false">SUMIF($C$2:$F$2,EOMONTH(AO$2,-1)+1,$C13:$F13)*VLOOKUP(AO$2,Valores!$H$2:$P$154,8,0)</f>
        <v>103469.724213484</v>
      </c>
      <c r="AP13" s="27" t="n">
        <f aca="false">SUMIF($C$2:$F$2,EOMONTH(AP$2,-1)+1,$C13:$F13)*VLOOKUP(AP$2,Valores!$H$2:$P$154,8,0)</f>
        <v>62081.8345280907</v>
      </c>
      <c r="AQ13" s="27" t="n">
        <f aca="false">SUMIF($C$2:$F$2,EOMONTH(AQ$2,-1)+1,$C13:$F13)*VLOOKUP(AQ$2,Valores!$H$2:$P$154,8,0)</f>
        <v>22172.0837600324</v>
      </c>
      <c r="AR13" s="27" t="n">
        <f aca="false">SUMIF($C$2:$F$2,EOMONTH(AR$2,-1)+1,$C13:$F13)*VLOOKUP(AR$2,Valores!$H$2:$P$154,8,0)</f>
        <v>22172.0837600324</v>
      </c>
      <c r="AS13" s="27" t="n">
        <f aca="false">SUMIF($C$2:$F$2,EOMONTH(AS$2,-1)+1,$C13:$F13)*VLOOKUP(AS$2,Valores!$H$2:$P$154,8,0)</f>
        <v>22172.0837600324</v>
      </c>
      <c r="AT13" s="27" t="n">
        <f aca="false">SUMIF($C$2:$F$2,EOMONTH(AT$2,-1)+1,$C13:$F13)*VLOOKUP(AT$2,Valores!$H$2:$P$154,8,0)</f>
        <v>22172.0837600324</v>
      </c>
      <c r="AU13" s="27" t="n">
        <f aca="false">SUMIF($C$2:$F$2,EOMONTH(AU$2,-1)+1,$C13:$F13)*VLOOKUP(AU$2,Valores!$H$2:$P$154,8,0)</f>
        <v>44344.1675200648</v>
      </c>
      <c r="AV13" s="27" t="n">
        <f aca="false">SUMIF($C$2:$F$2,EOMONTH(AV$2,-1)+1,$C13:$F13)*VLOOKUP(AV$2,Valores!$H$2:$P$154,8,0)</f>
        <v>55430.209400081</v>
      </c>
      <c r="AW13" s="27" t="n">
        <f aca="false">SUMIF($C$2:$F$2,EOMONTH(AW$2,-1)+1,$C13:$F13)*VLOOKUP(AW$2,Valores!$H$2:$P$154,8,0)</f>
        <v>33258.1256400486</v>
      </c>
      <c r="AX13" s="27" t="n">
        <f aca="false">SUMIF($C$2:$F$2,EOMONTH(AX$2,-1)+1,$C13:$F13)*VLOOKUP(AX$2,Valores!$H$2:$P$154,8,0)</f>
        <v>22172.0837600324</v>
      </c>
      <c r="AY13" s="27" t="n">
        <f aca="false">SUMIF($C$2:$F$2,EOMONTH(AY$2,-1)+1,$C13:$F13)*VLOOKUP(AY$2,Valores!$H$2:$P$154,8,0)</f>
        <v>28823.7088880421</v>
      </c>
      <c r="AZ13" s="27" t="n">
        <f aca="false">SUMIF($C$2:$F$2,EOMONTH(AZ$2,-1)+1,$C13:$F13)*VLOOKUP(AZ$2,Valores!$H$2:$P$154,8,0)</f>
        <v>28823.7088880421</v>
      </c>
      <c r="BA13" s="27" t="n">
        <f aca="false">SUMIF($C$2:$F$2,EOMONTH(BA$2,-1)+1,$C13:$F13)*VLOOKUP(BA$2,Valores!$H$2:$P$154,8,0)</f>
        <v>28823.7088880421</v>
      </c>
      <c r="BB13" s="27" t="n">
        <f aca="false">SUMIF($C$2:$F$2,EOMONTH(BB$2,-1)+1,$C13:$F13)*VLOOKUP(BB$2,Valores!$H$2:$P$154,8,0)</f>
        <v>50995.7926480745</v>
      </c>
      <c r="BC13" s="27" t="n">
        <f aca="false">SUMIF($C$2:$F$2,EOMONTH(BC$2,-1)+1,$C13:$F13)*VLOOKUP(BC$2,Valores!$H$2:$P$154,8,0)</f>
        <v>62081.8345280907</v>
      </c>
      <c r="BD13" s="27" t="n">
        <f aca="false">SUMIF($C$2:$F$2,EOMONTH(BD$2,-1)+1,$C13:$F13)*VLOOKUP(BD$2,Valores!$H$2:$P$154,8,0)</f>
        <v>33258.1256400486</v>
      </c>
      <c r="BE13" s="27" t="n">
        <f aca="false">SUMIF($C$2:$F$2,EOMONTH(BE$2,-1)+1,$C13:$F13)*VLOOKUP(BE$2,Valores!$H$2:$P$154,8,0)</f>
        <v>29562.7783467098</v>
      </c>
      <c r="BF13" s="27" t="n">
        <f aca="false">SUMIF($C$2:$F$2,EOMONTH(BF$2,-1)+1,$C13:$F13)*VLOOKUP(BF$2,Valores!$H$2:$P$154,8,0)</f>
        <v>29562.7783467098</v>
      </c>
      <c r="BG13" s="27" t="n">
        <f aca="false">SUMIF($C$2:$F$2,EOMONTH(BG$2,-1)+1,$C13:$F13)*VLOOKUP(BG$2,Valores!$H$2:$P$154,8,0)</f>
        <v>29562.7783467098</v>
      </c>
      <c r="BH13" s="27" t="n">
        <f aca="false">SUMIF($C$2:$F$2,EOMONTH(BH$2,-1)+1,$C13:$F13)*VLOOKUP(BH$2,Valores!$H$2:$P$154,8,0)</f>
        <v>29562.7783467098</v>
      </c>
      <c r="BI13" s="27" t="n">
        <f aca="false">SUMIF($C$2:$F$2,EOMONTH(BI$2,-1)+1,$C13:$F13)*VLOOKUP(BI$2,Valores!$H$2:$P$154,8,0)</f>
        <v>59125.5566934197</v>
      </c>
      <c r="BJ13" s="27" t="n">
        <f aca="false">SUMIF($C$2:$F$2,EOMONTH(BJ$2,-1)+1,$C13:$F13)*VLOOKUP(BJ$2,Valores!$H$2:$P$154,8,0)</f>
        <v>73906.9458667746</v>
      </c>
      <c r="BK13" s="27" t="n">
        <f aca="false">SUMIF($C$2:$F$2,EOMONTH(BK$2,-1)+1,$C13:$F13)*VLOOKUP(BK$2,Valores!$H$2:$P$154,8,0)</f>
        <v>35475.3340160518</v>
      </c>
      <c r="BL13" s="27" t="n">
        <f aca="false">SUMIF($C$2:$F$2,EOMONTH(BL$2,-1)+1,$C13:$F13)*VLOOKUP(BL$2,Valores!$H$2:$P$154,8,0)</f>
        <v>26015.2449451047</v>
      </c>
      <c r="BM13" s="27" t="n">
        <f aca="false">SUMIF($C$2:$F$2,EOMONTH(BM$2,-1)+1,$C13:$F13)*VLOOKUP(BM$2,Valores!$H$2:$P$154,8,0)</f>
        <v>26015.2449451047</v>
      </c>
      <c r="BN13" s="27" t="n">
        <f aca="false">SUMIF($C$2:$F$2,EOMONTH(BN$2,-1)+1,$C13:$F13)*VLOOKUP(BN$2,Valores!$H$2:$P$154,8,0)</f>
        <v>26015.2449451047</v>
      </c>
      <c r="BO13" s="27" t="n">
        <f aca="false">SUMIF($C$2:$F$2,EOMONTH(BO$2,-1)+1,$C13:$F13)*VLOOKUP(BO$2,Valores!$H$2:$P$154,8,0)</f>
        <v>27316.0071923599</v>
      </c>
      <c r="BP13" s="27" t="n">
        <f aca="false">SUMIF($C$2:$F$2,EOMONTH(BP$2,-1)+1,$C13:$F13)*VLOOKUP(BP$2,Valores!$H$2:$P$154,8,0)</f>
        <v>68742.0059334139</v>
      </c>
      <c r="BQ13" s="27" t="n">
        <f aca="false">SUMIF($C$2:$F$2,EOMONTH(BQ$2,-1)+1,$C13:$F13)*VLOOKUP(BQ$2,Valores!$H$2:$P$154,8,0)</f>
        <v>85927.5074167674</v>
      </c>
      <c r="BR13" s="27" t="n">
        <f aca="false">SUMIF($C$2:$F$2,EOMONTH(BR$2,-1)+1,$C13:$F13)*VLOOKUP(BR$2,Valores!$H$2:$P$154,8,0)</f>
        <v>41245.2035600483</v>
      </c>
      <c r="BS13" s="27" t="n">
        <f aca="false">SUMIF($C$2:$F$2,EOMONTH(BS$2,-1)+1,$C13:$F13)*VLOOKUP(BS$2,Valores!$H$2:$P$154,8,0)</f>
        <v>18413.037303593</v>
      </c>
      <c r="BT13" s="27" t="n">
        <f aca="false">SUMIF($C$2:$F$2,EOMONTH(BT$2,-1)+1,$C13:$F13)*VLOOKUP(BT$2,Valores!$H$2:$P$154,8,0)</f>
        <v>18413.037303593</v>
      </c>
      <c r="BU13" s="27" t="n">
        <f aca="false">SUMIF($C$2:$F$2,EOMONTH(BU$2,-1)+1,$C13:$F13)*VLOOKUP(BU$2,Valores!$H$2:$P$154,8,0)</f>
        <v>18413.037303593</v>
      </c>
      <c r="BV13" s="27" t="n">
        <f aca="false">SUMIF($C$2:$F$2,EOMONTH(BV$2,-1)+1,$C13:$F13)*VLOOKUP(BV$2,Valores!$H$2:$P$154,8,0)</f>
        <v>18413.037303593</v>
      </c>
      <c r="BW13" s="27" t="n">
        <f aca="false">SUMIF($C$2:$F$2,EOMONTH(BW$2,-1)+1,$C13:$F13)*VLOOKUP(BW$2,Valores!$H$2:$P$154,8,0)</f>
        <v>36826.074607186</v>
      </c>
      <c r="BX13" s="27" t="n">
        <f aca="false">SUMIF($C$2:$F$2,EOMONTH(BX$2,-1)+1,$C13:$F13)*VLOOKUP(BX$2,Valores!$H$2:$P$154,8,0)</f>
        <v>46032.5932589825</v>
      </c>
      <c r="BY13" s="27" t="n">
        <f aca="false">SUMIF($C$2:$F$2,EOMONTH(BY$2,-1)+1,$C13:$F13)*VLOOKUP(BY$2,Valores!$H$2:$P$154,8,0)</f>
        <v>27619.5559553895</v>
      </c>
      <c r="BZ13" s="27" t="n">
        <f aca="false">SUMIF($C$2:$F$2,EOMONTH(BZ$2,-1)+1,$C13:$F13)*VLOOKUP(BZ$2,Valores!$H$2:$P$154,8,0)</f>
        <v>18413.037303593</v>
      </c>
      <c r="CA13" s="27" t="n">
        <f aca="false">SUMIF($C$2:$F$2,EOMONTH(CA$2,-1)+1,$C13:$F13)*VLOOKUP(CA$2,Valores!$H$2:$P$154,8,0)</f>
        <v>18413.037303593</v>
      </c>
      <c r="CB13" s="27" t="n">
        <f aca="false">SUMIF($C$2:$F$2,EOMONTH(CB$2,-1)+1,$C13:$F13)*VLOOKUP(CB$2,Valores!$H$2:$P$154,8,0)</f>
        <v>18413.037303593</v>
      </c>
      <c r="CC13" s="27" t="n">
        <f aca="false">SUMIF($C$2:$F$2,EOMONTH(CC$2,-1)+1,$C13:$F13)*VLOOKUP(CC$2,Valores!$H$2:$P$154,8,0)</f>
        <v>18413.037303593</v>
      </c>
      <c r="CD13" s="27" t="n">
        <f aca="false">SUMIF($C$2:$F$2,EOMONTH(CD$2,-1)+1,$C13:$F13)*VLOOKUP(CD$2,Valores!$H$2:$P$154,8,0)</f>
        <v>55239.111910779</v>
      </c>
      <c r="CE13" s="27" t="n">
        <f aca="false">SUMIF($C$2:$F$2,EOMONTH(CE$2,-1)+1,$C13:$F13)*VLOOKUP(CE$2,Valores!$H$2:$P$154,8,0)</f>
        <v>73652.149214372</v>
      </c>
      <c r="CF13" s="27" t="n">
        <f aca="false">SUMIF($C$2:$F$2,EOMONTH(CF$2,-1)+1,$C13:$F13)*VLOOKUP(CF$2,Valores!$H$2:$P$154,8,0)</f>
        <v>46032.5932589825</v>
      </c>
      <c r="CG13" s="27" t="n">
        <f aca="false">SUMIF($C$2:$F$2,EOMONTH(CG$2,-1)+1,$C13:$F13)*VLOOKUP(CG$2,Valores!$H$2:$P$154,8,0)</f>
        <v>24550.7164047907</v>
      </c>
      <c r="CH13" s="27" t="n">
        <f aca="false">SUMIF($C$2:$F$2,EOMONTH(CH$2,-1)+1,$C13:$F13)*VLOOKUP(CH$2,Valores!$H$2:$P$154,8,0)</f>
        <v>24550.7164047907</v>
      </c>
      <c r="CI13" s="27" t="n">
        <f aca="false">SUMIF($C$2:$F$2,EOMONTH(CI$2,-1)+1,$C13:$F13)*VLOOKUP(CI$2,Valores!$H$2:$P$154,8,0)</f>
        <v>24550.7164047907</v>
      </c>
      <c r="CJ13" s="27" t="n">
        <f aca="false">SUMIF($C$2:$F$2,EOMONTH(CJ$2,-1)+1,$C13:$F13)*VLOOKUP(CJ$2,Valores!$H$2:$P$154,8,0)</f>
        <v>24550.7164047907</v>
      </c>
      <c r="CK13" s="27" t="n">
        <f aca="false">SUMIF($C$2:$F$2,EOMONTH(CK$2,-1)+1,$C13:$F13)*VLOOKUP(CK$2,Valores!$H$2:$P$154,8,0)</f>
        <v>49101.4328095814</v>
      </c>
      <c r="CL13" s="27" t="n">
        <f aca="false">SUMIF($C$2:$F$2,EOMONTH(CL$2,-1)+1,$C13:$F13)*VLOOKUP(CL$2,Valores!$H$2:$P$154,8,0)</f>
        <v>61376.7910119767</v>
      </c>
      <c r="CM13" s="27" t="n">
        <f aca="false">SUMIF($C$2:$F$2,EOMONTH(CM$2,-1)+1,$C13:$F13)*VLOOKUP(CM$2,Valores!$H$2:$P$154,8,0)</f>
        <v>36826.074607186</v>
      </c>
      <c r="CN13" s="27" t="n">
        <f aca="false">SUMIF($C$2:$F$2,EOMONTH(CN$2,-1)+1,$C13:$F13)*VLOOKUP(CN$2,Valores!$H$2:$P$154,8,0)</f>
        <v>27005.7880452697</v>
      </c>
      <c r="CO13" s="27" t="n">
        <f aca="false">SUMIF($C$2:$F$2,EOMONTH(CO$2,-1)+1,$C13:$F13)*VLOOKUP(CO$2,Valores!$H$2:$P$154,8,0)</f>
        <v>27005.7880452697</v>
      </c>
      <c r="CP13" s="27" t="n">
        <f aca="false">SUMIF($C$2:$F$2,EOMONTH(CP$2,-1)+1,$C13:$F13)*VLOOKUP(CP$2,Valores!$H$2:$P$154,8,0)</f>
        <v>27005.7880452697</v>
      </c>
      <c r="CQ13" s="27" t="n">
        <f aca="false">SUMIF($C$2:$F$2,EOMONTH(CQ$2,-1)+1,$C13:$F13)*VLOOKUP(CQ$2,Valores!$H$2:$P$154,8,0)</f>
        <v>27005.7880452697</v>
      </c>
      <c r="CR13" s="27" t="n">
        <f aca="false">SUMIF($C$2:$F$2,EOMONTH(CR$2,-1)+1,$C13:$F13)*VLOOKUP(CR$2,Valores!$H$2:$P$154,8,0)</f>
        <v>54011.5760905395</v>
      </c>
      <c r="CS13" s="27" t="n">
        <f aca="false">SUMIF($C$2:$F$2,EOMONTH(CS$2,-1)+1,$C13:$F13)*VLOOKUP(CS$2,Valores!$H$2:$P$154,8,0)</f>
        <v>81017.3641358093</v>
      </c>
      <c r="CT13" s="27" t="e">
        <f aca="false">SUMIF($C$2:$F$2,EOMONTH(CT$2,-1)+1,$C13:$F13)*VLOOKUP(CT$2,Valores!$H$2:$P$154,8,0)</f>
        <v>#VALUE!</v>
      </c>
      <c r="CU13" s="27" t="e">
        <f aca="false">SUMIF($C$2:$F$2,EOMONTH(CU$2,-1)+1,$C13:$F13)*VLOOKUP(CU$2,Valores!$H$2:$P$154,8,0)</f>
        <v>#VALUE!</v>
      </c>
      <c r="CV13" s="27" t="e">
        <f aca="false">SUMIF($C$2:$F$2,EOMONTH(CV$2,-1)+1,$C13:$F13)*VLOOKUP(CV$2,Valores!$H$2:$P$154,8,0)</f>
        <v>#VALUE!</v>
      </c>
      <c r="CW13" s="27" t="e">
        <f aca="false">SUMIF($C$2:$F$2,EOMONTH(CW$2,-1)+1,$C13:$F13)*VLOOKUP(CW$2,Valores!$H$2:$P$154,8,0)</f>
        <v>#VALUE!</v>
      </c>
      <c r="CX13" s="27" t="e">
        <f aca="false">SUMIF($C$2:$F$2,EOMONTH(CX$2,-1)+1,$C13:$F13)*VLOOKUP(CX$2,Valores!$H$2:$P$154,8,0)</f>
        <v>#VALUE!</v>
      </c>
      <c r="CY13" s="27" t="e">
        <f aca="false">SUMIF($C$2:$F$2,EOMONTH(CY$2,-1)+1,$C13:$F13)*VLOOKUP(CY$2,Valores!$H$2:$P$154,8,0)</f>
        <v>#VALUE!</v>
      </c>
      <c r="CZ13" s="27" t="e">
        <f aca="false">SUMIF($C$2:$F$2,EOMONTH(CZ$2,-1)+1,$C13:$F13)*VLOOKUP(CZ$2,Valores!$H$2:$P$154,8,0)</f>
        <v>#VALUE!</v>
      </c>
      <c r="DA13" s="27" t="e">
        <f aca="false">SUMIF($C$2:$F$2,EOMONTH(DA$2,-1)+1,$C13:$F13)*VLOOKUP(DA$2,Valores!$H$2:$P$154,8,0)</f>
        <v>#VALUE!</v>
      </c>
      <c r="DB13" s="27" t="e">
        <f aca="false">SUMIF($C$2:$F$2,EOMONTH(DB$2,-1)+1,$C13:$F13)*VLOOKUP(DB$2,Valores!$H$2:$P$154,8,0)</f>
        <v>#VALUE!</v>
      </c>
      <c r="DC13" s="27" t="e">
        <f aca="false">SUMIF($C$2:$F$2,EOMONTH(DC$2,-1)+1,$C13:$F13)*VLOOKUP(DC$2,Valores!$H$2:$P$154,8,0)</f>
        <v>#VALUE!</v>
      </c>
      <c r="DD13" s="27" t="e">
        <f aca="false">SUMIF($C$2:$F$2,EOMONTH(DD$2,-1)+1,$C13:$F13)*VLOOKUP(DD$2,Valores!$H$2:$P$154,8,0)</f>
        <v>#VALUE!</v>
      </c>
      <c r="DE13" s="27" t="e">
        <f aca="false">SUMIF($C$2:$F$2,EOMONTH(DE$2,-1)+1,$C13:$F13)*VLOOKUP(DE$2,Valores!$H$2:$P$154,8,0)</f>
        <v>#VALUE!</v>
      </c>
      <c r="DF13" s="27" t="e">
        <f aca="false">SUMIF($C$2:$F$2,EOMONTH(DF$2,-1)+1,$C13:$F13)*VLOOKUP(DF$2,Valores!$H$2:$P$154,8,0)</f>
        <v>#VALUE!</v>
      </c>
      <c r="DG13" s="27" t="e">
        <f aca="false">SUMIF($C$2:$F$2,EOMONTH(DG$2,-1)+1,$C13:$F13)*VLOOKUP(DG$2,Valores!$H$2:$P$154,8,0)</f>
        <v>#VALUE!</v>
      </c>
      <c r="DH13" s="27" t="e">
        <f aca="false">SUMIF($C$2:$F$2,EOMONTH(DH$2,-1)+1,$C13:$F13)*VLOOKUP(DH$2,Valores!$H$2:$P$154,8,0)</f>
        <v>#VALUE!</v>
      </c>
      <c r="DI13" s="27" t="e">
        <f aca="false">SUMIF($C$2:$F$2,EOMONTH(DI$2,-1)+1,$C13:$F13)*VLOOKUP(DI$2,Valores!$H$2:$P$154,8,0)</f>
        <v>#VALUE!</v>
      </c>
      <c r="DJ13" s="27" t="e">
        <f aca="false">SUMIF($C$2:$F$2,EOMONTH(DJ$2,-1)+1,$C13:$F13)*VLOOKUP(DJ$2,Valores!$H$2:$P$154,8,0)</f>
        <v>#VALUE!</v>
      </c>
      <c r="DK13" s="27" t="e">
        <f aca="false">SUMIF($C$2:$F$2,EOMONTH(DK$2,-1)+1,$C13:$F13)*VLOOKUP(DK$2,Valores!$H$2:$P$154,8,0)</f>
        <v>#VALUE!</v>
      </c>
      <c r="DL13" s="27" t="e">
        <f aca="false">SUMIF($C$2:$F$2,EOMONTH(DL$2,-1)+1,$C13:$F13)*VLOOKUP(DL$2,Valores!$H$2:$P$154,8,0)</f>
        <v>#VALUE!</v>
      </c>
      <c r="DM13" s="27" t="e">
        <f aca="false">SUMIF($C$2:$F$2,EOMONTH(DM$2,-1)+1,$C13:$F13)*VLOOKUP(DM$2,Valores!$H$2:$P$154,8,0)</f>
        <v>#VALUE!</v>
      </c>
      <c r="DN13" s="27" t="e">
        <f aca="false">SUMIF($C$2:$F$2,EOMONTH(DN$2,-1)+1,$C13:$F13)*VLOOKUP(DN$2,Valores!$H$2:$P$154,8,0)</f>
        <v>#VALUE!</v>
      </c>
      <c r="DO13" s="27" t="e">
        <f aca="false">SUMIF($C$2:$F$2,EOMONTH(DO$2,-1)+1,$C13:$F13)*VLOOKUP(DO$2,Valores!$H$2:$P$154,8,0)</f>
        <v>#VALUE!</v>
      </c>
      <c r="DP13" s="27" t="e">
        <f aca="false">SUMIF($C$2:$F$2,EOMONTH(DP$2,-1)+1,$C13:$F13)*VLOOKUP(DP$2,Valores!$H$2:$P$154,8,0)</f>
        <v>#VALUE!</v>
      </c>
      <c r="DQ13" s="27" t="e">
        <f aca="false">SUMIF($C$2:$F$2,EOMONTH(DQ$2,-1)+1,$C13:$F13)*VLOOKUP(DQ$2,Valores!$H$2:$P$154,8,0)</f>
        <v>#VALUE!</v>
      </c>
      <c r="DR13" s="27" t="e">
        <f aca="false">SUMIF($C$2:$F$2,EOMONTH(DR$2,-1)+1,$C13:$F13)*VLOOKUP(DR$2,Valores!$H$2:$P$154,8,0)</f>
        <v>#VALUE!</v>
      </c>
      <c r="DS13" s="27" t="e">
        <f aca="false">SUMIF($C$2:$F$2,EOMONTH(DS$2,-1)+1,$C13:$F13)*VLOOKUP(DS$2,Valores!$H$2:$P$154,8,0)</f>
        <v>#VALUE!</v>
      </c>
      <c r="DT13" s="27" t="e">
        <f aca="false">SUMIF($C$2:$F$2,EOMONTH(DT$2,-1)+1,$C13:$F13)*VLOOKUP(DT$2,Valores!$H$2:$P$154,8,0)</f>
        <v>#VALUE!</v>
      </c>
      <c r="DU13" s="27" t="e">
        <f aca="false">SUMIF($C$2:$F$2,EOMONTH(DU$2,-1)+1,$C13:$F13)*VLOOKUP(DU$2,Valores!$H$2:$P$154,8,0)</f>
        <v>#VALUE!</v>
      </c>
      <c r="DV13" s="27" t="e">
        <f aca="false">SUMIF($C$2:$F$2,EOMONTH(DV$2,-1)+1,$C13:$F13)*VLOOKUP(DV$2,Valores!$H$2:$P$154,8,0)</f>
        <v>#VALUE!</v>
      </c>
      <c r="DW13" s="27" t="e">
        <f aca="false">SUMIF($C$2:$F$2,EOMONTH(DW$2,-1)+1,$C13:$F13)*VLOOKUP(DW$2,Valores!$H$2:$P$154,8,0)</f>
        <v>#VALUE!</v>
      </c>
      <c r="DX13" s="27" t="e">
        <f aca="false">SUMIF($C$2:$F$2,EOMONTH(DX$2,-1)+1,$C13:$F13)*VLOOKUP(DX$2,Valores!$H$2:$P$154,8,0)</f>
        <v>#VALUE!</v>
      </c>
    </row>
    <row r="14" customFormat="false" ht="13.8" hidden="false" customHeight="false" outlineLevel="0" collapsed="false">
      <c r="A14" s="29" t="s">
        <v>23</v>
      </c>
      <c r="B14" s="29" t="s">
        <v>35</v>
      </c>
      <c r="C14" s="29" t="n">
        <v>1286417</v>
      </c>
      <c r="D14" s="29" t="n">
        <v>1157775.3</v>
      </c>
      <c r="E14" s="29" t="n">
        <v>1041997.77</v>
      </c>
      <c r="F14" s="29" t="n">
        <v>937797.993</v>
      </c>
      <c r="G14" s="30" t="n">
        <f aca="false">SUMIF($C$2:$F$2,EOMONTH(G$2,-1)+1,$C14:$F14)*VLOOKUP(G$2,Valores!$H$2:$P$154,8,0)</f>
        <v>37045.0839229883</v>
      </c>
      <c r="H14" s="30" t="n">
        <f aca="false">SUMIF($C$2:$F$2,EOMONTH(H$2,-1)+1,$C14:$F14)*VLOOKUP(H$2,Valores!$H$2:$P$154,8,0)</f>
        <v>25402.3432614777</v>
      </c>
      <c r="I14" s="30" t="n">
        <f aca="false">SUMIF($C$2:$F$2,EOMONTH(I$2,-1)+1,$C14:$F14)*VLOOKUP(I$2,Valores!$H$2:$P$154,8,0)</f>
        <v>25402.3432614777</v>
      </c>
      <c r="J14" s="30" t="n">
        <f aca="false">SUMIF($C$2:$F$2,EOMONTH(J$2,-1)+1,$C14:$F14)*VLOOKUP(J$2,Valores!$H$2:$P$154,8,0)</f>
        <v>25402.3432614777</v>
      </c>
      <c r="K14" s="30" t="n">
        <f aca="false">SUMIF($C$2:$F$2,EOMONTH(K$2,-1)+1,$C14:$F14)*VLOOKUP(K$2,Valores!$H$2:$P$154,8,0)</f>
        <v>25402.3432614777</v>
      </c>
      <c r="L14" s="30" t="n">
        <f aca="false">SUMIF($C$2:$F$2,EOMONTH(L$2,-1)+1,$C14:$F14)*VLOOKUP(L$2,Valores!$H$2:$P$154,8,0)</f>
        <v>50804.6865229554</v>
      </c>
      <c r="M14" s="30" t="n">
        <f aca="false">SUMIF($C$2:$F$2,EOMONTH(M$2,-1)+1,$C14:$F14)*VLOOKUP(M$2,Valores!$H$2:$P$154,8,0)</f>
        <v>63505.8581536942</v>
      </c>
      <c r="N14" s="30" t="n">
        <f aca="false">SUMIF($C$2:$F$2,EOMONTH(N$2,-1)+1,$C14:$F14)*VLOOKUP(N$2,Valores!$H$2:$P$154,8,0)</f>
        <v>38103.5148922165</v>
      </c>
      <c r="O14" s="30" t="n">
        <f aca="false">SUMIF($C$2:$F$2,EOMONTH(O$2,-1)+1,$C14:$F14)*VLOOKUP(O$2,Valores!$H$2:$P$154,8,0)</f>
        <v>33869.7910153036</v>
      </c>
      <c r="P14" s="30" t="n">
        <f aca="false">SUMIF($C$2:$F$2,EOMONTH(P$2,-1)+1,$C14:$F14)*VLOOKUP(P$2,Valores!$H$2:$P$154,8,0)</f>
        <v>33869.7910153036</v>
      </c>
      <c r="Q14" s="30" t="n">
        <f aca="false">SUMIF($C$2:$F$2,EOMONTH(Q$2,-1)+1,$C14:$F14)*VLOOKUP(Q$2,Valores!$H$2:$P$154,8,0)</f>
        <v>20321.8746091822</v>
      </c>
      <c r="R14" s="30" t="n">
        <f aca="false">SUMIF($C$2:$F$2,EOMONTH(R$2,-1)+1,$C14:$F14)*VLOOKUP(R$2,Valores!$H$2:$P$154,8,0)</f>
        <v>33869.7910153036</v>
      </c>
      <c r="S14" s="30" t="n">
        <f aca="false">SUMIF($C$2:$F$2,EOMONTH(S$2,-1)+1,$C14:$F14)*VLOOKUP(S$2,Valores!$H$2:$P$154,8,0)</f>
        <v>67739.5820306072</v>
      </c>
      <c r="T14" s="30" t="n">
        <f aca="false">SUMIF($C$2:$F$2,EOMONTH(T$2,-1)+1,$C14:$F14)*VLOOKUP(T$2,Valores!$H$2:$P$154,8,0)</f>
        <v>84674.477538259</v>
      </c>
      <c r="U14" s="30" t="n">
        <f aca="false">SUMIF($C$2:$F$2,EOMONTH(U$2,-1)+1,$C14:$F14)*VLOOKUP(U$2,Valores!$H$2:$P$154,8,0)</f>
        <v>50804.6865229554</v>
      </c>
      <c r="V14" s="30" t="n">
        <f aca="false">SUMIF($C$2:$F$2,EOMONTH(V$2,-1)+1,$C14:$F14)*VLOOKUP(V$2,Valores!$H$2:$P$154,8,0)</f>
        <v>42337.2387691295</v>
      </c>
      <c r="W14" s="30" t="n">
        <f aca="false">SUMIF($C$2:$F$2,EOMONTH(W$2,-1)+1,$C14:$F14)*VLOOKUP(W$2,Valores!$H$2:$P$154,8,0)</f>
        <v>42337.2387691295</v>
      </c>
      <c r="X14" s="30" t="n">
        <f aca="false">SUMIF($C$2:$F$2,EOMONTH(X$2,-1)+1,$C14:$F14)*VLOOKUP(X$2,Valores!$H$2:$P$154,8,0)</f>
        <v>0</v>
      </c>
      <c r="Y14" s="30" t="n">
        <f aca="false">SUMIF($C$2:$F$2,EOMONTH(Y$2,-1)+1,$C14:$F14)*VLOOKUP(Y$2,Valores!$H$2:$P$154,8,0)</f>
        <v>0</v>
      </c>
      <c r="Z14" s="30" t="n">
        <f aca="false">SUMIF($C$2:$F$2,EOMONTH(Z$2,-1)+1,$C14:$F14)*VLOOKUP(Z$2,Valores!$H$2:$P$154,8,0)</f>
        <v>63505.8581536942</v>
      </c>
      <c r="AA14" s="30" t="n">
        <f aca="false">SUMIF($C$2:$F$2,EOMONTH(AA$2,-1)+1,$C14:$F14)*VLOOKUP(AA$2,Valores!$H$2:$P$154,8,0)</f>
        <v>76207.0297844331</v>
      </c>
      <c r="AB14" s="30" t="n">
        <f aca="false">SUMIF($C$2:$F$2,EOMONTH(AB$2,-1)+1,$C14:$F14)*VLOOKUP(AB$2,Valores!$H$2:$P$154,8,0)</f>
        <v>38103.5148922165</v>
      </c>
      <c r="AC14" s="30" t="n">
        <f aca="false">SUMIF($C$2:$F$2,EOMONTH(AC$2,-1)+1,$C14:$F14)*VLOOKUP(AC$2,Valores!$H$2:$P$154,8,0)</f>
        <v>46570.9626460424</v>
      </c>
      <c r="AD14" s="30" t="n">
        <f aca="false">SUMIF($C$2:$F$2,EOMONTH(AD$2,-1)+1,$C14:$F14)*VLOOKUP(AD$2,Valores!$H$2:$P$154,8,0)</f>
        <v>46570.9626460424</v>
      </c>
      <c r="AE14" s="30" t="n">
        <f aca="false">SUMIF($C$2:$F$2,EOMONTH(AE$2,-1)+1,$C14:$F14)*VLOOKUP(AE$2,Valores!$H$2:$P$154,8,0)</f>
        <v>46570.9626460424</v>
      </c>
      <c r="AF14" s="30" t="n">
        <f aca="false">SUMIF($C$2:$F$2,EOMONTH(AF$2,-1)+1,$C14:$F14)*VLOOKUP(AF$2,Valores!$H$2:$P$154,8,0)</f>
        <v>46570.9626460424</v>
      </c>
      <c r="AG14" s="30" t="n">
        <f aca="false">SUMIF($C$2:$F$2,EOMONTH(AG$2,-1)+1,$C14:$F14)*VLOOKUP(AG$2,Valores!$H$2:$P$154,8,0)</f>
        <v>74513.5402336679</v>
      </c>
      <c r="AH14" s="30" t="n">
        <f aca="false">SUMIF($C$2:$F$2,EOMONTH(AH$2,-1)+1,$C14:$F14)*VLOOKUP(AH$2,Valores!$H$2:$P$154,8,0)</f>
        <v>93141.9252920849</v>
      </c>
      <c r="AI14" s="30" t="n">
        <f aca="false">SUMIF($C$2:$F$2,EOMONTH(AI$2,-1)+1,$C14:$F14)*VLOOKUP(AI$2,Valores!$H$2:$P$154,8,0)</f>
        <v>32599.6738522297</v>
      </c>
      <c r="AJ14" s="30" t="n">
        <f aca="false">SUMIF($C$2:$F$2,EOMONTH(AJ$2,-1)+1,$C14:$F14)*VLOOKUP(AJ$2,Valores!$H$2:$P$154,8,0)</f>
        <v>21168.6193845647</v>
      </c>
      <c r="AK14" s="30" t="n">
        <f aca="false">SUMIF($C$2:$F$2,EOMONTH(AK$2,-1)+1,$C14:$F14)*VLOOKUP(AK$2,Valores!$H$2:$P$154,8,0)</f>
        <v>38602.620210055</v>
      </c>
      <c r="AL14" s="30" t="n">
        <f aca="false">SUMIF($C$2:$F$2,EOMONTH(AL$2,-1)+1,$C14:$F14)*VLOOKUP(AL$2,Valores!$H$2:$P$154,8,0)</f>
        <v>38602.620210055</v>
      </c>
      <c r="AM14" s="30" t="n">
        <f aca="false">SUMIF($C$2:$F$2,EOMONTH(AM$2,-1)+1,$C14:$F14)*VLOOKUP(AM$2,Valores!$H$2:$P$154,8,0)</f>
        <v>38602.620210055</v>
      </c>
      <c r="AN14" s="30" t="n">
        <f aca="false">SUMIF($C$2:$F$2,EOMONTH(AN$2,-1)+1,$C14:$F14)*VLOOKUP(AN$2,Valores!$H$2:$P$154,8,0)</f>
        <v>77205.24042011</v>
      </c>
      <c r="AO14" s="30" t="n">
        <f aca="false">SUMIF($C$2:$F$2,EOMONTH(AO$2,-1)+1,$C14:$F14)*VLOOKUP(AO$2,Valores!$H$2:$P$154,8,0)</f>
        <v>96506.5505251375</v>
      </c>
      <c r="AP14" s="30" t="n">
        <f aca="false">SUMIF($C$2:$F$2,EOMONTH(AP$2,-1)+1,$C14:$F14)*VLOOKUP(AP$2,Valores!$H$2:$P$154,8,0)</f>
        <v>57903.9303150825</v>
      </c>
      <c r="AQ14" s="30" t="n">
        <f aca="false">SUMIF($C$2:$F$2,EOMONTH(AQ$2,-1)+1,$C14:$F14)*VLOOKUP(AQ$2,Valores!$H$2:$P$154,8,0)</f>
        <v>20679.9751125295</v>
      </c>
      <c r="AR14" s="30" t="n">
        <f aca="false">SUMIF($C$2:$F$2,EOMONTH(AR$2,-1)+1,$C14:$F14)*VLOOKUP(AR$2,Valores!$H$2:$P$154,8,0)</f>
        <v>20679.9751125295</v>
      </c>
      <c r="AS14" s="30" t="n">
        <f aca="false">SUMIF($C$2:$F$2,EOMONTH(AS$2,-1)+1,$C14:$F14)*VLOOKUP(AS$2,Valores!$H$2:$P$154,8,0)</f>
        <v>20679.9751125295</v>
      </c>
      <c r="AT14" s="30" t="n">
        <f aca="false">SUMIF($C$2:$F$2,EOMONTH(AT$2,-1)+1,$C14:$F14)*VLOOKUP(AT$2,Valores!$H$2:$P$154,8,0)</f>
        <v>20679.9751125295</v>
      </c>
      <c r="AU14" s="30" t="n">
        <f aca="false">SUMIF($C$2:$F$2,EOMONTH(AU$2,-1)+1,$C14:$F14)*VLOOKUP(AU$2,Valores!$H$2:$P$154,8,0)</f>
        <v>41359.9502250589</v>
      </c>
      <c r="AV14" s="30" t="n">
        <f aca="false">SUMIF($C$2:$F$2,EOMONTH(AV$2,-1)+1,$C14:$F14)*VLOOKUP(AV$2,Valores!$H$2:$P$154,8,0)</f>
        <v>51699.9377813237</v>
      </c>
      <c r="AW14" s="30" t="n">
        <f aca="false">SUMIF($C$2:$F$2,EOMONTH(AW$2,-1)+1,$C14:$F14)*VLOOKUP(AW$2,Valores!$H$2:$P$154,8,0)</f>
        <v>31019.9626687942</v>
      </c>
      <c r="AX14" s="30" t="n">
        <f aca="false">SUMIF($C$2:$F$2,EOMONTH(AX$2,-1)+1,$C14:$F14)*VLOOKUP(AX$2,Valores!$H$2:$P$154,8,0)</f>
        <v>20679.9751125295</v>
      </c>
      <c r="AY14" s="30" t="n">
        <f aca="false">SUMIF($C$2:$F$2,EOMONTH(AY$2,-1)+1,$C14:$F14)*VLOOKUP(AY$2,Valores!$H$2:$P$154,8,0)</f>
        <v>26883.9676462883</v>
      </c>
      <c r="AZ14" s="30" t="n">
        <f aca="false">SUMIF($C$2:$F$2,EOMONTH(AZ$2,-1)+1,$C14:$F14)*VLOOKUP(AZ$2,Valores!$H$2:$P$154,8,0)</f>
        <v>26883.9676462883</v>
      </c>
      <c r="BA14" s="30" t="n">
        <f aca="false">SUMIF($C$2:$F$2,EOMONTH(BA$2,-1)+1,$C14:$F14)*VLOOKUP(BA$2,Valores!$H$2:$P$154,8,0)</f>
        <v>26883.9676462883</v>
      </c>
      <c r="BB14" s="30" t="n">
        <f aca="false">SUMIF($C$2:$F$2,EOMONTH(BB$2,-1)+1,$C14:$F14)*VLOOKUP(BB$2,Valores!$H$2:$P$154,8,0)</f>
        <v>47563.9427588178</v>
      </c>
      <c r="BC14" s="30" t="n">
        <f aca="false">SUMIF($C$2:$F$2,EOMONTH(BC$2,-1)+1,$C14:$F14)*VLOOKUP(BC$2,Valores!$H$2:$P$154,8,0)</f>
        <v>57903.9303150825</v>
      </c>
      <c r="BD14" s="30" t="n">
        <f aca="false">SUMIF($C$2:$F$2,EOMONTH(BD$2,-1)+1,$C14:$F14)*VLOOKUP(BD$2,Valores!$H$2:$P$154,8,0)</f>
        <v>31019.9626687942</v>
      </c>
      <c r="BE14" s="30" t="n">
        <f aca="false">SUMIF($C$2:$F$2,EOMONTH(BE$2,-1)+1,$C14:$F14)*VLOOKUP(BE$2,Valores!$H$2:$P$154,8,0)</f>
        <v>27573.3001500393</v>
      </c>
      <c r="BF14" s="30" t="n">
        <f aca="false">SUMIF($C$2:$F$2,EOMONTH(BF$2,-1)+1,$C14:$F14)*VLOOKUP(BF$2,Valores!$H$2:$P$154,8,0)</f>
        <v>27573.3001500393</v>
      </c>
      <c r="BG14" s="30" t="n">
        <f aca="false">SUMIF($C$2:$F$2,EOMONTH(BG$2,-1)+1,$C14:$F14)*VLOOKUP(BG$2,Valores!$H$2:$P$154,8,0)</f>
        <v>27573.3001500393</v>
      </c>
      <c r="BH14" s="30" t="n">
        <f aca="false">SUMIF($C$2:$F$2,EOMONTH(BH$2,-1)+1,$C14:$F14)*VLOOKUP(BH$2,Valores!$H$2:$P$154,8,0)</f>
        <v>27573.3001500393</v>
      </c>
      <c r="BI14" s="30" t="n">
        <f aca="false">SUMIF($C$2:$F$2,EOMONTH(BI$2,-1)+1,$C14:$F14)*VLOOKUP(BI$2,Valores!$H$2:$P$154,8,0)</f>
        <v>55146.6003000786</v>
      </c>
      <c r="BJ14" s="30" t="n">
        <f aca="false">SUMIF($C$2:$F$2,EOMONTH(BJ$2,-1)+1,$C14:$F14)*VLOOKUP(BJ$2,Valores!$H$2:$P$154,8,0)</f>
        <v>68933.2503750982</v>
      </c>
      <c r="BK14" s="30" t="n">
        <f aca="false">SUMIF($C$2:$F$2,EOMONTH(BK$2,-1)+1,$C14:$F14)*VLOOKUP(BK$2,Valores!$H$2:$P$154,8,0)</f>
        <v>33087.9601800472</v>
      </c>
      <c r="BL14" s="30" t="n">
        <f aca="false">SUMIF($C$2:$F$2,EOMONTH(BL$2,-1)+1,$C14:$F14)*VLOOKUP(BL$2,Valores!$H$2:$P$154,8,0)</f>
        <v>24264.5041320346</v>
      </c>
      <c r="BM14" s="30" t="n">
        <f aca="false">SUMIF($C$2:$F$2,EOMONTH(BM$2,-1)+1,$C14:$F14)*VLOOKUP(BM$2,Valores!$H$2:$P$154,8,0)</f>
        <v>24264.5041320346</v>
      </c>
      <c r="BN14" s="30" t="n">
        <f aca="false">SUMIF($C$2:$F$2,EOMONTH(BN$2,-1)+1,$C14:$F14)*VLOOKUP(BN$2,Valores!$H$2:$P$154,8,0)</f>
        <v>24264.5041320346</v>
      </c>
      <c r="BO14" s="30" t="n">
        <f aca="false">SUMIF($C$2:$F$2,EOMONTH(BO$2,-1)+1,$C14:$F14)*VLOOKUP(BO$2,Valores!$H$2:$P$154,8,0)</f>
        <v>25477.7293386363</v>
      </c>
      <c r="BP14" s="30" t="n">
        <f aca="false">SUMIF($C$2:$F$2,EOMONTH(BP$2,-1)+1,$C14:$F14)*VLOOKUP(BP$2,Valores!$H$2:$P$154,8,0)</f>
        <v>64115.8939896714</v>
      </c>
      <c r="BQ14" s="30" t="n">
        <f aca="false">SUMIF($C$2:$F$2,EOMONTH(BQ$2,-1)+1,$C14:$F14)*VLOOKUP(BQ$2,Valores!$H$2:$P$154,8,0)</f>
        <v>80144.8674870893</v>
      </c>
      <c r="BR14" s="30" t="n">
        <f aca="false">SUMIF($C$2:$F$2,EOMONTH(BR$2,-1)+1,$C14:$F14)*VLOOKUP(BR$2,Valores!$H$2:$P$154,8,0)</f>
        <v>38469.5363938029</v>
      </c>
      <c r="BS14" s="30" t="n">
        <f aca="false">SUMIF($C$2:$F$2,EOMONTH(BS$2,-1)+1,$C14:$F14)*VLOOKUP(BS$2,Valores!$H$2:$P$154,8,0)</f>
        <v>17173.9001758049</v>
      </c>
      <c r="BT14" s="30" t="n">
        <f aca="false">SUMIF($C$2:$F$2,EOMONTH(BT$2,-1)+1,$C14:$F14)*VLOOKUP(BT$2,Valores!$H$2:$P$154,8,0)</f>
        <v>17173.9001758049</v>
      </c>
      <c r="BU14" s="30" t="n">
        <f aca="false">SUMIF($C$2:$F$2,EOMONTH(BU$2,-1)+1,$C14:$F14)*VLOOKUP(BU$2,Valores!$H$2:$P$154,8,0)</f>
        <v>17173.9001758049</v>
      </c>
      <c r="BV14" s="30" t="n">
        <f aca="false">SUMIF($C$2:$F$2,EOMONTH(BV$2,-1)+1,$C14:$F14)*VLOOKUP(BV$2,Valores!$H$2:$P$154,8,0)</f>
        <v>17173.9001758049</v>
      </c>
      <c r="BW14" s="30" t="n">
        <f aca="false">SUMIF($C$2:$F$2,EOMONTH(BW$2,-1)+1,$C14:$F14)*VLOOKUP(BW$2,Valores!$H$2:$P$154,8,0)</f>
        <v>34347.8003516097</v>
      </c>
      <c r="BX14" s="30" t="n">
        <f aca="false">SUMIF($C$2:$F$2,EOMONTH(BX$2,-1)+1,$C14:$F14)*VLOOKUP(BX$2,Valores!$H$2:$P$154,8,0)</f>
        <v>42934.7504395121</v>
      </c>
      <c r="BY14" s="30" t="n">
        <f aca="false">SUMIF($C$2:$F$2,EOMONTH(BY$2,-1)+1,$C14:$F14)*VLOOKUP(BY$2,Valores!$H$2:$P$154,8,0)</f>
        <v>25760.8502637073</v>
      </c>
      <c r="BZ14" s="30" t="n">
        <f aca="false">SUMIF($C$2:$F$2,EOMONTH(BZ$2,-1)+1,$C14:$F14)*VLOOKUP(BZ$2,Valores!$H$2:$P$154,8,0)</f>
        <v>17173.9001758049</v>
      </c>
      <c r="CA14" s="30" t="n">
        <f aca="false">SUMIF($C$2:$F$2,EOMONTH(CA$2,-1)+1,$C14:$F14)*VLOOKUP(CA$2,Valores!$H$2:$P$154,8,0)</f>
        <v>17173.9001758049</v>
      </c>
      <c r="CB14" s="30" t="n">
        <f aca="false">SUMIF($C$2:$F$2,EOMONTH(CB$2,-1)+1,$C14:$F14)*VLOOKUP(CB$2,Valores!$H$2:$P$154,8,0)</f>
        <v>17173.9001758049</v>
      </c>
      <c r="CC14" s="30" t="n">
        <f aca="false">SUMIF($C$2:$F$2,EOMONTH(CC$2,-1)+1,$C14:$F14)*VLOOKUP(CC$2,Valores!$H$2:$P$154,8,0)</f>
        <v>17173.9001758049</v>
      </c>
      <c r="CD14" s="30" t="n">
        <f aca="false">SUMIF($C$2:$F$2,EOMONTH(CD$2,-1)+1,$C14:$F14)*VLOOKUP(CD$2,Valores!$H$2:$P$154,8,0)</f>
        <v>51521.7005274146</v>
      </c>
      <c r="CE14" s="30" t="n">
        <f aca="false">SUMIF($C$2:$F$2,EOMONTH(CE$2,-1)+1,$C14:$F14)*VLOOKUP(CE$2,Valores!$H$2:$P$154,8,0)</f>
        <v>68695.6007032194</v>
      </c>
      <c r="CF14" s="30" t="n">
        <f aca="false">SUMIF($C$2:$F$2,EOMONTH(CF$2,-1)+1,$C14:$F14)*VLOOKUP(CF$2,Valores!$H$2:$P$154,8,0)</f>
        <v>42934.7504395121</v>
      </c>
      <c r="CG14" s="30" t="n">
        <f aca="false">SUMIF($C$2:$F$2,EOMONTH(CG$2,-1)+1,$C14:$F14)*VLOOKUP(CG$2,Valores!$H$2:$P$154,8,0)</f>
        <v>22898.5335677398</v>
      </c>
      <c r="CH14" s="30" t="n">
        <f aca="false">SUMIF($C$2:$F$2,EOMONTH(CH$2,-1)+1,$C14:$F14)*VLOOKUP(CH$2,Valores!$H$2:$P$154,8,0)</f>
        <v>22898.5335677398</v>
      </c>
      <c r="CI14" s="30" t="n">
        <f aca="false">SUMIF($C$2:$F$2,EOMONTH(CI$2,-1)+1,$C14:$F14)*VLOOKUP(CI$2,Valores!$H$2:$P$154,8,0)</f>
        <v>22898.5335677398</v>
      </c>
      <c r="CJ14" s="30" t="n">
        <f aca="false">SUMIF($C$2:$F$2,EOMONTH(CJ$2,-1)+1,$C14:$F14)*VLOOKUP(CJ$2,Valores!$H$2:$P$154,8,0)</f>
        <v>22898.5335677398</v>
      </c>
      <c r="CK14" s="30" t="n">
        <f aca="false">SUMIF($C$2:$F$2,EOMONTH(CK$2,-1)+1,$C14:$F14)*VLOOKUP(CK$2,Valores!$H$2:$P$154,8,0)</f>
        <v>45797.0671354796</v>
      </c>
      <c r="CL14" s="30" t="n">
        <f aca="false">SUMIF($C$2:$F$2,EOMONTH(CL$2,-1)+1,$C14:$F14)*VLOOKUP(CL$2,Valores!$H$2:$P$154,8,0)</f>
        <v>57246.3339193495</v>
      </c>
      <c r="CM14" s="30" t="n">
        <f aca="false">SUMIF($C$2:$F$2,EOMONTH(CM$2,-1)+1,$C14:$F14)*VLOOKUP(CM$2,Valores!$H$2:$P$154,8,0)</f>
        <v>34347.8003516097</v>
      </c>
      <c r="CN14" s="30" t="n">
        <f aca="false">SUMIF($C$2:$F$2,EOMONTH(CN$2,-1)+1,$C14:$F14)*VLOOKUP(CN$2,Valores!$H$2:$P$154,8,0)</f>
        <v>25188.3869245138</v>
      </c>
      <c r="CO14" s="30" t="n">
        <f aca="false">SUMIF($C$2:$F$2,EOMONTH(CO$2,-1)+1,$C14:$F14)*VLOOKUP(CO$2,Valores!$H$2:$P$154,8,0)</f>
        <v>25188.3869245138</v>
      </c>
      <c r="CP14" s="30" t="n">
        <f aca="false">SUMIF($C$2:$F$2,EOMONTH(CP$2,-1)+1,$C14:$F14)*VLOOKUP(CP$2,Valores!$H$2:$P$154,8,0)</f>
        <v>25188.3869245138</v>
      </c>
      <c r="CQ14" s="30" t="n">
        <f aca="false">SUMIF($C$2:$F$2,EOMONTH(CQ$2,-1)+1,$C14:$F14)*VLOOKUP(CQ$2,Valores!$H$2:$P$154,8,0)</f>
        <v>25188.3869245138</v>
      </c>
      <c r="CR14" s="30" t="n">
        <f aca="false">SUMIF($C$2:$F$2,EOMONTH(CR$2,-1)+1,$C14:$F14)*VLOOKUP(CR$2,Valores!$H$2:$P$154,8,0)</f>
        <v>50376.7738490276</v>
      </c>
      <c r="CS14" s="30" t="n">
        <f aca="false">SUMIF($C$2:$F$2,EOMONTH(CS$2,-1)+1,$C14:$F14)*VLOOKUP(CS$2,Valores!$H$2:$P$154,8,0)</f>
        <v>75565.1607735414</v>
      </c>
      <c r="CT14" s="30" t="e">
        <f aca="false">SUMIF($C$2:$F$2,EOMONTH(CT$2,-1)+1,$C14:$F14)*VLOOKUP(CT$2,Valores!$H$2:$P$154,8,0)</f>
        <v>#VALUE!</v>
      </c>
      <c r="CU14" s="30" t="e">
        <f aca="false">SUMIF($C$2:$F$2,EOMONTH(CU$2,-1)+1,$C14:$F14)*VLOOKUP(CU$2,Valores!$H$2:$P$154,8,0)</f>
        <v>#VALUE!</v>
      </c>
      <c r="CV14" s="30" t="e">
        <f aca="false">SUMIF($C$2:$F$2,EOMONTH(CV$2,-1)+1,$C14:$F14)*VLOOKUP(CV$2,Valores!$H$2:$P$154,8,0)</f>
        <v>#VALUE!</v>
      </c>
      <c r="CW14" s="30" t="e">
        <f aca="false">SUMIF($C$2:$F$2,EOMONTH(CW$2,-1)+1,$C14:$F14)*VLOOKUP(CW$2,Valores!$H$2:$P$154,8,0)</f>
        <v>#VALUE!</v>
      </c>
      <c r="CX14" s="30" t="e">
        <f aca="false">SUMIF($C$2:$F$2,EOMONTH(CX$2,-1)+1,$C14:$F14)*VLOOKUP(CX$2,Valores!$H$2:$P$154,8,0)</f>
        <v>#VALUE!</v>
      </c>
      <c r="CY14" s="30" t="e">
        <f aca="false">SUMIF($C$2:$F$2,EOMONTH(CY$2,-1)+1,$C14:$F14)*VLOOKUP(CY$2,Valores!$H$2:$P$154,8,0)</f>
        <v>#VALUE!</v>
      </c>
      <c r="CZ14" s="30" t="e">
        <f aca="false">SUMIF($C$2:$F$2,EOMONTH(CZ$2,-1)+1,$C14:$F14)*VLOOKUP(CZ$2,Valores!$H$2:$P$154,8,0)</f>
        <v>#VALUE!</v>
      </c>
      <c r="DA14" s="30" t="e">
        <f aca="false">SUMIF($C$2:$F$2,EOMONTH(DA$2,-1)+1,$C14:$F14)*VLOOKUP(DA$2,Valores!$H$2:$P$154,8,0)</f>
        <v>#VALUE!</v>
      </c>
      <c r="DB14" s="30" t="e">
        <f aca="false">SUMIF($C$2:$F$2,EOMONTH(DB$2,-1)+1,$C14:$F14)*VLOOKUP(DB$2,Valores!$H$2:$P$154,8,0)</f>
        <v>#VALUE!</v>
      </c>
      <c r="DC14" s="30" t="e">
        <f aca="false">SUMIF($C$2:$F$2,EOMONTH(DC$2,-1)+1,$C14:$F14)*VLOOKUP(DC$2,Valores!$H$2:$P$154,8,0)</f>
        <v>#VALUE!</v>
      </c>
      <c r="DD14" s="30" t="e">
        <f aca="false">SUMIF($C$2:$F$2,EOMONTH(DD$2,-1)+1,$C14:$F14)*VLOOKUP(DD$2,Valores!$H$2:$P$154,8,0)</f>
        <v>#VALUE!</v>
      </c>
      <c r="DE14" s="30" t="e">
        <f aca="false">SUMIF($C$2:$F$2,EOMONTH(DE$2,-1)+1,$C14:$F14)*VLOOKUP(DE$2,Valores!$H$2:$P$154,8,0)</f>
        <v>#VALUE!</v>
      </c>
      <c r="DF14" s="30" t="e">
        <f aca="false">SUMIF($C$2:$F$2,EOMONTH(DF$2,-1)+1,$C14:$F14)*VLOOKUP(DF$2,Valores!$H$2:$P$154,8,0)</f>
        <v>#VALUE!</v>
      </c>
      <c r="DG14" s="30" t="e">
        <f aca="false">SUMIF($C$2:$F$2,EOMONTH(DG$2,-1)+1,$C14:$F14)*VLOOKUP(DG$2,Valores!$H$2:$P$154,8,0)</f>
        <v>#VALUE!</v>
      </c>
      <c r="DH14" s="30" t="e">
        <f aca="false">SUMIF($C$2:$F$2,EOMONTH(DH$2,-1)+1,$C14:$F14)*VLOOKUP(DH$2,Valores!$H$2:$P$154,8,0)</f>
        <v>#VALUE!</v>
      </c>
      <c r="DI14" s="30" t="e">
        <f aca="false">SUMIF($C$2:$F$2,EOMONTH(DI$2,-1)+1,$C14:$F14)*VLOOKUP(DI$2,Valores!$H$2:$P$154,8,0)</f>
        <v>#VALUE!</v>
      </c>
      <c r="DJ14" s="30" t="e">
        <f aca="false">SUMIF($C$2:$F$2,EOMONTH(DJ$2,-1)+1,$C14:$F14)*VLOOKUP(DJ$2,Valores!$H$2:$P$154,8,0)</f>
        <v>#VALUE!</v>
      </c>
      <c r="DK14" s="30" t="e">
        <f aca="false">SUMIF($C$2:$F$2,EOMONTH(DK$2,-1)+1,$C14:$F14)*VLOOKUP(DK$2,Valores!$H$2:$P$154,8,0)</f>
        <v>#VALUE!</v>
      </c>
      <c r="DL14" s="30" t="e">
        <f aca="false">SUMIF($C$2:$F$2,EOMONTH(DL$2,-1)+1,$C14:$F14)*VLOOKUP(DL$2,Valores!$H$2:$P$154,8,0)</f>
        <v>#VALUE!</v>
      </c>
      <c r="DM14" s="30" t="e">
        <f aca="false">SUMIF($C$2:$F$2,EOMONTH(DM$2,-1)+1,$C14:$F14)*VLOOKUP(DM$2,Valores!$H$2:$P$154,8,0)</f>
        <v>#VALUE!</v>
      </c>
      <c r="DN14" s="30" t="e">
        <f aca="false">SUMIF($C$2:$F$2,EOMONTH(DN$2,-1)+1,$C14:$F14)*VLOOKUP(DN$2,Valores!$H$2:$P$154,8,0)</f>
        <v>#VALUE!</v>
      </c>
      <c r="DO14" s="30" t="e">
        <f aca="false">SUMIF($C$2:$F$2,EOMONTH(DO$2,-1)+1,$C14:$F14)*VLOOKUP(DO$2,Valores!$H$2:$P$154,8,0)</f>
        <v>#VALUE!</v>
      </c>
      <c r="DP14" s="30" t="e">
        <f aca="false">SUMIF($C$2:$F$2,EOMONTH(DP$2,-1)+1,$C14:$F14)*VLOOKUP(DP$2,Valores!$H$2:$P$154,8,0)</f>
        <v>#VALUE!</v>
      </c>
      <c r="DQ14" s="30" t="e">
        <f aca="false">SUMIF($C$2:$F$2,EOMONTH(DQ$2,-1)+1,$C14:$F14)*VLOOKUP(DQ$2,Valores!$H$2:$P$154,8,0)</f>
        <v>#VALUE!</v>
      </c>
      <c r="DR14" s="30" t="e">
        <f aca="false">SUMIF($C$2:$F$2,EOMONTH(DR$2,-1)+1,$C14:$F14)*VLOOKUP(DR$2,Valores!$H$2:$P$154,8,0)</f>
        <v>#VALUE!</v>
      </c>
      <c r="DS14" s="30" t="e">
        <f aca="false">SUMIF($C$2:$F$2,EOMONTH(DS$2,-1)+1,$C14:$F14)*VLOOKUP(DS$2,Valores!$H$2:$P$154,8,0)</f>
        <v>#VALUE!</v>
      </c>
      <c r="DT14" s="30" t="e">
        <f aca="false">SUMIF($C$2:$F$2,EOMONTH(DT$2,-1)+1,$C14:$F14)*VLOOKUP(DT$2,Valores!$H$2:$P$154,8,0)</f>
        <v>#VALUE!</v>
      </c>
      <c r="DU14" s="30" t="e">
        <f aca="false">SUMIF($C$2:$F$2,EOMONTH(DU$2,-1)+1,$C14:$F14)*VLOOKUP(DU$2,Valores!$H$2:$P$154,8,0)</f>
        <v>#VALUE!</v>
      </c>
      <c r="DV14" s="30" t="e">
        <f aca="false">SUMIF($C$2:$F$2,EOMONTH(DV$2,-1)+1,$C14:$F14)*VLOOKUP(DV$2,Valores!$H$2:$P$154,8,0)</f>
        <v>#VALUE!</v>
      </c>
      <c r="DW14" s="30" t="e">
        <f aca="false">SUMIF($C$2:$F$2,EOMONTH(DW$2,-1)+1,$C14:$F14)*VLOOKUP(DW$2,Valores!$H$2:$P$154,8,0)</f>
        <v>#VALUE!</v>
      </c>
      <c r="DX14" s="30" t="e">
        <f aca="false">SUMIF($C$2:$F$2,EOMONTH(DX$2,-1)+1,$C14:$F14)*VLOOKUP(DX$2,Valores!$H$2:$P$154,8,0)</f>
        <v>#VALUE!</v>
      </c>
    </row>
    <row r="15" customFormat="false" ht="13.8" hidden="false" customHeight="false" outlineLevel="0" collapsed="false">
      <c r="A15" s="31" t="s">
        <v>23</v>
      </c>
      <c r="B15" s="31" t="s">
        <v>36</v>
      </c>
      <c r="C15" s="31" t="n">
        <v>1615083</v>
      </c>
      <c r="D15" s="31" t="n">
        <v>1453574.7</v>
      </c>
      <c r="E15" s="31" t="n">
        <v>1308217.23</v>
      </c>
      <c r="F15" s="31" t="n">
        <v>1177395.507</v>
      </c>
      <c r="G15" s="27" t="n">
        <f aca="false">SUMIF($C$2:$F$2,EOMONTH(G$2,-1)+1,$C15:$F15)*VLOOKUP(G$2,Valores!$H$2:$P$154,8,0)</f>
        <v>46509.7128517361</v>
      </c>
      <c r="H15" s="27" t="n">
        <f aca="false">SUMIF($C$2:$F$2,EOMONTH(H$2,-1)+1,$C15:$F15)*VLOOKUP(H$2,Valores!$H$2:$P$154,8,0)</f>
        <v>31892.3745269047</v>
      </c>
      <c r="I15" s="27" t="n">
        <f aca="false">SUMIF($C$2:$F$2,EOMONTH(I$2,-1)+1,$C15:$F15)*VLOOKUP(I$2,Valores!$H$2:$P$154,8,0)</f>
        <v>31892.3745269047</v>
      </c>
      <c r="J15" s="27" t="n">
        <f aca="false">SUMIF($C$2:$F$2,EOMONTH(J$2,-1)+1,$C15:$F15)*VLOOKUP(J$2,Valores!$H$2:$P$154,8,0)</f>
        <v>31892.3745269047</v>
      </c>
      <c r="K15" s="27" t="n">
        <f aca="false">SUMIF($C$2:$F$2,EOMONTH(K$2,-1)+1,$C15:$F15)*VLOOKUP(K$2,Valores!$H$2:$P$154,8,0)</f>
        <v>31892.3745269047</v>
      </c>
      <c r="L15" s="27" t="n">
        <f aca="false">SUMIF($C$2:$F$2,EOMONTH(L$2,-1)+1,$C15:$F15)*VLOOKUP(L$2,Valores!$H$2:$P$154,8,0)</f>
        <v>63784.7490538094</v>
      </c>
      <c r="M15" s="27" t="n">
        <f aca="false">SUMIF($C$2:$F$2,EOMONTH(M$2,-1)+1,$C15:$F15)*VLOOKUP(M$2,Valores!$H$2:$P$154,8,0)</f>
        <v>79730.9363172618</v>
      </c>
      <c r="N15" s="27" t="n">
        <f aca="false">SUMIF($C$2:$F$2,EOMONTH(N$2,-1)+1,$C15:$F15)*VLOOKUP(N$2,Valores!$H$2:$P$154,8,0)</f>
        <v>47838.5617903571</v>
      </c>
      <c r="O15" s="27" t="n">
        <f aca="false">SUMIF($C$2:$F$2,EOMONTH(O$2,-1)+1,$C15:$F15)*VLOOKUP(O$2,Valores!$H$2:$P$154,8,0)</f>
        <v>42523.166035873</v>
      </c>
      <c r="P15" s="27" t="n">
        <f aca="false">SUMIF($C$2:$F$2,EOMONTH(P$2,-1)+1,$C15:$F15)*VLOOKUP(P$2,Valores!$H$2:$P$154,8,0)</f>
        <v>42523.166035873</v>
      </c>
      <c r="Q15" s="27" t="n">
        <f aca="false">SUMIF($C$2:$F$2,EOMONTH(Q$2,-1)+1,$C15:$F15)*VLOOKUP(Q$2,Valores!$H$2:$P$154,8,0)</f>
        <v>25513.8996215238</v>
      </c>
      <c r="R15" s="27" t="n">
        <f aca="false">SUMIF($C$2:$F$2,EOMONTH(R$2,-1)+1,$C15:$F15)*VLOOKUP(R$2,Valores!$H$2:$P$154,8,0)</f>
        <v>42523.166035873</v>
      </c>
      <c r="S15" s="27" t="n">
        <f aca="false">SUMIF($C$2:$F$2,EOMONTH(S$2,-1)+1,$C15:$F15)*VLOOKUP(S$2,Valores!$H$2:$P$154,8,0)</f>
        <v>85046.3320717459</v>
      </c>
      <c r="T15" s="27" t="n">
        <f aca="false">SUMIF($C$2:$F$2,EOMONTH(T$2,-1)+1,$C15:$F15)*VLOOKUP(T$2,Valores!$H$2:$P$154,8,0)</f>
        <v>106307.915089682</v>
      </c>
      <c r="U15" s="27" t="n">
        <f aca="false">SUMIF($C$2:$F$2,EOMONTH(U$2,-1)+1,$C15:$F15)*VLOOKUP(U$2,Valores!$H$2:$P$154,8,0)</f>
        <v>63784.7490538094</v>
      </c>
      <c r="V15" s="27" t="n">
        <f aca="false">SUMIF($C$2:$F$2,EOMONTH(V$2,-1)+1,$C15:$F15)*VLOOKUP(V$2,Valores!$H$2:$P$154,8,0)</f>
        <v>53153.9575448412</v>
      </c>
      <c r="W15" s="27" t="n">
        <f aca="false">SUMIF($C$2:$F$2,EOMONTH(W$2,-1)+1,$C15:$F15)*VLOOKUP(W$2,Valores!$H$2:$P$154,8,0)</f>
        <v>53153.9575448412</v>
      </c>
      <c r="X15" s="27" t="n">
        <f aca="false">SUMIF($C$2:$F$2,EOMONTH(X$2,-1)+1,$C15:$F15)*VLOOKUP(X$2,Valores!$H$2:$P$154,8,0)</f>
        <v>0</v>
      </c>
      <c r="Y15" s="27" t="n">
        <f aca="false">SUMIF($C$2:$F$2,EOMONTH(Y$2,-1)+1,$C15:$F15)*VLOOKUP(Y$2,Valores!$H$2:$P$154,8,0)</f>
        <v>0</v>
      </c>
      <c r="Z15" s="27" t="n">
        <f aca="false">SUMIF($C$2:$F$2,EOMONTH(Z$2,-1)+1,$C15:$F15)*VLOOKUP(Z$2,Valores!$H$2:$P$154,8,0)</f>
        <v>79730.9363172618</v>
      </c>
      <c r="AA15" s="27" t="n">
        <f aca="false">SUMIF($C$2:$F$2,EOMONTH(AA$2,-1)+1,$C15:$F15)*VLOOKUP(AA$2,Valores!$H$2:$P$154,8,0)</f>
        <v>95677.1235807141</v>
      </c>
      <c r="AB15" s="27" t="n">
        <f aca="false">SUMIF($C$2:$F$2,EOMONTH(AB$2,-1)+1,$C15:$F15)*VLOOKUP(AB$2,Valores!$H$2:$P$154,8,0)</f>
        <v>47838.5617903571</v>
      </c>
      <c r="AC15" s="27" t="n">
        <f aca="false">SUMIF($C$2:$F$2,EOMONTH(AC$2,-1)+1,$C15:$F15)*VLOOKUP(AC$2,Valores!$H$2:$P$154,8,0)</f>
        <v>58469.3532993253</v>
      </c>
      <c r="AD15" s="27" t="n">
        <f aca="false">SUMIF($C$2:$F$2,EOMONTH(AD$2,-1)+1,$C15:$F15)*VLOOKUP(AD$2,Valores!$H$2:$P$154,8,0)</f>
        <v>58469.3532993253</v>
      </c>
      <c r="AE15" s="27" t="n">
        <f aca="false">SUMIF($C$2:$F$2,EOMONTH(AE$2,-1)+1,$C15:$F15)*VLOOKUP(AE$2,Valores!$H$2:$P$154,8,0)</f>
        <v>58469.3532993253</v>
      </c>
      <c r="AF15" s="27" t="n">
        <f aca="false">SUMIF($C$2:$F$2,EOMONTH(AF$2,-1)+1,$C15:$F15)*VLOOKUP(AF$2,Valores!$H$2:$P$154,8,0)</f>
        <v>58469.3532993253</v>
      </c>
      <c r="AG15" s="27" t="n">
        <f aca="false">SUMIF($C$2:$F$2,EOMONTH(AG$2,-1)+1,$C15:$F15)*VLOOKUP(AG$2,Valores!$H$2:$P$154,8,0)</f>
        <v>93550.9652789205</v>
      </c>
      <c r="AH15" s="27" t="n">
        <f aca="false">SUMIF($C$2:$F$2,EOMONTH(AH$2,-1)+1,$C15:$F15)*VLOOKUP(AH$2,Valores!$H$2:$P$154,8,0)</f>
        <v>116938.706598651</v>
      </c>
      <c r="AI15" s="27" t="n">
        <f aca="false">SUMIF($C$2:$F$2,EOMONTH(AI$2,-1)+1,$C15:$F15)*VLOOKUP(AI$2,Valores!$H$2:$P$154,8,0)</f>
        <v>40928.5473095277</v>
      </c>
      <c r="AJ15" s="27" t="n">
        <f aca="false">SUMIF($C$2:$F$2,EOMONTH(AJ$2,-1)+1,$C15:$F15)*VLOOKUP(AJ$2,Valores!$H$2:$P$154,8,0)</f>
        <v>26576.9787724206</v>
      </c>
      <c r="AK15" s="27" t="n">
        <f aca="false">SUMIF($C$2:$F$2,EOMONTH(AK$2,-1)+1,$C15:$F15)*VLOOKUP(AK$2,Valores!$H$2:$P$154,8,0)</f>
        <v>48465.183262283</v>
      </c>
      <c r="AL15" s="27" t="n">
        <f aca="false">SUMIF($C$2:$F$2,EOMONTH(AL$2,-1)+1,$C15:$F15)*VLOOKUP(AL$2,Valores!$H$2:$P$154,8,0)</f>
        <v>48465.183262283</v>
      </c>
      <c r="AM15" s="27" t="n">
        <f aca="false">SUMIF($C$2:$F$2,EOMONTH(AM$2,-1)+1,$C15:$F15)*VLOOKUP(AM$2,Valores!$H$2:$P$154,8,0)</f>
        <v>48465.183262283</v>
      </c>
      <c r="AN15" s="27" t="n">
        <f aca="false">SUMIF($C$2:$F$2,EOMONTH(AN$2,-1)+1,$C15:$F15)*VLOOKUP(AN$2,Valores!$H$2:$P$154,8,0)</f>
        <v>96930.366524566</v>
      </c>
      <c r="AO15" s="27" t="n">
        <f aca="false">SUMIF($C$2:$F$2,EOMONTH(AO$2,-1)+1,$C15:$F15)*VLOOKUP(AO$2,Valores!$H$2:$P$154,8,0)</f>
        <v>121162.958155707</v>
      </c>
      <c r="AP15" s="27" t="n">
        <f aca="false">SUMIF($C$2:$F$2,EOMONTH(AP$2,-1)+1,$C15:$F15)*VLOOKUP(AP$2,Valores!$H$2:$P$154,8,0)</f>
        <v>72697.7748934245</v>
      </c>
      <c r="AQ15" s="27" t="n">
        <f aca="false">SUMIF($C$2:$F$2,EOMONTH(AQ$2,-1)+1,$C15:$F15)*VLOOKUP(AQ$2,Valores!$H$2:$P$154,8,0)</f>
        <v>25963.4910333659</v>
      </c>
      <c r="AR15" s="27" t="n">
        <f aca="false">SUMIF($C$2:$F$2,EOMONTH(AR$2,-1)+1,$C15:$F15)*VLOOKUP(AR$2,Valores!$H$2:$P$154,8,0)</f>
        <v>25963.4910333659</v>
      </c>
      <c r="AS15" s="27" t="n">
        <f aca="false">SUMIF($C$2:$F$2,EOMONTH(AS$2,-1)+1,$C15:$F15)*VLOOKUP(AS$2,Valores!$H$2:$P$154,8,0)</f>
        <v>25963.4910333659</v>
      </c>
      <c r="AT15" s="27" t="n">
        <f aca="false">SUMIF($C$2:$F$2,EOMONTH(AT$2,-1)+1,$C15:$F15)*VLOOKUP(AT$2,Valores!$H$2:$P$154,8,0)</f>
        <v>25963.4910333659</v>
      </c>
      <c r="AU15" s="27" t="n">
        <f aca="false">SUMIF($C$2:$F$2,EOMONTH(AU$2,-1)+1,$C15:$F15)*VLOOKUP(AU$2,Valores!$H$2:$P$154,8,0)</f>
        <v>51926.9820667317</v>
      </c>
      <c r="AV15" s="27" t="n">
        <f aca="false">SUMIF($C$2:$F$2,EOMONTH(AV$2,-1)+1,$C15:$F15)*VLOOKUP(AV$2,Valores!$H$2:$P$154,8,0)</f>
        <v>64908.7275834147</v>
      </c>
      <c r="AW15" s="27" t="n">
        <f aca="false">SUMIF($C$2:$F$2,EOMONTH(AW$2,-1)+1,$C15:$F15)*VLOOKUP(AW$2,Valores!$H$2:$P$154,8,0)</f>
        <v>38945.2365500488</v>
      </c>
      <c r="AX15" s="27" t="n">
        <f aca="false">SUMIF($C$2:$F$2,EOMONTH(AX$2,-1)+1,$C15:$F15)*VLOOKUP(AX$2,Valores!$H$2:$P$154,8,0)</f>
        <v>25963.4910333659</v>
      </c>
      <c r="AY15" s="27" t="n">
        <f aca="false">SUMIF($C$2:$F$2,EOMONTH(AY$2,-1)+1,$C15:$F15)*VLOOKUP(AY$2,Valores!$H$2:$P$154,8,0)</f>
        <v>33752.5383433756</v>
      </c>
      <c r="AZ15" s="27" t="n">
        <f aca="false">SUMIF($C$2:$F$2,EOMONTH(AZ$2,-1)+1,$C15:$F15)*VLOOKUP(AZ$2,Valores!$H$2:$P$154,8,0)</f>
        <v>33752.5383433756</v>
      </c>
      <c r="BA15" s="27" t="n">
        <f aca="false">SUMIF($C$2:$F$2,EOMONTH(BA$2,-1)+1,$C15:$F15)*VLOOKUP(BA$2,Valores!$H$2:$P$154,8,0)</f>
        <v>33752.5383433756</v>
      </c>
      <c r="BB15" s="27" t="n">
        <f aca="false">SUMIF($C$2:$F$2,EOMONTH(BB$2,-1)+1,$C15:$F15)*VLOOKUP(BB$2,Valores!$H$2:$P$154,8,0)</f>
        <v>59716.0293767415</v>
      </c>
      <c r="BC15" s="27" t="n">
        <f aca="false">SUMIF($C$2:$F$2,EOMONTH(BC$2,-1)+1,$C15:$F15)*VLOOKUP(BC$2,Valores!$H$2:$P$154,8,0)</f>
        <v>72697.7748934245</v>
      </c>
      <c r="BD15" s="27" t="n">
        <f aca="false">SUMIF($C$2:$F$2,EOMONTH(BD$2,-1)+1,$C15:$F15)*VLOOKUP(BD$2,Valores!$H$2:$P$154,8,0)</f>
        <v>38945.2365500488</v>
      </c>
      <c r="BE15" s="27" t="n">
        <f aca="false">SUMIF($C$2:$F$2,EOMONTH(BE$2,-1)+1,$C15:$F15)*VLOOKUP(BE$2,Valores!$H$2:$P$154,8,0)</f>
        <v>34617.9880444878</v>
      </c>
      <c r="BF15" s="27" t="n">
        <f aca="false">SUMIF($C$2:$F$2,EOMONTH(BF$2,-1)+1,$C15:$F15)*VLOOKUP(BF$2,Valores!$H$2:$P$154,8,0)</f>
        <v>34617.9880444878</v>
      </c>
      <c r="BG15" s="27" t="n">
        <f aca="false">SUMIF($C$2:$F$2,EOMONTH(BG$2,-1)+1,$C15:$F15)*VLOOKUP(BG$2,Valores!$H$2:$P$154,8,0)</f>
        <v>34617.9880444878</v>
      </c>
      <c r="BH15" s="27" t="n">
        <f aca="false">SUMIF($C$2:$F$2,EOMONTH(BH$2,-1)+1,$C15:$F15)*VLOOKUP(BH$2,Valores!$H$2:$P$154,8,0)</f>
        <v>34617.9880444878</v>
      </c>
      <c r="BI15" s="27" t="n">
        <f aca="false">SUMIF($C$2:$F$2,EOMONTH(BI$2,-1)+1,$C15:$F15)*VLOOKUP(BI$2,Valores!$H$2:$P$154,8,0)</f>
        <v>69235.9760889757</v>
      </c>
      <c r="BJ15" s="27" t="n">
        <f aca="false">SUMIF($C$2:$F$2,EOMONTH(BJ$2,-1)+1,$C15:$F15)*VLOOKUP(BJ$2,Valores!$H$2:$P$154,8,0)</f>
        <v>86544.9701112196</v>
      </c>
      <c r="BK15" s="27" t="n">
        <f aca="false">SUMIF($C$2:$F$2,EOMONTH(BK$2,-1)+1,$C15:$F15)*VLOOKUP(BK$2,Valores!$H$2:$P$154,8,0)</f>
        <v>41541.5856533854</v>
      </c>
      <c r="BL15" s="27" t="n">
        <f aca="false">SUMIF($C$2:$F$2,EOMONTH(BL$2,-1)+1,$C15:$F15)*VLOOKUP(BL$2,Valores!$H$2:$P$154,8,0)</f>
        <v>30463.8294791493</v>
      </c>
      <c r="BM15" s="27" t="n">
        <f aca="false">SUMIF($C$2:$F$2,EOMONTH(BM$2,-1)+1,$C15:$F15)*VLOOKUP(BM$2,Valores!$H$2:$P$154,8,0)</f>
        <v>30463.8294791493</v>
      </c>
      <c r="BN15" s="27" t="n">
        <f aca="false">SUMIF($C$2:$F$2,EOMONTH(BN$2,-1)+1,$C15:$F15)*VLOOKUP(BN$2,Valores!$H$2:$P$154,8,0)</f>
        <v>30463.8294791493</v>
      </c>
      <c r="BO15" s="27" t="n">
        <f aca="false">SUMIF($C$2:$F$2,EOMONTH(BO$2,-1)+1,$C15:$F15)*VLOOKUP(BO$2,Valores!$H$2:$P$154,8,0)</f>
        <v>31987.0209531068</v>
      </c>
      <c r="BP15" s="27" t="n">
        <f aca="false">SUMIF($C$2:$F$2,EOMONTH(BP$2,-1)+1,$C15:$F15)*VLOOKUP(BP$2,Valores!$H$2:$P$154,8,0)</f>
        <v>80496.8298868256</v>
      </c>
      <c r="BQ15" s="27" t="n">
        <f aca="false">SUMIF($C$2:$F$2,EOMONTH(BQ$2,-1)+1,$C15:$F15)*VLOOKUP(BQ$2,Valores!$H$2:$P$154,8,0)</f>
        <v>100621.037358532</v>
      </c>
      <c r="BR15" s="27" t="n">
        <f aca="false">SUMIF($C$2:$F$2,EOMONTH(BR$2,-1)+1,$C15:$F15)*VLOOKUP(BR$2,Valores!$H$2:$P$154,8,0)</f>
        <v>48298.0979320954</v>
      </c>
      <c r="BS15" s="27" t="n">
        <f aca="false">SUMIF($C$2:$F$2,EOMONTH(BS$2,-1)+1,$C15:$F15)*VLOOKUP(BS$2,Valores!$H$2:$P$154,8,0)</f>
        <v>21561.6508625426</v>
      </c>
      <c r="BT15" s="27" t="n">
        <f aca="false">SUMIF($C$2:$F$2,EOMONTH(BT$2,-1)+1,$C15:$F15)*VLOOKUP(BT$2,Valores!$H$2:$P$154,8,0)</f>
        <v>21561.6508625426</v>
      </c>
      <c r="BU15" s="27" t="n">
        <f aca="false">SUMIF($C$2:$F$2,EOMONTH(BU$2,-1)+1,$C15:$F15)*VLOOKUP(BU$2,Valores!$H$2:$P$154,8,0)</f>
        <v>21561.6508625426</v>
      </c>
      <c r="BV15" s="27" t="n">
        <f aca="false">SUMIF($C$2:$F$2,EOMONTH(BV$2,-1)+1,$C15:$F15)*VLOOKUP(BV$2,Valores!$H$2:$P$154,8,0)</f>
        <v>21561.6508625426</v>
      </c>
      <c r="BW15" s="27" t="n">
        <f aca="false">SUMIF($C$2:$F$2,EOMONTH(BW$2,-1)+1,$C15:$F15)*VLOOKUP(BW$2,Valores!$H$2:$P$154,8,0)</f>
        <v>43123.3017250851</v>
      </c>
      <c r="BX15" s="27" t="n">
        <f aca="false">SUMIF($C$2:$F$2,EOMONTH(BX$2,-1)+1,$C15:$F15)*VLOOKUP(BX$2,Valores!$H$2:$P$154,8,0)</f>
        <v>53904.1271563564</v>
      </c>
      <c r="BY15" s="27" t="n">
        <f aca="false">SUMIF($C$2:$F$2,EOMONTH(BY$2,-1)+1,$C15:$F15)*VLOOKUP(BY$2,Valores!$H$2:$P$154,8,0)</f>
        <v>32342.4762938138</v>
      </c>
      <c r="BZ15" s="27" t="n">
        <f aca="false">SUMIF($C$2:$F$2,EOMONTH(BZ$2,-1)+1,$C15:$F15)*VLOOKUP(BZ$2,Valores!$H$2:$P$154,8,0)</f>
        <v>21561.6508625426</v>
      </c>
      <c r="CA15" s="27" t="n">
        <f aca="false">SUMIF($C$2:$F$2,EOMONTH(CA$2,-1)+1,$C15:$F15)*VLOOKUP(CA$2,Valores!$H$2:$P$154,8,0)</f>
        <v>21561.6508625426</v>
      </c>
      <c r="CB15" s="27" t="n">
        <f aca="false">SUMIF($C$2:$F$2,EOMONTH(CB$2,-1)+1,$C15:$F15)*VLOOKUP(CB$2,Valores!$H$2:$P$154,8,0)</f>
        <v>21561.6508625426</v>
      </c>
      <c r="CC15" s="27" t="n">
        <f aca="false">SUMIF($C$2:$F$2,EOMONTH(CC$2,-1)+1,$C15:$F15)*VLOOKUP(CC$2,Valores!$H$2:$P$154,8,0)</f>
        <v>21561.6508625426</v>
      </c>
      <c r="CD15" s="27" t="n">
        <f aca="false">SUMIF($C$2:$F$2,EOMONTH(CD$2,-1)+1,$C15:$F15)*VLOOKUP(CD$2,Valores!$H$2:$P$154,8,0)</f>
        <v>64684.9525876277</v>
      </c>
      <c r="CE15" s="27" t="n">
        <f aca="false">SUMIF($C$2:$F$2,EOMONTH(CE$2,-1)+1,$C15:$F15)*VLOOKUP(CE$2,Valores!$H$2:$P$154,8,0)</f>
        <v>86246.6034501703</v>
      </c>
      <c r="CF15" s="27" t="n">
        <f aca="false">SUMIF($C$2:$F$2,EOMONTH(CF$2,-1)+1,$C15:$F15)*VLOOKUP(CF$2,Valores!$H$2:$P$154,8,0)</f>
        <v>53904.1271563564</v>
      </c>
      <c r="CG15" s="27" t="n">
        <f aca="false">SUMIF($C$2:$F$2,EOMONTH(CG$2,-1)+1,$C15:$F15)*VLOOKUP(CG$2,Valores!$H$2:$P$154,8,0)</f>
        <v>28748.8678167234</v>
      </c>
      <c r="CH15" s="27" t="n">
        <f aca="false">SUMIF($C$2:$F$2,EOMONTH(CH$2,-1)+1,$C15:$F15)*VLOOKUP(CH$2,Valores!$H$2:$P$154,8,0)</f>
        <v>28748.8678167234</v>
      </c>
      <c r="CI15" s="27" t="n">
        <f aca="false">SUMIF($C$2:$F$2,EOMONTH(CI$2,-1)+1,$C15:$F15)*VLOOKUP(CI$2,Valores!$H$2:$P$154,8,0)</f>
        <v>28748.8678167234</v>
      </c>
      <c r="CJ15" s="27" t="n">
        <f aca="false">SUMIF($C$2:$F$2,EOMONTH(CJ$2,-1)+1,$C15:$F15)*VLOOKUP(CJ$2,Valores!$H$2:$P$154,8,0)</f>
        <v>28748.8678167234</v>
      </c>
      <c r="CK15" s="27" t="n">
        <f aca="false">SUMIF($C$2:$F$2,EOMONTH(CK$2,-1)+1,$C15:$F15)*VLOOKUP(CK$2,Valores!$H$2:$P$154,8,0)</f>
        <v>57497.7356334469</v>
      </c>
      <c r="CL15" s="27" t="n">
        <f aca="false">SUMIF($C$2:$F$2,EOMONTH(CL$2,-1)+1,$C15:$F15)*VLOOKUP(CL$2,Valores!$H$2:$P$154,8,0)</f>
        <v>71872.1695418086</v>
      </c>
      <c r="CM15" s="27" t="n">
        <f aca="false">SUMIF($C$2:$F$2,EOMONTH(CM$2,-1)+1,$C15:$F15)*VLOOKUP(CM$2,Valores!$H$2:$P$154,8,0)</f>
        <v>43123.3017250851</v>
      </c>
      <c r="CN15" s="27" t="n">
        <f aca="false">SUMIF($C$2:$F$2,EOMONTH(CN$2,-1)+1,$C15:$F15)*VLOOKUP(CN$2,Valores!$H$2:$P$154,8,0)</f>
        <v>31623.7545983958</v>
      </c>
      <c r="CO15" s="27" t="n">
        <f aca="false">SUMIF($C$2:$F$2,EOMONTH(CO$2,-1)+1,$C15:$F15)*VLOOKUP(CO$2,Valores!$H$2:$P$154,8,0)</f>
        <v>31623.7545983958</v>
      </c>
      <c r="CP15" s="27" t="n">
        <f aca="false">SUMIF($C$2:$F$2,EOMONTH(CP$2,-1)+1,$C15:$F15)*VLOOKUP(CP$2,Valores!$H$2:$P$154,8,0)</f>
        <v>31623.7545983958</v>
      </c>
      <c r="CQ15" s="27" t="n">
        <f aca="false">SUMIF($C$2:$F$2,EOMONTH(CQ$2,-1)+1,$C15:$F15)*VLOOKUP(CQ$2,Valores!$H$2:$P$154,8,0)</f>
        <v>31623.7545983958</v>
      </c>
      <c r="CR15" s="27" t="n">
        <f aca="false">SUMIF($C$2:$F$2,EOMONTH(CR$2,-1)+1,$C15:$F15)*VLOOKUP(CR$2,Valores!$H$2:$P$154,8,0)</f>
        <v>63247.5091967915</v>
      </c>
      <c r="CS15" s="27" t="n">
        <f aca="false">SUMIF($C$2:$F$2,EOMONTH(CS$2,-1)+1,$C15:$F15)*VLOOKUP(CS$2,Valores!$H$2:$P$154,8,0)</f>
        <v>94871.2637951873</v>
      </c>
      <c r="CT15" s="27" t="e">
        <f aca="false">SUMIF($C$2:$F$2,EOMONTH(CT$2,-1)+1,$C15:$F15)*VLOOKUP(CT$2,Valores!$H$2:$P$154,8,0)</f>
        <v>#VALUE!</v>
      </c>
      <c r="CU15" s="27" t="e">
        <f aca="false">SUMIF($C$2:$F$2,EOMONTH(CU$2,-1)+1,$C15:$F15)*VLOOKUP(CU$2,Valores!$H$2:$P$154,8,0)</f>
        <v>#VALUE!</v>
      </c>
      <c r="CV15" s="27" t="e">
        <f aca="false">SUMIF($C$2:$F$2,EOMONTH(CV$2,-1)+1,$C15:$F15)*VLOOKUP(CV$2,Valores!$H$2:$P$154,8,0)</f>
        <v>#VALUE!</v>
      </c>
      <c r="CW15" s="27" t="e">
        <f aca="false">SUMIF($C$2:$F$2,EOMONTH(CW$2,-1)+1,$C15:$F15)*VLOOKUP(CW$2,Valores!$H$2:$P$154,8,0)</f>
        <v>#VALUE!</v>
      </c>
      <c r="CX15" s="27" t="e">
        <f aca="false">SUMIF($C$2:$F$2,EOMONTH(CX$2,-1)+1,$C15:$F15)*VLOOKUP(CX$2,Valores!$H$2:$P$154,8,0)</f>
        <v>#VALUE!</v>
      </c>
      <c r="CY15" s="27" t="e">
        <f aca="false">SUMIF($C$2:$F$2,EOMONTH(CY$2,-1)+1,$C15:$F15)*VLOOKUP(CY$2,Valores!$H$2:$P$154,8,0)</f>
        <v>#VALUE!</v>
      </c>
      <c r="CZ15" s="27" t="e">
        <f aca="false">SUMIF($C$2:$F$2,EOMONTH(CZ$2,-1)+1,$C15:$F15)*VLOOKUP(CZ$2,Valores!$H$2:$P$154,8,0)</f>
        <v>#VALUE!</v>
      </c>
      <c r="DA15" s="27" t="e">
        <f aca="false">SUMIF($C$2:$F$2,EOMONTH(DA$2,-1)+1,$C15:$F15)*VLOOKUP(DA$2,Valores!$H$2:$P$154,8,0)</f>
        <v>#VALUE!</v>
      </c>
      <c r="DB15" s="27" t="e">
        <f aca="false">SUMIF($C$2:$F$2,EOMONTH(DB$2,-1)+1,$C15:$F15)*VLOOKUP(DB$2,Valores!$H$2:$P$154,8,0)</f>
        <v>#VALUE!</v>
      </c>
      <c r="DC15" s="27" t="e">
        <f aca="false">SUMIF($C$2:$F$2,EOMONTH(DC$2,-1)+1,$C15:$F15)*VLOOKUP(DC$2,Valores!$H$2:$P$154,8,0)</f>
        <v>#VALUE!</v>
      </c>
      <c r="DD15" s="27" t="e">
        <f aca="false">SUMIF($C$2:$F$2,EOMONTH(DD$2,-1)+1,$C15:$F15)*VLOOKUP(DD$2,Valores!$H$2:$P$154,8,0)</f>
        <v>#VALUE!</v>
      </c>
      <c r="DE15" s="27" t="e">
        <f aca="false">SUMIF($C$2:$F$2,EOMONTH(DE$2,-1)+1,$C15:$F15)*VLOOKUP(DE$2,Valores!$H$2:$P$154,8,0)</f>
        <v>#VALUE!</v>
      </c>
      <c r="DF15" s="27" t="e">
        <f aca="false">SUMIF($C$2:$F$2,EOMONTH(DF$2,-1)+1,$C15:$F15)*VLOOKUP(DF$2,Valores!$H$2:$P$154,8,0)</f>
        <v>#VALUE!</v>
      </c>
      <c r="DG15" s="27" t="e">
        <f aca="false">SUMIF($C$2:$F$2,EOMONTH(DG$2,-1)+1,$C15:$F15)*VLOOKUP(DG$2,Valores!$H$2:$P$154,8,0)</f>
        <v>#VALUE!</v>
      </c>
      <c r="DH15" s="27" t="e">
        <f aca="false">SUMIF($C$2:$F$2,EOMONTH(DH$2,-1)+1,$C15:$F15)*VLOOKUP(DH$2,Valores!$H$2:$P$154,8,0)</f>
        <v>#VALUE!</v>
      </c>
      <c r="DI15" s="27" t="e">
        <f aca="false">SUMIF($C$2:$F$2,EOMONTH(DI$2,-1)+1,$C15:$F15)*VLOOKUP(DI$2,Valores!$H$2:$P$154,8,0)</f>
        <v>#VALUE!</v>
      </c>
      <c r="DJ15" s="27" t="e">
        <f aca="false">SUMIF($C$2:$F$2,EOMONTH(DJ$2,-1)+1,$C15:$F15)*VLOOKUP(DJ$2,Valores!$H$2:$P$154,8,0)</f>
        <v>#VALUE!</v>
      </c>
      <c r="DK15" s="27" t="e">
        <f aca="false">SUMIF($C$2:$F$2,EOMONTH(DK$2,-1)+1,$C15:$F15)*VLOOKUP(DK$2,Valores!$H$2:$P$154,8,0)</f>
        <v>#VALUE!</v>
      </c>
      <c r="DL15" s="27" t="e">
        <f aca="false">SUMIF($C$2:$F$2,EOMONTH(DL$2,-1)+1,$C15:$F15)*VLOOKUP(DL$2,Valores!$H$2:$P$154,8,0)</f>
        <v>#VALUE!</v>
      </c>
      <c r="DM15" s="27" t="e">
        <f aca="false">SUMIF($C$2:$F$2,EOMONTH(DM$2,-1)+1,$C15:$F15)*VLOOKUP(DM$2,Valores!$H$2:$P$154,8,0)</f>
        <v>#VALUE!</v>
      </c>
      <c r="DN15" s="27" t="e">
        <f aca="false">SUMIF($C$2:$F$2,EOMONTH(DN$2,-1)+1,$C15:$F15)*VLOOKUP(DN$2,Valores!$H$2:$P$154,8,0)</f>
        <v>#VALUE!</v>
      </c>
      <c r="DO15" s="27" t="e">
        <f aca="false">SUMIF($C$2:$F$2,EOMONTH(DO$2,-1)+1,$C15:$F15)*VLOOKUP(DO$2,Valores!$H$2:$P$154,8,0)</f>
        <v>#VALUE!</v>
      </c>
      <c r="DP15" s="27" t="e">
        <f aca="false">SUMIF($C$2:$F$2,EOMONTH(DP$2,-1)+1,$C15:$F15)*VLOOKUP(DP$2,Valores!$H$2:$P$154,8,0)</f>
        <v>#VALUE!</v>
      </c>
      <c r="DQ15" s="27" t="e">
        <f aca="false">SUMIF($C$2:$F$2,EOMONTH(DQ$2,-1)+1,$C15:$F15)*VLOOKUP(DQ$2,Valores!$H$2:$P$154,8,0)</f>
        <v>#VALUE!</v>
      </c>
      <c r="DR15" s="27" t="e">
        <f aca="false">SUMIF($C$2:$F$2,EOMONTH(DR$2,-1)+1,$C15:$F15)*VLOOKUP(DR$2,Valores!$H$2:$P$154,8,0)</f>
        <v>#VALUE!</v>
      </c>
      <c r="DS15" s="27" t="e">
        <f aca="false">SUMIF($C$2:$F$2,EOMONTH(DS$2,-1)+1,$C15:$F15)*VLOOKUP(DS$2,Valores!$H$2:$P$154,8,0)</f>
        <v>#VALUE!</v>
      </c>
      <c r="DT15" s="27" t="e">
        <f aca="false">SUMIF($C$2:$F$2,EOMONTH(DT$2,-1)+1,$C15:$F15)*VLOOKUP(DT$2,Valores!$H$2:$P$154,8,0)</f>
        <v>#VALUE!</v>
      </c>
      <c r="DU15" s="27" t="e">
        <f aca="false">SUMIF($C$2:$F$2,EOMONTH(DU$2,-1)+1,$C15:$F15)*VLOOKUP(DU$2,Valores!$H$2:$P$154,8,0)</f>
        <v>#VALUE!</v>
      </c>
      <c r="DV15" s="27" t="e">
        <f aca="false">SUMIF($C$2:$F$2,EOMONTH(DV$2,-1)+1,$C15:$F15)*VLOOKUP(DV$2,Valores!$H$2:$P$154,8,0)</f>
        <v>#VALUE!</v>
      </c>
      <c r="DW15" s="27" t="e">
        <f aca="false">SUMIF($C$2:$F$2,EOMONTH(DW$2,-1)+1,$C15:$F15)*VLOOKUP(DW$2,Valores!$H$2:$P$154,8,0)</f>
        <v>#VALUE!</v>
      </c>
      <c r="DX15" s="27" t="e">
        <f aca="false">SUMIF($C$2:$F$2,EOMONTH(DX$2,-1)+1,$C15:$F15)*VLOOKUP(DX$2,Valores!$H$2:$P$154,8,0)</f>
        <v>#VALUE!</v>
      </c>
    </row>
    <row r="16" customFormat="false" ht="13.8" hidden="false" customHeight="false" outlineLevel="0" collapsed="false">
      <c r="A16" s="29" t="s">
        <v>23</v>
      </c>
      <c r="B16" s="29" t="s">
        <v>37</v>
      </c>
      <c r="C16" s="29" t="n">
        <v>1309747</v>
      </c>
      <c r="D16" s="29" t="n">
        <v>1178772.3</v>
      </c>
      <c r="E16" s="29" t="n">
        <v>1060895.07</v>
      </c>
      <c r="F16" s="29" t="n">
        <v>954805.563</v>
      </c>
      <c r="G16" s="30" t="n">
        <f aca="false">SUMIF($C$2:$F$2,EOMONTH(G$2,-1)+1,$C16:$F16)*VLOOKUP(G$2,Valores!$H$2:$P$154,8,0)</f>
        <v>37716.9203554385</v>
      </c>
      <c r="H16" s="30" t="n">
        <f aca="false">SUMIF($C$2:$F$2,EOMONTH(H$2,-1)+1,$C16:$F16)*VLOOKUP(H$2,Valores!$H$2:$P$154,8,0)</f>
        <v>25863.0311008721</v>
      </c>
      <c r="I16" s="30" t="n">
        <f aca="false">SUMIF($C$2:$F$2,EOMONTH(I$2,-1)+1,$C16:$F16)*VLOOKUP(I$2,Valores!$H$2:$P$154,8,0)</f>
        <v>25863.0311008721</v>
      </c>
      <c r="J16" s="30" t="n">
        <f aca="false">SUMIF($C$2:$F$2,EOMONTH(J$2,-1)+1,$C16:$F16)*VLOOKUP(J$2,Valores!$H$2:$P$154,8,0)</f>
        <v>25863.0311008721</v>
      </c>
      <c r="K16" s="30" t="n">
        <f aca="false">SUMIF($C$2:$F$2,EOMONTH(K$2,-1)+1,$C16:$F16)*VLOOKUP(K$2,Valores!$H$2:$P$154,8,0)</f>
        <v>25863.0311008721</v>
      </c>
      <c r="L16" s="30" t="n">
        <f aca="false">SUMIF($C$2:$F$2,EOMONTH(L$2,-1)+1,$C16:$F16)*VLOOKUP(L$2,Valores!$H$2:$P$154,8,0)</f>
        <v>51726.0622017443</v>
      </c>
      <c r="M16" s="30" t="n">
        <f aca="false">SUMIF($C$2:$F$2,EOMONTH(M$2,-1)+1,$C16:$F16)*VLOOKUP(M$2,Valores!$H$2:$P$154,8,0)</f>
        <v>64657.5777521803</v>
      </c>
      <c r="N16" s="30" t="n">
        <f aca="false">SUMIF($C$2:$F$2,EOMONTH(N$2,-1)+1,$C16:$F16)*VLOOKUP(N$2,Valores!$H$2:$P$154,8,0)</f>
        <v>38794.5466513082</v>
      </c>
      <c r="O16" s="30" t="n">
        <f aca="false">SUMIF($C$2:$F$2,EOMONTH(O$2,-1)+1,$C16:$F16)*VLOOKUP(O$2,Valores!$H$2:$P$154,8,0)</f>
        <v>34484.0414678295</v>
      </c>
      <c r="P16" s="30" t="n">
        <f aca="false">SUMIF($C$2:$F$2,EOMONTH(P$2,-1)+1,$C16:$F16)*VLOOKUP(P$2,Valores!$H$2:$P$154,8,0)</f>
        <v>34484.0414678295</v>
      </c>
      <c r="Q16" s="30" t="n">
        <f aca="false">SUMIF($C$2:$F$2,EOMONTH(Q$2,-1)+1,$C16:$F16)*VLOOKUP(Q$2,Valores!$H$2:$P$154,8,0)</f>
        <v>20690.4248806977</v>
      </c>
      <c r="R16" s="30" t="n">
        <f aca="false">SUMIF($C$2:$F$2,EOMONTH(R$2,-1)+1,$C16:$F16)*VLOOKUP(R$2,Valores!$H$2:$P$154,8,0)</f>
        <v>34484.0414678295</v>
      </c>
      <c r="S16" s="30" t="n">
        <f aca="false">SUMIF($C$2:$F$2,EOMONTH(S$2,-1)+1,$C16:$F16)*VLOOKUP(S$2,Valores!$H$2:$P$154,8,0)</f>
        <v>68968.082935659</v>
      </c>
      <c r="T16" s="30" t="n">
        <f aca="false">SUMIF($C$2:$F$2,EOMONTH(T$2,-1)+1,$C16:$F16)*VLOOKUP(T$2,Valores!$H$2:$P$154,8,0)</f>
        <v>86210.1036695738</v>
      </c>
      <c r="U16" s="30" t="n">
        <f aca="false">SUMIF($C$2:$F$2,EOMONTH(U$2,-1)+1,$C16:$F16)*VLOOKUP(U$2,Valores!$H$2:$P$154,8,0)</f>
        <v>51726.0622017443</v>
      </c>
      <c r="V16" s="30" t="n">
        <f aca="false">SUMIF($C$2:$F$2,EOMONTH(V$2,-1)+1,$C16:$F16)*VLOOKUP(V$2,Valores!$H$2:$P$154,8,0)</f>
        <v>43105.0518347869</v>
      </c>
      <c r="W16" s="30" t="n">
        <f aca="false">SUMIF($C$2:$F$2,EOMONTH(W$2,-1)+1,$C16:$F16)*VLOOKUP(W$2,Valores!$H$2:$P$154,8,0)</f>
        <v>43105.0518347869</v>
      </c>
      <c r="X16" s="30" t="n">
        <f aca="false">SUMIF($C$2:$F$2,EOMONTH(X$2,-1)+1,$C16:$F16)*VLOOKUP(X$2,Valores!$H$2:$P$154,8,0)</f>
        <v>0</v>
      </c>
      <c r="Y16" s="30" t="n">
        <f aca="false">SUMIF($C$2:$F$2,EOMONTH(Y$2,-1)+1,$C16:$F16)*VLOOKUP(Y$2,Valores!$H$2:$P$154,8,0)</f>
        <v>0</v>
      </c>
      <c r="Z16" s="30" t="n">
        <f aca="false">SUMIF($C$2:$F$2,EOMONTH(Z$2,-1)+1,$C16:$F16)*VLOOKUP(Z$2,Valores!$H$2:$P$154,8,0)</f>
        <v>64657.5777521803</v>
      </c>
      <c r="AA16" s="30" t="n">
        <f aca="false">SUMIF($C$2:$F$2,EOMONTH(AA$2,-1)+1,$C16:$F16)*VLOOKUP(AA$2,Valores!$H$2:$P$154,8,0)</f>
        <v>77589.0933026164</v>
      </c>
      <c r="AB16" s="30" t="n">
        <f aca="false">SUMIF($C$2:$F$2,EOMONTH(AB$2,-1)+1,$C16:$F16)*VLOOKUP(AB$2,Valores!$H$2:$P$154,8,0)</f>
        <v>38794.5466513082</v>
      </c>
      <c r="AC16" s="30" t="n">
        <f aca="false">SUMIF($C$2:$F$2,EOMONTH(AC$2,-1)+1,$C16:$F16)*VLOOKUP(AC$2,Valores!$H$2:$P$154,8,0)</f>
        <v>47415.5570182656</v>
      </c>
      <c r="AD16" s="30" t="n">
        <f aca="false">SUMIF($C$2:$F$2,EOMONTH(AD$2,-1)+1,$C16:$F16)*VLOOKUP(AD$2,Valores!$H$2:$P$154,8,0)</f>
        <v>47415.5570182656</v>
      </c>
      <c r="AE16" s="30" t="n">
        <f aca="false">SUMIF($C$2:$F$2,EOMONTH(AE$2,-1)+1,$C16:$F16)*VLOOKUP(AE$2,Valores!$H$2:$P$154,8,0)</f>
        <v>47415.5570182656</v>
      </c>
      <c r="AF16" s="30" t="n">
        <f aca="false">SUMIF($C$2:$F$2,EOMONTH(AF$2,-1)+1,$C16:$F16)*VLOOKUP(AF$2,Valores!$H$2:$P$154,8,0)</f>
        <v>47415.5570182656</v>
      </c>
      <c r="AG16" s="30" t="n">
        <f aca="false">SUMIF($C$2:$F$2,EOMONTH(AG$2,-1)+1,$C16:$F16)*VLOOKUP(AG$2,Valores!$H$2:$P$154,8,0)</f>
        <v>75864.8912292249</v>
      </c>
      <c r="AH16" s="30" t="n">
        <f aca="false">SUMIF($C$2:$F$2,EOMONTH(AH$2,-1)+1,$C16:$F16)*VLOOKUP(AH$2,Valores!$H$2:$P$154,8,0)</f>
        <v>94831.1140365312</v>
      </c>
      <c r="AI16" s="30" t="n">
        <f aca="false">SUMIF($C$2:$F$2,EOMONTH(AI$2,-1)+1,$C16:$F16)*VLOOKUP(AI$2,Valores!$H$2:$P$154,8,0)</f>
        <v>33190.8899127859</v>
      </c>
      <c r="AJ16" s="30" t="n">
        <f aca="false">SUMIF($C$2:$F$2,EOMONTH(AJ$2,-1)+1,$C16:$F16)*VLOOKUP(AJ$2,Valores!$H$2:$P$154,8,0)</f>
        <v>21552.5259173934</v>
      </c>
      <c r="AK16" s="30" t="n">
        <f aca="false">SUMIF($C$2:$F$2,EOMONTH(AK$2,-1)+1,$C16:$F16)*VLOOKUP(AK$2,Valores!$H$2:$P$154,8,0)</f>
        <v>39302.7035652195</v>
      </c>
      <c r="AL16" s="30" t="n">
        <f aca="false">SUMIF($C$2:$F$2,EOMONTH(AL$2,-1)+1,$C16:$F16)*VLOOKUP(AL$2,Valores!$H$2:$P$154,8,0)</f>
        <v>39302.7035652195</v>
      </c>
      <c r="AM16" s="30" t="n">
        <f aca="false">SUMIF($C$2:$F$2,EOMONTH(AM$2,-1)+1,$C16:$F16)*VLOOKUP(AM$2,Valores!$H$2:$P$154,8,0)</f>
        <v>39302.7035652195</v>
      </c>
      <c r="AN16" s="30" t="n">
        <f aca="false">SUMIF($C$2:$F$2,EOMONTH(AN$2,-1)+1,$C16:$F16)*VLOOKUP(AN$2,Valores!$H$2:$P$154,8,0)</f>
        <v>78605.4071304389</v>
      </c>
      <c r="AO16" s="30" t="n">
        <f aca="false">SUMIF($C$2:$F$2,EOMONTH(AO$2,-1)+1,$C16:$F16)*VLOOKUP(AO$2,Valores!$H$2:$P$154,8,0)</f>
        <v>98256.7589130487</v>
      </c>
      <c r="AP16" s="30" t="n">
        <f aca="false">SUMIF($C$2:$F$2,EOMONTH(AP$2,-1)+1,$C16:$F16)*VLOOKUP(AP$2,Valores!$H$2:$P$154,8,0)</f>
        <v>58954.0553478292</v>
      </c>
      <c r="AQ16" s="30" t="n">
        <f aca="false">SUMIF($C$2:$F$2,EOMONTH(AQ$2,-1)+1,$C16:$F16)*VLOOKUP(AQ$2,Valores!$H$2:$P$154,8,0)</f>
        <v>21055.0197670818</v>
      </c>
      <c r="AR16" s="30" t="n">
        <f aca="false">SUMIF($C$2:$F$2,EOMONTH(AR$2,-1)+1,$C16:$F16)*VLOOKUP(AR$2,Valores!$H$2:$P$154,8,0)</f>
        <v>21055.0197670818</v>
      </c>
      <c r="AS16" s="30" t="n">
        <f aca="false">SUMIF($C$2:$F$2,EOMONTH(AS$2,-1)+1,$C16:$F16)*VLOOKUP(AS$2,Valores!$H$2:$P$154,8,0)</f>
        <v>21055.0197670818</v>
      </c>
      <c r="AT16" s="30" t="n">
        <f aca="false">SUMIF($C$2:$F$2,EOMONTH(AT$2,-1)+1,$C16:$F16)*VLOOKUP(AT$2,Valores!$H$2:$P$154,8,0)</f>
        <v>21055.0197670818</v>
      </c>
      <c r="AU16" s="30" t="n">
        <f aca="false">SUMIF($C$2:$F$2,EOMONTH(AU$2,-1)+1,$C16:$F16)*VLOOKUP(AU$2,Valores!$H$2:$P$154,8,0)</f>
        <v>42110.0395341637</v>
      </c>
      <c r="AV16" s="30" t="n">
        <f aca="false">SUMIF($C$2:$F$2,EOMONTH(AV$2,-1)+1,$C16:$F16)*VLOOKUP(AV$2,Valores!$H$2:$P$154,8,0)</f>
        <v>52637.5494177046</v>
      </c>
      <c r="AW16" s="30" t="n">
        <f aca="false">SUMIF($C$2:$F$2,EOMONTH(AW$2,-1)+1,$C16:$F16)*VLOOKUP(AW$2,Valores!$H$2:$P$154,8,0)</f>
        <v>31582.5296506228</v>
      </c>
      <c r="AX16" s="30" t="n">
        <f aca="false">SUMIF($C$2:$F$2,EOMONTH(AX$2,-1)+1,$C16:$F16)*VLOOKUP(AX$2,Valores!$H$2:$P$154,8,0)</f>
        <v>21055.0197670818</v>
      </c>
      <c r="AY16" s="30" t="n">
        <f aca="false">SUMIF($C$2:$F$2,EOMONTH(AY$2,-1)+1,$C16:$F16)*VLOOKUP(AY$2,Valores!$H$2:$P$154,8,0)</f>
        <v>27371.5256972064</v>
      </c>
      <c r="AZ16" s="30" t="n">
        <f aca="false">SUMIF($C$2:$F$2,EOMONTH(AZ$2,-1)+1,$C16:$F16)*VLOOKUP(AZ$2,Valores!$H$2:$P$154,8,0)</f>
        <v>27371.5256972064</v>
      </c>
      <c r="BA16" s="30" t="n">
        <f aca="false">SUMIF($C$2:$F$2,EOMONTH(BA$2,-1)+1,$C16:$F16)*VLOOKUP(BA$2,Valores!$H$2:$P$154,8,0)</f>
        <v>27371.5256972064</v>
      </c>
      <c r="BB16" s="30" t="n">
        <f aca="false">SUMIF($C$2:$F$2,EOMONTH(BB$2,-1)+1,$C16:$F16)*VLOOKUP(BB$2,Valores!$H$2:$P$154,8,0)</f>
        <v>48426.5454642883</v>
      </c>
      <c r="BC16" s="30" t="n">
        <f aca="false">SUMIF($C$2:$F$2,EOMONTH(BC$2,-1)+1,$C16:$F16)*VLOOKUP(BC$2,Valores!$H$2:$P$154,8,0)</f>
        <v>58954.0553478292</v>
      </c>
      <c r="BD16" s="30" t="n">
        <f aca="false">SUMIF($C$2:$F$2,EOMONTH(BD$2,-1)+1,$C16:$F16)*VLOOKUP(BD$2,Valores!$H$2:$P$154,8,0)</f>
        <v>31582.5296506228</v>
      </c>
      <c r="BE16" s="30" t="n">
        <f aca="false">SUMIF($C$2:$F$2,EOMONTH(BE$2,-1)+1,$C16:$F16)*VLOOKUP(BE$2,Valores!$H$2:$P$154,8,0)</f>
        <v>28073.3596894425</v>
      </c>
      <c r="BF16" s="30" t="n">
        <f aca="false">SUMIF($C$2:$F$2,EOMONTH(BF$2,-1)+1,$C16:$F16)*VLOOKUP(BF$2,Valores!$H$2:$P$154,8,0)</f>
        <v>28073.3596894425</v>
      </c>
      <c r="BG16" s="30" t="n">
        <f aca="false">SUMIF($C$2:$F$2,EOMONTH(BG$2,-1)+1,$C16:$F16)*VLOOKUP(BG$2,Valores!$H$2:$P$154,8,0)</f>
        <v>28073.3596894425</v>
      </c>
      <c r="BH16" s="30" t="n">
        <f aca="false">SUMIF($C$2:$F$2,EOMONTH(BH$2,-1)+1,$C16:$F16)*VLOOKUP(BH$2,Valores!$H$2:$P$154,8,0)</f>
        <v>28073.3596894425</v>
      </c>
      <c r="BI16" s="30" t="n">
        <f aca="false">SUMIF($C$2:$F$2,EOMONTH(BI$2,-1)+1,$C16:$F16)*VLOOKUP(BI$2,Valores!$H$2:$P$154,8,0)</f>
        <v>56146.7193788849</v>
      </c>
      <c r="BJ16" s="30" t="n">
        <f aca="false">SUMIF($C$2:$F$2,EOMONTH(BJ$2,-1)+1,$C16:$F16)*VLOOKUP(BJ$2,Valores!$H$2:$P$154,8,0)</f>
        <v>70183.3992236062</v>
      </c>
      <c r="BK16" s="30" t="n">
        <f aca="false">SUMIF($C$2:$F$2,EOMONTH(BK$2,-1)+1,$C16:$F16)*VLOOKUP(BK$2,Valores!$H$2:$P$154,8,0)</f>
        <v>33688.031627331</v>
      </c>
      <c r="BL16" s="30" t="n">
        <f aca="false">SUMIF($C$2:$F$2,EOMONTH(BL$2,-1)+1,$C16:$F16)*VLOOKUP(BL$2,Valores!$H$2:$P$154,8,0)</f>
        <v>24704.5565267094</v>
      </c>
      <c r="BM16" s="30" t="n">
        <f aca="false">SUMIF($C$2:$F$2,EOMONTH(BM$2,-1)+1,$C16:$F16)*VLOOKUP(BM$2,Valores!$H$2:$P$154,8,0)</f>
        <v>24704.5565267094</v>
      </c>
      <c r="BN16" s="30" t="n">
        <f aca="false">SUMIF($C$2:$F$2,EOMONTH(BN$2,-1)+1,$C16:$F16)*VLOOKUP(BN$2,Valores!$H$2:$P$154,8,0)</f>
        <v>24704.5565267094</v>
      </c>
      <c r="BO16" s="30" t="n">
        <f aca="false">SUMIF($C$2:$F$2,EOMONTH(BO$2,-1)+1,$C16:$F16)*VLOOKUP(BO$2,Valores!$H$2:$P$154,8,0)</f>
        <v>25939.7843530448</v>
      </c>
      <c r="BP16" s="30" t="n">
        <f aca="false">SUMIF($C$2:$F$2,EOMONTH(BP$2,-1)+1,$C16:$F16)*VLOOKUP(BP$2,Valores!$H$2:$P$154,8,0)</f>
        <v>65278.6769805516</v>
      </c>
      <c r="BQ16" s="30" t="n">
        <f aca="false">SUMIF($C$2:$F$2,EOMONTH(BQ$2,-1)+1,$C16:$F16)*VLOOKUP(BQ$2,Valores!$H$2:$P$154,8,0)</f>
        <v>81598.3462256895</v>
      </c>
      <c r="BR16" s="30" t="n">
        <f aca="false">SUMIF($C$2:$F$2,EOMONTH(BR$2,-1)+1,$C16:$F16)*VLOOKUP(BR$2,Valores!$H$2:$P$154,8,0)</f>
        <v>39167.2061883309</v>
      </c>
      <c r="BS16" s="30" t="n">
        <f aca="false">SUMIF($C$2:$F$2,EOMONTH(BS$2,-1)+1,$C16:$F16)*VLOOKUP(BS$2,Valores!$H$2:$P$154,8,0)</f>
        <v>17485.3599055049</v>
      </c>
      <c r="BT16" s="30" t="n">
        <f aca="false">SUMIF($C$2:$F$2,EOMONTH(BT$2,-1)+1,$C16:$F16)*VLOOKUP(BT$2,Valores!$H$2:$P$154,8,0)</f>
        <v>17485.3599055049</v>
      </c>
      <c r="BU16" s="30" t="n">
        <f aca="false">SUMIF($C$2:$F$2,EOMONTH(BU$2,-1)+1,$C16:$F16)*VLOOKUP(BU$2,Valores!$H$2:$P$154,8,0)</f>
        <v>17485.3599055049</v>
      </c>
      <c r="BV16" s="30" t="n">
        <f aca="false">SUMIF($C$2:$F$2,EOMONTH(BV$2,-1)+1,$C16:$F16)*VLOOKUP(BV$2,Valores!$H$2:$P$154,8,0)</f>
        <v>17485.3599055049</v>
      </c>
      <c r="BW16" s="30" t="n">
        <f aca="false">SUMIF($C$2:$F$2,EOMONTH(BW$2,-1)+1,$C16:$F16)*VLOOKUP(BW$2,Valores!$H$2:$P$154,8,0)</f>
        <v>34970.7198110098</v>
      </c>
      <c r="BX16" s="30" t="n">
        <f aca="false">SUMIF($C$2:$F$2,EOMONTH(BX$2,-1)+1,$C16:$F16)*VLOOKUP(BX$2,Valores!$H$2:$P$154,8,0)</f>
        <v>43713.3997637622</v>
      </c>
      <c r="BY16" s="30" t="n">
        <f aca="false">SUMIF($C$2:$F$2,EOMONTH(BY$2,-1)+1,$C16:$F16)*VLOOKUP(BY$2,Valores!$H$2:$P$154,8,0)</f>
        <v>26228.0398582573</v>
      </c>
      <c r="BZ16" s="30" t="n">
        <f aca="false">SUMIF($C$2:$F$2,EOMONTH(BZ$2,-1)+1,$C16:$F16)*VLOOKUP(BZ$2,Valores!$H$2:$P$154,8,0)</f>
        <v>17485.3599055049</v>
      </c>
      <c r="CA16" s="30" t="n">
        <f aca="false">SUMIF($C$2:$F$2,EOMONTH(CA$2,-1)+1,$C16:$F16)*VLOOKUP(CA$2,Valores!$H$2:$P$154,8,0)</f>
        <v>17485.3599055049</v>
      </c>
      <c r="CB16" s="30" t="n">
        <f aca="false">SUMIF($C$2:$F$2,EOMONTH(CB$2,-1)+1,$C16:$F16)*VLOOKUP(CB$2,Valores!$H$2:$P$154,8,0)</f>
        <v>17485.3599055049</v>
      </c>
      <c r="CC16" s="30" t="n">
        <f aca="false">SUMIF($C$2:$F$2,EOMONTH(CC$2,-1)+1,$C16:$F16)*VLOOKUP(CC$2,Valores!$H$2:$P$154,8,0)</f>
        <v>17485.3599055049</v>
      </c>
      <c r="CD16" s="30" t="n">
        <f aca="false">SUMIF($C$2:$F$2,EOMONTH(CD$2,-1)+1,$C16:$F16)*VLOOKUP(CD$2,Valores!$H$2:$P$154,8,0)</f>
        <v>52456.0797165147</v>
      </c>
      <c r="CE16" s="30" t="n">
        <f aca="false">SUMIF($C$2:$F$2,EOMONTH(CE$2,-1)+1,$C16:$F16)*VLOOKUP(CE$2,Valores!$H$2:$P$154,8,0)</f>
        <v>69941.4396220195</v>
      </c>
      <c r="CF16" s="30" t="n">
        <f aca="false">SUMIF($C$2:$F$2,EOMONTH(CF$2,-1)+1,$C16:$F16)*VLOOKUP(CF$2,Valores!$H$2:$P$154,8,0)</f>
        <v>43713.3997637622</v>
      </c>
      <c r="CG16" s="30" t="n">
        <f aca="false">SUMIF($C$2:$F$2,EOMONTH(CG$2,-1)+1,$C16:$F16)*VLOOKUP(CG$2,Valores!$H$2:$P$154,8,0)</f>
        <v>23313.8132073398</v>
      </c>
      <c r="CH16" s="30" t="n">
        <f aca="false">SUMIF($C$2:$F$2,EOMONTH(CH$2,-1)+1,$C16:$F16)*VLOOKUP(CH$2,Valores!$H$2:$P$154,8,0)</f>
        <v>23313.8132073398</v>
      </c>
      <c r="CI16" s="30" t="n">
        <f aca="false">SUMIF($C$2:$F$2,EOMONTH(CI$2,-1)+1,$C16:$F16)*VLOOKUP(CI$2,Valores!$H$2:$P$154,8,0)</f>
        <v>23313.8132073398</v>
      </c>
      <c r="CJ16" s="30" t="n">
        <f aca="false">SUMIF($C$2:$F$2,EOMONTH(CJ$2,-1)+1,$C16:$F16)*VLOOKUP(CJ$2,Valores!$H$2:$P$154,8,0)</f>
        <v>23313.8132073398</v>
      </c>
      <c r="CK16" s="30" t="n">
        <f aca="false">SUMIF($C$2:$F$2,EOMONTH(CK$2,-1)+1,$C16:$F16)*VLOOKUP(CK$2,Valores!$H$2:$P$154,8,0)</f>
        <v>46627.6264146797</v>
      </c>
      <c r="CL16" s="30" t="n">
        <f aca="false">SUMIF($C$2:$F$2,EOMONTH(CL$2,-1)+1,$C16:$F16)*VLOOKUP(CL$2,Valores!$H$2:$P$154,8,0)</f>
        <v>58284.5330183496</v>
      </c>
      <c r="CM16" s="30" t="n">
        <f aca="false">SUMIF($C$2:$F$2,EOMONTH(CM$2,-1)+1,$C16:$F16)*VLOOKUP(CM$2,Valores!$H$2:$P$154,8,0)</f>
        <v>34970.7198110098</v>
      </c>
      <c r="CN16" s="30" t="n">
        <f aca="false">SUMIF($C$2:$F$2,EOMONTH(CN$2,-1)+1,$C16:$F16)*VLOOKUP(CN$2,Valores!$H$2:$P$154,8,0)</f>
        <v>25645.1945280738</v>
      </c>
      <c r="CO16" s="30" t="n">
        <f aca="false">SUMIF($C$2:$F$2,EOMONTH(CO$2,-1)+1,$C16:$F16)*VLOOKUP(CO$2,Valores!$H$2:$P$154,8,0)</f>
        <v>25645.1945280738</v>
      </c>
      <c r="CP16" s="30" t="n">
        <f aca="false">SUMIF($C$2:$F$2,EOMONTH(CP$2,-1)+1,$C16:$F16)*VLOOKUP(CP$2,Valores!$H$2:$P$154,8,0)</f>
        <v>25645.1945280738</v>
      </c>
      <c r="CQ16" s="30" t="n">
        <f aca="false">SUMIF($C$2:$F$2,EOMONTH(CQ$2,-1)+1,$C16:$F16)*VLOOKUP(CQ$2,Valores!$H$2:$P$154,8,0)</f>
        <v>25645.1945280738</v>
      </c>
      <c r="CR16" s="30" t="n">
        <f aca="false">SUMIF($C$2:$F$2,EOMONTH(CR$2,-1)+1,$C16:$F16)*VLOOKUP(CR$2,Valores!$H$2:$P$154,8,0)</f>
        <v>51290.3890561477</v>
      </c>
      <c r="CS16" s="30" t="n">
        <f aca="false">SUMIF($C$2:$F$2,EOMONTH(CS$2,-1)+1,$C16:$F16)*VLOOKUP(CS$2,Valores!$H$2:$P$154,8,0)</f>
        <v>76935.5835842215</v>
      </c>
      <c r="CT16" s="30" t="e">
        <f aca="false">SUMIF($C$2:$F$2,EOMONTH(CT$2,-1)+1,$C16:$F16)*VLOOKUP(CT$2,Valores!$H$2:$P$154,8,0)</f>
        <v>#VALUE!</v>
      </c>
      <c r="CU16" s="30" t="e">
        <f aca="false">SUMIF($C$2:$F$2,EOMONTH(CU$2,-1)+1,$C16:$F16)*VLOOKUP(CU$2,Valores!$H$2:$P$154,8,0)</f>
        <v>#VALUE!</v>
      </c>
      <c r="CV16" s="30" t="e">
        <f aca="false">SUMIF($C$2:$F$2,EOMONTH(CV$2,-1)+1,$C16:$F16)*VLOOKUP(CV$2,Valores!$H$2:$P$154,8,0)</f>
        <v>#VALUE!</v>
      </c>
      <c r="CW16" s="30" t="e">
        <f aca="false">SUMIF($C$2:$F$2,EOMONTH(CW$2,-1)+1,$C16:$F16)*VLOOKUP(CW$2,Valores!$H$2:$P$154,8,0)</f>
        <v>#VALUE!</v>
      </c>
      <c r="CX16" s="30" t="e">
        <f aca="false">SUMIF($C$2:$F$2,EOMONTH(CX$2,-1)+1,$C16:$F16)*VLOOKUP(CX$2,Valores!$H$2:$P$154,8,0)</f>
        <v>#VALUE!</v>
      </c>
      <c r="CY16" s="30" t="e">
        <f aca="false">SUMIF($C$2:$F$2,EOMONTH(CY$2,-1)+1,$C16:$F16)*VLOOKUP(CY$2,Valores!$H$2:$P$154,8,0)</f>
        <v>#VALUE!</v>
      </c>
      <c r="CZ16" s="30" t="e">
        <f aca="false">SUMIF($C$2:$F$2,EOMONTH(CZ$2,-1)+1,$C16:$F16)*VLOOKUP(CZ$2,Valores!$H$2:$P$154,8,0)</f>
        <v>#VALUE!</v>
      </c>
      <c r="DA16" s="30" t="e">
        <f aca="false">SUMIF($C$2:$F$2,EOMONTH(DA$2,-1)+1,$C16:$F16)*VLOOKUP(DA$2,Valores!$H$2:$P$154,8,0)</f>
        <v>#VALUE!</v>
      </c>
      <c r="DB16" s="30" t="e">
        <f aca="false">SUMIF($C$2:$F$2,EOMONTH(DB$2,-1)+1,$C16:$F16)*VLOOKUP(DB$2,Valores!$H$2:$P$154,8,0)</f>
        <v>#VALUE!</v>
      </c>
      <c r="DC16" s="30" t="e">
        <f aca="false">SUMIF($C$2:$F$2,EOMONTH(DC$2,-1)+1,$C16:$F16)*VLOOKUP(DC$2,Valores!$H$2:$P$154,8,0)</f>
        <v>#VALUE!</v>
      </c>
      <c r="DD16" s="30" t="e">
        <f aca="false">SUMIF($C$2:$F$2,EOMONTH(DD$2,-1)+1,$C16:$F16)*VLOOKUP(DD$2,Valores!$H$2:$P$154,8,0)</f>
        <v>#VALUE!</v>
      </c>
      <c r="DE16" s="30" t="e">
        <f aca="false">SUMIF($C$2:$F$2,EOMONTH(DE$2,-1)+1,$C16:$F16)*VLOOKUP(DE$2,Valores!$H$2:$P$154,8,0)</f>
        <v>#VALUE!</v>
      </c>
      <c r="DF16" s="30" t="e">
        <f aca="false">SUMIF($C$2:$F$2,EOMONTH(DF$2,-1)+1,$C16:$F16)*VLOOKUP(DF$2,Valores!$H$2:$P$154,8,0)</f>
        <v>#VALUE!</v>
      </c>
      <c r="DG16" s="30" t="e">
        <f aca="false">SUMIF($C$2:$F$2,EOMONTH(DG$2,-1)+1,$C16:$F16)*VLOOKUP(DG$2,Valores!$H$2:$P$154,8,0)</f>
        <v>#VALUE!</v>
      </c>
      <c r="DH16" s="30" t="e">
        <f aca="false">SUMIF($C$2:$F$2,EOMONTH(DH$2,-1)+1,$C16:$F16)*VLOOKUP(DH$2,Valores!$H$2:$P$154,8,0)</f>
        <v>#VALUE!</v>
      </c>
      <c r="DI16" s="30" t="e">
        <f aca="false">SUMIF($C$2:$F$2,EOMONTH(DI$2,-1)+1,$C16:$F16)*VLOOKUP(DI$2,Valores!$H$2:$P$154,8,0)</f>
        <v>#VALUE!</v>
      </c>
      <c r="DJ16" s="30" t="e">
        <f aca="false">SUMIF($C$2:$F$2,EOMONTH(DJ$2,-1)+1,$C16:$F16)*VLOOKUP(DJ$2,Valores!$H$2:$P$154,8,0)</f>
        <v>#VALUE!</v>
      </c>
      <c r="DK16" s="30" t="e">
        <f aca="false">SUMIF($C$2:$F$2,EOMONTH(DK$2,-1)+1,$C16:$F16)*VLOOKUP(DK$2,Valores!$H$2:$P$154,8,0)</f>
        <v>#VALUE!</v>
      </c>
      <c r="DL16" s="30" t="e">
        <f aca="false">SUMIF($C$2:$F$2,EOMONTH(DL$2,-1)+1,$C16:$F16)*VLOOKUP(DL$2,Valores!$H$2:$P$154,8,0)</f>
        <v>#VALUE!</v>
      </c>
      <c r="DM16" s="30" t="e">
        <f aca="false">SUMIF($C$2:$F$2,EOMONTH(DM$2,-1)+1,$C16:$F16)*VLOOKUP(DM$2,Valores!$H$2:$P$154,8,0)</f>
        <v>#VALUE!</v>
      </c>
      <c r="DN16" s="30" t="e">
        <f aca="false">SUMIF($C$2:$F$2,EOMONTH(DN$2,-1)+1,$C16:$F16)*VLOOKUP(DN$2,Valores!$H$2:$P$154,8,0)</f>
        <v>#VALUE!</v>
      </c>
      <c r="DO16" s="30" t="e">
        <f aca="false">SUMIF($C$2:$F$2,EOMONTH(DO$2,-1)+1,$C16:$F16)*VLOOKUP(DO$2,Valores!$H$2:$P$154,8,0)</f>
        <v>#VALUE!</v>
      </c>
      <c r="DP16" s="30" t="e">
        <f aca="false">SUMIF($C$2:$F$2,EOMONTH(DP$2,-1)+1,$C16:$F16)*VLOOKUP(DP$2,Valores!$H$2:$P$154,8,0)</f>
        <v>#VALUE!</v>
      </c>
      <c r="DQ16" s="30" t="e">
        <f aca="false">SUMIF($C$2:$F$2,EOMONTH(DQ$2,-1)+1,$C16:$F16)*VLOOKUP(DQ$2,Valores!$H$2:$P$154,8,0)</f>
        <v>#VALUE!</v>
      </c>
      <c r="DR16" s="30" t="e">
        <f aca="false">SUMIF($C$2:$F$2,EOMONTH(DR$2,-1)+1,$C16:$F16)*VLOOKUP(DR$2,Valores!$H$2:$P$154,8,0)</f>
        <v>#VALUE!</v>
      </c>
      <c r="DS16" s="30" t="e">
        <f aca="false">SUMIF($C$2:$F$2,EOMONTH(DS$2,-1)+1,$C16:$F16)*VLOOKUP(DS$2,Valores!$H$2:$P$154,8,0)</f>
        <v>#VALUE!</v>
      </c>
      <c r="DT16" s="30" t="e">
        <f aca="false">SUMIF($C$2:$F$2,EOMONTH(DT$2,-1)+1,$C16:$F16)*VLOOKUP(DT$2,Valores!$H$2:$P$154,8,0)</f>
        <v>#VALUE!</v>
      </c>
      <c r="DU16" s="30" t="e">
        <f aca="false">SUMIF($C$2:$F$2,EOMONTH(DU$2,-1)+1,$C16:$F16)*VLOOKUP(DU$2,Valores!$H$2:$P$154,8,0)</f>
        <v>#VALUE!</v>
      </c>
      <c r="DV16" s="30" t="e">
        <f aca="false">SUMIF($C$2:$F$2,EOMONTH(DV$2,-1)+1,$C16:$F16)*VLOOKUP(DV$2,Valores!$H$2:$P$154,8,0)</f>
        <v>#VALUE!</v>
      </c>
      <c r="DW16" s="30" t="e">
        <f aca="false">SUMIF($C$2:$F$2,EOMONTH(DW$2,-1)+1,$C16:$F16)*VLOOKUP(DW$2,Valores!$H$2:$P$154,8,0)</f>
        <v>#VALUE!</v>
      </c>
      <c r="DX16" s="30" t="e">
        <f aca="false">SUMIF($C$2:$F$2,EOMONTH(DX$2,-1)+1,$C16:$F16)*VLOOKUP(DX$2,Valores!$H$2:$P$154,8,0)</f>
        <v>#VALUE!</v>
      </c>
    </row>
    <row r="17" customFormat="false" ht="13.8" hidden="false" customHeight="false" outlineLevel="0" collapsed="false">
      <c r="A17" s="31" t="s">
        <v>23</v>
      </c>
      <c r="B17" s="31" t="s">
        <v>38</v>
      </c>
      <c r="C17" s="31" t="n">
        <v>1147685</v>
      </c>
      <c r="D17" s="31" t="n">
        <v>1032916.5</v>
      </c>
      <c r="E17" s="31" t="n">
        <v>929624.85</v>
      </c>
      <c r="F17" s="31" t="n">
        <v>836662.365</v>
      </c>
      <c r="G17" s="27" t="n">
        <f aca="false">SUMIF($C$2:$F$2,EOMONTH(G$2,-1)+1,$C17:$F17)*VLOOKUP(G$2,Valores!$H$2:$P$154,8,0)</f>
        <v>33050.004113872</v>
      </c>
      <c r="H17" s="27" t="n">
        <f aca="false">SUMIF($C$2:$F$2,EOMONTH(H$2,-1)+1,$C17:$F17)*VLOOKUP(H$2,Valores!$H$2:$P$154,8,0)</f>
        <v>22662.8599637979</v>
      </c>
      <c r="I17" s="27" t="n">
        <f aca="false">SUMIF($C$2:$F$2,EOMONTH(I$2,-1)+1,$C17:$F17)*VLOOKUP(I$2,Valores!$H$2:$P$154,8,0)</f>
        <v>22662.8599637979</v>
      </c>
      <c r="J17" s="27" t="n">
        <f aca="false">SUMIF($C$2:$F$2,EOMONTH(J$2,-1)+1,$C17:$F17)*VLOOKUP(J$2,Valores!$H$2:$P$154,8,0)</f>
        <v>22662.8599637979</v>
      </c>
      <c r="K17" s="27" t="n">
        <f aca="false">SUMIF($C$2:$F$2,EOMONTH(K$2,-1)+1,$C17:$F17)*VLOOKUP(K$2,Valores!$H$2:$P$154,8,0)</f>
        <v>22662.8599637979</v>
      </c>
      <c r="L17" s="27" t="n">
        <f aca="false">SUMIF($C$2:$F$2,EOMONTH(L$2,-1)+1,$C17:$F17)*VLOOKUP(L$2,Valores!$H$2:$P$154,8,0)</f>
        <v>45325.7199275958</v>
      </c>
      <c r="M17" s="27" t="n">
        <f aca="false">SUMIF($C$2:$F$2,EOMONTH(M$2,-1)+1,$C17:$F17)*VLOOKUP(M$2,Valores!$H$2:$P$154,8,0)</f>
        <v>56657.1499094948</v>
      </c>
      <c r="N17" s="27" t="n">
        <f aca="false">SUMIF($C$2:$F$2,EOMONTH(N$2,-1)+1,$C17:$F17)*VLOOKUP(N$2,Valores!$H$2:$P$154,8,0)</f>
        <v>33994.2899456969</v>
      </c>
      <c r="O17" s="27" t="n">
        <f aca="false">SUMIF($C$2:$F$2,EOMONTH(O$2,-1)+1,$C17:$F17)*VLOOKUP(O$2,Valores!$H$2:$P$154,8,0)</f>
        <v>30217.1466183972</v>
      </c>
      <c r="P17" s="27" t="n">
        <f aca="false">SUMIF($C$2:$F$2,EOMONTH(P$2,-1)+1,$C17:$F17)*VLOOKUP(P$2,Valores!$H$2:$P$154,8,0)</f>
        <v>30217.1466183972</v>
      </c>
      <c r="Q17" s="27" t="n">
        <f aca="false">SUMIF($C$2:$F$2,EOMONTH(Q$2,-1)+1,$C17:$F17)*VLOOKUP(Q$2,Valores!$H$2:$P$154,8,0)</f>
        <v>18130.2879710383</v>
      </c>
      <c r="R17" s="27" t="n">
        <f aca="false">SUMIF($C$2:$F$2,EOMONTH(R$2,-1)+1,$C17:$F17)*VLOOKUP(R$2,Valores!$H$2:$P$154,8,0)</f>
        <v>30217.1466183972</v>
      </c>
      <c r="S17" s="27" t="n">
        <f aca="false">SUMIF($C$2:$F$2,EOMONTH(S$2,-1)+1,$C17:$F17)*VLOOKUP(S$2,Valores!$H$2:$P$154,8,0)</f>
        <v>60434.2932367945</v>
      </c>
      <c r="T17" s="27" t="n">
        <f aca="false">SUMIF($C$2:$F$2,EOMONTH(T$2,-1)+1,$C17:$F17)*VLOOKUP(T$2,Valores!$H$2:$P$154,8,0)</f>
        <v>75542.8665459931</v>
      </c>
      <c r="U17" s="27" t="n">
        <f aca="false">SUMIF($C$2:$F$2,EOMONTH(U$2,-1)+1,$C17:$F17)*VLOOKUP(U$2,Valores!$H$2:$P$154,8,0)</f>
        <v>45325.7199275958</v>
      </c>
      <c r="V17" s="27" t="n">
        <f aca="false">SUMIF($C$2:$F$2,EOMONTH(V$2,-1)+1,$C17:$F17)*VLOOKUP(V$2,Valores!$H$2:$P$154,8,0)</f>
        <v>37771.4332729965</v>
      </c>
      <c r="W17" s="27" t="n">
        <f aca="false">SUMIF($C$2:$F$2,EOMONTH(W$2,-1)+1,$C17:$F17)*VLOOKUP(W$2,Valores!$H$2:$P$154,8,0)</f>
        <v>37771.4332729965</v>
      </c>
      <c r="X17" s="27" t="n">
        <f aca="false">SUMIF($C$2:$F$2,EOMONTH(X$2,-1)+1,$C17:$F17)*VLOOKUP(X$2,Valores!$H$2:$P$154,8,0)</f>
        <v>0</v>
      </c>
      <c r="Y17" s="27" t="n">
        <f aca="false">SUMIF($C$2:$F$2,EOMONTH(Y$2,-1)+1,$C17:$F17)*VLOOKUP(Y$2,Valores!$H$2:$P$154,8,0)</f>
        <v>0</v>
      </c>
      <c r="Z17" s="27" t="n">
        <f aca="false">SUMIF($C$2:$F$2,EOMONTH(Z$2,-1)+1,$C17:$F17)*VLOOKUP(Z$2,Valores!$H$2:$P$154,8,0)</f>
        <v>56657.1499094948</v>
      </c>
      <c r="AA17" s="27" t="n">
        <f aca="false">SUMIF($C$2:$F$2,EOMONTH(AA$2,-1)+1,$C17:$F17)*VLOOKUP(AA$2,Valores!$H$2:$P$154,8,0)</f>
        <v>67988.5798913938</v>
      </c>
      <c r="AB17" s="27" t="n">
        <f aca="false">SUMIF($C$2:$F$2,EOMONTH(AB$2,-1)+1,$C17:$F17)*VLOOKUP(AB$2,Valores!$H$2:$P$154,8,0)</f>
        <v>33994.2899456969</v>
      </c>
      <c r="AC17" s="27" t="n">
        <f aca="false">SUMIF($C$2:$F$2,EOMONTH(AC$2,-1)+1,$C17:$F17)*VLOOKUP(AC$2,Valores!$H$2:$P$154,8,0)</f>
        <v>41548.5766002962</v>
      </c>
      <c r="AD17" s="27" t="n">
        <f aca="false">SUMIF($C$2:$F$2,EOMONTH(AD$2,-1)+1,$C17:$F17)*VLOOKUP(AD$2,Valores!$H$2:$P$154,8,0)</f>
        <v>41548.5766002962</v>
      </c>
      <c r="AE17" s="27" t="n">
        <f aca="false">SUMIF($C$2:$F$2,EOMONTH(AE$2,-1)+1,$C17:$F17)*VLOOKUP(AE$2,Valores!$H$2:$P$154,8,0)</f>
        <v>41548.5766002962</v>
      </c>
      <c r="AF17" s="27" t="n">
        <f aca="false">SUMIF($C$2:$F$2,EOMONTH(AF$2,-1)+1,$C17:$F17)*VLOOKUP(AF$2,Valores!$H$2:$P$154,8,0)</f>
        <v>41548.5766002962</v>
      </c>
      <c r="AG17" s="27" t="n">
        <f aca="false">SUMIF($C$2:$F$2,EOMONTH(AG$2,-1)+1,$C17:$F17)*VLOOKUP(AG$2,Valores!$H$2:$P$154,8,0)</f>
        <v>66477.7225604739</v>
      </c>
      <c r="AH17" s="27" t="n">
        <f aca="false">SUMIF($C$2:$F$2,EOMONTH(AH$2,-1)+1,$C17:$F17)*VLOOKUP(AH$2,Valores!$H$2:$P$154,8,0)</f>
        <v>83097.1532005924</v>
      </c>
      <c r="AI17" s="27" t="n">
        <f aca="false">SUMIF($C$2:$F$2,EOMONTH(AI$2,-1)+1,$C17:$F17)*VLOOKUP(AI$2,Valores!$H$2:$P$154,8,0)</f>
        <v>29084.0036202073</v>
      </c>
      <c r="AJ17" s="27" t="n">
        <f aca="false">SUMIF($C$2:$F$2,EOMONTH(AJ$2,-1)+1,$C17:$F17)*VLOOKUP(AJ$2,Valores!$H$2:$P$154,8,0)</f>
        <v>18885.7166364983</v>
      </c>
      <c r="AK17" s="27" t="n">
        <f aca="false">SUMIF($C$2:$F$2,EOMONTH(AK$2,-1)+1,$C17:$F17)*VLOOKUP(AK$2,Valores!$H$2:$P$154,8,0)</f>
        <v>34439.5698873514</v>
      </c>
      <c r="AL17" s="27" t="n">
        <f aca="false">SUMIF($C$2:$F$2,EOMONTH(AL$2,-1)+1,$C17:$F17)*VLOOKUP(AL$2,Valores!$H$2:$P$154,8,0)</f>
        <v>34439.5698873514</v>
      </c>
      <c r="AM17" s="27" t="n">
        <f aca="false">SUMIF($C$2:$F$2,EOMONTH(AM$2,-1)+1,$C17:$F17)*VLOOKUP(AM$2,Valores!$H$2:$P$154,8,0)</f>
        <v>34439.5698873514</v>
      </c>
      <c r="AN17" s="27" t="n">
        <f aca="false">SUMIF($C$2:$F$2,EOMONTH(AN$2,-1)+1,$C17:$F17)*VLOOKUP(AN$2,Valores!$H$2:$P$154,8,0)</f>
        <v>68879.1397747029</v>
      </c>
      <c r="AO17" s="27" t="n">
        <f aca="false">SUMIF($C$2:$F$2,EOMONTH(AO$2,-1)+1,$C17:$F17)*VLOOKUP(AO$2,Valores!$H$2:$P$154,8,0)</f>
        <v>86098.9247183786</v>
      </c>
      <c r="AP17" s="27" t="n">
        <f aca="false">SUMIF($C$2:$F$2,EOMONTH(AP$2,-1)+1,$C17:$F17)*VLOOKUP(AP$2,Valores!$H$2:$P$154,8,0)</f>
        <v>51659.3548310272</v>
      </c>
      <c r="AQ17" s="27" t="n">
        <f aca="false">SUMIF($C$2:$F$2,EOMONTH(AQ$2,-1)+1,$C17:$F17)*VLOOKUP(AQ$2,Valores!$H$2:$P$154,8,0)</f>
        <v>18449.7695825097</v>
      </c>
      <c r="AR17" s="27" t="n">
        <f aca="false">SUMIF($C$2:$F$2,EOMONTH(AR$2,-1)+1,$C17:$F17)*VLOOKUP(AR$2,Valores!$H$2:$P$154,8,0)</f>
        <v>18449.7695825097</v>
      </c>
      <c r="AS17" s="27" t="n">
        <f aca="false">SUMIF($C$2:$F$2,EOMONTH(AS$2,-1)+1,$C17:$F17)*VLOOKUP(AS$2,Valores!$H$2:$P$154,8,0)</f>
        <v>18449.7695825097</v>
      </c>
      <c r="AT17" s="27" t="n">
        <f aca="false">SUMIF($C$2:$F$2,EOMONTH(AT$2,-1)+1,$C17:$F17)*VLOOKUP(AT$2,Valores!$H$2:$P$154,8,0)</f>
        <v>18449.7695825097</v>
      </c>
      <c r="AU17" s="27" t="n">
        <f aca="false">SUMIF($C$2:$F$2,EOMONTH(AU$2,-1)+1,$C17:$F17)*VLOOKUP(AU$2,Valores!$H$2:$P$154,8,0)</f>
        <v>36899.5391650194</v>
      </c>
      <c r="AV17" s="27" t="n">
        <f aca="false">SUMIF($C$2:$F$2,EOMONTH(AV$2,-1)+1,$C17:$F17)*VLOOKUP(AV$2,Valores!$H$2:$P$154,8,0)</f>
        <v>46124.4239562743</v>
      </c>
      <c r="AW17" s="27" t="n">
        <f aca="false">SUMIF($C$2:$F$2,EOMONTH(AW$2,-1)+1,$C17:$F17)*VLOOKUP(AW$2,Valores!$H$2:$P$154,8,0)</f>
        <v>27674.6543737645</v>
      </c>
      <c r="AX17" s="27" t="n">
        <f aca="false">SUMIF($C$2:$F$2,EOMONTH(AX$2,-1)+1,$C17:$F17)*VLOOKUP(AX$2,Valores!$H$2:$P$154,8,0)</f>
        <v>18449.7695825097</v>
      </c>
      <c r="AY17" s="27" t="n">
        <f aca="false">SUMIF($C$2:$F$2,EOMONTH(AY$2,-1)+1,$C17:$F17)*VLOOKUP(AY$2,Valores!$H$2:$P$154,8,0)</f>
        <v>23984.7004572626</v>
      </c>
      <c r="AZ17" s="27" t="n">
        <f aca="false">SUMIF($C$2:$F$2,EOMONTH(AZ$2,-1)+1,$C17:$F17)*VLOOKUP(AZ$2,Valores!$H$2:$P$154,8,0)</f>
        <v>23984.7004572626</v>
      </c>
      <c r="BA17" s="27" t="n">
        <f aca="false">SUMIF($C$2:$F$2,EOMONTH(BA$2,-1)+1,$C17:$F17)*VLOOKUP(BA$2,Valores!$H$2:$P$154,8,0)</f>
        <v>23984.7004572626</v>
      </c>
      <c r="BB17" s="27" t="n">
        <f aca="false">SUMIF($C$2:$F$2,EOMONTH(BB$2,-1)+1,$C17:$F17)*VLOOKUP(BB$2,Valores!$H$2:$P$154,8,0)</f>
        <v>42434.4700397723</v>
      </c>
      <c r="BC17" s="27" t="n">
        <f aca="false">SUMIF($C$2:$F$2,EOMONTH(BC$2,-1)+1,$C17:$F17)*VLOOKUP(BC$2,Valores!$H$2:$P$154,8,0)</f>
        <v>51659.3548310272</v>
      </c>
      <c r="BD17" s="27" t="n">
        <f aca="false">SUMIF($C$2:$F$2,EOMONTH(BD$2,-1)+1,$C17:$F17)*VLOOKUP(BD$2,Valores!$H$2:$P$154,8,0)</f>
        <v>27674.6543737645</v>
      </c>
      <c r="BE17" s="27" t="n">
        <f aca="false">SUMIF($C$2:$F$2,EOMONTH(BE$2,-1)+1,$C17:$F17)*VLOOKUP(BE$2,Valores!$H$2:$P$154,8,0)</f>
        <v>24599.6927766796</v>
      </c>
      <c r="BF17" s="27" t="n">
        <f aca="false">SUMIF($C$2:$F$2,EOMONTH(BF$2,-1)+1,$C17:$F17)*VLOOKUP(BF$2,Valores!$H$2:$P$154,8,0)</f>
        <v>24599.6927766796</v>
      </c>
      <c r="BG17" s="27" t="n">
        <f aca="false">SUMIF($C$2:$F$2,EOMONTH(BG$2,-1)+1,$C17:$F17)*VLOOKUP(BG$2,Valores!$H$2:$P$154,8,0)</f>
        <v>24599.6927766796</v>
      </c>
      <c r="BH17" s="27" t="n">
        <f aca="false">SUMIF($C$2:$F$2,EOMONTH(BH$2,-1)+1,$C17:$F17)*VLOOKUP(BH$2,Valores!$H$2:$P$154,8,0)</f>
        <v>24599.6927766796</v>
      </c>
      <c r="BI17" s="27" t="n">
        <f aca="false">SUMIF($C$2:$F$2,EOMONTH(BI$2,-1)+1,$C17:$F17)*VLOOKUP(BI$2,Valores!$H$2:$P$154,8,0)</f>
        <v>49199.3855533592</v>
      </c>
      <c r="BJ17" s="27" t="n">
        <f aca="false">SUMIF($C$2:$F$2,EOMONTH(BJ$2,-1)+1,$C17:$F17)*VLOOKUP(BJ$2,Valores!$H$2:$P$154,8,0)</f>
        <v>61499.231941699</v>
      </c>
      <c r="BK17" s="27" t="n">
        <f aca="false">SUMIF($C$2:$F$2,EOMONTH(BK$2,-1)+1,$C17:$F17)*VLOOKUP(BK$2,Valores!$H$2:$P$154,8,0)</f>
        <v>29519.6313320155</v>
      </c>
      <c r="BL17" s="27" t="n">
        <f aca="false">SUMIF($C$2:$F$2,EOMONTH(BL$2,-1)+1,$C17:$F17)*VLOOKUP(BL$2,Valores!$H$2:$P$154,8,0)</f>
        <v>21647.729643478</v>
      </c>
      <c r="BM17" s="27" t="n">
        <f aca="false">SUMIF($C$2:$F$2,EOMONTH(BM$2,-1)+1,$C17:$F17)*VLOOKUP(BM$2,Valores!$H$2:$P$154,8,0)</f>
        <v>21647.729643478</v>
      </c>
      <c r="BN17" s="27" t="n">
        <f aca="false">SUMIF($C$2:$F$2,EOMONTH(BN$2,-1)+1,$C17:$F17)*VLOOKUP(BN$2,Valores!$H$2:$P$154,8,0)</f>
        <v>21647.729643478</v>
      </c>
      <c r="BO17" s="27" t="n">
        <f aca="false">SUMIF($C$2:$F$2,EOMONTH(BO$2,-1)+1,$C17:$F17)*VLOOKUP(BO$2,Valores!$H$2:$P$154,8,0)</f>
        <v>22730.116125652</v>
      </c>
      <c r="BP17" s="27" t="n">
        <f aca="false">SUMIF($C$2:$F$2,EOMONTH(BP$2,-1)+1,$C17:$F17)*VLOOKUP(BP$2,Valores!$H$2:$P$154,8,0)</f>
        <v>57201.3972090979</v>
      </c>
      <c r="BQ17" s="27" t="n">
        <f aca="false">SUMIF($C$2:$F$2,EOMONTH(BQ$2,-1)+1,$C17:$F17)*VLOOKUP(BQ$2,Valores!$H$2:$P$154,8,0)</f>
        <v>71501.7465113723</v>
      </c>
      <c r="BR17" s="27" t="n">
        <f aca="false">SUMIF($C$2:$F$2,EOMONTH(BR$2,-1)+1,$C17:$F17)*VLOOKUP(BR$2,Valores!$H$2:$P$154,8,0)</f>
        <v>34320.8383254587</v>
      </c>
      <c r="BS17" s="27" t="n">
        <f aca="false">SUMIF($C$2:$F$2,EOMONTH(BS$2,-1)+1,$C17:$F17)*VLOOKUP(BS$2,Valores!$H$2:$P$154,8,0)</f>
        <v>15321.8028238655</v>
      </c>
      <c r="BT17" s="27" t="n">
        <f aca="false">SUMIF($C$2:$F$2,EOMONTH(BT$2,-1)+1,$C17:$F17)*VLOOKUP(BT$2,Valores!$H$2:$P$154,8,0)</f>
        <v>15321.8028238655</v>
      </c>
      <c r="BU17" s="27" t="n">
        <f aca="false">SUMIF($C$2:$F$2,EOMONTH(BU$2,-1)+1,$C17:$F17)*VLOOKUP(BU$2,Valores!$H$2:$P$154,8,0)</f>
        <v>15321.8028238655</v>
      </c>
      <c r="BV17" s="27" t="n">
        <f aca="false">SUMIF($C$2:$F$2,EOMONTH(BV$2,-1)+1,$C17:$F17)*VLOOKUP(BV$2,Valores!$H$2:$P$154,8,0)</f>
        <v>15321.8028238655</v>
      </c>
      <c r="BW17" s="27" t="n">
        <f aca="false">SUMIF($C$2:$F$2,EOMONTH(BW$2,-1)+1,$C17:$F17)*VLOOKUP(BW$2,Valores!$H$2:$P$154,8,0)</f>
        <v>30643.605647731</v>
      </c>
      <c r="BX17" s="27" t="n">
        <f aca="false">SUMIF($C$2:$F$2,EOMONTH(BX$2,-1)+1,$C17:$F17)*VLOOKUP(BX$2,Valores!$H$2:$P$154,8,0)</f>
        <v>38304.5070596637</v>
      </c>
      <c r="BY17" s="27" t="n">
        <f aca="false">SUMIF($C$2:$F$2,EOMONTH(BY$2,-1)+1,$C17:$F17)*VLOOKUP(BY$2,Valores!$H$2:$P$154,8,0)</f>
        <v>22982.7042357982</v>
      </c>
      <c r="BZ17" s="27" t="n">
        <f aca="false">SUMIF($C$2:$F$2,EOMONTH(BZ$2,-1)+1,$C17:$F17)*VLOOKUP(BZ$2,Valores!$H$2:$P$154,8,0)</f>
        <v>15321.8028238655</v>
      </c>
      <c r="CA17" s="27" t="n">
        <f aca="false">SUMIF($C$2:$F$2,EOMONTH(CA$2,-1)+1,$C17:$F17)*VLOOKUP(CA$2,Valores!$H$2:$P$154,8,0)</f>
        <v>15321.8028238655</v>
      </c>
      <c r="CB17" s="27" t="n">
        <f aca="false">SUMIF($C$2:$F$2,EOMONTH(CB$2,-1)+1,$C17:$F17)*VLOOKUP(CB$2,Valores!$H$2:$P$154,8,0)</f>
        <v>15321.8028238655</v>
      </c>
      <c r="CC17" s="27" t="n">
        <f aca="false">SUMIF($C$2:$F$2,EOMONTH(CC$2,-1)+1,$C17:$F17)*VLOOKUP(CC$2,Valores!$H$2:$P$154,8,0)</f>
        <v>15321.8028238655</v>
      </c>
      <c r="CD17" s="27" t="n">
        <f aca="false">SUMIF($C$2:$F$2,EOMONTH(CD$2,-1)+1,$C17:$F17)*VLOOKUP(CD$2,Valores!$H$2:$P$154,8,0)</f>
        <v>45965.4084715965</v>
      </c>
      <c r="CE17" s="27" t="n">
        <f aca="false">SUMIF($C$2:$F$2,EOMONTH(CE$2,-1)+1,$C17:$F17)*VLOOKUP(CE$2,Valores!$H$2:$P$154,8,0)</f>
        <v>61287.211295462</v>
      </c>
      <c r="CF17" s="27" t="n">
        <f aca="false">SUMIF($C$2:$F$2,EOMONTH(CF$2,-1)+1,$C17:$F17)*VLOOKUP(CF$2,Valores!$H$2:$P$154,8,0)</f>
        <v>38304.5070596637</v>
      </c>
      <c r="CG17" s="27" t="n">
        <f aca="false">SUMIF($C$2:$F$2,EOMONTH(CG$2,-1)+1,$C17:$F17)*VLOOKUP(CG$2,Valores!$H$2:$P$154,8,0)</f>
        <v>20429.0704318207</v>
      </c>
      <c r="CH17" s="27" t="n">
        <f aca="false">SUMIF($C$2:$F$2,EOMONTH(CH$2,-1)+1,$C17:$F17)*VLOOKUP(CH$2,Valores!$H$2:$P$154,8,0)</f>
        <v>20429.0704318207</v>
      </c>
      <c r="CI17" s="27" t="n">
        <f aca="false">SUMIF($C$2:$F$2,EOMONTH(CI$2,-1)+1,$C17:$F17)*VLOOKUP(CI$2,Valores!$H$2:$P$154,8,0)</f>
        <v>20429.0704318207</v>
      </c>
      <c r="CJ17" s="27" t="n">
        <f aca="false">SUMIF($C$2:$F$2,EOMONTH(CJ$2,-1)+1,$C17:$F17)*VLOOKUP(CJ$2,Valores!$H$2:$P$154,8,0)</f>
        <v>20429.0704318207</v>
      </c>
      <c r="CK17" s="27" t="n">
        <f aca="false">SUMIF($C$2:$F$2,EOMONTH(CK$2,-1)+1,$C17:$F17)*VLOOKUP(CK$2,Valores!$H$2:$P$154,8,0)</f>
        <v>40858.1408636413</v>
      </c>
      <c r="CL17" s="27" t="n">
        <f aca="false">SUMIF($C$2:$F$2,EOMONTH(CL$2,-1)+1,$C17:$F17)*VLOOKUP(CL$2,Valores!$H$2:$P$154,8,0)</f>
        <v>51072.6760795517</v>
      </c>
      <c r="CM17" s="27" t="n">
        <f aca="false">SUMIF($C$2:$F$2,EOMONTH(CM$2,-1)+1,$C17:$F17)*VLOOKUP(CM$2,Valores!$H$2:$P$154,8,0)</f>
        <v>30643.605647731</v>
      </c>
      <c r="CN17" s="27" t="n">
        <f aca="false">SUMIF($C$2:$F$2,EOMONTH(CN$2,-1)+1,$C17:$F17)*VLOOKUP(CN$2,Valores!$H$2:$P$154,8,0)</f>
        <v>22471.9774750027</v>
      </c>
      <c r="CO17" s="27" t="n">
        <f aca="false">SUMIF($C$2:$F$2,EOMONTH(CO$2,-1)+1,$C17:$F17)*VLOOKUP(CO$2,Valores!$H$2:$P$154,8,0)</f>
        <v>22471.9774750027</v>
      </c>
      <c r="CP17" s="27" t="n">
        <f aca="false">SUMIF($C$2:$F$2,EOMONTH(CP$2,-1)+1,$C17:$F17)*VLOOKUP(CP$2,Valores!$H$2:$P$154,8,0)</f>
        <v>22471.9774750027</v>
      </c>
      <c r="CQ17" s="27" t="n">
        <f aca="false">SUMIF($C$2:$F$2,EOMONTH(CQ$2,-1)+1,$C17:$F17)*VLOOKUP(CQ$2,Valores!$H$2:$P$154,8,0)</f>
        <v>22471.9774750027</v>
      </c>
      <c r="CR17" s="27" t="n">
        <f aca="false">SUMIF($C$2:$F$2,EOMONTH(CR$2,-1)+1,$C17:$F17)*VLOOKUP(CR$2,Valores!$H$2:$P$154,8,0)</f>
        <v>44943.9549500055</v>
      </c>
      <c r="CS17" s="27" t="n">
        <f aca="false">SUMIF($C$2:$F$2,EOMONTH(CS$2,-1)+1,$C17:$F17)*VLOOKUP(CS$2,Valores!$H$2:$P$154,8,0)</f>
        <v>67415.9324250082</v>
      </c>
      <c r="CT17" s="27" t="e">
        <f aca="false">SUMIF($C$2:$F$2,EOMONTH(CT$2,-1)+1,$C17:$F17)*VLOOKUP(CT$2,Valores!$H$2:$P$154,8,0)</f>
        <v>#VALUE!</v>
      </c>
      <c r="CU17" s="27" t="e">
        <f aca="false">SUMIF($C$2:$F$2,EOMONTH(CU$2,-1)+1,$C17:$F17)*VLOOKUP(CU$2,Valores!$H$2:$P$154,8,0)</f>
        <v>#VALUE!</v>
      </c>
      <c r="CV17" s="27" t="e">
        <f aca="false">SUMIF($C$2:$F$2,EOMONTH(CV$2,-1)+1,$C17:$F17)*VLOOKUP(CV$2,Valores!$H$2:$P$154,8,0)</f>
        <v>#VALUE!</v>
      </c>
      <c r="CW17" s="27" t="e">
        <f aca="false">SUMIF($C$2:$F$2,EOMONTH(CW$2,-1)+1,$C17:$F17)*VLOOKUP(CW$2,Valores!$H$2:$P$154,8,0)</f>
        <v>#VALUE!</v>
      </c>
      <c r="CX17" s="27" t="e">
        <f aca="false">SUMIF($C$2:$F$2,EOMONTH(CX$2,-1)+1,$C17:$F17)*VLOOKUP(CX$2,Valores!$H$2:$P$154,8,0)</f>
        <v>#VALUE!</v>
      </c>
      <c r="CY17" s="27" t="e">
        <f aca="false">SUMIF($C$2:$F$2,EOMONTH(CY$2,-1)+1,$C17:$F17)*VLOOKUP(CY$2,Valores!$H$2:$P$154,8,0)</f>
        <v>#VALUE!</v>
      </c>
      <c r="CZ17" s="27" t="e">
        <f aca="false">SUMIF($C$2:$F$2,EOMONTH(CZ$2,-1)+1,$C17:$F17)*VLOOKUP(CZ$2,Valores!$H$2:$P$154,8,0)</f>
        <v>#VALUE!</v>
      </c>
      <c r="DA17" s="27" t="e">
        <f aca="false">SUMIF($C$2:$F$2,EOMONTH(DA$2,-1)+1,$C17:$F17)*VLOOKUP(DA$2,Valores!$H$2:$P$154,8,0)</f>
        <v>#VALUE!</v>
      </c>
      <c r="DB17" s="27" t="e">
        <f aca="false">SUMIF($C$2:$F$2,EOMONTH(DB$2,-1)+1,$C17:$F17)*VLOOKUP(DB$2,Valores!$H$2:$P$154,8,0)</f>
        <v>#VALUE!</v>
      </c>
      <c r="DC17" s="27" t="e">
        <f aca="false">SUMIF($C$2:$F$2,EOMONTH(DC$2,-1)+1,$C17:$F17)*VLOOKUP(DC$2,Valores!$H$2:$P$154,8,0)</f>
        <v>#VALUE!</v>
      </c>
      <c r="DD17" s="27" t="e">
        <f aca="false">SUMIF($C$2:$F$2,EOMONTH(DD$2,-1)+1,$C17:$F17)*VLOOKUP(DD$2,Valores!$H$2:$P$154,8,0)</f>
        <v>#VALUE!</v>
      </c>
      <c r="DE17" s="27" t="e">
        <f aca="false">SUMIF($C$2:$F$2,EOMONTH(DE$2,-1)+1,$C17:$F17)*VLOOKUP(DE$2,Valores!$H$2:$P$154,8,0)</f>
        <v>#VALUE!</v>
      </c>
      <c r="DF17" s="27" t="e">
        <f aca="false">SUMIF($C$2:$F$2,EOMONTH(DF$2,-1)+1,$C17:$F17)*VLOOKUP(DF$2,Valores!$H$2:$P$154,8,0)</f>
        <v>#VALUE!</v>
      </c>
      <c r="DG17" s="27" t="e">
        <f aca="false">SUMIF($C$2:$F$2,EOMONTH(DG$2,-1)+1,$C17:$F17)*VLOOKUP(DG$2,Valores!$H$2:$P$154,8,0)</f>
        <v>#VALUE!</v>
      </c>
      <c r="DH17" s="27" t="e">
        <f aca="false">SUMIF($C$2:$F$2,EOMONTH(DH$2,-1)+1,$C17:$F17)*VLOOKUP(DH$2,Valores!$H$2:$P$154,8,0)</f>
        <v>#VALUE!</v>
      </c>
      <c r="DI17" s="27" t="e">
        <f aca="false">SUMIF($C$2:$F$2,EOMONTH(DI$2,-1)+1,$C17:$F17)*VLOOKUP(DI$2,Valores!$H$2:$P$154,8,0)</f>
        <v>#VALUE!</v>
      </c>
      <c r="DJ17" s="27" t="e">
        <f aca="false">SUMIF($C$2:$F$2,EOMONTH(DJ$2,-1)+1,$C17:$F17)*VLOOKUP(DJ$2,Valores!$H$2:$P$154,8,0)</f>
        <v>#VALUE!</v>
      </c>
      <c r="DK17" s="27" t="e">
        <f aca="false">SUMIF($C$2:$F$2,EOMONTH(DK$2,-1)+1,$C17:$F17)*VLOOKUP(DK$2,Valores!$H$2:$P$154,8,0)</f>
        <v>#VALUE!</v>
      </c>
      <c r="DL17" s="27" t="e">
        <f aca="false">SUMIF($C$2:$F$2,EOMONTH(DL$2,-1)+1,$C17:$F17)*VLOOKUP(DL$2,Valores!$H$2:$P$154,8,0)</f>
        <v>#VALUE!</v>
      </c>
      <c r="DM17" s="27" t="e">
        <f aca="false">SUMIF($C$2:$F$2,EOMONTH(DM$2,-1)+1,$C17:$F17)*VLOOKUP(DM$2,Valores!$H$2:$P$154,8,0)</f>
        <v>#VALUE!</v>
      </c>
      <c r="DN17" s="27" t="e">
        <f aca="false">SUMIF($C$2:$F$2,EOMONTH(DN$2,-1)+1,$C17:$F17)*VLOOKUP(DN$2,Valores!$H$2:$P$154,8,0)</f>
        <v>#VALUE!</v>
      </c>
      <c r="DO17" s="27" t="e">
        <f aca="false">SUMIF($C$2:$F$2,EOMONTH(DO$2,-1)+1,$C17:$F17)*VLOOKUP(DO$2,Valores!$H$2:$P$154,8,0)</f>
        <v>#VALUE!</v>
      </c>
      <c r="DP17" s="27" t="e">
        <f aca="false">SUMIF($C$2:$F$2,EOMONTH(DP$2,-1)+1,$C17:$F17)*VLOOKUP(DP$2,Valores!$H$2:$P$154,8,0)</f>
        <v>#VALUE!</v>
      </c>
      <c r="DQ17" s="27" t="e">
        <f aca="false">SUMIF($C$2:$F$2,EOMONTH(DQ$2,-1)+1,$C17:$F17)*VLOOKUP(DQ$2,Valores!$H$2:$P$154,8,0)</f>
        <v>#VALUE!</v>
      </c>
      <c r="DR17" s="27" t="e">
        <f aca="false">SUMIF($C$2:$F$2,EOMONTH(DR$2,-1)+1,$C17:$F17)*VLOOKUP(DR$2,Valores!$H$2:$P$154,8,0)</f>
        <v>#VALUE!</v>
      </c>
      <c r="DS17" s="27" t="e">
        <f aca="false">SUMIF($C$2:$F$2,EOMONTH(DS$2,-1)+1,$C17:$F17)*VLOOKUP(DS$2,Valores!$H$2:$P$154,8,0)</f>
        <v>#VALUE!</v>
      </c>
      <c r="DT17" s="27" t="e">
        <f aca="false">SUMIF($C$2:$F$2,EOMONTH(DT$2,-1)+1,$C17:$F17)*VLOOKUP(DT$2,Valores!$H$2:$P$154,8,0)</f>
        <v>#VALUE!</v>
      </c>
      <c r="DU17" s="27" t="e">
        <f aca="false">SUMIF($C$2:$F$2,EOMONTH(DU$2,-1)+1,$C17:$F17)*VLOOKUP(DU$2,Valores!$H$2:$P$154,8,0)</f>
        <v>#VALUE!</v>
      </c>
      <c r="DV17" s="27" t="e">
        <f aca="false">SUMIF($C$2:$F$2,EOMONTH(DV$2,-1)+1,$C17:$F17)*VLOOKUP(DV$2,Valores!$H$2:$P$154,8,0)</f>
        <v>#VALUE!</v>
      </c>
      <c r="DW17" s="27" t="e">
        <f aca="false">SUMIF($C$2:$F$2,EOMONTH(DW$2,-1)+1,$C17:$F17)*VLOOKUP(DW$2,Valores!$H$2:$P$154,8,0)</f>
        <v>#VALUE!</v>
      </c>
      <c r="DX17" s="27" t="e">
        <f aca="false">SUMIF($C$2:$F$2,EOMONTH(DX$2,-1)+1,$C17:$F17)*VLOOKUP(DX$2,Valores!$H$2:$P$154,8,0)</f>
        <v>#VALUE!</v>
      </c>
    </row>
    <row r="18" customFormat="false" ht="13.8" hidden="false" customHeight="false" outlineLevel="0" collapsed="false">
      <c r="A18" s="29" t="s">
        <v>23</v>
      </c>
      <c r="B18" s="29" t="s">
        <v>39</v>
      </c>
      <c r="C18" s="29" t="n">
        <v>1134508</v>
      </c>
      <c r="D18" s="29" t="n">
        <v>1021057.2</v>
      </c>
      <c r="E18" s="29" t="n">
        <v>918951.48</v>
      </c>
      <c r="F18" s="29" t="n">
        <v>827056.332</v>
      </c>
      <c r="G18" s="30" t="n">
        <f aca="false">SUMIF($C$2:$F$2,EOMONTH(G$2,-1)+1,$C18:$F18)*VLOOKUP(G$2,Valores!$H$2:$P$154,8,0)</f>
        <v>32670.5446766497</v>
      </c>
      <c r="H18" s="30" t="n">
        <f aca="false">SUMIF($C$2:$F$2,EOMONTH(H$2,-1)+1,$C18:$F18)*VLOOKUP(H$2,Valores!$H$2:$P$154,8,0)</f>
        <v>22402.6592068455</v>
      </c>
      <c r="I18" s="30" t="n">
        <f aca="false">SUMIF($C$2:$F$2,EOMONTH(I$2,-1)+1,$C18:$F18)*VLOOKUP(I$2,Valores!$H$2:$P$154,8,0)</f>
        <v>22402.6592068455</v>
      </c>
      <c r="J18" s="30" t="n">
        <f aca="false">SUMIF($C$2:$F$2,EOMONTH(J$2,-1)+1,$C18:$F18)*VLOOKUP(J$2,Valores!$H$2:$P$154,8,0)</f>
        <v>22402.6592068455</v>
      </c>
      <c r="K18" s="30" t="n">
        <f aca="false">SUMIF($C$2:$F$2,EOMONTH(K$2,-1)+1,$C18:$F18)*VLOOKUP(K$2,Valores!$H$2:$P$154,8,0)</f>
        <v>22402.6592068455</v>
      </c>
      <c r="L18" s="30" t="n">
        <f aca="false">SUMIF($C$2:$F$2,EOMONTH(L$2,-1)+1,$C18:$F18)*VLOOKUP(L$2,Valores!$H$2:$P$154,8,0)</f>
        <v>44805.318413691</v>
      </c>
      <c r="M18" s="30" t="n">
        <f aca="false">SUMIF($C$2:$F$2,EOMONTH(M$2,-1)+1,$C18:$F18)*VLOOKUP(M$2,Valores!$H$2:$P$154,8,0)</f>
        <v>56006.6480171137</v>
      </c>
      <c r="N18" s="30" t="n">
        <f aca="false">SUMIF($C$2:$F$2,EOMONTH(N$2,-1)+1,$C18:$F18)*VLOOKUP(N$2,Valores!$H$2:$P$154,8,0)</f>
        <v>33603.9888102682</v>
      </c>
      <c r="O18" s="30" t="n">
        <f aca="false">SUMIF($C$2:$F$2,EOMONTH(O$2,-1)+1,$C18:$F18)*VLOOKUP(O$2,Valores!$H$2:$P$154,8,0)</f>
        <v>29870.212275794</v>
      </c>
      <c r="P18" s="30" t="n">
        <f aca="false">SUMIF($C$2:$F$2,EOMONTH(P$2,-1)+1,$C18:$F18)*VLOOKUP(P$2,Valores!$H$2:$P$154,8,0)</f>
        <v>29870.212275794</v>
      </c>
      <c r="Q18" s="30" t="n">
        <f aca="false">SUMIF($C$2:$F$2,EOMONTH(Q$2,-1)+1,$C18:$F18)*VLOOKUP(Q$2,Valores!$H$2:$P$154,8,0)</f>
        <v>17922.1273654764</v>
      </c>
      <c r="R18" s="30" t="n">
        <f aca="false">SUMIF($C$2:$F$2,EOMONTH(R$2,-1)+1,$C18:$F18)*VLOOKUP(R$2,Valores!$H$2:$P$154,8,0)</f>
        <v>29870.212275794</v>
      </c>
      <c r="S18" s="30" t="n">
        <f aca="false">SUMIF($C$2:$F$2,EOMONTH(S$2,-1)+1,$C18:$F18)*VLOOKUP(S$2,Valores!$H$2:$P$154,8,0)</f>
        <v>59740.4245515879</v>
      </c>
      <c r="T18" s="30" t="n">
        <f aca="false">SUMIF($C$2:$F$2,EOMONTH(T$2,-1)+1,$C18:$F18)*VLOOKUP(T$2,Valores!$H$2:$P$154,8,0)</f>
        <v>74675.5306894849</v>
      </c>
      <c r="U18" s="30" t="n">
        <f aca="false">SUMIF($C$2:$F$2,EOMONTH(U$2,-1)+1,$C18:$F18)*VLOOKUP(U$2,Valores!$H$2:$P$154,8,0)</f>
        <v>44805.318413691</v>
      </c>
      <c r="V18" s="30" t="n">
        <f aca="false">SUMIF($C$2:$F$2,EOMONTH(V$2,-1)+1,$C18:$F18)*VLOOKUP(V$2,Valores!$H$2:$P$154,8,0)</f>
        <v>37337.7653447425</v>
      </c>
      <c r="W18" s="30" t="n">
        <f aca="false">SUMIF($C$2:$F$2,EOMONTH(W$2,-1)+1,$C18:$F18)*VLOOKUP(W$2,Valores!$H$2:$P$154,8,0)</f>
        <v>37337.7653447425</v>
      </c>
      <c r="X18" s="30" t="n">
        <f aca="false">SUMIF($C$2:$F$2,EOMONTH(X$2,-1)+1,$C18:$F18)*VLOOKUP(X$2,Valores!$H$2:$P$154,8,0)</f>
        <v>0</v>
      </c>
      <c r="Y18" s="30" t="n">
        <f aca="false">SUMIF($C$2:$F$2,EOMONTH(Y$2,-1)+1,$C18:$F18)*VLOOKUP(Y$2,Valores!$H$2:$P$154,8,0)</f>
        <v>0</v>
      </c>
      <c r="Z18" s="30" t="n">
        <f aca="false">SUMIF($C$2:$F$2,EOMONTH(Z$2,-1)+1,$C18:$F18)*VLOOKUP(Z$2,Valores!$H$2:$P$154,8,0)</f>
        <v>56006.6480171137</v>
      </c>
      <c r="AA18" s="30" t="n">
        <f aca="false">SUMIF($C$2:$F$2,EOMONTH(AA$2,-1)+1,$C18:$F18)*VLOOKUP(AA$2,Valores!$H$2:$P$154,8,0)</f>
        <v>67207.9776205364</v>
      </c>
      <c r="AB18" s="30" t="n">
        <f aca="false">SUMIF($C$2:$F$2,EOMONTH(AB$2,-1)+1,$C18:$F18)*VLOOKUP(AB$2,Valores!$H$2:$P$154,8,0)</f>
        <v>33603.9888102682</v>
      </c>
      <c r="AC18" s="30" t="n">
        <f aca="false">SUMIF($C$2:$F$2,EOMONTH(AC$2,-1)+1,$C18:$F18)*VLOOKUP(AC$2,Valores!$H$2:$P$154,8,0)</f>
        <v>41071.5418792167</v>
      </c>
      <c r="AD18" s="30" t="n">
        <f aca="false">SUMIF($C$2:$F$2,EOMONTH(AD$2,-1)+1,$C18:$F18)*VLOOKUP(AD$2,Valores!$H$2:$P$154,8,0)</f>
        <v>41071.5418792167</v>
      </c>
      <c r="AE18" s="30" t="n">
        <f aca="false">SUMIF($C$2:$F$2,EOMONTH(AE$2,-1)+1,$C18:$F18)*VLOOKUP(AE$2,Valores!$H$2:$P$154,8,0)</f>
        <v>41071.5418792167</v>
      </c>
      <c r="AF18" s="30" t="n">
        <f aca="false">SUMIF($C$2:$F$2,EOMONTH(AF$2,-1)+1,$C18:$F18)*VLOOKUP(AF$2,Valores!$H$2:$P$154,8,0)</f>
        <v>41071.5418792167</v>
      </c>
      <c r="AG18" s="30" t="n">
        <f aca="false">SUMIF($C$2:$F$2,EOMONTH(AG$2,-1)+1,$C18:$F18)*VLOOKUP(AG$2,Valores!$H$2:$P$154,8,0)</f>
        <v>65714.4670067467</v>
      </c>
      <c r="AH18" s="30" t="n">
        <f aca="false">SUMIF($C$2:$F$2,EOMONTH(AH$2,-1)+1,$C18:$F18)*VLOOKUP(AH$2,Valores!$H$2:$P$154,8,0)</f>
        <v>82143.0837584334</v>
      </c>
      <c r="AI18" s="30" t="n">
        <f aca="false">SUMIF($C$2:$F$2,EOMONTH(AI$2,-1)+1,$C18:$F18)*VLOOKUP(AI$2,Valores!$H$2:$P$154,8,0)</f>
        <v>28750.0793154517</v>
      </c>
      <c r="AJ18" s="30" t="n">
        <f aca="false">SUMIF($C$2:$F$2,EOMONTH(AJ$2,-1)+1,$C18:$F18)*VLOOKUP(AJ$2,Valores!$H$2:$P$154,8,0)</f>
        <v>18668.8826723712</v>
      </c>
      <c r="AK18" s="30" t="n">
        <f aca="false">SUMIF($C$2:$F$2,EOMONTH(AK$2,-1)+1,$C18:$F18)*VLOOKUP(AK$2,Valores!$H$2:$P$154,8,0)</f>
        <v>34044.156326657</v>
      </c>
      <c r="AL18" s="30" t="n">
        <f aca="false">SUMIF($C$2:$F$2,EOMONTH(AL$2,-1)+1,$C18:$F18)*VLOOKUP(AL$2,Valores!$H$2:$P$154,8,0)</f>
        <v>34044.156326657</v>
      </c>
      <c r="AM18" s="30" t="n">
        <f aca="false">SUMIF($C$2:$F$2,EOMONTH(AM$2,-1)+1,$C18:$F18)*VLOOKUP(AM$2,Valores!$H$2:$P$154,8,0)</f>
        <v>34044.156326657</v>
      </c>
      <c r="AN18" s="30" t="n">
        <f aca="false">SUMIF($C$2:$F$2,EOMONTH(AN$2,-1)+1,$C18:$F18)*VLOOKUP(AN$2,Valores!$H$2:$P$154,8,0)</f>
        <v>68088.312653314</v>
      </c>
      <c r="AO18" s="30" t="n">
        <f aca="false">SUMIF($C$2:$F$2,EOMONTH(AO$2,-1)+1,$C18:$F18)*VLOOKUP(AO$2,Valores!$H$2:$P$154,8,0)</f>
        <v>85110.3908166424</v>
      </c>
      <c r="AP18" s="30" t="n">
        <f aca="false">SUMIF($C$2:$F$2,EOMONTH(AP$2,-1)+1,$C18:$F18)*VLOOKUP(AP$2,Valores!$H$2:$P$154,8,0)</f>
        <v>51066.2344899855</v>
      </c>
      <c r="AQ18" s="30" t="n">
        <f aca="false">SUMIF($C$2:$F$2,EOMONTH(AQ$2,-1)+1,$C18:$F18)*VLOOKUP(AQ$2,Valores!$H$2:$P$154,8,0)</f>
        <v>18237.9408892805</v>
      </c>
      <c r="AR18" s="30" t="n">
        <f aca="false">SUMIF($C$2:$F$2,EOMONTH(AR$2,-1)+1,$C18:$F18)*VLOOKUP(AR$2,Valores!$H$2:$P$154,8,0)</f>
        <v>18237.9408892805</v>
      </c>
      <c r="AS18" s="30" t="n">
        <f aca="false">SUMIF($C$2:$F$2,EOMONTH(AS$2,-1)+1,$C18:$F18)*VLOOKUP(AS$2,Valores!$H$2:$P$154,8,0)</f>
        <v>18237.9408892805</v>
      </c>
      <c r="AT18" s="30" t="n">
        <f aca="false">SUMIF($C$2:$F$2,EOMONTH(AT$2,-1)+1,$C18:$F18)*VLOOKUP(AT$2,Valores!$H$2:$P$154,8,0)</f>
        <v>18237.9408892805</v>
      </c>
      <c r="AU18" s="30" t="n">
        <f aca="false">SUMIF($C$2:$F$2,EOMONTH(AU$2,-1)+1,$C18:$F18)*VLOOKUP(AU$2,Valores!$H$2:$P$154,8,0)</f>
        <v>36475.881778561</v>
      </c>
      <c r="AV18" s="30" t="n">
        <f aca="false">SUMIF($C$2:$F$2,EOMONTH(AV$2,-1)+1,$C18:$F18)*VLOOKUP(AV$2,Valores!$H$2:$P$154,8,0)</f>
        <v>45594.8522232013</v>
      </c>
      <c r="AW18" s="30" t="n">
        <f aca="false">SUMIF($C$2:$F$2,EOMONTH(AW$2,-1)+1,$C18:$F18)*VLOOKUP(AW$2,Valores!$H$2:$P$154,8,0)</f>
        <v>27356.9113339208</v>
      </c>
      <c r="AX18" s="30" t="n">
        <f aca="false">SUMIF($C$2:$F$2,EOMONTH(AX$2,-1)+1,$C18:$F18)*VLOOKUP(AX$2,Valores!$H$2:$P$154,8,0)</f>
        <v>18237.9408892805</v>
      </c>
      <c r="AY18" s="30" t="n">
        <f aca="false">SUMIF($C$2:$F$2,EOMONTH(AY$2,-1)+1,$C18:$F18)*VLOOKUP(AY$2,Valores!$H$2:$P$154,8,0)</f>
        <v>23709.3231560647</v>
      </c>
      <c r="AZ18" s="30" t="n">
        <f aca="false">SUMIF($C$2:$F$2,EOMONTH(AZ$2,-1)+1,$C18:$F18)*VLOOKUP(AZ$2,Valores!$H$2:$P$154,8,0)</f>
        <v>23709.3231560647</v>
      </c>
      <c r="BA18" s="30" t="n">
        <f aca="false">SUMIF($C$2:$F$2,EOMONTH(BA$2,-1)+1,$C18:$F18)*VLOOKUP(BA$2,Valores!$H$2:$P$154,8,0)</f>
        <v>23709.3231560647</v>
      </c>
      <c r="BB18" s="30" t="n">
        <f aca="false">SUMIF($C$2:$F$2,EOMONTH(BB$2,-1)+1,$C18:$F18)*VLOOKUP(BB$2,Valores!$H$2:$P$154,8,0)</f>
        <v>41947.2640453452</v>
      </c>
      <c r="BC18" s="30" t="n">
        <f aca="false">SUMIF($C$2:$F$2,EOMONTH(BC$2,-1)+1,$C18:$F18)*VLOOKUP(BC$2,Valores!$H$2:$P$154,8,0)</f>
        <v>51066.2344899855</v>
      </c>
      <c r="BD18" s="30" t="n">
        <f aca="false">SUMIF($C$2:$F$2,EOMONTH(BD$2,-1)+1,$C18:$F18)*VLOOKUP(BD$2,Valores!$H$2:$P$154,8,0)</f>
        <v>27356.9113339208</v>
      </c>
      <c r="BE18" s="30" t="n">
        <f aca="false">SUMIF($C$2:$F$2,EOMONTH(BE$2,-1)+1,$C18:$F18)*VLOOKUP(BE$2,Valores!$H$2:$P$154,8,0)</f>
        <v>24317.2545190407</v>
      </c>
      <c r="BF18" s="30" t="n">
        <f aca="false">SUMIF($C$2:$F$2,EOMONTH(BF$2,-1)+1,$C18:$F18)*VLOOKUP(BF$2,Valores!$H$2:$P$154,8,0)</f>
        <v>24317.2545190407</v>
      </c>
      <c r="BG18" s="30" t="n">
        <f aca="false">SUMIF($C$2:$F$2,EOMONTH(BG$2,-1)+1,$C18:$F18)*VLOOKUP(BG$2,Valores!$H$2:$P$154,8,0)</f>
        <v>24317.2545190407</v>
      </c>
      <c r="BH18" s="30" t="n">
        <f aca="false">SUMIF($C$2:$F$2,EOMONTH(BH$2,-1)+1,$C18:$F18)*VLOOKUP(BH$2,Valores!$H$2:$P$154,8,0)</f>
        <v>24317.2545190407</v>
      </c>
      <c r="BI18" s="30" t="n">
        <f aca="false">SUMIF($C$2:$F$2,EOMONTH(BI$2,-1)+1,$C18:$F18)*VLOOKUP(BI$2,Valores!$H$2:$P$154,8,0)</f>
        <v>48634.5090380814</v>
      </c>
      <c r="BJ18" s="30" t="n">
        <f aca="false">SUMIF($C$2:$F$2,EOMONTH(BJ$2,-1)+1,$C18:$F18)*VLOOKUP(BJ$2,Valores!$H$2:$P$154,8,0)</f>
        <v>60793.1362976017</v>
      </c>
      <c r="BK18" s="30" t="n">
        <f aca="false">SUMIF($C$2:$F$2,EOMONTH(BK$2,-1)+1,$C18:$F18)*VLOOKUP(BK$2,Valores!$H$2:$P$154,8,0)</f>
        <v>29180.7054228488</v>
      </c>
      <c r="BL18" s="30" t="n">
        <f aca="false">SUMIF($C$2:$F$2,EOMONTH(BL$2,-1)+1,$C18:$F18)*VLOOKUP(BL$2,Valores!$H$2:$P$154,8,0)</f>
        <v>21399.1839767558</v>
      </c>
      <c r="BM18" s="30" t="n">
        <f aca="false">SUMIF($C$2:$F$2,EOMONTH(BM$2,-1)+1,$C18:$F18)*VLOOKUP(BM$2,Valores!$H$2:$P$154,8,0)</f>
        <v>21399.1839767558</v>
      </c>
      <c r="BN18" s="30" t="n">
        <f aca="false">SUMIF($C$2:$F$2,EOMONTH(BN$2,-1)+1,$C18:$F18)*VLOOKUP(BN$2,Valores!$H$2:$P$154,8,0)</f>
        <v>21399.1839767558</v>
      </c>
      <c r="BO18" s="30" t="n">
        <f aca="false">SUMIF($C$2:$F$2,EOMONTH(BO$2,-1)+1,$C18:$F18)*VLOOKUP(BO$2,Valores!$H$2:$P$154,8,0)</f>
        <v>22469.1431755936</v>
      </c>
      <c r="BP18" s="30" t="n">
        <f aca="false">SUMIF($C$2:$F$2,EOMONTH(BP$2,-1)+1,$C18:$F18)*VLOOKUP(BP$2,Valores!$H$2:$P$154,8,0)</f>
        <v>56544.6466102626</v>
      </c>
      <c r="BQ18" s="30" t="n">
        <f aca="false">SUMIF($C$2:$F$2,EOMONTH(BQ$2,-1)+1,$C18:$F18)*VLOOKUP(BQ$2,Valores!$H$2:$P$154,8,0)</f>
        <v>70680.8082628282</v>
      </c>
      <c r="BR18" s="30" t="n">
        <f aca="false">SUMIF($C$2:$F$2,EOMONTH(BR$2,-1)+1,$C18:$F18)*VLOOKUP(BR$2,Valores!$H$2:$P$154,8,0)</f>
        <v>33926.7879661575</v>
      </c>
      <c r="BS18" s="30" t="n">
        <f aca="false">SUMIF($C$2:$F$2,EOMONTH(BS$2,-1)+1,$C18:$F18)*VLOOKUP(BS$2,Valores!$H$2:$P$154,8,0)</f>
        <v>15145.8874848918</v>
      </c>
      <c r="BT18" s="30" t="n">
        <f aca="false">SUMIF($C$2:$F$2,EOMONTH(BT$2,-1)+1,$C18:$F18)*VLOOKUP(BT$2,Valores!$H$2:$P$154,8,0)</f>
        <v>15145.8874848918</v>
      </c>
      <c r="BU18" s="30" t="n">
        <f aca="false">SUMIF($C$2:$F$2,EOMONTH(BU$2,-1)+1,$C18:$F18)*VLOOKUP(BU$2,Valores!$H$2:$P$154,8,0)</f>
        <v>15145.8874848918</v>
      </c>
      <c r="BV18" s="30" t="n">
        <f aca="false">SUMIF($C$2:$F$2,EOMONTH(BV$2,-1)+1,$C18:$F18)*VLOOKUP(BV$2,Valores!$H$2:$P$154,8,0)</f>
        <v>15145.8874848918</v>
      </c>
      <c r="BW18" s="30" t="n">
        <f aca="false">SUMIF($C$2:$F$2,EOMONTH(BW$2,-1)+1,$C18:$F18)*VLOOKUP(BW$2,Valores!$H$2:$P$154,8,0)</f>
        <v>30291.7749697835</v>
      </c>
      <c r="BX18" s="30" t="n">
        <f aca="false">SUMIF($C$2:$F$2,EOMONTH(BX$2,-1)+1,$C18:$F18)*VLOOKUP(BX$2,Valores!$H$2:$P$154,8,0)</f>
        <v>37864.7187122294</v>
      </c>
      <c r="BY18" s="30" t="n">
        <f aca="false">SUMIF($C$2:$F$2,EOMONTH(BY$2,-1)+1,$C18:$F18)*VLOOKUP(BY$2,Valores!$H$2:$P$154,8,0)</f>
        <v>22718.8312273376</v>
      </c>
      <c r="BZ18" s="30" t="n">
        <f aca="false">SUMIF($C$2:$F$2,EOMONTH(BZ$2,-1)+1,$C18:$F18)*VLOOKUP(BZ$2,Valores!$H$2:$P$154,8,0)</f>
        <v>15145.8874848918</v>
      </c>
      <c r="CA18" s="30" t="n">
        <f aca="false">SUMIF($C$2:$F$2,EOMONTH(CA$2,-1)+1,$C18:$F18)*VLOOKUP(CA$2,Valores!$H$2:$P$154,8,0)</f>
        <v>15145.8874848918</v>
      </c>
      <c r="CB18" s="30" t="n">
        <f aca="false">SUMIF($C$2:$F$2,EOMONTH(CB$2,-1)+1,$C18:$F18)*VLOOKUP(CB$2,Valores!$H$2:$P$154,8,0)</f>
        <v>15145.8874848918</v>
      </c>
      <c r="CC18" s="30" t="n">
        <f aca="false">SUMIF($C$2:$F$2,EOMONTH(CC$2,-1)+1,$C18:$F18)*VLOOKUP(CC$2,Valores!$H$2:$P$154,8,0)</f>
        <v>15145.8874848918</v>
      </c>
      <c r="CD18" s="30" t="n">
        <f aca="false">SUMIF($C$2:$F$2,EOMONTH(CD$2,-1)+1,$C18:$F18)*VLOOKUP(CD$2,Valores!$H$2:$P$154,8,0)</f>
        <v>45437.6624546753</v>
      </c>
      <c r="CE18" s="30" t="n">
        <f aca="false">SUMIF($C$2:$F$2,EOMONTH(CE$2,-1)+1,$C18:$F18)*VLOOKUP(CE$2,Valores!$H$2:$P$154,8,0)</f>
        <v>60583.5499395671</v>
      </c>
      <c r="CF18" s="30" t="n">
        <f aca="false">SUMIF($C$2:$F$2,EOMONTH(CF$2,-1)+1,$C18:$F18)*VLOOKUP(CF$2,Valores!$H$2:$P$154,8,0)</f>
        <v>37864.7187122294</v>
      </c>
      <c r="CG18" s="30" t="n">
        <f aca="false">SUMIF($C$2:$F$2,EOMONTH(CG$2,-1)+1,$C18:$F18)*VLOOKUP(CG$2,Valores!$H$2:$P$154,8,0)</f>
        <v>20194.5166465224</v>
      </c>
      <c r="CH18" s="30" t="n">
        <f aca="false">SUMIF($C$2:$F$2,EOMONTH(CH$2,-1)+1,$C18:$F18)*VLOOKUP(CH$2,Valores!$H$2:$P$154,8,0)</f>
        <v>20194.5166465224</v>
      </c>
      <c r="CI18" s="30" t="n">
        <f aca="false">SUMIF($C$2:$F$2,EOMONTH(CI$2,-1)+1,$C18:$F18)*VLOOKUP(CI$2,Valores!$H$2:$P$154,8,0)</f>
        <v>20194.5166465224</v>
      </c>
      <c r="CJ18" s="30" t="n">
        <f aca="false">SUMIF($C$2:$F$2,EOMONTH(CJ$2,-1)+1,$C18:$F18)*VLOOKUP(CJ$2,Valores!$H$2:$P$154,8,0)</f>
        <v>20194.5166465224</v>
      </c>
      <c r="CK18" s="30" t="n">
        <f aca="false">SUMIF($C$2:$F$2,EOMONTH(CK$2,-1)+1,$C18:$F18)*VLOOKUP(CK$2,Valores!$H$2:$P$154,8,0)</f>
        <v>40389.0332930447</v>
      </c>
      <c r="CL18" s="30" t="n">
        <f aca="false">SUMIF($C$2:$F$2,EOMONTH(CL$2,-1)+1,$C18:$F18)*VLOOKUP(CL$2,Valores!$H$2:$P$154,8,0)</f>
        <v>50486.2916163059</v>
      </c>
      <c r="CM18" s="30" t="n">
        <f aca="false">SUMIF($C$2:$F$2,EOMONTH(CM$2,-1)+1,$C18:$F18)*VLOOKUP(CM$2,Valores!$H$2:$P$154,8,0)</f>
        <v>30291.7749697835</v>
      </c>
      <c r="CN18" s="30" t="n">
        <f aca="false">SUMIF($C$2:$F$2,EOMONTH(CN$2,-1)+1,$C18:$F18)*VLOOKUP(CN$2,Valores!$H$2:$P$154,8,0)</f>
        <v>22213.9683111746</v>
      </c>
      <c r="CO18" s="30" t="n">
        <f aca="false">SUMIF($C$2:$F$2,EOMONTH(CO$2,-1)+1,$C18:$F18)*VLOOKUP(CO$2,Valores!$H$2:$P$154,8,0)</f>
        <v>22213.9683111746</v>
      </c>
      <c r="CP18" s="30" t="n">
        <f aca="false">SUMIF($C$2:$F$2,EOMONTH(CP$2,-1)+1,$C18:$F18)*VLOOKUP(CP$2,Valores!$H$2:$P$154,8,0)</f>
        <v>22213.9683111746</v>
      </c>
      <c r="CQ18" s="30" t="n">
        <f aca="false">SUMIF($C$2:$F$2,EOMONTH(CQ$2,-1)+1,$C18:$F18)*VLOOKUP(CQ$2,Valores!$H$2:$P$154,8,0)</f>
        <v>22213.9683111746</v>
      </c>
      <c r="CR18" s="30" t="n">
        <f aca="false">SUMIF($C$2:$F$2,EOMONTH(CR$2,-1)+1,$C18:$F18)*VLOOKUP(CR$2,Valores!$H$2:$P$154,8,0)</f>
        <v>44427.9366223492</v>
      </c>
      <c r="CS18" s="30" t="n">
        <f aca="false">SUMIF($C$2:$F$2,EOMONTH(CS$2,-1)+1,$C18:$F18)*VLOOKUP(CS$2,Valores!$H$2:$P$154,8,0)</f>
        <v>66641.9049335238</v>
      </c>
      <c r="CT18" s="30" t="e">
        <f aca="false">SUMIF($C$2:$F$2,EOMONTH(CT$2,-1)+1,$C18:$F18)*VLOOKUP(CT$2,Valores!$H$2:$P$154,8,0)</f>
        <v>#VALUE!</v>
      </c>
      <c r="CU18" s="30" t="e">
        <f aca="false">SUMIF($C$2:$F$2,EOMONTH(CU$2,-1)+1,$C18:$F18)*VLOOKUP(CU$2,Valores!$H$2:$P$154,8,0)</f>
        <v>#VALUE!</v>
      </c>
      <c r="CV18" s="30" t="e">
        <f aca="false">SUMIF($C$2:$F$2,EOMONTH(CV$2,-1)+1,$C18:$F18)*VLOOKUP(CV$2,Valores!$H$2:$P$154,8,0)</f>
        <v>#VALUE!</v>
      </c>
      <c r="CW18" s="30" t="e">
        <f aca="false">SUMIF($C$2:$F$2,EOMONTH(CW$2,-1)+1,$C18:$F18)*VLOOKUP(CW$2,Valores!$H$2:$P$154,8,0)</f>
        <v>#VALUE!</v>
      </c>
      <c r="CX18" s="30" t="e">
        <f aca="false">SUMIF($C$2:$F$2,EOMONTH(CX$2,-1)+1,$C18:$F18)*VLOOKUP(CX$2,Valores!$H$2:$P$154,8,0)</f>
        <v>#VALUE!</v>
      </c>
      <c r="CY18" s="30" t="e">
        <f aca="false">SUMIF($C$2:$F$2,EOMONTH(CY$2,-1)+1,$C18:$F18)*VLOOKUP(CY$2,Valores!$H$2:$P$154,8,0)</f>
        <v>#VALUE!</v>
      </c>
      <c r="CZ18" s="30" t="e">
        <f aca="false">SUMIF($C$2:$F$2,EOMONTH(CZ$2,-1)+1,$C18:$F18)*VLOOKUP(CZ$2,Valores!$H$2:$P$154,8,0)</f>
        <v>#VALUE!</v>
      </c>
      <c r="DA18" s="30" t="e">
        <f aca="false">SUMIF($C$2:$F$2,EOMONTH(DA$2,-1)+1,$C18:$F18)*VLOOKUP(DA$2,Valores!$H$2:$P$154,8,0)</f>
        <v>#VALUE!</v>
      </c>
      <c r="DB18" s="30" t="e">
        <f aca="false">SUMIF($C$2:$F$2,EOMONTH(DB$2,-1)+1,$C18:$F18)*VLOOKUP(DB$2,Valores!$H$2:$P$154,8,0)</f>
        <v>#VALUE!</v>
      </c>
      <c r="DC18" s="30" t="e">
        <f aca="false">SUMIF($C$2:$F$2,EOMONTH(DC$2,-1)+1,$C18:$F18)*VLOOKUP(DC$2,Valores!$H$2:$P$154,8,0)</f>
        <v>#VALUE!</v>
      </c>
      <c r="DD18" s="30" t="e">
        <f aca="false">SUMIF($C$2:$F$2,EOMONTH(DD$2,-1)+1,$C18:$F18)*VLOOKUP(DD$2,Valores!$H$2:$P$154,8,0)</f>
        <v>#VALUE!</v>
      </c>
      <c r="DE18" s="30" t="e">
        <f aca="false">SUMIF($C$2:$F$2,EOMONTH(DE$2,-1)+1,$C18:$F18)*VLOOKUP(DE$2,Valores!$H$2:$P$154,8,0)</f>
        <v>#VALUE!</v>
      </c>
      <c r="DF18" s="30" t="e">
        <f aca="false">SUMIF($C$2:$F$2,EOMONTH(DF$2,-1)+1,$C18:$F18)*VLOOKUP(DF$2,Valores!$H$2:$P$154,8,0)</f>
        <v>#VALUE!</v>
      </c>
      <c r="DG18" s="30" t="e">
        <f aca="false">SUMIF($C$2:$F$2,EOMONTH(DG$2,-1)+1,$C18:$F18)*VLOOKUP(DG$2,Valores!$H$2:$P$154,8,0)</f>
        <v>#VALUE!</v>
      </c>
      <c r="DH18" s="30" t="e">
        <f aca="false">SUMIF($C$2:$F$2,EOMONTH(DH$2,-1)+1,$C18:$F18)*VLOOKUP(DH$2,Valores!$H$2:$P$154,8,0)</f>
        <v>#VALUE!</v>
      </c>
      <c r="DI18" s="30" t="e">
        <f aca="false">SUMIF($C$2:$F$2,EOMONTH(DI$2,-1)+1,$C18:$F18)*VLOOKUP(DI$2,Valores!$H$2:$P$154,8,0)</f>
        <v>#VALUE!</v>
      </c>
      <c r="DJ18" s="30" t="e">
        <f aca="false">SUMIF($C$2:$F$2,EOMONTH(DJ$2,-1)+1,$C18:$F18)*VLOOKUP(DJ$2,Valores!$H$2:$P$154,8,0)</f>
        <v>#VALUE!</v>
      </c>
      <c r="DK18" s="30" t="e">
        <f aca="false">SUMIF($C$2:$F$2,EOMONTH(DK$2,-1)+1,$C18:$F18)*VLOOKUP(DK$2,Valores!$H$2:$P$154,8,0)</f>
        <v>#VALUE!</v>
      </c>
      <c r="DL18" s="30" t="e">
        <f aca="false">SUMIF($C$2:$F$2,EOMONTH(DL$2,-1)+1,$C18:$F18)*VLOOKUP(DL$2,Valores!$H$2:$P$154,8,0)</f>
        <v>#VALUE!</v>
      </c>
      <c r="DM18" s="30" t="e">
        <f aca="false">SUMIF($C$2:$F$2,EOMONTH(DM$2,-1)+1,$C18:$F18)*VLOOKUP(DM$2,Valores!$H$2:$P$154,8,0)</f>
        <v>#VALUE!</v>
      </c>
      <c r="DN18" s="30" t="e">
        <f aca="false">SUMIF($C$2:$F$2,EOMONTH(DN$2,-1)+1,$C18:$F18)*VLOOKUP(DN$2,Valores!$H$2:$P$154,8,0)</f>
        <v>#VALUE!</v>
      </c>
      <c r="DO18" s="30" t="e">
        <f aca="false">SUMIF($C$2:$F$2,EOMONTH(DO$2,-1)+1,$C18:$F18)*VLOOKUP(DO$2,Valores!$H$2:$P$154,8,0)</f>
        <v>#VALUE!</v>
      </c>
      <c r="DP18" s="30" t="e">
        <f aca="false">SUMIF($C$2:$F$2,EOMONTH(DP$2,-1)+1,$C18:$F18)*VLOOKUP(DP$2,Valores!$H$2:$P$154,8,0)</f>
        <v>#VALUE!</v>
      </c>
      <c r="DQ18" s="30" t="e">
        <f aca="false">SUMIF($C$2:$F$2,EOMONTH(DQ$2,-1)+1,$C18:$F18)*VLOOKUP(DQ$2,Valores!$H$2:$P$154,8,0)</f>
        <v>#VALUE!</v>
      </c>
      <c r="DR18" s="30" t="e">
        <f aca="false">SUMIF($C$2:$F$2,EOMONTH(DR$2,-1)+1,$C18:$F18)*VLOOKUP(DR$2,Valores!$H$2:$P$154,8,0)</f>
        <v>#VALUE!</v>
      </c>
      <c r="DS18" s="30" t="e">
        <f aca="false">SUMIF($C$2:$F$2,EOMONTH(DS$2,-1)+1,$C18:$F18)*VLOOKUP(DS$2,Valores!$H$2:$P$154,8,0)</f>
        <v>#VALUE!</v>
      </c>
      <c r="DT18" s="30" t="e">
        <f aca="false">SUMIF($C$2:$F$2,EOMONTH(DT$2,-1)+1,$C18:$F18)*VLOOKUP(DT$2,Valores!$H$2:$P$154,8,0)</f>
        <v>#VALUE!</v>
      </c>
      <c r="DU18" s="30" t="e">
        <f aca="false">SUMIF($C$2:$F$2,EOMONTH(DU$2,-1)+1,$C18:$F18)*VLOOKUP(DU$2,Valores!$H$2:$P$154,8,0)</f>
        <v>#VALUE!</v>
      </c>
      <c r="DV18" s="30" t="e">
        <f aca="false">SUMIF($C$2:$F$2,EOMONTH(DV$2,-1)+1,$C18:$F18)*VLOOKUP(DV$2,Valores!$H$2:$P$154,8,0)</f>
        <v>#VALUE!</v>
      </c>
      <c r="DW18" s="30" t="e">
        <f aca="false">SUMIF($C$2:$F$2,EOMONTH(DW$2,-1)+1,$C18:$F18)*VLOOKUP(DW$2,Valores!$H$2:$P$154,8,0)</f>
        <v>#VALUE!</v>
      </c>
      <c r="DX18" s="30" t="e">
        <f aca="false">SUMIF($C$2:$F$2,EOMONTH(DX$2,-1)+1,$C18:$F18)*VLOOKUP(DX$2,Valores!$H$2:$P$154,8,0)</f>
        <v>#VALUE!</v>
      </c>
    </row>
    <row r="19" customFormat="false" ht="13.8" hidden="false" customHeight="false" outlineLevel="0" collapsed="false">
      <c r="A19" s="31" t="s">
        <v>23</v>
      </c>
      <c r="B19" s="31" t="s">
        <v>40</v>
      </c>
      <c r="C19" s="31" t="n">
        <v>866621</v>
      </c>
      <c r="D19" s="31" t="n">
        <v>779958.9</v>
      </c>
      <c r="E19" s="31" t="n">
        <v>701963.01</v>
      </c>
      <c r="F19" s="31" t="n">
        <v>631766.709</v>
      </c>
      <c r="G19" s="27" t="n">
        <f aca="false">SUMIF($C$2:$F$2,EOMONTH(G$2,-1)+1,$C19:$F19)*VLOOKUP(G$2,Valores!$H$2:$P$154,8,0)</f>
        <v>24956.1749218364</v>
      </c>
      <c r="H19" s="27" t="n">
        <f aca="false">SUMIF($C$2:$F$2,EOMONTH(H$2,-1)+1,$C19:$F19)*VLOOKUP(H$2,Valores!$H$2:$P$154,8,0)</f>
        <v>17112.8056606878</v>
      </c>
      <c r="I19" s="27" t="n">
        <f aca="false">SUMIF($C$2:$F$2,EOMONTH(I$2,-1)+1,$C19:$F19)*VLOOKUP(I$2,Valores!$H$2:$P$154,8,0)</f>
        <v>17112.8056606878</v>
      </c>
      <c r="J19" s="27" t="n">
        <f aca="false">SUMIF($C$2:$F$2,EOMONTH(J$2,-1)+1,$C19:$F19)*VLOOKUP(J$2,Valores!$H$2:$P$154,8,0)</f>
        <v>17112.8056606878</v>
      </c>
      <c r="K19" s="27" t="n">
        <f aca="false">SUMIF($C$2:$F$2,EOMONTH(K$2,-1)+1,$C19:$F19)*VLOOKUP(K$2,Valores!$H$2:$P$154,8,0)</f>
        <v>17112.8056606878</v>
      </c>
      <c r="L19" s="27" t="n">
        <f aca="false">SUMIF($C$2:$F$2,EOMONTH(L$2,-1)+1,$C19:$F19)*VLOOKUP(L$2,Valores!$H$2:$P$154,8,0)</f>
        <v>34225.6113213757</v>
      </c>
      <c r="M19" s="27" t="n">
        <f aca="false">SUMIF($C$2:$F$2,EOMONTH(M$2,-1)+1,$C19:$F19)*VLOOKUP(M$2,Valores!$H$2:$P$154,8,0)</f>
        <v>42782.0141517196</v>
      </c>
      <c r="N19" s="27" t="n">
        <f aca="false">SUMIF($C$2:$F$2,EOMONTH(N$2,-1)+1,$C19:$F19)*VLOOKUP(N$2,Valores!$H$2:$P$154,8,0)</f>
        <v>25669.2084910317</v>
      </c>
      <c r="O19" s="27" t="n">
        <f aca="false">SUMIF($C$2:$F$2,EOMONTH(O$2,-1)+1,$C19:$F19)*VLOOKUP(O$2,Valores!$H$2:$P$154,8,0)</f>
        <v>22817.0742142504</v>
      </c>
      <c r="P19" s="27" t="n">
        <f aca="false">SUMIF($C$2:$F$2,EOMONTH(P$2,-1)+1,$C19:$F19)*VLOOKUP(P$2,Valores!$H$2:$P$154,8,0)</f>
        <v>22817.0742142504</v>
      </c>
      <c r="Q19" s="27" t="n">
        <f aca="false">SUMIF($C$2:$F$2,EOMONTH(Q$2,-1)+1,$C19:$F19)*VLOOKUP(Q$2,Valores!$H$2:$P$154,8,0)</f>
        <v>13690.2445285503</v>
      </c>
      <c r="R19" s="27" t="n">
        <f aca="false">SUMIF($C$2:$F$2,EOMONTH(R$2,-1)+1,$C19:$F19)*VLOOKUP(R$2,Valores!$H$2:$P$154,8,0)</f>
        <v>22817.0742142504</v>
      </c>
      <c r="S19" s="27" t="n">
        <f aca="false">SUMIF($C$2:$F$2,EOMONTH(S$2,-1)+1,$C19:$F19)*VLOOKUP(S$2,Valores!$H$2:$P$154,8,0)</f>
        <v>45634.1484285009</v>
      </c>
      <c r="T19" s="27" t="n">
        <f aca="false">SUMIF($C$2:$F$2,EOMONTH(T$2,-1)+1,$C19:$F19)*VLOOKUP(T$2,Valores!$H$2:$P$154,8,0)</f>
        <v>57042.6855356261</v>
      </c>
      <c r="U19" s="27" t="n">
        <f aca="false">SUMIF($C$2:$F$2,EOMONTH(U$2,-1)+1,$C19:$F19)*VLOOKUP(U$2,Valores!$H$2:$P$154,8,0)</f>
        <v>34225.6113213757</v>
      </c>
      <c r="V19" s="27" t="n">
        <f aca="false">SUMIF($C$2:$F$2,EOMONTH(V$2,-1)+1,$C19:$F19)*VLOOKUP(V$2,Valores!$H$2:$P$154,8,0)</f>
        <v>28521.3427678131</v>
      </c>
      <c r="W19" s="27" t="n">
        <f aca="false">SUMIF($C$2:$F$2,EOMONTH(W$2,-1)+1,$C19:$F19)*VLOOKUP(W$2,Valores!$H$2:$P$154,8,0)</f>
        <v>28521.3427678131</v>
      </c>
      <c r="X19" s="27" t="n">
        <f aca="false">SUMIF($C$2:$F$2,EOMONTH(X$2,-1)+1,$C19:$F19)*VLOOKUP(X$2,Valores!$H$2:$P$154,8,0)</f>
        <v>0</v>
      </c>
      <c r="Y19" s="27" t="n">
        <f aca="false">SUMIF($C$2:$F$2,EOMONTH(Y$2,-1)+1,$C19:$F19)*VLOOKUP(Y$2,Valores!$H$2:$P$154,8,0)</f>
        <v>0</v>
      </c>
      <c r="Z19" s="27" t="n">
        <f aca="false">SUMIF($C$2:$F$2,EOMONTH(Z$2,-1)+1,$C19:$F19)*VLOOKUP(Z$2,Valores!$H$2:$P$154,8,0)</f>
        <v>42782.0141517196</v>
      </c>
      <c r="AA19" s="27" t="n">
        <f aca="false">SUMIF($C$2:$F$2,EOMONTH(AA$2,-1)+1,$C19:$F19)*VLOOKUP(AA$2,Valores!$H$2:$P$154,8,0)</f>
        <v>51338.4169820635</v>
      </c>
      <c r="AB19" s="27" t="n">
        <f aca="false">SUMIF($C$2:$F$2,EOMONTH(AB$2,-1)+1,$C19:$F19)*VLOOKUP(AB$2,Valores!$H$2:$P$154,8,0)</f>
        <v>25669.2084910317</v>
      </c>
      <c r="AC19" s="27" t="n">
        <f aca="false">SUMIF($C$2:$F$2,EOMONTH(AC$2,-1)+1,$C19:$F19)*VLOOKUP(AC$2,Valores!$H$2:$P$154,8,0)</f>
        <v>31373.4770445944</v>
      </c>
      <c r="AD19" s="27" t="n">
        <f aca="false">SUMIF($C$2:$F$2,EOMONTH(AD$2,-1)+1,$C19:$F19)*VLOOKUP(AD$2,Valores!$H$2:$P$154,8,0)</f>
        <v>31373.4770445944</v>
      </c>
      <c r="AE19" s="27" t="n">
        <f aca="false">SUMIF($C$2:$F$2,EOMONTH(AE$2,-1)+1,$C19:$F19)*VLOOKUP(AE$2,Valores!$H$2:$P$154,8,0)</f>
        <v>31373.4770445944</v>
      </c>
      <c r="AF19" s="27" t="n">
        <f aca="false">SUMIF($C$2:$F$2,EOMONTH(AF$2,-1)+1,$C19:$F19)*VLOOKUP(AF$2,Valores!$H$2:$P$154,8,0)</f>
        <v>31373.4770445944</v>
      </c>
      <c r="AG19" s="27" t="n">
        <f aca="false">SUMIF($C$2:$F$2,EOMONTH(AG$2,-1)+1,$C19:$F19)*VLOOKUP(AG$2,Valores!$H$2:$P$154,8,0)</f>
        <v>50197.563271351</v>
      </c>
      <c r="AH19" s="27" t="n">
        <f aca="false">SUMIF($C$2:$F$2,EOMONTH(AH$2,-1)+1,$C19:$F19)*VLOOKUP(AH$2,Valores!$H$2:$P$154,8,0)</f>
        <v>62746.9540891887</v>
      </c>
      <c r="AI19" s="27" t="n">
        <f aca="false">SUMIF($C$2:$F$2,EOMONTH(AI$2,-1)+1,$C19:$F19)*VLOOKUP(AI$2,Valores!$H$2:$P$154,8,0)</f>
        <v>21961.4339312161</v>
      </c>
      <c r="AJ19" s="27" t="n">
        <f aca="false">SUMIF($C$2:$F$2,EOMONTH(AJ$2,-1)+1,$C19:$F19)*VLOOKUP(AJ$2,Valores!$H$2:$P$154,8,0)</f>
        <v>14260.6713839065</v>
      </c>
      <c r="AK19" s="27" t="n">
        <f aca="false">SUMIF($C$2:$F$2,EOMONTH(AK$2,-1)+1,$C19:$F19)*VLOOKUP(AK$2,Valores!$H$2:$P$154,8,0)</f>
        <v>26005.4409488199</v>
      </c>
      <c r="AL19" s="27" t="n">
        <f aca="false">SUMIF($C$2:$F$2,EOMONTH(AL$2,-1)+1,$C19:$F19)*VLOOKUP(AL$2,Valores!$H$2:$P$154,8,0)</f>
        <v>26005.4409488199</v>
      </c>
      <c r="AM19" s="27" t="n">
        <f aca="false">SUMIF($C$2:$F$2,EOMONTH(AM$2,-1)+1,$C19:$F19)*VLOOKUP(AM$2,Valores!$H$2:$P$154,8,0)</f>
        <v>26005.4409488199</v>
      </c>
      <c r="AN19" s="27" t="n">
        <f aca="false">SUMIF($C$2:$F$2,EOMONTH(AN$2,-1)+1,$C19:$F19)*VLOOKUP(AN$2,Valores!$H$2:$P$154,8,0)</f>
        <v>52010.8818976399</v>
      </c>
      <c r="AO19" s="27" t="n">
        <f aca="false">SUMIF($C$2:$F$2,EOMONTH(AO$2,-1)+1,$C19:$F19)*VLOOKUP(AO$2,Valores!$H$2:$P$154,8,0)</f>
        <v>65013.6023720498</v>
      </c>
      <c r="AP19" s="27" t="n">
        <f aca="false">SUMIF($C$2:$F$2,EOMONTH(AP$2,-1)+1,$C19:$F19)*VLOOKUP(AP$2,Valores!$H$2:$P$154,8,0)</f>
        <v>39008.1614232299</v>
      </c>
      <c r="AQ19" s="27" t="n">
        <f aca="false">SUMIF($C$2:$F$2,EOMONTH(AQ$2,-1)+1,$C19:$F19)*VLOOKUP(AQ$2,Valores!$H$2:$P$154,8,0)</f>
        <v>13931.4862225821</v>
      </c>
      <c r="AR19" s="27" t="n">
        <f aca="false">SUMIF($C$2:$F$2,EOMONTH(AR$2,-1)+1,$C19:$F19)*VLOOKUP(AR$2,Valores!$H$2:$P$154,8,0)</f>
        <v>13931.4862225821</v>
      </c>
      <c r="AS19" s="27" t="n">
        <f aca="false">SUMIF($C$2:$F$2,EOMONTH(AS$2,-1)+1,$C19:$F19)*VLOOKUP(AS$2,Valores!$H$2:$P$154,8,0)</f>
        <v>13931.4862225821</v>
      </c>
      <c r="AT19" s="27" t="n">
        <f aca="false">SUMIF($C$2:$F$2,EOMONTH(AT$2,-1)+1,$C19:$F19)*VLOOKUP(AT$2,Valores!$H$2:$P$154,8,0)</f>
        <v>13931.4862225821</v>
      </c>
      <c r="AU19" s="27" t="n">
        <f aca="false">SUMIF($C$2:$F$2,EOMONTH(AU$2,-1)+1,$C19:$F19)*VLOOKUP(AU$2,Valores!$H$2:$P$154,8,0)</f>
        <v>27862.9724451642</v>
      </c>
      <c r="AV19" s="27" t="n">
        <f aca="false">SUMIF($C$2:$F$2,EOMONTH(AV$2,-1)+1,$C19:$F19)*VLOOKUP(AV$2,Valores!$H$2:$P$154,8,0)</f>
        <v>34828.7155564553</v>
      </c>
      <c r="AW19" s="27" t="n">
        <f aca="false">SUMIF($C$2:$F$2,EOMONTH(AW$2,-1)+1,$C19:$F19)*VLOOKUP(AW$2,Valores!$H$2:$P$154,8,0)</f>
        <v>20897.2293338731</v>
      </c>
      <c r="AX19" s="27" t="n">
        <f aca="false">SUMIF($C$2:$F$2,EOMONTH(AX$2,-1)+1,$C19:$F19)*VLOOKUP(AX$2,Valores!$H$2:$P$154,8,0)</f>
        <v>13931.4862225821</v>
      </c>
      <c r="AY19" s="27" t="n">
        <f aca="false">SUMIF($C$2:$F$2,EOMONTH(AY$2,-1)+1,$C19:$F19)*VLOOKUP(AY$2,Valores!$H$2:$P$154,8,0)</f>
        <v>18110.9320893567</v>
      </c>
      <c r="AZ19" s="27" t="n">
        <f aca="false">SUMIF($C$2:$F$2,EOMONTH(AZ$2,-1)+1,$C19:$F19)*VLOOKUP(AZ$2,Valores!$H$2:$P$154,8,0)</f>
        <v>18110.9320893567</v>
      </c>
      <c r="BA19" s="27" t="n">
        <f aca="false">SUMIF($C$2:$F$2,EOMONTH(BA$2,-1)+1,$C19:$F19)*VLOOKUP(BA$2,Valores!$H$2:$P$154,8,0)</f>
        <v>18110.9320893567</v>
      </c>
      <c r="BB19" s="27" t="n">
        <f aca="false">SUMIF($C$2:$F$2,EOMONTH(BB$2,-1)+1,$C19:$F19)*VLOOKUP(BB$2,Valores!$H$2:$P$154,8,0)</f>
        <v>32042.4183119388</v>
      </c>
      <c r="BC19" s="27" t="n">
        <f aca="false">SUMIF($C$2:$F$2,EOMONTH(BC$2,-1)+1,$C19:$F19)*VLOOKUP(BC$2,Valores!$H$2:$P$154,8,0)</f>
        <v>39008.1614232299</v>
      </c>
      <c r="BD19" s="27" t="n">
        <f aca="false">SUMIF($C$2:$F$2,EOMONTH(BD$2,-1)+1,$C19:$F19)*VLOOKUP(BD$2,Valores!$H$2:$P$154,8,0)</f>
        <v>20897.2293338731</v>
      </c>
      <c r="BE19" s="27" t="n">
        <f aca="false">SUMIF($C$2:$F$2,EOMONTH(BE$2,-1)+1,$C19:$F19)*VLOOKUP(BE$2,Valores!$H$2:$P$154,8,0)</f>
        <v>18575.3149634428</v>
      </c>
      <c r="BF19" s="27" t="n">
        <f aca="false">SUMIF($C$2:$F$2,EOMONTH(BF$2,-1)+1,$C19:$F19)*VLOOKUP(BF$2,Valores!$H$2:$P$154,8,0)</f>
        <v>18575.3149634428</v>
      </c>
      <c r="BG19" s="27" t="n">
        <f aca="false">SUMIF($C$2:$F$2,EOMONTH(BG$2,-1)+1,$C19:$F19)*VLOOKUP(BG$2,Valores!$H$2:$P$154,8,0)</f>
        <v>18575.3149634428</v>
      </c>
      <c r="BH19" s="27" t="n">
        <f aca="false">SUMIF($C$2:$F$2,EOMONTH(BH$2,-1)+1,$C19:$F19)*VLOOKUP(BH$2,Valores!$H$2:$P$154,8,0)</f>
        <v>18575.3149634428</v>
      </c>
      <c r="BI19" s="27" t="n">
        <f aca="false">SUMIF($C$2:$F$2,EOMONTH(BI$2,-1)+1,$C19:$F19)*VLOOKUP(BI$2,Valores!$H$2:$P$154,8,0)</f>
        <v>37150.6299268856</v>
      </c>
      <c r="BJ19" s="27" t="n">
        <f aca="false">SUMIF($C$2:$F$2,EOMONTH(BJ$2,-1)+1,$C19:$F19)*VLOOKUP(BJ$2,Valores!$H$2:$P$154,8,0)</f>
        <v>46438.287408607</v>
      </c>
      <c r="BK19" s="27" t="n">
        <f aca="false">SUMIF($C$2:$F$2,EOMONTH(BK$2,-1)+1,$C19:$F19)*VLOOKUP(BK$2,Valores!$H$2:$P$154,8,0)</f>
        <v>22290.3779561314</v>
      </c>
      <c r="BL19" s="27" t="n">
        <f aca="false">SUMIF($C$2:$F$2,EOMONTH(BL$2,-1)+1,$C19:$F19)*VLOOKUP(BL$2,Valores!$H$2:$P$154,8,0)</f>
        <v>16346.2771678297</v>
      </c>
      <c r="BM19" s="27" t="n">
        <f aca="false">SUMIF($C$2:$F$2,EOMONTH(BM$2,-1)+1,$C19:$F19)*VLOOKUP(BM$2,Valores!$H$2:$P$154,8,0)</f>
        <v>16346.2771678297</v>
      </c>
      <c r="BN19" s="27" t="n">
        <f aca="false">SUMIF($C$2:$F$2,EOMONTH(BN$2,-1)+1,$C19:$F19)*VLOOKUP(BN$2,Valores!$H$2:$P$154,8,0)</f>
        <v>16346.2771678297</v>
      </c>
      <c r="BO19" s="27" t="n">
        <f aca="false">SUMIF($C$2:$F$2,EOMONTH(BO$2,-1)+1,$C19:$F19)*VLOOKUP(BO$2,Valores!$H$2:$P$154,8,0)</f>
        <v>17163.5910262212</v>
      </c>
      <c r="BP19" s="27" t="n">
        <f aca="false">SUMIF($C$2:$F$2,EOMONTH(BP$2,-1)+1,$C19:$F19)*VLOOKUP(BP$2,Valores!$H$2:$P$154,8,0)</f>
        <v>43192.9772112954</v>
      </c>
      <c r="BQ19" s="27" t="n">
        <f aca="false">SUMIF($C$2:$F$2,EOMONTH(BQ$2,-1)+1,$C19:$F19)*VLOOKUP(BQ$2,Valores!$H$2:$P$154,8,0)</f>
        <v>53991.2215141193</v>
      </c>
      <c r="BR19" s="27" t="n">
        <f aca="false">SUMIF($C$2:$F$2,EOMONTH(BR$2,-1)+1,$C19:$F19)*VLOOKUP(BR$2,Valores!$H$2:$P$154,8,0)</f>
        <v>25915.7863267773</v>
      </c>
      <c r="BS19" s="27" t="n">
        <f aca="false">SUMIF($C$2:$F$2,EOMONTH(BS$2,-1)+1,$C19:$F19)*VLOOKUP(BS$2,Valores!$H$2:$P$154,8,0)</f>
        <v>11569.5474673113</v>
      </c>
      <c r="BT19" s="27" t="n">
        <f aca="false">SUMIF($C$2:$F$2,EOMONTH(BT$2,-1)+1,$C19:$F19)*VLOOKUP(BT$2,Valores!$H$2:$P$154,8,0)</f>
        <v>11569.5474673113</v>
      </c>
      <c r="BU19" s="27" t="n">
        <f aca="false">SUMIF($C$2:$F$2,EOMONTH(BU$2,-1)+1,$C19:$F19)*VLOOKUP(BU$2,Valores!$H$2:$P$154,8,0)</f>
        <v>11569.5474673113</v>
      </c>
      <c r="BV19" s="27" t="n">
        <f aca="false">SUMIF($C$2:$F$2,EOMONTH(BV$2,-1)+1,$C19:$F19)*VLOOKUP(BV$2,Valores!$H$2:$P$154,8,0)</f>
        <v>11569.5474673113</v>
      </c>
      <c r="BW19" s="27" t="n">
        <f aca="false">SUMIF($C$2:$F$2,EOMONTH(BW$2,-1)+1,$C19:$F19)*VLOOKUP(BW$2,Valores!$H$2:$P$154,8,0)</f>
        <v>23139.0949346226</v>
      </c>
      <c r="BX19" s="27" t="n">
        <f aca="false">SUMIF($C$2:$F$2,EOMONTH(BX$2,-1)+1,$C19:$F19)*VLOOKUP(BX$2,Valores!$H$2:$P$154,8,0)</f>
        <v>28923.8686682782</v>
      </c>
      <c r="BY19" s="27" t="n">
        <f aca="false">SUMIF($C$2:$F$2,EOMONTH(BY$2,-1)+1,$C19:$F19)*VLOOKUP(BY$2,Valores!$H$2:$P$154,8,0)</f>
        <v>17354.3212009669</v>
      </c>
      <c r="BZ19" s="27" t="n">
        <f aca="false">SUMIF($C$2:$F$2,EOMONTH(BZ$2,-1)+1,$C19:$F19)*VLOOKUP(BZ$2,Valores!$H$2:$P$154,8,0)</f>
        <v>11569.5474673113</v>
      </c>
      <c r="CA19" s="27" t="n">
        <f aca="false">SUMIF($C$2:$F$2,EOMONTH(CA$2,-1)+1,$C19:$F19)*VLOOKUP(CA$2,Valores!$H$2:$P$154,8,0)</f>
        <v>11569.5474673113</v>
      </c>
      <c r="CB19" s="27" t="n">
        <f aca="false">SUMIF($C$2:$F$2,EOMONTH(CB$2,-1)+1,$C19:$F19)*VLOOKUP(CB$2,Valores!$H$2:$P$154,8,0)</f>
        <v>11569.5474673113</v>
      </c>
      <c r="CC19" s="27" t="n">
        <f aca="false">SUMIF($C$2:$F$2,EOMONTH(CC$2,-1)+1,$C19:$F19)*VLOOKUP(CC$2,Valores!$H$2:$P$154,8,0)</f>
        <v>11569.5474673113</v>
      </c>
      <c r="CD19" s="27" t="n">
        <f aca="false">SUMIF($C$2:$F$2,EOMONTH(CD$2,-1)+1,$C19:$F19)*VLOOKUP(CD$2,Valores!$H$2:$P$154,8,0)</f>
        <v>34708.6424019338</v>
      </c>
      <c r="CE19" s="27" t="n">
        <f aca="false">SUMIF($C$2:$F$2,EOMONTH(CE$2,-1)+1,$C19:$F19)*VLOOKUP(CE$2,Valores!$H$2:$P$154,8,0)</f>
        <v>46278.1898692451</v>
      </c>
      <c r="CF19" s="27" t="n">
        <f aca="false">SUMIF($C$2:$F$2,EOMONTH(CF$2,-1)+1,$C19:$F19)*VLOOKUP(CF$2,Valores!$H$2:$P$154,8,0)</f>
        <v>28923.8686682782</v>
      </c>
      <c r="CG19" s="27" t="n">
        <f aca="false">SUMIF($C$2:$F$2,EOMONTH(CG$2,-1)+1,$C19:$F19)*VLOOKUP(CG$2,Valores!$H$2:$P$154,8,0)</f>
        <v>15426.0632897484</v>
      </c>
      <c r="CH19" s="27" t="n">
        <f aca="false">SUMIF($C$2:$F$2,EOMONTH(CH$2,-1)+1,$C19:$F19)*VLOOKUP(CH$2,Valores!$H$2:$P$154,8,0)</f>
        <v>15426.0632897484</v>
      </c>
      <c r="CI19" s="27" t="n">
        <f aca="false">SUMIF($C$2:$F$2,EOMONTH(CI$2,-1)+1,$C19:$F19)*VLOOKUP(CI$2,Valores!$H$2:$P$154,8,0)</f>
        <v>15426.0632897484</v>
      </c>
      <c r="CJ19" s="27" t="n">
        <f aca="false">SUMIF($C$2:$F$2,EOMONTH(CJ$2,-1)+1,$C19:$F19)*VLOOKUP(CJ$2,Valores!$H$2:$P$154,8,0)</f>
        <v>15426.0632897484</v>
      </c>
      <c r="CK19" s="27" t="n">
        <f aca="false">SUMIF($C$2:$F$2,EOMONTH(CK$2,-1)+1,$C19:$F19)*VLOOKUP(CK$2,Valores!$H$2:$P$154,8,0)</f>
        <v>30852.1265794967</v>
      </c>
      <c r="CL19" s="27" t="n">
        <f aca="false">SUMIF($C$2:$F$2,EOMONTH(CL$2,-1)+1,$C19:$F19)*VLOOKUP(CL$2,Valores!$H$2:$P$154,8,0)</f>
        <v>38565.1582243709</v>
      </c>
      <c r="CM19" s="27" t="n">
        <f aca="false">SUMIF($C$2:$F$2,EOMONTH(CM$2,-1)+1,$C19:$F19)*VLOOKUP(CM$2,Valores!$H$2:$P$154,8,0)</f>
        <v>23139.0949346226</v>
      </c>
      <c r="CN19" s="27" t="n">
        <f aca="false">SUMIF($C$2:$F$2,EOMONTH(CN$2,-1)+1,$C19:$F19)*VLOOKUP(CN$2,Valores!$H$2:$P$154,8,0)</f>
        <v>16968.6696187232</v>
      </c>
      <c r="CO19" s="27" t="n">
        <f aca="false">SUMIF($C$2:$F$2,EOMONTH(CO$2,-1)+1,$C19:$F19)*VLOOKUP(CO$2,Valores!$H$2:$P$154,8,0)</f>
        <v>16968.6696187232</v>
      </c>
      <c r="CP19" s="27" t="n">
        <f aca="false">SUMIF($C$2:$F$2,EOMONTH(CP$2,-1)+1,$C19:$F19)*VLOOKUP(CP$2,Valores!$H$2:$P$154,8,0)</f>
        <v>16968.6696187232</v>
      </c>
      <c r="CQ19" s="27" t="n">
        <f aca="false">SUMIF($C$2:$F$2,EOMONTH(CQ$2,-1)+1,$C19:$F19)*VLOOKUP(CQ$2,Valores!$H$2:$P$154,8,0)</f>
        <v>16968.6696187232</v>
      </c>
      <c r="CR19" s="27" t="n">
        <f aca="false">SUMIF($C$2:$F$2,EOMONTH(CR$2,-1)+1,$C19:$F19)*VLOOKUP(CR$2,Valores!$H$2:$P$154,8,0)</f>
        <v>33937.3392374464</v>
      </c>
      <c r="CS19" s="27" t="n">
        <f aca="false">SUMIF($C$2:$F$2,EOMONTH(CS$2,-1)+1,$C19:$F19)*VLOOKUP(CS$2,Valores!$H$2:$P$154,8,0)</f>
        <v>50906.0088561696</v>
      </c>
      <c r="CT19" s="27" t="e">
        <f aca="false">SUMIF($C$2:$F$2,EOMONTH(CT$2,-1)+1,$C19:$F19)*VLOOKUP(CT$2,Valores!$H$2:$P$154,8,0)</f>
        <v>#VALUE!</v>
      </c>
      <c r="CU19" s="27" t="e">
        <f aca="false">SUMIF($C$2:$F$2,EOMONTH(CU$2,-1)+1,$C19:$F19)*VLOOKUP(CU$2,Valores!$H$2:$P$154,8,0)</f>
        <v>#VALUE!</v>
      </c>
      <c r="CV19" s="27" t="e">
        <f aca="false">SUMIF($C$2:$F$2,EOMONTH(CV$2,-1)+1,$C19:$F19)*VLOOKUP(CV$2,Valores!$H$2:$P$154,8,0)</f>
        <v>#VALUE!</v>
      </c>
      <c r="CW19" s="27" t="e">
        <f aca="false">SUMIF($C$2:$F$2,EOMONTH(CW$2,-1)+1,$C19:$F19)*VLOOKUP(CW$2,Valores!$H$2:$P$154,8,0)</f>
        <v>#VALUE!</v>
      </c>
      <c r="CX19" s="27" t="e">
        <f aca="false">SUMIF($C$2:$F$2,EOMONTH(CX$2,-1)+1,$C19:$F19)*VLOOKUP(CX$2,Valores!$H$2:$P$154,8,0)</f>
        <v>#VALUE!</v>
      </c>
      <c r="CY19" s="27" t="e">
        <f aca="false">SUMIF($C$2:$F$2,EOMONTH(CY$2,-1)+1,$C19:$F19)*VLOOKUP(CY$2,Valores!$H$2:$P$154,8,0)</f>
        <v>#VALUE!</v>
      </c>
      <c r="CZ19" s="27" t="e">
        <f aca="false">SUMIF($C$2:$F$2,EOMONTH(CZ$2,-1)+1,$C19:$F19)*VLOOKUP(CZ$2,Valores!$H$2:$P$154,8,0)</f>
        <v>#VALUE!</v>
      </c>
      <c r="DA19" s="27" t="e">
        <f aca="false">SUMIF($C$2:$F$2,EOMONTH(DA$2,-1)+1,$C19:$F19)*VLOOKUP(DA$2,Valores!$H$2:$P$154,8,0)</f>
        <v>#VALUE!</v>
      </c>
      <c r="DB19" s="27" t="e">
        <f aca="false">SUMIF($C$2:$F$2,EOMONTH(DB$2,-1)+1,$C19:$F19)*VLOOKUP(DB$2,Valores!$H$2:$P$154,8,0)</f>
        <v>#VALUE!</v>
      </c>
      <c r="DC19" s="27" t="e">
        <f aca="false">SUMIF($C$2:$F$2,EOMONTH(DC$2,-1)+1,$C19:$F19)*VLOOKUP(DC$2,Valores!$H$2:$P$154,8,0)</f>
        <v>#VALUE!</v>
      </c>
      <c r="DD19" s="27" t="e">
        <f aca="false">SUMIF($C$2:$F$2,EOMONTH(DD$2,-1)+1,$C19:$F19)*VLOOKUP(DD$2,Valores!$H$2:$P$154,8,0)</f>
        <v>#VALUE!</v>
      </c>
      <c r="DE19" s="27" t="e">
        <f aca="false">SUMIF($C$2:$F$2,EOMONTH(DE$2,-1)+1,$C19:$F19)*VLOOKUP(DE$2,Valores!$H$2:$P$154,8,0)</f>
        <v>#VALUE!</v>
      </c>
      <c r="DF19" s="27" t="e">
        <f aca="false">SUMIF($C$2:$F$2,EOMONTH(DF$2,-1)+1,$C19:$F19)*VLOOKUP(DF$2,Valores!$H$2:$P$154,8,0)</f>
        <v>#VALUE!</v>
      </c>
      <c r="DG19" s="27" t="e">
        <f aca="false">SUMIF($C$2:$F$2,EOMONTH(DG$2,-1)+1,$C19:$F19)*VLOOKUP(DG$2,Valores!$H$2:$P$154,8,0)</f>
        <v>#VALUE!</v>
      </c>
      <c r="DH19" s="27" t="e">
        <f aca="false">SUMIF($C$2:$F$2,EOMONTH(DH$2,-1)+1,$C19:$F19)*VLOOKUP(DH$2,Valores!$H$2:$P$154,8,0)</f>
        <v>#VALUE!</v>
      </c>
      <c r="DI19" s="27" t="e">
        <f aca="false">SUMIF($C$2:$F$2,EOMONTH(DI$2,-1)+1,$C19:$F19)*VLOOKUP(DI$2,Valores!$H$2:$P$154,8,0)</f>
        <v>#VALUE!</v>
      </c>
      <c r="DJ19" s="27" t="e">
        <f aca="false">SUMIF($C$2:$F$2,EOMONTH(DJ$2,-1)+1,$C19:$F19)*VLOOKUP(DJ$2,Valores!$H$2:$P$154,8,0)</f>
        <v>#VALUE!</v>
      </c>
      <c r="DK19" s="27" t="e">
        <f aca="false">SUMIF($C$2:$F$2,EOMONTH(DK$2,-1)+1,$C19:$F19)*VLOOKUP(DK$2,Valores!$H$2:$P$154,8,0)</f>
        <v>#VALUE!</v>
      </c>
      <c r="DL19" s="27" t="e">
        <f aca="false">SUMIF($C$2:$F$2,EOMONTH(DL$2,-1)+1,$C19:$F19)*VLOOKUP(DL$2,Valores!$H$2:$P$154,8,0)</f>
        <v>#VALUE!</v>
      </c>
      <c r="DM19" s="27" t="e">
        <f aca="false">SUMIF($C$2:$F$2,EOMONTH(DM$2,-1)+1,$C19:$F19)*VLOOKUP(DM$2,Valores!$H$2:$P$154,8,0)</f>
        <v>#VALUE!</v>
      </c>
      <c r="DN19" s="27" t="e">
        <f aca="false">SUMIF($C$2:$F$2,EOMONTH(DN$2,-1)+1,$C19:$F19)*VLOOKUP(DN$2,Valores!$H$2:$P$154,8,0)</f>
        <v>#VALUE!</v>
      </c>
      <c r="DO19" s="27" t="e">
        <f aca="false">SUMIF($C$2:$F$2,EOMONTH(DO$2,-1)+1,$C19:$F19)*VLOOKUP(DO$2,Valores!$H$2:$P$154,8,0)</f>
        <v>#VALUE!</v>
      </c>
      <c r="DP19" s="27" t="e">
        <f aca="false">SUMIF($C$2:$F$2,EOMONTH(DP$2,-1)+1,$C19:$F19)*VLOOKUP(DP$2,Valores!$H$2:$P$154,8,0)</f>
        <v>#VALUE!</v>
      </c>
      <c r="DQ19" s="27" t="e">
        <f aca="false">SUMIF($C$2:$F$2,EOMONTH(DQ$2,-1)+1,$C19:$F19)*VLOOKUP(DQ$2,Valores!$H$2:$P$154,8,0)</f>
        <v>#VALUE!</v>
      </c>
      <c r="DR19" s="27" t="e">
        <f aca="false">SUMIF($C$2:$F$2,EOMONTH(DR$2,-1)+1,$C19:$F19)*VLOOKUP(DR$2,Valores!$H$2:$P$154,8,0)</f>
        <v>#VALUE!</v>
      </c>
      <c r="DS19" s="27" t="e">
        <f aca="false">SUMIF($C$2:$F$2,EOMONTH(DS$2,-1)+1,$C19:$F19)*VLOOKUP(DS$2,Valores!$H$2:$P$154,8,0)</f>
        <v>#VALUE!</v>
      </c>
      <c r="DT19" s="27" t="e">
        <f aca="false">SUMIF($C$2:$F$2,EOMONTH(DT$2,-1)+1,$C19:$F19)*VLOOKUP(DT$2,Valores!$H$2:$P$154,8,0)</f>
        <v>#VALUE!</v>
      </c>
      <c r="DU19" s="27" t="e">
        <f aca="false">SUMIF($C$2:$F$2,EOMONTH(DU$2,-1)+1,$C19:$F19)*VLOOKUP(DU$2,Valores!$H$2:$P$154,8,0)</f>
        <v>#VALUE!</v>
      </c>
      <c r="DV19" s="27" t="e">
        <f aca="false">SUMIF($C$2:$F$2,EOMONTH(DV$2,-1)+1,$C19:$F19)*VLOOKUP(DV$2,Valores!$H$2:$P$154,8,0)</f>
        <v>#VALUE!</v>
      </c>
      <c r="DW19" s="27" t="e">
        <f aca="false">SUMIF($C$2:$F$2,EOMONTH(DW$2,-1)+1,$C19:$F19)*VLOOKUP(DW$2,Valores!$H$2:$P$154,8,0)</f>
        <v>#VALUE!</v>
      </c>
      <c r="DX19" s="27" t="e">
        <f aca="false">SUMIF($C$2:$F$2,EOMONTH(DX$2,-1)+1,$C19:$F19)*VLOOKUP(DX$2,Valores!$H$2:$P$154,8,0)</f>
        <v>#VALUE!</v>
      </c>
    </row>
    <row r="20" customFormat="false" ht="13.8" hidden="false" customHeight="false" outlineLevel="0" collapsed="false">
      <c r="A20" s="29" t="s">
        <v>23</v>
      </c>
      <c r="B20" s="29" t="s">
        <v>41</v>
      </c>
      <c r="C20" s="29" t="n">
        <v>1055419</v>
      </c>
      <c r="D20" s="29" t="n">
        <v>949877.1</v>
      </c>
      <c r="E20" s="29" t="n">
        <v>854889.39</v>
      </c>
      <c r="F20" s="29" t="n">
        <v>769400.451</v>
      </c>
      <c r="G20" s="30" t="n">
        <f aca="false">SUMIF($C$2:$F$2,EOMONTH(G$2,-1)+1,$C20:$F20)*VLOOKUP(G$2,Valores!$H$2:$P$154,8,0)</f>
        <v>30393.0105315123</v>
      </c>
      <c r="H20" s="30" t="n">
        <f aca="false">SUMIF($C$2:$F$2,EOMONTH(H$2,-1)+1,$C20:$F20)*VLOOKUP(H$2,Valores!$H$2:$P$154,8,0)</f>
        <v>20840.9215073227</v>
      </c>
      <c r="I20" s="30" t="n">
        <f aca="false">SUMIF($C$2:$F$2,EOMONTH(I$2,-1)+1,$C20:$F20)*VLOOKUP(I$2,Valores!$H$2:$P$154,8,0)</f>
        <v>20840.9215073227</v>
      </c>
      <c r="J20" s="30" t="n">
        <f aca="false">SUMIF($C$2:$F$2,EOMONTH(J$2,-1)+1,$C20:$F20)*VLOOKUP(J$2,Valores!$H$2:$P$154,8,0)</f>
        <v>20840.9215073227</v>
      </c>
      <c r="K20" s="30" t="n">
        <f aca="false">SUMIF($C$2:$F$2,EOMONTH(K$2,-1)+1,$C20:$F20)*VLOOKUP(K$2,Valores!$H$2:$P$154,8,0)</f>
        <v>20840.9215073227</v>
      </c>
      <c r="L20" s="30" t="n">
        <f aca="false">SUMIF($C$2:$F$2,EOMONTH(L$2,-1)+1,$C20:$F20)*VLOOKUP(L$2,Valores!$H$2:$P$154,8,0)</f>
        <v>41681.8430146454</v>
      </c>
      <c r="M20" s="30" t="n">
        <f aca="false">SUMIF($C$2:$F$2,EOMONTH(M$2,-1)+1,$C20:$F20)*VLOOKUP(M$2,Valores!$H$2:$P$154,8,0)</f>
        <v>52102.3037683067</v>
      </c>
      <c r="N20" s="30" t="n">
        <f aca="false">SUMIF($C$2:$F$2,EOMONTH(N$2,-1)+1,$C20:$F20)*VLOOKUP(N$2,Valores!$H$2:$P$154,8,0)</f>
        <v>31261.382260984</v>
      </c>
      <c r="O20" s="30" t="n">
        <f aca="false">SUMIF($C$2:$F$2,EOMONTH(O$2,-1)+1,$C20:$F20)*VLOOKUP(O$2,Valores!$H$2:$P$154,8,0)</f>
        <v>27787.8953430969</v>
      </c>
      <c r="P20" s="30" t="n">
        <f aca="false">SUMIF($C$2:$F$2,EOMONTH(P$2,-1)+1,$C20:$F20)*VLOOKUP(P$2,Valores!$H$2:$P$154,8,0)</f>
        <v>27787.8953430969</v>
      </c>
      <c r="Q20" s="30" t="n">
        <f aca="false">SUMIF($C$2:$F$2,EOMONTH(Q$2,-1)+1,$C20:$F20)*VLOOKUP(Q$2,Valores!$H$2:$P$154,8,0)</f>
        <v>16672.7372058582</v>
      </c>
      <c r="R20" s="30" t="n">
        <f aca="false">SUMIF($C$2:$F$2,EOMONTH(R$2,-1)+1,$C20:$F20)*VLOOKUP(R$2,Valores!$H$2:$P$154,8,0)</f>
        <v>27787.8953430969</v>
      </c>
      <c r="S20" s="30" t="n">
        <f aca="false">SUMIF($C$2:$F$2,EOMONTH(S$2,-1)+1,$C20:$F20)*VLOOKUP(S$2,Valores!$H$2:$P$154,8,0)</f>
        <v>55575.7906861938</v>
      </c>
      <c r="T20" s="30" t="n">
        <f aca="false">SUMIF($C$2:$F$2,EOMONTH(T$2,-1)+1,$C20:$F20)*VLOOKUP(T$2,Valores!$H$2:$P$154,8,0)</f>
        <v>69469.7383577423</v>
      </c>
      <c r="U20" s="30" t="n">
        <f aca="false">SUMIF($C$2:$F$2,EOMONTH(U$2,-1)+1,$C20:$F20)*VLOOKUP(U$2,Valores!$H$2:$P$154,8,0)</f>
        <v>41681.8430146454</v>
      </c>
      <c r="V20" s="30" t="n">
        <f aca="false">SUMIF($C$2:$F$2,EOMONTH(V$2,-1)+1,$C20:$F20)*VLOOKUP(V$2,Valores!$H$2:$P$154,8,0)</f>
        <v>34734.8691788711</v>
      </c>
      <c r="W20" s="30" t="n">
        <f aca="false">SUMIF($C$2:$F$2,EOMONTH(W$2,-1)+1,$C20:$F20)*VLOOKUP(W$2,Valores!$H$2:$P$154,8,0)</f>
        <v>34734.8691788711</v>
      </c>
      <c r="X20" s="30" t="n">
        <f aca="false">SUMIF($C$2:$F$2,EOMONTH(X$2,-1)+1,$C20:$F20)*VLOOKUP(X$2,Valores!$H$2:$P$154,8,0)</f>
        <v>0</v>
      </c>
      <c r="Y20" s="30" t="n">
        <f aca="false">SUMIF($C$2:$F$2,EOMONTH(Y$2,-1)+1,$C20:$F20)*VLOOKUP(Y$2,Valores!$H$2:$P$154,8,0)</f>
        <v>0</v>
      </c>
      <c r="Z20" s="30" t="n">
        <f aca="false">SUMIF($C$2:$F$2,EOMONTH(Z$2,-1)+1,$C20:$F20)*VLOOKUP(Z$2,Valores!$H$2:$P$154,8,0)</f>
        <v>52102.3037683067</v>
      </c>
      <c r="AA20" s="30" t="n">
        <f aca="false">SUMIF($C$2:$F$2,EOMONTH(AA$2,-1)+1,$C20:$F20)*VLOOKUP(AA$2,Valores!$H$2:$P$154,8,0)</f>
        <v>62522.7645219681</v>
      </c>
      <c r="AB20" s="30" t="n">
        <f aca="false">SUMIF($C$2:$F$2,EOMONTH(AB$2,-1)+1,$C20:$F20)*VLOOKUP(AB$2,Valores!$H$2:$P$154,8,0)</f>
        <v>31261.382260984</v>
      </c>
      <c r="AC20" s="30" t="n">
        <f aca="false">SUMIF($C$2:$F$2,EOMONTH(AC$2,-1)+1,$C20:$F20)*VLOOKUP(AC$2,Valores!$H$2:$P$154,8,0)</f>
        <v>38208.3560967583</v>
      </c>
      <c r="AD20" s="30" t="n">
        <f aca="false">SUMIF($C$2:$F$2,EOMONTH(AD$2,-1)+1,$C20:$F20)*VLOOKUP(AD$2,Valores!$H$2:$P$154,8,0)</f>
        <v>38208.3560967583</v>
      </c>
      <c r="AE20" s="30" t="n">
        <f aca="false">SUMIF($C$2:$F$2,EOMONTH(AE$2,-1)+1,$C20:$F20)*VLOOKUP(AE$2,Valores!$H$2:$P$154,8,0)</f>
        <v>38208.3560967583</v>
      </c>
      <c r="AF20" s="30" t="n">
        <f aca="false">SUMIF($C$2:$F$2,EOMONTH(AF$2,-1)+1,$C20:$F20)*VLOOKUP(AF$2,Valores!$H$2:$P$154,8,0)</f>
        <v>38208.3560967583</v>
      </c>
      <c r="AG20" s="30" t="n">
        <f aca="false">SUMIF($C$2:$F$2,EOMONTH(AG$2,-1)+1,$C20:$F20)*VLOOKUP(AG$2,Valores!$H$2:$P$154,8,0)</f>
        <v>61133.3697548132</v>
      </c>
      <c r="AH20" s="30" t="n">
        <f aca="false">SUMIF($C$2:$F$2,EOMONTH(AH$2,-1)+1,$C20:$F20)*VLOOKUP(AH$2,Valores!$H$2:$P$154,8,0)</f>
        <v>76416.7121935165</v>
      </c>
      <c r="AI20" s="30" t="n">
        <f aca="false">SUMIF($C$2:$F$2,EOMONTH(AI$2,-1)+1,$C20:$F20)*VLOOKUP(AI$2,Valores!$H$2:$P$154,8,0)</f>
        <v>26745.8492677308</v>
      </c>
      <c r="AJ20" s="30" t="n">
        <f aca="false">SUMIF($C$2:$F$2,EOMONTH(AJ$2,-1)+1,$C20:$F20)*VLOOKUP(AJ$2,Valores!$H$2:$P$154,8,0)</f>
        <v>17367.4345894356</v>
      </c>
      <c r="AK20" s="30" t="n">
        <f aca="false">SUMIF($C$2:$F$2,EOMONTH(AK$2,-1)+1,$C20:$F20)*VLOOKUP(AK$2,Valores!$H$2:$P$154,8,0)</f>
        <v>31670.8647502917</v>
      </c>
      <c r="AL20" s="30" t="n">
        <f aca="false">SUMIF($C$2:$F$2,EOMONTH(AL$2,-1)+1,$C20:$F20)*VLOOKUP(AL$2,Valores!$H$2:$P$154,8,0)</f>
        <v>31670.8647502917</v>
      </c>
      <c r="AM20" s="30" t="n">
        <f aca="false">SUMIF($C$2:$F$2,EOMONTH(AM$2,-1)+1,$C20:$F20)*VLOOKUP(AM$2,Valores!$H$2:$P$154,8,0)</f>
        <v>31670.8647502917</v>
      </c>
      <c r="AN20" s="30" t="n">
        <f aca="false">SUMIF($C$2:$F$2,EOMONTH(AN$2,-1)+1,$C20:$F20)*VLOOKUP(AN$2,Valores!$H$2:$P$154,8,0)</f>
        <v>63341.7295005835</v>
      </c>
      <c r="AO20" s="30" t="n">
        <f aca="false">SUMIF($C$2:$F$2,EOMONTH(AO$2,-1)+1,$C20:$F20)*VLOOKUP(AO$2,Valores!$H$2:$P$154,8,0)</f>
        <v>79177.1618757293</v>
      </c>
      <c r="AP20" s="30" t="n">
        <f aca="false">SUMIF($C$2:$F$2,EOMONTH(AP$2,-1)+1,$C20:$F20)*VLOOKUP(AP$2,Valores!$H$2:$P$154,8,0)</f>
        <v>47506.2971254376</v>
      </c>
      <c r="AQ20" s="30" t="n">
        <f aca="false">SUMIF($C$2:$F$2,EOMONTH(AQ$2,-1)+1,$C20:$F20)*VLOOKUP(AQ$2,Valores!$H$2:$P$154,8,0)</f>
        <v>16966.5346876563</v>
      </c>
      <c r="AR20" s="30" t="n">
        <f aca="false">SUMIF($C$2:$F$2,EOMONTH(AR$2,-1)+1,$C20:$F20)*VLOOKUP(AR$2,Valores!$H$2:$P$154,8,0)</f>
        <v>16966.5346876563</v>
      </c>
      <c r="AS20" s="30" t="n">
        <f aca="false">SUMIF($C$2:$F$2,EOMONTH(AS$2,-1)+1,$C20:$F20)*VLOOKUP(AS$2,Valores!$H$2:$P$154,8,0)</f>
        <v>16966.5346876563</v>
      </c>
      <c r="AT20" s="30" t="n">
        <f aca="false">SUMIF($C$2:$F$2,EOMONTH(AT$2,-1)+1,$C20:$F20)*VLOOKUP(AT$2,Valores!$H$2:$P$154,8,0)</f>
        <v>16966.5346876563</v>
      </c>
      <c r="AU20" s="30" t="n">
        <f aca="false">SUMIF($C$2:$F$2,EOMONTH(AU$2,-1)+1,$C20:$F20)*VLOOKUP(AU$2,Valores!$H$2:$P$154,8,0)</f>
        <v>33933.0693753126</v>
      </c>
      <c r="AV20" s="30" t="n">
        <f aca="false">SUMIF($C$2:$F$2,EOMONTH(AV$2,-1)+1,$C20:$F20)*VLOOKUP(AV$2,Valores!$H$2:$P$154,8,0)</f>
        <v>42416.3367191407</v>
      </c>
      <c r="AW20" s="30" t="n">
        <f aca="false">SUMIF($C$2:$F$2,EOMONTH(AW$2,-1)+1,$C20:$F20)*VLOOKUP(AW$2,Valores!$H$2:$P$154,8,0)</f>
        <v>25449.8020314844</v>
      </c>
      <c r="AX20" s="30" t="n">
        <f aca="false">SUMIF($C$2:$F$2,EOMONTH(AX$2,-1)+1,$C20:$F20)*VLOOKUP(AX$2,Valores!$H$2:$P$154,8,0)</f>
        <v>16966.5346876563</v>
      </c>
      <c r="AY20" s="30" t="n">
        <f aca="false">SUMIF($C$2:$F$2,EOMONTH(AY$2,-1)+1,$C20:$F20)*VLOOKUP(AY$2,Valores!$H$2:$P$154,8,0)</f>
        <v>22056.4950939532</v>
      </c>
      <c r="AZ20" s="30" t="n">
        <f aca="false">SUMIF($C$2:$F$2,EOMONTH(AZ$2,-1)+1,$C20:$F20)*VLOOKUP(AZ$2,Valores!$H$2:$P$154,8,0)</f>
        <v>22056.4950939532</v>
      </c>
      <c r="BA20" s="30" t="n">
        <f aca="false">SUMIF($C$2:$F$2,EOMONTH(BA$2,-1)+1,$C20:$F20)*VLOOKUP(BA$2,Valores!$H$2:$P$154,8,0)</f>
        <v>22056.4950939532</v>
      </c>
      <c r="BB20" s="30" t="n">
        <f aca="false">SUMIF($C$2:$F$2,EOMONTH(BB$2,-1)+1,$C20:$F20)*VLOOKUP(BB$2,Valores!$H$2:$P$154,8,0)</f>
        <v>39023.0297816095</v>
      </c>
      <c r="BC20" s="30" t="n">
        <f aca="false">SUMIF($C$2:$F$2,EOMONTH(BC$2,-1)+1,$C20:$F20)*VLOOKUP(BC$2,Valores!$H$2:$P$154,8,0)</f>
        <v>47506.2971254376</v>
      </c>
      <c r="BD20" s="30" t="n">
        <f aca="false">SUMIF($C$2:$F$2,EOMONTH(BD$2,-1)+1,$C20:$F20)*VLOOKUP(BD$2,Valores!$H$2:$P$154,8,0)</f>
        <v>25449.8020314844</v>
      </c>
      <c r="BE20" s="30" t="n">
        <f aca="false">SUMIF($C$2:$F$2,EOMONTH(BE$2,-1)+1,$C20:$F20)*VLOOKUP(BE$2,Valores!$H$2:$P$154,8,0)</f>
        <v>22622.0462502084</v>
      </c>
      <c r="BF20" s="30" t="n">
        <f aca="false">SUMIF($C$2:$F$2,EOMONTH(BF$2,-1)+1,$C20:$F20)*VLOOKUP(BF$2,Valores!$H$2:$P$154,8,0)</f>
        <v>22622.0462502084</v>
      </c>
      <c r="BG20" s="30" t="n">
        <f aca="false">SUMIF($C$2:$F$2,EOMONTH(BG$2,-1)+1,$C20:$F20)*VLOOKUP(BG$2,Valores!$H$2:$P$154,8,0)</f>
        <v>22622.0462502084</v>
      </c>
      <c r="BH20" s="30" t="n">
        <f aca="false">SUMIF($C$2:$F$2,EOMONTH(BH$2,-1)+1,$C20:$F20)*VLOOKUP(BH$2,Valores!$H$2:$P$154,8,0)</f>
        <v>22622.0462502084</v>
      </c>
      <c r="BI20" s="30" t="n">
        <f aca="false">SUMIF($C$2:$F$2,EOMONTH(BI$2,-1)+1,$C20:$F20)*VLOOKUP(BI$2,Valores!$H$2:$P$154,8,0)</f>
        <v>45244.0925004168</v>
      </c>
      <c r="BJ20" s="30" t="n">
        <f aca="false">SUMIF($C$2:$F$2,EOMONTH(BJ$2,-1)+1,$C20:$F20)*VLOOKUP(BJ$2,Valores!$H$2:$P$154,8,0)</f>
        <v>56555.115625521</v>
      </c>
      <c r="BK20" s="30" t="n">
        <f aca="false">SUMIF($C$2:$F$2,EOMONTH(BK$2,-1)+1,$C20:$F20)*VLOOKUP(BK$2,Valores!$H$2:$P$154,8,0)</f>
        <v>27146.4555002501</v>
      </c>
      <c r="BL20" s="30" t="n">
        <f aca="false">SUMIF($C$2:$F$2,EOMONTH(BL$2,-1)+1,$C20:$F20)*VLOOKUP(BL$2,Valores!$H$2:$P$154,8,0)</f>
        <v>19907.4007001834</v>
      </c>
      <c r="BM20" s="30" t="n">
        <f aca="false">SUMIF($C$2:$F$2,EOMONTH(BM$2,-1)+1,$C20:$F20)*VLOOKUP(BM$2,Valores!$H$2:$P$154,8,0)</f>
        <v>19907.4007001834</v>
      </c>
      <c r="BN20" s="30" t="n">
        <f aca="false">SUMIF($C$2:$F$2,EOMONTH(BN$2,-1)+1,$C20:$F20)*VLOOKUP(BN$2,Valores!$H$2:$P$154,8,0)</f>
        <v>19907.4007001834</v>
      </c>
      <c r="BO20" s="30" t="n">
        <f aca="false">SUMIF($C$2:$F$2,EOMONTH(BO$2,-1)+1,$C20:$F20)*VLOOKUP(BO$2,Valores!$H$2:$P$154,8,0)</f>
        <v>20902.7707351925</v>
      </c>
      <c r="BP20" s="30" t="n">
        <f aca="false">SUMIF($C$2:$F$2,EOMONTH(BP$2,-1)+1,$C20:$F20)*VLOOKUP(BP$2,Valores!$H$2:$P$154,8,0)</f>
        <v>52602.7973189759</v>
      </c>
      <c r="BQ20" s="30" t="n">
        <f aca="false">SUMIF($C$2:$F$2,EOMONTH(BQ$2,-1)+1,$C20:$F20)*VLOOKUP(BQ$2,Valores!$H$2:$P$154,8,0)</f>
        <v>65753.4966487199</v>
      </c>
      <c r="BR20" s="30" t="n">
        <f aca="false">SUMIF($C$2:$F$2,EOMONTH(BR$2,-1)+1,$C20:$F20)*VLOOKUP(BR$2,Valores!$H$2:$P$154,8,0)</f>
        <v>31561.6783913855</v>
      </c>
      <c r="BS20" s="30" t="n">
        <f aca="false">SUMIF($C$2:$F$2,EOMONTH(BS$2,-1)+1,$C20:$F20)*VLOOKUP(BS$2,Valores!$H$2:$P$154,8,0)</f>
        <v>14090.0349961543</v>
      </c>
      <c r="BT20" s="30" t="n">
        <f aca="false">SUMIF($C$2:$F$2,EOMONTH(BT$2,-1)+1,$C20:$F20)*VLOOKUP(BT$2,Valores!$H$2:$P$154,8,0)</f>
        <v>14090.0349961543</v>
      </c>
      <c r="BU20" s="30" t="n">
        <f aca="false">SUMIF($C$2:$F$2,EOMONTH(BU$2,-1)+1,$C20:$F20)*VLOOKUP(BU$2,Valores!$H$2:$P$154,8,0)</f>
        <v>14090.0349961543</v>
      </c>
      <c r="BV20" s="30" t="n">
        <f aca="false">SUMIF($C$2:$F$2,EOMONTH(BV$2,-1)+1,$C20:$F20)*VLOOKUP(BV$2,Valores!$H$2:$P$154,8,0)</f>
        <v>14090.0349961543</v>
      </c>
      <c r="BW20" s="30" t="n">
        <f aca="false">SUMIF($C$2:$F$2,EOMONTH(BW$2,-1)+1,$C20:$F20)*VLOOKUP(BW$2,Valores!$H$2:$P$154,8,0)</f>
        <v>28180.0699923085</v>
      </c>
      <c r="BX20" s="30" t="n">
        <f aca="false">SUMIF($C$2:$F$2,EOMONTH(BX$2,-1)+1,$C20:$F20)*VLOOKUP(BX$2,Valores!$H$2:$P$154,8,0)</f>
        <v>35225.0874903857</v>
      </c>
      <c r="BY20" s="30" t="n">
        <f aca="false">SUMIF($C$2:$F$2,EOMONTH(BY$2,-1)+1,$C20:$F20)*VLOOKUP(BY$2,Valores!$H$2:$P$154,8,0)</f>
        <v>21135.0524942314</v>
      </c>
      <c r="BZ20" s="30" t="n">
        <f aca="false">SUMIF($C$2:$F$2,EOMONTH(BZ$2,-1)+1,$C20:$F20)*VLOOKUP(BZ$2,Valores!$H$2:$P$154,8,0)</f>
        <v>14090.0349961543</v>
      </c>
      <c r="CA20" s="30" t="n">
        <f aca="false">SUMIF($C$2:$F$2,EOMONTH(CA$2,-1)+1,$C20:$F20)*VLOOKUP(CA$2,Valores!$H$2:$P$154,8,0)</f>
        <v>14090.0349961543</v>
      </c>
      <c r="CB20" s="30" t="n">
        <f aca="false">SUMIF($C$2:$F$2,EOMONTH(CB$2,-1)+1,$C20:$F20)*VLOOKUP(CB$2,Valores!$H$2:$P$154,8,0)</f>
        <v>14090.0349961543</v>
      </c>
      <c r="CC20" s="30" t="n">
        <f aca="false">SUMIF($C$2:$F$2,EOMONTH(CC$2,-1)+1,$C20:$F20)*VLOOKUP(CC$2,Valores!$H$2:$P$154,8,0)</f>
        <v>14090.0349961543</v>
      </c>
      <c r="CD20" s="30" t="n">
        <f aca="false">SUMIF($C$2:$F$2,EOMONTH(CD$2,-1)+1,$C20:$F20)*VLOOKUP(CD$2,Valores!$H$2:$P$154,8,0)</f>
        <v>42270.1049884628</v>
      </c>
      <c r="CE20" s="30" t="n">
        <f aca="false">SUMIF($C$2:$F$2,EOMONTH(CE$2,-1)+1,$C20:$F20)*VLOOKUP(CE$2,Valores!$H$2:$P$154,8,0)</f>
        <v>56360.1399846171</v>
      </c>
      <c r="CF20" s="30" t="n">
        <f aca="false">SUMIF($C$2:$F$2,EOMONTH(CF$2,-1)+1,$C20:$F20)*VLOOKUP(CF$2,Valores!$H$2:$P$154,8,0)</f>
        <v>35225.0874903857</v>
      </c>
      <c r="CG20" s="30" t="n">
        <f aca="false">SUMIF($C$2:$F$2,EOMONTH(CG$2,-1)+1,$C20:$F20)*VLOOKUP(CG$2,Valores!$H$2:$P$154,8,0)</f>
        <v>18786.7133282057</v>
      </c>
      <c r="CH20" s="30" t="n">
        <f aca="false">SUMIF($C$2:$F$2,EOMONTH(CH$2,-1)+1,$C20:$F20)*VLOOKUP(CH$2,Valores!$H$2:$P$154,8,0)</f>
        <v>18786.7133282057</v>
      </c>
      <c r="CI20" s="30" t="n">
        <f aca="false">SUMIF($C$2:$F$2,EOMONTH(CI$2,-1)+1,$C20:$F20)*VLOOKUP(CI$2,Valores!$H$2:$P$154,8,0)</f>
        <v>18786.7133282057</v>
      </c>
      <c r="CJ20" s="30" t="n">
        <f aca="false">SUMIF($C$2:$F$2,EOMONTH(CJ$2,-1)+1,$C20:$F20)*VLOOKUP(CJ$2,Valores!$H$2:$P$154,8,0)</f>
        <v>18786.7133282057</v>
      </c>
      <c r="CK20" s="30" t="n">
        <f aca="false">SUMIF($C$2:$F$2,EOMONTH(CK$2,-1)+1,$C20:$F20)*VLOOKUP(CK$2,Valores!$H$2:$P$154,8,0)</f>
        <v>37573.4266564114</v>
      </c>
      <c r="CL20" s="30" t="n">
        <f aca="false">SUMIF($C$2:$F$2,EOMONTH(CL$2,-1)+1,$C20:$F20)*VLOOKUP(CL$2,Valores!$H$2:$P$154,8,0)</f>
        <v>46966.7833205142</v>
      </c>
      <c r="CM20" s="30" t="n">
        <f aca="false">SUMIF($C$2:$F$2,EOMONTH(CM$2,-1)+1,$C20:$F20)*VLOOKUP(CM$2,Valores!$H$2:$P$154,8,0)</f>
        <v>28180.0699923085</v>
      </c>
      <c r="CN20" s="30" t="n">
        <f aca="false">SUMIF($C$2:$F$2,EOMONTH(CN$2,-1)+1,$C20:$F20)*VLOOKUP(CN$2,Valores!$H$2:$P$154,8,0)</f>
        <v>20665.3846610263</v>
      </c>
      <c r="CO20" s="30" t="n">
        <f aca="false">SUMIF($C$2:$F$2,EOMONTH(CO$2,-1)+1,$C20:$F20)*VLOOKUP(CO$2,Valores!$H$2:$P$154,8,0)</f>
        <v>20665.3846610263</v>
      </c>
      <c r="CP20" s="30" t="n">
        <f aca="false">SUMIF($C$2:$F$2,EOMONTH(CP$2,-1)+1,$C20:$F20)*VLOOKUP(CP$2,Valores!$H$2:$P$154,8,0)</f>
        <v>20665.3846610263</v>
      </c>
      <c r="CQ20" s="30" t="n">
        <f aca="false">SUMIF($C$2:$F$2,EOMONTH(CQ$2,-1)+1,$C20:$F20)*VLOOKUP(CQ$2,Valores!$H$2:$P$154,8,0)</f>
        <v>20665.3846610263</v>
      </c>
      <c r="CR20" s="30" t="n">
        <f aca="false">SUMIF($C$2:$F$2,EOMONTH(CR$2,-1)+1,$C20:$F20)*VLOOKUP(CR$2,Valores!$H$2:$P$154,8,0)</f>
        <v>41330.7693220525</v>
      </c>
      <c r="CS20" s="30" t="n">
        <f aca="false">SUMIF($C$2:$F$2,EOMONTH(CS$2,-1)+1,$C20:$F20)*VLOOKUP(CS$2,Valores!$H$2:$P$154,8,0)</f>
        <v>61996.1539830788</v>
      </c>
      <c r="CT20" s="30" t="e">
        <f aca="false">SUMIF($C$2:$F$2,EOMONTH(CT$2,-1)+1,$C20:$F20)*VLOOKUP(CT$2,Valores!$H$2:$P$154,8,0)</f>
        <v>#VALUE!</v>
      </c>
      <c r="CU20" s="30" t="e">
        <f aca="false">SUMIF($C$2:$F$2,EOMONTH(CU$2,-1)+1,$C20:$F20)*VLOOKUP(CU$2,Valores!$H$2:$P$154,8,0)</f>
        <v>#VALUE!</v>
      </c>
      <c r="CV20" s="30" t="e">
        <f aca="false">SUMIF($C$2:$F$2,EOMONTH(CV$2,-1)+1,$C20:$F20)*VLOOKUP(CV$2,Valores!$H$2:$P$154,8,0)</f>
        <v>#VALUE!</v>
      </c>
      <c r="CW20" s="30" t="e">
        <f aca="false">SUMIF($C$2:$F$2,EOMONTH(CW$2,-1)+1,$C20:$F20)*VLOOKUP(CW$2,Valores!$H$2:$P$154,8,0)</f>
        <v>#VALUE!</v>
      </c>
      <c r="CX20" s="30" t="e">
        <f aca="false">SUMIF($C$2:$F$2,EOMONTH(CX$2,-1)+1,$C20:$F20)*VLOOKUP(CX$2,Valores!$H$2:$P$154,8,0)</f>
        <v>#VALUE!</v>
      </c>
      <c r="CY20" s="30" t="e">
        <f aca="false">SUMIF($C$2:$F$2,EOMONTH(CY$2,-1)+1,$C20:$F20)*VLOOKUP(CY$2,Valores!$H$2:$P$154,8,0)</f>
        <v>#VALUE!</v>
      </c>
      <c r="CZ20" s="30" t="e">
        <f aca="false">SUMIF($C$2:$F$2,EOMONTH(CZ$2,-1)+1,$C20:$F20)*VLOOKUP(CZ$2,Valores!$H$2:$P$154,8,0)</f>
        <v>#VALUE!</v>
      </c>
      <c r="DA20" s="30" t="e">
        <f aca="false">SUMIF($C$2:$F$2,EOMONTH(DA$2,-1)+1,$C20:$F20)*VLOOKUP(DA$2,Valores!$H$2:$P$154,8,0)</f>
        <v>#VALUE!</v>
      </c>
      <c r="DB20" s="30" t="e">
        <f aca="false">SUMIF($C$2:$F$2,EOMONTH(DB$2,-1)+1,$C20:$F20)*VLOOKUP(DB$2,Valores!$H$2:$P$154,8,0)</f>
        <v>#VALUE!</v>
      </c>
      <c r="DC20" s="30" t="e">
        <f aca="false">SUMIF($C$2:$F$2,EOMONTH(DC$2,-1)+1,$C20:$F20)*VLOOKUP(DC$2,Valores!$H$2:$P$154,8,0)</f>
        <v>#VALUE!</v>
      </c>
      <c r="DD20" s="30" t="e">
        <f aca="false">SUMIF($C$2:$F$2,EOMONTH(DD$2,-1)+1,$C20:$F20)*VLOOKUP(DD$2,Valores!$H$2:$P$154,8,0)</f>
        <v>#VALUE!</v>
      </c>
      <c r="DE20" s="30" t="e">
        <f aca="false">SUMIF($C$2:$F$2,EOMONTH(DE$2,-1)+1,$C20:$F20)*VLOOKUP(DE$2,Valores!$H$2:$P$154,8,0)</f>
        <v>#VALUE!</v>
      </c>
      <c r="DF20" s="30" t="e">
        <f aca="false">SUMIF($C$2:$F$2,EOMONTH(DF$2,-1)+1,$C20:$F20)*VLOOKUP(DF$2,Valores!$H$2:$P$154,8,0)</f>
        <v>#VALUE!</v>
      </c>
      <c r="DG20" s="30" t="e">
        <f aca="false">SUMIF($C$2:$F$2,EOMONTH(DG$2,-1)+1,$C20:$F20)*VLOOKUP(DG$2,Valores!$H$2:$P$154,8,0)</f>
        <v>#VALUE!</v>
      </c>
      <c r="DH20" s="30" t="e">
        <f aca="false">SUMIF($C$2:$F$2,EOMONTH(DH$2,-1)+1,$C20:$F20)*VLOOKUP(DH$2,Valores!$H$2:$P$154,8,0)</f>
        <v>#VALUE!</v>
      </c>
      <c r="DI20" s="30" t="e">
        <f aca="false">SUMIF($C$2:$F$2,EOMONTH(DI$2,-1)+1,$C20:$F20)*VLOOKUP(DI$2,Valores!$H$2:$P$154,8,0)</f>
        <v>#VALUE!</v>
      </c>
      <c r="DJ20" s="30" t="e">
        <f aca="false">SUMIF($C$2:$F$2,EOMONTH(DJ$2,-1)+1,$C20:$F20)*VLOOKUP(DJ$2,Valores!$H$2:$P$154,8,0)</f>
        <v>#VALUE!</v>
      </c>
      <c r="DK20" s="30" t="e">
        <f aca="false">SUMIF($C$2:$F$2,EOMONTH(DK$2,-1)+1,$C20:$F20)*VLOOKUP(DK$2,Valores!$H$2:$P$154,8,0)</f>
        <v>#VALUE!</v>
      </c>
      <c r="DL20" s="30" t="e">
        <f aca="false">SUMIF($C$2:$F$2,EOMONTH(DL$2,-1)+1,$C20:$F20)*VLOOKUP(DL$2,Valores!$H$2:$P$154,8,0)</f>
        <v>#VALUE!</v>
      </c>
      <c r="DM20" s="30" t="e">
        <f aca="false">SUMIF($C$2:$F$2,EOMONTH(DM$2,-1)+1,$C20:$F20)*VLOOKUP(DM$2,Valores!$H$2:$P$154,8,0)</f>
        <v>#VALUE!</v>
      </c>
      <c r="DN20" s="30" t="e">
        <f aca="false">SUMIF($C$2:$F$2,EOMONTH(DN$2,-1)+1,$C20:$F20)*VLOOKUP(DN$2,Valores!$H$2:$P$154,8,0)</f>
        <v>#VALUE!</v>
      </c>
      <c r="DO20" s="30" t="e">
        <f aca="false">SUMIF($C$2:$F$2,EOMONTH(DO$2,-1)+1,$C20:$F20)*VLOOKUP(DO$2,Valores!$H$2:$P$154,8,0)</f>
        <v>#VALUE!</v>
      </c>
      <c r="DP20" s="30" t="e">
        <f aca="false">SUMIF($C$2:$F$2,EOMONTH(DP$2,-1)+1,$C20:$F20)*VLOOKUP(DP$2,Valores!$H$2:$P$154,8,0)</f>
        <v>#VALUE!</v>
      </c>
      <c r="DQ20" s="30" t="e">
        <f aca="false">SUMIF($C$2:$F$2,EOMONTH(DQ$2,-1)+1,$C20:$F20)*VLOOKUP(DQ$2,Valores!$H$2:$P$154,8,0)</f>
        <v>#VALUE!</v>
      </c>
      <c r="DR20" s="30" t="e">
        <f aca="false">SUMIF($C$2:$F$2,EOMONTH(DR$2,-1)+1,$C20:$F20)*VLOOKUP(DR$2,Valores!$H$2:$P$154,8,0)</f>
        <v>#VALUE!</v>
      </c>
      <c r="DS20" s="30" t="e">
        <f aca="false">SUMIF($C$2:$F$2,EOMONTH(DS$2,-1)+1,$C20:$F20)*VLOOKUP(DS$2,Valores!$H$2:$P$154,8,0)</f>
        <v>#VALUE!</v>
      </c>
      <c r="DT20" s="30" t="e">
        <f aca="false">SUMIF($C$2:$F$2,EOMONTH(DT$2,-1)+1,$C20:$F20)*VLOOKUP(DT$2,Valores!$H$2:$P$154,8,0)</f>
        <v>#VALUE!</v>
      </c>
      <c r="DU20" s="30" t="e">
        <f aca="false">SUMIF($C$2:$F$2,EOMONTH(DU$2,-1)+1,$C20:$F20)*VLOOKUP(DU$2,Valores!$H$2:$P$154,8,0)</f>
        <v>#VALUE!</v>
      </c>
      <c r="DV20" s="30" t="e">
        <f aca="false">SUMIF($C$2:$F$2,EOMONTH(DV$2,-1)+1,$C20:$F20)*VLOOKUP(DV$2,Valores!$H$2:$P$154,8,0)</f>
        <v>#VALUE!</v>
      </c>
      <c r="DW20" s="30" t="e">
        <f aca="false">SUMIF($C$2:$F$2,EOMONTH(DW$2,-1)+1,$C20:$F20)*VLOOKUP(DW$2,Valores!$H$2:$P$154,8,0)</f>
        <v>#VALUE!</v>
      </c>
      <c r="DX20" s="30" t="e">
        <f aca="false">SUMIF($C$2:$F$2,EOMONTH(DX$2,-1)+1,$C20:$F20)*VLOOKUP(DX$2,Valores!$H$2:$P$154,8,0)</f>
        <v>#VALUE!</v>
      </c>
    </row>
    <row r="21" customFormat="false" ht="13.8" hidden="false" customHeight="false" outlineLevel="0" collapsed="false">
      <c r="A21" s="31" t="s">
        <v>23</v>
      </c>
      <c r="B21" s="31" t="s">
        <v>42</v>
      </c>
      <c r="C21" s="31" t="n">
        <v>978156</v>
      </c>
      <c r="D21" s="31" t="n">
        <v>880340.4</v>
      </c>
      <c r="E21" s="31" t="n">
        <v>792306.36</v>
      </c>
      <c r="F21" s="31" t="n">
        <v>713075.724</v>
      </c>
      <c r="G21" s="27" t="n">
        <f aca="false">SUMIF($C$2:$F$2,EOMONTH(G$2,-1)+1,$C21:$F21)*VLOOKUP(G$2,Valores!$H$2:$P$154,8,0)</f>
        <v>28168.059897976</v>
      </c>
      <c r="H21" s="27" t="n">
        <f aca="false">SUMIF($C$2:$F$2,EOMONTH(H$2,-1)+1,$C21:$F21)*VLOOKUP(H$2,Valores!$H$2:$P$154,8,0)</f>
        <v>19315.2410728978</v>
      </c>
      <c r="I21" s="27" t="n">
        <f aca="false">SUMIF($C$2:$F$2,EOMONTH(I$2,-1)+1,$C21:$F21)*VLOOKUP(I$2,Valores!$H$2:$P$154,8,0)</f>
        <v>19315.2410728978</v>
      </c>
      <c r="J21" s="27" t="n">
        <f aca="false">SUMIF($C$2:$F$2,EOMONTH(J$2,-1)+1,$C21:$F21)*VLOOKUP(J$2,Valores!$H$2:$P$154,8,0)</f>
        <v>19315.2410728978</v>
      </c>
      <c r="K21" s="27" t="n">
        <f aca="false">SUMIF($C$2:$F$2,EOMONTH(K$2,-1)+1,$C21:$F21)*VLOOKUP(K$2,Valores!$H$2:$P$154,8,0)</f>
        <v>19315.2410728978</v>
      </c>
      <c r="L21" s="27" t="n">
        <f aca="false">SUMIF($C$2:$F$2,EOMONTH(L$2,-1)+1,$C21:$F21)*VLOOKUP(L$2,Valores!$H$2:$P$154,8,0)</f>
        <v>38630.4821457956</v>
      </c>
      <c r="M21" s="27" t="n">
        <f aca="false">SUMIF($C$2:$F$2,EOMONTH(M$2,-1)+1,$C21:$F21)*VLOOKUP(M$2,Valores!$H$2:$P$154,8,0)</f>
        <v>48288.1026822445</v>
      </c>
      <c r="N21" s="27" t="n">
        <f aca="false">SUMIF($C$2:$F$2,EOMONTH(N$2,-1)+1,$C21:$F21)*VLOOKUP(N$2,Valores!$H$2:$P$154,8,0)</f>
        <v>28972.8616093467</v>
      </c>
      <c r="O21" s="27" t="n">
        <f aca="false">SUMIF($C$2:$F$2,EOMONTH(O$2,-1)+1,$C21:$F21)*VLOOKUP(O$2,Valores!$H$2:$P$154,8,0)</f>
        <v>25753.6547638637</v>
      </c>
      <c r="P21" s="27" t="n">
        <f aca="false">SUMIF($C$2:$F$2,EOMONTH(P$2,-1)+1,$C21:$F21)*VLOOKUP(P$2,Valores!$H$2:$P$154,8,0)</f>
        <v>25753.6547638637</v>
      </c>
      <c r="Q21" s="27" t="n">
        <f aca="false">SUMIF($C$2:$F$2,EOMONTH(Q$2,-1)+1,$C21:$F21)*VLOOKUP(Q$2,Valores!$H$2:$P$154,8,0)</f>
        <v>15452.1928583182</v>
      </c>
      <c r="R21" s="27" t="n">
        <f aca="false">SUMIF($C$2:$F$2,EOMONTH(R$2,-1)+1,$C21:$F21)*VLOOKUP(R$2,Valores!$H$2:$P$154,8,0)</f>
        <v>25753.6547638637</v>
      </c>
      <c r="S21" s="27" t="n">
        <f aca="false">SUMIF($C$2:$F$2,EOMONTH(S$2,-1)+1,$C21:$F21)*VLOOKUP(S$2,Valores!$H$2:$P$154,8,0)</f>
        <v>51507.3095277275</v>
      </c>
      <c r="T21" s="27" t="n">
        <f aca="false">SUMIF($C$2:$F$2,EOMONTH(T$2,-1)+1,$C21:$F21)*VLOOKUP(T$2,Valores!$H$2:$P$154,8,0)</f>
        <v>64384.1369096594</v>
      </c>
      <c r="U21" s="27" t="n">
        <f aca="false">SUMIF($C$2:$F$2,EOMONTH(U$2,-1)+1,$C21:$F21)*VLOOKUP(U$2,Valores!$H$2:$P$154,8,0)</f>
        <v>38630.4821457956</v>
      </c>
      <c r="V21" s="27" t="n">
        <f aca="false">SUMIF($C$2:$F$2,EOMONTH(V$2,-1)+1,$C21:$F21)*VLOOKUP(V$2,Valores!$H$2:$P$154,8,0)</f>
        <v>32192.0684548297</v>
      </c>
      <c r="W21" s="27" t="n">
        <f aca="false">SUMIF($C$2:$F$2,EOMONTH(W$2,-1)+1,$C21:$F21)*VLOOKUP(W$2,Valores!$H$2:$P$154,8,0)</f>
        <v>32192.0684548297</v>
      </c>
      <c r="X21" s="27" t="n">
        <f aca="false">SUMIF($C$2:$F$2,EOMONTH(X$2,-1)+1,$C21:$F21)*VLOOKUP(X$2,Valores!$H$2:$P$154,8,0)</f>
        <v>0</v>
      </c>
      <c r="Y21" s="27" t="n">
        <f aca="false">SUMIF($C$2:$F$2,EOMONTH(Y$2,-1)+1,$C21:$F21)*VLOOKUP(Y$2,Valores!$H$2:$P$154,8,0)</f>
        <v>0</v>
      </c>
      <c r="Z21" s="27" t="n">
        <f aca="false">SUMIF($C$2:$F$2,EOMONTH(Z$2,-1)+1,$C21:$F21)*VLOOKUP(Z$2,Valores!$H$2:$P$154,8,0)</f>
        <v>48288.1026822445</v>
      </c>
      <c r="AA21" s="27" t="n">
        <f aca="false">SUMIF($C$2:$F$2,EOMONTH(AA$2,-1)+1,$C21:$F21)*VLOOKUP(AA$2,Valores!$H$2:$P$154,8,0)</f>
        <v>57945.7232186934</v>
      </c>
      <c r="AB21" s="27" t="n">
        <f aca="false">SUMIF($C$2:$F$2,EOMONTH(AB$2,-1)+1,$C21:$F21)*VLOOKUP(AB$2,Valores!$H$2:$P$154,8,0)</f>
        <v>28972.8616093467</v>
      </c>
      <c r="AC21" s="27" t="n">
        <f aca="false">SUMIF($C$2:$F$2,EOMONTH(AC$2,-1)+1,$C21:$F21)*VLOOKUP(AC$2,Valores!$H$2:$P$154,8,0)</f>
        <v>35411.2753003126</v>
      </c>
      <c r="AD21" s="27" t="n">
        <f aca="false">SUMIF($C$2:$F$2,EOMONTH(AD$2,-1)+1,$C21:$F21)*VLOOKUP(AD$2,Valores!$H$2:$P$154,8,0)</f>
        <v>35411.2753003126</v>
      </c>
      <c r="AE21" s="27" t="n">
        <f aca="false">SUMIF($C$2:$F$2,EOMONTH(AE$2,-1)+1,$C21:$F21)*VLOOKUP(AE$2,Valores!$H$2:$P$154,8,0)</f>
        <v>35411.2753003126</v>
      </c>
      <c r="AF21" s="27" t="n">
        <f aca="false">SUMIF($C$2:$F$2,EOMONTH(AF$2,-1)+1,$C21:$F21)*VLOOKUP(AF$2,Valores!$H$2:$P$154,8,0)</f>
        <v>35411.2753003126</v>
      </c>
      <c r="AG21" s="27" t="n">
        <f aca="false">SUMIF($C$2:$F$2,EOMONTH(AG$2,-1)+1,$C21:$F21)*VLOOKUP(AG$2,Valores!$H$2:$P$154,8,0)</f>
        <v>56658.0404805002</v>
      </c>
      <c r="AH21" s="27" t="n">
        <f aca="false">SUMIF($C$2:$F$2,EOMONTH(AH$2,-1)+1,$C21:$F21)*VLOOKUP(AH$2,Valores!$H$2:$P$154,8,0)</f>
        <v>70822.5506006253</v>
      </c>
      <c r="AI21" s="27" t="n">
        <f aca="false">SUMIF($C$2:$F$2,EOMONTH(AI$2,-1)+1,$C21:$F21)*VLOOKUP(AI$2,Valores!$H$2:$P$154,8,0)</f>
        <v>24787.8927102189</v>
      </c>
      <c r="AJ21" s="27" t="n">
        <f aca="false">SUMIF($C$2:$F$2,EOMONTH(AJ$2,-1)+1,$C21:$F21)*VLOOKUP(AJ$2,Valores!$H$2:$P$154,8,0)</f>
        <v>16096.0342274148</v>
      </c>
      <c r="AK21" s="27" t="n">
        <f aca="false">SUMIF($C$2:$F$2,EOMONTH(AK$2,-1)+1,$C21:$F21)*VLOOKUP(AK$2,Valores!$H$2:$P$154,8,0)</f>
        <v>29352.3675248279</v>
      </c>
      <c r="AL21" s="27" t="n">
        <f aca="false">SUMIF($C$2:$F$2,EOMONTH(AL$2,-1)+1,$C21:$F21)*VLOOKUP(AL$2,Valores!$H$2:$P$154,8,0)</f>
        <v>29352.3675248279</v>
      </c>
      <c r="AM21" s="27" t="n">
        <f aca="false">SUMIF($C$2:$F$2,EOMONTH(AM$2,-1)+1,$C21:$F21)*VLOOKUP(AM$2,Valores!$H$2:$P$154,8,0)</f>
        <v>29352.3675248279</v>
      </c>
      <c r="AN21" s="27" t="n">
        <f aca="false">SUMIF($C$2:$F$2,EOMONTH(AN$2,-1)+1,$C21:$F21)*VLOOKUP(AN$2,Valores!$H$2:$P$154,8,0)</f>
        <v>58704.7350496559</v>
      </c>
      <c r="AO21" s="27" t="n">
        <f aca="false">SUMIF($C$2:$F$2,EOMONTH(AO$2,-1)+1,$C21:$F21)*VLOOKUP(AO$2,Valores!$H$2:$P$154,8,0)</f>
        <v>73380.9188120698</v>
      </c>
      <c r="AP21" s="27" t="n">
        <f aca="false">SUMIF($C$2:$F$2,EOMONTH(AP$2,-1)+1,$C21:$F21)*VLOOKUP(AP$2,Valores!$H$2:$P$154,8,0)</f>
        <v>44028.5512872419</v>
      </c>
      <c r="AQ21" s="27" t="n">
        <f aca="false">SUMIF($C$2:$F$2,EOMONTH(AQ$2,-1)+1,$C21:$F21)*VLOOKUP(AQ$2,Valores!$H$2:$P$154,8,0)</f>
        <v>15724.4826025864</v>
      </c>
      <c r="AR21" s="27" t="n">
        <f aca="false">SUMIF($C$2:$F$2,EOMONTH(AR$2,-1)+1,$C21:$F21)*VLOOKUP(AR$2,Valores!$H$2:$P$154,8,0)</f>
        <v>15724.4826025864</v>
      </c>
      <c r="AS21" s="27" t="n">
        <f aca="false">SUMIF($C$2:$F$2,EOMONTH(AS$2,-1)+1,$C21:$F21)*VLOOKUP(AS$2,Valores!$H$2:$P$154,8,0)</f>
        <v>15724.4826025864</v>
      </c>
      <c r="AT21" s="27" t="n">
        <f aca="false">SUMIF($C$2:$F$2,EOMONTH(AT$2,-1)+1,$C21:$F21)*VLOOKUP(AT$2,Valores!$H$2:$P$154,8,0)</f>
        <v>15724.4826025864</v>
      </c>
      <c r="AU21" s="27" t="n">
        <f aca="false">SUMIF($C$2:$F$2,EOMONTH(AU$2,-1)+1,$C21:$F21)*VLOOKUP(AU$2,Valores!$H$2:$P$154,8,0)</f>
        <v>31448.9652051728</v>
      </c>
      <c r="AV21" s="27" t="n">
        <f aca="false">SUMIF($C$2:$F$2,EOMONTH(AV$2,-1)+1,$C21:$F21)*VLOOKUP(AV$2,Valores!$H$2:$P$154,8,0)</f>
        <v>39311.206506466</v>
      </c>
      <c r="AW21" s="27" t="n">
        <f aca="false">SUMIF($C$2:$F$2,EOMONTH(AW$2,-1)+1,$C21:$F21)*VLOOKUP(AW$2,Valores!$H$2:$P$154,8,0)</f>
        <v>23586.7239038796</v>
      </c>
      <c r="AX21" s="27" t="n">
        <f aca="false">SUMIF($C$2:$F$2,EOMONTH(AX$2,-1)+1,$C21:$F21)*VLOOKUP(AX$2,Valores!$H$2:$P$154,8,0)</f>
        <v>15724.4826025864</v>
      </c>
      <c r="AY21" s="27" t="n">
        <f aca="false">SUMIF($C$2:$F$2,EOMONTH(AY$2,-1)+1,$C21:$F21)*VLOOKUP(AY$2,Valores!$H$2:$P$154,8,0)</f>
        <v>20441.8273833623</v>
      </c>
      <c r="AZ21" s="27" t="n">
        <f aca="false">SUMIF($C$2:$F$2,EOMONTH(AZ$2,-1)+1,$C21:$F21)*VLOOKUP(AZ$2,Valores!$H$2:$P$154,8,0)</f>
        <v>20441.8273833623</v>
      </c>
      <c r="BA21" s="27" t="n">
        <f aca="false">SUMIF($C$2:$F$2,EOMONTH(BA$2,-1)+1,$C21:$F21)*VLOOKUP(BA$2,Valores!$H$2:$P$154,8,0)</f>
        <v>20441.8273833623</v>
      </c>
      <c r="BB21" s="27" t="n">
        <f aca="false">SUMIF($C$2:$F$2,EOMONTH(BB$2,-1)+1,$C21:$F21)*VLOOKUP(BB$2,Valores!$H$2:$P$154,8,0)</f>
        <v>36166.3099859487</v>
      </c>
      <c r="BC21" s="27" t="n">
        <f aca="false">SUMIF($C$2:$F$2,EOMONTH(BC$2,-1)+1,$C21:$F21)*VLOOKUP(BC$2,Valores!$H$2:$P$154,8,0)</f>
        <v>44028.5512872419</v>
      </c>
      <c r="BD21" s="27" t="n">
        <f aca="false">SUMIF($C$2:$F$2,EOMONTH(BD$2,-1)+1,$C21:$F21)*VLOOKUP(BD$2,Valores!$H$2:$P$154,8,0)</f>
        <v>23586.7239038796</v>
      </c>
      <c r="BE21" s="27" t="n">
        <f aca="false">SUMIF($C$2:$F$2,EOMONTH(BE$2,-1)+1,$C21:$F21)*VLOOKUP(BE$2,Valores!$H$2:$P$154,8,0)</f>
        <v>20965.9768034485</v>
      </c>
      <c r="BF21" s="27" t="n">
        <f aca="false">SUMIF($C$2:$F$2,EOMONTH(BF$2,-1)+1,$C21:$F21)*VLOOKUP(BF$2,Valores!$H$2:$P$154,8,0)</f>
        <v>20965.9768034485</v>
      </c>
      <c r="BG21" s="27" t="n">
        <f aca="false">SUMIF($C$2:$F$2,EOMONTH(BG$2,-1)+1,$C21:$F21)*VLOOKUP(BG$2,Valores!$H$2:$P$154,8,0)</f>
        <v>20965.9768034485</v>
      </c>
      <c r="BH21" s="27" t="n">
        <f aca="false">SUMIF($C$2:$F$2,EOMONTH(BH$2,-1)+1,$C21:$F21)*VLOOKUP(BH$2,Valores!$H$2:$P$154,8,0)</f>
        <v>20965.9768034485</v>
      </c>
      <c r="BI21" s="27" t="n">
        <f aca="false">SUMIF($C$2:$F$2,EOMONTH(BI$2,-1)+1,$C21:$F21)*VLOOKUP(BI$2,Valores!$H$2:$P$154,8,0)</f>
        <v>41931.953606897</v>
      </c>
      <c r="BJ21" s="27" t="n">
        <f aca="false">SUMIF($C$2:$F$2,EOMONTH(BJ$2,-1)+1,$C21:$F21)*VLOOKUP(BJ$2,Valores!$H$2:$P$154,8,0)</f>
        <v>52414.9420086213</v>
      </c>
      <c r="BK21" s="27" t="n">
        <f aca="false">SUMIF($C$2:$F$2,EOMONTH(BK$2,-1)+1,$C21:$F21)*VLOOKUP(BK$2,Valores!$H$2:$P$154,8,0)</f>
        <v>25159.1721641382</v>
      </c>
      <c r="BL21" s="27" t="n">
        <f aca="false">SUMIF($C$2:$F$2,EOMONTH(BL$2,-1)+1,$C21:$F21)*VLOOKUP(BL$2,Valores!$H$2:$P$154,8,0)</f>
        <v>18450.0595870347</v>
      </c>
      <c r="BM21" s="27" t="n">
        <f aca="false">SUMIF($C$2:$F$2,EOMONTH(BM$2,-1)+1,$C21:$F21)*VLOOKUP(BM$2,Valores!$H$2:$P$154,8,0)</f>
        <v>18450.0595870347</v>
      </c>
      <c r="BN21" s="27" t="n">
        <f aca="false">SUMIF($C$2:$F$2,EOMONTH(BN$2,-1)+1,$C21:$F21)*VLOOKUP(BN$2,Valores!$H$2:$P$154,8,0)</f>
        <v>18450.0595870347</v>
      </c>
      <c r="BO21" s="27" t="n">
        <f aca="false">SUMIF($C$2:$F$2,EOMONTH(BO$2,-1)+1,$C21:$F21)*VLOOKUP(BO$2,Valores!$H$2:$P$154,8,0)</f>
        <v>19372.5625663864</v>
      </c>
      <c r="BP21" s="27" t="n">
        <f aca="false">SUMIF($C$2:$F$2,EOMONTH(BP$2,-1)+1,$C21:$F21)*VLOOKUP(BP$2,Valores!$H$2:$P$154,8,0)</f>
        <v>48751.957103615</v>
      </c>
      <c r="BQ21" s="27" t="n">
        <f aca="false">SUMIF($C$2:$F$2,EOMONTH(BQ$2,-1)+1,$C21:$F21)*VLOOKUP(BQ$2,Valores!$H$2:$P$154,8,0)</f>
        <v>60939.9463795187</v>
      </c>
      <c r="BR21" s="27" t="n">
        <f aca="false">SUMIF($C$2:$F$2,EOMONTH(BR$2,-1)+1,$C21:$F21)*VLOOKUP(BR$2,Valores!$H$2:$P$154,8,0)</f>
        <v>29251.174262169</v>
      </c>
      <c r="BS21" s="27" t="n">
        <f aca="false">SUMIF($C$2:$F$2,EOMONTH(BS$2,-1)+1,$C21:$F21)*VLOOKUP(BS$2,Valores!$H$2:$P$154,8,0)</f>
        <v>13058.5599384683</v>
      </c>
      <c r="BT21" s="27" t="n">
        <f aca="false">SUMIF($C$2:$F$2,EOMONTH(BT$2,-1)+1,$C21:$F21)*VLOOKUP(BT$2,Valores!$H$2:$P$154,8,0)</f>
        <v>13058.5599384683</v>
      </c>
      <c r="BU21" s="27" t="n">
        <f aca="false">SUMIF($C$2:$F$2,EOMONTH(BU$2,-1)+1,$C21:$F21)*VLOOKUP(BU$2,Valores!$H$2:$P$154,8,0)</f>
        <v>13058.5599384683</v>
      </c>
      <c r="BV21" s="27" t="n">
        <f aca="false">SUMIF($C$2:$F$2,EOMONTH(BV$2,-1)+1,$C21:$F21)*VLOOKUP(BV$2,Valores!$H$2:$P$154,8,0)</f>
        <v>13058.5599384683</v>
      </c>
      <c r="BW21" s="27" t="n">
        <f aca="false">SUMIF($C$2:$F$2,EOMONTH(BW$2,-1)+1,$C21:$F21)*VLOOKUP(BW$2,Valores!$H$2:$P$154,8,0)</f>
        <v>26117.1198769366</v>
      </c>
      <c r="BX21" s="27" t="n">
        <f aca="false">SUMIF($C$2:$F$2,EOMONTH(BX$2,-1)+1,$C21:$F21)*VLOOKUP(BX$2,Valores!$H$2:$P$154,8,0)</f>
        <v>32646.3998461707</v>
      </c>
      <c r="BY21" s="27" t="n">
        <f aca="false">SUMIF($C$2:$F$2,EOMONTH(BY$2,-1)+1,$C21:$F21)*VLOOKUP(BY$2,Valores!$H$2:$P$154,8,0)</f>
        <v>19587.8399077024</v>
      </c>
      <c r="BZ21" s="27" t="n">
        <f aca="false">SUMIF($C$2:$F$2,EOMONTH(BZ$2,-1)+1,$C21:$F21)*VLOOKUP(BZ$2,Valores!$H$2:$P$154,8,0)</f>
        <v>13058.5599384683</v>
      </c>
      <c r="CA21" s="27" t="n">
        <f aca="false">SUMIF($C$2:$F$2,EOMONTH(CA$2,-1)+1,$C21:$F21)*VLOOKUP(CA$2,Valores!$H$2:$P$154,8,0)</f>
        <v>13058.5599384683</v>
      </c>
      <c r="CB21" s="27" t="n">
        <f aca="false">SUMIF($C$2:$F$2,EOMONTH(CB$2,-1)+1,$C21:$F21)*VLOOKUP(CB$2,Valores!$H$2:$P$154,8,0)</f>
        <v>13058.5599384683</v>
      </c>
      <c r="CC21" s="27" t="n">
        <f aca="false">SUMIF($C$2:$F$2,EOMONTH(CC$2,-1)+1,$C21:$F21)*VLOOKUP(CC$2,Valores!$H$2:$P$154,8,0)</f>
        <v>13058.5599384683</v>
      </c>
      <c r="CD21" s="27" t="n">
        <f aca="false">SUMIF($C$2:$F$2,EOMONTH(CD$2,-1)+1,$C21:$F21)*VLOOKUP(CD$2,Valores!$H$2:$P$154,8,0)</f>
        <v>39175.6798154049</v>
      </c>
      <c r="CE21" s="27" t="n">
        <f aca="false">SUMIF($C$2:$F$2,EOMONTH(CE$2,-1)+1,$C21:$F21)*VLOOKUP(CE$2,Valores!$H$2:$P$154,8,0)</f>
        <v>52234.2397538732</v>
      </c>
      <c r="CF21" s="27" t="n">
        <f aca="false">SUMIF($C$2:$F$2,EOMONTH(CF$2,-1)+1,$C21:$F21)*VLOOKUP(CF$2,Valores!$H$2:$P$154,8,0)</f>
        <v>32646.3998461707</v>
      </c>
      <c r="CG21" s="27" t="n">
        <f aca="false">SUMIF($C$2:$F$2,EOMONTH(CG$2,-1)+1,$C21:$F21)*VLOOKUP(CG$2,Valores!$H$2:$P$154,8,0)</f>
        <v>17411.4132512911</v>
      </c>
      <c r="CH21" s="27" t="n">
        <f aca="false">SUMIF($C$2:$F$2,EOMONTH(CH$2,-1)+1,$C21:$F21)*VLOOKUP(CH$2,Valores!$H$2:$P$154,8,0)</f>
        <v>17411.4132512911</v>
      </c>
      <c r="CI21" s="27" t="n">
        <f aca="false">SUMIF($C$2:$F$2,EOMONTH(CI$2,-1)+1,$C21:$F21)*VLOOKUP(CI$2,Valores!$H$2:$P$154,8,0)</f>
        <v>17411.4132512911</v>
      </c>
      <c r="CJ21" s="27" t="n">
        <f aca="false">SUMIF($C$2:$F$2,EOMONTH(CJ$2,-1)+1,$C21:$F21)*VLOOKUP(CJ$2,Valores!$H$2:$P$154,8,0)</f>
        <v>17411.4132512911</v>
      </c>
      <c r="CK21" s="27" t="n">
        <f aca="false">SUMIF($C$2:$F$2,EOMONTH(CK$2,-1)+1,$C21:$F21)*VLOOKUP(CK$2,Valores!$H$2:$P$154,8,0)</f>
        <v>34822.8265025821</v>
      </c>
      <c r="CL21" s="27" t="n">
        <f aca="false">SUMIF($C$2:$F$2,EOMONTH(CL$2,-1)+1,$C21:$F21)*VLOOKUP(CL$2,Valores!$H$2:$P$154,8,0)</f>
        <v>43528.5331282276</v>
      </c>
      <c r="CM21" s="27" t="n">
        <f aca="false">SUMIF($C$2:$F$2,EOMONTH(CM$2,-1)+1,$C21:$F21)*VLOOKUP(CM$2,Valores!$H$2:$P$154,8,0)</f>
        <v>26117.1198769366</v>
      </c>
      <c r="CN21" s="27" t="n">
        <f aca="false">SUMIF($C$2:$F$2,EOMONTH(CN$2,-1)+1,$C21:$F21)*VLOOKUP(CN$2,Valores!$H$2:$P$154,8,0)</f>
        <v>19152.5545764202</v>
      </c>
      <c r="CO21" s="27" t="n">
        <f aca="false">SUMIF($C$2:$F$2,EOMONTH(CO$2,-1)+1,$C21:$F21)*VLOOKUP(CO$2,Valores!$H$2:$P$154,8,0)</f>
        <v>19152.5545764202</v>
      </c>
      <c r="CP21" s="27" t="n">
        <f aca="false">SUMIF($C$2:$F$2,EOMONTH(CP$2,-1)+1,$C21:$F21)*VLOOKUP(CP$2,Valores!$H$2:$P$154,8,0)</f>
        <v>19152.5545764202</v>
      </c>
      <c r="CQ21" s="27" t="n">
        <f aca="false">SUMIF($C$2:$F$2,EOMONTH(CQ$2,-1)+1,$C21:$F21)*VLOOKUP(CQ$2,Valores!$H$2:$P$154,8,0)</f>
        <v>19152.5545764202</v>
      </c>
      <c r="CR21" s="27" t="n">
        <f aca="false">SUMIF($C$2:$F$2,EOMONTH(CR$2,-1)+1,$C21:$F21)*VLOOKUP(CR$2,Valores!$H$2:$P$154,8,0)</f>
        <v>38305.1091528403</v>
      </c>
      <c r="CS21" s="27" t="n">
        <f aca="false">SUMIF($C$2:$F$2,EOMONTH(CS$2,-1)+1,$C21:$F21)*VLOOKUP(CS$2,Valores!$H$2:$P$154,8,0)</f>
        <v>57457.6637292605</v>
      </c>
      <c r="CT21" s="27" t="e">
        <f aca="false">SUMIF($C$2:$F$2,EOMONTH(CT$2,-1)+1,$C21:$F21)*VLOOKUP(CT$2,Valores!$H$2:$P$154,8,0)</f>
        <v>#VALUE!</v>
      </c>
      <c r="CU21" s="27" t="e">
        <f aca="false">SUMIF($C$2:$F$2,EOMONTH(CU$2,-1)+1,$C21:$F21)*VLOOKUP(CU$2,Valores!$H$2:$P$154,8,0)</f>
        <v>#VALUE!</v>
      </c>
      <c r="CV21" s="27" t="e">
        <f aca="false">SUMIF($C$2:$F$2,EOMONTH(CV$2,-1)+1,$C21:$F21)*VLOOKUP(CV$2,Valores!$H$2:$P$154,8,0)</f>
        <v>#VALUE!</v>
      </c>
      <c r="CW21" s="27" t="e">
        <f aca="false">SUMIF($C$2:$F$2,EOMONTH(CW$2,-1)+1,$C21:$F21)*VLOOKUP(CW$2,Valores!$H$2:$P$154,8,0)</f>
        <v>#VALUE!</v>
      </c>
      <c r="CX21" s="27" t="e">
        <f aca="false">SUMIF($C$2:$F$2,EOMONTH(CX$2,-1)+1,$C21:$F21)*VLOOKUP(CX$2,Valores!$H$2:$P$154,8,0)</f>
        <v>#VALUE!</v>
      </c>
      <c r="CY21" s="27" t="e">
        <f aca="false">SUMIF($C$2:$F$2,EOMONTH(CY$2,-1)+1,$C21:$F21)*VLOOKUP(CY$2,Valores!$H$2:$P$154,8,0)</f>
        <v>#VALUE!</v>
      </c>
      <c r="CZ21" s="27" t="e">
        <f aca="false">SUMIF($C$2:$F$2,EOMONTH(CZ$2,-1)+1,$C21:$F21)*VLOOKUP(CZ$2,Valores!$H$2:$P$154,8,0)</f>
        <v>#VALUE!</v>
      </c>
      <c r="DA21" s="27" t="e">
        <f aca="false">SUMIF($C$2:$F$2,EOMONTH(DA$2,-1)+1,$C21:$F21)*VLOOKUP(DA$2,Valores!$H$2:$P$154,8,0)</f>
        <v>#VALUE!</v>
      </c>
      <c r="DB21" s="27" t="e">
        <f aca="false">SUMIF($C$2:$F$2,EOMONTH(DB$2,-1)+1,$C21:$F21)*VLOOKUP(DB$2,Valores!$H$2:$P$154,8,0)</f>
        <v>#VALUE!</v>
      </c>
      <c r="DC21" s="27" t="e">
        <f aca="false">SUMIF($C$2:$F$2,EOMONTH(DC$2,-1)+1,$C21:$F21)*VLOOKUP(DC$2,Valores!$H$2:$P$154,8,0)</f>
        <v>#VALUE!</v>
      </c>
      <c r="DD21" s="27" t="e">
        <f aca="false">SUMIF($C$2:$F$2,EOMONTH(DD$2,-1)+1,$C21:$F21)*VLOOKUP(DD$2,Valores!$H$2:$P$154,8,0)</f>
        <v>#VALUE!</v>
      </c>
      <c r="DE21" s="27" t="e">
        <f aca="false">SUMIF($C$2:$F$2,EOMONTH(DE$2,-1)+1,$C21:$F21)*VLOOKUP(DE$2,Valores!$H$2:$P$154,8,0)</f>
        <v>#VALUE!</v>
      </c>
      <c r="DF21" s="27" t="e">
        <f aca="false">SUMIF($C$2:$F$2,EOMONTH(DF$2,-1)+1,$C21:$F21)*VLOOKUP(DF$2,Valores!$H$2:$P$154,8,0)</f>
        <v>#VALUE!</v>
      </c>
      <c r="DG21" s="27" t="e">
        <f aca="false">SUMIF($C$2:$F$2,EOMONTH(DG$2,-1)+1,$C21:$F21)*VLOOKUP(DG$2,Valores!$H$2:$P$154,8,0)</f>
        <v>#VALUE!</v>
      </c>
      <c r="DH21" s="27" t="e">
        <f aca="false">SUMIF($C$2:$F$2,EOMONTH(DH$2,-1)+1,$C21:$F21)*VLOOKUP(DH$2,Valores!$H$2:$P$154,8,0)</f>
        <v>#VALUE!</v>
      </c>
      <c r="DI21" s="27" t="e">
        <f aca="false">SUMIF($C$2:$F$2,EOMONTH(DI$2,-1)+1,$C21:$F21)*VLOOKUP(DI$2,Valores!$H$2:$P$154,8,0)</f>
        <v>#VALUE!</v>
      </c>
      <c r="DJ21" s="27" t="e">
        <f aca="false">SUMIF($C$2:$F$2,EOMONTH(DJ$2,-1)+1,$C21:$F21)*VLOOKUP(DJ$2,Valores!$H$2:$P$154,8,0)</f>
        <v>#VALUE!</v>
      </c>
      <c r="DK21" s="27" t="e">
        <f aca="false">SUMIF($C$2:$F$2,EOMONTH(DK$2,-1)+1,$C21:$F21)*VLOOKUP(DK$2,Valores!$H$2:$P$154,8,0)</f>
        <v>#VALUE!</v>
      </c>
      <c r="DL21" s="27" t="e">
        <f aca="false">SUMIF($C$2:$F$2,EOMONTH(DL$2,-1)+1,$C21:$F21)*VLOOKUP(DL$2,Valores!$H$2:$P$154,8,0)</f>
        <v>#VALUE!</v>
      </c>
      <c r="DM21" s="27" t="e">
        <f aca="false">SUMIF($C$2:$F$2,EOMONTH(DM$2,-1)+1,$C21:$F21)*VLOOKUP(DM$2,Valores!$H$2:$P$154,8,0)</f>
        <v>#VALUE!</v>
      </c>
      <c r="DN21" s="27" t="e">
        <f aca="false">SUMIF($C$2:$F$2,EOMONTH(DN$2,-1)+1,$C21:$F21)*VLOOKUP(DN$2,Valores!$H$2:$P$154,8,0)</f>
        <v>#VALUE!</v>
      </c>
      <c r="DO21" s="27" t="e">
        <f aca="false">SUMIF($C$2:$F$2,EOMONTH(DO$2,-1)+1,$C21:$F21)*VLOOKUP(DO$2,Valores!$H$2:$P$154,8,0)</f>
        <v>#VALUE!</v>
      </c>
      <c r="DP21" s="27" t="e">
        <f aca="false">SUMIF($C$2:$F$2,EOMONTH(DP$2,-1)+1,$C21:$F21)*VLOOKUP(DP$2,Valores!$H$2:$P$154,8,0)</f>
        <v>#VALUE!</v>
      </c>
      <c r="DQ21" s="27" t="e">
        <f aca="false">SUMIF($C$2:$F$2,EOMONTH(DQ$2,-1)+1,$C21:$F21)*VLOOKUP(DQ$2,Valores!$H$2:$P$154,8,0)</f>
        <v>#VALUE!</v>
      </c>
      <c r="DR21" s="27" t="e">
        <f aca="false">SUMIF($C$2:$F$2,EOMONTH(DR$2,-1)+1,$C21:$F21)*VLOOKUP(DR$2,Valores!$H$2:$P$154,8,0)</f>
        <v>#VALUE!</v>
      </c>
      <c r="DS21" s="27" t="e">
        <f aca="false">SUMIF($C$2:$F$2,EOMONTH(DS$2,-1)+1,$C21:$F21)*VLOOKUP(DS$2,Valores!$H$2:$P$154,8,0)</f>
        <v>#VALUE!</v>
      </c>
      <c r="DT21" s="27" t="e">
        <f aca="false">SUMIF($C$2:$F$2,EOMONTH(DT$2,-1)+1,$C21:$F21)*VLOOKUP(DT$2,Valores!$H$2:$P$154,8,0)</f>
        <v>#VALUE!</v>
      </c>
      <c r="DU21" s="27" t="e">
        <f aca="false">SUMIF($C$2:$F$2,EOMONTH(DU$2,-1)+1,$C21:$F21)*VLOOKUP(DU$2,Valores!$H$2:$P$154,8,0)</f>
        <v>#VALUE!</v>
      </c>
      <c r="DV21" s="27" t="e">
        <f aca="false">SUMIF($C$2:$F$2,EOMONTH(DV$2,-1)+1,$C21:$F21)*VLOOKUP(DV$2,Valores!$H$2:$P$154,8,0)</f>
        <v>#VALUE!</v>
      </c>
      <c r="DW21" s="27" t="e">
        <f aca="false">SUMIF($C$2:$F$2,EOMONTH(DW$2,-1)+1,$C21:$F21)*VLOOKUP(DW$2,Valores!$H$2:$P$154,8,0)</f>
        <v>#VALUE!</v>
      </c>
      <c r="DX21" s="27" t="e">
        <f aca="false">SUMIF($C$2:$F$2,EOMONTH(DX$2,-1)+1,$C21:$F21)*VLOOKUP(DX$2,Valores!$H$2:$P$154,8,0)</f>
        <v>#VALUE!</v>
      </c>
    </row>
    <row r="22" customFormat="false" ht="13.8" hidden="false" customHeight="false" outlineLevel="0" collapsed="false">
      <c r="A22" s="29" t="s">
        <v>23</v>
      </c>
      <c r="B22" s="29" t="s">
        <v>43</v>
      </c>
      <c r="C22" s="29" t="n">
        <v>864693</v>
      </c>
      <c r="D22" s="29" t="n">
        <v>778223.7</v>
      </c>
      <c r="E22" s="29" t="n">
        <v>700401.33</v>
      </c>
      <c r="F22" s="29" t="n">
        <v>630361.197</v>
      </c>
      <c r="G22" s="30" t="n">
        <f aca="false">SUMIF($C$2:$F$2,EOMONTH(G$2,-1)+1,$C22:$F22)*VLOOKUP(G$2,Valores!$H$2:$P$154,8,0)</f>
        <v>24900.6541056442</v>
      </c>
      <c r="H22" s="30" t="n">
        <f aca="false">SUMIF($C$2:$F$2,EOMONTH(H$2,-1)+1,$C22:$F22)*VLOOKUP(H$2,Valores!$H$2:$P$154,8,0)</f>
        <v>17074.7342438703</v>
      </c>
      <c r="I22" s="30" t="n">
        <f aca="false">SUMIF($C$2:$F$2,EOMONTH(I$2,-1)+1,$C22:$F22)*VLOOKUP(I$2,Valores!$H$2:$P$154,8,0)</f>
        <v>17074.7342438703</v>
      </c>
      <c r="J22" s="30" t="n">
        <f aca="false">SUMIF($C$2:$F$2,EOMONTH(J$2,-1)+1,$C22:$F22)*VLOOKUP(J$2,Valores!$H$2:$P$154,8,0)</f>
        <v>17074.7342438703</v>
      </c>
      <c r="K22" s="30" t="n">
        <f aca="false">SUMIF($C$2:$F$2,EOMONTH(K$2,-1)+1,$C22:$F22)*VLOOKUP(K$2,Valores!$H$2:$P$154,8,0)</f>
        <v>17074.7342438703</v>
      </c>
      <c r="L22" s="30" t="n">
        <f aca="false">SUMIF($C$2:$F$2,EOMONTH(L$2,-1)+1,$C22:$F22)*VLOOKUP(L$2,Valores!$H$2:$P$154,8,0)</f>
        <v>34149.4684877407</v>
      </c>
      <c r="M22" s="30" t="n">
        <f aca="false">SUMIF($C$2:$F$2,EOMONTH(M$2,-1)+1,$C22:$F22)*VLOOKUP(M$2,Valores!$H$2:$P$154,8,0)</f>
        <v>42686.8356096758</v>
      </c>
      <c r="N22" s="30" t="n">
        <f aca="false">SUMIF($C$2:$F$2,EOMONTH(N$2,-1)+1,$C22:$F22)*VLOOKUP(N$2,Valores!$H$2:$P$154,8,0)</f>
        <v>25612.1013658055</v>
      </c>
      <c r="O22" s="30" t="n">
        <f aca="false">SUMIF($C$2:$F$2,EOMONTH(O$2,-1)+1,$C22:$F22)*VLOOKUP(O$2,Valores!$H$2:$P$154,8,0)</f>
        <v>22766.3123251604</v>
      </c>
      <c r="P22" s="30" t="n">
        <f aca="false">SUMIF($C$2:$F$2,EOMONTH(P$2,-1)+1,$C22:$F22)*VLOOKUP(P$2,Valores!$H$2:$P$154,8,0)</f>
        <v>22766.3123251604</v>
      </c>
      <c r="Q22" s="30" t="n">
        <f aca="false">SUMIF($C$2:$F$2,EOMONTH(Q$2,-1)+1,$C22:$F22)*VLOOKUP(Q$2,Valores!$H$2:$P$154,8,0)</f>
        <v>13659.7873950963</v>
      </c>
      <c r="R22" s="30" t="n">
        <f aca="false">SUMIF($C$2:$F$2,EOMONTH(R$2,-1)+1,$C22:$F22)*VLOOKUP(R$2,Valores!$H$2:$P$154,8,0)</f>
        <v>22766.3123251604</v>
      </c>
      <c r="S22" s="30" t="n">
        <f aca="false">SUMIF($C$2:$F$2,EOMONTH(S$2,-1)+1,$C22:$F22)*VLOOKUP(S$2,Valores!$H$2:$P$154,8,0)</f>
        <v>45532.6246503209</v>
      </c>
      <c r="T22" s="30" t="n">
        <f aca="false">SUMIF($C$2:$F$2,EOMONTH(T$2,-1)+1,$C22:$F22)*VLOOKUP(T$2,Valores!$H$2:$P$154,8,0)</f>
        <v>56915.7808129011</v>
      </c>
      <c r="U22" s="30" t="n">
        <f aca="false">SUMIF($C$2:$F$2,EOMONTH(U$2,-1)+1,$C22:$F22)*VLOOKUP(U$2,Valores!$H$2:$P$154,8,0)</f>
        <v>34149.4684877407</v>
      </c>
      <c r="V22" s="30" t="n">
        <f aca="false">SUMIF($C$2:$F$2,EOMONTH(V$2,-1)+1,$C22:$F22)*VLOOKUP(V$2,Valores!$H$2:$P$154,8,0)</f>
        <v>28457.8904064506</v>
      </c>
      <c r="W22" s="30" t="n">
        <f aca="false">SUMIF($C$2:$F$2,EOMONTH(W$2,-1)+1,$C22:$F22)*VLOOKUP(W$2,Valores!$H$2:$P$154,8,0)</f>
        <v>28457.8904064506</v>
      </c>
      <c r="X22" s="30" t="n">
        <f aca="false">SUMIF($C$2:$F$2,EOMONTH(X$2,-1)+1,$C22:$F22)*VLOOKUP(X$2,Valores!$H$2:$P$154,8,0)</f>
        <v>0</v>
      </c>
      <c r="Y22" s="30" t="n">
        <f aca="false">SUMIF($C$2:$F$2,EOMONTH(Y$2,-1)+1,$C22:$F22)*VLOOKUP(Y$2,Valores!$H$2:$P$154,8,0)</f>
        <v>0</v>
      </c>
      <c r="Z22" s="30" t="n">
        <f aca="false">SUMIF($C$2:$F$2,EOMONTH(Z$2,-1)+1,$C22:$F22)*VLOOKUP(Z$2,Valores!$H$2:$P$154,8,0)</f>
        <v>42686.8356096758</v>
      </c>
      <c r="AA22" s="30" t="n">
        <f aca="false">SUMIF($C$2:$F$2,EOMONTH(AA$2,-1)+1,$C22:$F22)*VLOOKUP(AA$2,Valores!$H$2:$P$154,8,0)</f>
        <v>51224.202731611</v>
      </c>
      <c r="AB22" s="30" t="n">
        <f aca="false">SUMIF($C$2:$F$2,EOMONTH(AB$2,-1)+1,$C22:$F22)*VLOOKUP(AB$2,Valores!$H$2:$P$154,8,0)</f>
        <v>25612.1013658055</v>
      </c>
      <c r="AC22" s="30" t="n">
        <f aca="false">SUMIF($C$2:$F$2,EOMONTH(AC$2,-1)+1,$C22:$F22)*VLOOKUP(AC$2,Valores!$H$2:$P$154,8,0)</f>
        <v>31303.6794470956</v>
      </c>
      <c r="AD22" s="30" t="n">
        <f aca="false">SUMIF($C$2:$F$2,EOMONTH(AD$2,-1)+1,$C22:$F22)*VLOOKUP(AD$2,Valores!$H$2:$P$154,8,0)</f>
        <v>31303.6794470956</v>
      </c>
      <c r="AE22" s="30" t="n">
        <f aca="false">SUMIF($C$2:$F$2,EOMONTH(AE$2,-1)+1,$C22:$F22)*VLOOKUP(AE$2,Valores!$H$2:$P$154,8,0)</f>
        <v>31303.6794470956</v>
      </c>
      <c r="AF22" s="30" t="n">
        <f aca="false">SUMIF($C$2:$F$2,EOMONTH(AF$2,-1)+1,$C22:$F22)*VLOOKUP(AF$2,Valores!$H$2:$P$154,8,0)</f>
        <v>31303.6794470956</v>
      </c>
      <c r="AG22" s="30" t="n">
        <f aca="false">SUMIF($C$2:$F$2,EOMONTH(AG$2,-1)+1,$C22:$F22)*VLOOKUP(AG$2,Valores!$H$2:$P$154,8,0)</f>
        <v>50085.887115353</v>
      </c>
      <c r="AH22" s="30" t="n">
        <f aca="false">SUMIF($C$2:$F$2,EOMONTH(AH$2,-1)+1,$C22:$F22)*VLOOKUP(AH$2,Valores!$H$2:$P$154,8,0)</f>
        <v>62607.3588941912</v>
      </c>
      <c r="AI22" s="30" t="n">
        <f aca="false">SUMIF($C$2:$F$2,EOMONTH(AI$2,-1)+1,$C22:$F22)*VLOOKUP(AI$2,Valores!$H$2:$P$154,8,0)</f>
        <v>21912.5756129669</v>
      </c>
      <c r="AJ22" s="30" t="n">
        <f aca="false">SUMIF($C$2:$F$2,EOMONTH(AJ$2,-1)+1,$C22:$F22)*VLOOKUP(AJ$2,Valores!$H$2:$P$154,8,0)</f>
        <v>14228.9452032253</v>
      </c>
      <c r="AK22" s="30" t="n">
        <f aca="false">SUMIF($C$2:$F$2,EOMONTH(AK$2,-1)+1,$C22:$F22)*VLOOKUP(AK$2,Valores!$H$2:$P$154,8,0)</f>
        <v>25947.58579628</v>
      </c>
      <c r="AL22" s="30" t="n">
        <f aca="false">SUMIF($C$2:$F$2,EOMONTH(AL$2,-1)+1,$C22:$F22)*VLOOKUP(AL$2,Valores!$H$2:$P$154,8,0)</f>
        <v>25947.58579628</v>
      </c>
      <c r="AM22" s="30" t="n">
        <f aca="false">SUMIF($C$2:$F$2,EOMONTH(AM$2,-1)+1,$C22:$F22)*VLOOKUP(AM$2,Valores!$H$2:$P$154,8,0)</f>
        <v>25947.58579628</v>
      </c>
      <c r="AN22" s="30" t="n">
        <f aca="false">SUMIF($C$2:$F$2,EOMONTH(AN$2,-1)+1,$C22:$F22)*VLOOKUP(AN$2,Valores!$H$2:$P$154,8,0)</f>
        <v>51895.17159256</v>
      </c>
      <c r="AO22" s="30" t="n">
        <f aca="false">SUMIF($C$2:$F$2,EOMONTH(AO$2,-1)+1,$C22:$F22)*VLOOKUP(AO$2,Valores!$H$2:$P$154,8,0)</f>
        <v>64868.9644906999</v>
      </c>
      <c r="AP22" s="30" t="n">
        <f aca="false">SUMIF($C$2:$F$2,EOMONTH(AP$2,-1)+1,$C22:$F22)*VLOOKUP(AP$2,Valores!$H$2:$P$154,8,0)</f>
        <v>38921.37869442</v>
      </c>
      <c r="AQ22" s="30" t="n">
        <f aca="false">SUMIF($C$2:$F$2,EOMONTH(AQ$2,-1)+1,$C22:$F22)*VLOOKUP(AQ$2,Valores!$H$2:$P$154,8,0)</f>
        <v>13900.4923908643</v>
      </c>
      <c r="AR22" s="30" t="n">
        <f aca="false">SUMIF($C$2:$F$2,EOMONTH(AR$2,-1)+1,$C22:$F22)*VLOOKUP(AR$2,Valores!$H$2:$P$154,8,0)</f>
        <v>13900.4923908643</v>
      </c>
      <c r="AS22" s="30" t="n">
        <f aca="false">SUMIF($C$2:$F$2,EOMONTH(AS$2,-1)+1,$C22:$F22)*VLOOKUP(AS$2,Valores!$H$2:$P$154,8,0)</f>
        <v>13900.4923908643</v>
      </c>
      <c r="AT22" s="30" t="n">
        <f aca="false">SUMIF($C$2:$F$2,EOMONTH(AT$2,-1)+1,$C22:$F22)*VLOOKUP(AT$2,Valores!$H$2:$P$154,8,0)</f>
        <v>13900.4923908643</v>
      </c>
      <c r="AU22" s="30" t="n">
        <f aca="false">SUMIF($C$2:$F$2,EOMONTH(AU$2,-1)+1,$C22:$F22)*VLOOKUP(AU$2,Valores!$H$2:$P$154,8,0)</f>
        <v>27800.9847817285</v>
      </c>
      <c r="AV22" s="30" t="n">
        <f aca="false">SUMIF($C$2:$F$2,EOMONTH(AV$2,-1)+1,$C22:$F22)*VLOOKUP(AV$2,Valores!$H$2:$P$154,8,0)</f>
        <v>34751.2309771607</v>
      </c>
      <c r="AW22" s="30" t="n">
        <f aca="false">SUMIF($C$2:$F$2,EOMONTH(AW$2,-1)+1,$C22:$F22)*VLOOKUP(AW$2,Valores!$H$2:$P$154,8,0)</f>
        <v>20850.7385862964</v>
      </c>
      <c r="AX22" s="30" t="n">
        <f aca="false">SUMIF($C$2:$F$2,EOMONTH(AX$2,-1)+1,$C22:$F22)*VLOOKUP(AX$2,Valores!$H$2:$P$154,8,0)</f>
        <v>13900.4923908643</v>
      </c>
      <c r="AY22" s="30" t="n">
        <f aca="false">SUMIF($C$2:$F$2,EOMONTH(AY$2,-1)+1,$C22:$F22)*VLOOKUP(AY$2,Valores!$H$2:$P$154,8,0)</f>
        <v>18070.6401081236</v>
      </c>
      <c r="AZ22" s="30" t="n">
        <f aca="false">SUMIF($C$2:$F$2,EOMONTH(AZ$2,-1)+1,$C22:$F22)*VLOOKUP(AZ$2,Valores!$H$2:$P$154,8,0)</f>
        <v>18070.6401081236</v>
      </c>
      <c r="BA22" s="30" t="n">
        <f aca="false">SUMIF($C$2:$F$2,EOMONTH(BA$2,-1)+1,$C22:$F22)*VLOOKUP(BA$2,Valores!$H$2:$P$154,8,0)</f>
        <v>18070.6401081236</v>
      </c>
      <c r="BB22" s="30" t="n">
        <f aca="false">SUMIF($C$2:$F$2,EOMONTH(BB$2,-1)+1,$C22:$F22)*VLOOKUP(BB$2,Valores!$H$2:$P$154,8,0)</f>
        <v>31971.1324989878</v>
      </c>
      <c r="BC22" s="30" t="n">
        <f aca="false">SUMIF($C$2:$F$2,EOMONTH(BC$2,-1)+1,$C22:$F22)*VLOOKUP(BC$2,Valores!$H$2:$P$154,8,0)</f>
        <v>38921.37869442</v>
      </c>
      <c r="BD22" s="30" t="n">
        <f aca="false">SUMIF($C$2:$F$2,EOMONTH(BD$2,-1)+1,$C22:$F22)*VLOOKUP(BD$2,Valores!$H$2:$P$154,8,0)</f>
        <v>20850.7385862964</v>
      </c>
      <c r="BE22" s="30" t="n">
        <f aca="false">SUMIF($C$2:$F$2,EOMONTH(BE$2,-1)+1,$C22:$F22)*VLOOKUP(BE$2,Valores!$H$2:$P$154,8,0)</f>
        <v>18533.9898544857</v>
      </c>
      <c r="BF22" s="30" t="n">
        <f aca="false">SUMIF($C$2:$F$2,EOMONTH(BF$2,-1)+1,$C22:$F22)*VLOOKUP(BF$2,Valores!$H$2:$P$154,8,0)</f>
        <v>18533.9898544857</v>
      </c>
      <c r="BG22" s="30" t="n">
        <f aca="false">SUMIF($C$2:$F$2,EOMONTH(BG$2,-1)+1,$C22:$F22)*VLOOKUP(BG$2,Valores!$H$2:$P$154,8,0)</f>
        <v>18533.9898544857</v>
      </c>
      <c r="BH22" s="30" t="n">
        <f aca="false">SUMIF($C$2:$F$2,EOMONTH(BH$2,-1)+1,$C22:$F22)*VLOOKUP(BH$2,Valores!$H$2:$P$154,8,0)</f>
        <v>18533.9898544857</v>
      </c>
      <c r="BI22" s="30" t="n">
        <f aca="false">SUMIF($C$2:$F$2,EOMONTH(BI$2,-1)+1,$C22:$F22)*VLOOKUP(BI$2,Valores!$H$2:$P$154,8,0)</f>
        <v>37067.9797089714</v>
      </c>
      <c r="BJ22" s="30" t="n">
        <f aca="false">SUMIF($C$2:$F$2,EOMONTH(BJ$2,-1)+1,$C22:$F22)*VLOOKUP(BJ$2,Valores!$H$2:$P$154,8,0)</f>
        <v>46334.9746362142</v>
      </c>
      <c r="BK22" s="30" t="n">
        <f aca="false">SUMIF($C$2:$F$2,EOMONTH(BK$2,-1)+1,$C22:$F22)*VLOOKUP(BK$2,Valores!$H$2:$P$154,8,0)</f>
        <v>22240.7878253828</v>
      </c>
      <c r="BL22" s="30" t="n">
        <f aca="false">SUMIF($C$2:$F$2,EOMONTH(BL$2,-1)+1,$C22:$F22)*VLOOKUP(BL$2,Valores!$H$2:$P$154,8,0)</f>
        <v>16309.9110719474</v>
      </c>
      <c r="BM22" s="30" t="n">
        <f aca="false">SUMIF($C$2:$F$2,EOMONTH(BM$2,-1)+1,$C22:$F22)*VLOOKUP(BM$2,Valores!$H$2:$P$154,8,0)</f>
        <v>16309.9110719474</v>
      </c>
      <c r="BN22" s="30" t="n">
        <f aca="false">SUMIF($C$2:$F$2,EOMONTH(BN$2,-1)+1,$C22:$F22)*VLOOKUP(BN$2,Valores!$H$2:$P$154,8,0)</f>
        <v>16309.9110719474</v>
      </c>
      <c r="BO22" s="30" t="n">
        <f aca="false">SUMIF($C$2:$F$2,EOMONTH(BO$2,-1)+1,$C22:$F22)*VLOOKUP(BO$2,Valores!$H$2:$P$154,8,0)</f>
        <v>17125.4066255448</v>
      </c>
      <c r="BP22" s="30" t="n">
        <f aca="false">SUMIF($C$2:$F$2,EOMONTH(BP$2,-1)+1,$C22:$F22)*VLOOKUP(BP$2,Valores!$H$2:$P$154,8,0)</f>
        <v>43096.8843863312</v>
      </c>
      <c r="BQ22" s="30" t="n">
        <f aca="false">SUMIF($C$2:$F$2,EOMONTH(BQ$2,-1)+1,$C22:$F22)*VLOOKUP(BQ$2,Valores!$H$2:$P$154,8,0)</f>
        <v>53871.1054829139</v>
      </c>
      <c r="BR22" s="30" t="n">
        <f aca="false">SUMIF($C$2:$F$2,EOMONTH(BR$2,-1)+1,$C22:$F22)*VLOOKUP(BR$2,Valores!$H$2:$P$154,8,0)</f>
        <v>25858.1306317987</v>
      </c>
      <c r="BS22" s="30" t="n">
        <f aca="false">SUMIF($C$2:$F$2,EOMONTH(BS$2,-1)+1,$C22:$F22)*VLOOKUP(BS$2,Valores!$H$2:$P$154,8,0)</f>
        <v>11543.8083177673</v>
      </c>
      <c r="BT22" s="30" t="n">
        <f aca="false">SUMIF($C$2:$F$2,EOMONTH(BT$2,-1)+1,$C22:$F22)*VLOOKUP(BT$2,Valores!$H$2:$P$154,8,0)</f>
        <v>11543.8083177673</v>
      </c>
      <c r="BU22" s="30" t="n">
        <f aca="false">SUMIF($C$2:$F$2,EOMONTH(BU$2,-1)+1,$C22:$F22)*VLOOKUP(BU$2,Valores!$H$2:$P$154,8,0)</f>
        <v>11543.8083177673</v>
      </c>
      <c r="BV22" s="30" t="n">
        <f aca="false">SUMIF($C$2:$F$2,EOMONTH(BV$2,-1)+1,$C22:$F22)*VLOOKUP(BV$2,Valores!$H$2:$P$154,8,0)</f>
        <v>11543.8083177673</v>
      </c>
      <c r="BW22" s="30" t="n">
        <f aca="false">SUMIF($C$2:$F$2,EOMONTH(BW$2,-1)+1,$C22:$F22)*VLOOKUP(BW$2,Valores!$H$2:$P$154,8,0)</f>
        <v>23087.6166355345</v>
      </c>
      <c r="BX22" s="30" t="n">
        <f aca="false">SUMIF($C$2:$F$2,EOMONTH(BX$2,-1)+1,$C22:$F22)*VLOOKUP(BX$2,Valores!$H$2:$P$154,8,0)</f>
        <v>28859.5207944182</v>
      </c>
      <c r="BY22" s="30" t="n">
        <f aca="false">SUMIF($C$2:$F$2,EOMONTH(BY$2,-1)+1,$C22:$F22)*VLOOKUP(BY$2,Valores!$H$2:$P$154,8,0)</f>
        <v>17315.7124766509</v>
      </c>
      <c r="BZ22" s="30" t="n">
        <f aca="false">SUMIF($C$2:$F$2,EOMONTH(BZ$2,-1)+1,$C22:$F22)*VLOOKUP(BZ$2,Valores!$H$2:$P$154,8,0)</f>
        <v>11543.8083177673</v>
      </c>
      <c r="CA22" s="30" t="n">
        <f aca="false">SUMIF($C$2:$F$2,EOMONTH(CA$2,-1)+1,$C22:$F22)*VLOOKUP(CA$2,Valores!$H$2:$P$154,8,0)</f>
        <v>11543.8083177673</v>
      </c>
      <c r="CB22" s="30" t="n">
        <f aca="false">SUMIF($C$2:$F$2,EOMONTH(CB$2,-1)+1,$C22:$F22)*VLOOKUP(CB$2,Valores!$H$2:$P$154,8,0)</f>
        <v>11543.8083177673</v>
      </c>
      <c r="CC22" s="30" t="n">
        <f aca="false">SUMIF($C$2:$F$2,EOMONTH(CC$2,-1)+1,$C22:$F22)*VLOOKUP(CC$2,Valores!$H$2:$P$154,8,0)</f>
        <v>11543.8083177673</v>
      </c>
      <c r="CD22" s="30" t="n">
        <f aca="false">SUMIF($C$2:$F$2,EOMONTH(CD$2,-1)+1,$C22:$F22)*VLOOKUP(CD$2,Valores!$H$2:$P$154,8,0)</f>
        <v>34631.4249533018</v>
      </c>
      <c r="CE22" s="30" t="n">
        <f aca="false">SUMIF($C$2:$F$2,EOMONTH(CE$2,-1)+1,$C22:$F22)*VLOOKUP(CE$2,Valores!$H$2:$P$154,8,0)</f>
        <v>46175.2332710691</v>
      </c>
      <c r="CF22" s="30" t="n">
        <f aca="false">SUMIF($C$2:$F$2,EOMONTH(CF$2,-1)+1,$C22:$F22)*VLOOKUP(CF$2,Valores!$H$2:$P$154,8,0)</f>
        <v>28859.5207944182</v>
      </c>
      <c r="CG22" s="30" t="n">
        <f aca="false">SUMIF($C$2:$F$2,EOMONTH(CG$2,-1)+1,$C22:$F22)*VLOOKUP(CG$2,Valores!$H$2:$P$154,8,0)</f>
        <v>15391.7444236897</v>
      </c>
      <c r="CH22" s="30" t="n">
        <f aca="false">SUMIF($C$2:$F$2,EOMONTH(CH$2,-1)+1,$C22:$F22)*VLOOKUP(CH$2,Valores!$H$2:$P$154,8,0)</f>
        <v>15391.7444236897</v>
      </c>
      <c r="CI22" s="30" t="n">
        <f aca="false">SUMIF($C$2:$F$2,EOMONTH(CI$2,-1)+1,$C22:$F22)*VLOOKUP(CI$2,Valores!$H$2:$P$154,8,0)</f>
        <v>15391.7444236897</v>
      </c>
      <c r="CJ22" s="30" t="n">
        <f aca="false">SUMIF($C$2:$F$2,EOMONTH(CJ$2,-1)+1,$C22:$F22)*VLOOKUP(CJ$2,Valores!$H$2:$P$154,8,0)</f>
        <v>15391.7444236897</v>
      </c>
      <c r="CK22" s="30" t="n">
        <f aca="false">SUMIF($C$2:$F$2,EOMONTH(CK$2,-1)+1,$C22:$F22)*VLOOKUP(CK$2,Valores!$H$2:$P$154,8,0)</f>
        <v>30783.4888473794</v>
      </c>
      <c r="CL22" s="30" t="n">
        <f aca="false">SUMIF($C$2:$F$2,EOMONTH(CL$2,-1)+1,$C22:$F22)*VLOOKUP(CL$2,Valores!$H$2:$P$154,8,0)</f>
        <v>38479.3610592242</v>
      </c>
      <c r="CM22" s="30" t="n">
        <f aca="false">SUMIF($C$2:$F$2,EOMONTH(CM$2,-1)+1,$C22:$F22)*VLOOKUP(CM$2,Valores!$H$2:$P$154,8,0)</f>
        <v>23087.6166355345</v>
      </c>
      <c r="CN22" s="30" t="n">
        <f aca="false">SUMIF($C$2:$F$2,EOMONTH(CN$2,-1)+1,$C22:$F22)*VLOOKUP(CN$2,Valores!$H$2:$P$154,8,0)</f>
        <v>16930.9188660587</v>
      </c>
      <c r="CO22" s="30" t="n">
        <f aca="false">SUMIF($C$2:$F$2,EOMONTH(CO$2,-1)+1,$C22:$F22)*VLOOKUP(CO$2,Valores!$H$2:$P$154,8,0)</f>
        <v>16930.9188660587</v>
      </c>
      <c r="CP22" s="30" t="n">
        <f aca="false">SUMIF($C$2:$F$2,EOMONTH(CP$2,-1)+1,$C22:$F22)*VLOOKUP(CP$2,Valores!$H$2:$P$154,8,0)</f>
        <v>16930.9188660587</v>
      </c>
      <c r="CQ22" s="30" t="n">
        <f aca="false">SUMIF($C$2:$F$2,EOMONTH(CQ$2,-1)+1,$C22:$F22)*VLOOKUP(CQ$2,Valores!$H$2:$P$154,8,0)</f>
        <v>16930.9188660587</v>
      </c>
      <c r="CR22" s="30" t="n">
        <f aca="false">SUMIF($C$2:$F$2,EOMONTH(CR$2,-1)+1,$C22:$F22)*VLOOKUP(CR$2,Valores!$H$2:$P$154,8,0)</f>
        <v>33861.8377321173</v>
      </c>
      <c r="CS22" s="30" t="n">
        <f aca="false">SUMIF($C$2:$F$2,EOMONTH(CS$2,-1)+1,$C22:$F22)*VLOOKUP(CS$2,Valores!$H$2:$P$154,8,0)</f>
        <v>50792.756598176</v>
      </c>
      <c r="CT22" s="30" t="e">
        <f aca="false">SUMIF($C$2:$F$2,EOMONTH(CT$2,-1)+1,$C22:$F22)*VLOOKUP(CT$2,Valores!$H$2:$P$154,8,0)</f>
        <v>#VALUE!</v>
      </c>
      <c r="CU22" s="30" t="e">
        <f aca="false">SUMIF($C$2:$F$2,EOMONTH(CU$2,-1)+1,$C22:$F22)*VLOOKUP(CU$2,Valores!$H$2:$P$154,8,0)</f>
        <v>#VALUE!</v>
      </c>
      <c r="CV22" s="30" t="e">
        <f aca="false">SUMIF($C$2:$F$2,EOMONTH(CV$2,-1)+1,$C22:$F22)*VLOOKUP(CV$2,Valores!$H$2:$P$154,8,0)</f>
        <v>#VALUE!</v>
      </c>
      <c r="CW22" s="30" t="e">
        <f aca="false">SUMIF($C$2:$F$2,EOMONTH(CW$2,-1)+1,$C22:$F22)*VLOOKUP(CW$2,Valores!$H$2:$P$154,8,0)</f>
        <v>#VALUE!</v>
      </c>
      <c r="CX22" s="30" t="e">
        <f aca="false">SUMIF($C$2:$F$2,EOMONTH(CX$2,-1)+1,$C22:$F22)*VLOOKUP(CX$2,Valores!$H$2:$P$154,8,0)</f>
        <v>#VALUE!</v>
      </c>
      <c r="CY22" s="30" t="e">
        <f aca="false">SUMIF($C$2:$F$2,EOMONTH(CY$2,-1)+1,$C22:$F22)*VLOOKUP(CY$2,Valores!$H$2:$P$154,8,0)</f>
        <v>#VALUE!</v>
      </c>
      <c r="CZ22" s="30" t="e">
        <f aca="false">SUMIF($C$2:$F$2,EOMONTH(CZ$2,-1)+1,$C22:$F22)*VLOOKUP(CZ$2,Valores!$H$2:$P$154,8,0)</f>
        <v>#VALUE!</v>
      </c>
      <c r="DA22" s="30" t="e">
        <f aca="false">SUMIF($C$2:$F$2,EOMONTH(DA$2,-1)+1,$C22:$F22)*VLOOKUP(DA$2,Valores!$H$2:$P$154,8,0)</f>
        <v>#VALUE!</v>
      </c>
      <c r="DB22" s="30" t="e">
        <f aca="false">SUMIF($C$2:$F$2,EOMONTH(DB$2,-1)+1,$C22:$F22)*VLOOKUP(DB$2,Valores!$H$2:$P$154,8,0)</f>
        <v>#VALUE!</v>
      </c>
      <c r="DC22" s="30" t="e">
        <f aca="false">SUMIF($C$2:$F$2,EOMONTH(DC$2,-1)+1,$C22:$F22)*VLOOKUP(DC$2,Valores!$H$2:$P$154,8,0)</f>
        <v>#VALUE!</v>
      </c>
      <c r="DD22" s="30" t="e">
        <f aca="false">SUMIF($C$2:$F$2,EOMONTH(DD$2,-1)+1,$C22:$F22)*VLOOKUP(DD$2,Valores!$H$2:$P$154,8,0)</f>
        <v>#VALUE!</v>
      </c>
      <c r="DE22" s="30" t="e">
        <f aca="false">SUMIF($C$2:$F$2,EOMONTH(DE$2,-1)+1,$C22:$F22)*VLOOKUP(DE$2,Valores!$H$2:$P$154,8,0)</f>
        <v>#VALUE!</v>
      </c>
      <c r="DF22" s="30" t="e">
        <f aca="false">SUMIF($C$2:$F$2,EOMONTH(DF$2,-1)+1,$C22:$F22)*VLOOKUP(DF$2,Valores!$H$2:$P$154,8,0)</f>
        <v>#VALUE!</v>
      </c>
      <c r="DG22" s="30" t="e">
        <f aca="false">SUMIF($C$2:$F$2,EOMONTH(DG$2,-1)+1,$C22:$F22)*VLOOKUP(DG$2,Valores!$H$2:$P$154,8,0)</f>
        <v>#VALUE!</v>
      </c>
      <c r="DH22" s="30" t="e">
        <f aca="false">SUMIF($C$2:$F$2,EOMONTH(DH$2,-1)+1,$C22:$F22)*VLOOKUP(DH$2,Valores!$H$2:$P$154,8,0)</f>
        <v>#VALUE!</v>
      </c>
      <c r="DI22" s="30" t="e">
        <f aca="false">SUMIF($C$2:$F$2,EOMONTH(DI$2,-1)+1,$C22:$F22)*VLOOKUP(DI$2,Valores!$H$2:$P$154,8,0)</f>
        <v>#VALUE!</v>
      </c>
      <c r="DJ22" s="30" t="e">
        <f aca="false">SUMIF($C$2:$F$2,EOMONTH(DJ$2,-1)+1,$C22:$F22)*VLOOKUP(DJ$2,Valores!$H$2:$P$154,8,0)</f>
        <v>#VALUE!</v>
      </c>
      <c r="DK22" s="30" t="e">
        <f aca="false">SUMIF($C$2:$F$2,EOMONTH(DK$2,-1)+1,$C22:$F22)*VLOOKUP(DK$2,Valores!$H$2:$P$154,8,0)</f>
        <v>#VALUE!</v>
      </c>
      <c r="DL22" s="30" t="e">
        <f aca="false">SUMIF($C$2:$F$2,EOMONTH(DL$2,-1)+1,$C22:$F22)*VLOOKUP(DL$2,Valores!$H$2:$P$154,8,0)</f>
        <v>#VALUE!</v>
      </c>
      <c r="DM22" s="30" t="e">
        <f aca="false">SUMIF($C$2:$F$2,EOMONTH(DM$2,-1)+1,$C22:$F22)*VLOOKUP(DM$2,Valores!$H$2:$P$154,8,0)</f>
        <v>#VALUE!</v>
      </c>
      <c r="DN22" s="30" t="e">
        <f aca="false">SUMIF($C$2:$F$2,EOMONTH(DN$2,-1)+1,$C22:$F22)*VLOOKUP(DN$2,Valores!$H$2:$P$154,8,0)</f>
        <v>#VALUE!</v>
      </c>
      <c r="DO22" s="30" t="e">
        <f aca="false">SUMIF($C$2:$F$2,EOMONTH(DO$2,-1)+1,$C22:$F22)*VLOOKUP(DO$2,Valores!$H$2:$P$154,8,0)</f>
        <v>#VALUE!</v>
      </c>
      <c r="DP22" s="30" t="e">
        <f aca="false">SUMIF($C$2:$F$2,EOMONTH(DP$2,-1)+1,$C22:$F22)*VLOOKUP(DP$2,Valores!$H$2:$P$154,8,0)</f>
        <v>#VALUE!</v>
      </c>
      <c r="DQ22" s="30" t="e">
        <f aca="false">SUMIF($C$2:$F$2,EOMONTH(DQ$2,-1)+1,$C22:$F22)*VLOOKUP(DQ$2,Valores!$H$2:$P$154,8,0)</f>
        <v>#VALUE!</v>
      </c>
      <c r="DR22" s="30" t="e">
        <f aca="false">SUMIF($C$2:$F$2,EOMONTH(DR$2,-1)+1,$C22:$F22)*VLOOKUP(DR$2,Valores!$H$2:$P$154,8,0)</f>
        <v>#VALUE!</v>
      </c>
      <c r="DS22" s="30" t="e">
        <f aca="false">SUMIF($C$2:$F$2,EOMONTH(DS$2,-1)+1,$C22:$F22)*VLOOKUP(DS$2,Valores!$H$2:$P$154,8,0)</f>
        <v>#VALUE!</v>
      </c>
      <c r="DT22" s="30" t="e">
        <f aca="false">SUMIF($C$2:$F$2,EOMONTH(DT$2,-1)+1,$C22:$F22)*VLOOKUP(DT$2,Valores!$H$2:$P$154,8,0)</f>
        <v>#VALUE!</v>
      </c>
      <c r="DU22" s="30" t="e">
        <f aca="false">SUMIF($C$2:$F$2,EOMONTH(DU$2,-1)+1,$C22:$F22)*VLOOKUP(DU$2,Valores!$H$2:$P$154,8,0)</f>
        <v>#VALUE!</v>
      </c>
      <c r="DV22" s="30" t="e">
        <f aca="false">SUMIF($C$2:$F$2,EOMONTH(DV$2,-1)+1,$C22:$F22)*VLOOKUP(DV$2,Valores!$H$2:$P$154,8,0)</f>
        <v>#VALUE!</v>
      </c>
      <c r="DW22" s="30" t="e">
        <f aca="false">SUMIF($C$2:$F$2,EOMONTH(DW$2,-1)+1,$C22:$F22)*VLOOKUP(DW$2,Valores!$H$2:$P$154,8,0)</f>
        <v>#VALUE!</v>
      </c>
      <c r="DX22" s="30" t="e">
        <f aca="false">SUMIF($C$2:$F$2,EOMONTH(DX$2,-1)+1,$C22:$F22)*VLOOKUP(DX$2,Valores!$H$2:$P$154,8,0)</f>
        <v>#VALUE!</v>
      </c>
    </row>
    <row r="23" customFormat="false" ht="13.8" hidden="false" customHeight="false" outlineLevel="0" collapsed="false">
      <c r="A23" s="31" t="s">
        <v>23</v>
      </c>
      <c r="B23" s="31" t="s">
        <v>44</v>
      </c>
      <c r="C23" s="31" t="n">
        <v>999163</v>
      </c>
      <c r="D23" s="31" t="n">
        <v>899246.7</v>
      </c>
      <c r="E23" s="31" t="n">
        <v>809322.03</v>
      </c>
      <c r="F23" s="31" t="n">
        <v>728389.827</v>
      </c>
      <c r="G23" s="27" t="n">
        <f aca="false">SUMIF($C$2:$F$2,EOMONTH(G$2,-1)+1,$C23:$F23)*VLOOKUP(G$2,Valores!$H$2:$P$154,8,0)</f>
        <v>28773.0006582195</v>
      </c>
      <c r="H23" s="27" t="n">
        <f aca="false">SUMIF($C$2:$F$2,EOMONTH(H$2,-1)+1,$C23:$F23)*VLOOKUP(H$2,Valores!$H$2:$P$154,8,0)</f>
        <v>19730.0575942077</v>
      </c>
      <c r="I23" s="27" t="n">
        <f aca="false">SUMIF($C$2:$F$2,EOMONTH(I$2,-1)+1,$C23:$F23)*VLOOKUP(I$2,Valores!$H$2:$P$154,8,0)</f>
        <v>19730.0575942077</v>
      </c>
      <c r="J23" s="27" t="n">
        <f aca="false">SUMIF($C$2:$F$2,EOMONTH(J$2,-1)+1,$C23:$F23)*VLOOKUP(J$2,Valores!$H$2:$P$154,8,0)</f>
        <v>19730.0575942077</v>
      </c>
      <c r="K23" s="27" t="n">
        <f aca="false">SUMIF($C$2:$F$2,EOMONTH(K$2,-1)+1,$C23:$F23)*VLOOKUP(K$2,Valores!$H$2:$P$154,8,0)</f>
        <v>19730.0575942077</v>
      </c>
      <c r="L23" s="27" t="n">
        <f aca="false">SUMIF($C$2:$F$2,EOMONTH(L$2,-1)+1,$C23:$F23)*VLOOKUP(L$2,Valores!$H$2:$P$154,8,0)</f>
        <v>39460.1151884153</v>
      </c>
      <c r="M23" s="27" t="n">
        <f aca="false">SUMIF($C$2:$F$2,EOMONTH(M$2,-1)+1,$C23:$F23)*VLOOKUP(M$2,Valores!$H$2:$P$154,8,0)</f>
        <v>49325.1439855192</v>
      </c>
      <c r="N23" s="27" t="n">
        <f aca="false">SUMIF($C$2:$F$2,EOMONTH(N$2,-1)+1,$C23:$F23)*VLOOKUP(N$2,Valores!$H$2:$P$154,8,0)</f>
        <v>29595.0863913115</v>
      </c>
      <c r="O23" s="27" t="n">
        <f aca="false">SUMIF($C$2:$F$2,EOMONTH(O$2,-1)+1,$C23:$F23)*VLOOKUP(O$2,Valores!$H$2:$P$154,8,0)</f>
        <v>26306.7434589436</v>
      </c>
      <c r="P23" s="27" t="n">
        <f aca="false">SUMIF($C$2:$F$2,EOMONTH(P$2,-1)+1,$C23:$F23)*VLOOKUP(P$2,Valores!$H$2:$P$154,8,0)</f>
        <v>26306.7434589436</v>
      </c>
      <c r="Q23" s="27" t="n">
        <f aca="false">SUMIF($C$2:$F$2,EOMONTH(Q$2,-1)+1,$C23:$F23)*VLOOKUP(Q$2,Valores!$H$2:$P$154,8,0)</f>
        <v>15784.0460753661</v>
      </c>
      <c r="R23" s="27" t="n">
        <f aca="false">SUMIF($C$2:$F$2,EOMONTH(R$2,-1)+1,$C23:$F23)*VLOOKUP(R$2,Valores!$H$2:$P$154,8,0)</f>
        <v>26306.7434589436</v>
      </c>
      <c r="S23" s="27" t="n">
        <f aca="false">SUMIF($C$2:$F$2,EOMONTH(S$2,-1)+1,$C23:$F23)*VLOOKUP(S$2,Valores!$H$2:$P$154,8,0)</f>
        <v>52613.4869178871</v>
      </c>
      <c r="T23" s="27" t="n">
        <f aca="false">SUMIF($C$2:$F$2,EOMONTH(T$2,-1)+1,$C23:$F23)*VLOOKUP(T$2,Valores!$H$2:$P$154,8,0)</f>
        <v>65766.8586473589</v>
      </c>
      <c r="U23" s="27" t="n">
        <f aca="false">SUMIF($C$2:$F$2,EOMONTH(U$2,-1)+1,$C23:$F23)*VLOOKUP(U$2,Valores!$H$2:$P$154,8,0)</f>
        <v>39460.1151884153</v>
      </c>
      <c r="V23" s="27" t="n">
        <f aca="false">SUMIF($C$2:$F$2,EOMONTH(V$2,-1)+1,$C23:$F23)*VLOOKUP(V$2,Valores!$H$2:$P$154,8,0)</f>
        <v>32883.4293236794</v>
      </c>
      <c r="W23" s="27" t="n">
        <f aca="false">SUMIF($C$2:$F$2,EOMONTH(W$2,-1)+1,$C23:$F23)*VLOOKUP(W$2,Valores!$H$2:$P$154,8,0)</f>
        <v>32883.4293236794</v>
      </c>
      <c r="X23" s="27" t="n">
        <f aca="false">SUMIF($C$2:$F$2,EOMONTH(X$2,-1)+1,$C23:$F23)*VLOOKUP(X$2,Valores!$H$2:$P$154,8,0)</f>
        <v>0</v>
      </c>
      <c r="Y23" s="27" t="n">
        <f aca="false">SUMIF($C$2:$F$2,EOMONTH(Y$2,-1)+1,$C23:$F23)*VLOOKUP(Y$2,Valores!$H$2:$P$154,8,0)</f>
        <v>0</v>
      </c>
      <c r="Z23" s="27" t="n">
        <f aca="false">SUMIF($C$2:$F$2,EOMONTH(Z$2,-1)+1,$C23:$F23)*VLOOKUP(Z$2,Valores!$H$2:$P$154,8,0)</f>
        <v>49325.1439855192</v>
      </c>
      <c r="AA23" s="27" t="n">
        <f aca="false">SUMIF($C$2:$F$2,EOMONTH(AA$2,-1)+1,$C23:$F23)*VLOOKUP(AA$2,Valores!$H$2:$P$154,8,0)</f>
        <v>59190.172782623</v>
      </c>
      <c r="AB23" s="27" t="n">
        <f aca="false">SUMIF($C$2:$F$2,EOMONTH(AB$2,-1)+1,$C23:$F23)*VLOOKUP(AB$2,Valores!$H$2:$P$154,8,0)</f>
        <v>29595.0863913115</v>
      </c>
      <c r="AC23" s="27" t="n">
        <f aca="false">SUMIF($C$2:$F$2,EOMONTH(AC$2,-1)+1,$C23:$F23)*VLOOKUP(AC$2,Valores!$H$2:$P$154,8,0)</f>
        <v>36171.7722560474</v>
      </c>
      <c r="AD23" s="27" t="n">
        <f aca="false">SUMIF($C$2:$F$2,EOMONTH(AD$2,-1)+1,$C23:$F23)*VLOOKUP(AD$2,Valores!$H$2:$P$154,8,0)</f>
        <v>36171.7722560474</v>
      </c>
      <c r="AE23" s="27" t="n">
        <f aca="false">SUMIF($C$2:$F$2,EOMONTH(AE$2,-1)+1,$C23:$F23)*VLOOKUP(AE$2,Valores!$H$2:$P$154,8,0)</f>
        <v>36171.7722560474</v>
      </c>
      <c r="AF23" s="27" t="n">
        <f aca="false">SUMIF($C$2:$F$2,EOMONTH(AF$2,-1)+1,$C23:$F23)*VLOOKUP(AF$2,Valores!$H$2:$P$154,8,0)</f>
        <v>36171.7722560474</v>
      </c>
      <c r="AG23" s="27" t="n">
        <f aca="false">SUMIF($C$2:$F$2,EOMONTH(AG$2,-1)+1,$C23:$F23)*VLOOKUP(AG$2,Valores!$H$2:$P$154,8,0)</f>
        <v>57874.8356096758</v>
      </c>
      <c r="AH23" s="27" t="n">
        <f aca="false">SUMIF($C$2:$F$2,EOMONTH(AH$2,-1)+1,$C23:$F23)*VLOOKUP(AH$2,Valores!$H$2:$P$154,8,0)</f>
        <v>72343.5445120948</v>
      </c>
      <c r="AI23" s="27" t="n">
        <f aca="false">SUMIF($C$2:$F$2,EOMONTH(AI$2,-1)+1,$C23:$F23)*VLOOKUP(AI$2,Valores!$H$2:$P$154,8,0)</f>
        <v>25320.2405792332</v>
      </c>
      <c r="AJ23" s="27" t="n">
        <f aca="false">SUMIF($C$2:$F$2,EOMONTH(AJ$2,-1)+1,$C23:$F23)*VLOOKUP(AJ$2,Valores!$H$2:$P$154,8,0)</f>
        <v>16441.7146618397</v>
      </c>
      <c r="AK23" s="27" t="n">
        <f aca="false">SUMIF($C$2:$F$2,EOMONTH(AK$2,-1)+1,$C23:$F23)*VLOOKUP(AK$2,Valores!$H$2:$P$154,8,0)</f>
        <v>29982.7426230679</v>
      </c>
      <c r="AL23" s="27" t="n">
        <f aca="false">SUMIF($C$2:$F$2,EOMONTH(AL$2,-1)+1,$C23:$F23)*VLOOKUP(AL$2,Valores!$H$2:$P$154,8,0)</f>
        <v>29982.7426230679</v>
      </c>
      <c r="AM23" s="27" t="n">
        <f aca="false">SUMIF($C$2:$F$2,EOMONTH(AM$2,-1)+1,$C23:$F23)*VLOOKUP(AM$2,Valores!$H$2:$P$154,8,0)</f>
        <v>29982.7426230679</v>
      </c>
      <c r="AN23" s="27" t="n">
        <f aca="false">SUMIF($C$2:$F$2,EOMONTH(AN$2,-1)+1,$C23:$F23)*VLOOKUP(AN$2,Valores!$H$2:$P$154,8,0)</f>
        <v>59965.4852461359</v>
      </c>
      <c r="AO23" s="27" t="n">
        <f aca="false">SUMIF($C$2:$F$2,EOMONTH(AO$2,-1)+1,$C23:$F23)*VLOOKUP(AO$2,Valores!$H$2:$P$154,8,0)</f>
        <v>74956.8565576698</v>
      </c>
      <c r="AP23" s="27" t="n">
        <f aca="false">SUMIF($C$2:$F$2,EOMONTH(AP$2,-1)+1,$C23:$F23)*VLOOKUP(AP$2,Valores!$H$2:$P$154,8,0)</f>
        <v>44974.1139346019</v>
      </c>
      <c r="AQ23" s="27" t="n">
        <f aca="false">SUMIF($C$2:$F$2,EOMONTH(AQ$2,-1)+1,$C23:$F23)*VLOOKUP(AQ$2,Valores!$H$2:$P$154,8,0)</f>
        <v>16062.1835480721</v>
      </c>
      <c r="AR23" s="27" t="n">
        <f aca="false">SUMIF($C$2:$F$2,EOMONTH(AR$2,-1)+1,$C23:$F23)*VLOOKUP(AR$2,Valores!$H$2:$P$154,8,0)</f>
        <v>16062.1835480721</v>
      </c>
      <c r="AS23" s="27" t="n">
        <f aca="false">SUMIF($C$2:$F$2,EOMONTH(AS$2,-1)+1,$C23:$F23)*VLOOKUP(AS$2,Valores!$H$2:$P$154,8,0)</f>
        <v>16062.1835480721</v>
      </c>
      <c r="AT23" s="27" t="n">
        <f aca="false">SUMIF($C$2:$F$2,EOMONTH(AT$2,-1)+1,$C23:$F23)*VLOOKUP(AT$2,Valores!$H$2:$P$154,8,0)</f>
        <v>16062.1835480721</v>
      </c>
      <c r="AU23" s="27" t="n">
        <f aca="false">SUMIF($C$2:$F$2,EOMONTH(AU$2,-1)+1,$C23:$F23)*VLOOKUP(AU$2,Valores!$H$2:$P$154,8,0)</f>
        <v>32124.3670961442</v>
      </c>
      <c r="AV23" s="27" t="n">
        <f aca="false">SUMIF($C$2:$F$2,EOMONTH(AV$2,-1)+1,$C23:$F23)*VLOOKUP(AV$2,Valores!$H$2:$P$154,8,0)</f>
        <v>40155.4588701803</v>
      </c>
      <c r="AW23" s="27" t="n">
        <f aca="false">SUMIF($C$2:$F$2,EOMONTH(AW$2,-1)+1,$C23:$F23)*VLOOKUP(AW$2,Valores!$H$2:$P$154,8,0)</f>
        <v>24093.2753221082</v>
      </c>
      <c r="AX23" s="27" t="n">
        <f aca="false">SUMIF($C$2:$F$2,EOMONTH(AX$2,-1)+1,$C23:$F23)*VLOOKUP(AX$2,Valores!$H$2:$P$154,8,0)</f>
        <v>16062.1835480721</v>
      </c>
      <c r="AY23" s="27" t="n">
        <f aca="false">SUMIF($C$2:$F$2,EOMONTH(AY$2,-1)+1,$C23:$F23)*VLOOKUP(AY$2,Valores!$H$2:$P$154,8,0)</f>
        <v>20880.8386124937</v>
      </c>
      <c r="AZ23" s="27" t="n">
        <f aca="false">SUMIF($C$2:$F$2,EOMONTH(AZ$2,-1)+1,$C23:$F23)*VLOOKUP(AZ$2,Valores!$H$2:$P$154,8,0)</f>
        <v>20880.8386124937</v>
      </c>
      <c r="BA23" s="27" t="n">
        <f aca="false">SUMIF($C$2:$F$2,EOMONTH(BA$2,-1)+1,$C23:$F23)*VLOOKUP(BA$2,Valores!$H$2:$P$154,8,0)</f>
        <v>20880.8386124937</v>
      </c>
      <c r="BB23" s="27" t="n">
        <f aca="false">SUMIF($C$2:$F$2,EOMONTH(BB$2,-1)+1,$C23:$F23)*VLOOKUP(BB$2,Valores!$H$2:$P$154,8,0)</f>
        <v>36943.0221605658</v>
      </c>
      <c r="BC23" s="27" t="n">
        <f aca="false">SUMIF($C$2:$F$2,EOMONTH(BC$2,-1)+1,$C23:$F23)*VLOOKUP(BC$2,Valores!$H$2:$P$154,8,0)</f>
        <v>44974.1139346019</v>
      </c>
      <c r="BD23" s="27" t="n">
        <f aca="false">SUMIF($C$2:$F$2,EOMONTH(BD$2,-1)+1,$C23:$F23)*VLOOKUP(BD$2,Valores!$H$2:$P$154,8,0)</f>
        <v>24093.2753221082</v>
      </c>
      <c r="BE23" s="27" t="n">
        <f aca="false">SUMIF($C$2:$F$2,EOMONTH(BE$2,-1)+1,$C23:$F23)*VLOOKUP(BE$2,Valores!$H$2:$P$154,8,0)</f>
        <v>21416.2447307628</v>
      </c>
      <c r="BF23" s="27" t="n">
        <f aca="false">SUMIF($C$2:$F$2,EOMONTH(BF$2,-1)+1,$C23:$F23)*VLOOKUP(BF$2,Valores!$H$2:$P$154,8,0)</f>
        <v>21416.2447307628</v>
      </c>
      <c r="BG23" s="27" t="n">
        <f aca="false">SUMIF($C$2:$F$2,EOMONTH(BG$2,-1)+1,$C23:$F23)*VLOOKUP(BG$2,Valores!$H$2:$P$154,8,0)</f>
        <v>21416.2447307628</v>
      </c>
      <c r="BH23" s="27" t="n">
        <f aca="false">SUMIF($C$2:$F$2,EOMONTH(BH$2,-1)+1,$C23:$F23)*VLOOKUP(BH$2,Valores!$H$2:$P$154,8,0)</f>
        <v>21416.2447307628</v>
      </c>
      <c r="BI23" s="27" t="n">
        <f aca="false">SUMIF($C$2:$F$2,EOMONTH(BI$2,-1)+1,$C23:$F23)*VLOOKUP(BI$2,Valores!$H$2:$P$154,8,0)</f>
        <v>42832.4894615256</v>
      </c>
      <c r="BJ23" s="27" t="n">
        <f aca="false">SUMIF($C$2:$F$2,EOMONTH(BJ$2,-1)+1,$C23:$F23)*VLOOKUP(BJ$2,Valores!$H$2:$P$154,8,0)</f>
        <v>53540.611826907</v>
      </c>
      <c r="BK23" s="27" t="n">
        <f aca="false">SUMIF($C$2:$F$2,EOMONTH(BK$2,-1)+1,$C23:$F23)*VLOOKUP(BK$2,Valores!$H$2:$P$154,8,0)</f>
        <v>25699.4936769154</v>
      </c>
      <c r="BL23" s="27" t="n">
        <f aca="false">SUMIF($C$2:$F$2,EOMONTH(BL$2,-1)+1,$C23:$F23)*VLOOKUP(BL$2,Valores!$H$2:$P$154,8,0)</f>
        <v>18846.2953630713</v>
      </c>
      <c r="BM23" s="27" t="n">
        <f aca="false">SUMIF($C$2:$F$2,EOMONTH(BM$2,-1)+1,$C23:$F23)*VLOOKUP(BM$2,Valores!$H$2:$P$154,8,0)</f>
        <v>18846.2953630713</v>
      </c>
      <c r="BN23" s="27" t="n">
        <f aca="false">SUMIF($C$2:$F$2,EOMONTH(BN$2,-1)+1,$C23:$F23)*VLOOKUP(BN$2,Valores!$H$2:$P$154,8,0)</f>
        <v>18846.2953630713</v>
      </c>
      <c r="BO23" s="27" t="n">
        <f aca="false">SUMIF($C$2:$F$2,EOMONTH(BO$2,-1)+1,$C23:$F23)*VLOOKUP(BO$2,Valores!$H$2:$P$154,8,0)</f>
        <v>19788.6101312248</v>
      </c>
      <c r="BP23" s="27" t="n">
        <f aca="false">SUMIF($C$2:$F$2,EOMONTH(BP$2,-1)+1,$C23:$F23)*VLOOKUP(BP$2,Valores!$H$2:$P$154,8,0)</f>
        <v>49798.9602021756</v>
      </c>
      <c r="BQ23" s="27" t="n">
        <f aca="false">SUMIF($C$2:$F$2,EOMONTH(BQ$2,-1)+1,$C23:$F23)*VLOOKUP(BQ$2,Valores!$H$2:$P$154,8,0)</f>
        <v>62248.7002527195</v>
      </c>
      <c r="BR23" s="27" t="n">
        <f aca="false">SUMIF($C$2:$F$2,EOMONTH(BR$2,-1)+1,$C23:$F23)*VLOOKUP(BR$2,Valores!$H$2:$P$154,8,0)</f>
        <v>29879.3761213053</v>
      </c>
      <c r="BS23" s="27" t="n">
        <f aca="false">SUMIF($C$2:$F$2,EOMONTH(BS$2,-1)+1,$C23:$F23)*VLOOKUP(BS$2,Valores!$H$2:$P$154,8,0)</f>
        <v>13339.0071970113</v>
      </c>
      <c r="BT23" s="27" t="n">
        <f aca="false">SUMIF($C$2:$F$2,EOMONTH(BT$2,-1)+1,$C23:$F23)*VLOOKUP(BT$2,Valores!$H$2:$P$154,8,0)</f>
        <v>13339.0071970113</v>
      </c>
      <c r="BU23" s="27" t="n">
        <f aca="false">SUMIF($C$2:$F$2,EOMONTH(BU$2,-1)+1,$C23:$F23)*VLOOKUP(BU$2,Valores!$H$2:$P$154,8,0)</f>
        <v>13339.0071970113</v>
      </c>
      <c r="BV23" s="27" t="n">
        <f aca="false">SUMIF($C$2:$F$2,EOMONTH(BV$2,-1)+1,$C23:$F23)*VLOOKUP(BV$2,Valores!$H$2:$P$154,8,0)</f>
        <v>13339.0071970113</v>
      </c>
      <c r="BW23" s="27" t="n">
        <f aca="false">SUMIF($C$2:$F$2,EOMONTH(BW$2,-1)+1,$C23:$F23)*VLOOKUP(BW$2,Valores!$H$2:$P$154,8,0)</f>
        <v>26678.0143940226</v>
      </c>
      <c r="BX23" s="27" t="n">
        <f aca="false">SUMIF($C$2:$F$2,EOMONTH(BX$2,-1)+1,$C23:$F23)*VLOOKUP(BX$2,Valores!$H$2:$P$154,8,0)</f>
        <v>33347.5179925283</v>
      </c>
      <c r="BY23" s="27" t="n">
        <f aca="false">SUMIF($C$2:$F$2,EOMONTH(BY$2,-1)+1,$C23:$F23)*VLOOKUP(BY$2,Valores!$H$2:$P$154,8,0)</f>
        <v>20008.510795517</v>
      </c>
      <c r="BZ23" s="27" t="n">
        <f aca="false">SUMIF($C$2:$F$2,EOMONTH(BZ$2,-1)+1,$C23:$F23)*VLOOKUP(BZ$2,Valores!$H$2:$P$154,8,0)</f>
        <v>13339.0071970113</v>
      </c>
      <c r="CA23" s="27" t="n">
        <f aca="false">SUMIF($C$2:$F$2,EOMONTH(CA$2,-1)+1,$C23:$F23)*VLOOKUP(CA$2,Valores!$H$2:$P$154,8,0)</f>
        <v>13339.0071970113</v>
      </c>
      <c r="CB23" s="27" t="n">
        <f aca="false">SUMIF($C$2:$F$2,EOMONTH(CB$2,-1)+1,$C23:$F23)*VLOOKUP(CB$2,Valores!$H$2:$P$154,8,0)</f>
        <v>13339.0071970113</v>
      </c>
      <c r="CC23" s="27" t="n">
        <f aca="false">SUMIF($C$2:$F$2,EOMONTH(CC$2,-1)+1,$C23:$F23)*VLOOKUP(CC$2,Valores!$H$2:$P$154,8,0)</f>
        <v>13339.0071970113</v>
      </c>
      <c r="CD23" s="27" t="n">
        <f aca="false">SUMIF($C$2:$F$2,EOMONTH(CD$2,-1)+1,$C23:$F23)*VLOOKUP(CD$2,Valores!$H$2:$P$154,8,0)</f>
        <v>40017.0215910339</v>
      </c>
      <c r="CE23" s="27" t="n">
        <f aca="false">SUMIF($C$2:$F$2,EOMONTH(CE$2,-1)+1,$C23:$F23)*VLOOKUP(CE$2,Valores!$H$2:$P$154,8,0)</f>
        <v>53356.0287880453</v>
      </c>
      <c r="CF23" s="27" t="n">
        <f aca="false">SUMIF($C$2:$F$2,EOMONTH(CF$2,-1)+1,$C23:$F23)*VLOOKUP(CF$2,Valores!$H$2:$P$154,8,0)</f>
        <v>33347.5179925283</v>
      </c>
      <c r="CG23" s="27" t="n">
        <f aca="false">SUMIF($C$2:$F$2,EOMONTH(CG$2,-1)+1,$C23:$F23)*VLOOKUP(CG$2,Valores!$H$2:$P$154,8,0)</f>
        <v>17785.3429293484</v>
      </c>
      <c r="CH23" s="27" t="n">
        <f aca="false">SUMIF($C$2:$F$2,EOMONTH(CH$2,-1)+1,$C23:$F23)*VLOOKUP(CH$2,Valores!$H$2:$P$154,8,0)</f>
        <v>17785.3429293484</v>
      </c>
      <c r="CI23" s="27" t="n">
        <f aca="false">SUMIF($C$2:$F$2,EOMONTH(CI$2,-1)+1,$C23:$F23)*VLOOKUP(CI$2,Valores!$H$2:$P$154,8,0)</f>
        <v>17785.3429293484</v>
      </c>
      <c r="CJ23" s="27" t="n">
        <f aca="false">SUMIF($C$2:$F$2,EOMONTH(CJ$2,-1)+1,$C23:$F23)*VLOOKUP(CJ$2,Valores!$H$2:$P$154,8,0)</f>
        <v>17785.3429293484</v>
      </c>
      <c r="CK23" s="27" t="n">
        <f aca="false">SUMIF($C$2:$F$2,EOMONTH(CK$2,-1)+1,$C23:$F23)*VLOOKUP(CK$2,Valores!$H$2:$P$154,8,0)</f>
        <v>35570.6858586968</v>
      </c>
      <c r="CL23" s="27" t="n">
        <f aca="false">SUMIF($C$2:$F$2,EOMONTH(CL$2,-1)+1,$C23:$F23)*VLOOKUP(CL$2,Valores!$H$2:$P$154,8,0)</f>
        <v>44463.357323371</v>
      </c>
      <c r="CM23" s="27" t="n">
        <f aca="false">SUMIF($C$2:$F$2,EOMONTH(CM$2,-1)+1,$C23:$F23)*VLOOKUP(CM$2,Valores!$H$2:$P$154,8,0)</f>
        <v>26678.0143940226</v>
      </c>
      <c r="CN23" s="27" t="n">
        <f aca="false">SUMIF($C$2:$F$2,EOMONTH(CN$2,-1)+1,$C23:$F23)*VLOOKUP(CN$2,Valores!$H$2:$P$154,8,0)</f>
        <v>19563.8772222833</v>
      </c>
      <c r="CO23" s="27" t="n">
        <f aca="false">SUMIF($C$2:$F$2,EOMONTH(CO$2,-1)+1,$C23:$F23)*VLOOKUP(CO$2,Valores!$H$2:$P$154,8,0)</f>
        <v>19563.8772222833</v>
      </c>
      <c r="CP23" s="27" t="n">
        <f aca="false">SUMIF($C$2:$F$2,EOMONTH(CP$2,-1)+1,$C23:$F23)*VLOOKUP(CP$2,Valores!$H$2:$P$154,8,0)</f>
        <v>19563.8772222833</v>
      </c>
      <c r="CQ23" s="27" t="n">
        <f aca="false">SUMIF($C$2:$F$2,EOMONTH(CQ$2,-1)+1,$C23:$F23)*VLOOKUP(CQ$2,Valores!$H$2:$P$154,8,0)</f>
        <v>19563.8772222833</v>
      </c>
      <c r="CR23" s="27" t="n">
        <f aca="false">SUMIF($C$2:$F$2,EOMONTH(CR$2,-1)+1,$C23:$F23)*VLOOKUP(CR$2,Valores!$H$2:$P$154,8,0)</f>
        <v>39127.7544445665</v>
      </c>
      <c r="CS23" s="27" t="n">
        <f aca="false">SUMIF($C$2:$F$2,EOMONTH(CS$2,-1)+1,$C23:$F23)*VLOOKUP(CS$2,Valores!$H$2:$P$154,8,0)</f>
        <v>58691.6316668498</v>
      </c>
      <c r="CT23" s="27" t="e">
        <f aca="false">SUMIF($C$2:$F$2,EOMONTH(CT$2,-1)+1,$C23:$F23)*VLOOKUP(CT$2,Valores!$H$2:$P$154,8,0)</f>
        <v>#VALUE!</v>
      </c>
      <c r="CU23" s="27" t="e">
        <f aca="false">SUMIF($C$2:$F$2,EOMONTH(CU$2,-1)+1,$C23:$F23)*VLOOKUP(CU$2,Valores!$H$2:$P$154,8,0)</f>
        <v>#VALUE!</v>
      </c>
      <c r="CV23" s="27" t="e">
        <f aca="false">SUMIF($C$2:$F$2,EOMONTH(CV$2,-1)+1,$C23:$F23)*VLOOKUP(CV$2,Valores!$H$2:$P$154,8,0)</f>
        <v>#VALUE!</v>
      </c>
      <c r="CW23" s="27" t="e">
        <f aca="false">SUMIF($C$2:$F$2,EOMONTH(CW$2,-1)+1,$C23:$F23)*VLOOKUP(CW$2,Valores!$H$2:$P$154,8,0)</f>
        <v>#VALUE!</v>
      </c>
      <c r="CX23" s="27" t="e">
        <f aca="false">SUMIF($C$2:$F$2,EOMONTH(CX$2,-1)+1,$C23:$F23)*VLOOKUP(CX$2,Valores!$H$2:$P$154,8,0)</f>
        <v>#VALUE!</v>
      </c>
      <c r="CY23" s="27" t="e">
        <f aca="false">SUMIF($C$2:$F$2,EOMONTH(CY$2,-1)+1,$C23:$F23)*VLOOKUP(CY$2,Valores!$H$2:$P$154,8,0)</f>
        <v>#VALUE!</v>
      </c>
      <c r="CZ23" s="27" t="e">
        <f aca="false">SUMIF($C$2:$F$2,EOMONTH(CZ$2,-1)+1,$C23:$F23)*VLOOKUP(CZ$2,Valores!$H$2:$P$154,8,0)</f>
        <v>#VALUE!</v>
      </c>
      <c r="DA23" s="27" t="e">
        <f aca="false">SUMIF($C$2:$F$2,EOMONTH(DA$2,-1)+1,$C23:$F23)*VLOOKUP(DA$2,Valores!$H$2:$P$154,8,0)</f>
        <v>#VALUE!</v>
      </c>
      <c r="DB23" s="27" t="e">
        <f aca="false">SUMIF($C$2:$F$2,EOMONTH(DB$2,-1)+1,$C23:$F23)*VLOOKUP(DB$2,Valores!$H$2:$P$154,8,0)</f>
        <v>#VALUE!</v>
      </c>
      <c r="DC23" s="27" t="e">
        <f aca="false">SUMIF($C$2:$F$2,EOMONTH(DC$2,-1)+1,$C23:$F23)*VLOOKUP(DC$2,Valores!$H$2:$P$154,8,0)</f>
        <v>#VALUE!</v>
      </c>
      <c r="DD23" s="27" t="e">
        <f aca="false">SUMIF($C$2:$F$2,EOMONTH(DD$2,-1)+1,$C23:$F23)*VLOOKUP(DD$2,Valores!$H$2:$P$154,8,0)</f>
        <v>#VALUE!</v>
      </c>
      <c r="DE23" s="27" t="e">
        <f aca="false">SUMIF($C$2:$F$2,EOMONTH(DE$2,-1)+1,$C23:$F23)*VLOOKUP(DE$2,Valores!$H$2:$P$154,8,0)</f>
        <v>#VALUE!</v>
      </c>
      <c r="DF23" s="27" t="e">
        <f aca="false">SUMIF($C$2:$F$2,EOMONTH(DF$2,-1)+1,$C23:$F23)*VLOOKUP(DF$2,Valores!$H$2:$P$154,8,0)</f>
        <v>#VALUE!</v>
      </c>
      <c r="DG23" s="27" t="e">
        <f aca="false">SUMIF($C$2:$F$2,EOMONTH(DG$2,-1)+1,$C23:$F23)*VLOOKUP(DG$2,Valores!$H$2:$P$154,8,0)</f>
        <v>#VALUE!</v>
      </c>
      <c r="DH23" s="27" t="e">
        <f aca="false">SUMIF($C$2:$F$2,EOMONTH(DH$2,-1)+1,$C23:$F23)*VLOOKUP(DH$2,Valores!$H$2:$P$154,8,0)</f>
        <v>#VALUE!</v>
      </c>
      <c r="DI23" s="27" t="e">
        <f aca="false">SUMIF($C$2:$F$2,EOMONTH(DI$2,-1)+1,$C23:$F23)*VLOOKUP(DI$2,Valores!$H$2:$P$154,8,0)</f>
        <v>#VALUE!</v>
      </c>
      <c r="DJ23" s="27" t="e">
        <f aca="false">SUMIF($C$2:$F$2,EOMONTH(DJ$2,-1)+1,$C23:$F23)*VLOOKUP(DJ$2,Valores!$H$2:$P$154,8,0)</f>
        <v>#VALUE!</v>
      </c>
      <c r="DK23" s="27" t="e">
        <f aca="false">SUMIF($C$2:$F$2,EOMONTH(DK$2,-1)+1,$C23:$F23)*VLOOKUP(DK$2,Valores!$H$2:$P$154,8,0)</f>
        <v>#VALUE!</v>
      </c>
      <c r="DL23" s="27" t="e">
        <f aca="false">SUMIF($C$2:$F$2,EOMONTH(DL$2,-1)+1,$C23:$F23)*VLOOKUP(DL$2,Valores!$H$2:$P$154,8,0)</f>
        <v>#VALUE!</v>
      </c>
      <c r="DM23" s="27" t="e">
        <f aca="false">SUMIF($C$2:$F$2,EOMONTH(DM$2,-1)+1,$C23:$F23)*VLOOKUP(DM$2,Valores!$H$2:$P$154,8,0)</f>
        <v>#VALUE!</v>
      </c>
      <c r="DN23" s="27" t="e">
        <f aca="false">SUMIF($C$2:$F$2,EOMONTH(DN$2,-1)+1,$C23:$F23)*VLOOKUP(DN$2,Valores!$H$2:$P$154,8,0)</f>
        <v>#VALUE!</v>
      </c>
      <c r="DO23" s="27" t="e">
        <f aca="false">SUMIF($C$2:$F$2,EOMONTH(DO$2,-1)+1,$C23:$F23)*VLOOKUP(DO$2,Valores!$H$2:$P$154,8,0)</f>
        <v>#VALUE!</v>
      </c>
      <c r="DP23" s="27" t="e">
        <f aca="false">SUMIF($C$2:$F$2,EOMONTH(DP$2,-1)+1,$C23:$F23)*VLOOKUP(DP$2,Valores!$H$2:$P$154,8,0)</f>
        <v>#VALUE!</v>
      </c>
      <c r="DQ23" s="27" t="e">
        <f aca="false">SUMIF($C$2:$F$2,EOMONTH(DQ$2,-1)+1,$C23:$F23)*VLOOKUP(DQ$2,Valores!$H$2:$P$154,8,0)</f>
        <v>#VALUE!</v>
      </c>
      <c r="DR23" s="27" t="e">
        <f aca="false">SUMIF($C$2:$F$2,EOMONTH(DR$2,-1)+1,$C23:$F23)*VLOOKUP(DR$2,Valores!$H$2:$P$154,8,0)</f>
        <v>#VALUE!</v>
      </c>
      <c r="DS23" s="27" t="e">
        <f aca="false">SUMIF($C$2:$F$2,EOMONTH(DS$2,-1)+1,$C23:$F23)*VLOOKUP(DS$2,Valores!$H$2:$P$154,8,0)</f>
        <v>#VALUE!</v>
      </c>
      <c r="DT23" s="27" t="e">
        <f aca="false">SUMIF($C$2:$F$2,EOMONTH(DT$2,-1)+1,$C23:$F23)*VLOOKUP(DT$2,Valores!$H$2:$P$154,8,0)</f>
        <v>#VALUE!</v>
      </c>
      <c r="DU23" s="27" t="e">
        <f aca="false">SUMIF($C$2:$F$2,EOMONTH(DU$2,-1)+1,$C23:$F23)*VLOOKUP(DU$2,Valores!$H$2:$P$154,8,0)</f>
        <v>#VALUE!</v>
      </c>
      <c r="DV23" s="27" t="e">
        <f aca="false">SUMIF($C$2:$F$2,EOMONTH(DV$2,-1)+1,$C23:$F23)*VLOOKUP(DV$2,Valores!$H$2:$P$154,8,0)</f>
        <v>#VALUE!</v>
      </c>
      <c r="DW23" s="27" t="e">
        <f aca="false">SUMIF($C$2:$F$2,EOMONTH(DW$2,-1)+1,$C23:$F23)*VLOOKUP(DW$2,Valores!$H$2:$P$154,8,0)</f>
        <v>#VALUE!</v>
      </c>
      <c r="DX23" s="27" t="e">
        <f aca="false">SUMIF($C$2:$F$2,EOMONTH(DX$2,-1)+1,$C23:$F23)*VLOOKUP(DX$2,Valores!$H$2:$P$154,8,0)</f>
        <v>#VALUE!</v>
      </c>
    </row>
    <row r="24" customFormat="false" ht="13.8" hidden="false" customHeight="false" outlineLevel="0" collapsed="false">
      <c r="A24" s="29" t="s">
        <v>23</v>
      </c>
      <c r="B24" s="29" t="s">
        <v>45</v>
      </c>
      <c r="C24" s="29" t="n">
        <v>664045</v>
      </c>
      <c r="D24" s="29" t="n">
        <v>597640.5</v>
      </c>
      <c r="E24" s="29" t="n">
        <v>537876.45</v>
      </c>
      <c r="F24" s="29" t="n">
        <v>484088.805</v>
      </c>
      <c r="G24" s="30" t="n">
        <f aca="false">SUMIF($C$2:$F$2,EOMONTH(G$2,-1)+1,$C24:$F24)*VLOOKUP(G$2,Valores!$H$2:$P$154,8,0)</f>
        <v>19122.572815534</v>
      </c>
      <c r="H24" s="30" t="n">
        <f aca="false">SUMIF($C$2:$F$2,EOMONTH(H$2,-1)+1,$C24:$F24)*VLOOKUP(H$2,Valores!$H$2:$P$154,8,0)</f>
        <v>13112.6213592233</v>
      </c>
      <c r="I24" s="30" t="n">
        <f aca="false">SUMIF($C$2:$F$2,EOMONTH(I$2,-1)+1,$C24:$F24)*VLOOKUP(I$2,Valores!$H$2:$P$154,8,0)</f>
        <v>13112.6213592233</v>
      </c>
      <c r="J24" s="30" t="n">
        <f aca="false">SUMIF($C$2:$F$2,EOMONTH(J$2,-1)+1,$C24:$F24)*VLOOKUP(J$2,Valores!$H$2:$P$154,8,0)</f>
        <v>13112.6213592233</v>
      </c>
      <c r="K24" s="30" t="n">
        <f aca="false">SUMIF($C$2:$F$2,EOMONTH(K$2,-1)+1,$C24:$F24)*VLOOKUP(K$2,Valores!$H$2:$P$154,8,0)</f>
        <v>13112.6213592233</v>
      </c>
      <c r="L24" s="30" t="n">
        <f aca="false">SUMIF($C$2:$F$2,EOMONTH(L$2,-1)+1,$C24:$F24)*VLOOKUP(L$2,Valores!$H$2:$P$154,8,0)</f>
        <v>26225.2427184466</v>
      </c>
      <c r="M24" s="30" t="n">
        <f aca="false">SUMIF($C$2:$F$2,EOMONTH(M$2,-1)+1,$C24:$F24)*VLOOKUP(M$2,Valores!$H$2:$P$154,8,0)</f>
        <v>32781.5533980582</v>
      </c>
      <c r="N24" s="30" t="n">
        <f aca="false">SUMIF($C$2:$F$2,EOMONTH(N$2,-1)+1,$C24:$F24)*VLOOKUP(N$2,Valores!$H$2:$P$154,8,0)</f>
        <v>19668.9320388349</v>
      </c>
      <c r="O24" s="30" t="n">
        <f aca="false">SUMIF($C$2:$F$2,EOMONTH(O$2,-1)+1,$C24:$F24)*VLOOKUP(O$2,Valores!$H$2:$P$154,8,0)</f>
        <v>17483.4951456311</v>
      </c>
      <c r="P24" s="30" t="n">
        <f aca="false">SUMIF($C$2:$F$2,EOMONTH(P$2,-1)+1,$C24:$F24)*VLOOKUP(P$2,Valores!$H$2:$P$154,8,0)</f>
        <v>17483.4951456311</v>
      </c>
      <c r="Q24" s="30" t="n">
        <f aca="false">SUMIF($C$2:$F$2,EOMONTH(Q$2,-1)+1,$C24:$F24)*VLOOKUP(Q$2,Valores!$H$2:$P$154,8,0)</f>
        <v>10490.0970873786</v>
      </c>
      <c r="R24" s="30" t="n">
        <f aca="false">SUMIF($C$2:$F$2,EOMONTH(R$2,-1)+1,$C24:$F24)*VLOOKUP(R$2,Valores!$H$2:$P$154,8,0)</f>
        <v>17483.4951456311</v>
      </c>
      <c r="S24" s="30" t="n">
        <f aca="false">SUMIF($C$2:$F$2,EOMONTH(S$2,-1)+1,$C24:$F24)*VLOOKUP(S$2,Valores!$H$2:$P$154,8,0)</f>
        <v>34966.9902912621</v>
      </c>
      <c r="T24" s="30" t="n">
        <f aca="false">SUMIF($C$2:$F$2,EOMONTH(T$2,-1)+1,$C24:$F24)*VLOOKUP(T$2,Valores!$H$2:$P$154,8,0)</f>
        <v>43708.7378640777</v>
      </c>
      <c r="U24" s="30" t="n">
        <f aca="false">SUMIF($C$2:$F$2,EOMONTH(U$2,-1)+1,$C24:$F24)*VLOOKUP(U$2,Valores!$H$2:$P$154,8,0)</f>
        <v>26225.2427184466</v>
      </c>
      <c r="V24" s="30" t="n">
        <f aca="false">SUMIF($C$2:$F$2,EOMONTH(V$2,-1)+1,$C24:$F24)*VLOOKUP(V$2,Valores!$H$2:$P$154,8,0)</f>
        <v>21854.3689320388</v>
      </c>
      <c r="W24" s="30" t="n">
        <f aca="false">SUMIF($C$2:$F$2,EOMONTH(W$2,-1)+1,$C24:$F24)*VLOOKUP(W$2,Valores!$H$2:$P$154,8,0)</f>
        <v>21854.3689320388</v>
      </c>
      <c r="X24" s="30" t="n">
        <f aca="false">SUMIF($C$2:$F$2,EOMONTH(X$2,-1)+1,$C24:$F24)*VLOOKUP(X$2,Valores!$H$2:$P$154,8,0)</f>
        <v>0</v>
      </c>
      <c r="Y24" s="30" t="n">
        <f aca="false">SUMIF($C$2:$F$2,EOMONTH(Y$2,-1)+1,$C24:$F24)*VLOOKUP(Y$2,Valores!$H$2:$P$154,8,0)</f>
        <v>0</v>
      </c>
      <c r="Z24" s="30" t="n">
        <f aca="false">SUMIF($C$2:$F$2,EOMONTH(Z$2,-1)+1,$C24:$F24)*VLOOKUP(Z$2,Valores!$H$2:$P$154,8,0)</f>
        <v>32781.5533980582</v>
      </c>
      <c r="AA24" s="30" t="n">
        <f aca="false">SUMIF($C$2:$F$2,EOMONTH(AA$2,-1)+1,$C24:$F24)*VLOOKUP(AA$2,Valores!$H$2:$P$154,8,0)</f>
        <v>39337.8640776699</v>
      </c>
      <c r="AB24" s="30" t="n">
        <f aca="false">SUMIF($C$2:$F$2,EOMONTH(AB$2,-1)+1,$C24:$F24)*VLOOKUP(AB$2,Valores!$H$2:$P$154,8,0)</f>
        <v>19668.9320388349</v>
      </c>
      <c r="AC24" s="30" t="n">
        <f aca="false">SUMIF($C$2:$F$2,EOMONTH(AC$2,-1)+1,$C24:$F24)*VLOOKUP(AC$2,Valores!$H$2:$P$154,8,0)</f>
        <v>24039.8058252427</v>
      </c>
      <c r="AD24" s="30" t="n">
        <f aca="false">SUMIF($C$2:$F$2,EOMONTH(AD$2,-1)+1,$C24:$F24)*VLOOKUP(AD$2,Valores!$H$2:$P$154,8,0)</f>
        <v>24039.8058252427</v>
      </c>
      <c r="AE24" s="30" t="n">
        <f aca="false">SUMIF($C$2:$F$2,EOMONTH(AE$2,-1)+1,$C24:$F24)*VLOOKUP(AE$2,Valores!$H$2:$P$154,8,0)</f>
        <v>24039.8058252427</v>
      </c>
      <c r="AF24" s="30" t="n">
        <f aca="false">SUMIF($C$2:$F$2,EOMONTH(AF$2,-1)+1,$C24:$F24)*VLOOKUP(AF$2,Valores!$H$2:$P$154,8,0)</f>
        <v>24039.8058252427</v>
      </c>
      <c r="AG24" s="30" t="n">
        <f aca="false">SUMIF($C$2:$F$2,EOMONTH(AG$2,-1)+1,$C24:$F24)*VLOOKUP(AG$2,Valores!$H$2:$P$154,8,0)</f>
        <v>38463.6893203883</v>
      </c>
      <c r="AH24" s="30" t="n">
        <f aca="false">SUMIF($C$2:$F$2,EOMONTH(AH$2,-1)+1,$C24:$F24)*VLOOKUP(AH$2,Valores!$H$2:$P$154,8,0)</f>
        <v>48079.6116504854</v>
      </c>
      <c r="AI24" s="30" t="n">
        <f aca="false">SUMIF($C$2:$F$2,EOMONTH(AI$2,-1)+1,$C24:$F24)*VLOOKUP(AI$2,Valores!$H$2:$P$154,8,0)</f>
        <v>16827.8640776699</v>
      </c>
      <c r="AJ24" s="30" t="n">
        <f aca="false">SUMIF($C$2:$F$2,EOMONTH(AJ$2,-1)+1,$C24:$F24)*VLOOKUP(AJ$2,Valores!$H$2:$P$154,8,0)</f>
        <v>10927.1844660194</v>
      </c>
      <c r="AK24" s="30" t="n">
        <f aca="false">SUMIF($C$2:$F$2,EOMONTH(AK$2,-1)+1,$C24:$F24)*VLOOKUP(AK$2,Valores!$H$2:$P$154,8,0)</f>
        <v>19926.5688632737</v>
      </c>
      <c r="AL24" s="30" t="n">
        <f aca="false">SUMIF($C$2:$F$2,EOMONTH(AL$2,-1)+1,$C24:$F24)*VLOOKUP(AL$2,Valores!$H$2:$P$154,8,0)</f>
        <v>19926.5688632737</v>
      </c>
      <c r="AM24" s="30" t="n">
        <f aca="false">SUMIF($C$2:$F$2,EOMONTH(AM$2,-1)+1,$C24:$F24)*VLOOKUP(AM$2,Valores!$H$2:$P$154,8,0)</f>
        <v>19926.5688632737</v>
      </c>
      <c r="AN24" s="30" t="n">
        <f aca="false">SUMIF($C$2:$F$2,EOMONTH(AN$2,-1)+1,$C24:$F24)*VLOOKUP(AN$2,Valores!$H$2:$P$154,8,0)</f>
        <v>39853.1377265474</v>
      </c>
      <c r="AO24" s="30" t="n">
        <f aca="false">SUMIF($C$2:$F$2,EOMONTH(AO$2,-1)+1,$C24:$F24)*VLOOKUP(AO$2,Valores!$H$2:$P$154,8,0)</f>
        <v>49816.4221581843</v>
      </c>
      <c r="AP24" s="30" t="n">
        <f aca="false">SUMIF($C$2:$F$2,EOMONTH(AP$2,-1)+1,$C24:$F24)*VLOOKUP(AP$2,Valores!$H$2:$P$154,8,0)</f>
        <v>29889.8532949106</v>
      </c>
      <c r="AQ24" s="30" t="n">
        <f aca="false">SUMIF($C$2:$F$2,EOMONTH(AQ$2,-1)+1,$C24:$F24)*VLOOKUP(AQ$2,Valores!$H$2:$P$154,8,0)</f>
        <v>10674.9476053252</v>
      </c>
      <c r="AR24" s="30" t="n">
        <f aca="false">SUMIF($C$2:$F$2,EOMONTH(AR$2,-1)+1,$C24:$F24)*VLOOKUP(AR$2,Valores!$H$2:$P$154,8,0)</f>
        <v>10674.9476053252</v>
      </c>
      <c r="AS24" s="30" t="n">
        <f aca="false">SUMIF($C$2:$F$2,EOMONTH(AS$2,-1)+1,$C24:$F24)*VLOOKUP(AS$2,Valores!$H$2:$P$154,8,0)</f>
        <v>10674.9476053252</v>
      </c>
      <c r="AT24" s="30" t="n">
        <f aca="false">SUMIF($C$2:$F$2,EOMONTH(AT$2,-1)+1,$C24:$F24)*VLOOKUP(AT$2,Valores!$H$2:$P$154,8,0)</f>
        <v>10674.9476053252</v>
      </c>
      <c r="AU24" s="30" t="n">
        <f aca="false">SUMIF($C$2:$F$2,EOMONTH(AU$2,-1)+1,$C24:$F24)*VLOOKUP(AU$2,Valores!$H$2:$P$154,8,0)</f>
        <v>21349.8952106504</v>
      </c>
      <c r="AV24" s="30" t="n">
        <f aca="false">SUMIF($C$2:$F$2,EOMONTH(AV$2,-1)+1,$C24:$F24)*VLOOKUP(AV$2,Valores!$H$2:$P$154,8,0)</f>
        <v>26687.369013313</v>
      </c>
      <c r="AW24" s="30" t="n">
        <f aca="false">SUMIF($C$2:$F$2,EOMONTH(AW$2,-1)+1,$C24:$F24)*VLOOKUP(AW$2,Valores!$H$2:$P$154,8,0)</f>
        <v>16012.4214079878</v>
      </c>
      <c r="AX24" s="30" t="n">
        <f aca="false">SUMIF($C$2:$F$2,EOMONTH(AX$2,-1)+1,$C24:$F24)*VLOOKUP(AX$2,Valores!$H$2:$P$154,8,0)</f>
        <v>10674.9476053252</v>
      </c>
      <c r="AY24" s="30" t="n">
        <f aca="false">SUMIF($C$2:$F$2,EOMONTH(AY$2,-1)+1,$C24:$F24)*VLOOKUP(AY$2,Valores!$H$2:$P$154,8,0)</f>
        <v>13877.4318869228</v>
      </c>
      <c r="AZ24" s="30" t="n">
        <f aca="false">SUMIF($C$2:$F$2,EOMONTH(AZ$2,-1)+1,$C24:$F24)*VLOOKUP(AZ$2,Valores!$H$2:$P$154,8,0)</f>
        <v>13877.4318869228</v>
      </c>
      <c r="BA24" s="30" t="n">
        <f aca="false">SUMIF($C$2:$F$2,EOMONTH(BA$2,-1)+1,$C24:$F24)*VLOOKUP(BA$2,Valores!$H$2:$P$154,8,0)</f>
        <v>13877.4318869228</v>
      </c>
      <c r="BB24" s="30" t="n">
        <f aca="false">SUMIF($C$2:$F$2,EOMONTH(BB$2,-1)+1,$C24:$F24)*VLOOKUP(BB$2,Valores!$H$2:$P$154,8,0)</f>
        <v>24552.379492248</v>
      </c>
      <c r="BC24" s="30" t="n">
        <f aca="false">SUMIF($C$2:$F$2,EOMONTH(BC$2,-1)+1,$C24:$F24)*VLOOKUP(BC$2,Valores!$H$2:$P$154,8,0)</f>
        <v>29889.8532949106</v>
      </c>
      <c r="BD24" s="30" t="n">
        <f aca="false">SUMIF($C$2:$F$2,EOMONTH(BD$2,-1)+1,$C24:$F24)*VLOOKUP(BD$2,Valores!$H$2:$P$154,8,0)</f>
        <v>16012.4214079878</v>
      </c>
      <c r="BE24" s="30" t="n">
        <f aca="false">SUMIF($C$2:$F$2,EOMONTH(BE$2,-1)+1,$C24:$F24)*VLOOKUP(BE$2,Valores!$H$2:$P$154,8,0)</f>
        <v>14233.2634737669</v>
      </c>
      <c r="BF24" s="30" t="n">
        <f aca="false">SUMIF($C$2:$F$2,EOMONTH(BF$2,-1)+1,$C24:$F24)*VLOOKUP(BF$2,Valores!$H$2:$P$154,8,0)</f>
        <v>14233.2634737669</v>
      </c>
      <c r="BG24" s="30" t="n">
        <f aca="false">SUMIF($C$2:$F$2,EOMONTH(BG$2,-1)+1,$C24:$F24)*VLOOKUP(BG$2,Valores!$H$2:$P$154,8,0)</f>
        <v>14233.2634737669</v>
      </c>
      <c r="BH24" s="30" t="n">
        <f aca="false">SUMIF($C$2:$F$2,EOMONTH(BH$2,-1)+1,$C24:$F24)*VLOOKUP(BH$2,Valores!$H$2:$P$154,8,0)</f>
        <v>14233.2634737669</v>
      </c>
      <c r="BI24" s="30" t="n">
        <f aca="false">SUMIF($C$2:$F$2,EOMONTH(BI$2,-1)+1,$C24:$F24)*VLOOKUP(BI$2,Valores!$H$2:$P$154,8,0)</f>
        <v>28466.5269475339</v>
      </c>
      <c r="BJ24" s="30" t="n">
        <f aca="false">SUMIF($C$2:$F$2,EOMONTH(BJ$2,-1)+1,$C24:$F24)*VLOOKUP(BJ$2,Valores!$H$2:$P$154,8,0)</f>
        <v>35583.1586844173</v>
      </c>
      <c r="BK24" s="30" t="n">
        <f aca="false">SUMIF($C$2:$F$2,EOMONTH(BK$2,-1)+1,$C24:$F24)*VLOOKUP(BK$2,Valores!$H$2:$P$154,8,0)</f>
        <v>17079.9161685203</v>
      </c>
      <c r="BL24" s="30" t="n">
        <f aca="false">SUMIF($C$2:$F$2,EOMONTH(BL$2,-1)+1,$C24:$F24)*VLOOKUP(BL$2,Valores!$H$2:$P$154,8,0)</f>
        <v>12525.2718569149</v>
      </c>
      <c r="BM24" s="30" t="n">
        <f aca="false">SUMIF($C$2:$F$2,EOMONTH(BM$2,-1)+1,$C24:$F24)*VLOOKUP(BM$2,Valores!$H$2:$P$154,8,0)</f>
        <v>12525.2718569149</v>
      </c>
      <c r="BN24" s="30" t="n">
        <f aca="false">SUMIF($C$2:$F$2,EOMONTH(BN$2,-1)+1,$C24:$F24)*VLOOKUP(BN$2,Valores!$H$2:$P$154,8,0)</f>
        <v>12525.2718569149</v>
      </c>
      <c r="BO24" s="30" t="n">
        <f aca="false">SUMIF($C$2:$F$2,EOMONTH(BO$2,-1)+1,$C24:$F24)*VLOOKUP(BO$2,Valores!$H$2:$P$154,8,0)</f>
        <v>13151.5354497607</v>
      </c>
      <c r="BP24" s="30" t="n">
        <f aca="false">SUMIF($C$2:$F$2,EOMONTH(BP$2,-1)+1,$C24:$F24)*VLOOKUP(BP$2,Valores!$H$2:$P$154,8,0)</f>
        <v>33096.4522579936</v>
      </c>
      <c r="BQ24" s="30" t="n">
        <f aca="false">SUMIF($C$2:$F$2,EOMONTH(BQ$2,-1)+1,$C24:$F24)*VLOOKUP(BQ$2,Valores!$H$2:$P$154,8,0)</f>
        <v>41370.565322492</v>
      </c>
      <c r="BR24" s="30" t="n">
        <f aca="false">SUMIF($C$2:$F$2,EOMONTH(BR$2,-1)+1,$C24:$F24)*VLOOKUP(BR$2,Valores!$H$2:$P$154,8,0)</f>
        <v>19857.8713547962</v>
      </c>
      <c r="BS24" s="30" t="n">
        <f aca="false">SUMIF($C$2:$F$2,EOMONTH(BS$2,-1)+1,$C24:$F24)*VLOOKUP(BS$2,Valores!$H$2:$P$154,8,0)</f>
        <v>8865.121140534</v>
      </c>
      <c r="BT24" s="30" t="n">
        <f aca="false">SUMIF($C$2:$F$2,EOMONTH(BT$2,-1)+1,$C24:$F24)*VLOOKUP(BT$2,Valores!$H$2:$P$154,8,0)</f>
        <v>8865.121140534</v>
      </c>
      <c r="BU24" s="30" t="n">
        <f aca="false">SUMIF($C$2:$F$2,EOMONTH(BU$2,-1)+1,$C24:$F24)*VLOOKUP(BU$2,Valores!$H$2:$P$154,8,0)</f>
        <v>8865.121140534</v>
      </c>
      <c r="BV24" s="30" t="n">
        <f aca="false">SUMIF($C$2:$F$2,EOMONTH(BV$2,-1)+1,$C24:$F24)*VLOOKUP(BV$2,Valores!$H$2:$P$154,8,0)</f>
        <v>8865.121140534</v>
      </c>
      <c r="BW24" s="30" t="n">
        <f aca="false">SUMIF($C$2:$F$2,EOMONTH(BW$2,-1)+1,$C24:$F24)*VLOOKUP(BW$2,Valores!$H$2:$P$154,8,0)</f>
        <v>17730.242281068</v>
      </c>
      <c r="BX24" s="30" t="n">
        <f aca="false">SUMIF($C$2:$F$2,EOMONTH(BX$2,-1)+1,$C24:$F24)*VLOOKUP(BX$2,Valores!$H$2:$P$154,8,0)</f>
        <v>22162.802851335</v>
      </c>
      <c r="BY24" s="30" t="n">
        <f aca="false">SUMIF($C$2:$F$2,EOMONTH(BY$2,-1)+1,$C24:$F24)*VLOOKUP(BY$2,Valores!$H$2:$P$154,8,0)</f>
        <v>13297.681710801</v>
      </c>
      <c r="BZ24" s="30" t="n">
        <f aca="false">SUMIF($C$2:$F$2,EOMONTH(BZ$2,-1)+1,$C24:$F24)*VLOOKUP(BZ$2,Valores!$H$2:$P$154,8,0)</f>
        <v>8865.121140534</v>
      </c>
      <c r="CA24" s="30" t="n">
        <f aca="false">SUMIF($C$2:$F$2,EOMONTH(CA$2,-1)+1,$C24:$F24)*VLOOKUP(CA$2,Valores!$H$2:$P$154,8,0)</f>
        <v>8865.121140534</v>
      </c>
      <c r="CB24" s="30" t="n">
        <f aca="false">SUMIF($C$2:$F$2,EOMONTH(CB$2,-1)+1,$C24:$F24)*VLOOKUP(CB$2,Valores!$H$2:$P$154,8,0)</f>
        <v>8865.121140534</v>
      </c>
      <c r="CC24" s="30" t="n">
        <f aca="false">SUMIF($C$2:$F$2,EOMONTH(CC$2,-1)+1,$C24:$F24)*VLOOKUP(CC$2,Valores!$H$2:$P$154,8,0)</f>
        <v>8865.121140534</v>
      </c>
      <c r="CD24" s="30" t="n">
        <f aca="false">SUMIF($C$2:$F$2,EOMONTH(CD$2,-1)+1,$C24:$F24)*VLOOKUP(CD$2,Valores!$H$2:$P$154,8,0)</f>
        <v>26595.363421602</v>
      </c>
      <c r="CE24" s="30" t="n">
        <f aca="false">SUMIF($C$2:$F$2,EOMONTH(CE$2,-1)+1,$C24:$F24)*VLOOKUP(CE$2,Valores!$H$2:$P$154,8,0)</f>
        <v>35460.484562136</v>
      </c>
      <c r="CF24" s="30" t="n">
        <f aca="false">SUMIF($C$2:$F$2,EOMONTH(CF$2,-1)+1,$C24:$F24)*VLOOKUP(CF$2,Valores!$H$2:$P$154,8,0)</f>
        <v>22162.802851335</v>
      </c>
      <c r="CG24" s="30" t="n">
        <f aca="false">SUMIF($C$2:$F$2,EOMONTH(CG$2,-1)+1,$C24:$F24)*VLOOKUP(CG$2,Valores!$H$2:$P$154,8,0)</f>
        <v>11820.161520712</v>
      </c>
      <c r="CH24" s="30" t="n">
        <f aca="false">SUMIF($C$2:$F$2,EOMONTH(CH$2,-1)+1,$C24:$F24)*VLOOKUP(CH$2,Valores!$H$2:$P$154,8,0)</f>
        <v>11820.161520712</v>
      </c>
      <c r="CI24" s="30" t="n">
        <f aca="false">SUMIF($C$2:$F$2,EOMONTH(CI$2,-1)+1,$C24:$F24)*VLOOKUP(CI$2,Valores!$H$2:$P$154,8,0)</f>
        <v>11820.161520712</v>
      </c>
      <c r="CJ24" s="30" t="n">
        <f aca="false">SUMIF($C$2:$F$2,EOMONTH(CJ$2,-1)+1,$C24:$F24)*VLOOKUP(CJ$2,Valores!$H$2:$P$154,8,0)</f>
        <v>11820.161520712</v>
      </c>
      <c r="CK24" s="30" t="n">
        <f aca="false">SUMIF($C$2:$F$2,EOMONTH(CK$2,-1)+1,$C24:$F24)*VLOOKUP(CK$2,Valores!$H$2:$P$154,8,0)</f>
        <v>23640.323041424</v>
      </c>
      <c r="CL24" s="30" t="n">
        <f aca="false">SUMIF($C$2:$F$2,EOMONTH(CL$2,-1)+1,$C24:$F24)*VLOOKUP(CL$2,Valores!$H$2:$P$154,8,0)</f>
        <v>29550.40380178</v>
      </c>
      <c r="CM24" s="30" t="n">
        <f aca="false">SUMIF($C$2:$F$2,EOMONTH(CM$2,-1)+1,$C24:$F24)*VLOOKUP(CM$2,Valores!$H$2:$P$154,8,0)</f>
        <v>17730.242281068</v>
      </c>
      <c r="CN24" s="30" t="n">
        <f aca="false">SUMIF($C$2:$F$2,EOMONTH(CN$2,-1)+1,$C24:$F24)*VLOOKUP(CN$2,Valores!$H$2:$P$154,8,0)</f>
        <v>13002.1776727832</v>
      </c>
      <c r="CO24" s="30" t="n">
        <f aca="false">SUMIF($C$2:$F$2,EOMONTH(CO$2,-1)+1,$C24:$F24)*VLOOKUP(CO$2,Valores!$H$2:$P$154,8,0)</f>
        <v>13002.1776727832</v>
      </c>
      <c r="CP24" s="30" t="n">
        <f aca="false">SUMIF($C$2:$F$2,EOMONTH(CP$2,-1)+1,$C24:$F24)*VLOOKUP(CP$2,Valores!$H$2:$P$154,8,0)</f>
        <v>13002.1776727832</v>
      </c>
      <c r="CQ24" s="30" t="n">
        <f aca="false">SUMIF($C$2:$F$2,EOMONTH(CQ$2,-1)+1,$C24:$F24)*VLOOKUP(CQ$2,Valores!$H$2:$P$154,8,0)</f>
        <v>13002.1776727832</v>
      </c>
      <c r="CR24" s="30" t="n">
        <f aca="false">SUMIF($C$2:$F$2,EOMONTH(CR$2,-1)+1,$C24:$F24)*VLOOKUP(CR$2,Valores!$H$2:$P$154,8,0)</f>
        <v>26004.3553455664</v>
      </c>
      <c r="CS24" s="30" t="n">
        <f aca="false">SUMIF($C$2:$F$2,EOMONTH(CS$2,-1)+1,$C24:$F24)*VLOOKUP(CS$2,Valores!$H$2:$P$154,8,0)</f>
        <v>39006.5330183496</v>
      </c>
      <c r="CT24" s="30" t="e">
        <f aca="false">SUMIF($C$2:$F$2,EOMONTH(CT$2,-1)+1,$C24:$F24)*VLOOKUP(CT$2,Valores!$H$2:$P$154,8,0)</f>
        <v>#VALUE!</v>
      </c>
      <c r="CU24" s="30" t="e">
        <f aca="false">SUMIF($C$2:$F$2,EOMONTH(CU$2,-1)+1,$C24:$F24)*VLOOKUP(CU$2,Valores!$H$2:$P$154,8,0)</f>
        <v>#VALUE!</v>
      </c>
      <c r="CV24" s="30" t="e">
        <f aca="false">SUMIF($C$2:$F$2,EOMONTH(CV$2,-1)+1,$C24:$F24)*VLOOKUP(CV$2,Valores!$H$2:$P$154,8,0)</f>
        <v>#VALUE!</v>
      </c>
      <c r="CW24" s="30" t="e">
        <f aca="false">SUMIF($C$2:$F$2,EOMONTH(CW$2,-1)+1,$C24:$F24)*VLOOKUP(CW$2,Valores!$H$2:$P$154,8,0)</f>
        <v>#VALUE!</v>
      </c>
      <c r="CX24" s="30" t="e">
        <f aca="false">SUMIF($C$2:$F$2,EOMONTH(CX$2,-1)+1,$C24:$F24)*VLOOKUP(CX$2,Valores!$H$2:$P$154,8,0)</f>
        <v>#VALUE!</v>
      </c>
      <c r="CY24" s="30" t="e">
        <f aca="false">SUMIF($C$2:$F$2,EOMONTH(CY$2,-1)+1,$C24:$F24)*VLOOKUP(CY$2,Valores!$H$2:$P$154,8,0)</f>
        <v>#VALUE!</v>
      </c>
      <c r="CZ24" s="30" t="e">
        <f aca="false">SUMIF($C$2:$F$2,EOMONTH(CZ$2,-1)+1,$C24:$F24)*VLOOKUP(CZ$2,Valores!$H$2:$P$154,8,0)</f>
        <v>#VALUE!</v>
      </c>
      <c r="DA24" s="30" t="e">
        <f aca="false">SUMIF($C$2:$F$2,EOMONTH(DA$2,-1)+1,$C24:$F24)*VLOOKUP(DA$2,Valores!$H$2:$P$154,8,0)</f>
        <v>#VALUE!</v>
      </c>
      <c r="DB24" s="30" t="e">
        <f aca="false">SUMIF($C$2:$F$2,EOMONTH(DB$2,-1)+1,$C24:$F24)*VLOOKUP(DB$2,Valores!$H$2:$P$154,8,0)</f>
        <v>#VALUE!</v>
      </c>
      <c r="DC24" s="30" t="e">
        <f aca="false">SUMIF($C$2:$F$2,EOMONTH(DC$2,-1)+1,$C24:$F24)*VLOOKUP(DC$2,Valores!$H$2:$P$154,8,0)</f>
        <v>#VALUE!</v>
      </c>
      <c r="DD24" s="30" t="e">
        <f aca="false">SUMIF($C$2:$F$2,EOMONTH(DD$2,-1)+1,$C24:$F24)*VLOOKUP(DD$2,Valores!$H$2:$P$154,8,0)</f>
        <v>#VALUE!</v>
      </c>
      <c r="DE24" s="30" t="e">
        <f aca="false">SUMIF($C$2:$F$2,EOMONTH(DE$2,-1)+1,$C24:$F24)*VLOOKUP(DE$2,Valores!$H$2:$P$154,8,0)</f>
        <v>#VALUE!</v>
      </c>
      <c r="DF24" s="30" t="e">
        <f aca="false">SUMIF($C$2:$F$2,EOMONTH(DF$2,-1)+1,$C24:$F24)*VLOOKUP(DF$2,Valores!$H$2:$P$154,8,0)</f>
        <v>#VALUE!</v>
      </c>
      <c r="DG24" s="30" t="e">
        <f aca="false">SUMIF($C$2:$F$2,EOMONTH(DG$2,-1)+1,$C24:$F24)*VLOOKUP(DG$2,Valores!$H$2:$P$154,8,0)</f>
        <v>#VALUE!</v>
      </c>
      <c r="DH24" s="30" t="e">
        <f aca="false">SUMIF($C$2:$F$2,EOMONTH(DH$2,-1)+1,$C24:$F24)*VLOOKUP(DH$2,Valores!$H$2:$P$154,8,0)</f>
        <v>#VALUE!</v>
      </c>
      <c r="DI24" s="30" t="e">
        <f aca="false">SUMIF($C$2:$F$2,EOMONTH(DI$2,-1)+1,$C24:$F24)*VLOOKUP(DI$2,Valores!$H$2:$P$154,8,0)</f>
        <v>#VALUE!</v>
      </c>
      <c r="DJ24" s="30" t="e">
        <f aca="false">SUMIF($C$2:$F$2,EOMONTH(DJ$2,-1)+1,$C24:$F24)*VLOOKUP(DJ$2,Valores!$H$2:$P$154,8,0)</f>
        <v>#VALUE!</v>
      </c>
      <c r="DK24" s="30" t="e">
        <f aca="false">SUMIF($C$2:$F$2,EOMONTH(DK$2,-1)+1,$C24:$F24)*VLOOKUP(DK$2,Valores!$H$2:$P$154,8,0)</f>
        <v>#VALUE!</v>
      </c>
      <c r="DL24" s="30" t="e">
        <f aca="false">SUMIF($C$2:$F$2,EOMONTH(DL$2,-1)+1,$C24:$F24)*VLOOKUP(DL$2,Valores!$H$2:$P$154,8,0)</f>
        <v>#VALUE!</v>
      </c>
      <c r="DM24" s="30" t="e">
        <f aca="false">SUMIF($C$2:$F$2,EOMONTH(DM$2,-1)+1,$C24:$F24)*VLOOKUP(DM$2,Valores!$H$2:$P$154,8,0)</f>
        <v>#VALUE!</v>
      </c>
      <c r="DN24" s="30" t="e">
        <f aca="false">SUMIF($C$2:$F$2,EOMONTH(DN$2,-1)+1,$C24:$F24)*VLOOKUP(DN$2,Valores!$H$2:$P$154,8,0)</f>
        <v>#VALUE!</v>
      </c>
      <c r="DO24" s="30" t="e">
        <f aca="false">SUMIF($C$2:$F$2,EOMONTH(DO$2,-1)+1,$C24:$F24)*VLOOKUP(DO$2,Valores!$H$2:$P$154,8,0)</f>
        <v>#VALUE!</v>
      </c>
      <c r="DP24" s="30" t="e">
        <f aca="false">SUMIF($C$2:$F$2,EOMONTH(DP$2,-1)+1,$C24:$F24)*VLOOKUP(DP$2,Valores!$H$2:$P$154,8,0)</f>
        <v>#VALUE!</v>
      </c>
      <c r="DQ24" s="30" t="e">
        <f aca="false">SUMIF($C$2:$F$2,EOMONTH(DQ$2,-1)+1,$C24:$F24)*VLOOKUP(DQ$2,Valores!$H$2:$P$154,8,0)</f>
        <v>#VALUE!</v>
      </c>
      <c r="DR24" s="30" t="e">
        <f aca="false">SUMIF($C$2:$F$2,EOMONTH(DR$2,-1)+1,$C24:$F24)*VLOOKUP(DR$2,Valores!$H$2:$P$154,8,0)</f>
        <v>#VALUE!</v>
      </c>
      <c r="DS24" s="30" t="e">
        <f aca="false">SUMIF($C$2:$F$2,EOMONTH(DS$2,-1)+1,$C24:$F24)*VLOOKUP(DS$2,Valores!$H$2:$P$154,8,0)</f>
        <v>#VALUE!</v>
      </c>
      <c r="DT24" s="30" t="e">
        <f aca="false">SUMIF($C$2:$F$2,EOMONTH(DT$2,-1)+1,$C24:$F24)*VLOOKUP(DT$2,Valores!$H$2:$P$154,8,0)</f>
        <v>#VALUE!</v>
      </c>
      <c r="DU24" s="30" t="e">
        <f aca="false">SUMIF($C$2:$F$2,EOMONTH(DU$2,-1)+1,$C24:$F24)*VLOOKUP(DU$2,Valores!$H$2:$P$154,8,0)</f>
        <v>#VALUE!</v>
      </c>
      <c r="DV24" s="30" t="e">
        <f aca="false">SUMIF($C$2:$F$2,EOMONTH(DV$2,-1)+1,$C24:$F24)*VLOOKUP(DV$2,Valores!$H$2:$P$154,8,0)</f>
        <v>#VALUE!</v>
      </c>
      <c r="DW24" s="30" t="e">
        <f aca="false">SUMIF($C$2:$F$2,EOMONTH(DW$2,-1)+1,$C24:$F24)*VLOOKUP(DW$2,Valores!$H$2:$P$154,8,0)</f>
        <v>#VALUE!</v>
      </c>
      <c r="DX24" s="30" t="e">
        <f aca="false">SUMIF($C$2:$F$2,EOMONTH(DX$2,-1)+1,$C24:$F24)*VLOOKUP(DX$2,Valores!$H$2:$P$154,8,0)</f>
        <v>#VALUE!</v>
      </c>
    </row>
    <row r="25" customFormat="false" ht="13.8" hidden="false" customHeight="false" outlineLevel="0" collapsed="false">
      <c r="A25" s="31" t="s">
        <v>23</v>
      </c>
      <c r="B25" s="31" t="s">
        <v>46</v>
      </c>
      <c r="C25" s="31" t="n">
        <v>660598</v>
      </c>
      <c r="D25" s="31" t="n">
        <v>594538.2</v>
      </c>
      <c r="E25" s="31" t="n">
        <v>535084.38</v>
      </c>
      <c r="F25" s="31" t="n">
        <v>481575.942</v>
      </c>
      <c r="G25" s="27" t="n">
        <f aca="false">SUMIF($C$2:$F$2,EOMONTH(G$2,-1)+1,$C25:$F25)*VLOOKUP(G$2,Valores!$H$2:$P$154,8,0)</f>
        <v>19023.3091986177</v>
      </c>
      <c r="H25" s="27" t="n">
        <f aca="false">SUMIF($C$2:$F$2,EOMONTH(H$2,-1)+1,$C25:$F25)*VLOOKUP(H$2,Valores!$H$2:$P$154,8,0)</f>
        <v>13044.5548790522</v>
      </c>
      <c r="I25" s="27" t="n">
        <f aca="false">SUMIF($C$2:$F$2,EOMONTH(I$2,-1)+1,$C25:$F25)*VLOOKUP(I$2,Valores!$H$2:$P$154,8,0)</f>
        <v>13044.5548790522</v>
      </c>
      <c r="J25" s="27" t="n">
        <f aca="false">SUMIF($C$2:$F$2,EOMONTH(J$2,-1)+1,$C25:$F25)*VLOOKUP(J$2,Valores!$H$2:$P$154,8,0)</f>
        <v>13044.5548790522</v>
      </c>
      <c r="K25" s="27" t="n">
        <f aca="false">SUMIF($C$2:$F$2,EOMONTH(K$2,-1)+1,$C25:$F25)*VLOOKUP(K$2,Valores!$H$2:$P$154,8,0)</f>
        <v>13044.5548790522</v>
      </c>
      <c r="L25" s="27" t="n">
        <f aca="false">SUMIF($C$2:$F$2,EOMONTH(L$2,-1)+1,$C25:$F25)*VLOOKUP(L$2,Valores!$H$2:$P$154,8,0)</f>
        <v>26089.1097581043</v>
      </c>
      <c r="M25" s="27" t="n">
        <f aca="false">SUMIF($C$2:$F$2,EOMONTH(M$2,-1)+1,$C25:$F25)*VLOOKUP(M$2,Valores!$H$2:$P$154,8,0)</f>
        <v>32611.3871976304</v>
      </c>
      <c r="N25" s="27" t="n">
        <f aca="false">SUMIF($C$2:$F$2,EOMONTH(N$2,-1)+1,$C25:$F25)*VLOOKUP(N$2,Valores!$H$2:$P$154,8,0)</f>
        <v>19566.8323185782</v>
      </c>
      <c r="O25" s="27" t="n">
        <f aca="false">SUMIF($C$2:$F$2,EOMONTH(O$2,-1)+1,$C25:$F25)*VLOOKUP(O$2,Valores!$H$2:$P$154,8,0)</f>
        <v>17392.7398387362</v>
      </c>
      <c r="P25" s="27" t="n">
        <f aca="false">SUMIF($C$2:$F$2,EOMONTH(P$2,-1)+1,$C25:$F25)*VLOOKUP(P$2,Valores!$H$2:$P$154,8,0)</f>
        <v>17392.7398387362</v>
      </c>
      <c r="Q25" s="27" t="n">
        <f aca="false">SUMIF($C$2:$F$2,EOMONTH(Q$2,-1)+1,$C25:$F25)*VLOOKUP(Q$2,Valores!$H$2:$P$154,8,0)</f>
        <v>10435.6439032417</v>
      </c>
      <c r="R25" s="27" t="n">
        <f aca="false">SUMIF($C$2:$F$2,EOMONTH(R$2,-1)+1,$C25:$F25)*VLOOKUP(R$2,Valores!$H$2:$P$154,8,0)</f>
        <v>17392.7398387362</v>
      </c>
      <c r="S25" s="27" t="n">
        <f aca="false">SUMIF($C$2:$F$2,EOMONTH(S$2,-1)+1,$C25:$F25)*VLOOKUP(S$2,Valores!$H$2:$P$154,8,0)</f>
        <v>34785.4796774724</v>
      </c>
      <c r="T25" s="27" t="n">
        <f aca="false">SUMIF($C$2:$F$2,EOMONTH(T$2,-1)+1,$C25:$F25)*VLOOKUP(T$2,Valores!$H$2:$P$154,8,0)</f>
        <v>43481.8495968405</v>
      </c>
      <c r="U25" s="27" t="n">
        <f aca="false">SUMIF($C$2:$F$2,EOMONTH(U$2,-1)+1,$C25:$F25)*VLOOKUP(U$2,Valores!$H$2:$P$154,8,0)</f>
        <v>26089.1097581043</v>
      </c>
      <c r="V25" s="27" t="n">
        <f aca="false">SUMIF($C$2:$F$2,EOMONTH(V$2,-1)+1,$C25:$F25)*VLOOKUP(V$2,Valores!$H$2:$P$154,8,0)</f>
        <v>21740.9247984203</v>
      </c>
      <c r="W25" s="27" t="n">
        <f aca="false">SUMIF($C$2:$F$2,EOMONTH(W$2,-1)+1,$C25:$F25)*VLOOKUP(W$2,Valores!$H$2:$P$154,8,0)</f>
        <v>21740.9247984203</v>
      </c>
      <c r="X25" s="27" t="n">
        <f aca="false">SUMIF($C$2:$F$2,EOMONTH(X$2,-1)+1,$C25:$F25)*VLOOKUP(X$2,Valores!$H$2:$P$154,8,0)</f>
        <v>0</v>
      </c>
      <c r="Y25" s="27" t="n">
        <f aca="false">SUMIF($C$2:$F$2,EOMONTH(Y$2,-1)+1,$C25:$F25)*VLOOKUP(Y$2,Valores!$H$2:$P$154,8,0)</f>
        <v>0</v>
      </c>
      <c r="Z25" s="27" t="n">
        <f aca="false">SUMIF($C$2:$F$2,EOMONTH(Z$2,-1)+1,$C25:$F25)*VLOOKUP(Z$2,Valores!$H$2:$P$154,8,0)</f>
        <v>32611.3871976304</v>
      </c>
      <c r="AA25" s="27" t="n">
        <f aca="false">SUMIF($C$2:$F$2,EOMONTH(AA$2,-1)+1,$C25:$F25)*VLOOKUP(AA$2,Valores!$H$2:$P$154,8,0)</f>
        <v>39133.6646371565</v>
      </c>
      <c r="AB25" s="27" t="n">
        <f aca="false">SUMIF($C$2:$F$2,EOMONTH(AB$2,-1)+1,$C25:$F25)*VLOOKUP(AB$2,Valores!$H$2:$P$154,8,0)</f>
        <v>19566.8323185782</v>
      </c>
      <c r="AC25" s="27" t="n">
        <f aca="false">SUMIF($C$2:$F$2,EOMONTH(AC$2,-1)+1,$C25:$F25)*VLOOKUP(AC$2,Valores!$H$2:$P$154,8,0)</f>
        <v>23915.0172782623</v>
      </c>
      <c r="AD25" s="27" t="n">
        <f aca="false">SUMIF($C$2:$F$2,EOMONTH(AD$2,-1)+1,$C25:$F25)*VLOOKUP(AD$2,Valores!$H$2:$P$154,8,0)</f>
        <v>23915.0172782623</v>
      </c>
      <c r="AE25" s="27" t="n">
        <f aca="false">SUMIF($C$2:$F$2,EOMONTH(AE$2,-1)+1,$C25:$F25)*VLOOKUP(AE$2,Valores!$H$2:$P$154,8,0)</f>
        <v>23915.0172782623</v>
      </c>
      <c r="AF25" s="27" t="n">
        <f aca="false">SUMIF($C$2:$F$2,EOMONTH(AF$2,-1)+1,$C25:$F25)*VLOOKUP(AF$2,Valores!$H$2:$P$154,8,0)</f>
        <v>23915.0172782623</v>
      </c>
      <c r="AG25" s="27" t="n">
        <f aca="false">SUMIF($C$2:$F$2,EOMONTH(AG$2,-1)+1,$C25:$F25)*VLOOKUP(AG$2,Valores!$H$2:$P$154,8,0)</f>
        <v>38264.0276452197</v>
      </c>
      <c r="AH25" s="27" t="n">
        <f aca="false">SUMIF($C$2:$F$2,EOMONTH(AH$2,-1)+1,$C25:$F25)*VLOOKUP(AH$2,Valores!$H$2:$P$154,8,0)</f>
        <v>47830.0345565246</v>
      </c>
      <c r="AI25" s="27" t="n">
        <f aca="false">SUMIF($C$2:$F$2,EOMONTH(AI$2,-1)+1,$C25:$F25)*VLOOKUP(AI$2,Valores!$H$2:$P$154,8,0)</f>
        <v>16740.5120947836</v>
      </c>
      <c r="AJ25" s="27" t="n">
        <f aca="false">SUMIF($C$2:$F$2,EOMONTH(AJ$2,-1)+1,$C25:$F25)*VLOOKUP(AJ$2,Valores!$H$2:$P$154,8,0)</f>
        <v>10870.4623992101</v>
      </c>
      <c r="AK25" s="27" t="n">
        <f aca="false">SUMIF($C$2:$F$2,EOMONTH(AK$2,-1)+1,$C25:$F25)*VLOOKUP(AK$2,Valores!$H$2:$P$154,8,0)</f>
        <v>19823.1317726071</v>
      </c>
      <c r="AL25" s="27" t="n">
        <f aca="false">SUMIF($C$2:$F$2,EOMONTH(AL$2,-1)+1,$C25:$F25)*VLOOKUP(AL$2,Valores!$H$2:$P$154,8,0)</f>
        <v>19823.1317726071</v>
      </c>
      <c r="AM25" s="27" t="n">
        <f aca="false">SUMIF($C$2:$F$2,EOMONTH(AM$2,-1)+1,$C25:$F25)*VLOOKUP(AM$2,Valores!$H$2:$P$154,8,0)</f>
        <v>19823.1317726071</v>
      </c>
      <c r="AN25" s="27" t="n">
        <f aca="false">SUMIF($C$2:$F$2,EOMONTH(AN$2,-1)+1,$C25:$F25)*VLOOKUP(AN$2,Valores!$H$2:$P$154,8,0)</f>
        <v>39646.2635452142</v>
      </c>
      <c r="AO25" s="27" t="n">
        <f aca="false">SUMIF($C$2:$F$2,EOMONTH(AO$2,-1)+1,$C25:$F25)*VLOOKUP(AO$2,Valores!$H$2:$P$154,8,0)</f>
        <v>49557.8294315178</v>
      </c>
      <c r="AP25" s="27" t="n">
        <f aca="false">SUMIF($C$2:$F$2,EOMONTH(AP$2,-1)+1,$C25:$F25)*VLOOKUP(AP$2,Valores!$H$2:$P$154,8,0)</f>
        <v>29734.6976589107</v>
      </c>
      <c r="AQ25" s="27" t="n">
        <f aca="false">SUMIF($C$2:$F$2,EOMONTH(AQ$2,-1)+1,$C25:$F25)*VLOOKUP(AQ$2,Valores!$H$2:$P$154,8,0)</f>
        <v>10619.5348781824</v>
      </c>
      <c r="AR25" s="27" t="n">
        <f aca="false">SUMIF($C$2:$F$2,EOMONTH(AR$2,-1)+1,$C25:$F25)*VLOOKUP(AR$2,Valores!$H$2:$P$154,8,0)</f>
        <v>10619.5348781824</v>
      </c>
      <c r="AS25" s="27" t="n">
        <f aca="false">SUMIF($C$2:$F$2,EOMONTH(AS$2,-1)+1,$C25:$F25)*VLOOKUP(AS$2,Valores!$H$2:$P$154,8,0)</f>
        <v>10619.5348781824</v>
      </c>
      <c r="AT25" s="27" t="n">
        <f aca="false">SUMIF($C$2:$F$2,EOMONTH(AT$2,-1)+1,$C25:$F25)*VLOOKUP(AT$2,Valores!$H$2:$P$154,8,0)</f>
        <v>10619.5348781824</v>
      </c>
      <c r="AU25" s="27" t="n">
        <f aca="false">SUMIF($C$2:$F$2,EOMONTH(AU$2,-1)+1,$C25:$F25)*VLOOKUP(AU$2,Valores!$H$2:$P$154,8,0)</f>
        <v>21239.0697563648</v>
      </c>
      <c r="AV25" s="27" t="n">
        <f aca="false">SUMIF($C$2:$F$2,EOMONTH(AV$2,-1)+1,$C25:$F25)*VLOOKUP(AV$2,Valores!$H$2:$P$154,8,0)</f>
        <v>26548.8371954559</v>
      </c>
      <c r="AW25" s="27" t="n">
        <f aca="false">SUMIF($C$2:$F$2,EOMONTH(AW$2,-1)+1,$C25:$F25)*VLOOKUP(AW$2,Valores!$H$2:$P$154,8,0)</f>
        <v>15929.3023172736</v>
      </c>
      <c r="AX25" s="27" t="n">
        <f aca="false">SUMIF($C$2:$F$2,EOMONTH(AX$2,-1)+1,$C25:$F25)*VLOOKUP(AX$2,Valores!$H$2:$P$154,8,0)</f>
        <v>10619.5348781824</v>
      </c>
      <c r="AY25" s="27" t="n">
        <f aca="false">SUMIF($C$2:$F$2,EOMONTH(AY$2,-1)+1,$C25:$F25)*VLOOKUP(AY$2,Valores!$H$2:$P$154,8,0)</f>
        <v>13805.3953416371</v>
      </c>
      <c r="AZ25" s="27" t="n">
        <f aca="false">SUMIF($C$2:$F$2,EOMONTH(AZ$2,-1)+1,$C25:$F25)*VLOOKUP(AZ$2,Valores!$H$2:$P$154,8,0)</f>
        <v>13805.3953416371</v>
      </c>
      <c r="BA25" s="27" t="n">
        <f aca="false">SUMIF($C$2:$F$2,EOMONTH(BA$2,-1)+1,$C25:$F25)*VLOOKUP(BA$2,Valores!$H$2:$P$154,8,0)</f>
        <v>13805.3953416371</v>
      </c>
      <c r="BB25" s="27" t="n">
        <f aca="false">SUMIF($C$2:$F$2,EOMONTH(BB$2,-1)+1,$C25:$F25)*VLOOKUP(BB$2,Valores!$H$2:$P$154,8,0)</f>
        <v>24424.9302198195</v>
      </c>
      <c r="BC25" s="27" t="n">
        <f aca="false">SUMIF($C$2:$F$2,EOMONTH(BC$2,-1)+1,$C25:$F25)*VLOOKUP(BC$2,Valores!$H$2:$P$154,8,0)</f>
        <v>29734.6976589107</v>
      </c>
      <c r="BD25" s="27" t="n">
        <f aca="false">SUMIF($C$2:$F$2,EOMONTH(BD$2,-1)+1,$C25:$F25)*VLOOKUP(BD$2,Valores!$H$2:$P$154,8,0)</f>
        <v>15929.3023172736</v>
      </c>
      <c r="BE25" s="27" t="n">
        <f aca="false">SUMIF($C$2:$F$2,EOMONTH(BE$2,-1)+1,$C25:$F25)*VLOOKUP(BE$2,Valores!$H$2:$P$154,8,0)</f>
        <v>14159.3798375765</v>
      </c>
      <c r="BF25" s="27" t="n">
        <f aca="false">SUMIF($C$2:$F$2,EOMONTH(BF$2,-1)+1,$C25:$F25)*VLOOKUP(BF$2,Valores!$H$2:$P$154,8,0)</f>
        <v>14159.3798375765</v>
      </c>
      <c r="BG25" s="27" t="n">
        <f aca="false">SUMIF($C$2:$F$2,EOMONTH(BG$2,-1)+1,$C25:$F25)*VLOOKUP(BG$2,Valores!$H$2:$P$154,8,0)</f>
        <v>14159.3798375765</v>
      </c>
      <c r="BH25" s="27" t="n">
        <f aca="false">SUMIF($C$2:$F$2,EOMONTH(BH$2,-1)+1,$C25:$F25)*VLOOKUP(BH$2,Valores!$H$2:$P$154,8,0)</f>
        <v>14159.3798375765</v>
      </c>
      <c r="BI25" s="27" t="n">
        <f aca="false">SUMIF($C$2:$F$2,EOMONTH(BI$2,-1)+1,$C25:$F25)*VLOOKUP(BI$2,Valores!$H$2:$P$154,8,0)</f>
        <v>28318.759675153</v>
      </c>
      <c r="BJ25" s="27" t="n">
        <f aca="false">SUMIF($C$2:$F$2,EOMONTH(BJ$2,-1)+1,$C25:$F25)*VLOOKUP(BJ$2,Valores!$H$2:$P$154,8,0)</f>
        <v>35398.4495939413</v>
      </c>
      <c r="BK25" s="27" t="n">
        <f aca="false">SUMIF($C$2:$F$2,EOMONTH(BK$2,-1)+1,$C25:$F25)*VLOOKUP(BK$2,Valores!$H$2:$P$154,8,0)</f>
        <v>16991.2558050918</v>
      </c>
      <c r="BL25" s="27" t="n">
        <f aca="false">SUMIF($C$2:$F$2,EOMONTH(BL$2,-1)+1,$C25:$F25)*VLOOKUP(BL$2,Valores!$H$2:$P$154,8,0)</f>
        <v>12460.2542570673</v>
      </c>
      <c r="BM25" s="27" t="n">
        <f aca="false">SUMIF($C$2:$F$2,EOMONTH(BM$2,-1)+1,$C25:$F25)*VLOOKUP(BM$2,Valores!$H$2:$P$154,8,0)</f>
        <v>12460.2542570673</v>
      </c>
      <c r="BN25" s="27" t="n">
        <f aca="false">SUMIF($C$2:$F$2,EOMONTH(BN$2,-1)+1,$C25:$F25)*VLOOKUP(BN$2,Valores!$H$2:$P$154,8,0)</f>
        <v>12460.2542570673</v>
      </c>
      <c r="BO25" s="27" t="n">
        <f aca="false">SUMIF($C$2:$F$2,EOMONTH(BO$2,-1)+1,$C25:$F25)*VLOOKUP(BO$2,Valores!$H$2:$P$154,8,0)</f>
        <v>13083.2669699207</v>
      </c>
      <c r="BP25" s="27" t="n">
        <f aca="false">SUMIF($C$2:$F$2,EOMONTH(BP$2,-1)+1,$C25:$F25)*VLOOKUP(BP$2,Valores!$H$2:$P$154,8,0)</f>
        <v>32924.6514448962</v>
      </c>
      <c r="BQ25" s="27" t="n">
        <f aca="false">SUMIF($C$2:$F$2,EOMONTH(BQ$2,-1)+1,$C25:$F25)*VLOOKUP(BQ$2,Valores!$H$2:$P$154,8,0)</f>
        <v>41155.8143061202</v>
      </c>
      <c r="BR25" s="27" t="n">
        <f aca="false">SUMIF($C$2:$F$2,EOMONTH(BR$2,-1)+1,$C25:$F25)*VLOOKUP(BR$2,Valores!$H$2:$P$154,8,0)</f>
        <v>19754.7908669377</v>
      </c>
      <c r="BS25" s="27" t="n">
        <f aca="false">SUMIF($C$2:$F$2,EOMONTH(BS$2,-1)+1,$C25:$F25)*VLOOKUP(BS$2,Valores!$H$2:$P$154,8,0)</f>
        <v>8819.10306559718</v>
      </c>
      <c r="BT25" s="27" t="n">
        <f aca="false">SUMIF($C$2:$F$2,EOMONTH(BT$2,-1)+1,$C25:$F25)*VLOOKUP(BT$2,Valores!$H$2:$P$154,8,0)</f>
        <v>8819.10306559718</v>
      </c>
      <c r="BU25" s="27" t="n">
        <f aca="false">SUMIF($C$2:$F$2,EOMONTH(BU$2,-1)+1,$C25:$F25)*VLOOKUP(BU$2,Valores!$H$2:$P$154,8,0)</f>
        <v>8819.10306559718</v>
      </c>
      <c r="BV25" s="27" t="n">
        <f aca="false">SUMIF($C$2:$F$2,EOMONTH(BV$2,-1)+1,$C25:$F25)*VLOOKUP(BV$2,Valores!$H$2:$P$154,8,0)</f>
        <v>8819.10306559718</v>
      </c>
      <c r="BW25" s="27" t="n">
        <f aca="false">SUMIF($C$2:$F$2,EOMONTH(BW$2,-1)+1,$C25:$F25)*VLOOKUP(BW$2,Valores!$H$2:$P$154,8,0)</f>
        <v>17638.2061311944</v>
      </c>
      <c r="BX25" s="27" t="n">
        <f aca="false">SUMIF($C$2:$F$2,EOMONTH(BX$2,-1)+1,$C25:$F25)*VLOOKUP(BX$2,Valores!$H$2:$P$154,8,0)</f>
        <v>22047.757663993</v>
      </c>
      <c r="BY25" s="27" t="n">
        <f aca="false">SUMIF($C$2:$F$2,EOMONTH(BY$2,-1)+1,$C25:$F25)*VLOOKUP(BY$2,Valores!$H$2:$P$154,8,0)</f>
        <v>13228.6545983958</v>
      </c>
      <c r="BZ25" s="27" t="n">
        <f aca="false">SUMIF($C$2:$F$2,EOMONTH(BZ$2,-1)+1,$C25:$F25)*VLOOKUP(BZ$2,Valores!$H$2:$P$154,8,0)</f>
        <v>8819.10306559718</v>
      </c>
      <c r="CA25" s="27" t="n">
        <f aca="false">SUMIF($C$2:$F$2,EOMONTH(CA$2,-1)+1,$C25:$F25)*VLOOKUP(CA$2,Valores!$H$2:$P$154,8,0)</f>
        <v>8819.10306559718</v>
      </c>
      <c r="CB25" s="27" t="n">
        <f aca="false">SUMIF($C$2:$F$2,EOMONTH(CB$2,-1)+1,$C25:$F25)*VLOOKUP(CB$2,Valores!$H$2:$P$154,8,0)</f>
        <v>8819.10306559718</v>
      </c>
      <c r="CC25" s="27" t="n">
        <f aca="false">SUMIF($C$2:$F$2,EOMONTH(CC$2,-1)+1,$C25:$F25)*VLOOKUP(CC$2,Valores!$H$2:$P$154,8,0)</f>
        <v>8819.10306559718</v>
      </c>
      <c r="CD25" s="27" t="n">
        <f aca="false">SUMIF($C$2:$F$2,EOMONTH(CD$2,-1)+1,$C25:$F25)*VLOOKUP(CD$2,Valores!$H$2:$P$154,8,0)</f>
        <v>26457.3091967915</v>
      </c>
      <c r="CE25" s="27" t="n">
        <f aca="false">SUMIF($C$2:$F$2,EOMONTH(CE$2,-1)+1,$C25:$F25)*VLOOKUP(CE$2,Valores!$H$2:$P$154,8,0)</f>
        <v>35276.4122623887</v>
      </c>
      <c r="CF25" s="27" t="n">
        <f aca="false">SUMIF($C$2:$F$2,EOMONTH(CF$2,-1)+1,$C25:$F25)*VLOOKUP(CF$2,Valores!$H$2:$P$154,8,0)</f>
        <v>22047.757663993</v>
      </c>
      <c r="CG25" s="27" t="n">
        <f aca="false">SUMIF($C$2:$F$2,EOMONTH(CG$2,-1)+1,$C25:$F25)*VLOOKUP(CG$2,Valores!$H$2:$P$154,8,0)</f>
        <v>11758.8040874629</v>
      </c>
      <c r="CH25" s="27" t="n">
        <f aca="false">SUMIF($C$2:$F$2,EOMONTH(CH$2,-1)+1,$C25:$F25)*VLOOKUP(CH$2,Valores!$H$2:$P$154,8,0)</f>
        <v>11758.8040874629</v>
      </c>
      <c r="CI25" s="27" t="n">
        <f aca="false">SUMIF($C$2:$F$2,EOMONTH(CI$2,-1)+1,$C25:$F25)*VLOOKUP(CI$2,Valores!$H$2:$P$154,8,0)</f>
        <v>11758.8040874629</v>
      </c>
      <c r="CJ25" s="27" t="n">
        <f aca="false">SUMIF($C$2:$F$2,EOMONTH(CJ$2,-1)+1,$C25:$F25)*VLOOKUP(CJ$2,Valores!$H$2:$P$154,8,0)</f>
        <v>11758.8040874629</v>
      </c>
      <c r="CK25" s="27" t="n">
        <f aca="false">SUMIF($C$2:$F$2,EOMONTH(CK$2,-1)+1,$C25:$F25)*VLOOKUP(CK$2,Valores!$H$2:$P$154,8,0)</f>
        <v>23517.6081749258</v>
      </c>
      <c r="CL25" s="27" t="n">
        <f aca="false">SUMIF($C$2:$F$2,EOMONTH(CL$2,-1)+1,$C25:$F25)*VLOOKUP(CL$2,Valores!$H$2:$P$154,8,0)</f>
        <v>29397.0102186573</v>
      </c>
      <c r="CM25" s="27" t="n">
        <f aca="false">SUMIF($C$2:$F$2,EOMONTH(CM$2,-1)+1,$C25:$F25)*VLOOKUP(CM$2,Valores!$H$2:$P$154,8,0)</f>
        <v>17638.2061311944</v>
      </c>
      <c r="CN25" s="27" t="n">
        <f aca="false">SUMIF($C$2:$F$2,EOMONTH(CN$2,-1)+1,$C25:$F25)*VLOOKUP(CN$2,Valores!$H$2:$P$154,8,0)</f>
        <v>12934.6844962092</v>
      </c>
      <c r="CO25" s="27" t="n">
        <f aca="false">SUMIF($C$2:$F$2,EOMONTH(CO$2,-1)+1,$C25:$F25)*VLOOKUP(CO$2,Valores!$H$2:$P$154,8,0)</f>
        <v>12934.6844962092</v>
      </c>
      <c r="CP25" s="27" t="n">
        <f aca="false">SUMIF($C$2:$F$2,EOMONTH(CP$2,-1)+1,$C25:$F25)*VLOOKUP(CP$2,Valores!$H$2:$P$154,8,0)</f>
        <v>12934.6844962092</v>
      </c>
      <c r="CQ25" s="27" t="n">
        <f aca="false">SUMIF($C$2:$F$2,EOMONTH(CQ$2,-1)+1,$C25:$F25)*VLOOKUP(CQ$2,Valores!$H$2:$P$154,8,0)</f>
        <v>12934.6844962092</v>
      </c>
      <c r="CR25" s="27" t="n">
        <f aca="false">SUMIF($C$2:$F$2,EOMONTH(CR$2,-1)+1,$C25:$F25)*VLOOKUP(CR$2,Valores!$H$2:$P$154,8,0)</f>
        <v>25869.3689924184</v>
      </c>
      <c r="CS25" s="27" t="n">
        <f aca="false">SUMIF($C$2:$F$2,EOMONTH(CS$2,-1)+1,$C25:$F25)*VLOOKUP(CS$2,Valores!$H$2:$P$154,8,0)</f>
        <v>38804.0534886276</v>
      </c>
      <c r="CT25" s="27" t="e">
        <f aca="false">SUMIF($C$2:$F$2,EOMONTH(CT$2,-1)+1,$C25:$F25)*VLOOKUP(CT$2,Valores!$H$2:$P$154,8,0)</f>
        <v>#VALUE!</v>
      </c>
      <c r="CU25" s="27" t="e">
        <f aca="false">SUMIF($C$2:$F$2,EOMONTH(CU$2,-1)+1,$C25:$F25)*VLOOKUP(CU$2,Valores!$H$2:$P$154,8,0)</f>
        <v>#VALUE!</v>
      </c>
      <c r="CV25" s="27" t="e">
        <f aca="false">SUMIF($C$2:$F$2,EOMONTH(CV$2,-1)+1,$C25:$F25)*VLOOKUP(CV$2,Valores!$H$2:$P$154,8,0)</f>
        <v>#VALUE!</v>
      </c>
      <c r="CW25" s="27" t="e">
        <f aca="false">SUMIF($C$2:$F$2,EOMONTH(CW$2,-1)+1,$C25:$F25)*VLOOKUP(CW$2,Valores!$H$2:$P$154,8,0)</f>
        <v>#VALUE!</v>
      </c>
      <c r="CX25" s="27" t="e">
        <f aca="false">SUMIF($C$2:$F$2,EOMONTH(CX$2,-1)+1,$C25:$F25)*VLOOKUP(CX$2,Valores!$H$2:$P$154,8,0)</f>
        <v>#VALUE!</v>
      </c>
      <c r="CY25" s="27" t="e">
        <f aca="false">SUMIF($C$2:$F$2,EOMONTH(CY$2,-1)+1,$C25:$F25)*VLOOKUP(CY$2,Valores!$H$2:$P$154,8,0)</f>
        <v>#VALUE!</v>
      </c>
      <c r="CZ25" s="27" t="e">
        <f aca="false">SUMIF($C$2:$F$2,EOMONTH(CZ$2,-1)+1,$C25:$F25)*VLOOKUP(CZ$2,Valores!$H$2:$P$154,8,0)</f>
        <v>#VALUE!</v>
      </c>
      <c r="DA25" s="27" t="e">
        <f aca="false">SUMIF($C$2:$F$2,EOMONTH(DA$2,-1)+1,$C25:$F25)*VLOOKUP(DA$2,Valores!$H$2:$P$154,8,0)</f>
        <v>#VALUE!</v>
      </c>
      <c r="DB25" s="27" t="e">
        <f aca="false">SUMIF($C$2:$F$2,EOMONTH(DB$2,-1)+1,$C25:$F25)*VLOOKUP(DB$2,Valores!$H$2:$P$154,8,0)</f>
        <v>#VALUE!</v>
      </c>
      <c r="DC25" s="27" t="e">
        <f aca="false">SUMIF($C$2:$F$2,EOMONTH(DC$2,-1)+1,$C25:$F25)*VLOOKUP(DC$2,Valores!$H$2:$P$154,8,0)</f>
        <v>#VALUE!</v>
      </c>
      <c r="DD25" s="27" t="e">
        <f aca="false">SUMIF($C$2:$F$2,EOMONTH(DD$2,-1)+1,$C25:$F25)*VLOOKUP(DD$2,Valores!$H$2:$P$154,8,0)</f>
        <v>#VALUE!</v>
      </c>
      <c r="DE25" s="27" t="e">
        <f aca="false">SUMIF($C$2:$F$2,EOMONTH(DE$2,-1)+1,$C25:$F25)*VLOOKUP(DE$2,Valores!$H$2:$P$154,8,0)</f>
        <v>#VALUE!</v>
      </c>
      <c r="DF25" s="27" t="e">
        <f aca="false">SUMIF($C$2:$F$2,EOMONTH(DF$2,-1)+1,$C25:$F25)*VLOOKUP(DF$2,Valores!$H$2:$P$154,8,0)</f>
        <v>#VALUE!</v>
      </c>
      <c r="DG25" s="27" t="e">
        <f aca="false">SUMIF($C$2:$F$2,EOMONTH(DG$2,-1)+1,$C25:$F25)*VLOOKUP(DG$2,Valores!$H$2:$P$154,8,0)</f>
        <v>#VALUE!</v>
      </c>
      <c r="DH25" s="27" t="e">
        <f aca="false">SUMIF($C$2:$F$2,EOMONTH(DH$2,-1)+1,$C25:$F25)*VLOOKUP(DH$2,Valores!$H$2:$P$154,8,0)</f>
        <v>#VALUE!</v>
      </c>
      <c r="DI25" s="27" t="e">
        <f aca="false">SUMIF($C$2:$F$2,EOMONTH(DI$2,-1)+1,$C25:$F25)*VLOOKUP(DI$2,Valores!$H$2:$P$154,8,0)</f>
        <v>#VALUE!</v>
      </c>
      <c r="DJ25" s="27" t="e">
        <f aca="false">SUMIF($C$2:$F$2,EOMONTH(DJ$2,-1)+1,$C25:$F25)*VLOOKUP(DJ$2,Valores!$H$2:$P$154,8,0)</f>
        <v>#VALUE!</v>
      </c>
      <c r="DK25" s="27" t="e">
        <f aca="false">SUMIF($C$2:$F$2,EOMONTH(DK$2,-1)+1,$C25:$F25)*VLOOKUP(DK$2,Valores!$H$2:$P$154,8,0)</f>
        <v>#VALUE!</v>
      </c>
      <c r="DL25" s="27" t="e">
        <f aca="false">SUMIF($C$2:$F$2,EOMONTH(DL$2,-1)+1,$C25:$F25)*VLOOKUP(DL$2,Valores!$H$2:$P$154,8,0)</f>
        <v>#VALUE!</v>
      </c>
      <c r="DM25" s="27" t="e">
        <f aca="false">SUMIF($C$2:$F$2,EOMONTH(DM$2,-1)+1,$C25:$F25)*VLOOKUP(DM$2,Valores!$H$2:$P$154,8,0)</f>
        <v>#VALUE!</v>
      </c>
      <c r="DN25" s="27" t="e">
        <f aca="false">SUMIF($C$2:$F$2,EOMONTH(DN$2,-1)+1,$C25:$F25)*VLOOKUP(DN$2,Valores!$H$2:$P$154,8,0)</f>
        <v>#VALUE!</v>
      </c>
      <c r="DO25" s="27" t="e">
        <f aca="false">SUMIF($C$2:$F$2,EOMONTH(DO$2,-1)+1,$C25:$F25)*VLOOKUP(DO$2,Valores!$H$2:$P$154,8,0)</f>
        <v>#VALUE!</v>
      </c>
      <c r="DP25" s="27" t="e">
        <f aca="false">SUMIF($C$2:$F$2,EOMONTH(DP$2,-1)+1,$C25:$F25)*VLOOKUP(DP$2,Valores!$H$2:$P$154,8,0)</f>
        <v>#VALUE!</v>
      </c>
      <c r="DQ25" s="27" t="e">
        <f aca="false">SUMIF($C$2:$F$2,EOMONTH(DQ$2,-1)+1,$C25:$F25)*VLOOKUP(DQ$2,Valores!$H$2:$P$154,8,0)</f>
        <v>#VALUE!</v>
      </c>
      <c r="DR25" s="27" t="e">
        <f aca="false">SUMIF($C$2:$F$2,EOMONTH(DR$2,-1)+1,$C25:$F25)*VLOOKUP(DR$2,Valores!$H$2:$P$154,8,0)</f>
        <v>#VALUE!</v>
      </c>
      <c r="DS25" s="27" t="e">
        <f aca="false">SUMIF($C$2:$F$2,EOMONTH(DS$2,-1)+1,$C25:$F25)*VLOOKUP(DS$2,Valores!$H$2:$P$154,8,0)</f>
        <v>#VALUE!</v>
      </c>
      <c r="DT25" s="27" t="e">
        <f aca="false">SUMIF($C$2:$F$2,EOMONTH(DT$2,-1)+1,$C25:$F25)*VLOOKUP(DT$2,Valores!$H$2:$P$154,8,0)</f>
        <v>#VALUE!</v>
      </c>
      <c r="DU25" s="27" t="e">
        <f aca="false">SUMIF($C$2:$F$2,EOMONTH(DU$2,-1)+1,$C25:$F25)*VLOOKUP(DU$2,Valores!$H$2:$P$154,8,0)</f>
        <v>#VALUE!</v>
      </c>
      <c r="DV25" s="27" t="e">
        <f aca="false">SUMIF($C$2:$F$2,EOMONTH(DV$2,-1)+1,$C25:$F25)*VLOOKUP(DV$2,Valores!$H$2:$P$154,8,0)</f>
        <v>#VALUE!</v>
      </c>
      <c r="DW25" s="27" t="e">
        <f aca="false">SUMIF($C$2:$F$2,EOMONTH(DW$2,-1)+1,$C25:$F25)*VLOOKUP(DW$2,Valores!$H$2:$P$154,8,0)</f>
        <v>#VALUE!</v>
      </c>
      <c r="DX25" s="27" t="e">
        <f aca="false">SUMIF($C$2:$F$2,EOMONTH(DX$2,-1)+1,$C25:$F25)*VLOOKUP(DX$2,Valores!$H$2:$P$154,8,0)</f>
        <v>#VALUE!</v>
      </c>
    </row>
    <row r="26" customFormat="false" ht="13.8" hidden="false" customHeight="false" outlineLevel="0" collapsed="false">
      <c r="A26" s="29" t="s">
        <v>23</v>
      </c>
      <c r="B26" s="29" t="s">
        <v>47</v>
      </c>
      <c r="C26" s="29" t="n">
        <v>762365</v>
      </c>
      <c r="D26" s="29" t="n">
        <v>686128.5</v>
      </c>
      <c r="E26" s="29" t="n">
        <v>617515.65</v>
      </c>
      <c r="F26" s="29" t="n">
        <v>555764.085</v>
      </c>
      <c r="G26" s="30" t="n">
        <f aca="false">SUMIF($C$2:$F$2,EOMONTH(G$2,-1)+1,$C26:$F26)*VLOOKUP(G$2,Valores!$H$2:$P$154,8,0)</f>
        <v>21953.9040645055</v>
      </c>
      <c r="H26" s="30" t="n">
        <f aca="false">SUMIF($C$2:$F$2,EOMONTH(H$2,-1)+1,$C26:$F26)*VLOOKUP(H$2,Valores!$H$2:$P$154,8,0)</f>
        <v>15054.1056442324</v>
      </c>
      <c r="I26" s="30" t="n">
        <f aca="false">SUMIF($C$2:$F$2,EOMONTH(I$2,-1)+1,$C26:$F26)*VLOOKUP(I$2,Valores!$H$2:$P$154,8,0)</f>
        <v>15054.1056442324</v>
      </c>
      <c r="J26" s="30" t="n">
        <f aca="false">SUMIF($C$2:$F$2,EOMONTH(J$2,-1)+1,$C26:$F26)*VLOOKUP(J$2,Valores!$H$2:$P$154,8,0)</f>
        <v>15054.1056442324</v>
      </c>
      <c r="K26" s="30" t="n">
        <f aca="false">SUMIF($C$2:$F$2,EOMONTH(K$2,-1)+1,$C26:$F26)*VLOOKUP(K$2,Valores!$H$2:$P$154,8,0)</f>
        <v>15054.1056442324</v>
      </c>
      <c r="L26" s="30" t="n">
        <f aca="false">SUMIF($C$2:$F$2,EOMONTH(L$2,-1)+1,$C26:$F26)*VLOOKUP(L$2,Valores!$H$2:$P$154,8,0)</f>
        <v>30108.2112884647</v>
      </c>
      <c r="M26" s="30" t="n">
        <f aca="false">SUMIF($C$2:$F$2,EOMONTH(M$2,-1)+1,$C26:$F26)*VLOOKUP(M$2,Valores!$H$2:$P$154,8,0)</f>
        <v>37635.2641105809</v>
      </c>
      <c r="N26" s="30" t="n">
        <f aca="false">SUMIF($C$2:$F$2,EOMONTH(N$2,-1)+1,$C26:$F26)*VLOOKUP(N$2,Valores!$H$2:$P$154,8,0)</f>
        <v>22581.1584663485</v>
      </c>
      <c r="O26" s="30" t="n">
        <f aca="false">SUMIF($C$2:$F$2,EOMONTH(O$2,-1)+1,$C26:$F26)*VLOOKUP(O$2,Valores!$H$2:$P$154,8,0)</f>
        <v>20072.1408589765</v>
      </c>
      <c r="P26" s="30" t="n">
        <f aca="false">SUMIF($C$2:$F$2,EOMONTH(P$2,-1)+1,$C26:$F26)*VLOOKUP(P$2,Valores!$H$2:$P$154,8,0)</f>
        <v>20072.1408589765</v>
      </c>
      <c r="Q26" s="30" t="n">
        <f aca="false">SUMIF($C$2:$F$2,EOMONTH(Q$2,-1)+1,$C26:$F26)*VLOOKUP(Q$2,Valores!$H$2:$P$154,8,0)</f>
        <v>12043.2845153859</v>
      </c>
      <c r="R26" s="30" t="n">
        <f aca="false">SUMIF($C$2:$F$2,EOMONTH(R$2,-1)+1,$C26:$F26)*VLOOKUP(R$2,Valores!$H$2:$P$154,8,0)</f>
        <v>20072.1408589765</v>
      </c>
      <c r="S26" s="30" t="n">
        <f aca="false">SUMIF($C$2:$F$2,EOMONTH(S$2,-1)+1,$C26:$F26)*VLOOKUP(S$2,Valores!$H$2:$P$154,8,0)</f>
        <v>40144.2817179529</v>
      </c>
      <c r="T26" s="30" t="n">
        <f aca="false">SUMIF($C$2:$F$2,EOMONTH(T$2,-1)+1,$C26:$F26)*VLOOKUP(T$2,Valores!$H$2:$P$154,8,0)</f>
        <v>50180.3521474412</v>
      </c>
      <c r="U26" s="30" t="n">
        <f aca="false">SUMIF($C$2:$F$2,EOMONTH(U$2,-1)+1,$C26:$F26)*VLOOKUP(U$2,Valores!$H$2:$P$154,8,0)</f>
        <v>30108.2112884647</v>
      </c>
      <c r="V26" s="30" t="n">
        <f aca="false">SUMIF($C$2:$F$2,EOMONTH(V$2,-1)+1,$C26:$F26)*VLOOKUP(V$2,Valores!$H$2:$P$154,8,0)</f>
        <v>25090.1760737206</v>
      </c>
      <c r="W26" s="30" t="n">
        <f aca="false">SUMIF($C$2:$F$2,EOMONTH(W$2,-1)+1,$C26:$F26)*VLOOKUP(W$2,Valores!$H$2:$P$154,8,0)</f>
        <v>25090.1760737206</v>
      </c>
      <c r="X26" s="30" t="n">
        <f aca="false">SUMIF($C$2:$F$2,EOMONTH(X$2,-1)+1,$C26:$F26)*VLOOKUP(X$2,Valores!$H$2:$P$154,8,0)</f>
        <v>0</v>
      </c>
      <c r="Y26" s="30" t="n">
        <f aca="false">SUMIF($C$2:$F$2,EOMONTH(Y$2,-1)+1,$C26:$F26)*VLOOKUP(Y$2,Valores!$H$2:$P$154,8,0)</f>
        <v>0</v>
      </c>
      <c r="Z26" s="30" t="n">
        <f aca="false">SUMIF($C$2:$F$2,EOMONTH(Z$2,-1)+1,$C26:$F26)*VLOOKUP(Z$2,Valores!$H$2:$P$154,8,0)</f>
        <v>37635.2641105809</v>
      </c>
      <c r="AA26" s="30" t="n">
        <f aca="false">SUMIF($C$2:$F$2,EOMONTH(AA$2,-1)+1,$C26:$F26)*VLOOKUP(AA$2,Valores!$H$2:$P$154,8,0)</f>
        <v>45162.316932697</v>
      </c>
      <c r="AB26" s="30" t="n">
        <f aca="false">SUMIF($C$2:$F$2,EOMONTH(AB$2,-1)+1,$C26:$F26)*VLOOKUP(AB$2,Valores!$H$2:$P$154,8,0)</f>
        <v>22581.1584663485</v>
      </c>
      <c r="AC26" s="30" t="n">
        <f aca="false">SUMIF($C$2:$F$2,EOMONTH(AC$2,-1)+1,$C26:$F26)*VLOOKUP(AC$2,Valores!$H$2:$P$154,8,0)</f>
        <v>27599.1936810926</v>
      </c>
      <c r="AD26" s="30" t="n">
        <f aca="false">SUMIF($C$2:$F$2,EOMONTH(AD$2,-1)+1,$C26:$F26)*VLOOKUP(AD$2,Valores!$H$2:$P$154,8,0)</f>
        <v>27599.1936810926</v>
      </c>
      <c r="AE26" s="30" t="n">
        <f aca="false">SUMIF($C$2:$F$2,EOMONTH(AE$2,-1)+1,$C26:$F26)*VLOOKUP(AE$2,Valores!$H$2:$P$154,8,0)</f>
        <v>27599.1936810926</v>
      </c>
      <c r="AF26" s="30" t="n">
        <f aca="false">SUMIF($C$2:$F$2,EOMONTH(AF$2,-1)+1,$C26:$F26)*VLOOKUP(AF$2,Valores!$H$2:$P$154,8,0)</f>
        <v>27599.1936810926</v>
      </c>
      <c r="AG26" s="30" t="n">
        <f aca="false">SUMIF($C$2:$F$2,EOMONTH(AG$2,-1)+1,$C26:$F26)*VLOOKUP(AG$2,Valores!$H$2:$P$154,8,0)</f>
        <v>44158.7098897482</v>
      </c>
      <c r="AH26" s="30" t="n">
        <f aca="false">SUMIF($C$2:$F$2,EOMONTH(AH$2,-1)+1,$C26:$F26)*VLOOKUP(AH$2,Valores!$H$2:$P$154,8,0)</f>
        <v>55198.3873621853</v>
      </c>
      <c r="AI26" s="30" t="n">
        <f aca="false">SUMIF($C$2:$F$2,EOMONTH(AI$2,-1)+1,$C26:$F26)*VLOOKUP(AI$2,Valores!$H$2:$P$154,8,0)</f>
        <v>19319.4355767649</v>
      </c>
      <c r="AJ26" s="30" t="n">
        <f aca="false">SUMIF($C$2:$F$2,EOMONTH(AJ$2,-1)+1,$C26:$F26)*VLOOKUP(AJ$2,Valores!$H$2:$P$154,8,0)</f>
        <v>12545.0880368603</v>
      </c>
      <c r="AK26" s="30" t="n">
        <f aca="false">SUMIF($C$2:$F$2,EOMONTH(AK$2,-1)+1,$C26:$F26)*VLOOKUP(AK$2,Valores!$H$2:$P$154,8,0)</f>
        <v>22876.9415799376</v>
      </c>
      <c r="AL26" s="30" t="n">
        <f aca="false">SUMIF($C$2:$F$2,EOMONTH(AL$2,-1)+1,$C26:$F26)*VLOOKUP(AL$2,Valores!$H$2:$P$154,8,0)</f>
        <v>22876.9415799376</v>
      </c>
      <c r="AM26" s="30" t="n">
        <f aca="false">SUMIF($C$2:$F$2,EOMONTH(AM$2,-1)+1,$C26:$F26)*VLOOKUP(AM$2,Valores!$H$2:$P$154,8,0)</f>
        <v>22876.9415799376</v>
      </c>
      <c r="AN26" s="30" t="n">
        <f aca="false">SUMIF($C$2:$F$2,EOMONTH(AN$2,-1)+1,$C26:$F26)*VLOOKUP(AN$2,Valores!$H$2:$P$154,8,0)</f>
        <v>45753.8831598752</v>
      </c>
      <c r="AO26" s="30" t="n">
        <f aca="false">SUMIF($C$2:$F$2,EOMONTH(AO$2,-1)+1,$C26:$F26)*VLOOKUP(AO$2,Valores!$H$2:$P$154,8,0)</f>
        <v>57192.353949844</v>
      </c>
      <c r="AP26" s="30" t="n">
        <f aca="false">SUMIF($C$2:$F$2,EOMONTH(AP$2,-1)+1,$C26:$F26)*VLOOKUP(AP$2,Valores!$H$2:$P$154,8,0)</f>
        <v>34315.4123699064</v>
      </c>
      <c r="AQ26" s="30" t="n">
        <f aca="false">SUMIF($C$2:$F$2,EOMONTH(AQ$2,-1)+1,$C26:$F26)*VLOOKUP(AQ$2,Valores!$H$2:$P$154,8,0)</f>
        <v>12255.5044178237</v>
      </c>
      <c r="AR26" s="30" t="n">
        <f aca="false">SUMIF($C$2:$F$2,EOMONTH(AR$2,-1)+1,$C26:$F26)*VLOOKUP(AR$2,Valores!$H$2:$P$154,8,0)</f>
        <v>12255.5044178237</v>
      </c>
      <c r="AS26" s="30" t="n">
        <f aca="false">SUMIF($C$2:$F$2,EOMONTH(AS$2,-1)+1,$C26:$F26)*VLOOKUP(AS$2,Valores!$H$2:$P$154,8,0)</f>
        <v>12255.5044178237</v>
      </c>
      <c r="AT26" s="30" t="n">
        <f aca="false">SUMIF($C$2:$F$2,EOMONTH(AT$2,-1)+1,$C26:$F26)*VLOOKUP(AT$2,Valores!$H$2:$P$154,8,0)</f>
        <v>12255.5044178237</v>
      </c>
      <c r="AU26" s="30" t="n">
        <f aca="false">SUMIF($C$2:$F$2,EOMONTH(AU$2,-1)+1,$C26:$F26)*VLOOKUP(AU$2,Valores!$H$2:$P$154,8,0)</f>
        <v>24511.0088356474</v>
      </c>
      <c r="AV26" s="30" t="n">
        <f aca="false">SUMIF($C$2:$F$2,EOMONTH(AV$2,-1)+1,$C26:$F26)*VLOOKUP(AV$2,Valores!$H$2:$P$154,8,0)</f>
        <v>30638.7610445593</v>
      </c>
      <c r="AW26" s="30" t="n">
        <f aca="false">SUMIF($C$2:$F$2,EOMONTH(AW$2,-1)+1,$C26:$F26)*VLOOKUP(AW$2,Valores!$H$2:$P$154,8,0)</f>
        <v>18383.2566267356</v>
      </c>
      <c r="AX26" s="30" t="n">
        <f aca="false">SUMIF($C$2:$F$2,EOMONTH(AX$2,-1)+1,$C26:$F26)*VLOOKUP(AX$2,Valores!$H$2:$P$154,8,0)</f>
        <v>12255.5044178237</v>
      </c>
      <c r="AY26" s="30" t="n">
        <f aca="false">SUMIF($C$2:$F$2,EOMONTH(AY$2,-1)+1,$C26:$F26)*VLOOKUP(AY$2,Valores!$H$2:$P$154,8,0)</f>
        <v>15932.1557431708</v>
      </c>
      <c r="AZ26" s="30" t="n">
        <f aca="false">SUMIF($C$2:$F$2,EOMONTH(AZ$2,-1)+1,$C26:$F26)*VLOOKUP(AZ$2,Valores!$H$2:$P$154,8,0)</f>
        <v>15932.1557431708</v>
      </c>
      <c r="BA26" s="30" t="n">
        <f aca="false">SUMIF($C$2:$F$2,EOMONTH(BA$2,-1)+1,$C26:$F26)*VLOOKUP(BA$2,Valores!$H$2:$P$154,8,0)</f>
        <v>15932.1557431708</v>
      </c>
      <c r="BB26" s="30" t="n">
        <f aca="false">SUMIF($C$2:$F$2,EOMONTH(BB$2,-1)+1,$C26:$F26)*VLOOKUP(BB$2,Valores!$H$2:$P$154,8,0)</f>
        <v>28187.6601609945</v>
      </c>
      <c r="BC26" s="30" t="n">
        <f aca="false">SUMIF($C$2:$F$2,EOMONTH(BC$2,-1)+1,$C26:$F26)*VLOOKUP(BC$2,Valores!$H$2:$P$154,8,0)</f>
        <v>34315.4123699064</v>
      </c>
      <c r="BD26" s="30" t="n">
        <f aca="false">SUMIF($C$2:$F$2,EOMONTH(BD$2,-1)+1,$C26:$F26)*VLOOKUP(BD$2,Valores!$H$2:$P$154,8,0)</f>
        <v>18383.2566267356</v>
      </c>
      <c r="BE26" s="30" t="n">
        <f aca="false">SUMIF($C$2:$F$2,EOMONTH(BE$2,-1)+1,$C26:$F26)*VLOOKUP(BE$2,Valores!$H$2:$P$154,8,0)</f>
        <v>16340.6725570983</v>
      </c>
      <c r="BF26" s="30" t="n">
        <f aca="false">SUMIF($C$2:$F$2,EOMONTH(BF$2,-1)+1,$C26:$F26)*VLOOKUP(BF$2,Valores!$H$2:$P$154,8,0)</f>
        <v>16340.6725570983</v>
      </c>
      <c r="BG26" s="30" t="n">
        <f aca="false">SUMIF($C$2:$F$2,EOMONTH(BG$2,-1)+1,$C26:$F26)*VLOOKUP(BG$2,Valores!$H$2:$P$154,8,0)</f>
        <v>16340.6725570983</v>
      </c>
      <c r="BH26" s="30" t="n">
        <f aca="false">SUMIF($C$2:$F$2,EOMONTH(BH$2,-1)+1,$C26:$F26)*VLOOKUP(BH$2,Valores!$H$2:$P$154,8,0)</f>
        <v>16340.6725570983</v>
      </c>
      <c r="BI26" s="30" t="n">
        <f aca="false">SUMIF($C$2:$F$2,EOMONTH(BI$2,-1)+1,$C26:$F26)*VLOOKUP(BI$2,Valores!$H$2:$P$154,8,0)</f>
        <v>32681.3451141966</v>
      </c>
      <c r="BJ26" s="30" t="n">
        <f aca="false">SUMIF($C$2:$F$2,EOMONTH(BJ$2,-1)+1,$C26:$F26)*VLOOKUP(BJ$2,Valores!$H$2:$P$154,8,0)</f>
        <v>40851.6813927457</v>
      </c>
      <c r="BK26" s="30" t="n">
        <f aca="false">SUMIF($C$2:$F$2,EOMONTH(BK$2,-1)+1,$C26:$F26)*VLOOKUP(BK$2,Valores!$H$2:$P$154,8,0)</f>
        <v>19608.8070685179</v>
      </c>
      <c r="BL26" s="30" t="n">
        <f aca="false">SUMIF($C$2:$F$2,EOMONTH(BL$2,-1)+1,$C26:$F26)*VLOOKUP(BL$2,Valores!$H$2:$P$154,8,0)</f>
        <v>14379.7918502465</v>
      </c>
      <c r="BM26" s="30" t="n">
        <f aca="false">SUMIF($C$2:$F$2,EOMONTH(BM$2,-1)+1,$C26:$F26)*VLOOKUP(BM$2,Valores!$H$2:$P$154,8,0)</f>
        <v>14379.7918502465</v>
      </c>
      <c r="BN26" s="30" t="n">
        <f aca="false">SUMIF($C$2:$F$2,EOMONTH(BN$2,-1)+1,$C26:$F26)*VLOOKUP(BN$2,Valores!$H$2:$P$154,8,0)</f>
        <v>14379.7918502465</v>
      </c>
      <c r="BO26" s="30" t="n">
        <f aca="false">SUMIF($C$2:$F$2,EOMONTH(BO$2,-1)+1,$C26:$F26)*VLOOKUP(BO$2,Valores!$H$2:$P$154,8,0)</f>
        <v>15098.7814427588</v>
      </c>
      <c r="BP26" s="30" t="n">
        <f aca="false">SUMIF($C$2:$F$2,EOMONTH(BP$2,-1)+1,$C26:$F26)*VLOOKUP(BP$2,Valores!$H$2:$P$154,8,0)</f>
        <v>37996.7876057576</v>
      </c>
      <c r="BQ26" s="30" t="n">
        <f aca="false">SUMIF($C$2:$F$2,EOMONTH(BQ$2,-1)+1,$C26:$F26)*VLOOKUP(BQ$2,Valores!$H$2:$P$154,8,0)</f>
        <v>47495.984507197</v>
      </c>
      <c r="BR26" s="30" t="n">
        <f aca="false">SUMIF($C$2:$F$2,EOMONTH(BR$2,-1)+1,$C26:$F26)*VLOOKUP(BR$2,Valores!$H$2:$P$154,8,0)</f>
        <v>22798.0725634546</v>
      </c>
      <c r="BS26" s="30" t="n">
        <f aca="false">SUMIF($C$2:$F$2,EOMONTH(BS$2,-1)+1,$C26:$F26)*VLOOKUP(BS$2,Valores!$H$2:$P$154,8,0)</f>
        <v>10177.7109658279</v>
      </c>
      <c r="BT26" s="30" t="n">
        <f aca="false">SUMIF($C$2:$F$2,EOMONTH(BT$2,-1)+1,$C26:$F26)*VLOOKUP(BT$2,Valores!$H$2:$P$154,8,0)</f>
        <v>10177.7109658279</v>
      </c>
      <c r="BU26" s="30" t="n">
        <f aca="false">SUMIF($C$2:$F$2,EOMONTH(BU$2,-1)+1,$C26:$F26)*VLOOKUP(BU$2,Valores!$H$2:$P$154,8,0)</f>
        <v>10177.7109658279</v>
      </c>
      <c r="BV26" s="30" t="n">
        <f aca="false">SUMIF($C$2:$F$2,EOMONTH(BV$2,-1)+1,$C26:$F26)*VLOOKUP(BV$2,Valores!$H$2:$P$154,8,0)</f>
        <v>10177.7109658279</v>
      </c>
      <c r="BW26" s="30" t="n">
        <f aca="false">SUMIF($C$2:$F$2,EOMONTH(BW$2,-1)+1,$C26:$F26)*VLOOKUP(BW$2,Valores!$H$2:$P$154,8,0)</f>
        <v>20355.4219316559</v>
      </c>
      <c r="BX26" s="30" t="n">
        <f aca="false">SUMIF($C$2:$F$2,EOMONTH(BX$2,-1)+1,$C26:$F26)*VLOOKUP(BX$2,Valores!$H$2:$P$154,8,0)</f>
        <v>25444.2774145698</v>
      </c>
      <c r="BY26" s="30" t="n">
        <f aca="false">SUMIF($C$2:$F$2,EOMONTH(BY$2,-1)+1,$C26:$F26)*VLOOKUP(BY$2,Valores!$H$2:$P$154,8,0)</f>
        <v>15266.5664487419</v>
      </c>
      <c r="BZ26" s="30" t="n">
        <f aca="false">SUMIF($C$2:$F$2,EOMONTH(BZ$2,-1)+1,$C26:$F26)*VLOOKUP(BZ$2,Valores!$H$2:$P$154,8,0)</f>
        <v>10177.7109658279</v>
      </c>
      <c r="CA26" s="30" t="n">
        <f aca="false">SUMIF($C$2:$F$2,EOMONTH(CA$2,-1)+1,$C26:$F26)*VLOOKUP(CA$2,Valores!$H$2:$P$154,8,0)</f>
        <v>10177.7109658279</v>
      </c>
      <c r="CB26" s="30" t="n">
        <f aca="false">SUMIF($C$2:$F$2,EOMONTH(CB$2,-1)+1,$C26:$F26)*VLOOKUP(CB$2,Valores!$H$2:$P$154,8,0)</f>
        <v>10177.7109658279</v>
      </c>
      <c r="CC26" s="30" t="n">
        <f aca="false">SUMIF($C$2:$F$2,EOMONTH(CC$2,-1)+1,$C26:$F26)*VLOOKUP(CC$2,Valores!$H$2:$P$154,8,0)</f>
        <v>10177.7109658279</v>
      </c>
      <c r="CD26" s="30" t="n">
        <f aca="false">SUMIF($C$2:$F$2,EOMONTH(CD$2,-1)+1,$C26:$F26)*VLOOKUP(CD$2,Valores!$H$2:$P$154,8,0)</f>
        <v>30533.1328974838</v>
      </c>
      <c r="CE26" s="30" t="n">
        <f aca="false">SUMIF($C$2:$F$2,EOMONTH(CE$2,-1)+1,$C26:$F26)*VLOOKUP(CE$2,Valores!$H$2:$P$154,8,0)</f>
        <v>40710.8438633117</v>
      </c>
      <c r="CF26" s="30" t="n">
        <f aca="false">SUMIF($C$2:$F$2,EOMONTH(CF$2,-1)+1,$C26:$F26)*VLOOKUP(CF$2,Valores!$H$2:$P$154,8,0)</f>
        <v>25444.2774145698</v>
      </c>
      <c r="CG26" s="30" t="n">
        <f aca="false">SUMIF($C$2:$F$2,EOMONTH(CG$2,-1)+1,$C26:$F26)*VLOOKUP(CG$2,Valores!$H$2:$P$154,8,0)</f>
        <v>13570.2812877706</v>
      </c>
      <c r="CH26" s="30" t="n">
        <f aca="false">SUMIF($C$2:$F$2,EOMONTH(CH$2,-1)+1,$C26:$F26)*VLOOKUP(CH$2,Valores!$H$2:$P$154,8,0)</f>
        <v>13570.2812877706</v>
      </c>
      <c r="CI26" s="30" t="n">
        <f aca="false">SUMIF($C$2:$F$2,EOMONTH(CI$2,-1)+1,$C26:$F26)*VLOOKUP(CI$2,Valores!$H$2:$P$154,8,0)</f>
        <v>13570.2812877706</v>
      </c>
      <c r="CJ26" s="30" t="n">
        <f aca="false">SUMIF($C$2:$F$2,EOMONTH(CJ$2,-1)+1,$C26:$F26)*VLOOKUP(CJ$2,Valores!$H$2:$P$154,8,0)</f>
        <v>13570.2812877706</v>
      </c>
      <c r="CK26" s="30" t="n">
        <f aca="false">SUMIF($C$2:$F$2,EOMONTH(CK$2,-1)+1,$C26:$F26)*VLOOKUP(CK$2,Valores!$H$2:$P$154,8,0)</f>
        <v>27140.5625755411</v>
      </c>
      <c r="CL26" s="30" t="n">
        <f aca="false">SUMIF($C$2:$F$2,EOMONTH(CL$2,-1)+1,$C26:$F26)*VLOOKUP(CL$2,Valores!$H$2:$P$154,8,0)</f>
        <v>33925.7032194264</v>
      </c>
      <c r="CM26" s="30" t="n">
        <f aca="false">SUMIF($C$2:$F$2,EOMONTH(CM$2,-1)+1,$C26:$F26)*VLOOKUP(CM$2,Valores!$H$2:$P$154,8,0)</f>
        <v>20355.4219316559</v>
      </c>
      <c r="CN26" s="30" t="n">
        <f aca="false">SUMIF($C$2:$F$2,EOMONTH(CN$2,-1)+1,$C26:$F26)*VLOOKUP(CN$2,Valores!$H$2:$P$154,8,0)</f>
        <v>14927.3094165476</v>
      </c>
      <c r="CO26" s="30" t="n">
        <f aca="false">SUMIF($C$2:$F$2,EOMONTH(CO$2,-1)+1,$C26:$F26)*VLOOKUP(CO$2,Valores!$H$2:$P$154,8,0)</f>
        <v>14927.3094165476</v>
      </c>
      <c r="CP26" s="30" t="n">
        <f aca="false">SUMIF($C$2:$F$2,EOMONTH(CP$2,-1)+1,$C26:$F26)*VLOOKUP(CP$2,Valores!$H$2:$P$154,8,0)</f>
        <v>14927.3094165476</v>
      </c>
      <c r="CQ26" s="30" t="n">
        <f aca="false">SUMIF($C$2:$F$2,EOMONTH(CQ$2,-1)+1,$C26:$F26)*VLOOKUP(CQ$2,Valores!$H$2:$P$154,8,0)</f>
        <v>14927.3094165476</v>
      </c>
      <c r="CR26" s="30" t="n">
        <f aca="false">SUMIF($C$2:$F$2,EOMONTH(CR$2,-1)+1,$C26:$F26)*VLOOKUP(CR$2,Valores!$H$2:$P$154,8,0)</f>
        <v>29854.6188330953</v>
      </c>
      <c r="CS26" s="30" t="n">
        <f aca="false">SUMIF($C$2:$F$2,EOMONTH(CS$2,-1)+1,$C26:$F26)*VLOOKUP(CS$2,Valores!$H$2:$P$154,8,0)</f>
        <v>44781.9282496429</v>
      </c>
      <c r="CT26" s="30" t="e">
        <f aca="false">SUMIF($C$2:$F$2,EOMONTH(CT$2,-1)+1,$C26:$F26)*VLOOKUP(CT$2,Valores!$H$2:$P$154,8,0)</f>
        <v>#VALUE!</v>
      </c>
      <c r="CU26" s="30" t="e">
        <f aca="false">SUMIF($C$2:$F$2,EOMONTH(CU$2,-1)+1,$C26:$F26)*VLOOKUP(CU$2,Valores!$H$2:$P$154,8,0)</f>
        <v>#VALUE!</v>
      </c>
      <c r="CV26" s="30" t="e">
        <f aca="false">SUMIF($C$2:$F$2,EOMONTH(CV$2,-1)+1,$C26:$F26)*VLOOKUP(CV$2,Valores!$H$2:$P$154,8,0)</f>
        <v>#VALUE!</v>
      </c>
      <c r="CW26" s="30" t="e">
        <f aca="false">SUMIF($C$2:$F$2,EOMONTH(CW$2,-1)+1,$C26:$F26)*VLOOKUP(CW$2,Valores!$H$2:$P$154,8,0)</f>
        <v>#VALUE!</v>
      </c>
      <c r="CX26" s="30" t="e">
        <f aca="false">SUMIF($C$2:$F$2,EOMONTH(CX$2,-1)+1,$C26:$F26)*VLOOKUP(CX$2,Valores!$H$2:$P$154,8,0)</f>
        <v>#VALUE!</v>
      </c>
      <c r="CY26" s="30" t="e">
        <f aca="false">SUMIF($C$2:$F$2,EOMONTH(CY$2,-1)+1,$C26:$F26)*VLOOKUP(CY$2,Valores!$H$2:$P$154,8,0)</f>
        <v>#VALUE!</v>
      </c>
      <c r="CZ26" s="30" t="e">
        <f aca="false">SUMIF($C$2:$F$2,EOMONTH(CZ$2,-1)+1,$C26:$F26)*VLOOKUP(CZ$2,Valores!$H$2:$P$154,8,0)</f>
        <v>#VALUE!</v>
      </c>
      <c r="DA26" s="30" t="e">
        <f aca="false">SUMIF($C$2:$F$2,EOMONTH(DA$2,-1)+1,$C26:$F26)*VLOOKUP(DA$2,Valores!$H$2:$P$154,8,0)</f>
        <v>#VALUE!</v>
      </c>
      <c r="DB26" s="30" t="e">
        <f aca="false">SUMIF($C$2:$F$2,EOMONTH(DB$2,-1)+1,$C26:$F26)*VLOOKUP(DB$2,Valores!$H$2:$P$154,8,0)</f>
        <v>#VALUE!</v>
      </c>
      <c r="DC26" s="30" t="e">
        <f aca="false">SUMIF($C$2:$F$2,EOMONTH(DC$2,-1)+1,$C26:$F26)*VLOOKUP(DC$2,Valores!$H$2:$P$154,8,0)</f>
        <v>#VALUE!</v>
      </c>
      <c r="DD26" s="30" t="e">
        <f aca="false">SUMIF($C$2:$F$2,EOMONTH(DD$2,-1)+1,$C26:$F26)*VLOOKUP(DD$2,Valores!$H$2:$P$154,8,0)</f>
        <v>#VALUE!</v>
      </c>
      <c r="DE26" s="30" t="e">
        <f aca="false">SUMIF($C$2:$F$2,EOMONTH(DE$2,-1)+1,$C26:$F26)*VLOOKUP(DE$2,Valores!$H$2:$P$154,8,0)</f>
        <v>#VALUE!</v>
      </c>
      <c r="DF26" s="30" t="e">
        <f aca="false">SUMIF($C$2:$F$2,EOMONTH(DF$2,-1)+1,$C26:$F26)*VLOOKUP(DF$2,Valores!$H$2:$P$154,8,0)</f>
        <v>#VALUE!</v>
      </c>
      <c r="DG26" s="30" t="e">
        <f aca="false">SUMIF($C$2:$F$2,EOMONTH(DG$2,-1)+1,$C26:$F26)*VLOOKUP(DG$2,Valores!$H$2:$P$154,8,0)</f>
        <v>#VALUE!</v>
      </c>
      <c r="DH26" s="30" t="e">
        <f aca="false">SUMIF($C$2:$F$2,EOMONTH(DH$2,-1)+1,$C26:$F26)*VLOOKUP(DH$2,Valores!$H$2:$P$154,8,0)</f>
        <v>#VALUE!</v>
      </c>
      <c r="DI26" s="30" t="e">
        <f aca="false">SUMIF($C$2:$F$2,EOMONTH(DI$2,-1)+1,$C26:$F26)*VLOOKUP(DI$2,Valores!$H$2:$P$154,8,0)</f>
        <v>#VALUE!</v>
      </c>
      <c r="DJ26" s="30" t="e">
        <f aca="false">SUMIF($C$2:$F$2,EOMONTH(DJ$2,-1)+1,$C26:$F26)*VLOOKUP(DJ$2,Valores!$H$2:$P$154,8,0)</f>
        <v>#VALUE!</v>
      </c>
      <c r="DK26" s="30" t="e">
        <f aca="false">SUMIF($C$2:$F$2,EOMONTH(DK$2,-1)+1,$C26:$F26)*VLOOKUP(DK$2,Valores!$H$2:$P$154,8,0)</f>
        <v>#VALUE!</v>
      </c>
      <c r="DL26" s="30" t="e">
        <f aca="false">SUMIF($C$2:$F$2,EOMONTH(DL$2,-1)+1,$C26:$F26)*VLOOKUP(DL$2,Valores!$H$2:$P$154,8,0)</f>
        <v>#VALUE!</v>
      </c>
      <c r="DM26" s="30" t="e">
        <f aca="false">SUMIF($C$2:$F$2,EOMONTH(DM$2,-1)+1,$C26:$F26)*VLOOKUP(DM$2,Valores!$H$2:$P$154,8,0)</f>
        <v>#VALUE!</v>
      </c>
      <c r="DN26" s="30" t="e">
        <f aca="false">SUMIF($C$2:$F$2,EOMONTH(DN$2,-1)+1,$C26:$F26)*VLOOKUP(DN$2,Valores!$H$2:$P$154,8,0)</f>
        <v>#VALUE!</v>
      </c>
      <c r="DO26" s="30" t="e">
        <f aca="false">SUMIF($C$2:$F$2,EOMONTH(DO$2,-1)+1,$C26:$F26)*VLOOKUP(DO$2,Valores!$H$2:$P$154,8,0)</f>
        <v>#VALUE!</v>
      </c>
      <c r="DP26" s="30" t="e">
        <f aca="false">SUMIF($C$2:$F$2,EOMONTH(DP$2,-1)+1,$C26:$F26)*VLOOKUP(DP$2,Valores!$H$2:$P$154,8,0)</f>
        <v>#VALUE!</v>
      </c>
      <c r="DQ26" s="30" t="e">
        <f aca="false">SUMIF($C$2:$F$2,EOMONTH(DQ$2,-1)+1,$C26:$F26)*VLOOKUP(DQ$2,Valores!$H$2:$P$154,8,0)</f>
        <v>#VALUE!</v>
      </c>
      <c r="DR26" s="30" t="e">
        <f aca="false">SUMIF($C$2:$F$2,EOMONTH(DR$2,-1)+1,$C26:$F26)*VLOOKUP(DR$2,Valores!$H$2:$P$154,8,0)</f>
        <v>#VALUE!</v>
      </c>
      <c r="DS26" s="30" t="e">
        <f aca="false">SUMIF($C$2:$F$2,EOMONTH(DS$2,-1)+1,$C26:$F26)*VLOOKUP(DS$2,Valores!$H$2:$P$154,8,0)</f>
        <v>#VALUE!</v>
      </c>
      <c r="DT26" s="30" t="e">
        <f aca="false">SUMIF($C$2:$F$2,EOMONTH(DT$2,-1)+1,$C26:$F26)*VLOOKUP(DT$2,Valores!$H$2:$P$154,8,0)</f>
        <v>#VALUE!</v>
      </c>
      <c r="DU26" s="30" t="e">
        <f aca="false">SUMIF($C$2:$F$2,EOMONTH(DU$2,-1)+1,$C26:$F26)*VLOOKUP(DU$2,Valores!$H$2:$P$154,8,0)</f>
        <v>#VALUE!</v>
      </c>
      <c r="DV26" s="30" t="e">
        <f aca="false">SUMIF($C$2:$F$2,EOMONTH(DV$2,-1)+1,$C26:$F26)*VLOOKUP(DV$2,Valores!$H$2:$P$154,8,0)</f>
        <v>#VALUE!</v>
      </c>
      <c r="DW26" s="30" t="e">
        <f aca="false">SUMIF($C$2:$F$2,EOMONTH(DW$2,-1)+1,$C26:$F26)*VLOOKUP(DW$2,Valores!$H$2:$P$154,8,0)</f>
        <v>#VALUE!</v>
      </c>
      <c r="DX26" s="30" t="e">
        <f aca="false">SUMIF($C$2:$F$2,EOMONTH(DX$2,-1)+1,$C26:$F26)*VLOOKUP(DX$2,Valores!$H$2:$P$154,8,0)</f>
        <v>#VALUE!</v>
      </c>
    </row>
    <row r="27" customFormat="false" ht="13.8" hidden="false" customHeight="false" outlineLevel="0" collapsed="false">
      <c r="A27" s="31" t="s">
        <v>23</v>
      </c>
      <c r="B27" s="31" t="s">
        <v>48</v>
      </c>
      <c r="C27" s="31" t="n">
        <v>746196</v>
      </c>
      <c r="D27" s="31" t="n">
        <v>671576.4</v>
      </c>
      <c r="E27" s="31" t="n">
        <v>604418.76</v>
      </c>
      <c r="F27" s="31" t="n">
        <v>543976.884</v>
      </c>
      <c r="G27" s="27" t="n">
        <f aca="false">SUMIF($C$2:$F$2,EOMONTH(G$2,-1)+1,$C27:$F27)*VLOOKUP(G$2,Valores!$H$2:$P$154,8,0)</f>
        <v>21488.2836926115</v>
      </c>
      <c r="H27" s="27" t="n">
        <f aca="false">SUMIF($C$2:$F$2,EOMONTH(H$2,-1)+1,$C27:$F27)*VLOOKUP(H$2,Valores!$H$2:$P$154,8,0)</f>
        <v>14734.823103505</v>
      </c>
      <c r="I27" s="27" t="n">
        <f aca="false">SUMIF($C$2:$F$2,EOMONTH(I$2,-1)+1,$C27:$F27)*VLOOKUP(I$2,Valores!$H$2:$P$154,8,0)</f>
        <v>14734.823103505</v>
      </c>
      <c r="J27" s="27" t="n">
        <f aca="false">SUMIF($C$2:$F$2,EOMONTH(J$2,-1)+1,$C27:$F27)*VLOOKUP(J$2,Valores!$H$2:$P$154,8,0)</f>
        <v>14734.823103505</v>
      </c>
      <c r="K27" s="27" t="n">
        <f aca="false">SUMIF($C$2:$F$2,EOMONTH(K$2,-1)+1,$C27:$F27)*VLOOKUP(K$2,Valores!$H$2:$P$154,8,0)</f>
        <v>14734.823103505</v>
      </c>
      <c r="L27" s="27" t="n">
        <f aca="false">SUMIF($C$2:$F$2,EOMONTH(L$2,-1)+1,$C27:$F27)*VLOOKUP(L$2,Valores!$H$2:$P$154,8,0)</f>
        <v>29469.64620701</v>
      </c>
      <c r="M27" s="27" t="n">
        <f aca="false">SUMIF($C$2:$F$2,EOMONTH(M$2,-1)+1,$C27:$F27)*VLOOKUP(M$2,Valores!$H$2:$P$154,8,0)</f>
        <v>36837.0577587625</v>
      </c>
      <c r="N27" s="27" t="n">
        <f aca="false">SUMIF($C$2:$F$2,EOMONTH(N$2,-1)+1,$C27:$F27)*VLOOKUP(N$2,Valores!$H$2:$P$154,8,0)</f>
        <v>22102.2346552575</v>
      </c>
      <c r="O27" s="27" t="n">
        <f aca="false">SUMIF($C$2:$F$2,EOMONTH(O$2,-1)+1,$C27:$F27)*VLOOKUP(O$2,Valores!$H$2:$P$154,8,0)</f>
        <v>19646.4308046734</v>
      </c>
      <c r="P27" s="27" t="n">
        <f aca="false">SUMIF($C$2:$F$2,EOMONTH(P$2,-1)+1,$C27:$F27)*VLOOKUP(P$2,Valores!$H$2:$P$154,8,0)</f>
        <v>19646.4308046734</v>
      </c>
      <c r="Q27" s="27" t="n">
        <f aca="false">SUMIF($C$2:$F$2,EOMONTH(Q$2,-1)+1,$C27:$F27)*VLOOKUP(Q$2,Valores!$H$2:$P$154,8,0)</f>
        <v>11787.858482804</v>
      </c>
      <c r="R27" s="27" t="n">
        <f aca="false">SUMIF($C$2:$F$2,EOMONTH(R$2,-1)+1,$C27:$F27)*VLOOKUP(R$2,Valores!$H$2:$P$154,8,0)</f>
        <v>19646.4308046734</v>
      </c>
      <c r="S27" s="27" t="n">
        <f aca="false">SUMIF($C$2:$F$2,EOMONTH(S$2,-1)+1,$C27:$F27)*VLOOKUP(S$2,Valores!$H$2:$P$154,8,0)</f>
        <v>39292.8616093467</v>
      </c>
      <c r="T27" s="27" t="n">
        <f aca="false">SUMIF($C$2:$F$2,EOMONTH(T$2,-1)+1,$C27:$F27)*VLOOKUP(T$2,Valores!$H$2:$P$154,8,0)</f>
        <v>49116.0770116834</v>
      </c>
      <c r="U27" s="27" t="n">
        <f aca="false">SUMIF($C$2:$F$2,EOMONTH(U$2,-1)+1,$C27:$F27)*VLOOKUP(U$2,Valores!$H$2:$P$154,8,0)</f>
        <v>29469.64620701</v>
      </c>
      <c r="V27" s="27" t="n">
        <f aca="false">SUMIF($C$2:$F$2,EOMONTH(V$2,-1)+1,$C27:$F27)*VLOOKUP(V$2,Valores!$H$2:$P$154,8,0)</f>
        <v>24558.0385058417</v>
      </c>
      <c r="W27" s="27" t="n">
        <f aca="false">SUMIF($C$2:$F$2,EOMONTH(W$2,-1)+1,$C27:$F27)*VLOOKUP(W$2,Valores!$H$2:$P$154,8,0)</f>
        <v>24558.0385058417</v>
      </c>
      <c r="X27" s="27" t="n">
        <f aca="false">SUMIF($C$2:$F$2,EOMONTH(X$2,-1)+1,$C27:$F27)*VLOOKUP(X$2,Valores!$H$2:$P$154,8,0)</f>
        <v>0</v>
      </c>
      <c r="Y27" s="27" t="n">
        <f aca="false">SUMIF($C$2:$F$2,EOMONTH(Y$2,-1)+1,$C27:$F27)*VLOOKUP(Y$2,Valores!$H$2:$P$154,8,0)</f>
        <v>0</v>
      </c>
      <c r="Z27" s="27" t="n">
        <f aca="false">SUMIF($C$2:$F$2,EOMONTH(Z$2,-1)+1,$C27:$F27)*VLOOKUP(Z$2,Valores!$H$2:$P$154,8,0)</f>
        <v>36837.0577587625</v>
      </c>
      <c r="AA27" s="27" t="n">
        <f aca="false">SUMIF($C$2:$F$2,EOMONTH(AA$2,-1)+1,$C27:$F27)*VLOOKUP(AA$2,Valores!$H$2:$P$154,8,0)</f>
        <v>44204.469310515</v>
      </c>
      <c r="AB27" s="27" t="n">
        <f aca="false">SUMIF($C$2:$F$2,EOMONTH(AB$2,-1)+1,$C27:$F27)*VLOOKUP(AB$2,Valores!$H$2:$P$154,8,0)</f>
        <v>22102.2346552575</v>
      </c>
      <c r="AC27" s="27" t="n">
        <f aca="false">SUMIF($C$2:$F$2,EOMONTH(AC$2,-1)+1,$C27:$F27)*VLOOKUP(AC$2,Valores!$H$2:$P$154,8,0)</f>
        <v>27013.8423564259</v>
      </c>
      <c r="AD27" s="27" t="n">
        <f aca="false">SUMIF($C$2:$F$2,EOMONTH(AD$2,-1)+1,$C27:$F27)*VLOOKUP(AD$2,Valores!$H$2:$P$154,8,0)</f>
        <v>27013.8423564259</v>
      </c>
      <c r="AE27" s="27" t="n">
        <f aca="false">SUMIF($C$2:$F$2,EOMONTH(AE$2,-1)+1,$C27:$F27)*VLOOKUP(AE$2,Valores!$H$2:$P$154,8,0)</f>
        <v>27013.8423564259</v>
      </c>
      <c r="AF27" s="27" t="n">
        <f aca="false">SUMIF($C$2:$F$2,EOMONTH(AF$2,-1)+1,$C27:$F27)*VLOOKUP(AF$2,Valores!$H$2:$P$154,8,0)</f>
        <v>27013.8423564259</v>
      </c>
      <c r="AG27" s="27" t="n">
        <f aca="false">SUMIF($C$2:$F$2,EOMONTH(AG$2,-1)+1,$C27:$F27)*VLOOKUP(AG$2,Valores!$H$2:$P$154,8,0)</f>
        <v>43222.1477702814</v>
      </c>
      <c r="AH27" s="27" t="n">
        <f aca="false">SUMIF($C$2:$F$2,EOMONTH(AH$2,-1)+1,$C27:$F27)*VLOOKUP(AH$2,Valores!$H$2:$P$154,8,0)</f>
        <v>54027.6847128517</v>
      </c>
      <c r="AI27" s="27" t="n">
        <f aca="false">SUMIF($C$2:$F$2,EOMONTH(AI$2,-1)+1,$C27:$F27)*VLOOKUP(AI$2,Valores!$H$2:$P$154,8,0)</f>
        <v>18909.6896494981</v>
      </c>
      <c r="AJ27" s="27" t="n">
        <f aca="false">SUMIF($C$2:$F$2,EOMONTH(AJ$2,-1)+1,$C27:$F27)*VLOOKUP(AJ$2,Valores!$H$2:$P$154,8,0)</f>
        <v>12279.0192529208</v>
      </c>
      <c r="AK27" s="27" t="n">
        <f aca="false">SUMIF($C$2:$F$2,EOMONTH(AK$2,-1)+1,$C27:$F27)*VLOOKUP(AK$2,Valores!$H$2:$P$154,8,0)</f>
        <v>22391.7445045131</v>
      </c>
      <c r="AL27" s="27" t="n">
        <f aca="false">SUMIF($C$2:$F$2,EOMONTH(AL$2,-1)+1,$C27:$F27)*VLOOKUP(AL$2,Valores!$H$2:$P$154,8,0)</f>
        <v>22391.7445045131</v>
      </c>
      <c r="AM27" s="27" t="n">
        <f aca="false">SUMIF($C$2:$F$2,EOMONTH(AM$2,-1)+1,$C27:$F27)*VLOOKUP(AM$2,Valores!$H$2:$P$154,8,0)</f>
        <v>22391.7445045131</v>
      </c>
      <c r="AN27" s="27" t="n">
        <f aca="false">SUMIF($C$2:$F$2,EOMONTH(AN$2,-1)+1,$C27:$F27)*VLOOKUP(AN$2,Valores!$H$2:$P$154,8,0)</f>
        <v>44783.4890090262</v>
      </c>
      <c r="AO27" s="27" t="n">
        <f aca="false">SUMIF($C$2:$F$2,EOMONTH(AO$2,-1)+1,$C27:$F27)*VLOOKUP(AO$2,Valores!$H$2:$P$154,8,0)</f>
        <v>55979.3612612827</v>
      </c>
      <c r="AP27" s="27" t="n">
        <f aca="false">SUMIF($C$2:$F$2,EOMONTH(AP$2,-1)+1,$C27:$F27)*VLOOKUP(AP$2,Valores!$H$2:$P$154,8,0)</f>
        <v>33587.6167567696</v>
      </c>
      <c r="AQ27" s="27" t="n">
        <f aca="false">SUMIF($C$2:$F$2,EOMONTH(AQ$2,-1)+1,$C27:$F27)*VLOOKUP(AQ$2,Valores!$H$2:$P$154,8,0)</f>
        <v>11995.577413132</v>
      </c>
      <c r="AR27" s="27" t="n">
        <f aca="false">SUMIF($C$2:$F$2,EOMONTH(AR$2,-1)+1,$C27:$F27)*VLOOKUP(AR$2,Valores!$H$2:$P$154,8,0)</f>
        <v>11995.577413132</v>
      </c>
      <c r="AS27" s="27" t="n">
        <f aca="false">SUMIF($C$2:$F$2,EOMONTH(AS$2,-1)+1,$C27:$F27)*VLOOKUP(AS$2,Valores!$H$2:$P$154,8,0)</f>
        <v>11995.577413132</v>
      </c>
      <c r="AT27" s="27" t="n">
        <f aca="false">SUMIF($C$2:$F$2,EOMONTH(AT$2,-1)+1,$C27:$F27)*VLOOKUP(AT$2,Valores!$H$2:$P$154,8,0)</f>
        <v>11995.577413132</v>
      </c>
      <c r="AU27" s="27" t="n">
        <f aca="false">SUMIF($C$2:$F$2,EOMONTH(AU$2,-1)+1,$C27:$F27)*VLOOKUP(AU$2,Valores!$H$2:$P$154,8,0)</f>
        <v>23991.154826264</v>
      </c>
      <c r="AV27" s="27" t="n">
        <f aca="false">SUMIF($C$2:$F$2,EOMONTH(AV$2,-1)+1,$C27:$F27)*VLOOKUP(AV$2,Valores!$H$2:$P$154,8,0)</f>
        <v>29988.94353283</v>
      </c>
      <c r="AW27" s="27" t="n">
        <f aca="false">SUMIF($C$2:$F$2,EOMONTH(AW$2,-1)+1,$C27:$F27)*VLOOKUP(AW$2,Valores!$H$2:$P$154,8,0)</f>
        <v>17993.366119698</v>
      </c>
      <c r="AX27" s="27" t="n">
        <f aca="false">SUMIF($C$2:$F$2,EOMONTH(AX$2,-1)+1,$C27:$F27)*VLOOKUP(AX$2,Valores!$H$2:$P$154,8,0)</f>
        <v>11995.577413132</v>
      </c>
      <c r="AY27" s="27" t="n">
        <f aca="false">SUMIF($C$2:$F$2,EOMONTH(AY$2,-1)+1,$C27:$F27)*VLOOKUP(AY$2,Valores!$H$2:$P$154,8,0)</f>
        <v>15594.2506370716</v>
      </c>
      <c r="AZ27" s="27" t="n">
        <f aca="false">SUMIF($C$2:$F$2,EOMONTH(AZ$2,-1)+1,$C27:$F27)*VLOOKUP(AZ$2,Valores!$H$2:$P$154,8,0)</f>
        <v>15594.2506370716</v>
      </c>
      <c r="BA27" s="27" t="n">
        <f aca="false">SUMIF($C$2:$F$2,EOMONTH(BA$2,-1)+1,$C27:$F27)*VLOOKUP(BA$2,Valores!$H$2:$P$154,8,0)</f>
        <v>15594.2506370716</v>
      </c>
      <c r="BB27" s="27" t="n">
        <f aca="false">SUMIF($C$2:$F$2,EOMONTH(BB$2,-1)+1,$C27:$F27)*VLOOKUP(BB$2,Valores!$H$2:$P$154,8,0)</f>
        <v>27589.8280502036</v>
      </c>
      <c r="BC27" s="27" t="n">
        <f aca="false">SUMIF($C$2:$F$2,EOMONTH(BC$2,-1)+1,$C27:$F27)*VLOOKUP(BC$2,Valores!$H$2:$P$154,8,0)</f>
        <v>33587.6167567696</v>
      </c>
      <c r="BD27" s="27" t="n">
        <f aca="false">SUMIF($C$2:$F$2,EOMONTH(BD$2,-1)+1,$C27:$F27)*VLOOKUP(BD$2,Valores!$H$2:$P$154,8,0)</f>
        <v>17993.366119698</v>
      </c>
      <c r="BE27" s="27" t="n">
        <f aca="false">SUMIF($C$2:$F$2,EOMONTH(BE$2,-1)+1,$C27:$F27)*VLOOKUP(BE$2,Valores!$H$2:$P$154,8,0)</f>
        <v>15994.1032175093</v>
      </c>
      <c r="BF27" s="27" t="n">
        <f aca="false">SUMIF($C$2:$F$2,EOMONTH(BF$2,-1)+1,$C27:$F27)*VLOOKUP(BF$2,Valores!$H$2:$P$154,8,0)</f>
        <v>15994.1032175093</v>
      </c>
      <c r="BG27" s="27" t="n">
        <f aca="false">SUMIF($C$2:$F$2,EOMONTH(BG$2,-1)+1,$C27:$F27)*VLOOKUP(BG$2,Valores!$H$2:$P$154,8,0)</f>
        <v>15994.1032175093</v>
      </c>
      <c r="BH27" s="27" t="n">
        <f aca="false">SUMIF($C$2:$F$2,EOMONTH(BH$2,-1)+1,$C27:$F27)*VLOOKUP(BH$2,Valores!$H$2:$P$154,8,0)</f>
        <v>15994.1032175093</v>
      </c>
      <c r="BI27" s="27" t="n">
        <f aca="false">SUMIF($C$2:$F$2,EOMONTH(BI$2,-1)+1,$C27:$F27)*VLOOKUP(BI$2,Valores!$H$2:$P$154,8,0)</f>
        <v>31988.2064350187</v>
      </c>
      <c r="BJ27" s="27" t="n">
        <f aca="false">SUMIF($C$2:$F$2,EOMONTH(BJ$2,-1)+1,$C27:$F27)*VLOOKUP(BJ$2,Valores!$H$2:$P$154,8,0)</f>
        <v>39985.2580437734</v>
      </c>
      <c r="BK27" s="27" t="n">
        <f aca="false">SUMIF($C$2:$F$2,EOMONTH(BK$2,-1)+1,$C27:$F27)*VLOOKUP(BK$2,Valores!$H$2:$P$154,8,0)</f>
        <v>19192.9238610112</v>
      </c>
      <c r="BL27" s="27" t="n">
        <f aca="false">SUMIF($C$2:$F$2,EOMONTH(BL$2,-1)+1,$C27:$F27)*VLOOKUP(BL$2,Valores!$H$2:$P$154,8,0)</f>
        <v>14074.8108314082</v>
      </c>
      <c r="BM27" s="27" t="n">
        <f aca="false">SUMIF($C$2:$F$2,EOMONTH(BM$2,-1)+1,$C27:$F27)*VLOOKUP(BM$2,Valores!$H$2:$P$154,8,0)</f>
        <v>14074.8108314082</v>
      </c>
      <c r="BN27" s="27" t="n">
        <f aca="false">SUMIF($C$2:$F$2,EOMONTH(BN$2,-1)+1,$C27:$F27)*VLOOKUP(BN$2,Valores!$H$2:$P$154,8,0)</f>
        <v>14074.8108314082</v>
      </c>
      <c r="BO27" s="27" t="n">
        <f aca="false">SUMIF($C$2:$F$2,EOMONTH(BO$2,-1)+1,$C27:$F27)*VLOOKUP(BO$2,Valores!$H$2:$P$154,8,0)</f>
        <v>14778.5513729786</v>
      </c>
      <c r="BP27" s="27" t="n">
        <f aca="false">SUMIF($C$2:$F$2,EOMONTH(BP$2,-1)+1,$C27:$F27)*VLOOKUP(BP$2,Valores!$H$2:$P$154,8,0)</f>
        <v>37190.913701791</v>
      </c>
      <c r="BQ27" s="27" t="n">
        <f aca="false">SUMIF($C$2:$F$2,EOMONTH(BQ$2,-1)+1,$C27:$F27)*VLOOKUP(BQ$2,Valores!$H$2:$P$154,8,0)</f>
        <v>46488.6421272388</v>
      </c>
      <c r="BR27" s="27" t="n">
        <f aca="false">SUMIF($C$2:$F$2,EOMONTH(BR$2,-1)+1,$C27:$F27)*VLOOKUP(BR$2,Valores!$H$2:$P$154,8,0)</f>
        <v>22314.5482210746</v>
      </c>
      <c r="BS27" s="27" t="n">
        <f aca="false">SUMIF($C$2:$F$2,EOMONTH(BS$2,-1)+1,$C27:$F27)*VLOOKUP(BS$2,Valores!$H$2:$P$154,8,0)</f>
        <v>9961.8518844083</v>
      </c>
      <c r="BT27" s="27" t="n">
        <f aca="false">SUMIF($C$2:$F$2,EOMONTH(BT$2,-1)+1,$C27:$F27)*VLOOKUP(BT$2,Valores!$H$2:$P$154,8,0)</f>
        <v>9961.8518844083</v>
      </c>
      <c r="BU27" s="27" t="n">
        <f aca="false">SUMIF($C$2:$F$2,EOMONTH(BU$2,-1)+1,$C27:$F27)*VLOOKUP(BU$2,Valores!$H$2:$P$154,8,0)</f>
        <v>9961.8518844083</v>
      </c>
      <c r="BV27" s="27" t="n">
        <f aca="false">SUMIF($C$2:$F$2,EOMONTH(BV$2,-1)+1,$C27:$F27)*VLOOKUP(BV$2,Valores!$H$2:$P$154,8,0)</f>
        <v>9961.8518844083</v>
      </c>
      <c r="BW27" s="27" t="n">
        <f aca="false">SUMIF($C$2:$F$2,EOMONTH(BW$2,-1)+1,$C27:$F27)*VLOOKUP(BW$2,Valores!$H$2:$P$154,8,0)</f>
        <v>19923.7037688166</v>
      </c>
      <c r="BX27" s="27" t="n">
        <f aca="false">SUMIF($C$2:$F$2,EOMONTH(BX$2,-1)+1,$C27:$F27)*VLOOKUP(BX$2,Valores!$H$2:$P$154,8,0)</f>
        <v>24904.6297110208</v>
      </c>
      <c r="BY27" s="27" t="n">
        <f aca="false">SUMIF($C$2:$F$2,EOMONTH(BY$2,-1)+1,$C27:$F27)*VLOOKUP(BY$2,Valores!$H$2:$P$154,8,0)</f>
        <v>14942.7778266125</v>
      </c>
      <c r="BZ27" s="27" t="n">
        <f aca="false">SUMIF($C$2:$F$2,EOMONTH(BZ$2,-1)+1,$C27:$F27)*VLOOKUP(BZ$2,Valores!$H$2:$P$154,8,0)</f>
        <v>9961.8518844083</v>
      </c>
      <c r="CA27" s="27" t="n">
        <f aca="false">SUMIF($C$2:$F$2,EOMONTH(CA$2,-1)+1,$C27:$F27)*VLOOKUP(CA$2,Valores!$H$2:$P$154,8,0)</f>
        <v>9961.8518844083</v>
      </c>
      <c r="CB27" s="27" t="n">
        <f aca="false">SUMIF($C$2:$F$2,EOMONTH(CB$2,-1)+1,$C27:$F27)*VLOOKUP(CB$2,Valores!$H$2:$P$154,8,0)</f>
        <v>9961.8518844083</v>
      </c>
      <c r="CC27" s="27" t="n">
        <f aca="false">SUMIF($C$2:$F$2,EOMONTH(CC$2,-1)+1,$C27:$F27)*VLOOKUP(CC$2,Valores!$H$2:$P$154,8,0)</f>
        <v>9961.8518844083</v>
      </c>
      <c r="CD27" s="27" t="n">
        <f aca="false">SUMIF($C$2:$F$2,EOMONTH(CD$2,-1)+1,$C27:$F27)*VLOOKUP(CD$2,Valores!$H$2:$P$154,8,0)</f>
        <v>29885.5556532249</v>
      </c>
      <c r="CE27" s="27" t="n">
        <f aca="false">SUMIF($C$2:$F$2,EOMONTH(CE$2,-1)+1,$C27:$F27)*VLOOKUP(CE$2,Valores!$H$2:$P$154,8,0)</f>
        <v>39847.4075376332</v>
      </c>
      <c r="CF27" s="27" t="n">
        <f aca="false">SUMIF($C$2:$F$2,EOMONTH(CF$2,-1)+1,$C27:$F27)*VLOOKUP(CF$2,Valores!$H$2:$P$154,8,0)</f>
        <v>24904.6297110208</v>
      </c>
      <c r="CG27" s="27" t="n">
        <f aca="false">SUMIF($C$2:$F$2,EOMONTH(CG$2,-1)+1,$C27:$F27)*VLOOKUP(CG$2,Valores!$H$2:$P$154,8,0)</f>
        <v>13282.4691792111</v>
      </c>
      <c r="CH27" s="27" t="n">
        <f aca="false">SUMIF($C$2:$F$2,EOMONTH(CH$2,-1)+1,$C27:$F27)*VLOOKUP(CH$2,Valores!$H$2:$P$154,8,0)</f>
        <v>13282.4691792111</v>
      </c>
      <c r="CI27" s="27" t="n">
        <f aca="false">SUMIF($C$2:$F$2,EOMONTH(CI$2,-1)+1,$C27:$F27)*VLOOKUP(CI$2,Valores!$H$2:$P$154,8,0)</f>
        <v>13282.4691792111</v>
      </c>
      <c r="CJ27" s="27" t="n">
        <f aca="false">SUMIF($C$2:$F$2,EOMONTH(CJ$2,-1)+1,$C27:$F27)*VLOOKUP(CJ$2,Valores!$H$2:$P$154,8,0)</f>
        <v>13282.4691792111</v>
      </c>
      <c r="CK27" s="27" t="n">
        <f aca="false">SUMIF($C$2:$F$2,EOMONTH(CK$2,-1)+1,$C27:$F27)*VLOOKUP(CK$2,Valores!$H$2:$P$154,8,0)</f>
        <v>26564.9383584221</v>
      </c>
      <c r="CL27" s="27" t="n">
        <f aca="false">SUMIF($C$2:$F$2,EOMONTH(CL$2,-1)+1,$C27:$F27)*VLOOKUP(CL$2,Valores!$H$2:$P$154,8,0)</f>
        <v>33206.1729480277</v>
      </c>
      <c r="CM27" s="27" t="n">
        <f aca="false">SUMIF($C$2:$F$2,EOMONTH(CM$2,-1)+1,$C27:$F27)*VLOOKUP(CM$2,Valores!$H$2:$P$154,8,0)</f>
        <v>19923.7037688166</v>
      </c>
      <c r="CN27" s="27" t="n">
        <f aca="false">SUMIF($C$2:$F$2,EOMONTH(CN$2,-1)+1,$C27:$F27)*VLOOKUP(CN$2,Valores!$H$2:$P$154,8,0)</f>
        <v>14610.7160971322</v>
      </c>
      <c r="CO27" s="27" t="n">
        <f aca="false">SUMIF($C$2:$F$2,EOMONTH(CO$2,-1)+1,$C27:$F27)*VLOOKUP(CO$2,Valores!$H$2:$P$154,8,0)</f>
        <v>14610.7160971322</v>
      </c>
      <c r="CP27" s="27" t="n">
        <f aca="false">SUMIF($C$2:$F$2,EOMONTH(CP$2,-1)+1,$C27:$F27)*VLOOKUP(CP$2,Valores!$H$2:$P$154,8,0)</f>
        <v>14610.7160971322</v>
      </c>
      <c r="CQ27" s="27" t="n">
        <f aca="false">SUMIF($C$2:$F$2,EOMONTH(CQ$2,-1)+1,$C27:$F27)*VLOOKUP(CQ$2,Valores!$H$2:$P$154,8,0)</f>
        <v>14610.7160971322</v>
      </c>
      <c r="CR27" s="27" t="n">
        <f aca="false">SUMIF($C$2:$F$2,EOMONTH(CR$2,-1)+1,$C27:$F27)*VLOOKUP(CR$2,Valores!$H$2:$P$154,8,0)</f>
        <v>29221.4321942644</v>
      </c>
      <c r="CS27" s="27" t="n">
        <f aca="false">SUMIF($C$2:$F$2,EOMONTH(CS$2,-1)+1,$C27:$F27)*VLOOKUP(CS$2,Valores!$H$2:$P$154,8,0)</f>
        <v>43832.1482913965</v>
      </c>
      <c r="CT27" s="27" t="e">
        <f aca="false">SUMIF($C$2:$F$2,EOMONTH(CT$2,-1)+1,$C27:$F27)*VLOOKUP(CT$2,Valores!$H$2:$P$154,8,0)</f>
        <v>#VALUE!</v>
      </c>
      <c r="CU27" s="27" t="e">
        <f aca="false">SUMIF($C$2:$F$2,EOMONTH(CU$2,-1)+1,$C27:$F27)*VLOOKUP(CU$2,Valores!$H$2:$P$154,8,0)</f>
        <v>#VALUE!</v>
      </c>
      <c r="CV27" s="27" t="e">
        <f aca="false">SUMIF($C$2:$F$2,EOMONTH(CV$2,-1)+1,$C27:$F27)*VLOOKUP(CV$2,Valores!$H$2:$P$154,8,0)</f>
        <v>#VALUE!</v>
      </c>
      <c r="CW27" s="27" t="e">
        <f aca="false">SUMIF($C$2:$F$2,EOMONTH(CW$2,-1)+1,$C27:$F27)*VLOOKUP(CW$2,Valores!$H$2:$P$154,8,0)</f>
        <v>#VALUE!</v>
      </c>
      <c r="CX27" s="27" t="e">
        <f aca="false">SUMIF($C$2:$F$2,EOMONTH(CX$2,-1)+1,$C27:$F27)*VLOOKUP(CX$2,Valores!$H$2:$P$154,8,0)</f>
        <v>#VALUE!</v>
      </c>
      <c r="CY27" s="27" t="e">
        <f aca="false">SUMIF($C$2:$F$2,EOMONTH(CY$2,-1)+1,$C27:$F27)*VLOOKUP(CY$2,Valores!$H$2:$P$154,8,0)</f>
        <v>#VALUE!</v>
      </c>
      <c r="CZ27" s="27" t="e">
        <f aca="false">SUMIF($C$2:$F$2,EOMONTH(CZ$2,-1)+1,$C27:$F27)*VLOOKUP(CZ$2,Valores!$H$2:$P$154,8,0)</f>
        <v>#VALUE!</v>
      </c>
      <c r="DA27" s="27" t="e">
        <f aca="false">SUMIF($C$2:$F$2,EOMONTH(DA$2,-1)+1,$C27:$F27)*VLOOKUP(DA$2,Valores!$H$2:$P$154,8,0)</f>
        <v>#VALUE!</v>
      </c>
      <c r="DB27" s="27" t="e">
        <f aca="false">SUMIF($C$2:$F$2,EOMONTH(DB$2,-1)+1,$C27:$F27)*VLOOKUP(DB$2,Valores!$H$2:$P$154,8,0)</f>
        <v>#VALUE!</v>
      </c>
      <c r="DC27" s="27" t="e">
        <f aca="false">SUMIF($C$2:$F$2,EOMONTH(DC$2,-1)+1,$C27:$F27)*VLOOKUP(DC$2,Valores!$H$2:$P$154,8,0)</f>
        <v>#VALUE!</v>
      </c>
      <c r="DD27" s="27" t="e">
        <f aca="false">SUMIF($C$2:$F$2,EOMONTH(DD$2,-1)+1,$C27:$F27)*VLOOKUP(DD$2,Valores!$H$2:$P$154,8,0)</f>
        <v>#VALUE!</v>
      </c>
      <c r="DE27" s="27" t="e">
        <f aca="false">SUMIF($C$2:$F$2,EOMONTH(DE$2,-1)+1,$C27:$F27)*VLOOKUP(DE$2,Valores!$H$2:$P$154,8,0)</f>
        <v>#VALUE!</v>
      </c>
      <c r="DF27" s="27" t="e">
        <f aca="false">SUMIF($C$2:$F$2,EOMONTH(DF$2,-1)+1,$C27:$F27)*VLOOKUP(DF$2,Valores!$H$2:$P$154,8,0)</f>
        <v>#VALUE!</v>
      </c>
      <c r="DG27" s="27" t="e">
        <f aca="false">SUMIF($C$2:$F$2,EOMONTH(DG$2,-1)+1,$C27:$F27)*VLOOKUP(DG$2,Valores!$H$2:$P$154,8,0)</f>
        <v>#VALUE!</v>
      </c>
      <c r="DH27" s="27" t="e">
        <f aca="false">SUMIF($C$2:$F$2,EOMONTH(DH$2,-1)+1,$C27:$F27)*VLOOKUP(DH$2,Valores!$H$2:$P$154,8,0)</f>
        <v>#VALUE!</v>
      </c>
      <c r="DI27" s="27" t="e">
        <f aca="false">SUMIF($C$2:$F$2,EOMONTH(DI$2,-1)+1,$C27:$F27)*VLOOKUP(DI$2,Valores!$H$2:$P$154,8,0)</f>
        <v>#VALUE!</v>
      </c>
      <c r="DJ27" s="27" t="e">
        <f aca="false">SUMIF($C$2:$F$2,EOMONTH(DJ$2,-1)+1,$C27:$F27)*VLOOKUP(DJ$2,Valores!$H$2:$P$154,8,0)</f>
        <v>#VALUE!</v>
      </c>
      <c r="DK27" s="27" t="e">
        <f aca="false">SUMIF($C$2:$F$2,EOMONTH(DK$2,-1)+1,$C27:$F27)*VLOOKUP(DK$2,Valores!$H$2:$P$154,8,0)</f>
        <v>#VALUE!</v>
      </c>
      <c r="DL27" s="27" t="e">
        <f aca="false">SUMIF($C$2:$F$2,EOMONTH(DL$2,-1)+1,$C27:$F27)*VLOOKUP(DL$2,Valores!$H$2:$P$154,8,0)</f>
        <v>#VALUE!</v>
      </c>
      <c r="DM27" s="27" t="e">
        <f aca="false">SUMIF($C$2:$F$2,EOMONTH(DM$2,-1)+1,$C27:$F27)*VLOOKUP(DM$2,Valores!$H$2:$P$154,8,0)</f>
        <v>#VALUE!</v>
      </c>
      <c r="DN27" s="27" t="e">
        <f aca="false">SUMIF($C$2:$F$2,EOMONTH(DN$2,-1)+1,$C27:$F27)*VLOOKUP(DN$2,Valores!$H$2:$P$154,8,0)</f>
        <v>#VALUE!</v>
      </c>
      <c r="DO27" s="27" t="e">
        <f aca="false">SUMIF($C$2:$F$2,EOMONTH(DO$2,-1)+1,$C27:$F27)*VLOOKUP(DO$2,Valores!$H$2:$P$154,8,0)</f>
        <v>#VALUE!</v>
      </c>
      <c r="DP27" s="27" t="e">
        <f aca="false">SUMIF($C$2:$F$2,EOMONTH(DP$2,-1)+1,$C27:$F27)*VLOOKUP(DP$2,Valores!$H$2:$P$154,8,0)</f>
        <v>#VALUE!</v>
      </c>
      <c r="DQ27" s="27" t="e">
        <f aca="false">SUMIF($C$2:$F$2,EOMONTH(DQ$2,-1)+1,$C27:$F27)*VLOOKUP(DQ$2,Valores!$H$2:$P$154,8,0)</f>
        <v>#VALUE!</v>
      </c>
      <c r="DR27" s="27" t="e">
        <f aca="false">SUMIF($C$2:$F$2,EOMONTH(DR$2,-1)+1,$C27:$F27)*VLOOKUP(DR$2,Valores!$H$2:$P$154,8,0)</f>
        <v>#VALUE!</v>
      </c>
      <c r="DS27" s="27" t="e">
        <f aca="false">SUMIF($C$2:$F$2,EOMONTH(DS$2,-1)+1,$C27:$F27)*VLOOKUP(DS$2,Valores!$H$2:$P$154,8,0)</f>
        <v>#VALUE!</v>
      </c>
      <c r="DT27" s="27" t="e">
        <f aca="false">SUMIF($C$2:$F$2,EOMONTH(DT$2,-1)+1,$C27:$F27)*VLOOKUP(DT$2,Valores!$H$2:$P$154,8,0)</f>
        <v>#VALUE!</v>
      </c>
      <c r="DU27" s="27" t="e">
        <f aca="false">SUMIF($C$2:$F$2,EOMONTH(DU$2,-1)+1,$C27:$F27)*VLOOKUP(DU$2,Valores!$H$2:$P$154,8,0)</f>
        <v>#VALUE!</v>
      </c>
      <c r="DV27" s="27" t="e">
        <f aca="false">SUMIF($C$2:$F$2,EOMONTH(DV$2,-1)+1,$C27:$F27)*VLOOKUP(DV$2,Valores!$H$2:$P$154,8,0)</f>
        <v>#VALUE!</v>
      </c>
      <c r="DW27" s="27" t="e">
        <f aca="false">SUMIF($C$2:$F$2,EOMONTH(DW$2,-1)+1,$C27:$F27)*VLOOKUP(DW$2,Valores!$H$2:$P$154,8,0)</f>
        <v>#VALUE!</v>
      </c>
      <c r="DX27" s="27" t="e">
        <f aca="false">SUMIF($C$2:$F$2,EOMONTH(DX$2,-1)+1,$C27:$F27)*VLOOKUP(DX$2,Valores!$H$2:$P$154,8,0)</f>
        <v>#VALUE!</v>
      </c>
    </row>
    <row r="28" customFormat="false" ht="13.8" hidden="false" customHeight="false" outlineLevel="0" collapsed="false">
      <c r="A28" s="29" t="s">
        <v>23</v>
      </c>
      <c r="B28" s="29" t="s">
        <v>49</v>
      </c>
      <c r="C28" s="29" t="n">
        <v>743011</v>
      </c>
      <c r="D28" s="29" t="n">
        <v>668709.9</v>
      </c>
      <c r="E28" s="29" t="n">
        <v>601838.91</v>
      </c>
      <c r="F28" s="29" t="n">
        <v>541655.019</v>
      </c>
      <c r="G28" s="30" t="n">
        <f aca="false">SUMIF($C$2:$F$2,EOMONTH(G$2,-1)+1,$C28:$F28)*VLOOKUP(G$2,Valores!$H$2:$P$154,8,0)</f>
        <v>21396.5649168998</v>
      </c>
      <c r="H28" s="30" t="n">
        <f aca="false">SUMIF($C$2:$F$2,EOMONTH(H$2,-1)+1,$C28:$F28)*VLOOKUP(H$2,Valores!$H$2:$P$154,8,0)</f>
        <v>14671.9302287313</v>
      </c>
      <c r="I28" s="30" t="n">
        <f aca="false">SUMIF($C$2:$F$2,EOMONTH(I$2,-1)+1,$C28:$F28)*VLOOKUP(I$2,Valores!$H$2:$P$154,8,0)</f>
        <v>14671.9302287313</v>
      </c>
      <c r="J28" s="30" t="n">
        <f aca="false">SUMIF($C$2:$F$2,EOMONTH(J$2,-1)+1,$C28:$F28)*VLOOKUP(J$2,Valores!$H$2:$P$154,8,0)</f>
        <v>14671.9302287313</v>
      </c>
      <c r="K28" s="30" t="n">
        <f aca="false">SUMIF($C$2:$F$2,EOMONTH(K$2,-1)+1,$C28:$F28)*VLOOKUP(K$2,Valores!$H$2:$P$154,8,0)</f>
        <v>14671.9302287313</v>
      </c>
      <c r="L28" s="30" t="n">
        <f aca="false">SUMIF($C$2:$F$2,EOMONTH(L$2,-1)+1,$C28:$F28)*VLOOKUP(L$2,Valores!$H$2:$P$154,8,0)</f>
        <v>29343.8604574626</v>
      </c>
      <c r="M28" s="30" t="n">
        <f aca="false">SUMIF($C$2:$F$2,EOMONTH(M$2,-1)+1,$C28:$F28)*VLOOKUP(M$2,Valores!$H$2:$P$154,8,0)</f>
        <v>36679.8255718282</v>
      </c>
      <c r="N28" s="30" t="n">
        <f aca="false">SUMIF($C$2:$F$2,EOMONTH(N$2,-1)+1,$C28:$F28)*VLOOKUP(N$2,Valores!$H$2:$P$154,8,0)</f>
        <v>22007.8953430969</v>
      </c>
      <c r="O28" s="30" t="n">
        <f aca="false">SUMIF($C$2:$F$2,EOMONTH(O$2,-1)+1,$C28:$F28)*VLOOKUP(O$2,Valores!$H$2:$P$154,8,0)</f>
        <v>19562.5736383084</v>
      </c>
      <c r="P28" s="30" t="n">
        <f aca="false">SUMIF($C$2:$F$2,EOMONTH(P$2,-1)+1,$C28:$F28)*VLOOKUP(P$2,Valores!$H$2:$P$154,8,0)</f>
        <v>19562.5736383084</v>
      </c>
      <c r="Q28" s="30" t="n">
        <f aca="false">SUMIF($C$2:$F$2,EOMONTH(Q$2,-1)+1,$C28:$F28)*VLOOKUP(Q$2,Valores!$H$2:$P$154,8,0)</f>
        <v>11737.544182985</v>
      </c>
      <c r="R28" s="30" t="n">
        <f aca="false">SUMIF($C$2:$F$2,EOMONTH(R$2,-1)+1,$C28:$F28)*VLOOKUP(R$2,Valores!$H$2:$P$154,8,0)</f>
        <v>19562.5736383084</v>
      </c>
      <c r="S28" s="30" t="n">
        <f aca="false">SUMIF($C$2:$F$2,EOMONTH(S$2,-1)+1,$C28:$F28)*VLOOKUP(S$2,Valores!$H$2:$P$154,8,0)</f>
        <v>39125.1472766168</v>
      </c>
      <c r="T28" s="30" t="n">
        <f aca="false">SUMIF($C$2:$F$2,EOMONTH(T$2,-1)+1,$C28:$F28)*VLOOKUP(T$2,Valores!$H$2:$P$154,8,0)</f>
        <v>48906.4340957709</v>
      </c>
      <c r="U28" s="30" t="n">
        <f aca="false">SUMIF($C$2:$F$2,EOMONTH(U$2,-1)+1,$C28:$F28)*VLOOKUP(U$2,Valores!$H$2:$P$154,8,0)</f>
        <v>29343.8604574626</v>
      </c>
      <c r="V28" s="30" t="n">
        <f aca="false">SUMIF($C$2:$F$2,EOMONTH(V$2,-1)+1,$C28:$F28)*VLOOKUP(V$2,Valores!$H$2:$P$154,8,0)</f>
        <v>24453.2170478855</v>
      </c>
      <c r="W28" s="30" t="n">
        <f aca="false">SUMIF($C$2:$F$2,EOMONTH(W$2,-1)+1,$C28:$F28)*VLOOKUP(W$2,Valores!$H$2:$P$154,8,0)</f>
        <v>24453.2170478855</v>
      </c>
      <c r="X28" s="30" t="n">
        <f aca="false">SUMIF($C$2:$F$2,EOMONTH(X$2,-1)+1,$C28:$F28)*VLOOKUP(X$2,Valores!$H$2:$P$154,8,0)</f>
        <v>0</v>
      </c>
      <c r="Y28" s="30" t="n">
        <f aca="false">SUMIF($C$2:$F$2,EOMONTH(Y$2,-1)+1,$C28:$F28)*VLOOKUP(Y$2,Valores!$H$2:$P$154,8,0)</f>
        <v>0</v>
      </c>
      <c r="Z28" s="30" t="n">
        <f aca="false">SUMIF($C$2:$F$2,EOMONTH(Z$2,-1)+1,$C28:$F28)*VLOOKUP(Z$2,Valores!$H$2:$P$154,8,0)</f>
        <v>36679.8255718282</v>
      </c>
      <c r="AA28" s="30" t="n">
        <f aca="false">SUMIF($C$2:$F$2,EOMONTH(AA$2,-1)+1,$C28:$F28)*VLOOKUP(AA$2,Valores!$H$2:$P$154,8,0)</f>
        <v>44015.7906861938</v>
      </c>
      <c r="AB28" s="30" t="n">
        <f aca="false">SUMIF($C$2:$F$2,EOMONTH(AB$2,-1)+1,$C28:$F28)*VLOOKUP(AB$2,Valores!$H$2:$P$154,8,0)</f>
        <v>22007.8953430969</v>
      </c>
      <c r="AC28" s="30" t="n">
        <f aca="false">SUMIF($C$2:$F$2,EOMONTH(AC$2,-1)+1,$C28:$F28)*VLOOKUP(AC$2,Valores!$H$2:$P$154,8,0)</f>
        <v>26898.538752674</v>
      </c>
      <c r="AD28" s="30" t="n">
        <f aca="false">SUMIF($C$2:$F$2,EOMONTH(AD$2,-1)+1,$C28:$F28)*VLOOKUP(AD$2,Valores!$H$2:$P$154,8,0)</f>
        <v>26898.538752674</v>
      </c>
      <c r="AE28" s="30" t="n">
        <f aca="false">SUMIF($C$2:$F$2,EOMONTH(AE$2,-1)+1,$C28:$F28)*VLOOKUP(AE$2,Valores!$H$2:$P$154,8,0)</f>
        <v>26898.538752674</v>
      </c>
      <c r="AF28" s="30" t="n">
        <f aca="false">SUMIF($C$2:$F$2,EOMONTH(AF$2,-1)+1,$C28:$F28)*VLOOKUP(AF$2,Valores!$H$2:$P$154,8,0)</f>
        <v>26898.538752674</v>
      </c>
      <c r="AG28" s="30" t="n">
        <f aca="false">SUMIF($C$2:$F$2,EOMONTH(AG$2,-1)+1,$C28:$F28)*VLOOKUP(AG$2,Valores!$H$2:$P$154,8,0)</f>
        <v>43037.6620042784</v>
      </c>
      <c r="AH28" s="30" t="n">
        <f aca="false">SUMIF($C$2:$F$2,EOMONTH(AH$2,-1)+1,$C28:$F28)*VLOOKUP(AH$2,Valores!$H$2:$P$154,8,0)</f>
        <v>53797.077505348</v>
      </c>
      <c r="AI28" s="30" t="n">
        <f aca="false">SUMIF($C$2:$F$2,EOMONTH(AI$2,-1)+1,$C28:$F28)*VLOOKUP(AI$2,Valores!$H$2:$P$154,8,0)</f>
        <v>18828.9771268718</v>
      </c>
      <c r="AJ28" s="30" t="n">
        <f aca="false">SUMIF($C$2:$F$2,EOMONTH(AJ$2,-1)+1,$C28:$F28)*VLOOKUP(AJ$2,Valores!$H$2:$P$154,8,0)</f>
        <v>12226.6085239427</v>
      </c>
      <c r="AK28" s="30" t="n">
        <f aca="false">SUMIF($C$2:$F$2,EOMONTH(AK$2,-1)+1,$C28:$F28)*VLOOKUP(AK$2,Valores!$H$2:$P$154,8,0)</f>
        <v>22296.1694729572</v>
      </c>
      <c r="AL28" s="30" t="n">
        <f aca="false">SUMIF($C$2:$F$2,EOMONTH(AL$2,-1)+1,$C28:$F28)*VLOOKUP(AL$2,Valores!$H$2:$P$154,8,0)</f>
        <v>22296.1694729572</v>
      </c>
      <c r="AM28" s="30" t="n">
        <f aca="false">SUMIF($C$2:$F$2,EOMONTH(AM$2,-1)+1,$C28:$F28)*VLOOKUP(AM$2,Valores!$H$2:$P$154,8,0)</f>
        <v>22296.1694729572</v>
      </c>
      <c r="AN28" s="30" t="n">
        <f aca="false">SUMIF($C$2:$F$2,EOMONTH(AN$2,-1)+1,$C28:$F28)*VLOOKUP(AN$2,Valores!$H$2:$P$154,8,0)</f>
        <v>44592.3389459144</v>
      </c>
      <c r="AO28" s="30" t="n">
        <f aca="false">SUMIF($C$2:$F$2,EOMONTH(AO$2,-1)+1,$C28:$F28)*VLOOKUP(AO$2,Valores!$H$2:$P$154,8,0)</f>
        <v>55740.423682393</v>
      </c>
      <c r="AP28" s="30" t="n">
        <f aca="false">SUMIF($C$2:$F$2,EOMONTH(AP$2,-1)+1,$C28:$F28)*VLOOKUP(AP$2,Valores!$H$2:$P$154,8,0)</f>
        <v>33444.2542094358</v>
      </c>
      <c r="AQ28" s="30" t="n">
        <f aca="false">SUMIF($C$2:$F$2,EOMONTH(AQ$2,-1)+1,$C28:$F28)*VLOOKUP(AQ$2,Valores!$H$2:$P$154,8,0)</f>
        <v>11944.3765033699</v>
      </c>
      <c r="AR28" s="30" t="n">
        <f aca="false">SUMIF($C$2:$F$2,EOMONTH(AR$2,-1)+1,$C28:$F28)*VLOOKUP(AR$2,Valores!$H$2:$P$154,8,0)</f>
        <v>11944.3765033699</v>
      </c>
      <c r="AS28" s="30" t="n">
        <f aca="false">SUMIF($C$2:$F$2,EOMONTH(AS$2,-1)+1,$C28:$F28)*VLOOKUP(AS$2,Valores!$H$2:$P$154,8,0)</f>
        <v>11944.3765033699</v>
      </c>
      <c r="AT28" s="30" t="n">
        <f aca="false">SUMIF($C$2:$F$2,EOMONTH(AT$2,-1)+1,$C28:$F28)*VLOOKUP(AT$2,Valores!$H$2:$P$154,8,0)</f>
        <v>11944.3765033699</v>
      </c>
      <c r="AU28" s="30" t="n">
        <f aca="false">SUMIF($C$2:$F$2,EOMONTH(AU$2,-1)+1,$C28:$F28)*VLOOKUP(AU$2,Valores!$H$2:$P$154,8,0)</f>
        <v>23888.7530067399</v>
      </c>
      <c r="AV28" s="30" t="n">
        <f aca="false">SUMIF($C$2:$F$2,EOMONTH(AV$2,-1)+1,$C28:$F28)*VLOOKUP(AV$2,Valores!$H$2:$P$154,8,0)</f>
        <v>29860.9412584248</v>
      </c>
      <c r="AW28" s="30" t="n">
        <f aca="false">SUMIF($C$2:$F$2,EOMONTH(AW$2,-1)+1,$C28:$F28)*VLOOKUP(AW$2,Valores!$H$2:$P$154,8,0)</f>
        <v>17916.5647550549</v>
      </c>
      <c r="AX28" s="30" t="n">
        <f aca="false">SUMIF($C$2:$F$2,EOMONTH(AX$2,-1)+1,$C28:$F28)*VLOOKUP(AX$2,Valores!$H$2:$P$154,8,0)</f>
        <v>11944.3765033699</v>
      </c>
      <c r="AY28" s="30" t="n">
        <f aca="false">SUMIF($C$2:$F$2,EOMONTH(AY$2,-1)+1,$C28:$F28)*VLOOKUP(AY$2,Valores!$H$2:$P$154,8,0)</f>
        <v>15527.6894543809</v>
      </c>
      <c r="AZ28" s="30" t="n">
        <f aca="false">SUMIF($C$2:$F$2,EOMONTH(AZ$2,-1)+1,$C28:$F28)*VLOOKUP(AZ$2,Valores!$H$2:$P$154,8,0)</f>
        <v>15527.6894543809</v>
      </c>
      <c r="BA28" s="30" t="n">
        <f aca="false">SUMIF($C$2:$F$2,EOMONTH(BA$2,-1)+1,$C28:$F28)*VLOOKUP(BA$2,Valores!$H$2:$P$154,8,0)</f>
        <v>15527.6894543809</v>
      </c>
      <c r="BB28" s="30" t="n">
        <f aca="false">SUMIF($C$2:$F$2,EOMONTH(BB$2,-1)+1,$C28:$F28)*VLOOKUP(BB$2,Valores!$H$2:$P$154,8,0)</f>
        <v>27472.0659577508</v>
      </c>
      <c r="BC28" s="30" t="n">
        <f aca="false">SUMIF($C$2:$F$2,EOMONTH(BC$2,-1)+1,$C28:$F28)*VLOOKUP(BC$2,Valores!$H$2:$P$154,8,0)</f>
        <v>33444.2542094358</v>
      </c>
      <c r="BD28" s="30" t="n">
        <f aca="false">SUMIF($C$2:$F$2,EOMONTH(BD$2,-1)+1,$C28:$F28)*VLOOKUP(BD$2,Valores!$H$2:$P$154,8,0)</f>
        <v>17916.5647550549</v>
      </c>
      <c r="BE28" s="30" t="n">
        <f aca="false">SUMIF($C$2:$F$2,EOMONTH(BE$2,-1)+1,$C28:$F28)*VLOOKUP(BE$2,Valores!$H$2:$P$154,8,0)</f>
        <v>15925.8353378266</v>
      </c>
      <c r="BF28" s="30" t="n">
        <f aca="false">SUMIF($C$2:$F$2,EOMONTH(BF$2,-1)+1,$C28:$F28)*VLOOKUP(BF$2,Valores!$H$2:$P$154,8,0)</f>
        <v>15925.8353378266</v>
      </c>
      <c r="BG28" s="30" t="n">
        <f aca="false">SUMIF($C$2:$F$2,EOMONTH(BG$2,-1)+1,$C28:$F28)*VLOOKUP(BG$2,Valores!$H$2:$P$154,8,0)</f>
        <v>15925.8353378266</v>
      </c>
      <c r="BH28" s="30" t="n">
        <f aca="false">SUMIF($C$2:$F$2,EOMONTH(BH$2,-1)+1,$C28:$F28)*VLOOKUP(BH$2,Valores!$H$2:$P$154,8,0)</f>
        <v>15925.8353378266</v>
      </c>
      <c r="BI28" s="30" t="n">
        <f aca="false">SUMIF($C$2:$F$2,EOMONTH(BI$2,-1)+1,$C28:$F28)*VLOOKUP(BI$2,Valores!$H$2:$P$154,8,0)</f>
        <v>31851.6706756531</v>
      </c>
      <c r="BJ28" s="30" t="n">
        <f aca="false">SUMIF($C$2:$F$2,EOMONTH(BJ$2,-1)+1,$C28:$F28)*VLOOKUP(BJ$2,Valores!$H$2:$P$154,8,0)</f>
        <v>39814.5883445664</v>
      </c>
      <c r="BK28" s="30" t="n">
        <f aca="false">SUMIF($C$2:$F$2,EOMONTH(BK$2,-1)+1,$C28:$F28)*VLOOKUP(BK$2,Valores!$H$2:$P$154,8,0)</f>
        <v>19111.0024053919</v>
      </c>
      <c r="BL28" s="30" t="n">
        <f aca="false">SUMIF($C$2:$F$2,EOMONTH(BL$2,-1)+1,$C28:$F28)*VLOOKUP(BL$2,Valores!$H$2:$P$154,8,0)</f>
        <v>14014.7350972874</v>
      </c>
      <c r="BM28" s="30" t="n">
        <f aca="false">SUMIF($C$2:$F$2,EOMONTH(BM$2,-1)+1,$C28:$F28)*VLOOKUP(BM$2,Valores!$H$2:$P$154,8,0)</f>
        <v>14014.7350972874</v>
      </c>
      <c r="BN28" s="30" t="n">
        <f aca="false">SUMIF($C$2:$F$2,EOMONTH(BN$2,-1)+1,$C28:$F28)*VLOOKUP(BN$2,Valores!$H$2:$P$154,8,0)</f>
        <v>14014.7350972874</v>
      </c>
      <c r="BO28" s="30" t="n">
        <f aca="false">SUMIF($C$2:$F$2,EOMONTH(BO$2,-1)+1,$C28:$F28)*VLOOKUP(BO$2,Valores!$H$2:$P$154,8,0)</f>
        <v>14715.4718521518</v>
      </c>
      <c r="BP28" s="30" t="n">
        <f aca="false">SUMIF($C$2:$F$2,EOMONTH(BP$2,-1)+1,$C28:$F28)*VLOOKUP(BP$2,Valores!$H$2:$P$154,8,0)</f>
        <v>37032.1711460279</v>
      </c>
      <c r="BQ28" s="30" t="n">
        <f aca="false">SUMIF($C$2:$F$2,EOMONTH(BQ$2,-1)+1,$C28:$F28)*VLOOKUP(BQ$2,Valores!$H$2:$P$154,8,0)</f>
        <v>46290.2139325349</v>
      </c>
      <c r="BR28" s="30" t="n">
        <f aca="false">SUMIF($C$2:$F$2,EOMONTH(BR$2,-1)+1,$C28:$F28)*VLOOKUP(BR$2,Valores!$H$2:$P$154,8,0)</f>
        <v>22219.3026876167</v>
      </c>
      <c r="BS28" s="30" t="n">
        <f aca="false">SUMIF($C$2:$F$2,EOMONTH(BS$2,-1)+1,$C28:$F28)*VLOOKUP(BS$2,Valores!$H$2:$P$154,8,0)</f>
        <v>9919.33155697176</v>
      </c>
      <c r="BT28" s="30" t="n">
        <f aca="false">SUMIF($C$2:$F$2,EOMONTH(BT$2,-1)+1,$C28:$F28)*VLOOKUP(BT$2,Valores!$H$2:$P$154,8,0)</f>
        <v>9919.33155697176</v>
      </c>
      <c r="BU28" s="30" t="n">
        <f aca="false">SUMIF($C$2:$F$2,EOMONTH(BU$2,-1)+1,$C28:$F28)*VLOOKUP(BU$2,Valores!$H$2:$P$154,8,0)</f>
        <v>9919.33155697176</v>
      </c>
      <c r="BV28" s="30" t="n">
        <f aca="false">SUMIF($C$2:$F$2,EOMONTH(BV$2,-1)+1,$C28:$F28)*VLOOKUP(BV$2,Valores!$H$2:$P$154,8,0)</f>
        <v>9919.33155697176</v>
      </c>
      <c r="BW28" s="30" t="n">
        <f aca="false">SUMIF($C$2:$F$2,EOMONTH(BW$2,-1)+1,$C28:$F28)*VLOOKUP(BW$2,Valores!$H$2:$P$154,8,0)</f>
        <v>19838.6631139435</v>
      </c>
      <c r="BX28" s="30" t="n">
        <f aca="false">SUMIF($C$2:$F$2,EOMONTH(BX$2,-1)+1,$C28:$F28)*VLOOKUP(BX$2,Valores!$H$2:$P$154,8,0)</f>
        <v>24798.3288924294</v>
      </c>
      <c r="BY28" s="30" t="n">
        <f aca="false">SUMIF($C$2:$F$2,EOMONTH(BY$2,-1)+1,$C28:$F28)*VLOOKUP(BY$2,Valores!$H$2:$P$154,8,0)</f>
        <v>14878.9973354576</v>
      </c>
      <c r="BZ28" s="30" t="n">
        <f aca="false">SUMIF($C$2:$F$2,EOMONTH(BZ$2,-1)+1,$C28:$F28)*VLOOKUP(BZ$2,Valores!$H$2:$P$154,8,0)</f>
        <v>9919.33155697176</v>
      </c>
      <c r="CA28" s="30" t="n">
        <f aca="false">SUMIF($C$2:$F$2,EOMONTH(CA$2,-1)+1,$C28:$F28)*VLOOKUP(CA$2,Valores!$H$2:$P$154,8,0)</f>
        <v>9919.33155697176</v>
      </c>
      <c r="CB28" s="30" t="n">
        <f aca="false">SUMIF($C$2:$F$2,EOMONTH(CB$2,-1)+1,$C28:$F28)*VLOOKUP(CB$2,Valores!$H$2:$P$154,8,0)</f>
        <v>9919.33155697176</v>
      </c>
      <c r="CC28" s="30" t="n">
        <f aca="false">SUMIF($C$2:$F$2,EOMONTH(CC$2,-1)+1,$C28:$F28)*VLOOKUP(CC$2,Valores!$H$2:$P$154,8,0)</f>
        <v>9919.33155697176</v>
      </c>
      <c r="CD28" s="30" t="n">
        <f aca="false">SUMIF($C$2:$F$2,EOMONTH(CD$2,-1)+1,$C28:$F28)*VLOOKUP(CD$2,Valores!$H$2:$P$154,8,0)</f>
        <v>29757.9946709153</v>
      </c>
      <c r="CE28" s="30" t="n">
        <f aca="false">SUMIF($C$2:$F$2,EOMONTH(CE$2,-1)+1,$C28:$F28)*VLOOKUP(CE$2,Valores!$H$2:$P$154,8,0)</f>
        <v>39677.326227887</v>
      </c>
      <c r="CF28" s="30" t="n">
        <f aca="false">SUMIF($C$2:$F$2,EOMONTH(CF$2,-1)+1,$C28:$F28)*VLOOKUP(CF$2,Valores!$H$2:$P$154,8,0)</f>
        <v>24798.3288924294</v>
      </c>
      <c r="CG28" s="30" t="n">
        <f aca="false">SUMIF($C$2:$F$2,EOMONTH(CG$2,-1)+1,$C28:$F28)*VLOOKUP(CG$2,Valores!$H$2:$P$154,8,0)</f>
        <v>13225.7754092957</v>
      </c>
      <c r="CH28" s="30" t="n">
        <f aca="false">SUMIF($C$2:$F$2,EOMONTH(CH$2,-1)+1,$C28:$F28)*VLOOKUP(CH$2,Valores!$H$2:$P$154,8,0)</f>
        <v>13225.7754092957</v>
      </c>
      <c r="CI28" s="30" t="n">
        <f aca="false">SUMIF($C$2:$F$2,EOMONTH(CI$2,-1)+1,$C28:$F28)*VLOOKUP(CI$2,Valores!$H$2:$P$154,8,0)</f>
        <v>13225.7754092957</v>
      </c>
      <c r="CJ28" s="30" t="n">
        <f aca="false">SUMIF($C$2:$F$2,EOMONTH(CJ$2,-1)+1,$C28:$F28)*VLOOKUP(CJ$2,Valores!$H$2:$P$154,8,0)</f>
        <v>13225.7754092957</v>
      </c>
      <c r="CK28" s="30" t="n">
        <f aca="false">SUMIF($C$2:$F$2,EOMONTH(CK$2,-1)+1,$C28:$F28)*VLOOKUP(CK$2,Valores!$H$2:$P$154,8,0)</f>
        <v>26451.5508185914</v>
      </c>
      <c r="CL28" s="30" t="n">
        <f aca="false">SUMIF($C$2:$F$2,EOMONTH(CL$2,-1)+1,$C28:$F28)*VLOOKUP(CL$2,Valores!$H$2:$P$154,8,0)</f>
        <v>33064.4385232392</v>
      </c>
      <c r="CM28" s="30" t="n">
        <f aca="false">SUMIF($C$2:$F$2,EOMONTH(CM$2,-1)+1,$C28:$F28)*VLOOKUP(CM$2,Valores!$H$2:$P$154,8,0)</f>
        <v>19838.6631139435</v>
      </c>
      <c r="CN28" s="30" t="n">
        <f aca="false">SUMIF($C$2:$F$2,EOMONTH(CN$2,-1)+1,$C28:$F28)*VLOOKUP(CN$2,Valores!$H$2:$P$154,8,0)</f>
        <v>14548.3529502252</v>
      </c>
      <c r="CO28" s="30" t="n">
        <f aca="false">SUMIF($C$2:$F$2,EOMONTH(CO$2,-1)+1,$C28:$F28)*VLOOKUP(CO$2,Valores!$H$2:$P$154,8,0)</f>
        <v>14548.3529502252</v>
      </c>
      <c r="CP28" s="30" t="n">
        <f aca="false">SUMIF($C$2:$F$2,EOMONTH(CP$2,-1)+1,$C28:$F28)*VLOOKUP(CP$2,Valores!$H$2:$P$154,8,0)</f>
        <v>14548.3529502252</v>
      </c>
      <c r="CQ28" s="30" t="n">
        <f aca="false">SUMIF($C$2:$F$2,EOMONTH(CQ$2,-1)+1,$C28:$F28)*VLOOKUP(CQ$2,Valores!$H$2:$P$154,8,0)</f>
        <v>14548.3529502252</v>
      </c>
      <c r="CR28" s="30" t="n">
        <f aca="false">SUMIF($C$2:$F$2,EOMONTH(CR$2,-1)+1,$C28:$F28)*VLOOKUP(CR$2,Valores!$H$2:$P$154,8,0)</f>
        <v>29096.7059004505</v>
      </c>
      <c r="CS28" s="30" t="n">
        <f aca="false">SUMIF($C$2:$F$2,EOMONTH(CS$2,-1)+1,$C28:$F28)*VLOOKUP(CS$2,Valores!$H$2:$P$154,8,0)</f>
        <v>43645.0588506757</v>
      </c>
      <c r="CT28" s="30" t="e">
        <f aca="false">SUMIF($C$2:$F$2,EOMONTH(CT$2,-1)+1,$C28:$F28)*VLOOKUP(CT$2,Valores!$H$2:$P$154,8,0)</f>
        <v>#VALUE!</v>
      </c>
      <c r="CU28" s="30" t="e">
        <f aca="false">SUMIF($C$2:$F$2,EOMONTH(CU$2,-1)+1,$C28:$F28)*VLOOKUP(CU$2,Valores!$H$2:$P$154,8,0)</f>
        <v>#VALUE!</v>
      </c>
      <c r="CV28" s="30" t="e">
        <f aca="false">SUMIF($C$2:$F$2,EOMONTH(CV$2,-1)+1,$C28:$F28)*VLOOKUP(CV$2,Valores!$H$2:$P$154,8,0)</f>
        <v>#VALUE!</v>
      </c>
      <c r="CW28" s="30" t="e">
        <f aca="false">SUMIF($C$2:$F$2,EOMONTH(CW$2,-1)+1,$C28:$F28)*VLOOKUP(CW$2,Valores!$H$2:$P$154,8,0)</f>
        <v>#VALUE!</v>
      </c>
      <c r="CX28" s="30" t="e">
        <f aca="false">SUMIF($C$2:$F$2,EOMONTH(CX$2,-1)+1,$C28:$F28)*VLOOKUP(CX$2,Valores!$H$2:$P$154,8,0)</f>
        <v>#VALUE!</v>
      </c>
      <c r="CY28" s="30" t="e">
        <f aca="false">SUMIF($C$2:$F$2,EOMONTH(CY$2,-1)+1,$C28:$F28)*VLOOKUP(CY$2,Valores!$H$2:$P$154,8,0)</f>
        <v>#VALUE!</v>
      </c>
      <c r="CZ28" s="30" t="e">
        <f aca="false">SUMIF($C$2:$F$2,EOMONTH(CZ$2,-1)+1,$C28:$F28)*VLOOKUP(CZ$2,Valores!$H$2:$P$154,8,0)</f>
        <v>#VALUE!</v>
      </c>
      <c r="DA28" s="30" t="e">
        <f aca="false">SUMIF($C$2:$F$2,EOMONTH(DA$2,-1)+1,$C28:$F28)*VLOOKUP(DA$2,Valores!$H$2:$P$154,8,0)</f>
        <v>#VALUE!</v>
      </c>
      <c r="DB28" s="30" t="e">
        <f aca="false">SUMIF($C$2:$F$2,EOMONTH(DB$2,-1)+1,$C28:$F28)*VLOOKUP(DB$2,Valores!$H$2:$P$154,8,0)</f>
        <v>#VALUE!</v>
      </c>
      <c r="DC28" s="30" t="e">
        <f aca="false">SUMIF($C$2:$F$2,EOMONTH(DC$2,-1)+1,$C28:$F28)*VLOOKUP(DC$2,Valores!$H$2:$P$154,8,0)</f>
        <v>#VALUE!</v>
      </c>
      <c r="DD28" s="30" t="e">
        <f aca="false">SUMIF($C$2:$F$2,EOMONTH(DD$2,-1)+1,$C28:$F28)*VLOOKUP(DD$2,Valores!$H$2:$P$154,8,0)</f>
        <v>#VALUE!</v>
      </c>
      <c r="DE28" s="30" t="e">
        <f aca="false">SUMIF($C$2:$F$2,EOMONTH(DE$2,-1)+1,$C28:$F28)*VLOOKUP(DE$2,Valores!$H$2:$P$154,8,0)</f>
        <v>#VALUE!</v>
      </c>
      <c r="DF28" s="30" t="e">
        <f aca="false">SUMIF($C$2:$F$2,EOMONTH(DF$2,-1)+1,$C28:$F28)*VLOOKUP(DF$2,Valores!$H$2:$P$154,8,0)</f>
        <v>#VALUE!</v>
      </c>
      <c r="DG28" s="30" t="e">
        <f aca="false">SUMIF($C$2:$F$2,EOMONTH(DG$2,-1)+1,$C28:$F28)*VLOOKUP(DG$2,Valores!$H$2:$P$154,8,0)</f>
        <v>#VALUE!</v>
      </c>
      <c r="DH28" s="30" t="e">
        <f aca="false">SUMIF($C$2:$F$2,EOMONTH(DH$2,-1)+1,$C28:$F28)*VLOOKUP(DH$2,Valores!$H$2:$P$154,8,0)</f>
        <v>#VALUE!</v>
      </c>
      <c r="DI28" s="30" t="e">
        <f aca="false">SUMIF($C$2:$F$2,EOMONTH(DI$2,-1)+1,$C28:$F28)*VLOOKUP(DI$2,Valores!$H$2:$P$154,8,0)</f>
        <v>#VALUE!</v>
      </c>
      <c r="DJ28" s="30" t="e">
        <f aca="false">SUMIF($C$2:$F$2,EOMONTH(DJ$2,-1)+1,$C28:$F28)*VLOOKUP(DJ$2,Valores!$H$2:$P$154,8,0)</f>
        <v>#VALUE!</v>
      </c>
      <c r="DK28" s="30" t="e">
        <f aca="false">SUMIF($C$2:$F$2,EOMONTH(DK$2,-1)+1,$C28:$F28)*VLOOKUP(DK$2,Valores!$H$2:$P$154,8,0)</f>
        <v>#VALUE!</v>
      </c>
      <c r="DL28" s="30" t="e">
        <f aca="false">SUMIF($C$2:$F$2,EOMONTH(DL$2,-1)+1,$C28:$F28)*VLOOKUP(DL$2,Valores!$H$2:$P$154,8,0)</f>
        <v>#VALUE!</v>
      </c>
      <c r="DM28" s="30" t="e">
        <f aca="false">SUMIF($C$2:$F$2,EOMONTH(DM$2,-1)+1,$C28:$F28)*VLOOKUP(DM$2,Valores!$H$2:$P$154,8,0)</f>
        <v>#VALUE!</v>
      </c>
      <c r="DN28" s="30" t="e">
        <f aca="false">SUMIF($C$2:$F$2,EOMONTH(DN$2,-1)+1,$C28:$F28)*VLOOKUP(DN$2,Valores!$H$2:$P$154,8,0)</f>
        <v>#VALUE!</v>
      </c>
      <c r="DO28" s="30" t="e">
        <f aca="false">SUMIF($C$2:$F$2,EOMONTH(DO$2,-1)+1,$C28:$F28)*VLOOKUP(DO$2,Valores!$H$2:$P$154,8,0)</f>
        <v>#VALUE!</v>
      </c>
      <c r="DP28" s="30" t="e">
        <f aca="false">SUMIF($C$2:$F$2,EOMONTH(DP$2,-1)+1,$C28:$F28)*VLOOKUP(DP$2,Valores!$H$2:$P$154,8,0)</f>
        <v>#VALUE!</v>
      </c>
      <c r="DQ28" s="30" t="e">
        <f aca="false">SUMIF($C$2:$F$2,EOMONTH(DQ$2,-1)+1,$C28:$F28)*VLOOKUP(DQ$2,Valores!$H$2:$P$154,8,0)</f>
        <v>#VALUE!</v>
      </c>
      <c r="DR28" s="30" t="e">
        <f aca="false">SUMIF($C$2:$F$2,EOMONTH(DR$2,-1)+1,$C28:$F28)*VLOOKUP(DR$2,Valores!$H$2:$P$154,8,0)</f>
        <v>#VALUE!</v>
      </c>
      <c r="DS28" s="30" t="e">
        <f aca="false">SUMIF($C$2:$F$2,EOMONTH(DS$2,-1)+1,$C28:$F28)*VLOOKUP(DS$2,Valores!$H$2:$P$154,8,0)</f>
        <v>#VALUE!</v>
      </c>
      <c r="DT28" s="30" t="e">
        <f aca="false">SUMIF($C$2:$F$2,EOMONTH(DT$2,-1)+1,$C28:$F28)*VLOOKUP(DT$2,Valores!$H$2:$P$154,8,0)</f>
        <v>#VALUE!</v>
      </c>
      <c r="DU28" s="30" t="e">
        <f aca="false">SUMIF($C$2:$F$2,EOMONTH(DU$2,-1)+1,$C28:$F28)*VLOOKUP(DU$2,Valores!$H$2:$P$154,8,0)</f>
        <v>#VALUE!</v>
      </c>
      <c r="DV28" s="30" t="e">
        <f aca="false">SUMIF($C$2:$F$2,EOMONTH(DV$2,-1)+1,$C28:$F28)*VLOOKUP(DV$2,Valores!$H$2:$P$154,8,0)</f>
        <v>#VALUE!</v>
      </c>
      <c r="DW28" s="30" t="e">
        <f aca="false">SUMIF($C$2:$F$2,EOMONTH(DW$2,-1)+1,$C28:$F28)*VLOOKUP(DW$2,Valores!$H$2:$P$154,8,0)</f>
        <v>#VALUE!</v>
      </c>
      <c r="DX28" s="30" t="e">
        <f aca="false">SUMIF($C$2:$F$2,EOMONTH(DX$2,-1)+1,$C28:$F28)*VLOOKUP(DX$2,Valores!$H$2:$P$154,8,0)</f>
        <v>#VALUE!</v>
      </c>
    </row>
    <row r="29" customFormat="false" ht="13.8" hidden="false" customHeight="false" outlineLevel="0" collapsed="false">
      <c r="A29" s="31" t="s">
        <v>23</v>
      </c>
      <c r="B29" s="31" t="s">
        <v>50</v>
      </c>
      <c r="C29" s="31" t="n">
        <v>339122</v>
      </c>
      <c r="D29" s="31" t="n">
        <v>305209.8</v>
      </c>
      <c r="E29" s="31" t="n">
        <v>274688.82</v>
      </c>
      <c r="F29" s="31" t="n">
        <v>247219.938</v>
      </c>
      <c r="G29" s="27" t="n">
        <f aca="false">SUMIF($C$2:$F$2,EOMONTH(G$2,-1)+1,$C29:$F29)*VLOOKUP(G$2,Valores!$H$2:$P$154,8,0)</f>
        <v>9765.73144643739</v>
      </c>
      <c r="H29" s="27" t="n">
        <f aca="false">SUMIF($C$2:$F$2,EOMONTH(H$2,-1)+1,$C29:$F29)*VLOOKUP(H$2,Valores!$H$2:$P$154,8,0)</f>
        <v>6696.50156327135</v>
      </c>
      <c r="I29" s="27" t="n">
        <f aca="false">SUMIF($C$2:$F$2,EOMONTH(I$2,-1)+1,$C29:$F29)*VLOOKUP(I$2,Valores!$H$2:$P$154,8,0)</f>
        <v>6696.50156327135</v>
      </c>
      <c r="J29" s="27" t="n">
        <f aca="false">SUMIF($C$2:$F$2,EOMONTH(J$2,-1)+1,$C29:$F29)*VLOOKUP(J$2,Valores!$H$2:$P$154,8,0)</f>
        <v>6696.50156327135</v>
      </c>
      <c r="K29" s="27" t="n">
        <f aca="false">SUMIF($C$2:$F$2,EOMONTH(K$2,-1)+1,$C29:$F29)*VLOOKUP(K$2,Valores!$H$2:$P$154,8,0)</f>
        <v>6696.50156327135</v>
      </c>
      <c r="L29" s="27" t="n">
        <f aca="false">SUMIF($C$2:$F$2,EOMONTH(L$2,-1)+1,$C29:$F29)*VLOOKUP(L$2,Valores!$H$2:$P$154,8,0)</f>
        <v>13393.0031265427</v>
      </c>
      <c r="M29" s="27" t="n">
        <f aca="false">SUMIF($C$2:$F$2,EOMONTH(M$2,-1)+1,$C29:$F29)*VLOOKUP(M$2,Valores!$H$2:$P$154,8,0)</f>
        <v>16741.2539081784</v>
      </c>
      <c r="N29" s="27" t="n">
        <f aca="false">SUMIF($C$2:$F$2,EOMONTH(N$2,-1)+1,$C29:$F29)*VLOOKUP(N$2,Valores!$H$2:$P$154,8,0)</f>
        <v>10044.752344907</v>
      </c>
      <c r="O29" s="27" t="n">
        <f aca="false">SUMIF($C$2:$F$2,EOMONTH(O$2,-1)+1,$C29:$F29)*VLOOKUP(O$2,Valores!$H$2:$P$154,8,0)</f>
        <v>8928.66875102847</v>
      </c>
      <c r="P29" s="27" t="n">
        <f aca="false">SUMIF($C$2:$F$2,EOMONTH(P$2,-1)+1,$C29:$F29)*VLOOKUP(P$2,Valores!$H$2:$P$154,8,0)</f>
        <v>8928.66875102847</v>
      </c>
      <c r="Q29" s="27" t="n">
        <f aca="false">SUMIF($C$2:$F$2,EOMONTH(Q$2,-1)+1,$C29:$F29)*VLOOKUP(Q$2,Valores!$H$2:$P$154,8,0)</f>
        <v>5357.20125061708</v>
      </c>
      <c r="R29" s="27" t="n">
        <f aca="false">SUMIF($C$2:$F$2,EOMONTH(R$2,-1)+1,$C29:$F29)*VLOOKUP(R$2,Valores!$H$2:$P$154,8,0)</f>
        <v>8928.66875102847</v>
      </c>
      <c r="S29" s="27" t="n">
        <f aca="false">SUMIF($C$2:$F$2,EOMONTH(S$2,-1)+1,$C29:$F29)*VLOOKUP(S$2,Valores!$H$2:$P$154,8,0)</f>
        <v>17857.3375020569</v>
      </c>
      <c r="T29" s="27" t="n">
        <f aca="false">SUMIF($C$2:$F$2,EOMONTH(T$2,-1)+1,$C29:$F29)*VLOOKUP(T$2,Valores!$H$2:$P$154,8,0)</f>
        <v>22321.6718775712</v>
      </c>
      <c r="U29" s="27" t="n">
        <f aca="false">SUMIF($C$2:$F$2,EOMONTH(U$2,-1)+1,$C29:$F29)*VLOOKUP(U$2,Valores!$H$2:$P$154,8,0)</f>
        <v>13393.0031265427</v>
      </c>
      <c r="V29" s="27" t="n">
        <f aca="false">SUMIF($C$2:$F$2,EOMONTH(V$2,-1)+1,$C29:$F29)*VLOOKUP(V$2,Valores!$H$2:$P$154,8,0)</f>
        <v>11160.8359387856</v>
      </c>
      <c r="W29" s="27" t="n">
        <f aca="false">SUMIF($C$2:$F$2,EOMONTH(W$2,-1)+1,$C29:$F29)*VLOOKUP(W$2,Valores!$H$2:$P$154,8,0)</f>
        <v>11160.8359387856</v>
      </c>
      <c r="X29" s="27" t="n">
        <f aca="false">SUMIF($C$2:$F$2,EOMONTH(X$2,-1)+1,$C29:$F29)*VLOOKUP(X$2,Valores!$H$2:$P$154,8,0)</f>
        <v>0</v>
      </c>
      <c r="Y29" s="27" t="n">
        <f aca="false">SUMIF($C$2:$F$2,EOMONTH(Y$2,-1)+1,$C29:$F29)*VLOOKUP(Y$2,Valores!$H$2:$P$154,8,0)</f>
        <v>0</v>
      </c>
      <c r="Z29" s="27" t="n">
        <f aca="false">SUMIF($C$2:$F$2,EOMONTH(Z$2,-1)+1,$C29:$F29)*VLOOKUP(Z$2,Valores!$H$2:$P$154,8,0)</f>
        <v>16741.2539081784</v>
      </c>
      <c r="AA29" s="27" t="n">
        <f aca="false">SUMIF($C$2:$F$2,EOMONTH(AA$2,-1)+1,$C29:$F29)*VLOOKUP(AA$2,Valores!$H$2:$P$154,8,0)</f>
        <v>20089.504689814</v>
      </c>
      <c r="AB29" s="27" t="n">
        <f aca="false">SUMIF($C$2:$F$2,EOMONTH(AB$2,-1)+1,$C29:$F29)*VLOOKUP(AB$2,Valores!$H$2:$P$154,8,0)</f>
        <v>10044.752344907</v>
      </c>
      <c r="AC29" s="27" t="n">
        <f aca="false">SUMIF($C$2:$F$2,EOMONTH(AC$2,-1)+1,$C29:$F29)*VLOOKUP(AC$2,Valores!$H$2:$P$154,8,0)</f>
        <v>12276.9195326641</v>
      </c>
      <c r="AD29" s="27" t="n">
        <f aca="false">SUMIF($C$2:$F$2,EOMONTH(AD$2,-1)+1,$C29:$F29)*VLOOKUP(AD$2,Valores!$H$2:$P$154,8,0)</f>
        <v>12276.9195326641</v>
      </c>
      <c r="AE29" s="27" t="n">
        <f aca="false">SUMIF($C$2:$F$2,EOMONTH(AE$2,-1)+1,$C29:$F29)*VLOOKUP(AE$2,Valores!$H$2:$P$154,8,0)</f>
        <v>12276.9195326641</v>
      </c>
      <c r="AF29" s="27" t="n">
        <f aca="false">SUMIF($C$2:$F$2,EOMONTH(AF$2,-1)+1,$C29:$F29)*VLOOKUP(AF$2,Valores!$H$2:$P$154,8,0)</f>
        <v>12276.9195326641</v>
      </c>
      <c r="AG29" s="27" t="n">
        <f aca="false">SUMIF($C$2:$F$2,EOMONTH(AG$2,-1)+1,$C29:$F29)*VLOOKUP(AG$2,Valores!$H$2:$P$154,8,0)</f>
        <v>19643.0712522626</v>
      </c>
      <c r="AH29" s="27" t="n">
        <f aca="false">SUMIF($C$2:$F$2,EOMONTH(AH$2,-1)+1,$C29:$F29)*VLOOKUP(AH$2,Valores!$H$2:$P$154,8,0)</f>
        <v>24553.8390653283</v>
      </c>
      <c r="AI29" s="27" t="n">
        <f aca="false">SUMIF($C$2:$F$2,EOMONTH(AI$2,-1)+1,$C29:$F29)*VLOOKUP(AI$2,Valores!$H$2:$P$154,8,0)</f>
        <v>8593.8436728649</v>
      </c>
      <c r="AJ29" s="27" t="n">
        <f aca="false">SUMIF($C$2:$F$2,EOMONTH(AJ$2,-1)+1,$C29:$F29)*VLOOKUP(AJ$2,Valores!$H$2:$P$154,8,0)</f>
        <v>5580.41796939279</v>
      </c>
      <c r="AK29" s="27" t="n">
        <f aca="false">SUMIF($C$2:$F$2,EOMONTH(AK$2,-1)+1,$C29:$F29)*VLOOKUP(AK$2,Valores!$H$2:$P$154,8,0)</f>
        <v>10176.3252280359</v>
      </c>
      <c r="AL29" s="27" t="n">
        <f aca="false">SUMIF($C$2:$F$2,EOMONTH(AL$2,-1)+1,$C29:$F29)*VLOOKUP(AL$2,Valores!$H$2:$P$154,8,0)</f>
        <v>10176.3252280359</v>
      </c>
      <c r="AM29" s="27" t="n">
        <f aca="false">SUMIF($C$2:$F$2,EOMONTH(AM$2,-1)+1,$C29:$F29)*VLOOKUP(AM$2,Valores!$H$2:$P$154,8,0)</f>
        <v>10176.3252280359</v>
      </c>
      <c r="AN29" s="27" t="n">
        <f aca="false">SUMIF($C$2:$F$2,EOMONTH(AN$2,-1)+1,$C29:$F29)*VLOOKUP(AN$2,Valores!$H$2:$P$154,8,0)</f>
        <v>20352.6504560718</v>
      </c>
      <c r="AO29" s="27" t="n">
        <f aca="false">SUMIF($C$2:$F$2,EOMONTH(AO$2,-1)+1,$C29:$F29)*VLOOKUP(AO$2,Valores!$H$2:$P$154,8,0)</f>
        <v>25440.8130700898</v>
      </c>
      <c r="AP29" s="27" t="n">
        <f aca="false">SUMIF($C$2:$F$2,EOMONTH(AP$2,-1)+1,$C29:$F29)*VLOOKUP(AP$2,Valores!$H$2:$P$154,8,0)</f>
        <v>15264.4878420539</v>
      </c>
      <c r="AQ29" s="27" t="n">
        <f aca="false">SUMIF($C$2:$F$2,EOMONTH(AQ$2,-1)+1,$C29:$F29)*VLOOKUP(AQ$2,Valores!$H$2:$P$154,8,0)</f>
        <v>5451.60280073352</v>
      </c>
      <c r="AR29" s="27" t="n">
        <f aca="false">SUMIF($C$2:$F$2,EOMONTH(AR$2,-1)+1,$C29:$F29)*VLOOKUP(AR$2,Valores!$H$2:$P$154,8,0)</f>
        <v>5451.60280073352</v>
      </c>
      <c r="AS29" s="27" t="n">
        <f aca="false">SUMIF($C$2:$F$2,EOMONTH(AS$2,-1)+1,$C29:$F29)*VLOOKUP(AS$2,Valores!$H$2:$P$154,8,0)</f>
        <v>5451.60280073352</v>
      </c>
      <c r="AT29" s="27" t="n">
        <f aca="false">SUMIF($C$2:$F$2,EOMONTH(AT$2,-1)+1,$C29:$F29)*VLOOKUP(AT$2,Valores!$H$2:$P$154,8,0)</f>
        <v>5451.60280073352</v>
      </c>
      <c r="AU29" s="27" t="n">
        <f aca="false">SUMIF($C$2:$F$2,EOMONTH(AU$2,-1)+1,$C29:$F29)*VLOOKUP(AU$2,Valores!$H$2:$P$154,8,0)</f>
        <v>10903.205601467</v>
      </c>
      <c r="AV29" s="27" t="n">
        <f aca="false">SUMIF($C$2:$F$2,EOMONTH(AV$2,-1)+1,$C29:$F29)*VLOOKUP(AV$2,Valores!$H$2:$P$154,8,0)</f>
        <v>13629.0070018338</v>
      </c>
      <c r="AW29" s="27" t="n">
        <f aca="false">SUMIF($C$2:$F$2,EOMONTH(AW$2,-1)+1,$C29:$F29)*VLOOKUP(AW$2,Valores!$H$2:$P$154,8,0)</f>
        <v>8177.40420110029</v>
      </c>
      <c r="AX29" s="27" t="n">
        <f aca="false">SUMIF($C$2:$F$2,EOMONTH(AX$2,-1)+1,$C29:$F29)*VLOOKUP(AX$2,Valores!$H$2:$P$154,8,0)</f>
        <v>5451.60280073352</v>
      </c>
      <c r="AY29" s="27" t="n">
        <f aca="false">SUMIF($C$2:$F$2,EOMONTH(AY$2,-1)+1,$C29:$F29)*VLOOKUP(AY$2,Valores!$H$2:$P$154,8,0)</f>
        <v>7087.08364095358</v>
      </c>
      <c r="AZ29" s="27" t="n">
        <f aca="false">SUMIF($C$2:$F$2,EOMONTH(AZ$2,-1)+1,$C29:$F29)*VLOOKUP(AZ$2,Valores!$H$2:$P$154,8,0)</f>
        <v>7087.08364095358</v>
      </c>
      <c r="BA29" s="27" t="n">
        <f aca="false">SUMIF($C$2:$F$2,EOMONTH(BA$2,-1)+1,$C29:$F29)*VLOOKUP(BA$2,Valores!$H$2:$P$154,8,0)</f>
        <v>7087.08364095358</v>
      </c>
      <c r="BB29" s="27" t="n">
        <f aca="false">SUMIF($C$2:$F$2,EOMONTH(BB$2,-1)+1,$C29:$F29)*VLOOKUP(BB$2,Valores!$H$2:$P$154,8,0)</f>
        <v>12538.6864416871</v>
      </c>
      <c r="BC29" s="27" t="n">
        <f aca="false">SUMIF($C$2:$F$2,EOMONTH(BC$2,-1)+1,$C29:$F29)*VLOOKUP(BC$2,Valores!$H$2:$P$154,8,0)</f>
        <v>15264.4878420539</v>
      </c>
      <c r="BD29" s="27" t="n">
        <f aca="false">SUMIF($C$2:$F$2,EOMONTH(BD$2,-1)+1,$C29:$F29)*VLOOKUP(BD$2,Valores!$H$2:$P$154,8,0)</f>
        <v>8177.40420110029</v>
      </c>
      <c r="BE29" s="27" t="n">
        <f aca="false">SUMIF($C$2:$F$2,EOMONTH(BE$2,-1)+1,$C29:$F29)*VLOOKUP(BE$2,Valores!$H$2:$P$154,8,0)</f>
        <v>7268.80373431137</v>
      </c>
      <c r="BF29" s="27" t="n">
        <f aca="false">SUMIF($C$2:$F$2,EOMONTH(BF$2,-1)+1,$C29:$F29)*VLOOKUP(BF$2,Valores!$H$2:$P$154,8,0)</f>
        <v>7268.80373431137</v>
      </c>
      <c r="BG29" s="27" t="n">
        <f aca="false">SUMIF($C$2:$F$2,EOMONTH(BG$2,-1)+1,$C29:$F29)*VLOOKUP(BG$2,Valores!$H$2:$P$154,8,0)</f>
        <v>7268.80373431137</v>
      </c>
      <c r="BH29" s="27" t="n">
        <f aca="false">SUMIF($C$2:$F$2,EOMONTH(BH$2,-1)+1,$C29:$F29)*VLOOKUP(BH$2,Valores!$H$2:$P$154,8,0)</f>
        <v>7268.80373431137</v>
      </c>
      <c r="BI29" s="27" t="n">
        <f aca="false">SUMIF($C$2:$F$2,EOMONTH(BI$2,-1)+1,$C29:$F29)*VLOOKUP(BI$2,Valores!$H$2:$P$154,8,0)</f>
        <v>14537.6074686227</v>
      </c>
      <c r="BJ29" s="27" t="n">
        <f aca="false">SUMIF($C$2:$F$2,EOMONTH(BJ$2,-1)+1,$C29:$F29)*VLOOKUP(BJ$2,Valores!$H$2:$P$154,8,0)</f>
        <v>18172.0093357784</v>
      </c>
      <c r="BK29" s="27" t="n">
        <f aca="false">SUMIF($C$2:$F$2,EOMONTH(BK$2,-1)+1,$C29:$F29)*VLOOKUP(BK$2,Valores!$H$2:$P$154,8,0)</f>
        <v>8722.56448117364</v>
      </c>
      <c r="BL29" s="27" t="n">
        <f aca="false">SUMIF($C$2:$F$2,EOMONTH(BL$2,-1)+1,$C29:$F29)*VLOOKUP(BL$2,Valores!$H$2:$P$154,8,0)</f>
        <v>6396.547286194</v>
      </c>
      <c r="BM29" s="27" t="n">
        <f aca="false">SUMIF($C$2:$F$2,EOMONTH(BM$2,-1)+1,$C29:$F29)*VLOOKUP(BM$2,Valores!$H$2:$P$154,8,0)</f>
        <v>6396.547286194</v>
      </c>
      <c r="BN29" s="27" t="n">
        <f aca="false">SUMIF($C$2:$F$2,EOMONTH(BN$2,-1)+1,$C29:$F29)*VLOOKUP(BN$2,Valores!$H$2:$P$154,8,0)</f>
        <v>6396.547286194</v>
      </c>
      <c r="BO29" s="27" t="n">
        <f aca="false">SUMIF($C$2:$F$2,EOMONTH(BO$2,-1)+1,$C29:$F29)*VLOOKUP(BO$2,Valores!$H$2:$P$154,8,0)</f>
        <v>6716.3746505037</v>
      </c>
      <c r="BP29" s="27" t="n">
        <f aca="false">SUMIF($C$2:$F$2,EOMONTH(BP$2,-1)+1,$C29:$F29)*VLOOKUP(BP$2,Valores!$H$2:$P$154,8,0)</f>
        <v>16902.0700142841</v>
      </c>
      <c r="BQ29" s="27" t="n">
        <f aca="false">SUMIF($C$2:$F$2,EOMONTH(BQ$2,-1)+1,$C29:$F29)*VLOOKUP(BQ$2,Valores!$H$2:$P$154,8,0)</f>
        <v>21127.5875178552</v>
      </c>
      <c r="BR29" s="27" t="n">
        <f aca="false">SUMIF($C$2:$F$2,EOMONTH(BR$2,-1)+1,$C29:$F29)*VLOOKUP(BR$2,Valores!$H$2:$P$154,8,0)</f>
        <v>10141.2420085705</v>
      </c>
      <c r="BS29" s="27" t="n">
        <f aca="false">SUMIF($C$2:$F$2,EOMONTH(BS$2,-1)+1,$C29:$F29)*VLOOKUP(BS$2,Valores!$H$2:$P$154,8,0)</f>
        <v>4527.34018239754</v>
      </c>
      <c r="BT29" s="27" t="n">
        <f aca="false">SUMIF($C$2:$F$2,EOMONTH(BT$2,-1)+1,$C29:$F29)*VLOOKUP(BT$2,Valores!$H$2:$P$154,8,0)</f>
        <v>4527.34018239754</v>
      </c>
      <c r="BU29" s="27" t="n">
        <f aca="false">SUMIF($C$2:$F$2,EOMONTH(BU$2,-1)+1,$C29:$F29)*VLOOKUP(BU$2,Valores!$H$2:$P$154,8,0)</f>
        <v>4527.34018239754</v>
      </c>
      <c r="BV29" s="27" t="n">
        <f aca="false">SUMIF($C$2:$F$2,EOMONTH(BV$2,-1)+1,$C29:$F29)*VLOOKUP(BV$2,Valores!$H$2:$P$154,8,0)</f>
        <v>4527.34018239754</v>
      </c>
      <c r="BW29" s="27" t="n">
        <f aca="false">SUMIF($C$2:$F$2,EOMONTH(BW$2,-1)+1,$C29:$F29)*VLOOKUP(BW$2,Valores!$H$2:$P$154,8,0)</f>
        <v>9054.68036479507</v>
      </c>
      <c r="BX29" s="27" t="n">
        <f aca="false">SUMIF($C$2:$F$2,EOMONTH(BX$2,-1)+1,$C29:$F29)*VLOOKUP(BX$2,Valores!$H$2:$P$154,8,0)</f>
        <v>11318.3504559938</v>
      </c>
      <c r="BY29" s="27" t="n">
        <f aca="false">SUMIF($C$2:$F$2,EOMONTH(BY$2,-1)+1,$C29:$F29)*VLOOKUP(BY$2,Valores!$H$2:$P$154,8,0)</f>
        <v>6791.01027359631</v>
      </c>
      <c r="BZ29" s="27" t="n">
        <f aca="false">SUMIF($C$2:$F$2,EOMONTH(BZ$2,-1)+1,$C29:$F29)*VLOOKUP(BZ$2,Valores!$H$2:$P$154,8,0)</f>
        <v>4527.34018239754</v>
      </c>
      <c r="CA29" s="27" t="n">
        <f aca="false">SUMIF($C$2:$F$2,EOMONTH(CA$2,-1)+1,$C29:$F29)*VLOOKUP(CA$2,Valores!$H$2:$P$154,8,0)</f>
        <v>4527.34018239754</v>
      </c>
      <c r="CB29" s="27" t="n">
        <f aca="false">SUMIF($C$2:$F$2,EOMONTH(CB$2,-1)+1,$C29:$F29)*VLOOKUP(CB$2,Valores!$H$2:$P$154,8,0)</f>
        <v>4527.34018239754</v>
      </c>
      <c r="CC29" s="27" t="n">
        <f aca="false">SUMIF($C$2:$F$2,EOMONTH(CC$2,-1)+1,$C29:$F29)*VLOOKUP(CC$2,Valores!$H$2:$P$154,8,0)</f>
        <v>4527.34018239754</v>
      </c>
      <c r="CD29" s="27" t="n">
        <f aca="false">SUMIF($C$2:$F$2,EOMONTH(CD$2,-1)+1,$C29:$F29)*VLOOKUP(CD$2,Valores!$H$2:$P$154,8,0)</f>
        <v>13582.0205471926</v>
      </c>
      <c r="CE29" s="27" t="n">
        <f aca="false">SUMIF($C$2:$F$2,EOMONTH(CE$2,-1)+1,$C29:$F29)*VLOOKUP(CE$2,Valores!$H$2:$P$154,8,0)</f>
        <v>18109.3607295901</v>
      </c>
      <c r="CF29" s="27" t="n">
        <f aca="false">SUMIF($C$2:$F$2,EOMONTH(CF$2,-1)+1,$C29:$F29)*VLOOKUP(CF$2,Valores!$H$2:$P$154,8,0)</f>
        <v>11318.3504559938</v>
      </c>
      <c r="CG29" s="27" t="n">
        <f aca="false">SUMIF($C$2:$F$2,EOMONTH(CG$2,-1)+1,$C29:$F29)*VLOOKUP(CG$2,Valores!$H$2:$P$154,8,0)</f>
        <v>6036.45357653005</v>
      </c>
      <c r="CH29" s="27" t="n">
        <f aca="false">SUMIF($C$2:$F$2,EOMONTH(CH$2,-1)+1,$C29:$F29)*VLOOKUP(CH$2,Valores!$H$2:$P$154,8,0)</f>
        <v>6036.45357653005</v>
      </c>
      <c r="CI29" s="27" t="n">
        <f aca="false">SUMIF($C$2:$F$2,EOMONTH(CI$2,-1)+1,$C29:$F29)*VLOOKUP(CI$2,Valores!$H$2:$P$154,8,0)</f>
        <v>6036.45357653005</v>
      </c>
      <c r="CJ29" s="27" t="n">
        <f aca="false">SUMIF($C$2:$F$2,EOMONTH(CJ$2,-1)+1,$C29:$F29)*VLOOKUP(CJ$2,Valores!$H$2:$P$154,8,0)</f>
        <v>6036.45357653005</v>
      </c>
      <c r="CK29" s="27" t="n">
        <f aca="false">SUMIF($C$2:$F$2,EOMONTH(CK$2,-1)+1,$C29:$F29)*VLOOKUP(CK$2,Valores!$H$2:$P$154,8,0)</f>
        <v>12072.9071530601</v>
      </c>
      <c r="CL29" s="27" t="n">
        <f aca="false">SUMIF($C$2:$F$2,EOMONTH(CL$2,-1)+1,$C29:$F29)*VLOOKUP(CL$2,Valores!$H$2:$P$154,8,0)</f>
        <v>15091.1339413251</v>
      </c>
      <c r="CM29" s="27" t="n">
        <f aca="false">SUMIF($C$2:$F$2,EOMONTH(CM$2,-1)+1,$C29:$F29)*VLOOKUP(CM$2,Valores!$H$2:$P$154,8,0)</f>
        <v>9054.68036479507</v>
      </c>
      <c r="CN29" s="27" t="n">
        <f aca="false">SUMIF($C$2:$F$2,EOMONTH(CN$2,-1)+1,$C29:$F29)*VLOOKUP(CN$2,Valores!$H$2:$P$154,8,0)</f>
        <v>6640.09893418305</v>
      </c>
      <c r="CO29" s="27" t="n">
        <f aca="false">SUMIF($C$2:$F$2,EOMONTH(CO$2,-1)+1,$C29:$F29)*VLOOKUP(CO$2,Valores!$H$2:$P$154,8,0)</f>
        <v>6640.09893418305</v>
      </c>
      <c r="CP29" s="27" t="n">
        <f aca="false">SUMIF($C$2:$F$2,EOMONTH(CP$2,-1)+1,$C29:$F29)*VLOOKUP(CP$2,Valores!$H$2:$P$154,8,0)</f>
        <v>6640.09893418305</v>
      </c>
      <c r="CQ29" s="27" t="n">
        <f aca="false">SUMIF($C$2:$F$2,EOMONTH(CQ$2,-1)+1,$C29:$F29)*VLOOKUP(CQ$2,Valores!$H$2:$P$154,8,0)</f>
        <v>6640.09893418305</v>
      </c>
      <c r="CR29" s="27" t="n">
        <f aca="false">SUMIF($C$2:$F$2,EOMONTH(CR$2,-1)+1,$C29:$F29)*VLOOKUP(CR$2,Valores!$H$2:$P$154,8,0)</f>
        <v>13280.1978683661</v>
      </c>
      <c r="CS29" s="27" t="n">
        <f aca="false">SUMIF($C$2:$F$2,EOMONTH(CS$2,-1)+1,$C29:$F29)*VLOOKUP(CS$2,Valores!$H$2:$P$154,8,0)</f>
        <v>19920.2968025492</v>
      </c>
      <c r="CT29" s="27" t="e">
        <f aca="false">SUMIF($C$2:$F$2,EOMONTH(CT$2,-1)+1,$C29:$F29)*VLOOKUP(CT$2,Valores!$H$2:$P$154,8,0)</f>
        <v>#VALUE!</v>
      </c>
      <c r="CU29" s="27" t="e">
        <f aca="false">SUMIF($C$2:$F$2,EOMONTH(CU$2,-1)+1,$C29:$F29)*VLOOKUP(CU$2,Valores!$H$2:$P$154,8,0)</f>
        <v>#VALUE!</v>
      </c>
      <c r="CV29" s="27" t="e">
        <f aca="false">SUMIF($C$2:$F$2,EOMONTH(CV$2,-1)+1,$C29:$F29)*VLOOKUP(CV$2,Valores!$H$2:$P$154,8,0)</f>
        <v>#VALUE!</v>
      </c>
      <c r="CW29" s="27" t="e">
        <f aca="false">SUMIF($C$2:$F$2,EOMONTH(CW$2,-1)+1,$C29:$F29)*VLOOKUP(CW$2,Valores!$H$2:$P$154,8,0)</f>
        <v>#VALUE!</v>
      </c>
      <c r="CX29" s="27" t="e">
        <f aca="false">SUMIF($C$2:$F$2,EOMONTH(CX$2,-1)+1,$C29:$F29)*VLOOKUP(CX$2,Valores!$H$2:$P$154,8,0)</f>
        <v>#VALUE!</v>
      </c>
      <c r="CY29" s="27" t="e">
        <f aca="false">SUMIF($C$2:$F$2,EOMONTH(CY$2,-1)+1,$C29:$F29)*VLOOKUP(CY$2,Valores!$H$2:$P$154,8,0)</f>
        <v>#VALUE!</v>
      </c>
      <c r="CZ29" s="27" t="e">
        <f aca="false">SUMIF($C$2:$F$2,EOMONTH(CZ$2,-1)+1,$C29:$F29)*VLOOKUP(CZ$2,Valores!$H$2:$P$154,8,0)</f>
        <v>#VALUE!</v>
      </c>
      <c r="DA29" s="27" t="e">
        <f aca="false">SUMIF($C$2:$F$2,EOMONTH(DA$2,-1)+1,$C29:$F29)*VLOOKUP(DA$2,Valores!$H$2:$P$154,8,0)</f>
        <v>#VALUE!</v>
      </c>
      <c r="DB29" s="27" t="e">
        <f aca="false">SUMIF($C$2:$F$2,EOMONTH(DB$2,-1)+1,$C29:$F29)*VLOOKUP(DB$2,Valores!$H$2:$P$154,8,0)</f>
        <v>#VALUE!</v>
      </c>
      <c r="DC29" s="27" t="e">
        <f aca="false">SUMIF($C$2:$F$2,EOMONTH(DC$2,-1)+1,$C29:$F29)*VLOOKUP(DC$2,Valores!$H$2:$P$154,8,0)</f>
        <v>#VALUE!</v>
      </c>
      <c r="DD29" s="27" t="e">
        <f aca="false">SUMIF($C$2:$F$2,EOMONTH(DD$2,-1)+1,$C29:$F29)*VLOOKUP(DD$2,Valores!$H$2:$P$154,8,0)</f>
        <v>#VALUE!</v>
      </c>
      <c r="DE29" s="27" t="e">
        <f aca="false">SUMIF($C$2:$F$2,EOMONTH(DE$2,-1)+1,$C29:$F29)*VLOOKUP(DE$2,Valores!$H$2:$P$154,8,0)</f>
        <v>#VALUE!</v>
      </c>
      <c r="DF29" s="27" t="e">
        <f aca="false">SUMIF($C$2:$F$2,EOMONTH(DF$2,-1)+1,$C29:$F29)*VLOOKUP(DF$2,Valores!$H$2:$P$154,8,0)</f>
        <v>#VALUE!</v>
      </c>
      <c r="DG29" s="27" t="e">
        <f aca="false">SUMIF($C$2:$F$2,EOMONTH(DG$2,-1)+1,$C29:$F29)*VLOOKUP(DG$2,Valores!$H$2:$P$154,8,0)</f>
        <v>#VALUE!</v>
      </c>
      <c r="DH29" s="27" t="e">
        <f aca="false">SUMIF($C$2:$F$2,EOMONTH(DH$2,-1)+1,$C29:$F29)*VLOOKUP(DH$2,Valores!$H$2:$P$154,8,0)</f>
        <v>#VALUE!</v>
      </c>
      <c r="DI29" s="27" t="e">
        <f aca="false">SUMIF($C$2:$F$2,EOMONTH(DI$2,-1)+1,$C29:$F29)*VLOOKUP(DI$2,Valores!$H$2:$P$154,8,0)</f>
        <v>#VALUE!</v>
      </c>
      <c r="DJ29" s="27" t="e">
        <f aca="false">SUMIF($C$2:$F$2,EOMONTH(DJ$2,-1)+1,$C29:$F29)*VLOOKUP(DJ$2,Valores!$H$2:$P$154,8,0)</f>
        <v>#VALUE!</v>
      </c>
      <c r="DK29" s="27" t="e">
        <f aca="false">SUMIF($C$2:$F$2,EOMONTH(DK$2,-1)+1,$C29:$F29)*VLOOKUP(DK$2,Valores!$H$2:$P$154,8,0)</f>
        <v>#VALUE!</v>
      </c>
      <c r="DL29" s="27" t="e">
        <f aca="false">SUMIF($C$2:$F$2,EOMONTH(DL$2,-1)+1,$C29:$F29)*VLOOKUP(DL$2,Valores!$H$2:$P$154,8,0)</f>
        <v>#VALUE!</v>
      </c>
      <c r="DM29" s="27" t="e">
        <f aca="false">SUMIF($C$2:$F$2,EOMONTH(DM$2,-1)+1,$C29:$F29)*VLOOKUP(DM$2,Valores!$H$2:$P$154,8,0)</f>
        <v>#VALUE!</v>
      </c>
      <c r="DN29" s="27" t="e">
        <f aca="false">SUMIF($C$2:$F$2,EOMONTH(DN$2,-1)+1,$C29:$F29)*VLOOKUP(DN$2,Valores!$H$2:$P$154,8,0)</f>
        <v>#VALUE!</v>
      </c>
      <c r="DO29" s="27" t="e">
        <f aca="false">SUMIF($C$2:$F$2,EOMONTH(DO$2,-1)+1,$C29:$F29)*VLOOKUP(DO$2,Valores!$H$2:$P$154,8,0)</f>
        <v>#VALUE!</v>
      </c>
      <c r="DP29" s="27" t="e">
        <f aca="false">SUMIF($C$2:$F$2,EOMONTH(DP$2,-1)+1,$C29:$F29)*VLOOKUP(DP$2,Valores!$H$2:$P$154,8,0)</f>
        <v>#VALUE!</v>
      </c>
      <c r="DQ29" s="27" t="e">
        <f aca="false">SUMIF($C$2:$F$2,EOMONTH(DQ$2,-1)+1,$C29:$F29)*VLOOKUP(DQ$2,Valores!$H$2:$P$154,8,0)</f>
        <v>#VALUE!</v>
      </c>
      <c r="DR29" s="27" t="e">
        <f aca="false">SUMIF($C$2:$F$2,EOMONTH(DR$2,-1)+1,$C29:$F29)*VLOOKUP(DR$2,Valores!$H$2:$P$154,8,0)</f>
        <v>#VALUE!</v>
      </c>
      <c r="DS29" s="27" t="e">
        <f aca="false">SUMIF($C$2:$F$2,EOMONTH(DS$2,-1)+1,$C29:$F29)*VLOOKUP(DS$2,Valores!$H$2:$P$154,8,0)</f>
        <v>#VALUE!</v>
      </c>
      <c r="DT29" s="27" t="e">
        <f aca="false">SUMIF($C$2:$F$2,EOMONTH(DT$2,-1)+1,$C29:$F29)*VLOOKUP(DT$2,Valores!$H$2:$P$154,8,0)</f>
        <v>#VALUE!</v>
      </c>
      <c r="DU29" s="27" t="e">
        <f aca="false">SUMIF($C$2:$F$2,EOMONTH(DU$2,-1)+1,$C29:$F29)*VLOOKUP(DU$2,Valores!$H$2:$P$154,8,0)</f>
        <v>#VALUE!</v>
      </c>
      <c r="DV29" s="27" t="e">
        <f aca="false">SUMIF($C$2:$F$2,EOMONTH(DV$2,-1)+1,$C29:$F29)*VLOOKUP(DV$2,Valores!$H$2:$P$154,8,0)</f>
        <v>#VALUE!</v>
      </c>
      <c r="DW29" s="27" t="e">
        <f aca="false">SUMIF($C$2:$F$2,EOMONTH(DW$2,-1)+1,$C29:$F29)*VLOOKUP(DW$2,Valores!$H$2:$P$154,8,0)</f>
        <v>#VALUE!</v>
      </c>
      <c r="DX29" s="27" t="e">
        <f aca="false">SUMIF($C$2:$F$2,EOMONTH(DX$2,-1)+1,$C29:$F29)*VLOOKUP(DX$2,Valores!$H$2:$P$154,8,0)</f>
        <v>#VALUE!</v>
      </c>
    </row>
    <row r="30" customFormat="false" ht="13.8" hidden="false" customHeight="false" outlineLevel="0" collapsed="false">
      <c r="A30" s="29" t="s">
        <v>23</v>
      </c>
      <c r="B30" s="29" t="s">
        <v>51</v>
      </c>
      <c r="C30" s="29" t="n">
        <v>95645</v>
      </c>
      <c r="D30" s="29" t="n">
        <v>86080.5</v>
      </c>
      <c r="E30" s="29" t="n">
        <v>77472.45</v>
      </c>
      <c r="F30" s="29" t="n">
        <v>69725.205</v>
      </c>
      <c r="G30" s="30" t="n">
        <f aca="false">SUMIF($C$2:$F$2,EOMONTH(G$2,-1)+1,$C30:$F30)*VLOOKUP(G$2,Valores!$H$2:$P$154,8,0)</f>
        <v>2754.29899621524</v>
      </c>
      <c r="H30" s="30" t="n">
        <f aca="false">SUMIF($C$2:$F$2,EOMONTH(H$2,-1)+1,$C30:$F30)*VLOOKUP(H$2,Valores!$H$2:$P$154,8,0)</f>
        <v>1888.66216883331</v>
      </c>
      <c r="I30" s="30" t="n">
        <f aca="false">SUMIF($C$2:$F$2,EOMONTH(I$2,-1)+1,$C30:$F30)*VLOOKUP(I$2,Valores!$H$2:$P$154,8,0)</f>
        <v>1888.66216883331</v>
      </c>
      <c r="J30" s="30" t="n">
        <f aca="false">SUMIF($C$2:$F$2,EOMONTH(J$2,-1)+1,$C30:$F30)*VLOOKUP(J$2,Valores!$H$2:$P$154,8,0)</f>
        <v>1888.66216883331</v>
      </c>
      <c r="K30" s="30" t="n">
        <f aca="false">SUMIF($C$2:$F$2,EOMONTH(K$2,-1)+1,$C30:$F30)*VLOOKUP(K$2,Valores!$H$2:$P$154,8,0)</f>
        <v>1888.66216883331</v>
      </c>
      <c r="L30" s="30" t="n">
        <f aca="false">SUMIF($C$2:$F$2,EOMONTH(L$2,-1)+1,$C30:$F30)*VLOOKUP(L$2,Valores!$H$2:$P$154,8,0)</f>
        <v>3777.32433766661</v>
      </c>
      <c r="M30" s="30" t="n">
        <f aca="false">SUMIF($C$2:$F$2,EOMONTH(M$2,-1)+1,$C30:$F30)*VLOOKUP(M$2,Valores!$H$2:$P$154,8,0)</f>
        <v>4721.65542208326</v>
      </c>
      <c r="N30" s="30" t="n">
        <f aca="false">SUMIF($C$2:$F$2,EOMONTH(N$2,-1)+1,$C30:$F30)*VLOOKUP(N$2,Valores!$H$2:$P$154,8,0)</f>
        <v>2832.99325324996</v>
      </c>
      <c r="O30" s="30" t="n">
        <f aca="false">SUMIF($C$2:$F$2,EOMONTH(O$2,-1)+1,$C30:$F30)*VLOOKUP(O$2,Valores!$H$2:$P$154,8,0)</f>
        <v>2518.21622511107</v>
      </c>
      <c r="P30" s="30" t="n">
        <f aca="false">SUMIF($C$2:$F$2,EOMONTH(P$2,-1)+1,$C30:$F30)*VLOOKUP(P$2,Valores!$H$2:$P$154,8,0)</f>
        <v>2518.21622511107</v>
      </c>
      <c r="Q30" s="30" t="n">
        <f aca="false">SUMIF($C$2:$F$2,EOMONTH(Q$2,-1)+1,$C30:$F30)*VLOOKUP(Q$2,Valores!$H$2:$P$154,8,0)</f>
        <v>1510.92973506664</v>
      </c>
      <c r="R30" s="30" t="n">
        <f aca="false">SUMIF($C$2:$F$2,EOMONTH(R$2,-1)+1,$C30:$F30)*VLOOKUP(R$2,Valores!$H$2:$P$154,8,0)</f>
        <v>2518.21622511107</v>
      </c>
      <c r="S30" s="30" t="n">
        <f aca="false">SUMIF($C$2:$F$2,EOMONTH(S$2,-1)+1,$C30:$F30)*VLOOKUP(S$2,Valores!$H$2:$P$154,8,0)</f>
        <v>5036.43245022215</v>
      </c>
      <c r="T30" s="30" t="n">
        <f aca="false">SUMIF($C$2:$F$2,EOMONTH(T$2,-1)+1,$C30:$F30)*VLOOKUP(T$2,Valores!$H$2:$P$154,8,0)</f>
        <v>6295.54056277769</v>
      </c>
      <c r="U30" s="30" t="n">
        <f aca="false">SUMIF($C$2:$F$2,EOMONTH(U$2,-1)+1,$C30:$F30)*VLOOKUP(U$2,Valores!$H$2:$P$154,8,0)</f>
        <v>3777.32433766661</v>
      </c>
      <c r="V30" s="30" t="n">
        <f aca="false">SUMIF($C$2:$F$2,EOMONTH(V$2,-1)+1,$C30:$F30)*VLOOKUP(V$2,Valores!$H$2:$P$154,8,0)</f>
        <v>3147.77028138884</v>
      </c>
      <c r="W30" s="30" t="n">
        <f aca="false">SUMIF($C$2:$F$2,EOMONTH(W$2,-1)+1,$C30:$F30)*VLOOKUP(W$2,Valores!$H$2:$P$154,8,0)</f>
        <v>3147.77028138884</v>
      </c>
      <c r="X30" s="30" t="n">
        <f aca="false">SUMIF($C$2:$F$2,EOMONTH(X$2,-1)+1,$C30:$F30)*VLOOKUP(X$2,Valores!$H$2:$P$154,8,0)</f>
        <v>0</v>
      </c>
      <c r="Y30" s="30" t="n">
        <f aca="false">SUMIF($C$2:$F$2,EOMONTH(Y$2,-1)+1,$C30:$F30)*VLOOKUP(Y$2,Valores!$H$2:$P$154,8,0)</f>
        <v>0</v>
      </c>
      <c r="Z30" s="30" t="n">
        <f aca="false">SUMIF($C$2:$F$2,EOMONTH(Z$2,-1)+1,$C30:$F30)*VLOOKUP(Z$2,Valores!$H$2:$P$154,8,0)</f>
        <v>4721.65542208326</v>
      </c>
      <c r="AA30" s="30" t="n">
        <f aca="false">SUMIF($C$2:$F$2,EOMONTH(AA$2,-1)+1,$C30:$F30)*VLOOKUP(AA$2,Valores!$H$2:$P$154,8,0)</f>
        <v>5665.98650649992</v>
      </c>
      <c r="AB30" s="30" t="n">
        <f aca="false">SUMIF($C$2:$F$2,EOMONTH(AB$2,-1)+1,$C30:$F30)*VLOOKUP(AB$2,Valores!$H$2:$P$154,8,0)</f>
        <v>2832.99325324996</v>
      </c>
      <c r="AC30" s="30" t="n">
        <f aca="false">SUMIF($C$2:$F$2,EOMONTH(AC$2,-1)+1,$C30:$F30)*VLOOKUP(AC$2,Valores!$H$2:$P$154,8,0)</f>
        <v>3462.54730952773</v>
      </c>
      <c r="AD30" s="30" t="n">
        <f aca="false">SUMIF($C$2:$F$2,EOMONTH(AD$2,-1)+1,$C30:$F30)*VLOOKUP(AD$2,Valores!$H$2:$P$154,8,0)</f>
        <v>3462.54730952773</v>
      </c>
      <c r="AE30" s="30" t="n">
        <f aca="false">SUMIF($C$2:$F$2,EOMONTH(AE$2,-1)+1,$C30:$F30)*VLOOKUP(AE$2,Valores!$H$2:$P$154,8,0)</f>
        <v>3462.54730952773</v>
      </c>
      <c r="AF30" s="30" t="n">
        <f aca="false">SUMIF($C$2:$F$2,EOMONTH(AF$2,-1)+1,$C30:$F30)*VLOOKUP(AF$2,Valores!$H$2:$P$154,8,0)</f>
        <v>3462.54730952773</v>
      </c>
      <c r="AG30" s="30" t="n">
        <f aca="false">SUMIF($C$2:$F$2,EOMONTH(AG$2,-1)+1,$C30:$F30)*VLOOKUP(AG$2,Valores!$H$2:$P$154,8,0)</f>
        <v>5540.07569524436</v>
      </c>
      <c r="AH30" s="30" t="n">
        <f aca="false">SUMIF($C$2:$F$2,EOMONTH(AH$2,-1)+1,$C30:$F30)*VLOOKUP(AH$2,Valores!$H$2:$P$154,8,0)</f>
        <v>6925.09461905545</v>
      </c>
      <c r="AI30" s="30" t="n">
        <f aca="false">SUMIF($C$2:$F$2,EOMONTH(AI$2,-1)+1,$C30:$F30)*VLOOKUP(AI$2,Valores!$H$2:$P$154,8,0)</f>
        <v>2423.78311666941</v>
      </c>
      <c r="AJ30" s="30" t="n">
        <f aca="false">SUMIF($C$2:$F$2,EOMONTH(AJ$2,-1)+1,$C30:$F30)*VLOOKUP(AJ$2,Valores!$H$2:$P$154,8,0)</f>
        <v>1573.88514069442</v>
      </c>
      <c r="AK30" s="30" t="n">
        <f aca="false">SUMIF($C$2:$F$2,EOMONTH(AK$2,-1)+1,$C30:$F30)*VLOOKUP(AK$2,Valores!$H$2:$P$154,8,0)</f>
        <v>2870.10169330063</v>
      </c>
      <c r="AL30" s="30" t="n">
        <f aca="false">SUMIF($C$2:$F$2,EOMONTH(AL$2,-1)+1,$C30:$F30)*VLOOKUP(AL$2,Valores!$H$2:$P$154,8,0)</f>
        <v>2870.10169330063</v>
      </c>
      <c r="AM30" s="30" t="n">
        <f aca="false">SUMIF($C$2:$F$2,EOMONTH(AM$2,-1)+1,$C30:$F30)*VLOOKUP(AM$2,Valores!$H$2:$P$154,8,0)</f>
        <v>2870.10169330063</v>
      </c>
      <c r="AN30" s="30" t="n">
        <f aca="false">SUMIF($C$2:$F$2,EOMONTH(AN$2,-1)+1,$C30:$F30)*VLOOKUP(AN$2,Valores!$H$2:$P$154,8,0)</f>
        <v>5740.20338660125</v>
      </c>
      <c r="AO30" s="30" t="n">
        <f aca="false">SUMIF($C$2:$F$2,EOMONTH(AO$2,-1)+1,$C30:$F30)*VLOOKUP(AO$2,Valores!$H$2:$P$154,8,0)</f>
        <v>7175.25423325156</v>
      </c>
      <c r="AP30" s="30" t="n">
        <f aca="false">SUMIF($C$2:$F$2,EOMONTH(AP$2,-1)+1,$C30:$F30)*VLOOKUP(AP$2,Valores!$H$2:$P$154,8,0)</f>
        <v>4305.15253995094</v>
      </c>
      <c r="AQ30" s="30" t="n">
        <f aca="false">SUMIF($C$2:$F$2,EOMONTH(AQ$2,-1)+1,$C30:$F30)*VLOOKUP(AQ$2,Valores!$H$2:$P$154,8,0)</f>
        <v>1537.55447855391</v>
      </c>
      <c r="AR30" s="30" t="n">
        <f aca="false">SUMIF($C$2:$F$2,EOMONTH(AR$2,-1)+1,$C30:$F30)*VLOOKUP(AR$2,Valores!$H$2:$P$154,8,0)</f>
        <v>1537.55447855391</v>
      </c>
      <c r="AS30" s="30" t="n">
        <f aca="false">SUMIF($C$2:$F$2,EOMONTH(AS$2,-1)+1,$C30:$F30)*VLOOKUP(AS$2,Valores!$H$2:$P$154,8,0)</f>
        <v>1537.55447855391</v>
      </c>
      <c r="AT30" s="30" t="n">
        <f aca="false">SUMIF($C$2:$F$2,EOMONTH(AT$2,-1)+1,$C30:$F30)*VLOOKUP(AT$2,Valores!$H$2:$P$154,8,0)</f>
        <v>1537.55447855391</v>
      </c>
      <c r="AU30" s="30" t="n">
        <f aca="false">SUMIF($C$2:$F$2,EOMONTH(AU$2,-1)+1,$C30:$F30)*VLOOKUP(AU$2,Valores!$H$2:$P$154,8,0)</f>
        <v>3075.10895710781</v>
      </c>
      <c r="AV30" s="30" t="n">
        <f aca="false">SUMIF($C$2:$F$2,EOMONTH(AV$2,-1)+1,$C30:$F30)*VLOOKUP(AV$2,Valores!$H$2:$P$154,8,0)</f>
        <v>3843.88619638477</v>
      </c>
      <c r="AW30" s="30" t="n">
        <f aca="false">SUMIF($C$2:$F$2,EOMONTH(AW$2,-1)+1,$C30:$F30)*VLOOKUP(AW$2,Valores!$H$2:$P$154,8,0)</f>
        <v>2306.33171783086</v>
      </c>
      <c r="AX30" s="30" t="n">
        <f aca="false">SUMIF($C$2:$F$2,EOMONTH(AX$2,-1)+1,$C30:$F30)*VLOOKUP(AX$2,Valores!$H$2:$P$154,8,0)</f>
        <v>1537.55447855391</v>
      </c>
      <c r="AY30" s="30" t="n">
        <f aca="false">SUMIF($C$2:$F$2,EOMONTH(AY$2,-1)+1,$C30:$F30)*VLOOKUP(AY$2,Valores!$H$2:$P$154,8,0)</f>
        <v>1998.82082212008</v>
      </c>
      <c r="AZ30" s="30" t="n">
        <f aca="false">SUMIF($C$2:$F$2,EOMONTH(AZ$2,-1)+1,$C30:$F30)*VLOOKUP(AZ$2,Valores!$H$2:$P$154,8,0)</f>
        <v>1998.82082212008</v>
      </c>
      <c r="BA30" s="30" t="n">
        <f aca="false">SUMIF($C$2:$F$2,EOMONTH(BA$2,-1)+1,$C30:$F30)*VLOOKUP(BA$2,Valores!$H$2:$P$154,8,0)</f>
        <v>1998.82082212008</v>
      </c>
      <c r="BB30" s="30" t="n">
        <f aca="false">SUMIF($C$2:$F$2,EOMONTH(BB$2,-1)+1,$C30:$F30)*VLOOKUP(BB$2,Valores!$H$2:$P$154,8,0)</f>
        <v>3536.37530067399</v>
      </c>
      <c r="BC30" s="30" t="n">
        <f aca="false">SUMIF($C$2:$F$2,EOMONTH(BC$2,-1)+1,$C30:$F30)*VLOOKUP(BC$2,Valores!$H$2:$P$154,8,0)</f>
        <v>4305.15253995094</v>
      </c>
      <c r="BD30" s="30" t="n">
        <f aca="false">SUMIF($C$2:$F$2,EOMONTH(BD$2,-1)+1,$C30:$F30)*VLOOKUP(BD$2,Valores!$H$2:$P$154,8,0)</f>
        <v>2306.33171783086</v>
      </c>
      <c r="BE30" s="30" t="n">
        <f aca="false">SUMIF($C$2:$F$2,EOMONTH(BE$2,-1)+1,$C30:$F30)*VLOOKUP(BE$2,Valores!$H$2:$P$154,8,0)</f>
        <v>2050.07263807188</v>
      </c>
      <c r="BF30" s="30" t="n">
        <f aca="false">SUMIF($C$2:$F$2,EOMONTH(BF$2,-1)+1,$C30:$F30)*VLOOKUP(BF$2,Valores!$H$2:$P$154,8,0)</f>
        <v>2050.07263807188</v>
      </c>
      <c r="BG30" s="30" t="n">
        <f aca="false">SUMIF($C$2:$F$2,EOMONTH(BG$2,-1)+1,$C30:$F30)*VLOOKUP(BG$2,Valores!$H$2:$P$154,8,0)</f>
        <v>2050.07263807188</v>
      </c>
      <c r="BH30" s="30" t="n">
        <f aca="false">SUMIF($C$2:$F$2,EOMONTH(BH$2,-1)+1,$C30:$F30)*VLOOKUP(BH$2,Valores!$H$2:$P$154,8,0)</f>
        <v>2050.07263807188</v>
      </c>
      <c r="BI30" s="30" t="n">
        <f aca="false">SUMIF($C$2:$F$2,EOMONTH(BI$2,-1)+1,$C30:$F30)*VLOOKUP(BI$2,Valores!$H$2:$P$154,8,0)</f>
        <v>4100.14527614375</v>
      </c>
      <c r="BJ30" s="30" t="n">
        <f aca="false">SUMIF($C$2:$F$2,EOMONTH(BJ$2,-1)+1,$C30:$F30)*VLOOKUP(BJ$2,Valores!$H$2:$P$154,8,0)</f>
        <v>5125.18159517969</v>
      </c>
      <c r="BK30" s="30" t="n">
        <f aca="false">SUMIF($C$2:$F$2,EOMONTH(BK$2,-1)+1,$C30:$F30)*VLOOKUP(BK$2,Valores!$H$2:$P$154,8,0)</f>
        <v>2460.08716568625</v>
      </c>
      <c r="BL30" s="30" t="n">
        <f aca="false">SUMIF($C$2:$F$2,EOMONTH(BL$2,-1)+1,$C30:$F30)*VLOOKUP(BL$2,Valores!$H$2:$P$154,8,0)</f>
        <v>1804.06392150325</v>
      </c>
      <c r="BM30" s="30" t="n">
        <f aca="false">SUMIF($C$2:$F$2,EOMONTH(BM$2,-1)+1,$C30:$F30)*VLOOKUP(BM$2,Valores!$H$2:$P$154,8,0)</f>
        <v>1804.06392150325</v>
      </c>
      <c r="BN30" s="30" t="n">
        <f aca="false">SUMIF($C$2:$F$2,EOMONTH(BN$2,-1)+1,$C30:$F30)*VLOOKUP(BN$2,Valores!$H$2:$P$154,8,0)</f>
        <v>1804.06392150325</v>
      </c>
      <c r="BO30" s="30" t="n">
        <f aca="false">SUMIF($C$2:$F$2,EOMONTH(BO$2,-1)+1,$C30:$F30)*VLOOKUP(BO$2,Valores!$H$2:$P$154,8,0)</f>
        <v>1894.26711757841</v>
      </c>
      <c r="BP30" s="30" t="n">
        <f aca="false">SUMIF($C$2:$F$2,EOMONTH(BP$2,-1)+1,$C30:$F30)*VLOOKUP(BP$2,Valores!$H$2:$P$154,8,0)</f>
        <v>4767.01153719371</v>
      </c>
      <c r="BQ30" s="30" t="n">
        <f aca="false">SUMIF($C$2:$F$2,EOMONTH(BQ$2,-1)+1,$C30:$F30)*VLOOKUP(BQ$2,Valores!$H$2:$P$154,8,0)</f>
        <v>5958.76442149214</v>
      </c>
      <c r="BR30" s="30" t="n">
        <f aca="false">SUMIF($C$2:$F$2,EOMONTH(BR$2,-1)+1,$C30:$F30)*VLOOKUP(BR$2,Valores!$H$2:$P$154,8,0)</f>
        <v>2860.20692231623</v>
      </c>
      <c r="BS30" s="30" t="n">
        <f aca="false">SUMIF($C$2:$F$2,EOMONTH(BS$2,-1)+1,$C30:$F30)*VLOOKUP(BS$2,Valores!$H$2:$P$154,8,0)</f>
        <v>1276.87809031974</v>
      </c>
      <c r="BT30" s="30" t="n">
        <f aca="false">SUMIF($C$2:$F$2,EOMONTH(BT$2,-1)+1,$C30:$F30)*VLOOKUP(BT$2,Valores!$H$2:$P$154,8,0)</f>
        <v>1276.87809031974</v>
      </c>
      <c r="BU30" s="30" t="n">
        <f aca="false">SUMIF($C$2:$F$2,EOMONTH(BU$2,-1)+1,$C30:$F30)*VLOOKUP(BU$2,Valores!$H$2:$P$154,8,0)</f>
        <v>1276.87809031974</v>
      </c>
      <c r="BV30" s="30" t="n">
        <f aca="false">SUMIF($C$2:$F$2,EOMONTH(BV$2,-1)+1,$C30:$F30)*VLOOKUP(BV$2,Valores!$H$2:$P$154,8,0)</f>
        <v>1276.87809031974</v>
      </c>
      <c r="BW30" s="30" t="n">
        <f aca="false">SUMIF($C$2:$F$2,EOMONTH(BW$2,-1)+1,$C30:$F30)*VLOOKUP(BW$2,Valores!$H$2:$P$154,8,0)</f>
        <v>2553.75618063949</v>
      </c>
      <c r="BX30" s="30" t="n">
        <f aca="false">SUMIF($C$2:$F$2,EOMONTH(BX$2,-1)+1,$C30:$F30)*VLOOKUP(BX$2,Valores!$H$2:$P$154,8,0)</f>
        <v>3192.19522579936</v>
      </c>
      <c r="BY30" s="30" t="n">
        <f aca="false">SUMIF($C$2:$F$2,EOMONTH(BY$2,-1)+1,$C30:$F30)*VLOOKUP(BY$2,Valores!$H$2:$P$154,8,0)</f>
        <v>1915.31713547962</v>
      </c>
      <c r="BZ30" s="30" t="n">
        <f aca="false">SUMIF($C$2:$F$2,EOMONTH(BZ$2,-1)+1,$C30:$F30)*VLOOKUP(BZ$2,Valores!$H$2:$P$154,8,0)</f>
        <v>1276.87809031974</v>
      </c>
      <c r="CA30" s="30" t="n">
        <f aca="false">SUMIF($C$2:$F$2,EOMONTH(CA$2,-1)+1,$C30:$F30)*VLOOKUP(CA$2,Valores!$H$2:$P$154,8,0)</f>
        <v>1276.87809031974</v>
      </c>
      <c r="CB30" s="30" t="n">
        <f aca="false">SUMIF($C$2:$F$2,EOMONTH(CB$2,-1)+1,$C30:$F30)*VLOOKUP(CB$2,Valores!$H$2:$P$154,8,0)</f>
        <v>1276.87809031974</v>
      </c>
      <c r="CC30" s="30" t="n">
        <f aca="false">SUMIF($C$2:$F$2,EOMONTH(CC$2,-1)+1,$C30:$F30)*VLOOKUP(CC$2,Valores!$H$2:$P$154,8,0)</f>
        <v>1276.87809031974</v>
      </c>
      <c r="CD30" s="30" t="n">
        <f aca="false">SUMIF($C$2:$F$2,EOMONTH(CD$2,-1)+1,$C30:$F30)*VLOOKUP(CD$2,Valores!$H$2:$P$154,8,0)</f>
        <v>3830.63427095923</v>
      </c>
      <c r="CE30" s="30" t="n">
        <f aca="false">SUMIF($C$2:$F$2,EOMONTH(CE$2,-1)+1,$C30:$F30)*VLOOKUP(CE$2,Valores!$H$2:$P$154,8,0)</f>
        <v>5107.51236127898</v>
      </c>
      <c r="CF30" s="30" t="n">
        <f aca="false">SUMIF($C$2:$F$2,EOMONTH(CF$2,-1)+1,$C30:$F30)*VLOOKUP(CF$2,Valores!$H$2:$P$154,8,0)</f>
        <v>3192.19522579936</v>
      </c>
      <c r="CG30" s="30" t="n">
        <f aca="false">SUMIF($C$2:$F$2,EOMONTH(CG$2,-1)+1,$C30:$F30)*VLOOKUP(CG$2,Valores!$H$2:$P$154,8,0)</f>
        <v>1702.50412042633</v>
      </c>
      <c r="CH30" s="30" t="n">
        <f aca="false">SUMIF($C$2:$F$2,EOMONTH(CH$2,-1)+1,$C30:$F30)*VLOOKUP(CH$2,Valores!$H$2:$P$154,8,0)</f>
        <v>1702.50412042633</v>
      </c>
      <c r="CI30" s="30" t="n">
        <f aca="false">SUMIF($C$2:$F$2,EOMONTH(CI$2,-1)+1,$C30:$F30)*VLOOKUP(CI$2,Valores!$H$2:$P$154,8,0)</f>
        <v>1702.50412042633</v>
      </c>
      <c r="CJ30" s="30" t="n">
        <f aca="false">SUMIF($C$2:$F$2,EOMONTH(CJ$2,-1)+1,$C30:$F30)*VLOOKUP(CJ$2,Valores!$H$2:$P$154,8,0)</f>
        <v>1702.50412042633</v>
      </c>
      <c r="CK30" s="30" t="n">
        <f aca="false">SUMIF($C$2:$F$2,EOMONTH(CK$2,-1)+1,$C30:$F30)*VLOOKUP(CK$2,Valores!$H$2:$P$154,8,0)</f>
        <v>3405.00824085265</v>
      </c>
      <c r="CL30" s="30" t="n">
        <f aca="false">SUMIF($C$2:$F$2,EOMONTH(CL$2,-1)+1,$C30:$F30)*VLOOKUP(CL$2,Valores!$H$2:$P$154,8,0)</f>
        <v>4256.26030106582</v>
      </c>
      <c r="CM30" s="30" t="n">
        <f aca="false">SUMIF($C$2:$F$2,EOMONTH(CM$2,-1)+1,$C30:$F30)*VLOOKUP(CM$2,Valores!$H$2:$P$154,8,0)</f>
        <v>2553.75618063949</v>
      </c>
      <c r="CN30" s="30" t="n">
        <f aca="false">SUMIF($C$2:$F$2,EOMONTH(CN$2,-1)+1,$C30:$F30)*VLOOKUP(CN$2,Valores!$H$2:$P$154,8,0)</f>
        <v>1872.75453246896</v>
      </c>
      <c r="CO30" s="30" t="n">
        <f aca="false">SUMIF($C$2:$F$2,EOMONTH(CO$2,-1)+1,$C30:$F30)*VLOOKUP(CO$2,Valores!$H$2:$P$154,8,0)</f>
        <v>1872.75453246896</v>
      </c>
      <c r="CP30" s="30" t="n">
        <f aca="false">SUMIF($C$2:$F$2,EOMONTH(CP$2,-1)+1,$C30:$F30)*VLOOKUP(CP$2,Valores!$H$2:$P$154,8,0)</f>
        <v>1872.75453246896</v>
      </c>
      <c r="CQ30" s="30" t="n">
        <f aca="false">SUMIF($C$2:$F$2,EOMONTH(CQ$2,-1)+1,$C30:$F30)*VLOOKUP(CQ$2,Valores!$H$2:$P$154,8,0)</f>
        <v>1872.75453246896</v>
      </c>
      <c r="CR30" s="30" t="n">
        <f aca="false">SUMIF($C$2:$F$2,EOMONTH(CR$2,-1)+1,$C30:$F30)*VLOOKUP(CR$2,Valores!$H$2:$P$154,8,0)</f>
        <v>3745.50906493792</v>
      </c>
      <c r="CS30" s="30" t="n">
        <f aca="false">SUMIF($C$2:$F$2,EOMONTH(CS$2,-1)+1,$C30:$F30)*VLOOKUP(CS$2,Valores!$H$2:$P$154,8,0)</f>
        <v>5618.26359740688</v>
      </c>
      <c r="CT30" s="30" t="e">
        <f aca="false">SUMIF($C$2:$F$2,EOMONTH(CT$2,-1)+1,$C30:$F30)*VLOOKUP(CT$2,Valores!$H$2:$P$154,8,0)</f>
        <v>#VALUE!</v>
      </c>
      <c r="CU30" s="30" t="e">
        <f aca="false">SUMIF($C$2:$F$2,EOMONTH(CU$2,-1)+1,$C30:$F30)*VLOOKUP(CU$2,Valores!$H$2:$P$154,8,0)</f>
        <v>#VALUE!</v>
      </c>
      <c r="CV30" s="30" t="e">
        <f aca="false">SUMIF($C$2:$F$2,EOMONTH(CV$2,-1)+1,$C30:$F30)*VLOOKUP(CV$2,Valores!$H$2:$P$154,8,0)</f>
        <v>#VALUE!</v>
      </c>
      <c r="CW30" s="30" t="e">
        <f aca="false">SUMIF($C$2:$F$2,EOMONTH(CW$2,-1)+1,$C30:$F30)*VLOOKUP(CW$2,Valores!$H$2:$P$154,8,0)</f>
        <v>#VALUE!</v>
      </c>
      <c r="CX30" s="30" t="e">
        <f aca="false">SUMIF($C$2:$F$2,EOMONTH(CX$2,-1)+1,$C30:$F30)*VLOOKUP(CX$2,Valores!$H$2:$P$154,8,0)</f>
        <v>#VALUE!</v>
      </c>
      <c r="CY30" s="30" t="e">
        <f aca="false">SUMIF($C$2:$F$2,EOMONTH(CY$2,-1)+1,$C30:$F30)*VLOOKUP(CY$2,Valores!$H$2:$P$154,8,0)</f>
        <v>#VALUE!</v>
      </c>
      <c r="CZ30" s="30" t="e">
        <f aca="false">SUMIF($C$2:$F$2,EOMONTH(CZ$2,-1)+1,$C30:$F30)*VLOOKUP(CZ$2,Valores!$H$2:$P$154,8,0)</f>
        <v>#VALUE!</v>
      </c>
      <c r="DA30" s="30" t="e">
        <f aca="false">SUMIF($C$2:$F$2,EOMONTH(DA$2,-1)+1,$C30:$F30)*VLOOKUP(DA$2,Valores!$H$2:$P$154,8,0)</f>
        <v>#VALUE!</v>
      </c>
      <c r="DB30" s="30" t="e">
        <f aca="false">SUMIF($C$2:$F$2,EOMONTH(DB$2,-1)+1,$C30:$F30)*VLOOKUP(DB$2,Valores!$H$2:$P$154,8,0)</f>
        <v>#VALUE!</v>
      </c>
      <c r="DC30" s="30" t="e">
        <f aca="false">SUMIF($C$2:$F$2,EOMONTH(DC$2,-1)+1,$C30:$F30)*VLOOKUP(DC$2,Valores!$H$2:$P$154,8,0)</f>
        <v>#VALUE!</v>
      </c>
      <c r="DD30" s="30" t="e">
        <f aca="false">SUMIF($C$2:$F$2,EOMONTH(DD$2,-1)+1,$C30:$F30)*VLOOKUP(DD$2,Valores!$H$2:$P$154,8,0)</f>
        <v>#VALUE!</v>
      </c>
      <c r="DE30" s="30" t="e">
        <f aca="false">SUMIF($C$2:$F$2,EOMONTH(DE$2,-1)+1,$C30:$F30)*VLOOKUP(DE$2,Valores!$H$2:$P$154,8,0)</f>
        <v>#VALUE!</v>
      </c>
      <c r="DF30" s="30" t="e">
        <f aca="false">SUMIF($C$2:$F$2,EOMONTH(DF$2,-1)+1,$C30:$F30)*VLOOKUP(DF$2,Valores!$H$2:$P$154,8,0)</f>
        <v>#VALUE!</v>
      </c>
      <c r="DG30" s="30" t="e">
        <f aca="false">SUMIF($C$2:$F$2,EOMONTH(DG$2,-1)+1,$C30:$F30)*VLOOKUP(DG$2,Valores!$H$2:$P$154,8,0)</f>
        <v>#VALUE!</v>
      </c>
      <c r="DH30" s="30" t="e">
        <f aca="false">SUMIF($C$2:$F$2,EOMONTH(DH$2,-1)+1,$C30:$F30)*VLOOKUP(DH$2,Valores!$H$2:$P$154,8,0)</f>
        <v>#VALUE!</v>
      </c>
      <c r="DI30" s="30" t="e">
        <f aca="false">SUMIF($C$2:$F$2,EOMONTH(DI$2,-1)+1,$C30:$F30)*VLOOKUP(DI$2,Valores!$H$2:$P$154,8,0)</f>
        <v>#VALUE!</v>
      </c>
      <c r="DJ30" s="30" t="e">
        <f aca="false">SUMIF($C$2:$F$2,EOMONTH(DJ$2,-1)+1,$C30:$F30)*VLOOKUP(DJ$2,Valores!$H$2:$P$154,8,0)</f>
        <v>#VALUE!</v>
      </c>
      <c r="DK30" s="30" t="e">
        <f aca="false">SUMIF($C$2:$F$2,EOMONTH(DK$2,-1)+1,$C30:$F30)*VLOOKUP(DK$2,Valores!$H$2:$P$154,8,0)</f>
        <v>#VALUE!</v>
      </c>
      <c r="DL30" s="30" t="e">
        <f aca="false">SUMIF($C$2:$F$2,EOMONTH(DL$2,-1)+1,$C30:$F30)*VLOOKUP(DL$2,Valores!$H$2:$P$154,8,0)</f>
        <v>#VALUE!</v>
      </c>
      <c r="DM30" s="30" t="e">
        <f aca="false">SUMIF($C$2:$F$2,EOMONTH(DM$2,-1)+1,$C30:$F30)*VLOOKUP(DM$2,Valores!$H$2:$P$154,8,0)</f>
        <v>#VALUE!</v>
      </c>
      <c r="DN30" s="30" t="e">
        <f aca="false">SUMIF($C$2:$F$2,EOMONTH(DN$2,-1)+1,$C30:$F30)*VLOOKUP(DN$2,Valores!$H$2:$P$154,8,0)</f>
        <v>#VALUE!</v>
      </c>
      <c r="DO30" s="30" t="e">
        <f aca="false">SUMIF($C$2:$F$2,EOMONTH(DO$2,-1)+1,$C30:$F30)*VLOOKUP(DO$2,Valores!$H$2:$P$154,8,0)</f>
        <v>#VALUE!</v>
      </c>
      <c r="DP30" s="30" t="e">
        <f aca="false">SUMIF($C$2:$F$2,EOMONTH(DP$2,-1)+1,$C30:$F30)*VLOOKUP(DP$2,Valores!$H$2:$P$154,8,0)</f>
        <v>#VALUE!</v>
      </c>
      <c r="DQ30" s="30" t="e">
        <f aca="false">SUMIF($C$2:$F$2,EOMONTH(DQ$2,-1)+1,$C30:$F30)*VLOOKUP(DQ$2,Valores!$H$2:$P$154,8,0)</f>
        <v>#VALUE!</v>
      </c>
      <c r="DR30" s="30" t="e">
        <f aca="false">SUMIF($C$2:$F$2,EOMONTH(DR$2,-1)+1,$C30:$F30)*VLOOKUP(DR$2,Valores!$H$2:$P$154,8,0)</f>
        <v>#VALUE!</v>
      </c>
      <c r="DS30" s="30" t="e">
        <f aca="false">SUMIF($C$2:$F$2,EOMONTH(DS$2,-1)+1,$C30:$F30)*VLOOKUP(DS$2,Valores!$H$2:$P$154,8,0)</f>
        <v>#VALUE!</v>
      </c>
      <c r="DT30" s="30" t="e">
        <f aca="false">SUMIF($C$2:$F$2,EOMONTH(DT$2,-1)+1,$C30:$F30)*VLOOKUP(DT$2,Valores!$H$2:$P$154,8,0)</f>
        <v>#VALUE!</v>
      </c>
      <c r="DU30" s="30" t="e">
        <f aca="false">SUMIF($C$2:$F$2,EOMONTH(DU$2,-1)+1,$C30:$F30)*VLOOKUP(DU$2,Valores!$H$2:$P$154,8,0)</f>
        <v>#VALUE!</v>
      </c>
      <c r="DV30" s="30" t="e">
        <f aca="false">SUMIF($C$2:$F$2,EOMONTH(DV$2,-1)+1,$C30:$F30)*VLOOKUP(DV$2,Valores!$H$2:$P$154,8,0)</f>
        <v>#VALUE!</v>
      </c>
      <c r="DW30" s="30" t="e">
        <f aca="false">SUMIF($C$2:$F$2,EOMONTH(DW$2,-1)+1,$C30:$F30)*VLOOKUP(DW$2,Valores!$H$2:$P$154,8,0)</f>
        <v>#VALUE!</v>
      </c>
      <c r="DX30" s="30" t="e">
        <f aca="false">SUMIF($C$2:$F$2,EOMONTH(DX$2,-1)+1,$C30:$F30)*VLOOKUP(DX$2,Valores!$H$2:$P$154,8,0)</f>
        <v>#VALUE!</v>
      </c>
    </row>
    <row r="31" customFormat="false" ht="13.8" hidden="false" customHeight="false" outlineLevel="0" collapsed="false">
      <c r="A31" s="31" t="s">
        <v>23</v>
      </c>
      <c r="B31" s="31" t="s">
        <v>52</v>
      </c>
      <c r="C31" s="31" t="n">
        <v>439981</v>
      </c>
      <c r="D31" s="31" t="n">
        <v>395982.9</v>
      </c>
      <c r="E31" s="31" t="n">
        <v>356384.61</v>
      </c>
      <c r="F31" s="31" t="n">
        <v>320746.149</v>
      </c>
      <c r="G31" s="27" t="n">
        <f aca="false">SUMIF($C$2:$F$2,EOMONTH(G$2,-1)+1,$C31:$F31)*VLOOKUP(G$2,Valores!$H$2:$P$154,8,0)</f>
        <v>12670.1785420438</v>
      </c>
      <c r="H31" s="27" t="n">
        <f aca="false">SUMIF($C$2:$F$2,EOMONTH(H$2,-1)+1,$C31:$F31)*VLOOKUP(H$2,Valores!$H$2:$P$154,8,0)</f>
        <v>8688.12242883002</v>
      </c>
      <c r="I31" s="27" t="n">
        <f aca="false">SUMIF($C$2:$F$2,EOMONTH(I$2,-1)+1,$C31:$F31)*VLOOKUP(I$2,Valores!$H$2:$P$154,8,0)</f>
        <v>8688.12242883002</v>
      </c>
      <c r="J31" s="27" t="n">
        <f aca="false">SUMIF($C$2:$F$2,EOMONTH(J$2,-1)+1,$C31:$F31)*VLOOKUP(J$2,Valores!$H$2:$P$154,8,0)</f>
        <v>8688.12242883002</v>
      </c>
      <c r="K31" s="27" t="n">
        <f aca="false">SUMIF($C$2:$F$2,EOMONTH(K$2,-1)+1,$C31:$F31)*VLOOKUP(K$2,Valores!$H$2:$P$154,8,0)</f>
        <v>8688.12242883002</v>
      </c>
      <c r="L31" s="27" t="n">
        <f aca="false">SUMIF($C$2:$F$2,EOMONTH(L$2,-1)+1,$C31:$F31)*VLOOKUP(L$2,Valores!$H$2:$P$154,8,0)</f>
        <v>17376.24485766</v>
      </c>
      <c r="M31" s="27" t="n">
        <f aca="false">SUMIF($C$2:$F$2,EOMONTH(M$2,-1)+1,$C31:$F31)*VLOOKUP(M$2,Valores!$H$2:$P$154,8,0)</f>
        <v>21720.306072075</v>
      </c>
      <c r="N31" s="27" t="n">
        <f aca="false">SUMIF($C$2:$F$2,EOMONTH(N$2,-1)+1,$C31:$F31)*VLOOKUP(N$2,Valores!$H$2:$P$154,8,0)</f>
        <v>13032.183643245</v>
      </c>
      <c r="O31" s="27" t="n">
        <f aca="false">SUMIF($C$2:$F$2,EOMONTH(O$2,-1)+1,$C31:$F31)*VLOOKUP(O$2,Valores!$H$2:$P$154,8,0)</f>
        <v>11584.16323844</v>
      </c>
      <c r="P31" s="27" t="n">
        <f aca="false">SUMIF($C$2:$F$2,EOMONTH(P$2,-1)+1,$C31:$F31)*VLOOKUP(P$2,Valores!$H$2:$P$154,8,0)</f>
        <v>11584.16323844</v>
      </c>
      <c r="Q31" s="27" t="n">
        <f aca="false">SUMIF($C$2:$F$2,EOMONTH(Q$2,-1)+1,$C31:$F31)*VLOOKUP(Q$2,Valores!$H$2:$P$154,8,0)</f>
        <v>6950.49794306401</v>
      </c>
      <c r="R31" s="27" t="n">
        <f aca="false">SUMIF($C$2:$F$2,EOMONTH(R$2,-1)+1,$C31:$F31)*VLOOKUP(R$2,Valores!$H$2:$P$154,8,0)</f>
        <v>11584.16323844</v>
      </c>
      <c r="S31" s="27" t="n">
        <f aca="false">SUMIF($C$2:$F$2,EOMONTH(S$2,-1)+1,$C31:$F31)*VLOOKUP(S$2,Valores!$H$2:$P$154,8,0)</f>
        <v>23168.32647688</v>
      </c>
      <c r="T31" s="27" t="n">
        <f aca="false">SUMIF($C$2:$F$2,EOMONTH(T$2,-1)+1,$C31:$F31)*VLOOKUP(T$2,Valores!$H$2:$P$154,8,0)</f>
        <v>28960.4080961</v>
      </c>
      <c r="U31" s="27" t="n">
        <f aca="false">SUMIF($C$2:$F$2,EOMONTH(U$2,-1)+1,$C31:$F31)*VLOOKUP(U$2,Valores!$H$2:$P$154,8,0)</f>
        <v>17376.24485766</v>
      </c>
      <c r="V31" s="27" t="n">
        <f aca="false">SUMIF($C$2:$F$2,EOMONTH(V$2,-1)+1,$C31:$F31)*VLOOKUP(V$2,Valores!$H$2:$P$154,8,0)</f>
        <v>14480.20404805</v>
      </c>
      <c r="W31" s="27" t="n">
        <f aca="false">SUMIF($C$2:$F$2,EOMONTH(W$2,-1)+1,$C31:$F31)*VLOOKUP(W$2,Valores!$H$2:$P$154,8,0)</f>
        <v>14480.20404805</v>
      </c>
      <c r="X31" s="27" t="n">
        <f aca="false">SUMIF($C$2:$F$2,EOMONTH(X$2,-1)+1,$C31:$F31)*VLOOKUP(X$2,Valores!$H$2:$P$154,8,0)</f>
        <v>0</v>
      </c>
      <c r="Y31" s="27" t="n">
        <f aca="false">SUMIF($C$2:$F$2,EOMONTH(Y$2,-1)+1,$C31:$F31)*VLOOKUP(Y$2,Valores!$H$2:$P$154,8,0)</f>
        <v>0</v>
      </c>
      <c r="Z31" s="27" t="n">
        <f aca="false">SUMIF($C$2:$F$2,EOMONTH(Z$2,-1)+1,$C31:$F31)*VLOOKUP(Z$2,Valores!$H$2:$P$154,8,0)</f>
        <v>21720.306072075</v>
      </c>
      <c r="AA31" s="27" t="n">
        <f aca="false">SUMIF($C$2:$F$2,EOMONTH(AA$2,-1)+1,$C31:$F31)*VLOOKUP(AA$2,Valores!$H$2:$P$154,8,0)</f>
        <v>26064.36728649</v>
      </c>
      <c r="AB31" s="27" t="n">
        <f aca="false">SUMIF($C$2:$F$2,EOMONTH(AB$2,-1)+1,$C31:$F31)*VLOOKUP(AB$2,Valores!$H$2:$P$154,8,0)</f>
        <v>13032.183643245</v>
      </c>
      <c r="AC31" s="27" t="n">
        <f aca="false">SUMIF($C$2:$F$2,EOMONTH(AC$2,-1)+1,$C31:$F31)*VLOOKUP(AC$2,Valores!$H$2:$P$154,8,0)</f>
        <v>15928.224452855</v>
      </c>
      <c r="AD31" s="27" t="n">
        <f aca="false">SUMIF($C$2:$F$2,EOMONTH(AD$2,-1)+1,$C31:$F31)*VLOOKUP(AD$2,Valores!$H$2:$P$154,8,0)</f>
        <v>15928.224452855</v>
      </c>
      <c r="AE31" s="27" t="n">
        <f aca="false">SUMIF($C$2:$F$2,EOMONTH(AE$2,-1)+1,$C31:$F31)*VLOOKUP(AE$2,Valores!$H$2:$P$154,8,0)</f>
        <v>15928.224452855</v>
      </c>
      <c r="AF31" s="27" t="n">
        <f aca="false">SUMIF($C$2:$F$2,EOMONTH(AF$2,-1)+1,$C31:$F31)*VLOOKUP(AF$2,Valores!$H$2:$P$154,8,0)</f>
        <v>15928.224452855</v>
      </c>
      <c r="AG31" s="27" t="n">
        <f aca="false">SUMIF($C$2:$F$2,EOMONTH(AG$2,-1)+1,$C31:$F31)*VLOOKUP(AG$2,Valores!$H$2:$P$154,8,0)</f>
        <v>25485.159124568</v>
      </c>
      <c r="AH31" s="27" t="n">
        <f aca="false">SUMIF($C$2:$F$2,EOMONTH(AH$2,-1)+1,$C31:$F31)*VLOOKUP(AH$2,Valores!$H$2:$P$154,8,0)</f>
        <v>31856.4489057101</v>
      </c>
      <c r="AI31" s="27" t="n">
        <f aca="false">SUMIF($C$2:$F$2,EOMONTH(AI$2,-1)+1,$C31:$F31)*VLOOKUP(AI$2,Valores!$H$2:$P$154,8,0)</f>
        <v>11149.7571169985</v>
      </c>
      <c r="AJ31" s="27" t="n">
        <f aca="false">SUMIF($C$2:$F$2,EOMONTH(AJ$2,-1)+1,$C31:$F31)*VLOOKUP(AJ$2,Valores!$H$2:$P$154,8,0)</f>
        <v>7240.10202402501</v>
      </c>
      <c r="AK31" s="27" t="n">
        <f aca="false">SUMIF($C$2:$F$2,EOMONTH(AK$2,-1)+1,$C31:$F31)*VLOOKUP(AK$2,Valores!$H$2:$P$154,8,0)</f>
        <v>13202.8878992117</v>
      </c>
      <c r="AL31" s="27" t="n">
        <f aca="false">SUMIF($C$2:$F$2,EOMONTH(AL$2,-1)+1,$C31:$F31)*VLOOKUP(AL$2,Valores!$H$2:$P$154,8,0)</f>
        <v>13202.8878992117</v>
      </c>
      <c r="AM31" s="27" t="n">
        <f aca="false">SUMIF($C$2:$F$2,EOMONTH(AM$2,-1)+1,$C31:$F31)*VLOOKUP(AM$2,Valores!$H$2:$P$154,8,0)</f>
        <v>13202.8878992117</v>
      </c>
      <c r="AN31" s="27" t="n">
        <f aca="false">SUMIF($C$2:$F$2,EOMONTH(AN$2,-1)+1,$C31:$F31)*VLOOKUP(AN$2,Valores!$H$2:$P$154,8,0)</f>
        <v>26405.7757984234</v>
      </c>
      <c r="AO31" s="27" t="n">
        <f aca="false">SUMIF($C$2:$F$2,EOMONTH(AO$2,-1)+1,$C31:$F31)*VLOOKUP(AO$2,Valores!$H$2:$P$154,8,0)</f>
        <v>33007.2197480292</v>
      </c>
      <c r="AP31" s="27" t="n">
        <f aca="false">SUMIF($C$2:$F$2,EOMONTH(AP$2,-1)+1,$C31:$F31)*VLOOKUP(AP$2,Valores!$H$2:$P$154,8,0)</f>
        <v>19804.3318488175</v>
      </c>
      <c r="AQ31" s="27" t="n">
        <f aca="false">SUMIF($C$2:$F$2,EOMONTH(AQ$2,-1)+1,$C31:$F31)*VLOOKUP(AQ$2,Valores!$H$2:$P$154,8,0)</f>
        <v>7072.97566029198</v>
      </c>
      <c r="AR31" s="27" t="n">
        <f aca="false">SUMIF($C$2:$F$2,EOMONTH(AR$2,-1)+1,$C31:$F31)*VLOOKUP(AR$2,Valores!$H$2:$P$154,8,0)</f>
        <v>7072.97566029198</v>
      </c>
      <c r="AS31" s="27" t="n">
        <f aca="false">SUMIF($C$2:$F$2,EOMONTH(AS$2,-1)+1,$C31:$F31)*VLOOKUP(AS$2,Valores!$H$2:$P$154,8,0)</f>
        <v>7072.97566029198</v>
      </c>
      <c r="AT31" s="27" t="n">
        <f aca="false">SUMIF($C$2:$F$2,EOMONTH(AT$2,-1)+1,$C31:$F31)*VLOOKUP(AT$2,Valores!$H$2:$P$154,8,0)</f>
        <v>7072.97566029198</v>
      </c>
      <c r="AU31" s="27" t="n">
        <f aca="false">SUMIF($C$2:$F$2,EOMONTH(AU$2,-1)+1,$C31:$F31)*VLOOKUP(AU$2,Valores!$H$2:$P$154,8,0)</f>
        <v>14145.951320584</v>
      </c>
      <c r="AV31" s="27" t="n">
        <f aca="false">SUMIF($C$2:$F$2,EOMONTH(AV$2,-1)+1,$C31:$F31)*VLOOKUP(AV$2,Valores!$H$2:$P$154,8,0)</f>
        <v>17682.4391507299</v>
      </c>
      <c r="AW31" s="27" t="n">
        <f aca="false">SUMIF($C$2:$F$2,EOMONTH(AW$2,-1)+1,$C31:$F31)*VLOOKUP(AW$2,Valores!$H$2:$P$154,8,0)</f>
        <v>10609.463490438</v>
      </c>
      <c r="AX31" s="27" t="n">
        <f aca="false">SUMIF($C$2:$F$2,EOMONTH(AX$2,-1)+1,$C31:$F31)*VLOOKUP(AX$2,Valores!$H$2:$P$154,8,0)</f>
        <v>7072.97566029198</v>
      </c>
      <c r="AY31" s="27" t="n">
        <f aca="false">SUMIF($C$2:$F$2,EOMONTH(AY$2,-1)+1,$C31:$F31)*VLOOKUP(AY$2,Valores!$H$2:$P$154,8,0)</f>
        <v>9194.86835837957</v>
      </c>
      <c r="AZ31" s="27" t="n">
        <f aca="false">SUMIF($C$2:$F$2,EOMONTH(AZ$2,-1)+1,$C31:$F31)*VLOOKUP(AZ$2,Valores!$H$2:$P$154,8,0)</f>
        <v>9194.86835837957</v>
      </c>
      <c r="BA31" s="27" t="n">
        <f aca="false">SUMIF($C$2:$F$2,EOMONTH(BA$2,-1)+1,$C31:$F31)*VLOOKUP(BA$2,Valores!$H$2:$P$154,8,0)</f>
        <v>9194.86835837957</v>
      </c>
      <c r="BB31" s="27" t="n">
        <f aca="false">SUMIF($C$2:$F$2,EOMONTH(BB$2,-1)+1,$C31:$F31)*VLOOKUP(BB$2,Valores!$H$2:$P$154,8,0)</f>
        <v>16267.8440186716</v>
      </c>
      <c r="BC31" s="27" t="n">
        <f aca="false">SUMIF($C$2:$F$2,EOMONTH(BC$2,-1)+1,$C31:$F31)*VLOOKUP(BC$2,Valores!$H$2:$P$154,8,0)</f>
        <v>19804.3318488175</v>
      </c>
      <c r="BD31" s="27" t="n">
        <f aca="false">SUMIF($C$2:$F$2,EOMONTH(BD$2,-1)+1,$C31:$F31)*VLOOKUP(BD$2,Valores!$H$2:$P$154,8,0)</f>
        <v>10609.463490438</v>
      </c>
      <c r="BE31" s="27" t="n">
        <f aca="false">SUMIF($C$2:$F$2,EOMONTH(BE$2,-1)+1,$C31:$F31)*VLOOKUP(BE$2,Valores!$H$2:$P$154,8,0)</f>
        <v>9430.63421372264</v>
      </c>
      <c r="BF31" s="27" t="n">
        <f aca="false">SUMIF($C$2:$F$2,EOMONTH(BF$2,-1)+1,$C31:$F31)*VLOOKUP(BF$2,Valores!$H$2:$P$154,8,0)</f>
        <v>9430.63421372264</v>
      </c>
      <c r="BG31" s="27" t="n">
        <f aca="false">SUMIF($C$2:$F$2,EOMONTH(BG$2,-1)+1,$C31:$F31)*VLOOKUP(BG$2,Valores!$H$2:$P$154,8,0)</f>
        <v>9430.63421372264</v>
      </c>
      <c r="BH31" s="27" t="n">
        <f aca="false">SUMIF($C$2:$F$2,EOMONTH(BH$2,-1)+1,$C31:$F31)*VLOOKUP(BH$2,Valores!$H$2:$P$154,8,0)</f>
        <v>9430.63421372264</v>
      </c>
      <c r="BI31" s="27" t="n">
        <f aca="false">SUMIF($C$2:$F$2,EOMONTH(BI$2,-1)+1,$C31:$F31)*VLOOKUP(BI$2,Valores!$H$2:$P$154,8,0)</f>
        <v>18861.2684274453</v>
      </c>
      <c r="BJ31" s="27" t="n">
        <f aca="false">SUMIF($C$2:$F$2,EOMONTH(BJ$2,-1)+1,$C31:$F31)*VLOOKUP(BJ$2,Valores!$H$2:$P$154,8,0)</f>
        <v>23576.5855343066</v>
      </c>
      <c r="BK31" s="27" t="n">
        <f aca="false">SUMIF($C$2:$F$2,EOMONTH(BK$2,-1)+1,$C31:$F31)*VLOOKUP(BK$2,Valores!$H$2:$P$154,8,0)</f>
        <v>11316.7610564672</v>
      </c>
      <c r="BL31" s="27" t="n">
        <f aca="false">SUMIF($C$2:$F$2,EOMONTH(BL$2,-1)+1,$C31:$F31)*VLOOKUP(BL$2,Valores!$H$2:$P$154,8,0)</f>
        <v>8298.95810807592</v>
      </c>
      <c r="BM31" s="27" t="n">
        <f aca="false">SUMIF($C$2:$F$2,EOMONTH(BM$2,-1)+1,$C31:$F31)*VLOOKUP(BM$2,Valores!$H$2:$P$154,8,0)</f>
        <v>8298.95810807592</v>
      </c>
      <c r="BN31" s="27" t="n">
        <f aca="false">SUMIF($C$2:$F$2,EOMONTH(BN$2,-1)+1,$C31:$F31)*VLOOKUP(BN$2,Valores!$H$2:$P$154,8,0)</f>
        <v>8298.95810807592</v>
      </c>
      <c r="BO31" s="27" t="n">
        <f aca="false">SUMIF($C$2:$F$2,EOMONTH(BO$2,-1)+1,$C31:$F31)*VLOOKUP(BO$2,Valores!$H$2:$P$154,8,0)</f>
        <v>8713.90601347972</v>
      </c>
      <c r="BP31" s="27" t="n">
        <f aca="false">SUMIF($C$2:$F$2,EOMONTH(BP$2,-1)+1,$C31:$F31)*VLOOKUP(BP$2,Valores!$H$2:$P$154,8,0)</f>
        <v>21928.950840567</v>
      </c>
      <c r="BQ31" s="27" t="n">
        <f aca="false">SUMIF($C$2:$F$2,EOMONTH(BQ$2,-1)+1,$C31:$F31)*VLOOKUP(BQ$2,Valores!$H$2:$P$154,8,0)</f>
        <v>27411.1885507087</v>
      </c>
      <c r="BR31" s="27" t="n">
        <f aca="false">SUMIF($C$2:$F$2,EOMONTH(BR$2,-1)+1,$C31:$F31)*VLOOKUP(BR$2,Valores!$H$2:$P$154,8,0)</f>
        <v>13157.3705043402</v>
      </c>
      <c r="BS31" s="27" t="n">
        <f aca="false">SUMIF($C$2:$F$2,EOMONTH(BS$2,-1)+1,$C31:$F31)*VLOOKUP(BS$2,Valores!$H$2:$P$154,8,0)</f>
        <v>5873.82611800901</v>
      </c>
      <c r="BT31" s="27" t="n">
        <f aca="false">SUMIF($C$2:$F$2,EOMONTH(BT$2,-1)+1,$C31:$F31)*VLOOKUP(BT$2,Valores!$H$2:$P$154,8,0)</f>
        <v>5873.82611800901</v>
      </c>
      <c r="BU31" s="27" t="n">
        <f aca="false">SUMIF($C$2:$F$2,EOMONTH(BU$2,-1)+1,$C31:$F31)*VLOOKUP(BU$2,Valores!$H$2:$P$154,8,0)</f>
        <v>5873.82611800901</v>
      </c>
      <c r="BV31" s="27" t="n">
        <f aca="false">SUMIF($C$2:$F$2,EOMONTH(BV$2,-1)+1,$C31:$F31)*VLOOKUP(BV$2,Valores!$H$2:$P$154,8,0)</f>
        <v>5873.82611800901</v>
      </c>
      <c r="BW31" s="27" t="n">
        <f aca="false">SUMIF($C$2:$F$2,EOMONTH(BW$2,-1)+1,$C31:$F31)*VLOOKUP(BW$2,Valores!$H$2:$P$154,8,0)</f>
        <v>11747.652236018</v>
      </c>
      <c r="BX31" s="27" t="n">
        <f aca="false">SUMIF($C$2:$F$2,EOMONTH(BX$2,-1)+1,$C31:$F31)*VLOOKUP(BX$2,Valores!$H$2:$P$154,8,0)</f>
        <v>14684.5652950225</v>
      </c>
      <c r="BY31" s="27" t="n">
        <f aca="false">SUMIF($C$2:$F$2,EOMONTH(BY$2,-1)+1,$C31:$F31)*VLOOKUP(BY$2,Valores!$H$2:$P$154,8,0)</f>
        <v>8810.73917701351</v>
      </c>
      <c r="BZ31" s="27" t="n">
        <f aca="false">SUMIF($C$2:$F$2,EOMONTH(BZ$2,-1)+1,$C31:$F31)*VLOOKUP(BZ$2,Valores!$H$2:$P$154,8,0)</f>
        <v>5873.82611800901</v>
      </c>
      <c r="CA31" s="27" t="n">
        <f aca="false">SUMIF($C$2:$F$2,EOMONTH(CA$2,-1)+1,$C31:$F31)*VLOOKUP(CA$2,Valores!$H$2:$P$154,8,0)</f>
        <v>5873.82611800901</v>
      </c>
      <c r="CB31" s="27" t="n">
        <f aca="false">SUMIF($C$2:$F$2,EOMONTH(CB$2,-1)+1,$C31:$F31)*VLOOKUP(CB$2,Valores!$H$2:$P$154,8,0)</f>
        <v>5873.82611800901</v>
      </c>
      <c r="CC31" s="27" t="n">
        <f aca="false">SUMIF($C$2:$F$2,EOMONTH(CC$2,-1)+1,$C31:$F31)*VLOOKUP(CC$2,Valores!$H$2:$P$154,8,0)</f>
        <v>5873.82611800901</v>
      </c>
      <c r="CD31" s="27" t="n">
        <f aca="false">SUMIF($C$2:$F$2,EOMONTH(CD$2,-1)+1,$C31:$F31)*VLOOKUP(CD$2,Valores!$H$2:$P$154,8,0)</f>
        <v>17621.478354027</v>
      </c>
      <c r="CE31" s="27" t="n">
        <f aca="false">SUMIF($C$2:$F$2,EOMONTH(CE$2,-1)+1,$C31:$F31)*VLOOKUP(CE$2,Valores!$H$2:$P$154,8,0)</f>
        <v>23495.304472036</v>
      </c>
      <c r="CF31" s="27" t="n">
        <f aca="false">SUMIF($C$2:$F$2,EOMONTH(CF$2,-1)+1,$C31:$F31)*VLOOKUP(CF$2,Valores!$H$2:$P$154,8,0)</f>
        <v>14684.5652950225</v>
      </c>
      <c r="CG31" s="27" t="n">
        <f aca="false">SUMIF($C$2:$F$2,EOMONTH(CG$2,-1)+1,$C31:$F31)*VLOOKUP(CG$2,Valores!$H$2:$P$154,8,0)</f>
        <v>7831.76815734535</v>
      </c>
      <c r="CH31" s="27" t="n">
        <f aca="false">SUMIF($C$2:$F$2,EOMONTH(CH$2,-1)+1,$C31:$F31)*VLOOKUP(CH$2,Valores!$H$2:$P$154,8,0)</f>
        <v>7831.76815734535</v>
      </c>
      <c r="CI31" s="27" t="n">
        <f aca="false">SUMIF($C$2:$F$2,EOMONTH(CI$2,-1)+1,$C31:$F31)*VLOOKUP(CI$2,Valores!$H$2:$P$154,8,0)</f>
        <v>7831.76815734535</v>
      </c>
      <c r="CJ31" s="27" t="n">
        <f aca="false">SUMIF($C$2:$F$2,EOMONTH(CJ$2,-1)+1,$C31:$F31)*VLOOKUP(CJ$2,Valores!$H$2:$P$154,8,0)</f>
        <v>7831.76815734535</v>
      </c>
      <c r="CK31" s="27" t="n">
        <f aca="false">SUMIF($C$2:$F$2,EOMONTH(CK$2,-1)+1,$C31:$F31)*VLOOKUP(CK$2,Valores!$H$2:$P$154,8,0)</f>
        <v>15663.5363146907</v>
      </c>
      <c r="CL31" s="27" t="n">
        <f aca="false">SUMIF($C$2:$F$2,EOMONTH(CL$2,-1)+1,$C31:$F31)*VLOOKUP(CL$2,Valores!$H$2:$P$154,8,0)</f>
        <v>19579.4203933634</v>
      </c>
      <c r="CM31" s="27" t="n">
        <f aca="false">SUMIF($C$2:$F$2,EOMONTH(CM$2,-1)+1,$C31:$F31)*VLOOKUP(CM$2,Valores!$H$2:$P$154,8,0)</f>
        <v>11747.652236018</v>
      </c>
      <c r="CN31" s="27" t="n">
        <f aca="false">SUMIF($C$2:$F$2,EOMONTH(CN$2,-1)+1,$C31:$F31)*VLOOKUP(CN$2,Valores!$H$2:$P$154,8,0)</f>
        <v>8614.94497307988</v>
      </c>
      <c r="CO31" s="27" t="n">
        <f aca="false">SUMIF($C$2:$F$2,EOMONTH(CO$2,-1)+1,$C31:$F31)*VLOOKUP(CO$2,Valores!$H$2:$P$154,8,0)</f>
        <v>8614.94497307988</v>
      </c>
      <c r="CP31" s="27" t="n">
        <f aca="false">SUMIF($C$2:$F$2,EOMONTH(CP$2,-1)+1,$C31:$F31)*VLOOKUP(CP$2,Valores!$H$2:$P$154,8,0)</f>
        <v>8614.94497307988</v>
      </c>
      <c r="CQ31" s="27" t="n">
        <f aca="false">SUMIF($C$2:$F$2,EOMONTH(CQ$2,-1)+1,$C31:$F31)*VLOOKUP(CQ$2,Valores!$H$2:$P$154,8,0)</f>
        <v>8614.94497307988</v>
      </c>
      <c r="CR31" s="27" t="n">
        <f aca="false">SUMIF($C$2:$F$2,EOMONTH(CR$2,-1)+1,$C31:$F31)*VLOOKUP(CR$2,Valores!$H$2:$P$154,8,0)</f>
        <v>17229.8899461598</v>
      </c>
      <c r="CS31" s="27" t="n">
        <f aca="false">SUMIF($C$2:$F$2,EOMONTH(CS$2,-1)+1,$C31:$F31)*VLOOKUP(CS$2,Valores!$H$2:$P$154,8,0)</f>
        <v>25844.8349192396</v>
      </c>
      <c r="CT31" s="27" t="e">
        <f aca="false">SUMIF($C$2:$F$2,EOMONTH(CT$2,-1)+1,$C31:$F31)*VLOOKUP(CT$2,Valores!$H$2:$P$154,8,0)</f>
        <v>#VALUE!</v>
      </c>
      <c r="CU31" s="27" t="e">
        <f aca="false">SUMIF($C$2:$F$2,EOMONTH(CU$2,-1)+1,$C31:$F31)*VLOOKUP(CU$2,Valores!$H$2:$P$154,8,0)</f>
        <v>#VALUE!</v>
      </c>
      <c r="CV31" s="27" t="e">
        <f aca="false">SUMIF($C$2:$F$2,EOMONTH(CV$2,-1)+1,$C31:$F31)*VLOOKUP(CV$2,Valores!$H$2:$P$154,8,0)</f>
        <v>#VALUE!</v>
      </c>
      <c r="CW31" s="27" t="e">
        <f aca="false">SUMIF($C$2:$F$2,EOMONTH(CW$2,-1)+1,$C31:$F31)*VLOOKUP(CW$2,Valores!$H$2:$P$154,8,0)</f>
        <v>#VALUE!</v>
      </c>
      <c r="CX31" s="27" t="e">
        <f aca="false">SUMIF($C$2:$F$2,EOMONTH(CX$2,-1)+1,$C31:$F31)*VLOOKUP(CX$2,Valores!$H$2:$P$154,8,0)</f>
        <v>#VALUE!</v>
      </c>
      <c r="CY31" s="27" t="e">
        <f aca="false">SUMIF($C$2:$F$2,EOMONTH(CY$2,-1)+1,$C31:$F31)*VLOOKUP(CY$2,Valores!$H$2:$P$154,8,0)</f>
        <v>#VALUE!</v>
      </c>
      <c r="CZ31" s="27" t="e">
        <f aca="false">SUMIF($C$2:$F$2,EOMONTH(CZ$2,-1)+1,$C31:$F31)*VLOOKUP(CZ$2,Valores!$H$2:$P$154,8,0)</f>
        <v>#VALUE!</v>
      </c>
      <c r="DA31" s="27" t="e">
        <f aca="false">SUMIF($C$2:$F$2,EOMONTH(DA$2,-1)+1,$C31:$F31)*VLOOKUP(DA$2,Valores!$H$2:$P$154,8,0)</f>
        <v>#VALUE!</v>
      </c>
      <c r="DB31" s="27" t="e">
        <f aca="false">SUMIF($C$2:$F$2,EOMONTH(DB$2,-1)+1,$C31:$F31)*VLOOKUP(DB$2,Valores!$H$2:$P$154,8,0)</f>
        <v>#VALUE!</v>
      </c>
      <c r="DC31" s="27" t="e">
        <f aca="false">SUMIF($C$2:$F$2,EOMONTH(DC$2,-1)+1,$C31:$F31)*VLOOKUP(DC$2,Valores!$H$2:$P$154,8,0)</f>
        <v>#VALUE!</v>
      </c>
      <c r="DD31" s="27" t="e">
        <f aca="false">SUMIF($C$2:$F$2,EOMONTH(DD$2,-1)+1,$C31:$F31)*VLOOKUP(DD$2,Valores!$H$2:$P$154,8,0)</f>
        <v>#VALUE!</v>
      </c>
      <c r="DE31" s="27" t="e">
        <f aca="false">SUMIF($C$2:$F$2,EOMONTH(DE$2,-1)+1,$C31:$F31)*VLOOKUP(DE$2,Valores!$H$2:$P$154,8,0)</f>
        <v>#VALUE!</v>
      </c>
      <c r="DF31" s="27" t="e">
        <f aca="false">SUMIF($C$2:$F$2,EOMONTH(DF$2,-1)+1,$C31:$F31)*VLOOKUP(DF$2,Valores!$H$2:$P$154,8,0)</f>
        <v>#VALUE!</v>
      </c>
      <c r="DG31" s="27" t="e">
        <f aca="false">SUMIF($C$2:$F$2,EOMONTH(DG$2,-1)+1,$C31:$F31)*VLOOKUP(DG$2,Valores!$H$2:$P$154,8,0)</f>
        <v>#VALUE!</v>
      </c>
      <c r="DH31" s="27" t="e">
        <f aca="false">SUMIF($C$2:$F$2,EOMONTH(DH$2,-1)+1,$C31:$F31)*VLOOKUP(DH$2,Valores!$H$2:$P$154,8,0)</f>
        <v>#VALUE!</v>
      </c>
      <c r="DI31" s="27" t="e">
        <f aca="false">SUMIF($C$2:$F$2,EOMONTH(DI$2,-1)+1,$C31:$F31)*VLOOKUP(DI$2,Valores!$H$2:$P$154,8,0)</f>
        <v>#VALUE!</v>
      </c>
      <c r="DJ31" s="27" t="e">
        <f aca="false">SUMIF($C$2:$F$2,EOMONTH(DJ$2,-1)+1,$C31:$F31)*VLOOKUP(DJ$2,Valores!$H$2:$P$154,8,0)</f>
        <v>#VALUE!</v>
      </c>
      <c r="DK31" s="27" t="e">
        <f aca="false">SUMIF($C$2:$F$2,EOMONTH(DK$2,-1)+1,$C31:$F31)*VLOOKUP(DK$2,Valores!$H$2:$P$154,8,0)</f>
        <v>#VALUE!</v>
      </c>
      <c r="DL31" s="27" t="e">
        <f aca="false">SUMIF($C$2:$F$2,EOMONTH(DL$2,-1)+1,$C31:$F31)*VLOOKUP(DL$2,Valores!$H$2:$P$154,8,0)</f>
        <v>#VALUE!</v>
      </c>
      <c r="DM31" s="27" t="e">
        <f aca="false">SUMIF($C$2:$F$2,EOMONTH(DM$2,-1)+1,$C31:$F31)*VLOOKUP(DM$2,Valores!$H$2:$P$154,8,0)</f>
        <v>#VALUE!</v>
      </c>
      <c r="DN31" s="27" t="e">
        <f aca="false">SUMIF($C$2:$F$2,EOMONTH(DN$2,-1)+1,$C31:$F31)*VLOOKUP(DN$2,Valores!$H$2:$P$154,8,0)</f>
        <v>#VALUE!</v>
      </c>
      <c r="DO31" s="27" t="e">
        <f aca="false">SUMIF($C$2:$F$2,EOMONTH(DO$2,-1)+1,$C31:$F31)*VLOOKUP(DO$2,Valores!$H$2:$P$154,8,0)</f>
        <v>#VALUE!</v>
      </c>
      <c r="DP31" s="27" t="e">
        <f aca="false">SUMIF($C$2:$F$2,EOMONTH(DP$2,-1)+1,$C31:$F31)*VLOOKUP(DP$2,Valores!$H$2:$P$154,8,0)</f>
        <v>#VALUE!</v>
      </c>
      <c r="DQ31" s="27" t="e">
        <f aca="false">SUMIF($C$2:$F$2,EOMONTH(DQ$2,-1)+1,$C31:$F31)*VLOOKUP(DQ$2,Valores!$H$2:$P$154,8,0)</f>
        <v>#VALUE!</v>
      </c>
      <c r="DR31" s="27" t="e">
        <f aca="false">SUMIF($C$2:$F$2,EOMONTH(DR$2,-1)+1,$C31:$F31)*VLOOKUP(DR$2,Valores!$H$2:$P$154,8,0)</f>
        <v>#VALUE!</v>
      </c>
      <c r="DS31" s="27" t="e">
        <f aca="false">SUMIF($C$2:$F$2,EOMONTH(DS$2,-1)+1,$C31:$F31)*VLOOKUP(DS$2,Valores!$H$2:$P$154,8,0)</f>
        <v>#VALUE!</v>
      </c>
      <c r="DT31" s="27" t="e">
        <f aca="false">SUMIF($C$2:$F$2,EOMONTH(DT$2,-1)+1,$C31:$F31)*VLOOKUP(DT$2,Valores!$H$2:$P$154,8,0)</f>
        <v>#VALUE!</v>
      </c>
      <c r="DU31" s="27" t="e">
        <f aca="false">SUMIF($C$2:$F$2,EOMONTH(DU$2,-1)+1,$C31:$F31)*VLOOKUP(DU$2,Valores!$H$2:$P$154,8,0)</f>
        <v>#VALUE!</v>
      </c>
      <c r="DV31" s="27" t="e">
        <f aca="false">SUMIF($C$2:$F$2,EOMONTH(DV$2,-1)+1,$C31:$F31)*VLOOKUP(DV$2,Valores!$H$2:$P$154,8,0)</f>
        <v>#VALUE!</v>
      </c>
      <c r="DW31" s="27" t="e">
        <f aca="false">SUMIF($C$2:$F$2,EOMONTH(DW$2,-1)+1,$C31:$F31)*VLOOKUP(DW$2,Valores!$H$2:$P$154,8,0)</f>
        <v>#VALUE!</v>
      </c>
      <c r="DX31" s="27" t="e">
        <f aca="false">SUMIF($C$2:$F$2,EOMONTH(DX$2,-1)+1,$C31:$F31)*VLOOKUP(DX$2,Valores!$H$2:$P$154,8,0)</f>
        <v>#VALUE!</v>
      </c>
    </row>
    <row r="32" customFormat="false" ht="13.8" hidden="false" customHeight="false" outlineLevel="0" collapsed="false">
      <c r="A32" s="29" t="s">
        <v>23</v>
      </c>
      <c r="B32" s="29" t="s">
        <v>53</v>
      </c>
      <c r="C32" s="29" t="n">
        <v>1069403</v>
      </c>
      <c r="D32" s="29" t="n">
        <v>962462.7</v>
      </c>
      <c r="E32" s="29" t="n">
        <v>866216.43</v>
      </c>
      <c r="F32" s="29" t="n">
        <v>779594.787</v>
      </c>
      <c r="G32" s="30" t="n">
        <f aca="false">SUMIF($C$2:$F$2,EOMONTH(G$2,-1)+1,$C32:$F32)*VLOOKUP(G$2,Valores!$H$2:$P$154,8,0)</f>
        <v>30795.7092315287</v>
      </c>
      <c r="H32" s="30" t="n">
        <f aca="false">SUMIF($C$2:$F$2,EOMONTH(H$2,-1)+1,$C32:$F32)*VLOOKUP(H$2,Valores!$H$2:$P$154,8,0)</f>
        <v>21117.0577587625</v>
      </c>
      <c r="I32" s="30" t="n">
        <f aca="false">SUMIF($C$2:$F$2,EOMONTH(I$2,-1)+1,$C32:$F32)*VLOOKUP(I$2,Valores!$H$2:$P$154,8,0)</f>
        <v>21117.0577587625</v>
      </c>
      <c r="J32" s="30" t="n">
        <f aca="false">SUMIF($C$2:$F$2,EOMONTH(J$2,-1)+1,$C32:$F32)*VLOOKUP(J$2,Valores!$H$2:$P$154,8,0)</f>
        <v>21117.0577587625</v>
      </c>
      <c r="K32" s="30" t="n">
        <f aca="false">SUMIF($C$2:$F$2,EOMONTH(K$2,-1)+1,$C32:$F32)*VLOOKUP(K$2,Valores!$H$2:$P$154,8,0)</f>
        <v>21117.0577587625</v>
      </c>
      <c r="L32" s="30" t="n">
        <f aca="false">SUMIF($C$2:$F$2,EOMONTH(L$2,-1)+1,$C32:$F32)*VLOOKUP(L$2,Valores!$H$2:$P$154,8,0)</f>
        <v>42234.1155175251</v>
      </c>
      <c r="M32" s="30" t="n">
        <f aca="false">SUMIF($C$2:$F$2,EOMONTH(M$2,-1)+1,$C32:$F32)*VLOOKUP(M$2,Valores!$H$2:$P$154,8,0)</f>
        <v>52792.6443969064</v>
      </c>
      <c r="N32" s="30" t="n">
        <f aca="false">SUMIF($C$2:$F$2,EOMONTH(N$2,-1)+1,$C32:$F32)*VLOOKUP(N$2,Valores!$H$2:$P$154,8,0)</f>
        <v>31675.5866381438</v>
      </c>
      <c r="O32" s="30" t="n">
        <f aca="false">SUMIF($C$2:$F$2,EOMONTH(O$2,-1)+1,$C32:$F32)*VLOOKUP(O$2,Valores!$H$2:$P$154,8,0)</f>
        <v>28156.0770116834</v>
      </c>
      <c r="P32" s="30" t="n">
        <f aca="false">SUMIF($C$2:$F$2,EOMONTH(P$2,-1)+1,$C32:$F32)*VLOOKUP(P$2,Valores!$H$2:$P$154,8,0)</f>
        <v>28156.0770116834</v>
      </c>
      <c r="Q32" s="30" t="n">
        <f aca="false">SUMIF($C$2:$F$2,EOMONTH(Q$2,-1)+1,$C32:$F32)*VLOOKUP(Q$2,Valores!$H$2:$P$154,8,0)</f>
        <v>16893.64620701</v>
      </c>
      <c r="R32" s="30" t="n">
        <f aca="false">SUMIF($C$2:$F$2,EOMONTH(R$2,-1)+1,$C32:$F32)*VLOOKUP(R$2,Valores!$H$2:$P$154,8,0)</f>
        <v>28156.0770116834</v>
      </c>
      <c r="S32" s="30" t="n">
        <f aca="false">SUMIF($C$2:$F$2,EOMONTH(S$2,-1)+1,$C32:$F32)*VLOOKUP(S$2,Valores!$H$2:$P$154,8,0)</f>
        <v>56312.1540233668</v>
      </c>
      <c r="T32" s="30" t="n">
        <f aca="false">SUMIF($C$2:$F$2,EOMONTH(T$2,-1)+1,$C32:$F32)*VLOOKUP(T$2,Valores!$H$2:$P$154,8,0)</f>
        <v>70390.1925292085</v>
      </c>
      <c r="U32" s="30" t="n">
        <f aca="false">SUMIF($C$2:$F$2,EOMONTH(U$2,-1)+1,$C32:$F32)*VLOOKUP(U$2,Valores!$H$2:$P$154,8,0)</f>
        <v>42234.1155175251</v>
      </c>
      <c r="V32" s="30" t="n">
        <f aca="false">SUMIF($C$2:$F$2,EOMONTH(V$2,-1)+1,$C32:$F32)*VLOOKUP(V$2,Valores!$H$2:$P$154,8,0)</f>
        <v>35195.0962646042</v>
      </c>
      <c r="W32" s="30" t="n">
        <f aca="false">SUMIF($C$2:$F$2,EOMONTH(W$2,-1)+1,$C32:$F32)*VLOOKUP(W$2,Valores!$H$2:$P$154,8,0)</f>
        <v>35195.0962646042</v>
      </c>
      <c r="X32" s="30" t="n">
        <f aca="false">SUMIF($C$2:$F$2,EOMONTH(X$2,-1)+1,$C32:$F32)*VLOOKUP(X$2,Valores!$H$2:$P$154,8,0)</f>
        <v>0</v>
      </c>
      <c r="Y32" s="30" t="n">
        <f aca="false">SUMIF($C$2:$F$2,EOMONTH(Y$2,-1)+1,$C32:$F32)*VLOOKUP(Y$2,Valores!$H$2:$P$154,8,0)</f>
        <v>0</v>
      </c>
      <c r="Z32" s="30" t="n">
        <f aca="false">SUMIF($C$2:$F$2,EOMONTH(Z$2,-1)+1,$C32:$F32)*VLOOKUP(Z$2,Valores!$H$2:$P$154,8,0)</f>
        <v>52792.6443969064</v>
      </c>
      <c r="AA32" s="30" t="n">
        <f aca="false">SUMIF($C$2:$F$2,EOMONTH(AA$2,-1)+1,$C32:$F32)*VLOOKUP(AA$2,Valores!$H$2:$P$154,8,0)</f>
        <v>63351.1732762876</v>
      </c>
      <c r="AB32" s="30" t="n">
        <f aca="false">SUMIF($C$2:$F$2,EOMONTH(AB$2,-1)+1,$C32:$F32)*VLOOKUP(AB$2,Valores!$H$2:$P$154,8,0)</f>
        <v>31675.5866381438</v>
      </c>
      <c r="AC32" s="30" t="n">
        <f aca="false">SUMIF($C$2:$F$2,EOMONTH(AC$2,-1)+1,$C32:$F32)*VLOOKUP(AC$2,Valores!$H$2:$P$154,8,0)</f>
        <v>38714.6058910647</v>
      </c>
      <c r="AD32" s="30" t="n">
        <f aca="false">SUMIF($C$2:$F$2,EOMONTH(AD$2,-1)+1,$C32:$F32)*VLOOKUP(AD$2,Valores!$H$2:$P$154,8,0)</f>
        <v>38714.6058910647</v>
      </c>
      <c r="AE32" s="30" t="n">
        <f aca="false">SUMIF($C$2:$F$2,EOMONTH(AE$2,-1)+1,$C32:$F32)*VLOOKUP(AE$2,Valores!$H$2:$P$154,8,0)</f>
        <v>38714.6058910647</v>
      </c>
      <c r="AF32" s="30" t="n">
        <f aca="false">SUMIF($C$2:$F$2,EOMONTH(AF$2,-1)+1,$C32:$F32)*VLOOKUP(AF$2,Valores!$H$2:$P$154,8,0)</f>
        <v>38714.6058910647</v>
      </c>
      <c r="AG32" s="30" t="n">
        <f aca="false">SUMIF($C$2:$F$2,EOMONTH(AG$2,-1)+1,$C32:$F32)*VLOOKUP(AG$2,Valores!$H$2:$P$154,8,0)</f>
        <v>61943.3694257035</v>
      </c>
      <c r="AH32" s="30" t="n">
        <f aca="false">SUMIF($C$2:$F$2,EOMONTH(AH$2,-1)+1,$C32:$F32)*VLOOKUP(AH$2,Valores!$H$2:$P$154,8,0)</f>
        <v>77429.2117821293</v>
      </c>
      <c r="AI32" s="30" t="n">
        <f aca="false">SUMIF($C$2:$F$2,EOMONTH(AI$2,-1)+1,$C32:$F32)*VLOOKUP(AI$2,Valores!$H$2:$P$154,8,0)</f>
        <v>27100.2241237453</v>
      </c>
      <c r="AJ32" s="30" t="n">
        <f aca="false">SUMIF($C$2:$F$2,EOMONTH(AJ$2,-1)+1,$C32:$F32)*VLOOKUP(AJ$2,Valores!$H$2:$P$154,8,0)</f>
        <v>17597.5481323021</v>
      </c>
      <c r="AK32" s="30" t="n">
        <f aca="false">SUMIF($C$2:$F$2,EOMONTH(AK$2,-1)+1,$C32:$F32)*VLOOKUP(AK$2,Valores!$H$2:$P$154,8,0)</f>
        <v>32090.4946533616</v>
      </c>
      <c r="AL32" s="30" t="n">
        <f aca="false">SUMIF($C$2:$F$2,EOMONTH(AL$2,-1)+1,$C32:$F32)*VLOOKUP(AL$2,Valores!$H$2:$P$154,8,0)</f>
        <v>32090.4946533616</v>
      </c>
      <c r="AM32" s="30" t="n">
        <f aca="false">SUMIF($C$2:$F$2,EOMONTH(AM$2,-1)+1,$C32:$F32)*VLOOKUP(AM$2,Valores!$H$2:$P$154,8,0)</f>
        <v>32090.4946533616</v>
      </c>
      <c r="AN32" s="30" t="n">
        <f aca="false">SUMIF($C$2:$F$2,EOMONTH(AN$2,-1)+1,$C32:$F32)*VLOOKUP(AN$2,Valores!$H$2:$P$154,8,0)</f>
        <v>64180.9893067232</v>
      </c>
      <c r="AO32" s="30" t="n">
        <f aca="false">SUMIF($C$2:$F$2,EOMONTH(AO$2,-1)+1,$C32:$F32)*VLOOKUP(AO$2,Valores!$H$2:$P$154,8,0)</f>
        <v>80226.236633404</v>
      </c>
      <c r="AP32" s="30" t="n">
        <f aca="false">SUMIF($C$2:$F$2,EOMONTH(AP$2,-1)+1,$C32:$F32)*VLOOKUP(AP$2,Valores!$H$2:$P$154,8,0)</f>
        <v>48135.7419800424</v>
      </c>
      <c r="AQ32" s="30" t="n">
        <f aca="false">SUMIF($C$2:$F$2,EOMONTH(AQ$2,-1)+1,$C32:$F32)*VLOOKUP(AQ$2,Valores!$H$2:$P$154,8,0)</f>
        <v>17191.3364214437</v>
      </c>
      <c r="AR32" s="30" t="n">
        <f aca="false">SUMIF($C$2:$F$2,EOMONTH(AR$2,-1)+1,$C32:$F32)*VLOOKUP(AR$2,Valores!$H$2:$P$154,8,0)</f>
        <v>17191.3364214437</v>
      </c>
      <c r="AS32" s="30" t="n">
        <f aca="false">SUMIF($C$2:$F$2,EOMONTH(AS$2,-1)+1,$C32:$F32)*VLOOKUP(AS$2,Valores!$H$2:$P$154,8,0)</f>
        <v>17191.3364214437</v>
      </c>
      <c r="AT32" s="30" t="n">
        <f aca="false">SUMIF($C$2:$F$2,EOMONTH(AT$2,-1)+1,$C32:$F32)*VLOOKUP(AT$2,Valores!$H$2:$P$154,8,0)</f>
        <v>17191.3364214437</v>
      </c>
      <c r="AU32" s="30" t="n">
        <f aca="false">SUMIF($C$2:$F$2,EOMONTH(AU$2,-1)+1,$C32:$F32)*VLOOKUP(AU$2,Valores!$H$2:$P$154,8,0)</f>
        <v>34382.6728428874</v>
      </c>
      <c r="AV32" s="30" t="n">
        <f aca="false">SUMIF($C$2:$F$2,EOMONTH(AV$2,-1)+1,$C32:$F32)*VLOOKUP(AV$2,Valores!$H$2:$P$154,8,0)</f>
        <v>42978.3410536093</v>
      </c>
      <c r="AW32" s="30" t="n">
        <f aca="false">SUMIF($C$2:$F$2,EOMONTH(AW$2,-1)+1,$C32:$F32)*VLOOKUP(AW$2,Valores!$H$2:$P$154,8,0)</f>
        <v>25787.0046321656</v>
      </c>
      <c r="AX32" s="30" t="n">
        <f aca="false">SUMIF($C$2:$F$2,EOMONTH(AX$2,-1)+1,$C32:$F32)*VLOOKUP(AX$2,Valores!$H$2:$P$154,8,0)</f>
        <v>17191.3364214437</v>
      </c>
      <c r="AY32" s="30" t="n">
        <f aca="false">SUMIF($C$2:$F$2,EOMONTH(AY$2,-1)+1,$C32:$F32)*VLOOKUP(AY$2,Valores!$H$2:$P$154,8,0)</f>
        <v>22348.7373478768</v>
      </c>
      <c r="AZ32" s="30" t="n">
        <f aca="false">SUMIF($C$2:$F$2,EOMONTH(AZ$2,-1)+1,$C32:$F32)*VLOOKUP(AZ$2,Valores!$H$2:$P$154,8,0)</f>
        <v>22348.7373478768</v>
      </c>
      <c r="BA32" s="30" t="n">
        <f aca="false">SUMIF($C$2:$F$2,EOMONTH(BA$2,-1)+1,$C32:$F32)*VLOOKUP(BA$2,Valores!$H$2:$P$154,8,0)</f>
        <v>22348.7373478768</v>
      </c>
      <c r="BB32" s="30" t="n">
        <f aca="false">SUMIF($C$2:$F$2,EOMONTH(BB$2,-1)+1,$C32:$F32)*VLOOKUP(BB$2,Valores!$H$2:$P$154,8,0)</f>
        <v>39540.0737693205</v>
      </c>
      <c r="BC32" s="30" t="n">
        <f aca="false">SUMIF($C$2:$F$2,EOMONTH(BC$2,-1)+1,$C32:$F32)*VLOOKUP(BC$2,Valores!$H$2:$P$154,8,0)</f>
        <v>48135.7419800424</v>
      </c>
      <c r="BD32" s="30" t="n">
        <f aca="false">SUMIF($C$2:$F$2,EOMONTH(BD$2,-1)+1,$C32:$F32)*VLOOKUP(BD$2,Valores!$H$2:$P$154,8,0)</f>
        <v>25787.0046321656</v>
      </c>
      <c r="BE32" s="30" t="n">
        <f aca="false">SUMIF($C$2:$F$2,EOMONTH(BE$2,-1)+1,$C32:$F32)*VLOOKUP(BE$2,Valores!$H$2:$P$154,8,0)</f>
        <v>22921.7818952583</v>
      </c>
      <c r="BF32" s="30" t="n">
        <f aca="false">SUMIF($C$2:$F$2,EOMONTH(BF$2,-1)+1,$C32:$F32)*VLOOKUP(BF$2,Valores!$H$2:$P$154,8,0)</f>
        <v>22921.7818952583</v>
      </c>
      <c r="BG32" s="30" t="n">
        <f aca="false">SUMIF($C$2:$F$2,EOMONTH(BG$2,-1)+1,$C32:$F32)*VLOOKUP(BG$2,Valores!$H$2:$P$154,8,0)</f>
        <v>22921.7818952583</v>
      </c>
      <c r="BH32" s="30" t="n">
        <f aca="false">SUMIF($C$2:$F$2,EOMONTH(BH$2,-1)+1,$C32:$F32)*VLOOKUP(BH$2,Valores!$H$2:$P$154,8,0)</f>
        <v>22921.7818952583</v>
      </c>
      <c r="BI32" s="30" t="n">
        <f aca="false">SUMIF($C$2:$F$2,EOMONTH(BI$2,-1)+1,$C32:$F32)*VLOOKUP(BI$2,Valores!$H$2:$P$154,8,0)</f>
        <v>45843.5637905166</v>
      </c>
      <c r="BJ32" s="30" t="n">
        <f aca="false">SUMIF($C$2:$F$2,EOMONTH(BJ$2,-1)+1,$C32:$F32)*VLOOKUP(BJ$2,Valores!$H$2:$P$154,8,0)</f>
        <v>57304.4547381457</v>
      </c>
      <c r="BK32" s="30" t="n">
        <f aca="false">SUMIF($C$2:$F$2,EOMONTH(BK$2,-1)+1,$C32:$F32)*VLOOKUP(BK$2,Valores!$H$2:$P$154,8,0)</f>
        <v>27506.1382743099</v>
      </c>
      <c r="BL32" s="30" t="n">
        <f aca="false">SUMIF($C$2:$F$2,EOMONTH(BL$2,-1)+1,$C32:$F32)*VLOOKUP(BL$2,Valores!$H$2:$P$154,8,0)</f>
        <v>20171.1680678273</v>
      </c>
      <c r="BM32" s="30" t="n">
        <f aca="false">SUMIF($C$2:$F$2,EOMONTH(BM$2,-1)+1,$C32:$F32)*VLOOKUP(BM$2,Valores!$H$2:$P$154,8,0)</f>
        <v>20171.1680678273</v>
      </c>
      <c r="BN32" s="30" t="n">
        <f aca="false">SUMIF($C$2:$F$2,EOMONTH(BN$2,-1)+1,$C32:$F32)*VLOOKUP(BN$2,Valores!$H$2:$P$154,8,0)</f>
        <v>20171.1680678273</v>
      </c>
      <c r="BO32" s="30" t="n">
        <f aca="false">SUMIF($C$2:$F$2,EOMONTH(BO$2,-1)+1,$C32:$F32)*VLOOKUP(BO$2,Valores!$H$2:$P$154,8,0)</f>
        <v>21179.7264712186</v>
      </c>
      <c r="BP32" s="30" t="n">
        <f aca="false">SUMIF($C$2:$F$2,EOMONTH(BP$2,-1)+1,$C32:$F32)*VLOOKUP(BP$2,Valores!$H$2:$P$154,8,0)</f>
        <v>53299.7693440281</v>
      </c>
      <c r="BQ32" s="30" t="n">
        <f aca="false">SUMIF($C$2:$F$2,EOMONTH(BQ$2,-1)+1,$C32:$F32)*VLOOKUP(BQ$2,Valores!$H$2:$P$154,8,0)</f>
        <v>66624.7116800351</v>
      </c>
      <c r="BR32" s="30" t="n">
        <f aca="false">SUMIF($C$2:$F$2,EOMONTH(BR$2,-1)+1,$C32:$F32)*VLOOKUP(BR$2,Valores!$H$2:$P$154,8,0)</f>
        <v>31979.8616064169</v>
      </c>
      <c r="BS32" s="30" t="n">
        <f aca="false">SUMIF($C$2:$F$2,EOMONTH(BS$2,-1)+1,$C32:$F32)*VLOOKUP(BS$2,Valores!$H$2:$P$154,8,0)</f>
        <v>14276.7239314361</v>
      </c>
      <c r="BT32" s="30" t="n">
        <f aca="false">SUMIF($C$2:$F$2,EOMONTH(BT$2,-1)+1,$C32:$F32)*VLOOKUP(BT$2,Valores!$H$2:$P$154,8,0)</f>
        <v>14276.7239314361</v>
      </c>
      <c r="BU32" s="30" t="n">
        <f aca="false">SUMIF($C$2:$F$2,EOMONTH(BU$2,-1)+1,$C32:$F32)*VLOOKUP(BU$2,Valores!$H$2:$P$154,8,0)</f>
        <v>14276.7239314361</v>
      </c>
      <c r="BV32" s="30" t="n">
        <f aca="false">SUMIF($C$2:$F$2,EOMONTH(BV$2,-1)+1,$C32:$F32)*VLOOKUP(BV$2,Valores!$H$2:$P$154,8,0)</f>
        <v>14276.7239314361</v>
      </c>
      <c r="BW32" s="30" t="n">
        <f aca="false">SUMIF($C$2:$F$2,EOMONTH(BW$2,-1)+1,$C32:$F32)*VLOOKUP(BW$2,Valores!$H$2:$P$154,8,0)</f>
        <v>28553.4478628722</v>
      </c>
      <c r="BX32" s="30" t="n">
        <f aca="false">SUMIF($C$2:$F$2,EOMONTH(BX$2,-1)+1,$C32:$F32)*VLOOKUP(BX$2,Valores!$H$2:$P$154,8,0)</f>
        <v>35691.8098285902</v>
      </c>
      <c r="BY32" s="30" t="n">
        <f aca="false">SUMIF($C$2:$F$2,EOMONTH(BY$2,-1)+1,$C32:$F32)*VLOOKUP(BY$2,Valores!$H$2:$P$154,8,0)</f>
        <v>21415.0858971541</v>
      </c>
      <c r="BZ32" s="30" t="n">
        <f aca="false">SUMIF($C$2:$F$2,EOMONTH(BZ$2,-1)+1,$C32:$F32)*VLOOKUP(BZ$2,Valores!$H$2:$P$154,8,0)</f>
        <v>14276.7239314361</v>
      </c>
      <c r="CA32" s="30" t="n">
        <f aca="false">SUMIF($C$2:$F$2,EOMONTH(CA$2,-1)+1,$C32:$F32)*VLOOKUP(CA$2,Valores!$H$2:$P$154,8,0)</f>
        <v>14276.7239314361</v>
      </c>
      <c r="CB32" s="30" t="n">
        <f aca="false">SUMIF($C$2:$F$2,EOMONTH(CB$2,-1)+1,$C32:$F32)*VLOOKUP(CB$2,Valores!$H$2:$P$154,8,0)</f>
        <v>14276.7239314361</v>
      </c>
      <c r="CC32" s="30" t="n">
        <f aca="false">SUMIF($C$2:$F$2,EOMONTH(CC$2,-1)+1,$C32:$F32)*VLOOKUP(CC$2,Valores!$H$2:$P$154,8,0)</f>
        <v>14276.7239314361</v>
      </c>
      <c r="CD32" s="30" t="n">
        <f aca="false">SUMIF($C$2:$F$2,EOMONTH(CD$2,-1)+1,$C32:$F32)*VLOOKUP(CD$2,Valores!$H$2:$P$154,8,0)</f>
        <v>42830.1717943083</v>
      </c>
      <c r="CE32" s="30" t="n">
        <f aca="false">SUMIF($C$2:$F$2,EOMONTH(CE$2,-1)+1,$C32:$F32)*VLOOKUP(CE$2,Valores!$H$2:$P$154,8,0)</f>
        <v>57106.8957257444</v>
      </c>
      <c r="CF32" s="30" t="n">
        <f aca="false">SUMIF($C$2:$F$2,EOMONTH(CF$2,-1)+1,$C32:$F32)*VLOOKUP(CF$2,Valores!$H$2:$P$154,8,0)</f>
        <v>35691.8098285902</v>
      </c>
      <c r="CG32" s="30" t="n">
        <f aca="false">SUMIF($C$2:$F$2,EOMONTH(CG$2,-1)+1,$C32:$F32)*VLOOKUP(CG$2,Valores!$H$2:$P$154,8,0)</f>
        <v>19035.6319085815</v>
      </c>
      <c r="CH32" s="30" t="n">
        <f aca="false">SUMIF($C$2:$F$2,EOMONTH(CH$2,-1)+1,$C32:$F32)*VLOOKUP(CH$2,Valores!$H$2:$P$154,8,0)</f>
        <v>19035.6319085815</v>
      </c>
      <c r="CI32" s="30" t="n">
        <f aca="false">SUMIF($C$2:$F$2,EOMONTH(CI$2,-1)+1,$C32:$F32)*VLOOKUP(CI$2,Valores!$H$2:$P$154,8,0)</f>
        <v>19035.6319085815</v>
      </c>
      <c r="CJ32" s="30" t="n">
        <f aca="false">SUMIF($C$2:$F$2,EOMONTH(CJ$2,-1)+1,$C32:$F32)*VLOOKUP(CJ$2,Valores!$H$2:$P$154,8,0)</f>
        <v>19035.6319085815</v>
      </c>
      <c r="CK32" s="30" t="n">
        <f aca="false">SUMIF($C$2:$F$2,EOMONTH(CK$2,-1)+1,$C32:$F32)*VLOOKUP(CK$2,Valores!$H$2:$P$154,8,0)</f>
        <v>38071.2638171629</v>
      </c>
      <c r="CL32" s="30" t="n">
        <f aca="false">SUMIF($C$2:$F$2,EOMONTH(CL$2,-1)+1,$C32:$F32)*VLOOKUP(CL$2,Valores!$H$2:$P$154,8,0)</f>
        <v>47589.0797714537</v>
      </c>
      <c r="CM32" s="30" t="n">
        <f aca="false">SUMIF($C$2:$F$2,EOMONTH(CM$2,-1)+1,$C32:$F32)*VLOOKUP(CM$2,Valores!$H$2:$P$154,8,0)</f>
        <v>28553.4478628722</v>
      </c>
      <c r="CN32" s="30" t="n">
        <f aca="false">SUMIF($C$2:$F$2,EOMONTH(CN$2,-1)+1,$C32:$F32)*VLOOKUP(CN$2,Valores!$H$2:$P$154,8,0)</f>
        <v>20939.1950994396</v>
      </c>
      <c r="CO32" s="30" t="n">
        <f aca="false">SUMIF($C$2:$F$2,EOMONTH(CO$2,-1)+1,$C32:$F32)*VLOOKUP(CO$2,Valores!$H$2:$P$154,8,0)</f>
        <v>20939.1950994396</v>
      </c>
      <c r="CP32" s="30" t="n">
        <f aca="false">SUMIF($C$2:$F$2,EOMONTH(CP$2,-1)+1,$C32:$F32)*VLOOKUP(CP$2,Valores!$H$2:$P$154,8,0)</f>
        <v>20939.1950994396</v>
      </c>
      <c r="CQ32" s="30" t="n">
        <f aca="false">SUMIF($C$2:$F$2,EOMONTH(CQ$2,-1)+1,$C32:$F32)*VLOOKUP(CQ$2,Valores!$H$2:$P$154,8,0)</f>
        <v>20939.1950994396</v>
      </c>
      <c r="CR32" s="30" t="n">
        <f aca="false">SUMIF($C$2:$F$2,EOMONTH(CR$2,-1)+1,$C32:$F32)*VLOOKUP(CR$2,Valores!$H$2:$P$154,8,0)</f>
        <v>41878.3901988792</v>
      </c>
      <c r="CS32" s="30" t="n">
        <f aca="false">SUMIF($C$2:$F$2,EOMONTH(CS$2,-1)+1,$C32:$F32)*VLOOKUP(CS$2,Valores!$H$2:$P$154,8,0)</f>
        <v>62817.5852983189</v>
      </c>
      <c r="CT32" s="30" t="e">
        <f aca="false">SUMIF($C$2:$F$2,EOMONTH(CT$2,-1)+1,$C32:$F32)*VLOOKUP(CT$2,Valores!$H$2:$P$154,8,0)</f>
        <v>#VALUE!</v>
      </c>
      <c r="CU32" s="30" t="e">
        <f aca="false">SUMIF($C$2:$F$2,EOMONTH(CU$2,-1)+1,$C32:$F32)*VLOOKUP(CU$2,Valores!$H$2:$P$154,8,0)</f>
        <v>#VALUE!</v>
      </c>
      <c r="CV32" s="30" t="e">
        <f aca="false">SUMIF($C$2:$F$2,EOMONTH(CV$2,-1)+1,$C32:$F32)*VLOOKUP(CV$2,Valores!$H$2:$P$154,8,0)</f>
        <v>#VALUE!</v>
      </c>
      <c r="CW32" s="30" t="e">
        <f aca="false">SUMIF($C$2:$F$2,EOMONTH(CW$2,-1)+1,$C32:$F32)*VLOOKUP(CW$2,Valores!$H$2:$P$154,8,0)</f>
        <v>#VALUE!</v>
      </c>
      <c r="CX32" s="30" t="e">
        <f aca="false">SUMIF($C$2:$F$2,EOMONTH(CX$2,-1)+1,$C32:$F32)*VLOOKUP(CX$2,Valores!$H$2:$P$154,8,0)</f>
        <v>#VALUE!</v>
      </c>
      <c r="CY32" s="30" t="e">
        <f aca="false">SUMIF($C$2:$F$2,EOMONTH(CY$2,-1)+1,$C32:$F32)*VLOOKUP(CY$2,Valores!$H$2:$P$154,8,0)</f>
        <v>#VALUE!</v>
      </c>
      <c r="CZ32" s="30" t="e">
        <f aca="false">SUMIF($C$2:$F$2,EOMONTH(CZ$2,-1)+1,$C32:$F32)*VLOOKUP(CZ$2,Valores!$H$2:$P$154,8,0)</f>
        <v>#VALUE!</v>
      </c>
      <c r="DA32" s="30" t="e">
        <f aca="false">SUMIF($C$2:$F$2,EOMONTH(DA$2,-1)+1,$C32:$F32)*VLOOKUP(DA$2,Valores!$H$2:$P$154,8,0)</f>
        <v>#VALUE!</v>
      </c>
      <c r="DB32" s="30" t="e">
        <f aca="false">SUMIF($C$2:$F$2,EOMONTH(DB$2,-1)+1,$C32:$F32)*VLOOKUP(DB$2,Valores!$H$2:$P$154,8,0)</f>
        <v>#VALUE!</v>
      </c>
      <c r="DC32" s="30" t="e">
        <f aca="false">SUMIF($C$2:$F$2,EOMONTH(DC$2,-1)+1,$C32:$F32)*VLOOKUP(DC$2,Valores!$H$2:$P$154,8,0)</f>
        <v>#VALUE!</v>
      </c>
      <c r="DD32" s="30" t="e">
        <f aca="false">SUMIF($C$2:$F$2,EOMONTH(DD$2,-1)+1,$C32:$F32)*VLOOKUP(DD$2,Valores!$H$2:$P$154,8,0)</f>
        <v>#VALUE!</v>
      </c>
      <c r="DE32" s="30" t="e">
        <f aca="false">SUMIF($C$2:$F$2,EOMONTH(DE$2,-1)+1,$C32:$F32)*VLOOKUP(DE$2,Valores!$H$2:$P$154,8,0)</f>
        <v>#VALUE!</v>
      </c>
      <c r="DF32" s="30" t="e">
        <f aca="false">SUMIF($C$2:$F$2,EOMONTH(DF$2,-1)+1,$C32:$F32)*VLOOKUP(DF$2,Valores!$H$2:$P$154,8,0)</f>
        <v>#VALUE!</v>
      </c>
      <c r="DG32" s="30" t="e">
        <f aca="false">SUMIF($C$2:$F$2,EOMONTH(DG$2,-1)+1,$C32:$F32)*VLOOKUP(DG$2,Valores!$H$2:$P$154,8,0)</f>
        <v>#VALUE!</v>
      </c>
      <c r="DH32" s="30" t="e">
        <f aca="false">SUMIF($C$2:$F$2,EOMONTH(DH$2,-1)+1,$C32:$F32)*VLOOKUP(DH$2,Valores!$H$2:$P$154,8,0)</f>
        <v>#VALUE!</v>
      </c>
      <c r="DI32" s="30" t="e">
        <f aca="false">SUMIF($C$2:$F$2,EOMONTH(DI$2,-1)+1,$C32:$F32)*VLOOKUP(DI$2,Valores!$H$2:$P$154,8,0)</f>
        <v>#VALUE!</v>
      </c>
      <c r="DJ32" s="30" t="e">
        <f aca="false">SUMIF($C$2:$F$2,EOMONTH(DJ$2,-1)+1,$C32:$F32)*VLOOKUP(DJ$2,Valores!$H$2:$P$154,8,0)</f>
        <v>#VALUE!</v>
      </c>
      <c r="DK32" s="30" t="e">
        <f aca="false">SUMIF($C$2:$F$2,EOMONTH(DK$2,-1)+1,$C32:$F32)*VLOOKUP(DK$2,Valores!$H$2:$P$154,8,0)</f>
        <v>#VALUE!</v>
      </c>
      <c r="DL32" s="30" t="e">
        <f aca="false">SUMIF($C$2:$F$2,EOMONTH(DL$2,-1)+1,$C32:$F32)*VLOOKUP(DL$2,Valores!$H$2:$P$154,8,0)</f>
        <v>#VALUE!</v>
      </c>
      <c r="DM32" s="30" t="e">
        <f aca="false">SUMIF($C$2:$F$2,EOMONTH(DM$2,-1)+1,$C32:$F32)*VLOOKUP(DM$2,Valores!$H$2:$P$154,8,0)</f>
        <v>#VALUE!</v>
      </c>
      <c r="DN32" s="30" t="e">
        <f aca="false">SUMIF($C$2:$F$2,EOMONTH(DN$2,-1)+1,$C32:$F32)*VLOOKUP(DN$2,Valores!$H$2:$P$154,8,0)</f>
        <v>#VALUE!</v>
      </c>
      <c r="DO32" s="30" t="e">
        <f aca="false">SUMIF($C$2:$F$2,EOMONTH(DO$2,-1)+1,$C32:$F32)*VLOOKUP(DO$2,Valores!$H$2:$P$154,8,0)</f>
        <v>#VALUE!</v>
      </c>
      <c r="DP32" s="30" t="e">
        <f aca="false">SUMIF($C$2:$F$2,EOMONTH(DP$2,-1)+1,$C32:$F32)*VLOOKUP(DP$2,Valores!$H$2:$P$154,8,0)</f>
        <v>#VALUE!</v>
      </c>
      <c r="DQ32" s="30" t="e">
        <f aca="false">SUMIF($C$2:$F$2,EOMONTH(DQ$2,-1)+1,$C32:$F32)*VLOOKUP(DQ$2,Valores!$H$2:$P$154,8,0)</f>
        <v>#VALUE!</v>
      </c>
      <c r="DR32" s="30" t="e">
        <f aca="false">SUMIF($C$2:$F$2,EOMONTH(DR$2,-1)+1,$C32:$F32)*VLOOKUP(DR$2,Valores!$H$2:$P$154,8,0)</f>
        <v>#VALUE!</v>
      </c>
      <c r="DS32" s="30" t="e">
        <f aca="false">SUMIF($C$2:$F$2,EOMONTH(DS$2,-1)+1,$C32:$F32)*VLOOKUP(DS$2,Valores!$H$2:$P$154,8,0)</f>
        <v>#VALUE!</v>
      </c>
      <c r="DT32" s="30" t="e">
        <f aca="false">SUMIF($C$2:$F$2,EOMONTH(DT$2,-1)+1,$C32:$F32)*VLOOKUP(DT$2,Valores!$H$2:$P$154,8,0)</f>
        <v>#VALUE!</v>
      </c>
      <c r="DU32" s="30" t="e">
        <f aca="false">SUMIF($C$2:$F$2,EOMONTH(DU$2,-1)+1,$C32:$F32)*VLOOKUP(DU$2,Valores!$H$2:$P$154,8,0)</f>
        <v>#VALUE!</v>
      </c>
      <c r="DV32" s="30" t="e">
        <f aca="false">SUMIF($C$2:$F$2,EOMONTH(DV$2,-1)+1,$C32:$F32)*VLOOKUP(DV$2,Valores!$H$2:$P$154,8,0)</f>
        <v>#VALUE!</v>
      </c>
      <c r="DW32" s="30" t="e">
        <f aca="false">SUMIF($C$2:$F$2,EOMONTH(DW$2,-1)+1,$C32:$F32)*VLOOKUP(DW$2,Valores!$H$2:$P$154,8,0)</f>
        <v>#VALUE!</v>
      </c>
      <c r="DX32" s="30" t="e">
        <f aca="false">SUMIF($C$2:$F$2,EOMONTH(DX$2,-1)+1,$C32:$F32)*VLOOKUP(DX$2,Valores!$H$2:$P$154,8,0)</f>
        <v>#VALUE!</v>
      </c>
    </row>
    <row r="33" customFormat="false" ht="13.8" hidden="false" customHeight="false" outlineLevel="0" collapsed="false">
      <c r="A33" s="31" t="s">
        <v>54</v>
      </c>
      <c r="B33" s="31" t="s">
        <v>55</v>
      </c>
      <c r="C33" s="31" t="n">
        <v>5799078</v>
      </c>
      <c r="D33" s="31" t="n">
        <v>5219170.2</v>
      </c>
      <c r="E33" s="31" t="n">
        <v>4697253.18</v>
      </c>
      <c r="F33" s="31" t="n">
        <v>4227527.862</v>
      </c>
      <c r="G33" s="27" t="n">
        <f aca="false">SUMIF($C$2:$F$2,EOMONTH(G$2,-1)+1,$C33:$F33)*VLOOKUP(G$2,Valores!$H$2:$P$154,8,0)</f>
        <v>166996.651308211</v>
      </c>
      <c r="H33" s="27" t="n">
        <f aca="false">SUMIF($C$2:$F$2,EOMONTH(H$2,-1)+1,$C33:$F33)*VLOOKUP(H$2,Valores!$H$2:$P$154,8,0)</f>
        <v>114511.989468488</v>
      </c>
      <c r="I33" s="27" t="n">
        <f aca="false">SUMIF($C$2:$F$2,EOMONTH(I$2,-1)+1,$C33:$F33)*VLOOKUP(I$2,Valores!$H$2:$P$154,8,0)</f>
        <v>114511.989468488</v>
      </c>
      <c r="J33" s="27" t="n">
        <f aca="false">SUMIF($C$2:$F$2,EOMONTH(J$2,-1)+1,$C33:$F33)*VLOOKUP(J$2,Valores!$H$2:$P$154,8,0)</f>
        <v>114511.989468488</v>
      </c>
      <c r="K33" s="27" t="n">
        <f aca="false">SUMIF($C$2:$F$2,EOMONTH(K$2,-1)+1,$C33:$F33)*VLOOKUP(K$2,Valores!$H$2:$P$154,8,0)</f>
        <v>114511.989468488</v>
      </c>
      <c r="L33" s="27" t="n">
        <f aca="false">SUMIF($C$2:$F$2,EOMONTH(L$2,-1)+1,$C33:$F33)*VLOOKUP(L$2,Valores!$H$2:$P$154,8,0)</f>
        <v>229023.978936975</v>
      </c>
      <c r="M33" s="27" t="n">
        <f aca="false">SUMIF($C$2:$F$2,EOMONTH(M$2,-1)+1,$C33:$F33)*VLOOKUP(M$2,Valores!$H$2:$P$154,8,0)</f>
        <v>286279.973671219</v>
      </c>
      <c r="N33" s="27" t="n">
        <f aca="false">SUMIF($C$2:$F$2,EOMONTH(N$2,-1)+1,$C33:$F33)*VLOOKUP(N$2,Valores!$H$2:$P$154,8,0)</f>
        <v>171767.984202732</v>
      </c>
      <c r="O33" s="27" t="n">
        <f aca="false">SUMIF($C$2:$F$2,EOMONTH(O$2,-1)+1,$C33:$F33)*VLOOKUP(O$2,Valores!$H$2:$P$154,8,0)</f>
        <v>152682.65262465</v>
      </c>
      <c r="P33" s="27" t="n">
        <f aca="false">SUMIF($C$2:$F$2,EOMONTH(P$2,-1)+1,$C33:$F33)*VLOOKUP(P$2,Valores!$H$2:$P$154,8,0)</f>
        <v>152682.65262465</v>
      </c>
      <c r="Q33" s="27" t="n">
        <f aca="false">SUMIF($C$2:$F$2,EOMONTH(Q$2,-1)+1,$C33:$F33)*VLOOKUP(Q$2,Valores!$H$2:$P$154,8,0)</f>
        <v>91609.5915747902</v>
      </c>
      <c r="R33" s="27" t="n">
        <f aca="false">SUMIF($C$2:$F$2,EOMONTH(R$2,-1)+1,$C33:$F33)*VLOOKUP(R$2,Valores!$H$2:$P$154,8,0)</f>
        <v>152682.65262465</v>
      </c>
      <c r="S33" s="27" t="n">
        <f aca="false">SUMIF($C$2:$F$2,EOMONTH(S$2,-1)+1,$C33:$F33)*VLOOKUP(S$2,Valores!$H$2:$P$154,8,0)</f>
        <v>305365.305249301</v>
      </c>
      <c r="T33" s="27" t="n">
        <f aca="false">SUMIF($C$2:$F$2,EOMONTH(T$2,-1)+1,$C33:$F33)*VLOOKUP(T$2,Valores!$H$2:$P$154,8,0)</f>
        <v>381706.631561626</v>
      </c>
      <c r="U33" s="27" t="n">
        <f aca="false">SUMIF($C$2:$F$2,EOMONTH(U$2,-1)+1,$C33:$F33)*VLOOKUP(U$2,Valores!$H$2:$P$154,8,0)</f>
        <v>229023.978936975</v>
      </c>
      <c r="V33" s="27" t="n">
        <f aca="false">SUMIF($C$2:$F$2,EOMONTH(V$2,-1)+1,$C33:$F33)*VLOOKUP(V$2,Valores!$H$2:$P$154,8,0)</f>
        <v>190853.315780813</v>
      </c>
      <c r="W33" s="27" t="n">
        <f aca="false">SUMIF($C$2:$F$2,EOMONTH(W$2,-1)+1,$C33:$F33)*VLOOKUP(W$2,Valores!$H$2:$P$154,8,0)</f>
        <v>190853.315780813</v>
      </c>
      <c r="X33" s="27" t="n">
        <f aca="false">SUMIF($C$2:$F$2,EOMONTH(X$2,-1)+1,$C33:$F33)*VLOOKUP(X$2,Valores!$H$2:$P$154,8,0)</f>
        <v>0</v>
      </c>
      <c r="Y33" s="27" t="n">
        <f aca="false">SUMIF($C$2:$F$2,EOMONTH(Y$2,-1)+1,$C33:$F33)*VLOOKUP(Y$2,Valores!$H$2:$P$154,8,0)</f>
        <v>0</v>
      </c>
      <c r="Z33" s="27" t="n">
        <f aca="false">SUMIF($C$2:$F$2,EOMONTH(Z$2,-1)+1,$C33:$F33)*VLOOKUP(Z$2,Valores!$H$2:$P$154,8,0)</f>
        <v>286279.973671219</v>
      </c>
      <c r="AA33" s="27" t="n">
        <f aca="false">SUMIF($C$2:$F$2,EOMONTH(AA$2,-1)+1,$C33:$F33)*VLOOKUP(AA$2,Valores!$H$2:$P$154,8,0)</f>
        <v>343535.968405463</v>
      </c>
      <c r="AB33" s="27" t="n">
        <f aca="false">SUMIF($C$2:$F$2,EOMONTH(AB$2,-1)+1,$C33:$F33)*VLOOKUP(AB$2,Valores!$H$2:$P$154,8,0)</f>
        <v>171767.984202732</v>
      </c>
      <c r="AC33" s="27" t="n">
        <f aca="false">SUMIF($C$2:$F$2,EOMONTH(AC$2,-1)+1,$C33:$F33)*VLOOKUP(AC$2,Valores!$H$2:$P$154,8,0)</f>
        <v>209938.647358894</v>
      </c>
      <c r="AD33" s="27" t="n">
        <f aca="false">SUMIF($C$2:$F$2,EOMONTH(AD$2,-1)+1,$C33:$F33)*VLOOKUP(AD$2,Valores!$H$2:$P$154,8,0)</f>
        <v>209938.647358894</v>
      </c>
      <c r="AE33" s="27" t="n">
        <f aca="false">SUMIF($C$2:$F$2,EOMONTH(AE$2,-1)+1,$C33:$F33)*VLOOKUP(AE$2,Valores!$H$2:$P$154,8,0)</f>
        <v>209938.647358894</v>
      </c>
      <c r="AF33" s="27" t="n">
        <f aca="false">SUMIF($C$2:$F$2,EOMONTH(AF$2,-1)+1,$C33:$F33)*VLOOKUP(AF$2,Valores!$H$2:$P$154,8,0)</f>
        <v>209938.647358894</v>
      </c>
      <c r="AG33" s="27" t="n">
        <f aca="false">SUMIF($C$2:$F$2,EOMONTH(AG$2,-1)+1,$C33:$F33)*VLOOKUP(AG$2,Valores!$H$2:$P$154,8,0)</f>
        <v>335901.835774231</v>
      </c>
      <c r="AH33" s="27" t="n">
        <f aca="false">SUMIF($C$2:$F$2,EOMONTH(AH$2,-1)+1,$C33:$F33)*VLOOKUP(AH$2,Valores!$H$2:$P$154,8,0)</f>
        <v>419877.294717788</v>
      </c>
      <c r="AI33" s="27" t="n">
        <f aca="false">SUMIF($C$2:$F$2,EOMONTH(AI$2,-1)+1,$C33:$F33)*VLOOKUP(AI$2,Valores!$H$2:$P$154,8,0)</f>
        <v>146957.053151226</v>
      </c>
      <c r="AJ33" s="27" t="n">
        <f aca="false">SUMIF($C$2:$F$2,EOMONTH(AJ$2,-1)+1,$C33:$F33)*VLOOKUP(AJ$2,Valores!$H$2:$P$154,8,0)</f>
        <v>95426.6578904065</v>
      </c>
      <c r="AK33" s="27" t="n">
        <f aca="false">SUMIF($C$2:$F$2,EOMONTH(AK$2,-1)+1,$C33:$F33)*VLOOKUP(AK$2,Valores!$H$2:$P$154,8,0)</f>
        <v>174017.916120889</v>
      </c>
      <c r="AL33" s="27" t="n">
        <f aca="false">SUMIF($C$2:$F$2,EOMONTH(AL$2,-1)+1,$C33:$F33)*VLOOKUP(AL$2,Valores!$H$2:$P$154,8,0)</f>
        <v>174017.916120889</v>
      </c>
      <c r="AM33" s="27" t="n">
        <f aca="false">SUMIF($C$2:$F$2,EOMONTH(AM$2,-1)+1,$C33:$F33)*VLOOKUP(AM$2,Valores!$H$2:$P$154,8,0)</f>
        <v>174017.916120889</v>
      </c>
      <c r="AN33" s="27" t="n">
        <f aca="false">SUMIF($C$2:$F$2,EOMONTH(AN$2,-1)+1,$C33:$F33)*VLOOKUP(AN$2,Valores!$H$2:$P$154,8,0)</f>
        <v>348035.832241778</v>
      </c>
      <c r="AO33" s="27" t="n">
        <f aca="false">SUMIF($C$2:$F$2,EOMONTH(AO$2,-1)+1,$C33:$F33)*VLOOKUP(AO$2,Valores!$H$2:$P$154,8,0)</f>
        <v>435044.790302222</v>
      </c>
      <c r="AP33" s="27" t="n">
        <f aca="false">SUMIF($C$2:$F$2,EOMONTH(AP$2,-1)+1,$C33:$F33)*VLOOKUP(AP$2,Valores!$H$2:$P$154,8,0)</f>
        <v>261026.874181333</v>
      </c>
      <c r="AQ33" s="27" t="n">
        <f aca="false">SUMIF($C$2:$F$2,EOMONTH(AQ$2,-1)+1,$C33:$F33)*VLOOKUP(AQ$2,Valores!$H$2:$P$154,8,0)</f>
        <v>93223.8836361904</v>
      </c>
      <c r="AR33" s="27" t="n">
        <f aca="false">SUMIF($C$2:$F$2,EOMONTH(AR$2,-1)+1,$C33:$F33)*VLOOKUP(AR$2,Valores!$H$2:$P$154,8,0)</f>
        <v>93223.8836361904</v>
      </c>
      <c r="AS33" s="27" t="n">
        <f aca="false">SUMIF($C$2:$F$2,EOMONTH(AS$2,-1)+1,$C33:$F33)*VLOOKUP(AS$2,Valores!$H$2:$P$154,8,0)</f>
        <v>93223.8836361904</v>
      </c>
      <c r="AT33" s="27" t="n">
        <f aca="false">SUMIF($C$2:$F$2,EOMONTH(AT$2,-1)+1,$C33:$F33)*VLOOKUP(AT$2,Valores!$H$2:$P$154,8,0)</f>
        <v>93223.8836361904</v>
      </c>
      <c r="AU33" s="27" t="n">
        <f aca="false">SUMIF($C$2:$F$2,EOMONTH(AU$2,-1)+1,$C33:$F33)*VLOOKUP(AU$2,Valores!$H$2:$P$154,8,0)</f>
        <v>186447.767272381</v>
      </c>
      <c r="AV33" s="27" t="n">
        <f aca="false">SUMIF($C$2:$F$2,EOMONTH(AV$2,-1)+1,$C33:$F33)*VLOOKUP(AV$2,Valores!$H$2:$P$154,8,0)</f>
        <v>233059.709090476</v>
      </c>
      <c r="AW33" s="27" t="n">
        <f aca="false">SUMIF($C$2:$F$2,EOMONTH(AW$2,-1)+1,$C33:$F33)*VLOOKUP(AW$2,Valores!$H$2:$P$154,8,0)</f>
        <v>139835.825454286</v>
      </c>
      <c r="AX33" s="27" t="n">
        <f aca="false">SUMIF($C$2:$F$2,EOMONTH(AX$2,-1)+1,$C33:$F33)*VLOOKUP(AX$2,Valores!$H$2:$P$154,8,0)</f>
        <v>93223.8836361904</v>
      </c>
      <c r="AY33" s="27" t="n">
        <f aca="false">SUMIF($C$2:$F$2,EOMONTH(AY$2,-1)+1,$C33:$F33)*VLOOKUP(AY$2,Valores!$H$2:$P$154,8,0)</f>
        <v>121191.048727048</v>
      </c>
      <c r="AZ33" s="27" t="n">
        <f aca="false">SUMIF($C$2:$F$2,EOMONTH(AZ$2,-1)+1,$C33:$F33)*VLOOKUP(AZ$2,Valores!$H$2:$P$154,8,0)</f>
        <v>121191.048727048</v>
      </c>
      <c r="BA33" s="27" t="n">
        <f aca="false">SUMIF($C$2:$F$2,EOMONTH(BA$2,-1)+1,$C33:$F33)*VLOOKUP(BA$2,Valores!$H$2:$P$154,8,0)</f>
        <v>121191.048727048</v>
      </c>
      <c r="BB33" s="27" t="n">
        <f aca="false">SUMIF($C$2:$F$2,EOMONTH(BB$2,-1)+1,$C33:$F33)*VLOOKUP(BB$2,Valores!$H$2:$P$154,8,0)</f>
        <v>214414.932363238</v>
      </c>
      <c r="BC33" s="27" t="n">
        <f aca="false">SUMIF($C$2:$F$2,EOMONTH(BC$2,-1)+1,$C33:$F33)*VLOOKUP(BC$2,Valores!$H$2:$P$154,8,0)</f>
        <v>261026.874181333</v>
      </c>
      <c r="BD33" s="27" t="n">
        <f aca="false">SUMIF($C$2:$F$2,EOMONTH(BD$2,-1)+1,$C33:$F33)*VLOOKUP(BD$2,Valores!$H$2:$P$154,8,0)</f>
        <v>139835.825454286</v>
      </c>
      <c r="BE33" s="27" t="n">
        <f aca="false">SUMIF($C$2:$F$2,EOMONTH(BE$2,-1)+1,$C33:$F33)*VLOOKUP(BE$2,Valores!$H$2:$P$154,8,0)</f>
        <v>124298.511514921</v>
      </c>
      <c r="BF33" s="27" t="n">
        <f aca="false">SUMIF($C$2:$F$2,EOMONTH(BF$2,-1)+1,$C33:$F33)*VLOOKUP(BF$2,Valores!$H$2:$P$154,8,0)</f>
        <v>124298.511514921</v>
      </c>
      <c r="BG33" s="27" t="n">
        <f aca="false">SUMIF($C$2:$F$2,EOMONTH(BG$2,-1)+1,$C33:$F33)*VLOOKUP(BG$2,Valores!$H$2:$P$154,8,0)</f>
        <v>124298.511514921</v>
      </c>
      <c r="BH33" s="27" t="n">
        <f aca="false">SUMIF($C$2:$F$2,EOMONTH(BH$2,-1)+1,$C33:$F33)*VLOOKUP(BH$2,Valores!$H$2:$P$154,8,0)</f>
        <v>124298.511514921</v>
      </c>
      <c r="BI33" s="27" t="n">
        <f aca="false">SUMIF($C$2:$F$2,EOMONTH(BI$2,-1)+1,$C33:$F33)*VLOOKUP(BI$2,Valores!$H$2:$P$154,8,0)</f>
        <v>248597.023029841</v>
      </c>
      <c r="BJ33" s="27" t="n">
        <f aca="false">SUMIF($C$2:$F$2,EOMONTH(BJ$2,-1)+1,$C33:$F33)*VLOOKUP(BJ$2,Valores!$H$2:$P$154,8,0)</f>
        <v>310746.278787301</v>
      </c>
      <c r="BK33" s="27" t="n">
        <f aca="false">SUMIF($C$2:$F$2,EOMONTH(BK$2,-1)+1,$C33:$F33)*VLOOKUP(BK$2,Valores!$H$2:$P$154,8,0)</f>
        <v>149158.213817905</v>
      </c>
      <c r="BL33" s="27" t="n">
        <f aca="false">SUMIF($C$2:$F$2,EOMONTH(BL$2,-1)+1,$C33:$F33)*VLOOKUP(BL$2,Valores!$H$2:$P$154,8,0)</f>
        <v>109382.69013313</v>
      </c>
      <c r="BM33" s="27" t="n">
        <f aca="false">SUMIF($C$2:$F$2,EOMONTH(BM$2,-1)+1,$C33:$F33)*VLOOKUP(BM$2,Valores!$H$2:$P$154,8,0)</f>
        <v>109382.69013313</v>
      </c>
      <c r="BN33" s="27" t="n">
        <f aca="false">SUMIF($C$2:$F$2,EOMONTH(BN$2,-1)+1,$C33:$F33)*VLOOKUP(BN$2,Valores!$H$2:$P$154,8,0)</f>
        <v>109382.69013313</v>
      </c>
      <c r="BO33" s="27" t="n">
        <f aca="false">SUMIF($C$2:$F$2,EOMONTH(BO$2,-1)+1,$C33:$F33)*VLOOKUP(BO$2,Valores!$H$2:$P$154,8,0)</f>
        <v>114851.824639787</v>
      </c>
      <c r="BP33" s="27" t="n">
        <f aca="false">SUMIF($C$2:$F$2,EOMONTH(BP$2,-1)+1,$C33:$F33)*VLOOKUP(BP$2,Valores!$H$2:$P$154,8,0)</f>
        <v>289029.972618393</v>
      </c>
      <c r="BQ33" s="27" t="n">
        <f aca="false">SUMIF($C$2:$F$2,EOMONTH(BQ$2,-1)+1,$C33:$F33)*VLOOKUP(BQ$2,Valores!$H$2:$P$154,8,0)</f>
        <v>361287.465772992</v>
      </c>
      <c r="BR33" s="27" t="n">
        <f aca="false">SUMIF($C$2:$F$2,EOMONTH(BR$2,-1)+1,$C33:$F33)*VLOOKUP(BR$2,Valores!$H$2:$P$154,8,0)</f>
        <v>173417.983571036</v>
      </c>
      <c r="BS33" s="27" t="n">
        <f aca="false">SUMIF($C$2:$F$2,EOMONTH(BS$2,-1)+1,$C33:$F33)*VLOOKUP(BS$2,Valores!$H$2:$P$154,8,0)</f>
        <v>77418.7426656411</v>
      </c>
      <c r="BT33" s="27" t="n">
        <f aca="false">SUMIF($C$2:$F$2,EOMONTH(BT$2,-1)+1,$C33:$F33)*VLOOKUP(BT$2,Valores!$H$2:$P$154,8,0)</f>
        <v>77418.7426656411</v>
      </c>
      <c r="BU33" s="27" t="n">
        <f aca="false">SUMIF($C$2:$F$2,EOMONTH(BU$2,-1)+1,$C33:$F33)*VLOOKUP(BU$2,Valores!$H$2:$P$154,8,0)</f>
        <v>77418.7426656411</v>
      </c>
      <c r="BV33" s="27" t="n">
        <f aca="false">SUMIF($C$2:$F$2,EOMONTH(BV$2,-1)+1,$C33:$F33)*VLOOKUP(BV$2,Valores!$H$2:$P$154,8,0)</f>
        <v>77418.7426656411</v>
      </c>
      <c r="BW33" s="27" t="n">
        <f aca="false">SUMIF($C$2:$F$2,EOMONTH(BW$2,-1)+1,$C33:$F33)*VLOOKUP(BW$2,Valores!$H$2:$P$154,8,0)</f>
        <v>154837.485331282</v>
      </c>
      <c r="BX33" s="27" t="n">
        <f aca="false">SUMIF($C$2:$F$2,EOMONTH(BX$2,-1)+1,$C33:$F33)*VLOOKUP(BX$2,Valores!$H$2:$P$154,8,0)</f>
        <v>193546.856664103</v>
      </c>
      <c r="BY33" s="27" t="n">
        <f aca="false">SUMIF($C$2:$F$2,EOMONTH(BY$2,-1)+1,$C33:$F33)*VLOOKUP(BY$2,Valores!$H$2:$P$154,8,0)</f>
        <v>116128.113998462</v>
      </c>
      <c r="BZ33" s="27" t="n">
        <f aca="false">SUMIF($C$2:$F$2,EOMONTH(BZ$2,-1)+1,$C33:$F33)*VLOOKUP(BZ$2,Valores!$H$2:$P$154,8,0)</f>
        <v>77418.7426656411</v>
      </c>
      <c r="CA33" s="27" t="n">
        <f aca="false">SUMIF($C$2:$F$2,EOMONTH(CA$2,-1)+1,$C33:$F33)*VLOOKUP(CA$2,Valores!$H$2:$P$154,8,0)</f>
        <v>77418.7426656411</v>
      </c>
      <c r="CB33" s="27" t="n">
        <f aca="false">SUMIF($C$2:$F$2,EOMONTH(CB$2,-1)+1,$C33:$F33)*VLOOKUP(CB$2,Valores!$H$2:$P$154,8,0)</f>
        <v>77418.7426656411</v>
      </c>
      <c r="CC33" s="27" t="n">
        <f aca="false">SUMIF($C$2:$F$2,EOMONTH(CC$2,-1)+1,$C33:$F33)*VLOOKUP(CC$2,Valores!$H$2:$P$154,8,0)</f>
        <v>77418.7426656411</v>
      </c>
      <c r="CD33" s="27" t="n">
        <f aca="false">SUMIF($C$2:$F$2,EOMONTH(CD$2,-1)+1,$C33:$F33)*VLOOKUP(CD$2,Valores!$H$2:$P$154,8,0)</f>
        <v>232256.227996923</v>
      </c>
      <c r="CE33" s="27" t="n">
        <f aca="false">SUMIF($C$2:$F$2,EOMONTH(CE$2,-1)+1,$C33:$F33)*VLOOKUP(CE$2,Valores!$H$2:$P$154,8,0)</f>
        <v>309674.970662564</v>
      </c>
      <c r="CF33" s="27" t="n">
        <f aca="false">SUMIF($C$2:$F$2,EOMONTH(CF$2,-1)+1,$C33:$F33)*VLOOKUP(CF$2,Valores!$H$2:$P$154,8,0)</f>
        <v>193546.856664103</v>
      </c>
      <c r="CG33" s="27" t="n">
        <f aca="false">SUMIF($C$2:$F$2,EOMONTH(CG$2,-1)+1,$C33:$F33)*VLOOKUP(CG$2,Valores!$H$2:$P$154,8,0)</f>
        <v>103224.990220855</v>
      </c>
      <c r="CH33" s="27" t="n">
        <f aca="false">SUMIF($C$2:$F$2,EOMONTH(CH$2,-1)+1,$C33:$F33)*VLOOKUP(CH$2,Valores!$H$2:$P$154,8,0)</f>
        <v>103224.990220855</v>
      </c>
      <c r="CI33" s="27" t="n">
        <f aca="false">SUMIF($C$2:$F$2,EOMONTH(CI$2,-1)+1,$C33:$F33)*VLOOKUP(CI$2,Valores!$H$2:$P$154,8,0)</f>
        <v>103224.990220855</v>
      </c>
      <c r="CJ33" s="27" t="n">
        <f aca="false">SUMIF($C$2:$F$2,EOMONTH(CJ$2,-1)+1,$C33:$F33)*VLOOKUP(CJ$2,Valores!$H$2:$P$154,8,0)</f>
        <v>103224.990220855</v>
      </c>
      <c r="CK33" s="27" t="n">
        <f aca="false">SUMIF($C$2:$F$2,EOMONTH(CK$2,-1)+1,$C33:$F33)*VLOOKUP(CK$2,Valores!$H$2:$P$154,8,0)</f>
        <v>206449.98044171</v>
      </c>
      <c r="CL33" s="27" t="n">
        <f aca="false">SUMIF($C$2:$F$2,EOMONTH(CL$2,-1)+1,$C33:$F33)*VLOOKUP(CL$2,Valores!$H$2:$P$154,8,0)</f>
        <v>258062.475552137</v>
      </c>
      <c r="CM33" s="27" t="n">
        <f aca="false">SUMIF($C$2:$F$2,EOMONTH(CM$2,-1)+1,$C33:$F33)*VLOOKUP(CM$2,Valores!$H$2:$P$154,8,0)</f>
        <v>154837.485331282</v>
      </c>
      <c r="CN33" s="27" t="n">
        <f aca="false">SUMIF($C$2:$F$2,EOMONTH(CN$2,-1)+1,$C33:$F33)*VLOOKUP(CN$2,Valores!$H$2:$P$154,8,0)</f>
        <v>113547.48924294</v>
      </c>
      <c r="CO33" s="27" t="n">
        <f aca="false">SUMIF($C$2:$F$2,EOMONTH(CO$2,-1)+1,$C33:$F33)*VLOOKUP(CO$2,Valores!$H$2:$P$154,8,0)</f>
        <v>113547.48924294</v>
      </c>
      <c r="CP33" s="27" t="n">
        <f aca="false">SUMIF($C$2:$F$2,EOMONTH(CP$2,-1)+1,$C33:$F33)*VLOOKUP(CP$2,Valores!$H$2:$P$154,8,0)</f>
        <v>113547.48924294</v>
      </c>
      <c r="CQ33" s="27" t="n">
        <f aca="false">SUMIF($C$2:$F$2,EOMONTH(CQ$2,-1)+1,$C33:$F33)*VLOOKUP(CQ$2,Valores!$H$2:$P$154,8,0)</f>
        <v>113547.48924294</v>
      </c>
      <c r="CR33" s="27" t="n">
        <f aca="false">SUMIF($C$2:$F$2,EOMONTH(CR$2,-1)+1,$C33:$F33)*VLOOKUP(CR$2,Valores!$H$2:$P$154,8,0)</f>
        <v>227094.978485881</v>
      </c>
      <c r="CS33" s="27" t="n">
        <f aca="false">SUMIF($C$2:$F$2,EOMONTH(CS$2,-1)+1,$C33:$F33)*VLOOKUP(CS$2,Valores!$H$2:$P$154,8,0)</f>
        <v>340642.467728821</v>
      </c>
      <c r="CT33" s="27" t="e">
        <f aca="false">SUMIF($C$2:$F$2,EOMONTH(CT$2,-1)+1,$C33:$F33)*VLOOKUP(CT$2,Valores!$H$2:$P$154,8,0)</f>
        <v>#VALUE!</v>
      </c>
      <c r="CU33" s="27" t="e">
        <f aca="false">SUMIF($C$2:$F$2,EOMONTH(CU$2,-1)+1,$C33:$F33)*VLOOKUP(CU$2,Valores!$H$2:$P$154,8,0)</f>
        <v>#VALUE!</v>
      </c>
      <c r="CV33" s="27" t="e">
        <f aca="false">SUMIF($C$2:$F$2,EOMONTH(CV$2,-1)+1,$C33:$F33)*VLOOKUP(CV$2,Valores!$H$2:$P$154,8,0)</f>
        <v>#VALUE!</v>
      </c>
      <c r="CW33" s="27" t="e">
        <f aca="false">SUMIF($C$2:$F$2,EOMONTH(CW$2,-1)+1,$C33:$F33)*VLOOKUP(CW$2,Valores!$H$2:$P$154,8,0)</f>
        <v>#VALUE!</v>
      </c>
      <c r="CX33" s="27" t="e">
        <f aca="false">SUMIF($C$2:$F$2,EOMONTH(CX$2,-1)+1,$C33:$F33)*VLOOKUP(CX$2,Valores!$H$2:$P$154,8,0)</f>
        <v>#VALUE!</v>
      </c>
      <c r="CY33" s="27" t="e">
        <f aca="false">SUMIF($C$2:$F$2,EOMONTH(CY$2,-1)+1,$C33:$F33)*VLOOKUP(CY$2,Valores!$H$2:$P$154,8,0)</f>
        <v>#VALUE!</v>
      </c>
      <c r="CZ33" s="27" t="e">
        <f aca="false">SUMIF($C$2:$F$2,EOMONTH(CZ$2,-1)+1,$C33:$F33)*VLOOKUP(CZ$2,Valores!$H$2:$P$154,8,0)</f>
        <v>#VALUE!</v>
      </c>
      <c r="DA33" s="27" t="e">
        <f aca="false">SUMIF($C$2:$F$2,EOMONTH(DA$2,-1)+1,$C33:$F33)*VLOOKUP(DA$2,Valores!$H$2:$P$154,8,0)</f>
        <v>#VALUE!</v>
      </c>
      <c r="DB33" s="27" t="e">
        <f aca="false">SUMIF($C$2:$F$2,EOMONTH(DB$2,-1)+1,$C33:$F33)*VLOOKUP(DB$2,Valores!$H$2:$P$154,8,0)</f>
        <v>#VALUE!</v>
      </c>
      <c r="DC33" s="27" t="e">
        <f aca="false">SUMIF($C$2:$F$2,EOMONTH(DC$2,-1)+1,$C33:$F33)*VLOOKUP(DC$2,Valores!$H$2:$P$154,8,0)</f>
        <v>#VALUE!</v>
      </c>
      <c r="DD33" s="27" t="e">
        <f aca="false">SUMIF($C$2:$F$2,EOMONTH(DD$2,-1)+1,$C33:$F33)*VLOOKUP(DD$2,Valores!$H$2:$P$154,8,0)</f>
        <v>#VALUE!</v>
      </c>
      <c r="DE33" s="27" t="e">
        <f aca="false">SUMIF($C$2:$F$2,EOMONTH(DE$2,-1)+1,$C33:$F33)*VLOOKUP(DE$2,Valores!$H$2:$P$154,8,0)</f>
        <v>#VALUE!</v>
      </c>
      <c r="DF33" s="27" t="e">
        <f aca="false">SUMIF($C$2:$F$2,EOMONTH(DF$2,-1)+1,$C33:$F33)*VLOOKUP(DF$2,Valores!$H$2:$P$154,8,0)</f>
        <v>#VALUE!</v>
      </c>
      <c r="DG33" s="27" t="e">
        <f aca="false">SUMIF($C$2:$F$2,EOMONTH(DG$2,-1)+1,$C33:$F33)*VLOOKUP(DG$2,Valores!$H$2:$P$154,8,0)</f>
        <v>#VALUE!</v>
      </c>
      <c r="DH33" s="27" t="e">
        <f aca="false">SUMIF($C$2:$F$2,EOMONTH(DH$2,-1)+1,$C33:$F33)*VLOOKUP(DH$2,Valores!$H$2:$P$154,8,0)</f>
        <v>#VALUE!</v>
      </c>
      <c r="DI33" s="27" t="e">
        <f aca="false">SUMIF($C$2:$F$2,EOMONTH(DI$2,-1)+1,$C33:$F33)*VLOOKUP(DI$2,Valores!$H$2:$P$154,8,0)</f>
        <v>#VALUE!</v>
      </c>
      <c r="DJ33" s="27" t="e">
        <f aca="false">SUMIF($C$2:$F$2,EOMONTH(DJ$2,-1)+1,$C33:$F33)*VLOOKUP(DJ$2,Valores!$H$2:$P$154,8,0)</f>
        <v>#VALUE!</v>
      </c>
      <c r="DK33" s="27" t="e">
        <f aca="false">SUMIF($C$2:$F$2,EOMONTH(DK$2,-1)+1,$C33:$F33)*VLOOKUP(DK$2,Valores!$H$2:$P$154,8,0)</f>
        <v>#VALUE!</v>
      </c>
      <c r="DL33" s="27" t="e">
        <f aca="false">SUMIF($C$2:$F$2,EOMONTH(DL$2,-1)+1,$C33:$F33)*VLOOKUP(DL$2,Valores!$H$2:$P$154,8,0)</f>
        <v>#VALUE!</v>
      </c>
      <c r="DM33" s="27" t="e">
        <f aca="false">SUMIF($C$2:$F$2,EOMONTH(DM$2,-1)+1,$C33:$F33)*VLOOKUP(DM$2,Valores!$H$2:$P$154,8,0)</f>
        <v>#VALUE!</v>
      </c>
      <c r="DN33" s="27" t="e">
        <f aca="false">SUMIF($C$2:$F$2,EOMONTH(DN$2,-1)+1,$C33:$F33)*VLOOKUP(DN$2,Valores!$H$2:$P$154,8,0)</f>
        <v>#VALUE!</v>
      </c>
      <c r="DO33" s="27" t="e">
        <f aca="false">SUMIF($C$2:$F$2,EOMONTH(DO$2,-1)+1,$C33:$F33)*VLOOKUP(DO$2,Valores!$H$2:$P$154,8,0)</f>
        <v>#VALUE!</v>
      </c>
      <c r="DP33" s="27" t="e">
        <f aca="false">SUMIF($C$2:$F$2,EOMONTH(DP$2,-1)+1,$C33:$F33)*VLOOKUP(DP$2,Valores!$H$2:$P$154,8,0)</f>
        <v>#VALUE!</v>
      </c>
      <c r="DQ33" s="27" t="e">
        <f aca="false">SUMIF($C$2:$F$2,EOMONTH(DQ$2,-1)+1,$C33:$F33)*VLOOKUP(DQ$2,Valores!$H$2:$P$154,8,0)</f>
        <v>#VALUE!</v>
      </c>
      <c r="DR33" s="27" t="e">
        <f aca="false">SUMIF($C$2:$F$2,EOMONTH(DR$2,-1)+1,$C33:$F33)*VLOOKUP(DR$2,Valores!$H$2:$P$154,8,0)</f>
        <v>#VALUE!</v>
      </c>
      <c r="DS33" s="27" t="e">
        <f aca="false">SUMIF($C$2:$F$2,EOMONTH(DS$2,-1)+1,$C33:$F33)*VLOOKUP(DS$2,Valores!$H$2:$P$154,8,0)</f>
        <v>#VALUE!</v>
      </c>
      <c r="DT33" s="27" t="e">
        <f aca="false">SUMIF($C$2:$F$2,EOMONTH(DT$2,-1)+1,$C33:$F33)*VLOOKUP(DT$2,Valores!$H$2:$P$154,8,0)</f>
        <v>#VALUE!</v>
      </c>
      <c r="DU33" s="27" t="e">
        <f aca="false">SUMIF($C$2:$F$2,EOMONTH(DU$2,-1)+1,$C33:$F33)*VLOOKUP(DU$2,Valores!$H$2:$P$154,8,0)</f>
        <v>#VALUE!</v>
      </c>
      <c r="DV33" s="27" t="e">
        <f aca="false">SUMIF($C$2:$F$2,EOMONTH(DV$2,-1)+1,$C33:$F33)*VLOOKUP(DV$2,Valores!$H$2:$P$154,8,0)</f>
        <v>#VALUE!</v>
      </c>
      <c r="DW33" s="27" t="e">
        <f aca="false">SUMIF($C$2:$F$2,EOMONTH(DW$2,-1)+1,$C33:$F33)*VLOOKUP(DW$2,Valores!$H$2:$P$154,8,0)</f>
        <v>#VALUE!</v>
      </c>
      <c r="DX33" s="27" t="e">
        <f aca="false">SUMIF($C$2:$F$2,EOMONTH(DX$2,-1)+1,$C33:$F33)*VLOOKUP(DX$2,Valores!$H$2:$P$154,8,0)</f>
        <v>#VALUE!</v>
      </c>
    </row>
    <row r="34" customFormat="false" ht="13.8" hidden="false" customHeight="false" outlineLevel="0" collapsed="false">
      <c r="A34" s="29" t="s">
        <v>54</v>
      </c>
      <c r="B34" s="29" t="s">
        <v>56</v>
      </c>
      <c r="C34" s="29" t="n">
        <v>4551860</v>
      </c>
      <c r="D34" s="29" t="n">
        <v>4096674</v>
      </c>
      <c r="E34" s="29" t="n">
        <v>3687006.6</v>
      </c>
      <c r="F34" s="29" t="n">
        <v>3318305.94</v>
      </c>
      <c r="G34" s="30" t="n">
        <f aca="false">SUMIF($C$2:$F$2,EOMONTH(G$2,-1)+1,$C34:$F34)*VLOOKUP(G$2,Valores!$H$2:$P$154,8,0)</f>
        <v>131080.385058417</v>
      </c>
      <c r="H34" s="30" t="n">
        <f aca="false">SUMIF($C$2:$F$2,EOMONTH(H$2,-1)+1,$C34:$F34)*VLOOKUP(H$2,Valores!$H$2:$P$154,8,0)</f>
        <v>89883.6926114859</v>
      </c>
      <c r="I34" s="30" t="n">
        <f aca="false">SUMIF($C$2:$F$2,EOMONTH(I$2,-1)+1,$C34:$F34)*VLOOKUP(I$2,Valores!$H$2:$P$154,8,0)</f>
        <v>89883.6926114859</v>
      </c>
      <c r="J34" s="30" t="n">
        <f aca="false">SUMIF($C$2:$F$2,EOMONTH(J$2,-1)+1,$C34:$F34)*VLOOKUP(J$2,Valores!$H$2:$P$154,8,0)</f>
        <v>89883.6926114859</v>
      </c>
      <c r="K34" s="30" t="n">
        <f aca="false">SUMIF($C$2:$F$2,EOMONTH(K$2,-1)+1,$C34:$F34)*VLOOKUP(K$2,Valores!$H$2:$P$154,8,0)</f>
        <v>89883.6926114859</v>
      </c>
      <c r="L34" s="30" t="n">
        <f aca="false">SUMIF($C$2:$F$2,EOMONTH(L$2,-1)+1,$C34:$F34)*VLOOKUP(L$2,Valores!$H$2:$P$154,8,0)</f>
        <v>179767.385222972</v>
      </c>
      <c r="M34" s="30" t="n">
        <f aca="false">SUMIF($C$2:$F$2,EOMONTH(M$2,-1)+1,$C34:$F34)*VLOOKUP(M$2,Valores!$H$2:$P$154,8,0)</f>
        <v>224709.231528715</v>
      </c>
      <c r="N34" s="30" t="n">
        <f aca="false">SUMIF($C$2:$F$2,EOMONTH(N$2,-1)+1,$C34:$F34)*VLOOKUP(N$2,Valores!$H$2:$P$154,8,0)</f>
        <v>134825.538917229</v>
      </c>
      <c r="O34" s="30" t="n">
        <f aca="false">SUMIF($C$2:$F$2,EOMONTH(O$2,-1)+1,$C34:$F34)*VLOOKUP(O$2,Valores!$H$2:$P$154,8,0)</f>
        <v>119844.923481981</v>
      </c>
      <c r="P34" s="30" t="n">
        <f aca="false">SUMIF($C$2:$F$2,EOMONTH(P$2,-1)+1,$C34:$F34)*VLOOKUP(P$2,Valores!$H$2:$P$154,8,0)</f>
        <v>119844.923481981</v>
      </c>
      <c r="Q34" s="30" t="n">
        <f aca="false">SUMIF($C$2:$F$2,EOMONTH(Q$2,-1)+1,$C34:$F34)*VLOOKUP(Q$2,Valores!$H$2:$P$154,8,0)</f>
        <v>71906.9540891887</v>
      </c>
      <c r="R34" s="30" t="n">
        <f aca="false">SUMIF($C$2:$F$2,EOMONTH(R$2,-1)+1,$C34:$F34)*VLOOKUP(R$2,Valores!$H$2:$P$154,8,0)</f>
        <v>119844.923481981</v>
      </c>
      <c r="S34" s="30" t="n">
        <f aca="false">SUMIF($C$2:$F$2,EOMONTH(S$2,-1)+1,$C34:$F34)*VLOOKUP(S$2,Valores!$H$2:$P$154,8,0)</f>
        <v>239689.846963962</v>
      </c>
      <c r="T34" s="30" t="n">
        <f aca="false">SUMIF($C$2:$F$2,EOMONTH(T$2,-1)+1,$C34:$F34)*VLOOKUP(T$2,Valores!$H$2:$P$154,8,0)</f>
        <v>299612.308704953</v>
      </c>
      <c r="U34" s="30" t="n">
        <f aca="false">SUMIF($C$2:$F$2,EOMONTH(U$2,-1)+1,$C34:$F34)*VLOOKUP(U$2,Valores!$H$2:$P$154,8,0)</f>
        <v>179767.385222972</v>
      </c>
      <c r="V34" s="30" t="n">
        <f aca="false">SUMIF($C$2:$F$2,EOMONTH(V$2,-1)+1,$C34:$F34)*VLOOKUP(V$2,Valores!$H$2:$P$154,8,0)</f>
        <v>149806.154352477</v>
      </c>
      <c r="W34" s="30" t="n">
        <f aca="false">SUMIF($C$2:$F$2,EOMONTH(W$2,-1)+1,$C34:$F34)*VLOOKUP(W$2,Valores!$H$2:$P$154,8,0)</f>
        <v>149806.154352477</v>
      </c>
      <c r="X34" s="30" t="n">
        <f aca="false">SUMIF($C$2:$F$2,EOMONTH(X$2,-1)+1,$C34:$F34)*VLOOKUP(X$2,Valores!$H$2:$P$154,8,0)</f>
        <v>0</v>
      </c>
      <c r="Y34" s="30" t="n">
        <f aca="false">SUMIF($C$2:$F$2,EOMONTH(Y$2,-1)+1,$C34:$F34)*VLOOKUP(Y$2,Valores!$H$2:$P$154,8,0)</f>
        <v>0</v>
      </c>
      <c r="Z34" s="30" t="n">
        <f aca="false">SUMIF($C$2:$F$2,EOMONTH(Z$2,-1)+1,$C34:$F34)*VLOOKUP(Z$2,Valores!$H$2:$P$154,8,0)</f>
        <v>224709.231528715</v>
      </c>
      <c r="AA34" s="30" t="n">
        <f aca="false">SUMIF($C$2:$F$2,EOMONTH(AA$2,-1)+1,$C34:$F34)*VLOOKUP(AA$2,Valores!$H$2:$P$154,8,0)</f>
        <v>269651.077834458</v>
      </c>
      <c r="AB34" s="30" t="n">
        <f aca="false">SUMIF($C$2:$F$2,EOMONTH(AB$2,-1)+1,$C34:$F34)*VLOOKUP(AB$2,Valores!$H$2:$P$154,8,0)</f>
        <v>134825.538917229</v>
      </c>
      <c r="AC34" s="30" t="n">
        <f aca="false">SUMIF($C$2:$F$2,EOMONTH(AC$2,-1)+1,$C34:$F34)*VLOOKUP(AC$2,Valores!$H$2:$P$154,8,0)</f>
        <v>164786.769787724</v>
      </c>
      <c r="AD34" s="30" t="n">
        <f aca="false">SUMIF($C$2:$F$2,EOMONTH(AD$2,-1)+1,$C34:$F34)*VLOOKUP(AD$2,Valores!$H$2:$P$154,8,0)</f>
        <v>164786.769787724</v>
      </c>
      <c r="AE34" s="30" t="n">
        <f aca="false">SUMIF($C$2:$F$2,EOMONTH(AE$2,-1)+1,$C34:$F34)*VLOOKUP(AE$2,Valores!$H$2:$P$154,8,0)</f>
        <v>164786.769787724</v>
      </c>
      <c r="AF34" s="30" t="n">
        <f aca="false">SUMIF($C$2:$F$2,EOMONTH(AF$2,-1)+1,$C34:$F34)*VLOOKUP(AF$2,Valores!$H$2:$P$154,8,0)</f>
        <v>164786.769787724</v>
      </c>
      <c r="AG34" s="30" t="n">
        <f aca="false">SUMIF($C$2:$F$2,EOMONTH(AG$2,-1)+1,$C34:$F34)*VLOOKUP(AG$2,Valores!$H$2:$P$154,8,0)</f>
        <v>263658.831660359</v>
      </c>
      <c r="AH34" s="30" t="n">
        <f aca="false">SUMIF($C$2:$F$2,EOMONTH(AH$2,-1)+1,$C34:$F34)*VLOOKUP(AH$2,Valores!$H$2:$P$154,8,0)</f>
        <v>329573.539575448</v>
      </c>
      <c r="AI34" s="30" t="n">
        <f aca="false">SUMIF($C$2:$F$2,EOMONTH(AI$2,-1)+1,$C34:$F34)*VLOOKUP(AI$2,Valores!$H$2:$P$154,8,0)</f>
        <v>115350.738851407</v>
      </c>
      <c r="AJ34" s="30" t="n">
        <f aca="false">SUMIF($C$2:$F$2,EOMONTH(AJ$2,-1)+1,$C34:$F34)*VLOOKUP(AJ$2,Valores!$H$2:$P$154,8,0)</f>
        <v>74903.0771762383</v>
      </c>
      <c r="AK34" s="30" t="n">
        <f aca="false">SUMIF($C$2:$F$2,EOMONTH(AK$2,-1)+1,$C34:$F34)*VLOOKUP(AK$2,Valores!$H$2:$P$154,8,0)</f>
        <v>136591.573983662</v>
      </c>
      <c r="AL34" s="30" t="n">
        <f aca="false">SUMIF($C$2:$F$2,EOMONTH(AL$2,-1)+1,$C34:$F34)*VLOOKUP(AL$2,Valores!$H$2:$P$154,8,0)</f>
        <v>136591.573983662</v>
      </c>
      <c r="AM34" s="30" t="n">
        <f aca="false">SUMIF($C$2:$F$2,EOMONTH(AM$2,-1)+1,$C34:$F34)*VLOOKUP(AM$2,Valores!$H$2:$P$154,8,0)</f>
        <v>136591.573983662</v>
      </c>
      <c r="AN34" s="30" t="n">
        <f aca="false">SUMIF($C$2:$F$2,EOMONTH(AN$2,-1)+1,$C34:$F34)*VLOOKUP(AN$2,Valores!$H$2:$P$154,8,0)</f>
        <v>273183.147967325</v>
      </c>
      <c r="AO34" s="30" t="n">
        <f aca="false">SUMIF($C$2:$F$2,EOMONTH(AO$2,-1)+1,$C34:$F34)*VLOOKUP(AO$2,Valores!$H$2:$P$154,8,0)</f>
        <v>341478.934959156</v>
      </c>
      <c r="AP34" s="30" t="n">
        <f aca="false">SUMIF($C$2:$F$2,EOMONTH(AP$2,-1)+1,$C34:$F34)*VLOOKUP(AP$2,Valores!$H$2:$P$154,8,0)</f>
        <v>204887.360975494</v>
      </c>
      <c r="AQ34" s="30" t="n">
        <f aca="false">SUMIF($C$2:$F$2,EOMONTH(AQ$2,-1)+1,$C34:$F34)*VLOOKUP(AQ$2,Valores!$H$2:$P$154,8,0)</f>
        <v>73174.0574912477</v>
      </c>
      <c r="AR34" s="30" t="n">
        <f aca="false">SUMIF($C$2:$F$2,EOMONTH(AR$2,-1)+1,$C34:$F34)*VLOOKUP(AR$2,Valores!$H$2:$P$154,8,0)</f>
        <v>73174.0574912477</v>
      </c>
      <c r="AS34" s="30" t="n">
        <f aca="false">SUMIF($C$2:$F$2,EOMONTH(AS$2,-1)+1,$C34:$F34)*VLOOKUP(AS$2,Valores!$H$2:$P$154,8,0)</f>
        <v>73174.0574912477</v>
      </c>
      <c r="AT34" s="30" t="n">
        <f aca="false">SUMIF($C$2:$F$2,EOMONTH(AT$2,-1)+1,$C34:$F34)*VLOOKUP(AT$2,Valores!$H$2:$P$154,8,0)</f>
        <v>73174.0574912477</v>
      </c>
      <c r="AU34" s="30" t="n">
        <f aca="false">SUMIF($C$2:$F$2,EOMONTH(AU$2,-1)+1,$C34:$F34)*VLOOKUP(AU$2,Valores!$H$2:$P$154,8,0)</f>
        <v>146348.114982495</v>
      </c>
      <c r="AV34" s="30" t="n">
        <f aca="false">SUMIF($C$2:$F$2,EOMONTH(AV$2,-1)+1,$C34:$F34)*VLOOKUP(AV$2,Valores!$H$2:$P$154,8,0)</f>
        <v>182935.143728119</v>
      </c>
      <c r="AW34" s="30" t="n">
        <f aca="false">SUMIF($C$2:$F$2,EOMONTH(AW$2,-1)+1,$C34:$F34)*VLOOKUP(AW$2,Valores!$H$2:$P$154,8,0)</f>
        <v>109761.086236872</v>
      </c>
      <c r="AX34" s="30" t="n">
        <f aca="false">SUMIF($C$2:$F$2,EOMONTH(AX$2,-1)+1,$C34:$F34)*VLOOKUP(AX$2,Valores!$H$2:$P$154,8,0)</f>
        <v>73174.0574912477</v>
      </c>
      <c r="AY34" s="30" t="n">
        <f aca="false">SUMIF($C$2:$F$2,EOMONTH(AY$2,-1)+1,$C34:$F34)*VLOOKUP(AY$2,Valores!$H$2:$P$154,8,0)</f>
        <v>95126.274738622</v>
      </c>
      <c r="AZ34" s="30" t="n">
        <f aca="false">SUMIF($C$2:$F$2,EOMONTH(AZ$2,-1)+1,$C34:$F34)*VLOOKUP(AZ$2,Valores!$H$2:$P$154,8,0)</f>
        <v>95126.274738622</v>
      </c>
      <c r="BA34" s="30" t="n">
        <f aca="false">SUMIF($C$2:$F$2,EOMONTH(BA$2,-1)+1,$C34:$F34)*VLOOKUP(BA$2,Valores!$H$2:$P$154,8,0)</f>
        <v>95126.274738622</v>
      </c>
      <c r="BB34" s="30" t="n">
        <f aca="false">SUMIF($C$2:$F$2,EOMONTH(BB$2,-1)+1,$C34:$F34)*VLOOKUP(BB$2,Valores!$H$2:$P$154,8,0)</f>
        <v>168300.33222987</v>
      </c>
      <c r="BC34" s="30" t="n">
        <f aca="false">SUMIF($C$2:$F$2,EOMONTH(BC$2,-1)+1,$C34:$F34)*VLOOKUP(BC$2,Valores!$H$2:$P$154,8,0)</f>
        <v>204887.360975494</v>
      </c>
      <c r="BD34" s="30" t="n">
        <f aca="false">SUMIF($C$2:$F$2,EOMONTH(BD$2,-1)+1,$C34:$F34)*VLOOKUP(BD$2,Valores!$H$2:$P$154,8,0)</f>
        <v>109761.086236872</v>
      </c>
      <c r="BE34" s="30" t="n">
        <f aca="false">SUMIF($C$2:$F$2,EOMONTH(BE$2,-1)+1,$C34:$F34)*VLOOKUP(BE$2,Valores!$H$2:$P$154,8,0)</f>
        <v>97565.4099883303</v>
      </c>
      <c r="BF34" s="30" t="n">
        <f aca="false">SUMIF($C$2:$F$2,EOMONTH(BF$2,-1)+1,$C34:$F34)*VLOOKUP(BF$2,Valores!$H$2:$P$154,8,0)</f>
        <v>97565.4099883303</v>
      </c>
      <c r="BG34" s="30" t="n">
        <f aca="false">SUMIF($C$2:$F$2,EOMONTH(BG$2,-1)+1,$C34:$F34)*VLOOKUP(BG$2,Valores!$H$2:$P$154,8,0)</f>
        <v>97565.4099883303</v>
      </c>
      <c r="BH34" s="30" t="n">
        <f aca="false">SUMIF($C$2:$F$2,EOMONTH(BH$2,-1)+1,$C34:$F34)*VLOOKUP(BH$2,Valores!$H$2:$P$154,8,0)</f>
        <v>97565.4099883303</v>
      </c>
      <c r="BI34" s="30" t="n">
        <f aca="false">SUMIF($C$2:$F$2,EOMONTH(BI$2,-1)+1,$C34:$F34)*VLOOKUP(BI$2,Valores!$H$2:$P$154,8,0)</f>
        <v>195130.819976661</v>
      </c>
      <c r="BJ34" s="30" t="n">
        <f aca="false">SUMIF($C$2:$F$2,EOMONTH(BJ$2,-1)+1,$C34:$F34)*VLOOKUP(BJ$2,Valores!$H$2:$P$154,8,0)</f>
        <v>243913.524970826</v>
      </c>
      <c r="BK34" s="30" t="n">
        <f aca="false">SUMIF($C$2:$F$2,EOMONTH(BK$2,-1)+1,$C34:$F34)*VLOOKUP(BK$2,Valores!$H$2:$P$154,8,0)</f>
        <v>117078.491985996</v>
      </c>
      <c r="BL34" s="30" t="n">
        <f aca="false">SUMIF($C$2:$F$2,EOMONTH(BL$2,-1)+1,$C34:$F34)*VLOOKUP(BL$2,Valores!$H$2:$P$154,8,0)</f>
        <v>85857.5607897306</v>
      </c>
      <c r="BM34" s="30" t="n">
        <f aca="false">SUMIF($C$2:$F$2,EOMONTH(BM$2,-1)+1,$C34:$F34)*VLOOKUP(BM$2,Valores!$H$2:$P$154,8,0)</f>
        <v>85857.5607897306</v>
      </c>
      <c r="BN34" s="30" t="n">
        <f aca="false">SUMIF($C$2:$F$2,EOMONTH(BN$2,-1)+1,$C34:$F34)*VLOOKUP(BN$2,Valores!$H$2:$P$154,8,0)</f>
        <v>85857.5607897306</v>
      </c>
      <c r="BO34" s="30" t="n">
        <f aca="false">SUMIF($C$2:$F$2,EOMONTH(BO$2,-1)+1,$C34:$F34)*VLOOKUP(BO$2,Valores!$H$2:$P$154,8,0)</f>
        <v>90150.4388292172</v>
      </c>
      <c r="BP34" s="30" t="n">
        <f aca="false">SUMIF($C$2:$F$2,EOMONTH(BP$2,-1)+1,$C34:$F34)*VLOOKUP(BP$2,Valores!$H$2:$P$154,8,0)</f>
        <v>226867.783320514</v>
      </c>
      <c r="BQ34" s="30" t="n">
        <f aca="false">SUMIF($C$2:$F$2,EOMONTH(BQ$2,-1)+1,$C34:$F34)*VLOOKUP(BQ$2,Valores!$H$2:$P$154,8,0)</f>
        <v>283584.729150643</v>
      </c>
      <c r="BR34" s="30" t="n">
        <f aca="false">SUMIF($C$2:$F$2,EOMONTH(BR$2,-1)+1,$C34:$F34)*VLOOKUP(BR$2,Valores!$H$2:$P$154,8,0)</f>
        <v>136120.669992308</v>
      </c>
      <c r="BS34" s="30" t="n">
        <f aca="false">SUMIF($C$2:$F$2,EOMONTH(BS$2,-1)+1,$C34:$F34)*VLOOKUP(BS$2,Valores!$H$2:$P$154,8,0)</f>
        <v>60768.1562465663</v>
      </c>
      <c r="BT34" s="30" t="n">
        <f aca="false">SUMIF($C$2:$F$2,EOMONTH(BT$2,-1)+1,$C34:$F34)*VLOOKUP(BT$2,Valores!$H$2:$P$154,8,0)</f>
        <v>60768.1562465663</v>
      </c>
      <c r="BU34" s="30" t="n">
        <f aca="false">SUMIF($C$2:$F$2,EOMONTH(BU$2,-1)+1,$C34:$F34)*VLOOKUP(BU$2,Valores!$H$2:$P$154,8,0)</f>
        <v>60768.1562465663</v>
      </c>
      <c r="BV34" s="30" t="n">
        <f aca="false">SUMIF($C$2:$F$2,EOMONTH(BV$2,-1)+1,$C34:$F34)*VLOOKUP(BV$2,Valores!$H$2:$P$154,8,0)</f>
        <v>60768.1562465663</v>
      </c>
      <c r="BW34" s="30" t="n">
        <f aca="false">SUMIF($C$2:$F$2,EOMONTH(BW$2,-1)+1,$C34:$F34)*VLOOKUP(BW$2,Valores!$H$2:$P$154,8,0)</f>
        <v>121536.312493133</v>
      </c>
      <c r="BX34" s="30" t="n">
        <f aca="false">SUMIF($C$2:$F$2,EOMONTH(BX$2,-1)+1,$C34:$F34)*VLOOKUP(BX$2,Valores!$H$2:$P$154,8,0)</f>
        <v>151920.390616416</v>
      </c>
      <c r="BY34" s="30" t="n">
        <f aca="false">SUMIF($C$2:$F$2,EOMONTH(BY$2,-1)+1,$C34:$F34)*VLOOKUP(BY$2,Valores!$H$2:$P$154,8,0)</f>
        <v>91152.2343698494</v>
      </c>
      <c r="BZ34" s="30" t="n">
        <f aca="false">SUMIF($C$2:$F$2,EOMONTH(BZ$2,-1)+1,$C34:$F34)*VLOOKUP(BZ$2,Valores!$H$2:$P$154,8,0)</f>
        <v>60768.1562465663</v>
      </c>
      <c r="CA34" s="30" t="n">
        <f aca="false">SUMIF($C$2:$F$2,EOMONTH(CA$2,-1)+1,$C34:$F34)*VLOOKUP(CA$2,Valores!$H$2:$P$154,8,0)</f>
        <v>60768.1562465663</v>
      </c>
      <c r="CB34" s="30" t="n">
        <f aca="false">SUMIF($C$2:$F$2,EOMONTH(CB$2,-1)+1,$C34:$F34)*VLOOKUP(CB$2,Valores!$H$2:$P$154,8,0)</f>
        <v>60768.1562465663</v>
      </c>
      <c r="CC34" s="30" t="n">
        <f aca="false">SUMIF($C$2:$F$2,EOMONTH(CC$2,-1)+1,$C34:$F34)*VLOOKUP(CC$2,Valores!$H$2:$P$154,8,0)</f>
        <v>60768.1562465663</v>
      </c>
      <c r="CD34" s="30" t="n">
        <f aca="false">SUMIF($C$2:$F$2,EOMONTH(CD$2,-1)+1,$C34:$F34)*VLOOKUP(CD$2,Valores!$H$2:$P$154,8,0)</f>
        <v>182304.468739699</v>
      </c>
      <c r="CE34" s="30" t="n">
        <f aca="false">SUMIF($C$2:$F$2,EOMONTH(CE$2,-1)+1,$C34:$F34)*VLOOKUP(CE$2,Valores!$H$2:$P$154,8,0)</f>
        <v>243072.624986265</v>
      </c>
      <c r="CF34" s="30" t="n">
        <f aca="false">SUMIF($C$2:$F$2,EOMONTH(CF$2,-1)+1,$C34:$F34)*VLOOKUP(CF$2,Valores!$H$2:$P$154,8,0)</f>
        <v>151920.390616416</v>
      </c>
      <c r="CG34" s="30" t="n">
        <f aca="false">SUMIF($C$2:$F$2,EOMONTH(CG$2,-1)+1,$C34:$F34)*VLOOKUP(CG$2,Valores!$H$2:$P$154,8,0)</f>
        <v>81024.2083287551</v>
      </c>
      <c r="CH34" s="30" t="n">
        <f aca="false">SUMIF($C$2:$F$2,EOMONTH(CH$2,-1)+1,$C34:$F34)*VLOOKUP(CH$2,Valores!$H$2:$P$154,8,0)</f>
        <v>81024.2083287551</v>
      </c>
      <c r="CI34" s="30" t="n">
        <f aca="false">SUMIF($C$2:$F$2,EOMONTH(CI$2,-1)+1,$C34:$F34)*VLOOKUP(CI$2,Valores!$H$2:$P$154,8,0)</f>
        <v>81024.2083287551</v>
      </c>
      <c r="CJ34" s="30" t="n">
        <f aca="false">SUMIF($C$2:$F$2,EOMONTH(CJ$2,-1)+1,$C34:$F34)*VLOOKUP(CJ$2,Valores!$H$2:$P$154,8,0)</f>
        <v>81024.2083287551</v>
      </c>
      <c r="CK34" s="30" t="n">
        <f aca="false">SUMIF($C$2:$F$2,EOMONTH(CK$2,-1)+1,$C34:$F34)*VLOOKUP(CK$2,Valores!$H$2:$P$154,8,0)</f>
        <v>162048.41665751</v>
      </c>
      <c r="CL34" s="30" t="n">
        <f aca="false">SUMIF($C$2:$F$2,EOMONTH(CL$2,-1)+1,$C34:$F34)*VLOOKUP(CL$2,Valores!$H$2:$P$154,8,0)</f>
        <v>202560.520821888</v>
      </c>
      <c r="CM34" s="30" t="n">
        <f aca="false">SUMIF($C$2:$F$2,EOMONTH(CM$2,-1)+1,$C34:$F34)*VLOOKUP(CM$2,Valores!$H$2:$P$154,8,0)</f>
        <v>121536.312493133</v>
      </c>
      <c r="CN34" s="30" t="n">
        <f aca="false">SUMIF($C$2:$F$2,EOMONTH(CN$2,-1)+1,$C34:$F34)*VLOOKUP(CN$2,Valores!$H$2:$P$154,8,0)</f>
        <v>89126.6291616306</v>
      </c>
      <c r="CO34" s="30" t="n">
        <f aca="false">SUMIF($C$2:$F$2,EOMONTH(CO$2,-1)+1,$C34:$F34)*VLOOKUP(CO$2,Valores!$H$2:$P$154,8,0)</f>
        <v>89126.6291616306</v>
      </c>
      <c r="CP34" s="30" t="n">
        <f aca="false">SUMIF($C$2:$F$2,EOMONTH(CP$2,-1)+1,$C34:$F34)*VLOOKUP(CP$2,Valores!$H$2:$P$154,8,0)</f>
        <v>89126.6291616306</v>
      </c>
      <c r="CQ34" s="30" t="n">
        <f aca="false">SUMIF($C$2:$F$2,EOMONTH(CQ$2,-1)+1,$C34:$F34)*VLOOKUP(CQ$2,Valores!$H$2:$P$154,8,0)</f>
        <v>89126.6291616306</v>
      </c>
      <c r="CR34" s="30" t="n">
        <f aca="false">SUMIF($C$2:$F$2,EOMONTH(CR$2,-1)+1,$C34:$F34)*VLOOKUP(CR$2,Valores!$H$2:$P$154,8,0)</f>
        <v>178253.258323261</v>
      </c>
      <c r="CS34" s="30" t="n">
        <f aca="false">SUMIF($C$2:$F$2,EOMONTH(CS$2,-1)+1,$C34:$F34)*VLOOKUP(CS$2,Valores!$H$2:$P$154,8,0)</f>
        <v>267379.887484892</v>
      </c>
      <c r="CT34" s="30" t="e">
        <f aca="false">SUMIF($C$2:$F$2,EOMONTH(CT$2,-1)+1,$C34:$F34)*VLOOKUP(CT$2,Valores!$H$2:$P$154,8,0)</f>
        <v>#VALUE!</v>
      </c>
      <c r="CU34" s="30" t="e">
        <f aca="false">SUMIF($C$2:$F$2,EOMONTH(CU$2,-1)+1,$C34:$F34)*VLOOKUP(CU$2,Valores!$H$2:$P$154,8,0)</f>
        <v>#VALUE!</v>
      </c>
      <c r="CV34" s="30" t="e">
        <f aca="false">SUMIF($C$2:$F$2,EOMONTH(CV$2,-1)+1,$C34:$F34)*VLOOKUP(CV$2,Valores!$H$2:$P$154,8,0)</f>
        <v>#VALUE!</v>
      </c>
      <c r="CW34" s="30" t="e">
        <f aca="false">SUMIF($C$2:$F$2,EOMONTH(CW$2,-1)+1,$C34:$F34)*VLOOKUP(CW$2,Valores!$H$2:$P$154,8,0)</f>
        <v>#VALUE!</v>
      </c>
      <c r="CX34" s="30" t="e">
        <f aca="false">SUMIF($C$2:$F$2,EOMONTH(CX$2,-1)+1,$C34:$F34)*VLOOKUP(CX$2,Valores!$H$2:$P$154,8,0)</f>
        <v>#VALUE!</v>
      </c>
      <c r="CY34" s="30" t="e">
        <f aca="false">SUMIF($C$2:$F$2,EOMONTH(CY$2,-1)+1,$C34:$F34)*VLOOKUP(CY$2,Valores!$H$2:$P$154,8,0)</f>
        <v>#VALUE!</v>
      </c>
      <c r="CZ34" s="30" t="e">
        <f aca="false">SUMIF($C$2:$F$2,EOMONTH(CZ$2,-1)+1,$C34:$F34)*VLOOKUP(CZ$2,Valores!$H$2:$P$154,8,0)</f>
        <v>#VALUE!</v>
      </c>
      <c r="DA34" s="30" t="e">
        <f aca="false">SUMIF($C$2:$F$2,EOMONTH(DA$2,-1)+1,$C34:$F34)*VLOOKUP(DA$2,Valores!$H$2:$P$154,8,0)</f>
        <v>#VALUE!</v>
      </c>
      <c r="DB34" s="30" t="e">
        <f aca="false">SUMIF($C$2:$F$2,EOMONTH(DB$2,-1)+1,$C34:$F34)*VLOOKUP(DB$2,Valores!$H$2:$P$154,8,0)</f>
        <v>#VALUE!</v>
      </c>
      <c r="DC34" s="30" t="e">
        <f aca="false">SUMIF($C$2:$F$2,EOMONTH(DC$2,-1)+1,$C34:$F34)*VLOOKUP(DC$2,Valores!$H$2:$P$154,8,0)</f>
        <v>#VALUE!</v>
      </c>
      <c r="DD34" s="30" t="e">
        <f aca="false">SUMIF($C$2:$F$2,EOMONTH(DD$2,-1)+1,$C34:$F34)*VLOOKUP(DD$2,Valores!$H$2:$P$154,8,0)</f>
        <v>#VALUE!</v>
      </c>
      <c r="DE34" s="30" t="e">
        <f aca="false">SUMIF($C$2:$F$2,EOMONTH(DE$2,-1)+1,$C34:$F34)*VLOOKUP(DE$2,Valores!$H$2:$P$154,8,0)</f>
        <v>#VALUE!</v>
      </c>
      <c r="DF34" s="30" t="e">
        <f aca="false">SUMIF($C$2:$F$2,EOMONTH(DF$2,-1)+1,$C34:$F34)*VLOOKUP(DF$2,Valores!$H$2:$P$154,8,0)</f>
        <v>#VALUE!</v>
      </c>
      <c r="DG34" s="30" t="e">
        <f aca="false">SUMIF($C$2:$F$2,EOMONTH(DG$2,-1)+1,$C34:$F34)*VLOOKUP(DG$2,Valores!$H$2:$P$154,8,0)</f>
        <v>#VALUE!</v>
      </c>
      <c r="DH34" s="30" t="e">
        <f aca="false">SUMIF($C$2:$F$2,EOMONTH(DH$2,-1)+1,$C34:$F34)*VLOOKUP(DH$2,Valores!$H$2:$P$154,8,0)</f>
        <v>#VALUE!</v>
      </c>
      <c r="DI34" s="30" t="e">
        <f aca="false">SUMIF($C$2:$F$2,EOMONTH(DI$2,-1)+1,$C34:$F34)*VLOOKUP(DI$2,Valores!$H$2:$P$154,8,0)</f>
        <v>#VALUE!</v>
      </c>
      <c r="DJ34" s="30" t="e">
        <f aca="false">SUMIF($C$2:$F$2,EOMONTH(DJ$2,-1)+1,$C34:$F34)*VLOOKUP(DJ$2,Valores!$H$2:$P$154,8,0)</f>
        <v>#VALUE!</v>
      </c>
      <c r="DK34" s="30" t="e">
        <f aca="false">SUMIF($C$2:$F$2,EOMONTH(DK$2,-1)+1,$C34:$F34)*VLOOKUP(DK$2,Valores!$H$2:$P$154,8,0)</f>
        <v>#VALUE!</v>
      </c>
      <c r="DL34" s="30" t="e">
        <f aca="false">SUMIF($C$2:$F$2,EOMONTH(DL$2,-1)+1,$C34:$F34)*VLOOKUP(DL$2,Valores!$H$2:$P$154,8,0)</f>
        <v>#VALUE!</v>
      </c>
      <c r="DM34" s="30" t="e">
        <f aca="false">SUMIF($C$2:$F$2,EOMONTH(DM$2,-1)+1,$C34:$F34)*VLOOKUP(DM$2,Valores!$H$2:$P$154,8,0)</f>
        <v>#VALUE!</v>
      </c>
      <c r="DN34" s="30" t="e">
        <f aca="false">SUMIF($C$2:$F$2,EOMONTH(DN$2,-1)+1,$C34:$F34)*VLOOKUP(DN$2,Valores!$H$2:$P$154,8,0)</f>
        <v>#VALUE!</v>
      </c>
      <c r="DO34" s="30" t="e">
        <f aca="false">SUMIF($C$2:$F$2,EOMONTH(DO$2,-1)+1,$C34:$F34)*VLOOKUP(DO$2,Valores!$H$2:$P$154,8,0)</f>
        <v>#VALUE!</v>
      </c>
      <c r="DP34" s="30" t="e">
        <f aca="false">SUMIF($C$2:$F$2,EOMONTH(DP$2,-1)+1,$C34:$F34)*VLOOKUP(DP$2,Valores!$H$2:$P$154,8,0)</f>
        <v>#VALUE!</v>
      </c>
      <c r="DQ34" s="30" t="e">
        <f aca="false">SUMIF($C$2:$F$2,EOMONTH(DQ$2,-1)+1,$C34:$F34)*VLOOKUP(DQ$2,Valores!$H$2:$P$154,8,0)</f>
        <v>#VALUE!</v>
      </c>
      <c r="DR34" s="30" t="e">
        <f aca="false">SUMIF($C$2:$F$2,EOMONTH(DR$2,-1)+1,$C34:$F34)*VLOOKUP(DR$2,Valores!$H$2:$P$154,8,0)</f>
        <v>#VALUE!</v>
      </c>
      <c r="DS34" s="30" t="e">
        <f aca="false">SUMIF($C$2:$F$2,EOMONTH(DS$2,-1)+1,$C34:$F34)*VLOOKUP(DS$2,Valores!$H$2:$P$154,8,0)</f>
        <v>#VALUE!</v>
      </c>
      <c r="DT34" s="30" t="e">
        <f aca="false">SUMIF($C$2:$F$2,EOMONTH(DT$2,-1)+1,$C34:$F34)*VLOOKUP(DT$2,Valores!$H$2:$P$154,8,0)</f>
        <v>#VALUE!</v>
      </c>
      <c r="DU34" s="30" t="e">
        <f aca="false">SUMIF($C$2:$F$2,EOMONTH(DU$2,-1)+1,$C34:$F34)*VLOOKUP(DU$2,Valores!$H$2:$P$154,8,0)</f>
        <v>#VALUE!</v>
      </c>
      <c r="DV34" s="30" t="e">
        <f aca="false">SUMIF($C$2:$F$2,EOMONTH(DV$2,-1)+1,$C34:$F34)*VLOOKUP(DV$2,Valores!$H$2:$P$154,8,0)</f>
        <v>#VALUE!</v>
      </c>
      <c r="DW34" s="30" t="e">
        <f aca="false">SUMIF($C$2:$F$2,EOMONTH(DW$2,-1)+1,$C34:$F34)*VLOOKUP(DW$2,Valores!$H$2:$P$154,8,0)</f>
        <v>#VALUE!</v>
      </c>
      <c r="DX34" s="30" t="e">
        <f aca="false">SUMIF($C$2:$F$2,EOMONTH(DX$2,-1)+1,$C34:$F34)*VLOOKUP(DX$2,Valores!$H$2:$P$154,8,0)</f>
        <v>#VALUE!</v>
      </c>
    </row>
    <row r="35" customFormat="false" ht="13.8" hidden="false" customHeight="false" outlineLevel="0" collapsed="false">
      <c r="A35" s="31" t="s">
        <v>54</v>
      </c>
      <c r="B35" s="31" t="s">
        <v>57</v>
      </c>
      <c r="C35" s="31" t="n">
        <v>4339544</v>
      </c>
      <c r="D35" s="31" t="n">
        <v>3905589.6</v>
      </c>
      <c r="E35" s="31" t="n">
        <v>3515030.64</v>
      </c>
      <c r="F35" s="31" t="n">
        <v>3163527.576</v>
      </c>
      <c r="G35" s="27" t="n">
        <f aca="false">SUMIF($C$2:$F$2,EOMONTH(G$2,-1)+1,$C35:$F35)*VLOOKUP(G$2,Valores!$H$2:$P$154,8,0)</f>
        <v>124966.29916077</v>
      </c>
      <c r="H35" s="27" t="n">
        <f aca="false">SUMIF($C$2:$F$2,EOMONTH(H$2,-1)+1,$C35:$F35)*VLOOKUP(H$2,Valores!$H$2:$P$154,8,0)</f>
        <v>85691.1765673852</v>
      </c>
      <c r="I35" s="27" t="n">
        <f aca="false">SUMIF($C$2:$F$2,EOMONTH(I$2,-1)+1,$C35:$F35)*VLOOKUP(I$2,Valores!$H$2:$P$154,8,0)</f>
        <v>85691.1765673852</v>
      </c>
      <c r="J35" s="27" t="n">
        <f aca="false">SUMIF($C$2:$F$2,EOMONTH(J$2,-1)+1,$C35:$F35)*VLOOKUP(J$2,Valores!$H$2:$P$154,8,0)</f>
        <v>85691.1765673852</v>
      </c>
      <c r="K35" s="27" t="n">
        <f aca="false">SUMIF($C$2:$F$2,EOMONTH(K$2,-1)+1,$C35:$F35)*VLOOKUP(K$2,Valores!$H$2:$P$154,8,0)</f>
        <v>85691.1765673852</v>
      </c>
      <c r="L35" s="27" t="n">
        <f aca="false">SUMIF($C$2:$F$2,EOMONTH(L$2,-1)+1,$C35:$F35)*VLOOKUP(L$2,Valores!$H$2:$P$154,8,0)</f>
        <v>171382.35313477</v>
      </c>
      <c r="M35" s="27" t="n">
        <f aca="false">SUMIF($C$2:$F$2,EOMONTH(M$2,-1)+1,$C35:$F35)*VLOOKUP(M$2,Valores!$H$2:$P$154,8,0)</f>
        <v>214227.941418463</v>
      </c>
      <c r="N35" s="27" t="n">
        <f aca="false">SUMIF($C$2:$F$2,EOMONTH(N$2,-1)+1,$C35:$F35)*VLOOKUP(N$2,Valores!$H$2:$P$154,8,0)</f>
        <v>128536.764851078</v>
      </c>
      <c r="O35" s="27" t="n">
        <f aca="false">SUMIF($C$2:$F$2,EOMONTH(O$2,-1)+1,$C35:$F35)*VLOOKUP(O$2,Valores!$H$2:$P$154,8,0)</f>
        <v>114254.902089847</v>
      </c>
      <c r="P35" s="27" t="n">
        <f aca="false">SUMIF($C$2:$F$2,EOMONTH(P$2,-1)+1,$C35:$F35)*VLOOKUP(P$2,Valores!$H$2:$P$154,8,0)</f>
        <v>114254.902089847</v>
      </c>
      <c r="Q35" s="27" t="n">
        <f aca="false">SUMIF($C$2:$F$2,EOMONTH(Q$2,-1)+1,$C35:$F35)*VLOOKUP(Q$2,Valores!$H$2:$P$154,8,0)</f>
        <v>68552.9412539082</v>
      </c>
      <c r="R35" s="27" t="n">
        <f aca="false">SUMIF($C$2:$F$2,EOMONTH(R$2,-1)+1,$C35:$F35)*VLOOKUP(R$2,Valores!$H$2:$P$154,8,0)</f>
        <v>114254.902089847</v>
      </c>
      <c r="S35" s="27" t="n">
        <f aca="false">SUMIF($C$2:$F$2,EOMONTH(S$2,-1)+1,$C35:$F35)*VLOOKUP(S$2,Valores!$H$2:$P$154,8,0)</f>
        <v>228509.804179694</v>
      </c>
      <c r="T35" s="27" t="n">
        <f aca="false">SUMIF($C$2:$F$2,EOMONTH(T$2,-1)+1,$C35:$F35)*VLOOKUP(T$2,Valores!$H$2:$P$154,8,0)</f>
        <v>285637.255224617</v>
      </c>
      <c r="U35" s="27" t="n">
        <f aca="false">SUMIF($C$2:$F$2,EOMONTH(U$2,-1)+1,$C35:$F35)*VLOOKUP(U$2,Valores!$H$2:$P$154,8,0)</f>
        <v>171382.35313477</v>
      </c>
      <c r="V35" s="27" t="n">
        <f aca="false">SUMIF($C$2:$F$2,EOMONTH(V$2,-1)+1,$C35:$F35)*VLOOKUP(V$2,Valores!$H$2:$P$154,8,0)</f>
        <v>142818.627612309</v>
      </c>
      <c r="W35" s="27" t="n">
        <f aca="false">SUMIF($C$2:$F$2,EOMONTH(W$2,-1)+1,$C35:$F35)*VLOOKUP(W$2,Valores!$H$2:$P$154,8,0)</f>
        <v>142818.627612309</v>
      </c>
      <c r="X35" s="27" t="n">
        <f aca="false">SUMIF($C$2:$F$2,EOMONTH(X$2,-1)+1,$C35:$F35)*VLOOKUP(X$2,Valores!$H$2:$P$154,8,0)</f>
        <v>0</v>
      </c>
      <c r="Y35" s="27" t="n">
        <f aca="false">SUMIF($C$2:$F$2,EOMONTH(Y$2,-1)+1,$C35:$F35)*VLOOKUP(Y$2,Valores!$H$2:$P$154,8,0)</f>
        <v>0</v>
      </c>
      <c r="Z35" s="27" t="n">
        <f aca="false">SUMIF($C$2:$F$2,EOMONTH(Z$2,-1)+1,$C35:$F35)*VLOOKUP(Z$2,Valores!$H$2:$P$154,8,0)</f>
        <v>214227.941418463</v>
      </c>
      <c r="AA35" s="27" t="n">
        <f aca="false">SUMIF($C$2:$F$2,EOMONTH(AA$2,-1)+1,$C35:$F35)*VLOOKUP(AA$2,Valores!$H$2:$P$154,8,0)</f>
        <v>257073.529702156</v>
      </c>
      <c r="AB35" s="27" t="n">
        <f aca="false">SUMIF($C$2:$F$2,EOMONTH(AB$2,-1)+1,$C35:$F35)*VLOOKUP(AB$2,Valores!$H$2:$P$154,8,0)</f>
        <v>128536.764851078</v>
      </c>
      <c r="AC35" s="27" t="n">
        <f aca="false">SUMIF($C$2:$F$2,EOMONTH(AC$2,-1)+1,$C35:$F35)*VLOOKUP(AC$2,Valores!$H$2:$P$154,8,0)</f>
        <v>157100.49037354</v>
      </c>
      <c r="AD35" s="27" t="n">
        <f aca="false">SUMIF($C$2:$F$2,EOMONTH(AD$2,-1)+1,$C35:$F35)*VLOOKUP(AD$2,Valores!$H$2:$P$154,8,0)</f>
        <v>157100.49037354</v>
      </c>
      <c r="AE35" s="27" t="n">
        <f aca="false">SUMIF($C$2:$F$2,EOMONTH(AE$2,-1)+1,$C35:$F35)*VLOOKUP(AE$2,Valores!$H$2:$P$154,8,0)</f>
        <v>157100.49037354</v>
      </c>
      <c r="AF35" s="27" t="n">
        <f aca="false">SUMIF($C$2:$F$2,EOMONTH(AF$2,-1)+1,$C35:$F35)*VLOOKUP(AF$2,Valores!$H$2:$P$154,8,0)</f>
        <v>157100.49037354</v>
      </c>
      <c r="AG35" s="27" t="n">
        <f aca="false">SUMIF($C$2:$F$2,EOMONTH(AG$2,-1)+1,$C35:$F35)*VLOOKUP(AG$2,Valores!$H$2:$P$154,8,0)</f>
        <v>251360.784597663</v>
      </c>
      <c r="AH35" s="27" t="n">
        <f aca="false">SUMIF($C$2:$F$2,EOMONTH(AH$2,-1)+1,$C35:$F35)*VLOOKUP(AH$2,Valores!$H$2:$P$154,8,0)</f>
        <v>314200.980747079</v>
      </c>
      <c r="AI35" s="27" t="n">
        <f aca="false">SUMIF($C$2:$F$2,EOMONTH(AI$2,-1)+1,$C35:$F35)*VLOOKUP(AI$2,Valores!$H$2:$P$154,8,0)</f>
        <v>109970.343261478</v>
      </c>
      <c r="AJ35" s="27" t="n">
        <f aca="false">SUMIF($C$2:$F$2,EOMONTH(AJ$2,-1)+1,$C35:$F35)*VLOOKUP(AJ$2,Valores!$H$2:$P$154,8,0)</f>
        <v>71409.3138061544</v>
      </c>
      <c r="AK35" s="27" t="n">
        <f aca="false">SUMIF($C$2:$F$2,EOMONTH(AK$2,-1)+1,$C35:$F35)*VLOOKUP(AK$2,Valores!$H$2:$P$154,8,0)</f>
        <v>130220.425349496</v>
      </c>
      <c r="AL35" s="27" t="n">
        <f aca="false">SUMIF($C$2:$F$2,EOMONTH(AL$2,-1)+1,$C35:$F35)*VLOOKUP(AL$2,Valores!$H$2:$P$154,8,0)</f>
        <v>130220.425349496</v>
      </c>
      <c r="AM35" s="27" t="n">
        <f aca="false">SUMIF($C$2:$F$2,EOMONTH(AM$2,-1)+1,$C35:$F35)*VLOOKUP(AM$2,Valores!$H$2:$P$154,8,0)</f>
        <v>130220.425349496</v>
      </c>
      <c r="AN35" s="27" t="n">
        <f aca="false">SUMIF($C$2:$F$2,EOMONTH(AN$2,-1)+1,$C35:$F35)*VLOOKUP(AN$2,Valores!$H$2:$P$154,8,0)</f>
        <v>260440.850698993</v>
      </c>
      <c r="AO35" s="27" t="n">
        <f aca="false">SUMIF($C$2:$F$2,EOMONTH(AO$2,-1)+1,$C35:$F35)*VLOOKUP(AO$2,Valores!$H$2:$P$154,8,0)</f>
        <v>325551.063373741</v>
      </c>
      <c r="AP35" s="27" t="n">
        <f aca="false">SUMIF($C$2:$F$2,EOMONTH(AP$2,-1)+1,$C35:$F35)*VLOOKUP(AP$2,Valores!$H$2:$P$154,8,0)</f>
        <v>195330.638024244</v>
      </c>
      <c r="AQ35" s="27" t="n">
        <f aca="false">SUMIF($C$2:$F$2,EOMONTH(AQ$2,-1)+1,$C35:$F35)*VLOOKUP(AQ$2,Valores!$H$2:$P$154,8,0)</f>
        <v>69760.9421515159</v>
      </c>
      <c r="AR35" s="27" t="n">
        <f aca="false">SUMIF($C$2:$F$2,EOMONTH(AR$2,-1)+1,$C35:$F35)*VLOOKUP(AR$2,Valores!$H$2:$P$154,8,0)</f>
        <v>69760.9421515159</v>
      </c>
      <c r="AS35" s="27" t="n">
        <f aca="false">SUMIF($C$2:$F$2,EOMONTH(AS$2,-1)+1,$C35:$F35)*VLOOKUP(AS$2,Valores!$H$2:$P$154,8,0)</f>
        <v>69760.9421515159</v>
      </c>
      <c r="AT35" s="27" t="n">
        <f aca="false">SUMIF($C$2:$F$2,EOMONTH(AT$2,-1)+1,$C35:$F35)*VLOOKUP(AT$2,Valores!$H$2:$P$154,8,0)</f>
        <v>69760.9421515159</v>
      </c>
      <c r="AU35" s="27" t="n">
        <f aca="false">SUMIF($C$2:$F$2,EOMONTH(AU$2,-1)+1,$C35:$F35)*VLOOKUP(AU$2,Valores!$H$2:$P$154,8,0)</f>
        <v>139521.884303032</v>
      </c>
      <c r="AV35" s="27" t="n">
        <f aca="false">SUMIF($C$2:$F$2,EOMONTH(AV$2,-1)+1,$C35:$F35)*VLOOKUP(AV$2,Valores!$H$2:$P$154,8,0)</f>
        <v>174402.35537879</v>
      </c>
      <c r="AW35" s="27" t="n">
        <f aca="false">SUMIF($C$2:$F$2,EOMONTH(AW$2,-1)+1,$C35:$F35)*VLOOKUP(AW$2,Valores!$H$2:$P$154,8,0)</f>
        <v>104641.413227274</v>
      </c>
      <c r="AX35" s="27" t="n">
        <f aca="false">SUMIF($C$2:$F$2,EOMONTH(AX$2,-1)+1,$C35:$F35)*VLOOKUP(AX$2,Valores!$H$2:$P$154,8,0)</f>
        <v>69760.9421515159</v>
      </c>
      <c r="AY35" s="27" t="n">
        <f aca="false">SUMIF($C$2:$F$2,EOMONTH(AY$2,-1)+1,$C35:$F35)*VLOOKUP(AY$2,Valores!$H$2:$P$154,8,0)</f>
        <v>90689.2247969706</v>
      </c>
      <c r="AZ35" s="27" t="n">
        <f aca="false">SUMIF($C$2:$F$2,EOMONTH(AZ$2,-1)+1,$C35:$F35)*VLOOKUP(AZ$2,Valores!$H$2:$P$154,8,0)</f>
        <v>90689.2247969706</v>
      </c>
      <c r="BA35" s="27" t="n">
        <f aca="false">SUMIF($C$2:$F$2,EOMONTH(BA$2,-1)+1,$C35:$F35)*VLOOKUP(BA$2,Valores!$H$2:$P$154,8,0)</f>
        <v>90689.2247969706</v>
      </c>
      <c r="BB35" s="27" t="n">
        <f aca="false">SUMIF($C$2:$F$2,EOMONTH(BB$2,-1)+1,$C35:$F35)*VLOOKUP(BB$2,Valores!$H$2:$P$154,8,0)</f>
        <v>160450.166948487</v>
      </c>
      <c r="BC35" s="27" t="n">
        <f aca="false">SUMIF($C$2:$F$2,EOMONTH(BC$2,-1)+1,$C35:$F35)*VLOOKUP(BC$2,Valores!$H$2:$P$154,8,0)</f>
        <v>195330.638024244</v>
      </c>
      <c r="BD35" s="27" t="n">
        <f aca="false">SUMIF($C$2:$F$2,EOMONTH(BD$2,-1)+1,$C35:$F35)*VLOOKUP(BD$2,Valores!$H$2:$P$154,8,0)</f>
        <v>104641.413227274</v>
      </c>
      <c r="BE35" s="27" t="n">
        <f aca="false">SUMIF($C$2:$F$2,EOMONTH(BE$2,-1)+1,$C35:$F35)*VLOOKUP(BE$2,Valores!$H$2:$P$154,8,0)</f>
        <v>93014.5895353545</v>
      </c>
      <c r="BF35" s="27" t="n">
        <f aca="false">SUMIF($C$2:$F$2,EOMONTH(BF$2,-1)+1,$C35:$F35)*VLOOKUP(BF$2,Valores!$H$2:$P$154,8,0)</f>
        <v>93014.5895353545</v>
      </c>
      <c r="BG35" s="27" t="n">
        <f aca="false">SUMIF($C$2:$F$2,EOMONTH(BG$2,-1)+1,$C35:$F35)*VLOOKUP(BG$2,Valores!$H$2:$P$154,8,0)</f>
        <v>93014.5895353545</v>
      </c>
      <c r="BH35" s="27" t="n">
        <f aca="false">SUMIF($C$2:$F$2,EOMONTH(BH$2,-1)+1,$C35:$F35)*VLOOKUP(BH$2,Valores!$H$2:$P$154,8,0)</f>
        <v>93014.5895353545</v>
      </c>
      <c r="BI35" s="27" t="n">
        <f aca="false">SUMIF($C$2:$F$2,EOMONTH(BI$2,-1)+1,$C35:$F35)*VLOOKUP(BI$2,Valores!$H$2:$P$154,8,0)</f>
        <v>186029.179070709</v>
      </c>
      <c r="BJ35" s="27" t="n">
        <f aca="false">SUMIF($C$2:$F$2,EOMONTH(BJ$2,-1)+1,$C35:$F35)*VLOOKUP(BJ$2,Valores!$H$2:$P$154,8,0)</f>
        <v>232536.473838386</v>
      </c>
      <c r="BK35" s="27" t="n">
        <f aca="false">SUMIF($C$2:$F$2,EOMONTH(BK$2,-1)+1,$C35:$F35)*VLOOKUP(BK$2,Valores!$H$2:$P$154,8,0)</f>
        <v>111617.507442425</v>
      </c>
      <c r="BL35" s="27" t="n">
        <f aca="false">SUMIF($C$2:$F$2,EOMONTH(BL$2,-1)+1,$C35:$F35)*VLOOKUP(BL$2,Valores!$H$2:$P$154,8,0)</f>
        <v>81852.8387911119</v>
      </c>
      <c r="BM35" s="27" t="n">
        <f aca="false">SUMIF($C$2:$F$2,EOMONTH(BM$2,-1)+1,$C35:$F35)*VLOOKUP(BM$2,Valores!$H$2:$P$154,8,0)</f>
        <v>81852.8387911119</v>
      </c>
      <c r="BN35" s="27" t="n">
        <f aca="false">SUMIF($C$2:$F$2,EOMONTH(BN$2,-1)+1,$C35:$F35)*VLOOKUP(BN$2,Valores!$H$2:$P$154,8,0)</f>
        <v>81852.8387911119</v>
      </c>
      <c r="BO35" s="27" t="n">
        <f aca="false">SUMIF($C$2:$F$2,EOMONTH(BO$2,-1)+1,$C35:$F35)*VLOOKUP(BO$2,Valores!$H$2:$P$154,8,0)</f>
        <v>85945.4807306675</v>
      </c>
      <c r="BP35" s="27" t="n">
        <f aca="false">SUMIF($C$2:$F$2,EOMONTH(BP$2,-1)+1,$C35:$F35)*VLOOKUP(BP$2,Valores!$H$2:$P$154,8,0)</f>
        <v>216285.810174706</v>
      </c>
      <c r="BQ35" s="27" t="n">
        <f aca="false">SUMIF($C$2:$F$2,EOMONTH(BQ$2,-1)+1,$C35:$F35)*VLOOKUP(BQ$2,Valores!$H$2:$P$154,8,0)</f>
        <v>270357.262718383</v>
      </c>
      <c r="BR35" s="27" t="n">
        <f aca="false">SUMIF($C$2:$F$2,EOMONTH(BR$2,-1)+1,$C35:$F35)*VLOOKUP(BR$2,Valores!$H$2:$P$154,8,0)</f>
        <v>129771.486104824</v>
      </c>
      <c r="BS35" s="27" t="n">
        <f aca="false">SUMIF($C$2:$F$2,EOMONTH(BS$2,-1)+1,$C35:$F35)*VLOOKUP(BS$2,Valores!$H$2:$P$154,8,0)</f>
        <v>57933.6991539391</v>
      </c>
      <c r="BT35" s="27" t="n">
        <f aca="false">SUMIF($C$2:$F$2,EOMONTH(BT$2,-1)+1,$C35:$F35)*VLOOKUP(BT$2,Valores!$H$2:$P$154,8,0)</f>
        <v>57933.6991539391</v>
      </c>
      <c r="BU35" s="27" t="n">
        <f aca="false">SUMIF($C$2:$F$2,EOMONTH(BU$2,-1)+1,$C35:$F35)*VLOOKUP(BU$2,Valores!$H$2:$P$154,8,0)</f>
        <v>57933.6991539391</v>
      </c>
      <c r="BV35" s="27" t="n">
        <f aca="false">SUMIF($C$2:$F$2,EOMONTH(BV$2,-1)+1,$C35:$F35)*VLOOKUP(BV$2,Valores!$H$2:$P$154,8,0)</f>
        <v>57933.6991539391</v>
      </c>
      <c r="BW35" s="27" t="n">
        <f aca="false">SUMIF($C$2:$F$2,EOMONTH(BW$2,-1)+1,$C35:$F35)*VLOOKUP(BW$2,Valores!$H$2:$P$154,8,0)</f>
        <v>115867.398307878</v>
      </c>
      <c r="BX35" s="27" t="n">
        <f aca="false">SUMIF($C$2:$F$2,EOMONTH(BX$2,-1)+1,$C35:$F35)*VLOOKUP(BX$2,Valores!$H$2:$P$154,8,0)</f>
        <v>144834.247884848</v>
      </c>
      <c r="BY35" s="27" t="n">
        <f aca="false">SUMIF($C$2:$F$2,EOMONTH(BY$2,-1)+1,$C35:$F35)*VLOOKUP(BY$2,Valores!$H$2:$P$154,8,0)</f>
        <v>86900.5487309087</v>
      </c>
      <c r="BZ35" s="27" t="n">
        <f aca="false">SUMIF($C$2:$F$2,EOMONTH(BZ$2,-1)+1,$C35:$F35)*VLOOKUP(BZ$2,Valores!$H$2:$P$154,8,0)</f>
        <v>57933.6991539391</v>
      </c>
      <c r="CA35" s="27" t="n">
        <f aca="false">SUMIF($C$2:$F$2,EOMONTH(CA$2,-1)+1,$C35:$F35)*VLOOKUP(CA$2,Valores!$H$2:$P$154,8,0)</f>
        <v>57933.6991539391</v>
      </c>
      <c r="CB35" s="27" t="n">
        <f aca="false">SUMIF($C$2:$F$2,EOMONTH(CB$2,-1)+1,$C35:$F35)*VLOOKUP(CB$2,Valores!$H$2:$P$154,8,0)</f>
        <v>57933.6991539391</v>
      </c>
      <c r="CC35" s="27" t="n">
        <f aca="false">SUMIF($C$2:$F$2,EOMONTH(CC$2,-1)+1,$C35:$F35)*VLOOKUP(CC$2,Valores!$H$2:$P$154,8,0)</f>
        <v>57933.6991539391</v>
      </c>
      <c r="CD35" s="27" t="n">
        <f aca="false">SUMIF($C$2:$F$2,EOMONTH(CD$2,-1)+1,$C35:$F35)*VLOOKUP(CD$2,Valores!$H$2:$P$154,8,0)</f>
        <v>173801.097461817</v>
      </c>
      <c r="CE35" s="27" t="n">
        <f aca="false">SUMIF($C$2:$F$2,EOMONTH(CE$2,-1)+1,$C35:$F35)*VLOOKUP(CE$2,Valores!$H$2:$P$154,8,0)</f>
        <v>231734.796615756</v>
      </c>
      <c r="CF35" s="27" t="n">
        <f aca="false">SUMIF($C$2:$F$2,EOMONTH(CF$2,-1)+1,$C35:$F35)*VLOOKUP(CF$2,Valores!$H$2:$P$154,8,0)</f>
        <v>144834.247884848</v>
      </c>
      <c r="CG35" s="27" t="n">
        <f aca="false">SUMIF($C$2:$F$2,EOMONTH(CG$2,-1)+1,$C35:$F35)*VLOOKUP(CG$2,Valores!$H$2:$P$154,8,0)</f>
        <v>77244.9322052522</v>
      </c>
      <c r="CH35" s="27" t="n">
        <f aca="false">SUMIF($C$2:$F$2,EOMONTH(CH$2,-1)+1,$C35:$F35)*VLOOKUP(CH$2,Valores!$H$2:$P$154,8,0)</f>
        <v>77244.9322052522</v>
      </c>
      <c r="CI35" s="27" t="n">
        <f aca="false">SUMIF($C$2:$F$2,EOMONTH(CI$2,-1)+1,$C35:$F35)*VLOOKUP(CI$2,Valores!$H$2:$P$154,8,0)</f>
        <v>77244.9322052522</v>
      </c>
      <c r="CJ35" s="27" t="n">
        <f aca="false">SUMIF($C$2:$F$2,EOMONTH(CJ$2,-1)+1,$C35:$F35)*VLOOKUP(CJ$2,Valores!$H$2:$P$154,8,0)</f>
        <v>77244.9322052522</v>
      </c>
      <c r="CK35" s="27" t="n">
        <f aca="false">SUMIF($C$2:$F$2,EOMONTH(CK$2,-1)+1,$C35:$F35)*VLOOKUP(CK$2,Valores!$H$2:$P$154,8,0)</f>
        <v>154489.864410504</v>
      </c>
      <c r="CL35" s="27" t="n">
        <f aca="false">SUMIF($C$2:$F$2,EOMONTH(CL$2,-1)+1,$C35:$F35)*VLOOKUP(CL$2,Valores!$H$2:$P$154,8,0)</f>
        <v>193112.33051313</v>
      </c>
      <c r="CM35" s="27" t="n">
        <f aca="false">SUMIF($C$2:$F$2,EOMONTH(CM$2,-1)+1,$C35:$F35)*VLOOKUP(CM$2,Valores!$H$2:$P$154,8,0)</f>
        <v>115867.398307878</v>
      </c>
      <c r="CN35" s="27" t="n">
        <f aca="false">SUMIF($C$2:$F$2,EOMONTH(CN$2,-1)+1,$C35:$F35)*VLOOKUP(CN$2,Valores!$H$2:$P$154,8,0)</f>
        <v>84969.4254257774</v>
      </c>
      <c r="CO35" s="27" t="n">
        <f aca="false">SUMIF($C$2:$F$2,EOMONTH(CO$2,-1)+1,$C35:$F35)*VLOOKUP(CO$2,Valores!$H$2:$P$154,8,0)</f>
        <v>84969.4254257774</v>
      </c>
      <c r="CP35" s="27" t="n">
        <f aca="false">SUMIF($C$2:$F$2,EOMONTH(CP$2,-1)+1,$C35:$F35)*VLOOKUP(CP$2,Valores!$H$2:$P$154,8,0)</f>
        <v>84969.4254257774</v>
      </c>
      <c r="CQ35" s="27" t="n">
        <f aca="false">SUMIF($C$2:$F$2,EOMONTH(CQ$2,-1)+1,$C35:$F35)*VLOOKUP(CQ$2,Valores!$H$2:$P$154,8,0)</f>
        <v>84969.4254257774</v>
      </c>
      <c r="CR35" s="27" t="n">
        <f aca="false">SUMIF($C$2:$F$2,EOMONTH(CR$2,-1)+1,$C35:$F35)*VLOOKUP(CR$2,Valores!$H$2:$P$154,8,0)</f>
        <v>169938.850851555</v>
      </c>
      <c r="CS35" s="27" t="n">
        <f aca="false">SUMIF($C$2:$F$2,EOMONTH(CS$2,-1)+1,$C35:$F35)*VLOOKUP(CS$2,Valores!$H$2:$P$154,8,0)</f>
        <v>254908.276277332</v>
      </c>
      <c r="CT35" s="27" t="e">
        <f aca="false">SUMIF($C$2:$F$2,EOMONTH(CT$2,-1)+1,$C35:$F35)*VLOOKUP(CT$2,Valores!$H$2:$P$154,8,0)</f>
        <v>#VALUE!</v>
      </c>
      <c r="CU35" s="27" t="e">
        <f aca="false">SUMIF($C$2:$F$2,EOMONTH(CU$2,-1)+1,$C35:$F35)*VLOOKUP(CU$2,Valores!$H$2:$P$154,8,0)</f>
        <v>#VALUE!</v>
      </c>
      <c r="CV35" s="27" t="e">
        <f aca="false">SUMIF($C$2:$F$2,EOMONTH(CV$2,-1)+1,$C35:$F35)*VLOOKUP(CV$2,Valores!$H$2:$P$154,8,0)</f>
        <v>#VALUE!</v>
      </c>
      <c r="CW35" s="27" t="e">
        <f aca="false">SUMIF($C$2:$F$2,EOMONTH(CW$2,-1)+1,$C35:$F35)*VLOOKUP(CW$2,Valores!$H$2:$P$154,8,0)</f>
        <v>#VALUE!</v>
      </c>
      <c r="CX35" s="27" t="e">
        <f aca="false">SUMIF($C$2:$F$2,EOMONTH(CX$2,-1)+1,$C35:$F35)*VLOOKUP(CX$2,Valores!$H$2:$P$154,8,0)</f>
        <v>#VALUE!</v>
      </c>
      <c r="CY35" s="27" t="e">
        <f aca="false">SUMIF($C$2:$F$2,EOMONTH(CY$2,-1)+1,$C35:$F35)*VLOOKUP(CY$2,Valores!$H$2:$P$154,8,0)</f>
        <v>#VALUE!</v>
      </c>
      <c r="CZ35" s="27" t="e">
        <f aca="false">SUMIF($C$2:$F$2,EOMONTH(CZ$2,-1)+1,$C35:$F35)*VLOOKUP(CZ$2,Valores!$H$2:$P$154,8,0)</f>
        <v>#VALUE!</v>
      </c>
      <c r="DA35" s="27" t="e">
        <f aca="false">SUMIF($C$2:$F$2,EOMONTH(DA$2,-1)+1,$C35:$F35)*VLOOKUP(DA$2,Valores!$H$2:$P$154,8,0)</f>
        <v>#VALUE!</v>
      </c>
      <c r="DB35" s="27" t="e">
        <f aca="false">SUMIF($C$2:$F$2,EOMONTH(DB$2,-1)+1,$C35:$F35)*VLOOKUP(DB$2,Valores!$H$2:$P$154,8,0)</f>
        <v>#VALUE!</v>
      </c>
      <c r="DC35" s="27" t="e">
        <f aca="false">SUMIF($C$2:$F$2,EOMONTH(DC$2,-1)+1,$C35:$F35)*VLOOKUP(DC$2,Valores!$H$2:$P$154,8,0)</f>
        <v>#VALUE!</v>
      </c>
      <c r="DD35" s="27" t="e">
        <f aca="false">SUMIF($C$2:$F$2,EOMONTH(DD$2,-1)+1,$C35:$F35)*VLOOKUP(DD$2,Valores!$H$2:$P$154,8,0)</f>
        <v>#VALUE!</v>
      </c>
      <c r="DE35" s="27" t="e">
        <f aca="false">SUMIF($C$2:$F$2,EOMONTH(DE$2,-1)+1,$C35:$F35)*VLOOKUP(DE$2,Valores!$H$2:$P$154,8,0)</f>
        <v>#VALUE!</v>
      </c>
      <c r="DF35" s="27" t="e">
        <f aca="false">SUMIF($C$2:$F$2,EOMONTH(DF$2,-1)+1,$C35:$F35)*VLOOKUP(DF$2,Valores!$H$2:$P$154,8,0)</f>
        <v>#VALUE!</v>
      </c>
      <c r="DG35" s="27" t="e">
        <f aca="false">SUMIF($C$2:$F$2,EOMONTH(DG$2,-1)+1,$C35:$F35)*VLOOKUP(DG$2,Valores!$H$2:$P$154,8,0)</f>
        <v>#VALUE!</v>
      </c>
      <c r="DH35" s="27" t="e">
        <f aca="false">SUMIF($C$2:$F$2,EOMONTH(DH$2,-1)+1,$C35:$F35)*VLOOKUP(DH$2,Valores!$H$2:$P$154,8,0)</f>
        <v>#VALUE!</v>
      </c>
      <c r="DI35" s="27" t="e">
        <f aca="false">SUMIF($C$2:$F$2,EOMONTH(DI$2,-1)+1,$C35:$F35)*VLOOKUP(DI$2,Valores!$H$2:$P$154,8,0)</f>
        <v>#VALUE!</v>
      </c>
      <c r="DJ35" s="27" t="e">
        <f aca="false">SUMIF($C$2:$F$2,EOMONTH(DJ$2,-1)+1,$C35:$F35)*VLOOKUP(DJ$2,Valores!$H$2:$P$154,8,0)</f>
        <v>#VALUE!</v>
      </c>
      <c r="DK35" s="27" t="e">
        <f aca="false">SUMIF($C$2:$F$2,EOMONTH(DK$2,-1)+1,$C35:$F35)*VLOOKUP(DK$2,Valores!$H$2:$P$154,8,0)</f>
        <v>#VALUE!</v>
      </c>
      <c r="DL35" s="27" t="e">
        <f aca="false">SUMIF($C$2:$F$2,EOMONTH(DL$2,-1)+1,$C35:$F35)*VLOOKUP(DL$2,Valores!$H$2:$P$154,8,0)</f>
        <v>#VALUE!</v>
      </c>
      <c r="DM35" s="27" t="e">
        <f aca="false">SUMIF($C$2:$F$2,EOMONTH(DM$2,-1)+1,$C35:$F35)*VLOOKUP(DM$2,Valores!$H$2:$P$154,8,0)</f>
        <v>#VALUE!</v>
      </c>
      <c r="DN35" s="27" t="e">
        <f aca="false">SUMIF($C$2:$F$2,EOMONTH(DN$2,-1)+1,$C35:$F35)*VLOOKUP(DN$2,Valores!$H$2:$P$154,8,0)</f>
        <v>#VALUE!</v>
      </c>
      <c r="DO35" s="27" t="e">
        <f aca="false">SUMIF($C$2:$F$2,EOMONTH(DO$2,-1)+1,$C35:$F35)*VLOOKUP(DO$2,Valores!$H$2:$P$154,8,0)</f>
        <v>#VALUE!</v>
      </c>
      <c r="DP35" s="27" t="e">
        <f aca="false">SUMIF($C$2:$F$2,EOMONTH(DP$2,-1)+1,$C35:$F35)*VLOOKUP(DP$2,Valores!$H$2:$P$154,8,0)</f>
        <v>#VALUE!</v>
      </c>
      <c r="DQ35" s="27" t="e">
        <f aca="false">SUMIF($C$2:$F$2,EOMONTH(DQ$2,-1)+1,$C35:$F35)*VLOOKUP(DQ$2,Valores!$H$2:$P$154,8,0)</f>
        <v>#VALUE!</v>
      </c>
      <c r="DR35" s="27" t="e">
        <f aca="false">SUMIF($C$2:$F$2,EOMONTH(DR$2,-1)+1,$C35:$F35)*VLOOKUP(DR$2,Valores!$H$2:$P$154,8,0)</f>
        <v>#VALUE!</v>
      </c>
      <c r="DS35" s="27" t="e">
        <f aca="false">SUMIF($C$2:$F$2,EOMONTH(DS$2,-1)+1,$C35:$F35)*VLOOKUP(DS$2,Valores!$H$2:$P$154,8,0)</f>
        <v>#VALUE!</v>
      </c>
      <c r="DT35" s="27" t="e">
        <f aca="false">SUMIF($C$2:$F$2,EOMONTH(DT$2,-1)+1,$C35:$F35)*VLOOKUP(DT$2,Valores!$H$2:$P$154,8,0)</f>
        <v>#VALUE!</v>
      </c>
      <c r="DU35" s="27" t="e">
        <f aca="false">SUMIF($C$2:$F$2,EOMONTH(DU$2,-1)+1,$C35:$F35)*VLOOKUP(DU$2,Valores!$H$2:$P$154,8,0)</f>
        <v>#VALUE!</v>
      </c>
      <c r="DV35" s="27" t="e">
        <f aca="false">SUMIF($C$2:$F$2,EOMONTH(DV$2,-1)+1,$C35:$F35)*VLOOKUP(DV$2,Valores!$H$2:$P$154,8,0)</f>
        <v>#VALUE!</v>
      </c>
      <c r="DW35" s="27" t="e">
        <f aca="false">SUMIF($C$2:$F$2,EOMONTH(DW$2,-1)+1,$C35:$F35)*VLOOKUP(DW$2,Valores!$H$2:$P$154,8,0)</f>
        <v>#VALUE!</v>
      </c>
      <c r="DX35" s="27" t="e">
        <f aca="false">SUMIF($C$2:$F$2,EOMONTH(DX$2,-1)+1,$C35:$F35)*VLOOKUP(DX$2,Valores!$H$2:$P$154,8,0)</f>
        <v>#VALUE!</v>
      </c>
    </row>
    <row r="36" customFormat="false" ht="13.8" hidden="false" customHeight="false" outlineLevel="0" collapsed="false">
      <c r="A36" s="29" t="s">
        <v>54</v>
      </c>
      <c r="B36" s="29" t="s">
        <v>58</v>
      </c>
      <c r="C36" s="29" t="n">
        <v>3741052</v>
      </c>
      <c r="D36" s="29" t="n">
        <v>3366946.8</v>
      </c>
      <c r="E36" s="29" t="n">
        <v>3030252.12</v>
      </c>
      <c r="F36" s="29" t="n">
        <v>2727226.908</v>
      </c>
      <c r="G36" s="30" t="n">
        <f aca="false">SUMIF($C$2:$F$2,EOMONTH(G$2,-1)+1,$C36:$F36)*VLOOKUP(G$2,Valores!$H$2:$P$154,8,0)</f>
        <v>107731.462892875</v>
      </c>
      <c r="H36" s="30" t="n">
        <f aca="false">SUMIF($C$2:$F$2,EOMONTH(H$2,-1)+1,$C36:$F36)*VLOOKUP(H$2,Valores!$H$2:$P$154,8,0)</f>
        <v>73873.0031265427</v>
      </c>
      <c r="I36" s="30" t="n">
        <f aca="false">SUMIF($C$2:$F$2,EOMONTH(I$2,-1)+1,$C36:$F36)*VLOOKUP(I$2,Valores!$H$2:$P$154,8,0)</f>
        <v>73873.0031265427</v>
      </c>
      <c r="J36" s="30" t="n">
        <f aca="false">SUMIF($C$2:$F$2,EOMONTH(J$2,-1)+1,$C36:$F36)*VLOOKUP(J$2,Valores!$H$2:$P$154,8,0)</f>
        <v>73873.0031265427</v>
      </c>
      <c r="K36" s="30" t="n">
        <f aca="false">SUMIF($C$2:$F$2,EOMONTH(K$2,-1)+1,$C36:$F36)*VLOOKUP(K$2,Valores!$H$2:$P$154,8,0)</f>
        <v>73873.0031265427</v>
      </c>
      <c r="L36" s="30" t="n">
        <f aca="false">SUMIF($C$2:$F$2,EOMONTH(L$2,-1)+1,$C36:$F36)*VLOOKUP(L$2,Valores!$H$2:$P$154,8,0)</f>
        <v>147746.006253085</v>
      </c>
      <c r="M36" s="30" t="n">
        <f aca="false">SUMIF($C$2:$F$2,EOMONTH(M$2,-1)+1,$C36:$F36)*VLOOKUP(M$2,Valores!$H$2:$P$154,8,0)</f>
        <v>184682.507816357</v>
      </c>
      <c r="N36" s="30" t="n">
        <f aca="false">SUMIF($C$2:$F$2,EOMONTH(N$2,-1)+1,$C36:$F36)*VLOOKUP(N$2,Valores!$H$2:$P$154,8,0)</f>
        <v>110809.504689814</v>
      </c>
      <c r="O36" s="30" t="n">
        <f aca="false">SUMIF($C$2:$F$2,EOMONTH(O$2,-1)+1,$C36:$F36)*VLOOKUP(O$2,Valores!$H$2:$P$154,8,0)</f>
        <v>98497.3375020569</v>
      </c>
      <c r="P36" s="30" t="n">
        <f aca="false">SUMIF($C$2:$F$2,EOMONTH(P$2,-1)+1,$C36:$F36)*VLOOKUP(P$2,Valores!$H$2:$P$154,8,0)</f>
        <v>98497.3375020569</v>
      </c>
      <c r="Q36" s="30" t="n">
        <f aca="false">SUMIF($C$2:$F$2,EOMONTH(Q$2,-1)+1,$C36:$F36)*VLOOKUP(Q$2,Valores!$H$2:$P$154,8,0)</f>
        <v>59098.4025012341</v>
      </c>
      <c r="R36" s="30" t="n">
        <f aca="false">SUMIF($C$2:$F$2,EOMONTH(R$2,-1)+1,$C36:$F36)*VLOOKUP(R$2,Valores!$H$2:$P$154,8,0)</f>
        <v>98497.3375020569</v>
      </c>
      <c r="S36" s="30" t="n">
        <f aca="false">SUMIF($C$2:$F$2,EOMONTH(S$2,-1)+1,$C36:$F36)*VLOOKUP(S$2,Valores!$H$2:$P$154,8,0)</f>
        <v>196994.675004114</v>
      </c>
      <c r="T36" s="30" t="n">
        <f aca="false">SUMIF($C$2:$F$2,EOMONTH(T$2,-1)+1,$C36:$F36)*VLOOKUP(T$2,Valores!$H$2:$P$154,8,0)</f>
        <v>246243.343755142</v>
      </c>
      <c r="U36" s="30" t="n">
        <f aca="false">SUMIF($C$2:$F$2,EOMONTH(U$2,-1)+1,$C36:$F36)*VLOOKUP(U$2,Valores!$H$2:$P$154,8,0)</f>
        <v>147746.006253085</v>
      </c>
      <c r="V36" s="30" t="n">
        <f aca="false">SUMIF($C$2:$F$2,EOMONTH(V$2,-1)+1,$C36:$F36)*VLOOKUP(V$2,Valores!$H$2:$P$154,8,0)</f>
        <v>123121.671877571</v>
      </c>
      <c r="W36" s="30" t="n">
        <f aca="false">SUMIF($C$2:$F$2,EOMONTH(W$2,-1)+1,$C36:$F36)*VLOOKUP(W$2,Valores!$H$2:$P$154,8,0)</f>
        <v>123121.671877571</v>
      </c>
      <c r="X36" s="30" t="n">
        <f aca="false">SUMIF($C$2:$F$2,EOMONTH(X$2,-1)+1,$C36:$F36)*VLOOKUP(X$2,Valores!$H$2:$P$154,8,0)</f>
        <v>0</v>
      </c>
      <c r="Y36" s="30" t="n">
        <f aca="false">SUMIF($C$2:$F$2,EOMONTH(Y$2,-1)+1,$C36:$F36)*VLOOKUP(Y$2,Valores!$H$2:$P$154,8,0)</f>
        <v>0</v>
      </c>
      <c r="Z36" s="30" t="n">
        <f aca="false">SUMIF($C$2:$F$2,EOMONTH(Z$2,-1)+1,$C36:$F36)*VLOOKUP(Z$2,Valores!$H$2:$P$154,8,0)</f>
        <v>184682.507816357</v>
      </c>
      <c r="AA36" s="30" t="n">
        <f aca="false">SUMIF($C$2:$F$2,EOMONTH(AA$2,-1)+1,$C36:$F36)*VLOOKUP(AA$2,Valores!$H$2:$P$154,8,0)</f>
        <v>221619.009379628</v>
      </c>
      <c r="AB36" s="30" t="n">
        <f aca="false">SUMIF($C$2:$F$2,EOMONTH(AB$2,-1)+1,$C36:$F36)*VLOOKUP(AB$2,Valores!$H$2:$P$154,8,0)</f>
        <v>110809.504689814</v>
      </c>
      <c r="AC36" s="30" t="n">
        <f aca="false">SUMIF($C$2:$F$2,EOMONTH(AC$2,-1)+1,$C36:$F36)*VLOOKUP(AC$2,Valores!$H$2:$P$154,8,0)</f>
        <v>135433.839065328</v>
      </c>
      <c r="AD36" s="30" t="n">
        <f aca="false">SUMIF($C$2:$F$2,EOMONTH(AD$2,-1)+1,$C36:$F36)*VLOOKUP(AD$2,Valores!$H$2:$P$154,8,0)</f>
        <v>135433.839065328</v>
      </c>
      <c r="AE36" s="30" t="n">
        <f aca="false">SUMIF($C$2:$F$2,EOMONTH(AE$2,-1)+1,$C36:$F36)*VLOOKUP(AE$2,Valores!$H$2:$P$154,8,0)</f>
        <v>135433.839065328</v>
      </c>
      <c r="AF36" s="30" t="n">
        <f aca="false">SUMIF($C$2:$F$2,EOMONTH(AF$2,-1)+1,$C36:$F36)*VLOOKUP(AF$2,Valores!$H$2:$P$154,8,0)</f>
        <v>135433.839065328</v>
      </c>
      <c r="AG36" s="30" t="n">
        <f aca="false">SUMIF($C$2:$F$2,EOMONTH(AG$2,-1)+1,$C36:$F36)*VLOOKUP(AG$2,Valores!$H$2:$P$154,8,0)</f>
        <v>216694.142504525</v>
      </c>
      <c r="AH36" s="30" t="n">
        <f aca="false">SUMIF($C$2:$F$2,EOMONTH(AH$2,-1)+1,$C36:$F36)*VLOOKUP(AH$2,Valores!$H$2:$P$154,8,0)</f>
        <v>270867.678130657</v>
      </c>
      <c r="AI36" s="30" t="n">
        <f aca="false">SUMIF($C$2:$F$2,EOMONTH(AI$2,-1)+1,$C36:$F36)*VLOOKUP(AI$2,Valores!$H$2:$P$154,8,0)</f>
        <v>94803.6873457298</v>
      </c>
      <c r="AJ36" s="30" t="n">
        <f aca="false">SUMIF($C$2:$F$2,EOMONTH(AJ$2,-1)+1,$C36:$F36)*VLOOKUP(AJ$2,Valores!$H$2:$P$154,8,0)</f>
        <v>61560.8359387856</v>
      </c>
      <c r="AK36" s="30" t="n">
        <f aca="false">SUMIF($C$2:$F$2,EOMONTH(AK$2,-1)+1,$C36:$F36)*VLOOKUP(AK$2,Valores!$H$2:$P$154,8,0)</f>
        <v>112260.96168044</v>
      </c>
      <c r="AL36" s="30" t="n">
        <f aca="false">SUMIF($C$2:$F$2,EOMONTH(AL$2,-1)+1,$C36:$F36)*VLOOKUP(AL$2,Valores!$H$2:$P$154,8,0)</f>
        <v>112260.96168044</v>
      </c>
      <c r="AM36" s="30" t="n">
        <f aca="false">SUMIF($C$2:$F$2,EOMONTH(AM$2,-1)+1,$C36:$F36)*VLOOKUP(AM$2,Valores!$H$2:$P$154,8,0)</f>
        <v>112260.96168044</v>
      </c>
      <c r="AN36" s="30" t="n">
        <f aca="false">SUMIF($C$2:$F$2,EOMONTH(AN$2,-1)+1,$C36:$F36)*VLOOKUP(AN$2,Valores!$H$2:$P$154,8,0)</f>
        <v>224521.92336088</v>
      </c>
      <c r="AO36" s="30" t="n">
        <f aca="false">SUMIF($C$2:$F$2,EOMONTH(AO$2,-1)+1,$C36:$F36)*VLOOKUP(AO$2,Valores!$H$2:$P$154,8,0)</f>
        <v>280652.4042011</v>
      </c>
      <c r="AP36" s="30" t="n">
        <f aca="false">SUMIF($C$2:$F$2,EOMONTH(AP$2,-1)+1,$C36:$F36)*VLOOKUP(AP$2,Valores!$H$2:$P$154,8,0)</f>
        <v>168391.44252066</v>
      </c>
      <c r="AQ36" s="30" t="n">
        <f aca="false">SUMIF($C$2:$F$2,EOMONTH(AQ$2,-1)+1,$C36:$F36)*VLOOKUP(AQ$2,Valores!$H$2:$P$154,8,0)</f>
        <v>60139.8009002358</v>
      </c>
      <c r="AR36" s="30" t="n">
        <f aca="false">SUMIF($C$2:$F$2,EOMONTH(AR$2,-1)+1,$C36:$F36)*VLOOKUP(AR$2,Valores!$H$2:$P$154,8,0)</f>
        <v>60139.8009002358</v>
      </c>
      <c r="AS36" s="30" t="n">
        <f aca="false">SUMIF($C$2:$F$2,EOMONTH(AS$2,-1)+1,$C36:$F36)*VLOOKUP(AS$2,Valores!$H$2:$P$154,8,0)</f>
        <v>60139.8009002358</v>
      </c>
      <c r="AT36" s="30" t="n">
        <f aca="false">SUMIF($C$2:$F$2,EOMONTH(AT$2,-1)+1,$C36:$F36)*VLOOKUP(AT$2,Valores!$H$2:$P$154,8,0)</f>
        <v>60139.8009002358</v>
      </c>
      <c r="AU36" s="30" t="n">
        <f aca="false">SUMIF($C$2:$F$2,EOMONTH(AU$2,-1)+1,$C36:$F36)*VLOOKUP(AU$2,Valores!$H$2:$P$154,8,0)</f>
        <v>120279.601800472</v>
      </c>
      <c r="AV36" s="30" t="n">
        <f aca="false">SUMIF($C$2:$F$2,EOMONTH(AV$2,-1)+1,$C36:$F36)*VLOOKUP(AV$2,Valores!$H$2:$P$154,8,0)</f>
        <v>150349.502250589</v>
      </c>
      <c r="AW36" s="30" t="n">
        <f aca="false">SUMIF($C$2:$F$2,EOMONTH(AW$2,-1)+1,$C36:$F36)*VLOOKUP(AW$2,Valores!$H$2:$P$154,8,0)</f>
        <v>90209.7013503536</v>
      </c>
      <c r="AX36" s="30" t="n">
        <f aca="false">SUMIF($C$2:$F$2,EOMONTH(AX$2,-1)+1,$C36:$F36)*VLOOKUP(AX$2,Valores!$H$2:$P$154,8,0)</f>
        <v>60139.8009002358</v>
      </c>
      <c r="AY36" s="30" t="n">
        <f aca="false">SUMIF($C$2:$F$2,EOMONTH(AY$2,-1)+1,$C36:$F36)*VLOOKUP(AY$2,Valores!$H$2:$P$154,8,0)</f>
        <v>78181.7411703065</v>
      </c>
      <c r="AZ36" s="30" t="n">
        <f aca="false">SUMIF($C$2:$F$2,EOMONTH(AZ$2,-1)+1,$C36:$F36)*VLOOKUP(AZ$2,Valores!$H$2:$P$154,8,0)</f>
        <v>78181.7411703065</v>
      </c>
      <c r="BA36" s="30" t="n">
        <f aca="false">SUMIF($C$2:$F$2,EOMONTH(BA$2,-1)+1,$C36:$F36)*VLOOKUP(BA$2,Valores!$H$2:$P$154,8,0)</f>
        <v>78181.7411703065</v>
      </c>
      <c r="BB36" s="30" t="n">
        <f aca="false">SUMIF($C$2:$F$2,EOMONTH(BB$2,-1)+1,$C36:$F36)*VLOOKUP(BB$2,Valores!$H$2:$P$154,8,0)</f>
        <v>138321.542070542</v>
      </c>
      <c r="BC36" s="30" t="n">
        <f aca="false">SUMIF($C$2:$F$2,EOMONTH(BC$2,-1)+1,$C36:$F36)*VLOOKUP(BC$2,Valores!$H$2:$P$154,8,0)</f>
        <v>168391.44252066</v>
      </c>
      <c r="BD36" s="30" t="n">
        <f aca="false">SUMIF($C$2:$F$2,EOMONTH(BD$2,-1)+1,$C36:$F36)*VLOOKUP(BD$2,Valores!$H$2:$P$154,8,0)</f>
        <v>90209.7013503536</v>
      </c>
      <c r="BE36" s="30" t="n">
        <f aca="false">SUMIF($C$2:$F$2,EOMONTH(BE$2,-1)+1,$C36:$F36)*VLOOKUP(BE$2,Valores!$H$2:$P$154,8,0)</f>
        <v>80186.4012003144</v>
      </c>
      <c r="BF36" s="30" t="n">
        <f aca="false">SUMIF($C$2:$F$2,EOMONTH(BF$2,-1)+1,$C36:$F36)*VLOOKUP(BF$2,Valores!$H$2:$P$154,8,0)</f>
        <v>80186.4012003144</v>
      </c>
      <c r="BG36" s="30" t="n">
        <f aca="false">SUMIF($C$2:$F$2,EOMONTH(BG$2,-1)+1,$C36:$F36)*VLOOKUP(BG$2,Valores!$H$2:$P$154,8,0)</f>
        <v>80186.4012003144</v>
      </c>
      <c r="BH36" s="30" t="n">
        <f aca="false">SUMIF($C$2:$F$2,EOMONTH(BH$2,-1)+1,$C36:$F36)*VLOOKUP(BH$2,Valores!$H$2:$P$154,8,0)</f>
        <v>80186.4012003144</v>
      </c>
      <c r="BI36" s="30" t="n">
        <f aca="false">SUMIF($C$2:$F$2,EOMONTH(BI$2,-1)+1,$C36:$F36)*VLOOKUP(BI$2,Valores!$H$2:$P$154,8,0)</f>
        <v>160372.802400629</v>
      </c>
      <c r="BJ36" s="30" t="n">
        <f aca="false">SUMIF($C$2:$F$2,EOMONTH(BJ$2,-1)+1,$C36:$F36)*VLOOKUP(BJ$2,Valores!$H$2:$P$154,8,0)</f>
        <v>200466.003000786</v>
      </c>
      <c r="BK36" s="30" t="n">
        <f aca="false">SUMIF($C$2:$F$2,EOMONTH(BK$2,-1)+1,$C36:$F36)*VLOOKUP(BK$2,Valores!$H$2:$P$154,8,0)</f>
        <v>96223.6814403772</v>
      </c>
      <c r="BL36" s="30" t="n">
        <f aca="false">SUMIF($C$2:$F$2,EOMONTH(BL$2,-1)+1,$C36:$F36)*VLOOKUP(BL$2,Valores!$H$2:$P$154,8,0)</f>
        <v>70564.0330562766</v>
      </c>
      <c r="BM36" s="30" t="n">
        <f aca="false">SUMIF($C$2:$F$2,EOMONTH(BM$2,-1)+1,$C36:$F36)*VLOOKUP(BM$2,Valores!$H$2:$P$154,8,0)</f>
        <v>70564.0330562766</v>
      </c>
      <c r="BN36" s="30" t="n">
        <f aca="false">SUMIF($C$2:$F$2,EOMONTH(BN$2,-1)+1,$C36:$F36)*VLOOKUP(BN$2,Valores!$H$2:$P$154,8,0)</f>
        <v>70564.0330562766</v>
      </c>
      <c r="BO36" s="30" t="n">
        <f aca="false">SUMIF($C$2:$F$2,EOMONTH(BO$2,-1)+1,$C36:$F36)*VLOOKUP(BO$2,Valores!$H$2:$P$154,8,0)</f>
        <v>74092.2347090905</v>
      </c>
      <c r="BP36" s="30" t="n">
        <f aca="false">SUMIF($C$2:$F$2,EOMONTH(BP$2,-1)+1,$C36:$F36)*VLOOKUP(BP$2,Valores!$H$2:$P$154,8,0)</f>
        <v>186456.563806175</v>
      </c>
      <c r="BQ36" s="30" t="n">
        <f aca="false">SUMIF($C$2:$F$2,EOMONTH(BQ$2,-1)+1,$C36:$F36)*VLOOKUP(BQ$2,Valores!$H$2:$P$154,8,0)</f>
        <v>233070.704757719</v>
      </c>
      <c r="BR36" s="30" t="n">
        <f aca="false">SUMIF($C$2:$F$2,EOMONTH(BR$2,-1)+1,$C36:$F36)*VLOOKUP(BR$2,Valores!$H$2:$P$154,8,0)</f>
        <v>111873.938283705</v>
      </c>
      <c r="BS36" s="30" t="n">
        <f aca="false">SUMIF($C$2:$F$2,EOMONTH(BS$2,-1)+1,$C36:$F36)*VLOOKUP(BS$2,Valores!$H$2:$P$154,8,0)</f>
        <v>49943.7224480826</v>
      </c>
      <c r="BT36" s="30" t="n">
        <f aca="false">SUMIF($C$2:$F$2,EOMONTH(BT$2,-1)+1,$C36:$F36)*VLOOKUP(BT$2,Valores!$H$2:$P$154,8,0)</f>
        <v>49943.7224480826</v>
      </c>
      <c r="BU36" s="30" t="n">
        <f aca="false">SUMIF($C$2:$F$2,EOMONTH(BU$2,-1)+1,$C36:$F36)*VLOOKUP(BU$2,Valores!$H$2:$P$154,8,0)</f>
        <v>49943.7224480826</v>
      </c>
      <c r="BV36" s="30" t="n">
        <f aca="false">SUMIF($C$2:$F$2,EOMONTH(BV$2,-1)+1,$C36:$F36)*VLOOKUP(BV$2,Valores!$H$2:$P$154,8,0)</f>
        <v>49943.7224480826</v>
      </c>
      <c r="BW36" s="30" t="n">
        <f aca="false">SUMIF($C$2:$F$2,EOMONTH(BW$2,-1)+1,$C36:$F36)*VLOOKUP(BW$2,Valores!$H$2:$P$154,8,0)</f>
        <v>99887.4448961652</v>
      </c>
      <c r="BX36" s="30" t="n">
        <f aca="false">SUMIF($C$2:$F$2,EOMONTH(BX$2,-1)+1,$C36:$F36)*VLOOKUP(BX$2,Valores!$H$2:$P$154,8,0)</f>
        <v>124859.306120207</v>
      </c>
      <c r="BY36" s="30" t="n">
        <f aca="false">SUMIF($C$2:$F$2,EOMONTH(BY$2,-1)+1,$C36:$F36)*VLOOKUP(BY$2,Valores!$H$2:$P$154,8,0)</f>
        <v>74915.5836721239</v>
      </c>
      <c r="BZ36" s="30" t="n">
        <f aca="false">SUMIF($C$2:$F$2,EOMONTH(BZ$2,-1)+1,$C36:$F36)*VLOOKUP(BZ$2,Valores!$H$2:$P$154,8,0)</f>
        <v>49943.7224480826</v>
      </c>
      <c r="CA36" s="30" t="n">
        <f aca="false">SUMIF($C$2:$F$2,EOMONTH(CA$2,-1)+1,$C36:$F36)*VLOOKUP(CA$2,Valores!$H$2:$P$154,8,0)</f>
        <v>49943.7224480826</v>
      </c>
      <c r="CB36" s="30" t="n">
        <f aca="false">SUMIF($C$2:$F$2,EOMONTH(CB$2,-1)+1,$C36:$F36)*VLOOKUP(CB$2,Valores!$H$2:$P$154,8,0)</f>
        <v>49943.7224480826</v>
      </c>
      <c r="CC36" s="30" t="n">
        <f aca="false">SUMIF($C$2:$F$2,EOMONTH(CC$2,-1)+1,$C36:$F36)*VLOOKUP(CC$2,Valores!$H$2:$P$154,8,0)</f>
        <v>49943.7224480826</v>
      </c>
      <c r="CD36" s="30" t="n">
        <f aca="false">SUMIF($C$2:$F$2,EOMONTH(CD$2,-1)+1,$C36:$F36)*VLOOKUP(CD$2,Valores!$H$2:$P$154,8,0)</f>
        <v>149831.167344248</v>
      </c>
      <c r="CE36" s="30" t="n">
        <f aca="false">SUMIF($C$2:$F$2,EOMONTH(CE$2,-1)+1,$C36:$F36)*VLOOKUP(CE$2,Valores!$H$2:$P$154,8,0)</f>
        <v>199774.88979233</v>
      </c>
      <c r="CF36" s="30" t="n">
        <f aca="false">SUMIF($C$2:$F$2,EOMONTH(CF$2,-1)+1,$C36:$F36)*VLOOKUP(CF$2,Valores!$H$2:$P$154,8,0)</f>
        <v>124859.306120207</v>
      </c>
      <c r="CG36" s="30" t="n">
        <f aca="false">SUMIF($C$2:$F$2,EOMONTH(CG$2,-1)+1,$C36:$F36)*VLOOKUP(CG$2,Valores!$H$2:$P$154,8,0)</f>
        <v>66591.6299307768</v>
      </c>
      <c r="CH36" s="30" t="n">
        <f aca="false">SUMIF($C$2:$F$2,EOMONTH(CH$2,-1)+1,$C36:$F36)*VLOOKUP(CH$2,Valores!$H$2:$P$154,8,0)</f>
        <v>66591.6299307768</v>
      </c>
      <c r="CI36" s="30" t="n">
        <f aca="false">SUMIF($C$2:$F$2,EOMONTH(CI$2,-1)+1,$C36:$F36)*VLOOKUP(CI$2,Valores!$H$2:$P$154,8,0)</f>
        <v>66591.6299307768</v>
      </c>
      <c r="CJ36" s="30" t="n">
        <f aca="false">SUMIF($C$2:$F$2,EOMONTH(CJ$2,-1)+1,$C36:$F36)*VLOOKUP(CJ$2,Valores!$H$2:$P$154,8,0)</f>
        <v>66591.6299307768</v>
      </c>
      <c r="CK36" s="30" t="n">
        <f aca="false">SUMIF($C$2:$F$2,EOMONTH(CK$2,-1)+1,$C36:$F36)*VLOOKUP(CK$2,Valores!$H$2:$P$154,8,0)</f>
        <v>133183.259861554</v>
      </c>
      <c r="CL36" s="30" t="n">
        <f aca="false">SUMIF($C$2:$F$2,EOMONTH(CL$2,-1)+1,$C36:$F36)*VLOOKUP(CL$2,Valores!$H$2:$P$154,8,0)</f>
        <v>166479.074826942</v>
      </c>
      <c r="CM36" s="30" t="n">
        <f aca="false">SUMIF($C$2:$F$2,EOMONTH(CM$2,-1)+1,$C36:$F36)*VLOOKUP(CM$2,Valores!$H$2:$P$154,8,0)</f>
        <v>99887.4448961652</v>
      </c>
      <c r="CN36" s="30" t="n">
        <f aca="false">SUMIF($C$2:$F$2,EOMONTH(CN$2,-1)+1,$C36:$F36)*VLOOKUP(CN$2,Valores!$H$2:$P$154,8,0)</f>
        <v>73250.7929238545</v>
      </c>
      <c r="CO36" s="30" t="n">
        <f aca="false">SUMIF($C$2:$F$2,EOMONTH(CO$2,-1)+1,$C36:$F36)*VLOOKUP(CO$2,Valores!$H$2:$P$154,8,0)</f>
        <v>73250.7929238545</v>
      </c>
      <c r="CP36" s="30" t="n">
        <f aca="false">SUMIF($C$2:$F$2,EOMONTH(CP$2,-1)+1,$C36:$F36)*VLOOKUP(CP$2,Valores!$H$2:$P$154,8,0)</f>
        <v>73250.7929238545</v>
      </c>
      <c r="CQ36" s="30" t="n">
        <f aca="false">SUMIF($C$2:$F$2,EOMONTH(CQ$2,-1)+1,$C36:$F36)*VLOOKUP(CQ$2,Valores!$H$2:$P$154,8,0)</f>
        <v>73250.7929238545</v>
      </c>
      <c r="CR36" s="30" t="n">
        <f aca="false">SUMIF($C$2:$F$2,EOMONTH(CR$2,-1)+1,$C36:$F36)*VLOOKUP(CR$2,Valores!$H$2:$P$154,8,0)</f>
        <v>146501.585847709</v>
      </c>
      <c r="CS36" s="30" t="n">
        <f aca="false">SUMIF($C$2:$F$2,EOMONTH(CS$2,-1)+1,$C36:$F36)*VLOOKUP(CS$2,Valores!$H$2:$P$154,8,0)</f>
        <v>219752.378771564</v>
      </c>
      <c r="CT36" s="30" t="e">
        <f aca="false">SUMIF($C$2:$F$2,EOMONTH(CT$2,-1)+1,$C36:$F36)*VLOOKUP(CT$2,Valores!$H$2:$P$154,8,0)</f>
        <v>#VALUE!</v>
      </c>
      <c r="CU36" s="30" t="e">
        <f aca="false">SUMIF($C$2:$F$2,EOMONTH(CU$2,-1)+1,$C36:$F36)*VLOOKUP(CU$2,Valores!$H$2:$P$154,8,0)</f>
        <v>#VALUE!</v>
      </c>
      <c r="CV36" s="30" t="e">
        <f aca="false">SUMIF($C$2:$F$2,EOMONTH(CV$2,-1)+1,$C36:$F36)*VLOOKUP(CV$2,Valores!$H$2:$P$154,8,0)</f>
        <v>#VALUE!</v>
      </c>
      <c r="CW36" s="30" t="e">
        <f aca="false">SUMIF($C$2:$F$2,EOMONTH(CW$2,-1)+1,$C36:$F36)*VLOOKUP(CW$2,Valores!$H$2:$P$154,8,0)</f>
        <v>#VALUE!</v>
      </c>
      <c r="CX36" s="30" t="e">
        <f aca="false">SUMIF($C$2:$F$2,EOMONTH(CX$2,-1)+1,$C36:$F36)*VLOOKUP(CX$2,Valores!$H$2:$P$154,8,0)</f>
        <v>#VALUE!</v>
      </c>
      <c r="CY36" s="30" t="e">
        <f aca="false">SUMIF($C$2:$F$2,EOMONTH(CY$2,-1)+1,$C36:$F36)*VLOOKUP(CY$2,Valores!$H$2:$P$154,8,0)</f>
        <v>#VALUE!</v>
      </c>
      <c r="CZ36" s="30" t="e">
        <f aca="false">SUMIF($C$2:$F$2,EOMONTH(CZ$2,-1)+1,$C36:$F36)*VLOOKUP(CZ$2,Valores!$H$2:$P$154,8,0)</f>
        <v>#VALUE!</v>
      </c>
      <c r="DA36" s="30" t="e">
        <f aca="false">SUMIF($C$2:$F$2,EOMONTH(DA$2,-1)+1,$C36:$F36)*VLOOKUP(DA$2,Valores!$H$2:$P$154,8,0)</f>
        <v>#VALUE!</v>
      </c>
      <c r="DB36" s="30" t="e">
        <f aca="false">SUMIF($C$2:$F$2,EOMONTH(DB$2,-1)+1,$C36:$F36)*VLOOKUP(DB$2,Valores!$H$2:$P$154,8,0)</f>
        <v>#VALUE!</v>
      </c>
      <c r="DC36" s="30" t="e">
        <f aca="false">SUMIF($C$2:$F$2,EOMONTH(DC$2,-1)+1,$C36:$F36)*VLOOKUP(DC$2,Valores!$H$2:$P$154,8,0)</f>
        <v>#VALUE!</v>
      </c>
      <c r="DD36" s="30" t="e">
        <f aca="false">SUMIF($C$2:$F$2,EOMONTH(DD$2,-1)+1,$C36:$F36)*VLOOKUP(DD$2,Valores!$H$2:$P$154,8,0)</f>
        <v>#VALUE!</v>
      </c>
      <c r="DE36" s="30" t="e">
        <f aca="false">SUMIF($C$2:$F$2,EOMONTH(DE$2,-1)+1,$C36:$F36)*VLOOKUP(DE$2,Valores!$H$2:$P$154,8,0)</f>
        <v>#VALUE!</v>
      </c>
      <c r="DF36" s="30" t="e">
        <f aca="false">SUMIF($C$2:$F$2,EOMONTH(DF$2,-1)+1,$C36:$F36)*VLOOKUP(DF$2,Valores!$H$2:$P$154,8,0)</f>
        <v>#VALUE!</v>
      </c>
      <c r="DG36" s="30" t="e">
        <f aca="false">SUMIF($C$2:$F$2,EOMONTH(DG$2,-1)+1,$C36:$F36)*VLOOKUP(DG$2,Valores!$H$2:$P$154,8,0)</f>
        <v>#VALUE!</v>
      </c>
      <c r="DH36" s="30" t="e">
        <f aca="false">SUMIF($C$2:$F$2,EOMONTH(DH$2,-1)+1,$C36:$F36)*VLOOKUP(DH$2,Valores!$H$2:$P$154,8,0)</f>
        <v>#VALUE!</v>
      </c>
      <c r="DI36" s="30" t="e">
        <f aca="false">SUMIF($C$2:$F$2,EOMONTH(DI$2,-1)+1,$C36:$F36)*VLOOKUP(DI$2,Valores!$H$2:$P$154,8,0)</f>
        <v>#VALUE!</v>
      </c>
      <c r="DJ36" s="30" t="e">
        <f aca="false">SUMIF($C$2:$F$2,EOMONTH(DJ$2,-1)+1,$C36:$F36)*VLOOKUP(DJ$2,Valores!$H$2:$P$154,8,0)</f>
        <v>#VALUE!</v>
      </c>
      <c r="DK36" s="30" t="e">
        <f aca="false">SUMIF($C$2:$F$2,EOMONTH(DK$2,-1)+1,$C36:$F36)*VLOOKUP(DK$2,Valores!$H$2:$P$154,8,0)</f>
        <v>#VALUE!</v>
      </c>
      <c r="DL36" s="30" t="e">
        <f aca="false">SUMIF($C$2:$F$2,EOMONTH(DL$2,-1)+1,$C36:$F36)*VLOOKUP(DL$2,Valores!$H$2:$P$154,8,0)</f>
        <v>#VALUE!</v>
      </c>
      <c r="DM36" s="30" t="e">
        <f aca="false">SUMIF($C$2:$F$2,EOMONTH(DM$2,-1)+1,$C36:$F36)*VLOOKUP(DM$2,Valores!$H$2:$P$154,8,0)</f>
        <v>#VALUE!</v>
      </c>
      <c r="DN36" s="30" t="e">
        <f aca="false">SUMIF($C$2:$F$2,EOMONTH(DN$2,-1)+1,$C36:$F36)*VLOOKUP(DN$2,Valores!$H$2:$P$154,8,0)</f>
        <v>#VALUE!</v>
      </c>
      <c r="DO36" s="30" t="e">
        <f aca="false">SUMIF($C$2:$F$2,EOMONTH(DO$2,-1)+1,$C36:$F36)*VLOOKUP(DO$2,Valores!$H$2:$P$154,8,0)</f>
        <v>#VALUE!</v>
      </c>
      <c r="DP36" s="30" t="e">
        <f aca="false">SUMIF($C$2:$F$2,EOMONTH(DP$2,-1)+1,$C36:$F36)*VLOOKUP(DP$2,Valores!$H$2:$P$154,8,0)</f>
        <v>#VALUE!</v>
      </c>
      <c r="DQ36" s="30" t="e">
        <f aca="false">SUMIF($C$2:$F$2,EOMONTH(DQ$2,-1)+1,$C36:$F36)*VLOOKUP(DQ$2,Valores!$H$2:$P$154,8,0)</f>
        <v>#VALUE!</v>
      </c>
      <c r="DR36" s="30" t="e">
        <f aca="false">SUMIF($C$2:$F$2,EOMONTH(DR$2,-1)+1,$C36:$F36)*VLOOKUP(DR$2,Valores!$H$2:$P$154,8,0)</f>
        <v>#VALUE!</v>
      </c>
      <c r="DS36" s="30" t="e">
        <f aca="false">SUMIF($C$2:$F$2,EOMONTH(DS$2,-1)+1,$C36:$F36)*VLOOKUP(DS$2,Valores!$H$2:$P$154,8,0)</f>
        <v>#VALUE!</v>
      </c>
      <c r="DT36" s="30" t="e">
        <f aca="false">SUMIF($C$2:$F$2,EOMONTH(DT$2,-1)+1,$C36:$F36)*VLOOKUP(DT$2,Valores!$H$2:$P$154,8,0)</f>
        <v>#VALUE!</v>
      </c>
      <c r="DU36" s="30" t="e">
        <f aca="false">SUMIF($C$2:$F$2,EOMONTH(DU$2,-1)+1,$C36:$F36)*VLOOKUP(DU$2,Valores!$H$2:$P$154,8,0)</f>
        <v>#VALUE!</v>
      </c>
      <c r="DV36" s="30" t="e">
        <f aca="false">SUMIF($C$2:$F$2,EOMONTH(DV$2,-1)+1,$C36:$F36)*VLOOKUP(DV$2,Valores!$H$2:$P$154,8,0)</f>
        <v>#VALUE!</v>
      </c>
      <c r="DW36" s="30" t="e">
        <f aca="false">SUMIF($C$2:$F$2,EOMONTH(DW$2,-1)+1,$C36:$F36)*VLOOKUP(DW$2,Valores!$H$2:$P$154,8,0)</f>
        <v>#VALUE!</v>
      </c>
      <c r="DX36" s="30" t="e">
        <f aca="false">SUMIF($C$2:$F$2,EOMONTH(DX$2,-1)+1,$C36:$F36)*VLOOKUP(DX$2,Valores!$H$2:$P$154,8,0)</f>
        <v>#VALUE!</v>
      </c>
    </row>
    <row r="37" customFormat="false" ht="13.8" hidden="false" customHeight="false" outlineLevel="0" collapsed="false">
      <c r="A37" s="31" t="s">
        <v>54</v>
      </c>
      <c r="B37" s="31" t="s">
        <v>59</v>
      </c>
      <c r="C37" s="31" t="n">
        <v>3518638</v>
      </c>
      <c r="D37" s="31" t="n">
        <v>3166774.2</v>
      </c>
      <c r="E37" s="31" t="n">
        <v>2850096.78</v>
      </c>
      <c r="F37" s="31" t="n">
        <v>2565087.102</v>
      </c>
      <c r="G37" s="27" t="n">
        <f aca="false">SUMIF($C$2:$F$2,EOMONTH(G$2,-1)+1,$C37:$F37)*VLOOKUP(G$2,Valores!$H$2:$P$154,8,0)</f>
        <v>101326.583840711</v>
      </c>
      <c r="H37" s="27" t="n">
        <f aca="false">SUMIF($C$2:$F$2,EOMONTH(H$2,-1)+1,$C37:$F37)*VLOOKUP(H$2,Valores!$H$2:$P$154,8,0)</f>
        <v>69481.0860622017</v>
      </c>
      <c r="I37" s="27" t="n">
        <f aca="false">SUMIF($C$2:$F$2,EOMONTH(I$2,-1)+1,$C37:$F37)*VLOOKUP(I$2,Valores!$H$2:$P$154,8,0)</f>
        <v>69481.0860622017</v>
      </c>
      <c r="J37" s="27" t="n">
        <f aca="false">SUMIF($C$2:$F$2,EOMONTH(J$2,-1)+1,$C37:$F37)*VLOOKUP(J$2,Valores!$H$2:$P$154,8,0)</f>
        <v>69481.0860622017</v>
      </c>
      <c r="K37" s="27" t="n">
        <f aca="false">SUMIF($C$2:$F$2,EOMONTH(K$2,-1)+1,$C37:$F37)*VLOOKUP(K$2,Valores!$H$2:$P$154,8,0)</f>
        <v>69481.0860622017</v>
      </c>
      <c r="L37" s="27" t="n">
        <f aca="false">SUMIF($C$2:$F$2,EOMONTH(L$2,-1)+1,$C37:$F37)*VLOOKUP(L$2,Valores!$H$2:$P$154,8,0)</f>
        <v>138962.172124403</v>
      </c>
      <c r="M37" s="27" t="n">
        <f aca="false">SUMIF($C$2:$F$2,EOMONTH(M$2,-1)+1,$C37:$F37)*VLOOKUP(M$2,Valores!$H$2:$P$154,8,0)</f>
        <v>173702.715155504</v>
      </c>
      <c r="N37" s="27" t="n">
        <f aca="false">SUMIF($C$2:$F$2,EOMONTH(N$2,-1)+1,$C37:$F37)*VLOOKUP(N$2,Valores!$H$2:$P$154,8,0)</f>
        <v>104221.629093303</v>
      </c>
      <c r="O37" s="27" t="n">
        <f aca="false">SUMIF($C$2:$F$2,EOMONTH(O$2,-1)+1,$C37:$F37)*VLOOKUP(O$2,Valores!$H$2:$P$154,8,0)</f>
        <v>92641.4480829357</v>
      </c>
      <c r="P37" s="27" t="n">
        <f aca="false">SUMIF($C$2:$F$2,EOMONTH(P$2,-1)+1,$C37:$F37)*VLOOKUP(P$2,Valores!$H$2:$P$154,8,0)</f>
        <v>92641.4480829357</v>
      </c>
      <c r="Q37" s="27" t="n">
        <f aca="false">SUMIF($C$2:$F$2,EOMONTH(Q$2,-1)+1,$C37:$F37)*VLOOKUP(Q$2,Valores!$H$2:$P$154,8,0)</f>
        <v>55584.8688497614</v>
      </c>
      <c r="R37" s="27" t="n">
        <f aca="false">SUMIF($C$2:$F$2,EOMONTH(R$2,-1)+1,$C37:$F37)*VLOOKUP(R$2,Valores!$H$2:$P$154,8,0)</f>
        <v>92641.4480829357</v>
      </c>
      <c r="S37" s="27" t="n">
        <f aca="false">SUMIF($C$2:$F$2,EOMONTH(S$2,-1)+1,$C37:$F37)*VLOOKUP(S$2,Valores!$H$2:$P$154,8,0)</f>
        <v>185282.896165871</v>
      </c>
      <c r="T37" s="27" t="n">
        <f aca="false">SUMIF($C$2:$F$2,EOMONTH(T$2,-1)+1,$C37:$F37)*VLOOKUP(T$2,Valores!$H$2:$P$154,8,0)</f>
        <v>231603.620207339</v>
      </c>
      <c r="U37" s="27" t="n">
        <f aca="false">SUMIF($C$2:$F$2,EOMONTH(U$2,-1)+1,$C37:$F37)*VLOOKUP(U$2,Valores!$H$2:$P$154,8,0)</f>
        <v>138962.172124403</v>
      </c>
      <c r="V37" s="27" t="n">
        <f aca="false">SUMIF($C$2:$F$2,EOMONTH(V$2,-1)+1,$C37:$F37)*VLOOKUP(V$2,Valores!$H$2:$P$154,8,0)</f>
        <v>115801.81010367</v>
      </c>
      <c r="W37" s="27" t="n">
        <f aca="false">SUMIF($C$2:$F$2,EOMONTH(W$2,-1)+1,$C37:$F37)*VLOOKUP(W$2,Valores!$H$2:$P$154,8,0)</f>
        <v>115801.81010367</v>
      </c>
      <c r="X37" s="27" t="n">
        <f aca="false">SUMIF($C$2:$F$2,EOMONTH(X$2,-1)+1,$C37:$F37)*VLOOKUP(X$2,Valores!$H$2:$P$154,8,0)</f>
        <v>0</v>
      </c>
      <c r="Y37" s="27" t="n">
        <f aca="false">SUMIF($C$2:$F$2,EOMONTH(Y$2,-1)+1,$C37:$F37)*VLOOKUP(Y$2,Valores!$H$2:$P$154,8,0)</f>
        <v>0</v>
      </c>
      <c r="Z37" s="27" t="n">
        <f aca="false">SUMIF($C$2:$F$2,EOMONTH(Z$2,-1)+1,$C37:$F37)*VLOOKUP(Z$2,Valores!$H$2:$P$154,8,0)</f>
        <v>173702.715155504</v>
      </c>
      <c r="AA37" s="27" t="n">
        <f aca="false">SUMIF($C$2:$F$2,EOMONTH(AA$2,-1)+1,$C37:$F37)*VLOOKUP(AA$2,Valores!$H$2:$P$154,8,0)</f>
        <v>208443.258186605</v>
      </c>
      <c r="AB37" s="27" t="n">
        <f aca="false">SUMIF($C$2:$F$2,EOMONTH(AB$2,-1)+1,$C37:$F37)*VLOOKUP(AB$2,Valores!$H$2:$P$154,8,0)</f>
        <v>104221.629093303</v>
      </c>
      <c r="AC37" s="27" t="n">
        <f aca="false">SUMIF($C$2:$F$2,EOMONTH(AC$2,-1)+1,$C37:$F37)*VLOOKUP(AC$2,Valores!$H$2:$P$154,8,0)</f>
        <v>127381.991114037</v>
      </c>
      <c r="AD37" s="27" t="n">
        <f aca="false">SUMIF($C$2:$F$2,EOMONTH(AD$2,-1)+1,$C37:$F37)*VLOOKUP(AD$2,Valores!$H$2:$P$154,8,0)</f>
        <v>127381.991114037</v>
      </c>
      <c r="AE37" s="27" t="n">
        <f aca="false">SUMIF($C$2:$F$2,EOMONTH(AE$2,-1)+1,$C37:$F37)*VLOOKUP(AE$2,Valores!$H$2:$P$154,8,0)</f>
        <v>127381.991114037</v>
      </c>
      <c r="AF37" s="27" t="n">
        <f aca="false">SUMIF($C$2:$F$2,EOMONTH(AF$2,-1)+1,$C37:$F37)*VLOOKUP(AF$2,Valores!$H$2:$P$154,8,0)</f>
        <v>127381.991114037</v>
      </c>
      <c r="AG37" s="27" t="n">
        <f aca="false">SUMIF($C$2:$F$2,EOMONTH(AG$2,-1)+1,$C37:$F37)*VLOOKUP(AG$2,Valores!$H$2:$P$154,8,0)</f>
        <v>203811.185782458</v>
      </c>
      <c r="AH37" s="27" t="n">
        <f aca="false">SUMIF($C$2:$F$2,EOMONTH(AH$2,-1)+1,$C37:$F37)*VLOOKUP(AH$2,Valores!$H$2:$P$154,8,0)</f>
        <v>254763.982228073</v>
      </c>
      <c r="AI37" s="27" t="n">
        <f aca="false">SUMIF($C$2:$F$2,EOMONTH(AI$2,-1)+1,$C37:$F37)*VLOOKUP(AI$2,Valores!$H$2:$P$154,8,0)</f>
        <v>89167.3937798256</v>
      </c>
      <c r="AJ37" s="27" t="n">
        <f aca="false">SUMIF($C$2:$F$2,EOMONTH(AJ$2,-1)+1,$C37:$F37)*VLOOKUP(AJ$2,Valores!$H$2:$P$154,8,0)</f>
        <v>57900.9050518348</v>
      </c>
      <c r="AK37" s="27" t="n">
        <f aca="false">SUMIF($C$2:$F$2,EOMONTH(AK$2,-1)+1,$C37:$F37)*VLOOKUP(AK$2,Valores!$H$2:$P$154,8,0)</f>
        <v>105586.79368406</v>
      </c>
      <c r="AL37" s="27" t="n">
        <f aca="false">SUMIF($C$2:$F$2,EOMONTH(AL$2,-1)+1,$C37:$F37)*VLOOKUP(AL$2,Valores!$H$2:$P$154,8,0)</f>
        <v>105586.79368406</v>
      </c>
      <c r="AM37" s="27" t="n">
        <f aca="false">SUMIF($C$2:$F$2,EOMONTH(AM$2,-1)+1,$C37:$F37)*VLOOKUP(AM$2,Valores!$H$2:$P$154,8,0)</f>
        <v>105586.79368406</v>
      </c>
      <c r="AN37" s="27" t="n">
        <f aca="false">SUMIF($C$2:$F$2,EOMONTH(AN$2,-1)+1,$C37:$F37)*VLOOKUP(AN$2,Valores!$H$2:$P$154,8,0)</f>
        <v>211173.58736812</v>
      </c>
      <c r="AO37" s="27" t="n">
        <f aca="false">SUMIF($C$2:$F$2,EOMONTH(AO$2,-1)+1,$C37:$F37)*VLOOKUP(AO$2,Valores!$H$2:$P$154,8,0)</f>
        <v>263966.98421015</v>
      </c>
      <c r="AP37" s="27" t="n">
        <f aca="false">SUMIF($C$2:$F$2,EOMONTH(AP$2,-1)+1,$C37:$F37)*VLOOKUP(AP$2,Valores!$H$2:$P$154,8,0)</f>
        <v>158380.19052609</v>
      </c>
      <c r="AQ37" s="27" t="n">
        <f aca="false">SUMIF($C$2:$F$2,EOMONTH(AQ$2,-1)+1,$C37:$F37)*VLOOKUP(AQ$2,Valores!$H$2:$P$154,8,0)</f>
        <v>56564.3537593179</v>
      </c>
      <c r="AR37" s="27" t="n">
        <f aca="false">SUMIF($C$2:$F$2,EOMONTH(AR$2,-1)+1,$C37:$F37)*VLOOKUP(AR$2,Valores!$H$2:$P$154,8,0)</f>
        <v>56564.3537593179</v>
      </c>
      <c r="AS37" s="27" t="n">
        <f aca="false">SUMIF($C$2:$F$2,EOMONTH(AS$2,-1)+1,$C37:$F37)*VLOOKUP(AS$2,Valores!$H$2:$P$154,8,0)</f>
        <v>56564.3537593179</v>
      </c>
      <c r="AT37" s="27" t="n">
        <f aca="false">SUMIF($C$2:$F$2,EOMONTH(AT$2,-1)+1,$C37:$F37)*VLOOKUP(AT$2,Valores!$H$2:$P$154,8,0)</f>
        <v>56564.3537593179</v>
      </c>
      <c r="AU37" s="27" t="n">
        <f aca="false">SUMIF($C$2:$F$2,EOMONTH(AU$2,-1)+1,$C37:$F37)*VLOOKUP(AU$2,Valores!$H$2:$P$154,8,0)</f>
        <v>113128.707518636</v>
      </c>
      <c r="AV37" s="27" t="n">
        <f aca="false">SUMIF($C$2:$F$2,EOMONTH(AV$2,-1)+1,$C37:$F37)*VLOOKUP(AV$2,Valores!$H$2:$P$154,8,0)</f>
        <v>141410.884398295</v>
      </c>
      <c r="AW37" s="27" t="n">
        <f aca="false">SUMIF($C$2:$F$2,EOMONTH(AW$2,-1)+1,$C37:$F37)*VLOOKUP(AW$2,Valores!$H$2:$P$154,8,0)</f>
        <v>84846.5306389769</v>
      </c>
      <c r="AX37" s="27" t="n">
        <f aca="false">SUMIF($C$2:$F$2,EOMONTH(AX$2,-1)+1,$C37:$F37)*VLOOKUP(AX$2,Valores!$H$2:$P$154,8,0)</f>
        <v>56564.3537593179</v>
      </c>
      <c r="AY37" s="27" t="n">
        <f aca="false">SUMIF($C$2:$F$2,EOMONTH(AY$2,-1)+1,$C37:$F37)*VLOOKUP(AY$2,Valores!$H$2:$P$154,8,0)</f>
        <v>73533.6598871133</v>
      </c>
      <c r="AZ37" s="27" t="n">
        <f aca="false">SUMIF($C$2:$F$2,EOMONTH(AZ$2,-1)+1,$C37:$F37)*VLOOKUP(AZ$2,Valores!$H$2:$P$154,8,0)</f>
        <v>73533.6598871133</v>
      </c>
      <c r="BA37" s="27" t="n">
        <f aca="false">SUMIF($C$2:$F$2,EOMONTH(BA$2,-1)+1,$C37:$F37)*VLOOKUP(BA$2,Valores!$H$2:$P$154,8,0)</f>
        <v>73533.6598871133</v>
      </c>
      <c r="BB37" s="27" t="n">
        <f aca="false">SUMIF($C$2:$F$2,EOMONTH(BB$2,-1)+1,$C37:$F37)*VLOOKUP(BB$2,Valores!$H$2:$P$154,8,0)</f>
        <v>130098.013646431</v>
      </c>
      <c r="BC37" s="27" t="n">
        <f aca="false">SUMIF($C$2:$F$2,EOMONTH(BC$2,-1)+1,$C37:$F37)*VLOOKUP(BC$2,Valores!$H$2:$P$154,8,0)</f>
        <v>158380.19052609</v>
      </c>
      <c r="BD37" s="27" t="n">
        <f aca="false">SUMIF($C$2:$F$2,EOMONTH(BD$2,-1)+1,$C37:$F37)*VLOOKUP(BD$2,Valores!$H$2:$P$154,8,0)</f>
        <v>84846.5306389769</v>
      </c>
      <c r="BE37" s="27" t="n">
        <f aca="false">SUMIF($C$2:$F$2,EOMONTH(BE$2,-1)+1,$C37:$F37)*VLOOKUP(BE$2,Valores!$H$2:$P$154,8,0)</f>
        <v>75419.1383457572</v>
      </c>
      <c r="BF37" s="27" t="n">
        <f aca="false">SUMIF($C$2:$F$2,EOMONTH(BF$2,-1)+1,$C37:$F37)*VLOOKUP(BF$2,Valores!$H$2:$P$154,8,0)</f>
        <v>75419.1383457572</v>
      </c>
      <c r="BG37" s="27" t="n">
        <f aca="false">SUMIF($C$2:$F$2,EOMONTH(BG$2,-1)+1,$C37:$F37)*VLOOKUP(BG$2,Valores!$H$2:$P$154,8,0)</f>
        <v>75419.1383457572</v>
      </c>
      <c r="BH37" s="27" t="n">
        <f aca="false">SUMIF($C$2:$F$2,EOMONTH(BH$2,-1)+1,$C37:$F37)*VLOOKUP(BH$2,Valores!$H$2:$P$154,8,0)</f>
        <v>75419.1383457572</v>
      </c>
      <c r="BI37" s="27" t="n">
        <f aca="false">SUMIF($C$2:$F$2,EOMONTH(BI$2,-1)+1,$C37:$F37)*VLOOKUP(BI$2,Valores!$H$2:$P$154,8,0)</f>
        <v>150838.276691514</v>
      </c>
      <c r="BJ37" s="27" t="n">
        <f aca="false">SUMIF($C$2:$F$2,EOMONTH(BJ$2,-1)+1,$C37:$F37)*VLOOKUP(BJ$2,Valores!$H$2:$P$154,8,0)</f>
        <v>188547.845864393</v>
      </c>
      <c r="BK37" s="27" t="n">
        <f aca="false">SUMIF($C$2:$F$2,EOMONTH(BK$2,-1)+1,$C37:$F37)*VLOOKUP(BK$2,Valores!$H$2:$P$154,8,0)</f>
        <v>90502.9660149087</v>
      </c>
      <c r="BL37" s="27" t="n">
        <f aca="false">SUMIF($C$2:$F$2,EOMONTH(BL$2,-1)+1,$C37:$F37)*VLOOKUP(BL$2,Valores!$H$2:$P$154,8,0)</f>
        <v>66368.8417442664</v>
      </c>
      <c r="BM37" s="27" t="n">
        <f aca="false">SUMIF($C$2:$F$2,EOMONTH(BM$2,-1)+1,$C37:$F37)*VLOOKUP(BM$2,Valores!$H$2:$P$154,8,0)</f>
        <v>66368.8417442664</v>
      </c>
      <c r="BN37" s="27" t="n">
        <f aca="false">SUMIF($C$2:$F$2,EOMONTH(BN$2,-1)+1,$C37:$F37)*VLOOKUP(BN$2,Valores!$H$2:$P$154,8,0)</f>
        <v>66368.8417442664</v>
      </c>
      <c r="BO37" s="27" t="n">
        <f aca="false">SUMIF($C$2:$F$2,EOMONTH(BO$2,-1)+1,$C37:$F37)*VLOOKUP(BO$2,Valores!$H$2:$P$154,8,0)</f>
        <v>69687.2838314797</v>
      </c>
      <c r="BP37" s="27" t="n">
        <f aca="false">SUMIF($C$2:$F$2,EOMONTH(BP$2,-1)+1,$C37:$F37)*VLOOKUP(BP$2,Valores!$H$2:$P$154,8,0)</f>
        <v>175371.299505549</v>
      </c>
      <c r="BQ37" s="27" t="n">
        <f aca="false">SUMIF($C$2:$F$2,EOMONTH(BQ$2,-1)+1,$C37:$F37)*VLOOKUP(BQ$2,Valores!$H$2:$P$154,8,0)</f>
        <v>219214.124381936</v>
      </c>
      <c r="BR37" s="27" t="n">
        <f aca="false">SUMIF($C$2:$F$2,EOMONTH(BR$2,-1)+1,$C37:$F37)*VLOOKUP(BR$2,Valores!$H$2:$P$154,8,0)</f>
        <v>105222.779703329</v>
      </c>
      <c r="BS37" s="27" t="n">
        <f aca="false">SUMIF($C$2:$F$2,EOMONTH(BS$2,-1)+1,$C37:$F37)*VLOOKUP(BS$2,Valores!$H$2:$P$154,8,0)</f>
        <v>46974.4552247006</v>
      </c>
      <c r="BT37" s="27" t="n">
        <f aca="false">SUMIF($C$2:$F$2,EOMONTH(BT$2,-1)+1,$C37:$F37)*VLOOKUP(BT$2,Valores!$H$2:$P$154,8,0)</f>
        <v>46974.4552247006</v>
      </c>
      <c r="BU37" s="27" t="n">
        <f aca="false">SUMIF($C$2:$F$2,EOMONTH(BU$2,-1)+1,$C37:$F37)*VLOOKUP(BU$2,Valores!$H$2:$P$154,8,0)</f>
        <v>46974.4552247006</v>
      </c>
      <c r="BV37" s="27" t="n">
        <f aca="false">SUMIF($C$2:$F$2,EOMONTH(BV$2,-1)+1,$C37:$F37)*VLOOKUP(BV$2,Valores!$H$2:$P$154,8,0)</f>
        <v>46974.4552247006</v>
      </c>
      <c r="BW37" s="27" t="n">
        <f aca="false">SUMIF($C$2:$F$2,EOMONTH(BW$2,-1)+1,$C37:$F37)*VLOOKUP(BW$2,Valores!$H$2:$P$154,8,0)</f>
        <v>93948.9104494011</v>
      </c>
      <c r="BX37" s="27" t="n">
        <f aca="false">SUMIF($C$2:$F$2,EOMONTH(BX$2,-1)+1,$C37:$F37)*VLOOKUP(BX$2,Valores!$H$2:$P$154,8,0)</f>
        <v>117436.138061751</v>
      </c>
      <c r="BY37" s="27" t="n">
        <f aca="false">SUMIF($C$2:$F$2,EOMONTH(BY$2,-1)+1,$C37:$F37)*VLOOKUP(BY$2,Valores!$H$2:$P$154,8,0)</f>
        <v>70461.6828370508</v>
      </c>
      <c r="BZ37" s="27" t="n">
        <f aca="false">SUMIF($C$2:$F$2,EOMONTH(BZ$2,-1)+1,$C37:$F37)*VLOOKUP(BZ$2,Valores!$H$2:$P$154,8,0)</f>
        <v>46974.4552247006</v>
      </c>
      <c r="CA37" s="27" t="n">
        <f aca="false">SUMIF($C$2:$F$2,EOMONTH(CA$2,-1)+1,$C37:$F37)*VLOOKUP(CA$2,Valores!$H$2:$P$154,8,0)</f>
        <v>46974.4552247006</v>
      </c>
      <c r="CB37" s="27" t="n">
        <f aca="false">SUMIF($C$2:$F$2,EOMONTH(CB$2,-1)+1,$C37:$F37)*VLOOKUP(CB$2,Valores!$H$2:$P$154,8,0)</f>
        <v>46974.4552247006</v>
      </c>
      <c r="CC37" s="27" t="n">
        <f aca="false">SUMIF($C$2:$F$2,EOMONTH(CC$2,-1)+1,$C37:$F37)*VLOOKUP(CC$2,Valores!$H$2:$P$154,8,0)</f>
        <v>46974.4552247006</v>
      </c>
      <c r="CD37" s="27" t="n">
        <f aca="false">SUMIF($C$2:$F$2,EOMONTH(CD$2,-1)+1,$C37:$F37)*VLOOKUP(CD$2,Valores!$H$2:$P$154,8,0)</f>
        <v>140923.365674102</v>
      </c>
      <c r="CE37" s="27" t="n">
        <f aca="false">SUMIF($C$2:$F$2,EOMONTH(CE$2,-1)+1,$C37:$F37)*VLOOKUP(CE$2,Valores!$H$2:$P$154,8,0)</f>
        <v>187897.820898802</v>
      </c>
      <c r="CF37" s="27" t="n">
        <f aca="false">SUMIF($C$2:$F$2,EOMONTH(CF$2,-1)+1,$C37:$F37)*VLOOKUP(CF$2,Valores!$H$2:$P$154,8,0)</f>
        <v>117436.138061751</v>
      </c>
      <c r="CG37" s="27" t="n">
        <f aca="false">SUMIF($C$2:$F$2,EOMONTH(CG$2,-1)+1,$C37:$F37)*VLOOKUP(CG$2,Valores!$H$2:$P$154,8,0)</f>
        <v>62632.6069662674</v>
      </c>
      <c r="CH37" s="27" t="n">
        <f aca="false">SUMIF($C$2:$F$2,EOMONTH(CH$2,-1)+1,$C37:$F37)*VLOOKUP(CH$2,Valores!$H$2:$P$154,8,0)</f>
        <v>62632.6069662674</v>
      </c>
      <c r="CI37" s="27" t="n">
        <f aca="false">SUMIF($C$2:$F$2,EOMONTH(CI$2,-1)+1,$C37:$F37)*VLOOKUP(CI$2,Valores!$H$2:$P$154,8,0)</f>
        <v>62632.6069662674</v>
      </c>
      <c r="CJ37" s="27" t="n">
        <f aca="false">SUMIF($C$2:$F$2,EOMONTH(CJ$2,-1)+1,$C37:$F37)*VLOOKUP(CJ$2,Valores!$H$2:$P$154,8,0)</f>
        <v>62632.6069662674</v>
      </c>
      <c r="CK37" s="27" t="n">
        <f aca="false">SUMIF($C$2:$F$2,EOMONTH(CK$2,-1)+1,$C37:$F37)*VLOOKUP(CK$2,Valores!$H$2:$P$154,8,0)</f>
        <v>125265.213932535</v>
      </c>
      <c r="CL37" s="27" t="n">
        <f aca="false">SUMIF($C$2:$F$2,EOMONTH(CL$2,-1)+1,$C37:$F37)*VLOOKUP(CL$2,Valores!$H$2:$P$154,8,0)</f>
        <v>156581.517415669</v>
      </c>
      <c r="CM37" s="27" t="n">
        <f aca="false">SUMIF($C$2:$F$2,EOMONTH(CM$2,-1)+1,$C37:$F37)*VLOOKUP(CM$2,Valores!$H$2:$P$154,8,0)</f>
        <v>93948.9104494011</v>
      </c>
      <c r="CN37" s="27" t="n">
        <f aca="false">SUMIF($C$2:$F$2,EOMONTH(CN$2,-1)+1,$C37:$F37)*VLOOKUP(CN$2,Valores!$H$2:$P$154,8,0)</f>
        <v>68895.8676628942</v>
      </c>
      <c r="CO37" s="27" t="n">
        <f aca="false">SUMIF($C$2:$F$2,EOMONTH(CO$2,-1)+1,$C37:$F37)*VLOOKUP(CO$2,Valores!$H$2:$P$154,8,0)</f>
        <v>68895.8676628942</v>
      </c>
      <c r="CP37" s="27" t="n">
        <f aca="false">SUMIF($C$2:$F$2,EOMONTH(CP$2,-1)+1,$C37:$F37)*VLOOKUP(CP$2,Valores!$H$2:$P$154,8,0)</f>
        <v>68895.8676628942</v>
      </c>
      <c r="CQ37" s="27" t="n">
        <f aca="false">SUMIF($C$2:$F$2,EOMONTH(CQ$2,-1)+1,$C37:$F37)*VLOOKUP(CQ$2,Valores!$H$2:$P$154,8,0)</f>
        <v>68895.8676628942</v>
      </c>
      <c r="CR37" s="27" t="n">
        <f aca="false">SUMIF($C$2:$F$2,EOMONTH(CR$2,-1)+1,$C37:$F37)*VLOOKUP(CR$2,Valores!$H$2:$P$154,8,0)</f>
        <v>137791.735325788</v>
      </c>
      <c r="CS37" s="27" t="n">
        <f aca="false">SUMIF($C$2:$F$2,EOMONTH(CS$2,-1)+1,$C37:$F37)*VLOOKUP(CS$2,Valores!$H$2:$P$154,8,0)</f>
        <v>206687.602988682</v>
      </c>
      <c r="CT37" s="27" t="e">
        <f aca="false">SUMIF($C$2:$F$2,EOMONTH(CT$2,-1)+1,$C37:$F37)*VLOOKUP(CT$2,Valores!$H$2:$P$154,8,0)</f>
        <v>#VALUE!</v>
      </c>
      <c r="CU37" s="27" t="e">
        <f aca="false">SUMIF($C$2:$F$2,EOMONTH(CU$2,-1)+1,$C37:$F37)*VLOOKUP(CU$2,Valores!$H$2:$P$154,8,0)</f>
        <v>#VALUE!</v>
      </c>
      <c r="CV37" s="27" t="e">
        <f aca="false">SUMIF($C$2:$F$2,EOMONTH(CV$2,-1)+1,$C37:$F37)*VLOOKUP(CV$2,Valores!$H$2:$P$154,8,0)</f>
        <v>#VALUE!</v>
      </c>
      <c r="CW37" s="27" t="e">
        <f aca="false">SUMIF($C$2:$F$2,EOMONTH(CW$2,-1)+1,$C37:$F37)*VLOOKUP(CW$2,Valores!$H$2:$P$154,8,0)</f>
        <v>#VALUE!</v>
      </c>
      <c r="CX37" s="27" t="e">
        <f aca="false">SUMIF($C$2:$F$2,EOMONTH(CX$2,-1)+1,$C37:$F37)*VLOOKUP(CX$2,Valores!$H$2:$P$154,8,0)</f>
        <v>#VALUE!</v>
      </c>
      <c r="CY37" s="27" t="e">
        <f aca="false">SUMIF($C$2:$F$2,EOMONTH(CY$2,-1)+1,$C37:$F37)*VLOOKUP(CY$2,Valores!$H$2:$P$154,8,0)</f>
        <v>#VALUE!</v>
      </c>
      <c r="CZ37" s="27" t="e">
        <f aca="false">SUMIF($C$2:$F$2,EOMONTH(CZ$2,-1)+1,$C37:$F37)*VLOOKUP(CZ$2,Valores!$H$2:$P$154,8,0)</f>
        <v>#VALUE!</v>
      </c>
      <c r="DA37" s="27" t="e">
        <f aca="false">SUMIF($C$2:$F$2,EOMONTH(DA$2,-1)+1,$C37:$F37)*VLOOKUP(DA$2,Valores!$H$2:$P$154,8,0)</f>
        <v>#VALUE!</v>
      </c>
      <c r="DB37" s="27" t="e">
        <f aca="false">SUMIF($C$2:$F$2,EOMONTH(DB$2,-1)+1,$C37:$F37)*VLOOKUP(DB$2,Valores!$H$2:$P$154,8,0)</f>
        <v>#VALUE!</v>
      </c>
      <c r="DC37" s="27" t="e">
        <f aca="false">SUMIF($C$2:$F$2,EOMONTH(DC$2,-1)+1,$C37:$F37)*VLOOKUP(DC$2,Valores!$H$2:$P$154,8,0)</f>
        <v>#VALUE!</v>
      </c>
      <c r="DD37" s="27" t="e">
        <f aca="false">SUMIF($C$2:$F$2,EOMONTH(DD$2,-1)+1,$C37:$F37)*VLOOKUP(DD$2,Valores!$H$2:$P$154,8,0)</f>
        <v>#VALUE!</v>
      </c>
      <c r="DE37" s="27" t="e">
        <f aca="false">SUMIF($C$2:$F$2,EOMONTH(DE$2,-1)+1,$C37:$F37)*VLOOKUP(DE$2,Valores!$H$2:$P$154,8,0)</f>
        <v>#VALUE!</v>
      </c>
      <c r="DF37" s="27" t="e">
        <f aca="false">SUMIF($C$2:$F$2,EOMONTH(DF$2,-1)+1,$C37:$F37)*VLOOKUP(DF$2,Valores!$H$2:$P$154,8,0)</f>
        <v>#VALUE!</v>
      </c>
      <c r="DG37" s="27" t="e">
        <f aca="false">SUMIF($C$2:$F$2,EOMONTH(DG$2,-1)+1,$C37:$F37)*VLOOKUP(DG$2,Valores!$H$2:$P$154,8,0)</f>
        <v>#VALUE!</v>
      </c>
      <c r="DH37" s="27" t="e">
        <f aca="false">SUMIF($C$2:$F$2,EOMONTH(DH$2,-1)+1,$C37:$F37)*VLOOKUP(DH$2,Valores!$H$2:$P$154,8,0)</f>
        <v>#VALUE!</v>
      </c>
      <c r="DI37" s="27" t="e">
        <f aca="false">SUMIF($C$2:$F$2,EOMONTH(DI$2,-1)+1,$C37:$F37)*VLOOKUP(DI$2,Valores!$H$2:$P$154,8,0)</f>
        <v>#VALUE!</v>
      </c>
      <c r="DJ37" s="27" t="e">
        <f aca="false">SUMIF($C$2:$F$2,EOMONTH(DJ$2,-1)+1,$C37:$F37)*VLOOKUP(DJ$2,Valores!$H$2:$P$154,8,0)</f>
        <v>#VALUE!</v>
      </c>
      <c r="DK37" s="27" t="e">
        <f aca="false">SUMIF($C$2:$F$2,EOMONTH(DK$2,-1)+1,$C37:$F37)*VLOOKUP(DK$2,Valores!$H$2:$P$154,8,0)</f>
        <v>#VALUE!</v>
      </c>
      <c r="DL37" s="27" t="e">
        <f aca="false">SUMIF($C$2:$F$2,EOMONTH(DL$2,-1)+1,$C37:$F37)*VLOOKUP(DL$2,Valores!$H$2:$P$154,8,0)</f>
        <v>#VALUE!</v>
      </c>
      <c r="DM37" s="27" t="e">
        <f aca="false">SUMIF($C$2:$F$2,EOMONTH(DM$2,-1)+1,$C37:$F37)*VLOOKUP(DM$2,Valores!$H$2:$P$154,8,0)</f>
        <v>#VALUE!</v>
      </c>
      <c r="DN37" s="27" t="e">
        <f aca="false">SUMIF($C$2:$F$2,EOMONTH(DN$2,-1)+1,$C37:$F37)*VLOOKUP(DN$2,Valores!$H$2:$P$154,8,0)</f>
        <v>#VALUE!</v>
      </c>
      <c r="DO37" s="27" t="e">
        <f aca="false">SUMIF($C$2:$F$2,EOMONTH(DO$2,-1)+1,$C37:$F37)*VLOOKUP(DO$2,Valores!$H$2:$P$154,8,0)</f>
        <v>#VALUE!</v>
      </c>
      <c r="DP37" s="27" t="e">
        <f aca="false">SUMIF($C$2:$F$2,EOMONTH(DP$2,-1)+1,$C37:$F37)*VLOOKUP(DP$2,Valores!$H$2:$P$154,8,0)</f>
        <v>#VALUE!</v>
      </c>
      <c r="DQ37" s="27" t="e">
        <f aca="false">SUMIF($C$2:$F$2,EOMONTH(DQ$2,-1)+1,$C37:$F37)*VLOOKUP(DQ$2,Valores!$H$2:$P$154,8,0)</f>
        <v>#VALUE!</v>
      </c>
      <c r="DR37" s="27" t="e">
        <f aca="false">SUMIF($C$2:$F$2,EOMONTH(DR$2,-1)+1,$C37:$F37)*VLOOKUP(DR$2,Valores!$H$2:$P$154,8,0)</f>
        <v>#VALUE!</v>
      </c>
      <c r="DS37" s="27" t="e">
        <f aca="false">SUMIF($C$2:$F$2,EOMONTH(DS$2,-1)+1,$C37:$F37)*VLOOKUP(DS$2,Valores!$H$2:$P$154,8,0)</f>
        <v>#VALUE!</v>
      </c>
      <c r="DT37" s="27" t="e">
        <f aca="false">SUMIF($C$2:$F$2,EOMONTH(DT$2,-1)+1,$C37:$F37)*VLOOKUP(DT$2,Valores!$H$2:$P$154,8,0)</f>
        <v>#VALUE!</v>
      </c>
      <c r="DU37" s="27" t="e">
        <f aca="false">SUMIF($C$2:$F$2,EOMONTH(DU$2,-1)+1,$C37:$F37)*VLOOKUP(DU$2,Valores!$H$2:$P$154,8,0)</f>
        <v>#VALUE!</v>
      </c>
      <c r="DV37" s="27" t="e">
        <f aca="false">SUMIF($C$2:$F$2,EOMONTH(DV$2,-1)+1,$C37:$F37)*VLOOKUP(DV$2,Valores!$H$2:$P$154,8,0)</f>
        <v>#VALUE!</v>
      </c>
      <c r="DW37" s="27" t="e">
        <f aca="false">SUMIF($C$2:$F$2,EOMONTH(DW$2,-1)+1,$C37:$F37)*VLOOKUP(DW$2,Valores!$H$2:$P$154,8,0)</f>
        <v>#VALUE!</v>
      </c>
      <c r="DX37" s="27" t="e">
        <f aca="false">SUMIF($C$2:$F$2,EOMONTH(DX$2,-1)+1,$C37:$F37)*VLOOKUP(DX$2,Valores!$H$2:$P$154,8,0)</f>
        <v>#VALUE!</v>
      </c>
    </row>
    <row r="38" customFormat="false" ht="13.8" hidden="false" customHeight="false" outlineLevel="0" collapsed="false">
      <c r="A38" s="29" t="s">
        <v>54</v>
      </c>
      <c r="B38" s="29" t="s">
        <v>60</v>
      </c>
      <c r="C38" s="29" t="n">
        <v>3209161</v>
      </c>
      <c r="D38" s="29" t="n">
        <v>2888244.9</v>
      </c>
      <c r="E38" s="29" t="n">
        <v>2599420.41</v>
      </c>
      <c r="F38" s="29" t="n">
        <v>2339478.369</v>
      </c>
      <c r="G38" s="30" t="n">
        <f aca="false">SUMIF($C$2:$F$2,EOMONTH(G$2,-1)+1,$C38:$F38)*VLOOKUP(G$2,Valores!$H$2:$P$154,8,0)</f>
        <v>92414.5425374362</v>
      </c>
      <c r="H38" s="30" t="n">
        <f aca="false">SUMIF($C$2:$F$2,EOMONTH(H$2,-1)+1,$C38:$F38)*VLOOKUP(H$2,Valores!$H$2:$P$154,8,0)</f>
        <v>63369.9720256706</v>
      </c>
      <c r="I38" s="30" t="n">
        <f aca="false">SUMIF($C$2:$F$2,EOMONTH(I$2,-1)+1,$C38:$F38)*VLOOKUP(I$2,Valores!$H$2:$P$154,8,0)</f>
        <v>63369.9720256706</v>
      </c>
      <c r="J38" s="30" t="n">
        <f aca="false">SUMIF($C$2:$F$2,EOMONTH(J$2,-1)+1,$C38:$F38)*VLOOKUP(J$2,Valores!$H$2:$P$154,8,0)</f>
        <v>63369.9720256706</v>
      </c>
      <c r="K38" s="30" t="n">
        <f aca="false">SUMIF($C$2:$F$2,EOMONTH(K$2,-1)+1,$C38:$F38)*VLOOKUP(K$2,Valores!$H$2:$P$154,8,0)</f>
        <v>63369.9720256706</v>
      </c>
      <c r="L38" s="30" t="n">
        <f aca="false">SUMIF($C$2:$F$2,EOMONTH(L$2,-1)+1,$C38:$F38)*VLOOKUP(L$2,Valores!$H$2:$P$154,8,0)</f>
        <v>126739.944051341</v>
      </c>
      <c r="M38" s="30" t="n">
        <f aca="false">SUMIF($C$2:$F$2,EOMONTH(M$2,-1)+1,$C38:$F38)*VLOOKUP(M$2,Valores!$H$2:$P$154,8,0)</f>
        <v>158424.930064176</v>
      </c>
      <c r="N38" s="30" t="n">
        <f aca="false">SUMIF($C$2:$F$2,EOMONTH(N$2,-1)+1,$C38:$F38)*VLOOKUP(N$2,Valores!$H$2:$P$154,8,0)</f>
        <v>95054.9580385058</v>
      </c>
      <c r="O38" s="30" t="n">
        <f aca="false">SUMIF($C$2:$F$2,EOMONTH(O$2,-1)+1,$C38:$F38)*VLOOKUP(O$2,Valores!$H$2:$P$154,8,0)</f>
        <v>84493.2960342274</v>
      </c>
      <c r="P38" s="30" t="n">
        <f aca="false">SUMIF($C$2:$F$2,EOMONTH(P$2,-1)+1,$C38:$F38)*VLOOKUP(P$2,Valores!$H$2:$P$154,8,0)</f>
        <v>84493.2960342274</v>
      </c>
      <c r="Q38" s="30" t="n">
        <f aca="false">SUMIF($C$2:$F$2,EOMONTH(Q$2,-1)+1,$C38:$F38)*VLOOKUP(Q$2,Valores!$H$2:$P$154,8,0)</f>
        <v>50695.9776205364</v>
      </c>
      <c r="R38" s="30" t="n">
        <f aca="false">SUMIF($C$2:$F$2,EOMONTH(R$2,-1)+1,$C38:$F38)*VLOOKUP(R$2,Valores!$H$2:$P$154,8,0)</f>
        <v>84493.2960342274</v>
      </c>
      <c r="S38" s="30" t="n">
        <f aca="false">SUMIF($C$2:$F$2,EOMONTH(S$2,-1)+1,$C38:$F38)*VLOOKUP(S$2,Valores!$H$2:$P$154,8,0)</f>
        <v>168986.592068455</v>
      </c>
      <c r="T38" s="30" t="n">
        <f aca="false">SUMIF($C$2:$F$2,EOMONTH(T$2,-1)+1,$C38:$F38)*VLOOKUP(T$2,Valores!$H$2:$P$154,8,0)</f>
        <v>211233.240085568</v>
      </c>
      <c r="U38" s="30" t="n">
        <f aca="false">SUMIF($C$2:$F$2,EOMONTH(U$2,-1)+1,$C38:$F38)*VLOOKUP(U$2,Valores!$H$2:$P$154,8,0)</f>
        <v>126739.944051341</v>
      </c>
      <c r="V38" s="30" t="n">
        <f aca="false">SUMIF($C$2:$F$2,EOMONTH(V$2,-1)+1,$C38:$F38)*VLOOKUP(V$2,Valores!$H$2:$P$154,8,0)</f>
        <v>105616.620042784</v>
      </c>
      <c r="W38" s="30" t="n">
        <f aca="false">SUMIF($C$2:$F$2,EOMONTH(W$2,-1)+1,$C38:$F38)*VLOOKUP(W$2,Valores!$H$2:$P$154,8,0)</f>
        <v>105616.620042784</v>
      </c>
      <c r="X38" s="30" t="n">
        <f aca="false">SUMIF($C$2:$F$2,EOMONTH(X$2,-1)+1,$C38:$F38)*VLOOKUP(X$2,Valores!$H$2:$P$154,8,0)</f>
        <v>0</v>
      </c>
      <c r="Y38" s="30" t="n">
        <f aca="false">SUMIF($C$2:$F$2,EOMONTH(Y$2,-1)+1,$C38:$F38)*VLOOKUP(Y$2,Valores!$H$2:$P$154,8,0)</f>
        <v>0</v>
      </c>
      <c r="Z38" s="30" t="n">
        <f aca="false">SUMIF($C$2:$F$2,EOMONTH(Z$2,-1)+1,$C38:$F38)*VLOOKUP(Z$2,Valores!$H$2:$P$154,8,0)</f>
        <v>158424.930064176</v>
      </c>
      <c r="AA38" s="30" t="n">
        <f aca="false">SUMIF($C$2:$F$2,EOMONTH(AA$2,-1)+1,$C38:$F38)*VLOOKUP(AA$2,Valores!$H$2:$P$154,8,0)</f>
        <v>190109.916077012</v>
      </c>
      <c r="AB38" s="30" t="n">
        <f aca="false">SUMIF($C$2:$F$2,EOMONTH(AB$2,-1)+1,$C38:$F38)*VLOOKUP(AB$2,Valores!$H$2:$P$154,8,0)</f>
        <v>95054.9580385058</v>
      </c>
      <c r="AC38" s="30" t="n">
        <f aca="false">SUMIF($C$2:$F$2,EOMONTH(AC$2,-1)+1,$C38:$F38)*VLOOKUP(AC$2,Valores!$H$2:$P$154,8,0)</f>
        <v>116178.282047063</v>
      </c>
      <c r="AD38" s="30" t="n">
        <f aca="false">SUMIF($C$2:$F$2,EOMONTH(AD$2,-1)+1,$C38:$F38)*VLOOKUP(AD$2,Valores!$H$2:$P$154,8,0)</f>
        <v>116178.282047063</v>
      </c>
      <c r="AE38" s="30" t="n">
        <f aca="false">SUMIF($C$2:$F$2,EOMONTH(AE$2,-1)+1,$C38:$F38)*VLOOKUP(AE$2,Valores!$H$2:$P$154,8,0)</f>
        <v>116178.282047063</v>
      </c>
      <c r="AF38" s="30" t="n">
        <f aca="false">SUMIF($C$2:$F$2,EOMONTH(AF$2,-1)+1,$C38:$F38)*VLOOKUP(AF$2,Valores!$H$2:$P$154,8,0)</f>
        <v>116178.282047063</v>
      </c>
      <c r="AG38" s="30" t="n">
        <f aca="false">SUMIF($C$2:$F$2,EOMONTH(AG$2,-1)+1,$C38:$F38)*VLOOKUP(AG$2,Valores!$H$2:$P$154,8,0)</f>
        <v>185885.2512753</v>
      </c>
      <c r="AH38" s="30" t="n">
        <f aca="false">SUMIF($C$2:$F$2,EOMONTH(AH$2,-1)+1,$C38:$F38)*VLOOKUP(AH$2,Valores!$H$2:$P$154,8,0)</f>
        <v>232356.564094125</v>
      </c>
      <c r="AI38" s="30" t="n">
        <f aca="false">SUMIF($C$2:$F$2,EOMONTH(AI$2,-1)+1,$C38:$F38)*VLOOKUP(AI$2,Valores!$H$2:$P$154,8,0)</f>
        <v>81324.7974329439</v>
      </c>
      <c r="AJ38" s="30" t="n">
        <f aca="false">SUMIF($C$2:$F$2,EOMONTH(AJ$2,-1)+1,$C38:$F38)*VLOOKUP(AJ$2,Valores!$H$2:$P$154,8,0)</f>
        <v>52808.3100213921</v>
      </c>
      <c r="AK38" s="30" t="n">
        <f aca="false">SUMIF($C$2:$F$2,EOMONTH(AK$2,-1)+1,$C38:$F38)*VLOOKUP(AK$2,Valores!$H$2:$P$154,8,0)</f>
        <v>96300.0514420444</v>
      </c>
      <c r="AL38" s="30" t="n">
        <f aca="false">SUMIF($C$2:$F$2,EOMONTH(AL$2,-1)+1,$C38:$F38)*VLOOKUP(AL$2,Valores!$H$2:$P$154,8,0)</f>
        <v>96300.0514420444</v>
      </c>
      <c r="AM38" s="30" t="n">
        <f aca="false">SUMIF($C$2:$F$2,EOMONTH(AM$2,-1)+1,$C38:$F38)*VLOOKUP(AM$2,Valores!$H$2:$P$154,8,0)</f>
        <v>96300.0514420444</v>
      </c>
      <c r="AN38" s="30" t="n">
        <f aca="false">SUMIF($C$2:$F$2,EOMONTH(AN$2,-1)+1,$C38:$F38)*VLOOKUP(AN$2,Valores!$H$2:$P$154,8,0)</f>
        <v>192600.102884089</v>
      </c>
      <c r="AO38" s="30" t="n">
        <f aca="false">SUMIF($C$2:$F$2,EOMONTH(AO$2,-1)+1,$C38:$F38)*VLOOKUP(AO$2,Valores!$H$2:$P$154,8,0)</f>
        <v>240750.128605111</v>
      </c>
      <c r="AP38" s="30" t="n">
        <f aca="false">SUMIF($C$2:$F$2,EOMONTH(AP$2,-1)+1,$C38:$F38)*VLOOKUP(AP$2,Valores!$H$2:$P$154,8,0)</f>
        <v>144450.077163066</v>
      </c>
      <c r="AQ38" s="30" t="n">
        <f aca="false">SUMIF($C$2:$F$2,EOMONTH(AQ$2,-1)+1,$C38:$F38)*VLOOKUP(AQ$2,Valores!$H$2:$P$154,8,0)</f>
        <v>51589.3132725237</v>
      </c>
      <c r="AR38" s="30" t="n">
        <f aca="false">SUMIF($C$2:$F$2,EOMONTH(AR$2,-1)+1,$C38:$F38)*VLOOKUP(AR$2,Valores!$H$2:$P$154,8,0)</f>
        <v>51589.3132725237</v>
      </c>
      <c r="AS38" s="30" t="n">
        <f aca="false">SUMIF($C$2:$F$2,EOMONTH(AS$2,-1)+1,$C38:$F38)*VLOOKUP(AS$2,Valores!$H$2:$P$154,8,0)</f>
        <v>51589.3132725237</v>
      </c>
      <c r="AT38" s="30" t="n">
        <f aca="false">SUMIF($C$2:$F$2,EOMONTH(AT$2,-1)+1,$C38:$F38)*VLOOKUP(AT$2,Valores!$H$2:$P$154,8,0)</f>
        <v>51589.3132725237</v>
      </c>
      <c r="AU38" s="30" t="n">
        <f aca="false">SUMIF($C$2:$F$2,EOMONTH(AU$2,-1)+1,$C38:$F38)*VLOOKUP(AU$2,Valores!$H$2:$P$154,8,0)</f>
        <v>103178.626545047</v>
      </c>
      <c r="AV38" s="30" t="n">
        <f aca="false">SUMIF($C$2:$F$2,EOMONTH(AV$2,-1)+1,$C38:$F38)*VLOOKUP(AV$2,Valores!$H$2:$P$154,8,0)</f>
        <v>128973.283181309</v>
      </c>
      <c r="AW38" s="30" t="n">
        <f aca="false">SUMIF($C$2:$F$2,EOMONTH(AW$2,-1)+1,$C38:$F38)*VLOOKUP(AW$2,Valores!$H$2:$P$154,8,0)</f>
        <v>77383.9699087856</v>
      </c>
      <c r="AX38" s="30" t="n">
        <f aca="false">SUMIF($C$2:$F$2,EOMONTH(AX$2,-1)+1,$C38:$F38)*VLOOKUP(AX$2,Valores!$H$2:$P$154,8,0)</f>
        <v>51589.3132725237</v>
      </c>
      <c r="AY38" s="30" t="n">
        <f aca="false">SUMIF($C$2:$F$2,EOMONTH(AY$2,-1)+1,$C38:$F38)*VLOOKUP(AY$2,Valores!$H$2:$P$154,8,0)</f>
        <v>67066.1072542809</v>
      </c>
      <c r="AZ38" s="30" t="n">
        <f aca="false">SUMIF($C$2:$F$2,EOMONTH(AZ$2,-1)+1,$C38:$F38)*VLOOKUP(AZ$2,Valores!$H$2:$P$154,8,0)</f>
        <v>67066.1072542809</v>
      </c>
      <c r="BA38" s="30" t="n">
        <f aca="false">SUMIF($C$2:$F$2,EOMONTH(BA$2,-1)+1,$C38:$F38)*VLOOKUP(BA$2,Valores!$H$2:$P$154,8,0)</f>
        <v>67066.1072542809</v>
      </c>
      <c r="BB38" s="30" t="n">
        <f aca="false">SUMIF($C$2:$F$2,EOMONTH(BB$2,-1)+1,$C38:$F38)*VLOOKUP(BB$2,Valores!$H$2:$P$154,8,0)</f>
        <v>118655.420526805</v>
      </c>
      <c r="BC38" s="30" t="n">
        <f aca="false">SUMIF($C$2:$F$2,EOMONTH(BC$2,-1)+1,$C38:$F38)*VLOOKUP(BC$2,Valores!$H$2:$P$154,8,0)</f>
        <v>144450.077163066</v>
      </c>
      <c r="BD38" s="30" t="n">
        <f aca="false">SUMIF($C$2:$F$2,EOMONTH(BD$2,-1)+1,$C38:$F38)*VLOOKUP(BD$2,Valores!$H$2:$P$154,8,0)</f>
        <v>77383.9699087856</v>
      </c>
      <c r="BE38" s="30" t="n">
        <f aca="false">SUMIF($C$2:$F$2,EOMONTH(BE$2,-1)+1,$C38:$F38)*VLOOKUP(BE$2,Valores!$H$2:$P$154,8,0)</f>
        <v>68785.7510300317</v>
      </c>
      <c r="BF38" s="30" t="n">
        <f aca="false">SUMIF($C$2:$F$2,EOMONTH(BF$2,-1)+1,$C38:$F38)*VLOOKUP(BF$2,Valores!$H$2:$P$154,8,0)</f>
        <v>68785.7510300317</v>
      </c>
      <c r="BG38" s="30" t="n">
        <f aca="false">SUMIF($C$2:$F$2,EOMONTH(BG$2,-1)+1,$C38:$F38)*VLOOKUP(BG$2,Valores!$H$2:$P$154,8,0)</f>
        <v>68785.7510300317</v>
      </c>
      <c r="BH38" s="30" t="n">
        <f aca="false">SUMIF($C$2:$F$2,EOMONTH(BH$2,-1)+1,$C38:$F38)*VLOOKUP(BH$2,Valores!$H$2:$P$154,8,0)</f>
        <v>68785.7510300317</v>
      </c>
      <c r="BI38" s="30" t="n">
        <f aca="false">SUMIF($C$2:$F$2,EOMONTH(BI$2,-1)+1,$C38:$F38)*VLOOKUP(BI$2,Valores!$H$2:$P$154,8,0)</f>
        <v>137571.502060063</v>
      </c>
      <c r="BJ38" s="30" t="n">
        <f aca="false">SUMIF($C$2:$F$2,EOMONTH(BJ$2,-1)+1,$C38:$F38)*VLOOKUP(BJ$2,Valores!$H$2:$P$154,8,0)</f>
        <v>171964.377575079</v>
      </c>
      <c r="BK38" s="30" t="n">
        <f aca="false">SUMIF($C$2:$F$2,EOMONTH(BK$2,-1)+1,$C38:$F38)*VLOOKUP(BK$2,Valores!$H$2:$P$154,8,0)</f>
        <v>82542.901236038</v>
      </c>
      <c r="BL38" s="30" t="n">
        <f aca="false">SUMIF($C$2:$F$2,EOMONTH(BL$2,-1)+1,$C38:$F38)*VLOOKUP(BL$2,Valores!$H$2:$P$154,8,0)</f>
        <v>60531.4609064279</v>
      </c>
      <c r="BM38" s="30" t="n">
        <f aca="false">SUMIF($C$2:$F$2,EOMONTH(BM$2,-1)+1,$C38:$F38)*VLOOKUP(BM$2,Valores!$H$2:$P$154,8,0)</f>
        <v>60531.4609064279</v>
      </c>
      <c r="BN38" s="30" t="n">
        <f aca="false">SUMIF($C$2:$F$2,EOMONTH(BN$2,-1)+1,$C38:$F38)*VLOOKUP(BN$2,Valores!$H$2:$P$154,8,0)</f>
        <v>60531.4609064279</v>
      </c>
      <c r="BO38" s="30" t="n">
        <f aca="false">SUMIF($C$2:$F$2,EOMONTH(BO$2,-1)+1,$C38:$F38)*VLOOKUP(BO$2,Valores!$H$2:$P$154,8,0)</f>
        <v>63558.0339517493</v>
      </c>
      <c r="BP38" s="30" t="n">
        <f aca="false">SUMIF($C$2:$F$2,EOMONTH(BP$2,-1)+1,$C38:$F38)*VLOOKUP(BP$2,Valores!$H$2:$P$154,8,0)</f>
        <v>159946.756356444</v>
      </c>
      <c r="BQ38" s="30" t="n">
        <f aca="false">SUMIF($C$2:$F$2,EOMONTH(BQ$2,-1)+1,$C38:$F38)*VLOOKUP(BQ$2,Valores!$H$2:$P$154,8,0)</f>
        <v>199933.445445555</v>
      </c>
      <c r="BR38" s="30" t="n">
        <f aca="false">SUMIF($C$2:$F$2,EOMONTH(BR$2,-1)+1,$C38:$F38)*VLOOKUP(BR$2,Valores!$H$2:$P$154,8,0)</f>
        <v>95968.0538138666</v>
      </c>
      <c r="BS38" s="30" t="n">
        <f aca="false">SUMIF($C$2:$F$2,EOMONTH(BS$2,-1)+1,$C38:$F38)*VLOOKUP(BS$2,Valores!$H$2:$P$154,8,0)</f>
        <v>42842.8811669047</v>
      </c>
      <c r="BT38" s="30" t="n">
        <f aca="false">SUMIF($C$2:$F$2,EOMONTH(BT$2,-1)+1,$C38:$F38)*VLOOKUP(BT$2,Valores!$H$2:$P$154,8,0)</f>
        <v>42842.8811669047</v>
      </c>
      <c r="BU38" s="30" t="n">
        <f aca="false">SUMIF($C$2:$F$2,EOMONTH(BU$2,-1)+1,$C38:$F38)*VLOOKUP(BU$2,Valores!$H$2:$P$154,8,0)</f>
        <v>42842.8811669047</v>
      </c>
      <c r="BV38" s="30" t="n">
        <f aca="false">SUMIF($C$2:$F$2,EOMONTH(BV$2,-1)+1,$C38:$F38)*VLOOKUP(BV$2,Valores!$H$2:$P$154,8,0)</f>
        <v>42842.8811669047</v>
      </c>
      <c r="BW38" s="30" t="n">
        <f aca="false">SUMIF($C$2:$F$2,EOMONTH(BW$2,-1)+1,$C38:$F38)*VLOOKUP(BW$2,Valores!$H$2:$P$154,8,0)</f>
        <v>85685.7623338095</v>
      </c>
      <c r="BX38" s="30" t="n">
        <f aca="false">SUMIF($C$2:$F$2,EOMONTH(BX$2,-1)+1,$C38:$F38)*VLOOKUP(BX$2,Valores!$H$2:$P$154,8,0)</f>
        <v>107107.202917262</v>
      </c>
      <c r="BY38" s="30" t="n">
        <f aca="false">SUMIF($C$2:$F$2,EOMONTH(BY$2,-1)+1,$C38:$F38)*VLOOKUP(BY$2,Valores!$H$2:$P$154,8,0)</f>
        <v>64264.3217503571</v>
      </c>
      <c r="BZ38" s="30" t="n">
        <f aca="false">SUMIF($C$2:$F$2,EOMONTH(BZ$2,-1)+1,$C38:$F38)*VLOOKUP(BZ$2,Valores!$H$2:$P$154,8,0)</f>
        <v>42842.8811669047</v>
      </c>
      <c r="CA38" s="30" t="n">
        <f aca="false">SUMIF($C$2:$F$2,EOMONTH(CA$2,-1)+1,$C38:$F38)*VLOOKUP(CA$2,Valores!$H$2:$P$154,8,0)</f>
        <v>42842.8811669047</v>
      </c>
      <c r="CB38" s="30" t="n">
        <f aca="false">SUMIF($C$2:$F$2,EOMONTH(CB$2,-1)+1,$C38:$F38)*VLOOKUP(CB$2,Valores!$H$2:$P$154,8,0)</f>
        <v>42842.8811669047</v>
      </c>
      <c r="CC38" s="30" t="n">
        <f aca="false">SUMIF($C$2:$F$2,EOMONTH(CC$2,-1)+1,$C38:$F38)*VLOOKUP(CC$2,Valores!$H$2:$P$154,8,0)</f>
        <v>42842.8811669047</v>
      </c>
      <c r="CD38" s="30" t="n">
        <f aca="false">SUMIF($C$2:$F$2,EOMONTH(CD$2,-1)+1,$C38:$F38)*VLOOKUP(CD$2,Valores!$H$2:$P$154,8,0)</f>
        <v>128528.643500714</v>
      </c>
      <c r="CE38" s="30" t="n">
        <f aca="false">SUMIF($C$2:$F$2,EOMONTH(CE$2,-1)+1,$C38:$F38)*VLOOKUP(CE$2,Valores!$H$2:$P$154,8,0)</f>
        <v>171371.524667619</v>
      </c>
      <c r="CF38" s="30" t="n">
        <f aca="false">SUMIF($C$2:$F$2,EOMONTH(CF$2,-1)+1,$C38:$F38)*VLOOKUP(CF$2,Valores!$H$2:$P$154,8,0)</f>
        <v>107107.202917262</v>
      </c>
      <c r="CG38" s="30" t="n">
        <f aca="false">SUMIF($C$2:$F$2,EOMONTH(CG$2,-1)+1,$C38:$F38)*VLOOKUP(CG$2,Valores!$H$2:$P$154,8,0)</f>
        <v>57123.841555873</v>
      </c>
      <c r="CH38" s="30" t="n">
        <f aca="false">SUMIF($C$2:$F$2,EOMONTH(CH$2,-1)+1,$C38:$F38)*VLOOKUP(CH$2,Valores!$H$2:$P$154,8,0)</f>
        <v>57123.841555873</v>
      </c>
      <c r="CI38" s="30" t="n">
        <f aca="false">SUMIF($C$2:$F$2,EOMONTH(CI$2,-1)+1,$C38:$F38)*VLOOKUP(CI$2,Valores!$H$2:$P$154,8,0)</f>
        <v>57123.841555873</v>
      </c>
      <c r="CJ38" s="30" t="n">
        <f aca="false">SUMIF($C$2:$F$2,EOMONTH(CJ$2,-1)+1,$C38:$F38)*VLOOKUP(CJ$2,Valores!$H$2:$P$154,8,0)</f>
        <v>57123.841555873</v>
      </c>
      <c r="CK38" s="30" t="n">
        <f aca="false">SUMIF($C$2:$F$2,EOMONTH(CK$2,-1)+1,$C38:$F38)*VLOOKUP(CK$2,Valores!$H$2:$P$154,8,0)</f>
        <v>114247.683111746</v>
      </c>
      <c r="CL38" s="30" t="n">
        <f aca="false">SUMIF($C$2:$F$2,EOMONTH(CL$2,-1)+1,$C38:$F38)*VLOOKUP(CL$2,Valores!$H$2:$P$154,8,0)</f>
        <v>142809.603889682</v>
      </c>
      <c r="CM38" s="30" t="n">
        <f aca="false">SUMIF($C$2:$F$2,EOMONTH(CM$2,-1)+1,$C38:$F38)*VLOOKUP(CM$2,Valores!$H$2:$P$154,8,0)</f>
        <v>85685.7623338095</v>
      </c>
      <c r="CN38" s="30" t="n">
        <f aca="false">SUMIF($C$2:$F$2,EOMONTH(CN$2,-1)+1,$C38:$F38)*VLOOKUP(CN$2,Valores!$H$2:$P$154,8,0)</f>
        <v>62836.2257114603</v>
      </c>
      <c r="CO38" s="30" t="n">
        <f aca="false">SUMIF($C$2:$F$2,EOMONTH(CO$2,-1)+1,$C38:$F38)*VLOOKUP(CO$2,Valores!$H$2:$P$154,8,0)</f>
        <v>62836.2257114603</v>
      </c>
      <c r="CP38" s="30" t="n">
        <f aca="false">SUMIF($C$2:$F$2,EOMONTH(CP$2,-1)+1,$C38:$F38)*VLOOKUP(CP$2,Valores!$H$2:$P$154,8,0)</f>
        <v>62836.2257114603</v>
      </c>
      <c r="CQ38" s="30" t="n">
        <f aca="false">SUMIF($C$2:$F$2,EOMONTH(CQ$2,-1)+1,$C38:$F38)*VLOOKUP(CQ$2,Valores!$H$2:$P$154,8,0)</f>
        <v>62836.2257114603</v>
      </c>
      <c r="CR38" s="30" t="n">
        <f aca="false">SUMIF($C$2:$F$2,EOMONTH(CR$2,-1)+1,$C38:$F38)*VLOOKUP(CR$2,Valores!$H$2:$P$154,8,0)</f>
        <v>125672.451422921</v>
      </c>
      <c r="CS38" s="30" t="n">
        <f aca="false">SUMIF($C$2:$F$2,EOMONTH(CS$2,-1)+1,$C38:$F38)*VLOOKUP(CS$2,Valores!$H$2:$P$154,8,0)</f>
        <v>188508.677134381</v>
      </c>
      <c r="CT38" s="30" t="e">
        <f aca="false">SUMIF($C$2:$F$2,EOMONTH(CT$2,-1)+1,$C38:$F38)*VLOOKUP(CT$2,Valores!$H$2:$P$154,8,0)</f>
        <v>#VALUE!</v>
      </c>
      <c r="CU38" s="30" t="e">
        <f aca="false">SUMIF($C$2:$F$2,EOMONTH(CU$2,-1)+1,$C38:$F38)*VLOOKUP(CU$2,Valores!$H$2:$P$154,8,0)</f>
        <v>#VALUE!</v>
      </c>
      <c r="CV38" s="30" t="e">
        <f aca="false">SUMIF($C$2:$F$2,EOMONTH(CV$2,-1)+1,$C38:$F38)*VLOOKUP(CV$2,Valores!$H$2:$P$154,8,0)</f>
        <v>#VALUE!</v>
      </c>
      <c r="CW38" s="30" t="e">
        <f aca="false">SUMIF($C$2:$F$2,EOMONTH(CW$2,-1)+1,$C38:$F38)*VLOOKUP(CW$2,Valores!$H$2:$P$154,8,0)</f>
        <v>#VALUE!</v>
      </c>
      <c r="CX38" s="30" t="e">
        <f aca="false">SUMIF($C$2:$F$2,EOMONTH(CX$2,-1)+1,$C38:$F38)*VLOOKUP(CX$2,Valores!$H$2:$P$154,8,0)</f>
        <v>#VALUE!</v>
      </c>
      <c r="CY38" s="30" t="e">
        <f aca="false">SUMIF($C$2:$F$2,EOMONTH(CY$2,-1)+1,$C38:$F38)*VLOOKUP(CY$2,Valores!$H$2:$P$154,8,0)</f>
        <v>#VALUE!</v>
      </c>
      <c r="CZ38" s="30" t="e">
        <f aca="false">SUMIF($C$2:$F$2,EOMONTH(CZ$2,-1)+1,$C38:$F38)*VLOOKUP(CZ$2,Valores!$H$2:$P$154,8,0)</f>
        <v>#VALUE!</v>
      </c>
      <c r="DA38" s="30" t="e">
        <f aca="false">SUMIF($C$2:$F$2,EOMONTH(DA$2,-1)+1,$C38:$F38)*VLOOKUP(DA$2,Valores!$H$2:$P$154,8,0)</f>
        <v>#VALUE!</v>
      </c>
      <c r="DB38" s="30" t="e">
        <f aca="false">SUMIF($C$2:$F$2,EOMONTH(DB$2,-1)+1,$C38:$F38)*VLOOKUP(DB$2,Valores!$H$2:$P$154,8,0)</f>
        <v>#VALUE!</v>
      </c>
      <c r="DC38" s="30" t="e">
        <f aca="false">SUMIF($C$2:$F$2,EOMONTH(DC$2,-1)+1,$C38:$F38)*VLOOKUP(DC$2,Valores!$H$2:$P$154,8,0)</f>
        <v>#VALUE!</v>
      </c>
      <c r="DD38" s="30" t="e">
        <f aca="false">SUMIF($C$2:$F$2,EOMONTH(DD$2,-1)+1,$C38:$F38)*VLOOKUP(DD$2,Valores!$H$2:$P$154,8,0)</f>
        <v>#VALUE!</v>
      </c>
      <c r="DE38" s="30" t="e">
        <f aca="false">SUMIF($C$2:$F$2,EOMONTH(DE$2,-1)+1,$C38:$F38)*VLOOKUP(DE$2,Valores!$H$2:$P$154,8,0)</f>
        <v>#VALUE!</v>
      </c>
      <c r="DF38" s="30" t="e">
        <f aca="false">SUMIF($C$2:$F$2,EOMONTH(DF$2,-1)+1,$C38:$F38)*VLOOKUP(DF$2,Valores!$H$2:$P$154,8,0)</f>
        <v>#VALUE!</v>
      </c>
      <c r="DG38" s="30" t="e">
        <f aca="false">SUMIF($C$2:$F$2,EOMONTH(DG$2,-1)+1,$C38:$F38)*VLOOKUP(DG$2,Valores!$H$2:$P$154,8,0)</f>
        <v>#VALUE!</v>
      </c>
      <c r="DH38" s="30" t="e">
        <f aca="false">SUMIF($C$2:$F$2,EOMONTH(DH$2,-1)+1,$C38:$F38)*VLOOKUP(DH$2,Valores!$H$2:$P$154,8,0)</f>
        <v>#VALUE!</v>
      </c>
      <c r="DI38" s="30" t="e">
        <f aca="false">SUMIF($C$2:$F$2,EOMONTH(DI$2,-1)+1,$C38:$F38)*VLOOKUP(DI$2,Valores!$H$2:$P$154,8,0)</f>
        <v>#VALUE!</v>
      </c>
      <c r="DJ38" s="30" t="e">
        <f aca="false">SUMIF($C$2:$F$2,EOMONTH(DJ$2,-1)+1,$C38:$F38)*VLOOKUP(DJ$2,Valores!$H$2:$P$154,8,0)</f>
        <v>#VALUE!</v>
      </c>
      <c r="DK38" s="30" t="e">
        <f aca="false">SUMIF($C$2:$F$2,EOMONTH(DK$2,-1)+1,$C38:$F38)*VLOOKUP(DK$2,Valores!$H$2:$P$154,8,0)</f>
        <v>#VALUE!</v>
      </c>
      <c r="DL38" s="30" t="e">
        <f aca="false">SUMIF($C$2:$F$2,EOMONTH(DL$2,-1)+1,$C38:$F38)*VLOOKUP(DL$2,Valores!$H$2:$P$154,8,0)</f>
        <v>#VALUE!</v>
      </c>
      <c r="DM38" s="30" t="e">
        <f aca="false">SUMIF($C$2:$F$2,EOMONTH(DM$2,-1)+1,$C38:$F38)*VLOOKUP(DM$2,Valores!$H$2:$P$154,8,0)</f>
        <v>#VALUE!</v>
      </c>
      <c r="DN38" s="30" t="e">
        <f aca="false">SUMIF($C$2:$F$2,EOMONTH(DN$2,-1)+1,$C38:$F38)*VLOOKUP(DN$2,Valores!$H$2:$P$154,8,0)</f>
        <v>#VALUE!</v>
      </c>
      <c r="DO38" s="30" t="e">
        <f aca="false">SUMIF($C$2:$F$2,EOMONTH(DO$2,-1)+1,$C38:$F38)*VLOOKUP(DO$2,Valores!$H$2:$P$154,8,0)</f>
        <v>#VALUE!</v>
      </c>
      <c r="DP38" s="30" t="e">
        <f aca="false">SUMIF($C$2:$F$2,EOMONTH(DP$2,-1)+1,$C38:$F38)*VLOOKUP(DP$2,Valores!$H$2:$P$154,8,0)</f>
        <v>#VALUE!</v>
      </c>
      <c r="DQ38" s="30" t="e">
        <f aca="false">SUMIF($C$2:$F$2,EOMONTH(DQ$2,-1)+1,$C38:$F38)*VLOOKUP(DQ$2,Valores!$H$2:$P$154,8,0)</f>
        <v>#VALUE!</v>
      </c>
      <c r="DR38" s="30" t="e">
        <f aca="false">SUMIF($C$2:$F$2,EOMONTH(DR$2,-1)+1,$C38:$F38)*VLOOKUP(DR$2,Valores!$H$2:$P$154,8,0)</f>
        <v>#VALUE!</v>
      </c>
      <c r="DS38" s="30" t="e">
        <f aca="false">SUMIF($C$2:$F$2,EOMONTH(DS$2,-1)+1,$C38:$F38)*VLOOKUP(DS$2,Valores!$H$2:$P$154,8,0)</f>
        <v>#VALUE!</v>
      </c>
      <c r="DT38" s="30" t="e">
        <f aca="false">SUMIF($C$2:$F$2,EOMONTH(DT$2,-1)+1,$C38:$F38)*VLOOKUP(DT$2,Valores!$H$2:$P$154,8,0)</f>
        <v>#VALUE!</v>
      </c>
      <c r="DU38" s="30" t="e">
        <f aca="false">SUMIF($C$2:$F$2,EOMONTH(DU$2,-1)+1,$C38:$F38)*VLOOKUP(DU$2,Valores!$H$2:$P$154,8,0)</f>
        <v>#VALUE!</v>
      </c>
      <c r="DV38" s="30" t="e">
        <f aca="false">SUMIF($C$2:$F$2,EOMONTH(DV$2,-1)+1,$C38:$F38)*VLOOKUP(DV$2,Valores!$H$2:$P$154,8,0)</f>
        <v>#VALUE!</v>
      </c>
      <c r="DW38" s="30" t="e">
        <f aca="false">SUMIF($C$2:$F$2,EOMONTH(DW$2,-1)+1,$C38:$F38)*VLOOKUP(DW$2,Valores!$H$2:$P$154,8,0)</f>
        <v>#VALUE!</v>
      </c>
      <c r="DX38" s="30" t="e">
        <f aca="false">SUMIF($C$2:$F$2,EOMONTH(DX$2,-1)+1,$C38:$F38)*VLOOKUP(DX$2,Valores!$H$2:$P$154,8,0)</f>
        <v>#VALUE!</v>
      </c>
    </row>
    <row r="39" customFormat="false" ht="13.8" hidden="false" customHeight="false" outlineLevel="0" collapsed="false">
      <c r="A39" s="31" t="s">
        <v>54</v>
      </c>
      <c r="B39" s="31" t="s">
        <v>61</v>
      </c>
      <c r="C39" s="31" t="n">
        <v>3677020</v>
      </c>
      <c r="D39" s="31" t="n">
        <v>3309318</v>
      </c>
      <c r="E39" s="31" t="n">
        <v>2978386.2</v>
      </c>
      <c r="F39" s="31" t="n">
        <v>2680547.58</v>
      </c>
      <c r="G39" s="27" t="n">
        <f aca="false">SUMIF($C$2:$F$2,EOMONTH(G$2,-1)+1,$C39:$F39)*VLOOKUP(G$2,Valores!$H$2:$P$154,8,0)</f>
        <v>105887.526740168</v>
      </c>
      <c r="H39" s="27" t="n">
        <f aca="false">SUMIF($C$2:$F$2,EOMONTH(H$2,-1)+1,$C39:$F39)*VLOOKUP(H$2,Valores!$H$2:$P$154,8,0)</f>
        <v>72608.5897646865</v>
      </c>
      <c r="I39" s="27" t="n">
        <f aca="false">SUMIF($C$2:$F$2,EOMONTH(I$2,-1)+1,$C39:$F39)*VLOOKUP(I$2,Valores!$H$2:$P$154,8,0)</f>
        <v>72608.5897646865</v>
      </c>
      <c r="J39" s="27" t="n">
        <f aca="false">SUMIF($C$2:$F$2,EOMONTH(J$2,-1)+1,$C39:$F39)*VLOOKUP(J$2,Valores!$H$2:$P$154,8,0)</f>
        <v>72608.5897646865</v>
      </c>
      <c r="K39" s="27" t="n">
        <f aca="false">SUMIF($C$2:$F$2,EOMONTH(K$2,-1)+1,$C39:$F39)*VLOOKUP(K$2,Valores!$H$2:$P$154,8,0)</f>
        <v>72608.5897646865</v>
      </c>
      <c r="L39" s="27" t="n">
        <f aca="false">SUMIF($C$2:$F$2,EOMONTH(L$2,-1)+1,$C39:$F39)*VLOOKUP(L$2,Valores!$H$2:$P$154,8,0)</f>
        <v>145217.179529373</v>
      </c>
      <c r="M39" s="27" t="n">
        <f aca="false">SUMIF($C$2:$F$2,EOMONTH(M$2,-1)+1,$C39:$F39)*VLOOKUP(M$2,Valores!$H$2:$P$154,8,0)</f>
        <v>181521.474411716</v>
      </c>
      <c r="N39" s="27" t="n">
        <f aca="false">SUMIF($C$2:$F$2,EOMONTH(N$2,-1)+1,$C39:$F39)*VLOOKUP(N$2,Valores!$H$2:$P$154,8,0)</f>
        <v>108912.88464703</v>
      </c>
      <c r="O39" s="27" t="n">
        <f aca="false">SUMIF($C$2:$F$2,EOMONTH(O$2,-1)+1,$C39:$F39)*VLOOKUP(O$2,Valores!$H$2:$P$154,8,0)</f>
        <v>96811.453019582</v>
      </c>
      <c r="P39" s="27" t="n">
        <f aca="false">SUMIF($C$2:$F$2,EOMONTH(P$2,-1)+1,$C39:$F39)*VLOOKUP(P$2,Valores!$H$2:$P$154,8,0)</f>
        <v>96811.453019582</v>
      </c>
      <c r="Q39" s="27" t="n">
        <f aca="false">SUMIF($C$2:$F$2,EOMONTH(Q$2,-1)+1,$C39:$F39)*VLOOKUP(Q$2,Valores!$H$2:$P$154,8,0)</f>
        <v>58086.8718117492</v>
      </c>
      <c r="R39" s="27" t="n">
        <f aca="false">SUMIF($C$2:$F$2,EOMONTH(R$2,-1)+1,$C39:$F39)*VLOOKUP(R$2,Valores!$H$2:$P$154,8,0)</f>
        <v>96811.453019582</v>
      </c>
      <c r="S39" s="27" t="n">
        <f aca="false">SUMIF($C$2:$F$2,EOMONTH(S$2,-1)+1,$C39:$F39)*VLOOKUP(S$2,Valores!$H$2:$P$154,8,0)</f>
        <v>193622.906039164</v>
      </c>
      <c r="T39" s="27" t="n">
        <f aca="false">SUMIF($C$2:$F$2,EOMONTH(T$2,-1)+1,$C39:$F39)*VLOOKUP(T$2,Valores!$H$2:$P$154,8,0)</f>
        <v>242028.632548955</v>
      </c>
      <c r="U39" s="27" t="n">
        <f aca="false">SUMIF($C$2:$F$2,EOMONTH(U$2,-1)+1,$C39:$F39)*VLOOKUP(U$2,Valores!$H$2:$P$154,8,0)</f>
        <v>145217.179529373</v>
      </c>
      <c r="V39" s="27" t="n">
        <f aca="false">SUMIF($C$2:$F$2,EOMONTH(V$2,-1)+1,$C39:$F39)*VLOOKUP(V$2,Valores!$H$2:$P$154,8,0)</f>
        <v>121014.316274478</v>
      </c>
      <c r="W39" s="27" t="n">
        <f aca="false">SUMIF($C$2:$F$2,EOMONTH(W$2,-1)+1,$C39:$F39)*VLOOKUP(W$2,Valores!$H$2:$P$154,8,0)</f>
        <v>121014.316274478</v>
      </c>
      <c r="X39" s="27" t="n">
        <f aca="false">SUMIF($C$2:$F$2,EOMONTH(X$2,-1)+1,$C39:$F39)*VLOOKUP(X$2,Valores!$H$2:$P$154,8,0)</f>
        <v>0</v>
      </c>
      <c r="Y39" s="27" t="n">
        <f aca="false">SUMIF($C$2:$F$2,EOMONTH(Y$2,-1)+1,$C39:$F39)*VLOOKUP(Y$2,Valores!$H$2:$P$154,8,0)</f>
        <v>0</v>
      </c>
      <c r="Z39" s="27" t="n">
        <f aca="false">SUMIF($C$2:$F$2,EOMONTH(Z$2,-1)+1,$C39:$F39)*VLOOKUP(Z$2,Valores!$H$2:$P$154,8,0)</f>
        <v>181521.474411716</v>
      </c>
      <c r="AA39" s="27" t="n">
        <f aca="false">SUMIF($C$2:$F$2,EOMONTH(AA$2,-1)+1,$C39:$F39)*VLOOKUP(AA$2,Valores!$H$2:$P$154,8,0)</f>
        <v>217825.769294059</v>
      </c>
      <c r="AB39" s="27" t="n">
        <f aca="false">SUMIF($C$2:$F$2,EOMONTH(AB$2,-1)+1,$C39:$F39)*VLOOKUP(AB$2,Valores!$H$2:$P$154,8,0)</f>
        <v>108912.88464703</v>
      </c>
      <c r="AC39" s="27" t="n">
        <f aca="false">SUMIF($C$2:$F$2,EOMONTH(AC$2,-1)+1,$C39:$F39)*VLOOKUP(AC$2,Valores!$H$2:$P$154,8,0)</f>
        <v>133115.747901925</v>
      </c>
      <c r="AD39" s="27" t="n">
        <f aca="false">SUMIF($C$2:$F$2,EOMONTH(AD$2,-1)+1,$C39:$F39)*VLOOKUP(AD$2,Valores!$H$2:$P$154,8,0)</f>
        <v>133115.747901925</v>
      </c>
      <c r="AE39" s="27" t="n">
        <f aca="false">SUMIF($C$2:$F$2,EOMONTH(AE$2,-1)+1,$C39:$F39)*VLOOKUP(AE$2,Valores!$H$2:$P$154,8,0)</f>
        <v>133115.747901925</v>
      </c>
      <c r="AF39" s="27" t="n">
        <f aca="false">SUMIF($C$2:$F$2,EOMONTH(AF$2,-1)+1,$C39:$F39)*VLOOKUP(AF$2,Valores!$H$2:$P$154,8,0)</f>
        <v>133115.747901925</v>
      </c>
      <c r="AG39" s="27" t="n">
        <f aca="false">SUMIF($C$2:$F$2,EOMONTH(AG$2,-1)+1,$C39:$F39)*VLOOKUP(AG$2,Valores!$H$2:$P$154,8,0)</f>
        <v>212985.19664308</v>
      </c>
      <c r="AH39" s="27" t="n">
        <f aca="false">SUMIF($C$2:$F$2,EOMONTH(AH$2,-1)+1,$C39:$F39)*VLOOKUP(AH$2,Valores!$H$2:$P$154,8,0)</f>
        <v>266231.495803851</v>
      </c>
      <c r="AI39" s="27" t="n">
        <f aca="false">SUMIF($C$2:$F$2,EOMONTH(AI$2,-1)+1,$C39:$F39)*VLOOKUP(AI$2,Valores!$H$2:$P$154,8,0)</f>
        <v>93181.0235313477</v>
      </c>
      <c r="AJ39" s="27" t="n">
        <f aca="false">SUMIF($C$2:$F$2,EOMONTH(AJ$2,-1)+1,$C39:$F39)*VLOOKUP(AJ$2,Valores!$H$2:$P$154,8,0)</f>
        <v>60507.1581372388</v>
      </c>
      <c r="AK39" s="27" t="n">
        <f aca="false">SUMIF($C$2:$F$2,EOMONTH(AK$2,-1)+1,$C39:$F39)*VLOOKUP(AK$2,Valores!$H$2:$P$154,8,0)</f>
        <v>110339.498440068</v>
      </c>
      <c r="AL39" s="27" t="n">
        <f aca="false">SUMIF($C$2:$F$2,EOMONTH(AL$2,-1)+1,$C39:$F39)*VLOOKUP(AL$2,Valores!$H$2:$P$154,8,0)</f>
        <v>110339.498440068</v>
      </c>
      <c r="AM39" s="27" t="n">
        <f aca="false">SUMIF($C$2:$F$2,EOMONTH(AM$2,-1)+1,$C39:$F39)*VLOOKUP(AM$2,Valores!$H$2:$P$154,8,0)</f>
        <v>110339.498440068</v>
      </c>
      <c r="AN39" s="27" t="n">
        <f aca="false">SUMIF($C$2:$F$2,EOMONTH(AN$2,-1)+1,$C39:$F39)*VLOOKUP(AN$2,Valores!$H$2:$P$154,8,0)</f>
        <v>220678.996880135</v>
      </c>
      <c r="AO39" s="27" t="n">
        <f aca="false">SUMIF($C$2:$F$2,EOMONTH(AO$2,-1)+1,$C39:$F39)*VLOOKUP(AO$2,Valores!$H$2:$P$154,8,0)</f>
        <v>275848.746100169</v>
      </c>
      <c r="AP39" s="27" t="n">
        <f aca="false">SUMIF($C$2:$F$2,EOMONTH(AP$2,-1)+1,$C39:$F39)*VLOOKUP(AP$2,Valores!$H$2:$P$154,8,0)</f>
        <v>165509.247660101</v>
      </c>
      <c r="AQ39" s="27" t="n">
        <f aca="false">SUMIF($C$2:$F$2,EOMONTH(AQ$2,-1)+1,$C39:$F39)*VLOOKUP(AQ$2,Valores!$H$2:$P$154,8,0)</f>
        <v>59110.4455928934</v>
      </c>
      <c r="AR39" s="27" t="n">
        <f aca="false">SUMIF($C$2:$F$2,EOMONTH(AR$2,-1)+1,$C39:$F39)*VLOOKUP(AR$2,Valores!$H$2:$P$154,8,0)</f>
        <v>59110.4455928934</v>
      </c>
      <c r="AS39" s="27" t="n">
        <f aca="false">SUMIF($C$2:$F$2,EOMONTH(AS$2,-1)+1,$C39:$F39)*VLOOKUP(AS$2,Valores!$H$2:$P$154,8,0)</f>
        <v>59110.4455928934</v>
      </c>
      <c r="AT39" s="27" t="n">
        <f aca="false">SUMIF($C$2:$F$2,EOMONTH(AT$2,-1)+1,$C39:$F39)*VLOOKUP(AT$2,Valores!$H$2:$P$154,8,0)</f>
        <v>59110.4455928934</v>
      </c>
      <c r="AU39" s="27" t="n">
        <f aca="false">SUMIF($C$2:$F$2,EOMONTH(AU$2,-1)+1,$C39:$F39)*VLOOKUP(AU$2,Valores!$H$2:$P$154,8,0)</f>
        <v>118220.891185787</v>
      </c>
      <c r="AV39" s="27" t="n">
        <f aca="false">SUMIF($C$2:$F$2,EOMONTH(AV$2,-1)+1,$C39:$F39)*VLOOKUP(AV$2,Valores!$H$2:$P$154,8,0)</f>
        <v>147776.113982233</v>
      </c>
      <c r="AW39" s="27" t="n">
        <f aca="false">SUMIF($C$2:$F$2,EOMONTH(AW$2,-1)+1,$C39:$F39)*VLOOKUP(AW$2,Valores!$H$2:$P$154,8,0)</f>
        <v>88665.66838934</v>
      </c>
      <c r="AX39" s="27" t="n">
        <f aca="false">SUMIF($C$2:$F$2,EOMONTH(AX$2,-1)+1,$C39:$F39)*VLOOKUP(AX$2,Valores!$H$2:$P$154,8,0)</f>
        <v>59110.4455928934</v>
      </c>
      <c r="AY39" s="27" t="n">
        <f aca="false">SUMIF($C$2:$F$2,EOMONTH(AY$2,-1)+1,$C39:$F39)*VLOOKUP(AY$2,Valores!$H$2:$P$154,8,0)</f>
        <v>76843.5792707614</v>
      </c>
      <c r="AZ39" s="27" t="n">
        <f aca="false">SUMIF($C$2:$F$2,EOMONTH(AZ$2,-1)+1,$C39:$F39)*VLOOKUP(AZ$2,Valores!$H$2:$P$154,8,0)</f>
        <v>76843.5792707614</v>
      </c>
      <c r="BA39" s="27" t="n">
        <f aca="false">SUMIF($C$2:$F$2,EOMONTH(BA$2,-1)+1,$C39:$F39)*VLOOKUP(BA$2,Valores!$H$2:$P$154,8,0)</f>
        <v>76843.5792707614</v>
      </c>
      <c r="BB39" s="27" t="n">
        <f aca="false">SUMIF($C$2:$F$2,EOMONTH(BB$2,-1)+1,$C39:$F39)*VLOOKUP(BB$2,Valores!$H$2:$P$154,8,0)</f>
        <v>135954.024863655</v>
      </c>
      <c r="BC39" s="27" t="n">
        <f aca="false">SUMIF($C$2:$F$2,EOMONTH(BC$2,-1)+1,$C39:$F39)*VLOOKUP(BC$2,Valores!$H$2:$P$154,8,0)</f>
        <v>165509.247660101</v>
      </c>
      <c r="BD39" s="27" t="n">
        <f aca="false">SUMIF($C$2:$F$2,EOMONTH(BD$2,-1)+1,$C39:$F39)*VLOOKUP(BD$2,Valores!$H$2:$P$154,8,0)</f>
        <v>88665.66838934</v>
      </c>
      <c r="BE39" s="27" t="n">
        <f aca="false">SUMIF($C$2:$F$2,EOMONTH(BE$2,-1)+1,$C39:$F39)*VLOOKUP(BE$2,Valores!$H$2:$P$154,8,0)</f>
        <v>78813.9274571912</v>
      </c>
      <c r="BF39" s="27" t="n">
        <f aca="false">SUMIF($C$2:$F$2,EOMONTH(BF$2,-1)+1,$C39:$F39)*VLOOKUP(BF$2,Valores!$H$2:$P$154,8,0)</f>
        <v>78813.9274571912</v>
      </c>
      <c r="BG39" s="27" t="n">
        <f aca="false">SUMIF($C$2:$F$2,EOMONTH(BG$2,-1)+1,$C39:$F39)*VLOOKUP(BG$2,Valores!$H$2:$P$154,8,0)</f>
        <v>78813.9274571912</v>
      </c>
      <c r="BH39" s="27" t="n">
        <f aca="false">SUMIF($C$2:$F$2,EOMONTH(BH$2,-1)+1,$C39:$F39)*VLOOKUP(BH$2,Valores!$H$2:$P$154,8,0)</f>
        <v>78813.9274571912</v>
      </c>
      <c r="BI39" s="27" t="n">
        <f aca="false">SUMIF($C$2:$F$2,EOMONTH(BI$2,-1)+1,$C39:$F39)*VLOOKUP(BI$2,Valores!$H$2:$P$154,8,0)</f>
        <v>157627.854914382</v>
      </c>
      <c r="BJ39" s="27" t="n">
        <f aca="false">SUMIF($C$2:$F$2,EOMONTH(BJ$2,-1)+1,$C39:$F39)*VLOOKUP(BJ$2,Valores!$H$2:$P$154,8,0)</f>
        <v>197034.818642978</v>
      </c>
      <c r="BK39" s="27" t="n">
        <f aca="false">SUMIF($C$2:$F$2,EOMONTH(BK$2,-1)+1,$C39:$F39)*VLOOKUP(BK$2,Valores!$H$2:$P$154,8,0)</f>
        <v>94576.7129486294</v>
      </c>
      <c r="BL39" s="27" t="n">
        <f aca="false">SUMIF($C$2:$F$2,EOMONTH(BL$2,-1)+1,$C39:$F39)*VLOOKUP(BL$2,Valores!$H$2:$P$154,8,0)</f>
        <v>69356.2561623282</v>
      </c>
      <c r="BM39" s="27" t="n">
        <f aca="false">SUMIF($C$2:$F$2,EOMONTH(BM$2,-1)+1,$C39:$F39)*VLOOKUP(BM$2,Valores!$H$2:$P$154,8,0)</f>
        <v>69356.2561623282</v>
      </c>
      <c r="BN39" s="27" t="n">
        <f aca="false">SUMIF($C$2:$F$2,EOMONTH(BN$2,-1)+1,$C39:$F39)*VLOOKUP(BN$2,Valores!$H$2:$P$154,8,0)</f>
        <v>69356.2561623282</v>
      </c>
      <c r="BO39" s="27" t="n">
        <f aca="false">SUMIF($C$2:$F$2,EOMONTH(BO$2,-1)+1,$C39:$F39)*VLOOKUP(BO$2,Valores!$H$2:$P$154,8,0)</f>
        <v>72824.0689704446</v>
      </c>
      <c r="BP39" s="27" t="n">
        <f aca="false">SUMIF($C$2:$F$2,EOMONTH(BP$2,-1)+1,$C39:$F39)*VLOOKUP(BP$2,Valores!$H$2:$P$154,8,0)</f>
        <v>183265.165586199</v>
      </c>
      <c r="BQ39" s="27" t="n">
        <f aca="false">SUMIF($C$2:$F$2,EOMONTH(BQ$2,-1)+1,$C39:$F39)*VLOOKUP(BQ$2,Valores!$H$2:$P$154,8,0)</f>
        <v>229081.456982749</v>
      </c>
      <c r="BR39" s="27" t="n">
        <f aca="false">SUMIF($C$2:$F$2,EOMONTH(BR$2,-1)+1,$C39:$F39)*VLOOKUP(BR$2,Valores!$H$2:$P$154,8,0)</f>
        <v>109959.09935172</v>
      </c>
      <c r="BS39" s="27" t="n">
        <f aca="false">SUMIF($C$2:$F$2,EOMONTH(BS$2,-1)+1,$C39:$F39)*VLOOKUP(BS$2,Valores!$H$2:$P$154,8,0)</f>
        <v>49088.8836391605</v>
      </c>
      <c r="BT39" s="27" t="n">
        <f aca="false">SUMIF($C$2:$F$2,EOMONTH(BT$2,-1)+1,$C39:$F39)*VLOOKUP(BT$2,Valores!$H$2:$P$154,8,0)</f>
        <v>49088.8836391605</v>
      </c>
      <c r="BU39" s="27" t="n">
        <f aca="false">SUMIF($C$2:$F$2,EOMONTH(BU$2,-1)+1,$C39:$F39)*VLOOKUP(BU$2,Valores!$H$2:$P$154,8,0)</f>
        <v>49088.8836391605</v>
      </c>
      <c r="BV39" s="27" t="n">
        <f aca="false">SUMIF($C$2:$F$2,EOMONTH(BV$2,-1)+1,$C39:$F39)*VLOOKUP(BV$2,Valores!$H$2:$P$154,8,0)</f>
        <v>49088.8836391605</v>
      </c>
      <c r="BW39" s="27" t="n">
        <f aca="false">SUMIF($C$2:$F$2,EOMONTH(BW$2,-1)+1,$C39:$F39)*VLOOKUP(BW$2,Valores!$H$2:$P$154,8,0)</f>
        <v>98177.767278321</v>
      </c>
      <c r="BX39" s="27" t="n">
        <f aca="false">SUMIF($C$2:$F$2,EOMONTH(BX$2,-1)+1,$C39:$F39)*VLOOKUP(BX$2,Valores!$H$2:$P$154,8,0)</f>
        <v>122722.209097901</v>
      </c>
      <c r="BY39" s="27" t="n">
        <f aca="false">SUMIF($C$2:$F$2,EOMONTH(BY$2,-1)+1,$C39:$F39)*VLOOKUP(BY$2,Valores!$H$2:$P$154,8,0)</f>
        <v>73633.3254587408</v>
      </c>
      <c r="BZ39" s="27" t="n">
        <f aca="false">SUMIF($C$2:$F$2,EOMONTH(BZ$2,-1)+1,$C39:$F39)*VLOOKUP(BZ$2,Valores!$H$2:$P$154,8,0)</f>
        <v>49088.8836391605</v>
      </c>
      <c r="CA39" s="27" t="n">
        <f aca="false">SUMIF($C$2:$F$2,EOMONTH(CA$2,-1)+1,$C39:$F39)*VLOOKUP(CA$2,Valores!$H$2:$P$154,8,0)</f>
        <v>49088.8836391605</v>
      </c>
      <c r="CB39" s="27" t="n">
        <f aca="false">SUMIF($C$2:$F$2,EOMONTH(CB$2,-1)+1,$C39:$F39)*VLOOKUP(CB$2,Valores!$H$2:$P$154,8,0)</f>
        <v>49088.8836391605</v>
      </c>
      <c r="CC39" s="27" t="n">
        <f aca="false">SUMIF($C$2:$F$2,EOMONTH(CC$2,-1)+1,$C39:$F39)*VLOOKUP(CC$2,Valores!$H$2:$P$154,8,0)</f>
        <v>49088.8836391605</v>
      </c>
      <c r="CD39" s="27" t="n">
        <f aca="false">SUMIF($C$2:$F$2,EOMONTH(CD$2,-1)+1,$C39:$F39)*VLOOKUP(CD$2,Valores!$H$2:$P$154,8,0)</f>
        <v>147266.650917482</v>
      </c>
      <c r="CE39" s="27" t="n">
        <f aca="false">SUMIF($C$2:$F$2,EOMONTH(CE$2,-1)+1,$C39:$F39)*VLOOKUP(CE$2,Valores!$H$2:$P$154,8,0)</f>
        <v>196355.534556642</v>
      </c>
      <c r="CF39" s="27" t="n">
        <f aca="false">SUMIF($C$2:$F$2,EOMONTH(CF$2,-1)+1,$C39:$F39)*VLOOKUP(CF$2,Valores!$H$2:$P$154,8,0)</f>
        <v>122722.209097901</v>
      </c>
      <c r="CG39" s="27" t="n">
        <f aca="false">SUMIF($C$2:$F$2,EOMONTH(CG$2,-1)+1,$C39:$F39)*VLOOKUP(CG$2,Valores!$H$2:$P$154,8,0)</f>
        <v>65451.844852214</v>
      </c>
      <c r="CH39" s="27" t="n">
        <f aca="false">SUMIF($C$2:$F$2,EOMONTH(CH$2,-1)+1,$C39:$F39)*VLOOKUP(CH$2,Valores!$H$2:$P$154,8,0)</f>
        <v>65451.844852214</v>
      </c>
      <c r="CI39" s="27" t="n">
        <f aca="false">SUMIF($C$2:$F$2,EOMONTH(CI$2,-1)+1,$C39:$F39)*VLOOKUP(CI$2,Valores!$H$2:$P$154,8,0)</f>
        <v>65451.844852214</v>
      </c>
      <c r="CJ39" s="27" t="n">
        <f aca="false">SUMIF($C$2:$F$2,EOMONTH(CJ$2,-1)+1,$C39:$F39)*VLOOKUP(CJ$2,Valores!$H$2:$P$154,8,0)</f>
        <v>65451.844852214</v>
      </c>
      <c r="CK39" s="27" t="n">
        <f aca="false">SUMIF($C$2:$F$2,EOMONTH(CK$2,-1)+1,$C39:$F39)*VLOOKUP(CK$2,Valores!$H$2:$P$154,8,0)</f>
        <v>130903.689704428</v>
      </c>
      <c r="CL39" s="27" t="n">
        <f aca="false">SUMIF($C$2:$F$2,EOMONTH(CL$2,-1)+1,$C39:$F39)*VLOOKUP(CL$2,Valores!$H$2:$P$154,8,0)</f>
        <v>163629.612130535</v>
      </c>
      <c r="CM39" s="27" t="n">
        <f aca="false">SUMIF($C$2:$F$2,EOMONTH(CM$2,-1)+1,$C39:$F39)*VLOOKUP(CM$2,Valores!$H$2:$P$154,8,0)</f>
        <v>98177.767278321</v>
      </c>
      <c r="CN39" s="27" t="n">
        <f aca="false">SUMIF($C$2:$F$2,EOMONTH(CN$2,-1)+1,$C39:$F39)*VLOOKUP(CN$2,Valores!$H$2:$P$154,8,0)</f>
        <v>71997.0293374354</v>
      </c>
      <c r="CO39" s="27" t="n">
        <f aca="false">SUMIF($C$2:$F$2,EOMONTH(CO$2,-1)+1,$C39:$F39)*VLOOKUP(CO$2,Valores!$H$2:$P$154,8,0)</f>
        <v>71997.0293374354</v>
      </c>
      <c r="CP39" s="27" t="n">
        <f aca="false">SUMIF($C$2:$F$2,EOMONTH(CP$2,-1)+1,$C39:$F39)*VLOOKUP(CP$2,Valores!$H$2:$P$154,8,0)</f>
        <v>71997.0293374354</v>
      </c>
      <c r="CQ39" s="27" t="n">
        <f aca="false">SUMIF($C$2:$F$2,EOMONTH(CQ$2,-1)+1,$C39:$F39)*VLOOKUP(CQ$2,Valores!$H$2:$P$154,8,0)</f>
        <v>71997.0293374354</v>
      </c>
      <c r="CR39" s="27" t="n">
        <f aca="false">SUMIF($C$2:$F$2,EOMONTH(CR$2,-1)+1,$C39:$F39)*VLOOKUP(CR$2,Valores!$H$2:$P$154,8,0)</f>
        <v>143994.058674871</v>
      </c>
      <c r="CS39" s="27" t="n">
        <f aca="false">SUMIF($C$2:$F$2,EOMONTH(CS$2,-1)+1,$C39:$F39)*VLOOKUP(CS$2,Valores!$H$2:$P$154,8,0)</f>
        <v>215991.088012306</v>
      </c>
      <c r="CT39" s="27" t="e">
        <f aca="false">SUMIF($C$2:$F$2,EOMONTH(CT$2,-1)+1,$C39:$F39)*VLOOKUP(CT$2,Valores!$H$2:$P$154,8,0)</f>
        <v>#VALUE!</v>
      </c>
      <c r="CU39" s="27" t="e">
        <f aca="false">SUMIF($C$2:$F$2,EOMONTH(CU$2,-1)+1,$C39:$F39)*VLOOKUP(CU$2,Valores!$H$2:$P$154,8,0)</f>
        <v>#VALUE!</v>
      </c>
      <c r="CV39" s="27" t="e">
        <f aca="false">SUMIF($C$2:$F$2,EOMONTH(CV$2,-1)+1,$C39:$F39)*VLOOKUP(CV$2,Valores!$H$2:$P$154,8,0)</f>
        <v>#VALUE!</v>
      </c>
      <c r="CW39" s="27" t="e">
        <f aca="false">SUMIF($C$2:$F$2,EOMONTH(CW$2,-1)+1,$C39:$F39)*VLOOKUP(CW$2,Valores!$H$2:$P$154,8,0)</f>
        <v>#VALUE!</v>
      </c>
      <c r="CX39" s="27" t="e">
        <f aca="false">SUMIF($C$2:$F$2,EOMONTH(CX$2,-1)+1,$C39:$F39)*VLOOKUP(CX$2,Valores!$H$2:$P$154,8,0)</f>
        <v>#VALUE!</v>
      </c>
      <c r="CY39" s="27" t="e">
        <f aca="false">SUMIF($C$2:$F$2,EOMONTH(CY$2,-1)+1,$C39:$F39)*VLOOKUP(CY$2,Valores!$H$2:$P$154,8,0)</f>
        <v>#VALUE!</v>
      </c>
      <c r="CZ39" s="27" t="e">
        <f aca="false">SUMIF($C$2:$F$2,EOMONTH(CZ$2,-1)+1,$C39:$F39)*VLOOKUP(CZ$2,Valores!$H$2:$P$154,8,0)</f>
        <v>#VALUE!</v>
      </c>
      <c r="DA39" s="27" t="e">
        <f aca="false">SUMIF($C$2:$F$2,EOMONTH(DA$2,-1)+1,$C39:$F39)*VLOOKUP(DA$2,Valores!$H$2:$P$154,8,0)</f>
        <v>#VALUE!</v>
      </c>
      <c r="DB39" s="27" t="e">
        <f aca="false">SUMIF($C$2:$F$2,EOMONTH(DB$2,-1)+1,$C39:$F39)*VLOOKUP(DB$2,Valores!$H$2:$P$154,8,0)</f>
        <v>#VALUE!</v>
      </c>
      <c r="DC39" s="27" t="e">
        <f aca="false">SUMIF($C$2:$F$2,EOMONTH(DC$2,-1)+1,$C39:$F39)*VLOOKUP(DC$2,Valores!$H$2:$P$154,8,0)</f>
        <v>#VALUE!</v>
      </c>
      <c r="DD39" s="27" t="e">
        <f aca="false">SUMIF($C$2:$F$2,EOMONTH(DD$2,-1)+1,$C39:$F39)*VLOOKUP(DD$2,Valores!$H$2:$P$154,8,0)</f>
        <v>#VALUE!</v>
      </c>
      <c r="DE39" s="27" t="e">
        <f aca="false">SUMIF($C$2:$F$2,EOMONTH(DE$2,-1)+1,$C39:$F39)*VLOOKUP(DE$2,Valores!$H$2:$P$154,8,0)</f>
        <v>#VALUE!</v>
      </c>
      <c r="DF39" s="27" t="e">
        <f aca="false">SUMIF($C$2:$F$2,EOMONTH(DF$2,-1)+1,$C39:$F39)*VLOOKUP(DF$2,Valores!$H$2:$P$154,8,0)</f>
        <v>#VALUE!</v>
      </c>
      <c r="DG39" s="27" t="e">
        <f aca="false">SUMIF($C$2:$F$2,EOMONTH(DG$2,-1)+1,$C39:$F39)*VLOOKUP(DG$2,Valores!$H$2:$P$154,8,0)</f>
        <v>#VALUE!</v>
      </c>
      <c r="DH39" s="27" t="e">
        <f aca="false">SUMIF($C$2:$F$2,EOMONTH(DH$2,-1)+1,$C39:$F39)*VLOOKUP(DH$2,Valores!$H$2:$P$154,8,0)</f>
        <v>#VALUE!</v>
      </c>
      <c r="DI39" s="27" t="e">
        <f aca="false">SUMIF($C$2:$F$2,EOMONTH(DI$2,-1)+1,$C39:$F39)*VLOOKUP(DI$2,Valores!$H$2:$P$154,8,0)</f>
        <v>#VALUE!</v>
      </c>
      <c r="DJ39" s="27" t="e">
        <f aca="false">SUMIF($C$2:$F$2,EOMONTH(DJ$2,-1)+1,$C39:$F39)*VLOOKUP(DJ$2,Valores!$H$2:$P$154,8,0)</f>
        <v>#VALUE!</v>
      </c>
      <c r="DK39" s="27" t="e">
        <f aca="false">SUMIF($C$2:$F$2,EOMONTH(DK$2,-1)+1,$C39:$F39)*VLOOKUP(DK$2,Valores!$H$2:$P$154,8,0)</f>
        <v>#VALUE!</v>
      </c>
      <c r="DL39" s="27" t="e">
        <f aca="false">SUMIF($C$2:$F$2,EOMONTH(DL$2,-1)+1,$C39:$F39)*VLOOKUP(DL$2,Valores!$H$2:$P$154,8,0)</f>
        <v>#VALUE!</v>
      </c>
      <c r="DM39" s="27" t="e">
        <f aca="false">SUMIF($C$2:$F$2,EOMONTH(DM$2,-1)+1,$C39:$F39)*VLOOKUP(DM$2,Valores!$H$2:$P$154,8,0)</f>
        <v>#VALUE!</v>
      </c>
      <c r="DN39" s="27" t="e">
        <f aca="false">SUMIF($C$2:$F$2,EOMONTH(DN$2,-1)+1,$C39:$F39)*VLOOKUP(DN$2,Valores!$H$2:$P$154,8,0)</f>
        <v>#VALUE!</v>
      </c>
      <c r="DO39" s="27" t="e">
        <f aca="false">SUMIF($C$2:$F$2,EOMONTH(DO$2,-1)+1,$C39:$F39)*VLOOKUP(DO$2,Valores!$H$2:$P$154,8,0)</f>
        <v>#VALUE!</v>
      </c>
      <c r="DP39" s="27" t="e">
        <f aca="false">SUMIF($C$2:$F$2,EOMONTH(DP$2,-1)+1,$C39:$F39)*VLOOKUP(DP$2,Valores!$H$2:$P$154,8,0)</f>
        <v>#VALUE!</v>
      </c>
      <c r="DQ39" s="27" t="e">
        <f aca="false">SUMIF($C$2:$F$2,EOMONTH(DQ$2,-1)+1,$C39:$F39)*VLOOKUP(DQ$2,Valores!$H$2:$P$154,8,0)</f>
        <v>#VALUE!</v>
      </c>
      <c r="DR39" s="27" t="e">
        <f aca="false">SUMIF($C$2:$F$2,EOMONTH(DR$2,-1)+1,$C39:$F39)*VLOOKUP(DR$2,Valores!$H$2:$P$154,8,0)</f>
        <v>#VALUE!</v>
      </c>
      <c r="DS39" s="27" t="e">
        <f aca="false">SUMIF($C$2:$F$2,EOMONTH(DS$2,-1)+1,$C39:$F39)*VLOOKUP(DS$2,Valores!$H$2:$P$154,8,0)</f>
        <v>#VALUE!</v>
      </c>
      <c r="DT39" s="27" t="e">
        <f aca="false">SUMIF($C$2:$F$2,EOMONTH(DT$2,-1)+1,$C39:$F39)*VLOOKUP(DT$2,Valores!$H$2:$P$154,8,0)</f>
        <v>#VALUE!</v>
      </c>
      <c r="DU39" s="27" t="e">
        <f aca="false">SUMIF($C$2:$F$2,EOMONTH(DU$2,-1)+1,$C39:$F39)*VLOOKUP(DU$2,Valores!$H$2:$P$154,8,0)</f>
        <v>#VALUE!</v>
      </c>
      <c r="DV39" s="27" t="e">
        <f aca="false">SUMIF($C$2:$F$2,EOMONTH(DV$2,-1)+1,$C39:$F39)*VLOOKUP(DV$2,Valores!$H$2:$P$154,8,0)</f>
        <v>#VALUE!</v>
      </c>
      <c r="DW39" s="27" t="e">
        <f aca="false">SUMIF($C$2:$F$2,EOMONTH(DW$2,-1)+1,$C39:$F39)*VLOOKUP(DW$2,Valores!$H$2:$P$154,8,0)</f>
        <v>#VALUE!</v>
      </c>
      <c r="DX39" s="27" t="e">
        <f aca="false">SUMIF($C$2:$F$2,EOMONTH(DX$2,-1)+1,$C39:$F39)*VLOOKUP(DX$2,Valores!$H$2:$P$154,8,0)</f>
        <v>#VALUE!</v>
      </c>
    </row>
    <row r="40" customFormat="false" ht="13.8" hidden="false" customHeight="false" outlineLevel="0" collapsed="false">
      <c r="A40" s="29" t="s">
        <v>54</v>
      </c>
      <c r="B40" s="29" t="s">
        <v>62</v>
      </c>
      <c r="C40" s="29" t="n">
        <v>3485384</v>
      </c>
      <c r="D40" s="29" t="n">
        <v>3136845.6</v>
      </c>
      <c r="E40" s="29" t="n">
        <v>2823161.04</v>
      </c>
      <c r="F40" s="29" t="n">
        <v>2540844.936</v>
      </c>
      <c r="G40" s="30" t="n">
        <f aca="false">SUMIF($C$2:$F$2,EOMONTH(G$2,-1)+1,$C40:$F40)*VLOOKUP(G$2,Valores!$H$2:$P$154,8,0)</f>
        <v>100368.964949811</v>
      </c>
      <c r="H40" s="30" t="n">
        <f aca="false">SUMIF($C$2:$F$2,EOMONTH(H$2,-1)+1,$C40:$F40)*VLOOKUP(H$2,Valores!$H$2:$P$154,8,0)</f>
        <v>68824.4331084417</v>
      </c>
      <c r="I40" s="30" t="n">
        <f aca="false">SUMIF($C$2:$F$2,EOMONTH(I$2,-1)+1,$C40:$F40)*VLOOKUP(I$2,Valores!$H$2:$P$154,8,0)</f>
        <v>68824.4331084417</v>
      </c>
      <c r="J40" s="30" t="n">
        <f aca="false">SUMIF($C$2:$F$2,EOMONTH(J$2,-1)+1,$C40:$F40)*VLOOKUP(J$2,Valores!$H$2:$P$154,8,0)</f>
        <v>68824.4331084417</v>
      </c>
      <c r="K40" s="30" t="n">
        <f aca="false">SUMIF($C$2:$F$2,EOMONTH(K$2,-1)+1,$C40:$F40)*VLOOKUP(K$2,Valores!$H$2:$P$154,8,0)</f>
        <v>68824.4331084417</v>
      </c>
      <c r="L40" s="30" t="n">
        <f aca="false">SUMIF($C$2:$F$2,EOMONTH(L$2,-1)+1,$C40:$F40)*VLOOKUP(L$2,Valores!$H$2:$P$154,8,0)</f>
        <v>137648.866216883</v>
      </c>
      <c r="M40" s="30" t="n">
        <f aca="false">SUMIF($C$2:$F$2,EOMONTH(M$2,-1)+1,$C40:$F40)*VLOOKUP(M$2,Valores!$H$2:$P$154,8,0)</f>
        <v>172061.082771104</v>
      </c>
      <c r="N40" s="30" t="n">
        <f aca="false">SUMIF($C$2:$F$2,EOMONTH(N$2,-1)+1,$C40:$F40)*VLOOKUP(N$2,Valores!$H$2:$P$154,8,0)</f>
        <v>103236.649662662</v>
      </c>
      <c r="O40" s="30" t="n">
        <f aca="false">SUMIF($C$2:$F$2,EOMONTH(O$2,-1)+1,$C40:$F40)*VLOOKUP(O$2,Valores!$H$2:$P$154,8,0)</f>
        <v>91765.9108112555</v>
      </c>
      <c r="P40" s="30" t="n">
        <f aca="false">SUMIF($C$2:$F$2,EOMONTH(P$2,-1)+1,$C40:$F40)*VLOOKUP(P$2,Valores!$H$2:$P$154,8,0)</f>
        <v>91765.9108112555</v>
      </c>
      <c r="Q40" s="30" t="n">
        <f aca="false">SUMIF($C$2:$F$2,EOMONTH(Q$2,-1)+1,$C40:$F40)*VLOOKUP(Q$2,Valores!$H$2:$P$154,8,0)</f>
        <v>55059.5464867533</v>
      </c>
      <c r="R40" s="30" t="n">
        <f aca="false">SUMIF($C$2:$F$2,EOMONTH(R$2,-1)+1,$C40:$F40)*VLOOKUP(R$2,Valores!$H$2:$P$154,8,0)</f>
        <v>91765.9108112555</v>
      </c>
      <c r="S40" s="30" t="n">
        <f aca="false">SUMIF($C$2:$F$2,EOMONTH(S$2,-1)+1,$C40:$F40)*VLOOKUP(S$2,Valores!$H$2:$P$154,8,0)</f>
        <v>183531.821622511</v>
      </c>
      <c r="T40" s="30" t="n">
        <f aca="false">SUMIF($C$2:$F$2,EOMONTH(T$2,-1)+1,$C40:$F40)*VLOOKUP(T$2,Valores!$H$2:$P$154,8,0)</f>
        <v>229414.777028139</v>
      </c>
      <c r="U40" s="30" t="n">
        <f aca="false">SUMIF($C$2:$F$2,EOMONTH(U$2,-1)+1,$C40:$F40)*VLOOKUP(U$2,Valores!$H$2:$P$154,8,0)</f>
        <v>137648.866216883</v>
      </c>
      <c r="V40" s="30" t="n">
        <f aca="false">SUMIF($C$2:$F$2,EOMONTH(V$2,-1)+1,$C40:$F40)*VLOOKUP(V$2,Valores!$H$2:$P$154,8,0)</f>
        <v>114707.388514069</v>
      </c>
      <c r="W40" s="30" t="n">
        <f aca="false">SUMIF($C$2:$F$2,EOMONTH(W$2,-1)+1,$C40:$F40)*VLOOKUP(W$2,Valores!$H$2:$P$154,8,0)</f>
        <v>114707.388514069</v>
      </c>
      <c r="X40" s="30" t="n">
        <f aca="false">SUMIF($C$2:$F$2,EOMONTH(X$2,-1)+1,$C40:$F40)*VLOOKUP(X$2,Valores!$H$2:$P$154,8,0)</f>
        <v>0</v>
      </c>
      <c r="Y40" s="30" t="n">
        <f aca="false">SUMIF($C$2:$F$2,EOMONTH(Y$2,-1)+1,$C40:$F40)*VLOOKUP(Y$2,Valores!$H$2:$P$154,8,0)</f>
        <v>0</v>
      </c>
      <c r="Z40" s="30" t="n">
        <f aca="false">SUMIF($C$2:$F$2,EOMONTH(Z$2,-1)+1,$C40:$F40)*VLOOKUP(Z$2,Valores!$H$2:$P$154,8,0)</f>
        <v>172061.082771104</v>
      </c>
      <c r="AA40" s="30" t="n">
        <f aca="false">SUMIF($C$2:$F$2,EOMONTH(AA$2,-1)+1,$C40:$F40)*VLOOKUP(AA$2,Valores!$H$2:$P$154,8,0)</f>
        <v>206473.299325325</v>
      </c>
      <c r="AB40" s="30" t="n">
        <f aca="false">SUMIF($C$2:$F$2,EOMONTH(AB$2,-1)+1,$C40:$F40)*VLOOKUP(AB$2,Valores!$H$2:$P$154,8,0)</f>
        <v>103236.649662662</v>
      </c>
      <c r="AC40" s="30" t="n">
        <f aca="false">SUMIF($C$2:$F$2,EOMONTH(AC$2,-1)+1,$C40:$F40)*VLOOKUP(AC$2,Valores!$H$2:$P$154,8,0)</f>
        <v>126178.127365476</v>
      </c>
      <c r="AD40" s="30" t="n">
        <f aca="false">SUMIF($C$2:$F$2,EOMONTH(AD$2,-1)+1,$C40:$F40)*VLOOKUP(AD$2,Valores!$H$2:$P$154,8,0)</f>
        <v>126178.127365476</v>
      </c>
      <c r="AE40" s="30" t="n">
        <f aca="false">SUMIF($C$2:$F$2,EOMONTH(AE$2,-1)+1,$C40:$F40)*VLOOKUP(AE$2,Valores!$H$2:$P$154,8,0)</f>
        <v>126178.127365476</v>
      </c>
      <c r="AF40" s="30" t="n">
        <f aca="false">SUMIF($C$2:$F$2,EOMONTH(AF$2,-1)+1,$C40:$F40)*VLOOKUP(AF$2,Valores!$H$2:$P$154,8,0)</f>
        <v>126178.127365476</v>
      </c>
      <c r="AG40" s="30" t="n">
        <f aca="false">SUMIF($C$2:$F$2,EOMONTH(AG$2,-1)+1,$C40:$F40)*VLOOKUP(AG$2,Valores!$H$2:$P$154,8,0)</f>
        <v>201885.003784762</v>
      </c>
      <c r="AH40" s="30" t="n">
        <f aca="false">SUMIF($C$2:$F$2,EOMONTH(AH$2,-1)+1,$C40:$F40)*VLOOKUP(AH$2,Valores!$H$2:$P$154,8,0)</f>
        <v>252356.254730953</v>
      </c>
      <c r="AI40" s="30" t="n">
        <f aca="false">SUMIF($C$2:$F$2,EOMONTH(AI$2,-1)+1,$C40:$F40)*VLOOKUP(AI$2,Valores!$H$2:$P$154,8,0)</f>
        <v>88324.6891558335</v>
      </c>
      <c r="AJ40" s="30" t="n">
        <f aca="false">SUMIF($C$2:$F$2,EOMONTH(AJ$2,-1)+1,$C40:$F40)*VLOOKUP(AJ$2,Valores!$H$2:$P$154,8,0)</f>
        <v>57353.6942570347</v>
      </c>
      <c r="AK40" s="30" t="n">
        <f aca="false">SUMIF($C$2:$F$2,EOMONTH(AK$2,-1)+1,$C40:$F40)*VLOOKUP(AK$2,Valores!$H$2:$P$154,8,0)</f>
        <v>104588.912334183</v>
      </c>
      <c r="AL40" s="30" t="n">
        <f aca="false">SUMIF($C$2:$F$2,EOMONTH(AL$2,-1)+1,$C40:$F40)*VLOOKUP(AL$2,Valores!$H$2:$P$154,8,0)</f>
        <v>104588.912334183</v>
      </c>
      <c r="AM40" s="30" t="n">
        <f aca="false">SUMIF($C$2:$F$2,EOMONTH(AM$2,-1)+1,$C40:$F40)*VLOOKUP(AM$2,Valores!$H$2:$P$154,8,0)</f>
        <v>104588.912334183</v>
      </c>
      <c r="AN40" s="30" t="n">
        <f aca="false">SUMIF($C$2:$F$2,EOMONTH(AN$2,-1)+1,$C40:$F40)*VLOOKUP(AN$2,Valores!$H$2:$P$154,8,0)</f>
        <v>209177.824668366</v>
      </c>
      <c r="AO40" s="30" t="n">
        <f aca="false">SUMIF($C$2:$F$2,EOMONTH(AO$2,-1)+1,$C40:$F40)*VLOOKUP(AO$2,Valores!$H$2:$P$154,8,0)</f>
        <v>261472.280835457</v>
      </c>
      <c r="AP40" s="30" t="n">
        <f aca="false">SUMIF($C$2:$F$2,EOMONTH(AP$2,-1)+1,$C40:$F40)*VLOOKUP(AP$2,Valores!$H$2:$P$154,8,0)</f>
        <v>156883.368501274</v>
      </c>
      <c r="AQ40" s="30" t="n">
        <f aca="false">SUMIF($C$2:$F$2,EOMONTH(AQ$2,-1)+1,$C40:$F40)*VLOOKUP(AQ$2,Valores!$H$2:$P$154,8,0)</f>
        <v>56029.7744647408</v>
      </c>
      <c r="AR40" s="30" t="n">
        <f aca="false">SUMIF($C$2:$F$2,EOMONTH(AR$2,-1)+1,$C40:$F40)*VLOOKUP(AR$2,Valores!$H$2:$P$154,8,0)</f>
        <v>56029.7744647408</v>
      </c>
      <c r="AS40" s="30" t="n">
        <f aca="false">SUMIF($C$2:$F$2,EOMONTH(AS$2,-1)+1,$C40:$F40)*VLOOKUP(AS$2,Valores!$H$2:$P$154,8,0)</f>
        <v>56029.7744647408</v>
      </c>
      <c r="AT40" s="30" t="n">
        <f aca="false">SUMIF($C$2:$F$2,EOMONTH(AT$2,-1)+1,$C40:$F40)*VLOOKUP(AT$2,Valores!$H$2:$P$154,8,0)</f>
        <v>56029.7744647408</v>
      </c>
      <c r="AU40" s="30" t="n">
        <f aca="false">SUMIF($C$2:$F$2,EOMONTH(AU$2,-1)+1,$C40:$F40)*VLOOKUP(AU$2,Valores!$H$2:$P$154,8,0)</f>
        <v>112059.548929482</v>
      </c>
      <c r="AV40" s="30" t="n">
        <f aca="false">SUMIF($C$2:$F$2,EOMONTH(AV$2,-1)+1,$C40:$F40)*VLOOKUP(AV$2,Valores!$H$2:$P$154,8,0)</f>
        <v>140074.436161852</v>
      </c>
      <c r="AW40" s="30" t="n">
        <f aca="false">SUMIF($C$2:$F$2,EOMONTH(AW$2,-1)+1,$C40:$F40)*VLOOKUP(AW$2,Valores!$H$2:$P$154,8,0)</f>
        <v>84044.6616971111</v>
      </c>
      <c r="AX40" s="30" t="n">
        <f aca="false">SUMIF($C$2:$F$2,EOMONTH(AX$2,-1)+1,$C40:$F40)*VLOOKUP(AX$2,Valores!$H$2:$P$154,8,0)</f>
        <v>56029.7744647408</v>
      </c>
      <c r="AY40" s="30" t="n">
        <f aca="false">SUMIF($C$2:$F$2,EOMONTH(AY$2,-1)+1,$C40:$F40)*VLOOKUP(AY$2,Valores!$H$2:$P$154,8,0)</f>
        <v>72838.706804163</v>
      </c>
      <c r="AZ40" s="30" t="n">
        <f aca="false">SUMIF($C$2:$F$2,EOMONTH(AZ$2,-1)+1,$C40:$F40)*VLOOKUP(AZ$2,Valores!$H$2:$P$154,8,0)</f>
        <v>72838.706804163</v>
      </c>
      <c r="BA40" s="30" t="n">
        <f aca="false">SUMIF($C$2:$F$2,EOMONTH(BA$2,-1)+1,$C40:$F40)*VLOOKUP(BA$2,Valores!$H$2:$P$154,8,0)</f>
        <v>72838.706804163</v>
      </c>
      <c r="BB40" s="30" t="n">
        <f aca="false">SUMIF($C$2:$F$2,EOMONTH(BB$2,-1)+1,$C40:$F40)*VLOOKUP(BB$2,Valores!$H$2:$P$154,8,0)</f>
        <v>128868.481268904</v>
      </c>
      <c r="BC40" s="30" t="n">
        <f aca="false">SUMIF($C$2:$F$2,EOMONTH(BC$2,-1)+1,$C40:$F40)*VLOOKUP(BC$2,Valores!$H$2:$P$154,8,0)</f>
        <v>156883.368501274</v>
      </c>
      <c r="BD40" s="30" t="n">
        <f aca="false">SUMIF($C$2:$F$2,EOMONTH(BD$2,-1)+1,$C40:$F40)*VLOOKUP(BD$2,Valores!$H$2:$P$154,8,0)</f>
        <v>84044.6616971111</v>
      </c>
      <c r="BE40" s="30" t="n">
        <f aca="false">SUMIF($C$2:$F$2,EOMONTH(BE$2,-1)+1,$C40:$F40)*VLOOKUP(BE$2,Valores!$H$2:$P$154,8,0)</f>
        <v>74706.3659529877</v>
      </c>
      <c r="BF40" s="30" t="n">
        <f aca="false">SUMIF($C$2:$F$2,EOMONTH(BF$2,-1)+1,$C40:$F40)*VLOOKUP(BF$2,Valores!$H$2:$P$154,8,0)</f>
        <v>74706.3659529877</v>
      </c>
      <c r="BG40" s="30" t="n">
        <f aca="false">SUMIF($C$2:$F$2,EOMONTH(BG$2,-1)+1,$C40:$F40)*VLOOKUP(BG$2,Valores!$H$2:$P$154,8,0)</f>
        <v>74706.3659529877</v>
      </c>
      <c r="BH40" s="30" t="n">
        <f aca="false">SUMIF($C$2:$F$2,EOMONTH(BH$2,-1)+1,$C40:$F40)*VLOOKUP(BH$2,Valores!$H$2:$P$154,8,0)</f>
        <v>74706.3659529877</v>
      </c>
      <c r="BI40" s="30" t="n">
        <f aca="false">SUMIF($C$2:$F$2,EOMONTH(BI$2,-1)+1,$C40:$F40)*VLOOKUP(BI$2,Valores!$H$2:$P$154,8,0)</f>
        <v>149412.731905975</v>
      </c>
      <c r="BJ40" s="30" t="n">
        <f aca="false">SUMIF($C$2:$F$2,EOMONTH(BJ$2,-1)+1,$C40:$F40)*VLOOKUP(BJ$2,Valores!$H$2:$P$154,8,0)</f>
        <v>186765.914882469</v>
      </c>
      <c r="BK40" s="30" t="n">
        <f aca="false">SUMIF($C$2:$F$2,EOMONTH(BK$2,-1)+1,$C40:$F40)*VLOOKUP(BK$2,Valores!$H$2:$P$154,8,0)</f>
        <v>89647.6391435852</v>
      </c>
      <c r="BL40" s="30" t="n">
        <f aca="false">SUMIF($C$2:$F$2,EOMONTH(BL$2,-1)+1,$C40:$F40)*VLOOKUP(BL$2,Valores!$H$2:$P$154,8,0)</f>
        <v>65741.6020386292</v>
      </c>
      <c r="BM40" s="30" t="n">
        <f aca="false">SUMIF($C$2:$F$2,EOMONTH(BM$2,-1)+1,$C40:$F40)*VLOOKUP(BM$2,Valores!$H$2:$P$154,8,0)</f>
        <v>65741.6020386292</v>
      </c>
      <c r="BN40" s="30" t="n">
        <f aca="false">SUMIF($C$2:$F$2,EOMONTH(BN$2,-1)+1,$C40:$F40)*VLOOKUP(BN$2,Valores!$H$2:$P$154,8,0)</f>
        <v>65741.6020386292</v>
      </c>
      <c r="BO40" s="30" t="n">
        <f aca="false">SUMIF($C$2:$F$2,EOMONTH(BO$2,-1)+1,$C40:$F40)*VLOOKUP(BO$2,Valores!$H$2:$P$154,8,0)</f>
        <v>69028.6821405606</v>
      </c>
      <c r="BP40" s="30" t="n">
        <f aca="false">SUMIF($C$2:$F$2,EOMONTH(BP$2,-1)+1,$C40:$F40)*VLOOKUP(BP$2,Valores!$H$2:$P$154,8,0)</f>
        <v>173713.897637622</v>
      </c>
      <c r="BQ40" s="30" t="n">
        <f aca="false">SUMIF($C$2:$F$2,EOMONTH(BQ$2,-1)+1,$C40:$F40)*VLOOKUP(BQ$2,Valores!$H$2:$P$154,8,0)</f>
        <v>217142.372047028</v>
      </c>
      <c r="BR40" s="30" t="n">
        <f aca="false">SUMIF($C$2:$F$2,EOMONTH(BR$2,-1)+1,$C40:$F40)*VLOOKUP(BR$2,Valores!$H$2:$P$154,8,0)</f>
        <v>104228.338582573</v>
      </c>
      <c r="BS40" s="30" t="n">
        <f aca="false">SUMIF($C$2:$F$2,EOMONTH(BS$2,-1)+1,$C40:$F40)*VLOOKUP(BS$2,Valores!$H$2:$P$154,8,0)</f>
        <v>46530.5082957917</v>
      </c>
      <c r="BT40" s="30" t="n">
        <f aca="false">SUMIF($C$2:$F$2,EOMONTH(BT$2,-1)+1,$C40:$F40)*VLOOKUP(BT$2,Valores!$H$2:$P$154,8,0)</f>
        <v>46530.5082957917</v>
      </c>
      <c r="BU40" s="30" t="n">
        <f aca="false">SUMIF($C$2:$F$2,EOMONTH(BU$2,-1)+1,$C40:$F40)*VLOOKUP(BU$2,Valores!$H$2:$P$154,8,0)</f>
        <v>46530.5082957917</v>
      </c>
      <c r="BV40" s="30" t="n">
        <f aca="false">SUMIF($C$2:$F$2,EOMONTH(BV$2,-1)+1,$C40:$F40)*VLOOKUP(BV$2,Valores!$H$2:$P$154,8,0)</f>
        <v>46530.5082957917</v>
      </c>
      <c r="BW40" s="30" t="n">
        <f aca="false">SUMIF($C$2:$F$2,EOMONTH(BW$2,-1)+1,$C40:$F40)*VLOOKUP(BW$2,Valores!$H$2:$P$154,8,0)</f>
        <v>93061.0165915833</v>
      </c>
      <c r="BX40" s="30" t="n">
        <f aca="false">SUMIF($C$2:$F$2,EOMONTH(BX$2,-1)+1,$C40:$F40)*VLOOKUP(BX$2,Valores!$H$2:$P$154,8,0)</f>
        <v>116326.270739479</v>
      </c>
      <c r="BY40" s="30" t="n">
        <f aca="false">SUMIF($C$2:$F$2,EOMONTH(BY$2,-1)+1,$C40:$F40)*VLOOKUP(BY$2,Valores!$H$2:$P$154,8,0)</f>
        <v>69795.7624436875</v>
      </c>
      <c r="BZ40" s="30" t="n">
        <f aca="false">SUMIF($C$2:$F$2,EOMONTH(BZ$2,-1)+1,$C40:$F40)*VLOOKUP(BZ$2,Valores!$H$2:$P$154,8,0)</f>
        <v>46530.5082957917</v>
      </c>
      <c r="CA40" s="30" t="n">
        <f aca="false">SUMIF($C$2:$F$2,EOMONTH(CA$2,-1)+1,$C40:$F40)*VLOOKUP(CA$2,Valores!$H$2:$P$154,8,0)</f>
        <v>46530.5082957917</v>
      </c>
      <c r="CB40" s="30" t="n">
        <f aca="false">SUMIF($C$2:$F$2,EOMONTH(CB$2,-1)+1,$C40:$F40)*VLOOKUP(CB$2,Valores!$H$2:$P$154,8,0)</f>
        <v>46530.5082957917</v>
      </c>
      <c r="CC40" s="30" t="n">
        <f aca="false">SUMIF($C$2:$F$2,EOMONTH(CC$2,-1)+1,$C40:$F40)*VLOOKUP(CC$2,Valores!$H$2:$P$154,8,0)</f>
        <v>46530.5082957917</v>
      </c>
      <c r="CD40" s="30" t="n">
        <f aca="false">SUMIF($C$2:$F$2,EOMONTH(CD$2,-1)+1,$C40:$F40)*VLOOKUP(CD$2,Valores!$H$2:$P$154,8,0)</f>
        <v>139591.524887375</v>
      </c>
      <c r="CE40" s="30" t="n">
        <f aca="false">SUMIF($C$2:$F$2,EOMONTH(CE$2,-1)+1,$C40:$F40)*VLOOKUP(CE$2,Valores!$H$2:$P$154,8,0)</f>
        <v>186122.033183167</v>
      </c>
      <c r="CF40" s="30" t="n">
        <f aca="false">SUMIF($C$2:$F$2,EOMONTH(CF$2,-1)+1,$C40:$F40)*VLOOKUP(CF$2,Valores!$H$2:$P$154,8,0)</f>
        <v>116326.270739479</v>
      </c>
      <c r="CG40" s="30" t="n">
        <f aca="false">SUMIF($C$2:$F$2,EOMONTH(CG$2,-1)+1,$C40:$F40)*VLOOKUP(CG$2,Valores!$H$2:$P$154,8,0)</f>
        <v>62040.6777277222</v>
      </c>
      <c r="CH40" s="30" t="n">
        <f aca="false">SUMIF($C$2:$F$2,EOMONTH(CH$2,-1)+1,$C40:$F40)*VLOOKUP(CH$2,Valores!$H$2:$P$154,8,0)</f>
        <v>62040.6777277222</v>
      </c>
      <c r="CI40" s="30" t="n">
        <f aca="false">SUMIF($C$2:$F$2,EOMONTH(CI$2,-1)+1,$C40:$F40)*VLOOKUP(CI$2,Valores!$H$2:$P$154,8,0)</f>
        <v>62040.6777277222</v>
      </c>
      <c r="CJ40" s="30" t="n">
        <f aca="false">SUMIF($C$2:$F$2,EOMONTH(CJ$2,-1)+1,$C40:$F40)*VLOOKUP(CJ$2,Valores!$H$2:$P$154,8,0)</f>
        <v>62040.6777277222</v>
      </c>
      <c r="CK40" s="30" t="n">
        <f aca="false">SUMIF($C$2:$F$2,EOMONTH(CK$2,-1)+1,$C40:$F40)*VLOOKUP(CK$2,Valores!$H$2:$P$154,8,0)</f>
        <v>124081.355455444</v>
      </c>
      <c r="CL40" s="30" t="n">
        <f aca="false">SUMIF($C$2:$F$2,EOMONTH(CL$2,-1)+1,$C40:$F40)*VLOOKUP(CL$2,Valores!$H$2:$P$154,8,0)</f>
        <v>155101.694319306</v>
      </c>
      <c r="CM40" s="30" t="n">
        <f aca="false">SUMIF($C$2:$F$2,EOMONTH(CM$2,-1)+1,$C40:$F40)*VLOOKUP(CM$2,Valores!$H$2:$P$154,8,0)</f>
        <v>93061.0165915833</v>
      </c>
      <c r="CN40" s="30" t="n">
        <f aca="false">SUMIF($C$2:$F$2,EOMONTH(CN$2,-1)+1,$C40:$F40)*VLOOKUP(CN$2,Valores!$H$2:$P$154,8,0)</f>
        <v>68244.7455004944</v>
      </c>
      <c r="CO40" s="30" t="n">
        <f aca="false">SUMIF($C$2:$F$2,EOMONTH(CO$2,-1)+1,$C40:$F40)*VLOOKUP(CO$2,Valores!$H$2:$P$154,8,0)</f>
        <v>68244.7455004944</v>
      </c>
      <c r="CP40" s="30" t="n">
        <f aca="false">SUMIF($C$2:$F$2,EOMONTH(CP$2,-1)+1,$C40:$F40)*VLOOKUP(CP$2,Valores!$H$2:$P$154,8,0)</f>
        <v>68244.7455004944</v>
      </c>
      <c r="CQ40" s="30" t="n">
        <f aca="false">SUMIF($C$2:$F$2,EOMONTH(CQ$2,-1)+1,$C40:$F40)*VLOOKUP(CQ$2,Valores!$H$2:$P$154,8,0)</f>
        <v>68244.7455004944</v>
      </c>
      <c r="CR40" s="30" t="n">
        <f aca="false">SUMIF($C$2:$F$2,EOMONTH(CR$2,-1)+1,$C40:$F40)*VLOOKUP(CR$2,Valores!$H$2:$P$154,8,0)</f>
        <v>136489.491000989</v>
      </c>
      <c r="CS40" s="30" t="n">
        <f aca="false">SUMIF($C$2:$F$2,EOMONTH(CS$2,-1)+1,$C40:$F40)*VLOOKUP(CS$2,Valores!$H$2:$P$154,8,0)</f>
        <v>204734.236501483</v>
      </c>
      <c r="CT40" s="30" t="e">
        <f aca="false">SUMIF($C$2:$F$2,EOMONTH(CT$2,-1)+1,$C40:$F40)*VLOOKUP(CT$2,Valores!$H$2:$P$154,8,0)</f>
        <v>#VALUE!</v>
      </c>
      <c r="CU40" s="30" t="e">
        <f aca="false">SUMIF($C$2:$F$2,EOMONTH(CU$2,-1)+1,$C40:$F40)*VLOOKUP(CU$2,Valores!$H$2:$P$154,8,0)</f>
        <v>#VALUE!</v>
      </c>
      <c r="CV40" s="30" t="e">
        <f aca="false">SUMIF($C$2:$F$2,EOMONTH(CV$2,-1)+1,$C40:$F40)*VLOOKUP(CV$2,Valores!$H$2:$P$154,8,0)</f>
        <v>#VALUE!</v>
      </c>
      <c r="CW40" s="30" t="e">
        <f aca="false">SUMIF($C$2:$F$2,EOMONTH(CW$2,-1)+1,$C40:$F40)*VLOOKUP(CW$2,Valores!$H$2:$P$154,8,0)</f>
        <v>#VALUE!</v>
      </c>
      <c r="CX40" s="30" t="e">
        <f aca="false">SUMIF($C$2:$F$2,EOMONTH(CX$2,-1)+1,$C40:$F40)*VLOOKUP(CX$2,Valores!$H$2:$P$154,8,0)</f>
        <v>#VALUE!</v>
      </c>
      <c r="CY40" s="30" t="e">
        <f aca="false">SUMIF($C$2:$F$2,EOMONTH(CY$2,-1)+1,$C40:$F40)*VLOOKUP(CY$2,Valores!$H$2:$P$154,8,0)</f>
        <v>#VALUE!</v>
      </c>
      <c r="CZ40" s="30" t="e">
        <f aca="false">SUMIF($C$2:$F$2,EOMONTH(CZ$2,-1)+1,$C40:$F40)*VLOOKUP(CZ$2,Valores!$H$2:$P$154,8,0)</f>
        <v>#VALUE!</v>
      </c>
      <c r="DA40" s="30" t="e">
        <f aca="false">SUMIF($C$2:$F$2,EOMONTH(DA$2,-1)+1,$C40:$F40)*VLOOKUP(DA$2,Valores!$H$2:$P$154,8,0)</f>
        <v>#VALUE!</v>
      </c>
      <c r="DB40" s="30" t="e">
        <f aca="false">SUMIF($C$2:$F$2,EOMONTH(DB$2,-1)+1,$C40:$F40)*VLOOKUP(DB$2,Valores!$H$2:$P$154,8,0)</f>
        <v>#VALUE!</v>
      </c>
      <c r="DC40" s="30" t="e">
        <f aca="false">SUMIF($C$2:$F$2,EOMONTH(DC$2,-1)+1,$C40:$F40)*VLOOKUP(DC$2,Valores!$H$2:$P$154,8,0)</f>
        <v>#VALUE!</v>
      </c>
      <c r="DD40" s="30" t="e">
        <f aca="false">SUMIF($C$2:$F$2,EOMONTH(DD$2,-1)+1,$C40:$F40)*VLOOKUP(DD$2,Valores!$H$2:$P$154,8,0)</f>
        <v>#VALUE!</v>
      </c>
      <c r="DE40" s="30" t="e">
        <f aca="false">SUMIF($C$2:$F$2,EOMONTH(DE$2,-1)+1,$C40:$F40)*VLOOKUP(DE$2,Valores!$H$2:$P$154,8,0)</f>
        <v>#VALUE!</v>
      </c>
      <c r="DF40" s="30" t="e">
        <f aca="false">SUMIF($C$2:$F$2,EOMONTH(DF$2,-1)+1,$C40:$F40)*VLOOKUP(DF$2,Valores!$H$2:$P$154,8,0)</f>
        <v>#VALUE!</v>
      </c>
      <c r="DG40" s="30" t="e">
        <f aca="false">SUMIF($C$2:$F$2,EOMONTH(DG$2,-1)+1,$C40:$F40)*VLOOKUP(DG$2,Valores!$H$2:$P$154,8,0)</f>
        <v>#VALUE!</v>
      </c>
      <c r="DH40" s="30" t="e">
        <f aca="false">SUMIF($C$2:$F$2,EOMONTH(DH$2,-1)+1,$C40:$F40)*VLOOKUP(DH$2,Valores!$H$2:$P$154,8,0)</f>
        <v>#VALUE!</v>
      </c>
      <c r="DI40" s="30" t="e">
        <f aca="false">SUMIF($C$2:$F$2,EOMONTH(DI$2,-1)+1,$C40:$F40)*VLOOKUP(DI$2,Valores!$H$2:$P$154,8,0)</f>
        <v>#VALUE!</v>
      </c>
      <c r="DJ40" s="30" t="e">
        <f aca="false">SUMIF($C$2:$F$2,EOMONTH(DJ$2,-1)+1,$C40:$F40)*VLOOKUP(DJ$2,Valores!$H$2:$P$154,8,0)</f>
        <v>#VALUE!</v>
      </c>
      <c r="DK40" s="30" t="e">
        <f aca="false">SUMIF($C$2:$F$2,EOMONTH(DK$2,-1)+1,$C40:$F40)*VLOOKUP(DK$2,Valores!$H$2:$P$154,8,0)</f>
        <v>#VALUE!</v>
      </c>
      <c r="DL40" s="30" t="e">
        <f aca="false">SUMIF($C$2:$F$2,EOMONTH(DL$2,-1)+1,$C40:$F40)*VLOOKUP(DL$2,Valores!$H$2:$P$154,8,0)</f>
        <v>#VALUE!</v>
      </c>
      <c r="DM40" s="30" t="e">
        <f aca="false">SUMIF($C$2:$F$2,EOMONTH(DM$2,-1)+1,$C40:$F40)*VLOOKUP(DM$2,Valores!$H$2:$P$154,8,0)</f>
        <v>#VALUE!</v>
      </c>
      <c r="DN40" s="30" t="e">
        <f aca="false">SUMIF($C$2:$F$2,EOMONTH(DN$2,-1)+1,$C40:$F40)*VLOOKUP(DN$2,Valores!$H$2:$P$154,8,0)</f>
        <v>#VALUE!</v>
      </c>
      <c r="DO40" s="30" t="e">
        <f aca="false">SUMIF($C$2:$F$2,EOMONTH(DO$2,-1)+1,$C40:$F40)*VLOOKUP(DO$2,Valores!$H$2:$P$154,8,0)</f>
        <v>#VALUE!</v>
      </c>
      <c r="DP40" s="30" t="e">
        <f aca="false">SUMIF($C$2:$F$2,EOMONTH(DP$2,-1)+1,$C40:$F40)*VLOOKUP(DP$2,Valores!$H$2:$P$154,8,0)</f>
        <v>#VALUE!</v>
      </c>
      <c r="DQ40" s="30" t="e">
        <f aca="false">SUMIF($C$2:$F$2,EOMONTH(DQ$2,-1)+1,$C40:$F40)*VLOOKUP(DQ$2,Valores!$H$2:$P$154,8,0)</f>
        <v>#VALUE!</v>
      </c>
      <c r="DR40" s="30" t="e">
        <f aca="false">SUMIF($C$2:$F$2,EOMONTH(DR$2,-1)+1,$C40:$F40)*VLOOKUP(DR$2,Valores!$H$2:$P$154,8,0)</f>
        <v>#VALUE!</v>
      </c>
      <c r="DS40" s="30" t="e">
        <f aca="false">SUMIF($C$2:$F$2,EOMONTH(DS$2,-1)+1,$C40:$F40)*VLOOKUP(DS$2,Valores!$H$2:$P$154,8,0)</f>
        <v>#VALUE!</v>
      </c>
      <c r="DT40" s="30" t="e">
        <f aca="false">SUMIF($C$2:$F$2,EOMONTH(DT$2,-1)+1,$C40:$F40)*VLOOKUP(DT$2,Valores!$H$2:$P$154,8,0)</f>
        <v>#VALUE!</v>
      </c>
      <c r="DU40" s="30" t="e">
        <f aca="false">SUMIF($C$2:$F$2,EOMONTH(DU$2,-1)+1,$C40:$F40)*VLOOKUP(DU$2,Valores!$H$2:$P$154,8,0)</f>
        <v>#VALUE!</v>
      </c>
      <c r="DV40" s="30" t="e">
        <f aca="false">SUMIF($C$2:$F$2,EOMONTH(DV$2,-1)+1,$C40:$F40)*VLOOKUP(DV$2,Valores!$H$2:$P$154,8,0)</f>
        <v>#VALUE!</v>
      </c>
      <c r="DW40" s="30" t="e">
        <f aca="false">SUMIF($C$2:$F$2,EOMONTH(DW$2,-1)+1,$C40:$F40)*VLOOKUP(DW$2,Valores!$H$2:$P$154,8,0)</f>
        <v>#VALUE!</v>
      </c>
      <c r="DX40" s="30" t="e">
        <f aca="false">SUMIF($C$2:$F$2,EOMONTH(DX$2,-1)+1,$C40:$F40)*VLOOKUP(DX$2,Valores!$H$2:$P$154,8,0)</f>
        <v>#VALUE!</v>
      </c>
    </row>
    <row r="41" customFormat="false" ht="13.8" hidden="false" customHeight="false" outlineLevel="0" collapsed="false">
      <c r="A41" s="31" t="s">
        <v>54</v>
      </c>
      <c r="B41" s="31" t="s">
        <v>63</v>
      </c>
      <c r="C41" s="31" t="n">
        <v>2813368</v>
      </c>
      <c r="D41" s="31" t="n">
        <v>2532031.2</v>
      </c>
      <c r="E41" s="31" t="n">
        <v>2278828.08</v>
      </c>
      <c r="F41" s="31" t="n">
        <v>2050945.272</v>
      </c>
      <c r="G41" s="27" t="n">
        <f aca="false">SUMIF($C$2:$F$2,EOMONTH(G$2,-1)+1,$C41:$F41)*VLOOKUP(G$2,Valores!$H$2:$P$154,8,0)</f>
        <v>81016.8504196149</v>
      </c>
      <c r="H41" s="27" t="n">
        <f aca="false">SUMIF($C$2:$F$2,EOMONTH(H$2,-1)+1,$C41:$F41)*VLOOKUP(H$2,Valores!$H$2:$P$154,8,0)</f>
        <v>55554.4117163074</v>
      </c>
      <c r="I41" s="27" t="n">
        <f aca="false">SUMIF($C$2:$F$2,EOMONTH(I$2,-1)+1,$C41:$F41)*VLOOKUP(I$2,Valores!$H$2:$P$154,8,0)</f>
        <v>55554.4117163074</v>
      </c>
      <c r="J41" s="27" t="n">
        <f aca="false">SUMIF($C$2:$F$2,EOMONTH(J$2,-1)+1,$C41:$F41)*VLOOKUP(J$2,Valores!$H$2:$P$154,8,0)</f>
        <v>55554.4117163074</v>
      </c>
      <c r="K41" s="27" t="n">
        <f aca="false">SUMIF($C$2:$F$2,EOMONTH(K$2,-1)+1,$C41:$F41)*VLOOKUP(K$2,Valores!$H$2:$P$154,8,0)</f>
        <v>55554.4117163074</v>
      </c>
      <c r="L41" s="27" t="n">
        <f aca="false">SUMIF($C$2:$F$2,EOMONTH(L$2,-1)+1,$C41:$F41)*VLOOKUP(L$2,Valores!$H$2:$P$154,8,0)</f>
        <v>111108.823432615</v>
      </c>
      <c r="M41" s="27" t="n">
        <f aca="false">SUMIF($C$2:$F$2,EOMONTH(M$2,-1)+1,$C41:$F41)*VLOOKUP(M$2,Valores!$H$2:$P$154,8,0)</f>
        <v>138886.029290768</v>
      </c>
      <c r="N41" s="27" t="n">
        <f aca="false">SUMIF($C$2:$F$2,EOMONTH(N$2,-1)+1,$C41:$F41)*VLOOKUP(N$2,Valores!$H$2:$P$154,8,0)</f>
        <v>83331.617574461</v>
      </c>
      <c r="O41" s="27" t="n">
        <f aca="false">SUMIF($C$2:$F$2,EOMONTH(O$2,-1)+1,$C41:$F41)*VLOOKUP(O$2,Valores!$H$2:$P$154,8,0)</f>
        <v>74072.5489550765</v>
      </c>
      <c r="P41" s="27" t="n">
        <f aca="false">SUMIF($C$2:$F$2,EOMONTH(P$2,-1)+1,$C41:$F41)*VLOOKUP(P$2,Valores!$H$2:$P$154,8,0)</f>
        <v>74072.5489550765</v>
      </c>
      <c r="Q41" s="27" t="n">
        <f aca="false">SUMIF($C$2:$F$2,EOMONTH(Q$2,-1)+1,$C41:$F41)*VLOOKUP(Q$2,Valores!$H$2:$P$154,8,0)</f>
        <v>44443.5293730459</v>
      </c>
      <c r="R41" s="27" t="n">
        <f aca="false">SUMIF($C$2:$F$2,EOMONTH(R$2,-1)+1,$C41:$F41)*VLOOKUP(R$2,Valores!$H$2:$P$154,8,0)</f>
        <v>74072.5489550765</v>
      </c>
      <c r="S41" s="27" t="n">
        <f aca="false">SUMIF($C$2:$F$2,EOMONTH(S$2,-1)+1,$C41:$F41)*VLOOKUP(S$2,Valores!$H$2:$P$154,8,0)</f>
        <v>148145.097910153</v>
      </c>
      <c r="T41" s="27" t="n">
        <f aca="false">SUMIF($C$2:$F$2,EOMONTH(T$2,-1)+1,$C41:$F41)*VLOOKUP(T$2,Valores!$H$2:$P$154,8,0)</f>
        <v>185181.372387691</v>
      </c>
      <c r="U41" s="27" t="n">
        <f aca="false">SUMIF($C$2:$F$2,EOMONTH(U$2,-1)+1,$C41:$F41)*VLOOKUP(U$2,Valores!$H$2:$P$154,8,0)</f>
        <v>111108.823432615</v>
      </c>
      <c r="V41" s="27" t="n">
        <f aca="false">SUMIF($C$2:$F$2,EOMONTH(V$2,-1)+1,$C41:$F41)*VLOOKUP(V$2,Valores!$H$2:$P$154,8,0)</f>
        <v>92590.6861938456</v>
      </c>
      <c r="W41" s="27" t="n">
        <f aca="false">SUMIF($C$2:$F$2,EOMONTH(W$2,-1)+1,$C41:$F41)*VLOOKUP(W$2,Valores!$H$2:$P$154,8,0)</f>
        <v>92590.6861938456</v>
      </c>
      <c r="X41" s="27" t="n">
        <f aca="false">SUMIF($C$2:$F$2,EOMONTH(X$2,-1)+1,$C41:$F41)*VLOOKUP(X$2,Valores!$H$2:$P$154,8,0)</f>
        <v>0</v>
      </c>
      <c r="Y41" s="27" t="n">
        <f aca="false">SUMIF($C$2:$F$2,EOMONTH(Y$2,-1)+1,$C41:$F41)*VLOOKUP(Y$2,Valores!$H$2:$P$154,8,0)</f>
        <v>0</v>
      </c>
      <c r="Z41" s="27" t="n">
        <f aca="false">SUMIF($C$2:$F$2,EOMONTH(Z$2,-1)+1,$C41:$F41)*VLOOKUP(Z$2,Valores!$H$2:$P$154,8,0)</f>
        <v>138886.029290768</v>
      </c>
      <c r="AA41" s="27" t="n">
        <f aca="false">SUMIF($C$2:$F$2,EOMONTH(AA$2,-1)+1,$C41:$F41)*VLOOKUP(AA$2,Valores!$H$2:$P$154,8,0)</f>
        <v>166663.235148922</v>
      </c>
      <c r="AB41" s="27" t="n">
        <f aca="false">SUMIF($C$2:$F$2,EOMONTH(AB$2,-1)+1,$C41:$F41)*VLOOKUP(AB$2,Valores!$H$2:$P$154,8,0)</f>
        <v>83331.617574461</v>
      </c>
      <c r="AC41" s="27" t="n">
        <f aca="false">SUMIF($C$2:$F$2,EOMONTH(AC$2,-1)+1,$C41:$F41)*VLOOKUP(AC$2,Valores!$H$2:$P$154,8,0)</f>
        <v>101849.75481323</v>
      </c>
      <c r="AD41" s="27" t="n">
        <f aca="false">SUMIF($C$2:$F$2,EOMONTH(AD$2,-1)+1,$C41:$F41)*VLOOKUP(AD$2,Valores!$H$2:$P$154,8,0)</f>
        <v>101849.75481323</v>
      </c>
      <c r="AE41" s="27" t="n">
        <f aca="false">SUMIF($C$2:$F$2,EOMONTH(AE$2,-1)+1,$C41:$F41)*VLOOKUP(AE$2,Valores!$H$2:$P$154,8,0)</f>
        <v>101849.75481323</v>
      </c>
      <c r="AF41" s="27" t="n">
        <f aca="false">SUMIF($C$2:$F$2,EOMONTH(AF$2,-1)+1,$C41:$F41)*VLOOKUP(AF$2,Valores!$H$2:$P$154,8,0)</f>
        <v>101849.75481323</v>
      </c>
      <c r="AG41" s="27" t="n">
        <f aca="false">SUMIF($C$2:$F$2,EOMONTH(AG$2,-1)+1,$C41:$F41)*VLOOKUP(AG$2,Valores!$H$2:$P$154,8,0)</f>
        <v>162959.607701168</v>
      </c>
      <c r="AH41" s="27" t="n">
        <f aca="false">SUMIF($C$2:$F$2,EOMONTH(AH$2,-1)+1,$C41:$F41)*VLOOKUP(AH$2,Valores!$H$2:$P$154,8,0)</f>
        <v>203699.50962646</v>
      </c>
      <c r="AI41" s="27" t="n">
        <f aca="false">SUMIF($C$2:$F$2,EOMONTH(AI$2,-1)+1,$C41:$F41)*VLOOKUP(AI$2,Valores!$H$2:$P$154,8,0)</f>
        <v>71294.8283692611</v>
      </c>
      <c r="AJ41" s="27" t="n">
        <f aca="false">SUMIF($C$2:$F$2,EOMONTH(AJ$2,-1)+1,$C41:$F41)*VLOOKUP(AJ$2,Valores!$H$2:$P$154,8,0)</f>
        <v>46295.3430969228</v>
      </c>
      <c r="AK41" s="27" t="n">
        <f aca="false">SUMIF($C$2:$F$2,EOMONTH(AK$2,-1)+1,$C41:$F41)*VLOOKUP(AK$2,Valores!$H$2:$P$154,8,0)</f>
        <v>84423.1508252161</v>
      </c>
      <c r="AL41" s="27" t="n">
        <f aca="false">SUMIF($C$2:$F$2,EOMONTH(AL$2,-1)+1,$C41:$F41)*VLOOKUP(AL$2,Valores!$H$2:$P$154,8,0)</f>
        <v>84423.1508252161</v>
      </c>
      <c r="AM41" s="27" t="n">
        <f aca="false">SUMIF($C$2:$F$2,EOMONTH(AM$2,-1)+1,$C41:$F41)*VLOOKUP(AM$2,Valores!$H$2:$P$154,8,0)</f>
        <v>84423.1508252161</v>
      </c>
      <c r="AN41" s="27" t="n">
        <f aca="false">SUMIF($C$2:$F$2,EOMONTH(AN$2,-1)+1,$C41:$F41)*VLOOKUP(AN$2,Valores!$H$2:$P$154,8,0)</f>
        <v>168846.301650432</v>
      </c>
      <c r="AO41" s="27" t="n">
        <f aca="false">SUMIF($C$2:$F$2,EOMONTH(AO$2,-1)+1,$C41:$F41)*VLOOKUP(AO$2,Valores!$H$2:$P$154,8,0)</f>
        <v>211057.87706304</v>
      </c>
      <c r="AP41" s="27" t="n">
        <f aca="false">SUMIF($C$2:$F$2,EOMONTH(AP$2,-1)+1,$C41:$F41)*VLOOKUP(AP$2,Valores!$H$2:$P$154,8,0)</f>
        <v>126634.726237824</v>
      </c>
      <c r="AQ41" s="27" t="n">
        <f aca="false">SUMIF($C$2:$F$2,EOMONTH(AQ$2,-1)+1,$C41:$F41)*VLOOKUP(AQ$2,Valores!$H$2:$P$154,8,0)</f>
        <v>45226.6879420801</v>
      </c>
      <c r="AR41" s="27" t="n">
        <f aca="false">SUMIF($C$2:$F$2,EOMONTH(AR$2,-1)+1,$C41:$F41)*VLOOKUP(AR$2,Valores!$H$2:$P$154,8,0)</f>
        <v>45226.6879420801</v>
      </c>
      <c r="AS41" s="27" t="n">
        <f aca="false">SUMIF($C$2:$F$2,EOMONTH(AS$2,-1)+1,$C41:$F41)*VLOOKUP(AS$2,Valores!$H$2:$P$154,8,0)</f>
        <v>45226.6879420801</v>
      </c>
      <c r="AT41" s="27" t="n">
        <f aca="false">SUMIF($C$2:$F$2,EOMONTH(AT$2,-1)+1,$C41:$F41)*VLOOKUP(AT$2,Valores!$H$2:$P$154,8,0)</f>
        <v>45226.6879420801</v>
      </c>
      <c r="AU41" s="27" t="n">
        <f aca="false">SUMIF($C$2:$F$2,EOMONTH(AU$2,-1)+1,$C41:$F41)*VLOOKUP(AU$2,Valores!$H$2:$P$154,8,0)</f>
        <v>90453.3758841601</v>
      </c>
      <c r="AV41" s="27" t="n">
        <f aca="false">SUMIF($C$2:$F$2,EOMONTH(AV$2,-1)+1,$C41:$F41)*VLOOKUP(AV$2,Valores!$H$2:$P$154,8,0)</f>
        <v>113066.7198552</v>
      </c>
      <c r="AW41" s="27" t="n">
        <f aca="false">SUMIF($C$2:$F$2,EOMONTH(AW$2,-1)+1,$C41:$F41)*VLOOKUP(AW$2,Valores!$H$2:$P$154,8,0)</f>
        <v>67840.0319131201</v>
      </c>
      <c r="AX41" s="27" t="n">
        <f aca="false">SUMIF($C$2:$F$2,EOMONTH(AX$2,-1)+1,$C41:$F41)*VLOOKUP(AX$2,Valores!$H$2:$P$154,8,0)</f>
        <v>45226.6879420801</v>
      </c>
      <c r="AY41" s="27" t="n">
        <f aca="false">SUMIF($C$2:$F$2,EOMONTH(AY$2,-1)+1,$C41:$F41)*VLOOKUP(AY$2,Valores!$H$2:$P$154,8,0)</f>
        <v>58794.6943247041</v>
      </c>
      <c r="AZ41" s="27" t="n">
        <f aca="false">SUMIF($C$2:$F$2,EOMONTH(AZ$2,-1)+1,$C41:$F41)*VLOOKUP(AZ$2,Valores!$H$2:$P$154,8,0)</f>
        <v>58794.6943247041</v>
      </c>
      <c r="BA41" s="27" t="n">
        <f aca="false">SUMIF($C$2:$F$2,EOMONTH(BA$2,-1)+1,$C41:$F41)*VLOOKUP(BA$2,Valores!$H$2:$P$154,8,0)</f>
        <v>58794.6943247041</v>
      </c>
      <c r="BB41" s="27" t="n">
        <f aca="false">SUMIF($C$2:$F$2,EOMONTH(BB$2,-1)+1,$C41:$F41)*VLOOKUP(BB$2,Valores!$H$2:$P$154,8,0)</f>
        <v>104021.382266784</v>
      </c>
      <c r="BC41" s="27" t="n">
        <f aca="false">SUMIF($C$2:$F$2,EOMONTH(BC$2,-1)+1,$C41:$F41)*VLOOKUP(BC$2,Valores!$H$2:$P$154,8,0)</f>
        <v>126634.726237824</v>
      </c>
      <c r="BD41" s="27" t="n">
        <f aca="false">SUMIF($C$2:$F$2,EOMONTH(BD$2,-1)+1,$C41:$F41)*VLOOKUP(BD$2,Valores!$H$2:$P$154,8,0)</f>
        <v>67840.0319131201</v>
      </c>
      <c r="BE41" s="27" t="n">
        <f aca="false">SUMIF($C$2:$F$2,EOMONTH(BE$2,-1)+1,$C41:$F41)*VLOOKUP(BE$2,Valores!$H$2:$P$154,8,0)</f>
        <v>60302.2505894401</v>
      </c>
      <c r="BF41" s="27" t="n">
        <f aca="false">SUMIF($C$2:$F$2,EOMONTH(BF$2,-1)+1,$C41:$F41)*VLOOKUP(BF$2,Valores!$H$2:$P$154,8,0)</f>
        <v>60302.2505894401</v>
      </c>
      <c r="BG41" s="27" t="n">
        <f aca="false">SUMIF($C$2:$F$2,EOMONTH(BG$2,-1)+1,$C41:$F41)*VLOOKUP(BG$2,Valores!$H$2:$P$154,8,0)</f>
        <v>60302.2505894401</v>
      </c>
      <c r="BH41" s="27" t="n">
        <f aca="false">SUMIF($C$2:$F$2,EOMONTH(BH$2,-1)+1,$C41:$F41)*VLOOKUP(BH$2,Valores!$H$2:$P$154,8,0)</f>
        <v>60302.2505894401</v>
      </c>
      <c r="BI41" s="27" t="n">
        <f aca="false">SUMIF($C$2:$F$2,EOMONTH(BI$2,-1)+1,$C41:$F41)*VLOOKUP(BI$2,Valores!$H$2:$P$154,8,0)</f>
        <v>120604.50117888</v>
      </c>
      <c r="BJ41" s="27" t="n">
        <f aca="false">SUMIF($C$2:$F$2,EOMONTH(BJ$2,-1)+1,$C41:$F41)*VLOOKUP(BJ$2,Valores!$H$2:$P$154,8,0)</f>
        <v>150755.6264736</v>
      </c>
      <c r="BK41" s="27" t="n">
        <f aca="false">SUMIF($C$2:$F$2,EOMONTH(BK$2,-1)+1,$C41:$F41)*VLOOKUP(BK$2,Valores!$H$2:$P$154,8,0)</f>
        <v>72362.7007073281</v>
      </c>
      <c r="BL41" s="27" t="n">
        <f aca="false">SUMIF($C$2:$F$2,EOMONTH(BL$2,-1)+1,$C41:$F41)*VLOOKUP(BL$2,Valores!$H$2:$P$154,8,0)</f>
        <v>53065.9805187073</v>
      </c>
      <c r="BM41" s="27" t="n">
        <f aca="false">SUMIF($C$2:$F$2,EOMONTH(BM$2,-1)+1,$C41:$F41)*VLOOKUP(BM$2,Valores!$H$2:$P$154,8,0)</f>
        <v>53065.9805187073</v>
      </c>
      <c r="BN41" s="27" t="n">
        <f aca="false">SUMIF($C$2:$F$2,EOMONTH(BN$2,-1)+1,$C41:$F41)*VLOOKUP(BN$2,Valores!$H$2:$P$154,8,0)</f>
        <v>53065.9805187073</v>
      </c>
      <c r="BO41" s="27" t="n">
        <f aca="false">SUMIF($C$2:$F$2,EOMONTH(BO$2,-1)+1,$C41:$F41)*VLOOKUP(BO$2,Valores!$H$2:$P$154,8,0)</f>
        <v>55719.2795446426</v>
      </c>
      <c r="BP41" s="27" t="n">
        <f aca="false">SUMIF($C$2:$F$2,EOMONTH(BP$2,-1)+1,$C41:$F41)*VLOOKUP(BP$2,Valores!$H$2:$P$154,8,0)</f>
        <v>140220.165344468</v>
      </c>
      <c r="BQ41" s="27" t="n">
        <f aca="false">SUMIF($C$2:$F$2,EOMONTH(BQ$2,-1)+1,$C41:$F41)*VLOOKUP(BQ$2,Valores!$H$2:$P$154,8,0)</f>
        <v>175275.206680585</v>
      </c>
      <c r="BR41" s="27" t="n">
        <f aca="false">SUMIF($C$2:$F$2,EOMONTH(BR$2,-1)+1,$C41:$F41)*VLOOKUP(BR$2,Valores!$H$2:$P$154,8,0)</f>
        <v>84132.0992066806</v>
      </c>
      <c r="BS41" s="27" t="n">
        <f aca="false">SUMIF($C$2:$F$2,EOMONTH(BS$2,-1)+1,$C41:$F41)*VLOOKUP(BS$2,Valores!$H$2:$P$154,8,0)</f>
        <v>37558.9728601252</v>
      </c>
      <c r="BT41" s="27" t="n">
        <f aca="false">SUMIF($C$2:$F$2,EOMONTH(BT$2,-1)+1,$C41:$F41)*VLOOKUP(BT$2,Valores!$H$2:$P$154,8,0)</f>
        <v>37558.9728601252</v>
      </c>
      <c r="BU41" s="27" t="n">
        <f aca="false">SUMIF($C$2:$F$2,EOMONTH(BU$2,-1)+1,$C41:$F41)*VLOOKUP(BU$2,Valores!$H$2:$P$154,8,0)</f>
        <v>37558.9728601252</v>
      </c>
      <c r="BV41" s="27" t="n">
        <f aca="false">SUMIF($C$2:$F$2,EOMONTH(BV$2,-1)+1,$C41:$F41)*VLOOKUP(BV$2,Valores!$H$2:$P$154,8,0)</f>
        <v>37558.9728601252</v>
      </c>
      <c r="BW41" s="27" t="n">
        <f aca="false">SUMIF($C$2:$F$2,EOMONTH(BW$2,-1)+1,$C41:$F41)*VLOOKUP(BW$2,Valores!$H$2:$P$154,8,0)</f>
        <v>75117.9457202505</v>
      </c>
      <c r="BX41" s="27" t="n">
        <f aca="false">SUMIF($C$2:$F$2,EOMONTH(BX$2,-1)+1,$C41:$F41)*VLOOKUP(BX$2,Valores!$H$2:$P$154,8,0)</f>
        <v>93897.4321503131</v>
      </c>
      <c r="BY41" s="27" t="n">
        <f aca="false">SUMIF($C$2:$F$2,EOMONTH(BY$2,-1)+1,$C41:$F41)*VLOOKUP(BY$2,Valores!$H$2:$P$154,8,0)</f>
        <v>56338.4592901879</v>
      </c>
      <c r="BZ41" s="27" t="n">
        <f aca="false">SUMIF($C$2:$F$2,EOMONTH(BZ$2,-1)+1,$C41:$F41)*VLOOKUP(BZ$2,Valores!$H$2:$P$154,8,0)</f>
        <v>37558.9728601252</v>
      </c>
      <c r="CA41" s="27" t="n">
        <f aca="false">SUMIF($C$2:$F$2,EOMONTH(CA$2,-1)+1,$C41:$F41)*VLOOKUP(CA$2,Valores!$H$2:$P$154,8,0)</f>
        <v>37558.9728601252</v>
      </c>
      <c r="CB41" s="27" t="n">
        <f aca="false">SUMIF($C$2:$F$2,EOMONTH(CB$2,-1)+1,$C41:$F41)*VLOOKUP(CB$2,Valores!$H$2:$P$154,8,0)</f>
        <v>37558.9728601252</v>
      </c>
      <c r="CC41" s="27" t="n">
        <f aca="false">SUMIF($C$2:$F$2,EOMONTH(CC$2,-1)+1,$C41:$F41)*VLOOKUP(CC$2,Valores!$H$2:$P$154,8,0)</f>
        <v>37558.9728601252</v>
      </c>
      <c r="CD41" s="27" t="n">
        <f aca="false">SUMIF($C$2:$F$2,EOMONTH(CD$2,-1)+1,$C41:$F41)*VLOOKUP(CD$2,Valores!$H$2:$P$154,8,0)</f>
        <v>112676.918580376</v>
      </c>
      <c r="CE41" s="27" t="n">
        <f aca="false">SUMIF($C$2:$F$2,EOMONTH(CE$2,-1)+1,$C41:$F41)*VLOOKUP(CE$2,Valores!$H$2:$P$154,8,0)</f>
        <v>150235.891440501</v>
      </c>
      <c r="CF41" s="27" t="n">
        <f aca="false">SUMIF($C$2:$F$2,EOMONTH(CF$2,-1)+1,$C41:$F41)*VLOOKUP(CF$2,Valores!$H$2:$P$154,8,0)</f>
        <v>93897.4321503131</v>
      </c>
      <c r="CG41" s="27" t="n">
        <f aca="false">SUMIF($C$2:$F$2,EOMONTH(CG$2,-1)+1,$C41:$F41)*VLOOKUP(CG$2,Valores!$H$2:$P$154,8,0)</f>
        <v>50078.630480167</v>
      </c>
      <c r="CH41" s="27" t="n">
        <f aca="false">SUMIF($C$2:$F$2,EOMONTH(CH$2,-1)+1,$C41:$F41)*VLOOKUP(CH$2,Valores!$H$2:$P$154,8,0)</f>
        <v>50078.630480167</v>
      </c>
      <c r="CI41" s="27" t="n">
        <f aca="false">SUMIF($C$2:$F$2,EOMONTH(CI$2,-1)+1,$C41:$F41)*VLOOKUP(CI$2,Valores!$H$2:$P$154,8,0)</f>
        <v>50078.630480167</v>
      </c>
      <c r="CJ41" s="27" t="n">
        <f aca="false">SUMIF($C$2:$F$2,EOMONTH(CJ$2,-1)+1,$C41:$F41)*VLOOKUP(CJ$2,Valores!$H$2:$P$154,8,0)</f>
        <v>50078.630480167</v>
      </c>
      <c r="CK41" s="27" t="n">
        <f aca="false">SUMIF($C$2:$F$2,EOMONTH(CK$2,-1)+1,$C41:$F41)*VLOOKUP(CK$2,Valores!$H$2:$P$154,8,0)</f>
        <v>100157.260960334</v>
      </c>
      <c r="CL41" s="27" t="n">
        <f aca="false">SUMIF($C$2:$F$2,EOMONTH(CL$2,-1)+1,$C41:$F41)*VLOOKUP(CL$2,Valores!$H$2:$P$154,8,0)</f>
        <v>125196.576200417</v>
      </c>
      <c r="CM41" s="27" t="n">
        <f aca="false">SUMIF($C$2:$F$2,EOMONTH(CM$2,-1)+1,$C41:$F41)*VLOOKUP(CM$2,Valores!$H$2:$P$154,8,0)</f>
        <v>75117.9457202505</v>
      </c>
      <c r="CN41" s="27" t="n">
        <f aca="false">SUMIF($C$2:$F$2,EOMONTH(CN$2,-1)+1,$C41:$F41)*VLOOKUP(CN$2,Valores!$H$2:$P$154,8,0)</f>
        <v>55086.4935281837</v>
      </c>
      <c r="CO41" s="27" t="n">
        <f aca="false">SUMIF($C$2:$F$2,EOMONTH(CO$2,-1)+1,$C41:$F41)*VLOOKUP(CO$2,Valores!$H$2:$P$154,8,0)</f>
        <v>55086.4935281837</v>
      </c>
      <c r="CP41" s="27" t="n">
        <f aca="false">SUMIF($C$2:$F$2,EOMONTH(CP$2,-1)+1,$C41:$F41)*VLOOKUP(CP$2,Valores!$H$2:$P$154,8,0)</f>
        <v>55086.4935281837</v>
      </c>
      <c r="CQ41" s="27" t="n">
        <f aca="false">SUMIF($C$2:$F$2,EOMONTH(CQ$2,-1)+1,$C41:$F41)*VLOOKUP(CQ$2,Valores!$H$2:$P$154,8,0)</f>
        <v>55086.4935281837</v>
      </c>
      <c r="CR41" s="27" t="n">
        <f aca="false">SUMIF($C$2:$F$2,EOMONTH(CR$2,-1)+1,$C41:$F41)*VLOOKUP(CR$2,Valores!$H$2:$P$154,8,0)</f>
        <v>110172.987056367</v>
      </c>
      <c r="CS41" s="27" t="n">
        <f aca="false">SUMIF($C$2:$F$2,EOMONTH(CS$2,-1)+1,$C41:$F41)*VLOOKUP(CS$2,Valores!$H$2:$P$154,8,0)</f>
        <v>165259.480584551</v>
      </c>
      <c r="CT41" s="27" t="e">
        <f aca="false">SUMIF($C$2:$F$2,EOMONTH(CT$2,-1)+1,$C41:$F41)*VLOOKUP(CT$2,Valores!$H$2:$P$154,8,0)</f>
        <v>#VALUE!</v>
      </c>
      <c r="CU41" s="27" t="e">
        <f aca="false">SUMIF($C$2:$F$2,EOMONTH(CU$2,-1)+1,$C41:$F41)*VLOOKUP(CU$2,Valores!$H$2:$P$154,8,0)</f>
        <v>#VALUE!</v>
      </c>
      <c r="CV41" s="27" t="e">
        <f aca="false">SUMIF($C$2:$F$2,EOMONTH(CV$2,-1)+1,$C41:$F41)*VLOOKUP(CV$2,Valores!$H$2:$P$154,8,0)</f>
        <v>#VALUE!</v>
      </c>
      <c r="CW41" s="27" t="e">
        <f aca="false">SUMIF($C$2:$F$2,EOMONTH(CW$2,-1)+1,$C41:$F41)*VLOOKUP(CW$2,Valores!$H$2:$P$154,8,0)</f>
        <v>#VALUE!</v>
      </c>
      <c r="CX41" s="27" t="e">
        <f aca="false">SUMIF($C$2:$F$2,EOMONTH(CX$2,-1)+1,$C41:$F41)*VLOOKUP(CX$2,Valores!$H$2:$P$154,8,0)</f>
        <v>#VALUE!</v>
      </c>
      <c r="CY41" s="27" t="e">
        <f aca="false">SUMIF($C$2:$F$2,EOMONTH(CY$2,-1)+1,$C41:$F41)*VLOOKUP(CY$2,Valores!$H$2:$P$154,8,0)</f>
        <v>#VALUE!</v>
      </c>
      <c r="CZ41" s="27" t="e">
        <f aca="false">SUMIF($C$2:$F$2,EOMONTH(CZ$2,-1)+1,$C41:$F41)*VLOOKUP(CZ$2,Valores!$H$2:$P$154,8,0)</f>
        <v>#VALUE!</v>
      </c>
      <c r="DA41" s="27" t="e">
        <f aca="false">SUMIF($C$2:$F$2,EOMONTH(DA$2,-1)+1,$C41:$F41)*VLOOKUP(DA$2,Valores!$H$2:$P$154,8,0)</f>
        <v>#VALUE!</v>
      </c>
      <c r="DB41" s="27" t="e">
        <f aca="false">SUMIF($C$2:$F$2,EOMONTH(DB$2,-1)+1,$C41:$F41)*VLOOKUP(DB$2,Valores!$H$2:$P$154,8,0)</f>
        <v>#VALUE!</v>
      </c>
      <c r="DC41" s="27" t="e">
        <f aca="false">SUMIF($C$2:$F$2,EOMONTH(DC$2,-1)+1,$C41:$F41)*VLOOKUP(DC$2,Valores!$H$2:$P$154,8,0)</f>
        <v>#VALUE!</v>
      </c>
      <c r="DD41" s="27" t="e">
        <f aca="false">SUMIF($C$2:$F$2,EOMONTH(DD$2,-1)+1,$C41:$F41)*VLOOKUP(DD$2,Valores!$H$2:$P$154,8,0)</f>
        <v>#VALUE!</v>
      </c>
      <c r="DE41" s="27" t="e">
        <f aca="false">SUMIF($C$2:$F$2,EOMONTH(DE$2,-1)+1,$C41:$F41)*VLOOKUP(DE$2,Valores!$H$2:$P$154,8,0)</f>
        <v>#VALUE!</v>
      </c>
      <c r="DF41" s="27" t="e">
        <f aca="false">SUMIF($C$2:$F$2,EOMONTH(DF$2,-1)+1,$C41:$F41)*VLOOKUP(DF$2,Valores!$H$2:$P$154,8,0)</f>
        <v>#VALUE!</v>
      </c>
      <c r="DG41" s="27" t="e">
        <f aca="false">SUMIF($C$2:$F$2,EOMONTH(DG$2,-1)+1,$C41:$F41)*VLOOKUP(DG$2,Valores!$H$2:$P$154,8,0)</f>
        <v>#VALUE!</v>
      </c>
      <c r="DH41" s="27" t="e">
        <f aca="false">SUMIF($C$2:$F$2,EOMONTH(DH$2,-1)+1,$C41:$F41)*VLOOKUP(DH$2,Valores!$H$2:$P$154,8,0)</f>
        <v>#VALUE!</v>
      </c>
      <c r="DI41" s="27" t="e">
        <f aca="false">SUMIF($C$2:$F$2,EOMONTH(DI$2,-1)+1,$C41:$F41)*VLOOKUP(DI$2,Valores!$H$2:$P$154,8,0)</f>
        <v>#VALUE!</v>
      </c>
      <c r="DJ41" s="27" t="e">
        <f aca="false">SUMIF($C$2:$F$2,EOMONTH(DJ$2,-1)+1,$C41:$F41)*VLOOKUP(DJ$2,Valores!$H$2:$P$154,8,0)</f>
        <v>#VALUE!</v>
      </c>
      <c r="DK41" s="27" t="e">
        <f aca="false">SUMIF($C$2:$F$2,EOMONTH(DK$2,-1)+1,$C41:$F41)*VLOOKUP(DK$2,Valores!$H$2:$P$154,8,0)</f>
        <v>#VALUE!</v>
      </c>
      <c r="DL41" s="27" t="e">
        <f aca="false">SUMIF($C$2:$F$2,EOMONTH(DL$2,-1)+1,$C41:$F41)*VLOOKUP(DL$2,Valores!$H$2:$P$154,8,0)</f>
        <v>#VALUE!</v>
      </c>
      <c r="DM41" s="27" t="e">
        <f aca="false">SUMIF($C$2:$F$2,EOMONTH(DM$2,-1)+1,$C41:$F41)*VLOOKUP(DM$2,Valores!$H$2:$P$154,8,0)</f>
        <v>#VALUE!</v>
      </c>
      <c r="DN41" s="27" t="e">
        <f aca="false">SUMIF($C$2:$F$2,EOMONTH(DN$2,-1)+1,$C41:$F41)*VLOOKUP(DN$2,Valores!$H$2:$P$154,8,0)</f>
        <v>#VALUE!</v>
      </c>
      <c r="DO41" s="27" t="e">
        <f aca="false">SUMIF($C$2:$F$2,EOMONTH(DO$2,-1)+1,$C41:$F41)*VLOOKUP(DO$2,Valores!$H$2:$P$154,8,0)</f>
        <v>#VALUE!</v>
      </c>
      <c r="DP41" s="27" t="e">
        <f aca="false">SUMIF($C$2:$F$2,EOMONTH(DP$2,-1)+1,$C41:$F41)*VLOOKUP(DP$2,Valores!$H$2:$P$154,8,0)</f>
        <v>#VALUE!</v>
      </c>
      <c r="DQ41" s="27" t="e">
        <f aca="false">SUMIF($C$2:$F$2,EOMONTH(DQ$2,-1)+1,$C41:$F41)*VLOOKUP(DQ$2,Valores!$H$2:$P$154,8,0)</f>
        <v>#VALUE!</v>
      </c>
      <c r="DR41" s="27" t="e">
        <f aca="false">SUMIF($C$2:$F$2,EOMONTH(DR$2,-1)+1,$C41:$F41)*VLOOKUP(DR$2,Valores!$H$2:$P$154,8,0)</f>
        <v>#VALUE!</v>
      </c>
      <c r="DS41" s="27" t="e">
        <f aca="false">SUMIF($C$2:$F$2,EOMONTH(DS$2,-1)+1,$C41:$F41)*VLOOKUP(DS$2,Valores!$H$2:$P$154,8,0)</f>
        <v>#VALUE!</v>
      </c>
      <c r="DT41" s="27" t="e">
        <f aca="false">SUMIF($C$2:$F$2,EOMONTH(DT$2,-1)+1,$C41:$F41)*VLOOKUP(DT$2,Valores!$H$2:$P$154,8,0)</f>
        <v>#VALUE!</v>
      </c>
      <c r="DU41" s="27" t="e">
        <f aca="false">SUMIF($C$2:$F$2,EOMONTH(DU$2,-1)+1,$C41:$F41)*VLOOKUP(DU$2,Valores!$H$2:$P$154,8,0)</f>
        <v>#VALUE!</v>
      </c>
      <c r="DV41" s="27" t="e">
        <f aca="false">SUMIF($C$2:$F$2,EOMONTH(DV$2,-1)+1,$C41:$F41)*VLOOKUP(DV$2,Valores!$H$2:$P$154,8,0)</f>
        <v>#VALUE!</v>
      </c>
      <c r="DW41" s="27" t="e">
        <f aca="false">SUMIF($C$2:$F$2,EOMONTH(DW$2,-1)+1,$C41:$F41)*VLOOKUP(DW$2,Valores!$H$2:$P$154,8,0)</f>
        <v>#VALUE!</v>
      </c>
      <c r="DX41" s="27" t="e">
        <f aca="false">SUMIF($C$2:$F$2,EOMONTH(DX$2,-1)+1,$C41:$F41)*VLOOKUP(DX$2,Valores!$H$2:$P$154,8,0)</f>
        <v>#VALUE!</v>
      </c>
    </row>
    <row r="42" customFormat="false" ht="13.8" hidden="false" customHeight="false" outlineLevel="0" collapsed="false">
      <c r="A42" s="29" t="s">
        <v>54</v>
      </c>
      <c r="B42" s="29" t="s">
        <v>64</v>
      </c>
      <c r="C42" s="29" t="n">
        <v>2811999</v>
      </c>
      <c r="D42" s="29" t="n">
        <v>2530799.1</v>
      </c>
      <c r="E42" s="29" t="n">
        <v>2277719.19</v>
      </c>
      <c r="F42" s="29" t="n">
        <v>2049947.271</v>
      </c>
      <c r="G42" s="30" t="n">
        <f aca="false">SUMIF($C$2:$F$2,EOMONTH(G$2,-1)+1,$C42:$F42)*VLOOKUP(G$2,Valores!$H$2:$P$154,8,0)</f>
        <v>80977.427184466</v>
      </c>
      <c r="H42" s="30" t="n">
        <f aca="false">SUMIF($C$2:$F$2,EOMONTH(H$2,-1)+1,$C42:$F42)*VLOOKUP(H$2,Valores!$H$2:$P$154,8,0)</f>
        <v>55527.3786407767</v>
      </c>
      <c r="I42" s="30" t="n">
        <f aca="false">SUMIF($C$2:$F$2,EOMONTH(I$2,-1)+1,$C42:$F42)*VLOOKUP(I$2,Valores!$H$2:$P$154,8,0)</f>
        <v>55527.3786407767</v>
      </c>
      <c r="J42" s="30" t="n">
        <f aca="false">SUMIF($C$2:$F$2,EOMONTH(J$2,-1)+1,$C42:$F42)*VLOOKUP(J$2,Valores!$H$2:$P$154,8,0)</f>
        <v>55527.3786407767</v>
      </c>
      <c r="K42" s="30" t="n">
        <f aca="false">SUMIF($C$2:$F$2,EOMONTH(K$2,-1)+1,$C42:$F42)*VLOOKUP(K$2,Valores!$H$2:$P$154,8,0)</f>
        <v>55527.3786407767</v>
      </c>
      <c r="L42" s="30" t="n">
        <f aca="false">SUMIF($C$2:$F$2,EOMONTH(L$2,-1)+1,$C42:$F42)*VLOOKUP(L$2,Valores!$H$2:$P$154,8,0)</f>
        <v>111054.757281553</v>
      </c>
      <c r="M42" s="30" t="n">
        <f aca="false">SUMIF($C$2:$F$2,EOMONTH(M$2,-1)+1,$C42:$F42)*VLOOKUP(M$2,Valores!$H$2:$P$154,8,0)</f>
        <v>138818.446601942</v>
      </c>
      <c r="N42" s="30" t="n">
        <f aca="false">SUMIF($C$2:$F$2,EOMONTH(N$2,-1)+1,$C42:$F42)*VLOOKUP(N$2,Valores!$H$2:$P$154,8,0)</f>
        <v>83291.067961165</v>
      </c>
      <c r="O42" s="30" t="n">
        <f aca="false">SUMIF($C$2:$F$2,EOMONTH(O$2,-1)+1,$C42:$F42)*VLOOKUP(O$2,Valores!$H$2:$P$154,8,0)</f>
        <v>74036.5048543689</v>
      </c>
      <c r="P42" s="30" t="n">
        <f aca="false">SUMIF($C$2:$F$2,EOMONTH(P$2,-1)+1,$C42:$F42)*VLOOKUP(P$2,Valores!$H$2:$P$154,8,0)</f>
        <v>74036.5048543689</v>
      </c>
      <c r="Q42" s="30" t="n">
        <f aca="false">SUMIF($C$2:$F$2,EOMONTH(Q$2,-1)+1,$C42:$F42)*VLOOKUP(Q$2,Valores!$H$2:$P$154,8,0)</f>
        <v>44421.9029126213</v>
      </c>
      <c r="R42" s="30" t="n">
        <f aca="false">SUMIF($C$2:$F$2,EOMONTH(R$2,-1)+1,$C42:$F42)*VLOOKUP(R$2,Valores!$H$2:$P$154,8,0)</f>
        <v>74036.5048543689</v>
      </c>
      <c r="S42" s="30" t="n">
        <f aca="false">SUMIF($C$2:$F$2,EOMONTH(S$2,-1)+1,$C42:$F42)*VLOOKUP(S$2,Valores!$H$2:$P$154,8,0)</f>
        <v>148073.009708738</v>
      </c>
      <c r="T42" s="30" t="n">
        <f aca="false">SUMIF($C$2:$F$2,EOMONTH(T$2,-1)+1,$C42:$F42)*VLOOKUP(T$2,Valores!$H$2:$P$154,8,0)</f>
        <v>185091.262135922</v>
      </c>
      <c r="U42" s="30" t="n">
        <f aca="false">SUMIF($C$2:$F$2,EOMONTH(U$2,-1)+1,$C42:$F42)*VLOOKUP(U$2,Valores!$H$2:$P$154,8,0)</f>
        <v>111054.757281553</v>
      </c>
      <c r="V42" s="30" t="n">
        <f aca="false">SUMIF($C$2:$F$2,EOMONTH(V$2,-1)+1,$C42:$F42)*VLOOKUP(V$2,Valores!$H$2:$P$154,8,0)</f>
        <v>92545.6310679612</v>
      </c>
      <c r="W42" s="30" t="n">
        <f aca="false">SUMIF($C$2:$F$2,EOMONTH(W$2,-1)+1,$C42:$F42)*VLOOKUP(W$2,Valores!$H$2:$P$154,8,0)</f>
        <v>92545.6310679612</v>
      </c>
      <c r="X42" s="30" t="n">
        <f aca="false">SUMIF($C$2:$F$2,EOMONTH(X$2,-1)+1,$C42:$F42)*VLOOKUP(X$2,Valores!$H$2:$P$154,8,0)</f>
        <v>0</v>
      </c>
      <c r="Y42" s="30" t="n">
        <f aca="false">SUMIF($C$2:$F$2,EOMONTH(Y$2,-1)+1,$C42:$F42)*VLOOKUP(Y$2,Valores!$H$2:$P$154,8,0)</f>
        <v>0</v>
      </c>
      <c r="Z42" s="30" t="n">
        <f aca="false">SUMIF($C$2:$F$2,EOMONTH(Z$2,-1)+1,$C42:$F42)*VLOOKUP(Z$2,Valores!$H$2:$P$154,8,0)</f>
        <v>138818.446601942</v>
      </c>
      <c r="AA42" s="30" t="n">
        <f aca="false">SUMIF($C$2:$F$2,EOMONTH(AA$2,-1)+1,$C42:$F42)*VLOOKUP(AA$2,Valores!$H$2:$P$154,8,0)</f>
        <v>166582.13592233</v>
      </c>
      <c r="AB42" s="30" t="n">
        <f aca="false">SUMIF($C$2:$F$2,EOMONTH(AB$2,-1)+1,$C42:$F42)*VLOOKUP(AB$2,Valores!$H$2:$P$154,8,0)</f>
        <v>83291.067961165</v>
      </c>
      <c r="AC42" s="30" t="n">
        <f aca="false">SUMIF($C$2:$F$2,EOMONTH(AC$2,-1)+1,$C42:$F42)*VLOOKUP(AC$2,Valores!$H$2:$P$154,8,0)</f>
        <v>101800.194174757</v>
      </c>
      <c r="AD42" s="30" t="n">
        <f aca="false">SUMIF($C$2:$F$2,EOMONTH(AD$2,-1)+1,$C42:$F42)*VLOOKUP(AD$2,Valores!$H$2:$P$154,8,0)</f>
        <v>101800.194174757</v>
      </c>
      <c r="AE42" s="30" t="n">
        <f aca="false">SUMIF($C$2:$F$2,EOMONTH(AE$2,-1)+1,$C42:$F42)*VLOOKUP(AE$2,Valores!$H$2:$P$154,8,0)</f>
        <v>101800.194174757</v>
      </c>
      <c r="AF42" s="30" t="n">
        <f aca="false">SUMIF($C$2:$F$2,EOMONTH(AF$2,-1)+1,$C42:$F42)*VLOOKUP(AF$2,Valores!$H$2:$P$154,8,0)</f>
        <v>101800.194174757</v>
      </c>
      <c r="AG42" s="30" t="n">
        <f aca="false">SUMIF($C$2:$F$2,EOMONTH(AG$2,-1)+1,$C42:$F42)*VLOOKUP(AG$2,Valores!$H$2:$P$154,8,0)</f>
        <v>162880.310679612</v>
      </c>
      <c r="AH42" s="30" t="n">
        <f aca="false">SUMIF($C$2:$F$2,EOMONTH(AH$2,-1)+1,$C42:$F42)*VLOOKUP(AH$2,Valores!$H$2:$P$154,8,0)</f>
        <v>203600.388349515</v>
      </c>
      <c r="AI42" s="30" t="n">
        <f aca="false">SUMIF($C$2:$F$2,EOMONTH(AI$2,-1)+1,$C42:$F42)*VLOOKUP(AI$2,Valores!$H$2:$P$154,8,0)</f>
        <v>71260.1359223301</v>
      </c>
      <c r="AJ42" s="30" t="n">
        <f aca="false">SUMIF($C$2:$F$2,EOMONTH(AJ$2,-1)+1,$C42:$F42)*VLOOKUP(AJ$2,Valores!$H$2:$P$154,8,0)</f>
        <v>46272.8155339806</v>
      </c>
      <c r="AK42" s="30" t="n">
        <f aca="false">SUMIF($C$2:$F$2,EOMONTH(AK$2,-1)+1,$C42:$F42)*VLOOKUP(AK$2,Valores!$H$2:$P$154,8,0)</f>
        <v>84382.0700659697</v>
      </c>
      <c r="AL42" s="30" t="n">
        <f aca="false">SUMIF($C$2:$F$2,EOMONTH(AL$2,-1)+1,$C42:$F42)*VLOOKUP(AL$2,Valores!$H$2:$P$154,8,0)</f>
        <v>84382.0700659697</v>
      </c>
      <c r="AM42" s="30" t="n">
        <f aca="false">SUMIF($C$2:$F$2,EOMONTH(AM$2,-1)+1,$C42:$F42)*VLOOKUP(AM$2,Valores!$H$2:$P$154,8,0)</f>
        <v>84382.0700659697</v>
      </c>
      <c r="AN42" s="30" t="n">
        <f aca="false">SUMIF($C$2:$F$2,EOMONTH(AN$2,-1)+1,$C42:$F42)*VLOOKUP(AN$2,Valores!$H$2:$P$154,8,0)</f>
        <v>168764.140131939</v>
      </c>
      <c r="AO42" s="30" t="n">
        <f aca="false">SUMIF($C$2:$F$2,EOMONTH(AO$2,-1)+1,$C42:$F42)*VLOOKUP(AO$2,Valores!$H$2:$P$154,8,0)</f>
        <v>210955.175164924</v>
      </c>
      <c r="AP42" s="30" t="n">
        <f aca="false">SUMIF($C$2:$F$2,EOMONTH(AP$2,-1)+1,$C42:$F42)*VLOOKUP(AP$2,Valores!$H$2:$P$154,8,0)</f>
        <v>126573.105098954</v>
      </c>
      <c r="AQ42" s="30" t="n">
        <f aca="false">SUMIF($C$2:$F$2,EOMONTH(AQ$2,-1)+1,$C42:$F42)*VLOOKUP(AQ$2,Valores!$H$2:$P$154,8,0)</f>
        <v>45204.6803924837</v>
      </c>
      <c r="AR42" s="30" t="n">
        <f aca="false">SUMIF($C$2:$F$2,EOMONTH(AR$2,-1)+1,$C42:$F42)*VLOOKUP(AR$2,Valores!$H$2:$P$154,8,0)</f>
        <v>45204.6803924837</v>
      </c>
      <c r="AS42" s="30" t="n">
        <f aca="false">SUMIF($C$2:$F$2,EOMONTH(AS$2,-1)+1,$C42:$F42)*VLOOKUP(AS$2,Valores!$H$2:$P$154,8,0)</f>
        <v>45204.6803924837</v>
      </c>
      <c r="AT42" s="30" t="n">
        <f aca="false">SUMIF($C$2:$F$2,EOMONTH(AT$2,-1)+1,$C42:$F42)*VLOOKUP(AT$2,Valores!$H$2:$P$154,8,0)</f>
        <v>45204.6803924837</v>
      </c>
      <c r="AU42" s="30" t="n">
        <f aca="false">SUMIF($C$2:$F$2,EOMONTH(AU$2,-1)+1,$C42:$F42)*VLOOKUP(AU$2,Valores!$H$2:$P$154,8,0)</f>
        <v>90409.3607849675</v>
      </c>
      <c r="AV42" s="30" t="n">
        <f aca="false">SUMIF($C$2:$F$2,EOMONTH(AV$2,-1)+1,$C42:$F42)*VLOOKUP(AV$2,Valores!$H$2:$P$154,8,0)</f>
        <v>113011.700981209</v>
      </c>
      <c r="AW42" s="30" t="n">
        <f aca="false">SUMIF($C$2:$F$2,EOMONTH(AW$2,-1)+1,$C42:$F42)*VLOOKUP(AW$2,Valores!$H$2:$P$154,8,0)</f>
        <v>67807.0205887256</v>
      </c>
      <c r="AX42" s="30" t="n">
        <f aca="false">SUMIF($C$2:$F$2,EOMONTH(AX$2,-1)+1,$C42:$F42)*VLOOKUP(AX$2,Valores!$H$2:$P$154,8,0)</f>
        <v>45204.6803924837</v>
      </c>
      <c r="AY42" s="30" t="n">
        <f aca="false">SUMIF($C$2:$F$2,EOMONTH(AY$2,-1)+1,$C42:$F42)*VLOOKUP(AY$2,Valores!$H$2:$P$154,8,0)</f>
        <v>58766.0845102289</v>
      </c>
      <c r="AZ42" s="30" t="n">
        <f aca="false">SUMIF($C$2:$F$2,EOMONTH(AZ$2,-1)+1,$C42:$F42)*VLOOKUP(AZ$2,Valores!$H$2:$P$154,8,0)</f>
        <v>58766.0845102289</v>
      </c>
      <c r="BA42" s="30" t="n">
        <f aca="false">SUMIF($C$2:$F$2,EOMONTH(BA$2,-1)+1,$C42:$F42)*VLOOKUP(BA$2,Valores!$H$2:$P$154,8,0)</f>
        <v>58766.0845102289</v>
      </c>
      <c r="BB42" s="30" t="n">
        <f aca="false">SUMIF($C$2:$F$2,EOMONTH(BB$2,-1)+1,$C42:$F42)*VLOOKUP(BB$2,Valores!$H$2:$P$154,8,0)</f>
        <v>103970.764902713</v>
      </c>
      <c r="BC42" s="30" t="n">
        <f aca="false">SUMIF($C$2:$F$2,EOMONTH(BC$2,-1)+1,$C42:$F42)*VLOOKUP(BC$2,Valores!$H$2:$P$154,8,0)</f>
        <v>126573.105098954</v>
      </c>
      <c r="BD42" s="30" t="n">
        <f aca="false">SUMIF($C$2:$F$2,EOMONTH(BD$2,-1)+1,$C42:$F42)*VLOOKUP(BD$2,Valores!$H$2:$P$154,8,0)</f>
        <v>67807.0205887256</v>
      </c>
      <c r="BE42" s="30" t="n">
        <f aca="false">SUMIF($C$2:$F$2,EOMONTH(BE$2,-1)+1,$C42:$F42)*VLOOKUP(BE$2,Valores!$H$2:$P$154,8,0)</f>
        <v>60272.9071899783</v>
      </c>
      <c r="BF42" s="30" t="n">
        <f aca="false">SUMIF($C$2:$F$2,EOMONTH(BF$2,-1)+1,$C42:$F42)*VLOOKUP(BF$2,Valores!$H$2:$P$154,8,0)</f>
        <v>60272.9071899783</v>
      </c>
      <c r="BG42" s="30" t="n">
        <f aca="false">SUMIF($C$2:$F$2,EOMONTH(BG$2,-1)+1,$C42:$F42)*VLOOKUP(BG$2,Valores!$H$2:$P$154,8,0)</f>
        <v>60272.9071899783</v>
      </c>
      <c r="BH42" s="30" t="n">
        <f aca="false">SUMIF($C$2:$F$2,EOMONTH(BH$2,-1)+1,$C42:$F42)*VLOOKUP(BH$2,Valores!$H$2:$P$154,8,0)</f>
        <v>60272.9071899783</v>
      </c>
      <c r="BI42" s="30" t="n">
        <f aca="false">SUMIF($C$2:$F$2,EOMONTH(BI$2,-1)+1,$C42:$F42)*VLOOKUP(BI$2,Valores!$H$2:$P$154,8,0)</f>
        <v>120545.814379957</v>
      </c>
      <c r="BJ42" s="30" t="n">
        <f aca="false">SUMIF($C$2:$F$2,EOMONTH(BJ$2,-1)+1,$C42:$F42)*VLOOKUP(BJ$2,Valores!$H$2:$P$154,8,0)</f>
        <v>150682.267974946</v>
      </c>
      <c r="BK42" s="30" t="n">
        <f aca="false">SUMIF($C$2:$F$2,EOMONTH(BK$2,-1)+1,$C42:$F42)*VLOOKUP(BK$2,Valores!$H$2:$P$154,8,0)</f>
        <v>72327.488627974</v>
      </c>
      <c r="BL42" s="30" t="n">
        <f aca="false">SUMIF($C$2:$F$2,EOMONTH(BL$2,-1)+1,$C42:$F42)*VLOOKUP(BL$2,Valores!$H$2:$P$154,8,0)</f>
        <v>53040.1583271809</v>
      </c>
      <c r="BM42" s="30" t="n">
        <f aca="false">SUMIF($C$2:$F$2,EOMONTH(BM$2,-1)+1,$C42:$F42)*VLOOKUP(BM$2,Valores!$H$2:$P$154,8,0)</f>
        <v>53040.1583271809</v>
      </c>
      <c r="BN42" s="30" t="n">
        <f aca="false">SUMIF($C$2:$F$2,EOMONTH(BN$2,-1)+1,$C42:$F42)*VLOOKUP(BN$2,Valores!$H$2:$P$154,8,0)</f>
        <v>53040.1583271809</v>
      </c>
      <c r="BO42" s="30" t="n">
        <f aca="false">SUMIF($C$2:$F$2,EOMONTH(BO$2,-1)+1,$C42:$F42)*VLOOKUP(BO$2,Valores!$H$2:$P$154,8,0)</f>
        <v>55692.16624354</v>
      </c>
      <c r="BP42" s="30" t="n">
        <f aca="false">SUMIF($C$2:$F$2,EOMONTH(BP$2,-1)+1,$C42:$F42)*VLOOKUP(BP$2,Valores!$H$2:$P$154,8,0)</f>
        <v>140151.933457862</v>
      </c>
      <c r="BQ42" s="30" t="n">
        <f aca="false">SUMIF($C$2:$F$2,EOMONTH(BQ$2,-1)+1,$C42:$F42)*VLOOKUP(BQ$2,Valores!$H$2:$P$154,8,0)</f>
        <v>175189.916822327</v>
      </c>
      <c r="BR42" s="30" t="n">
        <f aca="false">SUMIF($C$2:$F$2,EOMONTH(BR$2,-1)+1,$C42:$F42)*VLOOKUP(BR$2,Valores!$H$2:$P$154,8,0)</f>
        <v>84091.160074717</v>
      </c>
      <c r="BS42" s="30" t="n">
        <f aca="false">SUMIF($C$2:$F$2,EOMONTH(BS$2,-1)+1,$C42:$F42)*VLOOKUP(BS$2,Valores!$H$2:$P$154,8,0)</f>
        <v>37540.6964619272</v>
      </c>
      <c r="BT42" s="30" t="n">
        <f aca="false">SUMIF($C$2:$F$2,EOMONTH(BT$2,-1)+1,$C42:$F42)*VLOOKUP(BT$2,Valores!$H$2:$P$154,8,0)</f>
        <v>37540.6964619272</v>
      </c>
      <c r="BU42" s="30" t="n">
        <f aca="false">SUMIF($C$2:$F$2,EOMONTH(BU$2,-1)+1,$C42:$F42)*VLOOKUP(BU$2,Valores!$H$2:$P$154,8,0)</f>
        <v>37540.6964619272</v>
      </c>
      <c r="BV42" s="30" t="n">
        <f aca="false">SUMIF($C$2:$F$2,EOMONTH(BV$2,-1)+1,$C42:$F42)*VLOOKUP(BV$2,Valores!$H$2:$P$154,8,0)</f>
        <v>37540.6964619272</v>
      </c>
      <c r="BW42" s="30" t="n">
        <f aca="false">SUMIF($C$2:$F$2,EOMONTH(BW$2,-1)+1,$C42:$F42)*VLOOKUP(BW$2,Valores!$H$2:$P$154,8,0)</f>
        <v>75081.3929238545</v>
      </c>
      <c r="BX42" s="30" t="n">
        <f aca="false">SUMIF($C$2:$F$2,EOMONTH(BX$2,-1)+1,$C42:$F42)*VLOOKUP(BX$2,Valores!$H$2:$P$154,8,0)</f>
        <v>93851.7411548181</v>
      </c>
      <c r="BY42" s="30" t="n">
        <f aca="false">SUMIF($C$2:$F$2,EOMONTH(BY$2,-1)+1,$C42:$F42)*VLOOKUP(BY$2,Valores!$H$2:$P$154,8,0)</f>
        <v>56311.0446928909</v>
      </c>
      <c r="BZ42" s="30" t="n">
        <f aca="false">SUMIF($C$2:$F$2,EOMONTH(BZ$2,-1)+1,$C42:$F42)*VLOOKUP(BZ$2,Valores!$H$2:$P$154,8,0)</f>
        <v>37540.6964619272</v>
      </c>
      <c r="CA42" s="30" t="n">
        <f aca="false">SUMIF($C$2:$F$2,EOMONTH(CA$2,-1)+1,$C42:$F42)*VLOOKUP(CA$2,Valores!$H$2:$P$154,8,0)</f>
        <v>37540.6964619272</v>
      </c>
      <c r="CB42" s="30" t="n">
        <f aca="false">SUMIF($C$2:$F$2,EOMONTH(CB$2,-1)+1,$C42:$F42)*VLOOKUP(CB$2,Valores!$H$2:$P$154,8,0)</f>
        <v>37540.6964619272</v>
      </c>
      <c r="CC42" s="30" t="n">
        <f aca="false">SUMIF($C$2:$F$2,EOMONTH(CC$2,-1)+1,$C42:$F42)*VLOOKUP(CC$2,Valores!$H$2:$P$154,8,0)</f>
        <v>37540.6964619272</v>
      </c>
      <c r="CD42" s="30" t="n">
        <f aca="false">SUMIF($C$2:$F$2,EOMONTH(CD$2,-1)+1,$C42:$F42)*VLOOKUP(CD$2,Valores!$H$2:$P$154,8,0)</f>
        <v>112622.089385782</v>
      </c>
      <c r="CE42" s="30" t="n">
        <f aca="false">SUMIF($C$2:$F$2,EOMONTH(CE$2,-1)+1,$C42:$F42)*VLOOKUP(CE$2,Valores!$H$2:$P$154,8,0)</f>
        <v>150162.785847709</v>
      </c>
      <c r="CF42" s="30" t="n">
        <f aca="false">SUMIF($C$2:$F$2,EOMONTH(CF$2,-1)+1,$C42:$F42)*VLOOKUP(CF$2,Valores!$H$2:$P$154,8,0)</f>
        <v>93851.7411548181</v>
      </c>
      <c r="CG42" s="30" t="n">
        <f aca="false">SUMIF($C$2:$F$2,EOMONTH(CG$2,-1)+1,$C42:$F42)*VLOOKUP(CG$2,Valores!$H$2:$P$154,8,0)</f>
        <v>50054.2619492363</v>
      </c>
      <c r="CH42" s="30" t="n">
        <f aca="false">SUMIF($C$2:$F$2,EOMONTH(CH$2,-1)+1,$C42:$F42)*VLOOKUP(CH$2,Valores!$H$2:$P$154,8,0)</f>
        <v>50054.2619492363</v>
      </c>
      <c r="CI42" s="30" t="n">
        <f aca="false">SUMIF($C$2:$F$2,EOMONTH(CI$2,-1)+1,$C42:$F42)*VLOOKUP(CI$2,Valores!$H$2:$P$154,8,0)</f>
        <v>50054.2619492363</v>
      </c>
      <c r="CJ42" s="30" t="n">
        <f aca="false">SUMIF($C$2:$F$2,EOMONTH(CJ$2,-1)+1,$C42:$F42)*VLOOKUP(CJ$2,Valores!$H$2:$P$154,8,0)</f>
        <v>50054.2619492363</v>
      </c>
      <c r="CK42" s="30" t="n">
        <f aca="false">SUMIF($C$2:$F$2,EOMONTH(CK$2,-1)+1,$C42:$F42)*VLOOKUP(CK$2,Valores!$H$2:$P$154,8,0)</f>
        <v>100108.523898473</v>
      </c>
      <c r="CL42" s="30" t="n">
        <f aca="false">SUMIF($C$2:$F$2,EOMONTH(CL$2,-1)+1,$C42:$F42)*VLOOKUP(CL$2,Valores!$H$2:$P$154,8,0)</f>
        <v>125135.654873091</v>
      </c>
      <c r="CM42" s="30" t="n">
        <f aca="false">SUMIF($C$2:$F$2,EOMONTH(CM$2,-1)+1,$C42:$F42)*VLOOKUP(CM$2,Valores!$H$2:$P$154,8,0)</f>
        <v>75081.3929238545</v>
      </c>
      <c r="CN42" s="30" t="n">
        <f aca="false">SUMIF($C$2:$F$2,EOMONTH(CN$2,-1)+1,$C42:$F42)*VLOOKUP(CN$2,Valores!$H$2:$P$154,8,0)</f>
        <v>55059.68814416</v>
      </c>
      <c r="CO42" s="30" t="n">
        <f aca="false">SUMIF($C$2:$F$2,EOMONTH(CO$2,-1)+1,$C42:$F42)*VLOOKUP(CO$2,Valores!$H$2:$P$154,8,0)</f>
        <v>55059.68814416</v>
      </c>
      <c r="CP42" s="30" t="n">
        <f aca="false">SUMIF($C$2:$F$2,EOMONTH(CP$2,-1)+1,$C42:$F42)*VLOOKUP(CP$2,Valores!$H$2:$P$154,8,0)</f>
        <v>55059.68814416</v>
      </c>
      <c r="CQ42" s="30" t="n">
        <f aca="false">SUMIF($C$2:$F$2,EOMONTH(CQ$2,-1)+1,$C42:$F42)*VLOOKUP(CQ$2,Valores!$H$2:$P$154,8,0)</f>
        <v>55059.68814416</v>
      </c>
      <c r="CR42" s="30" t="n">
        <f aca="false">SUMIF($C$2:$F$2,EOMONTH(CR$2,-1)+1,$C42:$F42)*VLOOKUP(CR$2,Valores!$H$2:$P$154,8,0)</f>
        <v>110119.37628832</v>
      </c>
      <c r="CS42" s="30" t="n">
        <f aca="false">SUMIF($C$2:$F$2,EOMONTH(CS$2,-1)+1,$C42:$F42)*VLOOKUP(CS$2,Valores!$H$2:$P$154,8,0)</f>
        <v>165179.06443248</v>
      </c>
      <c r="CT42" s="30" t="e">
        <f aca="false">SUMIF($C$2:$F$2,EOMONTH(CT$2,-1)+1,$C42:$F42)*VLOOKUP(CT$2,Valores!$H$2:$P$154,8,0)</f>
        <v>#VALUE!</v>
      </c>
      <c r="CU42" s="30" t="e">
        <f aca="false">SUMIF($C$2:$F$2,EOMONTH(CU$2,-1)+1,$C42:$F42)*VLOOKUP(CU$2,Valores!$H$2:$P$154,8,0)</f>
        <v>#VALUE!</v>
      </c>
      <c r="CV42" s="30" t="e">
        <f aca="false">SUMIF($C$2:$F$2,EOMONTH(CV$2,-1)+1,$C42:$F42)*VLOOKUP(CV$2,Valores!$H$2:$P$154,8,0)</f>
        <v>#VALUE!</v>
      </c>
      <c r="CW42" s="30" t="e">
        <f aca="false">SUMIF($C$2:$F$2,EOMONTH(CW$2,-1)+1,$C42:$F42)*VLOOKUP(CW$2,Valores!$H$2:$P$154,8,0)</f>
        <v>#VALUE!</v>
      </c>
      <c r="CX42" s="30" t="e">
        <f aca="false">SUMIF($C$2:$F$2,EOMONTH(CX$2,-1)+1,$C42:$F42)*VLOOKUP(CX$2,Valores!$H$2:$P$154,8,0)</f>
        <v>#VALUE!</v>
      </c>
      <c r="CY42" s="30" t="e">
        <f aca="false">SUMIF($C$2:$F$2,EOMONTH(CY$2,-1)+1,$C42:$F42)*VLOOKUP(CY$2,Valores!$H$2:$P$154,8,0)</f>
        <v>#VALUE!</v>
      </c>
      <c r="CZ42" s="30" t="e">
        <f aca="false">SUMIF($C$2:$F$2,EOMONTH(CZ$2,-1)+1,$C42:$F42)*VLOOKUP(CZ$2,Valores!$H$2:$P$154,8,0)</f>
        <v>#VALUE!</v>
      </c>
      <c r="DA42" s="30" t="e">
        <f aca="false">SUMIF($C$2:$F$2,EOMONTH(DA$2,-1)+1,$C42:$F42)*VLOOKUP(DA$2,Valores!$H$2:$P$154,8,0)</f>
        <v>#VALUE!</v>
      </c>
      <c r="DB42" s="30" t="e">
        <f aca="false">SUMIF($C$2:$F$2,EOMONTH(DB$2,-1)+1,$C42:$F42)*VLOOKUP(DB$2,Valores!$H$2:$P$154,8,0)</f>
        <v>#VALUE!</v>
      </c>
      <c r="DC42" s="30" t="e">
        <f aca="false">SUMIF($C$2:$F$2,EOMONTH(DC$2,-1)+1,$C42:$F42)*VLOOKUP(DC$2,Valores!$H$2:$P$154,8,0)</f>
        <v>#VALUE!</v>
      </c>
      <c r="DD42" s="30" t="e">
        <f aca="false">SUMIF($C$2:$F$2,EOMONTH(DD$2,-1)+1,$C42:$F42)*VLOOKUP(DD$2,Valores!$H$2:$P$154,8,0)</f>
        <v>#VALUE!</v>
      </c>
      <c r="DE42" s="30" t="e">
        <f aca="false">SUMIF($C$2:$F$2,EOMONTH(DE$2,-1)+1,$C42:$F42)*VLOOKUP(DE$2,Valores!$H$2:$P$154,8,0)</f>
        <v>#VALUE!</v>
      </c>
      <c r="DF42" s="30" t="e">
        <f aca="false">SUMIF($C$2:$F$2,EOMONTH(DF$2,-1)+1,$C42:$F42)*VLOOKUP(DF$2,Valores!$H$2:$P$154,8,0)</f>
        <v>#VALUE!</v>
      </c>
      <c r="DG42" s="30" t="e">
        <f aca="false">SUMIF($C$2:$F$2,EOMONTH(DG$2,-1)+1,$C42:$F42)*VLOOKUP(DG$2,Valores!$H$2:$P$154,8,0)</f>
        <v>#VALUE!</v>
      </c>
      <c r="DH42" s="30" t="e">
        <f aca="false">SUMIF($C$2:$F$2,EOMONTH(DH$2,-1)+1,$C42:$F42)*VLOOKUP(DH$2,Valores!$H$2:$P$154,8,0)</f>
        <v>#VALUE!</v>
      </c>
      <c r="DI42" s="30" t="e">
        <f aca="false">SUMIF($C$2:$F$2,EOMONTH(DI$2,-1)+1,$C42:$F42)*VLOOKUP(DI$2,Valores!$H$2:$P$154,8,0)</f>
        <v>#VALUE!</v>
      </c>
      <c r="DJ42" s="30" t="e">
        <f aca="false">SUMIF($C$2:$F$2,EOMONTH(DJ$2,-1)+1,$C42:$F42)*VLOOKUP(DJ$2,Valores!$H$2:$P$154,8,0)</f>
        <v>#VALUE!</v>
      </c>
      <c r="DK42" s="30" t="e">
        <f aca="false">SUMIF($C$2:$F$2,EOMONTH(DK$2,-1)+1,$C42:$F42)*VLOOKUP(DK$2,Valores!$H$2:$P$154,8,0)</f>
        <v>#VALUE!</v>
      </c>
      <c r="DL42" s="30" t="e">
        <f aca="false">SUMIF($C$2:$F$2,EOMONTH(DL$2,-1)+1,$C42:$F42)*VLOOKUP(DL$2,Valores!$H$2:$P$154,8,0)</f>
        <v>#VALUE!</v>
      </c>
      <c r="DM42" s="30" t="e">
        <f aca="false">SUMIF($C$2:$F$2,EOMONTH(DM$2,-1)+1,$C42:$F42)*VLOOKUP(DM$2,Valores!$H$2:$P$154,8,0)</f>
        <v>#VALUE!</v>
      </c>
      <c r="DN42" s="30" t="e">
        <f aca="false">SUMIF($C$2:$F$2,EOMONTH(DN$2,-1)+1,$C42:$F42)*VLOOKUP(DN$2,Valores!$H$2:$P$154,8,0)</f>
        <v>#VALUE!</v>
      </c>
      <c r="DO42" s="30" t="e">
        <f aca="false">SUMIF($C$2:$F$2,EOMONTH(DO$2,-1)+1,$C42:$F42)*VLOOKUP(DO$2,Valores!$H$2:$P$154,8,0)</f>
        <v>#VALUE!</v>
      </c>
      <c r="DP42" s="30" t="e">
        <f aca="false">SUMIF($C$2:$F$2,EOMONTH(DP$2,-1)+1,$C42:$F42)*VLOOKUP(DP$2,Valores!$H$2:$P$154,8,0)</f>
        <v>#VALUE!</v>
      </c>
      <c r="DQ42" s="30" t="e">
        <f aca="false">SUMIF($C$2:$F$2,EOMONTH(DQ$2,-1)+1,$C42:$F42)*VLOOKUP(DQ$2,Valores!$H$2:$P$154,8,0)</f>
        <v>#VALUE!</v>
      </c>
      <c r="DR42" s="30" t="e">
        <f aca="false">SUMIF($C$2:$F$2,EOMONTH(DR$2,-1)+1,$C42:$F42)*VLOOKUP(DR$2,Valores!$H$2:$P$154,8,0)</f>
        <v>#VALUE!</v>
      </c>
      <c r="DS42" s="30" t="e">
        <f aca="false">SUMIF($C$2:$F$2,EOMONTH(DS$2,-1)+1,$C42:$F42)*VLOOKUP(DS$2,Valores!$H$2:$P$154,8,0)</f>
        <v>#VALUE!</v>
      </c>
      <c r="DT42" s="30" t="e">
        <f aca="false">SUMIF($C$2:$F$2,EOMONTH(DT$2,-1)+1,$C42:$F42)*VLOOKUP(DT$2,Valores!$H$2:$P$154,8,0)</f>
        <v>#VALUE!</v>
      </c>
      <c r="DU42" s="30" t="e">
        <f aca="false">SUMIF($C$2:$F$2,EOMONTH(DU$2,-1)+1,$C42:$F42)*VLOOKUP(DU$2,Valores!$H$2:$P$154,8,0)</f>
        <v>#VALUE!</v>
      </c>
      <c r="DV42" s="30" t="e">
        <f aca="false">SUMIF($C$2:$F$2,EOMONTH(DV$2,-1)+1,$C42:$F42)*VLOOKUP(DV$2,Valores!$H$2:$P$154,8,0)</f>
        <v>#VALUE!</v>
      </c>
      <c r="DW42" s="30" t="e">
        <f aca="false">SUMIF($C$2:$F$2,EOMONTH(DW$2,-1)+1,$C42:$F42)*VLOOKUP(DW$2,Valores!$H$2:$P$154,8,0)</f>
        <v>#VALUE!</v>
      </c>
      <c r="DX42" s="30" t="e">
        <f aca="false">SUMIF($C$2:$F$2,EOMONTH(DX$2,-1)+1,$C42:$F42)*VLOOKUP(DX$2,Valores!$H$2:$P$154,8,0)</f>
        <v>#VALUE!</v>
      </c>
    </row>
    <row r="43" customFormat="false" ht="13.8" hidden="false" customHeight="false" outlineLevel="0" collapsed="false">
      <c r="A43" s="31" t="s">
        <v>54</v>
      </c>
      <c r="B43" s="31" t="s">
        <v>65</v>
      </c>
      <c r="C43" s="31" t="n">
        <v>2991452</v>
      </c>
      <c r="D43" s="31" t="n">
        <v>2692306.8</v>
      </c>
      <c r="E43" s="31" t="n">
        <v>2423076.12</v>
      </c>
      <c r="F43" s="31" t="n">
        <v>2180768.508</v>
      </c>
      <c r="G43" s="27" t="n">
        <f aca="false">SUMIF($C$2:$F$2,EOMONTH(G$2,-1)+1,$C43:$F43)*VLOOKUP(G$2,Valores!$H$2:$P$154,8,0)</f>
        <v>86145.1538588119</v>
      </c>
      <c r="H43" s="27" t="n">
        <f aca="false">SUMIF($C$2:$F$2,EOMONTH(H$2,-1)+1,$C43:$F43)*VLOOKUP(H$2,Valores!$H$2:$P$154,8,0)</f>
        <v>59070.9626460424</v>
      </c>
      <c r="I43" s="27" t="n">
        <f aca="false">SUMIF($C$2:$F$2,EOMONTH(I$2,-1)+1,$C43:$F43)*VLOOKUP(I$2,Valores!$H$2:$P$154,8,0)</f>
        <v>59070.9626460424</v>
      </c>
      <c r="J43" s="27" t="n">
        <f aca="false">SUMIF($C$2:$F$2,EOMONTH(J$2,-1)+1,$C43:$F43)*VLOOKUP(J$2,Valores!$H$2:$P$154,8,0)</f>
        <v>59070.9626460424</v>
      </c>
      <c r="K43" s="27" t="n">
        <f aca="false">SUMIF($C$2:$F$2,EOMONTH(K$2,-1)+1,$C43:$F43)*VLOOKUP(K$2,Valores!$H$2:$P$154,8,0)</f>
        <v>59070.9626460424</v>
      </c>
      <c r="L43" s="27" t="n">
        <f aca="false">SUMIF($C$2:$F$2,EOMONTH(L$2,-1)+1,$C43:$F43)*VLOOKUP(L$2,Valores!$H$2:$P$154,8,0)</f>
        <v>118141.925292085</v>
      </c>
      <c r="M43" s="27" t="n">
        <f aca="false">SUMIF($C$2:$F$2,EOMONTH(M$2,-1)+1,$C43:$F43)*VLOOKUP(M$2,Valores!$H$2:$P$154,8,0)</f>
        <v>147677.406615106</v>
      </c>
      <c r="N43" s="27" t="n">
        <f aca="false">SUMIF($C$2:$F$2,EOMONTH(N$2,-1)+1,$C43:$F43)*VLOOKUP(N$2,Valores!$H$2:$P$154,8,0)</f>
        <v>88606.4439690636</v>
      </c>
      <c r="O43" s="27" t="n">
        <f aca="false">SUMIF($C$2:$F$2,EOMONTH(O$2,-1)+1,$C43:$F43)*VLOOKUP(O$2,Valores!$H$2:$P$154,8,0)</f>
        <v>78761.2835280566</v>
      </c>
      <c r="P43" s="27" t="n">
        <f aca="false">SUMIF($C$2:$F$2,EOMONTH(P$2,-1)+1,$C43:$F43)*VLOOKUP(P$2,Valores!$H$2:$P$154,8,0)</f>
        <v>78761.2835280566</v>
      </c>
      <c r="Q43" s="27" t="n">
        <f aca="false">SUMIF($C$2:$F$2,EOMONTH(Q$2,-1)+1,$C43:$F43)*VLOOKUP(Q$2,Valores!$H$2:$P$154,8,0)</f>
        <v>47256.770116834</v>
      </c>
      <c r="R43" s="27" t="n">
        <f aca="false">SUMIF($C$2:$F$2,EOMONTH(R$2,-1)+1,$C43:$F43)*VLOOKUP(R$2,Valores!$H$2:$P$154,8,0)</f>
        <v>78761.2835280566</v>
      </c>
      <c r="S43" s="27" t="n">
        <f aca="false">SUMIF($C$2:$F$2,EOMONTH(S$2,-1)+1,$C43:$F43)*VLOOKUP(S$2,Valores!$H$2:$P$154,8,0)</f>
        <v>157522.567056113</v>
      </c>
      <c r="T43" s="27" t="n">
        <f aca="false">SUMIF($C$2:$F$2,EOMONTH(T$2,-1)+1,$C43:$F43)*VLOOKUP(T$2,Valores!$H$2:$P$154,8,0)</f>
        <v>196903.208820141</v>
      </c>
      <c r="U43" s="27" t="n">
        <f aca="false">SUMIF($C$2:$F$2,EOMONTH(U$2,-1)+1,$C43:$F43)*VLOOKUP(U$2,Valores!$H$2:$P$154,8,0)</f>
        <v>118141.925292085</v>
      </c>
      <c r="V43" s="27" t="n">
        <f aca="false">SUMIF($C$2:$F$2,EOMONTH(V$2,-1)+1,$C43:$F43)*VLOOKUP(V$2,Valores!$H$2:$P$154,8,0)</f>
        <v>98451.6044100707</v>
      </c>
      <c r="W43" s="27" t="n">
        <f aca="false">SUMIF($C$2:$F$2,EOMONTH(W$2,-1)+1,$C43:$F43)*VLOOKUP(W$2,Valores!$H$2:$P$154,8,0)</f>
        <v>98451.6044100707</v>
      </c>
      <c r="X43" s="27" t="n">
        <f aca="false">SUMIF($C$2:$F$2,EOMONTH(X$2,-1)+1,$C43:$F43)*VLOOKUP(X$2,Valores!$H$2:$P$154,8,0)</f>
        <v>0</v>
      </c>
      <c r="Y43" s="27" t="n">
        <f aca="false">SUMIF($C$2:$F$2,EOMONTH(Y$2,-1)+1,$C43:$F43)*VLOOKUP(Y$2,Valores!$H$2:$P$154,8,0)</f>
        <v>0</v>
      </c>
      <c r="Z43" s="27" t="n">
        <f aca="false">SUMIF($C$2:$F$2,EOMONTH(Z$2,-1)+1,$C43:$F43)*VLOOKUP(Z$2,Valores!$H$2:$P$154,8,0)</f>
        <v>147677.406615106</v>
      </c>
      <c r="AA43" s="27" t="n">
        <f aca="false">SUMIF($C$2:$F$2,EOMONTH(AA$2,-1)+1,$C43:$F43)*VLOOKUP(AA$2,Valores!$H$2:$P$154,8,0)</f>
        <v>177212.887938127</v>
      </c>
      <c r="AB43" s="27" t="n">
        <f aca="false">SUMIF($C$2:$F$2,EOMONTH(AB$2,-1)+1,$C43:$F43)*VLOOKUP(AB$2,Valores!$H$2:$P$154,8,0)</f>
        <v>88606.4439690636</v>
      </c>
      <c r="AC43" s="27" t="n">
        <f aca="false">SUMIF($C$2:$F$2,EOMONTH(AC$2,-1)+1,$C43:$F43)*VLOOKUP(AC$2,Valores!$H$2:$P$154,8,0)</f>
        <v>108296.764851078</v>
      </c>
      <c r="AD43" s="27" t="n">
        <f aca="false">SUMIF($C$2:$F$2,EOMONTH(AD$2,-1)+1,$C43:$F43)*VLOOKUP(AD$2,Valores!$H$2:$P$154,8,0)</f>
        <v>108296.764851078</v>
      </c>
      <c r="AE43" s="27" t="n">
        <f aca="false">SUMIF($C$2:$F$2,EOMONTH(AE$2,-1)+1,$C43:$F43)*VLOOKUP(AE$2,Valores!$H$2:$P$154,8,0)</f>
        <v>108296.764851078</v>
      </c>
      <c r="AF43" s="27" t="n">
        <f aca="false">SUMIF($C$2:$F$2,EOMONTH(AF$2,-1)+1,$C43:$F43)*VLOOKUP(AF$2,Valores!$H$2:$P$154,8,0)</f>
        <v>108296.764851078</v>
      </c>
      <c r="AG43" s="27" t="n">
        <f aca="false">SUMIF($C$2:$F$2,EOMONTH(AG$2,-1)+1,$C43:$F43)*VLOOKUP(AG$2,Valores!$H$2:$P$154,8,0)</f>
        <v>173274.823761725</v>
      </c>
      <c r="AH43" s="27" t="n">
        <f aca="false">SUMIF($C$2:$F$2,EOMONTH(AH$2,-1)+1,$C43:$F43)*VLOOKUP(AH$2,Valores!$H$2:$P$154,8,0)</f>
        <v>216593.529702156</v>
      </c>
      <c r="AI43" s="27" t="n">
        <f aca="false">SUMIF($C$2:$F$2,EOMONTH(AI$2,-1)+1,$C43:$F43)*VLOOKUP(AI$2,Valores!$H$2:$P$154,8,0)</f>
        <v>75807.7353957545</v>
      </c>
      <c r="AJ43" s="27" t="n">
        <f aca="false">SUMIF($C$2:$F$2,EOMONTH(AJ$2,-1)+1,$C43:$F43)*VLOOKUP(AJ$2,Valores!$H$2:$P$154,8,0)</f>
        <v>49225.8022050354</v>
      </c>
      <c r="AK43" s="27" t="n">
        <f aca="false">SUMIF($C$2:$F$2,EOMONTH(AK$2,-1)+1,$C43:$F43)*VLOOKUP(AK$2,Valores!$H$2:$P$154,8,0)</f>
        <v>89767.0704232061</v>
      </c>
      <c r="AL43" s="27" t="n">
        <f aca="false">SUMIF($C$2:$F$2,EOMONTH(AL$2,-1)+1,$C43:$F43)*VLOOKUP(AL$2,Valores!$H$2:$P$154,8,0)</f>
        <v>89767.0704232061</v>
      </c>
      <c r="AM43" s="27" t="n">
        <f aca="false">SUMIF($C$2:$F$2,EOMONTH(AM$2,-1)+1,$C43:$F43)*VLOOKUP(AM$2,Valores!$H$2:$P$154,8,0)</f>
        <v>89767.0704232061</v>
      </c>
      <c r="AN43" s="27" t="n">
        <f aca="false">SUMIF($C$2:$F$2,EOMONTH(AN$2,-1)+1,$C43:$F43)*VLOOKUP(AN$2,Valores!$H$2:$P$154,8,0)</f>
        <v>179534.140846412</v>
      </c>
      <c r="AO43" s="27" t="n">
        <f aca="false">SUMIF($C$2:$F$2,EOMONTH(AO$2,-1)+1,$C43:$F43)*VLOOKUP(AO$2,Valores!$H$2:$P$154,8,0)</f>
        <v>224417.676058015</v>
      </c>
      <c r="AP43" s="27" t="n">
        <f aca="false">SUMIF($C$2:$F$2,EOMONTH(AP$2,-1)+1,$C43:$F43)*VLOOKUP(AP$2,Valores!$H$2:$P$154,8,0)</f>
        <v>134650.605634809</v>
      </c>
      <c r="AQ43" s="27" t="n">
        <f aca="false">SUMIF($C$2:$F$2,EOMONTH(AQ$2,-1)+1,$C43:$F43)*VLOOKUP(AQ$2,Valores!$H$2:$P$154,8,0)</f>
        <v>48089.5020124318</v>
      </c>
      <c r="AR43" s="27" t="n">
        <f aca="false">SUMIF($C$2:$F$2,EOMONTH(AR$2,-1)+1,$C43:$F43)*VLOOKUP(AR$2,Valores!$H$2:$P$154,8,0)</f>
        <v>48089.5020124318</v>
      </c>
      <c r="AS43" s="27" t="n">
        <f aca="false">SUMIF($C$2:$F$2,EOMONTH(AS$2,-1)+1,$C43:$F43)*VLOOKUP(AS$2,Valores!$H$2:$P$154,8,0)</f>
        <v>48089.5020124318</v>
      </c>
      <c r="AT43" s="27" t="n">
        <f aca="false">SUMIF($C$2:$F$2,EOMONTH(AT$2,-1)+1,$C43:$F43)*VLOOKUP(AT$2,Valores!$H$2:$P$154,8,0)</f>
        <v>48089.5020124318</v>
      </c>
      <c r="AU43" s="27" t="n">
        <f aca="false">SUMIF($C$2:$F$2,EOMONTH(AU$2,-1)+1,$C43:$F43)*VLOOKUP(AU$2,Valores!$H$2:$P$154,8,0)</f>
        <v>96179.0040248636</v>
      </c>
      <c r="AV43" s="27" t="n">
        <f aca="false">SUMIF($C$2:$F$2,EOMONTH(AV$2,-1)+1,$C43:$F43)*VLOOKUP(AV$2,Valores!$H$2:$P$154,8,0)</f>
        <v>120223.75503108</v>
      </c>
      <c r="AW43" s="27" t="n">
        <f aca="false">SUMIF($C$2:$F$2,EOMONTH(AW$2,-1)+1,$C43:$F43)*VLOOKUP(AW$2,Valores!$H$2:$P$154,8,0)</f>
        <v>72134.2530186477</v>
      </c>
      <c r="AX43" s="27" t="n">
        <f aca="false">SUMIF($C$2:$F$2,EOMONTH(AX$2,-1)+1,$C43:$F43)*VLOOKUP(AX$2,Valores!$H$2:$P$154,8,0)</f>
        <v>48089.5020124318</v>
      </c>
      <c r="AY43" s="27" t="n">
        <f aca="false">SUMIF($C$2:$F$2,EOMONTH(AY$2,-1)+1,$C43:$F43)*VLOOKUP(AY$2,Valores!$H$2:$P$154,8,0)</f>
        <v>62516.3526161614</v>
      </c>
      <c r="AZ43" s="27" t="n">
        <f aca="false">SUMIF($C$2:$F$2,EOMONTH(AZ$2,-1)+1,$C43:$F43)*VLOOKUP(AZ$2,Valores!$H$2:$P$154,8,0)</f>
        <v>62516.3526161614</v>
      </c>
      <c r="BA43" s="27" t="n">
        <f aca="false">SUMIF($C$2:$F$2,EOMONTH(BA$2,-1)+1,$C43:$F43)*VLOOKUP(BA$2,Valores!$H$2:$P$154,8,0)</f>
        <v>62516.3526161614</v>
      </c>
      <c r="BB43" s="27" t="n">
        <f aca="false">SUMIF($C$2:$F$2,EOMONTH(BB$2,-1)+1,$C43:$F43)*VLOOKUP(BB$2,Valores!$H$2:$P$154,8,0)</f>
        <v>110605.854628593</v>
      </c>
      <c r="BC43" s="27" t="n">
        <f aca="false">SUMIF($C$2:$F$2,EOMONTH(BC$2,-1)+1,$C43:$F43)*VLOOKUP(BC$2,Valores!$H$2:$P$154,8,0)</f>
        <v>134650.605634809</v>
      </c>
      <c r="BD43" s="27" t="n">
        <f aca="false">SUMIF($C$2:$F$2,EOMONTH(BD$2,-1)+1,$C43:$F43)*VLOOKUP(BD$2,Valores!$H$2:$P$154,8,0)</f>
        <v>72134.2530186477</v>
      </c>
      <c r="BE43" s="27" t="n">
        <f aca="false">SUMIF($C$2:$F$2,EOMONTH(BE$2,-1)+1,$C43:$F43)*VLOOKUP(BE$2,Valores!$H$2:$P$154,8,0)</f>
        <v>64119.3360165758</v>
      </c>
      <c r="BF43" s="27" t="n">
        <f aca="false">SUMIF($C$2:$F$2,EOMONTH(BF$2,-1)+1,$C43:$F43)*VLOOKUP(BF$2,Valores!$H$2:$P$154,8,0)</f>
        <v>64119.3360165758</v>
      </c>
      <c r="BG43" s="27" t="n">
        <f aca="false">SUMIF($C$2:$F$2,EOMONTH(BG$2,-1)+1,$C43:$F43)*VLOOKUP(BG$2,Valores!$H$2:$P$154,8,0)</f>
        <v>64119.3360165758</v>
      </c>
      <c r="BH43" s="27" t="n">
        <f aca="false">SUMIF($C$2:$F$2,EOMONTH(BH$2,-1)+1,$C43:$F43)*VLOOKUP(BH$2,Valores!$H$2:$P$154,8,0)</f>
        <v>64119.3360165758</v>
      </c>
      <c r="BI43" s="27" t="n">
        <f aca="false">SUMIF($C$2:$F$2,EOMONTH(BI$2,-1)+1,$C43:$F43)*VLOOKUP(BI$2,Valores!$H$2:$P$154,8,0)</f>
        <v>128238.672033152</v>
      </c>
      <c r="BJ43" s="27" t="n">
        <f aca="false">SUMIF($C$2:$F$2,EOMONTH(BJ$2,-1)+1,$C43:$F43)*VLOOKUP(BJ$2,Valores!$H$2:$P$154,8,0)</f>
        <v>160298.340041439</v>
      </c>
      <c r="BK43" s="27" t="n">
        <f aca="false">SUMIF($C$2:$F$2,EOMONTH(BK$2,-1)+1,$C43:$F43)*VLOOKUP(BK$2,Valores!$H$2:$P$154,8,0)</f>
        <v>76943.2032198909</v>
      </c>
      <c r="BL43" s="27" t="n">
        <f aca="false">SUMIF($C$2:$F$2,EOMONTH(BL$2,-1)+1,$C43:$F43)*VLOOKUP(BL$2,Valores!$H$2:$P$154,8,0)</f>
        <v>56425.0156945867</v>
      </c>
      <c r="BM43" s="27" t="n">
        <f aca="false">SUMIF($C$2:$F$2,EOMONTH(BM$2,-1)+1,$C43:$F43)*VLOOKUP(BM$2,Valores!$H$2:$P$154,8,0)</f>
        <v>56425.0156945867</v>
      </c>
      <c r="BN43" s="27" t="n">
        <f aca="false">SUMIF($C$2:$F$2,EOMONTH(BN$2,-1)+1,$C43:$F43)*VLOOKUP(BN$2,Valores!$H$2:$P$154,8,0)</f>
        <v>56425.0156945867</v>
      </c>
      <c r="BO43" s="27" t="n">
        <f aca="false">SUMIF($C$2:$F$2,EOMONTH(BO$2,-1)+1,$C43:$F43)*VLOOKUP(BO$2,Valores!$H$2:$P$154,8,0)</f>
        <v>59246.266479316</v>
      </c>
      <c r="BP43" s="27" t="n">
        <f aca="false">SUMIF($C$2:$F$2,EOMONTH(BP$2,-1)+1,$C43:$F43)*VLOOKUP(BP$2,Valores!$H$2:$P$154,8,0)</f>
        <v>149095.992440391</v>
      </c>
      <c r="BQ43" s="27" t="n">
        <f aca="false">SUMIF($C$2:$F$2,EOMONTH(BQ$2,-1)+1,$C43:$F43)*VLOOKUP(BQ$2,Valores!$H$2:$P$154,8,0)</f>
        <v>186369.990550489</v>
      </c>
      <c r="BR43" s="27" t="n">
        <f aca="false">SUMIF($C$2:$F$2,EOMONTH(BR$2,-1)+1,$C43:$F43)*VLOOKUP(BR$2,Valores!$H$2:$P$154,8,0)</f>
        <v>89457.5954642347</v>
      </c>
      <c r="BS43" s="27" t="n">
        <f aca="false">SUMIF($C$2:$F$2,EOMONTH(BS$2,-1)+1,$C43:$F43)*VLOOKUP(BS$2,Valores!$H$2:$P$154,8,0)</f>
        <v>39936.4265465333</v>
      </c>
      <c r="BT43" s="27" t="n">
        <f aca="false">SUMIF($C$2:$F$2,EOMONTH(BT$2,-1)+1,$C43:$F43)*VLOOKUP(BT$2,Valores!$H$2:$P$154,8,0)</f>
        <v>39936.4265465333</v>
      </c>
      <c r="BU43" s="27" t="n">
        <f aca="false">SUMIF($C$2:$F$2,EOMONTH(BU$2,-1)+1,$C43:$F43)*VLOOKUP(BU$2,Valores!$H$2:$P$154,8,0)</f>
        <v>39936.4265465333</v>
      </c>
      <c r="BV43" s="27" t="n">
        <f aca="false">SUMIF($C$2:$F$2,EOMONTH(BV$2,-1)+1,$C43:$F43)*VLOOKUP(BV$2,Valores!$H$2:$P$154,8,0)</f>
        <v>39936.4265465333</v>
      </c>
      <c r="BW43" s="27" t="n">
        <f aca="false">SUMIF($C$2:$F$2,EOMONTH(BW$2,-1)+1,$C43:$F43)*VLOOKUP(BW$2,Valores!$H$2:$P$154,8,0)</f>
        <v>79872.8530930667</v>
      </c>
      <c r="BX43" s="27" t="n">
        <f aca="false">SUMIF($C$2:$F$2,EOMONTH(BX$2,-1)+1,$C43:$F43)*VLOOKUP(BX$2,Valores!$H$2:$P$154,8,0)</f>
        <v>99841.0663663333</v>
      </c>
      <c r="BY43" s="27" t="n">
        <f aca="false">SUMIF($C$2:$F$2,EOMONTH(BY$2,-1)+1,$C43:$F43)*VLOOKUP(BY$2,Valores!$H$2:$P$154,8,0)</f>
        <v>59904.6398198</v>
      </c>
      <c r="BZ43" s="27" t="n">
        <f aca="false">SUMIF($C$2:$F$2,EOMONTH(BZ$2,-1)+1,$C43:$F43)*VLOOKUP(BZ$2,Valores!$H$2:$P$154,8,0)</f>
        <v>39936.4265465333</v>
      </c>
      <c r="CA43" s="27" t="n">
        <f aca="false">SUMIF($C$2:$F$2,EOMONTH(CA$2,-1)+1,$C43:$F43)*VLOOKUP(CA$2,Valores!$H$2:$P$154,8,0)</f>
        <v>39936.4265465333</v>
      </c>
      <c r="CB43" s="27" t="n">
        <f aca="false">SUMIF($C$2:$F$2,EOMONTH(CB$2,-1)+1,$C43:$F43)*VLOOKUP(CB$2,Valores!$H$2:$P$154,8,0)</f>
        <v>39936.4265465333</v>
      </c>
      <c r="CC43" s="27" t="n">
        <f aca="false">SUMIF($C$2:$F$2,EOMONTH(CC$2,-1)+1,$C43:$F43)*VLOOKUP(CC$2,Valores!$H$2:$P$154,8,0)</f>
        <v>39936.4265465333</v>
      </c>
      <c r="CD43" s="27" t="n">
        <f aca="false">SUMIF($C$2:$F$2,EOMONTH(CD$2,-1)+1,$C43:$F43)*VLOOKUP(CD$2,Valores!$H$2:$P$154,8,0)</f>
        <v>119809.2796396</v>
      </c>
      <c r="CE43" s="27" t="n">
        <f aca="false">SUMIF($C$2:$F$2,EOMONTH(CE$2,-1)+1,$C43:$F43)*VLOOKUP(CE$2,Valores!$H$2:$P$154,8,0)</f>
        <v>159745.706186133</v>
      </c>
      <c r="CF43" s="27" t="n">
        <f aca="false">SUMIF($C$2:$F$2,EOMONTH(CF$2,-1)+1,$C43:$F43)*VLOOKUP(CF$2,Valores!$H$2:$P$154,8,0)</f>
        <v>99841.0663663333</v>
      </c>
      <c r="CG43" s="27" t="n">
        <f aca="false">SUMIF($C$2:$F$2,EOMONTH(CG$2,-1)+1,$C43:$F43)*VLOOKUP(CG$2,Valores!$H$2:$P$154,8,0)</f>
        <v>53248.5687287111</v>
      </c>
      <c r="CH43" s="27" t="n">
        <f aca="false">SUMIF($C$2:$F$2,EOMONTH(CH$2,-1)+1,$C43:$F43)*VLOOKUP(CH$2,Valores!$H$2:$P$154,8,0)</f>
        <v>53248.5687287111</v>
      </c>
      <c r="CI43" s="27" t="n">
        <f aca="false">SUMIF($C$2:$F$2,EOMONTH(CI$2,-1)+1,$C43:$F43)*VLOOKUP(CI$2,Valores!$H$2:$P$154,8,0)</f>
        <v>53248.5687287111</v>
      </c>
      <c r="CJ43" s="27" t="n">
        <f aca="false">SUMIF($C$2:$F$2,EOMONTH(CJ$2,-1)+1,$C43:$F43)*VLOOKUP(CJ$2,Valores!$H$2:$P$154,8,0)</f>
        <v>53248.5687287111</v>
      </c>
      <c r="CK43" s="27" t="n">
        <f aca="false">SUMIF($C$2:$F$2,EOMONTH(CK$2,-1)+1,$C43:$F43)*VLOOKUP(CK$2,Valores!$H$2:$P$154,8,0)</f>
        <v>106497.137457422</v>
      </c>
      <c r="CL43" s="27" t="n">
        <f aca="false">SUMIF($C$2:$F$2,EOMONTH(CL$2,-1)+1,$C43:$F43)*VLOOKUP(CL$2,Valores!$H$2:$P$154,8,0)</f>
        <v>133121.421821778</v>
      </c>
      <c r="CM43" s="27" t="n">
        <f aca="false">SUMIF($C$2:$F$2,EOMONTH(CM$2,-1)+1,$C43:$F43)*VLOOKUP(CM$2,Valores!$H$2:$P$154,8,0)</f>
        <v>79872.8530930667</v>
      </c>
      <c r="CN43" s="27" t="n">
        <f aca="false">SUMIF($C$2:$F$2,EOMONTH(CN$2,-1)+1,$C43:$F43)*VLOOKUP(CN$2,Valores!$H$2:$P$154,8,0)</f>
        <v>58573.4256015822</v>
      </c>
      <c r="CO43" s="27" t="n">
        <f aca="false">SUMIF($C$2:$F$2,EOMONTH(CO$2,-1)+1,$C43:$F43)*VLOOKUP(CO$2,Valores!$H$2:$P$154,8,0)</f>
        <v>58573.4256015822</v>
      </c>
      <c r="CP43" s="27" t="n">
        <f aca="false">SUMIF($C$2:$F$2,EOMONTH(CP$2,-1)+1,$C43:$F43)*VLOOKUP(CP$2,Valores!$H$2:$P$154,8,0)</f>
        <v>58573.4256015822</v>
      </c>
      <c r="CQ43" s="27" t="n">
        <f aca="false">SUMIF($C$2:$F$2,EOMONTH(CQ$2,-1)+1,$C43:$F43)*VLOOKUP(CQ$2,Valores!$H$2:$P$154,8,0)</f>
        <v>58573.4256015822</v>
      </c>
      <c r="CR43" s="27" t="n">
        <f aca="false">SUMIF($C$2:$F$2,EOMONTH(CR$2,-1)+1,$C43:$F43)*VLOOKUP(CR$2,Valores!$H$2:$P$154,8,0)</f>
        <v>117146.851203164</v>
      </c>
      <c r="CS43" s="27" t="n">
        <f aca="false">SUMIF($C$2:$F$2,EOMONTH(CS$2,-1)+1,$C43:$F43)*VLOOKUP(CS$2,Valores!$H$2:$P$154,8,0)</f>
        <v>175720.276804747</v>
      </c>
      <c r="CT43" s="27" t="e">
        <f aca="false">SUMIF($C$2:$F$2,EOMONTH(CT$2,-1)+1,$C43:$F43)*VLOOKUP(CT$2,Valores!$H$2:$P$154,8,0)</f>
        <v>#VALUE!</v>
      </c>
      <c r="CU43" s="27" t="e">
        <f aca="false">SUMIF($C$2:$F$2,EOMONTH(CU$2,-1)+1,$C43:$F43)*VLOOKUP(CU$2,Valores!$H$2:$P$154,8,0)</f>
        <v>#VALUE!</v>
      </c>
      <c r="CV43" s="27" t="e">
        <f aca="false">SUMIF($C$2:$F$2,EOMONTH(CV$2,-1)+1,$C43:$F43)*VLOOKUP(CV$2,Valores!$H$2:$P$154,8,0)</f>
        <v>#VALUE!</v>
      </c>
      <c r="CW43" s="27" t="e">
        <f aca="false">SUMIF($C$2:$F$2,EOMONTH(CW$2,-1)+1,$C43:$F43)*VLOOKUP(CW$2,Valores!$H$2:$P$154,8,0)</f>
        <v>#VALUE!</v>
      </c>
      <c r="CX43" s="27" t="e">
        <f aca="false">SUMIF($C$2:$F$2,EOMONTH(CX$2,-1)+1,$C43:$F43)*VLOOKUP(CX$2,Valores!$H$2:$P$154,8,0)</f>
        <v>#VALUE!</v>
      </c>
      <c r="CY43" s="27" t="e">
        <f aca="false">SUMIF($C$2:$F$2,EOMONTH(CY$2,-1)+1,$C43:$F43)*VLOOKUP(CY$2,Valores!$H$2:$P$154,8,0)</f>
        <v>#VALUE!</v>
      </c>
      <c r="CZ43" s="27" t="e">
        <f aca="false">SUMIF($C$2:$F$2,EOMONTH(CZ$2,-1)+1,$C43:$F43)*VLOOKUP(CZ$2,Valores!$H$2:$P$154,8,0)</f>
        <v>#VALUE!</v>
      </c>
      <c r="DA43" s="27" t="e">
        <f aca="false">SUMIF($C$2:$F$2,EOMONTH(DA$2,-1)+1,$C43:$F43)*VLOOKUP(DA$2,Valores!$H$2:$P$154,8,0)</f>
        <v>#VALUE!</v>
      </c>
      <c r="DB43" s="27" t="e">
        <f aca="false">SUMIF($C$2:$F$2,EOMONTH(DB$2,-1)+1,$C43:$F43)*VLOOKUP(DB$2,Valores!$H$2:$P$154,8,0)</f>
        <v>#VALUE!</v>
      </c>
      <c r="DC43" s="27" t="e">
        <f aca="false">SUMIF($C$2:$F$2,EOMONTH(DC$2,-1)+1,$C43:$F43)*VLOOKUP(DC$2,Valores!$H$2:$P$154,8,0)</f>
        <v>#VALUE!</v>
      </c>
      <c r="DD43" s="27" t="e">
        <f aca="false">SUMIF($C$2:$F$2,EOMONTH(DD$2,-1)+1,$C43:$F43)*VLOOKUP(DD$2,Valores!$H$2:$P$154,8,0)</f>
        <v>#VALUE!</v>
      </c>
      <c r="DE43" s="27" t="e">
        <f aca="false">SUMIF($C$2:$F$2,EOMONTH(DE$2,-1)+1,$C43:$F43)*VLOOKUP(DE$2,Valores!$H$2:$P$154,8,0)</f>
        <v>#VALUE!</v>
      </c>
      <c r="DF43" s="27" t="e">
        <f aca="false">SUMIF($C$2:$F$2,EOMONTH(DF$2,-1)+1,$C43:$F43)*VLOOKUP(DF$2,Valores!$H$2:$P$154,8,0)</f>
        <v>#VALUE!</v>
      </c>
      <c r="DG43" s="27" t="e">
        <f aca="false">SUMIF($C$2:$F$2,EOMONTH(DG$2,-1)+1,$C43:$F43)*VLOOKUP(DG$2,Valores!$H$2:$P$154,8,0)</f>
        <v>#VALUE!</v>
      </c>
      <c r="DH43" s="27" t="e">
        <f aca="false">SUMIF($C$2:$F$2,EOMONTH(DH$2,-1)+1,$C43:$F43)*VLOOKUP(DH$2,Valores!$H$2:$P$154,8,0)</f>
        <v>#VALUE!</v>
      </c>
      <c r="DI43" s="27" t="e">
        <f aca="false">SUMIF($C$2:$F$2,EOMONTH(DI$2,-1)+1,$C43:$F43)*VLOOKUP(DI$2,Valores!$H$2:$P$154,8,0)</f>
        <v>#VALUE!</v>
      </c>
      <c r="DJ43" s="27" t="e">
        <f aca="false">SUMIF($C$2:$F$2,EOMONTH(DJ$2,-1)+1,$C43:$F43)*VLOOKUP(DJ$2,Valores!$H$2:$P$154,8,0)</f>
        <v>#VALUE!</v>
      </c>
      <c r="DK43" s="27" t="e">
        <f aca="false">SUMIF($C$2:$F$2,EOMONTH(DK$2,-1)+1,$C43:$F43)*VLOOKUP(DK$2,Valores!$H$2:$P$154,8,0)</f>
        <v>#VALUE!</v>
      </c>
      <c r="DL43" s="27" t="e">
        <f aca="false">SUMIF($C$2:$F$2,EOMONTH(DL$2,-1)+1,$C43:$F43)*VLOOKUP(DL$2,Valores!$H$2:$P$154,8,0)</f>
        <v>#VALUE!</v>
      </c>
      <c r="DM43" s="27" t="e">
        <f aca="false">SUMIF($C$2:$F$2,EOMONTH(DM$2,-1)+1,$C43:$F43)*VLOOKUP(DM$2,Valores!$H$2:$P$154,8,0)</f>
        <v>#VALUE!</v>
      </c>
      <c r="DN43" s="27" t="e">
        <f aca="false">SUMIF($C$2:$F$2,EOMONTH(DN$2,-1)+1,$C43:$F43)*VLOOKUP(DN$2,Valores!$H$2:$P$154,8,0)</f>
        <v>#VALUE!</v>
      </c>
      <c r="DO43" s="27" t="e">
        <f aca="false">SUMIF($C$2:$F$2,EOMONTH(DO$2,-1)+1,$C43:$F43)*VLOOKUP(DO$2,Valores!$H$2:$P$154,8,0)</f>
        <v>#VALUE!</v>
      </c>
      <c r="DP43" s="27" t="e">
        <f aca="false">SUMIF($C$2:$F$2,EOMONTH(DP$2,-1)+1,$C43:$F43)*VLOOKUP(DP$2,Valores!$H$2:$P$154,8,0)</f>
        <v>#VALUE!</v>
      </c>
      <c r="DQ43" s="27" t="e">
        <f aca="false">SUMIF($C$2:$F$2,EOMONTH(DQ$2,-1)+1,$C43:$F43)*VLOOKUP(DQ$2,Valores!$H$2:$P$154,8,0)</f>
        <v>#VALUE!</v>
      </c>
      <c r="DR43" s="27" t="e">
        <f aca="false">SUMIF($C$2:$F$2,EOMONTH(DR$2,-1)+1,$C43:$F43)*VLOOKUP(DR$2,Valores!$H$2:$P$154,8,0)</f>
        <v>#VALUE!</v>
      </c>
      <c r="DS43" s="27" t="e">
        <f aca="false">SUMIF($C$2:$F$2,EOMONTH(DS$2,-1)+1,$C43:$F43)*VLOOKUP(DS$2,Valores!$H$2:$P$154,8,0)</f>
        <v>#VALUE!</v>
      </c>
      <c r="DT43" s="27" t="e">
        <f aca="false">SUMIF($C$2:$F$2,EOMONTH(DT$2,-1)+1,$C43:$F43)*VLOOKUP(DT$2,Valores!$H$2:$P$154,8,0)</f>
        <v>#VALUE!</v>
      </c>
      <c r="DU43" s="27" t="e">
        <f aca="false">SUMIF($C$2:$F$2,EOMONTH(DU$2,-1)+1,$C43:$F43)*VLOOKUP(DU$2,Valores!$H$2:$P$154,8,0)</f>
        <v>#VALUE!</v>
      </c>
      <c r="DV43" s="27" t="e">
        <f aca="false">SUMIF($C$2:$F$2,EOMONTH(DV$2,-1)+1,$C43:$F43)*VLOOKUP(DV$2,Valores!$H$2:$P$154,8,0)</f>
        <v>#VALUE!</v>
      </c>
      <c r="DW43" s="27" t="e">
        <f aca="false">SUMIF($C$2:$F$2,EOMONTH(DW$2,-1)+1,$C43:$F43)*VLOOKUP(DW$2,Valores!$H$2:$P$154,8,0)</f>
        <v>#VALUE!</v>
      </c>
      <c r="DX43" s="27" t="e">
        <f aca="false">SUMIF($C$2:$F$2,EOMONTH(DX$2,-1)+1,$C43:$F43)*VLOOKUP(DX$2,Valores!$H$2:$P$154,8,0)</f>
        <v>#VALUE!</v>
      </c>
    </row>
    <row r="44" customFormat="false" ht="13.8" hidden="false" customHeight="false" outlineLevel="0" collapsed="false">
      <c r="A44" s="29" t="s">
        <v>54</v>
      </c>
      <c r="B44" s="29" t="s">
        <v>66</v>
      </c>
      <c r="C44" s="29" t="n">
        <v>3082711</v>
      </c>
      <c r="D44" s="29" t="n">
        <v>2774439.9</v>
      </c>
      <c r="E44" s="29" t="n">
        <v>2496995.91</v>
      </c>
      <c r="F44" s="29" t="n">
        <v>2247296.319</v>
      </c>
      <c r="G44" s="30" t="n">
        <f aca="false">SUMIF($C$2:$F$2,EOMONTH(G$2,-1)+1,$C44:$F44)*VLOOKUP(G$2,Valores!$H$2:$P$154,8,0)</f>
        <v>88773.1487576106</v>
      </c>
      <c r="H44" s="30" t="n">
        <f aca="false">SUMIF($C$2:$F$2,EOMONTH(H$2,-1)+1,$C44:$F44)*VLOOKUP(H$2,Valores!$H$2:$P$154,8,0)</f>
        <v>60873.016290933</v>
      </c>
      <c r="I44" s="30" t="n">
        <f aca="false">SUMIF($C$2:$F$2,EOMONTH(I$2,-1)+1,$C44:$F44)*VLOOKUP(I$2,Valores!$H$2:$P$154,8,0)</f>
        <v>60873.016290933</v>
      </c>
      <c r="J44" s="30" t="n">
        <f aca="false">SUMIF($C$2:$F$2,EOMONTH(J$2,-1)+1,$C44:$F44)*VLOOKUP(J$2,Valores!$H$2:$P$154,8,0)</f>
        <v>60873.016290933</v>
      </c>
      <c r="K44" s="30" t="n">
        <f aca="false">SUMIF($C$2:$F$2,EOMONTH(K$2,-1)+1,$C44:$F44)*VLOOKUP(K$2,Valores!$H$2:$P$154,8,0)</f>
        <v>60873.016290933</v>
      </c>
      <c r="L44" s="30" t="n">
        <f aca="false">SUMIF($C$2:$F$2,EOMONTH(L$2,-1)+1,$C44:$F44)*VLOOKUP(L$2,Valores!$H$2:$P$154,8,0)</f>
        <v>121746.032581866</v>
      </c>
      <c r="M44" s="30" t="n">
        <f aca="false">SUMIF($C$2:$F$2,EOMONTH(M$2,-1)+1,$C44:$F44)*VLOOKUP(M$2,Valores!$H$2:$P$154,8,0)</f>
        <v>152182.540727333</v>
      </c>
      <c r="N44" s="30" t="n">
        <f aca="false">SUMIF($C$2:$F$2,EOMONTH(N$2,-1)+1,$C44:$F44)*VLOOKUP(N$2,Valores!$H$2:$P$154,8,0)</f>
        <v>91309.5244363995</v>
      </c>
      <c r="O44" s="30" t="n">
        <f aca="false">SUMIF($C$2:$F$2,EOMONTH(O$2,-1)+1,$C44:$F44)*VLOOKUP(O$2,Valores!$H$2:$P$154,8,0)</f>
        <v>81164.021721244</v>
      </c>
      <c r="P44" s="30" t="n">
        <f aca="false">SUMIF($C$2:$F$2,EOMONTH(P$2,-1)+1,$C44:$F44)*VLOOKUP(P$2,Valores!$H$2:$P$154,8,0)</f>
        <v>81164.021721244</v>
      </c>
      <c r="Q44" s="30" t="n">
        <f aca="false">SUMIF($C$2:$F$2,EOMONTH(Q$2,-1)+1,$C44:$F44)*VLOOKUP(Q$2,Valores!$H$2:$P$154,8,0)</f>
        <v>48698.4130327464</v>
      </c>
      <c r="R44" s="30" t="n">
        <f aca="false">SUMIF($C$2:$F$2,EOMONTH(R$2,-1)+1,$C44:$F44)*VLOOKUP(R$2,Valores!$H$2:$P$154,8,0)</f>
        <v>81164.021721244</v>
      </c>
      <c r="S44" s="30" t="n">
        <f aca="false">SUMIF($C$2:$F$2,EOMONTH(S$2,-1)+1,$C44:$F44)*VLOOKUP(S$2,Valores!$H$2:$P$154,8,0)</f>
        <v>162328.043442488</v>
      </c>
      <c r="T44" s="30" t="n">
        <f aca="false">SUMIF($C$2:$F$2,EOMONTH(T$2,-1)+1,$C44:$F44)*VLOOKUP(T$2,Valores!$H$2:$P$154,8,0)</f>
        <v>202910.05430311</v>
      </c>
      <c r="U44" s="30" t="n">
        <f aca="false">SUMIF($C$2:$F$2,EOMONTH(U$2,-1)+1,$C44:$F44)*VLOOKUP(U$2,Valores!$H$2:$P$154,8,0)</f>
        <v>121746.032581866</v>
      </c>
      <c r="V44" s="30" t="n">
        <f aca="false">SUMIF($C$2:$F$2,EOMONTH(V$2,-1)+1,$C44:$F44)*VLOOKUP(V$2,Valores!$H$2:$P$154,8,0)</f>
        <v>101455.027151555</v>
      </c>
      <c r="W44" s="30" t="n">
        <f aca="false">SUMIF($C$2:$F$2,EOMONTH(W$2,-1)+1,$C44:$F44)*VLOOKUP(W$2,Valores!$H$2:$P$154,8,0)</f>
        <v>101455.027151555</v>
      </c>
      <c r="X44" s="30" t="n">
        <f aca="false">SUMIF($C$2:$F$2,EOMONTH(X$2,-1)+1,$C44:$F44)*VLOOKUP(X$2,Valores!$H$2:$P$154,8,0)</f>
        <v>0</v>
      </c>
      <c r="Y44" s="30" t="n">
        <f aca="false">SUMIF($C$2:$F$2,EOMONTH(Y$2,-1)+1,$C44:$F44)*VLOOKUP(Y$2,Valores!$H$2:$P$154,8,0)</f>
        <v>0</v>
      </c>
      <c r="Z44" s="30" t="n">
        <f aca="false">SUMIF($C$2:$F$2,EOMONTH(Z$2,-1)+1,$C44:$F44)*VLOOKUP(Z$2,Valores!$H$2:$P$154,8,0)</f>
        <v>152182.540727333</v>
      </c>
      <c r="AA44" s="30" t="n">
        <f aca="false">SUMIF($C$2:$F$2,EOMONTH(AA$2,-1)+1,$C44:$F44)*VLOOKUP(AA$2,Valores!$H$2:$P$154,8,0)</f>
        <v>182619.048872799</v>
      </c>
      <c r="AB44" s="30" t="n">
        <f aca="false">SUMIF($C$2:$F$2,EOMONTH(AB$2,-1)+1,$C44:$F44)*VLOOKUP(AB$2,Valores!$H$2:$P$154,8,0)</f>
        <v>91309.5244363995</v>
      </c>
      <c r="AC44" s="30" t="n">
        <f aca="false">SUMIF($C$2:$F$2,EOMONTH(AC$2,-1)+1,$C44:$F44)*VLOOKUP(AC$2,Valores!$H$2:$P$154,8,0)</f>
        <v>111600.529866711</v>
      </c>
      <c r="AD44" s="30" t="n">
        <f aca="false">SUMIF($C$2:$F$2,EOMONTH(AD$2,-1)+1,$C44:$F44)*VLOOKUP(AD$2,Valores!$H$2:$P$154,8,0)</f>
        <v>111600.529866711</v>
      </c>
      <c r="AE44" s="30" t="n">
        <f aca="false">SUMIF($C$2:$F$2,EOMONTH(AE$2,-1)+1,$C44:$F44)*VLOOKUP(AE$2,Valores!$H$2:$P$154,8,0)</f>
        <v>111600.529866711</v>
      </c>
      <c r="AF44" s="30" t="n">
        <f aca="false">SUMIF($C$2:$F$2,EOMONTH(AF$2,-1)+1,$C44:$F44)*VLOOKUP(AF$2,Valores!$H$2:$P$154,8,0)</f>
        <v>111600.529866711</v>
      </c>
      <c r="AG44" s="30" t="n">
        <f aca="false">SUMIF($C$2:$F$2,EOMONTH(AG$2,-1)+1,$C44:$F44)*VLOOKUP(AG$2,Valores!$H$2:$P$154,8,0)</f>
        <v>178560.847786737</v>
      </c>
      <c r="AH44" s="30" t="n">
        <f aca="false">SUMIF($C$2:$F$2,EOMONTH(AH$2,-1)+1,$C44:$F44)*VLOOKUP(AH$2,Valores!$H$2:$P$154,8,0)</f>
        <v>223201.059733421</v>
      </c>
      <c r="AI44" s="30" t="n">
        <f aca="false">SUMIF($C$2:$F$2,EOMONTH(AI$2,-1)+1,$C44:$F44)*VLOOKUP(AI$2,Valores!$H$2:$P$154,8,0)</f>
        <v>78120.3709066974</v>
      </c>
      <c r="AJ44" s="30" t="n">
        <f aca="false">SUMIF($C$2:$F$2,EOMONTH(AJ$2,-1)+1,$C44:$F44)*VLOOKUP(AJ$2,Valores!$H$2:$P$154,8,0)</f>
        <v>50727.5135757775</v>
      </c>
      <c r="AK44" s="30" t="n">
        <f aca="false">SUMIF($C$2:$F$2,EOMONTH(AK$2,-1)+1,$C44:$F44)*VLOOKUP(AK$2,Valores!$H$2:$P$154,8,0)</f>
        <v>92505.5576460502</v>
      </c>
      <c r="AL44" s="30" t="n">
        <f aca="false">SUMIF($C$2:$F$2,EOMONTH(AL$2,-1)+1,$C44:$F44)*VLOOKUP(AL$2,Valores!$H$2:$P$154,8,0)</f>
        <v>92505.5576460502</v>
      </c>
      <c r="AM44" s="30" t="n">
        <f aca="false">SUMIF($C$2:$F$2,EOMONTH(AM$2,-1)+1,$C44:$F44)*VLOOKUP(AM$2,Valores!$H$2:$P$154,8,0)</f>
        <v>92505.5576460502</v>
      </c>
      <c r="AN44" s="30" t="n">
        <f aca="false">SUMIF($C$2:$F$2,EOMONTH(AN$2,-1)+1,$C44:$F44)*VLOOKUP(AN$2,Valores!$H$2:$P$154,8,0)</f>
        <v>185011.1152921</v>
      </c>
      <c r="AO44" s="30" t="n">
        <f aca="false">SUMIF($C$2:$F$2,EOMONTH(AO$2,-1)+1,$C44:$F44)*VLOOKUP(AO$2,Valores!$H$2:$P$154,8,0)</f>
        <v>231263.894115125</v>
      </c>
      <c r="AP44" s="30" t="n">
        <f aca="false">SUMIF($C$2:$F$2,EOMONTH(AP$2,-1)+1,$C44:$F44)*VLOOKUP(AP$2,Valores!$H$2:$P$154,8,0)</f>
        <v>138758.336469075</v>
      </c>
      <c r="AQ44" s="30" t="n">
        <f aca="false">SUMIF($C$2:$F$2,EOMONTH(AQ$2,-1)+1,$C44:$F44)*VLOOKUP(AQ$2,Valores!$H$2:$P$154,8,0)</f>
        <v>49556.5487389554</v>
      </c>
      <c r="AR44" s="30" t="n">
        <f aca="false">SUMIF($C$2:$F$2,EOMONTH(AR$2,-1)+1,$C44:$F44)*VLOOKUP(AR$2,Valores!$H$2:$P$154,8,0)</f>
        <v>49556.5487389554</v>
      </c>
      <c r="AS44" s="30" t="n">
        <f aca="false">SUMIF($C$2:$F$2,EOMONTH(AS$2,-1)+1,$C44:$F44)*VLOOKUP(AS$2,Valores!$H$2:$P$154,8,0)</f>
        <v>49556.5487389554</v>
      </c>
      <c r="AT44" s="30" t="n">
        <f aca="false">SUMIF($C$2:$F$2,EOMONTH(AT$2,-1)+1,$C44:$F44)*VLOOKUP(AT$2,Valores!$H$2:$P$154,8,0)</f>
        <v>49556.5487389554</v>
      </c>
      <c r="AU44" s="30" t="n">
        <f aca="false">SUMIF($C$2:$F$2,EOMONTH(AU$2,-1)+1,$C44:$F44)*VLOOKUP(AU$2,Valores!$H$2:$P$154,8,0)</f>
        <v>99113.0974779109</v>
      </c>
      <c r="AV44" s="30" t="n">
        <f aca="false">SUMIF($C$2:$F$2,EOMONTH(AV$2,-1)+1,$C44:$F44)*VLOOKUP(AV$2,Valores!$H$2:$P$154,8,0)</f>
        <v>123891.371847389</v>
      </c>
      <c r="AW44" s="30" t="n">
        <f aca="false">SUMIF($C$2:$F$2,EOMONTH(AW$2,-1)+1,$C44:$F44)*VLOOKUP(AW$2,Valores!$H$2:$P$154,8,0)</f>
        <v>74334.8231084331</v>
      </c>
      <c r="AX44" s="30" t="n">
        <f aca="false">SUMIF($C$2:$F$2,EOMONTH(AX$2,-1)+1,$C44:$F44)*VLOOKUP(AX$2,Valores!$H$2:$P$154,8,0)</f>
        <v>49556.5487389554</v>
      </c>
      <c r="AY44" s="30" t="n">
        <f aca="false">SUMIF($C$2:$F$2,EOMONTH(AY$2,-1)+1,$C44:$F44)*VLOOKUP(AY$2,Valores!$H$2:$P$154,8,0)</f>
        <v>64423.5133606421</v>
      </c>
      <c r="AZ44" s="30" t="n">
        <f aca="false">SUMIF($C$2:$F$2,EOMONTH(AZ$2,-1)+1,$C44:$F44)*VLOOKUP(AZ$2,Valores!$H$2:$P$154,8,0)</f>
        <v>64423.5133606421</v>
      </c>
      <c r="BA44" s="30" t="n">
        <f aca="false">SUMIF($C$2:$F$2,EOMONTH(BA$2,-1)+1,$C44:$F44)*VLOOKUP(BA$2,Valores!$H$2:$P$154,8,0)</f>
        <v>64423.5133606421</v>
      </c>
      <c r="BB44" s="30" t="n">
        <f aca="false">SUMIF($C$2:$F$2,EOMONTH(BB$2,-1)+1,$C44:$F44)*VLOOKUP(BB$2,Valores!$H$2:$P$154,8,0)</f>
        <v>113980.062099597</v>
      </c>
      <c r="BC44" s="30" t="n">
        <f aca="false">SUMIF($C$2:$F$2,EOMONTH(BC$2,-1)+1,$C44:$F44)*VLOOKUP(BC$2,Valores!$H$2:$P$154,8,0)</f>
        <v>138758.336469075</v>
      </c>
      <c r="BD44" s="30" t="n">
        <f aca="false">SUMIF($C$2:$F$2,EOMONTH(BD$2,-1)+1,$C44:$F44)*VLOOKUP(BD$2,Valores!$H$2:$P$154,8,0)</f>
        <v>74334.8231084331</v>
      </c>
      <c r="BE44" s="30" t="n">
        <f aca="false">SUMIF($C$2:$F$2,EOMONTH(BE$2,-1)+1,$C44:$F44)*VLOOKUP(BE$2,Valores!$H$2:$P$154,8,0)</f>
        <v>66075.3983186072</v>
      </c>
      <c r="BF44" s="30" t="n">
        <f aca="false">SUMIF($C$2:$F$2,EOMONTH(BF$2,-1)+1,$C44:$F44)*VLOOKUP(BF$2,Valores!$H$2:$P$154,8,0)</f>
        <v>66075.3983186072</v>
      </c>
      <c r="BG44" s="30" t="n">
        <f aca="false">SUMIF($C$2:$F$2,EOMONTH(BG$2,-1)+1,$C44:$F44)*VLOOKUP(BG$2,Valores!$H$2:$P$154,8,0)</f>
        <v>66075.3983186072</v>
      </c>
      <c r="BH44" s="30" t="n">
        <f aca="false">SUMIF($C$2:$F$2,EOMONTH(BH$2,-1)+1,$C44:$F44)*VLOOKUP(BH$2,Valores!$H$2:$P$154,8,0)</f>
        <v>66075.3983186072</v>
      </c>
      <c r="BI44" s="30" t="n">
        <f aca="false">SUMIF($C$2:$F$2,EOMONTH(BI$2,-1)+1,$C44:$F44)*VLOOKUP(BI$2,Valores!$H$2:$P$154,8,0)</f>
        <v>132150.796637215</v>
      </c>
      <c r="BJ44" s="30" t="n">
        <f aca="false">SUMIF($C$2:$F$2,EOMONTH(BJ$2,-1)+1,$C44:$F44)*VLOOKUP(BJ$2,Valores!$H$2:$P$154,8,0)</f>
        <v>165188.495796518</v>
      </c>
      <c r="BK44" s="30" t="n">
        <f aca="false">SUMIF($C$2:$F$2,EOMONTH(BK$2,-1)+1,$C44:$F44)*VLOOKUP(BK$2,Valores!$H$2:$P$154,8,0)</f>
        <v>79290.4779823287</v>
      </c>
      <c r="BL44" s="30" t="n">
        <f aca="false">SUMIF($C$2:$F$2,EOMONTH(BL$2,-1)+1,$C44:$F44)*VLOOKUP(BL$2,Valores!$H$2:$P$154,8,0)</f>
        <v>58146.3505203744</v>
      </c>
      <c r="BM44" s="30" t="n">
        <f aca="false">SUMIF($C$2:$F$2,EOMONTH(BM$2,-1)+1,$C44:$F44)*VLOOKUP(BM$2,Valores!$H$2:$P$154,8,0)</f>
        <v>58146.3505203744</v>
      </c>
      <c r="BN44" s="30" t="n">
        <f aca="false">SUMIF($C$2:$F$2,EOMONTH(BN$2,-1)+1,$C44:$F44)*VLOOKUP(BN$2,Valores!$H$2:$P$154,8,0)</f>
        <v>58146.3505203744</v>
      </c>
      <c r="BO44" s="30" t="n">
        <f aca="false">SUMIF($C$2:$F$2,EOMONTH(BO$2,-1)+1,$C44:$F44)*VLOOKUP(BO$2,Valores!$H$2:$P$154,8,0)</f>
        <v>61053.6680463931</v>
      </c>
      <c r="BP44" s="30" t="n">
        <f aca="false">SUMIF($C$2:$F$2,EOMONTH(BP$2,-1)+1,$C44:$F44)*VLOOKUP(BP$2,Valores!$H$2:$P$154,8,0)</f>
        <v>153644.402768926</v>
      </c>
      <c r="BQ44" s="30" t="n">
        <f aca="false">SUMIF($C$2:$F$2,EOMONTH(BQ$2,-1)+1,$C44:$F44)*VLOOKUP(BQ$2,Valores!$H$2:$P$154,8,0)</f>
        <v>192055.503461158</v>
      </c>
      <c r="BR44" s="30" t="n">
        <f aca="false">SUMIF($C$2:$F$2,EOMONTH(BR$2,-1)+1,$C44:$F44)*VLOOKUP(BR$2,Valores!$H$2:$P$154,8,0)</f>
        <v>92186.6416613559</v>
      </c>
      <c r="BS44" s="30" t="n">
        <f aca="false">SUMIF($C$2:$F$2,EOMONTH(BS$2,-1)+1,$C44:$F44)*VLOOKUP(BS$2,Valores!$H$2:$P$154,8,0)</f>
        <v>41154.7507416767</v>
      </c>
      <c r="BT44" s="30" t="n">
        <f aca="false">SUMIF($C$2:$F$2,EOMONTH(BT$2,-1)+1,$C44:$F44)*VLOOKUP(BT$2,Valores!$H$2:$P$154,8,0)</f>
        <v>41154.7507416767</v>
      </c>
      <c r="BU44" s="30" t="n">
        <f aca="false">SUMIF($C$2:$F$2,EOMONTH(BU$2,-1)+1,$C44:$F44)*VLOOKUP(BU$2,Valores!$H$2:$P$154,8,0)</f>
        <v>41154.7507416767</v>
      </c>
      <c r="BV44" s="30" t="n">
        <f aca="false">SUMIF($C$2:$F$2,EOMONTH(BV$2,-1)+1,$C44:$F44)*VLOOKUP(BV$2,Valores!$H$2:$P$154,8,0)</f>
        <v>41154.7507416767</v>
      </c>
      <c r="BW44" s="30" t="n">
        <f aca="false">SUMIF($C$2:$F$2,EOMONTH(BW$2,-1)+1,$C44:$F44)*VLOOKUP(BW$2,Valores!$H$2:$P$154,8,0)</f>
        <v>82309.5014833535</v>
      </c>
      <c r="BX44" s="30" t="n">
        <f aca="false">SUMIF($C$2:$F$2,EOMONTH(BX$2,-1)+1,$C44:$F44)*VLOOKUP(BX$2,Valores!$H$2:$P$154,8,0)</f>
        <v>102886.876854192</v>
      </c>
      <c r="BY44" s="30" t="n">
        <f aca="false">SUMIF($C$2:$F$2,EOMONTH(BY$2,-1)+1,$C44:$F44)*VLOOKUP(BY$2,Valores!$H$2:$P$154,8,0)</f>
        <v>61732.1261125151</v>
      </c>
      <c r="BZ44" s="30" t="n">
        <f aca="false">SUMIF($C$2:$F$2,EOMONTH(BZ$2,-1)+1,$C44:$F44)*VLOOKUP(BZ$2,Valores!$H$2:$P$154,8,0)</f>
        <v>41154.7507416767</v>
      </c>
      <c r="CA44" s="30" t="n">
        <f aca="false">SUMIF($C$2:$F$2,EOMONTH(CA$2,-1)+1,$C44:$F44)*VLOOKUP(CA$2,Valores!$H$2:$P$154,8,0)</f>
        <v>41154.7507416767</v>
      </c>
      <c r="CB44" s="30" t="n">
        <f aca="false">SUMIF($C$2:$F$2,EOMONTH(CB$2,-1)+1,$C44:$F44)*VLOOKUP(CB$2,Valores!$H$2:$P$154,8,0)</f>
        <v>41154.7507416767</v>
      </c>
      <c r="CC44" s="30" t="n">
        <f aca="false">SUMIF($C$2:$F$2,EOMONTH(CC$2,-1)+1,$C44:$F44)*VLOOKUP(CC$2,Valores!$H$2:$P$154,8,0)</f>
        <v>41154.7507416767</v>
      </c>
      <c r="CD44" s="30" t="n">
        <f aca="false">SUMIF($C$2:$F$2,EOMONTH(CD$2,-1)+1,$C44:$F44)*VLOOKUP(CD$2,Valores!$H$2:$P$154,8,0)</f>
        <v>123464.25222503</v>
      </c>
      <c r="CE44" s="30" t="n">
        <f aca="false">SUMIF($C$2:$F$2,EOMONTH(CE$2,-1)+1,$C44:$F44)*VLOOKUP(CE$2,Valores!$H$2:$P$154,8,0)</f>
        <v>164619.002966707</v>
      </c>
      <c r="CF44" s="30" t="n">
        <f aca="false">SUMIF($C$2:$F$2,EOMONTH(CF$2,-1)+1,$C44:$F44)*VLOOKUP(CF$2,Valores!$H$2:$P$154,8,0)</f>
        <v>102886.876854192</v>
      </c>
      <c r="CG44" s="30" t="n">
        <f aca="false">SUMIF($C$2:$F$2,EOMONTH(CG$2,-1)+1,$C44:$F44)*VLOOKUP(CG$2,Valores!$H$2:$P$154,8,0)</f>
        <v>54873.0009889023</v>
      </c>
      <c r="CH44" s="30" t="n">
        <f aca="false">SUMIF($C$2:$F$2,EOMONTH(CH$2,-1)+1,$C44:$F44)*VLOOKUP(CH$2,Valores!$H$2:$P$154,8,0)</f>
        <v>54873.0009889023</v>
      </c>
      <c r="CI44" s="30" t="n">
        <f aca="false">SUMIF($C$2:$F$2,EOMONTH(CI$2,-1)+1,$C44:$F44)*VLOOKUP(CI$2,Valores!$H$2:$P$154,8,0)</f>
        <v>54873.0009889023</v>
      </c>
      <c r="CJ44" s="30" t="n">
        <f aca="false">SUMIF($C$2:$F$2,EOMONTH(CJ$2,-1)+1,$C44:$F44)*VLOOKUP(CJ$2,Valores!$H$2:$P$154,8,0)</f>
        <v>54873.0009889023</v>
      </c>
      <c r="CK44" s="30" t="n">
        <f aca="false">SUMIF($C$2:$F$2,EOMONTH(CK$2,-1)+1,$C44:$F44)*VLOOKUP(CK$2,Valores!$H$2:$P$154,8,0)</f>
        <v>109746.001977805</v>
      </c>
      <c r="CL44" s="30" t="n">
        <f aca="false">SUMIF($C$2:$F$2,EOMONTH(CL$2,-1)+1,$C44:$F44)*VLOOKUP(CL$2,Valores!$H$2:$P$154,8,0)</f>
        <v>137182.502472256</v>
      </c>
      <c r="CM44" s="30" t="n">
        <f aca="false">SUMIF($C$2:$F$2,EOMONTH(CM$2,-1)+1,$C44:$F44)*VLOOKUP(CM$2,Valores!$H$2:$P$154,8,0)</f>
        <v>82309.5014833535</v>
      </c>
      <c r="CN44" s="30" t="n">
        <f aca="false">SUMIF($C$2:$F$2,EOMONTH(CN$2,-1)+1,$C44:$F44)*VLOOKUP(CN$2,Valores!$H$2:$P$154,8,0)</f>
        <v>60360.3010877925</v>
      </c>
      <c r="CO44" s="30" t="n">
        <f aca="false">SUMIF($C$2:$F$2,EOMONTH(CO$2,-1)+1,$C44:$F44)*VLOOKUP(CO$2,Valores!$H$2:$P$154,8,0)</f>
        <v>60360.3010877925</v>
      </c>
      <c r="CP44" s="30" t="n">
        <f aca="false">SUMIF($C$2:$F$2,EOMONTH(CP$2,-1)+1,$C44:$F44)*VLOOKUP(CP$2,Valores!$H$2:$P$154,8,0)</f>
        <v>60360.3010877925</v>
      </c>
      <c r="CQ44" s="30" t="n">
        <f aca="false">SUMIF($C$2:$F$2,EOMONTH(CQ$2,-1)+1,$C44:$F44)*VLOOKUP(CQ$2,Valores!$H$2:$P$154,8,0)</f>
        <v>60360.3010877925</v>
      </c>
      <c r="CR44" s="30" t="n">
        <f aca="false">SUMIF($C$2:$F$2,EOMONTH(CR$2,-1)+1,$C44:$F44)*VLOOKUP(CR$2,Valores!$H$2:$P$154,8,0)</f>
        <v>120720.602175585</v>
      </c>
      <c r="CS44" s="30" t="n">
        <f aca="false">SUMIF($C$2:$F$2,EOMONTH(CS$2,-1)+1,$C44:$F44)*VLOOKUP(CS$2,Valores!$H$2:$P$154,8,0)</f>
        <v>181080.903263378</v>
      </c>
      <c r="CT44" s="30" t="e">
        <f aca="false">SUMIF($C$2:$F$2,EOMONTH(CT$2,-1)+1,$C44:$F44)*VLOOKUP(CT$2,Valores!$H$2:$P$154,8,0)</f>
        <v>#VALUE!</v>
      </c>
      <c r="CU44" s="30" t="e">
        <f aca="false">SUMIF($C$2:$F$2,EOMONTH(CU$2,-1)+1,$C44:$F44)*VLOOKUP(CU$2,Valores!$H$2:$P$154,8,0)</f>
        <v>#VALUE!</v>
      </c>
      <c r="CV44" s="30" t="e">
        <f aca="false">SUMIF($C$2:$F$2,EOMONTH(CV$2,-1)+1,$C44:$F44)*VLOOKUP(CV$2,Valores!$H$2:$P$154,8,0)</f>
        <v>#VALUE!</v>
      </c>
      <c r="CW44" s="30" t="e">
        <f aca="false">SUMIF($C$2:$F$2,EOMONTH(CW$2,-1)+1,$C44:$F44)*VLOOKUP(CW$2,Valores!$H$2:$P$154,8,0)</f>
        <v>#VALUE!</v>
      </c>
      <c r="CX44" s="30" t="e">
        <f aca="false">SUMIF($C$2:$F$2,EOMONTH(CX$2,-1)+1,$C44:$F44)*VLOOKUP(CX$2,Valores!$H$2:$P$154,8,0)</f>
        <v>#VALUE!</v>
      </c>
      <c r="CY44" s="30" t="e">
        <f aca="false">SUMIF($C$2:$F$2,EOMONTH(CY$2,-1)+1,$C44:$F44)*VLOOKUP(CY$2,Valores!$H$2:$P$154,8,0)</f>
        <v>#VALUE!</v>
      </c>
      <c r="CZ44" s="30" t="e">
        <f aca="false">SUMIF($C$2:$F$2,EOMONTH(CZ$2,-1)+1,$C44:$F44)*VLOOKUP(CZ$2,Valores!$H$2:$P$154,8,0)</f>
        <v>#VALUE!</v>
      </c>
      <c r="DA44" s="30" t="e">
        <f aca="false">SUMIF($C$2:$F$2,EOMONTH(DA$2,-1)+1,$C44:$F44)*VLOOKUP(DA$2,Valores!$H$2:$P$154,8,0)</f>
        <v>#VALUE!</v>
      </c>
      <c r="DB44" s="30" t="e">
        <f aca="false">SUMIF($C$2:$F$2,EOMONTH(DB$2,-1)+1,$C44:$F44)*VLOOKUP(DB$2,Valores!$H$2:$P$154,8,0)</f>
        <v>#VALUE!</v>
      </c>
      <c r="DC44" s="30" t="e">
        <f aca="false">SUMIF($C$2:$F$2,EOMONTH(DC$2,-1)+1,$C44:$F44)*VLOOKUP(DC$2,Valores!$H$2:$P$154,8,0)</f>
        <v>#VALUE!</v>
      </c>
      <c r="DD44" s="30" t="e">
        <f aca="false">SUMIF($C$2:$F$2,EOMONTH(DD$2,-1)+1,$C44:$F44)*VLOOKUP(DD$2,Valores!$H$2:$P$154,8,0)</f>
        <v>#VALUE!</v>
      </c>
      <c r="DE44" s="30" t="e">
        <f aca="false">SUMIF($C$2:$F$2,EOMONTH(DE$2,-1)+1,$C44:$F44)*VLOOKUP(DE$2,Valores!$H$2:$P$154,8,0)</f>
        <v>#VALUE!</v>
      </c>
      <c r="DF44" s="30" t="e">
        <f aca="false">SUMIF($C$2:$F$2,EOMONTH(DF$2,-1)+1,$C44:$F44)*VLOOKUP(DF$2,Valores!$H$2:$P$154,8,0)</f>
        <v>#VALUE!</v>
      </c>
      <c r="DG44" s="30" t="e">
        <f aca="false">SUMIF($C$2:$F$2,EOMONTH(DG$2,-1)+1,$C44:$F44)*VLOOKUP(DG$2,Valores!$H$2:$P$154,8,0)</f>
        <v>#VALUE!</v>
      </c>
      <c r="DH44" s="30" t="e">
        <f aca="false">SUMIF($C$2:$F$2,EOMONTH(DH$2,-1)+1,$C44:$F44)*VLOOKUP(DH$2,Valores!$H$2:$P$154,8,0)</f>
        <v>#VALUE!</v>
      </c>
      <c r="DI44" s="30" t="e">
        <f aca="false">SUMIF($C$2:$F$2,EOMONTH(DI$2,-1)+1,$C44:$F44)*VLOOKUP(DI$2,Valores!$H$2:$P$154,8,0)</f>
        <v>#VALUE!</v>
      </c>
      <c r="DJ44" s="30" t="e">
        <f aca="false">SUMIF($C$2:$F$2,EOMONTH(DJ$2,-1)+1,$C44:$F44)*VLOOKUP(DJ$2,Valores!$H$2:$P$154,8,0)</f>
        <v>#VALUE!</v>
      </c>
      <c r="DK44" s="30" t="e">
        <f aca="false">SUMIF($C$2:$F$2,EOMONTH(DK$2,-1)+1,$C44:$F44)*VLOOKUP(DK$2,Valores!$H$2:$P$154,8,0)</f>
        <v>#VALUE!</v>
      </c>
      <c r="DL44" s="30" t="e">
        <f aca="false">SUMIF($C$2:$F$2,EOMONTH(DL$2,-1)+1,$C44:$F44)*VLOOKUP(DL$2,Valores!$H$2:$P$154,8,0)</f>
        <v>#VALUE!</v>
      </c>
      <c r="DM44" s="30" t="e">
        <f aca="false">SUMIF($C$2:$F$2,EOMONTH(DM$2,-1)+1,$C44:$F44)*VLOOKUP(DM$2,Valores!$H$2:$P$154,8,0)</f>
        <v>#VALUE!</v>
      </c>
      <c r="DN44" s="30" t="e">
        <f aca="false">SUMIF($C$2:$F$2,EOMONTH(DN$2,-1)+1,$C44:$F44)*VLOOKUP(DN$2,Valores!$H$2:$P$154,8,0)</f>
        <v>#VALUE!</v>
      </c>
      <c r="DO44" s="30" t="e">
        <f aca="false">SUMIF($C$2:$F$2,EOMONTH(DO$2,-1)+1,$C44:$F44)*VLOOKUP(DO$2,Valores!$H$2:$P$154,8,0)</f>
        <v>#VALUE!</v>
      </c>
      <c r="DP44" s="30" t="e">
        <f aca="false">SUMIF($C$2:$F$2,EOMONTH(DP$2,-1)+1,$C44:$F44)*VLOOKUP(DP$2,Valores!$H$2:$P$154,8,0)</f>
        <v>#VALUE!</v>
      </c>
      <c r="DQ44" s="30" t="e">
        <f aca="false">SUMIF($C$2:$F$2,EOMONTH(DQ$2,-1)+1,$C44:$F44)*VLOOKUP(DQ$2,Valores!$H$2:$P$154,8,0)</f>
        <v>#VALUE!</v>
      </c>
      <c r="DR44" s="30" t="e">
        <f aca="false">SUMIF($C$2:$F$2,EOMONTH(DR$2,-1)+1,$C44:$F44)*VLOOKUP(DR$2,Valores!$H$2:$P$154,8,0)</f>
        <v>#VALUE!</v>
      </c>
      <c r="DS44" s="30" t="e">
        <f aca="false">SUMIF($C$2:$F$2,EOMONTH(DS$2,-1)+1,$C44:$F44)*VLOOKUP(DS$2,Valores!$H$2:$P$154,8,0)</f>
        <v>#VALUE!</v>
      </c>
      <c r="DT44" s="30" t="e">
        <f aca="false">SUMIF($C$2:$F$2,EOMONTH(DT$2,-1)+1,$C44:$F44)*VLOOKUP(DT$2,Valores!$H$2:$P$154,8,0)</f>
        <v>#VALUE!</v>
      </c>
      <c r="DU44" s="30" t="e">
        <f aca="false">SUMIF($C$2:$F$2,EOMONTH(DU$2,-1)+1,$C44:$F44)*VLOOKUP(DU$2,Valores!$H$2:$P$154,8,0)</f>
        <v>#VALUE!</v>
      </c>
      <c r="DV44" s="30" t="e">
        <f aca="false">SUMIF($C$2:$F$2,EOMONTH(DV$2,-1)+1,$C44:$F44)*VLOOKUP(DV$2,Valores!$H$2:$P$154,8,0)</f>
        <v>#VALUE!</v>
      </c>
      <c r="DW44" s="30" t="e">
        <f aca="false">SUMIF($C$2:$F$2,EOMONTH(DW$2,-1)+1,$C44:$F44)*VLOOKUP(DW$2,Valores!$H$2:$P$154,8,0)</f>
        <v>#VALUE!</v>
      </c>
      <c r="DX44" s="30" t="e">
        <f aca="false">SUMIF($C$2:$F$2,EOMONTH(DX$2,-1)+1,$C44:$F44)*VLOOKUP(DX$2,Valores!$H$2:$P$154,8,0)</f>
        <v>#VALUE!</v>
      </c>
    </row>
    <row r="45" customFormat="false" ht="13.8" hidden="false" customHeight="false" outlineLevel="0" collapsed="false">
      <c r="A45" s="31" t="s">
        <v>54</v>
      </c>
      <c r="B45" s="31" t="s">
        <v>67</v>
      </c>
      <c r="C45" s="31" t="n">
        <v>2976541</v>
      </c>
      <c r="D45" s="31" t="n">
        <v>2678886.9</v>
      </c>
      <c r="E45" s="31" t="n">
        <v>2410998.21</v>
      </c>
      <c r="F45" s="31" t="n">
        <v>2169898.389</v>
      </c>
      <c r="G45" s="27" t="n">
        <f aca="false">SUMIF($C$2:$F$2,EOMONTH(G$2,-1)+1,$C45:$F45)*VLOOKUP(G$2,Valores!$H$2:$P$154,8,0)</f>
        <v>85715.7602435412</v>
      </c>
      <c r="H45" s="27" t="n">
        <f aca="false">SUMIF($C$2:$F$2,EOMONTH(H$2,-1)+1,$C45:$F45)*VLOOKUP(H$2,Valores!$H$2:$P$154,8,0)</f>
        <v>58776.5213098568</v>
      </c>
      <c r="I45" s="27" t="n">
        <f aca="false">SUMIF($C$2:$F$2,EOMONTH(I$2,-1)+1,$C45:$F45)*VLOOKUP(I$2,Valores!$H$2:$P$154,8,0)</f>
        <v>58776.5213098568</v>
      </c>
      <c r="J45" s="27" t="n">
        <f aca="false">SUMIF($C$2:$F$2,EOMONTH(J$2,-1)+1,$C45:$F45)*VLOOKUP(J$2,Valores!$H$2:$P$154,8,0)</f>
        <v>58776.5213098568</v>
      </c>
      <c r="K45" s="27" t="n">
        <f aca="false">SUMIF($C$2:$F$2,EOMONTH(K$2,-1)+1,$C45:$F45)*VLOOKUP(K$2,Valores!$H$2:$P$154,8,0)</f>
        <v>58776.5213098568</v>
      </c>
      <c r="L45" s="27" t="n">
        <f aca="false">SUMIF($C$2:$F$2,EOMONTH(L$2,-1)+1,$C45:$F45)*VLOOKUP(L$2,Valores!$H$2:$P$154,8,0)</f>
        <v>117553.042619714</v>
      </c>
      <c r="M45" s="27" t="n">
        <f aca="false">SUMIF($C$2:$F$2,EOMONTH(M$2,-1)+1,$C45:$F45)*VLOOKUP(M$2,Valores!$H$2:$P$154,8,0)</f>
        <v>146941.303274642</v>
      </c>
      <c r="N45" s="27" t="n">
        <f aca="false">SUMIF($C$2:$F$2,EOMONTH(N$2,-1)+1,$C45:$F45)*VLOOKUP(N$2,Valores!$H$2:$P$154,8,0)</f>
        <v>88164.7819647852</v>
      </c>
      <c r="O45" s="27" t="n">
        <f aca="false">SUMIF($C$2:$F$2,EOMONTH(O$2,-1)+1,$C45:$F45)*VLOOKUP(O$2,Valores!$H$2:$P$154,8,0)</f>
        <v>78368.6950798091</v>
      </c>
      <c r="P45" s="27" t="n">
        <f aca="false">SUMIF($C$2:$F$2,EOMONTH(P$2,-1)+1,$C45:$F45)*VLOOKUP(P$2,Valores!$H$2:$P$154,8,0)</f>
        <v>78368.6950798091</v>
      </c>
      <c r="Q45" s="27" t="n">
        <f aca="false">SUMIF($C$2:$F$2,EOMONTH(Q$2,-1)+1,$C45:$F45)*VLOOKUP(Q$2,Valores!$H$2:$P$154,8,0)</f>
        <v>47021.2170478855</v>
      </c>
      <c r="R45" s="27" t="n">
        <f aca="false">SUMIF($C$2:$F$2,EOMONTH(R$2,-1)+1,$C45:$F45)*VLOOKUP(R$2,Valores!$H$2:$P$154,8,0)</f>
        <v>78368.6950798091</v>
      </c>
      <c r="S45" s="27" t="n">
        <f aca="false">SUMIF($C$2:$F$2,EOMONTH(S$2,-1)+1,$C45:$F45)*VLOOKUP(S$2,Valores!$H$2:$P$154,8,0)</f>
        <v>156737.390159618</v>
      </c>
      <c r="T45" s="27" t="n">
        <f aca="false">SUMIF($C$2:$F$2,EOMONTH(T$2,-1)+1,$C45:$F45)*VLOOKUP(T$2,Valores!$H$2:$P$154,8,0)</f>
        <v>195921.737699523</v>
      </c>
      <c r="U45" s="27" t="n">
        <f aca="false">SUMIF($C$2:$F$2,EOMONTH(U$2,-1)+1,$C45:$F45)*VLOOKUP(U$2,Valores!$H$2:$P$154,8,0)</f>
        <v>117553.042619714</v>
      </c>
      <c r="V45" s="27" t="n">
        <f aca="false">SUMIF($C$2:$F$2,EOMONTH(V$2,-1)+1,$C45:$F45)*VLOOKUP(V$2,Valores!$H$2:$P$154,8,0)</f>
        <v>97960.8688497614</v>
      </c>
      <c r="W45" s="27" t="n">
        <f aca="false">SUMIF($C$2:$F$2,EOMONTH(W$2,-1)+1,$C45:$F45)*VLOOKUP(W$2,Valores!$H$2:$P$154,8,0)</f>
        <v>97960.8688497614</v>
      </c>
      <c r="X45" s="27" t="n">
        <f aca="false">SUMIF($C$2:$F$2,EOMONTH(X$2,-1)+1,$C45:$F45)*VLOOKUP(X$2,Valores!$H$2:$P$154,8,0)</f>
        <v>0</v>
      </c>
      <c r="Y45" s="27" t="n">
        <f aca="false">SUMIF($C$2:$F$2,EOMONTH(Y$2,-1)+1,$C45:$F45)*VLOOKUP(Y$2,Valores!$H$2:$P$154,8,0)</f>
        <v>0</v>
      </c>
      <c r="Z45" s="27" t="n">
        <f aca="false">SUMIF($C$2:$F$2,EOMONTH(Z$2,-1)+1,$C45:$F45)*VLOOKUP(Z$2,Valores!$H$2:$P$154,8,0)</f>
        <v>146941.303274642</v>
      </c>
      <c r="AA45" s="27" t="n">
        <f aca="false">SUMIF($C$2:$F$2,EOMONTH(AA$2,-1)+1,$C45:$F45)*VLOOKUP(AA$2,Valores!$H$2:$P$154,8,0)</f>
        <v>176329.56392957</v>
      </c>
      <c r="AB45" s="27" t="n">
        <f aca="false">SUMIF($C$2:$F$2,EOMONTH(AB$2,-1)+1,$C45:$F45)*VLOOKUP(AB$2,Valores!$H$2:$P$154,8,0)</f>
        <v>88164.7819647852</v>
      </c>
      <c r="AC45" s="27" t="n">
        <f aca="false">SUMIF($C$2:$F$2,EOMONTH(AC$2,-1)+1,$C45:$F45)*VLOOKUP(AC$2,Valores!$H$2:$P$154,8,0)</f>
        <v>107756.955734738</v>
      </c>
      <c r="AD45" s="27" t="n">
        <f aca="false">SUMIF($C$2:$F$2,EOMONTH(AD$2,-1)+1,$C45:$F45)*VLOOKUP(AD$2,Valores!$H$2:$P$154,8,0)</f>
        <v>107756.955734738</v>
      </c>
      <c r="AE45" s="27" t="n">
        <f aca="false">SUMIF($C$2:$F$2,EOMONTH(AE$2,-1)+1,$C45:$F45)*VLOOKUP(AE$2,Valores!$H$2:$P$154,8,0)</f>
        <v>107756.955734738</v>
      </c>
      <c r="AF45" s="27" t="n">
        <f aca="false">SUMIF($C$2:$F$2,EOMONTH(AF$2,-1)+1,$C45:$F45)*VLOOKUP(AF$2,Valores!$H$2:$P$154,8,0)</f>
        <v>107756.955734738</v>
      </c>
      <c r="AG45" s="27" t="n">
        <f aca="false">SUMIF($C$2:$F$2,EOMONTH(AG$2,-1)+1,$C45:$F45)*VLOOKUP(AG$2,Valores!$H$2:$P$154,8,0)</f>
        <v>172411.12917558</v>
      </c>
      <c r="AH45" s="27" t="n">
        <f aca="false">SUMIF($C$2:$F$2,EOMONTH(AH$2,-1)+1,$C45:$F45)*VLOOKUP(AH$2,Valores!$H$2:$P$154,8,0)</f>
        <v>215513.911469475</v>
      </c>
      <c r="AI45" s="27" t="n">
        <f aca="false">SUMIF($C$2:$F$2,EOMONTH(AI$2,-1)+1,$C45:$F45)*VLOOKUP(AI$2,Valores!$H$2:$P$154,8,0)</f>
        <v>75429.8690143163</v>
      </c>
      <c r="AJ45" s="27" t="n">
        <f aca="false">SUMIF($C$2:$F$2,EOMONTH(AJ$2,-1)+1,$C45:$F45)*VLOOKUP(AJ$2,Valores!$H$2:$P$154,8,0)</f>
        <v>48980.4344248807</v>
      </c>
      <c r="AK45" s="27" t="n">
        <f aca="false">SUMIF($C$2:$F$2,EOMONTH(AK$2,-1)+1,$C45:$F45)*VLOOKUP(AK$2,Valores!$H$2:$P$154,8,0)</f>
        <v>89319.6232346567</v>
      </c>
      <c r="AL45" s="27" t="n">
        <f aca="false">SUMIF($C$2:$F$2,EOMONTH(AL$2,-1)+1,$C45:$F45)*VLOOKUP(AL$2,Valores!$H$2:$P$154,8,0)</f>
        <v>89319.6232346567</v>
      </c>
      <c r="AM45" s="27" t="n">
        <f aca="false">SUMIF($C$2:$F$2,EOMONTH(AM$2,-1)+1,$C45:$F45)*VLOOKUP(AM$2,Valores!$H$2:$P$154,8,0)</f>
        <v>89319.6232346567</v>
      </c>
      <c r="AN45" s="27" t="n">
        <f aca="false">SUMIF($C$2:$F$2,EOMONTH(AN$2,-1)+1,$C45:$F45)*VLOOKUP(AN$2,Valores!$H$2:$P$154,8,0)</f>
        <v>178639.246469313</v>
      </c>
      <c r="AO45" s="27" t="n">
        <f aca="false">SUMIF($C$2:$F$2,EOMONTH(AO$2,-1)+1,$C45:$F45)*VLOOKUP(AO$2,Valores!$H$2:$P$154,8,0)</f>
        <v>223299.058086642</v>
      </c>
      <c r="AP45" s="27" t="n">
        <f aca="false">SUMIF($C$2:$F$2,EOMONTH(AP$2,-1)+1,$C45:$F45)*VLOOKUP(AP$2,Valores!$H$2:$P$154,8,0)</f>
        <v>133979.434851985</v>
      </c>
      <c r="AQ45" s="27" t="n">
        <f aca="false">SUMIF($C$2:$F$2,EOMONTH(AQ$2,-1)+1,$C45:$F45)*VLOOKUP(AQ$2,Valores!$H$2:$P$154,8,0)</f>
        <v>47849.7981614232</v>
      </c>
      <c r="AR45" s="27" t="n">
        <f aca="false">SUMIF($C$2:$F$2,EOMONTH(AR$2,-1)+1,$C45:$F45)*VLOOKUP(AR$2,Valores!$H$2:$P$154,8,0)</f>
        <v>47849.7981614232</v>
      </c>
      <c r="AS45" s="27" t="n">
        <f aca="false">SUMIF($C$2:$F$2,EOMONTH(AS$2,-1)+1,$C45:$F45)*VLOOKUP(AS$2,Valores!$H$2:$P$154,8,0)</f>
        <v>47849.7981614232</v>
      </c>
      <c r="AT45" s="27" t="n">
        <f aca="false">SUMIF($C$2:$F$2,EOMONTH(AT$2,-1)+1,$C45:$F45)*VLOOKUP(AT$2,Valores!$H$2:$P$154,8,0)</f>
        <v>47849.7981614232</v>
      </c>
      <c r="AU45" s="27" t="n">
        <f aca="false">SUMIF($C$2:$F$2,EOMONTH(AU$2,-1)+1,$C45:$F45)*VLOOKUP(AU$2,Valores!$H$2:$P$154,8,0)</f>
        <v>95699.5963228464</v>
      </c>
      <c r="AV45" s="27" t="n">
        <f aca="false">SUMIF($C$2:$F$2,EOMONTH(AV$2,-1)+1,$C45:$F45)*VLOOKUP(AV$2,Valores!$H$2:$P$154,8,0)</f>
        <v>119624.495403558</v>
      </c>
      <c r="AW45" s="27" t="n">
        <f aca="false">SUMIF($C$2:$F$2,EOMONTH(AW$2,-1)+1,$C45:$F45)*VLOOKUP(AW$2,Valores!$H$2:$P$154,8,0)</f>
        <v>71774.6972421348</v>
      </c>
      <c r="AX45" s="27" t="n">
        <f aca="false">SUMIF($C$2:$F$2,EOMONTH(AX$2,-1)+1,$C45:$F45)*VLOOKUP(AX$2,Valores!$H$2:$P$154,8,0)</f>
        <v>47849.7981614232</v>
      </c>
      <c r="AY45" s="27" t="n">
        <f aca="false">SUMIF($C$2:$F$2,EOMONTH(AY$2,-1)+1,$C45:$F45)*VLOOKUP(AY$2,Valores!$H$2:$P$154,8,0)</f>
        <v>62204.7376098502</v>
      </c>
      <c r="AZ45" s="27" t="n">
        <f aca="false">SUMIF($C$2:$F$2,EOMONTH(AZ$2,-1)+1,$C45:$F45)*VLOOKUP(AZ$2,Valores!$H$2:$P$154,8,0)</f>
        <v>62204.7376098502</v>
      </c>
      <c r="BA45" s="27" t="n">
        <f aca="false">SUMIF($C$2:$F$2,EOMONTH(BA$2,-1)+1,$C45:$F45)*VLOOKUP(BA$2,Valores!$H$2:$P$154,8,0)</f>
        <v>62204.7376098502</v>
      </c>
      <c r="BB45" s="27" t="n">
        <f aca="false">SUMIF($C$2:$F$2,EOMONTH(BB$2,-1)+1,$C45:$F45)*VLOOKUP(BB$2,Valores!$H$2:$P$154,8,0)</f>
        <v>110054.535771273</v>
      </c>
      <c r="BC45" s="27" t="n">
        <f aca="false">SUMIF($C$2:$F$2,EOMONTH(BC$2,-1)+1,$C45:$F45)*VLOOKUP(BC$2,Valores!$H$2:$P$154,8,0)</f>
        <v>133979.434851985</v>
      </c>
      <c r="BD45" s="27" t="n">
        <f aca="false">SUMIF($C$2:$F$2,EOMONTH(BD$2,-1)+1,$C45:$F45)*VLOOKUP(BD$2,Valores!$H$2:$P$154,8,0)</f>
        <v>71774.6972421348</v>
      </c>
      <c r="BE45" s="27" t="n">
        <f aca="false">SUMIF($C$2:$F$2,EOMONTH(BE$2,-1)+1,$C45:$F45)*VLOOKUP(BE$2,Valores!$H$2:$P$154,8,0)</f>
        <v>63799.7308818976</v>
      </c>
      <c r="BF45" s="27" t="n">
        <f aca="false">SUMIF($C$2:$F$2,EOMONTH(BF$2,-1)+1,$C45:$F45)*VLOOKUP(BF$2,Valores!$H$2:$P$154,8,0)</f>
        <v>63799.7308818976</v>
      </c>
      <c r="BG45" s="27" t="n">
        <f aca="false">SUMIF($C$2:$F$2,EOMONTH(BG$2,-1)+1,$C45:$F45)*VLOOKUP(BG$2,Valores!$H$2:$P$154,8,0)</f>
        <v>63799.7308818976</v>
      </c>
      <c r="BH45" s="27" t="n">
        <f aca="false">SUMIF($C$2:$F$2,EOMONTH(BH$2,-1)+1,$C45:$F45)*VLOOKUP(BH$2,Valores!$H$2:$P$154,8,0)</f>
        <v>63799.7308818976</v>
      </c>
      <c r="BI45" s="27" t="n">
        <f aca="false">SUMIF($C$2:$F$2,EOMONTH(BI$2,-1)+1,$C45:$F45)*VLOOKUP(BI$2,Valores!$H$2:$P$154,8,0)</f>
        <v>127599.461763795</v>
      </c>
      <c r="BJ45" s="27" t="n">
        <f aca="false">SUMIF($C$2:$F$2,EOMONTH(BJ$2,-1)+1,$C45:$F45)*VLOOKUP(BJ$2,Valores!$H$2:$P$154,8,0)</f>
        <v>159499.327204744</v>
      </c>
      <c r="BK45" s="27" t="n">
        <f aca="false">SUMIF($C$2:$F$2,EOMONTH(BK$2,-1)+1,$C45:$F45)*VLOOKUP(BK$2,Valores!$H$2:$P$154,8,0)</f>
        <v>76559.6770582772</v>
      </c>
      <c r="BL45" s="27" t="n">
        <f aca="false">SUMIF($C$2:$F$2,EOMONTH(BL$2,-1)+1,$C45:$F45)*VLOOKUP(BL$2,Valores!$H$2:$P$154,8,0)</f>
        <v>56143.7631760699</v>
      </c>
      <c r="BM45" s="27" t="n">
        <f aca="false">SUMIF($C$2:$F$2,EOMONTH(BM$2,-1)+1,$C45:$F45)*VLOOKUP(BM$2,Valores!$H$2:$P$154,8,0)</f>
        <v>56143.7631760699</v>
      </c>
      <c r="BN45" s="27" t="n">
        <f aca="false">SUMIF($C$2:$F$2,EOMONTH(BN$2,-1)+1,$C45:$F45)*VLOOKUP(BN$2,Valores!$H$2:$P$154,8,0)</f>
        <v>56143.7631760699</v>
      </c>
      <c r="BO45" s="27" t="n">
        <f aca="false">SUMIF($C$2:$F$2,EOMONTH(BO$2,-1)+1,$C45:$F45)*VLOOKUP(BO$2,Valores!$H$2:$P$154,8,0)</f>
        <v>58950.9513348734</v>
      </c>
      <c r="BP45" s="27" t="n">
        <f aca="false">SUMIF($C$2:$F$2,EOMONTH(BP$2,-1)+1,$C45:$F45)*VLOOKUP(BP$2,Valores!$H$2:$P$154,8,0)</f>
        <v>148352.8181079</v>
      </c>
      <c r="BQ45" s="27" t="n">
        <f aca="false">SUMIF($C$2:$F$2,EOMONTH(BQ$2,-1)+1,$C45:$F45)*VLOOKUP(BQ$2,Valores!$H$2:$P$154,8,0)</f>
        <v>185441.022634875</v>
      </c>
      <c r="BR45" s="27" t="n">
        <f aca="false">SUMIF($C$2:$F$2,EOMONTH(BR$2,-1)+1,$C45:$F45)*VLOOKUP(BR$2,Valores!$H$2:$P$154,8,0)</f>
        <v>89011.6908647401</v>
      </c>
      <c r="BS45" s="27" t="n">
        <f aca="false">SUMIF($C$2:$F$2,EOMONTH(BS$2,-1)+1,$C45:$F45)*VLOOKUP(BS$2,Valores!$H$2:$P$154,8,0)</f>
        <v>39737.3619931875</v>
      </c>
      <c r="BT45" s="27" t="n">
        <f aca="false">SUMIF($C$2:$F$2,EOMONTH(BT$2,-1)+1,$C45:$F45)*VLOOKUP(BT$2,Valores!$H$2:$P$154,8,0)</f>
        <v>39737.3619931875</v>
      </c>
      <c r="BU45" s="27" t="n">
        <f aca="false">SUMIF($C$2:$F$2,EOMONTH(BU$2,-1)+1,$C45:$F45)*VLOOKUP(BU$2,Valores!$H$2:$P$154,8,0)</f>
        <v>39737.3619931875</v>
      </c>
      <c r="BV45" s="27" t="n">
        <f aca="false">SUMIF($C$2:$F$2,EOMONTH(BV$2,-1)+1,$C45:$F45)*VLOOKUP(BV$2,Valores!$H$2:$P$154,8,0)</f>
        <v>39737.3619931875</v>
      </c>
      <c r="BW45" s="27" t="n">
        <f aca="false">SUMIF($C$2:$F$2,EOMONTH(BW$2,-1)+1,$C45:$F45)*VLOOKUP(BW$2,Valores!$H$2:$P$154,8,0)</f>
        <v>79474.7239863751</v>
      </c>
      <c r="BX45" s="27" t="n">
        <f aca="false">SUMIF($C$2:$F$2,EOMONTH(BX$2,-1)+1,$C45:$F45)*VLOOKUP(BX$2,Valores!$H$2:$P$154,8,0)</f>
        <v>99343.4049829689</v>
      </c>
      <c r="BY45" s="27" t="n">
        <f aca="false">SUMIF($C$2:$F$2,EOMONTH(BY$2,-1)+1,$C45:$F45)*VLOOKUP(BY$2,Valores!$H$2:$P$154,8,0)</f>
        <v>59606.0429897813</v>
      </c>
      <c r="BZ45" s="27" t="n">
        <f aca="false">SUMIF($C$2:$F$2,EOMONTH(BZ$2,-1)+1,$C45:$F45)*VLOOKUP(BZ$2,Valores!$H$2:$P$154,8,0)</f>
        <v>39737.3619931875</v>
      </c>
      <c r="CA45" s="27" t="n">
        <f aca="false">SUMIF($C$2:$F$2,EOMONTH(CA$2,-1)+1,$C45:$F45)*VLOOKUP(CA$2,Valores!$H$2:$P$154,8,0)</f>
        <v>39737.3619931875</v>
      </c>
      <c r="CB45" s="27" t="n">
        <f aca="false">SUMIF($C$2:$F$2,EOMONTH(CB$2,-1)+1,$C45:$F45)*VLOOKUP(CB$2,Valores!$H$2:$P$154,8,0)</f>
        <v>39737.3619931875</v>
      </c>
      <c r="CC45" s="27" t="n">
        <f aca="false">SUMIF($C$2:$F$2,EOMONTH(CC$2,-1)+1,$C45:$F45)*VLOOKUP(CC$2,Valores!$H$2:$P$154,8,0)</f>
        <v>39737.3619931875</v>
      </c>
      <c r="CD45" s="27" t="n">
        <f aca="false">SUMIF($C$2:$F$2,EOMONTH(CD$2,-1)+1,$C45:$F45)*VLOOKUP(CD$2,Valores!$H$2:$P$154,8,0)</f>
        <v>119212.085979563</v>
      </c>
      <c r="CE45" s="27" t="n">
        <f aca="false">SUMIF($C$2:$F$2,EOMONTH(CE$2,-1)+1,$C45:$F45)*VLOOKUP(CE$2,Valores!$H$2:$P$154,8,0)</f>
        <v>158949.44797275</v>
      </c>
      <c r="CF45" s="27" t="n">
        <f aca="false">SUMIF($C$2:$F$2,EOMONTH(CF$2,-1)+1,$C45:$F45)*VLOOKUP(CF$2,Valores!$H$2:$P$154,8,0)</f>
        <v>99343.4049829689</v>
      </c>
      <c r="CG45" s="27" t="n">
        <f aca="false">SUMIF($C$2:$F$2,EOMONTH(CG$2,-1)+1,$C45:$F45)*VLOOKUP(CG$2,Valores!$H$2:$P$154,8,0)</f>
        <v>52983.1493242501</v>
      </c>
      <c r="CH45" s="27" t="n">
        <f aca="false">SUMIF($C$2:$F$2,EOMONTH(CH$2,-1)+1,$C45:$F45)*VLOOKUP(CH$2,Valores!$H$2:$P$154,8,0)</f>
        <v>52983.1493242501</v>
      </c>
      <c r="CI45" s="27" t="n">
        <f aca="false">SUMIF($C$2:$F$2,EOMONTH(CI$2,-1)+1,$C45:$F45)*VLOOKUP(CI$2,Valores!$H$2:$P$154,8,0)</f>
        <v>52983.1493242501</v>
      </c>
      <c r="CJ45" s="27" t="n">
        <f aca="false">SUMIF($C$2:$F$2,EOMONTH(CJ$2,-1)+1,$C45:$F45)*VLOOKUP(CJ$2,Valores!$H$2:$P$154,8,0)</f>
        <v>52983.1493242501</v>
      </c>
      <c r="CK45" s="27" t="n">
        <f aca="false">SUMIF($C$2:$F$2,EOMONTH(CK$2,-1)+1,$C45:$F45)*VLOOKUP(CK$2,Valores!$H$2:$P$154,8,0)</f>
        <v>105966.2986485</v>
      </c>
      <c r="CL45" s="27" t="n">
        <f aca="false">SUMIF($C$2:$F$2,EOMONTH(CL$2,-1)+1,$C45:$F45)*VLOOKUP(CL$2,Valores!$H$2:$P$154,8,0)</f>
        <v>132457.873310625</v>
      </c>
      <c r="CM45" s="27" t="n">
        <f aca="false">SUMIF($C$2:$F$2,EOMONTH(CM$2,-1)+1,$C45:$F45)*VLOOKUP(CM$2,Valores!$H$2:$P$154,8,0)</f>
        <v>79474.7239863751</v>
      </c>
      <c r="CN45" s="27" t="n">
        <f aca="false">SUMIF($C$2:$F$2,EOMONTH(CN$2,-1)+1,$C45:$F45)*VLOOKUP(CN$2,Valores!$H$2:$P$154,8,0)</f>
        <v>58281.4642566751</v>
      </c>
      <c r="CO45" s="27" t="n">
        <f aca="false">SUMIF($C$2:$F$2,EOMONTH(CO$2,-1)+1,$C45:$F45)*VLOOKUP(CO$2,Valores!$H$2:$P$154,8,0)</f>
        <v>58281.4642566751</v>
      </c>
      <c r="CP45" s="27" t="n">
        <f aca="false">SUMIF($C$2:$F$2,EOMONTH(CP$2,-1)+1,$C45:$F45)*VLOOKUP(CP$2,Valores!$H$2:$P$154,8,0)</f>
        <v>58281.4642566751</v>
      </c>
      <c r="CQ45" s="27" t="n">
        <f aca="false">SUMIF($C$2:$F$2,EOMONTH(CQ$2,-1)+1,$C45:$F45)*VLOOKUP(CQ$2,Valores!$H$2:$P$154,8,0)</f>
        <v>58281.4642566751</v>
      </c>
      <c r="CR45" s="27" t="n">
        <f aca="false">SUMIF($C$2:$F$2,EOMONTH(CR$2,-1)+1,$C45:$F45)*VLOOKUP(CR$2,Valores!$H$2:$P$154,8,0)</f>
        <v>116562.92851335</v>
      </c>
      <c r="CS45" s="27" t="n">
        <f aca="false">SUMIF($C$2:$F$2,EOMONTH(CS$2,-1)+1,$C45:$F45)*VLOOKUP(CS$2,Valores!$H$2:$P$154,8,0)</f>
        <v>174844.392770025</v>
      </c>
      <c r="CT45" s="27" t="e">
        <f aca="false">SUMIF($C$2:$F$2,EOMONTH(CT$2,-1)+1,$C45:$F45)*VLOOKUP(CT$2,Valores!$H$2:$P$154,8,0)</f>
        <v>#VALUE!</v>
      </c>
      <c r="CU45" s="27" t="e">
        <f aca="false">SUMIF($C$2:$F$2,EOMONTH(CU$2,-1)+1,$C45:$F45)*VLOOKUP(CU$2,Valores!$H$2:$P$154,8,0)</f>
        <v>#VALUE!</v>
      </c>
      <c r="CV45" s="27" t="e">
        <f aca="false">SUMIF($C$2:$F$2,EOMONTH(CV$2,-1)+1,$C45:$F45)*VLOOKUP(CV$2,Valores!$H$2:$P$154,8,0)</f>
        <v>#VALUE!</v>
      </c>
      <c r="CW45" s="27" t="e">
        <f aca="false">SUMIF($C$2:$F$2,EOMONTH(CW$2,-1)+1,$C45:$F45)*VLOOKUP(CW$2,Valores!$H$2:$P$154,8,0)</f>
        <v>#VALUE!</v>
      </c>
      <c r="CX45" s="27" t="e">
        <f aca="false">SUMIF($C$2:$F$2,EOMONTH(CX$2,-1)+1,$C45:$F45)*VLOOKUP(CX$2,Valores!$H$2:$P$154,8,0)</f>
        <v>#VALUE!</v>
      </c>
      <c r="CY45" s="27" t="e">
        <f aca="false">SUMIF($C$2:$F$2,EOMONTH(CY$2,-1)+1,$C45:$F45)*VLOOKUP(CY$2,Valores!$H$2:$P$154,8,0)</f>
        <v>#VALUE!</v>
      </c>
      <c r="CZ45" s="27" t="e">
        <f aca="false">SUMIF($C$2:$F$2,EOMONTH(CZ$2,-1)+1,$C45:$F45)*VLOOKUP(CZ$2,Valores!$H$2:$P$154,8,0)</f>
        <v>#VALUE!</v>
      </c>
      <c r="DA45" s="27" t="e">
        <f aca="false">SUMIF($C$2:$F$2,EOMONTH(DA$2,-1)+1,$C45:$F45)*VLOOKUP(DA$2,Valores!$H$2:$P$154,8,0)</f>
        <v>#VALUE!</v>
      </c>
      <c r="DB45" s="27" t="e">
        <f aca="false">SUMIF($C$2:$F$2,EOMONTH(DB$2,-1)+1,$C45:$F45)*VLOOKUP(DB$2,Valores!$H$2:$P$154,8,0)</f>
        <v>#VALUE!</v>
      </c>
      <c r="DC45" s="27" t="e">
        <f aca="false">SUMIF($C$2:$F$2,EOMONTH(DC$2,-1)+1,$C45:$F45)*VLOOKUP(DC$2,Valores!$H$2:$P$154,8,0)</f>
        <v>#VALUE!</v>
      </c>
      <c r="DD45" s="27" t="e">
        <f aca="false">SUMIF($C$2:$F$2,EOMONTH(DD$2,-1)+1,$C45:$F45)*VLOOKUP(DD$2,Valores!$H$2:$P$154,8,0)</f>
        <v>#VALUE!</v>
      </c>
      <c r="DE45" s="27" t="e">
        <f aca="false">SUMIF($C$2:$F$2,EOMONTH(DE$2,-1)+1,$C45:$F45)*VLOOKUP(DE$2,Valores!$H$2:$P$154,8,0)</f>
        <v>#VALUE!</v>
      </c>
      <c r="DF45" s="27" t="e">
        <f aca="false">SUMIF($C$2:$F$2,EOMONTH(DF$2,-1)+1,$C45:$F45)*VLOOKUP(DF$2,Valores!$H$2:$P$154,8,0)</f>
        <v>#VALUE!</v>
      </c>
      <c r="DG45" s="27" t="e">
        <f aca="false">SUMIF($C$2:$F$2,EOMONTH(DG$2,-1)+1,$C45:$F45)*VLOOKUP(DG$2,Valores!$H$2:$P$154,8,0)</f>
        <v>#VALUE!</v>
      </c>
      <c r="DH45" s="27" t="e">
        <f aca="false">SUMIF($C$2:$F$2,EOMONTH(DH$2,-1)+1,$C45:$F45)*VLOOKUP(DH$2,Valores!$H$2:$P$154,8,0)</f>
        <v>#VALUE!</v>
      </c>
      <c r="DI45" s="27" t="e">
        <f aca="false">SUMIF($C$2:$F$2,EOMONTH(DI$2,-1)+1,$C45:$F45)*VLOOKUP(DI$2,Valores!$H$2:$P$154,8,0)</f>
        <v>#VALUE!</v>
      </c>
      <c r="DJ45" s="27" t="e">
        <f aca="false">SUMIF($C$2:$F$2,EOMONTH(DJ$2,-1)+1,$C45:$F45)*VLOOKUP(DJ$2,Valores!$H$2:$P$154,8,0)</f>
        <v>#VALUE!</v>
      </c>
      <c r="DK45" s="27" t="e">
        <f aca="false">SUMIF($C$2:$F$2,EOMONTH(DK$2,-1)+1,$C45:$F45)*VLOOKUP(DK$2,Valores!$H$2:$P$154,8,0)</f>
        <v>#VALUE!</v>
      </c>
      <c r="DL45" s="27" t="e">
        <f aca="false">SUMIF($C$2:$F$2,EOMONTH(DL$2,-1)+1,$C45:$F45)*VLOOKUP(DL$2,Valores!$H$2:$P$154,8,0)</f>
        <v>#VALUE!</v>
      </c>
      <c r="DM45" s="27" t="e">
        <f aca="false">SUMIF($C$2:$F$2,EOMONTH(DM$2,-1)+1,$C45:$F45)*VLOOKUP(DM$2,Valores!$H$2:$P$154,8,0)</f>
        <v>#VALUE!</v>
      </c>
      <c r="DN45" s="27" t="e">
        <f aca="false">SUMIF($C$2:$F$2,EOMONTH(DN$2,-1)+1,$C45:$F45)*VLOOKUP(DN$2,Valores!$H$2:$P$154,8,0)</f>
        <v>#VALUE!</v>
      </c>
      <c r="DO45" s="27" t="e">
        <f aca="false">SUMIF($C$2:$F$2,EOMONTH(DO$2,-1)+1,$C45:$F45)*VLOOKUP(DO$2,Valores!$H$2:$P$154,8,0)</f>
        <v>#VALUE!</v>
      </c>
      <c r="DP45" s="27" t="e">
        <f aca="false">SUMIF($C$2:$F$2,EOMONTH(DP$2,-1)+1,$C45:$F45)*VLOOKUP(DP$2,Valores!$H$2:$P$154,8,0)</f>
        <v>#VALUE!</v>
      </c>
      <c r="DQ45" s="27" t="e">
        <f aca="false">SUMIF($C$2:$F$2,EOMONTH(DQ$2,-1)+1,$C45:$F45)*VLOOKUP(DQ$2,Valores!$H$2:$P$154,8,0)</f>
        <v>#VALUE!</v>
      </c>
      <c r="DR45" s="27" t="e">
        <f aca="false">SUMIF($C$2:$F$2,EOMONTH(DR$2,-1)+1,$C45:$F45)*VLOOKUP(DR$2,Valores!$H$2:$P$154,8,0)</f>
        <v>#VALUE!</v>
      </c>
      <c r="DS45" s="27" t="e">
        <f aca="false">SUMIF($C$2:$F$2,EOMONTH(DS$2,-1)+1,$C45:$F45)*VLOOKUP(DS$2,Valores!$H$2:$P$154,8,0)</f>
        <v>#VALUE!</v>
      </c>
      <c r="DT45" s="27" t="e">
        <f aca="false">SUMIF($C$2:$F$2,EOMONTH(DT$2,-1)+1,$C45:$F45)*VLOOKUP(DT$2,Valores!$H$2:$P$154,8,0)</f>
        <v>#VALUE!</v>
      </c>
      <c r="DU45" s="27" t="e">
        <f aca="false">SUMIF($C$2:$F$2,EOMONTH(DU$2,-1)+1,$C45:$F45)*VLOOKUP(DU$2,Valores!$H$2:$P$154,8,0)</f>
        <v>#VALUE!</v>
      </c>
      <c r="DV45" s="27" t="e">
        <f aca="false">SUMIF($C$2:$F$2,EOMONTH(DV$2,-1)+1,$C45:$F45)*VLOOKUP(DV$2,Valores!$H$2:$P$154,8,0)</f>
        <v>#VALUE!</v>
      </c>
      <c r="DW45" s="27" t="e">
        <f aca="false">SUMIF($C$2:$F$2,EOMONTH(DW$2,-1)+1,$C45:$F45)*VLOOKUP(DW$2,Valores!$H$2:$P$154,8,0)</f>
        <v>#VALUE!</v>
      </c>
      <c r="DX45" s="27" t="e">
        <f aca="false">SUMIF($C$2:$F$2,EOMONTH(DX$2,-1)+1,$C45:$F45)*VLOOKUP(DX$2,Valores!$H$2:$P$154,8,0)</f>
        <v>#VALUE!</v>
      </c>
    </row>
    <row r="46" customFormat="false" ht="13.8" hidden="false" customHeight="false" outlineLevel="0" collapsed="false">
      <c r="A46" s="29" t="s">
        <v>54</v>
      </c>
      <c r="B46" s="29" t="s">
        <v>68</v>
      </c>
      <c r="C46" s="29" t="n">
        <v>2962562</v>
      </c>
      <c r="D46" s="29" t="n">
        <v>2666305.8</v>
      </c>
      <c r="E46" s="29" t="n">
        <v>2399675.22</v>
      </c>
      <c r="F46" s="29" t="n">
        <v>2159707.698</v>
      </c>
      <c r="G46" s="30" t="n">
        <f aca="false">SUMIF($C$2:$F$2,EOMONTH(G$2,-1)+1,$C46:$F46)*VLOOKUP(G$2,Valores!$H$2:$P$154,8,0)</f>
        <v>85313.2055290439</v>
      </c>
      <c r="H46" s="30" t="n">
        <f aca="false">SUMIF($C$2:$F$2,EOMONTH(H$2,-1)+1,$C46:$F46)*VLOOKUP(H$2,Valores!$H$2:$P$154,8,0)</f>
        <v>58500.4837913444</v>
      </c>
      <c r="I46" s="30" t="n">
        <f aca="false">SUMIF($C$2:$F$2,EOMONTH(I$2,-1)+1,$C46:$F46)*VLOOKUP(I$2,Valores!$H$2:$P$154,8,0)</f>
        <v>58500.4837913444</v>
      </c>
      <c r="J46" s="30" t="n">
        <f aca="false">SUMIF($C$2:$F$2,EOMONTH(J$2,-1)+1,$C46:$F46)*VLOOKUP(J$2,Valores!$H$2:$P$154,8,0)</f>
        <v>58500.4837913444</v>
      </c>
      <c r="K46" s="30" t="n">
        <f aca="false">SUMIF($C$2:$F$2,EOMONTH(K$2,-1)+1,$C46:$F46)*VLOOKUP(K$2,Valores!$H$2:$P$154,8,0)</f>
        <v>58500.4837913444</v>
      </c>
      <c r="L46" s="30" t="n">
        <f aca="false">SUMIF($C$2:$F$2,EOMONTH(L$2,-1)+1,$C46:$F46)*VLOOKUP(L$2,Valores!$H$2:$P$154,8,0)</f>
        <v>117000.967582689</v>
      </c>
      <c r="M46" s="30" t="n">
        <f aca="false">SUMIF($C$2:$F$2,EOMONTH(M$2,-1)+1,$C46:$F46)*VLOOKUP(M$2,Valores!$H$2:$P$154,8,0)</f>
        <v>146251.209478361</v>
      </c>
      <c r="N46" s="30" t="n">
        <f aca="false">SUMIF($C$2:$F$2,EOMONTH(N$2,-1)+1,$C46:$F46)*VLOOKUP(N$2,Valores!$H$2:$P$154,8,0)</f>
        <v>87750.7256870166</v>
      </c>
      <c r="O46" s="30" t="n">
        <f aca="false">SUMIF($C$2:$F$2,EOMONTH(O$2,-1)+1,$C46:$F46)*VLOOKUP(O$2,Valores!$H$2:$P$154,8,0)</f>
        <v>78000.6450551259</v>
      </c>
      <c r="P46" s="30" t="n">
        <f aca="false">SUMIF($C$2:$F$2,EOMONTH(P$2,-1)+1,$C46:$F46)*VLOOKUP(P$2,Valores!$H$2:$P$154,8,0)</f>
        <v>78000.6450551259</v>
      </c>
      <c r="Q46" s="30" t="n">
        <f aca="false">SUMIF($C$2:$F$2,EOMONTH(Q$2,-1)+1,$C46:$F46)*VLOOKUP(Q$2,Valores!$H$2:$P$154,8,0)</f>
        <v>46800.3870330755</v>
      </c>
      <c r="R46" s="30" t="n">
        <f aca="false">SUMIF($C$2:$F$2,EOMONTH(R$2,-1)+1,$C46:$F46)*VLOOKUP(R$2,Valores!$H$2:$P$154,8,0)</f>
        <v>78000.6450551259</v>
      </c>
      <c r="S46" s="30" t="n">
        <f aca="false">SUMIF($C$2:$F$2,EOMONTH(S$2,-1)+1,$C46:$F46)*VLOOKUP(S$2,Valores!$H$2:$P$154,8,0)</f>
        <v>156001.290110252</v>
      </c>
      <c r="T46" s="30" t="n">
        <f aca="false">SUMIF($C$2:$F$2,EOMONTH(T$2,-1)+1,$C46:$F46)*VLOOKUP(T$2,Valores!$H$2:$P$154,8,0)</f>
        <v>195001.612637815</v>
      </c>
      <c r="U46" s="30" t="n">
        <f aca="false">SUMIF($C$2:$F$2,EOMONTH(U$2,-1)+1,$C46:$F46)*VLOOKUP(U$2,Valores!$H$2:$P$154,8,0)</f>
        <v>117000.967582689</v>
      </c>
      <c r="V46" s="30" t="n">
        <f aca="false">SUMIF($C$2:$F$2,EOMONTH(V$2,-1)+1,$C46:$F46)*VLOOKUP(V$2,Valores!$H$2:$P$154,8,0)</f>
        <v>97500.8063189074</v>
      </c>
      <c r="W46" s="30" t="n">
        <f aca="false">SUMIF($C$2:$F$2,EOMONTH(W$2,-1)+1,$C46:$F46)*VLOOKUP(W$2,Valores!$H$2:$P$154,8,0)</f>
        <v>97500.8063189074</v>
      </c>
      <c r="X46" s="30" t="n">
        <f aca="false">SUMIF($C$2:$F$2,EOMONTH(X$2,-1)+1,$C46:$F46)*VLOOKUP(X$2,Valores!$H$2:$P$154,8,0)</f>
        <v>0</v>
      </c>
      <c r="Y46" s="30" t="n">
        <f aca="false">SUMIF($C$2:$F$2,EOMONTH(Y$2,-1)+1,$C46:$F46)*VLOOKUP(Y$2,Valores!$H$2:$P$154,8,0)</f>
        <v>0</v>
      </c>
      <c r="Z46" s="30" t="n">
        <f aca="false">SUMIF($C$2:$F$2,EOMONTH(Z$2,-1)+1,$C46:$F46)*VLOOKUP(Z$2,Valores!$H$2:$P$154,8,0)</f>
        <v>146251.209478361</v>
      </c>
      <c r="AA46" s="30" t="n">
        <f aca="false">SUMIF($C$2:$F$2,EOMONTH(AA$2,-1)+1,$C46:$F46)*VLOOKUP(AA$2,Valores!$H$2:$P$154,8,0)</f>
        <v>175501.451374033</v>
      </c>
      <c r="AB46" s="30" t="n">
        <f aca="false">SUMIF($C$2:$F$2,EOMONTH(AB$2,-1)+1,$C46:$F46)*VLOOKUP(AB$2,Valores!$H$2:$P$154,8,0)</f>
        <v>87750.7256870166</v>
      </c>
      <c r="AC46" s="30" t="n">
        <f aca="false">SUMIF($C$2:$F$2,EOMONTH(AC$2,-1)+1,$C46:$F46)*VLOOKUP(AC$2,Valores!$H$2:$P$154,8,0)</f>
        <v>107250.886950798</v>
      </c>
      <c r="AD46" s="30" t="n">
        <f aca="false">SUMIF($C$2:$F$2,EOMONTH(AD$2,-1)+1,$C46:$F46)*VLOOKUP(AD$2,Valores!$H$2:$P$154,8,0)</f>
        <v>107250.886950798</v>
      </c>
      <c r="AE46" s="30" t="n">
        <f aca="false">SUMIF($C$2:$F$2,EOMONTH(AE$2,-1)+1,$C46:$F46)*VLOOKUP(AE$2,Valores!$H$2:$P$154,8,0)</f>
        <v>107250.886950798</v>
      </c>
      <c r="AF46" s="30" t="n">
        <f aca="false">SUMIF($C$2:$F$2,EOMONTH(AF$2,-1)+1,$C46:$F46)*VLOOKUP(AF$2,Valores!$H$2:$P$154,8,0)</f>
        <v>107250.886950798</v>
      </c>
      <c r="AG46" s="30" t="n">
        <f aca="false">SUMIF($C$2:$F$2,EOMONTH(AG$2,-1)+1,$C46:$F46)*VLOOKUP(AG$2,Valores!$H$2:$P$154,8,0)</f>
        <v>171601.419121277</v>
      </c>
      <c r="AH46" s="30" t="n">
        <f aca="false">SUMIF($C$2:$F$2,EOMONTH(AH$2,-1)+1,$C46:$F46)*VLOOKUP(AH$2,Valores!$H$2:$P$154,8,0)</f>
        <v>214501.773901596</v>
      </c>
      <c r="AI46" s="30" t="n">
        <f aca="false">SUMIF($C$2:$F$2,EOMONTH(AI$2,-1)+1,$C46:$F46)*VLOOKUP(AI$2,Valores!$H$2:$P$154,8,0)</f>
        <v>75075.6208655587</v>
      </c>
      <c r="AJ46" s="30" t="n">
        <f aca="false">SUMIF($C$2:$F$2,EOMONTH(AJ$2,-1)+1,$C46:$F46)*VLOOKUP(AJ$2,Valores!$H$2:$P$154,8,0)</f>
        <v>48750.4031594537</v>
      </c>
      <c r="AK46" s="30" t="n">
        <f aca="false">SUMIF($C$2:$F$2,EOMONTH(AK$2,-1)+1,$C46:$F46)*VLOOKUP(AK$2,Valores!$H$2:$P$154,8,0)</f>
        <v>88900.1433708828</v>
      </c>
      <c r="AL46" s="30" t="n">
        <f aca="false">SUMIF($C$2:$F$2,EOMONTH(AL$2,-1)+1,$C46:$F46)*VLOOKUP(AL$2,Valores!$H$2:$P$154,8,0)</f>
        <v>88900.1433708828</v>
      </c>
      <c r="AM46" s="30" t="n">
        <f aca="false">SUMIF($C$2:$F$2,EOMONTH(AM$2,-1)+1,$C46:$F46)*VLOOKUP(AM$2,Valores!$H$2:$P$154,8,0)</f>
        <v>88900.1433708828</v>
      </c>
      <c r="AN46" s="30" t="n">
        <f aca="false">SUMIF($C$2:$F$2,EOMONTH(AN$2,-1)+1,$C46:$F46)*VLOOKUP(AN$2,Valores!$H$2:$P$154,8,0)</f>
        <v>177800.286741766</v>
      </c>
      <c r="AO46" s="30" t="n">
        <f aca="false">SUMIF($C$2:$F$2,EOMONTH(AO$2,-1)+1,$C46:$F46)*VLOOKUP(AO$2,Valores!$H$2:$P$154,8,0)</f>
        <v>222250.358427207</v>
      </c>
      <c r="AP46" s="30" t="n">
        <f aca="false">SUMIF($C$2:$F$2,EOMONTH(AP$2,-1)+1,$C46:$F46)*VLOOKUP(AP$2,Valores!$H$2:$P$154,8,0)</f>
        <v>133350.215056324</v>
      </c>
      <c r="AQ46" s="30" t="n">
        <f aca="false">SUMIF($C$2:$F$2,EOMONTH(AQ$2,-1)+1,$C46:$F46)*VLOOKUP(AQ$2,Valores!$H$2:$P$154,8,0)</f>
        <v>47625.0768058301</v>
      </c>
      <c r="AR46" s="30" t="n">
        <f aca="false">SUMIF($C$2:$F$2,EOMONTH(AR$2,-1)+1,$C46:$F46)*VLOOKUP(AR$2,Valores!$H$2:$P$154,8,0)</f>
        <v>47625.0768058301</v>
      </c>
      <c r="AS46" s="30" t="n">
        <f aca="false">SUMIF($C$2:$F$2,EOMONTH(AS$2,-1)+1,$C46:$F46)*VLOOKUP(AS$2,Valores!$H$2:$P$154,8,0)</f>
        <v>47625.0768058301</v>
      </c>
      <c r="AT46" s="30" t="n">
        <f aca="false">SUMIF($C$2:$F$2,EOMONTH(AT$2,-1)+1,$C46:$F46)*VLOOKUP(AT$2,Valores!$H$2:$P$154,8,0)</f>
        <v>47625.0768058301</v>
      </c>
      <c r="AU46" s="30" t="n">
        <f aca="false">SUMIF($C$2:$F$2,EOMONTH(AU$2,-1)+1,$C46:$F46)*VLOOKUP(AU$2,Valores!$H$2:$P$154,8,0)</f>
        <v>95250.1536116602</v>
      </c>
      <c r="AV46" s="30" t="n">
        <f aca="false">SUMIF($C$2:$F$2,EOMONTH(AV$2,-1)+1,$C46:$F46)*VLOOKUP(AV$2,Valores!$H$2:$P$154,8,0)</f>
        <v>119062.692014575</v>
      </c>
      <c r="AW46" s="30" t="n">
        <f aca="false">SUMIF($C$2:$F$2,EOMONTH(AW$2,-1)+1,$C46:$F46)*VLOOKUP(AW$2,Valores!$H$2:$P$154,8,0)</f>
        <v>71437.6152087451</v>
      </c>
      <c r="AX46" s="30" t="n">
        <f aca="false">SUMIF($C$2:$F$2,EOMONTH(AX$2,-1)+1,$C46:$F46)*VLOOKUP(AX$2,Valores!$H$2:$P$154,8,0)</f>
        <v>47625.0768058301</v>
      </c>
      <c r="AY46" s="30" t="n">
        <f aca="false">SUMIF($C$2:$F$2,EOMONTH(AY$2,-1)+1,$C46:$F46)*VLOOKUP(AY$2,Valores!$H$2:$P$154,8,0)</f>
        <v>61912.5998475791</v>
      </c>
      <c r="AZ46" s="30" t="n">
        <f aca="false">SUMIF($C$2:$F$2,EOMONTH(AZ$2,-1)+1,$C46:$F46)*VLOOKUP(AZ$2,Valores!$H$2:$P$154,8,0)</f>
        <v>61912.5998475791</v>
      </c>
      <c r="BA46" s="30" t="n">
        <f aca="false">SUMIF($C$2:$F$2,EOMONTH(BA$2,-1)+1,$C46:$F46)*VLOOKUP(BA$2,Valores!$H$2:$P$154,8,0)</f>
        <v>61912.5998475791</v>
      </c>
      <c r="BB46" s="30" t="n">
        <f aca="false">SUMIF($C$2:$F$2,EOMONTH(BB$2,-1)+1,$C46:$F46)*VLOOKUP(BB$2,Valores!$H$2:$P$154,8,0)</f>
        <v>109537.676653409</v>
      </c>
      <c r="BC46" s="30" t="n">
        <f aca="false">SUMIF($C$2:$F$2,EOMONTH(BC$2,-1)+1,$C46:$F46)*VLOOKUP(BC$2,Valores!$H$2:$P$154,8,0)</f>
        <v>133350.215056324</v>
      </c>
      <c r="BD46" s="30" t="n">
        <f aca="false">SUMIF($C$2:$F$2,EOMONTH(BD$2,-1)+1,$C46:$F46)*VLOOKUP(BD$2,Valores!$H$2:$P$154,8,0)</f>
        <v>71437.6152087451</v>
      </c>
      <c r="BE46" s="30" t="n">
        <f aca="false">SUMIF($C$2:$F$2,EOMONTH(BE$2,-1)+1,$C46:$F46)*VLOOKUP(BE$2,Valores!$H$2:$P$154,8,0)</f>
        <v>63500.1024077735</v>
      </c>
      <c r="BF46" s="30" t="n">
        <f aca="false">SUMIF($C$2:$F$2,EOMONTH(BF$2,-1)+1,$C46:$F46)*VLOOKUP(BF$2,Valores!$H$2:$P$154,8,0)</f>
        <v>63500.1024077735</v>
      </c>
      <c r="BG46" s="30" t="n">
        <f aca="false">SUMIF($C$2:$F$2,EOMONTH(BG$2,-1)+1,$C46:$F46)*VLOOKUP(BG$2,Valores!$H$2:$P$154,8,0)</f>
        <v>63500.1024077735</v>
      </c>
      <c r="BH46" s="30" t="n">
        <f aca="false">SUMIF($C$2:$F$2,EOMONTH(BH$2,-1)+1,$C46:$F46)*VLOOKUP(BH$2,Valores!$H$2:$P$154,8,0)</f>
        <v>63500.1024077735</v>
      </c>
      <c r="BI46" s="30" t="n">
        <f aca="false">SUMIF($C$2:$F$2,EOMONTH(BI$2,-1)+1,$C46:$F46)*VLOOKUP(BI$2,Valores!$H$2:$P$154,8,0)</f>
        <v>127000.204815547</v>
      </c>
      <c r="BJ46" s="30" t="n">
        <f aca="false">SUMIF($C$2:$F$2,EOMONTH(BJ$2,-1)+1,$C46:$F46)*VLOOKUP(BJ$2,Valores!$H$2:$P$154,8,0)</f>
        <v>158750.256019434</v>
      </c>
      <c r="BK46" s="30" t="n">
        <f aca="false">SUMIF($C$2:$F$2,EOMONTH(BK$2,-1)+1,$C46:$F46)*VLOOKUP(BK$2,Valores!$H$2:$P$154,8,0)</f>
        <v>76200.1228893281</v>
      </c>
      <c r="BL46" s="30" t="n">
        <f aca="false">SUMIF($C$2:$F$2,EOMONTH(BL$2,-1)+1,$C46:$F46)*VLOOKUP(BL$2,Valores!$H$2:$P$154,8,0)</f>
        <v>55880.0901188406</v>
      </c>
      <c r="BM46" s="30" t="n">
        <f aca="false">SUMIF($C$2:$F$2,EOMONTH(BM$2,-1)+1,$C46:$F46)*VLOOKUP(BM$2,Valores!$H$2:$P$154,8,0)</f>
        <v>55880.0901188406</v>
      </c>
      <c r="BN46" s="30" t="n">
        <f aca="false">SUMIF($C$2:$F$2,EOMONTH(BN$2,-1)+1,$C46:$F46)*VLOOKUP(BN$2,Valores!$H$2:$P$154,8,0)</f>
        <v>55880.0901188406</v>
      </c>
      <c r="BO46" s="30" t="n">
        <f aca="false">SUMIF($C$2:$F$2,EOMONTH(BO$2,-1)+1,$C46:$F46)*VLOOKUP(BO$2,Valores!$H$2:$P$154,8,0)</f>
        <v>58674.0946247827</v>
      </c>
      <c r="BP46" s="30" t="n">
        <f aca="false">SUMIF($C$2:$F$2,EOMONTH(BP$2,-1)+1,$C46:$F46)*VLOOKUP(BP$2,Valores!$H$2:$P$154,8,0)</f>
        <v>147656.095286232</v>
      </c>
      <c r="BQ46" s="30" t="n">
        <f aca="false">SUMIF($C$2:$F$2,EOMONTH(BQ$2,-1)+1,$C46:$F46)*VLOOKUP(BQ$2,Valores!$H$2:$P$154,8,0)</f>
        <v>184570.11910779</v>
      </c>
      <c r="BR46" s="30" t="n">
        <f aca="false">SUMIF($C$2:$F$2,EOMONTH(BR$2,-1)+1,$C46:$F46)*VLOOKUP(BR$2,Valores!$H$2:$P$154,8,0)</f>
        <v>88593.6571717394</v>
      </c>
      <c r="BS46" s="30" t="n">
        <f aca="false">SUMIF($C$2:$F$2,EOMONTH(BS$2,-1)+1,$C46:$F46)*VLOOKUP(BS$2,Valores!$H$2:$P$154,8,0)</f>
        <v>39550.7398088122</v>
      </c>
      <c r="BT46" s="30" t="n">
        <f aca="false">SUMIF($C$2:$F$2,EOMONTH(BT$2,-1)+1,$C46:$F46)*VLOOKUP(BT$2,Valores!$H$2:$P$154,8,0)</f>
        <v>39550.7398088122</v>
      </c>
      <c r="BU46" s="30" t="n">
        <f aca="false">SUMIF($C$2:$F$2,EOMONTH(BU$2,-1)+1,$C46:$F46)*VLOOKUP(BU$2,Valores!$H$2:$P$154,8,0)</f>
        <v>39550.7398088122</v>
      </c>
      <c r="BV46" s="30" t="n">
        <f aca="false">SUMIF($C$2:$F$2,EOMONTH(BV$2,-1)+1,$C46:$F46)*VLOOKUP(BV$2,Valores!$H$2:$P$154,8,0)</f>
        <v>39550.7398088122</v>
      </c>
      <c r="BW46" s="30" t="n">
        <f aca="false">SUMIF($C$2:$F$2,EOMONTH(BW$2,-1)+1,$C46:$F46)*VLOOKUP(BW$2,Valores!$H$2:$P$154,8,0)</f>
        <v>79101.4796176244</v>
      </c>
      <c r="BX46" s="30" t="n">
        <f aca="false">SUMIF($C$2:$F$2,EOMONTH(BX$2,-1)+1,$C46:$F46)*VLOOKUP(BX$2,Valores!$H$2:$P$154,8,0)</f>
        <v>98876.8495220305</v>
      </c>
      <c r="BY46" s="30" t="n">
        <f aca="false">SUMIF($C$2:$F$2,EOMONTH(BY$2,-1)+1,$C46:$F46)*VLOOKUP(BY$2,Valores!$H$2:$P$154,8,0)</f>
        <v>59326.1097132183</v>
      </c>
      <c r="BZ46" s="30" t="n">
        <f aca="false">SUMIF($C$2:$F$2,EOMONTH(BZ$2,-1)+1,$C46:$F46)*VLOOKUP(BZ$2,Valores!$H$2:$P$154,8,0)</f>
        <v>39550.7398088122</v>
      </c>
      <c r="CA46" s="30" t="n">
        <f aca="false">SUMIF($C$2:$F$2,EOMONTH(CA$2,-1)+1,$C46:$F46)*VLOOKUP(CA$2,Valores!$H$2:$P$154,8,0)</f>
        <v>39550.7398088122</v>
      </c>
      <c r="CB46" s="30" t="n">
        <f aca="false">SUMIF($C$2:$F$2,EOMONTH(CB$2,-1)+1,$C46:$F46)*VLOOKUP(CB$2,Valores!$H$2:$P$154,8,0)</f>
        <v>39550.7398088122</v>
      </c>
      <c r="CC46" s="30" t="n">
        <f aca="false">SUMIF($C$2:$F$2,EOMONTH(CC$2,-1)+1,$C46:$F46)*VLOOKUP(CC$2,Valores!$H$2:$P$154,8,0)</f>
        <v>39550.7398088122</v>
      </c>
      <c r="CD46" s="30" t="n">
        <f aca="false">SUMIF($C$2:$F$2,EOMONTH(CD$2,-1)+1,$C46:$F46)*VLOOKUP(CD$2,Valores!$H$2:$P$154,8,0)</f>
        <v>118652.219426437</v>
      </c>
      <c r="CE46" s="30" t="n">
        <f aca="false">SUMIF($C$2:$F$2,EOMONTH(CE$2,-1)+1,$C46:$F46)*VLOOKUP(CE$2,Valores!$H$2:$P$154,8,0)</f>
        <v>158202.959235249</v>
      </c>
      <c r="CF46" s="30" t="n">
        <f aca="false">SUMIF($C$2:$F$2,EOMONTH(CF$2,-1)+1,$C46:$F46)*VLOOKUP(CF$2,Valores!$H$2:$P$154,8,0)</f>
        <v>98876.8495220305</v>
      </c>
      <c r="CG46" s="30" t="n">
        <f aca="false">SUMIF($C$2:$F$2,EOMONTH(CG$2,-1)+1,$C46:$F46)*VLOOKUP(CG$2,Valores!$H$2:$P$154,8,0)</f>
        <v>52734.319745083</v>
      </c>
      <c r="CH46" s="30" t="n">
        <f aca="false">SUMIF($C$2:$F$2,EOMONTH(CH$2,-1)+1,$C46:$F46)*VLOOKUP(CH$2,Valores!$H$2:$P$154,8,0)</f>
        <v>52734.319745083</v>
      </c>
      <c r="CI46" s="30" t="n">
        <f aca="false">SUMIF($C$2:$F$2,EOMONTH(CI$2,-1)+1,$C46:$F46)*VLOOKUP(CI$2,Valores!$H$2:$P$154,8,0)</f>
        <v>52734.319745083</v>
      </c>
      <c r="CJ46" s="30" t="n">
        <f aca="false">SUMIF($C$2:$F$2,EOMONTH(CJ$2,-1)+1,$C46:$F46)*VLOOKUP(CJ$2,Valores!$H$2:$P$154,8,0)</f>
        <v>52734.319745083</v>
      </c>
      <c r="CK46" s="30" t="n">
        <f aca="false">SUMIF($C$2:$F$2,EOMONTH(CK$2,-1)+1,$C46:$F46)*VLOOKUP(CK$2,Valores!$H$2:$P$154,8,0)</f>
        <v>105468.639490166</v>
      </c>
      <c r="CL46" s="30" t="n">
        <f aca="false">SUMIF($C$2:$F$2,EOMONTH(CL$2,-1)+1,$C46:$F46)*VLOOKUP(CL$2,Valores!$H$2:$P$154,8,0)</f>
        <v>131835.799362707</v>
      </c>
      <c r="CM46" s="30" t="n">
        <f aca="false">SUMIF($C$2:$F$2,EOMONTH(CM$2,-1)+1,$C46:$F46)*VLOOKUP(CM$2,Valores!$H$2:$P$154,8,0)</f>
        <v>79101.4796176244</v>
      </c>
      <c r="CN46" s="30" t="n">
        <f aca="false">SUMIF($C$2:$F$2,EOMONTH(CN$2,-1)+1,$C46:$F46)*VLOOKUP(CN$2,Valores!$H$2:$P$154,8,0)</f>
        <v>58007.7517195912</v>
      </c>
      <c r="CO46" s="30" t="n">
        <f aca="false">SUMIF($C$2:$F$2,EOMONTH(CO$2,-1)+1,$C46:$F46)*VLOOKUP(CO$2,Valores!$H$2:$P$154,8,0)</f>
        <v>58007.7517195912</v>
      </c>
      <c r="CP46" s="30" t="n">
        <f aca="false">SUMIF($C$2:$F$2,EOMONTH(CP$2,-1)+1,$C46:$F46)*VLOOKUP(CP$2,Valores!$H$2:$P$154,8,0)</f>
        <v>58007.7517195912</v>
      </c>
      <c r="CQ46" s="30" t="n">
        <f aca="false">SUMIF($C$2:$F$2,EOMONTH(CQ$2,-1)+1,$C46:$F46)*VLOOKUP(CQ$2,Valores!$H$2:$P$154,8,0)</f>
        <v>58007.7517195912</v>
      </c>
      <c r="CR46" s="30" t="n">
        <f aca="false">SUMIF($C$2:$F$2,EOMONTH(CR$2,-1)+1,$C46:$F46)*VLOOKUP(CR$2,Valores!$H$2:$P$154,8,0)</f>
        <v>116015.503439182</v>
      </c>
      <c r="CS46" s="30" t="n">
        <f aca="false">SUMIF($C$2:$F$2,EOMONTH(CS$2,-1)+1,$C46:$F46)*VLOOKUP(CS$2,Valores!$H$2:$P$154,8,0)</f>
        <v>174023.255158774</v>
      </c>
      <c r="CT46" s="30" t="e">
        <f aca="false">SUMIF($C$2:$F$2,EOMONTH(CT$2,-1)+1,$C46:$F46)*VLOOKUP(CT$2,Valores!$H$2:$P$154,8,0)</f>
        <v>#VALUE!</v>
      </c>
      <c r="CU46" s="30" t="e">
        <f aca="false">SUMIF($C$2:$F$2,EOMONTH(CU$2,-1)+1,$C46:$F46)*VLOOKUP(CU$2,Valores!$H$2:$P$154,8,0)</f>
        <v>#VALUE!</v>
      </c>
      <c r="CV46" s="30" t="e">
        <f aca="false">SUMIF($C$2:$F$2,EOMONTH(CV$2,-1)+1,$C46:$F46)*VLOOKUP(CV$2,Valores!$H$2:$P$154,8,0)</f>
        <v>#VALUE!</v>
      </c>
      <c r="CW46" s="30" t="e">
        <f aca="false">SUMIF($C$2:$F$2,EOMONTH(CW$2,-1)+1,$C46:$F46)*VLOOKUP(CW$2,Valores!$H$2:$P$154,8,0)</f>
        <v>#VALUE!</v>
      </c>
      <c r="CX46" s="30" t="e">
        <f aca="false">SUMIF($C$2:$F$2,EOMONTH(CX$2,-1)+1,$C46:$F46)*VLOOKUP(CX$2,Valores!$H$2:$P$154,8,0)</f>
        <v>#VALUE!</v>
      </c>
      <c r="CY46" s="30" t="e">
        <f aca="false">SUMIF($C$2:$F$2,EOMONTH(CY$2,-1)+1,$C46:$F46)*VLOOKUP(CY$2,Valores!$H$2:$P$154,8,0)</f>
        <v>#VALUE!</v>
      </c>
      <c r="CZ46" s="30" t="e">
        <f aca="false">SUMIF($C$2:$F$2,EOMONTH(CZ$2,-1)+1,$C46:$F46)*VLOOKUP(CZ$2,Valores!$H$2:$P$154,8,0)</f>
        <v>#VALUE!</v>
      </c>
      <c r="DA46" s="30" t="e">
        <f aca="false">SUMIF($C$2:$F$2,EOMONTH(DA$2,-1)+1,$C46:$F46)*VLOOKUP(DA$2,Valores!$H$2:$P$154,8,0)</f>
        <v>#VALUE!</v>
      </c>
      <c r="DB46" s="30" t="e">
        <f aca="false">SUMIF($C$2:$F$2,EOMONTH(DB$2,-1)+1,$C46:$F46)*VLOOKUP(DB$2,Valores!$H$2:$P$154,8,0)</f>
        <v>#VALUE!</v>
      </c>
      <c r="DC46" s="30" t="e">
        <f aca="false">SUMIF($C$2:$F$2,EOMONTH(DC$2,-1)+1,$C46:$F46)*VLOOKUP(DC$2,Valores!$H$2:$P$154,8,0)</f>
        <v>#VALUE!</v>
      </c>
      <c r="DD46" s="30" t="e">
        <f aca="false">SUMIF($C$2:$F$2,EOMONTH(DD$2,-1)+1,$C46:$F46)*VLOOKUP(DD$2,Valores!$H$2:$P$154,8,0)</f>
        <v>#VALUE!</v>
      </c>
      <c r="DE46" s="30" t="e">
        <f aca="false">SUMIF($C$2:$F$2,EOMONTH(DE$2,-1)+1,$C46:$F46)*VLOOKUP(DE$2,Valores!$H$2:$P$154,8,0)</f>
        <v>#VALUE!</v>
      </c>
      <c r="DF46" s="30" t="e">
        <f aca="false">SUMIF($C$2:$F$2,EOMONTH(DF$2,-1)+1,$C46:$F46)*VLOOKUP(DF$2,Valores!$H$2:$P$154,8,0)</f>
        <v>#VALUE!</v>
      </c>
      <c r="DG46" s="30" t="e">
        <f aca="false">SUMIF($C$2:$F$2,EOMONTH(DG$2,-1)+1,$C46:$F46)*VLOOKUP(DG$2,Valores!$H$2:$P$154,8,0)</f>
        <v>#VALUE!</v>
      </c>
      <c r="DH46" s="30" t="e">
        <f aca="false">SUMIF($C$2:$F$2,EOMONTH(DH$2,-1)+1,$C46:$F46)*VLOOKUP(DH$2,Valores!$H$2:$P$154,8,0)</f>
        <v>#VALUE!</v>
      </c>
      <c r="DI46" s="30" t="e">
        <f aca="false">SUMIF($C$2:$F$2,EOMONTH(DI$2,-1)+1,$C46:$F46)*VLOOKUP(DI$2,Valores!$H$2:$P$154,8,0)</f>
        <v>#VALUE!</v>
      </c>
      <c r="DJ46" s="30" t="e">
        <f aca="false">SUMIF($C$2:$F$2,EOMONTH(DJ$2,-1)+1,$C46:$F46)*VLOOKUP(DJ$2,Valores!$H$2:$P$154,8,0)</f>
        <v>#VALUE!</v>
      </c>
      <c r="DK46" s="30" t="e">
        <f aca="false">SUMIF($C$2:$F$2,EOMONTH(DK$2,-1)+1,$C46:$F46)*VLOOKUP(DK$2,Valores!$H$2:$P$154,8,0)</f>
        <v>#VALUE!</v>
      </c>
      <c r="DL46" s="30" t="e">
        <f aca="false">SUMIF($C$2:$F$2,EOMONTH(DL$2,-1)+1,$C46:$F46)*VLOOKUP(DL$2,Valores!$H$2:$P$154,8,0)</f>
        <v>#VALUE!</v>
      </c>
      <c r="DM46" s="30" t="e">
        <f aca="false">SUMIF($C$2:$F$2,EOMONTH(DM$2,-1)+1,$C46:$F46)*VLOOKUP(DM$2,Valores!$H$2:$P$154,8,0)</f>
        <v>#VALUE!</v>
      </c>
      <c r="DN46" s="30" t="e">
        <f aca="false">SUMIF($C$2:$F$2,EOMONTH(DN$2,-1)+1,$C46:$F46)*VLOOKUP(DN$2,Valores!$H$2:$P$154,8,0)</f>
        <v>#VALUE!</v>
      </c>
      <c r="DO46" s="30" t="e">
        <f aca="false">SUMIF($C$2:$F$2,EOMONTH(DO$2,-1)+1,$C46:$F46)*VLOOKUP(DO$2,Valores!$H$2:$P$154,8,0)</f>
        <v>#VALUE!</v>
      </c>
      <c r="DP46" s="30" t="e">
        <f aca="false">SUMIF($C$2:$F$2,EOMONTH(DP$2,-1)+1,$C46:$F46)*VLOOKUP(DP$2,Valores!$H$2:$P$154,8,0)</f>
        <v>#VALUE!</v>
      </c>
      <c r="DQ46" s="30" t="e">
        <f aca="false">SUMIF($C$2:$F$2,EOMONTH(DQ$2,-1)+1,$C46:$F46)*VLOOKUP(DQ$2,Valores!$H$2:$P$154,8,0)</f>
        <v>#VALUE!</v>
      </c>
      <c r="DR46" s="30" t="e">
        <f aca="false">SUMIF($C$2:$F$2,EOMONTH(DR$2,-1)+1,$C46:$F46)*VLOOKUP(DR$2,Valores!$H$2:$P$154,8,0)</f>
        <v>#VALUE!</v>
      </c>
      <c r="DS46" s="30" t="e">
        <f aca="false">SUMIF($C$2:$F$2,EOMONTH(DS$2,-1)+1,$C46:$F46)*VLOOKUP(DS$2,Valores!$H$2:$P$154,8,0)</f>
        <v>#VALUE!</v>
      </c>
      <c r="DT46" s="30" t="e">
        <f aca="false">SUMIF($C$2:$F$2,EOMONTH(DT$2,-1)+1,$C46:$F46)*VLOOKUP(DT$2,Valores!$H$2:$P$154,8,0)</f>
        <v>#VALUE!</v>
      </c>
      <c r="DU46" s="30" t="e">
        <f aca="false">SUMIF($C$2:$F$2,EOMONTH(DU$2,-1)+1,$C46:$F46)*VLOOKUP(DU$2,Valores!$H$2:$P$154,8,0)</f>
        <v>#VALUE!</v>
      </c>
      <c r="DV46" s="30" t="e">
        <f aca="false">SUMIF($C$2:$F$2,EOMONTH(DV$2,-1)+1,$C46:$F46)*VLOOKUP(DV$2,Valores!$H$2:$P$154,8,0)</f>
        <v>#VALUE!</v>
      </c>
      <c r="DW46" s="30" t="e">
        <f aca="false">SUMIF($C$2:$F$2,EOMONTH(DW$2,-1)+1,$C46:$F46)*VLOOKUP(DW$2,Valores!$H$2:$P$154,8,0)</f>
        <v>#VALUE!</v>
      </c>
      <c r="DX46" s="30" t="e">
        <f aca="false">SUMIF($C$2:$F$2,EOMONTH(DX$2,-1)+1,$C46:$F46)*VLOOKUP(DX$2,Valores!$H$2:$P$154,8,0)</f>
        <v>#VALUE!</v>
      </c>
    </row>
    <row r="47" customFormat="false" ht="13.8" hidden="false" customHeight="false" outlineLevel="0" collapsed="false">
      <c r="A47" s="31" t="s">
        <v>54</v>
      </c>
      <c r="B47" s="31" t="s">
        <v>69</v>
      </c>
      <c r="C47" s="31" t="n">
        <v>2878770</v>
      </c>
      <c r="D47" s="31" t="n">
        <v>2590893</v>
      </c>
      <c r="E47" s="31" t="n">
        <v>2331803.7</v>
      </c>
      <c r="F47" s="31" t="n">
        <v>2098623.33</v>
      </c>
      <c r="G47" s="27" t="n">
        <f aca="false">SUMIF($C$2:$F$2,EOMONTH(G$2,-1)+1,$C47:$F47)*VLOOKUP(G$2,Valores!$H$2:$P$154,8,0)</f>
        <v>82900.2386045746</v>
      </c>
      <c r="H47" s="27" t="n">
        <f aca="false">SUMIF($C$2:$F$2,EOMONTH(H$2,-1)+1,$C47:$F47)*VLOOKUP(H$2,Valores!$H$2:$P$154,8,0)</f>
        <v>56845.8779002797</v>
      </c>
      <c r="I47" s="27" t="n">
        <f aca="false">SUMIF($C$2:$F$2,EOMONTH(I$2,-1)+1,$C47:$F47)*VLOOKUP(I$2,Valores!$H$2:$P$154,8,0)</f>
        <v>56845.8779002797</v>
      </c>
      <c r="J47" s="27" t="n">
        <f aca="false">SUMIF($C$2:$F$2,EOMONTH(J$2,-1)+1,$C47:$F47)*VLOOKUP(J$2,Valores!$H$2:$P$154,8,0)</f>
        <v>56845.8779002797</v>
      </c>
      <c r="K47" s="27" t="n">
        <f aca="false">SUMIF($C$2:$F$2,EOMONTH(K$2,-1)+1,$C47:$F47)*VLOOKUP(K$2,Valores!$H$2:$P$154,8,0)</f>
        <v>56845.8779002797</v>
      </c>
      <c r="L47" s="27" t="n">
        <f aca="false">SUMIF($C$2:$F$2,EOMONTH(L$2,-1)+1,$C47:$F47)*VLOOKUP(L$2,Valores!$H$2:$P$154,8,0)</f>
        <v>113691.755800559</v>
      </c>
      <c r="M47" s="27" t="n">
        <f aca="false">SUMIF($C$2:$F$2,EOMONTH(M$2,-1)+1,$C47:$F47)*VLOOKUP(M$2,Valores!$H$2:$P$154,8,0)</f>
        <v>142114.694750699</v>
      </c>
      <c r="N47" s="27" t="n">
        <f aca="false">SUMIF($C$2:$F$2,EOMONTH(N$2,-1)+1,$C47:$F47)*VLOOKUP(N$2,Valores!$H$2:$P$154,8,0)</f>
        <v>85268.8168504196</v>
      </c>
      <c r="O47" s="27" t="n">
        <f aca="false">SUMIF($C$2:$F$2,EOMONTH(O$2,-1)+1,$C47:$F47)*VLOOKUP(O$2,Valores!$H$2:$P$154,8,0)</f>
        <v>75794.5038670396</v>
      </c>
      <c r="P47" s="27" t="n">
        <f aca="false">SUMIF($C$2:$F$2,EOMONTH(P$2,-1)+1,$C47:$F47)*VLOOKUP(P$2,Valores!$H$2:$P$154,8,0)</f>
        <v>75794.5038670396</v>
      </c>
      <c r="Q47" s="27" t="n">
        <f aca="false">SUMIF($C$2:$F$2,EOMONTH(Q$2,-1)+1,$C47:$F47)*VLOOKUP(Q$2,Valores!$H$2:$P$154,8,0)</f>
        <v>45476.7023202238</v>
      </c>
      <c r="R47" s="27" t="n">
        <f aca="false">SUMIF($C$2:$F$2,EOMONTH(R$2,-1)+1,$C47:$F47)*VLOOKUP(R$2,Valores!$H$2:$P$154,8,0)</f>
        <v>75794.5038670396</v>
      </c>
      <c r="S47" s="27" t="n">
        <f aca="false">SUMIF($C$2:$F$2,EOMONTH(S$2,-1)+1,$C47:$F47)*VLOOKUP(S$2,Valores!$H$2:$P$154,8,0)</f>
        <v>151589.007734079</v>
      </c>
      <c r="T47" s="27" t="n">
        <f aca="false">SUMIF($C$2:$F$2,EOMONTH(T$2,-1)+1,$C47:$F47)*VLOOKUP(T$2,Valores!$H$2:$P$154,8,0)</f>
        <v>189486.259667599</v>
      </c>
      <c r="U47" s="27" t="n">
        <f aca="false">SUMIF($C$2:$F$2,EOMONTH(U$2,-1)+1,$C47:$F47)*VLOOKUP(U$2,Valores!$H$2:$P$154,8,0)</f>
        <v>113691.755800559</v>
      </c>
      <c r="V47" s="27" t="n">
        <f aca="false">SUMIF($C$2:$F$2,EOMONTH(V$2,-1)+1,$C47:$F47)*VLOOKUP(V$2,Valores!$H$2:$P$154,8,0)</f>
        <v>94743.1298337996</v>
      </c>
      <c r="W47" s="27" t="n">
        <f aca="false">SUMIF($C$2:$F$2,EOMONTH(W$2,-1)+1,$C47:$F47)*VLOOKUP(W$2,Valores!$H$2:$P$154,8,0)</f>
        <v>94743.1298337996</v>
      </c>
      <c r="X47" s="27" t="n">
        <f aca="false">SUMIF($C$2:$F$2,EOMONTH(X$2,-1)+1,$C47:$F47)*VLOOKUP(X$2,Valores!$H$2:$P$154,8,0)</f>
        <v>0</v>
      </c>
      <c r="Y47" s="27" t="n">
        <f aca="false">SUMIF($C$2:$F$2,EOMONTH(Y$2,-1)+1,$C47:$F47)*VLOOKUP(Y$2,Valores!$H$2:$P$154,8,0)</f>
        <v>0</v>
      </c>
      <c r="Z47" s="27" t="n">
        <f aca="false">SUMIF($C$2:$F$2,EOMONTH(Z$2,-1)+1,$C47:$F47)*VLOOKUP(Z$2,Valores!$H$2:$P$154,8,0)</f>
        <v>142114.694750699</v>
      </c>
      <c r="AA47" s="27" t="n">
        <f aca="false">SUMIF($C$2:$F$2,EOMONTH(AA$2,-1)+1,$C47:$F47)*VLOOKUP(AA$2,Valores!$H$2:$P$154,8,0)</f>
        <v>170537.633700839</v>
      </c>
      <c r="AB47" s="27" t="n">
        <f aca="false">SUMIF($C$2:$F$2,EOMONTH(AB$2,-1)+1,$C47:$F47)*VLOOKUP(AB$2,Valores!$H$2:$P$154,8,0)</f>
        <v>85268.8168504196</v>
      </c>
      <c r="AC47" s="27" t="n">
        <f aca="false">SUMIF($C$2:$F$2,EOMONTH(AC$2,-1)+1,$C47:$F47)*VLOOKUP(AC$2,Valores!$H$2:$P$154,8,0)</f>
        <v>104217.44281718</v>
      </c>
      <c r="AD47" s="27" t="n">
        <f aca="false">SUMIF($C$2:$F$2,EOMONTH(AD$2,-1)+1,$C47:$F47)*VLOOKUP(AD$2,Valores!$H$2:$P$154,8,0)</f>
        <v>104217.44281718</v>
      </c>
      <c r="AE47" s="27" t="n">
        <f aca="false">SUMIF($C$2:$F$2,EOMONTH(AE$2,-1)+1,$C47:$F47)*VLOOKUP(AE$2,Valores!$H$2:$P$154,8,0)</f>
        <v>104217.44281718</v>
      </c>
      <c r="AF47" s="27" t="n">
        <f aca="false">SUMIF($C$2:$F$2,EOMONTH(AF$2,-1)+1,$C47:$F47)*VLOOKUP(AF$2,Valores!$H$2:$P$154,8,0)</f>
        <v>104217.44281718</v>
      </c>
      <c r="AG47" s="27" t="n">
        <f aca="false">SUMIF($C$2:$F$2,EOMONTH(AG$2,-1)+1,$C47:$F47)*VLOOKUP(AG$2,Valores!$H$2:$P$154,8,0)</f>
        <v>166747.908507487</v>
      </c>
      <c r="AH47" s="27" t="n">
        <f aca="false">SUMIF($C$2:$F$2,EOMONTH(AH$2,-1)+1,$C47:$F47)*VLOOKUP(AH$2,Valores!$H$2:$P$154,8,0)</f>
        <v>208434.885634359</v>
      </c>
      <c r="AI47" s="27" t="n">
        <f aca="false">SUMIF($C$2:$F$2,EOMONTH(AI$2,-1)+1,$C47:$F47)*VLOOKUP(AI$2,Valores!$H$2:$P$154,8,0)</f>
        <v>72952.2099720257</v>
      </c>
      <c r="AJ47" s="27" t="n">
        <f aca="false">SUMIF($C$2:$F$2,EOMONTH(AJ$2,-1)+1,$C47:$F47)*VLOOKUP(AJ$2,Valores!$H$2:$P$154,8,0)</f>
        <v>47371.5649168998</v>
      </c>
      <c r="AK47" s="27" t="n">
        <f aca="false">SUMIF($C$2:$F$2,EOMONTH(AK$2,-1)+1,$C47:$F47)*VLOOKUP(AK$2,Valores!$H$2:$P$154,8,0)</f>
        <v>86385.7248326943</v>
      </c>
      <c r="AL47" s="27" t="n">
        <f aca="false">SUMIF($C$2:$F$2,EOMONTH(AL$2,-1)+1,$C47:$F47)*VLOOKUP(AL$2,Valores!$H$2:$P$154,8,0)</f>
        <v>86385.7248326943</v>
      </c>
      <c r="AM47" s="27" t="n">
        <f aca="false">SUMIF($C$2:$F$2,EOMONTH(AM$2,-1)+1,$C47:$F47)*VLOOKUP(AM$2,Valores!$H$2:$P$154,8,0)</f>
        <v>86385.7248326943</v>
      </c>
      <c r="AN47" s="27" t="n">
        <f aca="false">SUMIF($C$2:$F$2,EOMONTH(AN$2,-1)+1,$C47:$F47)*VLOOKUP(AN$2,Valores!$H$2:$P$154,8,0)</f>
        <v>172771.449665389</v>
      </c>
      <c r="AO47" s="27" t="n">
        <f aca="false">SUMIF($C$2:$F$2,EOMONTH(AO$2,-1)+1,$C47:$F47)*VLOOKUP(AO$2,Valores!$H$2:$P$154,8,0)</f>
        <v>215964.312081736</v>
      </c>
      <c r="AP47" s="27" t="n">
        <f aca="false">SUMIF($C$2:$F$2,EOMONTH(AP$2,-1)+1,$C47:$F47)*VLOOKUP(AP$2,Valores!$H$2:$P$154,8,0)</f>
        <v>129578.587249041</v>
      </c>
      <c r="AQ47" s="27" t="n">
        <f aca="false">SUMIF($C$2:$F$2,EOMONTH(AQ$2,-1)+1,$C47:$F47)*VLOOKUP(AQ$2,Valores!$H$2:$P$154,8,0)</f>
        <v>46278.0668746576</v>
      </c>
      <c r="AR47" s="27" t="n">
        <f aca="false">SUMIF($C$2:$F$2,EOMONTH(AR$2,-1)+1,$C47:$F47)*VLOOKUP(AR$2,Valores!$H$2:$P$154,8,0)</f>
        <v>46278.0668746576</v>
      </c>
      <c r="AS47" s="27" t="n">
        <f aca="false">SUMIF($C$2:$F$2,EOMONTH(AS$2,-1)+1,$C47:$F47)*VLOOKUP(AS$2,Valores!$H$2:$P$154,8,0)</f>
        <v>46278.0668746576</v>
      </c>
      <c r="AT47" s="27" t="n">
        <f aca="false">SUMIF($C$2:$F$2,EOMONTH(AT$2,-1)+1,$C47:$F47)*VLOOKUP(AT$2,Valores!$H$2:$P$154,8,0)</f>
        <v>46278.0668746576</v>
      </c>
      <c r="AU47" s="27" t="n">
        <f aca="false">SUMIF($C$2:$F$2,EOMONTH(AU$2,-1)+1,$C47:$F47)*VLOOKUP(AU$2,Valores!$H$2:$P$154,8,0)</f>
        <v>92556.1337493153</v>
      </c>
      <c r="AV47" s="27" t="n">
        <f aca="false">SUMIF($C$2:$F$2,EOMONTH(AV$2,-1)+1,$C47:$F47)*VLOOKUP(AV$2,Valores!$H$2:$P$154,8,0)</f>
        <v>115695.167186644</v>
      </c>
      <c r="AW47" s="27" t="n">
        <f aca="false">SUMIF($C$2:$F$2,EOMONTH(AW$2,-1)+1,$C47:$F47)*VLOOKUP(AW$2,Valores!$H$2:$P$154,8,0)</f>
        <v>69417.1003119865</v>
      </c>
      <c r="AX47" s="27" t="n">
        <f aca="false">SUMIF($C$2:$F$2,EOMONTH(AX$2,-1)+1,$C47:$F47)*VLOOKUP(AX$2,Valores!$H$2:$P$154,8,0)</f>
        <v>46278.0668746576</v>
      </c>
      <c r="AY47" s="27" t="n">
        <f aca="false">SUMIF($C$2:$F$2,EOMONTH(AY$2,-1)+1,$C47:$F47)*VLOOKUP(AY$2,Valores!$H$2:$P$154,8,0)</f>
        <v>60161.4869370549</v>
      </c>
      <c r="AZ47" s="27" t="n">
        <f aca="false">SUMIF($C$2:$F$2,EOMONTH(AZ$2,-1)+1,$C47:$F47)*VLOOKUP(AZ$2,Valores!$H$2:$P$154,8,0)</f>
        <v>60161.4869370549</v>
      </c>
      <c r="BA47" s="27" t="n">
        <f aca="false">SUMIF($C$2:$F$2,EOMONTH(BA$2,-1)+1,$C47:$F47)*VLOOKUP(BA$2,Valores!$H$2:$P$154,8,0)</f>
        <v>60161.4869370549</v>
      </c>
      <c r="BB47" s="27" t="n">
        <f aca="false">SUMIF($C$2:$F$2,EOMONTH(BB$2,-1)+1,$C47:$F47)*VLOOKUP(BB$2,Valores!$H$2:$P$154,8,0)</f>
        <v>106439.553811713</v>
      </c>
      <c r="BC47" s="27" t="n">
        <f aca="false">SUMIF($C$2:$F$2,EOMONTH(BC$2,-1)+1,$C47:$F47)*VLOOKUP(BC$2,Valores!$H$2:$P$154,8,0)</f>
        <v>129578.587249041</v>
      </c>
      <c r="BD47" s="27" t="n">
        <f aca="false">SUMIF($C$2:$F$2,EOMONTH(BD$2,-1)+1,$C47:$F47)*VLOOKUP(BD$2,Valores!$H$2:$P$154,8,0)</f>
        <v>69417.1003119865</v>
      </c>
      <c r="BE47" s="27" t="n">
        <f aca="false">SUMIF($C$2:$F$2,EOMONTH(BE$2,-1)+1,$C47:$F47)*VLOOKUP(BE$2,Valores!$H$2:$P$154,8,0)</f>
        <v>61704.0891662102</v>
      </c>
      <c r="BF47" s="27" t="n">
        <f aca="false">SUMIF($C$2:$F$2,EOMONTH(BF$2,-1)+1,$C47:$F47)*VLOOKUP(BF$2,Valores!$H$2:$P$154,8,0)</f>
        <v>61704.0891662102</v>
      </c>
      <c r="BG47" s="27" t="n">
        <f aca="false">SUMIF($C$2:$F$2,EOMONTH(BG$2,-1)+1,$C47:$F47)*VLOOKUP(BG$2,Valores!$H$2:$P$154,8,0)</f>
        <v>61704.0891662102</v>
      </c>
      <c r="BH47" s="27" t="n">
        <f aca="false">SUMIF($C$2:$F$2,EOMONTH(BH$2,-1)+1,$C47:$F47)*VLOOKUP(BH$2,Valores!$H$2:$P$154,8,0)</f>
        <v>61704.0891662102</v>
      </c>
      <c r="BI47" s="27" t="n">
        <f aca="false">SUMIF($C$2:$F$2,EOMONTH(BI$2,-1)+1,$C47:$F47)*VLOOKUP(BI$2,Valores!$H$2:$P$154,8,0)</f>
        <v>123408.17833242</v>
      </c>
      <c r="BJ47" s="27" t="n">
        <f aca="false">SUMIF($C$2:$F$2,EOMONTH(BJ$2,-1)+1,$C47:$F47)*VLOOKUP(BJ$2,Valores!$H$2:$P$154,8,0)</f>
        <v>154260.222915525</v>
      </c>
      <c r="BK47" s="27" t="n">
        <f aca="false">SUMIF($C$2:$F$2,EOMONTH(BK$2,-1)+1,$C47:$F47)*VLOOKUP(BK$2,Valores!$H$2:$P$154,8,0)</f>
        <v>74044.9069994522</v>
      </c>
      <c r="BL47" s="27" t="n">
        <f aca="false">SUMIF($C$2:$F$2,EOMONTH(BL$2,-1)+1,$C47:$F47)*VLOOKUP(BL$2,Valores!$H$2:$P$154,8,0)</f>
        <v>54299.598466265</v>
      </c>
      <c r="BM47" s="27" t="n">
        <f aca="false">SUMIF($C$2:$F$2,EOMONTH(BM$2,-1)+1,$C47:$F47)*VLOOKUP(BM$2,Valores!$H$2:$P$154,8,0)</f>
        <v>54299.598466265</v>
      </c>
      <c r="BN47" s="27" t="n">
        <f aca="false">SUMIF($C$2:$F$2,EOMONTH(BN$2,-1)+1,$C47:$F47)*VLOOKUP(BN$2,Valores!$H$2:$P$154,8,0)</f>
        <v>54299.598466265</v>
      </c>
      <c r="BO47" s="27" t="n">
        <f aca="false">SUMIF($C$2:$F$2,EOMONTH(BO$2,-1)+1,$C47:$F47)*VLOOKUP(BO$2,Valores!$H$2:$P$154,8,0)</f>
        <v>57014.5783895782</v>
      </c>
      <c r="BP47" s="27" t="n">
        <f aca="false">SUMIF($C$2:$F$2,EOMONTH(BP$2,-1)+1,$C47:$F47)*VLOOKUP(BP$2,Valores!$H$2:$P$154,8,0)</f>
        <v>143479.845291726</v>
      </c>
      <c r="BQ47" s="27" t="n">
        <f aca="false">SUMIF($C$2:$F$2,EOMONTH(BQ$2,-1)+1,$C47:$F47)*VLOOKUP(BQ$2,Valores!$H$2:$P$154,8,0)</f>
        <v>179349.806614658</v>
      </c>
      <c r="BR47" s="27" t="n">
        <f aca="false">SUMIF($C$2:$F$2,EOMONTH(BR$2,-1)+1,$C47:$F47)*VLOOKUP(BR$2,Valores!$H$2:$P$154,8,0)</f>
        <v>86087.9071750357</v>
      </c>
      <c r="BS47" s="27" t="n">
        <f aca="false">SUMIF($C$2:$F$2,EOMONTH(BS$2,-1)+1,$C47:$F47)*VLOOKUP(BS$2,Valores!$H$2:$P$154,8,0)</f>
        <v>38432.1014174266</v>
      </c>
      <c r="BT47" s="27" t="n">
        <f aca="false">SUMIF($C$2:$F$2,EOMONTH(BT$2,-1)+1,$C47:$F47)*VLOOKUP(BT$2,Valores!$H$2:$P$154,8,0)</f>
        <v>38432.1014174266</v>
      </c>
      <c r="BU47" s="27" t="n">
        <f aca="false">SUMIF($C$2:$F$2,EOMONTH(BU$2,-1)+1,$C47:$F47)*VLOOKUP(BU$2,Valores!$H$2:$P$154,8,0)</f>
        <v>38432.1014174266</v>
      </c>
      <c r="BV47" s="27" t="n">
        <f aca="false">SUMIF($C$2:$F$2,EOMONTH(BV$2,-1)+1,$C47:$F47)*VLOOKUP(BV$2,Valores!$H$2:$P$154,8,0)</f>
        <v>38432.1014174266</v>
      </c>
      <c r="BW47" s="27" t="n">
        <f aca="false">SUMIF($C$2:$F$2,EOMONTH(BW$2,-1)+1,$C47:$F47)*VLOOKUP(BW$2,Valores!$H$2:$P$154,8,0)</f>
        <v>76864.2028348533</v>
      </c>
      <c r="BX47" s="27" t="n">
        <f aca="false">SUMIF($C$2:$F$2,EOMONTH(BX$2,-1)+1,$C47:$F47)*VLOOKUP(BX$2,Valores!$H$2:$P$154,8,0)</f>
        <v>96080.2535435666</v>
      </c>
      <c r="BY47" s="27" t="n">
        <f aca="false">SUMIF($C$2:$F$2,EOMONTH(BY$2,-1)+1,$C47:$F47)*VLOOKUP(BY$2,Valores!$H$2:$P$154,8,0)</f>
        <v>57648.15212614</v>
      </c>
      <c r="BZ47" s="27" t="n">
        <f aca="false">SUMIF($C$2:$F$2,EOMONTH(BZ$2,-1)+1,$C47:$F47)*VLOOKUP(BZ$2,Valores!$H$2:$P$154,8,0)</f>
        <v>38432.1014174266</v>
      </c>
      <c r="CA47" s="27" t="n">
        <f aca="false">SUMIF($C$2:$F$2,EOMONTH(CA$2,-1)+1,$C47:$F47)*VLOOKUP(CA$2,Valores!$H$2:$P$154,8,0)</f>
        <v>38432.1014174266</v>
      </c>
      <c r="CB47" s="27" t="n">
        <f aca="false">SUMIF($C$2:$F$2,EOMONTH(CB$2,-1)+1,$C47:$F47)*VLOOKUP(CB$2,Valores!$H$2:$P$154,8,0)</f>
        <v>38432.1014174266</v>
      </c>
      <c r="CC47" s="27" t="n">
        <f aca="false">SUMIF($C$2:$F$2,EOMONTH(CC$2,-1)+1,$C47:$F47)*VLOOKUP(CC$2,Valores!$H$2:$P$154,8,0)</f>
        <v>38432.1014174266</v>
      </c>
      <c r="CD47" s="27" t="n">
        <f aca="false">SUMIF($C$2:$F$2,EOMONTH(CD$2,-1)+1,$C47:$F47)*VLOOKUP(CD$2,Valores!$H$2:$P$154,8,0)</f>
        <v>115296.30425228</v>
      </c>
      <c r="CE47" s="27" t="n">
        <f aca="false">SUMIF($C$2:$F$2,EOMONTH(CE$2,-1)+1,$C47:$F47)*VLOOKUP(CE$2,Valores!$H$2:$P$154,8,0)</f>
        <v>153728.405669707</v>
      </c>
      <c r="CF47" s="27" t="n">
        <f aca="false">SUMIF($C$2:$F$2,EOMONTH(CF$2,-1)+1,$C47:$F47)*VLOOKUP(CF$2,Valores!$H$2:$P$154,8,0)</f>
        <v>96080.2535435666</v>
      </c>
      <c r="CG47" s="27" t="n">
        <f aca="false">SUMIF($C$2:$F$2,EOMONTH(CG$2,-1)+1,$C47:$F47)*VLOOKUP(CG$2,Valores!$H$2:$P$154,8,0)</f>
        <v>51242.8018899022</v>
      </c>
      <c r="CH47" s="27" t="n">
        <f aca="false">SUMIF($C$2:$F$2,EOMONTH(CH$2,-1)+1,$C47:$F47)*VLOOKUP(CH$2,Valores!$H$2:$P$154,8,0)</f>
        <v>51242.8018899022</v>
      </c>
      <c r="CI47" s="27" t="n">
        <f aca="false">SUMIF($C$2:$F$2,EOMONTH(CI$2,-1)+1,$C47:$F47)*VLOOKUP(CI$2,Valores!$H$2:$P$154,8,0)</f>
        <v>51242.8018899022</v>
      </c>
      <c r="CJ47" s="27" t="n">
        <f aca="false">SUMIF($C$2:$F$2,EOMONTH(CJ$2,-1)+1,$C47:$F47)*VLOOKUP(CJ$2,Valores!$H$2:$P$154,8,0)</f>
        <v>51242.8018899022</v>
      </c>
      <c r="CK47" s="27" t="n">
        <f aca="false">SUMIF($C$2:$F$2,EOMONTH(CK$2,-1)+1,$C47:$F47)*VLOOKUP(CK$2,Valores!$H$2:$P$154,8,0)</f>
        <v>102485.603779804</v>
      </c>
      <c r="CL47" s="27" t="n">
        <f aca="false">SUMIF($C$2:$F$2,EOMONTH(CL$2,-1)+1,$C47:$F47)*VLOOKUP(CL$2,Valores!$H$2:$P$154,8,0)</f>
        <v>128107.004724755</v>
      </c>
      <c r="CM47" s="27" t="n">
        <f aca="false">SUMIF($C$2:$F$2,EOMONTH(CM$2,-1)+1,$C47:$F47)*VLOOKUP(CM$2,Valores!$H$2:$P$154,8,0)</f>
        <v>76864.2028348533</v>
      </c>
      <c r="CN47" s="27" t="n">
        <f aca="false">SUMIF($C$2:$F$2,EOMONTH(CN$2,-1)+1,$C47:$F47)*VLOOKUP(CN$2,Valores!$H$2:$P$154,8,0)</f>
        <v>56367.0820788924</v>
      </c>
      <c r="CO47" s="27" t="n">
        <f aca="false">SUMIF($C$2:$F$2,EOMONTH(CO$2,-1)+1,$C47:$F47)*VLOOKUP(CO$2,Valores!$H$2:$P$154,8,0)</f>
        <v>56367.0820788924</v>
      </c>
      <c r="CP47" s="27" t="n">
        <f aca="false">SUMIF($C$2:$F$2,EOMONTH(CP$2,-1)+1,$C47:$F47)*VLOOKUP(CP$2,Valores!$H$2:$P$154,8,0)</f>
        <v>56367.0820788924</v>
      </c>
      <c r="CQ47" s="27" t="n">
        <f aca="false">SUMIF($C$2:$F$2,EOMONTH(CQ$2,-1)+1,$C47:$F47)*VLOOKUP(CQ$2,Valores!$H$2:$P$154,8,0)</f>
        <v>56367.0820788924</v>
      </c>
      <c r="CR47" s="27" t="n">
        <f aca="false">SUMIF($C$2:$F$2,EOMONTH(CR$2,-1)+1,$C47:$F47)*VLOOKUP(CR$2,Valores!$H$2:$P$154,8,0)</f>
        <v>112734.164157785</v>
      </c>
      <c r="CS47" s="27" t="n">
        <f aca="false">SUMIF($C$2:$F$2,EOMONTH(CS$2,-1)+1,$C47:$F47)*VLOOKUP(CS$2,Valores!$H$2:$P$154,8,0)</f>
        <v>169101.246236677</v>
      </c>
      <c r="CT47" s="27" t="e">
        <f aca="false">SUMIF($C$2:$F$2,EOMONTH(CT$2,-1)+1,$C47:$F47)*VLOOKUP(CT$2,Valores!$H$2:$P$154,8,0)</f>
        <v>#VALUE!</v>
      </c>
      <c r="CU47" s="27" t="e">
        <f aca="false">SUMIF($C$2:$F$2,EOMONTH(CU$2,-1)+1,$C47:$F47)*VLOOKUP(CU$2,Valores!$H$2:$P$154,8,0)</f>
        <v>#VALUE!</v>
      </c>
      <c r="CV47" s="27" t="e">
        <f aca="false">SUMIF($C$2:$F$2,EOMONTH(CV$2,-1)+1,$C47:$F47)*VLOOKUP(CV$2,Valores!$H$2:$P$154,8,0)</f>
        <v>#VALUE!</v>
      </c>
      <c r="CW47" s="27" t="e">
        <f aca="false">SUMIF($C$2:$F$2,EOMONTH(CW$2,-1)+1,$C47:$F47)*VLOOKUP(CW$2,Valores!$H$2:$P$154,8,0)</f>
        <v>#VALUE!</v>
      </c>
      <c r="CX47" s="27" t="e">
        <f aca="false">SUMIF($C$2:$F$2,EOMONTH(CX$2,-1)+1,$C47:$F47)*VLOOKUP(CX$2,Valores!$H$2:$P$154,8,0)</f>
        <v>#VALUE!</v>
      </c>
      <c r="CY47" s="27" t="e">
        <f aca="false">SUMIF($C$2:$F$2,EOMONTH(CY$2,-1)+1,$C47:$F47)*VLOOKUP(CY$2,Valores!$H$2:$P$154,8,0)</f>
        <v>#VALUE!</v>
      </c>
      <c r="CZ47" s="27" t="e">
        <f aca="false">SUMIF($C$2:$F$2,EOMONTH(CZ$2,-1)+1,$C47:$F47)*VLOOKUP(CZ$2,Valores!$H$2:$P$154,8,0)</f>
        <v>#VALUE!</v>
      </c>
      <c r="DA47" s="27" t="e">
        <f aca="false">SUMIF($C$2:$F$2,EOMONTH(DA$2,-1)+1,$C47:$F47)*VLOOKUP(DA$2,Valores!$H$2:$P$154,8,0)</f>
        <v>#VALUE!</v>
      </c>
      <c r="DB47" s="27" t="e">
        <f aca="false">SUMIF($C$2:$F$2,EOMONTH(DB$2,-1)+1,$C47:$F47)*VLOOKUP(DB$2,Valores!$H$2:$P$154,8,0)</f>
        <v>#VALUE!</v>
      </c>
      <c r="DC47" s="27" t="e">
        <f aca="false">SUMIF($C$2:$F$2,EOMONTH(DC$2,-1)+1,$C47:$F47)*VLOOKUP(DC$2,Valores!$H$2:$P$154,8,0)</f>
        <v>#VALUE!</v>
      </c>
      <c r="DD47" s="27" t="e">
        <f aca="false">SUMIF($C$2:$F$2,EOMONTH(DD$2,-1)+1,$C47:$F47)*VLOOKUP(DD$2,Valores!$H$2:$P$154,8,0)</f>
        <v>#VALUE!</v>
      </c>
      <c r="DE47" s="27" t="e">
        <f aca="false">SUMIF($C$2:$F$2,EOMONTH(DE$2,-1)+1,$C47:$F47)*VLOOKUP(DE$2,Valores!$H$2:$P$154,8,0)</f>
        <v>#VALUE!</v>
      </c>
      <c r="DF47" s="27" t="e">
        <f aca="false">SUMIF($C$2:$F$2,EOMONTH(DF$2,-1)+1,$C47:$F47)*VLOOKUP(DF$2,Valores!$H$2:$P$154,8,0)</f>
        <v>#VALUE!</v>
      </c>
      <c r="DG47" s="27" t="e">
        <f aca="false">SUMIF($C$2:$F$2,EOMONTH(DG$2,-1)+1,$C47:$F47)*VLOOKUP(DG$2,Valores!$H$2:$P$154,8,0)</f>
        <v>#VALUE!</v>
      </c>
      <c r="DH47" s="27" t="e">
        <f aca="false">SUMIF($C$2:$F$2,EOMONTH(DH$2,-1)+1,$C47:$F47)*VLOOKUP(DH$2,Valores!$H$2:$P$154,8,0)</f>
        <v>#VALUE!</v>
      </c>
      <c r="DI47" s="27" t="e">
        <f aca="false">SUMIF($C$2:$F$2,EOMONTH(DI$2,-1)+1,$C47:$F47)*VLOOKUP(DI$2,Valores!$H$2:$P$154,8,0)</f>
        <v>#VALUE!</v>
      </c>
      <c r="DJ47" s="27" t="e">
        <f aca="false">SUMIF($C$2:$F$2,EOMONTH(DJ$2,-1)+1,$C47:$F47)*VLOOKUP(DJ$2,Valores!$H$2:$P$154,8,0)</f>
        <v>#VALUE!</v>
      </c>
      <c r="DK47" s="27" t="e">
        <f aca="false">SUMIF($C$2:$F$2,EOMONTH(DK$2,-1)+1,$C47:$F47)*VLOOKUP(DK$2,Valores!$H$2:$P$154,8,0)</f>
        <v>#VALUE!</v>
      </c>
      <c r="DL47" s="27" t="e">
        <f aca="false">SUMIF($C$2:$F$2,EOMONTH(DL$2,-1)+1,$C47:$F47)*VLOOKUP(DL$2,Valores!$H$2:$P$154,8,0)</f>
        <v>#VALUE!</v>
      </c>
      <c r="DM47" s="27" t="e">
        <f aca="false">SUMIF($C$2:$F$2,EOMONTH(DM$2,-1)+1,$C47:$F47)*VLOOKUP(DM$2,Valores!$H$2:$P$154,8,0)</f>
        <v>#VALUE!</v>
      </c>
      <c r="DN47" s="27" t="e">
        <f aca="false">SUMIF($C$2:$F$2,EOMONTH(DN$2,-1)+1,$C47:$F47)*VLOOKUP(DN$2,Valores!$H$2:$P$154,8,0)</f>
        <v>#VALUE!</v>
      </c>
      <c r="DO47" s="27" t="e">
        <f aca="false">SUMIF($C$2:$F$2,EOMONTH(DO$2,-1)+1,$C47:$F47)*VLOOKUP(DO$2,Valores!$H$2:$P$154,8,0)</f>
        <v>#VALUE!</v>
      </c>
      <c r="DP47" s="27" t="e">
        <f aca="false">SUMIF($C$2:$F$2,EOMONTH(DP$2,-1)+1,$C47:$F47)*VLOOKUP(DP$2,Valores!$H$2:$P$154,8,0)</f>
        <v>#VALUE!</v>
      </c>
      <c r="DQ47" s="27" t="e">
        <f aca="false">SUMIF($C$2:$F$2,EOMONTH(DQ$2,-1)+1,$C47:$F47)*VLOOKUP(DQ$2,Valores!$H$2:$P$154,8,0)</f>
        <v>#VALUE!</v>
      </c>
      <c r="DR47" s="27" t="e">
        <f aca="false">SUMIF($C$2:$F$2,EOMONTH(DR$2,-1)+1,$C47:$F47)*VLOOKUP(DR$2,Valores!$H$2:$P$154,8,0)</f>
        <v>#VALUE!</v>
      </c>
      <c r="DS47" s="27" t="e">
        <f aca="false">SUMIF($C$2:$F$2,EOMONTH(DS$2,-1)+1,$C47:$F47)*VLOOKUP(DS$2,Valores!$H$2:$P$154,8,0)</f>
        <v>#VALUE!</v>
      </c>
      <c r="DT47" s="27" t="e">
        <f aca="false">SUMIF($C$2:$F$2,EOMONTH(DT$2,-1)+1,$C47:$F47)*VLOOKUP(DT$2,Valores!$H$2:$P$154,8,0)</f>
        <v>#VALUE!</v>
      </c>
      <c r="DU47" s="27" t="e">
        <f aca="false">SUMIF($C$2:$F$2,EOMONTH(DU$2,-1)+1,$C47:$F47)*VLOOKUP(DU$2,Valores!$H$2:$P$154,8,0)</f>
        <v>#VALUE!</v>
      </c>
      <c r="DV47" s="27" t="e">
        <f aca="false">SUMIF($C$2:$F$2,EOMONTH(DV$2,-1)+1,$C47:$F47)*VLOOKUP(DV$2,Valores!$H$2:$P$154,8,0)</f>
        <v>#VALUE!</v>
      </c>
      <c r="DW47" s="27" t="e">
        <f aca="false">SUMIF($C$2:$F$2,EOMONTH(DW$2,-1)+1,$C47:$F47)*VLOOKUP(DW$2,Valores!$H$2:$P$154,8,0)</f>
        <v>#VALUE!</v>
      </c>
      <c r="DX47" s="27" t="e">
        <f aca="false">SUMIF($C$2:$F$2,EOMONTH(DX$2,-1)+1,$C47:$F47)*VLOOKUP(DX$2,Valores!$H$2:$P$154,8,0)</f>
        <v>#VALUE!</v>
      </c>
    </row>
    <row r="48" customFormat="false" ht="13.8" hidden="false" customHeight="false" outlineLevel="0" collapsed="false">
      <c r="A48" s="29" t="s">
        <v>54</v>
      </c>
      <c r="B48" s="29" t="s">
        <v>70</v>
      </c>
      <c r="C48" s="29" t="n">
        <v>2623875</v>
      </c>
      <c r="D48" s="29" t="n">
        <v>2361487.5</v>
      </c>
      <c r="E48" s="29" t="n">
        <v>2125338.75</v>
      </c>
      <c r="F48" s="29" t="n">
        <v>1912804.875</v>
      </c>
      <c r="G48" s="30" t="n">
        <f aca="false">SUMIF($C$2:$F$2,EOMONTH(G$2,-1)+1,$C48:$F48)*VLOOKUP(G$2,Valores!$H$2:$P$154,8,0)</f>
        <v>75560.0008227744</v>
      </c>
      <c r="H48" s="30" t="n">
        <f aca="false">SUMIF($C$2:$F$2,EOMONTH(H$2,-1)+1,$C48:$F48)*VLOOKUP(H$2,Valores!$H$2:$P$154,8,0)</f>
        <v>51812.5719927596</v>
      </c>
      <c r="I48" s="30" t="n">
        <f aca="false">SUMIF($C$2:$F$2,EOMONTH(I$2,-1)+1,$C48:$F48)*VLOOKUP(I$2,Valores!$H$2:$P$154,8,0)</f>
        <v>51812.5719927596</v>
      </c>
      <c r="J48" s="30" t="n">
        <f aca="false">SUMIF($C$2:$F$2,EOMONTH(J$2,-1)+1,$C48:$F48)*VLOOKUP(J$2,Valores!$H$2:$P$154,8,0)</f>
        <v>51812.5719927596</v>
      </c>
      <c r="K48" s="30" t="n">
        <f aca="false">SUMIF($C$2:$F$2,EOMONTH(K$2,-1)+1,$C48:$F48)*VLOOKUP(K$2,Valores!$H$2:$P$154,8,0)</f>
        <v>51812.5719927596</v>
      </c>
      <c r="L48" s="30" t="n">
        <f aca="false">SUMIF($C$2:$F$2,EOMONTH(L$2,-1)+1,$C48:$F48)*VLOOKUP(L$2,Valores!$H$2:$P$154,8,0)</f>
        <v>103625.143985519</v>
      </c>
      <c r="M48" s="30" t="n">
        <f aca="false">SUMIF($C$2:$F$2,EOMONTH(M$2,-1)+1,$C48:$F48)*VLOOKUP(M$2,Valores!$H$2:$P$154,8,0)</f>
        <v>129531.429981899</v>
      </c>
      <c r="N48" s="30" t="n">
        <f aca="false">SUMIF($C$2:$F$2,EOMONTH(N$2,-1)+1,$C48:$F48)*VLOOKUP(N$2,Valores!$H$2:$P$154,8,0)</f>
        <v>77718.8579891394</v>
      </c>
      <c r="O48" s="30" t="n">
        <f aca="false">SUMIF($C$2:$F$2,EOMONTH(O$2,-1)+1,$C48:$F48)*VLOOKUP(O$2,Valores!$H$2:$P$154,8,0)</f>
        <v>69083.4293236794</v>
      </c>
      <c r="P48" s="30" t="n">
        <f aca="false">SUMIF($C$2:$F$2,EOMONTH(P$2,-1)+1,$C48:$F48)*VLOOKUP(P$2,Valores!$H$2:$P$154,8,0)</f>
        <v>69083.4293236794</v>
      </c>
      <c r="Q48" s="30" t="n">
        <f aca="false">SUMIF($C$2:$F$2,EOMONTH(Q$2,-1)+1,$C48:$F48)*VLOOKUP(Q$2,Valores!$H$2:$P$154,8,0)</f>
        <v>41450.0575942077</v>
      </c>
      <c r="R48" s="30" t="n">
        <f aca="false">SUMIF($C$2:$F$2,EOMONTH(R$2,-1)+1,$C48:$F48)*VLOOKUP(R$2,Valores!$H$2:$P$154,8,0)</f>
        <v>69083.4293236794</v>
      </c>
      <c r="S48" s="30" t="n">
        <f aca="false">SUMIF($C$2:$F$2,EOMONTH(S$2,-1)+1,$C48:$F48)*VLOOKUP(S$2,Valores!$H$2:$P$154,8,0)</f>
        <v>138166.858647359</v>
      </c>
      <c r="T48" s="30" t="n">
        <f aca="false">SUMIF($C$2:$F$2,EOMONTH(T$2,-1)+1,$C48:$F48)*VLOOKUP(T$2,Valores!$H$2:$P$154,8,0)</f>
        <v>172708.573309199</v>
      </c>
      <c r="U48" s="30" t="n">
        <f aca="false">SUMIF($C$2:$F$2,EOMONTH(U$2,-1)+1,$C48:$F48)*VLOOKUP(U$2,Valores!$H$2:$P$154,8,0)</f>
        <v>103625.143985519</v>
      </c>
      <c r="V48" s="30" t="n">
        <f aca="false">SUMIF($C$2:$F$2,EOMONTH(V$2,-1)+1,$C48:$F48)*VLOOKUP(V$2,Valores!$H$2:$P$154,8,0)</f>
        <v>86354.2866545993</v>
      </c>
      <c r="W48" s="30" t="n">
        <f aca="false">SUMIF($C$2:$F$2,EOMONTH(W$2,-1)+1,$C48:$F48)*VLOOKUP(W$2,Valores!$H$2:$P$154,8,0)</f>
        <v>86354.2866545993</v>
      </c>
      <c r="X48" s="30" t="n">
        <f aca="false">SUMIF($C$2:$F$2,EOMONTH(X$2,-1)+1,$C48:$F48)*VLOOKUP(X$2,Valores!$H$2:$P$154,8,0)</f>
        <v>0</v>
      </c>
      <c r="Y48" s="30" t="n">
        <f aca="false">SUMIF($C$2:$F$2,EOMONTH(Y$2,-1)+1,$C48:$F48)*VLOOKUP(Y$2,Valores!$H$2:$P$154,8,0)</f>
        <v>0</v>
      </c>
      <c r="Z48" s="30" t="n">
        <f aca="false">SUMIF($C$2:$F$2,EOMONTH(Z$2,-1)+1,$C48:$F48)*VLOOKUP(Z$2,Valores!$H$2:$P$154,8,0)</f>
        <v>129531.429981899</v>
      </c>
      <c r="AA48" s="30" t="n">
        <f aca="false">SUMIF($C$2:$F$2,EOMONTH(AA$2,-1)+1,$C48:$F48)*VLOOKUP(AA$2,Valores!$H$2:$P$154,8,0)</f>
        <v>155437.715978279</v>
      </c>
      <c r="AB48" s="30" t="n">
        <f aca="false">SUMIF($C$2:$F$2,EOMONTH(AB$2,-1)+1,$C48:$F48)*VLOOKUP(AB$2,Valores!$H$2:$P$154,8,0)</f>
        <v>77718.8579891394</v>
      </c>
      <c r="AC48" s="30" t="n">
        <f aca="false">SUMIF($C$2:$F$2,EOMONTH(AC$2,-1)+1,$C48:$F48)*VLOOKUP(AC$2,Valores!$H$2:$P$154,8,0)</f>
        <v>94989.7153200592</v>
      </c>
      <c r="AD48" s="30" t="n">
        <f aca="false">SUMIF($C$2:$F$2,EOMONTH(AD$2,-1)+1,$C48:$F48)*VLOOKUP(AD$2,Valores!$H$2:$P$154,8,0)</f>
        <v>94989.7153200592</v>
      </c>
      <c r="AE48" s="30" t="n">
        <f aca="false">SUMIF($C$2:$F$2,EOMONTH(AE$2,-1)+1,$C48:$F48)*VLOOKUP(AE$2,Valores!$H$2:$P$154,8,0)</f>
        <v>94989.7153200592</v>
      </c>
      <c r="AF48" s="30" t="n">
        <f aca="false">SUMIF($C$2:$F$2,EOMONTH(AF$2,-1)+1,$C48:$F48)*VLOOKUP(AF$2,Valores!$H$2:$P$154,8,0)</f>
        <v>94989.7153200592</v>
      </c>
      <c r="AG48" s="30" t="n">
        <f aca="false">SUMIF($C$2:$F$2,EOMONTH(AG$2,-1)+1,$C48:$F48)*VLOOKUP(AG$2,Valores!$H$2:$P$154,8,0)</f>
        <v>151983.544512095</v>
      </c>
      <c r="AH48" s="30" t="n">
        <f aca="false">SUMIF($C$2:$F$2,EOMONTH(AH$2,-1)+1,$C48:$F48)*VLOOKUP(AH$2,Valores!$H$2:$P$154,8,0)</f>
        <v>189979.430640118</v>
      </c>
      <c r="AI48" s="30" t="n">
        <f aca="false">SUMIF($C$2:$F$2,EOMONTH(AI$2,-1)+1,$C48:$F48)*VLOOKUP(AI$2,Valores!$H$2:$P$154,8,0)</f>
        <v>66492.8007240415</v>
      </c>
      <c r="AJ48" s="30" t="n">
        <f aca="false">SUMIF($C$2:$F$2,EOMONTH(AJ$2,-1)+1,$C48:$F48)*VLOOKUP(AJ$2,Valores!$H$2:$P$154,8,0)</f>
        <v>43177.1433272997</v>
      </c>
      <c r="AK48" s="30" t="n">
        <f aca="false">SUMIF($C$2:$F$2,EOMONTH(AK$2,-1)+1,$C48:$F48)*VLOOKUP(AK$2,Valores!$H$2:$P$154,8,0)</f>
        <v>78736.8715615995</v>
      </c>
      <c r="AL48" s="30" t="n">
        <f aca="false">SUMIF($C$2:$F$2,EOMONTH(AL$2,-1)+1,$C48:$F48)*VLOOKUP(AL$2,Valores!$H$2:$P$154,8,0)</f>
        <v>78736.8715615995</v>
      </c>
      <c r="AM48" s="30" t="n">
        <f aca="false">SUMIF($C$2:$F$2,EOMONTH(AM$2,-1)+1,$C48:$F48)*VLOOKUP(AM$2,Valores!$H$2:$P$154,8,0)</f>
        <v>78736.8715615995</v>
      </c>
      <c r="AN48" s="30" t="n">
        <f aca="false">SUMIF($C$2:$F$2,EOMONTH(AN$2,-1)+1,$C48:$F48)*VLOOKUP(AN$2,Valores!$H$2:$P$154,8,0)</f>
        <v>157473.743123199</v>
      </c>
      <c r="AO48" s="30" t="n">
        <f aca="false">SUMIF($C$2:$F$2,EOMONTH(AO$2,-1)+1,$C48:$F48)*VLOOKUP(AO$2,Valores!$H$2:$P$154,8,0)</f>
        <v>196842.178903999</v>
      </c>
      <c r="AP48" s="30" t="n">
        <f aca="false">SUMIF($C$2:$F$2,EOMONTH(AP$2,-1)+1,$C48:$F48)*VLOOKUP(AP$2,Valores!$H$2:$P$154,8,0)</f>
        <v>118105.307342399</v>
      </c>
      <c r="AQ48" s="30" t="n">
        <f aca="false">SUMIF($C$2:$F$2,EOMONTH(AQ$2,-1)+1,$C48:$F48)*VLOOKUP(AQ$2,Valores!$H$2:$P$154,8,0)</f>
        <v>42180.4669079997</v>
      </c>
      <c r="AR48" s="30" t="n">
        <f aca="false">SUMIF($C$2:$F$2,EOMONTH(AR$2,-1)+1,$C48:$F48)*VLOOKUP(AR$2,Valores!$H$2:$P$154,8,0)</f>
        <v>42180.4669079997</v>
      </c>
      <c r="AS48" s="30" t="n">
        <f aca="false">SUMIF($C$2:$F$2,EOMONTH(AS$2,-1)+1,$C48:$F48)*VLOOKUP(AS$2,Valores!$H$2:$P$154,8,0)</f>
        <v>42180.4669079997</v>
      </c>
      <c r="AT48" s="30" t="n">
        <f aca="false">SUMIF($C$2:$F$2,EOMONTH(AT$2,-1)+1,$C48:$F48)*VLOOKUP(AT$2,Valores!$H$2:$P$154,8,0)</f>
        <v>42180.4669079997</v>
      </c>
      <c r="AU48" s="30" t="n">
        <f aca="false">SUMIF($C$2:$F$2,EOMONTH(AU$2,-1)+1,$C48:$F48)*VLOOKUP(AU$2,Valores!$H$2:$P$154,8,0)</f>
        <v>84360.9338159994</v>
      </c>
      <c r="AV48" s="30" t="n">
        <f aca="false">SUMIF($C$2:$F$2,EOMONTH(AV$2,-1)+1,$C48:$F48)*VLOOKUP(AV$2,Valores!$H$2:$P$154,8,0)</f>
        <v>105451.167269999</v>
      </c>
      <c r="AW48" s="30" t="n">
        <f aca="false">SUMIF($C$2:$F$2,EOMONTH(AW$2,-1)+1,$C48:$F48)*VLOOKUP(AW$2,Valores!$H$2:$P$154,8,0)</f>
        <v>63270.7003619996</v>
      </c>
      <c r="AX48" s="30" t="n">
        <f aca="false">SUMIF($C$2:$F$2,EOMONTH(AX$2,-1)+1,$C48:$F48)*VLOOKUP(AX$2,Valores!$H$2:$P$154,8,0)</f>
        <v>42180.4669079997</v>
      </c>
      <c r="AY48" s="30" t="n">
        <f aca="false">SUMIF($C$2:$F$2,EOMONTH(AY$2,-1)+1,$C48:$F48)*VLOOKUP(AY$2,Valores!$H$2:$P$154,8,0)</f>
        <v>54834.6069803996</v>
      </c>
      <c r="AZ48" s="30" t="n">
        <f aca="false">SUMIF($C$2:$F$2,EOMONTH(AZ$2,-1)+1,$C48:$F48)*VLOOKUP(AZ$2,Valores!$H$2:$P$154,8,0)</f>
        <v>54834.6069803996</v>
      </c>
      <c r="BA48" s="30" t="n">
        <f aca="false">SUMIF($C$2:$F$2,EOMONTH(BA$2,-1)+1,$C48:$F48)*VLOOKUP(BA$2,Valores!$H$2:$P$154,8,0)</f>
        <v>54834.6069803996</v>
      </c>
      <c r="BB48" s="30" t="n">
        <f aca="false">SUMIF($C$2:$F$2,EOMONTH(BB$2,-1)+1,$C48:$F48)*VLOOKUP(BB$2,Valores!$H$2:$P$154,8,0)</f>
        <v>97015.0738883993</v>
      </c>
      <c r="BC48" s="30" t="n">
        <f aca="false">SUMIF($C$2:$F$2,EOMONTH(BC$2,-1)+1,$C48:$F48)*VLOOKUP(BC$2,Valores!$H$2:$P$154,8,0)</f>
        <v>118105.307342399</v>
      </c>
      <c r="BD48" s="30" t="n">
        <f aca="false">SUMIF($C$2:$F$2,EOMONTH(BD$2,-1)+1,$C48:$F48)*VLOOKUP(BD$2,Valores!$H$2:$P$154,8,0)</f>
        <v>63270.7003619996</v>
      </c>
      <c r="BE48" s="30" t="n">
        <f aca="false">SUMIF($C$2:$F$2,EOMONTH(BE$2,-1)+1,$C48:$F48)*VLOOKUP(BE$2,Valores!$H$2:$P$154,8,0)</f>
        <v>56240.6225439996</v>
      </c>
      <c r="BF48" s="30" t="n">
        <f aca="false">SUMIF($C$2:$F$2,EOMONTH(BF$2,-1)+1,$C48:$F48)*VLOOKUP(BF$2,Valores!$H$2:$P$154,8,0)</f>
        <v>56240.6225439996</v>
      </c>
      <c r="BG48" s="30" t="n">
        <f aca="false">SUMIF($C$2:$F$2,EOMONTH(BG$2,-1)+1,$C48:$F48)*VLOOKUP(BG$2,Valores!$H$2:$P$154,8,0)</f>
        <v>56240.6225439996</v>
      </c>
      <c r="BH48" s="30" t="n">
        <f aca="false">SUMIF($C$2:$F$2,EOMONTH(BH$2,-1)+1,$C48:$F48)*VLOOKUP(BH$2,Valores!$H$2:$P$154,8,0)</f>
        <v>56240.6225439996</v>
      </c>
      <c r="BI48" s="30" t="n">
        <f aca="false">SUMIF($C$2:$F$2,EOMONTH(BI$2,-1)+1,$C48:$F48)*VLOOKUP(BI$2,Valores!$H$2:$P$154,8,0)</f>
        <v>112481.245087999</v>
      </c>
      <c r="BJ48" s="30" t="n">
        <f aca="false">SUMIF($C$2:$F$2,EOMONTH(BJ$2,-1)+1,$C48:$F48)*VLOOKUP(BJ$2,Valores!$H$2:$P$154,8,0)</f>
        <v>140601.556359999</v>
      </c>
      <c r="BK48" s="30" t="n">
        <f aca="false">SUMIF($C$2:$F$2,EOMONTH(BK$2,-1)+1,$C48:$F48)*VLOOKUP(BK$2,Valores!$H$2:$P$154,8,0)</f>
        <v>67488.7470527995</v>
      </c>
      <c r="BL48" s="30" t="n">
        <f aca="false">SUMIF($C$2:$F$2,EOMONTH(BL$2,-1)+1,$C48:$F48)*VLOOKUP(BL$2,Valores!$H$2:$P$154,8,0)</f>
        <v>49491.7478387197</v>
      </c>
      <c r="BM48" s="30" t="n">
        <f aca="false">SUMIF($C$2:$F$2,EOMONTH(BM$2,-1)+1,$C48:$F48)*VLOOKUP(BM$2,Valores!$H$2:$P$154,8,0)</f>
        <v>49491.7478387197</v>
      </c>
      <c r="BN48" s="30" t="n">
        <f aca="false">SUMIF($C$2:$F$2,EOMONTH(BN$2,-1)+1,$C48:$F48)*VLOOKUP(BN$2,Valores!$H$2:$P$154,8,0)</f>
        <v>49491.7478387197</v>
      </c>
      <c r="BO48" s="30" t="n">
        <f aca="false">SUMIF($C$2:$F$2,EOMONTH(BO$2,-1)+1,$C48:$F48)*VLOOKUP(BO$2,Valores!$H$2:$P$154,8,0)</f>
        <v>51966.3352306556</v>
      </c>
      <c r="BP48" s="30" t="n">
        <f aca="false">SUMIF($C$2:$F$2,EOMONTH(BP$2,-1)+1,$C48:$F48)*VLOOKUP(BP$2,Valores!$H$2:$P$154,8,0)</f>
        <v>130775.705966377</v>
      </c>
      <c r="BQ48" s="30" t="n">
        <f aca="false">SUMIF($C$2:$F$2,EOMONTH(BQ$2,-1)+1,$C48:$F48)*VLOOKUP(BQ$2,Valores!$H$2:$P$154,8,0)</f>
        <v>163469.632457972</v>
      </c>
      <c r="BR48" s="30" t="n">
        <f aca="false">SUMIF($C$2:$F$2,EOMONTH(BR$2,-1)+1,$C48:$F48)*VLOOKUP(BR$2,Valores!$H$2:$P$154,8,0)</f>
        <v>78465.4235798264</v>
      </c>
      <c r="BS48" s="30" t="n">
        <f aca="false">SUMIF($C$2:$F$2,EOMONTH(BS$2,-1)+1,$C48:$F48)*VLOOKUP(BS$2,Valores!$H$2:$P$154,8,0)</f>
        <v>35029.2069552796</v>
      </c>
      <c r="BT48" s="30" t="n">
        <f aca="false">SUMIF($C$2:$F$2,EOMONTH(BT$2,-1)+1,$C48:$F48)*VLOOKUP(BT$2,Valores!$H$2:$P$154,8,0)</f>
        <v>35029.2069552796</v>
      </c>
      <c r="BU48" s="30" t="n">
        <f aca="false">SUMIF($C$2:$F$2,EOMONTH(BU$2,-1)+1,$C48:$F48)*VLOOKUP(BU$2,Valores!$H$2:$P$154,8,0)</f>
        <v>35029.2069552796</v>
      </c>
      <c r="BV48" s="30" t="n">
        <f aca="false">SUMIF($C$2:$F$2,EOMONTH(BV$2,-1)+1,$C48:$F48)*VLOOKUP(BV$2,Valores!$H$2:$P$154,8,0)</f>
        <v>35029.2069552796</v>
      </c>
      <c r="BW48" s="30" t="n">
        <f aca="false">SUMIF($C$2:$F$2,EOMONTH(BW$2,-1)+1,$C48:$F48)*VLOOKUP(BW$2,Valores!$H$2:$P$154,8,0)</f>
        <v>70058.4139105593</v>
      </c>
      <c r="BX48" s="30" t="n">
        <f aca="false">SUMIF($C$2:$F$2,EOMONTH(BX$2,-1)+1,$C48:$F48)*VLOOKUP(BX$2,Valores!$H$2:$P$154,8,0)</f>
        <v>87573.0173881991</v>
      </c>
      <c r="BY48" s="30" t="n">
        <f aca="false">SUMIF($C$2:$F$2,EOMONTH(BY$2,-1)+1,$C48:$F48)*VLOOKUP(BY$2,Valores!$H$2:$P$154,8,0)</f>
        <v>52543.8104329194</v>
      </c>
      <c r="BZ48" s="30" t="n">
        <f aca="false">SUMIF($C$2:$F$2,EOMONTH(BZ$2,-1)+1,$C48:$F48)*VLOOKUP(BZ$2,Valores!$H$2:$P$154,8,0)</f>
        <v>35029.2069552796</v>
      </c>
      <c r="CA48" s="30" t="n">
        <f aca="false">SUMIF($C$2:$F$2,EOMONTH(CA$2,-1)+1,$C48:$F48)*VLOOKUP(CA$2,Valores!$H$2:$P$154,8,0)</f>
        <v>35029.2069552796</v>
      </c>
      <c r="CB48" s="30" t="n">
        <f aca="false">SUMIF($C$2:$F$2,EOMONTH(CB$2,-1)+1,$C48:$F48)*VLOOKUP(CB$2,Valores!$H$2:$P$154,8,0)</f>
        <v>35029.2069552796</v>
      </c>
      <c r="CC48" s="30" t="n">
        <f aca="false">SUMIF($C$2:$F$2,EOMONTH(CC$2,-1)+1,$C48:$F48)*VLOOKUP(CC$2,Valores!$H$2:$P$154,8,0)</f>
        <v>35029.2069552796</v>
      </c>
      <c r="CD48" s="30" t="n">
        <f aca="false">SUMIF($C$2:$F$2,EOMONTH(CD$2,-1)+1,$C48:$F48)*VLOOKUP(CD$2,Valores!$H$2:$P$154,8,0)</f>
        <v>105087.620865839</v>
      </c>
      <c r="CE48" s="30" t="n">
        <f aca="false">SUMIF($C$2:$F$2,EOMONTH(CE$2,-1)+1,$C48:$F48)*VLOOKUP(CE$2,Valores!$H$2:$P$154,8,0)</f>
        <v>140116.827821119</v>
      </c>
      <c r="CF48" s="30" t="n">
        <f aca="false">SUMIF($C$2:$F$2,EOMONTH(CF$2,-1)+1,$C48:$F48)*VLOOKUP(CF$2,Valores!$H$2:$P$154,8,0)</f>
        <v>87573.0173881991</v>
      </c>
      <c r="CG48" s="30" t="n">
        <f aca="false">SUMIF($C$2:$F$2,EOMONTH(CG$2,-1)+1,$C48:$F48)*VLOOKUP(CG$2,Valores!$H$2:$P$154,8,0)</f>
        <v>46705.6092737062</v>
      </c>
      <c r="CH48" s="30" t="n">
        <f aca="false">SUMIF($C$2:$F$2,EOMONTH(CH$2,-1)+1,$C48:$F48)*VLOOKUP(CH$2,Valores!$H$2:$P$154,8,0)</f>
        <v>46705.6092737062</v>
      </c>
      <c r="CI48" s="30" t="n">
        <f aca="false">SUMIF($C$2:$F$2,EOMONTH(CI$2,-1)+1,$C48:$F48)*VLOOKUP(CI$2,Valores!$H$2:$P$154,8,0)</f>
        <v>46705.6092737062</v>
      </c>
      <c r="CJ48" s="30" t="n">
        <f aca="false">SUMIF($C$2:$F$2,EOMONTH(CJ$2,-1)+1,$C48:$F48)*VLOOKUP(CJ$2,Valores!$H$2:$P$154,8,0)</f>
        <v>46705.6092737062</v>
      </c>
      <c r="CK48" s="30" t="n">
        <f aca="false">SUMIF($C$2:$F$2,EOMONTH(CK$2,-1)+1,$C48:$F48)*VLOOKUP(CK$2,Valores!$H$2:$P$154,8,0)</f>
        <v>93411.2185474124</v>
      </c>
      <c r="CL48" s="30" t="n">
        <f aca="false">SUMIF($C$2:$F$2,EOMONTH(CL$2,-1)+1,$C48:$F48)*VLOOKUP(CL$2,Valores!$H$2:$P$154,8,0)</f>
        <v>116764.023184265</v>
      </c>
      <c r="CM48" s="30" t="n">
        <f aca="false">SUMIF($C$2:$F$2,EOMONTH(CM$2,-1)+1,$C48:$F48)*VLOOKUP(CM$2,Valores!$H$2:$P$154,8,0)</f>
        <v>70058.4139105593</v>
      </c>
      <c r="CN48" s="30" t="n">
        <f aca="false">SUMIF($C$2:$F$2,EOMONTH(CN$2,-1)+1,$C48:$F48)*VLOOKUP(CN$2,Valores!$H$2:$P$154,8,0)</f>
        <v>51376.1702010768</v>
      </c>
      <c r="CO48" s="30" t="n">
        <f aca="false">SUMIF($C$2:$F$2,EOMONTH(CO$2,-1)+1,$C48:$F48)*VLOOKUP(CO$2,Valores!$H$2:$P$154,8,0)</f>
        <v>51376.1702010768</v>
      </c>
      <c r="CP48" s="30" t="n">
        <f aca="false">SUMIF($C$2:$F$2,EOMONTH(CP$2,-1)+1,$C48:$F48)*VLOOKUP(CP$2,Valores!$H$2:$P$154,8,0)</f>
        <v>51376.1702010768</v>
      </c>
      <c r="CQ48" s="30" t="n">
        <f aca="false">SUMIF($C$2:$F$2,EOMONTH(CQ$2,-1)+1,$C48:$F48)*VLOOKUP(CQ$2,Valores!$H$2:$P$154,8,0)</f>
        <v>51376.1702010768</v>
      </c>
      <c r="CR48" s="30" t="n">
        <f aca="false">SUMIF($C$2:$F$2,EOMONTH(CR$2,-1)+1,$C48:$F48)*VLOOKUP(CR$2,Valores!$H$2:$P$154,8,0)</f>
        <v>102752.340402154</v>
      </c>
      <c r="CS48" s="30" t="n">
        <f aca="false">SUMIF($C$2:$F$2,EOMONTH(CS$2,-1)+1,$C48:$F48)*VLOOKUP(CS$2,Valores!$H$2:$P$154,8,0)</f>
        <v>154128.51060323</v>
      </c>
      <c r="CT48" s="30" t="e">
        <f aca="false">SUMIF($C$2:$F$2,EOMONTH(CT$2,-1)+1,$C48:$F48)*VLOOKUP(CT$2,Valores!$H$2:$P$154,8,0)</f>
        <v>#VALUE!</v>
      </c>
      <c r="CU48" s="30" t="e">
        <f aca="false">SUMIF($C$2:$F$2,EOMONTH(CU$2,-1)+1,$C48:$F48)*VLOOKUP(CU$2,Valores!$H$2:$P$154,8,0)</f>
        <v>#VALUE!</v>
      </c>
      <c r="CV48" s="30" t="e">
        <f aca="false">SUMIF($C$2:$F$2,EOMONTH(CV$2,-1)+1,$C48:$F48)*VLOOKUP(CV$2,Valores!$H$2:$P$154,8,0)</f>
        <v>#VALUE!</v>
      </c>
      <c r="CW48" s="30" t="e">
        <f aca="false">SUMIF($C$2:$F$2,EOMONTH(CW$2,-1)+1,$C48:$F48)*VLOOKUP(CW$2,Valores!$H$2:$P$154,8,0)</f>
        <v>#VALUE!</v>
      </c>
      <c r="CX48" s="30" t="e">
        <f aca="false">SUMIF($C$2:$F$2,EOMONTH(CX$2,-1)+1,$C48:$F48)*VLOOKUP(CX$2,Valores!$H$2:$P$154,8,0)</f>
        <v>#VALUE!</v>
      </c>
      <c r="CY48" s="30" t="e">
        <f aca="false">SUMIF($C$2:$F$2,EOMONTH(CY$2,-1)+1,$C48:$F48)*VLOOKUP(CY$2,Valores!$H$2:$P$154,8,0)</f>
        <v>#VALUE!</v>
      </c>
      <c r="CZ48" s="30" t="e">
        <f aca="false">SUMIF($C$2:$F$2,EOMONTH(CZ$2,-1)+1,$C48:$F48)*VLOOKUP(CZ$2,Valores!$H$2:$P$154,8,0)</f>
        <v>#VALUE!</v>
      </c>
      <c r="DA48" s="30" t="e">
        <f aca="false">SUMIF($C$2:$F$2,EOMONTH(DA$2,-1)+1,$C48:$F48)*VLOOKUP(DA$2,Valores!$H$2:$P$154,8,0)</f>
        <v>#VALUE!</v>
      </c>
      <c r="DB48" s="30" t="e">
        <f aca="false">SUMIF($C$2:$F$2,EOMONTH(DB$2,-1)+1,$C48:$F48)*VLOOKUP(DB$2,Valores!$H$2:$P$154,8,0)</f>
        <v>#VALUE!</v>
      </c>
      <c r="DC48" s="30" t="e">
        <f aca="false">SUMIF($C$2:$F$2,EOMONTH(DC$2,-1)+1,$C48:$F48)*VLOOKUP(DC$2,Valores!$H$2:$P$154,8,0)</f>
        <v>#VALUE!</v>
      </c>
      <c r="DD48" s="30" t="e">
        <f aca="false">SUMIF($C$2:$F$2,EOMONTH(DD$2,-1)+1,$C48:$F48)*VLOOKUP(DD$2,Valores!$H$2:$P$154,8,0)</f>
        <v>#VALUE!</v>
      </c>
      <c r="DE48" s="30" t="e">
        <f aca="false">SUMIF($C$2:$F$2,EOMONTH(DE$2,-1)+1,$C48:$F48)*VLOOKUP(DE$2,Valores!$H$2:$P$154,8,0)</f>
        <v>#VALUE!</v>
      </c>
      <c r="DF48" s="30" t="e">
        <f aca="false">SUMIF($C$2:$F$2,EOMONTH(DF$2,-1)+1,$C48:$F48)*VLOOKUP(DF$2,Valores!$H$2:$P$154,8,0)</f>
        <v>#VALUE!</v>
      </c>
      <c r="DG48" s="30" t="e">
        <f aca="false">SUMIF($C$2:$F$2,EOMONTH(DG$2,-1)+1,$C48:$F48)*VLOOKUP(DG$2,Valores!$H$2:$P$154,8,0)</f>
        <v>#VALUE!</v>
      </c>
      <c r="DH48" s="30" t="e">
        <f aca="false">SUMIF($C$2:$F$2,EOMONTH(DH$2,-1)+1,$C48:$F48)*VLOOKUP(DH$2,Valores!$H$2:$P$154,8,0)</f>
        <v>#VALUE!</v>
      </c>
      <c r="DI48" s="30" t="e">
        <f aca="false">SUMIF($C$2:$F$2,EOMONTH(DI$2,-1)+1,$C48:$F48)*VLOOKUP(DI$2,Valores!$H$2:$P$154,8,0)</f>
        <v>#VALUE!</v>
      </c>
      <c r="DJ48" s="30" t="e">
        <f aca="false">SUMIF($C$2:$F$2,EOMONTH(DJ$2,-1)+1,$C48:$F48)*VLOOKUP(DJ$2,Valores!$H$2:$P$154,8,0)</f>
        <v>#VALUE!</v>
      </c>
      <c r="DK48" s="30" t="e">
        <f aca="false">SUMIF($C$2:$F$2,EOMONTH(DK$2,-1)+1,$C48:$F48)*VLOOKUP(DK$2,Valores!$H$2:$P$154,8,0)</f>
        <v>#VALUE!</v>
      </c>
      <c r="DL48" s="30" t="e">
        <f aca="false">SUMIF($C$2:$F$2,EOMONTH(DL$2,-1)+1,$C48:$F48)*VLOOKUP(DL$2,Valores!$H$2:$P$154,8,0)</f>
        <v>#VALUE!</v>
      </c>
      <c r="DM48" s="30" t="e">
        <f aca="false">SUMIF($C$2:$F$2,EOMONTH(DM$2,-1)+1,$C48:$F48)*VLOOKUP(DM$2,Valores!$H$2:$P$154,8,0)</f>
        <v>#VALUE!</v>
      </c>
      <c r="DN48" s="30" t="e">
        <f aca="false">SUMIF($C$2:$F$2,EOMONTH(DN$2,-1)+1,$C48:$F48)*VLOOKUP(DN$2,Valores!$H$2:$P$154,8,0)</f>
        <v>#VALUE!</v>
      </c>
      <c r="DO48" s="30" t="e">
        <f aca="false">SUMIF($C$2:$F$2,EOMONTH(DO$2,-1)+1,$C48:$F48)*VLOOKUP(DO$2,Valores!$H$2:$P$154,8,0)</f>
        <v>#VALUE!</v>
      </c>
      <c r="DP48" s="30" t="e">
        <f aca="false">SUMIF($C$2:$F$2,EOMONTH(DP$2,-1)+1,$C48:$F48)*VLOOKUP(DP$2,Valores!$H$2:$P$154,8,0)</f>
        <v>#VALUE!</v>
      </c>
      <c r="DQ48" s="30" t="e">
        <f aca="false">SUMIF($C$2:$F$2,EOMONTH(DQ$2,-1)+1,$C48:$F48)*VLOOKUP(DQ$2,Valores!$H$2:$P$154,8,0)</f>
        <v>#VALUE!</v>
      </c>
      <c r="DR48" s="30" t="e">
        <f aca="false">SUMIF($C$2:$F$2,EOMONTH(DR$2,-1)+1,$C48:$F48)*VLOOKUP(DR$2,Valores!$H$2:$P$154,8,0)</f>
        <v>#VALUE!</v>
      </c>
      <c r="DS48" s="30" t="e">
        <f aca="false">SUMIF($C$2:$F$2,EOMONTH(DS$2,-1)+1,$C48:$F48)*VLOOKUP(DS$2,Valores!$H$2:$P$154,8,0)</f>
        <v>#VALUE!</v>
      </c>
      <c r="DT48" s="30" t="e">
        <f aca="false">SUMIF($C$2:$F$2,EOMONTH(DT$2,-1)+1,$C48:$F48)*VLOOKUP(DT$2,Valores!$H$2:$P$154,8,0)</f>
        <v>#VALUE!</v>
      </c>
      <c r="DU48" s="30" t="e">
        <f aca="false">SUMIF($C$2:$F$2,EOMONTH(DU$2,-1)+1,$C48:$F48)*VLOOKUP(DU$2,Valores!$H$2:$P$154,8,0)</f>
        <v>#VALUE!</v>
      </c>
      <c r="DV48" s="30" t="e">
        <f aca="false">SUMIF($C$2:$F$2,EOMONTH(DV$2,-1)+1,$C48:$F48)*VLOOKUP(DV$2,Valores!$H$2:$P$154,8,0)</f>
        <v>#VALUE!</v>
      </c>
      <c r="DW48" s="30" t="e">
        <f aca="false">SUMIF($C$2:$F$2,EOMONTH(DW$2,-1)+1,$C48:$F48)*VLOOKUP(DW$2,Valores!$H$2:$P$154,8,0)</f>
        <v>#VALUE!</v>
      </c>
      <c r="DX48" s="30" t="e">
        <f aca="false">SUMIF($C$2:$F$2,EOMONTH(DX$2,-1)+1,$C48:$F48)*VLOOKUP(DX$2,Valores!$H$2:$P$154,8,0)</f>
        <v>#VALUE!</v>
      </c>
    </row>
    <row r="49" customFormat="false" ht="13.8" hidden="false" customHeight="false" outlineLevel="0" collapsed="false">
      <c r="A49" s="31" t="s">
        <v>54</v>
      </c>
      <c r="B49" s="31" t="s">
        <v>71</v>
      </c>
      <c r="C49" s="31" t="n">
        <v>2634018</v>
      </c>
      <c r="D49" s="31" t="n">
        <v>2370616.2</v>
      </c>
      <c r="E49" s="31" t="n">
        <v>2133554.58</v>
      </c>
      <c r="F49" s="31" t="n">
        <v>1920199.122</v>
      </c>
      <c r="G49" s="27" t="n">
        <f aca="false">SUMIF($C$2:$F$2,EOMONTH(G$2,-1)+1,$C49:$F49)*VLOOKUP(G$2,Valores!$H$2:$P$154,8,0)</f>
        <v>75852.089846964</v>
      </c>
      <c r="H49" s="27" t="n">
        <f aca="false">SUMIF($C$2:$F$2,EOMONTH(H$2,-1)+1,$C49:$F49)*VLOOKUP(H$2,Valores!$H$2:$P$154,8,0)</f>
        <v>52012.8616093467</v>
      </c>
      <c r="I49" s="27" t="n">
        <f aca="false">SUMIF($C$2:$F$2,EOMONTH(I$2,-1)+1,$C49:$F49)*VLOOKUP(I$2,Valores!$H$2:$P$154,8,0)</f>
        <v>52012.8616093467</v>
      </c>
      <c r="J49" s="27" t="n">
        <f aca="false">SUMIF($C$2:$F$2,EOMONTH(J$2,-1)+1,$C49:$F49)*VLOOKUP(J$2,Valores!$H$2:$P$154,8,0)</f>
        <v>52012.8616093467</v>
      </c>
      <c r="K49" s="27" t="n">
        <f aca="false">SUMIF($C$2:$F$2,EOMONTH(K$2,-1)+1,$C49:$F49)*VLOOKUP(K$2,Valores!$H$2:$P$154,8,0)</f>
        <v>52012.8616093467</v>
      </c>
      <c r="L49" s="27" t="n">
        <f aca="false">SUMIF($C$2:$F$2,EOMONTH(L$2,-1)+1,$C49:$F49)*VLOOKUP(L$2,Valores!$H$2:$P$154,8,0)</f>
        <v>104025.723218693</v>
      </c>
      <c r="M49" s="27" t="n">
        <f aca="false">SUMIF($C$2:$F$2,EOMONTH(M$2,-1)+1,$C49:$F49)*VLOOKUP(M$2,Valores!$H$2:$P$154,8,0)</f>
        <v>130032.154023367</v>
      </c>
      <c r="N49" s="27" t="n">
        <f aca="false">SUMIF($C$2:$F$2,EOMONTH(N$2,-1)+1,$C49:$F49)*VLOOKUP(N$2,Valores!$H$2:$P$154,8,0)</f>
        <v>78019.29241402</v>
      </c>
      <c r="O49" s="27" t="n">
        <f aca="false">SUMIF($C$2:$F$2,EOMONTH(O$2,-1)+1,$C49:$F49)*VLOOKUP(O$2,Valores!$H$2:$P$154,8,0)</f>
        <v>69350.4821457956</v>
      </c>
      <c r="P49" s="27" t="n">
        <f aca="false">SUMIF($C$2:$F$2,EOMONTH(P$2,-1)+1,$C49:$F49)*VLOOKUP(P$2,Valores!$H$2:$P$154,8,0)</f>
        <v>69350.4821457956</v>
      </c>
      <c r="Q49" s="27" t="n">
        <f aca="false">SUMIF($C$2:$F$2,EOMONTH(Q$2,-1)+1,$C49:$F49)*VLOOKUP(Q$2,Valores!$H$2:$P$154,8,0)</f>
        <v>41610.2892874774</v>
      </c>
      <c r="R49" s="27" t="n">
        <f aca="false">SUMIF($C$2:$F$2,EOMONTH(R$2,-1)+1,$C49:$F49)*VLOOKUP(R$2,Valores!$H$2:$P$154,8,0)</f>
        <v>69350.4821457956</v>
      </c>
      <c r="S49" s="27" t="n">
        <f aca="false">SUMIF($C$2:$F$2,EOMONTH(S$2,-1)+1,$C49:$F49)*VLOOKUP(S$2,Valores!$H$2:$P$154,8,0)</f>
        <v>138700.964291591</v>
      </c>
      <c r="T49" s="27" t="n">
        <f aca="false">SUMIF($C$2:$F$2,EOMONTH(T$2,-1)+1,$C49:$F49)*VLOOKUP(T$2,Valores!$H$2:$P$154,8,0)</f>
        <v>173376.205364489</v>
      </c>
      <c r="U49" s="27" t="n">
        <f aca="false">SUMIF($C$2:$F$2,EOMONTH(U$2,-1)+1,$C49:$F49)*VLOOKUP(U$2,Valores!$H$2:$P$154,8,0)</f>
        <v>104025.723218693</v>
      </c>
      <c r="V49" s="27" t="n">
        <f aca="false">SUMIF($C$2:$F$2,EOMONTH(V$2,-1)+1,$C49:$F49)*VLOOKUP(V$2,Valores!$H$2:$P$154,8,0)</f>
        <v>86688.1026822445</v>
      </c>
      <c r="W49" s="27" t="n">
        <f aca="false">SUMIF($C$2:$F$2,EOMONTH(W$2,-1)+1,$C49:$F49)*VLOOKUP(W$2,Valores!$H$2:$P$154,8,0)</f>
        <v>86688.1026822445</v>
      </c>
      <c r="X49" s="27" t="n">
        <f aca="false">SUMIF($C$2:$F$2,EOMONTH(X$2,-1)+1,$C49:$F49)*VLOOKUP(X$2,Valores!$H$2:$P$154,8,0)</f>
        <v>0</v>
      </c>
      <c r="Y49" s="27" t="n">
        <f aca="false">SUMIF($C$2:$F$2,EOMONTH(Y$2,-1)+1,$C49:$F49)*VLOOKUP(Y$2,Valores!$H$2:$P$154,8,0)</f>
        <v>0</v>
      </c>
      <c r="Z49" s="27" t="n">
        <f aca="false">SUMIF($C$2:$F$2,EOMONTH(Z$2,-1)+1,$C49:$F49)*VLOOKUP(Z$2,Valores!$H$2:$P$154,8,0)</f>
        <v>130032.154023367</v>
      </c>
      <c r="AA49" s="27" t="n">
        <f aca="false">SUMIF($C$2:$F$2,EOMONTH(AA$2,-1)+1,$C49:$F49)*VLOOKUP(AA$2,Valores!$H$2:$P$154,8,0)</f>
        <v>156038.58482804</v>
      </c>
      <c r="AB49" s="27" t="n">
        <f aca="false">SUMIF($C$2:$F$2,EOMONTH(AB$2,-1)+1,$C49:$F49)*VLOOKUP(AB$2,Valores!$H$2:$P$154,8,0)</f>
        <v>78019.29241402</v>
      </c>
      <c r="AC49" s="27" t="n">
        <f aca="false">SUMIF($C$2:$F$2,EOMONTH(AC$2,-1)+1,$C49:$F49)*VLOOKUP(AC$2,Valores!$H$2:$P$154,8,0)</f>
        <v>95356.912950469</v>
      </c>
      <c r="AD49" s="27" t="n">
        <f aca="false">SUMIF($C$2:$F$2,EOMONTH(AD$2,-1)+1,$C49:$F49)*VLOOKUP(AD$2,Valores!$H$2:$P$154,8,0)</f>
        <v>95356.912950469</v>
      </c>
      <c r="AE49" s="27" t="n">
        <f aca="false">SUMIF($C$2:$F$2,EOMONTH(AE$2,-1)+1,$C49:$F49)*VLOOKUP(AE$2,Valores!$H$2:$P$154,8,0)</f>
        <v>95356.912950469</v>
      </c>
      <c r="AF49" s="27" t="n">
        <f aca="false">SUMIF($C$2:$F$2,EOMONTH(AF$2,-1)+1,$C49:$F49)*VLOOKUP(AF$2,Valores!$H$2:$P$154,8,0)</f>
        <v>95356.912950469</v>
      </c>
      <c r="AG49" s="27" t="n">
        <f aca="false">SUMIF($C$2:$F$2,EOMONTH(AG$2,-1)+1,$C49:$F49)*VLOOKUP(AG$2,Valores!$H$2:$P$154,8,0)</f>
        <v>152571.06072075</v>
      </c>
      <c r="AH49" s="27" t="n">
        <f aca="false">SUMIF($C$2:$F$2,EOMONTH(AH$2,-1)+1,$C49:$F49)*VLOOKUP(AH$2,Valores!$H$2:$P$154,8,0)</f>
        <v>190713.825900938</v>
      </c>
      <c r="AI49" s="27" t="n">
        <f aca="false">SUMIF($C$2:$F$2,EOMONTH(AI$2,-1)+1,$C49:$F49)*VLOOKUP(AI$2,Valores!$H$2:$P$154,8,0)</f>
        <v>66749.8390653283</v>
      </c>
      <c r="AJ49" s="27" t="n">
        <f aca="false">SUMIF($C$2:$F$2,EOMONTH(AJ$2,-1)+1,$C49:$F49)*VLOOKUP(AJ$2,Valores!$H$2:$P$154,8,0)</f>
        <v>43344.0513411223</v>
      </c>
      <c r="AK49" s="27" t="n">
        <f aca="false">SUMIF($C$2:$F$2,EOMONTH(AK$2,-1)+1,$C49:$F49)*VLOOKUP(AK$2,Valores!$H$2:$P$154,8,0)</f>
        <v>79041.2412774774</v>
      </c>
      <c r="AL49" s="27" t="n">
        <f aca="false">SUMIF($C$2:$F$2,EOMONTH(AL$2,-1)+1,$C49:$F49)*VLOOKUP(AL$2,Valores!$H$2:$P$154,8,0)</f>
        <v>79041.2412774774</v>
      </c>
      <c r="AM49" s="27" t="n">
        <f aca="false">SUMIF($C$2:$F$2,EOMONTH(AM$2,-1)+1,$C49:$F49)*VLOOKUP(AM$2,Valores!$H$2:$P$154,8,0)</f>
        <v>79041.2412774774</v>
      </c>
      <c r="AN49" s="27" t="n">
        <f aca="false">SUMIF($C$2:$F$2,EOMONTH(AN$2,-1)+1,$C49:$F49)*VLOOKUP(AN$2,Valores!$H$2:$P$154,8,0)</f>
        <v>158082.482554955</v>
      </c>
      <c r="AO49" s="27" t="n">
        <f aca="false">SUMIF($C$2:$F$2,EOMONTH(AO$2,-1)+1,$C49:$F49)*VLOOKUP(AO$2,Valores!$H$2:$P$154,8,0)</f>
        <v>197603.103193694</v>
      </c>
      <c r="AP49" s="27" t="n">
        <f aca="false">SUMIF($C$2:$F$2,EOMONTH(AP$2,-1)+1,$C49:$F49)*VLOOKUP(AP$2,Valores!$H$2:$P$154,8,0)</f>
        <v>118561.861916216</v>
      </c>
      <c r="AQ49" s="27" t="n">
        <f aca="false">SUMIF($C$2:$F$2,EOMONTH(AQ$2,-1)+1,$C49:$F49)*VLOOKUP(AQ$2,Valores!$H$2:$P$154,8,0)</f>
        <v>42343.5221129343</v>
      </c>
      <c r="AR49" s="27" t="n">
        <f aca="false">SUMIF($C$2:$F$2,EOMONTH(AR$2,-1)+1,$C49:$F49)*VLOOKUP(AR$2,Valores!$H$2:$P$154,8,0)</f>
        <v>42343.5221129343</v>
      </c>
      <c r="AS49" s="27" t="n">
        <f aca="false">SUMIF($C$2:$F$2,EOMONTH(AS$2,-1)+1,$C49:$F49)*VLOOKUP(AS$2,Valores!$H$2:$P$154,8,0)</f>
        <v>42343.5221129343</v>
      </c>
      <c r="AT49" s="27" t="n">
        <f aca="false">SUMIF($C$2:$F$2,EOMONTH(AT$2,-1)+1,$C49:$F49)*VLOOKUP(AT$2,Valores!$H$2:$P$154,8,0)</f>
        <v>42343.5221129343</v>
      </c>
      <c r="AU49" s="27" t="n">
        <f aca="false">SUMIF($C$2:$F$2,EOMONTH(AU$2,-1)+1,$C49:$F49)*VLOOKUP(AU$2,Valores!$H$2:$P$154,8,0)</f>
        <v>84687.0442258687</v>
      </c>
      <c r="AV49" s="27" t="n">
        <f aca="false">SUMIF($C$2:$F$2,EOMONTH(AV$2,-1)+1,$C49:$F49)*VLOOKUP(AV$2,Valores!$H$2:$P$154,8,0)</f>
        <v>105858.805282336</v>
      </c>
      <c r="AW49" s="27" t="n">
        <f aca="false">SUMIF($C$2:$F$2,EOMONTH(AW$2,-1)+1,$C49:$F49)*VLOOKUP(AW$2,Valores!$H$2:$P$154,8,0)</f>
        <v>63515.2831694015</v>
      </c>
      <c r="AX49" s="27" t="n">
        <f aca="false">SUMIF($C$2:$F$2,EOMONTH(AX$2,-1)+1,$C49:$F49)*VLOOKUP(AX$2,Valores!$H$2:$P$154,8,0)</f>
        <v>42343.5221129343</v>
      </c>
      <c r="AY49" s="27" t="n">
        <f aca="false">SUMIF($C$2:$F$2,EOMONTH(AY$2,-1)+1,$C49:$F49)*VLOOKUP(AY$2,Valores!$H$2:$P$154,8,0)</f>
        <v>55046.5787468146</v>
      </c>
      <c r="AZ49" s="27" t="n">
        <f aca="false">SUMIF($C$2:$F$2,EOMONTH(AZ$2,-1)+1,$C49:$F49)*VLOOKUP(AZ$2,Valores!$H$2:$P$154,8,0)</f>
        <v>55046.5787468146</v>
      </c>
      <c r="BA49" s="27" t="n">
        <f aca="false">SUMIF($C$2:$F$2,EOMONTH(BA$2,-1)+1,$C49:$F49)*VLOOKUP(BA$2,Valores!$H$2:$P$154,8,0)</f>
        <v>55046.5787468146</v>
      </c>
      <c r="BB49" s="27" t="n">
        <f aca="false">SUMIF($C$2:$F$2,EOMONTH(BB$2,-1)+1,$C49:$F49)*VLOOKUP(BB$2,Valores!$H$2:$P$154,8,0)</f>
        <v>97390.100859749</v>
      </c>
      <c r="BC49" s="27" t="n">
        <f aca="false">SUMIF($C$2:$F$2,EOMONTH(BC$2,-1)+1,$C49:$F49)*VLOOKUP(BC$2,Valores!$H$2:$P$154,8,0)</f>
        <v>118561.861916216</v>
      </c>
      <c r="BD49" s="27" t="n">
        <f aca="false">SUMIF($C$2:$F$2,EOMONTH(BD$2,-1)+1,$C49:$F49)*VLOOKUP(BD$2,Valores!$H$2:$P$154,8,0)</f>
        <v>63515.2831694015</v>
      </c>
      <c r="BE49" s="27" t="n">
        <f aca="false">SUMIF($C$2:$F$2,EOMONTH(BE$2,-1)+1,$C49:$F49)*VLOOKUP(BE$2,Valores!$H$2:$P$154,8,0)</f>
        <v>56458.0294839125</v>
      </c>
      <c r="BF49" s="27" t="n">
        <f aca="false">SUMIF($C$2:$F$2,EOMONTH(BF$2,-1)+1,$C49:$F49)*VLOOKUP(BF$2,Valores!$H$2:$P$154,8,0)</f>
        <v>56458.0294839125</v>
      </c>
      <c r="BG49" s="27" t="n">
        <f aca="false">SUMIF($C$2:$F$2,EOMONTH(BG$2,-1)+1,$C49:$F49)*VLOOKUP(BG$2,Valores!$H$2:$P$154,8,0)</f>
        <v>56458.0294839125</v>
      </c>
      <c r="BH49" s="27" t="n">
        <f aca="false">SUMIF($C$2:$F$2,EOMONTH(BH$2,-1)+1,$C49:$F49)*VLOOKUP(BH$2,Valores!$H$2:$P$154,8,0)</f>
        <v>56458.0294839125</v>
      </c>
      <c r="BI49" s="27" t="n">
        <f aca="false">SUMIF($C$2:$F$2,EOMONTH(BI$2,-1)+1,$C49:$F49)*VLOOKUP(BI$2,Valores!$H$2:$P$154,8,0)</f>
        <v>112916.058967825</v>
      </c>
      <c r="BJ49" s="27" t="n">
        <f aca="false">SUMIF($C$2:$F$2,EOMONTH(BJ$2,-1)+1,$C49:$F49)*VLOOKUP(BJ$2,Valores!$H$2:$P$154,8,0)</f>
        <v>141145.073709781</v>
      </c>
      <c r="BK49" s="27" t="n">
        <f aca="false">SUMIF($C$2:$F$2,EOMONTH(BK$2,-1)+1,$C49:$F49)*VLOOKUP(BK$2,Valores!$H$2:$P$154,8,0)</f>
        <v>67749.6353806949</v>
      </c>
      <c r="BL49" s="27" t="n">
        <f aca="false">SUMIF($C$2:$F$2,EOMONTH(BL$2,-1)+1,$C49:$F49)*VLOOKUP(BL$2,Valores!$H$2:$P$154,8,0)</f>
        <v>49683.065945843</v>
      </c>
      <c r="BM49" s="27" t="n">
        <f aca="false">SUMIF($C$2:$F$2,EOMONTH(BM$2,-1)+1,$C49:$F49)*VLOOKUP(BM$2,Valores!$H$2:$P$154,8,0)</f>
        <v>49683.065945843</v>
      </c>
      <c r="BN49" s="27" t="n">
        <f aca="false">SUMIF($C$2:$F$2,EOMONTH(BN$2,-1)+1,$C49:$F49)*VLOOKUP(BN$2,Valores!$H$2:$P$154,8,0)</f>
        <v>49683.065945843</v>
      </c>
      <c r="BO49" s="27" t="n">
        <f aca="false">SUMIF($C$2:$F$2,EOMONTH(BO$2,-1)+1,$C49:$F49)*VLOOKUP(BO$2,Valores!$H$2:$P$154,8,0)</f>
        <v>52167.2192431351</v>
      </c>
      <c r="BP49" s="27" t="n">
        <f aca="false">SUMIF($C$2:$F$2,EOMONTH(BP$2,-1)+1,$C49:$F49)*VLOOKUP(BP$2,Valores!$H$2:$P$154,8,0)</f>
        <v>131281.239951654</v>
      </c>
      <c r="BQ49" s="27" t="n">
        <f aca="false">SUMIF($C$2:$F$2,EOMONTH(BQ$2,-1)+1,$C49:$F49)*VLOOKUP(BQ$2,Valores!$H$2:$P$154,8,0)</f>
        <v>164101.549939567</v>
      </c>
      <c r="BR49" s="27" t="n">
        <f aca="false">SUMIF($C$2:$F$2,EOMONTH(BR$2,-1)+1,$C49:$F49)*VLOOKUP(BR$2,Valores!$H$2:$P$154,8,0)</f>
        <v>78768.7439709922</v>
      </c>
      <c r="BS49" s="27" t="n">
        <f aca="false">SUMIF($C$2:$F$2,EOMONTH(BS$2,-1)+1,$C49:$F49)*VLOOKUP(BS$2,Valores!$H$2:$P$154,8,0)</f>
        <v>35164.6178441929</v>
      </c>
      <c r="BT49" s="27" t="n">
        <f aca="false">SUMIF($C$2:$F$2,EOMONTH(BT$2,-1)+1,$C49:$F49)*VLOOKUP(BT$2,Valores!$H$2:$P$154,8,0)</f>
        <v>35164.6178441929</v>
      </c>
      <c r="BU49" s="27" t="n">
        <f aca="false">SUMIF($C$2:$F$2,EOMONTH(BU$2,-1)+1,$C49:$F49)*VLOOKUP(BU$2,Valores!$H$2:$P$154,8,0)</f>
        <v>35164.6178441929</v>
      </c>
      <c r="BV49" s="27" t="n">
        <f aca="false">SUMIF($C$2:$F$2,EOMONTH(BV$2,-1)+1,$C49:$F49)*VLOOKUP(BV$2,Valores!$H$2:$P$154,8,0)</f>
        <v>35164.6178441929</v>
      </c>
      <c r="BW49" s="27" t="n">
        <f aca="false">SUMIF($C$2:$F$2,EOMONTH(BW$2,-1)+1,$C49:$F49)*VLOOKUP(BW$2,Valores!$H$2:$P$154,8,0)</f>
        <v>70329.2356883859</v>
      </c>
      <c r="BX49" s="27" t="n">
        <f aca="false">SUMIF($C$2:$F$2,EOMONTH(BX$2,-1)+1,$C49:$F49)*VLOOKUP(BX$2,Valores!$H$2:$P$154,8,0)</f>
        <v>87911.5446104823</v>
      </c>
      <c r="BY49" s="27" t="n">
        <f aca="false">SUMIF($C$2:$F$2,EOMONTH(BY$2,-1)+1,$C49:$F49)*VLOOKUP(BY$2,Valores!$H$2:$P$154,8,0)</f>
        <v>52746.9267662894</v>
      </c>
      <c r="BZ49" s="27" t="n">
        <f aca="false">SUMIF($C$2:$F$2,EOMONTH(BZ$2,-1)+1,$C49:$F49)*VLOOKUP(BZ$2,Valores!$H$2:$P$154,8,0)</f>
        <v>35164.6178441929</v>
      </c>
      <c r="CA49" s="27" t="n">
        <f aca="false">SUMIF($C$2:$F$2,EOMONTH(CA$2,-1)+1,$C49:$F49)*VLOOKUP(CA$2,Valores!$H$2:$P$154,8,0)</f>
        <v>35164.6178441929</v>
      </c>
      <c r="CB49" s="27" t="n">
        <f aca="false">SUMIF($C$2:$F$2,EOMONTH(CB$2,-1)+1,$C49:$F49)*VLOOKUP(CB$2,Valores!$H$2:$P$154,8,0)</f>
        <v>35164.6178441929</v>
      </c>
      <c r="CC49" s="27" t="n">
        <f aca="false">SUMIF($C$2:$F$2,EOMONTH(CC$2,-1)+1,$C49:$F49)*VLOOKUP(CC$2,Valores!$H$2:$P$154,8,0)</f>
        <v>35164.6178441929</v>
      </c>
      <c r="CD49" s="27" t="n">
        <f aca="false">SUMIF($C$2:$F$2,EOMONTH(CD$2,-1)+1,$C49:$F49)*VLOOKUP(CD$2,Valores!$H$2:$P$154,8,0)</f>
        <v>105493.853532579</v>
      </c>
      <c r="CE49" s="27" t="n">
        <f aca="false">SUMIF($C$2:$F$2,EOMONTH(CE$2,-1)+1,$C49:$F49)*VLOOKUP(CE$2,Valores!$H$2:$P$154,8,0)</f>
        <v>140658.471376772</v>
      </c>
      <c r="CF49" s="27" t="n">
        <f aca="false">SUMIF($C$2:$F$2,EOMONTH(CF$2,-1)+1,$C49:$F49)*VLOOKUP(CF$2,Valores!$H$2:$P$154,8,0)</f>
        <v>87911.5446104823</v>
      </c>
      <c r="CG49" s="27" t="n">
        <f aca="false">SUMIF($C$2:$F$2,EOMONTH(CG$2,-1)+1,$C49:$F49)*VLOOKUP(CG$2,Valores!$H$2:$P$154,8,0)</f>
        <v>46886.1571255906</v>
      </c>
      <c r="CH49" s="27" t="n">
        <f aca="false">SUMIF($C$2:$F$2,EOMONTH(CH$2,-1)+1,$C49:$F49)*VLOOKUP(CH$2,Valores!$H$2:$P$154,8,0)</f>
        <v>46886.1571255906</v>
      </c>
      <c r="CI49" s="27" t="n">
        <f aca="false">SUMIF($C$2:$F$2,EOMONTH(CI$2,-1)+1,$C49:$F49)*VLOOKUP(CI$2,Valores!$H$2:$P$154,8,0)</f>
        <v>46886.1571255906</v>
      </c>
      <c r="CJ49" s="27" t="n">
        <f aca="false">SUMIF($C$2:$F$2,EOMONTH(CJ$2,-1)+1,$C49:$F49)*VLOOKUP(CJ$2,Valores!$H$2:$P$154,8,0)</f>
        <v>46886.1571255906</v>
      </c>
      <c r="CK49" s="27" t="n">
        <f aca="false">SUMIF($C$2:$F$2,EOMONTH(CK$2,-1)+1,$C49:$F49)*VLOOKUP(CK$2,Valores!$H$2:$P$154,8,0)</f>
        <v>93772.3142511812</v>
      </c>
      <c r="CL49" s="27" t="n">
        <f aca="false">SUMIF($C$2:$F$2,EOMONTH(CL$2,-1)+1,$C49:$F49)*VLOOKUP(CL$2,Valores!$H$2:$P$154,8,0)</f>
        <v>117215.392813976</v>
      </c>
      <c r="CM49" s="27" t="n">
        <f aca="false">SUMIF($C$2:$F$2,EOMONTH(CM$2,-1)+1,$C49:$F49)*VLOOKUP(CM$2,Valores!$H$2:$P$154,8,0)</f>
        <v>70329.2356883859</v>
      </c>
      <c r="CN49" s="27" t="n">
        <f aca="false">SUMIF($C$2:$F$2,EOMONTH(CN$2,-1)+1,$C49:$F49)*VLOOKUP(CN$2,Valores!$H$2:$P$154,8,0)</f>
        <v>51574.7728381496</v>
      </c>
      <c r="CO49" s="27" t="n">
        <f aca="false">SUMIF($C$2:$F$2,EOMONTH(CO$2,-1)+1,$C49:$F49)*VLOOKUP(CO$2,Valores!$H$2:$P$154,8,0)</f>
        <v>51574.7728381496</v>
      </c>
      <c r="CP49" s="27" t="n">
        <f aca="false">SUMIF($C$2:$F$2,EOMONTH(CP$2,-1)+1,$C49:$F49)*VLOOKUP(CP$2,Valores!$H$2:$P$154,8,0)</f>
        <v>51574.7728381496</v>
      </c>
      <c r="CQ49" s="27" t="n">
        <f aca="false">SUMIF($C$2:$F$2,EOMONTH(CQ$2,-1)+1,$C49:$F49)*VLOOKUP(CQ$2,Valores!$H$2:$P$154,8,0)</f>
        <v>51574.7728381496</v>
      </c>
      <c r="CR49" s="27" t="n">
        <f aca="false">SUMIF($C$2:$F$2,EOMONTH(CR$2,-1)+1,$C49:$F49)*VLOOKUP(CR$2,Valores!$H$2:$P$154,8,0)</f>
        <v>103149.545676299</v>
      </c>
      <c r="CS49" s="27" t="n">
        <f aca="false">SUMIF($C$2:$F$2,EOMONTH(CS$2,-1)+1,$C49:$F49)*VLOOKUP(CS$2,Valores!$H$2:$P$154,8,0)</f>
        <v>154724.318514449</v>
      </c>
      <c r="CT49" s="27" t="e">
        <f aca="false">SUMIF($C$2:$F$2,EOMONTH(CT$2,-1)+1,$C49:$F49)*VLOOKUP(CT$2,Valores!$H$2:$P$154,8,0)</f>
        <v>#VALUE!</v>
      </c>
      <c r="CU49" s="27" t="e">
        <f aca="false">SUMIF($C$2:$F$2,EOMONTH(CU$2,-1)+1,$C49:$F49)*VLOOKUP(CU$2,Valores!$H$2:$P$154,8,0)</f>
        <v>#VALUE!</v>
      </c>
      <c r="CV49" s="27" t="e">
        <f aca="false">SUMIF($C$2:$F$2,EOMONTH(CV$2,-1)+1,$C49:$F49)*VLOOKUP(CV$2,Valores!$H$2:$P$154,8,0)</f>
        <v>#VALUE!</v>
      </c>
      <c r="CW49" s="27" t="e">
        <f aca="false">SUMIF($C$2:$F$2,EOMONTH(CW$2,-1)+1,$C49:$F49)*VLOOKUP(CW$2,Valores!$H$2:$P$154,8,0)</f>
        <v>#VALUE!</v>
      </c>
      <c r="CX49" s="27" t="e">
        <f aca="false">SUMIF($C$2:$F$2,EOMONTH(CX$2,-1)+1,$C49:$F49)*VLOOKUP(CX$2,Valores!$H$2:$P$154,8,0)</f>
        <v>#VALUE!</v>
      </c>
      <c r="CY49" s="27" t="e">
        <f aca="false">SUMIF($C$2:$F$2,EOMONTH(CY$2,-1)+1,$C49:$F49)*VLOOKUP(CY$2,Valores!$H$2:$P$154,8,0)</f>
        <v>#VALUE!</v>
      </c>
      <c r="CZ49" s="27" t="e">
        <f aca="false">SUMIF($C$2:$F$2,EOMONTH(CZ$2,-1)+1,$C49:$F49)*VLOOKUP(CZ$2,Valores!$H$2:$P$154,8,0)</f>
        <v>#VALUE!</v>
      </c>
      <c r="DA49" s="27" t="e">
        <f aca="false">SUMIF($C$2:$F$2,EOMONTH(DA$2,-1)+1,$C49:$F49)*VLOOKUP(DA$2,Valores!$H$2:$P$154,8,0)</f>
        <v>#VALUE!</v>
      </c>
      <c r="DB49" s="27" t="e">
        <f aca="false">SUMIF($C$2:$F$2,EOMONTH(DB$2,-1)+1,$C49:$F49)*VLOOKUP(DB$2,Valores!$H$2:$P$154,8,0)</f>
        <v>#VALUE!</v>
      </c>
      <c r="DC49" s="27" t="e">
        <f aca="false">SUMIF($C$2:$F$2,EOMONTH(DC$2,-1)+1,$C49:$F49)*VLOOKUP(DC$2,Valores!$H$2:$P$154,8,0)</f>
        <v>#VALUE!</v>
      </c>
      <c r="DD49" s="27" t="e">
        <f aca="false">SUMIF($C$2:$F$2,EOMONTH(DD$2,-1)+1,$C49:$F49)*VLOOKUP(DD$2,Valores!$H$2:$P$154,8,0)</f>
        <v>#VALUE!</v>
      </c>
      <c r="DE49" s="27" t="e">
        <f aca="false">SUMIF($C$2:$F$2,EOMONTH(DE$2,-1)+1,$C49:$F49)*VLOOKUP(DE$2,Valores!$H$2:$P$154,8,0)</f>
        <v>#VALUE!</v>
      </c>
      <c r="DF49" s="27" t="e">
        <f aca="false">SUMIF($C$2:$F$2,EOMONTH(DF$2,-1)+1,$C49:$F49)*VLOOKUP(DF$2,Valores!$H$2:$P$154,8,0)</f>
        <v>#VALUE!</v>
      </c>
      <c r="DG49" s="27" t="e">
        <f aca="false">SUMIF($C$2:$F$2,EOMONTH(DG$2,-1)+1,$C49:$F49)*VLOOKUP(DG$2,Valores!$H$2:$P$154,8,0)</f>
        <v>#VALUE!</v>
      </c>
      <c r="DH49" s="27" t="e">
        <f aca="false">SUMIF($C$2:$F$2,EOMONTH(DH$2,-1)+1,$C49:$F49)*VLOOKUP(DH$2,Valores!$H$2:$P$154,8,0)</f>
        <v>#VALUE!</v>
      </c>
      <c r="DI49" s="27" t="e">
        <f aca="false">SUMIF($C$2:$F$2,EOMONTH(DI$2,-1)+1,$C49:$F49)*VLOOKUP(DI$2,Valores!$H$2:$P$154,8,0)</f>
        <v>#VALUE!</v>
      </c>
      <c r="DJ49" s="27" t="e">
        <f aca="false">SUMIF($C$2:$F$2,EOMONTH(DJ$2,-1)+1,$C49:$F49)*VLOOKUP(DJ$2,Valores!$H$2:$P$154,8,0)</f>
        <v>#VALUE!</v>
      </c>
      <c r="DK49" s="27" t="e">
        <f aca="false">SUMIF($C$2:$F$2,EOMONTH(DK$2,-1)+1,$C49:$F49)*VLOOKUP(DK$2,Valores!$H$2:$P$154,8,0)</f>
        <v>#VALUE!</v>
      </c>
      <c r="DL49" s="27" t="e">
        <f aca="false">SUMIF($C$2:$F$2,EOMONTH(DL$2,-1)+1,$C49:$F49)*VLOOKUP(DL$2,Valores!$H$2:$P$154,8,0)</f>
        <v>#VALUE!</v>
      </c>
      <c r="DM49" s="27" t="e">
        <f aca="false">SUMIF($C$2:$F$2,EOMONTH(DM$2,-1)+1,$C49:$F49)*VLOOKUP(DM$2,Valores!$H$2:$P$154,8,0)</f>
        <v>#VALUE!</v>
      </c>
      <c r="DN49" s="27" t="e">
        <f aca="false">SUMIF($C$2:$F$2,EOMONTH(DN$2,-1)+1,$C49:$F49)*VLOOKUP(DN$2,Valores!$H$2:$P$154,8,0)</f>
        <v>#VALUE!</v>
      </c>
      <c r="DO49" s="27" t="e">
        <f aca="false">SUMIF($C$2:$F$2,EOMONTH(DO$2,-1)+1,$C49:$F49)*VLOOKUP(DO$2,Valores!$H$2:$P$154,8,0)</f>
        <v>#VALUE!</v>
      </c>
      <c r="DP49" s="27" t="e">
        <f aca="false">SUMIF($C$2:$F$2,EOMONTH(DP$2,-1)+1,$C49:$F49)*VLOOKUP(DP$2,Valores!$H$2:$P$154,8,0)</f>
        <v>#VALUE!</v>
      </c>
      <c r="DQ49" s="27" t="e">
        <f aca="false">SUMIF($C$2:$F$2,EOMONTH(DQ$2,-1)+1,$C49:$F49)*VLOOKUP(DQ$2,Valores!$H$2:$P$154,8,0)</f>
        <v>#VALUE!</v>
      </c>
      <c r="DR49" s="27" t="e">
        <f aca="false">SUMIF($C$2:$F$2,EOMONTH(DR$2,-1)+1,$C49:$F49)*VLOOKUP(DR$2,Valores!$H$2:$P$154,8,0)</f>
        <v>#VALUE!</v>
      </c>
      <c r="DS49" s="27" t="e">
        <f aca="false">SUMIF($C$2:$F$2,EOMONTH(DS$2,-1)+1,$C49:$F49)*VLOOKUP(DS$2,Valores!$H$2:$P$154,8,0)</f>
        <v>#VALUE!</v>
      </c>
      <c r="DT49" s="27" t="e">
        <f aca="false">SUMIF($C$2:$F$2,EOMONTH(DT$2,-1)+1,$C49:$F49)*VLOOKUP(DT$2,Valores!$H$2:$P$154,8,0)</f>
        <v>#VALUE!</v>
      </c>
      <c r="DU49" s="27" t="e">
        <f aca="false">SUMIF($C$2:$F$2,EOMONTH(DU$2,-1)+1,$C49:$F49)*VLOOKUP(DU$2,Valores!$H$2:$P$154,8,0)</f>
        <v>#VALUE!</v>
      </c>
      <c r="DV49" s="27" t="e">
        <f aca="false">SUMIF($C$2:$F$2,EOMONTH(DV$2,-1)+1,$C49:$F49)*VLOOKUP(DV$2,Valores!$H$2:$P$154,8,0)</f>
        <v>#VALUE!</v>
      </c>
      <c r="DW49" s="27" t="e">
        <f aca="false">SUMIF($C$2:$F$2,EOMONTH(DW$2,-1)+1,$C49:$F49)*VLOOKUP(DW$2,Valores!$H$2:$P$154,8,0)</f>
        <v>#VALUE!</v>
      </c>
      <c r="DX49" s="27" t="e">
        <f aca="false">SUMIF($C$2:$F$2,EOMONTH(DX$2,-1)+1,$C49:$F49)*VLOOKUP(DX$2,Valores!$H$2:$P$154,8,0)</f>
        <v>#VALUE!</v>
      </c>
    </row>
    <row r="50" customFormat="false" ht="13.8" hidden="false" customHeight="false" outlineLevel="0" collapsed="false">
      <c r="A50" s="29" t="s">
        <v>54</v>
      </c>
      <c r="B50" s="29" t="s">
        <v>72</v>
      </c>
      <c r="C50" s="29" t="n">
        <v>2257155</v>
      </c>
      <c r="D50" s="29" t="n">
        <v>2031439.5</v>
      </c>
      <c r="E50" s="29" t="n">
        <v>1828295.55</v>
      </c>
      <c r="F50" s="29" t="n">
        <v>1645465.995</v>
      </c>
      <c r="G50" s="30" t="n">
        <f aca="false">SUMIF($C$2:$F$2,EOMONTH(G$2,-1)+1,$C50:$F50)*VLOOKUP(G$2,Valores!$H$2:$P$154,8,0)</f>
        <v>64999.5269047227</v>
      </c>
      <c r="H50" s="30" t="n">
        <f aca="false">SUMIF($C$2:$F$2,EOMONTH(H$2,-1)+1,$C50:$F50)*VLOOKUP(H$2,Valores!$H$2:$P$154,8,0)</f>
        <v>44571.1041632384</v>
      </c>
      <c r="I50" s="30" t="n">
        <f aca="false">SUMIF($C$2:$F$2,EOMONTH(I$2,-1)+1,$C50:$F50)*VLOOKUP(I$2,Valores!$H$2:$P$154,8,0)</f>
        <v>44571.1041632384</v>
      </c>
      <c r="J50" s="30" t="n">
        <f aca="false">SUMIF($C$2:$F$2,EOMONTH(J$2,-1)+1,$C50:$F50)*VLOOKUP(J$2,Valores!$H$2:$P$154,8,0)</f>
        <v>44571.1041632384</v>
      </c>
      <c r="K50" s="30" t="n">
        <f aca="false">SUMIF($C$2:$F$2,EOMONTH(K$2,-1)+1,$C50:$F50)*VLOOKUP(K$2,Valores!$H$2:$P$154,8,0)</f>
        <v>44571.1041632384</v>
      </c>
      <c r="L50" s="30" t="n">
        <f aca="false">SUMIF($C$2:$F$2,EOMONTH(L$2,-1)+1,$C50:$F50)*VLOOKUP(L$2,Valores!$H$2:$P$154,8,0)</f>
        <v>89142.2083264769</v>
      </c>
      <c r="M50" s="30" t="n">
        <f aca="false">SUMIF($C$2:$F$2,EOMONTH(M$2,-1)+1,$C50:$F50)*VLOOKUP(M$2,Valores!$H$2:$P$154,8,0)</f>
        <v>111427.760408096</v>
      </c>
      <c r="N50" s="30" t="n">
        <f aca="false">SUMIF($C$2:$F$2,EOMONTH(N$2,-1)+1,$C50:$F50)*VLOOKUP(N$2,Valores!$H$2:$P$154,8,0)</f>
        <v>66856.6562448576</v>
      </c>
      <c r="O50" s="30" t="n">
        <f aca="false">SUMIF($C$2:$F$2,EOMONTH(O$2,-1)+1,$C50:$F50)*VLOOKUP(O$2,Valores!$H$2:$P$154,8,0)</f>
        <v>59428.1388843179</v>
      </c>
      <c r="P50" s="30" t="n">
        <f aca="false">SUMIF($C$2:$F$2,EOMONTH(P$2,-1)+1,$C50:$F50)*VLOOKUP(P$2,Valores!$H$2:$P$154,8,0)</f>
        <v>59428.1388843179</v>
      </c>
      <c r="Q50" s="30" t="n">
        <f aca="false">SUMIF($C$2:$F$2,EOMONTH(Q$2,-1)+1,$C50:$F50)*VLOOKUP(Q$2,Valores!$H$2:$P$154,8,0)</f>
        <v>35656.8833305907</v>
      </c>
      <c r="R50" s="30" t="n">
        <f aca="false">SUMIF($C$2:$F$2,EOMONTH(R$2,-1)+1,$C50:$F50)*VLOOKUP(R$2,Valores!$H$2:$P$154,8,0)</f>
        <v>59428.1388843179</v>
      </c>
      <c r="S50" s="30" t="n">
        <f aca="false">SUMIF($C$2:$F$2,EOMONTH(S$2,-1)+1,$C50:$F50)*VLOOKUP(S$2,Valores!$H$2:$P$154,8,0)</f>
        <v>118856.277768636</v>
      </c>
      <c r="T50" s="30" t="n">
        <f aca="false">SUMIF($C$2:$F$2,EOMONTH(T$2,-1)+1,$C50:$F50)*VLOOKUP(T$2,Valores!$H$2:$P$154,8,0)</f>
        <v>148570.347210795</v>
      </c>
      <c r="U50" s="30" t="n">
        <f aca="false">SUMIF($C$2:$F$2,EOMONTH(U$2,-1)+1,$C50:$F50)*VLOOKUP(U$2,Valores!$H$2:$P$154,8,0)</f>
        <v>89142.2083264769</v>
      </c>
      <c r="V50" s="30" t="n">
        <f aca="false">SUMIF($C$2:$F$2,EOMONTH(V$2,-1)+1,$C50:$F50)*VLOOKUP(V$2,Valores!$H$2:$P$154,8,0)</f>
        <v>74285.1736053974</v>
      </c>
      <c r="W50" s="30" t="n">
        <f aca="false">SUMIF($C$2:$F$2,EOMONTH(W$2,-1)+1,$C50:$F50)*VLOOKUP(W$2,Valores!$H$2:$P$154,8,0)</f>
        <v>74285.1736053974</v>
      </c>
      <c r="X50" s="30" t="n">
        <f aca="false">SUMIF($C$2:$F$2,EOMONTH(X$2,-1)+1,$C50:$F50)*VLOOKUP(X$2,Valores!$H$2:$P$154,8,0)</f>
        <v>0</v>
      </c>
      <c r="Y50" s="30" t="n">
        <f aca="false">SUMIF($C$2:$F$2,EOMONTH(Y$2,-1)+1,$C50:$F50)*VLOOKUP(Y$2,Valores!$H$2:$P$154,8,0)</f>
        <v>0</v>
      </c>
      <c r="Z50" s="30" t="n">
        <f aca="false">SUMIF($C$2:$F$2,EOMONTH(Z$2,-1)+1,$C50:$F50)*VLOOKUP(Z$2,Valores!$H$2:$P$154,8,0)</f>
        <v>111427.760408096</v>
      </c>
      <c r="AA50" s="30" t="n">
        <f aca="false">SUMIF($C$2:$F$2,EOMONTH(AA$2,-1)+1,$C50:$F50)*VLOOKUP(AA$2,Valores!$H$2:$P$154,8,0)</f>
        <v>133713.312489715</v>
      </c>
      <c r="AB50" s="30" t="n">
        <f aca="false">SUMIF($C$2:$F$2,EOMONTH(AB$2,-1)+1,$C50:$F50)*VLOOKUP(AB$2,Valores!$H$2:$P$154,8,0)</f>
        <v>66856.6562448576</v>
      </c>
      <c r="AC50" s="30" t="n">
        <f aca="false">SUMIF($C$2:$F$2,EOMONTH(AC$2,-1)+1,$C50:$F50)*VLOOKUP(AC$2,Valores!$H$2:$P$154,8,0)</f>
        <v>81713.6909659371</v>
      </c>
      <c r="AD50" s="30" t="n">
        <f aca="false">SUMIF($C$2:$F$2,EOMONTH(AD$2,-1)+1,$C50:$F50)*VLOOKUP(AD$2,Valores!$H$2:$P$154,8,0)</f>
        <v>81713.6909659371</v>
      </c>
      <c r="AE50" s="30" t="n">
        <f aca="false">SUMIF($C$2:$F$2,EOMONTH(AE$2,-1)+1,$C50:$F50)*VLOOKUP(AE$2,Valores!$H$2:$P$154,8,0)</f>
        <v>81713.6909659371</v>
      </c>
      <c r="AF50" s="30" t="n">
        <f aca="false">SUMIF($C$2:$F$2,EOMONTH(AF$2,-1)+1,$C50:$F50)*VLOOKUP(AF$2,Valores!$H$2:$P$154,8,0)</f>
        <v>81713.6909659371</v>
      </c>
      <c r="AG50" s="30" t="n">
        <f aca="false">SUMIF($C$2:$F$2,EOMONTH(AG$2,-1)+1,$C50:$F50)*VLOOKUP(AG$2,Valores!$H$2:$P$154,8,0)</f>
        <v>130741.905545499</v>
      </c>
      <c r="AH50" s="30" t="n">
        <f aca="false">SUMIF($C$2:$F$2,EOMONTH(AH$2,-1)+1,$C50:$F50)*VLOOKUP(AH$2,Valores!$H$2:$P$154,8,0)</f>
        <v>163427.381931874</v>
      </c>
      <c r="AI50" s="30" t="n">
        <f aca="false">SUMIF($C$2:$F$2,EOMONTH(AI$2,-1)+1,$C50:$F50)*VLOOKUP(AI$2,Valores!$H$2:$P$154,8,0)</f>
        <v>57199.583676156</v>
      </c>
      <c r="AJ50" s="30" t="n">
        <f aca="false">SUMIF($C$2:$F$2,EOMONTH(AJ$2,-1)+1,$C50:$F50)*VLOOKUP(AJ$2,Valores!$H$2:$P$154,8,0)</f>
        <v>37142.5868026987</v>
      </c>
      <c r="AK50" s="30" t="n">
        <f aca="false">SUMIF($C$2:$F$2,EOMONTH(AK$2,-1)+1,$C50:$F50)*VLOOKUP(AK$2,Valores!$H$2:$P$154,8,0)</f>
        <v>67732.3894353283</v>
      </c>
      <c r="AL50" s="30" t="n">
        <f aca="false">SUMIF($C$2:$F$2,EOMONTH(AL$2,-1)+1,$C50:$F50)*VLOOKUP(AL$2,Valores!$H$2:$P$154,8,0)</f>
        <v>67732.3894353283</v>
      </c>
      <c r="AM50" s="30" t="n">
        <f aca="false">SUMIF($C$2:$F$2,EOMONTH(AM$2,-1)+1,$C50:$F50)*VLOOKUP(AM$2,Valores!$H$2:$P$154,8,0)</f>
        <v>67732.3894353283</v>
      </c>
      <c r="AN50" s="30" t="n">
        <f aca="false">SUMIF($C$2:$F$2,EOMONTH(AN$2,-1)+1,$C50:$F50)*VLOOKUP(AN$2,Valores!$H$2:$P$154,8,0)</f>
        <v>135464.778870657</v>
      </c>
      <c r="AO50" s="30" t="n">
        <f aca="false">SUMIF($C$2:$F$2,EOMONTH(AO$2,-1)+1,$C50:$F50)*VLOOKUP(AO$2,Valores!$H$2:$P$154,8,0)</f>
        <v>169330.973588321</v>
      </c>
      <c r="AP50" s="30" t="n">
        <f aca="false">SUMIF($C$2:$F$2,EOMONTH(AP$2,-1)+1,$C50:$F50)*VLOOKUP(AP$2,Valores!$H$2:$P$154,8,0)</f>
        <v>101598.584152992</v>
      </c>
      <c r="AQ50" s="30" t="n">
        <f aca="false">SUMIF($C$2:$F$2,EOMONTH(AQ$2,-1)+1,$C50:$F50)*VLOOKUP(AQ$2,Valores!$H$2:$P$154,8,0)</f>
        <v>36285.2086260687</v>
      </c>
      <c r="AR50" s="30" t="n">
        <f aca="false">SUMIF($C$2:$F$2,EOMONTH(AR$2,-1)+1,$C50:$F50)*VLOOKUP(AR$2,Valores!$H$2:$P$154,8,0)</f>
        <v>36285.2086260687</v>
      </c>
      <c r="AS50" s="30" t="n">
        <f aca="false">SUMIF($C$2:$F$2,EOMONTH(AS$2,-1)+1,$C50:$F50)*VLOOKUP(AS$2,Valores!$H$2:$P$154,8,0)</f>
        <v>36285.2086260687</v>
      </c>
      <c r="AT50" s="30" t="n">
        <f aca="false">SUMIF($C$2:$F$2,EOMONTH(AT$2,-1)+1,$C50:$F50)*VLOOKUP(AT$2,Valores!$H$2:$P$154,8,0)</f>
        <v>36285.2086260687</v>
      </c>
      <c r="AU50" s="30" t="n">
        <f aca="false">SUMIF($C$2:$F$2,EOMONTH(AU$2,-1)+1,$C50:$F50)*VLOOKUP(AU$2,Valores!$H$2:$P$154,8,0)</f>
        <v>72570.4172521374</v>
      </c>
      <c r="AV50" s="30" t="n">
        <f aca="false">SUMIF($C$2:$F$2,EOMONTH(AV$2,-1)+1,$C50:$F50)*VLOOKUP(AV$2,Valores!$H$2:$P$154,8,0)</f>
        <v>90713.0215651718</v>
      </c>
      <c r="AW50" s="30" t="n">
        <f aca="false">SUMIF($C$2:$F$2,EOMONTH(AW$2,-1)+1,$C50:$F50)*VLOOKUP(AW$2,Valores!$H$2:$P$154,8,0)</f>
        <v>54427.8129391031</v>
      </c>
      <c r="AX50" s="30" t="n">
        <f aca="false">SUMIF($C$2:$F$2,EOMONTH(AX$2,-1)+1,$C50:$F50)*VLOOKUP(AX$2,Valores!$H$2:$P$154,8,0)</f>
        <v>36285.2086260687</v>
      </c>
      <c r="AY50" s="30" t="n">
        <f aca="false">SUMIF($C$2:$F$2,EOMONTH(AY$2,-1)+1,$C50:$F50)*VLOOKUP(AY$2,Valores!$H$2:$P$154,8,0)</f>
        <v>47170.7712138893</v>
      </c>
      <c r="AZ50" s="30" t="n">
        <f aca="false">SUMIF($C$2:$F$2,EOMONTH(AZ$2,-1)+1,$C50:$F50)*VLOOKUP(AZ$2,Valores!$H$2:$P$154,8,0)</f>
        <v>47170.7712138893</v>
      </c>
      <c r="BA50" s="30" t="n">
        <f aca="false">SUMIF($C$2:$F$2,EOMONTH(BA$2,-1)+1,$C50:$F50)*VLOOKUP(BA$2,Valores!$H$2:$P$154,8,0)</f>
        <v>47170.7712138893</v>
      </c>
      <c r="BB50" s="30" t="n">
        <f aca="false">SUMIF($C$2:$F$2,EOMONTH(BB$2,-1)+1,$C50:$F50)*VLOOKUP(BB$2,Valores!$H$2:$P$154,8,0)</f>
        <v>83455.9798399581</v>
      </c>
      <c r="BC50" s="30" t="n">
        <f aca="false">SUMIF($C$2:$F$2,EOMONTH(BC$2,-1)+1,$C50:$F50)*VLOOKUP(BC$2,Valores!$H$2:$P$154,8,0)</f>
        <v>101598.584152992</v>
      </c>
      <c r="BD50" s="30" t="n">
        <f aca="false">SUMIF($C$2:$F$2,EOMONTH(BD$2,-1)+1,$C50:$F50)*VLOOKUP(BD$2,Valores!$H$2:$P$154,8,0)</f>
        <v>54427.8129391031</v>
      </c>
      <c r="BE50" s="30" t="n">
        <f aca="false">SUMIF($C$2:$F$2,EOMONTH(BE$2,-1)+1,$C50:$F50)*VLOOKUP(BE$2,Valores!$H$2:$P$154,8,0)</f>
        <v>48380.2781680916</v>
      </c>
      <c r="BF50" s="30" t="n">
        <f aca="false">SUMIF($C$2:$F$2,EOMONTH(BF$2,-1)+1,$C50:$F50)*VLOOKUP(BF$2,Valores!$H$2:$P$154,8,0)</f>
        <v>48380.2781680916</v>
      </c>
      <c r="BG50" s="30" t="n">
        <f aca="false">SUMIF($C$2:$F$2,EOMONTH(BG$2,-1)+1,$C50:$F50)*VLOOKUP(BG$2,Valores!$H$2:$P$154,8,0)</f>
        <v>48380.2781680916</v>
      </c>
      <c r="BH50" s="30" t="n">
        <f aca="false">SUMIF($C$2:$F$2,EOMONTH(BH$2,-1)+1,$C50:$F50)*VLOOKUP(BH$2,Valores!$H$2:$P$154,8,0)</f>
        <v>48380.2781680916</v>
      </c>
      <c r="BI50" s="30" t="n">
        <f aca="false">SUMIF($C$2:$F$2,EOMONTH(BI$2,-1)+1,$C50:$F50)*VLOOKUP(BI$2,Valores!$H$2:$P$154,8,0)</f>
        <v>96760.5563361833</v>
      </c>
      <c r="BJ50" s="30" t="n">
        <f aca="false">SUMIF($C$2:$F$2,EOMONTH(BJ$2,-1)+1,$C50:$F50)*VLOOKUP(BJ$2,Valores!$H$2:$P$154,8,0)</f>
        <v>120950.695420229</v>
      </c>
      <c r="BK50" s="30" t="n">
        <f aca="false">SUMIF($C$2:$F$2,EOMONTH(BK$2,-1)+1,$C50:$F50)*VLOOKUP(BK$2,Valores!$H$2:$P$154,8,0)</f>
        <v>58056.33380171</v>
      </c>
      <c r="BL50" s="30" t="n">
        <f aca="false">SUMIF($C$2:$F$2,EOMONTH(BL$2,-1)+1,$C50:$F50)*VLOOKUP(BL$2,Valores!$H$2:$P$154,8,0)</f>
        <v>42574.6447879206</v>
      </c>
      <c r="BM50" s="30" t="n">
        <f aca="false">SUMIF($C$2:$F$2,EOMONTH(BM$2,-1)+1,$C50:$F50)*VLOOKUP(BM$2,Valores!$H$2:$P$154,8,0)</f>
        <v>42574.6447879206</v>
      </c>
      <c r="BN50" s="30" t="n">
        <f aca="false">SUMIF($C$2:$F$2,EOMONTH(BN$2,-1)+1,$C50:$F50)*VLOOKUP(BN$2,Valores!$H$2:$P$154,8,0)</f>
        <v>42574.6447879206</v>
      </c>
      <c r="BO50" s="30" t="n">
        <f aca="false">SUMIF($C$2:$F$2,EOMONTH(BO$2,-1)+1,$C50:$F50)*VLOOKUP(BO$2,Valores!$H$2:$P$154,8,0)</f>
        <v>44703.3770273167</v>
      </c>
      <c r="BP50" s="30" t="n">
        <f aca="false">SUMIF($C$2:$F$2,EOMONTH(BP$2,-1)+1,$C50:$F50)*VLOOKUP(BP$2,Valores!$H$2:$P$154,8,0)</f>
        <v>112498.132952423</v>
      </c>
      <c r="BQ50" s="30" t="n">
        <f aca="false">SUMIF($C$2:$F$2,EOMONTH(BQ$2,-1)+1,$C50:$F50)*VLOOKUP(BQ$2,Valores!$H$2:$P$154,8,0)</f>
        <v>140622.666190528</v>
      </c>
      <c r="BR50" s="30" t="n">
        <f aca="false">SUMIF($C$2:$F$2,EOMONTH(BR$2,-1)+1,$C50:$F50)*VLOOKUP(BR$2,Valores!$H$2:$P$154,8,0)</f>
        <v>67498.8797714537</v>
      </c>
      <c r="BS50" s="30" t="n">
        <f aca="false">SUMIF($C$2:$F$2,EOMONTH(BS$2,-1)+1,$C50:$F50)*VLOOKUP(BS$2,Valores!$H$2:$P$154,8,0)</f>
        <v>30133.428469399</v>
      </c>
      <c r="BT50" s="30" t="n">
        <f aca="false">SUMIF($C$2:$F$2,EOMONTH(BT$2,-1)+1,$C50:$F50)*VLOOKUP(BT$2,Valores!$H$2:$P$154,8,0)</f>
        <v>30133.428469399</v>
      </c>
      <c r="BU50" s="30" t="n">
        <f aca="false">SUMIF($C$2:$F$2,EOMONTH(BU$2,-1)+1,$C50:$F50)*VLOOKUP(BU$2,Valores!$H$2:$P$154,8,0)</f>
        <v>30133.428469399</v>
      </c>
      <c r="BV50" s="30" t="n">
        <f aca="false">SUMIF($C$2:$F$2,EOMONTH(BV$2,-1)+1,$C50:$F50)*VLOOKUP(BV$2,Valores!$H$2:$P$154,8,0)</f>
        <v>30133.428469399</v>
      </c>
      <c r="BW50" s="30" t="n">
        <f aca="false">SUMIF($C$2:$F$2,EOMONTH(BW$2,-1)+1,$C50:$F50)*VLOOKUP(BW$2,Valores!$H$2:$P$154,8,0)</f>
        <v>60266.8569387979</v>
      </c>
      <c r="BX50" s="30" t="n">
        <f aca="false">SUMIF($C$2:$F$2,EOMONTH(BX$2,-1)+1,$C50:$F50)*VLOOKUP(BX$2,Valores!$H$2:$P$154,8,0)</f>
        <v>75333.5711734974</v>
      </c>
      <c r="BY50" s="30" t="n">
        <f aca="false">SUMIF($C$2:$F$2,EOMONTH(BY$2,-1)+1,$C50:$F50)*VLOOKUP(BY$2,Valores!$H$2:$P$154,8,0)</f>
        <v>45200.1427040984</v>
      </c>
      <c r="BZ50" s="30" t="n">
        <f aca="false">SUMIF($C$2:$F$2,EOMONTH(BZ$2,-1)+1,$C50:$F50)*VLOOKUP(BZ$2,Valores!$H$2:$P$154,8,0)</f>
        <v>30133.428469399</v>
      </c>
      <c r="CA50" s="30" t="n">
        <f aca="false">SUMIF($C$2:$F$2,EOMONTH(CA$2,-1)+1,$C50:$F50)*VLOOKUP(CA$2,Valores!$H$2:$P$154,8,0)</f>
        <v>30133.428469399</v>
      </c>
      <c r="CB50" s="30" t="n">
        <f aca="false">SUMIF($C$2:$F$2,EOMONTH(CB$2,-1)+1,$C50:$F50)*VLOOKUP(CB$2,Valores!$H$2:$P$154,8,0)</f>
        <v>30133.428469399</v>
      </c>
      <c r="CC50" s="30" t="n">
        <f aca="false">SUMIF($C$2:$F$2,EOMONTH(CC$2,-1)+1,$C50:$F50)*VLOOKUP(CC$2,Valores!$H$2:$P$154,8,0)</f>
        <v>30133.428469399</v>
      </c>
      <c r="CD50" s="30" t="n">
        <f aca="false">SUMIF($C$2:$F$2,EOMONTH(CD$2,-1)+1,$C50:$F50)*VLOOKUP(CD$2,Valores!$H$2:$P$154,8,0)</f>
        <v>90400.2854081969</v>
      </c>
      <c r="CE50" s="30" t="n">
        <f aca="false">SUMIF($C$2:$F$2,EOMONTH(CE$2,-1)+1,$C50:$F50)*VLOOKUP(CE$2,Valores!$H$2:$P$154,8,0)</f>
        <v>120533.713877596</v>
      </c>
      <c r="CF50" s="30" t="n">
        <f aca="false">SUMIF($C$2:$F$2,EOMONTH(CF$2,-1)+1,$C50:$F50)*VLOOKUP(CF$2,Valores!$H$2:$P$154,8,0)</f>
        <v>75333.5711734974</v>
      </c>
      <c r="CG50" s="30" t="n">
        <f aca="false">SUMIF($C$2:$F$2,EOMONTH(CG$2,-1)+1,$C50:$F50)*VLOOKUP(CG$2,Valores!$H$2:$P$154,8,0)</f>
        <v>40177.9046258653</v>
      </c>
      <c r="CH50" s="30" t="n">
        <f aca="false">SUMIF($C$2:$F$2,EOMONTH(CH$2,-1)+1,$C50:$F50)*VLOOKUP(CH$2,Valores!$H$2:$P$154,8,0)</f>
        <v>40177.9046258653</v>
      </c>
      <c r="CI50" s="30" t="n">
        <f aca="false">SUMIF($C$2:$F$2,EOMONTH(CI$2,-1)+1,$C50:$F50)*VLOOKUP(CI$2,Valores!$H$2:$P$154,8,0)</f>
        <v>40177.9046258653</v>
      </c>
      <c r="CJ50" s="30" t="n">
        <f aca="false">SUMIF($C$2:$F$2,EOMONTH(CJ$2,-1)+1,$C50:$F50)*VLOOKUP(CJ$2,Valores!$H$2:$P$154,8,0)</f>
        <v>40177.9046258653</v>
      </c>
      <c r="CK50" s="30" t="n">
        <f aca="false">SUMIF($C$2:$F$2,EOMONTH(CK$2,-1)+1,$C50:$F50)*VLOOKUP(CK$2,Valores!$H$2:$P$154,8,0)</f>
        <v>80355.8092517306</v>
      </c>
      <c r="CL50" s="30" t="n">
        <f aca="false">SUMIF($C$2:$F$2,EOMONTH(CL$2,-1)+1,$C50:$F50)*VLOOKUP(CL$2,Valores!$H$2:$P$154,8,0)</f>
        <v>100444.761564663</v>
      </c>
      <c r="CM50" s="30" t="n">
        <f aca="false">SUMIF($C$2:$F$2,EOMONTH(CM$2,-1)+1,$C50:$F50)*VLOOKUP(CM$2,Valores!$H$2:$P$154,8,0)</f>
        <v>60266.8569387979</v>
      </c>
      <c r="CN50" s="30" t="n">
        <f aca="false">SUMIF($C$2:$F$2,EOMONTH(CN$2,-1)+1,$C50:$F50)*VLOOKUP(CN$2,Valores!$H$2:$P$154,8,0)</f>
        <v>44195.6950884518</v>
      </c>
      <c r="CO50" s="30" t="n">
        <f aca="false">SUMIF($C$2:$F$2,EOMONTH(CO$2,-1)+1,$C50:$F50)*VLOOKUP(CO$2,Valores!$H$2:$P$154,8,0)</f>
        <v>44195.6950884518</v>
      </c>
      <c r="CP50" s="30" t="n">
        <f aca="false">SUMIF($C$2:$F$2,EOMONTH(CP$2,-1)+1,$C50:$F50)*VLOOKUP(CP$2,Valores!$H$2:$P$154,8,0)</f>
        <v>44195.6950884518</v>
      </c>
      <c r="CQ50" s="30" t="n">
        <f aca="false">SUMIF($C$2:$F$2,EOMONTH(CQ$2,-1)+1,$C50:$F50)*VLOOKUP(CQ$2,Valores!$H$2:$P$154,8,0)</f>
        <v>44195.6950884518</v>
      </c>
      <c r="CR50" s="30" t="n">
        <f aca="false">SUMIF($C$2:$F$2,EOMONTH(CR$2,-1)+1,$C50:$F50)*VLOOKUP(CR$2,Valores!$H$2:$P$154,8,0)</f>
        <v>88391.3901769036</v>
      </c>
      <c r="CS50" s="30" t="n">
        <f aca="false">SUMIF($C$2:$F$2,EOMONTH(CS$2,-1)+1,$C50:$F50)*VLOOKUP(CS$2,Valores!$H$2:$P$154,8,0)</f>
        <v>132587.085265355</v>
      </c>
      <c r="CT50" s="30" t="e">
        <f aca="false">SUMIF($C$2:$F$2,EOMONTH(CT$2,-1)+1,$C50:$F50)*VLOOKUP(CT$2,Valores!$H$2:$P$154,8,0)</f>
        <v>#VALUE!</v>
      </c>
      <c r="CU50" s="30" t="e">
        <f aca="false">SUMIF($C$2:$F$2,EOMONTH(CU$2,-1)+1,$C50:$F50)*VLOOKUP(CU$2,Valores!$H$2:$P$154,8,0)</f>
        <v>#VALUE!</v>
      </c>
      <c r="CV50" s="30" t="e">
        <f aca="false">SUMIF($C$2:$F$2,EOMONTH(CV$2,-1)+1,$C50:$F50)*VLOOKUP(CV$2,Valores!$H$2:$P$154,8,0)</f>
        <v>#VALUE!</v>
      </c>
      <c r="CW50" s="30" t="e">
        <f aca="false">SUMIF($C$2:$F$2,EOMONTH(CW$2,-1)+1,$C50:$F50)*VLOOKUP(CW$2,Valores!$H$2:$P$154,8,0)</f>
        <v>#VALUE!</v>
      </c>
      <c r="CX50" s="30" t="e">
        <f aca="false">SUMIF($C$2:$F$2,EOMONTH(CX$2,-1)+1,$C50:$F50)*VLOOKUP(CX$2,Valores!$H$2:$P$154,8,0)</f>
        <v>#VALUE!</v>
      </c>
      <c r="CY50" s="30" t="e">
        <f aca="false">SUMIF($C$2:$F$2,EOMONTH(CY$2,-1)+1,$C50:$F50)*VLOOKUP(CY$2,Valores!$H$2:$P$154,8,0)</f>
        <v>#VALUE!</v>
      </c>
      <c r="CZ50" s="30" t="e">
        <f aca="false">SUMIF($C$2:$F$2,EOMONTH(CZ$2,-1)+1,$C50:$F50)*VLOOKUP(CZ$2,Valores!$H$2:$P$154,8,0)</f>
        <v>#VALUE!</v>
      </c>
      <c r="DA50" s="30" t="e">
        <f aca="false">SUMIF($C$2:$F$2,EOMONTH(DA$2,-1)+1,$C50:$F50)*VLOOKUP(DA$2,Valores!$H$2:$P$154,8,0)</f>
        <v>#VALUE!</v>
      </c>
      <c r="DB50" s="30" t="e">
        <f aca="false">SUMIF($C$2:$F$2,EOMONTH(DB$2,-1)+1,$C50:$F50)*VLOOKUP(DB$2,Valores!$H$2:$P$154,8,0)</f>
        <v>#VALUE!</v>
      </c>
      <c r="DC50" s="30" t="e">
        <f aca="false">SUMIF($C$2:$F$2,EOMONTH(DC$2,-1)+1,$C50:$F50)*VLOOKUP(DC$2,Valores!$H$2:$P$154,8,0)</f>
        <v>#VALUE!</v>
      </c>
      <c r="DD50" s="30" t="e">
        <f aca="false">SUMIF($C$2:$F$2,EOMONTH(DD$2,-1)+1,$C50:$F50)*VLOOKUP(DD$2,Valores!$H$2:$P$154,8,0)</f>
        <v>#VALUE!</v>
      </c>
      <c r="DE50" s="30" t="e">
        <f aca="false">SUMIF($C$2:$F$2,EOMONTH(DE$2,-1)+1,$C50:$F50)*VLOOKUP(DE$2,Valores!$H$2:$P$154,8,0)</f>
        <v>#VALUE!</v>
      </c>
      <c r="DF50" s="30" t="e">
        <f aca="false">SUMIF($C$2:$F$2,EOMONTH(DF$2,-1)+1,$C50:$F50)*VLOOKUP(DF$2,Valores!$H$2:$P$154,8,0)</f>
        <v>#VALUE!</v>
      </c>
      <c r="DG50" s="30" t="e">
        <f aca="false">SUMIF($C$2:$F$2,EOMONTH(DG$2,-1)+1,$C50:$F50)*VLOOKUP(DG$2,Valores!$H$2:$P$154,8,0)</f>
        <v>#VALUE!</v>
      </c>
      <c r="DH50" s="30" t="e">
        <f aca="false">SUMIF($C$2:$F$2,EOMONTH(DH$2,-1)+1,$C50:$F50)*VLOOKUP(DH$2,Valores!$H$2:$P$154,8,0)</f>
        <v>#VALUE!</v>
      </c>
      <c r="DI50" s="30" t="e">
        <f aca="false">SUMIF($C$2:$F$2,EOMONTH(DI$2,-1)+1,$C50:$F50)*VLOOKUP(DI$2,Valores!$H$2:$P$154,8,0)</f>
        <v>#VALUE!</v>
      </c>
      <c r="DJ50" s="30" t="e">
        <f aca="false">SUMIF($C$2:$F$2,EOMONTH(DJ$2,-1)+1,$C50:$F50)*VLOOKUP(DJ$2,Valores!$H$2:$P$154,8,0)</f>
        <v>#VALUE!</v>
      </c>
      <c r="DK50" s="30" t="e">
        <f aca="false">SUMIF($C$2:$F$2,EOMONTH(DK$2,-1)+1,$C50:$F50)*VLOOKUP(DK$2,Valores!$H$2:$P$154,8,0)</f>
        <v>#VALUE!</v>
      </c>
      <c r="DL50" s="30" t="e">
        <f aca="false">SUMIF($C$2:$F$2,EOMONTH(DL$2,-1)+1,$C50:$F50)*VLOOKUP(DL$2,Valores!$H$2:$P$154,8,0)</f>
        <v>#VALUE!</v>
      </c>
      <c r="DM50" s="30" t="e">
        <f aca="false">SUMIF($C$2:$F$2,EOMONTH(DM$2,-1)+1,$C50:$F50)*VLOOKUP(DM$2,Valores!$H$2:$P$154,8,0)</f>
        <v>#VALUE!</v>
      </c>
      <c r="DN50" s="30" t="e">
        <f aca="false">SUMIF($C$2:$F$2,EOMONTH(DN$2,-1)+1,$C50:$F50)*VLOOKUP(DN$2,Valores!$H$2:$P$154,8,0)</f>
        <v>#VALUE!</v>
      </c>
      <c r="DO50" s="30" t="e">
        <f aca="false">SUMIF($C$2:$F$2,EOMONTH(DO$2,-1)+1,$C50:$F50)*VLOOKUP(DO$2,Valores!$H$2:$P$154,8,0)</f>
        <v>#VALUE!</v>
      </c>
      <c r="DP50" s="30" t="e">
        <f aca="false">SUMIF($C$2:$F$2,EOMONTH(DP$2,-1)+1,$C50:$F50)*VLOOKUP(DP$2,Valores!$H$2:$P$154,8,0)</f>
        <v>#VALUE!</v>
      </c>
      <c r="DQ50" s="30" t="e">
        <f aca="false">SUMIF($C$2:$F$2,EOMONTH(DQ$2,-1)+1,$C50:$F50)*VLOOKUP(DQ$2,Valores!$H$2:$P$154,8,0)</f>
        <v>#VALUE!</v>
      </c>
      <c r="DR50" s="30" t="e">
        <f aca="false">SUMIF($C$2:$F$2,EOMONTH(DR$2,-1)+1,$C50:$F50)*VLOOKUP(DR$2,Valores!$H$2:$P$154,8,0)</f>
        <v>#VALUE!</v>
      </c>
      <c r="DS50" s="30" t="e">
        <f aca="false">SUMIF($C$2:$F$2,EOMONTH(DS$2,-1)+1,$C50:$F50)*VLOOKUP(DS$2,Valores!$H$2:$P$154,8,0)</f>
        <v>#VALUE!</v>
      </c>
      <c r="DT50" s="30" t="e">
        <f aca="false">SUMIF($C$2:$F$2,EOMONTH(DT$2,-1)+1,$C50:$F50)*VLOOKUP(DT$2,Valores!$H$2:$P$154,8,0)</f>
        <v>#VALUE!</v>
      </c>
      <c r="DU50" s="30" t="e">
        <f aca="false">SUMIF($C$2:$F$2,EOMONTH(DU$2,-1)+1,$C50:$F50)*VLOOKUP(DU$2,Valores!$H$2:$P$154,8,0)</f>
        <v>#VALUE!</v>
      </c>
      <c r="DV50" s="30" t="e">
        <f aca="false">SUMIF($C$2:$F$2,EOMONTH(DV$2,-1)+1,$C50:$F50)*VLOOKUP(DV$2,Valores!$H$2:$P$154,8,0)</f>
        <v>#VALUE!</v>
      </c>
      <c r="DW50" s="30" t="e">
        <f aca="false">SUMIF($C$2:$F$2,EOMONTH(DW$2,-1)+1,$C50:$F50)*VLOOKUP(DW$2,Valores!$H$2:$P$154,8,0)</f>
        <v>#VALUE!</v>
      </c>
      <c r="DX50" s="30" t="e">
        <f aca="false">SUMIF($C$2:$F$2,EOMONTH(DX$2,-1)+1,$C50:$F50)*VLOOKUP(DX$2,Valores!$H$2:$P$154,8,0)</f>
        <v>#VALUE!</v>
      </c>
    </row>
    <row r="51" customFormat="false" ht="13.8" hidden="false" customHeight="false" outlineLevel="0" collapsed="false">
      <c r="A51" s="31" t="s">
        <v>54</v>
      </c>
      <c r="B51" s="31" t="s">
        <v>73</v>
      </c>
      <c r="C51" s="31" t="n">
        <v>1799141</v>
      </c>
      <c r="D51" s="31" t="n">
        <v>1619226.9</v>
      </c>
      <c r="E51" s="31" t="n">
        <v>1457304.21</v>
      </c>
      <c r="F51" s="31" t="n">
        <v>1311573.789</v>
      </c>
      <c r="G51" s="27" t="n">
        <f aca="false">SUMIF($C$2:$F$2,EOMONTH(G$2,-1)+1,$C51:$F51)*VLOOKUP(G$2,Valores!$H$2:$P$154,8,0)</f>
        <v>51810.0501892381</v>
      </c>
      <c r="H51" s="27" t="n">
        <f aca="false">SUMIF($C$2:$F$2,EOMONTH(H$2,-1)+1,$C51:$F51)*VLOOKUP(H$2,Valores!$H$2:$P$154,8,0)</f>
        <v>35526.8915583347</v>
      </c>
      <c r="I51" s="27" t="n">
        <f aca="false">SUMIF($C$2:$F$2,EOMONTH(I$2,-1)+1,$C51:$F51)*VLOOKUP(I$2,Valores!$H$2:$P$154,8,0)</f>
        <v>35526.8915583347</v>
      </c>
      <c r="J51" s="27" t="n">
        <f aca="false">SUMIF($C$2:$F$2,EOMONTH(J$2,-1)+1,$C51:$F51)*VLOOKUP(J$2,Valores!$H$2:$P$154,8,0)</f>
        <v>35526.8915583347</v>
      </c>
      <c r="K51" s="27" t="n">
        <f aca="false">SUMIF($C$2:$F$2,EOMONTH(K$2,-1)+1,$C51:$F51)*VLOOKUP(K$2,Valores!$H$2:$P$154,8,0)</f>
        <v>35526.8915583347</v>
      </c>
      <c r="L51" s="27" t="n">
        <f aca="false">SUMIF($C$2:$F$2,EOMONTH(L$2,-1)+1,$C51:$F51)*VLOOKUP(L$2,Valores!$H$2:$P$154,8,0)</f>
        <v>71053.7831166694</v>
      </c>
      <c r="M51" s="27" t="n">
        <f aca="false">SUMIF($C$2:$F$2,EOMONTH(M$2,-1)+1,$C51:$F51)*VLOOKUP(M$2,Valores!$H$2:$P$154,8,0)</f>
        <v>88817.2288958367</v>
      </c>
      <c r="N51" s="27" t="n">
        <f aca="false">SUMIF($C$2:$F$2,EOMONTH(N$2,-1)+1,$C51:$F51)*VLOOKUP(N$2,Valores!$H$2:$P$154,8,0)</f>
        <v>53290.337337502</v>
      </c>
      <c r="O51" s="27" t="n">
        <f aca="false">SUMIF($C$2:$F$2,EOMONTH(O$2,-1)+1,$C51:$F51)*VLOOKUP(O$2,Valores!$H$2:$P$154,8,0)</f>
        <v>47369.1887444463</v>
      </c>
      <c r="P51" s="27" t="n">
        <f aca="false">SUMIF($C$2:$F$2,EOMONTH(P$2,-1)+1,$C51:$F51)*VLOOKUP(P$2,Valores!$H$2:$P$154,8,0)</f>
        <v>47369.1887444463</v>
      </c>
      <c r="Q51" s="27" t="n">
        <f aca="false">SUMIF($C$2:$F$2,EOMONTH(Q$2,-1)+1,$C51:$F51)*VLOOKUP(Q$2,Valores!$H$2:$P$154,8,0)</f>
        <v>28421.5132466677</v>
      </c>
      <c r="R51" s="27" t="n">
        <f aca="false">SUMIF($C$2:$F$2,EOMONTH(R$2,-1)+1,$C51:$F51)*VLOOKUP(R$2,Valores!$H$2:$P$154,8,0)</f>
        <v>47369.1887444463</v>
      </c>
      <c r="S51" s="27" t="n">
        <f aca="false">SUMIF($C$2:$F$2,EOMONTH(S$2,-1)+1,$C51:$F51)*VLOOKUP(S$2,Valores!$H$2:$P$154,8,0)</f>
        <v>94738.3774888925</v>
      </c>
      <c r="T51" s="27" t="n">
        <f aca="false">SUMIF($C$2:$F$2,EOMONTH(T$2,-1)+1,$C51:$F51)*VLOOKUP(T$2,Valores!$H$2:$P$154,8,0)</f>
        <v>118422.971861116</v>
      </c>
      <c r="U51" s="27" t="n">
        <f aca="false">SUMIF($C$2:$F$2,EOMONTH(U$2,-1)+1,$C51:$F51)*VLOOKUP(U$2,Valores!$H$2:$P$154,8,0)</f>
        <v>71053.7831166694</v>
      </c>
      <c r="V51" s="27" t="n">
        <f aca="false">SUMIF($C$2:$F$2,EOMONTH(V$2,-1)+1,$C51:$F51)*VLOOKUP(V$2,Valores!$H$2:$P$154,8,0)</f>
        <v>59211.4859305578</v>
      </c>
      <c r="W51" s="27" t="n">
        <f aca="false">SUMIF($C$2:$F$2,EOMONTH(W$2,-1)+1,$C51:$F51)*VLOOKUP(W$2,Valores!$H$2:$P$154,8,0)</f>
        <v>59211.4859305578</v>
      </c>
      <c r="X51" s="27" t="n">
        <f aca="false">SUMIF($C$2:$F$2,EOMONTH(X$2,-1)+1,$C51:$F51)*VLOOKUP(X$2,Valores!$H$2:$P$154,8,0)</f>
        <v>0</v>
      </c>
      <c r="Y51" s="27" t="n">
        <f aca="false">SUMIF($C$2:$F$2,EOMONTH(Y$2,-1)+1,$C51:$F51)*VLOOKUP(Y$2,Valores!$H$2:$P$154,8,0)</f>
        <v>0</v>
      </c>
      <c r="Z51" s="27" t="n">
        <f aca="false">SUMIF($C$2:$F$2,EOMONTH(Z$2,-1)+1,$C51:$F51)*VLOOKUP(Z$2,Valores!$H$2:$P$154,8,0)</f>
        <v>88817.2288958367</v>
      </c>
      <c r="AA51" s="27" t="n">
        <f aca="false">SUMIF($C$2:$F$2,EOMONTH(AA$2,-1)+1,$C51:$F51)*VLOOKUP(AA$2,Valores!$H$2:$P$154,8,0)</f>
        <v>106580.674675004</v>
      </c>
      <c r="AB51" s="27" t="n">
        <f aca="false">SUMIF($C$2:$F$2,EOMONTH(AB$2,-1)+1,$C51:$F51)*VLOOKUP(AB$2,Valores!$H$2:$P$154,8,0)</f>
        <v>53290.337337502</v>
      </c>
      <c r="AC51" s="27" t="n">
        <f aca="false">SUMIF($C$2:$F$2,EOMONTH(AC$2,-1)+1,$C51:$F51)*VLOOKUP(AC$2,Valores!$H$2:$P$154,8,0)</f>
        <v>65132.6345236136</v>
      </c>
      <c r="AD51" s="27" t="n">
        <f aca="false">SUMIF($C$2:$F$2,EOMONTH(AD$2,-1)+1,$C51:$F51)*VLOOKUP(AD$2,Valores!$H$2:$P$154,8,0)</f>
        <v>65132.6345236136</v>
      </c>
      <c r="AE51" s="27" t="n">
        <f aca="false">SUMIF($C$2:$F$2,EOMONTH(AE$2,-1)+1,$C51:$F51)*VLOOKUP(AE$2,Valores!$H$2:$P$154,8,0)</f>
        <v>65132.6345236136</v>
      </c>
      <c r="AF51" s="27" t="n">
        <f aca="false">SUMIF($C$2:$F$2,EOMONTH(AF$2,-1)+1,$C51:$F51)*VLOOKUP(AF$2,Valores!$H$2:$P$154,8,0)</f>
        <v>65132.6345236136</v>
      </c>
      <c r="AG51" s="27" t="n">
        <f aca="false">SUMIF($C$2:$F$2,EOMONTH(AG$2,-1)+1,$C51:$F51)*VLOOKUP(AG$2,Valores!$H$2:$P$154,8,0)</f>
        <v>104212.215237782</v>
      </c>
      <c r="AH51" s="27" t="n">
        <f aca="false">SUMIF($C$2:$F$2,EOMONTH(AH$2,-1)+1,$C51:$F51)*VLOOKUP(AH$2,Valores!$H$2:$P$154,8,0)</f>
        <v>130265.269047227</v>
      </c>
      <c r="AI51" s="27" t="n">
        <f aca="false">SUMIF($C$2:$F$2,EOMONTH(AI$2,-1)+1,$C51:$F51)*VLOOKUP(AI$2,Valores!$H$2:$P$154,8,0)</f>
        <v>45592.8441665295</v>
      </c>
      <c r="AJ51" s="27" t="n">
        <f aca="false">SUMIF($C$2:$F$2,EOMONTH(AJ$2,-1)+1,$C51:$F51)*VLOOKUP(AJ$2,Valores!$H$2:$P$154,8,0)</f>
        <v>29605.7429652789</v>
      </c>
      <c r="AK51" s="27" t="n">
        <f aca="false">SUMIF($C$2:$F$2,EOMONTH(AK$2,-1)+1,$C51:$F51)*VLOOKUP(AK$2,Valores!$H$2:$P$154,8,0)</f>
        <v>53988.369811141</v>
      </c>
      <c r="AL51" s="27" t="n">
        <f aca="false">SUMIF($C$2:$F$2,EOMONTH(AL$2,-1)+1,$C51:$F51)*VLOOKUP(AL$2,Valores!$H$2:$P$154,8,0)</f>
        <v>53988.369811141</v>
      </c>
      <c r="AM51" s="27" t="n">
        <f aca="false">SUMIF($C$2:$F$2,EOMONTH(AM$2,-1)+1,$C51:$F51)*VLOOKUP(AM$2,Valores!$H$2:$P$154,8,0)</f>
        <v>53988.369811141</v>
      </c>
      <c r="AN51" s="27" t="n">
        <f aca="false">SUMIF($C$2:$F$2,EOMONTH(AN$2,-1)+1,$C51:$F51)*VLOOKUP(AN$2,Valores!$H$2:$P$154,8,0)</f>
        <v>107976.739622282</v>
      </c>
      <c r="AO51" s="27" t="n">
        <f aca="false">SUMIF($C$2:$F$2,EOMONTH(AO$2,-1)+1,$C51:$F51)*VLOOKUP(AO$2,Valores!$H$2:$P$154,8,0)</f>
        <v>134970.924527853</v>
      </c>
      <c r="AP51" s="27" t="n">
        <f aca="false">SUMIF($C$2:$F$2,EOMONTH(AP$2,-1)+1,$C51:$F51)*VLOOKUP(AP$2,Valores!$H$2:$P$154,8,0)</f>
        <v>80982.5547167115</v>
      </c>
      <c r="AQ51" s="27" t="n">
        <f aca="false">SUMIF($C$2:$F$2,EOMONTH(AQ$2,-1)+1,$C51:$F51)*VLOOKUP(AQ$2,Valores!$H$2:$P$154,8,0)</f>
        <v>28922.3409702541</v>
      </c>
      <c r="AR51" s="27" t="n">
        <f aca="false">SUMIF($C$2:$F$2,EOMONTH(AR$2,-1)+1,$C51:$F51)*VLOOKUP(AR$2,Valores!$H$2:$P$154,8,0)</f>
        <v>28922.3409702541</v>
      </c>
      <c r="AS51" s="27" t="n">
        <f aca="false">SUMIF($C$2:$F$2,EOMONTH(AS$2,-1)+1,$C51:$F51)*VLOOKUP(AS$2,Valores!$H$2:$P$154,8,0)</f>
        <v>28922.3409702541</v>
      </c>
      <c r="AT51" s="27" t="n">
        <f aca="false">SUMIF($C$2:$F$2,EOMONTH(AT$2,-1)+1,$C51:$F51)*VLOOKUP(AT$2,Valores!$H$2:$P$154,8,0)</f>
        <v>28922.3409702541</v>
      </c>
      <c r="AU51" s="27" t="n">
        <f aca="false">SUMIF($C$2:$F$2,EOMONTH(AU$2,-1)+1,$C51:$F51)*VLOOKUP(AU$2,Valores!$H$2:$P$154,8,0)</f>
        <v>57844.6819405082</v>
      </c>
      <c r="AV51" s="27" t="n">
        <f aca="false">SUMIF($C$2:$F$2,EOMONTH(AV$2,-1)+1,$C51:$F51)*VLOOKUP(AV$2,Valores!$H$2:$P$154,8,0)</f>
        <v>72305.8524256353</v>
      </c>
      <c r="AW51" s="27" t="n">
        <f aca="false">SUMIF($C$2:$F$2,EOMONTH(AW$2,-1)+1,$C51:$F51)*VLOOKUP(AW$2,Valores!$H$2:$P$154,8,0)</f>
        <v>43383.5114553812</v>
      </c>
      <c r="AX51" s="27" t="n">
        <f aca="false">SUMIF($C$2:$F$2,EOMONTH(AX$2,-1)+1,$C51:$F51)*VLOOKUP(AX$2,Valores!$H$2:$P$154,8,0)</f>
        <v>28922.3409702541</v>
      </c>
      <c r="AY51" s="27" t="n">
        <f aca="false">SUMIF($C$2:$F$2,EOMONTH(AY$2,-1)+1,$C51:$F51)*VLOOKUP(AY$2,Valores!$H$2:$P$154,8,0)</f>
        <v>37599.0432613303</v>
      </c>
      <c r="AZ51" s="27" t="n">
        <f aca="false">SUMIF($C$2:$F$2,EOMONTH(AZ$2,-1)+1,$C51:$F51)*VLOOKUP(AZ$2,Valores!$H$2:$P$154,8,0)</f>
        <v>37599.0432613303</v>
      </c>
      <c r="BA51" s="27" t="n">
        <f aca="false">SUMIF($C$2:$F$2,EOMONTH(BA$2,-1)+1,$C51:$F51)*VLOOKUP(BA$2,Valores!$H$2:$P$154,8,0)</f>
        <v>37599.0432613303</v>
      </c>
      <c r="BB51" s="27" t="n">
        <f aca="false">SUMIF($C$2:$F$2,EOMONTH(BB$2,-1)+1,$C51:$F51)*VLOOKUP(BB$2,Valores!$H$2:$P$154,8,0)</f>
        <v>66521.3842315845</v>
      </c>
      <c r="BC51" s="27" t="n">
        <f aca="false">SUMIF($C$2:$F$2,EOMONTH(BC$2,-1)+1,$C51:$F51)*VLOOKUP(BC$2,Valores!$H$2:$P$154,8,0)</f>
        <v>80982.5547167115</v>
      </c>
      <c r="BD51" s="27" t="n">
        <f aca="false">SUMIF($C$2:$F$2,EOMONTH(BD$2,-1)+1,$C51:$F51)*VLOOKUP(BD$2,Valores!$H$2:$P$154,8,0)</f>
        <v>43383.5114553812</v>
      </c>
      <c r="BE51" s="27" t="n">
        <f aca="false">SUMIF($C$2:$F$2,EOMONTH(BE$2,-1)+1,$C51:$F51)*VLOOKUP(BE$2,Valores!$H$2:$P$154,8,0)</f>
        <v>38563.1212936722</v>
      </c>
      <c r="BF51" s="27" t="n">
        <f aca="false">SUMIF($C$2:$F$2,EOMONTH(BF$2,-1)+1,$C51:$F51)*VLOOKUP(BF$2,Valores!$H$2:$P$154,8,0)</f>
        <v>38563.1212936722</v>
      </c>
      <c r="BG51" s="27" t="n">
        <f aca="false">SUMIF($C$2:$F$2,EOMONTH(BG$2,-1)+1,$C51:$F51)*VLOOKUP(BG$2,Valores!$H$2:$P$154,8,0)</f>
        <v>38563.1212936722</v>
      </c>
      <c r="BH51" s="27" t="n">
        <f aca="false">SUMIF($C$2:$F$2,EOMONTH(BH$2,-1)+1,$C51:$F51)*VLOOKUP(BH$2,Valores!$H$2:$P$154,8,0)</f>
        <v>38563.1212936722</v>
      </c>
      <c r="BI51" s="27" t="n">
        <f aca="false">SUMIF($C$2:$F$2,EOMONTH(BI$2,-1)+1,$C51:$F51)*VLOOKUP(BI$2,Valores!$H$2:$P$154,8,0)</f>
        <v>77126.2425873443</v>
      </c>
      <c r="BJ51" s="27" t="n">
        <f aca="false">SUMIF($C$2:$F$2,EOMONTH(BJ$2,-1)+1,$C51:$F51)*VLOOKUP(BJ$2,Valores!$H$2:$P$154,8,0)</f>
        <v>96407.8032341804</v>
      </c>
      <c r="BK51" s="27" t="n">
        <f aca="false">SUMIF($C$2:$F$2,EOMONTH(BK$2,-1)+1,$C51:$F51)*VLOOKUP(BK$2,Valores!$H$2:$P$154,8,0)</f>
        <v>46275.7455524066</v>
      </c>
      <c r="BL51" s="27" t="n">
        <f aca="false">SUMIF($C$2:$F$2,EOMONTH(BL$2,-1)+1,$C51:$F51)*VLOOKUP(BL$2,Valores!$H$2:$P$154,8,0)</f>
        <v>33935.5467384315</v>
      </c>
      <c r="BM51" s="27" t="n">
        <f aca="false">SUMIF($C$2:$F$2,EOMONTH(BM$2,-1)+1,$C51:$F51)*VLOOKUP(BM$2,Valores!$H$2:$P$154,8,0)</f>
        <v>33935.5467384315</v>
      </c>
      <c r="BN51" s="27" t="n">
        <f aca="false">SUMIF($C$2:$F$2,EOMONTH(BN$2,-1)+1,$C51:$F51)*VLOOKUP(BN$2,Valores!$H$2:$P$154,8,0)</f>
        <v>33935.5467384315</v>
      </c>
      <c r="BO51" s="27" t="n">
        <f aca="false">SUMIF($C$2:$F$2,EOMONTH(BO$2,-1)+1,$C51:$F51)*VLOOKUP(BO$2,Valores!$H$2:$P$154,8,0)</f>
        <v>35632.3240753531</v>
      </c>
      <c r="BP51" s="27" t="n">
        <f aca="false">SUMIF($C$2:$F$2,EOMONTH(BP$2,-1)+1,$C51:$F51)*VLOOKUP(BP$2,Valores!$H$2:$P$154,8,0)</f>
        <v>89670.4051862433</v>
      </c>
      <c r="BQ51" s="27" t="n">
        <f aca="false">SUMIF($C$2:$F$2,EOMONTH(BQ$2,-1)+1,$C51:$F51)*VLOOKUP(BQ$2,Valores!$H$2:$P$154,8,0)</f>
        <v>112088.006482804</v>
      </c>
      <c r="BR51" s="27" t="n">
        <f aca="false">SUMIF($C$2:$F$2,EOMONTH(BR$2,-1)+1,$C51:$F51)*VLOOKUP(BR$2,Valores!$H$2:$P$154,8,0)</f>
        <v>53802.2431117459</v>
      </c>
      <c r="BS51" s="27" t="n">
        <f aca="false">SUMIF($C$2:$F$2,EOMONTH(BS$2,-1)+1,$C51:$F51)*VLOOKUP(BS$2,Valores!$H$2:$P$154,8,0)</f>
        <v>24018.8585320294</v>
      </c>
      <c r="BT51" s="27" t="n">
        <f aca="false">SUMIF($C$2:$F$2,EOMONTH(BT$2,-1)+1,$C51:$F51)*VLOOKUP(BT$2,Valores!$H$2:$P$154,8,0)</f>
        <v>24018.8585320294</v>
      </c>
      <c r="BU51" s="27" t="n">
        <f aca="false">SUMIF($C$2:$F$2,EOMONTH(BU$2,-1)+1,$C51:$F51)*VLOOKUP(BU$2,Valores!$H$2:$P$154,8,0)</f>
        <v>24018.8585320294</v>
      </c>
      <c r="BV51" s="27" t="n">
        <f aca="false">SUMIF($C$2:$F$2,EOMONTH(BV$2,-1)+1,$C51:$F51)*VLOOKUP(BV$2,Valores!$H$2:$P$154,8,0)</f>
        <v>24018.8585320294</v>
      </c>
      <c r="BW51" s="27" t="n">
        <f aca="false">SUMIF($C$2:$F$2,EOMONTH(BW$2,-1)+1,$C51:$F51)*VLOOKUP(BW$2,Valores!$H$2:$P$154,8,0)</f>
        <v>48037.7170640589</v>
      </c>
      <c r="BX51" s="27" t="n">
        <f aca="false">SUMIF($C$2:$F$2,EOMONTH(BX$2,-1)+1,$C51:$F51)*VLOOKUP(BX$2,Valores!$H$2:$P$154,8,0)</f>
        <v>60047.1463300736</v>
      </c>
      <c r="BY51" s="27" t="n">
        <f aca="false">SUMIF($C$2:$F$2,EOMONTH(BY$2,-1)+1,$C51:$F51)*VLOOKUP(BY$2,Valores!$H$2:$P$154,8,0)</f>
        <v>36028.2877980441</v>
      </c>
      <c r="BZ51" s="27" t="n">
        <f aca="false">SUMIF($C$2:$F$2,EOMONTH(BZ$2,-1)+1,$C51:$F51)*VLOOKUP(BZ$2,Valores!$H$2:$P$154,8,0)</f>
        <v>24018.8585320294</v>
      </c>
      <c r="CA51" s="27" t="n">
        <f aca="false">SUMIF($C$2:$F$2,EOMONTH(CA$2,-1)+1,$C51:$F51)*VLOOKUP(CA$2,Valores!$H$2:$P$154,8,0)</f>
        <v>24018.8585320294</v>
      </c>
      <c r="CB51" s="27" t="n">
        <f aca="false">SUMIF($C$2:$F$2,EOMONTH(CB$2,-1)+1,$C51:$F51)*VLOOKUP(CB$2,Valores!$H$2:$P$154,8,0)</f>
        <v>24018.8585320294</v>
      </c>
      <c r="CC51" s="27" t="n">
        <f aca="false">SUMIF($C$2:$F$2,EOMONTH(CC$2,-1)+1,$C51:$F51)*VLOOKUP(CC$2,Valores!$H$2:$P$154,8,0)</f>
        <v>24018.8585320294</v>
      </c>
      <c r="CD51" s="27" t="n">
        <f aca="false">SUMIF($C$2:$F$2,EOMONTH(CD$2,-1)+1,$C51:$F51)*VLOOKUP(CD$2,Valores!$H$2:$P$154,8,0)</f>
        <v>72056.5755960883</v>
      </c>
      <c r="CE51" s="27" t="n">
        <f aca="false">SUMIF($C$2:$F$2,EOMONTH(CE$2,-1)+1,$C51:$F51)*VLOOKUP(CE$2,Valores!$H$2:$P$154,8,0)</f>
        <v>96075.4341281178</v>
      </c>
      <c r="CF51" s="27" t="n">
        <f aca="false">SUMIF($C$2:$F$2,EOMONTH(CF$2,-1)+1,$C51:$F51)*VLOOKUP(CF$2,Valores!$H$2:$P$154,8,0)</f>
        <v>60047.1463300736</v>
      </c>
      <c r="CG51" s="27" t="n">
        <f aca="false">SUMIF($C$2:$F$2,EOMONTH(CG$2,-1)+1,$C51:$F51)*VLOOKUP(CG$2,Valores!$H$2:$P$154,8,0)</f>
        <v>32025.1447093726</v>
      </c>
      <c r="CH51" s="27" t="n">
        <f aca="false">SUMIF($C$2:$F$2,EOMONTH(CH$2,-1)+1,$C51:$F51)*VLOOKUP(CH$2,Valores!$H$2:$P$154,8,0)</f>
        <v>32025.1447093726</v>
      </c>
      <c r="CI51" s="27" t="n">
        <f aca="false">SUMIF($C$2:$F$2,EOMONTH(CI$2,-1)+1,$C51:$F51)*VLOOKUP(CI$2,Valores!$H$2:$P$154,8,0)</f>
        <v>32025.1447093726</v>
      </c>
      <c r="CJ51" s="27" t="n">
        <f aca="false">SUMIF($C$2:$F$2,EOMONTH(CJ$2,-1)+1,$C51:$F51)*VLOOKUP(CJ$2,Valores!$H$2:$P$154,8,0)</f>
        <v>32025.1447093726</v>
      </c>
      <c r="CK51" s="27" t="n">
        <f aca="false">SUMIF($C$2:$F$2,EOMONTH(CK$2,-1)+1,$C51:$F51)*VLOOKUP(CK$2,Valores!$H$2:$P$154,8,0)</f>
        <v>64050.2894187452</v>
      </c>
      <c r="CL51" s="27" t="n">
        <f aca="false">SUMIF($C$2:$F$2,EOMONTH(CL$2,-1)+1,$C51:$F51)*VLOOKUP(CL$2,Valores!$H$2:$P$154,8,0)</f>
        <v>80062.8617734314</v>
      </c>
      <c r="CM51" s="27" t="n">
        <f aca="false">SUMIF($C$2:$F$2,EOMONTH(CM$2,-1)+1,$C51:$F51)*VLOOKUP(CM$2,Valores!$H$2:$P$154,8,0)</f>
        <v>48037.7170640589</v>
      </c>
      <c r="CN51" s="27" t="n">
        <f aca="false">SUMIF($C$2:$F$2,EOMONTH(CN$2,-1)+1,$C51:$F51)*VLOOKUP(CN$2,Valores!$H$2:$P$154,8,0)</f>
        <v>35227.6591803098</v>
      </c>
      <c r="CO51" s="27" t="n">
        <f aca="false">SUMIF($C$2:$F$2,EOMONTH(CO$2,-1)+1,$C51:$F51)*VLOOKUP(CO$2,Valores!$H$2:$P$154,8,0)</f>
        <v>35227.6591803098</v>
      </c>
      <c r="CP51" s="27" t="n">
        <f aca="false">SUMIF($C$2:$F$2,EOMONTH(CP$2,-1)+1,$C51:$F51)*VLOOKUP(CP$2,Valores!$H$2:$P$154,8,0)</f>
        <v>35227.6591803098</v>
      </c>
      <c r="CQ51" s="27" t="n">
        <f aca="false">SUMIF($C$2:$F$2,EOMONTH(CQ$2,-1)+1,$C51:$F51)*VLOOKUP(CQ$2,Valores!$H$2:$P$154,8,0)</f>
        <v>35227.6591803098</v>
      </c>
      <c r="CR51" s="27" t="n">
        <f aca="false">SUMIF($C$2:$F$2,EOMONTH(CR$2,-1)+1,$C51:$F51)*VLOOKUP(CR$2,Valores!$H$2:$P$154,8,0)</f>
        <v>70455.3183606197</v>
      </c>
      <c r="CS51" s="27" t="n">
        <f aca="false">SUMIF($C$2:$F$2,EOMONTH(CS$2,-1)+1,$C51:$F51)*VLOOKUP(CS$2,Valores!$H$2:$P$154,8,0)</f>
        <v>105682.97754093</v>
      </c>
      <c r="CT51" s="27" t="e">
        <f aca="false">SUMIF($C$2:$F$2,EOMONTH(CT$2,-1)+1,$C51:$F51)*VLOOKUP(CT$2,Valores!$H$2:$P$154,8,0)</f>
        <v>#VALUE!</v>
      </c>
      <c r="CU51" s="27" t="e">
        <f aca="false">SUMIF($C$2:$F$2,EOMONTH(CU$2,-1)+1,$C51:$F51)*VLOOKUP(CU$2,Valores!$H$2:$P$154,8,0)</f>
        <v>#VALUE!</v>
      </c>
      <c r="CV51" s="27" t="e">
        <f aca="false">SUMIF($C$2:$F$2,EOMONTH(CV$2,-1)+1,$C51:$F51)*VLOOKUP(CV$2,Valores!$H$2:$P$154,8,0)</f>
        <v>#VALUE!</v>
      </c>
      <c r="CW51" s="27" t="e">
        <f aca="false">SUMIF($C$2:$F$2,EOMONTH(CW$2,-1)+1,$C51:$F51)*VLOOKUP(CW$2,Valores!$H$2:$P$154,8,0)</f>
        <v>#VALUE!</v>
      </c>
      <c r="CX51" s="27" t="e">
        <f aca="false">SUMIF($C$2:$F$2,EOMONTH(CX$2,-1)+1,$C51:$F51)*VLOOKUP(CX$2,Valores!$H$2:$P$154,8,0)</f>
        <v>#VALUE!</v>
      </c>
      <c r="CY51" s="27" t="e">
        <f aca="false">SUMIF($C$2:$F$2,EOMONTH(CY$2,-1)+1,$C51:$F51)*VLOOKUP(CY$2,Valores!$H$2:$P$154,8,0)</f>
        <v>#VALUE!</v>
      </c>
      <c r="CZ51" s="27" t="e">
        <f aca="false">SUMIF($C$2:$F$2,EOMONTH(CZ$2,-1)+1,$C51:$F51)*VLOOKUP(CZ$2,Valores!$H$2:$P$154,8,0)</f>
        <v>#VALUE!</v>
      </c>
      <c r="DA51" s="27" t="e">
        <f aca="false">SUMIF($C$2:$F$2,EOMONTH(DA$2,-1)+1,$C51:$F51)*VLOOKUP(DA$2,Valores!$H$2:$P$154,8,0)</f>
        <v>#VALUE!</v>
      </c>
      <c r="DB51" s="27" t="e">
        <f aca="false">SUMIF($C$2:$F$2,EOMONTH(DB$2,-1)+1,$C51:$F51)*VLOOKUP(DB$2,Valores!$H$2:$P$154,8,0)</f>
        <v>#VALUE!</v>
      </c>
      <c r="DC51" s="27" t="e">
        <f aca="false">SUMIF($C$2:$F$2,EOMONTH(DC$2,-1)+1,$C51:$F51)*VLOOKUP(DC$2,Valores!$H$2:$P$154,8,0)</f>
        <v>#VALUE!</v>
      </c>
      <c r="DD51" s="27" t="e">
        <f aca="false">SUMIF($C$2:$F$2,EOMONTH(DD$2,-1)+1,$C51:$F51)*VLOOKUP(DD$2,Valores!$H$2:$P$154,8,0)</f>
        <v>#VALUE!</v>
      </c>
      <c r="DE51" s="27" t="e">
        <f aca="false">SUMIF($C$2:$F$2,EOMONTH(DE$2,-1)+1,$C51:$F51)*VLOOKUP(DE$2,Valores!$H$2:$P$154,8,0)</f>
        <v>#VALUE!</v>
      </c>
      <c r="DF51" s="27" t="e">
        <f aca="false">SUMIF($C$2:$F$2,EOMONTH(DF$2,-1)+1,$C51:$F51)*VLOOKUP(DF$2,Valores!$H$2:$P$154,8,0)</f>
        <v>#VALUE!</v>
      </c>
      <c r="DG51" s="27" t="e">
        <f aca="false">SUMIF($C$2:$F$2,EOMONTH(DG$2,-1)+1,$C51:$F51)*VLOOKUP(DG$2,Valores!$H$2:$P$154,8,0)</f>
        <v>#VALUE!</v>
      </c>
      <c r="DH51" s="27" t="e">
        <f aca="false">SUMIF($C$2:$F$2,EOMONTH(DH$2,-1)+1,$C51:$F51)*VLOOKUP(DH$2,Valores!$H$2:$P$154,8,0)</f>
        <v>#VALUE!</v>
      </c>
      <c r="DI51" s="27" t="e">
        <f aca="false">SUMIF($C$2:$F$2,EOMONTH(DI$2,-1)+1,$C51:$F51)*VLOOKUP(DI$2,Valores!$H$2:$P$154,8,0)</f>
        <v>#VALUE!</v>
      </c>
      <c r="DJ51" s="27" t="e">
        <f aca="false">SUMIF($C$2:$F$2,EOMONTH(DJ$2,-1)+1,$C51:$F51)*VLOOKUP(DJ$2,Valores!$H$2:$P$154,8,0)</f>
        <v>#VALUE!</v>
      </c>
      <c r="DK51" s="27" t="e">
        <f aca="false">SUMIF($C$2:$F$2,EOMONTH(DK$2,-1)+1,$C51:$F51)*VLOOKUP(DK$2,Valores!$H$2:$P$154,8,0)</f>
        <v>#VALUE!</v>
      </c>
      <c r="DL51" s="27" t="e">
        <f aca="false">SUMIF($C$2:$F$2,EOMONTH(DL$2,-1)+1,$C51:$F51)*VLOOKUP(DL$2,Valores!$H$2:$P$154,8,0)</f>
        <v>#VALUE!</v>
      </c>
      <c r="DM51" s="27" t="e">
        <f aca="false">SUMIF($C$2:$F$2,EOMONTH(DM$2,-1)+1,$C51:$F51)*VLOOKUP(DM$2,Valores!$H$2:$P$154,8,0)</f>
        <v>#VALUE!</v>
      </c>
      <c r="DN51" s="27" t="e">
        <f aca="false">SUMIF($C$2:$F$2,EOMONTH(DN$2,-1)+1,$C51:$F51)*VLOOKUP(DN$2,Valores!$H$2:$P$154,8,0)</f>
        <v>#VALUE!</v>
      </c>
      <c r="DO51" s="27" t="e">
        <f aca="false">SUMIF($C$2:$F$2,EOMONTH(DO$2,-1)+1,$C51:$F51)*VLOOKUP(DO$2,Valores!$H$2:$P$154,8,0)</f>
        <v>#VALUE!</v>
      </c>
      <c r="DP51" s="27" t="e">
        <f aca="false">SUMIF($C$2:$F$2,EOMONTH(DP$2,-1)+1,$C51:$F51)*VLOOKUP(DP$2,Valores!$H$2:$P$154,8,0)</f>
        <v>#VALUE!</v>
      </c>
      <c r="DQ51" s="27" t="e">
        <f aca="false">SUMIF($C$2:$F$2,EOMONTH(DQ$2,-1)+1,$C51:$F51)*VLOOKUP(DQ$2,Valores!$H$2:$P$154,8,0)</f>
        <v>#VALUE!</v>
      </c>
      <c r="DR51" s="27" t="e">
        <f aca="false">SUMIF($C$2:$F$2,EOMONTH(DR$2,-1)+1,$C51:$F51)*VLOOKUP(DR$2,Valores!$H$2:$P$154,8,0)</f>
        <v>#VALUE!</v>
      </c>
      <c r="DS51" s="27" t="e">
        <f aca="false">SUMIF($C$2:$F$2,EOMONTH(DS$2,-1)+1,$C51:$F51)*VLOOKUP(DS$2,Valores!$H$2:$P$154,8,0)</f>
        <v>#VALUE!</v>
      </c>
      <c r="DT51" s="27" t="e">
        <f aca="false">SUMIF($C$2:$F$2,EOMONTH(DT$2,-1)+1,$C51:$F51)*VLOOKUP(DT$2,Valores!$H$2:$P$154,8,0)</f>
        <v>#VALUE!</v>
      </c>
      <c r="DU51" s="27" t="e">
        <f aca="false">SUMIF($C$2:$F$2,EOMONTH(DU$2,-1)+1,$C51:$F51)*VLOOKUP(DU$2,Valores!$H$2:$P$154,8,0)</f>
        <v>#VALUE!</v>
      </c>
      <c r="DV51" s="27" t="e">
        <f aca="false">SUMIF($C$2:$F$2,EOMONTH(DV$2,-1)+1,$C51:$F51)*VLOOKUP(DV$2,Valores!$H$2:$P$154,8,0)</f>
        <v>#VALUE!</v>
      </c>
      <c r="DW51" s="27" t="e">
        <f aca="false">SUMIF($C$2:$F$2,EOMONTH(DW$2,-1)+1,$C51:$F51)*VLOOKUP(DW$2,Valores!$H$2:$P$154,8,0)</f>
        <v>#VALUE!</v>
      </c>
      <c r="DX51" s="27" t="e">
        <f aca="false">SUMIF($C$2:$F$2,EOMONTH(DX$2,-1)+1,$C51:$F51)*VLOOKUP(DX$2,Valores!$H$2:$P$154,8,0)</f>
        <v>#VALUE!</v>
      </c>
    </row>
    <row r="52" customFormat="false" ht="13.8" hidden="false" customHeight="false" outlineLevel="0" collapsed="false">
      <c r="A52" s="29" t="s">
        <v>54</v>
      </c>
      <c r="B52" s="29" t="s">
        <v>74</v>
      </c>
      <c r="C52" s="29" t="n">
        <v>2210410</v>
      </c>
      <c r="D52" s="29" t="n">
        <v>1989369</v>
      </c>
      <c r="E52" s="29" t="n">
        <v>1790432.1</v>
      </c>
      <c r="F52" s="29" t="n">
        <v>1611388.89</v>
      </c>
      <c r="G52" s="30" t="n">
        <f aca="false">SUMIF($C$2:$F$2,EOMONTH(G$2,-1)+1,$C52:$F52)*VLOOKUP(G$2,Valores!$H$2:$P$154,8,0)</f>
        <v>63653.4062859964</v>
      </c>
      <c r="H52" s="30" t="n">
        <f aca="false">SUMIF($C$2:$F$2,EOMONTH(H$2,-1)+1,$C52:$F52)*VLOOKUP(H$2,Valores!$H$2:$P$154,8,0)</f>
        <v>43648.0500246832</v>
      </c>
      <c r="I52" s="30" t="n">
        <f aca="false">SUMIF($C$2:$F$2,EOMONTH(I$2,-1)+1,$C52:$F52)*VLOOKUP(I$2,Valores!$H$2:$P$154,8,0)</f>
        <v>43648.0500246832</v>
      </c>
      <c r="J52" s="30" t="n">
        <f aca="false">SUMIF($C$2:$F$2,EOMONTH(J$2,-1)+1,$C52:$F52)*VLOOKUP(J$2,Valores!$H$2:$P$154,8,0)</f>
        <v>43648.0500246832</v>
      </c>
      <c r="K52" s="30" t="n">
        <f aca="false">SUMIF($C$2:$F$2,EOMONTH(K$2,-1)+1,$C52:$F52)*VLOOKUP(K$2,Valores!$H$2:$P$154,8,0)</f>
        <v>43648.0500246832</v>
      </c>
      <c r="L52" s="30" t="n">
        <f aca="false">SUMIF($C$2:$F$2,EOMONTH(L$2,-1)+1,$C52:$F52)*VLOOKUP(L$2,Valores!$H$2:$P$154,8,0)</f>
        <v>87296.1000493664</v>
      </c>
      <c r="M52" s="30" t="n">
        <f aca="false">SUMIF($C$2:$F$2,EOMONTH(M$2,-1)+1,$C52:$F52)*VLOOKUP(M$2,Valores!$H$2:$P$154,8,0)</f>
        <v>109120.125061708</v>
      </c>
      <c r="N52" s="30" t="n">
        <f aca="false">SUMIF($C$2:$F$2,EOMONTH(N$2,-1)+1,$C52:$F52)*VLOOKUP(N$2,Valores!$H$2:$P$154,8,0)</f>
        <v>65472.0750370248</v>
      </c>
      <c r="O52" s="30" t="n">
        <f aca="false">SUMIF($C$2:$F$2,EOMONTH(O$2,-1)+1,$C52:$F52)*VLOOKUP(O$2,Valores!$H$2:$P$154,8,0)</f>
        <v>58197.400032911</v>
      </c>
      <c r="P52" s="30" t="n">
        <f aca="false">SUMIF($C$2:$F$2,EOMONTH(P$2,-1)+1,$C52:$F52)*VLOOKUP(P$2,Valores!$H$2:$P$154,8,0)</f>
        <v>58197.400032911</v>
      </c>
      <c r="Q52" s="30" t="n">
        <f aca="false">SUMIF($C$2:$F$2,EOMONTH(Q$2,-1)+1,$C52:$F52)*VLOOKUP(Q$2,Valores!$H$2:$P$154,8,0)</f>
        <v>34918.4400197466</v>
      </c>
      <c r="R52" s="30" t="n">
        <f aca="false">SUMIF($C$2:$F$2,EOMONTH(R$2,-1)+1,$C52:$F52)*VLOOKUP(R$2,Valores!$H$2:$P$154,8,0)</f>
        <v>58197.400032911</v>
      </c>
      <c r="S52" s="30" t="n">
        <f aca="false">SUMIF($C$2:$F$2,EOMONTH(S$2,-1)+1,$C52:$F52)*VLOOKUP(S$2,Valores!$H$2:$P$154,8,0)</f>
        <v>116394.800065822</v>
      </c>
      <c r="T52" s="30" t="n">
        <f aca="false">SUMIF($C$2:$F$2,EOMONTH(T$2,-1)+1,$C52:$F52)*VLOOKUP(T$2,Valores!$H$2:$P$154,8,0)</f>
        <v>145493.500082277</v>
      </c>
      <c r="U52" s="30" t="n">
        <f aca="false">SUMIF($C$2:$F$2,EOMONTH(U$2,-1)+1,$C52:$F52)*VLOOKUP(U$2,Valores!$H$2:$P$154,8,0)</f>
        <v>87296.1000493664</v>
      </c>
      <c r="V52" s="30" t="n">
        <f aca="false">SUMIF($C$2:$F$2,EOMONTH(V$2,-1)+1,$C52:$F52)*VLOOKUP(V$2,Valores!$H$2:$P$154,8,0)</f>
        <v>72746.7500411387</v>
      </c>
      <c r="W52" s="30" t="n">
        <f aca="false">SUMIF($C$2:$F$2,EOMONTH(W$2,-1)+1,$C52:$F52)*VLOOKUP(W$2,Valores!$H$2:$P$154,8,0)</f>
        <v>72746.7500411387</v>
      </c>
      <c r="X52" s="30" t="n">
        <f aca="false">SUMIF($C$2:$F$2,EOMONTH(X$2,-1)+1,$C52:$F52)*VLOOKUP(X$2,Valores!$H$2:$P$154,8,0)</f>
        <v>0</v>
      </c>
      <c r="Y52" s="30" t="n">
        <f aca="false">SUMIF($C$2:$F$2,EOMONTH(Y$2,-1)+1,$C52:$F52)*VLOOKUP(Y$2,Valores!$H$2:$P$154,8,0)</f>
        <v>0</v>
      </c>
      <c r="Z52" s="30" t="n">
        <f aca="false">SUMIF($C$2:$F$2,EOMONTH(Z$2,-1)+1,$C52:$F52)*VLOOKUP(Z$2,Valores!$H$2:$P$154,8,0)</f>
        <v>109120.125061708</v>
      </c>
      <c r="AA52" s="30" t="n">
        <f aca="false">SUMIF($C$2:$F$2,EOMONTH(AA$2,-1)+1,$C52:$F52)*VLOOKUP(AA$2,Valores!$H$2:$P$154,8,0)</f>
        <v>130944.15007405</v>
      </c>
      <c r="AB52" s="30" t="n">
        <f aca="false">SUMIF($C$2:$F$2,EOMONTH(AB$2,-1)+1,$C52:$F52)*VLOOKUP(AB$2,Valores!$H$2:$P$154,8,0)</f>
        <v>65472.0750370248</v>
      </c>
      <c r="AC52" s="30" t="n">
        <f aca="false">SUMIF($C$2:$F$2,EOMONTH(AC$2,-1)+1,$C52:$F52)*VLOOKUP(AC$2,Valores!$H$2:$P$154,8,0)</f>
        <v>80021.4250452526</v>
      </c>
      <c r="AD52" s="30" t="n">
        <f aca="false">SUMIF($C$2:$F$2,EOMONTH(AD$2,-1)+1,$C52:$F52)*VLOOKUP(AD$2,Valores!$H$2:$P$154,8,0)</f>
        <v>80021.4250452526</v>
      </c>
      <c r="AE52" s="30" t="n">
        <f aca="false">SUMIF($C$2:$F$2,EOMONTH(AE$2,-1)+1,$C52:$F52)*VLOOKUP(AE$2,Valores!$H$2:$P$154,8,0)</f>
        <v>80021.4250452526</v>
      </c>
      <c r="AF52" s="30" t="n">
        <f aca="false">SUMIF($C$2:$F$2,EOMONTH(AF$2,-1)+1,$C52:$F52)*VLOOKUP(AF$2,Valores!$H$2:$P$154,8,0)</f>
        <v>80021.4250452526</v>
      </c>
      <c r="AG52" s="30" t="n">
        <f aca="false">SUMIF($C$2:$F$2,EOMONTH(AG$2,-1)+1,$C52:$F52)*VLOOKUP(AG$2,Valores!$H$2:$P$154,8,0)</f>
        <v>128034.280072404</v>
      </c>
      <c r="AH52" s="30" t="n">
        <f aca="false">SUMIF($C$2:$F$2,EOMONTH(AH$2,-1)+1,$C52:$F52)*VLOOKUP(AH$2,Valores!$H$2:$P$154,8,0)</f>
        <v>160042.850090505</v>
      </c>
      <c r="AI52" s="30" t="n">
        <f aca="false">SUMIF($C$2:$F$2,EOMONTH(AI$2,-1)+1,$C52:$F52)*VLOOKUP(AI$2,Valores!$H$2:$P$154,8,0)</f>
        <v>56014.9975316768</v>
      </c>
      <c r="AJ52" s="30" t="n">
        <f aca="false">SUMIF($C$2:$F$2,EOMONTH(AJ$2,-1)+1,$C52:$F52)*VLOOKUP(AJ$2,Valores!$H$2:$P$154,8,0)</f>
        <v>36373.3750205694</v>
      </c>
      <c r="AK52" s="30" t="n">
        <f aca="false">SUMIF($C$2:$F$2,EOMONTH(AK$2,-1)+1,$C52:$F52)*VLOOKUP(AK$2,Valores!$H$2:$P$154,8,0)</f>
        <v>66329.6720569673</v>
      </c>
      <c r="AL52" s="30" t="n">
        <f aca="false">SUMIF($C$2:$F$2,EOMONTH(AL$2,-1)+1,$C52:$F52)*VLOOKUP(AL$2,Valores!$H$2:$P$154,8,0)</f>
        <v>66329.6720569673</v>
      </c>
      <c r="AM52" s="30" t="n">
        <f aca="false">SUMIF($C$2:$F$2,EOMONTH(AM$2,-1)+1,$C52:$F52)*VLOOKUP(AM$2,Valores!$H$2:$P$154,8,0)</f>
        <v>66329.6720569673</v>
      </c>
      <c r="AN52" s="30" t="n">
        <f aca="false">SUMIF($C$2:$F$2,EOMONTH(AN$2,-1)+1,$C52:$F52)*VLOOKUP(AN$2,Valores!$H$2:$P$154,8,0)</f>
        <v>132659.344113935</v>
      </c>
      <c r="AO52" s="30" t="n">
        <f aca="false">SUMIF($C$2:$F$2,EOMONTH(AO$2,-1)+1,$C52:$F52)*VLOOKUP(AO$2,Valores!$H$2:$P$154,8,0)</f>
        <v>165824.180142418</v>
      </c>
      <c r="AP52" s="30" t="n">
        <f aca="false">SUMIF($C$2:$F$2,EOMONTH(AP$2,-1)+1,$C52:$F52)*VLOOKUP(AP$2,Valores!$H$2:$P$154,8,0)</f>
        <v>99494.5080854509</v>
      </c>
      <c r="AQ52" s="30" t="n">
        <f aca="false">SUMIF($C$2:$F$2,EOMONTH(AQ$2,-1)+1,$C52:$F52)*VLOOKUP(AQ$2,Valores!$H$2:$P$154,8,0)</f>
        <v>35533.752887661</v>
      </c>
      <c r="AR52" s="30" t="n">
        <f aca="false">SUMIF($C$2:$F$2,EOMONTH(AR$2,-1)+1,$C52:$F52)*VLOOKUP(AR$2,Valores!$H$2:$P$154,8,0)</f>
        <v>35533.752887661</v>
      </c>
      <c r="AS52" s="30" t="n">
        <f aca="false">SUMIF($C$2:$F$2,EOMONTH(AS$2,-1)+1,$C52:$F52)*VLOOKUP(AS$2,Valores!$H$2:$P$154,8,0)</f>
        <v>35533.752887661</v>
      </c>
      <c r="AT52" s="30" t="n">
        <f aca="false">SUMIF($C$2:$F$2,EOMONTH(AT$2,-1)+1,$C52:$F52)*VLOOKUP(AT$2,Valores!$H$2:$P$154,8,0)</f>
        <v>35533.752887661</v>
      </c>
      <c r="AU52" s="30" t="n">
        <f aca="false">SUMIF($C$2:$F$2,EOMONTH(AU$2,-1)+1,$C52:$F52)*VLOOKUP(AU$2,Valores!$H$2:$P$154,8,0)</f>
        <v>71067.5057753221</v>
      </c>
      <c r="AV52" s="30" t="n">
        <f aca="false">SUMIF($C$2:$F$2,EOMONTH(AV$2,-1)+1,$C52:$F52)*VLOOKUP(AV$2,Valores!$H$2:$P$154,8,0)</f>
        <v>88834.3822191526</v>
      </c>
      <c r="AW52" s="30" t="n">
        <f aca="false">SUMIF($C$2:$F$2,EOMONTH(AW$2,-1)+1,$C52:$F52)*VLOOKUP(AW$2,Valores!$H$2:$P$154,8,0)</f>
        <v>53300.6293314916</v>
      </c>
      <c r="AX52" s="30" t="n">
        <f aca="false">SUMIF($C$2:$F$2,EOMONTH(AX$2,-1)+1,$C52:$F52)*VLOOKUP(AX$2,Valores!$H$2:$P$154,8,0)</f>
        <v>35533.752887661</v>
      </c>
      <c r="AY52" s="30" t="n">
        <f aca="false">SUMIF($C$2:$F$2,EOMONTH(AY$2,-1)+1,$C52:$F52)*VLOOKUP(AY$2,Valores!$H$2:$P$154,8,0)</f>
        <v>46193.8787539594</v>
      </c>
      <c r="AZ52" s="30" t="n">
        <f aca="false">SUMIF($C$2:$F$2,EOMONTH(AZ$2,-1)+1,$C52:$F52)*VLOOKUP(AZ$2,Valores!$H$2:$P$154,8,0)</f>
        <v>46193.8787539594</v>
      </c>
      <c r="BA52" s="30" t="n">
        <f aca="false">SUMIF($C$2:$F$2,EOMONTH(BA$2,-1)+1,$C52:$F52)*VLOOKUP(BA$2,Valores!$H$2:$P$154,8,0)</f>
        <v>46193.8787539594</v>
      </c>
      <c r="BB52" s="30" t="n">
        <f aca="false">SUMIF($C$2:$F$2,EOMONTH(BB$2,-1)+1,$C52:$F52)*VLOOKUP(BB$2,Valores!$H$2:$P$154,8,0)</f>
        <v>81727.6316416204</v>
      </c>
      <c r="BC52" s="30" t="n">
        <f aca="false">SUMIF($C$2:$F$2,EOMONTH(BC$2,-1)+1,$C52:$F52)*VLOOKUP(BC$2,Valores!$H$2:$P$154,8,0)</f>
        <v>99494.5080854509</v>
      </c>
      <c r="BD52" s="30" t="n">
        <f aca="false">SUMIF($C$2:$F$2,EOMONTH(BD$2,-1)+1,$C52:$F52)*VLOOKUP(BD$2,Valores!$H$2:$P$154,8,0)</f>
        <v>53300.6293314916</v>
      </c>
      <c r="BE52" s="30" t="n">
        <f aca="false">SUMIF($C$2:$F$2,EOMONTH(BE$2,-1)+1,$C52:$F52)*VLOOKUP(BE$2,Valores!$H$2:$P$154,8,0)</f>
        <v>47378.3371835481</v>
      </c>
      <c r="BF52" s="30" t="n">
        <f aca="false">SUMIF($C$2:$F$2,EOMONTH(BF$2,-1)+1,$C52:$F52)*VLOOKUP(BF$2,Valores!$H$2:$P$154,8,0)</f>
        <v>47378.3371835481</v>
      </c>
      <c r="BG52" s="30" t="n">
        <f aca="false">SUMIF($C$2:$F$2,EOMONTH(BG$2,-1)+1,$C52:$F52)*VLOOKUP(BG$2,Valores!$H$2:$P$154,8,0)</f>
        <v>47378.3371835481</v>
      </c>
      <c r="BH52" s="30" t="n">
        <f aca="false">SUMIF($C$2:$F$2,EOMONTH(BH$2,-1)+1,$C52:$F52)*VLOOKUP(BH$2,Valores!$H$2:$P$154,8,0)</f>
        <v>47378.3371835481</v>
      </c>
      <c r="BI52" s="30" t="n">
        <f aca="false">SUMIF($C$2:$F$2,EOMONTH(BI$2,-1)+1,$C52:$F52)*VLOOKUP(BI$2,Valores!$H$2:$P$154,8,0)</f>
        <v>94756.6743670961</v>
      </c>
      <c r="BJ52" s="30" t="n">
        <f aca="false">SUMIF($C$2:$F$2,EOMONTH(BJ$2,-1)+1,$C52:$F52)*VLOOKUP(BJ$2,Valores!$H$2:$P$154,8,0)</f>
        <v>118445.84295887</v>
      </c>
      <c r="BK52" s="30" t="n">
        <f aca="false">SUMIF($C$2:$F$2,EOMONTH(BK$2,-1)+1,$C52:$F52)*VLOOKUP(BK$2,Valores!$H$2:$P$154,8,0)</f>
        <v>56854.0046202577</v>
      </c>
      <c r="BL52" s="30" t="n">
        <f aca="false">SUMIF($C$2:$F$2,EOMONTH(BL$2,-1)+1,$C52:$F52)*VLOOKUP(BL$2,Valores!$H$2:$P$154,8,0)</f>
        <v>41692.9367215223</v>
      </c>
      <c r="BM52" s="30" t="n">
        <f aca="false">SUMIF($C$2:$F$2,EOMONTH(BM$2,-1)+1,$C52:$F52)*VLOOKUP(BM$2,Valores!$H$2:$P$154,8,0)</f>
        <v>41692.9367215223</v>
      </c>
      <c r="BN52" s="30" t="n">
        <f aca="false">SUMIF($C$2:$F$2,EOMONTH(BN$2,-1)+1,$C52:$F52)*VLOOKUP(BN$2,Valores!$H$2:$P$154,8,0)</f>
        <v>41692.9367215223</v>
      </c>
      <c r="BO52" s="30" t="n">
        <f aca="false">SUMIF($C$2:$F$2,EOMONTH(BO$2,-1)+1,$C52:$F52)*VLOOKUP(BO$2,Valores!$H$2:$P$154,8,0)</f>
        <v>43777.5835575984</v>
      </c>
      <c r="BP52" s="30" t="n">
        <f aca="false">SUMIF($C$2:$F$2,EOMONTH(BP$2,-1)+1,$C52:$F52)*VLOOKUP(BP$2,Valores!$H$2:$P$154,8,0)</f>
        <v>110168.33051313</v>
      </c>
      <c r="BQ52" s="30" t="n">
        <f aca="false">SUMIF($C$2:$F$2,EOMONTH(BQ$2,-1)+1,$C52:$F52)*VLOOKUP(BQ$2,Valores!$H$2:$P$154,8,0)</f>
        <v>137710.413141413</v>
      </c>
      <c r="BR52" s="30" t="n">
        <f aca="false">SUMIF($C$2:$F$2,EOMONTH(BR$2,-1)+1,$C52:$F52)*VLOOKUP(BR$2,Valores!$H$2:$P$154,8,0)</f>
        <v>66100.9983078782</v>
      </c>
      <c r="BS52" s="30" t="n">
        <f aca="false">SUMIF($C$2:$F$2,EOMONTH(BS$2,-1)+1,$C52:$F52)*VLOOKUP(BS$2,Valores!$H$2:$P$154,8,0)</f>
        <v>29509.3742445885</v>
      </c>
      <c r="BT52" s="30" t="n">
        <f aca="false">SUMIF($C$2:$F$2,EOMONTH(BT$2,-1)+1,$C52:$F52)*VLOOKUP(BT$2,Valores!$H$2:$P$154,8,0)</f>
        <v>29509.3742445885</v>
      </c>
      <c r="BU52" s="30" t="n">
        <f aca="false">SUMIF($C$2:$F$2,EOMONTH(BU$2,-1)+1,$C52:$F52)*VLOOKUP(BU$2,Valores!$H$2:$P$154,8,0)</f>
        <v>29509.3742445885</v>
      </c>
      <c r="BV52" s="30" t="n">
        <f aca="false">SUMIF($C$2:$F$2,EOMONTH(BV$2,-1)+1,$C52:$F52)*VLOOKUP(BV$2,Valores!$H$2:$P$154,8,0)</f>
        <v>29509.3742445885</v>
      </c>
      <c r="BW52" s="30" t="n">
        <f aca="false">SUMIF($C$2:$F$2,EOMONTH(BW$2,-1)+1,$C52:$F52)*VLOOKUP(BW$2,Valores!$H$2:$P$154,8,0)</f>
        <v>59018.748489177</v>
      </c>
      <c r="BX52" s="30" t="n">
        <f aca="false">SUMIF($C$2:$F$2,EOMONTH(BX$2,-1)+1,$C52:$F52)*VLOOKUP(BX$2,Valores!$H$2:$P$154,8,0)</f>
        <v>73773.4356114712</v>
      </c>
      <c r="BY52" s="30" t="n">
        <f aca="false">SUMIF($C$2:$F$2,EOMONTH(BY$2,-1)+1,$C52:$F52)*VLOOKUP(BY$2,Valores!$H$2:$P$154,8,0)</f>
        <v>44264.0613668827</v>
      </c>
      <c r="BZ52" s="30" t="n">
        <f aca="false">SUMIF($C$2:$F$2,EOMONTH(BZ$2,-1)+1,$C52:$F52)*VLOOKUP(BZ$2,Valores!$H$2:$P$154,8,0)</f>
        <v>29509.3742445885</v>
      </c>
      <c r="CA52" s="30" t="n">
        <f aca="false">SUMIF($C$2:$F$2,EOMONTH(CA$2,-1)+1,$C52:$F52)*VLOOKUP(CA$2,Valores!$H$2:$P$154,8,0)</f>
        <v>29509.3742445885</v>
      </c>
      <c r="CB52" s="30" t="n">
        <f aca="false">SUMIF($C$2:$F$2,EOMONTH(CB$2,-1)+1,$C52:$F52)*VLOOKUP(CB$2,Valores!$H$2:$P$154,8,0)</f>
        <v>29509.3742445885</v>
      </c>
      <c r="CC52" s="30" t="n">
        <f aca="false">SUMIF($C$2:$F$2,EOMONTH(CC$2,-1)+1,$C52:$F52)*VLOOKUP(CC$2,Valores!$H$2:$P$154,8,0)</f>
        <v>29509.3742445885</v>
      </c>
      <c r="CD52" s="30" t="n">
        <f aca="false">SUMIF($C$2:$F$2,EOMONTH(CD$2,-1)+1,$C52:$F52)*VLOOKUP(CD$2,Valores!$H$2:$P$154,8,0)</f>
        <v>88528.1227337655</v>
      </c>
      <c r="CE52" s="30" t="n">
        <f aca="false">SUMIF($C$2:$F$2,EOMONTH(CE$2,-1)+1,$C52:$F52)*VLOOKUP(CE$2,Valores!$H$2:$P$154,8,0)</f>
        <v>118037.496978354</v>
      </c>
      <c r="CF52" s="30" t="n">
        <f aca="false">SUMIF($C$2:$F$2,EOMONTH(CF$2,-1)+1,$C52:$F52)*VLOOKUP(CF$2,Valores!$H$2:$P$154,8,0)</f>
        <v>73773.4356114712</v>
      </c>
      <c r="CG52" s="30" t="n">
        <f aca="false">SUMIF($C$2:$F$2,EOMONTH(CG$2,-1)+1,$C52:$F52)*VLOOKUP(CG$2,Valores!$H$2:$P$154,8,0)</f>
        <v>39345.832326118</v>
      </c>
      <c r="CH52" s="30" t="n">
        <f aca="false">SUMIF($C$2:$F$2,EOMONTH(CH$2,-1)+1,$C52:$F52)*VLOOKUP(CH$2,Valores!$H$2:$P$154,8,0)</f>
        <v>39345.832326118</v>
      </c>
      <c r="CI52" s="30" t="n">
        <f aca="false">SUMIF($C$2:$F$2,EOMONTH(CI$2,-1)+1,$C52:$F52)*VLOOKUP(CI$2,Valores!$H$2:$P$154,8,0)</f>
        <v>39345.832326118</v>
      </c>
      <c r="CJ52" s="30" t="n">
        <f aca="false">SUMIF($C$2:$F$2,EOMONTH(CJ$2,-1)+1,$C52:$F52)*VLOOKUP(CJ$2,Valores!$H$2:$P$154,8,0)</f>
        <v>39345.832326118</v>
      </c>
      <c r="CK52" s="30" t="n">
        <f aca="false">SUMIF($C$2:$F$2,EOMONTH(CK$2,-1)+1,$C52:$F52)*VLOOKUP(CK$2,Valores!$H$2:$P$154,8,0)</f>
        <v>78691.664652236</v>
      </c>
      <c r="CL52" s="30" t="n">
        <f aca="false">SUMIF($C$2:$F$2,EOMONTH(CL$2,-1)+1,$C52:$F52)*VLOOKUP(CL$2,Valores!$H$2:$P$154,8,0)</f>
        <v>98364.580815295</v>
      </c>
      <c r="CM52" s="30" t="n">
        <f aca="false">SUMIF($C$2:$F$2,EOMONTH(CM$2,-1)+1,$C52:$F52)*VLOOKUP(CM$2,Valores!$H$2:$P$154,8,0)</f>
        <v>59018.748489177</v>
      </c>
      <c r="CN52" s="30" t="n">
        <f aca="false">SUMIF($C$2:$F$2,EOMONTH(CN$2,-1)+1,$C52:$F52)*VLOOKUP(CN$2,Valores!$H$2:$P$154,8,0)</f>
        <v>43280.4155587298</v>
      </c>
      <c r="CO52" s="30" t="n">
        <f aca="false">SUMIF($C$2:$F$2,EOMONTH(CO$2,-1)+1,$C52:$F52)*VLOOKUP(CO$2,Valores!$H$2:$P$154,8,0)</f>
        <v>43280.4155587298</v>
      </c>
      <c r="CP52" s="30" t="n">
        <f aca="false">SUMIF($C$2:$F$2,EOMONTH(CP$2,-1)+1,$C52:$F52)*VLOOKUP(CP$2,Valores!$H$2:$P$154,8,0)</f>
        <v>43280.4155587298</v>
      </c>
      <c r="CQ52" s="30" t="n">
        <f aca="false">SUMIF($C$2:$F$2,EOMONTH(CQ$2,-1)+1,$C52:$F52)*VLOOKUP(CQ$2,Valores!$H$2:$P$154,8,0)</f>
        <v>43280.4155587298</v>
      </c>
      <c r="CR52" s="30" t="n">
        <f aca="false">SUMIF($C$2:$F$2,EOMONTH(CR$2,-1)+1,$C52:$F52)*VLOOKUP(CR$2,Valores!$H$2:$P$154,8,0)</f>
        <v>86560.8311174596</v>
      </c>
      <c r="CS52" s="30" t="n">
        <f aca="false">SUMIF($C$2:$F$2,EOMONTH(CS$2,-1)+1,$C52:$F52)*VLOOKUP(CS$2,Valores!$H$2:$P$154,8,0)</f>
        <v>129841.246676189</v>
      </c>
      <c r="CT52" s="30" t="e">
        <f aca="false">SUMIF($C$2:$F$2,EOMONTH(CT$2,-1)+1,$C52:$F52)*VLOOKUP(CT$2,Valores!$H$2:$P$154,8,0)</f>
        <v>#VALUE!</v>
      </c>
      <c r="CU52" s="30" t="e">
        <f aca="false">SUMIF($C$2:$F$2,EOMONTH(CU$2,-1)+1,$C52:$F52)*VLOOKUP(CU$2,Valores!$H$2:$P$154,8,0)</f>
        <v>#VALUE!</v>
      </c>
      <c r="CV52" s="30" t="e">
        <f aca="false">SUMIF($C$2:$F$2,EOMONTH(CV$2,-1)+1,$C52:$F52)*VLOOKUP(CV$2,Valores!$H$2:$P$154,8,0)</f>
        <v>#VALUE!</v>
      </c>
      <c r="CW52" s="30" t="e">
        <f aca="false">SUMIF($C$2:$F$2,EOMONTH(CW$2,-1)+1,$C52:$F52)*VLOOKUP(CW$2,Valores!$H$2:$P$154,8,0)</f>
        <v>#VALUE!</v>
      </c>
      <c r="CX52" s="30" t="e">
        <f aca="false">SUMIF($C$2:$F$2,EOMONTH(CX$2,-1)+1,$C52:$F52)*VLOOKUP(CX$2,Valores!$H$2:$P$154,8,0)</f>
        <v>#VALUE!</v>
      </c>
      <c r="CY52" s="30" t="e">
        <f aca="false">SUMIF($C$2:$F$2,EOMONTH(CY$2,-1)+1,$C52:$F52)*VLOOKUP(CY$2,Valores!$H$2:$P$154,8,0)</f>
        <v>#VALUE!</v>
      </c>
      <c r="CZ52" s="30" t="e">
        <f aca="false">SUMIF($C$2:$F$2,EOMONTH(CZ$2,-1)+1,$C52:$F52)*VLOOKUP(CZ$2,Valores!$H$2:$P$154,8,0)</f>
        <v>#VALUE!</v>
      </c>
      <c r="DA52" s="30" t="e">
        <f aca="false">SUMIF($C$2:$F$2,EOMONTH(DA$2,-1)+1,$C52:$F52)*VLOOKUP(DA$2,Valores!$H$2:$P$154,8,0)</f>
        <v>#VALUE!</v>
      </c>
      <c r="DB52" s="30" t="e">
        <f aca="false">SUMIF($C$2:$F$2,EOMONTH(DB$2,-1)+1,$C52:$F52)*VLOOKUP(DB$2,Valores!$H$2:$P$154,8,0)</f>
        <v>#VALUE!</v>
      </c>
      <c r="DC52" s="30" t="e">
        <f aca="false">SUMIF($C$2:$F$2,EOMONTH(DC$2,-1)+1,$C52:$F52)*VLOOKUP(DC$2,Valores!$H$2:$P$154,8,0)</f>
        <v>#VALUE!</v>
      </c>
      <c r="DD52" s="30" t="e">
        <f aca="false">SUMIF($C$2:$F$2,EOMONTH(DD$2,-1)+1,$C52:$F52)*VLOOKUP(DD$2,Valores!$H$2:$P$154,8,0)</f>
        <v>#VALUE!</v>
      </c>
      <c r="DE52" s="30" t="e">
        <f aca="false">SUMIF($C$2:$F$2,EOMONTH(DE$2,-1)+1,$C52:$F52)*VLOOKUP(DE$2,Valores!$H$2:$P$154,8,0)</f>
        <v>#VALUE!</v>
      </c>
      <c r="DF52" s="30" t="e">
        <f aca="false">SUMIF($C$2:$F$2,EOMONTH(DF$2,-1)+1,$C52:$F52)*VLOOKUP(DF$2,Valores!$H$2:$P$154,8,0)</f>
        <v>#VALUE!</v>
      </c>
      <c r="DG52" s="30" t="e">
        <f aca="false">SUMIF($C$2:$F$2,EOMONTH(DG$2,-1)+1,$C52:$F52)*VLOOKUP(DG$2,Valores!$H$2:$P$154,8,0)</f>
        <v>#VALUE!</v>
      </c>
      <c r="DH52" s="30" t="e">
        <f aca="false">SUMIF($C$2:$F$2,EOMONTH(DH$2,-1)+1,$C52:$F52)*VLOOKUP(DH$2,Valores!$H$2:$P$154,8,0)</f>
        <v>#VALUE!</v>
      </c>
      <c r="DI52" s="30" t="e">
        <f aca="false">SUMIF($C$2:$F$2,EOMONTH(DI$2,-1)+1,$C52:$F52)*VLOOKUP(DI$2,Valores!$H$2:$P$154,8,0)</f>
        <v>#VALUE!</v>
      </c>
      <c r="DJ52" s="30" t="e">
        <f aca="false">SUMIF($C$2:$F$2,EOMONTH(DJ$2,-1)+1,$C52:$F52)*VLOOKUP(DJ$2,Valores!$H$2:$P$154,8,0)</f>
        <v>#VALUE!</v>
      </c>
      <c r="DK52" s="30" t="e">
        <f aca="false">SUMIF($C$2:$F$2,EOMONTH(DK$2,-1)+1,$C52:$F52)*VLOOKUP(DK$2,Valores!$H$2:$P$154,8,0)</f>
        <v>#VALUE!</v>
      </c>
      <c r="DL52" s="30" t="e">
        <f aca="false">SUMIF($C$2:$F$2,EOMONTH(DL$2,-1)+1,$C52:$F52)*VLOOKUP(DL$2,Valores!$H$2:$P$154,8,0)</f>
        <v>#VALUE!</v>
      </c>
      <c r="DM52" s="30" t="e">
        <f aca="false">SUMIF($C$2:$F$2,EOMONTH(DM$2,-1)+1,$C52:$F52)*VLOOKUP(DM$2,Valores!$H$2:$P$154,8,0)</f>
        <v>#VALUE!</v>
      </c>
      <c r="DN52" s="30" t="e">
        <f aca="false">SUMIF($C$2:$F$2,EOMONTH(DN$2,-1)+1,$C52:$F52)*VLOOKUP(DN$2,Valores!$H$2:$P$154,8,0)</f>
        <v>#VALUE!</v>
      </c>
      <c r="DO52" s="30" t="e">
        <f aca="false">SUMIF($C$2:$F$2,EOMONTH(DO$2,-1)+1,$C52:$F52)*VLOOKUP(DO$2,Valores!$H$2:$P$154,8,0)</f>
        <v>#VALUE!</v>
      </c>
      <c r="DP52" s="30" t="e">
        <f aca="false">SUMIF($C$2:$F$2,EOMONTH(DP$2,-1)+1,$C52:$F52)*VLOOKUP(DP$2,Valores!$H$2:$P$154,8,0)</f>
        <v>#VALUE!</v>
      </c>
      <c r="DQ52" s="30" t="e">
        <f aca="false">SUMIF($C$2:$F$2,EOMONTH(DQ$2,-1)+1,$C52:$F52)*VLOOKUP(DQ$2,Valores!$H$2:$P$154,8,0)</f>
        <v>#VALUE!</v>
      </c>
      <c r="DR52" s="30" t="e">
        <f aca="false">SUMIF($C$2:$F$2,EOMONTH(DR$2,-1)+1,$C52:$F52)*VLOOKUP(DR$2,Valores!$H$2:$P$154,8,0)</f>
        <v>#VALUE!</v>
      </c>
      <c r="DS52" s="30" t="e">
        <f aca="false">SUMIF($C$2:$F$2,EOMONTH(DS$2,-1)+1,$C52:$F52)*VLOOKUP(DS$2,Valores!$H$2:$P$154,8,0)</f>
        <v>#VALUE!</v>
      </c>
      <c r="DT52" s="30" t="e">
        <f aca="false">SUMIF($C$2:$F$2,EOMONTH(DT$2,-1)+1,$C52:$F52)*VLOOKUP(DT$2,Valores!$H$2:$P$154,8,0)</f>
        <v>#VALUE!</v>
      </c>
      <c r="DU52" s="30" t="e">
        <f aca="false">SUMIF($C$2:$F$2,EOMONTH(DU$2,-1)+1,$C52:$F52)*VLOOKUP(DU$2,Valores!$H$2:$P$154,8,0)</f>
        <v>#VALUE!</v>
      </c>
      <c r="DV52" s="30" t="e">
        <f aca="false">SUMIF($C$2:$F$2,EOMONTH(DV$2,-1)+1,$C52:$F52)*VLOOKUP(DV$2,Valores!$H$2:$P$154,8,0)</f>
        <v>#VALUE!</v>
      </c>
      <c r="DW52" s="30" t="e">
        <f aca="false">SUMIF($C$2:$F$2,EOMONTH(DW$2,-1)+1,$C52:$F52)*VLOOKUP(DW$2,Valores!$H$2:$P$154,8,0)</f>
        <v>#VALUE!</v>
      </c>
      <c r="DX52" s="30" t="e">
        <f aca="false">SUMIF($C$2:$F$2,EOMONTH(DX$2,-1)+1,$C52:$F52)*VLOOKUP(DX$2,Valores!$H$2:$P$154,8,0)</f>
        <v>#VALUE!</v>
      </c>
    </row>
    <row r="53" customFormat="false" ht="13.8" hidden="false" customHeight="false" outlineLevel="0" collapsed="false">
      <c r="A53" s="31" t="s">
        <v>54</v>
      </c>
      <c r="B53" s="31" t="s">
        <v>75</v>
      </c>
      <c r="C53" s="31" t="n">
        <v>2203297</v>
      </c>
      <c r="D53" s="31" t="n">
        <v>1982967.3</v>
      </c>
      <c r="E53" s="31" t="n">
        <v>1784670.57</v>
      </c>
      <c r="F53" s="31" t="n">
        <v>1606203.513</v>
      </c>
      <c r="G53" s="27" t="n">
        <f aca="false">SUMIF($C$2:$F$2,EOMONTH(G$2,-1)+1,$C53:$F53)*VLOOKUP(G$2,Valores!$H$2:$P$154,8,0)</f>
        <v>63448.5724864242</v>
      </c>
      <c r="H53" s="27" t="n">
        <f aca="false">SUMIF($C$2:$F$2,EOMONTH(H$2,-1)+1,$C53:$F53)*VLOOKUP(H$2,Valores!$H$2:$P$154,8,0)</f>
        <v>43507.5925621195</v>
      </c>
      <c r="I53" s="27" t="n">
        <f aca="false">SUMIF($C$2:$F$2,EOMONTH(I$2,-1)+1,$C53:$F53)*VLOOKUP(I$2,Valores!$H$2:$P$154,8,0)</f>
        <v>43507.5925621195</v>
      </c>
      <c r="J53" s="27" t="n">
        <f aca="false">SUMIF($C$2:$F$2,EOMONTH(J$2,-1)+1,$C53:$F53)*VLOOKUP(J$2,Valores!$H$2:$P$154,8,0)</f>
        <v>43507.5925621195</v>
      </c>
      <c r="K53" s="27" t="n">
        <f aca="false">SUMIF($C$2:$F$2,EOMONTH(K$2,-1)+1,$C53:$F53)*VLOOKUP(K$2,Valores!$H$2:$P$154,8,0)</f>
        <v>43507.5925621195</v>
      </c>
      <c r="L53" s="27" t="n">
        <f aca="false">SUMIF($C$2:$F$2,EOMONTH(L$2,-1)+1,$C53:$F53)*VLOOKUP(L$2,Valores!$H$2:$P$154,8,0)</f>
        <v>87015.1851242389</v>
      </c>
      <c r="M53" s="27" t="n">
        <f aca="false">SUMIF($C$2:$F$2,EOMONTH(M$2,-1)+1,$C53:$F53)*VLOOKUP(M$2,Valores!$H$2:$P$154,8,0)</f>
        <v>108768.981405299</v>
      </c>
      <c r="N53" s="27" t="n">
        <f aca="false">SUMIF($C$2:$F$2,EOMONTH(N$2,-1)+1,$C53:$F53)*VLOOKUP(N$2,Valores!$H$2:$P$154,8,0)</f>
        <v>65261.3888431792</v>
      </c>
      <c r="O53" s="27" t="n">
        <f aca="false">SUMIF($C$2:$F$2,EOMONTH(O$2,-1)+1,$C53:$F53)*VLOOKUP(O$2,Valores!$H$2:$P$154,8,0)</f>
        <v>58010.1234161593</v>
      </c>
      <c r="P53" s="27" t="n">
        <f aca="false">SUMIF($C$2:$F$2,EOMONTH(P$2,-1)+1,$C53:$F53)*VLOOKUP(P$2,Valores!$H$2:$P$154,8,0)</f>
        <v>58010.1234161593</v>
      </c>
      <c r="Q53" s="27" t="n">
        <f aca="false">SUMIF($C$2:$F$2,EOMONTH(Q$2,-1)+1,$C53:$F53)*VLOOKUP(Q$2,Valores!$H$2:$P$154,8,0)</f>
        <v>34806.0740496956</v>
      </c>
      <c r="R53" s="27" t="n">
        <f aca="false">SUMIF($C$2:$F$2,EOMONTH(R$2,-1)+1,$C53:$F53)*VLOOKUP(R$2,Valores!$H$2:$P$154,8,0)</f>
        <v>58010.1234161593</v>
      </c>
      <c r="S53" s="27" t="n">
        <f aca="false">SUMIF($C$2:$F$2,EOMONTH(S$2,-1)+1,$C53:$F53)*VLOOKUP(S$2,Valores!$H$2:$P$154,8,0)</f>
        <v>116020.246832319</v>
      </c>
      <c r="T53" s="27" t="n">
        <f aca="false">SUMIF($C$2:$F$2,EOMONTH(T$2,-1)+1,$C53:$F53)*VLOOKUP(T$2,Valores!$H$2:$P$154,8,0)</f>
        <v>145025.308540398</v>
      </c>
      <c r="U53" s="27" t="n">
        <f aca="false">SUMIF($C$2:$F$2,EOMONTH(U$2,-1)+1,$C53:$F53)*VLOOKUP(U$2,Valores!$H$2:$P$154,8,0)</f>
        <v>87015.1851242389</v>
      </c>
      <c r="V53" s="27" t="n">
        <f aca="false">SUMIF($C$2:$F$2,EOMONTH(V$2,-1)+1,$C53:$F53)*VLOOKUP(V$2,Valores!$H$2:$P$154,8,0)</f>
        <v>72512.6542701991</v>
      </c>
      <c r="W53" s="27" t="n">
        <f aca="false">SUMIF($C$2:$F$2,EOMONTH(W$2,-1)+1,$C53:$F53)*VLOOKUP(W$2,Valores!$H$2:$P$154,8,0)</f>
        <v>72512.6542701991</v>
      </c>
      <c r="X53" s="27" t="n">
        <f aca="false">SUMIF($C$2:$F$2,EOMONTH(X$2,-1)+1,$C53:$F53)*VLOOKUP(X$2,Valores!$H$2:$P$154,8,0)</f>
        <v>0</v>
      </c>
      <c r="Y53" s="27" t="n">
        <f aca="false">SUMIF($C$2:$F$2,EOMONTH(Y$2,-1)+1,$C53:$F53)*VLOOKUP(Y$2,Valores!$H$2:$P$154,8,0)</f>
        <v>0</v>
      </c>
      <c r="Z53" s="27" t="n">
        <f aca="false">SUMIF($C$2:$F$2,EOMONTH(Z$2,-1)+1,$C53:$F53)*VLOOKUP(Z$2,Valores!$H$2:$P$154,8,0)</f>
        <v>108768.981405299</v>
      </c>
      <c r="AA53" s="27" t="n">
        <f aca="false">SUMIF($C$2:$F$2,EOMONTH(AA$2,-1)+1,$C53:$F53)*VLOOKUP(AA$2,Valores!$H$2:$P$154,8,0)</f>
        <v>130522.777686358</v>
      </c>
      <c r="AB53" s="27" t="n">
        <f aca="false">SUMIF($C$2:$F$2,EOMONTH(AB$2,-1)+1,$C53:$F53)*VLOOKUP(AB$2,Valores!$H$2:$P$154,8,0)</f>
        <v>65261.3888431792</v>
      </c>
      <c r="AC53" s="27" t="n">
        <f aca="false">SUMIF($C$2:$F$2,EOMONTH(AC$2,-1)+1,$C53:$F53)*VLOOKUP(AC$2,Valores!$H$2:$P$154,8,0)</f>
        <v>79763.919697219</v>
      </c>
      <c r="AD53" s="27" t="n">
        <f aca="false">SUMIF($C$2:$F$2,EOMONTH(AD$2,-1)+1,$C53:$F53)*VLOOKUP(AD$2,Valores!$H$2:$P$154,8,0)</f>
        <v>79763.919697219</v>
      </c>
      <c r="AE53" s="27" t="n">
        <f aca="false">SUMIF($C$2:$F$2,EOMONTH(AE$2,-1)+1,$C53:$F53)*VLOOKUP(AE$2,Valores!$H$2:$P$154,8,0)</f>
        <v>79763.919697219</v>
      </c>
      <c r="AF53" s="27" t="n">
        <f aca="false">SUMIF($C$2:$F$2,EOMONTH(AF$2,-1)+1,$C53:$F53)*VLOOKUP(AF$2,Valores!$H$2:$P$154,8,0)</f>
        <v>79763.919697219</v>
      </c>
      <c r="AG53" s="27" t="n">
        <f aca="false">SUMIF($C$2:$F$2,EOMONTH(AG$2,-1)+1,$C53:$F53)*VLOOKUP(AG$2,Valores!$H$2:$P$154,8,0)</f>
        <v>127622.27151555</v>
      </c>
      <c r="AH53" s="27" t="n">
        <f aca="false">SUMIF($C$2:$F$2,EOMONTH(AH$2,-1)+1,$C53:$F53)*VLOOKUP(AH$2,Valores!$H$2:$P$154,8,0)</f>
        <v>159527.839394438</v>
      </c>
      <c r="AI53" s="27" t="n">
        <f aca="false">SUMIF($C$2:$F$2,EOMONTH(AI$2,-1)+1,$C53:$F53)*VLOOKUP(AI$2,Valores!$H$2:$P$154,8,0)</f>
        <v>55834.7437880533</v>
      </c>
      <c r="AJ53" s="27" t="n">
        <f aca="false">SUMIF($C$2:$F$2,EOMONTH(AJ$2,-1)+1,$C53:$F53)*VLOOKUP(AJ$2,Valores!$H$2:$P$154,8,0)</f>
        <v>36256.3271350996</v>
      </c>
      <c r="AK53" s="27" t="n">
        <f aca="false">SUMIF($C$2:$F$2,EOMONTH(AK$2,-1)+1,$C53:$F53)*VLOOKUP(AK$2,Valores!$H$2:$P$154,8,0)</f>
        <v>66116.226154469</v>
      </c>
      <c r="AL53" s="27" t="n">
        <f aca="false">SUMIF($C$2:$F$2,EOMONTH(AL$2,-1)+1,$C53:$F53)*VLOOKUP(AL$2,Valores!$H$2:$P$154,8,0)</f>
        <v>66116.226154469</v>
      </c>
      <c r="AM53" s="27" t="n">
        <f aca="false">SUMIF($C$2:$F$2,EOMONTH(AM$2,-1)+1,$C53:$F53)*VLOOKUP(AM$2,Valores!$H$2:$P$154,8,0)</f>
        <v>66116.226154469</v>
      </c>
      <c r="AN53" s="27" t="n">
        <f aca="false">SUMIF($C$2:$F$2,EOMONTH(AN$2,-1)+1,$C53:$F53)*VLOOKUP(AN$2,Valores!$H$2:$P$154,8,0)</f>
        <v>132232.452308938</v>
      </c>
      <c r="AO53" s="27" t="n">
        <f aca="false">SUMIF($C$2:$F$2,EOMONTH(AO$2,-1)+1,$C53:$F53)*VLOOKUP(AO$2,Valores!$H$2:$P$154,8,0)</f>
        <v>165290.565386173</v>
      </c>
      <c r="AP53" s="27" t="n">
        <f aca="false">SUMIF($C$2:$F$2,EOMONTH(AP$2,-1)+1,$C53:$F53)*VLOOKUP(AP$2,Valores!$H$2:$P$154,8,0)</f>
        <v>99174.3392317035</v>
      </c>
      <c r="AQ53" s="27" t="n">
        <f aca="false">SUMIF($C$2:$F$2,EOMONTH(AQ$2,-1)+1,$C53:$F53)*VLOOKUP(AQ$2,Valores!$H$2:$P$154,8,0)</f>
        <v>35419.4068684655</v>
      </c>
      <c r="AR53" s="27" t="n">
        <f aca="false">SUMIF($C$2:$F$2,EOMONTH(AR$2,-1)+1,$C53:$F53)*VLOOKUP(AR$2,Valores!$H$2:$P$154,8,0)</f>
        <v>35419.4068684655</v>
      </c>
      <c r="AS53" s="27" t="n">
        <f aca="false">SUMIF($C$2:$F$2,EOMONTH(AS$2,-1)+1,$C53:$F53)*VLOOKUP(AS$2,Valores!$H$2:$P$154,8,0)</f>
        <v>35419.4068684655</v>
      </c>
      <c r="AT53" s="27" t="n">
        <f aca="false">SUMIF($C$2:$F$2,EOMONTH(AT$2,-1)+1,$C53:$F53)*VLOOKUP(AT$2,Valores!$H$2:$P$154,8,0)</f>
        <v>35419.4068684655</v>
      </c>
      <c r="AU53" s="27" t="n">
        <f aca="false">SUMIF($C$2:$F$2,EOMONTH(AU$2,-1)+1,$C53:$F53)*VLOOKUP(AU$2,Valores!$H$2:$P$154,8,0)</f>
        <v>70838.8137369311</v>
      </c>
      <c r="AV53" s="27" t="n">
        <f aca="false">SUMIF($C$2:$F$2,EOMONTH(AV$2,-1)+1,$C53:$F53)*VLOOKUP(AV$2,Valores!$H$2:$P$154,8,0)</f>
        <v>88548.5171711639</v>
      </c>
      <c r="AW53" s="27" t="n">
        <f aca="false">SUMIF($C$2:$F$2,EOMONTH(AW$2,-1)+1,$C53:$F53)*VLOOKUP(AW$2,Valores!$H$2:$P$154,8,0)</f>
        <v>53129.1103026983</v>
      </c>
      <c r="AX53" s="27" t="n">
        <f aca="false">SUMIF($C$2:$F$2,EOMONTH(AX$2,-1)+1,$C53:$F53)*VLOOKUP(AX$2,Valores!$H$2:$P$154,8,0)</f>
        <v>35419.4068684655</v>
      </c>
      <c r="AY53" s="27" t="n">
        <f aca="false">SUMIF($C$2:$F$2,EOMONTH(AY$2,-1)+1,$C53:$F53)*VLOOKUP(AY$2,Valores!$H$2:$P$154,8,0)</f>
        <v>46045.2289290052</v>
      </c>
      <c r="AZ53" s="27" t="n">
        <f aca="false">SUMIF($C$2:$F$2,EOMONTH(AZ$2,-1)+1,$C53:$F53)*VLOOKUP(AZ$2,Valores!$H$2:$P$154,8,0)</f>
        <v>46045.2289290052</v>
      </c>
      <c r="BA53" s="27" t="n">
        <f aca="false">SUMIF($C$2:$F$2,EOMONTH(BA$2,-1)+1,$C53:$F53)*VLOOKUP(BA$2,Valores!$H$2:$P$154,8,0)</f>
        <v>46045.2289290052</v>
      </c>
      <c r="BB53" s="27" t="n">
        <f aca="false">SUMIF($C$2:$F$2,EOMONTH(BB$2,-1)+1,$C53:$F53)*VLOOKUP(BB$2,Valores!$H$2:$P$154,8,0)</f>
        <v>81464.6357974707</v>
      </c>
      <c r="BC53" s="27" t="n">
        <f aca="false">SUMIF($C$2:$F$2,EOMONTH(BC$2,-1)+1,$C53:$F53)*VLOOKUP(BC$2,Valores!$H$2:$P$154,8,0)</f>
        <v>99174.3392317035</v>
      </c>
      <c r="BD53" s="27" t="n">
        <f aca="false">SUMIF($C$2:$F$2,EOMONTH(BD$2,-1)+1,$C53:$F53)*VLOOKUP(BD$2,Valores!$H$2:$P$154,8,0)</f>
        <v>53129.1103026983</v>
      </c>
      <c r="BE53" s="27" t="n">
        <f aca="false">SUMIF($C$2:$F$2,EOMONTH(BE$2,-1)+1,$C53:$F53)*VLOOKUP(BE$2,Valores!$H$2:$P$154,8,0)</f>
        <v>47225.8758246207</v>
      </c>
      <c r="BF53" s="27" t="n">
        <f aca="false">SUMIF($C$2:$F$2,EOMONTH(BF$2,-1)+1,$C53:$F53)*VLOOKUP(BF$2,Valores!$H$2:$P$154,8,0)</f>
        <v>47225.8758246207</v>
      </c>
      <c r="BG53" s="27" t="n">
        <f aca="false">SUMIF($C$2:$F$2,EOMONTH(BG$2,-1)+1,$C53:$F53)*VLOOKUP(BG$2,Valores!$H$2:$P$154,8,0)</f>
        <v>47225.8758246207</v>
      </c>
      <c r="BH53" s="27" t="n">
        <f aca="false">SUMIF($C$2:$F$2,EOMONTH(BH$2,-1)+1,$C53:$F53)*VLOOKUP(BH$2,Valores!$H$2:$P$154,8,0)</f>
        <v>47225.8758246207</v>
      </c>
      <c r="BI53" s="27" t="n">
        <f aca="false">SUMIF($C$2:$F$2,EOMONTH(BI$2,-1)+1,$C53:$F53)*VLOOKUP(BI$2,Valores!$H$2:$P$154,8,0)</f>
        <v>94451.7516492415</v>
      </c>
      <c r="BJ53" s="27" t="n">
        <f aca="false">SUMIF($C$2:$F$2,EOMONTH(BJ$2,-1)+1,$C53:$F53)*VLOOKUP(BJ$2,Valores!$H$2:$P$154,8,0)</f>
        <v>118064.689561552</v>
      </c>
      <c r="BK53" s="27" t="n">
        <f aca="false">SUMIF($C$2:$F$2,EOMONTH(BK$2,-1)+1,$C53:$F53)*VLOOKUP(BK$2,Valores!$H$2:$P$154,8,0)</f>
        <v>56671.0509895449</v>
      </c>
      <c r="BL53" s="27" t="n">
        <f aca="false">SUMIF($C$2:$F$2,EOMONTH(BL$2,-1)+1,$C53:$F53)*VLOOKUP(BL$2,Valores!$H$2:$P$154,8,0)</f>
        <v>41558.7707256662</v>
      </c>
      <c r="BM53" s="27" t="n">
        <f aca="false">SUMIF($C$2:$F$2,EOMONTH(BM$2,-1)+1,$C53:$F53)*VLOOKUP(BM$2,Valores!$H$2:$P$154,8,0)</f>
        <v>41558.7707256662</v>
      </c>
      <c r="BN53" s="27" t="n">
        <f aca="false">SUMIF($C$2:$F$2,EOMONTH(BN$2,-1)+1,$C53:$F53)*VLOOKUP(BN$2,Valores!$H$2:$P$154,8,0)</f>
        <v>41558.7707256662</v>
      </c>
      <c r="BO53" s="27" t="n">
        <f aca="false">SUMIF($C$2:$F$2,EOMONTH(BO$2,-1)+1,$C53:$F53)*VLOOKUP(BO$2,Valores!$H$2:$P$154,8,0)</f>
        <v>43636.7092619496</v>
      </c>
      <c r="BP53" s="27" t="n">
        <f aca="false">SUMIF($C$2:$F$2,EOMONTH(BP$2,-1)+1,$C53:$F53)*VLOOKUP(BP$2,Valores!$H$2:$P$154,8,0)</f>
        <v>109813.813778706</v>
      </c>
      <c r="BQ53" s="27" t="n">
        <f aca="false">SUMIF($C$2:$F$2,EOMONTH(BQ$2,-1)+1,$C53:$F53)*VLOOKUP(BQ$2,Valores!$H$2:$P$154,8,0)</f>
        <v>137267.267223382</v>
      </c>
      <c r="BR53" s="27" t="n">
        <f aca="false">SUMIF($C$2:$F$2,EOMONTH(BR$2,-1)+1,$C53:$F53)*VLOOKUP(BR$2,Valores!$H$2:$P$154,8,0)</f>
        <v>65888.2882672234</v>
      </c>
      <c r="BS53" s="27" t="n">
        <f aca="false">SUMIF($C$2:$F$2,EOMONTH(BS$2,-1)+1,$C53:$F53)*VLOOKUP(BS$2,Valores!$H$2:$P$154,8,0)</f>
        <v>29414.4144050104</v>
      </c>
      <c r="BT53" s="27" t="n">
        <f aca="false">SUMIF($C$2:$F$2,EOMONTH(BT$2,-1)+1,$C53:$F53)*VLOOKUP(BT$2,Valores!$H$2:$P$154,8,0)</f>
        <v>29414.4144050104</v>
      </c>
      <c r="BU53" s="27" t="n">
        <f aca="false">SUMIF($C$2:$F$2,EOMONTH(BU$2,-1)+1,$C53:$F53)*VLOOKUP(BU$2,Valores!$H$2:$P$154,8,0)</f>
        <v>29414.4144050104</v>
      </c>
      <c r="BV53" s="27" t="n">
        <f aca="false">SUMIF($C$2:$F$2,EOMONTH(BV$2,-1)+1,$C53:$F53)*VLOOKUP(BV$2,Valores!$H$2:$P$154,8,0)</f>
        <v>29414.4144050104</v>
      </c>
      <c r="BW53" s="27" t="n">
        <f aca="false">SUMIF($C$2:$F$2,EOMONTH(BW$2,-1)+1,$C53:$F53)*VLOOKUP(BW$2,Valores!$H$2:$P$154,8,0)</f>
        <v>58828.8288100209</v>
      </c>
      <c r="BX53" s="27" t="n">
        <f aca="false">SUMIF($C$2:$F$2,EOMONTH(BX$2,-1)+1,$C53:$F53)*VLOOKUP(BX$2,Valores!$H$2:$P$154,8,0)</f>
        <v>73536.0360125261</v>
      </c>
      <c r="BY53" s="27" t="n">
        <f aca="false">SUMIF($C$2:$F$2,EOMONTH(BY$2,-1)+1,$C53:$F53)*VLOOKUP(BY$2,Valores!$H$2:$P$154,8,0)</f>
        <v>44121.6216075156</v>
      </c>
      <c r="BZ53" s="27" t="n">
        <f aca="false">SUMIF($C$2:$F$2,EOMONTH(BZ$2,-1)+1,$C53:$F53)*VLOOKUP(BZ$2,Valores!$H$2:$P$154,8,0)</f>
        <v>29414.4144050104</v>
      </c>
      <c r="CA53" s="27" t="n">
        <f aca="false">SUMIF($C$2:$F$2,EOMONTH(CA$2,-1)+1,$C53:$F53)*VLOOKUP(CA$2,Valores!$H$2:$P$154,8,0)</f>
        <v>29414.4144050104</v>
      </c>
      <c r="CB53" s="27" t="n">
        <f aca="false">SUMIF($C$2:$F$2,EOMONTH(CB$2,-1)+1,$C53:$F53)*VLOOKUP(CB$2,Valores!$H$2:$P$154,8,0)</f>
        <v>29414.4144050104</v>
      </c>
      <c r="CC53" s="27" t="n">
        <f aca="false">SUMIF($C$2:$F$2,EOMONTH(CC$2,-1)+1,$C53:$F53)*VLOOKUP(CC$2,Valores!$H$2:$P$154,8,0)</f>
        <v>29414.4144050104</v>
      </c>
      <c r="CD53" s="27" t="n">
        <f aca="false">SUMIF($C$2:$F$2,EOMONTH(CD$2,-1)+1,$C53:$F53)*VLOOKUP(CD$2,Valores!$H$2:$P$154,8,0)</f>
        <v>88243.2432150313</v>
      </c>
      <c r="CE53" s="27" t="n">
        <f aca="false">SUMIF($C$2:$F$2,EOMONTH(CE$2,-1)+1,$C53:$F53)*VLOOKUP(CE$2,Valores!$H$2:$P$154,8,0)</f>
        <v>117657.657620042</v>
      </c>
      <c r="CF53" s="27" t="n">
        <f aca="false">SUMIF($C$2:$F$2,EOMONTH(CF$2,-1)+1,$C53:$F53)*VLOOKUP(CF$2,Valores!$H$2:$P$154,8,0)</f>
        <v>73536.0360125261</v>
      </c>
      <c r="CG53" s="27" t="n">
        <f aca="false">SUMIF($C$2:$F$2,EOMONTH(CG$2,-1)+1,$C53:$F53)*VLOOKUP(CG$2,Valores!$H$2:$P$154,8,0)</f>
        <v>39219.2192066806</v>
      </c>
      <c r="CH53" s="27" t="n">
        <f aca="false">SUMIF($C$2:$F$2,EOMONTH(CH$2,-1)+1,$C53:$F53)*VLOOKUP(CH$2,Valores!$H$2:$P$154,8,0)</f>
        <v>39219.2192066806</v>
      </c>
      <c r="CI53" s="27" t="n">
        <f aca="false">SUMIF($C$2:$F$2,EOMONTH(CI$2,-1)+1,$C53:$F53)*VLOOKUP(CI$2,Valores!$H$2:$P$154,8,0)</f>
        <v>39219.2192066806</v>
      </c>
      <c r="CJ53" s="27" t="n">
        <f aca="false">SUMIF($C$2:$F$2,EOMONTH(CJ$2,-1)+1,$C53:$F53)*VLOOKUP(CJ$2,Valores!$H$2:$P$154,8,0)</f>
        <v>39219.2192066806</v>
      </c>
      <c r="CK53" s="27" t="n">
        <f aca="false">SUMIF($C$2:$F$2,EOMONTH(CK$2,-1)+1,$C53:$F53)*VLOOKUP(CK$2,Valores!$H$2:$P$154,8,0)</f>
        <v>78438.4384133611</v>
      </c>
      <c r="CL53" s="27" t="n">
        <f aca="false">SUMIF($C$2:$F$2,EOMONTH(CL$2,-1)+1,$C53:$F53)*VLOOKUP(CL$2,Valores!$H$2:$P$154,8,0)</f>
        <v>98048.0480167014</v>
      </c>
      <c r="CM53" s="27" t="n">
        <f aca="false">SUMIF($C$2:$F$2,EOMONTH(CM$2,-1)+1,$C53:$F53)*VLOOKUP(CM$2,Valores!$H$2:$P$154,8,0)</f>
        <v>58828.8288100209</v>
      </c>
      <c r="CN53" s="27" t="n">
        <f aca="false">SUMIF($C$2:$F$2,EOMONTH(CN$2,-1)+1,$C53:$F53)*VLOOKUP(CN$2,Valores!$H$2:$P$154,8,0)</f>
        <v>43141.1411273486</v>
      </c>
      <c r="CO53" s="27" t="n">
        <f aca="false">SUMIF($C$2:$F$2,EOMONTH(CO$2,-1)+1,$C53:$F53)*VLOOKUP(CO$2,Valores!$H$2:$P$154,8,0)</f>
        <v>43141.1411273486</v>
      </c>
      <c r="CP53" s="27" t="n">
        <f aca="false">SUMIF($C$2:$F$2,EOMONTH(CP$2,-1)+1,$C53:$F53)*VLOOKUP(CP$2,Valores!$H$2:$P$154,8,0)</f>
        <v>43141.1411273486</v>
      </c>
      <c r="CQ53" s="27" t="n">
        <f aca="false">SUMIF($C$2:$F$2,EOMONTH(CQ$2,-1)+1,$C53:$F53)*VLOOKUP(CQ$2,Valores!$H$2:$P$154,8,0)</f>
        <v>43141.1411273486</v>
      </c>
      <c r="CR53" s="27" t="n">
        <f aca="false">SUMIF($C$2:$F$2,EOMONTH(CR$2,-1)+1,$C53:$F53)*VLOOKUP(CR$2,Valores!$H$2:$P$154,8,0)</f>
        <v>86282.2822546973</v>
      </c>
      <c r="CS53" s="27" t="n">
        <f aca="false">SUMIF($C$2:$F$2,EOMONTH(CS$2,-1)+1,$C53:$F53)*VLOOKUP(CS$2,Valores!$H$2:$P$154,8,0)</f>
        <v>129423.423382046</v>
      </c>
      <c r="CT53" s="27" t="e">
        <f aca="false">SUMIF($C$2:$F$2,EOMONTH(CT$2,-1)+1,$C53:$F53)*VLOOKUP(CT$2,Valores!$H$2:$P$154,8,0)</f>
        <v>#VALUE!</v>
      </c>
      <c r="CU53" s="27" t="e">
        <f aca="false">SUMIF($C$2:$F$2,EOMONTH(CU$2,-1)+1,$C53:$F53)*VLOOKUP(CU$2,Valores!$H$2:$P$154,8,0)</f>
        <v>#VALUE!</v>
      </c>
      <c r="CV53" s="27" t="e">
        <f aca="false">SUMIF($C$2:$F$2,EOMONTH(CV$2,-1)+1,$C53:$F53)*VLOOKUP(CV$2,Valores!$H$2:$P$154,8,0)</f>
        <v>#VALUE!</v>
      </c>
      <c r="CW53" s="27" t="e">
        <f aca="false">SUMIF($C$2:$F$2,EOMONTH(CW$2,-1)+1,$C53:$F53)*VLOOKUP(CW$2,Valores!$H$2:$P$154,8,0)</f>
        <v>#VALUE!</v>
      </c>
      <c r="CX53" s="27" t="e">
        <f aca="false">SUMIF($C$2:$F$2,EOMONTH(CX$2,-1)+1,$C53:$F53)*VLOOKUP(CX$2,Valores!$H$2:$P$154,8,0)</f>
        <v>#VALUE!</v>
      </c>
      <c r="CY53" s="27" t="e">
        <f aca="false">SUMIF($C$2:$F$2,EOMONTH(CY$2,-1)+1,$C53:$F53)*VLOOKUP(CY$2,Valores!$H$2:$P$154,8,0)</f>
        <v>#VALUE!</v>
      </c>
      <c r="CZ53" s="27" t="e">
        <f aca="false">SUMIF($C$2:$F$2,EOMONTH(CZ$2,-1)+1,$C53:$F53)*VLOOKUP(CZ$2,Valores!$H$2:$P$154,8,0)</f>
        <v>#VALUE!</v>
      </c>
      <c r="DA53" s="27" t="e">
        <f aca="false">SUMIF($C$2:$F$2,EOMONTH(DA$2,-1)+1,$C53:$F53)*VLOOKUP(DA$2,Valores!$H$2:$P$154,8,0)</f>
        <v>#VALUE!</v>
      </c>
      <c r="DB53" s="27" t="e">
        <f aca="false">SUMIF($C$2:$F$2,EOMONTH(DB$2,-1)+1,$C53:$F53)*VLOOKUP(DB$2,Valores!$H$2:$P$154,8,0)</f>
        <v>#VALUE!</v>
      </c>
      <c r="DC53" s="27" t="e">
        <f aca="false">SUMIF($C$2:$F$2,EOMONTH(DC$2,-1)+1,$C53:$F53)*VLOOKUP(DC$2,Valores!$H$2:$P$154,8,0)</f>
        <v>#VALUE!</v>
      </c>
      <c r="DD53" s="27" t="e">
        <f aca="false">SUMIF($C$2:$F$2,EOMONTH(DD$2,-1)+1,$C53:$F53)*VLOOKUP(DD$2,Valores!$H$2:$P$154,8,0)</f>
        <v>#VALUE!</v>
      </c>
      <c r="DE53" s="27" t="e">
        <f aca="false">SUMIF($C$2:$F$2,EOMONTH(DE$2,-1)+1,$C53:$F53)*VLOOKUP(DE$2,Valores!$H$2:$P$154,8,0)</f>
        <v>#VALUE!</v>
      </c>
      <c r="DF53" s="27" t="e">
        <f aca="false">SUMIF($C$2:$F$2,EOMONTH(DF$2,-1)+1,$C53:$F53)*VLOOKUP(DF$2,Valores!$H$2:$P$154,8,0)</f>
        <v>#VALUE!</v>
      </c>
      <c r="DG53" s="27" t="e">
        <f aca="false">SUMIF($C$2:$F$2,EOMONTH(DG$2,-1)+1,$C53:$F53)*VLOOKUP(DG$2,Valores!$H$2:$P$154,8,0)</f>
        <v>#VALUE!</v>
      </c>
      <c r="DH53" s="27" t="e">
        <f aca="false">SUMIF($C$2:$F$2,EOMONTH(DH$2,-1)+1,$C53:$F53)*VLOOKUP(DH$2,Valores!$H$2:$P$154,8,0)</f>
        <v>#VALUE!</v>
      </c>
      <c r="DI53" s="27" t="e">
        <f aca="false">SUMIF($C$2:$F$2,EOMONTH(DI$2,-1)+1,$C53:$F53)*VLOOKUP(DI$2,Valores!$H$2:$P$154,8,0)</f>
        <v>#VALUE!</v>
      </c>
      <c r="DJ53" s="27" t="e">
        <f aca="false">SUMIF($C$2:$F$2,EOMONTH(DJ$2,-1)+1,$C53:$F53)*VLOOKUP(DJ$2,Valores!$H$2:$P$154,8,0)</f>
        <v>#VALUE!</v>
      </c>
      <c r="DK53" s="27" t="e">
        <f aca="false">SUMIF($C$2:$F$2,EOMONTH(DK$2,-1)+1,$C53:$F53)*VLOOKUP(DK$2,Valores!$H$2:$P$154,8,0)</f>
        <v>#VALUE!</v>
      </c>
      <c r="DL53" s="27" t="e">
        <f aca="false">SUMIF($C$2:$F$2,EOMONTH(DL$2,-1)+1,$C53:$F53)*VLOOKUP(DL$2,Valores!$H$2:$P$154,8,0)</f>
        <v>#VALUE!</v>
      </c>
      <c r="DM53" s="27" t="e">
        <f aca="false">SUMIF($C$2:$F$2,EOMONTH(DM$2,-1)+1,$C53:$F53)*VLOOKUP(DM$2,Valores!$H$2:$P$154,8,0)</f>
        <v>#VALUE!</v>
      </c>
      <c r="DN53" s="27" t="e">
        <f aca="false">SUMIF($C$2:$F$2,EOMONTH(DN$2,-1)+1,$C53:$F53)*VLOOKUP(DN$2,Valores!$H$2:$P$154,8,0)</f>
        <v>#VALUE!</v>
      </c>
      <c r="DO53" s="27" t="e">
        <f aca="false">SUMIF($C$2:$F$2,EOMONTH(DO$2,-1)+1,$C53:$F53)*VLOOKUP(DO$2,Valores!$H$2:$P$154,8,0)</f>
        <v>#VALUE!</v>
      </c>
      <c r="DP53" s="27" t="e">
        <f aca="false">SUMIF($C$2:$F$2,EOMONTH(DP$2,-1)+1,$C53:$F53)*VLOOKUP(DP$2,Valores!$H$2:$P$154,8,0)</f>
        <v>#VALUE!</v>
      </c>
      <c r="DQ53" s="27" t="e">
        <f aca="false">SUMIF($C$2:$F$2,EOMONTH(DQ$2,-1)+1,$C53:$F53)*VLOOKUP(DQ$2,Valores!$H$2:$P$154,8,0)</f>
        <v>#VALUE!</v>
      </c>
      <c r="DR53" s="27" t="e">
        <f aca="false">SUMIF($C$2:$F$2,EOMONTH(DR$2,-1)+1,$C53:$F53)*VLOOKUP(DR$2,Valores!$H$2:$P$154,8,0)</f>
        <v>#VALUE!</v>
      </c>
      <c r="DS53" s="27" t="e">
        <f aca="false">SUMIF($C$2:$F$2,EOMONTH(DS$2,-1)+1,$C53:$F53)*VLOOKUP(DS$2,Valores!$H$2:$P$154,8,0)</f>
        <v>#VALUE!</v>
      </c>
      <c r="DT53" s="27" t="e">
        <f aca="false">SUMIF($C$2:$F$2,EOMONTH(DT$2,-1)+1,$C53:$F53)*VLOOKUP(DT$2,Valores!$H$2:$P$154,8,0)</f>
        <v>#VALUE!</v>
      </c>
      <c r="DU53" s="27" t="e">
        <f aca="false">SUMIF($C$2:$F$2,EOMONTH(DU$2,-1)+1,$C53:$F53)*VLOOKUP(DU$2,Valores!$H$2:$P$154,8,0)</f>
        <v>#VALUE!</v>
      </c>
      <c r="DV53" s="27" t="e">
        <f aca="false">SUMIF($C$2:$F$2,EOMONTH(DV$2,-1)+1,$C53:$F53)*VLOOKUP(DV$2,Valores!$H$2:$P$154,8,0)</f>
        <v>#VALUE!</v>
      </c>
      <c r="DW53" s="27" t="e">
        <f aca="false">SUMIF($C$2:$F$2,EOMONTH(DW$2,-1)+1,$C53:$F53)*VLOOKUP(DW$2,Valores!$H$2:$P$154,8,0)</f>
        <v>#VALUE!</v>
      </c>
      <c r="DX53" s="27" t="e">
        <f aca="false">SUMIF($C$2:$F$2,EOMONTH(DX$2,-1)+1,$C53:$F53)*VLOOKUP(DX$2,Valores!$H$2:$P$154,8,0)</f>
        <v>#VALUE!</v>
      </c>
    </row>
    <row r="54" customFormat="false" ht="13.8" hidden="false" customHeight="false" outlineLevel="0" collapsed="false">
      <c r="A54" s="29" t="s">
        <v>54</v>
      </c>
      <c r="B54" s="29" t="s">
        <v>76</v>
      </c>
      <c r="C54" s="29" t="n">
        <v>1666868</v>
      </c>
      <c r="D54" s="29" t="n">
        <v>1500181.2</v>
      </c>
      <c r="E54" s="29" t="n">
        <v>1350163.08</v>
      </c>
      <c r="F54" s="29" t="n">
        <v>1215146.772</v>
      </c>
      <c r="G54" s="30" t="n">
        <f aca="false">SUMIF($C$2:$F$2,EOMONTH(G$2,-1)+1,$C54:$F54)*VLOOKUP(G$2,Valores!$H$2:$P$154,8,0)</f>
        <v>48000.9708737864</v>
      </c>
      <c r="H54" s="30" t="n">
        <f aca="false">SUMIF($C$2:$F$2,EOMONTH(H$2,-1)+1,$C54:$F54)*VLOOKUP(H$2,Valores!$H$2:$P$154,8,0)</f>
        <v>32914.9514563107</v>
      </c>
      <c r="I54" s="30" t="n">
        <f aca="false">SUMIF($C$2:$F$2,EOMONTH(I$2,-1)+1,$C54:$F54)*VLOOKUP(I$2,Valores!$H$2:$P$154,8,0)</f>
        <v>32914.9514563107</v>
      </c>
      <c r="J54" s="30" t="n">
        <f aca="false">SUMIF($C$2:$F$2,EOMONTH(J$2,-1)+1,$C54:$F54)*VLOOKUP(J$2,Valores!$H$2:$P$154,8,0)</f>
        <v>32914.9514563107</v>
      </c>
      <c r="K54" s="30" t="n">
        <f aca="false">SUMIF($C$2:$F$2,EOMONTH(K$2,-1)+1,$C54:$F54)*VLOOKUP(K$2,Valores!$H$2:$P$154,8,0)</f>
        <v>32914.9514563107</v>
      </c>
      <c r="L54" s="30" t="n">
        <f aca="false">SUMIF($C$2:$F$2,EOMONTH(L$2,-1)+1,$C54:$F54)*VLOOKUP(L$2,Valores!$H$2:$P$154,8,0)</f>
        <v>65829.9029126214</v>
      </c>
      <c r="M54" s="30" t="n">
        <f aca="false">SUMIF($C$2:$F$2,EOMONTH(M$2,-1)+1,$C54:$F54)*VLOOKUP(M$2,Valores!$H$2:$P$154,8,0)</f>
        <v>82287.3786407767</v>
      </c>
      <c r="N54" s="30" t="n">
        <f aca="false">SUMIF($C$2:$F$2,EOMONTH(N$2,-1)+1,$C54:$F54)*VLOOKUP(N$2,Valores!$H$2:$P$154,8,0)</f>
        <v>49372.427184466</v>
      </c>
      <c r="O54" s="30" t="n">
        <f aca="false">SUMIF($C$2:$F$2,EOMONTH(O$2,-1)+1,$C54:$F54)*VLOOKUP(O$2,Valores!$H$2:$P$154,8,0)</f>
        <v>43886.6019417476</v>
      </c>
      <c r="P54" s="30" t="n">
        <f aca="false">SUMIF($C$2:$F$2,EOMONTH(P$2,-1)+1,$C54:$F54)*VLOOKUP(P$2,Valores!$H$2:$P$154,8,0)</f>
        <v>43886.6019417476</v>
      </c>
      <c r="Q54" s="30" t="n">
        <f aca="false">SUMIF($C$2:$F$2,EOMONTH(Q$2,-1)+1,$C54:$F54)*VLOOKUP(Q$2,Valores!$H$2:$P$154,8,0)</f>
        <v>26331.9611650485</v>
      </c>
      <c r="R54" s="30" t="n">
        <f aca="false">SUMIF($C$2:$F$2,EOMONTH(R$2,-1)+1,$C54:$F54)*VLOOKUP(R$2,Valores!$H$2:$P$154,8,0)</f>
        <v>43886.6019417476</v>
      </c>
      <c r="S54" s="30" t="n">
        <f aca="false">SUMIF($C$2:$F$2,EOMONTH(S$2,-1)+1,$C54:$F54)*VLOOKUP(S$2,Valores!$H$2:$P$154,8,0)</f>
        <v>87773.2038834951</v>
      </c>
      <c r="T54" s="30" t="n">
        <f aca="false">SUMIF($C$2:$F$2,EOMONTH(T$2,-1)+1,$C54:$F54)*VLOOKUP(T$2,Valores!$H$2:$P$154,8,0)</f>
        <v>109716.504854369</v>
      </c>
      <c r="U54" s="30" t="n">
        <f aca="false">SUMIF($C$2:$F$2,EOMONTH(U$2,-1)+1,$C54:$F54)*VLOOKUP(U$2,Valores!$H$2:$P$154,8,0)</f>
        <v>65829.9029126214</v>
      </c>
      <c r="V54" s="30" t="n">
        <f aca="false">SUMIF($C$2:$F$2,EOMONTH(V$2,-1)+1,$C54:$F54)*VLOOKUP(V$2,Valores!$H$2:$P$154,8,0)</f>
        <v>54858.2524271845</v>
      </c>
      <c r="W54" s="30" t="n">
        <f aca="false">SUMIF($C$2:$F$2,EOMONTH(W$2,-1)+1,$C54:$F54)*VLOOKUP(W$2,Valores!$H$2:$P$154,8,0)</f>
        <v>54858.2524271845</v>
      </c>
      <c r="X54" s="30" t="n">
        <f aca="false">SUMIF($C$2:$F$2,EOMONTH(X$2,-1)+1,$C54:$F54)*VLOOKUP(X$2,Valores!$H$2:$P$154,8,0)</f>
        <v>0</v>
      </c>
      <c r="Y54" s="30" t="n">
        <f aca="false">SUMIF($C$2:$F$2,EOMONTH(Y$2,-1)+1,$C54:$F54)*VLOOKUP(Y$2,Valores!$H$2:$P$154,8,0)</f>
        <v>0</v>
      </c>
      <c r="Z54" s="30" t="n">
        <f aca="false">SUMIF($C$2:$F$2,EOMONTH(Z$2,-1)+1,$C54:$F54)*VLOOKUP(Z$2,Valores!$H$2:$P$154,8,0)</f>
        <v>82287.3786407767</v>
      </c>
      <c r="AA54" s="30" t="n">
        <f aca="false">SUMIF($C$2:$F$2,EOMONTH(AA$2,-1)+1,$C54:$F54)*VLOOKUP(AA$2,Valores!$H$2:$P$154,8,0)</f>
        <v>98744.854368932</v>
      </c>
      <c r="AB54" s="30" t="n">
        <f aca="false">SUMIF($C$2:$F$2,EOMONTH(AB$2,-1)+1,$C54:$F54)*VLOOKUP(AB$2,Valores!$H$2:$P$154,8,0)</f>
        <v>49372.427184466</v>
      </c>
      <c r="AC54" s="30" t="n">
        <f aca="false">SUMIF($C$2:$F$2,EOMONTH(AC$2,-1)+1,$C54:$F54)*VLOOKUP(AC$2,Valores!$H$2:$P$154,8,0)</f>
        <v>60344.0776699029</v>
      </c>
      <c r="AD54" s="30" t="n">
        <f aca="false">SUMIF($C$2:$F$2,EOMONTH(AD$2,-1)+1,$C54:$F54)*VLOOKUP(AD$2,Valores!$H$2:$P$154,8,0)</f>
        <v>60344.0776699029</v>
      </c>
      <c r="AE54" s="30" t="n">
        <f aca="false">SUMIF($C$2:$F$2,EOMONTH(AE$2,-1)+1,$C54:$F54)*VLOOKUP(AE$2,Valores!$H$2:$P$154,8,0)</f>
        <v>60344.0776699029</v>
      </c>
      <c r="AF54" s="30" t="n">
        <f aca="false">SUMIF($C$2:$F$2,EOMONTH(AF$2,-1)+1,$C54:$F54)*VLOOKUP(AF$2,Valores!$H$2:$P$154,8,0)</f>
        <v>60344.0776699029</v>
      </c>
      <c r="AG54" s="30" t="n">
        <f aca="false">SUMIF($C$2:$F$2,EOMONTH(AG$2,-1)+1,$C54:$F54)*VLOOKUP(AG$2,Valores!$H$2:$P$154,8,0)</f>
        <v>96550.5242718447</v>
      </c>
      <c r="AH54" s="30" t="n">
        <f aca="false">SUMIF($C$2:$F$2,EOMONTH(AH$2,-1)+1,$C54:$F54)*VLOOKUP(AH$2,Valores!$H$2:$P$154,8,0)</f>
        <v>120688.155339806</v>
      </c>
      <c r="AI54" s="30" t="n">
        <f aca="false">SUMIF($C$2:$F$2,EOMONTH(AI$2,-1)+1,$C54:$F54)*VLOOKUP(AI$2,Valores!$H$2:$P$154,8,0)</f>
        <v>42240.854368932</v>
      </c>
      <c r="AJ54" s="30" t="n">
        <f aca="false">SUMIF($C$2:$F$2,EOMONTH(AJ$2,-1)+1,$C54:$F54)*VLOOKUP(AJ$2,Valores!$H$2:$P$154,8,0)</f>
        <v>27429.1262135922</v>
      </c>
      <c r="AK54" s="30" t="n">
        <f aca="false">SUMIF($C$2:$F$2,EOMONTH(AK$2,-1)+1,$C54:$F54)*VLOOKUP(AK$2,Valores!$H$2:$P$154,8,0)</f>
        <v>50019.1402510181</v>
      </c>
      <c r="AL54" s="30" t="n">
        <f aca="false">SUMIF($C$2:$F$2,EOMONTH(AL$2,-1)+1,$C54:$F54)*VLOOKUP(AL$2,Valores!$H$2:$P$154,8,0)</f>
        <v>50019.1402510181</v>
      </c>
      <c r="AM54" s="30" t="n">
        <f aca="false">SUMIF($C$2:$F$2,EOMONTH(AM$2,-1)+1,$C54:$F54)*VLOOKUP(AM$2,Valores!$H$2:$P$154,8,0)</f>
        <v>50019.1402510181</v>
      </c>
      <c r="AN54" s="30" t="n">
        <f aca="false">SUMIF($C$2:$F$2,EOMONTH(AN$2,-1)+1,$C54:$F54)*VLOOKUP(AN$2,Valores!$H$2:$P$154,8,0)</f>
        <v>100038.280502036</v>
      </c>
      <c r="AO54" s="30" t="n">
        <f aca="false">SUMIF($C$2:$F$2,EOMONTH(AO$2,-1)+1,$C54:$F54)*VLOOKUP(AO$2,Valores!$H$2:$P$154,8,0)</f>
        <v>125047.850627545</v>
      </c>
      <c r="AP54" s="30" t="n">
        <f aca="false">SUMIF($C$2:$F$2,EOMONTH(AP$2,-1)+1,$C54:$F54)*VLOOKUP(AP$2,Valores!$H$2:$P$154,8,0)</f>
        <v>75028.7103765272</v>
      </c>
      <c r="AQ54" s="30" t="n">
        <f aca="false">SUMIF($C$2:$F$2,EOMONTH(AQ$2,-1)+1,$C54:$F54)*VLOOKUP(AQ$2,Valores!$H$2:$P$154,8,0)</f>
        <v>26795.9679916168</v>
      </c>
      <c r="AR54" s="30" t="n">
        <f aca="false">SUMIF($C$2:$F$2,EOMONTH(AR$2,-1)+1,$C54:$F54)*VLOOKUP(AR$2,Valores!$H$2:$P$154,8,0)</f>
        <v>26795.9679916168</v>
      </c>
      <c r="AS54" s="30" t="n">
        <f aca="false">SUMIF($C$2:$F$2,EOMONTH(AS$2,-1)+1,$C54:$F54)*VLOOKUP(AS$2,Valores!$H$2:$P$154,8,0)</f>
        <v>26795.9679916168</v>
      </c>
      <c r="AT54" s="30" t="n">
        <f aca="false">SUMIF($C$2:$F$2,EOMONTH(AT$2,-1)+1,$C54:$F54)*VLOOKUP(AT$2,Valores!$H$2:$P$154,8,0)</f>
        <v>26795.9679916168</v>
      </c>
      <c r="AU54" s="30" t="n">
        <f aca="false">SUMIF($C$2:$F$2,EOMONTH(AU$2,-1)+1,$C54:$F54)*VLOOKUP(AU$2,Valores!$H$2:$P$154,8,0)</f>
        <v>53591.9359832337</v>
      </c>
      <c r="AV54" s="30" t="n">
        <f aca="false">SUMIF($C$2:$F$2,EOMONTH(AV$2,-1)+1,$C54:$F54)*VLOOKUP(AV$2,Valores!$H$2:$P$154,8,0)</f>
        <v>66989.9199790421</v>
      </c>
      <c r="AW54" s="30" t="n">
        <f aca="false">SUMIF($C$2:$F$2,EOMONTH(AW$2,-1)+1,$C54:$F54)*VLOOKUP(AW$2,Valores!$H$2:$P$154,8,0)</f>
        <v>40193.9519874253</v>
      </c>
      <c r="AX54" s="30" t="n">
        <f aca="false">SUMIF($C$2:$F$2,EOMONTH(AX$2,-1)+1,$C54:$F54)*VLOOKUP(AX$2,Valores!$H$2:$P$154,8,0)</f>
        <v>26795.9679916168</v>
      </c>
      <c r="AY54" s="30" t="n">
        <f aca="false">SUMIF($C$2:$F$2,EOMONTH(AY$2,-1)+1,$C54:$F54)*VLOOKUP(AY$2,Valores!$H$2:$P$154,8,0)</f>
        <v>34834.7583891019</v>
      </c>
      <c r="AZ54" s="30" t="n">
        <f aca="false">SUMIF($C$2:$F$2,EOMONTH(AZ$2,-1)+1,$C54:$F54)*VLOOKUP(AZ$2,Valores!$H$2:$P$154,8,0)</f>
        <v>34834.7583891019</v>
      </c>
      <c r="BA54" s="30" t="n">
        <f aca="false">SUMIF($C$2:$F$2,EOMONTH(BA$2,-1)+1,$C54:$F54)*VLOOKUP(BA$2,Valores!$H$2:$P$154,8,0)</f>
        <v>34834.7583891019</v>
      </c>
      <c r="BB54" s="30" t="n">
        <f aca="false">SUMIF($C$2:$F$2,EOMONTH(BB$2,-1)+1,$C54:$F54)*VLOOKUP(BB$2,Valores!$H$2:$P$154,8,0)</f>
        <v>61630.7263807188</v>
      </c>
      <c r="BC54" s="30" t="n">
        <f aca="false">SUMIF($C$2:$F$2,EOMONTH(BC$2,-1)+1,$C54:$F54)*VLOOKUP(BC$2,Valores!$H$2:$P$154,8,0)</f>
        <v>75028.7103765272</v>
      </c>
      <c r="BD54" s="30" t="n">
        <f aca="false">SUMIF($C$2:$F$2,EOMONTH(BD$2,-1)+1,$C54:$F54)*VLOOKUP(BD$2,Valores!$H$2:$P$154,8,0)</f>
        <v>40193.9519874253</v>
      </c>
      <c r="BE54" s="30" t="n">
        <f aca="false">SUMIF($C$2:$F$2,EOMONTH(BE$2,-1)+1,$C54:$F54)*VLOOKUP(BE$2,Valores!$H$2:$P$154,8,0)</f>
        <v>35727.9573221558</v>
      </c>
      <c r="BF54" s="30" t="n">
        <f aca="false">SUMIF($C$2:$F$2,EOMONTH(BF$2,-1)+1,$C54:$F54)*VLOOKUP(BF$2,Valores!$H$2:$P$154,8,0)</f>
        <v>35727.9573221558</v>
      </c>
      <c r="BG54" s="30" t="n">
        <f aca="false">SUMIF($C$2:$F$2,EOMONTH(BG$2,-1)+1,$C54:$F54)*VLOOKUP(BG$2,Valores!$H$2:$P$154,8,0)</f>
        <v>35727.9573221558</v>
      </c>
      <c r="BH54" s="30" t="n">
        <f aca="false">SUMIF($C$2:$F$2,EOMONTH(BH$2,-1)+1,$C54:$F54)*VLOOKUP(BH$2,Valores!$H$2:$P$154,8,0)</f>
        <v>35727.9573221558</v>
      </c>
      <c r="BI54" s="30" t="n">
        <f aca="false">SUMIF($C$2:$F$2,EOMONTH(BI$2,-1)+1,$C54:$F54)*VLOOKUP(BI$2,Valores!$H$2:$P$154,8,0)</f>
        <v>71455.9146443116</v>
      </c>
      <c r="BJ54" s="30" t="n">
        <f aca="false">SUMIF($C$2:$F$2,EOMONTH(BJ$2,-1)+1,$C54:$F54)*VLOOKUP(BJ$2,Valores!$H$2:$P$154,8,0)</f>
        <v>89319.8933053895</v>
      </c>
      <c r="BK54" s="30" t="n">
        <f aca="false">SUMIF($C$2:$F$2,EOMONTH(BK$2,-1)+1,$C54:$F54)*VLOOKUP(BK$2,Valores!$H$2:$P$154,8,0)</f>
        <v>42873.548786587</v>
      </c>
      <c r="BL54" s="30" t="n">
        <f aca="false">SUMIF($C$2:$F$2,EOMONTH(BL$2,-1)+1,$C54:$F54)*VLOOKUP(BL$2,Valores!$H$2:$P$154,8,0)</f>
        <v>31440.6024434971</v>
      </c>
      <c r="BM54" s="30" t="n">
        <f aca="false">SUMIF($C$2:$F$2,EOMONTH(BM$2,-1)+1,$C54:$F54)*VLOOKUP(BM$2,Valores!$H$2:$P$154,8,0)</f>
        <v>31440.6024434971</v>
      </c>
      <c r="BN54" s="30" t="n">
        <f aca="false">SUMIF($C$2:$F$2,EOMONTH(BN$2,-1)+1,$C54:$F54)*VLOOKUP(BN$2,Valores!$H$2:$P$154,8,0)</f>
        <v>31440.6024434971</v>
      </c>
      <c r="BO54" s="30" t="n">
        <f aca="false">SUMIF($C$2:$F$2,EOMONTH(BO$2,-1)+1,$C54:$F54)*VLOOKUP(BO$2,Valores!$H$2:$P$154,8,0)</f>
        <v>33012.632565672</v>
      </c>
      <c r="BP54" s="30" t="n">
        <f aca="false">SUMIF($C$2:$F$2,EOMONTH(BP$2,-1)+1,$C54:$F54)*VLOOKUP(BP$2,Valores!$H$2:$P$154,8,0)</f>
        <v>83077.8293374354</v>
      </c>
      <c r="BQ54" s="30" t="n">
        <f aca="false">SUMIF($C$2:$F$2,EOMONTH(BQ$2,-1)+1,$C54:$F54)*VLOOKUP(BQ$2,Valores!$H$2:$P$154,8,0)</f>
        <v>103847.286671794</v>
      </c>
      <c r="BR54" s="30" t="n">
        <f aca="false">SUMIF($C$2:$F$2,EOMONTH(BR$2,-1)+1,$C54:$F54)*VLOOKUP(BR$2,Valores!$H$2:$P$154,8,0)</f>
        <v>49846.6976024613</v>
      </c>
      <c r="BS54" s="30" t="n">
        <f aca="false">SUMIF($C$2:$F$2,EOMONTH(BS$2,-1)+1,$C54:$F54)*VLOOKUP(BS$2,Valores!$H$2:$P$154,8,0)</f>
        <v>22252.9900010988</v>
      </c>
      <c r="BT54" s="30" t="n">
        <f aca="false">SUMIF($C$2:$F$2,EOMONTH(BT$2,-1)+1,$C54:$F54)*VLOOKUP(BT$2,Valores!$H$2:$P$154,8,0)</f>
        <v>22252.9900010988</v>
      </c>
      <c r="BU54" s="30" t="n">
        <f aca="false">SUMIF($C$2:$F$2,EOMONTH(BU$2,-1)+1,$C54:$F54)*VLOOKUP(BU$2,Valores!$H$2:$P$154,8,0)</f>
        <v>22252.9900010988</v>
      </c>
      <c r="BV54" s="30" t="n">
        <f aca="false">SUMIF($C$2:$F$2,EOMONTH(BV$2,-1)+1,$C54:$F54)*VLOOKUP(BV$2,Valores!$H$2:$P$154,8,0)</f>
        <v>22252.9900010988</v>
      </c>
      <c r="BW54" s="30" t="n">
        <f aca="false">SUMIF($C$2:$F$2,EOMONTH(BW$2,-1)+1,$C54:$F54)*VLOOKUP(BW$2,Valores!$H$2:$P$154,8,0)</f>
        <v>44505.9800021975</v>
      </c>
      <c r="BX54" s="30" t="n">
        <f aca="false">SUMIF($C$2:$F$2,EOMONTH(BX$2,-1)+1,$C54:$F54)*VLOOKUP(BX$2,Valores!$H$2:$P$154,8,0)</f>
        <v>55632.4750027469</v>
      </c>
      <c r="BY54" s="30" t="n">
        <f aca="false">SUMIF($C$2:$F$2,EOMONTH(BY$2,-1)+1,$C54:$F54)*VLOOKUP(BY$2,Valores!$H$2:$P$154,8,0)</f>
        <v>33379.4850016482</v>
      </c>
      <c r="BZ54" s="30" t="n">
        <f aca="false">SUMIF($C$2:$F$2,EOMONTH(BZ$2,-1)+1,$C54:$F54)*VLOOKUP(BZ$2,Valores!$H$2:$P$154,8,0)</f>
        <v>22252.9900010988</v>
      </c>
      <c r="CA54" s="30" t="n">
        <f aca="false">SUMIF($C$2:$F$2,EOMONTH(CA$2,-1)+1,$C54:$F54)*VLOOKUP(CA$2,Valores!$H$2:$P$154,8,0)</f>
        <v>22252.9900010988</v>
      </c>
      <c r="CB54" s="30" t="n">
        <f aca="false">SUMIF($C$2:$F$2,EOMONTH(CB$2,-1)+1,$C54:$F54)*VLOOKUP(CB$2,Valores!$H$2:$P$154,8,0)</f>
        <v>22252.9900010988</v>
      </c>
      <c r="CC54" s="30" t="n">
        <f aca="false">SUMIF($C$2:$F$2,EOMONTH(CC$2,-1)+1,$C54:$F54)*VLOOKUP(CC$2,Valores!$H$2:$P$154,8,0)</f>
        <v>22252.9900010988</v>
      </c>
      <c r="CD54" s="30" t="n">
        <f aca="false">SUMIF($C$2:$F$2,EOMONTH(CD$2,-1)+1,$C54:$F54)*VLOOKUP(CD$2,Valores!$H$2:$P$154,8,0)</f>
        <v>66758.9700032963</v>
      </c>
      <c r="CE54" s="30" t="n">
        <f aca="false">SUMIF($C$2:$F$2,EOMONTH(CE$2,-1)+1,$C54:$F54)*VLOOKUP(CE$2,Valores!$H$2:$P$154,8,0)</f>
        <v>89011.9600043951</v>
      </c>
      <c r="CF54" s="30" t="n">
        <f aca="false">SUMIF($C$2:$F$2,EOMONTH(CF$2,-1)+1,$C54:$F54)*VLOOKUP(CF$2,Valores!$H$2:$P$154,8,0)</f>
        <v>55632.4750027469</v>
      </c>
      <c r="CG54" s="30" t="n">
        <f aca="false">SUMIF($C$2:$F$2,EOMONTH(CG$2,-1)+1,$C54:$F54)*VLOOKUP(CG$2,Valores!$H$2:$P$154,8,0)</f>
        <v>29670.6533347984</v>
      </c>
      <c r="CH54" s="30" t="n">
        <f aca="false">SUMIF($C$2:$F$2,EOMONTH(CH$2,-1)+1,$C54:$F54)*VLOOKUP(CH$2,Valores!$H$2:$P$154,8,0)</f>
        <v>29670.6533347984</v>
      </c>
      <c r="CI54" s="30" t="n">
        <f aca="false">SUMIF($C$2:$F$2,EOMONTH(CI$2,-1)+1,$C54:$F54)*VLOOKUP(CI$2,Valores!$H$2:$P$154,8,0)</f>
        <v>29670.6533347984</v>
      </c>
      <c r="CJ54" s="30" t="n">
        <f aca="false">SUMIF($C$2:$F$2,EOMONTH(CJ$2,-1)+1,$C54:$F54)*VLOOKUP(CJ$2,Valores!$H$2:$P$154,8,0)</f>
        <v>29670.6533347984</v>
      </c>
      <c r="CK54" s="30" t="n">
        <f aca="false">SUMIF($C$2:$F$2,EOMONTH(CK$2,-1)+1,$C54:$F54)*VLOOKUP(CK$2,Valores!$H$2:$P$154,8,0)</f>
        <v>59341.3066695967</v>
      </c>
      <c r="CL54" s="30" t="n">
        <f aca="false">SUMIF($C$2:$F$2,EOMONTH(CL$2,-1)+1,$C54:$F54)*VLOOKUP(CL$2,Valores!$H$2:$P$154,8,0)</f>
        <v>74176.6333369959</v>
      </c>
      <c r="CM54" s="30" t="n">
        <f aca="false">SUMIF($C$2:$F$2,EOMONTH(CM$2,-1)+1,$C54:$F54)*VLOOKUP(CM$2,Valores!$H$2:$P$154,8,0)</f>
        <v>44505.9800021975</v>
      </c>
      <c r="CN54" s="30" t="n">
        <f aca="false">SUMIF($C$2:$F$2,EOMONTH(CN$2,-1)+1,$C54:$F54)*VLOOKUP(CN$2,Valores!$H$2:$P$154,8,0)</f>
        <v>32637.7186682782</v>
      </c>
      <c r="CO54" s="30" t="n">
        <f aca="false">SUMIF($C$2:$F$2,EOMONTH(CO$2,-1)+1,$C54:$F54)*VLOOKUP(CO$2,Valores!$H$2:$P$154,8,0)</f>
        <v>32637.7186682782</v>
      </c>
      <c r="CP54" s="30" t="n">
        <f aca="false">SUMIF($C$2:$F$2,EOMONTH(CP$2,-1)+1,$C54:$F54)*VLOOKUP(CP$2,Valores!$H$2:$P$154,8,0)</f>
        <v>32637.7186682782</v>
      </c>
      <c r="CQ54" s="30" t="n">
        <f aca="false">SUMIF($C$2:$F$2,EOMONTH(CQ$2,-1)+1,$C54:$F54)*VLOOKUP(CQ$2,Valores!$H$2:$P$154,8,0)</f>
        <v>32637.7186682782</v>
      </c>
      <c r="CR54" s="30" t="n">
        <f aca="false">SUMIF($C$2:$F$2,EOMONTH(CR$2,-1)+1,$C54:$F54)*VLOOKUP(CR$2,Valores!$H$2:$P$154,8,0)</f>
        <v>65275.4373365564</v>
      </c>
      <c r="CS54" s="30" t="n">
        <f aca="false">SUMIF($C$2:$F$2,EOMONTH(CS$2,-1)+1,$C54:$F54)*VLOOKUP(CS$2,Valores!$H$2:$P$154,8,0)</f>
        <v>97913.1560048346</v>
      </c>
      <c r="CT54" s="30" t="e">
        <f aca="false">SUMIF($C$2:$F$2,EOMONTH(CT$2,-1)+1,$C54:$F54)*VLOOKUP(CT$2,Valores!$H$2:$P$154,8,0)</f>
        <v>#VALUE!</v>
      </c>
      <c r="CU54" s="30" t="e">
        <f aca="false">SUMIF($C$2:$F$2,EOMONTH(CU$2,-1)+1,$C54:$F54)*VLOOKUP(CU$2,Valores!$H$2:$P$154,8,0)</f>
        <v>#VALUE!</v>
      </c>
      <c r="CV54" s="30" t="e">
        <f aca="false">SUMIF($C$2:$F$2,EOMONTH(CV$2,-1)+1,$C54:$F54)*VLOOKUP(CV$2,Valores!$H$2:$P$154,8,0)</f>
        <v>#VALUE!</v>
      </c>
      <c r="CW54" s="30" t="e">
        <f aca="false">SUMIF($C$2:$F$2,EOMONTH(CW$2,-1)+1,$C54:$F54)*VLOOKUP(CW$2,Valores!$H$2:$P$154,8,0)</f>
        <v>#VALUE!</v>
      </c>
      <c r="CX54" s="30" t="e">
        <f aca="false">SUMIF($C$2:$F$2,EOMONTH(CX$2,-1)+1,$C54:$F54)*VLOOKUP(CX$2,Valores!$H$2:$P$154,8,0)</f>
        <v>#VALUE!</v>
      </c>
      <c r="CY54" s="30" t="e">
        <f aca="false">SUMIF($C$2:$F$2,EOMONTH(CY$2,-1)+1,$C54:$F54)*VLOOKUP(CY$2,Valores!$H$2:$P$154,8,0)</f>
        <v>#VALUE!</v>
      </c>
      <c r="CZ54" s="30" t="e">
        <f aca="false">SUMIF($C$2:$F$2,EOMONTH(CZ$2,-1)+1,$C54:$F54)*VLOOKUP(CZ$2,Valores!$H$2:$P$154,8,0)</f>
        <v>#VALUE!</v>
      </c>
      <c r="DA54" s="30" t="e">
        <f aca="false">SUMIF($C$2:$F$2,EOMONTH(DA$2,-1)+1,$C54:$F54)*VLOOKUP(DA$2,Valores!$H$2:$P$154,8,0)</f>
        <v>#VALUE!</v>
      </c>
      <c r="DB54" s="30" t="e">
        <f aca="false">SUMIF($C$2:$F$2,EOMONTH(DB$2,-1)+1,$C54:$F54)*VLOOKUP(DB$2,Valores!$H$2:$P$154,8,0)</f>
        <v>#VALUE!</v>
      </c>
      <c r="DC54" s="30" t="e">
        <f aca="false">SUMIF($C$2:$F$2,EOMONTH(DC$2,-1)+1,$C54:$F54)*VLOOKUP(DC$2,Valores!$H$2:$P$154,8,0)</f>
        <v>#VALUE!</v>
      </c>
      <c r="DD54" s="30" t="e">
        <f aca="false">SUMIF($C$2:$F$2,EOMONTH(DD$2,-1)+1,$C54:$F54)*VLOOKUP(DD$2,Valores!$H$2:$P$154,8,0)</f>
        <v>#VALUE!</v>
      </c>
      <c r="DE54" s="30" t="e">
        <f aca="false">SUMIF($C$2:$F$2,EOMONTH(DE$2,-1)+1,$C54:$F54)*VLOOKUP(DE$2,Valores!$H$2:$P$154,8,0)</f>
        <v>#VALUE!</v>
      </c>
      <c r="DF54" s="30" t="e">
        <f aca="false">SUMIF($C$2:$F$2,EOMONTH(DF$2,-1)+1,$C54:$F54)*VLOOKUP(DF$2,Valores!$H$2:$P$154,8,0)</f>
        <v>#VALUE!</v>
      </c>
      <c r="DG54" s="30" t="e">
        <f aca="false">SUMIF($C$2:$F$2,EOMONTH(DG$2,-1)+1,$C54:$F54)*VLOOKUP(DG$2,Valores!$H$2:$P$154,8,0)</f>
        <v>#VALUE!</v>
      </c>
      <c r="DH54" s="30" t="e">
        <f aca="false">SUMIF($C$2:$F$2,EOMONTH(DH$2,-1)+1,$C54:$F54)*VLOOKUP(DH$2,Valores!$H$2:$P$154,8,0)</f>
        <v>#VALUE!</v>
      </c>
      <c r="DI54" s="30" t="e">
        <f aca="false">SUMIF($C$2:$F$2,EOMONTH(DI$2,-1)+1,$C54:$F54)*VLOOKUP(DI$2,Valores!$H$2:$P$154,8,0)</f>
        <v>#VALUE!</v>
      </c>
      <c r="DJ54" s="30" t="e">
        <f aca="false">SUMIF($C$2:$F$2,EOMONTH(DJ$2,-1)+1,$C54:$F54)*VLOOKUP(DJ$2,Valores!$H$2:$P$154,8,0)</f>
        <v>#VALUE!</v>
      </c>
      <c r="DK54" s="30" t="e">
        <f aca="false">SUMIF($C$2:$F$2,EOMONTH(DK$2,-1)+1,$C54:$F54)*VLOOKUP(DK$2,Valores!$H$2:$P$154,8,0)</f>
        <v>#VALUE!</v>
      </c>
      <c r="DL54" s="30" t="e">
        <f aca="false">SUMIF($C$2:$F$2,EOMONTH(DL$2,-1)+1,$C54:$F54)*VLOOKUP(DL$2,Valores!$H$2:$P$154,8,0)</f>
        <v>#VALUE!</v>
      </c>
      <c r="DM54" s="30" t="e">
        <f aca="false">SUMIF($C$2:$F$2,EOMONTH(DM$2,-1)+1,$C54:$F54)*VLOOKUP(DM$2,Valores!$H$2:$P$154,8,0)</f>
        <v>#VALUE!</v>
      </c>
      <c r="DN54" s="30" t="e">
        <f aca="false">SUMIF($C$2:$F$2,EOMONTH(DN$2,-1)+1,$C54:$F54)*VLOOKUP(DN$2,Valores!$H$2:$P$154,8,0)</f>
        <v>#VALUE!</v>
      </c>
      <c r="DO54" s="30" t="e">
        <f aca="false">SUMIF($C$2:$F$2,EOMONTH(DO$2,-1)+1,$C54:$F54)*VLOOKUP(DO$2,Valores!$H$2:$P$154,8,0)</f>
        <v>#VALUE!</v>
      </c>
      <c r="DP54" s="30" t="e">
        <f aca="false">SUMIF($C$2:$F$2,EOMONTH(DP$2,-1)+1,$C54:$F54)*VLOOKUP(DP$2,Valores!$H$2:$P$154,8,0)</f>
        <v>#VALUE!</v>
      </c>
      <c r="DQ54" s="30" t="e">
        <f aca="false">SUMIF($C$2:$F$2,EOMONTH(DQ$2,-1)+1,$C54:$F54)*VLOOKUP(DQ$2,Valores!$H$2:$P$154,8,0)</f>
        <v>#VALUE!</v>
      </c>
      <c r="DR54" s="30" t="e">
        <f aca="false">SUMIF($C$2:$F$2,EOMONTH(DR$2,-1)+1,$C54:$F54)*VLOOKUP(DR$2,Valores!$H$2:$P$154,8,0)</f>
        <v>#VALUE!</v>
      </c>
      <c r="DS54" s="30" t="e">
        <f aca="false">SUMIF($C$2:$F$2,EOMONTH(DS$2,-1)+1,$C54:$F54)*VLOOKUP(DS$2,Valores!$H$2:$P$154,8,0)</f>
        <v>#VALUE!</v>
      </c>
      <c r="DT54" s="30" t="e">
        <f aca="false">SUMIF($C$2:$F$2,EOMONTH(DT$2,-1)+1,$C54:$F54)*VLOOKUP(DT$2,Valores!$H$2:$P$154,8,0)</f>
        <v>#VALUE!</v>
      </c>
      <c r="DU54" s="30" t="e">
        <f aca="false">SUMIF($C$2:$F$2,EOMONTH(DU$2,-1)+1,$C54:$F54)*VLOOKUP(DU$2,Valores!$H$2:$P$154,8,0)</f>
        <v>#VALUE!</v>
      </c>
      <c r="DV54" s="30" t="e">
        <f aca="false">SUMIF($C$2:$F$2,EOMONTH(DV$2,-1)+1,$C54:$F54)*VLOOKUP(DV$2,Valores!$H$2:$P$154,8,0)</f>
        <v>#VALUE!</v>
      </c>
      <c r="DW54" s="30" t="e">
        <f aca="false">SUMIF($C$2:$F$2,EOMONTH(DW$2,-1)+1,$C54:$F54)*VLOOKUP(DW$2,Valores!$H$2:$P$154,8,0)</f>
        <v>#VALUE!</v>
      </c>
      <c r="DX54" s="30" t="e">
        <f aca="false">SUMIF($C$2:$F$2,EOMONTH(DX$2,-1)+1,$C54:$F54)*VLOOKUP(DX$2,Valores!$H$2:$P$154,8,0)</f>
        <v>#VALUE!</v>
      </c>
    </row>
    <row r="55" customFormat="false" ht="13.8" hidden="false" customHeight="false" outlineLevel="0" collapsed="false">
      <c r="A55" s="31" t="s">
        <v>54</v>
      </c>
      <c r="B55" s="31" t="s">
        <v>77</v>
      </c>
      <c r="C55" s="31" t="n">
        <v>1789312</v>
      </c>
      <c r="D55" s="31" t="n">
        <v>1610380.8</v>
      </c>
      <c r="E55" s="31" t="n">
        <v>1449342.72</v>
      </c>
      <c r="F55" s="31" t="n">
        <v>1304408.448</v>
      </c>
      <c r="G55" s="27" t="n">
        <f aca="false">SUMIF($C$2:$F$2,EOMONTH(G$2,-1)+1,$C55:$F55)*VLOOKUP(G$2,Valores!$H$2:$P$154,8,0)</f>
        <v>51527.0034556525</v>
      </c>
      <c r="H55" s="27" t="n">
        <f aca="false">SUMIF($C$2:$F$2,EOMONTH(H$2,-1)+1,$C55:$F55)*VLOOKUP(H$2,Valores!$H$2:$P$154,8,0)</f>
        <v>35332.8023695903</v>
      </c>
      <c r="I55" s="27" t="n">
        <f aca="false">SUMIF($C$2:$F$2,EOMONTH(I$2,-1)+1,$C55:$F55)*VLOOKUP(I$2,Valores!$H$2:$P$154,8,0)</f>
        <v>35332.8023695903</v>
      </c>
      <c r="J55" s="27" t="n">
        <f aca="false">SUMIF($C$2:$F$2,EOMONTH(J$2,-1)+1,$C55:$F55)*VLOOKUP(J$2,Valores!$H$2:$P$154,8,0)</f>
        <v>35332.8023695903</v>
      </c>
      <c r="K55" s="27" t="n">
        <f aca="false">SUMIF($C$2:$F$2,EOMONTH(K$2,-1)+1,$C55:$F55)*VLOOKUP(K$2,Valores!$H$2:$P$154,8,0)</f>
        <v>35332.8023695903</v>
      </c>
      <c r="L55" s="27" t="n">
        <f aca="false">SUMIF($C$2:$F$2,EOMONTH(L$2,-1)+1,$C55:$F55)*VLOOKUP(L$2,Valores!$H$2:$P$154,8,0)</f>
        <v>70665.6047391805</v>
      </c>
      <c r="M55" s="27" t="n">
        <f aca="false">SUMIF($C$2:$F$2,EOMONTH(M$2,-1)+1,$C55:$F55)*VLOOKUP(M$2,Valores!$H$2:$P$154,8,0)</f>
        <v>88332.0059239756</v>
      </c>
      <c r="N55" s="27" t="n">
        <f aca="false">SUMIF($C$2:$F$2,EOMONTH(N$2,-1)+1,$C55:$F55)*VLOOKUP(N$2,Valores!$H$2:$P$154,8,0)</f>
        <v>52999.2035543854</v>
      </c>
      <c r="O55" s="27" t="n">
        <f aca="false">SUMIF($C$2:$F$2,EOMONTH(O$2,-1)+1,$C55:$F55)*VLOOKUP(O$2,Valores!$H$2:$P$154,8,0)</f>
        <v>47110.4031594537</v>
      </c>
      <c r="P55" s="27" t="n">
        <f aca="false">SUMIF($C$2:$F$2,EOMONTH(P$2,-1)+1,$C55:$F55)*VLOOKUP(P$2,Valores!$H$2:$P$154,8,0)</f>
        <v>47110.4031594537</v>
      </c>
      <c r="Q55" s="27" t="n">
        <f aca="false">SUMIF($C$2:$F$2,EOMONTH(Q$2,-1)+1,$C55:$F55)*VLOOKUP(Q$2,Valores!$H$2:$P$154,8,0)</f>
        <v>28266.2418956722</v>
      </c>
      <c r="R55" s="27" t="n">
        <f aca="false">SUMIF($C$2:$F$2,EOMONTH(R$2,-1)+1,$C55:$F55)*VLOOKUP(R$2,Valores!$H$2:$P$154,8,0)</f>
        <v>47110.4031594537</v>
      </c>
      <c r="S55" s="27" t="n">
        <f aca="false">SUMIF($C$2:$F$2,EOMONTH(S$2,-1)+1,$C55:$F55)*VLOOKUP(S$2,Valores!$H$2:$P$154,8,0)</f>
        <v>94220.8063189073</v>
      </c>
      <c r="T55" s="27" t="n">
        <f aca="false">SUMIF($C$2:$F$2,EOMONTH(T$2,-1)+1,$C55:$F55)*VLOOKUP(T$2,Valores!$H$2:$P$154,8,0)</f>
        <v>117776.007898634</v>
      </c>
      <c r="U55" s="27" t="n">
        <f aca="false">SUMIF($C$2:$F$2,EOMONTH(U$2,-1)+1,$C55:$F55)*VLOOKUP(U$2,Valores!$H$2:$P$154,8,0)</f>
        <v>70665.6047391805</v>
      </c>
      <c r="V55" s="27" t="n">
        <f aca="false">SUMIF($C$2:$F$2,EOMONTH(V$2,-1)+1,$C55:$F55)*VLOOKUP(V$2,Valores!$H$2:$P$154,8,0)</f>
        <v>58888.0039493171</v>
      </c>
      <c r="W55" s="27" t="n">
        <f aca="false">SUMIF($C$2:$F$2,EOMONTH(W$2,-1)+1,$C55:$F55)*VLOOKUP(W$2,Valores!$H$2:$P$154,8,0)</f>
        <v>58888.0039493171</v>
      </c>
      <c r="X55" s="27" t="n">
        <f aca="false">SUMIF($C$2:$F$2,EOMONTH(X$2,-1)+1,$C55:$F55)*VLOOKUP(X$2,Valores!$H$2:$P$154,8,0)</f>
        <v>0</v>
      </c>
      <c r="Y55" s="27" t="n">
        <f aca="false">SUMIF($C$2:$F$2,EOMONTH(Y$2,-1)+1,$C55:$F55)*VLOOKUP(Y$2,Valores!$H$2:$P$154,8,0)</f>
        <v>0</v>
      </c>
      <c r="Z55" s="27" t="n">
        <f aca="false">SUMIF($C$2:$F$2,EOMONTH(Z$2,-1)+1,$C55:$F55)*VLOOKUP(Z$2,Valores!$H$2:$P$154,8,0)</f>
        <v>88332.0059239756</v>
      </c>
      <c r="AA55" s="27" t="n">
        <f aca="false">SUMIF($C$2:$F$2,EOMONTH(AA$2,-1)+1,$C55:$F55)*VLOOKUP(AA$2,Valores!$H$2:$P$154,8,0)</f>
        <v>105998.407108771</v>
      </c>
      <c r="AB55" s="27" t="n">
        <f aca="false">SUMIF($C$2:$F$2,EOMONTH(AB$2,-1)+1,$C55:$F55)*VLOOKUP(AB$2,Valores!$H$2:$P$154,8,0)</f>
        <v>52999.2035543854</v>
      </c>
      <c r="AC55" s="27" t="n">
        <f aca="false">SUMIF($C$2:$F$2,EOMONTH(AC$2,-1)+1,$C55:$F55)*VLOOKUP(AC$2,Valores!$H$2:$P$154,8,0)</f>
        <v>64776.8043442488</v>
      </c>
      <c r="AD55" s="27" t="n">
        <f aca="false">SUMIF($C$2:$F$2,EOMONTH(AD$2,-1)+1,$C55:$F55)*VLOOKUP(AD$2,Valores!$H$2:$P$154,8,0)</f>
        <v>64776.8043442488</v>
      </c>
      <c r="AE55" s="27" t="n">
        <f aca="false">SUMIF($C$2:$F$2,EOMONTH(AE$2,-1)+1,$C55:$F55)*VLOOKUP(AE$2,Valores!$H$2:$P$154,8,0)</f>
        <v>64776.8043442488</v>
      </c>
      <c r="AF55" s="27" t="n">
        <f aca="false">SUMIF($C$2:$F$2,EOMONTH(AF$2,-1)+1,$C55:$F55)*VLOOKUP(AF$2,Valores!$H$2:$P$154,8,0)</f>
        <v>64776.8043442488</v>
      </c>
      <c r="AG55" s="27" t="n">
        <f aca="false">SUMIF($C$2:$F$2,EOMONTH(AG$2,-1)+1,$C55:$F55)*VLOOKUP(AG$2,Valores!$H$2:$P$154,8,0)</f>
        <v>103642.886950798</v>
      </c>
      <c r="AH55" s="27" t="n">
        <f aca="false">SUMIF($C$2:$F$2,EOMONTH(AH$2,-1)+1,$C55:$F55)*VLOOKUP(AH$2,Valores!$H$2:$P$154,8,0)</f>
        <v>129553.608688498</v>
      </c>
      <c r="AI55" s="27" t="n">
        <f aca="false">SUMIF($C$2:$F$2,EOMONTH(AI$2,-1)+1,$C55:$F55)*VLOOKUP(AI$2,Valores!$H$2:$P$154,8,0)</f>
        <v>45343.7630409742</v>
      </c>
      <c r="AJ55" s="27" t="n">
        <f aca="false">SUMIF($C$2:$F$2,EOMONTH(AJ$2,-1)+1,$C55:$F55)*VLOOKUP(AJ$2,Valores!$H$2:$P$154,8,0)</f>
        <v>29444.0019746586</v>
      </c>
      <c r="AK55" s="27" t="n">
        <f aca="false">SUMIF($C$2:$F$2,EOMONTH(AK$2,-1)+1,$C55:$F55)*VLOOKUP(AK$2,Valores!$H$2:$P$154,8,0)</f>
        <v>53693.4225630522</v>
      </c>
      <c r="AL55" s="27" t="n">
        <f aca="false">SUMIF($C$2:$F$2,EOMONTH(AL$2,-1)+1,$C55:$F55)*VLOOKUP(AL$2,Valores!$H$2:$P$154,8,0)</f>
        <v>53693.4225630522</v>
      </c>
      <c r="AM55" s="27" t="n">
        <f aca="false">SUMIF($C$2:$F$2,EOMONTH(AM$2,-1)+1,$C55:$F55)*VLOOKUP(AM$2,Valores!$H$2:$P$154,8,0)</f>
        <v>53693.4225630522</v>
      </c>
      <c r="AN55" s="27" t="n">
        <f aca="false">SUMIF($C$2:$F$2,EOMONTH(AN$2,-1)+1,$C55:$F55)*VLOOKUP(AN$2,Valores!$H$2:$P$154,8,0)</f>
        <v>107386.845126104</v>
      </c>
      <c r="AO55" s="27" t="n">
        <f aca="false">SUMIF($C$2:$F$2,EOMONTH(AO$2,-1)+1,$C55:$F55)*VLOOKUP(AO$2,Valores!$H$2:$P$154,8,0)</f>
        <v>134233.556407631</v>
      </c>
      <c r="AP55" s="27" t="n">
        <f aca="false">SUMIF($C$2:$F$2,EOMONTH(AP$2,-1)+1,$C55:$F55)*VLOOKUP(AP$2,Valores!$H$2:$P$154,8,0)</f>
        <v>80540.1338445783</v>
      </c>
      <c r="AQ55" s="27" t="n">
        <f aca="false">SUMIF($C$2:$F$2,EOMONTH(AQ$2,-1)+1,$C55:$F55)*VLOOKUP(AQ$2,Valores!$H$2:$P$154,8,0)</f>
        <v>28764.3335159208</v>
      </c>
      <c r="AR55" s="27" t="n">
        <f aca="false">SUMIF($C$2:$F$2,EOMONTH(AR$2,-1)+1,$C55:$F55)*VLOOKUP(AR$2,Valores!$H$2:$P$154,8,0)</f>
        <v>28764.3335159208</v>
      </c>
      <c r="AS55" s="27" t="n">
        <f aca="false">SUMIF($C$2:$F$2,EOMONTH(AS$2,-1)+1,$C55:$F55)*VLOOKUP(AS$2,Valores!$H$2:$P$154,8,0)</f>
        <v>28764.3335159208</v>
      </c>
      <c r="AT55" s="27" t="n">
        <f aca="false">SUMIF($C$2:$F$2,EOMONTH(AT$2,-1)+1,$C55:$F55)*VLOOKUP(AT$2,Valores!$H$2:$P$154,8,0)</f>
        <v>28764.3335159208</v>
      </c>
      <c r="AU55" s="27" t="n">
        <f aca="false">SUMIF($C$2:$F$2,EOMONTH(AU$2,-1)+1,$C55:$F55)*VLOOKUP(AU$2,Valores!$H$2:$P$154,8,0)</f>
        <v>57528.6670318417</v>
      </c>
      <c r="AV55" s="27" t="n">
        <f aca="false">SUMIF($C$2:$F$2,EOMONTH(AV$2,-1)+1,$C55:$F55)*VLOOKUP(AV$2,Valores!$H$2:$P$154,8,0)</f>
        <v>71910.8337898021</v>
      </c>
      <c r="AW55" s="27" t="n">
        <f aca="false">SUMIF($C$2:$F$2,EOMONTH(AW$2,-1)+1,$C55:$F55)*VLOOKUP(AW$2,Valores!$H$2:$P$154,8,0)</f>
        <v>43146.5002738812</v>
      </c>
      <c r="AX55" s="27" t="n">
        <f aca="false">SUMIF($C$2:$F$2,EOMONTH(AX$2,-1)+1,$C55:$F55)*VLOOKUP(AX$2,Valores!$H$2:$P$154,8,0)</f>
        <v>28764.3335159208</v>
      </c>
      <c r="AY55" s="27" t="n">
        <f aca="false">SUMIF($C$2:$F$2,EOMONTH(AY$2,-1)+1,$C55:$F55)*VLOOKUP(AY$2,Valores!$H$2:$P$154,8,0)</f>
        <v>37393.6335706971</v>
      </c>
      <c r="AZ55" s="27" t="n">
        <f aca="false">SUMIF($C$2:$F$2,EOMONTH(AZ$2,-1)+1,$C55:$F55)*VLOOKUP(AZ$2,Valores!$H$2:$P$154,8,0)</f>
        <v>37393.6335706971</v>
      </c>
      <c r="BA55" s="27" t="n">
        <f aca="false">SUMIF($C$2:$F$2,EOMONTH(BA$2,-1)+1,$C55:$F55)*VLOOKUP(BA$2,Valores!$H$2:$P$154,8,0)</f>
        <v>37393.6335706971</v>
      </c>
      <c r="BB55" s="27" t="n">
        <f aca="false">SUMIF($C$2:$F$2,EOMONTH(BB$2,-1)+1,$C55:$F55)*VLOOKUP(BB$2,Valores!$H$2:$P$154,8,0)</f>
        <v>66157.9670866179</v>
      </c>
      <c r="BC55" s="27" t="n">
        <f aca="false">SUMIF($C$2:$F$2,EOMONTH(BC$2,-1)+1,$C55:$F55)*VLOOKUP(BC$2,Valores!$H$2:$P$154,8,0)</f>
        <v>80540.1338445783</v>
      </c>
      <c r="BD55" s="27" t="n">
        <f aca="false">SUMIF($C$2:$F$2,EOMONTH(BD$2,-1)+1,$C55:$F55)*VLOOKUP(BD$2,Valores!$H$2:$P$154,8,0)</f>
        <v>43146.5002738812</v>
      </c>
      <c r="BE55" s="27" t="n">
        <f aca="false">SUMIF($C$2:$F$2,EOMONTH(BE$2,-1)+1,$C55:$F55)*VLOOKUP(BE$2,Valores!$H$2:$P$154,8,0)</f>
        <v>38352.4446878944</v>
      </c>
      <c r="BF55" s="27" t="n">
        <f aca="false">SUMIF($C$2:$F$2,EOMONTH(BF$2,-1)+1,$C55:$F55)*VLOOKUP(BF$2,Valores!$H$2:$P$154,8,0)</f>
        <v>38352.4446878944</v>
      </c>
      <c r="BG55" s="27" t="n">
        <f aca="false">SUMIF($C$2:$F$2,EOMONTH(BG$2,-1)+1,$C55:$F55)*VLOOKUP(BG$2,Valores!$H$2:$P$154,8,0)</f>
        <v>38352.4446878944</v>
      </c>
      <c r="BH55" s="27" t="n">
        <f aca="false">SUMIF($C$2:$F$2,EOMONTH(BH$2,-1)+1,$C55:$F55)*VLOOKUP(BH$2,Valores!$H$2:$P$154,8,0)</f>
        <v>38352.4446878944</v>
      </c>
      <c r="BI55" s="27" t="n">
        <f aca="false">SUMIF($C$2:$F$2,EOMONTH(BI$2,-1)+1,$C55:$F55)*VLOOKUP(BI$2,Valores!$H$2:$P$154,8,0)</f>
        <v>76704.8893757889</v>
      </c>
      <c r="BJ55" s="27" t="n">
        <f aca="false">SUMIF($C$2:$F$2,EOMONTH(BJ$2,-1)+1,$C55:$F55)*VLOOKUP(BJ$2,Valores!$H$2:$P$154,8,0)</f>
        <v>95881.1117197361</v>
      </c>
      <c r="BK55" s="27" t="n">
        <f aca="false">SUMIF($C$2:$F$2,EOMONTH(BK$2,-1)+1,$C55:$F55)*VLOOKUP(BK$2,Valores!$H$2:$P$154,8,0)</f>
        <v>46022.9336254733</v>
      </c>
      <c r="BL55" s="27" t="n">
        <f aca="false">SUMIF($C$2:$F$2,EOMONTH(BL$2,-1)+1,$C55:$F55)*VLOOKUP(BL$2,Valores!$H$2:$P$154,8,0)</f>
        <v>33750.1513253471</v>
      </c>
      <c r="BM55" s="27" t="n">
        <f aca="false">SUMIF($C$2:$F$2,EOMONTH(BM$2,-1)+1,$C55:$F55)*VLOOKUP(BM$2,Valores!$H$2:$P$154,8,0)</f>
        <v>33750.1513253471</v>
      </c>
      <c r="BN55" s="27" t="n">
        <f aca="false">SUMIF($C$2:$F$2,EOMONTH(BN$2,-1)+1,$C55:$F55)*VLOOKUP(BN$2,Valores!$H$2:$P$154,8,0)</f>
        <v>33750.1513253471</v>
      </c>
      <c r="BO55" s="27" t="n">
        <f aca="false">SUMIF($C$2:$F$2,EOMONTH(BO$2,-1)+1,$C55:$F55)*VLOOKUP(BO$2,Valores!$H$2:$P$154,8,0)</f>
        <v>35437.6588916145</v>
      </c>
      <c r="BP55" s="27" t="n">
        <f aca="false">SUMIF($C$2:$F$2,EOMONTH(BP$2,-1)+1,$C55:$F55)*VLOOKUP(BP$2,Valores!$H$2:$P$154,8,0)</f>
        <v>89180.5211734974</v>
      </c>
      <c r="BQ55" s="27" t="n">
        <f aca="false">SUMIF($C$2:$F$2,EOMONTH(BQ$2,-1)+1,$C55:$F55)*VLOOKUP(BQ$2,Valores!$H$2:$P$154,8,0)</f>
        <v>111475.651466872</v>
      </c>
      <c r="BR55" s="27" t="n">
        <f aca="false">SUMIF($C$2:$F$2,EOMONTH(BR$2,-1)+1,$C55:$F55)*VLOOKUP(BR$2,Valores!$H$2:$P$154,8,0)</f>
        <v>53508.3127040984</v>
      </c>
      <c r="BS55" s="27" t="n">
        <f aca="false">SUMIF($C$2:$F$2,EOMONTH(BS$2,-1)+1,$C55:$F55)*VLOOKUP(BS$2,Valores!$H$2:$P$154,8,0)</f>
        <v>23887.6396000439</v>
      </c>
      <c r="BT55" s="27" t="n">
        <f aca="false">SUMIF($C$2:$F$2,EOMONTH(BT$2,-1)+1,$C55:$F55)*VLOOKUP(BT$2,Valores!$H$2:$P$154,8,0)</f>
        <v>23887.6396000439</v>
      </c>
      <c r="BU55" s="27" t="n">
        <f aca="false">SUMIF($C$2:$F$2,EOMONTH(BU$2,-1)+1,$C55:$F55)*VLOOKUP(BU$2,Valores!$H$2:$P$154,8,0)</f>
        <v>23887.6396000439</v>
      </c>
      <c r="BV55" s="27" t="n">
        <f aca="false">SUMIF($C$2:$F$2,EOMONTH(BV$2,-1)+1,$C55:$F55)*VLOOKUP(BV$2,Valores!$H$2:$P$154,8,0)</f>
        <v>23887.6396000439</v>
      </c>
      <c r="BW55" s="27" t="n">
        <f aca="false">SUMIF($C$2:$F$2,EOMONTH(BW$2,-1)+1,$C55:$F55)*VLOOKUP(BW$2,Valores!$H$2:$P$154,8,0)</f>
        <v>47775.2792000879</v>
      </c>
      <c r="BX55" s="27" t="n">
        <f aca="false">SUMIF($C$2:$F$2,EOMONTH(BX$2,-1)+1,$C55:$F55)*VLOOKUP(BX$2,Valores!$H$2:$P$154,8,0)</f>
        <v>59719.0990001098</v>
      </c>
      <c r="BY55" s="27" t="n">
        <f aca="false">SUMIF($C$2:$F$2,EOMONTH(BY$2,-1)+1,$C55:$F55)*VLOOKUP(BY$2,Valores!$H$2:$P$154,8,0)</f>
        <v>35831.4594000659</v>
      </c>
      <c r="BZ55" s="27" t="n">
        <f aca="false">SUMIF($C$2:$F$2,EOMONTH(BZ$2,-1)+1,$C55:$F55)*VLOOKUP(BZ$2,Valores!$H$2:$P$154,8,0)</f>
        <v>23887.6396000439</v>
      </c>
      <c r="CA55" s="27" t="n">
        <f aca="false">SUMIF($C$2:$F$2,EOMONTH(CA$2,-1)+1,$C55:$F55)*VLOOKUP(CA$2,Valores!$H$2:$P$154,8,0)</f>
        <v>23887.6396000439</v>
      </c>
      <c r="CB55" s="27" t="n">
        <f aca="false">SUMIF($C$2:$F$2,EOMONTH(CB$2,-1)+1,$C55:$F55)*VLOOKUP(CB$2,Valores!$H$2:$P$154,8,0)</f>
        <v>23887.6396000439</v>
      </c>
      <c r="CC55" s="27" t="n">
        <f aca="false">SUMIF($C$2:$F$2,EOMONTH(CC$2,-1)+1,$C55:$F55)*VLOOKUP(CC$2,Valores!$H$2:$P$154,8,0)</f>
        <v>23887.6396000439</v>
      </c>
      <c r="CD55" s="27" t="n">
        <f aca="false">SUMIF($C$2:$F$2,EOMONTH(CD$2,-1)+1,$C55:$F55)*VLOOKUP(CD$2,Valores!$H$2:$P$154,8,0)</f>
        <v>71662.9188001318</v>
      </c>
      <c r="CE55" s="27" t="n">
        <f aca="false">SUMIF($C$2:$F$2,EOMONTH(CE$2,-1)+1,$C55:$F55)*VLOOKUP(CE$2,Valores!$H$2:$P$154,8,0)</f>
        <v>95550.5584001758</v>
      </c>
      <c r="CF55" s="27" t="n">
        <f aca="false">SUMIF($C$2:$F$2,EOMONTH(CF$2,-1)+1,$C55:$F55)*VLOOKUP(CF$2,Valores!$H$2:$P$154,8,0)</f>
        <v>59719.0990001098</v>
      </c>
      <c r="CG55" s="27" t="n">
        <f aca="false">SUMIF($C$2:$F$2,EOMONTH(CG$2,-1)+1,$C55:$F55)*VLOOKUP(CG$2,Valores!$H$2:$P$154,8,0)</f>
        <v>31850.1861333919</v>
      </c>
      <c r="CH55" s="27" t="n">
        <f aca="false">SUMIF($C$2:$F$2,EOMONTH(CH$2,-1)+1,$C55:$F55)*VLOOKUP(CH$2,Valores!$H$2:$P$154,8,0)</f>
        <v>31850.1861333919</v>
      </c>
      <c r="CI55" s="27" t="n">
        <f aca="false">SUMIF($C$2:$F$2,EOMONTH(CI$2,-1)+1,$C55:$F55)*VLOOKUP(CI$2,Valores!$H$2:$P$154,8,0)</f>
        <v>31850.1861333919</v>
      </c>
      <c r="CJ55" s="27" t="n">
        <f aca="false">SUMIF($C$2:$F$2,EOMONTH(CJ$2,-1)+1,$C55:$F55)*VLOOKUP(CJ$2,Valores!$H$2:$P$154,8,0)</f>
        <v>31850.1861333919</v>
      </c>
      <c r="CK55" s="27" t="n">
        <f aca="false">SUMIF($C$2:$F$2,EOMONTH(CK$2,-1)+1,$C55:$F55)*VLOOKUP(CK$2,Valores!$H$2:$P$154,8,0)</f>
        <v>63700.3722667839</v>
      </c>
      <c r="CL55" s="27" t="n">
        <f aca="false">SUMIF($C$2:$F$2,EOMONTH(CL$2,-1)+1,$C55:$F55)*VLOOKUP(CL$2,Valores!$H$2:$P$154,8,0)</f>
        <v>79625.4653334798</v>
      </c>
      <c r="CM55" s="27" t="n">
        <f aca="false">SUMIF($C$2:$F$2,EOMONTH(CM$2,-1)+1,$C55:$F55)*VLOOKUP(CM$2,Valores!$H$2:$P$154,8,0)</f>
        <v>47775.2792000879</v>
      </c>
      <c r="CN55" s="27" t="n">
        <f aca="false">SUMIF($C$2:$F$2,EOMONTH(CN$2,-1)+1,$C55:$F55)*VLOOKUP(CN$2,Valores!$H$2:$P$154,8,0)</f>
        <v>35035.2047467311</v>
      </c>
      <c r="CO55" s="27" t="n">
        <f aca="false">SUMIF($C$2:$F$2,EOMONTH(CO$2,-1)+1,$C55:$F55)*VLOOKUP(CO$2,Valores!$H$2:$P$154,8,0)</f>
        <v>35035.2047467311</v>
      </c>
      <c r="CP55" s="27" t="n">
        <f aca="false">SUMIF($C$2:$F$2,EOMONTH(CP$2,-1)+1,$C55:$F55)*VLOOKUP(CP$2,Valores!$H$2:$P$154,8,0)</f>
        <v>35035.2047467311</v>
      </c>
      <c r="CQ55" s="27" t="n">
        <f aca="false">SUMIF($C$2:$F$2,EOMONTH(CQ$2,-1)+1,$C55:$F55)*VLOOKUP(CQ$2,Valores!$H$2:$P$154,8,0)</f>
        <v>35035.2047467311</v>
      </c>
      <c r="CR55" s="27" t="n">
        <f aca="false">SUMIF($C$2:$F$2,EOMONTH(CR$2,-1)+1,$C55:$F55)*VLOOKUP(CR$2,Valores!$H$2:$P$154,8,0)</f>
        <v>70070.4094934622</v>
      </c>
      <c r="CS55" s="27" t="n">
        <f aca="false">SUMIF($C$2:$F$2,EOMONTH(CS$2,-1)+1,$C55:$F55)*VLOOKUP(CS$2,Valores!$H$2:$P$154,8,0)</f>
        <v>105105.614240193</v>
      </c>
      <c r="CT55" s="27" t="e">
        <f aca="false">SUMIF($C$2:$F$2,EOMONTH(CT$2,-1)+1,$C55:$F55)*VLOOKUP(CT$2,Valores!$H$2:$P$154,8,0)</f>
        <v>#VALUE!</v>
      </c>
      <c r="CU55" s="27" t="e">
        <f aca="false">SUMIF($C$2:$F$2,EOMONTH(CU$2,-1)+1,$C55:$F55)*VLOOKUP(CU$2,Valores!$H$2:$P$154,8,0)</f>
        <v>#VALUE!</v>
      </c>
      <c r="CV55" s="27" t="e">
        <f aca="false">SUMIF($C$2:$F$2,EOMONTH(CV$2,-1)+1,$C55:$F55)*VLOOKUP(CV$2,Valores!$H$2:$P$154,8,0)</f>
        <v>#VALUE!</v>
      </c>
      <c r="CW55" s="27" t="e">
        <f aca="false">SUMIF($C$2:$F$2,EOMONTH(CW$2,-1)+1,$C55:$F55)*VLOOKUP(CW$2,Valores!$H$2:$P$154,8,0)</f>
        <v>#VALUE!</v>
      </c>
      <c r="CX55" s="27" t="e">
        <f aca="false">SUMIF($C$2:$F$2,EOMONTH(CX$2,-1)+1,$C55:$F55)*VLOOKUP(CX$2,Valores!$H$2:$P$154,8,0)</f>
        <v>#VALUE!</v>
      </c>
      <c r="CY55" s="27" t="e">
        <f aca="false">SUMIF($C$2:$F$2,EOMONTH(CY$2,-1)+1,$C55:$F55)*VLOOKUP(CY$2,Valores!$H$2:$P$154,8,0)</f>
        <v>#VALUE!</v>
      </c>
      <c r="CZ55" s="27" t="e">
        <f aca="false">SUMIF($C$2:$F$2,EOMONTH(CZ$2,-1)+1,$C55:$F55)*VLOOKUP(CZ$2,Valores!$H$2:$P$154,8,0)</f>
        <v>#VALUE!</v>
      </c>
      <c r="DA55" s="27" t="e">
        <f aca="false">SUMIF($C$2:$F$2,EOMONTH(DA$2,-1)+1,$C55:$F55)*VLOOKUP(DA$2,Valores!$H$2:$P$154,8,0)</f>
        <v>#VALUE!</v>
      </c>
      <c r="DB55" s="27" t="e">
        <f aca="false">SUMIF($C$2:$F$2,EOMONTH(DB$2,-1)+1,$C55:$F55)*VLOOKUP(DB$2,Valores!$H$2:$P$154,8,0)</f>
        <v>#VALUE!</v>
      </c>
      <c r="DC55" s="27" t="e">
        <f aca="false">SUMIF($C$2:$F$2,EOMONTH(DC$2,-1)+1,$C55:$F55)*VLOOKUP(DC$2,Valores!$H$2:$P$154,8,0)</f>
        <v>#VALUE!</v>
      </c>
      <c r="DD55" s="27" t="e">
        <f aca="false">SUMIF($C$2:$F$2,EOMONTH(DD$2,-1)+1,$C55:$F55)*VLOOKUP(DD$2,Valores!$H$2:$P$154,8,0)</f>
        <v>#VALUE!</v>
      </c>
      <c r="DE55" s="27" t="e">
        <f aca="false">SUMIF($C$2:$F$2,EOMONTH(DE$2,-1)+1,$C55:$F55)*VLOOKUP(DE$2,Valores!$H$2:$P$154,8,0)</f>
        <v>#VALUE!</v>
      </c>
      <c r="DF55" s="27" t="e">
        <f aca="false">SUMIF($C$2:$F$2,EOMONTH(DF$2,-1)+1,$C55:$F55)*VLOOKUP(DF$2,Valores!$H$2:$P$154,8,0)</f>
        <v>#VALUE!</v>
      </c>
      <c r="DG55" s="27" t="e">
        <f aca="false">SUMIF($C$2:$F$2,EOMONTH(DG$2,-1)+1,$C55:$F55)*VLOOKUP(DG$2,Valores!$H$2:$P$154,8,0)</f>
        <v>#VALUE!</v>
      </c>
      <c r="DH55" s="27" t="e">
        <f aca="false">SUMIF($C$2:$F$2,EOMONTH(DH$2,-1)+1,$C55:$F55)*VLOOKUP(DH$2,Valores!$H$2:$P$154,8,0)</f>
        <v>#VALUE!</v>
      </c>
      <c r="DI55" s="27" t="e">
        <f aca="false">SUMIF($C$2:$F$2,EOMONTH(DI$2,-1)+1,$C55:$F55)*VLOOKUP(DI$2,Valores!$H$2:$P$154,8,0)</f>
        <v>#VALUE!</v>
      </c>
      <c r="DJ55" s="27" t="e">
        <f aca="false">SUMIF($C$2:$F$2,EOMONTH(DJ$2,-1)+1,$C55:$F55)*VLOOKUP(DJ$2,Valores!$H$2:$P$154,8,0)</f>
        <v>#VALUE!</v>
      </c>
      <c r="DK55" s="27" t="e">
        <f aca="false">SUMIF($C$2:$F$2,EOMONTH(DK$2,-1)+1,$C55:$F55)*VLOOKUP(DK$2,Valores!$H$2:$P$154,8,0)</f>
        <v>#VALUE!</v>
      </c>
      <c r="DL55" s="27" t="e">
        <f aca="false">SUMIF($C$2:$F$2,EOMONTH(DL$2,-1)+1,$C55:$F55)*VLOOKUP(DL$2,Valores!$H$2:$P$154,8,0)</f>
        <v>#VALUE!</v>
      </c>
      <c r="DM55" s="27" t="e">
        <f aca="false">SUMIF($C$2:$F$2,EOMONTH(DM$2,-1)+1,$C55:$F55)*VLOOKUP(DM$2,Valores!$H$2:$P$154,8,0)</f>
        <v>#VALUE!</v>
      </c>
      <c r="DN55" s="27" t="e">
        <f aca="false">SUMIF($C$2:$F$2,EOMONTH(DN$2,-1)+1,$C55:$F55)*VLOOKUP(DN$2,Valores!$H$2:$P$154,8,0)</f>
        <v>#VALUE!</v>
      </c>
      <c r="DO55" s="27" t="e">
        <f aca="false">SUMIF($C$2:$F$2,EOMONTH(DO$2,-1)+1,$C55:$F55)*VLOOKUP(DO$2,Valores!$H$2:$P$154,8,0)</f>
        <v>#VALUE!</v>
      </c>
      <c r="DP55" s="27" t="e">
        <f aca="false">SUMIF($C$2:$F$2,EOMONTH(DP$2,-1)+1,$C55:$F55)*VLOOKUP(DP$2,Valores!$H$2:$P$154,8,0)</f>
        <v>#VALUE!</v>
      </c>
      <c r="DQ55" s="27" t="e">
        <f aca="false">SUMIF($C$2:$F$2,EOMONTH(DQ$2,-1)+1,$C55:$F55)*VLOOKUP(DQ$2,Valores!$H$2:$P$154,8,0)</f>
        <v>#VALUE!</v>
      </c>
      <c r="DR55" s="27" t="e">
        <f aca="false">SUMIF($C$2:$F$2,EOMONTH(DR$2,-1)+1,$C55:$F55)*VLOOKUP(DR$2,Valores!$H$2:$P$154,8,0)</f>
        <v>#VALUE!</v>
      </c>
      <c r="DS55" s="27" t="e">
        <f aca="false">SUMIF($C$2:$F$2,EOMONTH(DS$2,-1)+1,$C55:$F55)*VLOOKUP(DS$2,Valores!$H$2:$P$154,8,0)</f>
        <v>#VALUE!</v>
      </c>
      <c r="DT55" s="27" t="e">
        <f aca="false">SUMIF($C$2:$F$2,EOMONTH(DT$2,-1)+1,$C55:$F55)*VLOOKUP(DT$2,Valores!$H$2:$P$154,8,0)</f>
        <v>#VALUE!</v>
      </c>
      <c r="DU55" s="27" t="e">
        <f aca="false">SUMIF($C$2:$F$2,EOMONTH(DU$2,-1)+1,$C55:$F55)*VLOOKUP(DU$2,Valores!$H$2:$P$154,8,0)</f>
        <v>#VALUE!</v>
      </c>
      <c r="DV55" s="27" t="e">
        <f aca="false">SUMIF($C$2:$F$2,EOMONTH(DV$2,-1)+1,$C55:$F55)*VLOOKUP(DV$2,Valores!$H$2:$P$154,8,0)</f>
        <v>#VALUE!</v>
      </c>
      <c r="DW55" s="27" t="e">
        <f aca="false">SUMIF($C$2:$F$2,EOMONTH(DW$2,-1)+1,$C55:$F55)*VLOOKUP(DW$2,Valores!$H$2:$P$154,8,0)</f>
        <v>#VALUE!</v>
      </c>
      <c r="DX55" s="27" t="e">
        <f aca="false">SUMIF($C$2:$F$2,EOMONTH(DX$2,-1)+1,$C55:$F55)*VLOOKUP(DX$2,Valores!$H$2:$P$154,8,0)</f>
        <v>#VALUE!</v>
      </c>
    </row>
    <row r="56" customFormat="false" ht="13.8" hidden="false" customHeight="false" outlineLevel="0" collapsed="false">
      <c r="A56" s="29" t="s">
        <v>54</v>
      </c>
      <c r="B56" s="29" t="s">
        <v>78</v>
      </c>
      <c r="C56" s="29" t="n">
        <v>1369329</v>
      </c>
      <c r="D56" s="29" t="n">
        <v>1232396.1</v>
      </c>
      <c r="E56" s="29" t="n">
        <v>1109156.49</v>
      </c>
      <c r="F56" s="29" t="n">
        <v>998240.841</v>
      </c>
      <c r="G56" s="30" t="n">
        <f aca="false">SUMIF($C$2:$F$2,EOMONTH(G$2,-1)+1,$C56:$F56)*VLOOKUP(G$2,Valores!$H$2:$P$154,8,0)</f>
        <v>39432.7093960836</v>
      </c>
      <c r="H56" s="30" t="n">
        <f aca="false">SUMIF($C$2:$F$2,EOMONTH(H$2,-1)+1,$C56:$F56)*VLOOKUP(H$2,Valores!$H$2:$P$154,8,0)</f>
        <v>27039.5721573145</v>
      </c>
      <c r="I56" s="30" t="n">
        <f aca="false">SUMIF($C$2:$F$2,EOMONTH(I$2,-1)+1,$C56:$F56)*VLOOKUP(I$2,Valores!$H$2:$P$154,8,0)</f>
        <v>27039.5721573145</v>
      </c>
      <c r="J56" s="30" t="n">
        <f aca="false">SUMIF($C$2:$F$2,EOMONTH(J$2,-1)+1,$C56:$F56)*VLOOKUP(J$2,Valores!$H$2:$P$154,8,0)</f>
        <v>27039.5721573145</v>
      </c>
      <c r="K56" s="30" t="n">
        <f aca="false">SUMIF($C$2:$F$2,EOMONTH(K$2,-1)+1,$C56:$F56)*VLOOKUP(K$2,Valores!$H$2:$P$154,8,0)</f>
        <v>27039.5721573145</v>
      </c>
      <c r="L56" s="30" t="n">
        <f aca="false">SUMIF($C$2:$F$2,EOMONTH(L$2,-1)+1,$C56:$F56)*VLOOKUP(L$2,Valores!$H$2:$P$154,8,0)</f>
        <v>54079.1443146289</v>
      </c>
      <c r="M56" s="30" t="n">
        <f aca="false">SUMIF($C$2:$F$2,EOMONTH(M$2,-1)+1,$C56:$F56)*VLOOKUP(M$2,Valores!$H$2:$P$154,8,0)</f>
        <v>67598.9303932862</v>
      </c>
      <c r="N56" s="30" t="n">
        <f aca="false">SUMIF($C$2:$F$2,EOMONTH(N$2,-1)+1,$C56:$F56)*VLOOKUP(N$2,Valores!$H$2:$P$154,8,0)</f>
        <v>40559.3582359717</v>
      </c>
      <c r="O56" s="30" t="n">
        <f aca="false">SUMIF($C$2:$F$2,EOMONTH(O$2,-1)+1,$C56:$F56)*VLOOKUP(O$2,Valores!$H$2:$P$154,8,0)</f>
        <v>36052.7628764193</v>
      </c>
      <c r="P56" s="30" t="n">
        <f aca="false">SUMIF($C$2:$F$2,EOMONTH(P$2,-1)+1,$C56:$F56)*VLOOKUP(P$2,Valores!$H$2:$P$154,8,0)</f>
        <v>36052.7628764193</v>
      </c>
      <c r="Q56" s="30" t="n">
        <f aca="false">SUMIF($C$2:$F$2,EOMONTH(Q$2,-1)+1,$C56:$F56)*VLOOKUP(Q$2,Valores!$H$2:$P$154,8,0)</f>
        <v>21631.6577258516</v>
      </c>
      <c r="R56" s="30" t="n">
        <f aca="false">SUMIF($C$2:$F$2,EOMONTH(R$2,-1)+1,$C56:$F56)*VLOOKUP(R$2,Valores!$H$2:$P$154,8,0)</f>
        <v>36052.7628764193</v>
      </c>
      <c r="S56" s="30" t="n">
        <f aca="false">SUMIF($C$2:$F$2,EOMONTH(S$2,-1)+1,$C56:$F56)*VLOOKUP(S$2,Valores!$H$2:$P$154,8,0)</f>
        <v>72105.5257528386</v>
      </c>
      <c r="T56" s="30" t="n">
        <f aca="false">SUMIF($C$2:$F$2,EOMONTH(T$2,-1)+1,$C56:$F56)*VLOOKUP(T$2,Valores!$H$2:$P$154,8,0)</f>
        <v>90131.9071910482</v>
      </c>
      <c r="U56" s="30" t="n">
        <f aca="false">SUMIF($C$2:$F$2,EOMONTH(U$2,-1)+1,$C56:$F56)*VLOOKUP(U$2,Valores!$H$2:$P$154,8,0)</f>
        <v>54079.1443146289</v>
      </c>
      <c r="V56" s="30" t="n">
        <f aca="false">SUMIF($C$2:$F$2,EOMONTH(V$2,-1)+1,$C56:$F56)*VLOOKUP(V$2,Valores!$H$2:$P$154,8,0)</f>
        <v>45065.9535955241</v>
      </c>
      <c r="W56" s="30" t="n">
        <f aca="false">SUMIF($C$2:$F$2,EOMONTH(W$2,-1)+1,$C56:$F56)*VLOOKUP(W$2,Valores!$H$2:$P$154,8,0)</f>
        <v>45065.9535955241</v>
      </c>
      <c r="X56" s="30" t="n">
        <f aca="false">SUMIF($C$2:$F$2,EOMONTH(X$2,-1)+1,$C56:$F56)*VLOOKUP(X$2,Valores!$H$2:$P$154,8,0)</f>
        <v>0</v>
      </c>
      <c r="Y56" s="30" t="n">
        <f aca="false">SUMIF($C$2:$F$2,EOMONTH(Y$2,-1)+1,$C56:$F56)*VLOOKUP(Y$2,Valores!$H$2:$P$154,8,0)</f>
        <v>0</v>
      </c>
      <c r="Z56" s="30" t="n">
        <f aca="false">SUMIF($C$2:$F$2,EOMONTH(Z$2,-1)+1,$C56:$F56)*VLOOKUP(Z$2,Valores!$H$2:$P$154,8,0)</f>
        <v>67598.9303932862</v>
      </c>
      <c r="AA56" s="30" t="n">
        <f aca="false">SUMIF($C$2:$F$2,EOMONTH(AA$2,-1)+1,$C56:$F56)*VLOOKUP(AA$2,Valores!$H$2:$P$154,8,0)</f>
        <v>81118.7164719434</v>
      </c>
      <c r="AB56" s="30" t="n">
        <f aca="false">SUMIF($C$2:$F$2,EOMONTH(AB$2,-1)+1,$C56:$F56)*VLOOKUP(AB$2,Valores!$H$2:$P$154,8,0)</f>
        <v>40559.3582359717</v>
      </c>
      <c r="AC56" s="30" t="n">
        <f aca="false">SUMIF($C$2:$F$2,EOMONTH(AC$2,-1)+1,$C56:$F56)*VLOOKUP(AC$2,Valores!$H$2:$P$154,8,0)</f>
        <v>49572.5489550765</v>
      </c>
      <c r="AD56" s="30" t="n">
        <f aca="false">SUMIF($C$2:$F$2,EOMONTH(AD$2,-1)+1,$C56:$F56)*VLOOKUP(AD$2,Valores!$H$2:$P$154,8,0)</f>
        <v>49572.5489550765</v>
      </c>
      <c r="AE56" s="30" t="n">
        <f aca="false">SUMIF($C$2:$F$2,EOMONTH(AE$2,-1)+1,$C56:$F56)*VLOOKUP(AE$2,Valores!$H$2:$P$154,8,0)</f>
        <v>49572.5489550765</v>
      </c>
      <c r="AF56" s="30" t="n">
        <f aca="false">SUMIF($C$2:$F$2,EOMONTH(AF$2,-1)+1,$C56:$F56)*VLOOKUP(AF$2,Valores!$H$2:$P$154,8,0)</f>
        <v>49572.5489550765</v>
      </c>
      <c r="AG56" s="30" t="n">
        <f aca="false">SUMIF($C$2:$F$2,EOMONTH(AG$2,-1)+1,$C56:$F56)*VLOOKUP(AG$2,Valores!$H$2:$P$154,8,0)</f>
        <v>79316.0783281224</v>
      </c>
      <c r="AH56" s="30" t="n">
        <f aca="false">SUMIF($C$2:$F$2,EOMONTH(AH$2,-1)+1,$C56:$F56)*VLOOKUP(AH$2,Valores!$H$2:$P$154,8,0)</f>
        <v>99145.097910153</v>
      </c>
      <c r="AI56" s="30" t="n">
        <f aca="false">SUMIF($C$2:$F$2,EOMONTH(AI$2,-1)+1,$C56:$F56)*VLOOKUP(AI$2,Valores!$H$2:$P$154,8,0)</f>
        <v>34700.7842685536</v>
      </c>
      <c r="AJ56" s="30" t="n">
        <f aca="false">SUMIF($C$2:$F$2,EOMONTH(AJ$2,-1)+1,$C56:$F56)*VLOOKUP(AJ$2,Valores!$H$2:$P$154,8,0)</f>
        <v>22532.9767977621</v>
      </c>
      <c r="AK56" s="30" t="n">
        <f aca="false">SUMIF($C$2:$F$2,EOMONTH(AK$2,-1)+1,$C56:$F56)*VLOOKUP(AK$2,Valores!$H$2:$P$154,8,0)</f>
        <v>41090.6318321465</v>
      </c>
      <c r="AL56" s="30" t="n">
        <f aca="false">SUMIF($C$2:$F$2,EOMONTH(AL$2,-1)+1,$C56:$F56)*VLOOKUP(AL$2,Valores!$H$2:$P$154,8,0)</f>
        <v>41090.6318321465</v>
      </c>
      <c r="AM56" s="30" t="n">
        <f aca="false">SUMIF($C$2:$F$2,EOMONTH(AM$2,-1)+1,$C56:$F56)*VLOOKUP(AM$2,Valores!$H$2:$P$154,8,0)</f>
        <v>41090.6318321465</v>
      </c>
      <c r="AN56" s="30" t="n">
        <f aca="false">SUMIF($C$2:$F$2,EOMONTH(AN$2,-1)+1,$C56:$F56)*VLOOKUP(AN$2,Valores!$H$2:$P$154,8,0)</f>
        <v>82181.263664293</v>
      </c>
      <c r="AO56" s="30" t="n">
        <f aca="false">SUMIF($C$2:$F$2,EOMONTH(AO$2,-1)+1,$C56:$F56)*VLOOKUP(AO$2,Valores!$H$2:$P$154,8,0)</f>
        <v>102726.579580366</v>
      </c>
      <c r="AP56" s="30" t="n">
        <f aca="false">SUMIF($C$2:$F$2,EOMONTH(AP$2,-1)+1,$C56:$F56)*VLOOKUP(AP$2,Valores!$H$2:$P$154,8,0)</f>
        <v>61635.9477482198</v>
      </c>
      <c r="AQ56" s="30" t="n">
        <f aca="false">SUMIF($C$2:$F$2,EOMONTH(AQ$2,-1)+1,$C56:$F56)*VLOOKUP(AQ$2,Valores!$H$2:$P$154,8,0)</f>
        <v>22012.8384815071</v>
      </c>
      <c r="AR56" s="30" t="n">
        <f aca="false">SUMIF($C$2:$F$2,EOMONTH(AR$2,-1)+1,$C56:$F56)*VLOOKUP(AR$2,Valores!$H$2:$P$154,8,0)</f>
        <v>22012.8384815071</v>
      </c>
      <c r="AS56" s="30" t="n">
        <f aca="false">SUMIF($C$2:$F$2,EOMONTH(AS$2,-1)+1,$C56:$F56)*VLOOKUP(AS$2,Valores!$H$2:$P$154,8,0)</f>
        <v>22012.8384815071</v>
      </c>
      <c r="AT56" s="30" t="n">
        <f aca="false">SUMIF($C$2:$F$2,EOMONTH(AT$2,-1)+1,$C56:$F56)*VLOOKUP(AT$2,Valores!$H$2:$P$154,8,0)</f>
        <v>22012.8384815071</v>
      </c>
      <c r="AU56" s="30" t="n">
        <f aca="false">SUMIF($C$2:$F$2,EOMONTH(AU$2,-1)+1,$C56:$F56)*VLOOKUP(AU$2,Valores!$H$2:$P$154,8,0)</f>
        <v>44025.6769630141</v>
      </c>
      <c r="AV56" s="30" t="n">
        <f aca="false">SUMIF($C$2:$F$2,EOMONTH(AV$2,-1)+1,$C56:$F56)*VLOOKUP(AV$2,Valores!$H$2:$P$154,8,0)</f>
        <v>55032.0962037676</v>
      </c>
      <c r="AW56" s="30" t="n">
        <f aca="false">SUMIF($C$2:$F$2,EOMONTH(AW$2,-1)+1,$C56:$F56)*VLOOKUP(AW$2,Valores!$H$2:$P$154,8,0)</f>
        <v>33019.2577222606</v>
      </c>
      <c r="AX56" s="30" t="n">
        <f aca="false">SUMIF($C$2:$F$2,EOMONTH(AX$2,-1)+1,$C56:$F56)*VLOOKUP(AX$2,Valores!$H$2:$P$154,8,0)</f>
        <v>22012.8384815071</v>
      </c>
      <c r="AY56" s="30" t="n">
        <f aca="false">SUMIF($C$2:$F$2,EOMONTH(AY$2,-1)+1,$C56:$F56)*VLOOKUP(AY$2,Valores!$H$2:$P$154,8,0)</f>
        <v>28616.6900259592</v>
      </c>
      <c r="AZ56" s="30" t="n">
        <f aca="false">SUMIF($C$2:$F$2,EOMONTH(AZ$2,-1)+1,$C56:$F56)*VLOOKUP(AZ$2,Valores!$H$2:$P$154,8,0)</f>
        <v>28616.6900259592</v>
      </c>
      <c r="BA56" s="30" t="n">
        <f aca="false">SUMIF($C$2:$F$2,EOMONTH(BA$2,-1)+1,$C56:$F56)*VLOOKUP(BA$2,Valores!$H$2:$P$154,8,0)</f>
        <v>28616.6900259592</v>
      </c>
      <c r="BB56" s="30" t="n">
        <f aca="false">SUMIF($C$2:$F$2,EOMONTH(BB$2,-1)+1,$C56:$F56)*VLOOKUP(BB$2,Valores!$H$2:$P$154,8,0)</f>
        <v>50629.5285074662</v>
      </c>
      <c r="BC56" s="30" t="n">
        <f aca="false">SUMIF($C$2:$F$2,EOMONTH(BC$2,-1)+1,$C56:$F56)*VLOOKUP(BC$2,Valores!$H$2:$P$154,8,0)</f>
        <v>61635.9477482198</v>
      </c>
      <c r="BD56" s="30" t="n">
        <f aca="false">SUMIF($C$2:$F$2,EOMONTH(BD$2,-1)+1,$C56:$F56)*VLOOKUP(BD$2,Valores!$H$2:$P$154,8,0)</f>
        <v>33019.2577222606</v>
      </c>
      <c r="BE56" s="30" t="n">
        <f aca="false">SUMIF($C$2:$F$2,EOMONTH(BE$2,-1)+1,$C56:$F56)*VLOOKUP(BE$2,Valores!$H$2:$P$154,8,0)</f>
        <v>29350.4513086761</v>
      </c>
      <c r="BF56" s="30" t="n">
        <f aca="false">SUMIF($C$2:$F$2,EOMONTH(BF$2,-1)+1,$C56:$F56)*VLOOKUP(BF$2,Valores!$H$2:$P$154,8,0)</f>
        <v>29350.4513086761</v>
      </c>
      <c r="BG56" s="30" t="n">
        <f aca="false">SUMIF($C$2:$F$2,EOMONTH(BG$2,-1)+1,$C56:$F56)*VLOOKUP(BG$2,Valores!$H$2:$P$154,8,0)</f>
        <v>29350.4513086761</v>
      </c>
      <c r="BH56" s="30" t="n">
        <f aca="false">SUMIF($C$2:$F$2,EOMONTH(BH$2,-1)+1,$C56:$F56)*VLOOKUP(BH$2,Valores!$H$2:$P$154,8,0)</f>
        <v>29350.4513086761</v>
      </c>
      <c r="BI56" s="30" t="n">
        <f aca="false">SUMIF($C$2:$F$2,EOMONTH(BI$2,-1)+1,$C56:$F56)*VLOOKUP(BI$2,Valores!$H$2:$P$154,8,0)</f>
        <v>58700.9026173522</v>
      </c>
      <c r="BJ56" s="30" t="n">
        <f aca="false">SUMIF($C$2:$F$2,EOMONTH(BJ$2,-1)+1,$C56:$F56)*VLOOKUP(BJ$2,Valores!$H$2:$P$154,8,0)</f>
        <v>73376.1282716902</v>
      </c>
      <c r="BK56" s="30" t="n">
        <f aca="false">SUMIF($C$2:$F$2,EOMONTH(BK$2,-1)+1,$C56:$F56)*VLOOKUP(BK$2,Valores!$H$2:$P$154,8,0)</f>
        <v>35220.5415704113</v>
      </c>
      <c r="BL56" s="30" t="n">
        <f aca="false">SUMIF($C$2:$F$2,EOMONTH(BL$2,-1)+1,$C56:$F56)*VLOOKUP(BL$2,Valores!$H$2:$P$154,8,0)</f>
        <v>25828.3971516349</v>
      </c>
      <c r="BM56" s="30" t="n">
        <f aca="false">SUMIF($C$2:$F$2,EOMONTH(BM$2,-1)+1,$C56:$F56)*VLOOKUP(BM$2,Valores!$H$2:$P$154,8,0)</f>
        <v>25828.3971516349</v>
      </c>
      <c r="BN56" s="30" t="n">
        <f aca="false">SUMIF($C$2:$F$2,EOMONTH(BN$2,-1)+1,$C56:$F56)*VLOOKUP(BN$2,Valores!$H$2:$P$154,8,0)</f>
        <v>25828.3971516349</v>
      </c>
      <c r="BO56" s="30" t="n">
        <f aca="false">SUMIF($C$2:$F$2,EOMONTH(BO$2,-1)+1,$C56:$F56)*VLOOKUP(BO$2,Valores!$H$2:$P$154,8,0)</f>
        <v>27119.8170092167</v>
      </c>
      <c r="BP56" s="30" t="n">
        <f aca="false">SUMIF($C$2:$F$2,EOMONTH(BP$2,-1)+1,$C56:$F56)*VLOOKUP(BP$2,Valores!$H$2:$P$154,8,0)</f>
        <v>68248.2841885507</v>
      </c>
      <c r="BQ56" s="30" t="n">
        <f aca="false">SUMIF($C$2:$F$2,EOMONTH(BQ$2,-1)+1,$C56:$F56)*VLOOKUP(BQ$2,Valores!$H$2:$P$154,8,0)</f>
        <v>85310.3552356884</v>
      </c>
      <c r="BR56" s="30" t="n">
        <f aca="false">SUMIF($C$2:$F$2,EOMONTH(BR$2,-1)+1,$C56:$F56)*VLOOKUP(BR$2,Valores!$H$2:$P$154,8,0)</f>
        <v>40948.9705131304</v>
      </c>
      <c r="BS56" s="30" t="n">
        <f aca="false">SUMIF($C$2:$F$2,EOMONTH(BS$2,-1)+1,$C56:$F56)*VLOOKUP(BS$2,Valores!$H$2:$P$154,8,0)</f>
        <v>18280.7904076475</v>
      </c>
      <c r="BT56" s="30" t="n">
        <f aca="false">SUMIF($C$2:$F$2,EOMONTH(BT$2,-1)+1,$C56:$F56)*VLOOKUP(BT$2,Valores!$H$2:$P$154,8,0)</f>
        <v>18280.7904076475</v>
      </c>
      <c r="BU56" s="30" t="n">
        <f aca="false">SUMIF($C$2:$F$2,EOMONTH(BU$2,-1)+1,$C56:$F56)*VLOOKUP(BU$2,Valores!$H$2:$P$154,8,0)</f>
        <v>18280.7904076475</v>
      </c>
      <c r="BV56" s="30" t="n">
        <f aca="false">SUMIF($C$2:$F$2,EOMONTH(BV$2,-1)+1,$C56:$F56)*VLOOKUP(BV$2,Valores!$H$2:$P$154,8,0)</f>
        <v>18280.7904076475</v>
      </c>
      <c r="BW56" s="30" t="n">
        <f aca="false">SUMIF($C$2:$F$2,EOMONTH(BW$2,-1)+1,$C56:$F56)*VLOOKUP(BW$2,Valores!$H$2:$P$154,8,0)</f>
        <v>36561.580815295</v>
      </c>
      <c r="BX56" s="30" t="n">
        <f aca="false">SUMIF($C$2:$F$2,EOMONTH(BX$2,-1)+1,$C56:$F56)*VLOOKUP(BX$2,Valores!$H$2:$P$154,8,0)</f>
        <v>45701.9760191188</v>
      </c>
      <c r="BY56" s="30" t="n">
        <f aca="false">SUMIF($C$2:$F$2,EOMONTH(BY$2,-1)+1,$C56:$F56)*VLOOKUP(BY$2,Valores!$H$2:$P$154,8,0)</f>
        <v>27421.1856114712</v>
      </c>
      <c r="BZ56" s="30" t="n">
        <f aca="false">SUMIF($C$2:$F$2,EOMONTH(BZ$2,-1)+1,$C56:$F56)*VLOOKUP(BZ$2,Valores!$H$2:$P$154,8,0)</f>
        <v>18280.7904076475</v>
      </c>
      <c r="CA56" s="30" t="n">
        <f aca="false">SUMIF($C$2:$F$2,EOMONTH(CA$2,-1)+1,$C56:$F56)*VLOOKUP(CA$2,Valores!$H$2:$P$154,8,0)</f>
        <v>18280.7904076475</v>
      </c>
      <c r="CB56" s="30" t="n">
        <f aca="false">SUMIF($C$2:$F$2,EOMONTH(CB$2,-1)+1,$C56:$F56)*VLOOKUP(CB$2,Valores!$H$2:$P$154,8,0)</f>
        <v>18280.7904076475</v>
      </c>
      <c r="CC56" s="30" t="n">
        <f aca="false">SUMIF($C$2:$F$2,EOMONTH(CC$2,-1)+1,$C56:$F56)*VLOOKUP(CC$2,Valores!$H$2:$P$154,8,0)</f>
        <v>18280.7904076475</v>
      </c>
      <c r="CD56" s="30" t="n">
        <f aca="false">SUMIF($C$2:$F$2,EOMONTH(CD$2,-1)+1,$C56:$F56)*VLOOKUP(CD$2,Valores!$H$2:$P$154,8,0)</f>
        <v>54842.3712229425</v>
      </c>
      <c r="CE56" s="30" t="n">
        <f aca="false">SUMIF($C$2:$F$2,EOMONTH(CE$2,-1)+1,$C56:$F56)*VLOOKUP(CE$2,Valores!$H$2:$P$154,8,0)</f>
        <v>73123.16163059</v>
      </c>
      <c r="CF56" s="30" t="n">
        <f aca="false">SUMIF($C$2:$F$2,EOMONTH(CF$2,-1)+1,$C56:$F56)*VLOOKUP(CF$2,Valores!$H$2:$P$154,8,0)</f>
        <v>45701.9760191188</v>
      </c>
      <c r="CG56" s="30" t="n">
        <f aca="false">SUMIF($C$2:$F$2,EOMONTH(CG$2,-1)+1,$C56:$F56)*VLOOKUP(CG$2,Valores!$H$2:$P$154,8,0)</f>
        <v>24374.3872101967</v>
      </c>
      <c r="CH56" s="30" t="n">
        <f aca="false">SUMIF($C$2:$F$2,EOMONTH(CH$2,-1)+1,$C56:$F56)*VLOOKUP(CH$2,Valores!$H$2:$P$154,8,0)</f>
        <v>24374.3872101967</v>
      </c>
      <c r="CI56" s="30" t="n">
        <f aca="false">SUMIF($C$2:$F$2,EOMONTH(CI$2,-1)+1,$C56:$F56)*VLOOKUP(CI$2,Valores!$H$2:$P$154,8,0)</f>
        <v>24374.3872101967</v>
      </c>
      <c r="CJ56" s="30" t="n">
        <f aca="false">SUMIF($C$2:$F$2,EOMONTH(CJ$2,-1)+1,$C56:$F56)*VLOOKUP(CJ$2,Valores!$H$2:$P$154,8,0)</f>
        <v>24374.3872101967</v>
      </c>
      <c r="CK56" s="30" t="n">
        <f aca="false">SUMIF($C$2:$F$2,EOMONTH(CK$2,-1)+1,$C56:$F56)*VLOOKUP(CK$2,Valores!$H$2:$P$154,8,0)</f>
        <v>48748.7744203934</v>
      </c>
      <c r="CL56" s="30" t="n">
        <f aca="false">SUMIF($C$2:$F$2,EOMONTH(CL$2,-1)+1,$C56:$F56)*VLOOKUP(CL$2,Valores!$H$2:$P$154,8,0)</f>
        <v>60935.9680254917</v>
      </c>
      <c r="CM56" s="30" t="n">
        <f aca="false">SUMIF($C$2:$F$2,EOMONTH(CM$2,-1)+1,$C56:$F56)*VLOOKUP(CM$2,Valores!$H$2:$P$154,8,0)</f>
        <v>36561.580815295</v>
      </c>
      <c r="CN56" s="30" t="n">
        <f aca="false">SUMIF($C$2:$F$2,EOMONTH(CN$2,-1)+1,$C56:$F56)*VLOOKUP(CN$2,Valores!$H$2:$P$154,8,0)</f>
        <v>26811.8259312163</v>
      </c>
      <c r="CO56" s="30" t="n">
        <f aca="false">SUMIF($C$2:$F$2,EOMONTH(CO$2,-1)+1,$C56:$F56)*VLOOKUP(CO$2,Valores!$H$2:$P$154,8,0)</f>
        <v>26811.8259312163</v>
      </c>
      <c r="CP56" s="30" t="n">
        <f aca="false">SUMIF($C$2:$F$2,EOMONTH(CP$2,-1)+1,$C56:$F56)*VLOOKUP(CP$2,Valores!$H$2:$P$154,8,0)</f>
        <v>26811.8259312163</v>
      </c>
      <c r="CQ56" s="30" t="n">
        <f aca="false">SUMIF($C$2:$F$2,EOMONTH(CQ$2,-1)+1,$C56:$F56)*VLOOKUP(CQ$2,Valores!$H$2:$P$154,8,0)</f>
        <v>26811.8259312163</v>
      </c>
      <c r="CR56" s="30" t="n">
        <f aca="false">SUMIF($C$2:$F$2,EOMONTH(CR$2,-1)+1,$C56:$F56)*VLOOKUP(CR$2,Valores!$H$2:$P$154,8,0)</f>
        <v>53623.6518624327</v>
      </c>
      <c r="CS56" s="30" t="n">
        <f aca="false">SUMIF($C$2:$F$2,EOMONTH(CS$2,-1)+1,$C56:$F56)*VLOOKUP(CS$2,Valores!$H$2:$P$154,8,0)</f>
        <v>80435.477793649</v>
      </c>
      <c r="CT56" s="30" t="e">
        <f aca="false">SUMIF($C$2:$F$2,EOMONTH(CT$2,-1)+1,$C56:$F56)*VLOOKUP(CT$2,Valores!$H$2:$P$154,8,0)</f>
        <v>#VALUE!</v>
      </c>
      <c r="CU56" s="30" t="e">
        <f aca="false">SUMIF($C$2:$F$2,EOMONTH(CU$2,-1)+1,$C56:$F56)*VLOOKUP(CU$2,Valores!$H$2:$P$154,8,0)</f>
        <v>#VALUE!</v>
      </c>
      <c r="CV56" s="30" t="e">
        <f aca="false">SUMIF($C$2:$F$2,EOMONTH(CV$2,-1)+1,$C56:$F56)*VLOOKUP(CV$2,Valores!$H$2:$P$154,8,0)</f>
        <v>#VALUE!</v>
      </c>
      <c r="CW56" s="30" t="e">
        <f aca="false">SUMIF($C$2:$F$2,EOMONTH(CW$2,-1)+1,$C56:$F56)*VLOOKUP(CW$2,Valores!$H$2:$P$154,8,0)</f>
        <v>#VALUE!</v>
      </c>
      <c r="CX56" s="30" t="e">
        <f aca="false">SUMIF($C$2:$F$2,EOMONTH(CX$2,-1)+1,$C56:$F56)*VLOOKUP(CX$2,Valores!$H$2:$P$154,8,0)</f>
        <v>#VALUE!</v>
      </c>
      <c r="CY56" s="30" t="e">
        <f aca="false">SUMIF($C$2:$F$2,EOMONTH(CY$2,-1)+1,$C56:$F56)*VLOOKUP(CY$2,Valores!$H$2:$P$154,8,0)</f>
        <v>#VALUE!</v>
      </c>
      <c r="CZ56" s="30" t="e">
        <f aca="false">SUMIF($C$2:$F$2,EOMONTH(CZ$2,-1)+1,$C56:$F56)*VLOOKUP(CZ$2,Valores!$H$2:$P$154,8,0)</f>
        <v>#VALUE!</v>
      </c>
      <c r="DA56" s="30" t="e">
        <f aca="false">SUMIF($C$2:$F$2,EOMONTH(DA$2,-1)+1,$C56:$F56)*VLOOKUP(DA$2,Valores!$H$2:$P$154,8,0)</f>
        <v>#VALUE!</v>
      </c>
      <c r="DB56" s="30" t="e">
        <f aca="false">SUMIF($C$2:$F$2,EOMONTH(DB$2,-1)+1,$C56:$F56)*VLOOKUP(DB$2,Valores!$H$2:$P$154,8,0)</f>
        <v>#VALUE!</v>
      </c>
      <c r="DC56" s="30" t="e">
        <f aca="false">SUMIF($C$2:$F$2,EOMONTH(DC$2,-1)+1,$C56:$F56)*VLOOKUP(DC$2,Valores!$H$2:$P$154,8,0)</f>
        <v>#VALUE!</v>
      </c>
      <c r="DD56" s="30" t="e">
        <f aca="false">SUMIF($C$2:$F$2,EOMONTH(DD$2,-1)+1,$C56:$F56)*VLOOKUP(DD$2,Valores!$H$2:$P$154,8,0)</f>
        <v>#VALUE!</v>
      </c>
      <c r="DE56" s="30" t="e">
        <f aca="false">SUMIF($C$2:$F$2,EOMONTH(DE$2,-1)+1,$C56:$F56)*VLOOKUP(DE$2,Valores!$H$2:$P$154,8,0)</f>
        <v>#VALUE!</v>
      </c>
      <c r="DF56" s="30" t="e">
        <f aca="false">SUMIF($C$2:$F$2,EOMONTH(DF$2,-1)+1,$C56:$F56)*VLOOKUP(DF$2,Valores!$H$2:$P$154,8,0)</f>
        <v>#VALUE!</v>
      </c>
      <c r="DG56" s="30" t="e">
        <f aca="false">SUMIF($C$2:$F$2,EOMONTH(DG$2,-1)+1,$C56:$F56)*VLOOKUP(DG$2,Valores!$H$2:$P$154,8,0)</f>
        <v>#VALUE!</v>
      </c>
      <c r="DH56" s="30" t="e">
        <f aca="false">SUMIF($C$2:$F$2,EOMONTH(DH$2,-1)+1,$C56:$F56)*VLOOKUP(DH$2,Valores!$H$2:$P$154,8,0)</f>
        <v>#VALUE!</v>
      </c>
      <c r="DI56" s="30" t="e">
        <f aca="false">SUMIF($C$2:$F$2,EOMONTH(DI$2,-1)+1,$C56:$F56)*VLOOKUP(DI$2,Valores!$H$2:$P$154,8,0)</f>
        <v>#VALUE!</v>
      </c>
      <c r="DJ56" s="30" t="e">
        <f aca="false">SUMIF($C$2:$F$2,EOMONTH(DJ$2,-1)+1,$C56:$F56)*VLOOKUP(DJ$2,Valores!$H$2:$P$154,8,0)</f>
        <v>#VALUE!</v>
      </c>
      <c r="DK56" s="30" t="e">
        <f aca="false">SUMIF($C$2:$F$2,EOMONTH(DK$2,-1)+1,$C56:$F56)*VLOOKUP(DK$2,Valores!$H$2:$P$154,8,0)</f>
        <v>#VALUE!</v>
      </c>
      <c r="DL56" s="30" t="e">
        <f aca="false">SUMIF($C$2:$F$2,EOMONTH(DL$2,-1)+1,$C56:$F56)*VLOOKUP(DL$2,Valores!$H$2:$P$154,8,0)</f>
        <v>#VALUE!</v>
      </c>
      <c r="DM56" s="30" t="e">
        <f aca="false">SUMIF($C$2:$F$2,EOMONTH(DM$2,-1)+1,$C56:$F56)*VLOOKUP(DM$2,Valores!$H$2:$P$154,8,0)</f>
        <v>#VALUE!</v>
      </c>
      <c r="DN56" s="30" t="e">
        <f aca="false">SUMIF($C$2:$F$2,EOMONTH(DN$2,-1)+1,$C56:$F56)*VLOOKUP(DN$2,Valores!$H$2:$P$154,8,0)</f>
        <v>#VALUE!</v>
      </c>
      <c r="DO56" s="30" t="e">
        <f aca="false">SUMIF($C$2:$F$2,EOMONTH(DO$2,-1)+1,$C56:$F56)*VLOOKUP(DO$2,Valores!$H$2:$P$154,8,0)</f>
        <v>#VALUE!</v>
      </c>
      <c r="DP56" s="30" t="e">
        <f aca="false">SUMIF($C$2:$F$2,EOMONTH(DP$2,-1)+1,$C56:$F56)*VLOOKUP(DP$2,Valores!$H$2:$P$154,8,0)</f>
        <v>#VALUE!</v>
      </c>
      <c r="DQ56" s="30" t="e">
        <f aca="false">SUMIF($C$2:$F$2,EOMONTH(DQ$2,-1)+1,$C56:$F56)*VLOOKUP(DQ$2,Valores!$H$2:$P$154,8,0)</f>
        <v>#VALUE!</v>
      </c>
      <c r="DR56" s="30" t="e">
        <f aca="false">SUMIF($C$2:$F$2,EOMONTH(DR$2,-1)+1,$C56:$F56)*VLOOKUP(DR$2,Valores!$H$2:$P$154,8,0)</f>
        <v>#VALUE!</v>
      </c>
      <c r="DS56" s="30" t="e">
        <f aca="false">SUMIF($C$2:$F$2,EOMONTH(DS$2,-1)+1,$C56:$F56)*VLOOKUP(DS$2,Valores!$H$2:$P$154,8,0)</f>
        <v>#VALUE!</v>
      </c>
      <c r="DT56" s="30" t="e">
        <f aca="false">SUMIF($C$2:$F$2,EOMONTH(DT$2,-1)+1,$C56:$F56)*VLOOKUP(DT$2,Valores!$H$2:$P$154,8,0)</f>
        <v>#VALUE!</v>
      </c>
      <c r="DU56" s="30" t="e">
        <f aca="false">SUMIF($C$2:$F$2,EOMONTH(DU$2,-1)+1,$C56:$F56)*VLOOKUP(DU$2,Valores!$H$2:$P$154,8,0)</f>
        <v>#VALUE!</v>
      </c>
      <c r="DV56" s="30" t="e">
        <f aca="false">SUMIF($C$2:$F$2,EOMONTH(DV$2,-1)+1,$C56:$F56)*VLOOKUP(DV$2,Valores!$H$2:$P$154,8,0)</f>
        <v>#VALUE!</v>
      </c>
      <c r="DW56" s="30" t="e">
        <f aca="false">SUMIF($C$2:$F$2,EOMONTH(DW$2,-1)+1,$C56:$F56)*VLOOKUP(DW$2,Valores!$H$2:$P$154,8,0)</f>
        <v>#VALUE!</v>
      </c>
      <c r="DX56" s="30" t="e">
        <f aca="false">SUMIF($C$2:$F$2,EOMONTH(DX$2,-1)+1,$C56:$F56)*VLOOKUP(DX$2,Valores!$H$2:$P$154,8,0)</f>
        <v>#VALUE!</v>
      </c>
    </row>
    <row r="57" customFormat="false" ht="13.8" hidden="false" customHeight="false" outlineLevel="0" collapsed="false">
      <c r="A57" s="31" t="s">
        <v>54</v>
      </c>
      <c r="B57" s="31" t="s">
        <v>79</v>
      </c>
      <c r="C57" s="31" t="n">
        <v>1512353</v>
      </c>
      <c r="D57" s="31" t="n">
        <v>1361117.7</v>
      </c>
      <c r="E57" s="31" t="n">
        <v>1225005.93</v>
      </c>
      <c r="F57" s="31" t="n">
        <v>1102505.337</v>
      </c>
      <c r="G57" s="27" t="n">
        <f aca="false">SUMIF($C$2:$F$2,EOMONTH(G$2,-1)+1,$C57:$F57)*VLOOKUP(G$2,Valores!$H$2:$P$154,8,0)</f>
        <v>43551.386374856</v>
      </c>
      <c r="H57" s="27" t="n">
        <f aca="false">SUMIF($C$2:$F$2,EOMONTH(H$2,-1)+1,$C57:$F57)*VLOOKUP(H$2,Valores!$H$2:$P$154,8,0)</f>
        <v>29863.8077999013</v>
      </c>
      <c r="I57" s="27" t="n">
        <f aca="false">SUMIF($C$2:$F$2,EOMONTH(I$2,-1)+1,$C57:$F57)*VLOOKUP(I$2,Valores!$H$2:$P$154,8,0)</f>
        <v>29863.8077999013</v>
      </c>
      <c r="J57" s="27" t="n">
        <f aca="false">SUMIF($C$2:$F$2,EOMONTH(J$2,-1)+1,$C57:$F57)*VLOOKUP(J$2,Valores!$H$2:$P$154,8,0)</f>
        <v>29863.8077999013</v>
      </c>
      <c r="K57" s="27" t="n">
        <f aca="false">SUMIF($C$2:$F$2,EOMONTH(K$2,-1)+1,$C57:$F57)*VLOOKUP(K$2,Valores!$H$2:$P$154,8,0)</f>
        <v>29863.8077999013</v>
      </c>
      <c r="L57" s="27" t="n">
        <f aca="false">SUMIF($C$2:$F$2,EOMONTH(L$2,-1)+1,$C57:$F57)*VLOOKUP(L$2,Valores!$H$2:$P$154,8,0)</f>
        <v>59727.6155998025</v>
      </c>
      <c r="M57" s="27" t="n">
        <f aca="false">SUMIF($C$2:$F$2,EOMONTH(M$2,-1)+1,$C57:$F57)*VLOOKUP(M$2,Valores!$H$2:$P$154,8,0)</f>
        <v>74659.5194997532</v>
      </c>
      <c r="N57" s="27" t="n">
        <f aca="false">SUMIF($C$2:$F$2,EOMONTH(N$2,-1)+1,$C57:$F57)*VLOOKUP(N$2,Valores!$H$2:$P$154,8,0)</f>
        <v>44795.7116998519</v>
      </c>
      <c r="O57" s="27" t="n">
        <f aca="false">SUMIF($C$2:$F$2,EOMONTH(O$2,-1)+1,$C57:$F57)*VLOOKUP(O$2,Valores!$H$2:$P$154,8,0)</f>
        <v>39818.4103998683</v>
      </c>
      <c r="P57" s="27" t="n">
        <f aca="false">SUMIF($C$2:$F$2,EOMONTH(P$2,-1)+1,$C57:$F57)*VLOOKUP(P$2,Valores!$H$2:$P$154,8,0)</f>
        <v>39818.4103998683</v>
      </c>
      <c r="Q57" s="27" t="n">
        <f aca="false">SUMIF($C$2:$F$2,EOMONTH(Q$2,-1)+1,$C57:$F57)*VLOOKUP(Q$2,Valores!$H$2:$P$154,8,0)</f>
        <v>23891.046239921</v>
      </c>
      <c r="R57" s="27" t="n">
        <f aca="false">SUMIF($C$2:$F$2,EOMONTH(R$2,-1)+1,$C57:$F57)*VLOOKUP(R$2,Valores!$H$2:$P$154,8,0)</f>
        <v>39818.4103998683</v>
      </c>
      <c r="S57" s="27" t="n">
        <f aca="false">SUMIF($C$2:$F$2,EOMONTH(S$2,-1)+1,$C57:$F57)*VLOOKUP(S$2,Valores!$H$2:$P$154,8,0)</f>
        <v>79636.8207997367</v>
      </c>
      <c r="T57" s="27" t="n">
        <f aca="false">SUMIF($C$2:$F$2,EOMONTH(T$2,-1)+1,$C57:$F57)*VLOOKUP(T$2,Valores!$H$2:$P$154,8,0)</f>
        <v>99546.0259996709</v>
      </c>
      <c r="U57" s="27" t="n">
        <f aca="false">SUMIF($C$2:$F$2,EOMONTH(U$2,-1)+1,$C57:$F57)*VLOOKUP(U$2,Valores!$H$2:$P$154,8,0)</f>
        <v>59727.6155998025</v>
      </c>
      <c r="V57" s="27" t="n">
        <f aca="false">SUMIF($C$2:$F$2,EOMONTH(V$2,-1)+1,$C57:$F57)*VLOOKUP(V$2,Valores!$H$2:$P$154,8,0)</f>
        <v>49773.0129998354</v>
      </c>
      <c r="W57" s="27" t="n">
        <f aca="false">SUMIF($C$2:$F$2,EOMONTH(W$2,-1)+1,$C57:$F57)*VLOOKUP(W$2,Valores!$H$2:$P$154,8,0)</f>
        <v>49773.0129998354</v>
      </c>
      <c r="X57" s="27" t="n">
        <f aca="false">SUMIF($C$2:$F$2,EOMONTH(X$2,-1)+1,$C57:$F57)*VLOOKUP(X$2,Valores!$H$2:$P$154,8,0)</f>
        <v>0</v>
      </c>
      <c r="Y57" s="27" t="n">
        <f aca="false">SUMIF($C$2:$F$2,EOMONTH(Y$2,-1)+1,$C57:$F57)*VLOOKUP(Y$2,Valores!$H$2:$P$154,8,0)</f>
        <v>0</v>
      </c>
      <c r="Z57" s="27" t="n">
        <f aca="false">SUMIF($C$2:$F$2,EOMONTH(Z$2,-1)+1,$C57:$F57)*VLOOKUP(Z$2,Valores!$H$2:$P$154,8,0)</f>
        <v>74659.5194997532</v>
      </c>
      <c r="AA57" s="27" t="n">
        <f aca="false">SUMIF($C$2:$F$2,EOMONTH(AA$2,-1)+1,$C57:$F57)*VLOOKUP(AA$2,Valores!$H$2:$P$154,8,0)</f>
        <v>89591.4233997038</v>
      </c>
      <c r="AB57" s="27" t="n">
        <f aca="false">SUMIF($C$2:$F$2,EOMONTH(AB$2,-1)+1,$C57:$F57)*VLOOKUP(AB$2,Valores!$H$2:$P$154,8,0)</f>
        <v>44795.7116998519</v>
      </c>
      <c r="AC57" s="27" t="n">
        <f aca="false">SUMIF($C$2:$F$2,EOMONTH(AC$2,-1)+1,$C57:$F57)*VLOOKUP(AC$2,Valores!$H$2:$P$154,8,0)</f>
        <v>54750.314299819</v>
      </c>
      <c r="AD57" s="27" t="n">
        <f aca="false">SUMIF($C$2:$F$2,EOMONTH(AD$2,-1)+1,$C57:$F57)*VLOOKUP(AD$2,Valores!$H$2:$P$154,8,0)</f>
        <v>54750.314299819</v>
      </c>
      <c r="AE57" s="27" t="n">
        <f aca="false">SUMIF($C$2:$F$2,EOMONTH(AE$2,-1)+1,$C57:$F57)*VLOOKUP(AE$2,Valores!$H$2:$P$154,8,0)</f>
        <v>54750.314299819</v>
      </c>
      <c r="AF57" s="27" t="n">
        <f aca="false">SUMIF($C$2:$F$2,EOMONTH(AF$2,-1)+1,$C57:$F57)*VLOOKUP(AF$2,Valores!$H$2:$P$154,8,0)</f>
        <v>54750.314299819</v>
      </c>
      <c r="AG57" s="27" t="n">
        <f aca="false">SUMIF($C$2:$F$2,EOMONTH(AG$2,-1)+1,$C57:$F57)*VLOOKUP(AG$2,Valores!$H$2:$P$154,8,0)</f>
        <v>87600.5028797104</v>
      </c>
      <c r="AH57" s="27" t="n">
        <f aca="false">SUMIF($C$2:$F$2,EOMONTH(AH$2,-1)+1,$C57:$F57)*VLOOKUP(AH$2,Valores!$H$2:$P$154,8,0)</f>
        <v>109500.628599638</v>
      </c>
      <c r="AI57" s="27" t="n">
        <f aca="false">SUMIF($C$2:$F$2,EOMONTH(AI$2,-1)+1,$C57:$F57)*VLOOKUP(AI$2,Valores!$H$2:$P$154,8,0)</f>
        <v>38325.2200098733</v>
      </c>
      <c r="AJ57" s="27" t="n">
        <f aca="false">SUMIF($C$2:$F$2,EOMONTH(AJ$2,-1)+1,$C57:$F57)*VLOOKUP(AJ$2,Valores!$H$2:$P$154,8,0)</f>
        <v>24886.5064999177</v>
      </c>
      <c r="AK57" s="27" t="n">
        <f aca="false">SUMIF($C$2:$F$2,EOMONTH(AK$2,-1)+1,$C57:$F57)*VLOOKUP(AK$2,Valores!$H$2:$P$154,8,0)</f>
        <v>45382.4758865417</v>
      </c>
      <c r="AL57" s="27" t="n">
        <f aca="false">SUMIF($C$2:$F$2,EOMONTH(AL$2,-1)+1,$C57:$F57)*VLOOKUP(AL$2,Valores!$H$2:$P$154,8,0)</f>
        <v>45382.4758865417</v>
      </c>
      <c r="AM57" s="27" t="n">
        <f aca="false">SUMIF($C$2:$F$2,EOMONTH(AM$2,-1)+1,$C57:$F57)*VLOOKUP(AM$2,Valores!$H$2:$P$154,8,0)</f>
        <v>45382.4758865417</v>
      </c>
      <c r="AN57" s="27" t="n">
        <f aca="false">SUMIF($C$2:$F$2,EOMONTH(AN$2,-1)+1,$C57:$F57)*VLOOKUP(AN$2,Valores!$H$2:$P$154,8,0)</f>
        <v>90764.9517730834</v>
      </c>
      <c r="AO57" s="27" t="n">
        <f aca="false">SUMIF($C$2:$F$2,EOMONTH(AO$2,-1)+1,$C57:$F57)*VLOOKUP(AO$2,Valores!$H$2:$P$154,8,0)</f>
        <v>113456.189716354</v>
      </c>
      <c r="AP57" s="27" t="n">
        <f aca="false">SUMIF($C$2:$F$2,EOMONTH(AP$2,-1)+1,$C57:$F57)*VLOOKUP(AP$2,Valores!$H$2:$P$154,8,0)</f>
        <v>68073.7138298126</v>
      </c>
      <c r="AQ57" s="27" t="n">
        <f aca="false">SUMIF($C$2:$F$2,EOMONTH(AQ$2,-1)+1,$C57:$F57)*VLOOKUP(AQ$2,Valores!$H$2:$P$154,8,0)</f>
        <v>24312.0406535045</v>
      </c>
      <c r="AR57" s="27" t="n">
        <f aca="false">SUMIF($C$2:$F$2,EOMONTH(AR$2,-1)+1,$C57:$F57)*VLOOKUP(AR$2,Valores!$H$2:$P$154,8,0)</f>
        <v>24312.0406535045</v>
      </c>
      <c r="AS57" s="27" t="n">
        <f aca="false">SUMIF($C$2:$F$2,EOMONTH(AS$2,-1)+1,$C57:$F57)*VLOOKUP(AS$2,Valores!$H$2:$P$154,8,0)</f>
        <v>24312.0406535045</v>
      </c>
      <c r="AT57" s="27" t="n">
        <f aca="false">SUMIF($C$2:$F$2,EOMONTH(AT$2,-1)+1,$C57:$F57)*VLOOKUP(AT$2,Valores!$H$2:$P$154,8,0)</f>
        <v>24312.0406535045</v>
      </c>
      <c r="AU57" s="27" t="n">
        <f aca="false">SUMIF($C$2:$F$2,EOMONTH(AU$2,-1)+1,$C57:$F57)*VLOOKUP(AU$2,Valores!$H$2:$P$154,8,0)</f>
        <v>48624.081307009</v>
      </c>
      <c r="AV57" s="27" t="n">
        <f aca="false">SUMIF($C$2:$F$2,EOMONTH(AV$2,-1)+1,$C57:$F57)*VLOOKUP(AV$2,Valores!$H$2:$P$154,8,0)</f>
        <v>60780.1016337612</v>
      </c>
      <c r="AW57" s="27" t="n">
        <f aca="false">SUMIF($C$2:$F$2,EOMONTH(AW$2,-1)+1,$C57:$F57)*VLOOKUP(AW$2,Valores!$H$2:$P$154,8,0)</f>
        <v>36468.0609802567</v>
      </c>
      <c r="AX57" s="27" t="n">
        <f aca="false">SUMIF($C$2:$F$2,EOMONTH(AX$2,-1)+1,$C57:$F57)*VLOOKUP(AX$2,Valores!$H$2:$P$154,8,0)</f>
        <v>24312.0406535045</v>
      </c>
      <c r="AY57" s="27" t="n">
        <f aca="false">SUMIF($C$2:$F$2,EOMONTH(AY$2,-1)+1,$C57:$F57)*VLOOKUP(AY$2,Valores!$H$2:$P$154,8,0)</f>
        <v>31605.6528495558</v>
      </c>
      <c r="AZ57" s="27" t="n">
        <f aca="false">SUMIF($C$2:$F$2,EOMONTH(AZ$2,-1)+1,$C57:$F57)*VLOOKUP(AZ$2,Valores!$H$2:$P$154,8,0)</f>
        <v>31605.6528495558</v>
      </c>
      <c r="BA57" s="27" t="n">
        <f aca="false">SUMIF($C$2:$F$2,EOMONTH(BA$2,-1)+1,$C57:$F57)*VLOOKUP(BA$2,Valores!$H$2:$P$154,8,0)</f>
        <v>31605.6528495558</v>
      </c>
      <c r="BB57" s="27" t="n">
        <f aca="false">SUMIF($C$2:$F$2,EOMONTH(BB$2,-1)+1,$C57:$F57)*VLOOKUP(BB$2,Valores!$H$2:$P$154,8,0)</f>
        <v>55917.6935030603</v>
      </c>
      <c r="BC57" s="27" t="n">
        <f aca="false">SUMIF($C$2:$F$2,EOMONTH(BC$2,-1)+1,$C57:$F57)*VLOOKUP(BC$2,Valores!$H$2:$P$154,8,0)</f>
        <v>68073.7138298126</v>
      </c>
      <c r="BD57" s="27" t="n">
        <f aca="false">SUMIF($C$2:$F$2,EOMONTH(BD$2,-1)+1,$C57:$F57)*VLOOKUP(BD$2,Valores!$H$2:$P$154,8,0)</f>
        <v>36468.0609802567</v>
      </c>
      <c r="BE57" s="27" t="n">
        <f aca="false">SUMIF($C$2:$F$2,EOMONTH(BE$2,-1)+1,$C57:$F57)*VLOOKUP(BE$2,Valores!$H$2:$P$154,8,0)</f>
        <v>32416.0542046726</v>
      </c>
      <c r="BF57" s="27" t="n">
        <f aca="false">SUMIF($C$2:$F$2,EOMONTH(BF$2,-1)+1,$C57:$F57)*VLOOKUP(BF$2,Valores!$H$2:$P$154,8,0)</f>
        <v>32416.0542046726</v>
      </c>
      <c r="BG57" s="27" t="n">
        <f aca="false">SUMIF($C$2:$F$2,EOMONTH(BG$2,-1)+1,$C57:$F57)*VLOOKUP(BG$2,Valores!$H$2:$P$154,8,0)</f>
        <v>32416.0542046726</v>
      </c>
      <c r="BH57" s="27" t="n">
        <f aca="false">SUMIF($C$2:$F$2,EOMONTH(BH$2,-1)+1,$C57:$F57)*VLOOKUP(BH$2,Valores!$H$2:$P$154,8,0)</f>
        <v>32416.0542046726</v>
      </c>
      <c r="BI57" s="27" t="n">
        <f aca="false">SUMIF($C$2:$F$2,EOMONTH(BI$2,-1)+1,$C57:$F57)*VLOOKUP(BI$2,Valores!$H$2:$P$154,8,0)</f>
        <v>64832.1084093453</v>
      </c>
      <c r="BJ57" s="27" t="n">
        <f aca="false">SUMIF($C$2:$F$2,EOMONTH(BJ$2,-1)+1,$C57:$F57)*VLOOKUP(BJ$2,Valores!$H$2:$P$154,8,0)</f>
        <v>81040.1355116816</v>
      </c>
      <c r="BK57" s="27" t="n">
        <f aca="false">SUMIF($C$2:$F$2,EOMONTH(BK$2,-1)+1,$C57:$F57)*VLOOKUP(BK$2,Valores!$H$2:$P$154,8,0)</f>
        <v>38899.2650456072</v>
      </c>
      <c r="BL57" s="27" t="n">
        <f aca="false">SUMIF($C$2:$F$2,EOMONTH(BL$2,-1)+1,$C57:$F57)*VLOOKUP(BL$2,Valores!$H$2:$P$154,8,0)</f>
        <v>28526.1277001119</v>
      </c>
      <c r="BM57" s="27" t="n">
        <f aca="false">SUMIF($C$2:$F$2,EOMONTH(BM$2,-1)+1,$C57:$F57)*VLOOKUP(BM$2,Valores!$H$2:$P$154,8,0)</f>
        <v>28526.1277001119</v>
      </c>
      <c r="BN57" s="27" t="n">
        <f aca="false">SUMIF($C$2:$F$2,EOMONTH(BN$2,-1)+1,$C57:$F57)*VLOOKUP(BN$2,Valores!$H$2:$P$154,8,0)</f>
        <v>28526.1277001119</v>
      </c>
      <c r="BO57" s="27" t="n">
        <f aca="false">SUMIF($C$2:$F$2,EOMONTH(BO$2,-1)+1,$C57:$F57)*VLOOKUP(BO$2,Valores!$H$2:$P$154,8,0)</f>
        <v>29952.4340851175</v>
      </c>
      <c r="BP57" s="27" t="n">
        <f aca="false">SUMIF($C$2:$F$2,EOMONTH(BP$2,-1)+1,$C57:$F57)*VLOOKUP(BP$2,Valores!$H$2:$P$154,8,0)</f>
        <v>75376.6971541589</v>
      </c>
      <c r="BQ57" s="27" t="n">
        <f aca="false">SUMIF($C$2:$F$2,EOMONTH(BQ$2,-1)+1,$C57:$F57)*VLOOKUP(BQ$2,Valores!$H$2:$P$154,8,0)</f>
        <v>94220.8714426986</v>
      </c>
      <c r="BR57" s="27" t="n">
        <f aca="false">SUMIF($C$2:$F$2,EOMONTH(BR$2,-1)+1,$C57:$F57)*VLOOKUP(BR$2,Valores!$H$2:$P$154,8,0)</f>
        <v>45226.0182924953</v>
      </c>
      <c r="BS57" s="27" t="n">
        <f aca="false">SUMIF($C$2:$F$2,EOMONTH(BS$2,-1)+1,$C57:$F57)*VLOOKUP(BS$2,Valores!$H$2:$P$154,8,0)</f>
        <v>20190.1867377211</v>
      </c>
      <c r="BT57" s="27" t="n">
        <f aca="false">SUMIF($C$2:$F$2,EOMONTH(BT$2,-1)+1,$C57:$F57)*VLOOKUP(BT$2,Valores!$H$2:$P$154,8,0)</f>
        <v>20190.1867377211</v>
      </c>
      <c r="BU57" s="27" t="n">
        <f aca="false">SUMIF($C$2:$F$2,EOMONTH(BU$2,-1)+1,$C57:$F57)*VLOOKUP(BU$2,Valores!$H$2:$P$154,8,0)</f>
        <v>20190.1867377211</v>
      </c>
      <c r="BV57" s="27" t="n">
        <f aca="false">SUMIF($C$2:$F$2,EOMONTH(BV$2,-1)+1,$C57:$F57)*VLOOKUP(BV$2,Valores!$H$2:$P$154,8,0)</f>
        <v>20190.1867377211</v>
      </c>
      <c r="BW57" s="27" t="n">
        <f aca="false">SUMIF($C$2:$F$2,EOMONTH(BW$2,-1)+1,$C57:$F57)*VLOOKUP(BW$2,Valores!$H$2:$P$154,8,0)</f>
        <v>40380.3734754422</v>
      </c>
      <c r="BX57" s="27" t="n">
        <f aca="false">SUMIF($C$2:$F$2,EOMONTH(BX$2,-1)+1,$C57:$F57)*VLOOKUP(BX$2,Valores!$H$2:$P$154,8,0)</f>
        <v>50475.4668443028</v>
      </c>
      <c r="BY57" s="27" t="n">
        <f aca="false">SUMIF($C$2:$F$2,EOMONTH(BY$2,-1)+1,$C57:$F57)*VLOOKUP(BY$2,Valores!$H$2:$P$154,8,0)</f>
        <v>30285.2801065817</v>
      </c>
      <c r="BZ57" s="27" t="n">
        <f aca="false">SUMIF($C$2:$F$2,EOMONTH(BZ$2,-1)+1,$C57:$F57)*VLOOKUP(BZ$2,Valores!$H$2:$P$154,8,0)</f>
        <v>20190.1867377211</v>
      </c>
      <c r="CA57" s="27" t="n">
        <f aca="false">SUMIF($C$2:$F$2,EOMONTH(CA$2,-1)+1,$C57:$F57)*VLOOKUP(CA$2,Valores!$H$2:$P$154,8,0)</f>
        <v>20190.1867377211</v>
      </c>
      <c r="CB57" s="27" t="n">
        <f aca="false">SUMIF($C$2:$F$2,EOMONTH(CB$2,-1)+1,$C57:$F57)*VLOOKUP(CB$2,Valores!$H$2:$P$154,8,0)</f>
        <v>20190.1867377211</v>
      </c>
      <c r="CC57" s="27" t="n">
        <f aca="false">SUMIF($C$2:$F$2,EOMONTH(CC$2,-1)+1,$C57:$F57)*VLOOKUP(CC$2,Valores!$H$2:$P$154,8,0)</f>
        <v>20190.1867377211</v>
      </c>
      <c r="CD57" s="27" t="n">
        <f aca="false">SUMIF($C$2:$F$2,EOMONTH(CD$2,-1)+1,$C57:$F57)*VLOOKUP(CD$2,Valores!$H$2:$P$154,8,0)</f>
        <v>60570.5602131634</v>
      </c>
      <c r="CE57" s="27" t="n">
        <f aca="false">SUMIF($C$2:$F$2,EOMONTH(CE$2,-1)+1,$C57:$F57)*VLOOKUP(CE$2,Valores!$H$2:$P$154,8,0)</f>
        <v>80760.7469508845</v>
      </c>
      <c r="CF57" s="27" t="n">
        <f aca="false">SUMIF($C$2:$F$2,EOMONTH(CF$2,-1)+1,$C57:$F57)*VLOOKUP(CF$2,Valores!$H$2:$P$154,8,0)</f>
        <v>50475.4668443028</v>
      </c>
      <c r="CG57" s="27" t="n">
        <f aca="false">SUMIF($C$2:$F$2,EOMONTH(CG$2,-1)+1,$C57:$F57)*VLOOKUP(CG$2,Valores!$H$2:$P$154,8,0)</f>
        <v>26920.2489836282</v>
      </c>
      <c r="CH57" s="27" t="n">
        <f aca="false">SUMIF($C$2:$F$2,EOMONTH(CH$2,-1)+1,$C57:$F57)*VLOOKUP(CH$2,Valores!$H$2:$P$154,8,0)</f>
        <v>26920.2489836282</v>
      </c>
      <c r="CI57" s="27" t="n">
        <f aca="false">SUMIF($C$2:$F$2,EOMONTH(CI$2,-1)+1,$C57:$F57)*VLOOKUP(CI$2,Valores!$H$2:$P$154,8,0)</f>
        <v>26920.2489836282</v>
      </c>
      <c r="CJ57" s="27" t="n">
        <f aca="false">SUMIF($C$2:$F$2,EOMONTH(CJ$2,-1)+1,$C57:$F57)*VLOOKUP(CJ$2,Valores!$H$2:$P$154,8,0)</f>
        <v>26920.2489836282</v>
      </c>
      <c r="CK57" s="27" t="n">
        <f aca="false">SUMIF($C$2:$F$2,EOMONTH(CK$2,-1)+1,$C57:$F57)*VLOOKUP(CK$2,Valores!$H$2:$P$154,8,0)</f>
        <v>53840.4979672563</v>
      </c>
      <c r="CL57" s="27" t="n">
        <f aca="false">SUMIF($C$2:$F$2,EOMONTH(CL$2,-1)+1,$C57:$F57)*VLOOKUP(CL$2,Valores!$H$2:$P$154,8,0)</f>
        <v>67300.6224590704</v>
      </c>
      <c r="CM57" s="27" t="n">
        <f aca="false">SUMIF($C$2:$F$2,EOMONTH(CM$2,-1)+1,$C57:$F57)*VLOOKUP(CM$2,Valores!$H$2:$P$154,8,0)</f>
        <v>40380.3734754422</v>
      </c>
      <c r="CN57" s="27" t="n">
        <f aca="false">SUMIF($C$2:$F$2,EOMONTH(CN$2,-1)+1,$C57:$F57)*VLOOKUP(CN$2,Valores!$H$2:$P$154,8,0)</f>
        <v>29612.273881991</v>
      </c>
      <c r="CO57" s="27" t="n">
        <f aca="false">SUMIF($C$2:$F$2,EOMONTH(CO$2,-1)+1,$C57:$F57)*VLOOKUP(CO$2,Valores!$H$2:$P$154,8,0)</f>
        <v>29612.273881991</v>
      </c>
      <c r="CP57" s="27" t="n">
        <f aca="false">SUMIF($C$2:$F$2,EOMONTH(CP$2,-1)+1,$C57:$F57)*VLOOKUP(CP$2,Valores!$H$2:$P$154,8,0)</f>
        <v>29612.273881991</v>
      </c>
      <c r="CQ57" s="27" t="n">
        <f aca="false">SUMIF($C$2:$F$2,EOMONTH(CQ$2,-1)+1,$C57:$F57)*VLOOKUP(CQ$2,Valores!$H$2:$P$154,8,0)</f>
        <v>29612.273881991</v>
      </c>
      <c r="CR57" s="27" t="n">
        <f aca="false">SUMIF($C$2:$F$2,EOMONTH(CR$2,-1)+1,$C57:$F57)*VLOOKUP(CR$2,Valores!$H$2:$P$154,8,0)</f>
        <v>59224.547763982</v>
      </c>
      <c r="CS57" s="27" t="n">
        <f aca="false">SUMIF($C$2:$F$2,EOMONTH(CS$2,-1)+1,$C57:$F57)*VLOOKUP(CS$2,Valores!$H$2:$P$154,8,0)</f>
        <v>88836.8216459729</v>
      </c>
      <c r="CT57" s="27" t="e">
        <f aca="false">SUMIF($C$2:$F$2,EOMONTH(CT$2,-1)+1,$C57:$F57)*VLOOKUP(CT$2,Valores!$H$2:$P$154,8,0)</f>
        <v>#VALUE!</v>
      </c>
      <c r="CU57" s="27" t="e">
        <f aca="false">SUMIF($C$2:$F$2,EOMONTH(CU$2,-1)+1,$C57:$F57)*VLOOKUP(CU$2,Valores!$H$2:$P$154,8,0)</f>
        <v>#VALUE!</v>
      </c>
      <c r="CV57" s="27" t="e">
        <f aca="false">SUMIF($C$2:$F$2,EOMONTH(CV$2,-1)+1,$C57:$F57)*VLOOKUP(CV$2,Valores!$H$2:$P$154,8,0)</f>
        <v>#VALUE!</v>
      </c>
      <c r="CW57" s="27" t="e">
        <f aca="false">SUMIF($C$2:$F$2,EOMONTH(CW$2,-1)+1,$C57:$F57)*VLOOKUP(CW$2,Valores!$H$2:$P$154,8,0)</f>
        <v>#VALUE!</v>
      </c>
      <c r="CX57" s="27" t="e">
        <f aca="false">SUMIF($C$2:$F$2,EOMONTH(CX$2,-1)+1,$C57:$F57)*VLOOKUP(CX$2,Valores!$H$2:$P$154,8,0)</f>
        <v>#VALUE!</v>
      </c>
      <c r="CY57" s="27" t="e">
        <f aca="false">SUMIF($C$2:$F$2,EOMONTH(CY$2,-1)+1,$C57:$F57)*VLOOKUP(CY$2,Valores!$H$2:$P$154,8,0)</f>
        <v>#VALUE!</v>
      </c>
      <c r="CZ57" s="27" t="e">
        <f aca="false">SUMIF($C$2:$F$2,EOMONTH(CZ$2,-1)+1,$C57:$F57)*VLOOKUP(CZ$2,Valores!$H$2:$P$154,8,0)</f>
        <v>#VALUE!</v>
      </c>
      <c r="DA57" s="27" t="e">
        <f aca="false">SUMIF($C$2:$F$2,EOMONTH(DA$2,-1)+1,$C57:$F57)*VLOOKUP(DA$2,Valores!$H$2:$P$154,8,0)</f>
        <v>#VALUE!</v>
      </c>
      <c r="DB57" s="27" t="e">
        <f aca="false">SUMIF($C$2:$F$2,EOMONTH(DB$2,-1)+1,$C57:$F57)*VLOOKUP(DB$2,Valores!$H$2:$P$154,8,0)</f>
        <v>#VALUE!</v>
      </c>
      <c r="DC57" s="27" t="e">
        <f aca="false">SUMIF($C$2:$F$2,EOMONTH(DC$2,-1)+1,$C57:$F57)*VLOOKUP(DC$2,Valores!$H$2:$P$154,8,0)</f>
        <v>#VALUE!</v>
      </c>
      <c r="DD57" s="27" t="e">
        <f aca="false">SUMIF($C$2:$F$2,EOMONTH(DD$2,-1)+1,$C57:$F57)*VLOOKUP(DD$2,Valores!$H$2:$P$154,8,0)</f>
        <v>#VALUE!</v>
      </c>
      <c r="DE57" s="27" t="e">
        <f aca="false">SUMIF($C$2:$F$2,EOMONTH(DE$2,-1)+1,$C57:$F57)*VLOOKUP(DE$2,Valores!$H$2:$P$154,8,0)</f>
        <v>#VALUE!</v>
      </c>
      <c r="DF57" s="27" t="e">
        <f aca="false">SUMIF($C$2:$F$2,EOMONTH(DF$2,-1)+1,$C57:$F57)*VLOOKUP(DF$2,Valores!$H$2:$P$154,8,0)</f>
        <v>#VALUE!</v>
      </c>
      <c r="DG57" s="27" t="e">
        <f aca="false">SUMIF($C$2:$F$2,EOMONTH(DG$2,-1)+1,$C57:$F57)*VLOOKUP(DG$2,Valores!$H$2:$P$154,8,0)</f>
        <v>#VALUE!</v>
      </c>
      <c r="DH57" s="27" t="e">
        <f aca="false">SUMIF($C$2:$F$2,EOMONTH(DH$2,-1)+1,$C57:$F57)*VLOOKUP(DH$2,Valores!$H$2:$P$154,8,0)</f>
        <v>#VALUE!</v>
      </c>
      <c r="DI57" s="27" t="e">
        <f aca="false">SUMIF($C$2:$F$2,EOMONTH(DI$2,-1)+1,$C57:$F57)*VLOOKUP(DI$2,Valores!$H$2:$P$154,8,0)</f>
        <v>#VALUE!</v>
      </c>
      <c r="DJ57" s="27" t="e">
        <f aca="false">SUMIF($C$2:$F$2,EOMONTH(DJ$2,-1)+1,$C57:$F57)*VLOOKUP(DJ$2,Valores!$H$2:$P$154,8,0)</f>
        <v>#VALUE!</v>
      </c>
      <c r="DK57" s="27" t="e">
        <f aca="false">SUMIF($C$2:$F$2,EOMONTH(DK$2,-1)+1,$C57:$F57)*VLOOKUP(DK$2,Valores!$H$2:$P$154,8,0)</f>
        <v>#VALUE!</v>
      </c>
      <c r="DL57" s="27" t="e">
        <f aca="false">SUMIF($C$2:$F$2,EOMONTH(DL$2,-1)+1,$C57:$F57)*VLOOKUP(DL$2,Valores!$H$2:$P$154,8,0)</f>
        <v>#VALUE!</v>
      </c>
      <c r="DM57" s="27" t="e">
        <f aca="false">SUMIF($C$2:$F$2,EOMONTH(DM$2,-1)+1,$C57:$F57)*VLOOKUP(DM$2,Valores!$H$2:$P$154,8,0)</f>
        <v>#VALUE!</v>
      </c>
      <c r="DN57" s="27" t="e">
        <f aca="false">SUMIF($C$2:$F$2,EOMONTH(DN$2,-1)+1,$C57:$F57)*VLOOKUP(DN$2,Valores!$H$2:$P$154,8,0)</f>
        <v>#VALUE!</v>
      </c>
      <c r="DO57" s="27" t="e">
        <f aca="false">SUMIF($C$2:$F$2,EOMONTH(DO$2,-1)+1,$C57:$F57)*VLOOKUP(DO$2,Valores!$H$2:$P$154,8,0)</f>
        <v>#VALUE!</v>
      </c>
      <c r="DP57" s="27" t="e">
        <f aca="false">SUMIF($C$2:$F$2,EOMONTH(DP$2,-1)+1,$C57:$F57)*VLOOKUP(DP$2,Valores!$H$2:$P$154,8,0)</f>
        <v>#VALUE!</v>
      </c>
      <c r="DQ57" s="27" t="e">
        <f aca="false">SUMIF($C$2:$F$2,EOMONTH(DQ$2,-1)+1,$C57:$F57)*VLOOKUP(DQ$2,Valores!$H$2:$P$154,8,0)</f>
        <v>#VALUE!</v>
      </c>
      <c r="DR57" s="27" t="e">
        <f aca="false">SUMIF($C$2:$F$2,EOMONTH(DR$2,-1)+1,$C57:$F57)*VLOOKUP(DR$2,Valores!$H$2:$P$154,8,0)</f>
        <v>#VALUE!</v>
      </c>
      <c r="DS57" s="27" t="e">
        <f aca="false">SUMIF($C$2:$F$2,EOMONTH(DS$2,-1)+1,$C57:$F57)*VLOOKUP(DS$2,Valores!$H$2:$P$154,8,0)</f>
        <v>#VALUE!</v>
      </c>
      <c r="DT57" s="27" t="e">
        <f aca="false">SUMIF($C$2:$F$2,EOMONTH(DT$2,-1)+1,$C57:$F57)*VLOOKUP(DT$2,Valores!$H$2:$P$154,8,0)</f>
        <v>#VALUE!</v>
      </c>
      <c r="DU57" s="27" t="e">
        <f aca="false">SUMIF($C$2:$F$2,EOMONTH(DU$2,-1)+1,$C57:$F57)*VLOOKUP(DU$2,Valores!$H$2:$P$154,8,0)</f>
        <v>#VALUE!</v>
      </c>
      <c r="DV57" s="27" t="e">
        <f aca="false">SUMIF($C$2:$F$2,EOMONTH(DV$2,-1)+1,$C57:$F57)*VLOOKUP(DV$2,Valores!$H$2:$P$154,8,0)</f>
        <v>#VALUE!</v>
      </c>
      <c r="DW57" s="27" t="e">
        <f aca="false">SUMIF($C$2:$F$2,EOMONTH(DW$2,-1)+1,$C57:$F57)*VLOOKUP(DW$2,Valores!$H$2:$P$154,8,0)</f>
        <v>#VALUE!</v>
      </c>
      <c r="DX57" s="27" t="e">
        <f aca="false">SUMIF($C$2:$F$2,EOMONTH(DX$2,-1)+1,$C57:$F57)*VLOOKUP(DX$2,Valores!$H$2:$P$154,8,0)</f>
        <v>#VALUE!</v>
      </c>
    </row>
    <row r="58" customFormat="false" ht="13.8" hidden="false" customHeight="false" outlineLevel="0" collapsed="false">
      <c r="A58" s="29" t="s">
        <v>54</v>
      </c>
      <c r="B58" s="29" t="s">
        <v>80</v>
      </c>
      <c r="C58" s="29" t="n">
        <v>1446450</v>
      </c>
      <c r="D58" s="29" t="n">
        <v>1301805</v>
      </c>
      <c r="E58" s="29" t="n">
        <v>1171624.5</v>
      </c>
      <c r="F58" s="29" t="n">
        <v>1054462.05</v>
      </c>
      <c r="G58" s="30" t="n">
        <f aca="false">SUMIF($C$2:$F$2,EOMONTH(G$2,-1)+1,$C58:$F58)*VLOOKUP(G$2,Valores!$H$2:$P$154,8,0)</f>
        <v>41653.5708408754</v>
      </c>
      <c r="H58" s="30" t="n">
        <f aca="false">SUMIF($C$2:$F$2,EOMONTH(H$2,-1)+1,$C58:$F58)*VLOOKUP(H$2,Valores!$H$2:$P$154,8,0)</f>
        <v>28562.4485766003</v>
      </c>
      <c r="I58" s="30" t="n">
        <f aca="false">SUMIF($C$2:$F$2,EOMONTH(I$2,-1)+1,$C58:$F58)*VLOOKUP(I$2,Valores!$H$2:$P$154,8,0)</f>
        <v>28562.4485766003</v>
      </c>
      <c r="J58" s="30" t="n">
        <f aca="false">SUMIF($C$2:$F$2,EOMONTH(J$2,-1)+1,$C58:$F58)*VLOOKUP(J$2,Valores!$H$2:$P$154,8,0)</f>
        <v>28562.4485766003</v>
      </c>
      <c r="K58" s="30" t="n">
        <f aca="false">SUMIF($C$2:$F$2,EOMONTH(K$2,-1)+1,$C58:$F58)*VLOOKUP(K$2,Valores!$H$2:$P$154,8,0)</f>
        <v>28562.4485766003</v>
      </c>
      <c r="L58" s="30" t="n">
        <f aca="false">SUMIF($C$2:$F$2,EOMONTH(L$2,-1)+1,$C58:$F58)*VLOOKUP(L$2,Valores!$H$2:$P$154,8,0)</f>
        <v>57124.8971532006</v>
      </c>
      <c r="M58" s="30" t="n">
        <f aca="false">SUMIF($C$2:$F$2,EOMONTH(M$2,-1)+1,$C58:$F58)*VLOOKUP(M$2,Valores!$H$2:$P$154,8,0)</f>
        <v>71406.1214415007</v>
      </c>
      <c r="N58" s="30" t="n">
        <f aca="false">SUMIF($C$2:$F$2,EOMONTH(N$2,-1)+1,$C58:$F58)*VLOOKUP(N$2,Valores!$H$2:$P$154,8,0)</f>
        <v>42843.6728649004</v>
      </c>
      <c r="O58" s="30" t="n">
        <f aca="false">SUMIF($C$2:$F$2,EOMONTH(O$2,-1)+1,$C58:$F58)*VLOOKUP(O$2,Valores!$H$2:$P$154,8,0)</f>
        <v>38083.2647688004</v>
      </c>
      <c r="P58" s="30" t="n">
        <f aca="false">SUMIF($C$2:$F$2,EOMONTH(P$2,-1)+1,$C58:$F58)*VLOOKUP(P$2,Valores!$H$2:$P$154,8,0)</f>
        <v>38083.2647688004</v>
      </c>
      <c r="Q58" s="30" t="n">
        <f aca="false">SUMIF($C$2:$F$2,EOMONTH(Q$2,-1)+1,$C58:$F58)*VLOOKUP(Q$2,Valores!$H$2:$P$154,8,0)</f>
        <v>22849.9588612802</v>
      </c>
      <c r="R58" s="30" t="n">
        <f aca="false">SUMIF($C$2:$F$2,EOMONTH(R$2,-1)+1,$C58:$F58)*VLOOKUP(R$2,Valores!$H$2:$P$154,8,0)</f>
        <v>38083.2647688004</v>
      </c>
      <c r="S58" s="30" t="n">
        <f aca="false">SUMIF($C$2:$F$2,EOMONTH(S$2,-1)+1,$C58:$F58)*VLOOKUP(S$2,Valores!$H$2:$P$154,8,0)</f>
        <v>76166.5295376008</v>
      </c>
      <c r="T58" s="30" t="n">
        <f aca="false">SUMIF($C$2:$F$2,EOMONTH(T$2,-1)+1,$C58:$F58)*VLOOKUP(T$2,Valores!$H$2:$P$154,8,0)</f>
        <v>95208.161922001</v>
      </c>
      <c r="U58" s="30" t="n">
        <f aca="false">SUMIF($C$2:$F$2,EOMONTH(U$2,-1)+1,$C58:$F58)*VLOOKUP(U$2,Valores!$H$2:$P$154,8,0)</f>
        <v>57124.8971532006</v>
      </c>
      <c r="V58" s="30" t="n">
        <f aca="false">SUMIF($C$2:$F$2,EOMONTH(V$2,-1)+1,$C58:$F58)*VLOOKUP(V$2,Valores!$H$2:$P$154,8,0)</f>
        <v>47604.0809610005</v>
      </c>
      <c r="W58" s="30" t="n">
        <f aca="false">SUMIF($C$2:$F$2,EOMONTH(W$2,-1)+1,$C58:$F58)*VLOOKUP(W$2,Valores!$H$2:$P$154,8,0)</f>
        <v>47604.0809610005</v>
      </c>
      <c r="X58" s="30" t="n">
        <f aca="false">SUMIF($C$2:$F$2,EOMONTH(X$2,-1)+1,$C58:$F58)*VLOOKUP(X$2,Valores!$H$2:$P$154,8,0)</f>
        <v>0</v>
      </c>
      <c r="Y58" s="30" t="n">
        <f aca="false">SUMIF($C$2:$F$2,EOMONTH(Y$2,-1)+1,$C58:$F58)*VLOOKUP(Y$2,Valores!$H$2:$P$154,8,0)</f>
        <v>0</v>
      </c>
      <c r="Z58" s="30" t="n">
        <f aca="false">SUMIF($C$2:$F$2,EOMONTH(Z$2,-1)+1,$C58:$F58)*VLOOKUP(Z$2,Valores!$H$2:$P$154,8,0)</f>
        <v>71406.1214415007</v>
      </c>
      <c r="AA58" s="30" t="n">
        <f aca="false">SUMIF($C$2:$F$2,EOMONTH(AA$2,-1)+1,$C58:$F58)*VLOOKUP(AA$2,Valores!$H$2:$P$154,8,0)</f>
        <v>85687.3457298009</v>
      </c>
      <c r="AB58" s="30" t="n">
        <f aca="false">SUMIF($C$2:$F$2,EOMONTH(AB$2,-1)+1,$C58:$F58)*VLOOKUP(AB$2,Valores!$H$2:$P$154,8,0)</f>
        <v>42843.6728649004</v>
      </c>
      <c r="AC58" s="30" t="n">
        <f aca="false">SUMIF($C$2:$F$2,EOMONTH(AC$2,-1)+1,$C58:$F58)*VLOOKUP(AC$2,Valores!$H$2:$P$154,8,0)</f>
        <v>52364.4890571005</v>
      </c>
      <c r="AD58" s="30" t="n">
        <f aca="false">SUMIF($C$2:$F$2,EOMONTH(AD$2,-1)+1,$C58:$F58)*VLOOKUP(AD$2,Valores!$H$2:$P$154,8,0)</f>
        <v>52364.4890571005</v>
      </c>
      <c r="AE58" s="30" t="n">
        <f aca="false">SUMIF($C$2:$F$2,EOMONTH(AE$2,-1)+1,$C58:$F58)*VLOOKUP(AE$2,Valores!$H$2:$P$154,8,0)</f>
        <v>52364.4890571005</v>
      </c>
      <c r="AF58" s="30" t="n">
        <f aca="false">SUMIF($C$2:$F$2,EOMONTH(AF$2,-1)+1,$C58:$F58)*VLOOKUP(AF$2,Valores!$H$2:$P$154,8,0)</f>
        <v>52364.4890571005</v>
      </c>
      <c r="AG58" s="30" t="n">
        <f aca="false">SUMIF($C$2:$F$2,EOMONTH(AG$2,-1)+1,$C58:$F58)*VLOOKUP(AG$2,Valores!$H$2:$P$154,8,0)</f>
        <v>83783.1824913609</v>
      </c>
      <c r="AH58" s="30" t="n">
        <f aca="false">SUMIF($C$2:$F$2,EOMONTH(AH$2,-1)+1,$C58:$F58)*VLOOKUP(AH$2,Valores!$H$2:$P$154,8,0)</f>
        <v>104728.978114201</v>
      </c>
      <c r="AI58" s="30" t="n">
        <f aca="false">SUMIF($C$2:$F$2,EOMONTH(AI$2,-1)+1,$C58:$F58)*VLOOKUP(AI$2,Valores!$H$2:$P$154,8,0)</f>
        <v>36655.1423399704</v>
      </c>
      <c r="AJ58" s="30" t="n">
        <f aca="false">SUMIF($C$2:$F$2,EOMONTH(AJ$2,-1)+1,$C58:$F58)*VLOOKUP(AJ$2,Valores!$H$2:$P$154,8,0)</f>
        <v>23802.0404805002</v>
      </c>
      <c r="AK58" s="30" t="n">
        <f aca="false">SUMIF($C$2:$F$2,EOMONTH(AK$2,-1)+1,$C58:$F58)*VLOOKUP(AK$2,Valores!$H$2:$P$154,8,0)</f>
        <v>43404.8679416038</v>
      </c>
      <c r="AL58" s="30" t="n">
        <f aca="false">SUMIF($C$2:$F$2,EOMONTH(AL$2,-1)+1,$C58:$F58)*VLOOKUP(AL$2,Valores!$H$2:$P$154,8,0)</f>
        <v>43404.8679416038</v>
      </c>
      <c r="AM58" s="30" t="n">
        <f aca="false">SUMIF($C$2:$F$2,EOMONTH(AM$2,-1)+1,$C58:$F58)*VLOOKUP(AM$2,Valores!$H$2:$P$154,8,0)</f>
        <v>43404.8679416038</v>
      </c>
      <c r="AN58" s="30" t="n">
        <f aca="false">SUMIF($C$2:$F$2,EOMONTH(AN$2,-1)+1,$C58:$F58)*VLOOKUP(AN$2,Valores!$H$2:$P$154,8,0)</f>
        <v>86809.7358832075</v>
      </c>
      <c r="AO58" s="30" t="n">
        <f aca="false">SUMIF($C$2:$F$2,EOMONTH(AO$2,-1)+1,$C58:$F58)*VLOOKUP(AO$2,Valores!$H$2:$P$154,8,0)</f>
        <v>108512.169854009</v>
      </c>
      <c r="AP58" s="30" t="n">
        <f aca="false">SUMIF($C$2:$F$2,EOMONTH(AP$2,-1)+1,$C58:$F58)*VLOOKUP(AP$2,Valores!$H$2:$P$154,8,0)</f>
        <v>65107.3019124056</v>
      </c>
      <c r="AQ58" s="30" t="n">
        <f aca="false">SUMIF($C$2:$F$2,EOMONTH(AQ$2,-1)+1,$C58:$F58)*VLOOKUP(AQ$2,Valores!$H$2:$P$154,8,0)</f>
        <v>23252.6078258591</v>
      </c>
      <c r="AR58" s="30" t="n">
        <f aca="false">SUMIF($C$2:$F$2,EOMONTH(AR$2,-1)+1,$C58:$F58)*VLOOKUP(AR$2,Valores!$H$2:$P$154,8,0)</f>
        <v>23252.6078258591</v>
      </c>
      <c r="AS58" s="30" t="n">
        <f aca="false">SUMIF($C$2:$F$2,EOMONTH(AS$2,-1)+1,$C58:$F58)*VLOOKUP(AS$2,Valores!$H$2:$P$154,8,0)</f>
        <v>23252.6078258591</v>
      </c>
      <c r="AT58" s="30" t="n">
        <f aca="false">SUMIF($C$2:$F$2,EOMONTH(AT$2,-1)+1,$C58:$F58)*VLOOKUP(AT$2,Valores!$H$2:$P$154,8,0)</f>
        <v>23252.6078258591</v>
      </c>
      <c r="AU58" s="30" t="n">
        <f aca="false">SUMIF($C$2:$F$2,EOMONTH(AU$2,-1)+1,$C58:$F58)*VLOOKUP(AU$2,Valores!$H$2:$P$154,8,0)</f>
        <v>46505.2156517183</v>
      </c>
      <c r="AV58" s="30" t="n">
        <f aca="false">SUMIF($C$2:$F$2,EOMONTH(AV$2,-1)+1,$C58:$F58)*VLOOKUP(AV$2,Valores!$H$2:$P$154,8,0)</f>
        <v>58131.5195646479</v>
      </c>
      <c r="AW58" s="30" t="n">
        <f aca="false">SUMIF($C$2:$F$2,EOMONTH(AW$2,-1)+1,$C58:$F58)*VLOOKUP(AW$2,Valores!$H$2:$P$154,8,0)</f>
        <v>34878.9117387887</v>
      </c>
      <c r="AX58" s="30" t="n">
        <f aca="false">SUMIF($C$2:$F$2,EOMONTH(AX$2,-1)+1,$C58:$F58)*VLOOKUP(AX$2,Valores!$H$2:$P$154,8,0)</f>
        <v>23252.6078258591</v>
      </c>
      <c r="AY58" s="30" t="n">
        <f aca="false">SUMIF($C$2:$F$2,EOMONTH(AY$2,-1)+1,$C58:$F58)*VLOOKUP(AY$2,Valores!$H$2:$P$154,8,0)</f>
        <v>30228.3901736169</v>
      </c>
      <c r="AZ58" s="30" t="n">
        <f aca="false">SUMIF($C$2:$F$2,EOMONTH(AZ$2,-1)+1,$C58:$F58)*VLOOKUP(AZ$2,Valores!$H$2:$P$154,8,0)</f>
        <v>30228.3901736169</v>
      </c>
      <c r="BA58" s="30" t="n">
        <f aca="false">SUMIF($C$2:$F$2,EOMONTH(BA$2,-1)+1,$C58:$F58)*VLOOKUP(BA$2,Valores!$H$2:$P$154,8,0)</f>
        <v>30228.3901736169</v>
      </c>
      <c r="BB58" s="30" t="n">
        <f aca="false">SUMIF($C$2:$F$2,EOMONTH(BB$2,-1)+1,$C58:$F58)*VLOOKUP(BB$2,Valores!$H$2:$P$154,8,0)</f>
        <v>53480.997999476</v>
      </c>
      <c r="BC58" s="30" t="n">
        <f aca="false">SUMIF($C$2:$F$2,EOMONTH(BC$2,-1)+1,$C58:$F58)*VLOOKUP(BC$2,Valores!$H$2:$P$154,8,0)</f>
        <v>65107.3019124056</v>
      </c>
      <c r="BD58" s="30" t="n">
        <f aca="false">SUMIF($C$2:$F$2,EOMONTH(BD$2,-1)+1,$C58:$F58)*VLOOKUP(BD$2,Valores!$H$2:$P$154,8,0)</f>
        <v>34878.9117387887</v>
      </c>
      <c r="BE58" s="30" t="n">
        <f aca="false">SUMIF($C$2:$F$2,EOMONTH(BE$2,-1)+1,$C58:$F58)*VLOOKUP(BE$2,Valores!$H$2:$P$154,8,0)</f>
        <v>31003.4771011455</v>
      </c>
      <c r="BF58" s="30" t="n">
        <f aca="false">SUMIF($C$2:$F$2,EOMONTH(BF$2,-1)+1,$C58:$F58)*VLOOKUP(BF$2,Valores!$H$2:$P$154,8,0)</f>
        <v>31003.4771011455</v>
      </c>
      <c r="BG58" s="30" t="n">
        <f aca="false">SUMIF($C$2:$F$2,EOMONTH(BG$2,-1)+1,$C58:$F58)*VLOOKUP(BG$2,Valores!$H$2:$P$154,8,0)</f>
        <v>31003.4771011455</v>
      </c>
      <c r="BH58" s="30" t="n">
        <f aca="false">SUMIF($C$2:$F$2,EOMONTH(BH$2,-1)+1,$C58:$F58)*VLOOKUP(BH$2,Valores!$H$2:$P$154,8,0)</f>
        <v>31003.4771011455</v>
      </c>
      <c r="BI58" s="30" t="n">
        <f aca="false">SUMIF($C$2:$F$2,EOMONTH(BI$2,-1)+1,$C58:$F58)*VLOOKUP(BI$2,Valores!$H$2:$P$154,8,0)</f>
        <v>62006.9542022911</v>
      </c>
      <c r="BJ58" s="30" t="n">
        <f aca="false">SUMIF($C$2:$F$2,EOMONTH(BJ$2,-1)+1,$C58:$F58)*VLOOKUP(BJ$2,Valores!$H$2:$P$154,8,0)</f>
        <v>77508.6927528638</v>
      </c>
      <c r="BK58" s="30" t="n">
        <f aca="false">SUMIF($C$2:$F$2,EOMONTH(BK$2,-1)+1,$C58:$F58)*VLOOKUP(BK$2,Valores!$H$2:$P$154,8,0)</f>
        <v>37204.1725213746</v>
      </c>
      <c r="BL58" s="30" t="n">
        <f aca="false">SUMIF($C$2:$F$2,EOMONTH(BL$2,-1)+1,$C58:$F58)*VLOOKUP(BL$2,Valores!$H$2:$P$154,8,0)</f>
        <v>27283.0598490081</v>
      </c>
      <c r="BM58" s="30" t="n">
        <f aca="false">SUMIF($C$2:$F$2,EOMONTH(BM$2,-1)+1,$C58:$F58)*VLOOKUP(BM$2,Valores!$H$2:$P$154,8,0)</f>
        <v>27283.0598490081</v>
      </c>
      <c r="BN58" s="30" t="n">
        <f aca="false">SUMIF($C$2:$F$2,EOMONTH(BN$2,-1)+1,$C58:$F58)*VLOOKUP(BN$2,Valores!$H$2:$P$154,8,0)</f>
        <v>27283.0598490081</v>
      </c>
      <c r="BO58" s="30" t="n">
        <f aca="false">SUMIF($C$2:$F$2,EOMONTH(BO$2,-1)+1,$C58:$F58)*VLOOKUP(BO$2,Valores!$H$2:$P$154,8,0)</f>
        <v>28647.2128414585</v>
      </c>
      <c r="BP58" s="30" t="n">
        <f aca="false">SUMIF($C$2:$F$2,EOMONTH(BP$2,-1)+1,$C58:$F58)*VLOOKUP(BP$2,Valores!$H$2:$P$154,8,0)</f>
        <v>72092.0470277991</v>
      </c>
      <c r="BQ58" s="30" t="n">
        <f aca="false">SUMIF($C$2:$F$2,EOMONTH(BQ$2,-1)+1,$C58:$F58)*VLOOKUP(BQ$2,Valores!$H$2:$P$154,8,0)</f>
        <v>90115.0587847489</v>
      </c>
      <c r="BR58" s="30" t="n">
        <f aca="false">SUMIF($C$2:$F$2,EOMONTH(BR$2,-1)+1,$C58:$F58)*VLOOKUP(BR$2,Valores!$H$2:$P$154,8,0)</f>
        <v>43255.2282166795</v>
      </c>
      <c r="BS58" s="30" t="n">
        <f aca="false">SUMIF($C$2:$F$2,EOMONTH(BS$2,-1)+1,$C58:$F58)*VLOOKUP(BS$2,Valores!$H$2:$P$154,8,0)</f>
        <v>19310.369739589</v>
      </c>
      <c r="BT58" s="30" t="n">
        <f aca="false">SUMIF($C$2:$F$2,EOMONTH(BT$2,-1)+1,$C58:$F58)*VLOOKUP(BT$2,Valores!$H$2:$P$154,8,0)</f>
        <v>19310.369739589</v>
      </c>
      <c r="BU58" s="30" t="n">
        <f aca="false">SUMIF($C$2:$F$2,EOMONTH(BU$2,-1)+1,$C58:$F58)*VLOOKUP(BU$2,Valores!$H$2:$P$154,8,0)</f>
        <v>19310.369739589</v>
      </c>
      <c r="BV58" s="30" t="n">
        <f aca="false">SUMIF($C$2:$F$2,EOMONTH(BV$2,-1)+1,$C58:$F58)*VLOOKUP(BV$2,Valores!$H$2:$P$154,8,0)</f>
        <v>19310.369739589</v>
      </c>
      <c r="BW58" s="30" t="n">
        <f aca="false">SUMIF($C$2:$F$2,EOMONTH(BW$2,-1)+1,$C58:$F58)*VLOOKUP(BW$2,Valores!$H$2:$P$154,8,0)</f>
        <v>38620.7394791781</v>
      </c>
      <c r="BX58" s="30" t="n">
        <f aca="false">SUMIF($C$2:$F$2,EOMONTH(BX$2,-1)+1,$C58:$F58)*VLOOKUP(BX$2,Valores!$H$2:$P$154,8,0)</f>
        <v>48275.9243489726</v>
      </c>
      <c r="BY58" s="30" t="n">
        <f aca="false">SUMIF($C$2:$F$2,EOMONTH(BY$2,-1)+1,$C58:$F58)*VLOOKUP(BY$2,Valores!$H$2:$P$154,8,0)</f>
        <v>28965.5546093836</v>
      </c>
      <c r="BZ58" s="30" t="n">
        <f aca="false">SUMIF($C$2:$F$2,EOMONTH(BZ$2,-1)+1,$C58:$F58)*VLOOKUP(BZ$2,Valores!$H$2:$P$154,8,0)</f>
        <v>19310.369739589</v>
      </c>
      <c r="CA58" s="30" t="n">
        <f aca="false">SUMIF($C$2:$F$2,EOMONTH(CA$2,-1)+1,$C58:$F58)*VLOOKUP(CA$2,Valores!$H$2:$P$154,8,0)</f>
        <v>19310.369739589</v>
      </c>
      <c r="CB58" s="30" t="n">
        <f aca="false">SUMIF($C$2:$F$2,EOMONTH(CB$2,-1)+1,$C58:$F58)*VLOOKUP(CB$2,Valores!$H$2:$P$154,8,0)</f>
        <v>19310.369739589</v>
      </c>
      <c r="CC58" s="30" t="n">
        <f aca="false">SUMIF($C$2:$F$2,EOMONTH(CC$2,-1)+1,$C58:$F58)*VLOOKUP(CC$2,Valores!$H$2:$P$154,8,0)</f>
        <v>19310.369739589</v>
      </c>
      <c r="CD58" s="30" t="n">
        <f aca="false">SUMIF($C$2:$F$2,EOMONTH(CD$2,-1)+1,$C58:$F58)*VLOOKUP(CD$2,Valores!$H$2:$P$154,8,0)</f>
        <v>57931.1092187671</v>
      </c>
      <c r="CE58" s="30" t="n">
        <f aca="false">SUMIF($C$2:$F$2,EOMONTH(CE$2,-1)+1,$C58:$F58)*VLOOKUP(CE$2,Valores!$H$2:$P$154,8,0)</f>
        <v>77241.4789583562</v>
      </c>
      <c r="CF58" s="30" t="n">
        <f aca="false">SUMIF($C$2:$F$2,EOMONTH(CF$2,-1)+1,$C58:$F58)*VLOOKUP(CF$2,Valores!$H$2:$P$154,8,0)</f>
        <v>48275.9243489726</v>
      </c>
      <c r="CG58" s="30" t="n">
        <f aca="false">SUMIF($C$2:$F$2,EOMONTH(CG$2,-1)+1,$C58:$F58)*VLOOKUP(CG$2,Valores!$H$2:$P$154,8,0)</f>
        <v>25747.1596527854</v>
      </c>
      <c r="CH58" s="30" t="n">
        <f aca="false">SUMIF($C$2:$F$2,EOMONTH(CH$2,-1)+1,$C58:$F58)*VLOOKUP(CH$2,Valores!$H$2:$P$154,8,0)</f>
        <v>25747.1596527854</v>
      </c>
      <c r="CI58" s="30" t="n">
        <f aca="false">SUMIF($C$2:$F$2,EOMONTH(CI$2,-1)+1,$C58:$F58)*VLOOKUP(CI$2,Valores!$H$2:$P$154,8,0)</f>
        <v>25747.1596527854</v>
      </c>
      <c r="CJ58" s="30" t="n">
        <f aca="false">SUMIF($C$2:$F$2,EOMONTH(CJ$2,-1)+1,$C58:$F58)*VLOOKUP(CJ$2,Valores!$H$2:$P$154,8,0)</f>
        <v>25747.1596527854</v>
      </c>
      <c r="CK58" s="30" t="n">
        <f aca="false">SUMIF($C$2:$F$2,EOMONTH(CK$2,-1)+1,$C58:$F58)*VLOOKUP(CK$2,Valores!$H$2:$P$154,8,0)</f>
        <v>51494.3193055708</v>
      </c>
      <c r="CL58" s="30" t="n">
        <f aca="false">SUMIF($C$2:$F$2,EOMONTH(CL$2,-1)+1,$C58:$F58)*VLOOKUP(CL$2,Valores!$H$2:$P$154,8,0)</f>
        <v>64367.8991319635</v>
      </c>
      <c r="CM58" s="30" t="n">
        <f aca="false">SUMIF($C$2:$F$2,EOMONTH(CM$2,-1)+1,$C58:$F58)*VLOOKUP(CM$2,Valores!$H$2:$P$154,8,0)</f>
        <v>38620.7394791781</v>
      </c>
      <c r="CN58" s="30" t="n">
        <f aca="false">SUMIF($C$2:$F$2,EOMONTH(CN$2,-1)+1,$C58:$F58)*VLOOKUP(CN$2,Valores!$H$2:$P$154,8,0)</f>
        <v>28321.8756180639</v>
      </c>
      <c r="CO58" s="30" t="n">
        <f aca="false">SUMIF($C$2:$F$2,EOMONTH(CO$2,-1)+1,$C58:$F58)*VLOOKUP(CO$2,Valores!$H$2:$P$154,8,0)</f>
        <v>28321.8756180639</v>
      </c>
      <c r="CP58" s="30" t="n">
        <f aca="false">SUMIF($C$2:$F$2,EOMONTH(CP$2,-1)+1,$C58:$F58)*VLOOKUP(CP$2,Valores!$H$2:$P$154,8,0)</f>
        <v>28321.8756180639</v>
      </c>
      <c r="CQ58" s="30" t="n">
        <f aca="false">SUMIF($C$2:$F$2,EOMONTH(CQ$2,-1)+1,$C58:$F58)*VLOOKUP(CQ$2,Valores!$H$2:$P$154,8,0)</f>
        <v>28321.8756180639</v>
      </c>
      <c r="CR58" s="30" t="n">
        <f aca="false">SUMIF($C$2:$F$2,EOMONTH(CR$2,-1)+1,$C58:$F58)*VLOOKUP(CR$2,Valores!$H$2:$P$154,8,0)</f>
        <v>56643.7512361279</v>
      </c>
      <c r="CS58" s="30" t="n">
        <f aca="false">SUMIF($C$2:$F$2,EOMONTH(CS$2,-1)+1,$C58:$F58)*VLOOKUP(CS$2,Valores!$H$2:$P$154,8,0)</f>
        <v>84965.6268541918</v>
      </c>
      <c r="CT58" s="30" t="e">
        <f aca="false">SUMIF($C$2:$F$2,EOMONTH(CT$2,-1)+1,$C58:$F58)*VLOOKUP(CT$2,Valores!$H$2:$P$154,8,0)</f>
        <v>#VALUE!</v>
      </c>
      <c r="CU58" s="30" t="e">
        <f aca="false">SUMIF($C$2:$F$2,EOMONTH(CU$2,-1)+1,$C58:$F58)*VLOOKUP(CU$2,Valores!$H$2:$P$154,8,0)</f>
        <v>#VALUE!</v>
      </c>
      <c r="CV58" s="30" t="e">
        <f aca="false">SUMIF($C$2:$F$2,EOMONTH(CV$2,-1)+1,$C58:$F58)*VLOOKUP(CV$2,Valores!$H$2:$P$154,8,0)</f>
        <v>#VALUE!</v>
      </c>
      <c r="CW58" s="30" t="e">
        <f aca="false">SUMIF($C$2:$F$2,EOMONTH(CW$2,-1)+1,$C58:$F58)*VLOOKUP(CW$2,Valores!$H$2:$P$154,8,0)</f>
        <v>#VALUE!</v>
      </c>
      <c r="CX58" s="30" t="e">
        <f aca="false">SUMIF($C$2:$F$2,EOMONTH(CX$2,-1)+1,$C58:$F58)*VLOOKUP(CX$2,Valores!$H$2:$P$154,8,0)</f>
        <v>#VALUE!</v>
      </c>
      <c r="CY58" s="30" t="e">
        <f aca="false">SUMIF($C$2:$F$2,EOMONTH(CY$2,-1)+1,$C58:$F58)*VLOOKUP(CY$2,Valores!$H$2:$P$154,8,0)</f>
        <v>#VALUE!</v>
      </c>
      <c r="CZ58" s="30" t="e">
        <f aca="false">SUMIF($C$2:$F$2,EOMONTH(CZ$2,-1)+1,$C58:$F58)*VLOOKUP(CZ$2,Valores!$H$2:$P$154,8,0)</f>
        <v>#VALUE!</v>
      </c>
      <c r="DA58" s="30" t="e">
        <f aca="false">SUMIF($C$2:$F$2,EOMONTH(DA$2,-1)+1,$C58:$F58)*VLOOKUP(DA$2,Valores!$H$2:$P$154,8,0)</f>
        <v>#VALUE!</v>
      </c>
      <c r="DB58" s="30" t="e">
        <f aca="false">SUMIF($C$2:$F$2,EOMONTH(DB$2,-1)+1,$C58:$F58)*VLOOKUP(DB$2,Valores!$H$2:$P$154,8,0)</f>
        <v>#VALUE!</v>
      </c>
      <c r="DC58" s="30" t="e">
        <f aca="false">SUMIF($C$2:$F$2,EOMONTH(DC$2,-1)+1,$C58:$F58)*VLOOKUP(DC$2,Valores!$H$2:$P$154,8,0)</f>
        <v>#VALUE!</v>
      </c>
      <c r="DD58" s="30" t="e">
        <f aca="false">SUMIF($C$2:$F$2,EOMONTH(DD$2,-1)+1,$C58:$F58)*VLOOKUP(DD$2,Valores!$H$2:$P$154,8,0)</f>
        <v>#VALUE!</v>
      </c>
      <c r="DE58" s="30" t="e">
        <f aca="false">SUMIF($C$2:$F$2,EOMONTH(DE$2,-1)+1,$C58:$F58)*VLOOKUP(DE$2,Valores!$H$2:$P$154,8,0)</f>
        <v>#VALUE!</v>
      </c>
      <c r="DF58" s="30" t="e">
        <f aca="false">SUMIF($C$2:$F$2,EOMONTH(DF$2,-1)+1,$C58:$F58)*VLOOKUP(DF$2,Valores!$H$2:$P$154,8,0)</f>
        <v>#VALUE!</v>
      </c>
      <c r="DG58" s="30" t="e">
        <f aca="false">SUMIF($C$2:$F$2,EOMONTH(DG$2,-1)+1,$C58:$F58)*VLOOKUP(DG$2,Valores!$H$2:$P$154,8,0)</f>
        <v>#VALUE!</v>
      </c>
      <c r="DH58" s="30" t="e">
        <f aca="false">SUMIF($C$2:$F$2,EOMONTH(DH$2,-1)+1,$C58:$F58)*VLOOKUP(DH$2,Valores!$H$2:$P$154,8,0)</f>
        <v>#VALUE!</v>
      </c>
      <c r="DI58" s="30" t="e">
        <f aca="false">SUMIF($C$2:$F$2,EOMONTH(DI$2,-1)+1,$C58:$F58)*VLOOKUP(DI$2,Valores!$H$2:$P$154,8,0)</f>
        <v>#VALUE!</v>
      </c>
      <c r="DJ58" s="30" t="e">
        <f aca="false">SUMIF($C$2:$F$2,EOMONTH(DJ$2,-1)+1,$C58:$F58)*VLOOKUP(DJ$2,Valores!$H$2:$P$154,8,0)</f>
        <v>#VALUE!</v>
      </c>
      <c r="DK58" s="30" t="e">
        <f aca="false">SUMIF($C$2:$F$2,EOMONTH(DK$2,-1)+1,$C58:$F58)*VLOOKUP(DK$2,Valores!$H$2:$P$154,8,0)</f>
        <v>#VALUE!</v>
      </c>
      <c r="DL58" s="30" t="e">
        <f aca="false">SUMIF($C$2:$F$2,EOMONTH(DL$2,-1)+1,$C58:$F58)*VLOOKUP(DL$2,Valores!$H$2:$P$154,8,0)</f>
        <v>#VALUE!</v>
      </c>
      <c r="DM58" s="30" t="e">
        <f aca="false">SUMIF($C$2:$F$2,EOMONTH(DM$2,-1)+1,$C58:$F58)*VLOOKUP(DM$2,Valores!$H$2:$P$154,8,0)</f>
        <v>#VALUE!</v>
      </c>
      <c r="DN58" s="30" t="e">
        <f aca="false">SUMIF($C$2:$F$2,EOMONTH(DN$2,-1)+1,$C58:$F58)*VLOOKUP(DN$2,Valores!$H$2:$P$154,8,0)</f>
        <v>#VALUE!</v>
      </c>
      <c r="DO58" s="30" t="e">
        <f aca="false">SUMIF($C$2:$F$2,EOMONTH(DO$2,-1)+1,$C58:$F58)*VLOOKUP(DO$2,Valores!$H$2:$P$154,8,0)</f>
        <v>#VALUE!</v>
      </c>
      <c r="DP58" s="30" t="e">
        <f aca="false">SUMIF($C$2:$F$2,EOMONTH(DP$2,-1)+1,$C58:$F58)*VLOOKUP(DP$2,Valores!$H$2:$P$154,8,0)</f>
        <v>#VALUE!</v>
      </c>
      <c r="DQ58" s="30" t="e">
        <f aca="false">SUMIF($C$2:$F$2,EOMONTH(DQ$2,-1)+1,$C58:$F58)*VLOOKUP(DQ$2,Valores!$H$2:$P$154,8,0)</f>
        <v>#VALUE!</v>
      </c>
      <c r="DR58" s="30" t="e">
        <f aca="false">SUMIF($C$2:$F$2,EOMONTH(DR$2,-1)+1,$C58:$F58)*VLOOKUP(DR$2,Valores!$H$2:$P$154,8,0)</f>
        <v>#VALUE!</v>
      </c>
      <c r="DS58" s="30" t="e">
        <f aca="false">SUMIF($C$2:$F$2,EOMONTH(DS$2,-1)+1,$C58:$F58)*VLOOKUP(DS$2,Valores!$H$2:$P$154,8,0)</f>
        <v>#VALUE!</v>
      </c>
      <c r="DT58" s="30" t="e">
        <f aca="false">SUMIF($C$2:$F$2,EOMONTH(DT$2,-1)+1,$C58:$F58)*VLOOKUP(DT$2,Valores!$H$2:$P$154,8,0)</f>
        <v>#VALUE!</v>
      </c>
      <c r="DU58" s="30" t="e">
        <f aca="false">SUMIF($C$2:$F$2,EOMONTH(DU$2,-1)+1,$C58:$F58)*VLOOKUP(DU$2,Valores!$H$2:$P$154,8,0)</f>
        <v>#VALUE!</v>
      </c>
      <c r="DV58" s="30" t="e">
        <f aca="false">SUMIF($C$2:$F$2,EOMONTH(DV$2,-1)+1,$C58:$F58)*VLOOKUP(DV$2,Valores!$H$2:$P$154,8,0)</f>
        <v>#VALUE!</v>
      </c>
      <c r="DW58" s="30" t="e">
        <f aca="false">SUMIF($C$2:$F$2,EOMONTH(DW$2,-1)+1,$C58:$F58)*VLOOKUP(DW$2,Valores!$H$2:$P$154,8,0)</f>
        <v>#VALUE!</v>
      </c>
      <c r="DX58" s="30" t="e">
        <f aca="false">SUMIF($C$2:$F$2,EOMONTH(DX$2,-1)+1,$C58:$F58)*VLOOKUP(DX$2,Valores!$H$2:$P$154,8,0)</f>
        <v>#VALUE!</v>
      </c>
    </row>
    <row r="59" customFormat="false" ht="13.8" hidden="false" customHeight="false" outlineLevel="0" collapsed="false">
      <c r="A59" s="31" t="s">
        <v>54</v>
      </c>
      <c r="B59" s="31" t="s">
        <v>81</v>
      </c>
      <c r="C59" s="31" t="n">
        <v>1437613</v>
      </c>
      <c r="D59" s="31" t="n">
        <v>1293851.7</v>
      </c>
      <c r="E59" s="31" t="n">
        <v>1164466.53</v>
      </c>
      <c r="F59" s="31" t="n">
        <v>1048019.877</v>
      </c>
      <c r="G59" s="27" t="n">
        <f aca="false">SUMIF($C$2:$F$2,EOMONTH(G$2,-1)+1,$C59:$F59)*VLOOKUP(G$2,Valores!$H$2:$P$154,8,0)</f>
        <v>41399.0908342932</v>
      </c>
      <c r="H59" s="27" t="n">
        <f aca="false">SUMIF($C$2:$F$2,EOMONTH(H$2,-1)+1,$C59:$F59)*VLOOKUP(H$2,Valores!$H$2:$P$154,8,0)</f>
        <v>28387.9480006582</v>
      </c>
      <c r="I59" s="27" t="n">
        <f aca="false">SUMIF($C$2:$F$2,EOMONTH(I$2,-1)+1,$C59:$F59)*VLOOKUP(I$2,Valores!$H$2:$P$154,8,0)</f>
        <v>28387.9480006582</v>
      </c>
      <c r="J59" s="27" t="n">
        <f aca="false">SUMIF($C$2:$F$2,EOMONTH(J$2,-1)+1,$C59:$F59)*VLOOKUP(J$2,Valores!$H$2:$P$154,8,0)</f>
        <v>28387.9480006582</v>
      </c>
      <c r="K59" s="27" t="n">
        <f aca="false">SUMIF($C$2:$F$2,EOMONTH(K$2,-1)+1,$C59:$F59)*VLOOKUP(K$2,Valores!$H$2:$P$154,8,0)</f>
        <v>28387.9480006582</v>
      </c>
      <c r="L59" s="27" t="n">
        <f aca="false">SUMIF($C$2:$F$2,EOMONTH(L$2,-1)+1,$C59:$F59)*VLOOKUP(L$2,Valores!$H$2:$P$154,8,0)</f>
        <v>56775.8960013164</v>
      </c>
      <c r="M59" s="27" t="n">
        <f aca="false">SUMIF($C$2:$F$2,EOMONTH(M$2,-1)+1,$C59:$F59)*VLOOKUP(M$2,Valores!$H$2:$P$154,8,0)</f>
        <v>70969.8700016455</v>
      </c>
      <c r="N59" s="27" t="n">
        <f aca="false">SUMIF($C$2:$F$2,EOMONTH(N$2,-1)+1,$C59:$F59)*VLOOKUP(N$2,Valores!$H$2:$P$154,8,0)</f>
        <v>42581.9220009873</v>
      </c>
      <c r="O59" s="27" t="n">
        <f aca="false">SUMIF($C$2:$F$2,EOMONTH(O$2,-1)+1,$C59:$F59)*VLOOKUP(O$2,Valores!$H$2:$P$154,8,0)</f>
        <v>37850.597334211</v>
      </c>
      <c r="P59" s="27" t="n">
        <f aca="false">SUMIF($C$2:$F$2,EOMONTH(P$2,-1)+1,$C59:$F59)*VLOOKUP(P$2,Valores!$H$2:$P$154,8,0)</f>
        <v>37850.597334211</v>
      </c>
      <c r="Q59" s="27" t="n">
        <f aca="false">SUMIF($C$2:$F$2,EOMONTH(Q$2,-1)+1,$C59:$F59)*VLOOKUP(Q$2,Valores!$H$2:$P$154,8,0)</f>
        <v>22710.3584005266</v>
      </c>
      <c r="R59" s="27" t="n">
        <f aca="false">SUMIF($C$2:$F$2,EOMONTH(R$2,-1)+1,$C59:$F59)*VLOOKUP(R$2,Valores!$H$2:$P$154,8,0)</f>
        <v>37850.597334211</v>
      </c>
      <c r="S59" s="27" t="n">
        <f aca="false">SUMIF($C$2:$F$2,EOMONTH(S$2,-1)+1,$C59:$F59)*VLOOKUP(S$2,Valores!$H$2:$P$154,8,0)</f>
        <v>75701.1946684219</v>
      </c>
      <c r="T59" s="27" t="n">
        <f aca="false">SUMIF($C$2:$F$2,EOMONTH(T$2,-1)+1,$C59:$F59)*VLOOKUP(T$2,Valores!$H$2:$P$154,8,0)</f>
        <v>94626.4933355274</v>
      </c>
      <c r="U59" s="27" t="n">
        <f aca="false">SUMIF($C$2:$F$2,EOMONTH(U$2,-1)+1,$C59:$F59)*VLOOKUP(U$2,Valores!$H$2:$P$154,8,0)</f>
        <v>56775.8960013164</v>
      </c>
      <c r="V59" s="27" t="n">
        <f aca="false">SUMIF($C$2:$F$2,EOMONTH(V$2,-1)+1,$C59:$F59)*VLOOKUP(V$2,Valores!$H$2:$P$154,8,0)</f>
        <v>47313.2466677637</v>
      </c>
      <c r="W59" s="27" t="n">
        <f aca="false">SUMIF($C$2:$F$2,EOMONTH(W$2,-1)+1,$C59:$F59)*VLOOKUP(W$2,Valores!$H$2:$P$154,8,0)</f>
        <v>47313.2466677637</v>
      </c>
      <c r="X59" s="27" t="n">
        <f aca="false">SUMIF($C$2:$F$2,EOMONTH(X$2,-1)+1,$C59:$F59)*VLOOKUP(X$2,Valores!$H$2:$P$154,8,0)</f>
        <v>0</v>
      </c>
      <c r="Y59" s="27" t="n">
        <f aca="false">SUMIF($C$2:$F$2,EOMONTH(Y$2,-1)+1,$C59:$F59)*VLOOKUP(Y$2,Valores!$H$2:$P$154,8,0)</f>
        <v>0</v>
      </c>
      <c r="Z59" s="27" t="n">
        <f aca="false">SUMIF($C$2:$F$2,EOMONTH(Z$2,-1)+1,$C59:$F59)*VLOOKUP(Z$2,Valores!$H$2:$P$154,8,0)</f>
        <v>70969.8700016455</v>
      </c>
      <c r="AA59" s="27" t="n">
        <f aca="false">SUMIF($C$2:$F$2,EOMONTH(AA$2,-1)+1,$C59:$F59)*VLOOKUP(AA$2,Valores!$H$2:$P$154,8,0)</f>
        <v>85163.8440019746</v>
      </c>
      <c r="AB59" s="27" t="n">
        <f aca="false">SUMIF($C$2:$F$2,EOMONTH(AB$2,-1)+1,$C59:$F59)*VLOOKUP(AB$2,Valores!$H$2:$P$154,8,0)</f>
        <v>42581.9220009873</v>
      </c>
      <c r="AC59" s="27" t="n">
        <f aca="false">SUMIF($C$2:$F$2,EOMONTH(AC$2,-1)+1,$C59:$F59)*VLOOKUP(AC$2,Valores!$H$2:$P$154,8,0)</f>
        <v>52044.5713345401</v>
      </c>
      <c r="AD59" s="27" t="n">
        <f aca="false">SUMIF($C$2:$F$2,EOMONTH(AD$2,-1)+1,$C59:$F59)*VLOOKUP(AD$2,Valores!$H$2:$P$154,8,0)</f>
        <v>52044.5713345401</v>
      </c>
      <c r="AE59" s="27" t="n">
        <f aca="false">SUMIF($C$2:$F$2,EOMONTH(AE$2,-1)+1,$C59:$F59)*VLOOKUP(AE$2,Valores!$H$2:$P$154,8,0)</f>
        <v>52044.5713345401</v>
      </c>
      <c r="AF59" s="27" t="n">
        <f aca="false">SUMIF($C$2:$F$2,EOMONTH(AF$2,-1)+1,$C59:$F59)*VLOOKUP(AF$2,Valores!$H$2:$P$154,8,0)</f>
        <v>52044.5713345401</v>
      </c>
      <c r="AG59" s="27" t="n">
        <f aca="false">SUMIF($C$2:$F$2,EOMONTH(AG$2,-1)+1,$C59:$F59)*VLOOKUP(AG$2,Valores!$H$2:$P$154,8,0)</f>
        <v>83271.3141352641</v>
      </c>
      <c r="AH59" s="27" t="n">
        <f aca="false">SUMIF($C$2:$F$2,EOMONTH(AH$2,-1)+1,$C59:$F59)*VLOOKUP(AH$2,Valores!$H$2:$P$154,8,0)</f>
        <v>104089.14266908</v>
      </c>
      <c r="AI59" s="27" t="n">
        <f aca="false">SUMIF($C$2:$F$2,EOMONTH(AI$2,-1)+1,$C59:$F59)*VLOOKUP(AI$2,Valores!$H$2:$P$154,8,0)</f>
        <v>36431.199934178</v>
      </c>
      <c r="AJ59" s="27" t="n">
        <f aca="false">SUMIF($C$2:$F$2,EOMONTH(AJ$2,-1)+1,$C59:$F59)*VLOOKUP(AJ$2,Valores!$H$2:$P$154,8,0)</f>
        <v>23656.6233338818</v>
      </c>
      <c r="AK59" s="27" t="n">
        <f aca="false">SUMIF($C$2:$F$2,EOMONTH(AK$2,-1)+1,$C59:$F59)*VLOOKUP(AK$2,Valores!$H$2:$P$154,8,0)</f>
        <v>43139.6884898426</v>
      </c>
      <c r="AL59" s="27" t="n">
        <f aca="false">SUMIF($C$2:$F$2,EOMONTH(AL$2,-1)+1,$C59:$F59)*VLOOKUP(AL$2,Valores!$H$2:$P$154,8,0)</f>
        <v>43139.6884898426</v>
      </c>
      <c r="AM59" s="27" t="n">
        <f aca="false">SUMIF($C$2:$F$2,EOMONTH(AM$2,-1)+1,$C59:$F59)*VLOOKUP(AM$2,Valores!$H$2:$P$154,8,0)</f>
        <v>43139.6884898426</v>
      </c>
      <c r="AN59" s="27" t="n">
        <f aca="false">SUMIF($C$2:$F$2,EOMONTH(AN$2,-1)+1,$C59:$F59)*VLOOKUP(AN$2,Valores!$H$2:$P$154,8,0)</f>
        <v>86279.3769796852</v>
      </c>
      <c r="AO59" s="27" t="n">
        <f aca="false">SUMIF($C$2:$F$2,EOMONTH(AO$2,-1)+1,$C59:$F59)*VLOOKUP(AO$2,Valores!$H$2:$P$154,8,0)</f>
        <v>107849.221224606</v>
      </c>
      <c r="AP59" s="27" t="n">
        <f aca="false">SUMIF($C$2:$F$2,EOMONTH(AP$2,-1)+1,$C59:$F59)*VLOOKUP(AP$2,Valores!$H$2:$P$154,8,0)</f>
        <v>64709.5327347639</v>
      </c>
      <c r="AQ59" s="27" t="n">
        <f aca="false">SUMIF($C$2:$F$2,EOMONTH(AQ$2,-1)+1,$C59:$F59)*VLOOKUP(AQ$2,Valores!$H$2:$P$154,8,0)</f>
        <v>23110.5474052728</v>
      </c>
      <c r="AR59" s="27" t="n">
        <f aca="false">SUMIF($C$2:$F$2,EOMONTH(AR$2,-1)+1,$C59:$F59)*VLOOKUP(AR$2,Valores!$H$2:$P$154,8,0)</f>
        <v>23110.5474052728</v>
      </c>
      <c r="AS59" s="27" t="n">
        <f aca="false">SUMIF($C$2:$F$2,EOMONTH(AS$2,-1)+1,$C59:$F59)*VLOOKUP(AS$2,Valores!$H$2:$P$154,8,0)</f>
        <v>23110.5474052728</v>
      </c>
      <c r="AT59" s="27" t="n">
        <f aca="false">SUMIF($C$2:$F$2,EOMONTH(AT$2,-1)+1,$C59:$F59)*VLOOKUP(AT$2,Valores!$H$2:$P$154,8,0)</f>
        <v>23110.5474052728</v>
      </c>
      <c r="AU59" s="27" t="n">
        <f aca="false">SUMIF($C$2:$F$2,EOMONTH(AU$2,-1)+1,$C59:$F59)*VLOOKUP(AU$2,Valores!$H$2:$P$154,8,0)</f>
        <v>46221.0948105456</v>
      </c>
      <c r="AV59" s="27" t="n">
        <f aca="false">SUMIF($C$2:$F$2,EOMONTH(AV$2,-1)+1,$C59:$F59)*VLOOKUP(AV$2,Valores!$H$2:$P$154,8,0)</f>
        <v>57776.368513182</v>
      </c>
      <c r="AW59" s="27" t="n">
        <f aca="false">SUMIF($C$2:$F$2,EOMONTH(AW$2,-1)+1,$C59:$F59)*VLOOKUP(AW$2,Valores!$H$2:$P$154,8,0)</f>
        <v>34665.8211079092</v>
      </c>
      <c r="AX59" s="27" t="n">
        <f aca="false">SUMIF($C$2:$F$2,EOMONTH(AX$2,-1)+1,$C59:$F59)*VLOOKUP(AX$2,Valores!$H$2:$P$154,8,0)</f>
        <v>23110.5474052728</v>
      </c>
      <c r="AY59" s="27" t="n">
        <f aca="false">SUMIF($C$2:$F$2,EOMONTH(AY$2,-1)+1,$C59:$F59)*VLOOKUP(AY$2,Valores!$H$2:$P$154,8,0)</f>
        <v>30043.7116268546</v>
      </c>
      <c r="AZ59" s="27" t="n">
        <f aca="false">SUMIF($C$2:$F$2,EOMONTH(AZ$2,-1)+1,$C59:$F59)*VLOOKUP(AZ$2,Valores!$H$2:$P$154,8,0)</f>
        <v>30043.7116268546</v>
      </c>
      <c r="BA59" s="27" t="n">
        <f aca="false">SUMIF($C$2:$F$2,EOMONTH(BA$2,-1)+1,$C59:$F59)*VLOOKUP(BA$2,Valores!$H$2:$P$154,8,0)</f>
        <v>30043.7116268546</v>
      </c>
      <c r="BB59" s="27" t="n">
        <f aca="false">SUMIF($C$2:$F$2,EOMONTH(BB$2,-1)+1,$C59:$F59)*VLOOKUP(BB$2,Valores!$H$2:$P$154,8,0)</f>
        <v>53154.2590321275</v>
      </c>
      <c r="BC59" s="27" t="n">
        <f aca="false">SUMIF($C$2:$F$2,EOMONTH(BC$2,-1)+1,$C59:$F59)*VLOOKUP(BC$2,Valores!$H$2:$P$154,8,0)</f>
        <v>64709.5327347639</v>
      </c>
      <c r="BD59" s="27" t="n">
        <f aca="false">SUMIF($C$2:$F$2,EOMONTH(BD$2,-1)+1,$C59:$F59)*VLOOKUP(BD$2,Valores!$H$2:$P$154,8,0)</f>
        <v>34665.8211079092</v>
      </c>
      <c r="BE59" s="27" t="n">
        <f aca="false">SUMIF($C$2:$F$2,EOMONTH(BE$2,-1)+1,$C59:$F59)*VLOOKUP(BE$2,Valores!$H$2:$P$154,8,0)</f>
        <v>30814.0632070304</v>
      </c>
      <c r="BF59" s="27" t="n">
        <f aca="false">SUMIF($C$2:$F$2,EOMONTH(BF$2,-1)+1,$C59:$F59)*VLOOKUP(BF$2,Valores!$H$2:$P$154,8,0)</f>
        <v>30814.0632070304</v>
      </c>
      <c r="BG59" s="27" t="n">
        <f aca="false">SUMIF($C$2:$F$2,EOMONTH(BG$2,-1)+1,$C59:$F59)*VLOOKUP(BG$2,Valores!$H$2:$P$154,8,0)</f>
        <v>30814.0632070304</v>
      </c>
      <c r="BH59" s="27" t="n">
        <f aca="false">SUMIF($C$2:$F$2,EOMONTH(BH$2,-1)+1,$C59:$F59)*VLOOKUP(BH$2,Valores!$H$2:$P$154,8,0)</f>
        <v>30814.0632070304</v>
      </c>
      <c r="BI59" s="27" t="n">
        <f aca="false">SUMIF($C$2:$F$2,EOMONTH(BI$2,-1)+1,$C59:$F59)*VLOOKUP(BI$2,Valores!$H$2:$P$154,8,0)</f>
        <v>61628.1264140608</v>
      </c>
      <c r="BJ59" s="27" t="n">
        <f aca="false">SUMIF($C$2:$F$2,EOMONTH(BJ$2,-1)+1,$C59:$F59)*VLOOKUP(BJ$2,Valores!$H$2:$P$154,8,0)</f>
        <v>77035.158017576</v>
      </c>
      <c r="BK59" s="27" t="n">
        <f aca="false">SUMIF($C$2:$F$2,EOMONTH(BK$2,-1)+1,$C59:$F59)*VLOOKUP(BK$2,Valores!$H$2:$P$154,8,0)</f>
        <v>36976.8758484365</v>
      </c>
      <c r="BL59" s="27" t="n">
        <f aca="false">SUMIF($C$2:$F$2,EOMONTH(BL$2,-1)+1,$C59:$F59)*VLOOKUP(BL$2,Valores!$H$2:$P$154,8,0)</f>
        <v>27116.3756221868</v>
      </c>
      <c r="BM59" s="27" t="n">
        <f aca="false">SUMIF($C$2:$F$2,EOMONTH(BM$2,-1)+1,$C59:$F59)*VLOOKUP(BM$2,Valores!$H$2:$P$154,8,0)</f>
        <v>27116.3756221868</v>
      </c>
      <c r="BN59" s="27" t="n">
        <f aca="false">SUMIF($C$2:$F$2,EOMONTH(BN$2,-1)+1,$C59:$F59)*VLOOKUP(BN$2,Valores!$H$2:$P$154,8,0)</f>
        <v>27116.3756221868</v>
      </c>
      <c r="BO59" s="27" t="n">
        <f aca="false">SUMIF($C$2:$F$2,EOMONTH(BO$2,-1)+1,$C59:$F59)*VLOOKUP(BO$2,Valores!$H$2:$P$154,8,0)</f>
        <v>28472.1944032961</v>
      </c>
      <c r="BP59" s="27" t="n">
        <f aca="false">SUMIF($C$2:$F$2,EOMONTH(BP$2,-1)+1,$C59:$F59)*VLOOKUP(BP$2,Valores!$H$2:$P$154,8,0)</f>
        <v>71651.6049664872</v>
      </c>
      <c r="BQ59" s="27" t="n">
        <f aca="false">SUMIF($C$2:$F$2,EOMONTH(BQ$2,-1)+1,$C59:$F59)*VLOOKUP(BQ$2,Valores!$H$2:$P$154,8,0)</f>
        <v>89564.506208109</v>
      </c>
      <c r="BR59" s="27" t="n">
        <f aca="false">SUMIF($C$2:$F$2,EOMONTH(BR$2,-1)+1,$C59:$F59)*VLOOKUP(BR$2,Valores!$H$2:$P$154,8,0)</f>
        <v>42990.9629798923</v>
      </c>
      <c r="BS59" s="27" t="n">
        <f aca="false">SUMIF($C$2:$F$2,EOMONTH(BS$2,-1)+1,$C59:$F59)*VLOOKUP(BS$2,Valores!$H$2:$P$154,8,0)</f>
        <v>19192.3941874519</v>
      </c>
      <c r="BT59" s="27" t="n">
        <f aca="false">SUMIF($C$2:$F$2,EOMONTH(BT$2,-1)+1,$C59:$F59)*VLOOKUP(BT$2,Valores!$H$2:$P$154,8,0)</f>
        <v>19192.3941874519</v>
      </c>
      <c r="BU59" s="27" t="n">
        <f aca="false">SUMIF($C$2:$F$2,EOMONTH(BU$2,-1)+1,$C59:$F59)*VLOOKUP(BU$2,Valores!$H$2:$P$154,8,0)</f>
        <v>19192.3941874519</v>
      </c>
      <c r="BV59" s="27" t="n">
        <f aca="false">SUMIF($C$2:$F$2,EOMONTH(BV$2,-1)+1,$C59:$F59)*VLOOKUP(BV$2,Valores!$H$2:$P$154,8,0)</f>
        <v>19192.3941874519</v>
      </c>
      <c r="BW59" s="27" t="n">
        <f aca="false">SUMIF($C$2:$F$2,EOMONTH(BW$2,-1)+1,$C59:$F59)*VLOOKUP(BW$2,Valores!$H$2:$P$154,8,0)</f>
        <v>38384.7883749038</v>
      </c>
      <c r="BX59" s="27" t="n">
        <f aca="false">SUMIF($C$2:$F$2,EOMONTH(BX$2,-1)+1,$C59:$F59)*VLOOKUP(BX$2,Valores!$H$2:$P$154,8,0)</f>
        <v>47980.9854686298</v>
      </c>
      <c r="BY59" s="27" t="n">
        <f aca="false">SUMIF($C$2:$F$2,EOMONTH(BY$2,-1)+1,$C59:$F59)*VLOOKUP(BY$2,Valores!$H$2:$P$154,8,0)</f>
        <v>28788.5912811779</v>
      </c>
      <c r="BZ59" s="27" t="n">
        <f aca="false">SUMIF($C$2:$F$2,EOMONTH(BZ$2,-1)+1,$C59:$F59)*VLOOKUP(BZ$2,Valores!$H$2:$P$154,8,0)</f>
        <v>19192.3941874519</v>
      </c>
      <c r="CA59" s="27" t="n">
        <f aca="false">SUMIF($C$2:$F$2,EOMONTH(CA$2,-1)+1,$C59:$F59)*VLOOKUP(CA$2,Valores!$H$2:$P$154,8,0)</f>
        <v>19192.3941874519</v>
      </c>
      <c r="CB59" s="27" t="n">
        <f aca="false">SUMIF($C$2:$F$2,EOMONTH(CB$2,-1)+1,$C59:$F59)*VLOOKUP(CB$2,Valores!$H$2:$P$154,8,0)</f>
        <v>19192.3941874519</v>
      </c>
      <c r="CC59" s="27" t="n">
        <f aca="false">SUMIF($C$2:$F$2,EOMONTH(CC$2,-1)+1,$C59:$F59)*VLOOKUP(CC$2,Valores!$H$2:$P$154,8,0)</f>
        <v>19192.3941874519</v>
      </c>
      <c r="CD59" s="27" t="n">
        <f aca="false">SUMIF($C$2:$F$2,EOMONTH(CD$2,-1)+1,$C59:$F59)*VLOOKUP(CD$2,Valores!$H$2:$P$154,8,0)</f>
        <v>57577.1825623558</v>
      </c>
      <c r="CE59" s="27" t="n">
        <f aca="false">SUMIF($C$2:$F$2,EOMONTH(CE$2,-1)+1,$C59:$F59)*VLOOKUP(CE$2,Valores!$H$2:$P$154,8,0)</f>
        <v>76769.5767498077</v>
      </c>
      <c r="CF59" s="27" t="n">
        <f aca="false">SUMIF($C$2:$F$2,EOMONTH(CF$2,-1)+1,$C59:$F59)*VLOOKUP(CF$2,Valores!$H$2:$P$154,8,0)</f>
        <v>47980.9854686298</v>
      </c>
      <c r="CG59" s="27" t="n">
        <f aca="false">SUMIF($C$2:$F$2,EOMONTH(CG$2,-1)+1,$C59:$F59)*VLOOKUP(CG$2,Valores!$H$2:$P$154,8,0)</f>
        <v>25589.8589166026</v>
      </c>
      <c r="CH59" s="27" t="n">
        <f aca="false">SUMIF($C$2:$F$2,EOMONTH(CH$2,-1)+1,$C59:$F59)*VLOOKUP(CH$2,Valores!$H$2:$P$154,8,0)</f>
        <v>25589.8589166026</v>
      </c>
      <c r="CI59" s="27" t="n">
        <f aca="false">SUMIF($C$2:$F$2,EOMONTH(CI$2,-1)+1,$C59:$F59)*VLOOKUP(CI$2,Valores!$H$2:$P$154,8,0)</f>
        <v>25589.8589166026</v>
      </c>
      <c r="CJ59" s="27" t="n">
        <f aca="false">SUMIF($C$2:$F$2,EOMONTH(CJ$2,-1)+1,$C59:$F59)*VLOOKUP(CJ$2,Valores!$H$2:$P$154,8,0)</f>
        <v>25589.8589166026</v>
      </c>
      <c r="CK59" s="27" t="n">
        <f aca="false">SUMIF($C$2:$F$2,EOMONTH(CK$2,-1)+1,$C59:$F59)*VLOOKUP(CK$2,Valores!$H$2:$P$154,8,0)</f>
        <v>51179.7178332051</v>
      </c>
      <c r="CL59" s="27" t="n">
        <f aca="false">SUMIF($C$2:$F$2,EOMONTH(CL$2,-1)+1,$C59:$F59)*VLOOKUP(CL$2,Valores!$H$2:$P$154,8,0)</f>
        <v>63974.6472915064</v>
      </c>
      <c r="CM59" s="27" t="n">
        <f aca="false">SUMIF($C$2:$F$2,EOMONTH(CM$2,-1)+1,$C59:$F59)*VLOOKUP(CM$2,Valores!$H$2:$P$154,8,0)</f>
        <v>38384.7883749038</v>
      </c>
      <c r="CN59" s="27" t="n">
        <f aca="false">SUMIF($C$2:$F$2,EOMONTH(CN$2,-1)+1,$C59:$F59)*VLOOKUP(CN$2,Valores!$H$2:$P$154,8,0)</f>
        <v>28148.8448082628</v>
      </c>
      <c r="CO59" s="27" t="n">
        <f aca="false">SUMIF($C$2:$F$2,EOMONTH(CO$2,-1)+1,$C59:$F59)*VLOOKUP(CO$2,Valores!$H$2:$P$154,8,0)</f>
        <v>28148.8448082628</v>
      </c>
      <c r="CP59" s="27" t="n">
        <f aca="false">SUMIF($C$2:$F$2,EOMONTH(CP$2,-1)+1,$C59:$F59)*VLOOKUP(CP$2,Valores!$H$2:$P$154,8,0)</f>
        <v>28148.8448082628</v>
      </c>
      <c r="CQ59" s="27" t="n">
        <f aca="false">SUMIF($C$2:$F$2,EOMONTH(CQ$2,-1)+1,$C59:$F59)*VLOOKUP(CQ$2,Valores!$H$2:$P$154,8,0)</f>
        <v>28148.8448082628</v>
      </c>
      <c r="CR59" s="27" t="n">
        <f aca="false">SUMIF($C$2:$F$2,EOMONTH(CR$2,-1)+1,$C59:$F59)*VLOOKUP(CR$2,Valores!$H$2:$P$154,8,0)</f>
        <v>56297.6896165256</v>
      </c>
      <c r="CS59" s="27" t="n">
        <f aca="false">SUMIF($C$2:$F$2,EOMONTH(CS$2,-1)+1,$C59:$F59)*VLOOKUP(CS$2,Valores!$H$2:$P$154,8,0)</f>
        <v>84446.5344247885</v>
      </c>
      <c r="CT59" s="27" t="e">
        <f aca="false">SUMIF($C$2:$F$2,EOMONTH(CT$2,-1)+1,$C59:$F59)*VLOOKUP(CT$2,Valores!$H$2:$P$154,8,0)</f>
        <v>#VALUE!</v>
      </c>
      <c r="CU59" s="27" t="e">
        <f aca="false">SUMIF($C$2:$F$2,EOMONTH(CU$2,-1)+1,$C59:$F59)*VLOOKUP(CU$2,Valores!$H$2:$P$154,8,0)</f>
        <v>#VALUE!</v>
      </c>
      <c r="CV59" s="27" t="e">
        <f aca="false">SUMIF($C$2:$F$2,EOMONTH(CV$2,-1)+1,$C59:$F59)*VLOOKUP(CV$2,Valores!$H$2:$P$154,8,0)</f>
        <v>#VALUE!</v>
      </c>
      <c r="CW59" s="27" t="e">
        <f aca="false">SUMIF($C$2:$F$2,EOMONTH(CW$2,-1)+1,$C59:$F59)*VLOOKUP(CW$2,Valores!$H$2:$P$154,8,0)</f>
        <v>#VALUE!</v>
      </c>
      <c r="CX59" s="27" t="e">
        <f aca="false">SUMIF($C$2:$F$2,EOMONTH(CX$2,-1)+1,$C59:$F59)*VLOOKUP(CX$2,Valores!$H$2:$P$154,8,0)</f>
        <v>#VALUE!</v>
      </c>
      <c r="CY59" s="27" t="e">
        <f aca="false">SUMIF($C$2:$F$2,EOMONTH(CY$2,-1)+1,$C59:$F59)*VLOOKUP(CY$2,Valores!$H$2:$P$154,8,0)</f>
        <v>#VALUE!</v>
      </c>
      <c r="CZ59" s="27" t="e">
        <f aca="false">SUMIF($C$2:$F$2,EOMONTH(CZ$2,-1)+1,$C59:$F59)*VLOOKUP(CZ$2,Valores!$H$2:$P$154,8,0)</f>
        <v>#VALUE!</v>
      </c>
      <c r="DA59" s="27" t="e">
        <f aca="false">SUMIF($C$2:$F$2,EOMONTH(DA$2,-1)+1,$C59:$F59)*VLOOKUP(DA$2,Valores!$H$2:$P$154,8,0)</f>
        <v>#VALUE!</v>
      </c>
      <c r="DB59" s="27" t="e">
        <f aca="false">SUMIF($C$2:$F$2,EOMONTH(DB$2,-1)+1,$C59:$F59)*VLOOKUP(DB$2,Valores!$H$2:$P$154,8,0)</f>
        <v>#VALUE!</v>
      </c>
      <c r="DC59" s="27" t="e">
        <f aca="false">SUMIF($C$2:$F$2,EOMONTH(DC$2,-1)+1,$C59:$F59)*VLOOKUP(DC$2,Valores!$H$2:$P$154,8,0)</f>
        <v>#VALUE!</v>
      </c>
      <c r="DD59" s="27" t="e">
        <f aca="false">SUMIF($C$2:$F$2,EOMONTH(DD$2,-1)+1,$C59:$F59)*VLOOKUP(DD$2,Valores!$H$2:$P$154,8,0)</f>
        <v>#VALUE!</v>
      </c>
      <c r="DE59" s="27" t="e">
        <f aca="false">SUMIF($C$2:$F$2,EOMONTH(DE$2,-1)+1,$C59:$F59)*VLOOKUP(DE$2,Valores!$H$2:$P$154,8,0)</f>
        <v>#VALUE!</v>
      </c>
      <c r="DF59" s="27" t="e">
        <f aca="false">SUMIF($C$2:$F$2,EOMONTH(DF$2,-1)+1,$C59:$F59)*VLOOKUP(DF$2,Valores!$H$2:$P$154,8,0)</f>
        <v>#VALUE!</v>
      </c>
      <c r="DG59" s="27" t="e">
        <f aca="false">SUMIF($C$2:$F$2,EOMONTH(DG$2,-1)+1,$C59:$F59)*VLOOKUP(DG$2,Valores!$H$2:$P$154,8,0)</f>
        <v>#VALUE!</v>
      </c>
      <c r="DH59" s="27" t="e">
        <f aca="false">SUMIF($C$2:$F$2,EOMONTH(DH$2,-1)+1,$C59:$F59)*VLOOKUP(DH$2,Valores!$H$2:$P$154,8,0)</f>
        <v>#VALUE!</v>
      </c>
      <c r="DI59" s="27" t="e">
        <f aca="false">SUMIF($C$2:$F$2,EOMONTH(DI$2,-1)+1,$C59:$F59)*VLOOKUP(DI$2,Valores!$H$2:$P$154,8,0)</f>
        <v>#VALUE!</v>
      </c>
      <c r="DJ59" s="27" t="e">
        <f aca="false">SUMIF($C$2:$F$2,EOMONTH(DJ$2,-1)+1,$C59:$F59)*VLOOKUP(DJ$2,Valores!$H$2:$P$154,8,0)</f>
        <v>#VALUE!</v>
      </c>
      <c r="DK59" s="27" t="e">
        <f aca="false">SUMIF($C$2:$F$2,EOMONTH(DK$2,-1)+1,$C59:$F59)*VLOOKUP(DK$2,Valores!$H$2:$P$154,8,0)</f>
        <v>#VALUE!</v>
      </c>
      <c r="DL59" s="27" t="e">
        <f aca="false">SUMIF($C$2:$F$2,EOMONTH(DL$2,-1)+1,$C59:$F59)*VLOOKUP(DL$2,Valores!$H$2:$P$154,8,0)</f>
        <v>#VALUE!</v>
      </c>
      <c r="DM59" s="27" t="e">
        <f aca="false">SUMIF($C$2:$F$2,EOMONTH(DM$2,-1)+1,$C59:$F59)*VLOOKUP(DM$2,Valores!$H$2:$P$154,8,0)</f>
        <v>#VALUE!</v>
      </c>
      <c r="DN59" s="27" t="e">
        <f aca="false">SUMIF($C$2:$F$2,EOMONTH(DN$2,-1)+1,$C59:$F59)*VLOOKUP(DN$2,Valores!$H$2:$P$154,8,0)</f>
        <v>#VALUE!</v>
      </c>
      <c r="DO59" s="27" t="e">
        <f aca="false">SUMIF($C$2:$F$2,EOMONTH(DO$2,-1)+1,$C59:$F59)*VLOOKUP(DO$2,Valores!$H$2:$P$154,8,0)</f>
        <v>#VALUE!</v>
      </c>
      <c r="DP59" s="27" t="e">
        <f aca="false">SUMIF($C$2:$F$2,EOMONTH(DP$2,-1)+1,$C59:$F59)*VLOOKUP(DP$2,Valores!$H$2:$P$154,8,0)</f>
        <v>#VALUE!</v>
      </c>
      <c r="DQ59" s="27" t="e">
        <f aca="false">SUMIF($C$2:$F$2,EOMONTH(DQ$2,-1)+1,$C59:$F59)*VLOOKUP(DQ$2,Valores!$H$2:$P$154,8,0)</f>
        <v>#VALUE!</v>
      </c>
      <c r="DR59" s="27" t="e">
        <f aca="false">SUMIF($C$2:$F$2,EOMONTH(DR$2,-1)+1,$C59:$F59)*VLOOKUP(DR$2,Valores!$H$2:$P$154,8,0)</f>
        <v>#VALUE!</v>
      </c>
      <c r="DS59" s="27" t="e">
        <f aca="false">SUMIF($C$2:$F$2,EOMONTH(DS$2,-1)+1,$C59:$F59)*VLOOKUP(DS$2,Valores!$H$2:$P$154,8,0)</f>
        <v>#VALUE!</v>
      </c>
      <c r="DT59" s="27" t="e">
        <f aca="false">SUMIF($C$2:$F$2,EOMONTH(DT$2,-1)+1,$C59:$F59)*VLOOKUP(DT$2,Valores!$H$2:$P$154,8,0)</f>
        <v>#VALUE!</v>
      </c>
      <c r="DU59" s="27" t="e">
        <f aca="false">SUMIF($C$2:$F$2,EOMONTH(DU$2,-1)+1,$C59:$F59)*VLOOKUP(DU$2,Valores!$H$2:$P$154,8,0)</f>
        <v>#VALUE!</v>
      </c>
      <c r="DV59" s="27" t="e">
        <f aca="false">SUMIF($C$2:$F$2,EOMONTH(DV$2,-1)+1,$C59:$F59)*VLOOKUP(DV$2,Valores!$H$2:$P$154,8,0)</f>
        <v>#VALUE!</v>
      </c>
      <c r="DW59" s="27" t="e">
        <f aca="false">SUMIF($C$2:$F$2,EOMONTH(DW$2,-1)+1,$C59:$F59)*VLOOKUP(DW$2,Valores!$H$2:$P$154,8,0)</f>
        <v>#VALUE!</v>
      </c>
      <c r="DX59" s="27" t="e">
        <f aca="false">SUMIF($C$2:$F$2,EOMONTH(DX$2,-1)+1,$C59:$F59)*VLOOKUP(DX$2,Valores!$H$2:$P$154,8,0)</f>
        <v>#VALUE!</v>
      </c>
    </row>
    <row r="60" customFormat="false" ht="13.8" hidden="false" customHeight="false" outlineLevel="0" collapsed="false">
      <c r="A60" s="29" t="s">
        <v>54</v>
      </c>
      <c r="B60" s="29" t="s">
        <v>82</v>
      </c>
      <c r="C60" s="29" t="n">
        <v>1194708</v>
      </c>
      <c r="D60" s="29" t="n">
        <v>1075237.2</v>
      </c>
      <c r="E60" s="29" t="n">
        <v>967713.48</v>
      </c>
      <c r="F60" s="29" t="n">
        <v>870942.132</v>
      </c>
      <c r="G60" s="30" t="n">
        <f aca="false">SUMIF($C$2:$F$2,EOMONTH(G$2,-1)+1,$C60:$F60)*VLOOKUP(G$2,Valores!$H$2:$P$154,8,0)</f>
        <v>34404.1303274642</v>
      </c>
      <c r="H60" s="30" t="n">
        <f aca="false">SUMIF($C$2:$F$2,EOMONTH(H$2,-1)+1,$C60:$F60)*VLOOKUP(H$2,Valores!$H$2:$P$154,8,0)</f>
        <v>23591.4036531183</v>
      </c>
      <c r="I60" s="30" t="n">
        <f aca="false">SUMIF($C$2:$F$2,EOMONTH(I$2,-1)+1,$C60:$F60)*VLOOKUP(I$2,Valores!$H$2:$P$154,8,0)</f>
        <v>23591.4036531183</v>
      </c>
      <c r="J60" s="30" t="n">
        <f aca="false">SUMIF($C$2:$F$2,EOMONTH(J$2,-1)+1,$C60:$F60)*VLOOKUP(J$2,Valores!$H$2:$P$154,8,0)</f>
        <v>23591.4036531183</v>
      </c>
      <c r="K60" s="30" t="n">
        <f aca="false">SUMIF($C$2:$F$2,EOMONTH(K$2,-1)+1,$C60:$F60)*VLOOKUP(K$2,Valores!$H$2:$P$154,8,0)</f>
        <v>23591.4036531183</v>
      </c>
      <c r="L60" s="30" t="n">
        <f aca="false">SUMIF($C$2:$F$2,EOMONTH(L$2,-1)+1,$C60:$F60)*VLOOKUP(L$2,Valores!$H$2:$P$154,8,0)</f>
        <v>47182.8073062366</v>
      </c>
      <c r="M60" s="30" t="n">
        <f aca="false">SUMIF($C$2:$F$2,EOMONTH(M$2,-1)+1,$C60:$F60)*VLOOKUP(M$2,Valores!$H$2:$P$154,8,0)</f>
        <v>58978.5091327958</v>
      </c>
      <c r="N60" s="30" t="n">
        <f aca="false">SUMIF($C$2:$F$2,EOMONTH(N$2,-1)+1,$C60:$F60)*VLOOKUP(N$2,Valores!$H$2:$P$154,8,0)</f>
        <v>35387.1054796775</v>
      </c>
      <c r="O60" s="30" t="n">
        <f aca="false">SUMIF($C$2:$F$2,EOMONTH(O$2,-1)+1,$C60:$F60)*VLOOKUP(O$2,Valores!$H$2:$P$154,8,0)</f>
        <v>31455.2048708244</v>
      </c>
      <c r="P60" s="30" t="n">
        <f aca="false">SUMIF($C$2:$F$2,EOMONTH(P$2,-1)+1,$C60:$F60)*VLOOKUP(P$2,Valores!$H$2:$P$154,8,0)</f>
        <v>31455.2048708244</v>
      </c>
      <c r="Q60" s="30" t="n">
        <f aca="false">SUMIF($C$2:$F$2,EOMONTH(Q$2,-1)+1,$C60:$F60)*VLOOKUP(Q$2,Valores!$H$2:$P$154,8,0)</f>
        <v>18873.1229224946</v>
      </c>
      <c r="R60" s="30" t="n">
        <f aca="false">SUMIF($C$2:$F$2,EOMONTH(R$2,-1)+1,$C60:$F60)*VLOOKUP(R$2,Valores!$H$2:$P$154,8,0)</f>
        <v>31455.2048708244</v>
      </c>
      <c r="S60" s="30" t="n">
        <f aca="false">SUMIF($C$2:$F$2,EOMONTH(S$2,-1)+1,$C60:$F60)*VLOOKUP(S$2,Valores!$H$2:$P$154,8,0)</f>
        <v>62910.4097416488</v>
      </c>
      <c r="T60" s="30" t="n">
        <f aca="false">SUMIF($C$2:$F$2,EOMONTH(T$2,-1)+1,$C60:$F60)*VLOOKUP(T$2,Valores!$H$2:$P$154,8,0)</f>
        <v>78638.012177061</v>
      </c>
      <c r="U60" s="30" t="n">
        <f aca="false">SUMIF($C$2:$F$2,EOMONTH(U$2,-1)+1,$C60:$F60)*VLOOKUP(U$2,Valores!$H$2:$P$154,8,0)</f>
        <v>47182.8073062366</v>
      </c>
      <c r="V60" s="30" t="n">
        <f aca="false">SUMIF($C$2:$F$2,EOMONTH(V$2,-1)+1,$C60:$F60)*VLOOKUP(V$2,Valores!$H$2:$P$154,8,0)</f>
        <v>39319.0060885305</v>
      </c>
      <c r="W60" s="30" t="n">
        <f aca="false">SUMIF($C$2:$F$2,EOMONTH(W$2,-1)+1,$C60:$F60)*VLOOKUP(W$2,Valores!$H$2:$P$154,8,0)</f>
        <v>39319.0060885305</v>
      </c>
      <c r="X60" s="30" t="n">
        <f aca="false">SUMIF($C$2:$F$2,EOMONTH(X$2,-1)+1,$C60:$F60)*VLOOKUP(X$2,Valores!$H$2:$P$154,8,0)</f>
        <v>0</v>
      </c>
      <c r="Y60" s="30" t="n">
        <f aca="false">SUMIF($C$2:$F$2,EOMONTH(Y$2,-1)+1,$C60:$F60)*VLOOKUP(Y$2,Valores!$H$2:$P$154,8,0)</f>
        <v>0</v>
      </c>
      <c r="Z60" s="30" t="n">
        <f aca="false">SUMIF($C$2:$F$2,EOMONTH(Z$2,-1)+1,$C60:$F60)*VLOOKUP(Z$2,Valores!$H$2:$P$154,8,0)</f>
        <v>58978.5091327958</v>
      </c>
      <c r="AA60" s="30" t="n">
        <f aca="false">SUMIF($C$2:$F$2,EOMONTH(AA$2,-1)+1,$C60:$F60)*VLOOKUP(AA$2,Valores!$H$2:$P$154,8,0)</f>
        <v>70774.2109593549</v>
      </c>
      <c r="AB60" s="30" t="n">
        <f aca="false">SUMIF($C$2:$F$2,EOMONTH(AB$2,-1)+1,$C60:$F60)*VLOOKUP(AB$2,Valores!$H$2:$P$154,8,0)</f>
        <v>35387.1054796775</v>
      </c>
      <c r="AC60" s="30" t="n">
        <f aca="false">SUMIF($C$2:$F$2,EOMONTH(AC$2,-1)+1,$C60:$F60)*VLOOKUP(AC$2,Valores!$H$2:$P$154,8,0)</f>
        <v>43250.9066973836</v>
      </c>
      <c r="AD60" s="30" t="n">
        <f aca="false">SUMIF($C$2:$F$2,EOMONTH(AD$2,-1)+1,$C60:$F60)*VLOOKUP(AD$2,Valores!$H$2:$P$154,8,0)</f>
        <v>43250.9066973836</v>
      </c>
      <c r="AE60" s="30" t="n">
        <f aca="false">SUMIF($C$2:$F$2,EOMONTH(AE$2,-1)+1,$C60:$F60)*VLOOKUP(AE$2,Valores!$H$2:$P$154,8,0)</f>
        <v>43250.9066973836</v>
      </c>
      <c r="AF60" s="30" t="n">
        <f aca="false">SUMIF($C$2:$F$2,EOMONTH(AF$2,-1)+1,$C60:$F60)*VLOOKUP(AF$2,Valores!$H$2:$P$154,8,0)</f>
        <v>43250.9066973836</v>
      </c>
      <c r="AG60" s="30" t="n">
        <f aca="false">SUMIF($C$2:$F$2,EOMONTH(AG$2,-1)+1,$C60:$F60)*VLOOKUP(AG$2,Valores!$H$2:$P$154,8,0)</f>
        <v>69201.4507158137</v>
      </c>
      <c r="AH60" s="30" t="n">
        <f aca="false">SUMIF($C$2:$F$2,EOMONTH(AH$2,-1)+1,$C60:$F60)*VLOOKUP(AH$2,Valores!$H$2:$P$154,8,0)</f>
        <v>86501.8133947672</v>
      </c>
      <c r="AI60" s="30" t="n">
        <f aca="false">SUMIF($C$2:$F$2,EOMONTH(AI$2,-1)+1,$C60:$F60)*VLOOKUP(AI$2,Valores!$H$2:$P$154,8,0)</f>
        <v>30275.6346881685</v>
      </c>
      <c r="AJ60" s="30" t="n">
        <f aca="false">SUMIF($C$2:$F$2,EOMONTH(AJ$2,-1)+1,$C60:$F60)*VLOOKUP(AJ$2,Valores!$H$2:$P$154,8,0)</f>
        <v>19659.5030442653</v>
      </c>
      <c r="AK60" s="30" t="n">
        <f aca="false">SUMIF($C$2:$F$2,EOMONTH(AK$2,-1)+1,$C60:$F60)*VLOOKUP(AK$2,Valores!$H$2:$P$154,8,0)</f>
        <v>35850.6294505704</v>
      </c>
      <c r="AL60" s="30" t="n">
        <f aca="false">SUMIF($C$2:$F$2,EOMONTH(AL$2,-1)+1,$C60:$F60)*VLOOKUP(AL$2,Valores!$H$2:$P$154,8,0)</f>
        <v>35850.6294505704</v>
      </c>
      <c r="AM60" s="30" t="n">
        <f aca="false">SUMIF($C$2:$F$2,EOMONTH(AM$2,-1)+1,$C60:$F60)*VLOOKUP(AM$2,Valores!$H$2:$P$154,8,0)</f>
        <v>35850.6294505704</v>
      </c>
      <c r="AN60" s="30" t="n">
        <f aca="false">SUMIF($C$2:$F$2,EOMONTH(AN$2,-1)+1,$C60:$F60)*VLOOKUP(AN$2,Valores!$H$2:$P$154,8,0)</f>
        <v>71701.2589011408</v>
      </c>
      <c r="AO60" s="30" t="n">
        <f aca="false">SUMIF($C$2:$F$2,EOMONTH(AO$2,-1)+1,$C60:$F60)*VLOOKUP(AO$2,Valores!$H$2:$P$154,8,0)</f>
        <v>89626.573626426</v>
      </c>
      <c r="AP60" s="30" t="n">
        <f aca="false">SUMIF($C$2:$F$2,EOMONTH(AP$2,-1)+1,$C60:$F60)*VLOOKUP(AP$2,Valores!$H$2:$P$154,8,0)</f>
        <v>53775.9441758556</v>
      </c>
      <c r="AQ60" s="30" t="n">
        <f aca="false">SUMIF($C$2:$F$2,EOMONTH(AQ$2,-1)+1,$C60:$F60)*VLOOKUP(AQ$2,Valores!$H$2:$P$154,8,0)</f>
        <v>19205.6943485198</v>
      </c>
      <c r="AR60" s="30" t="n">
        <f aca="false">SUMIF($C$2:$F$2,EOMONTH(AR$2,-1)+1,$C60:$F60)*VLOOKUP(AR$2,Valores!$H$2:$P$154,8,0)</f>
        <v>19205.6943485198</v>
      </c>
      <c r="AS60" s="30" t="n">
        <f aca="false">SUMIF($C$2:$F$2,EOMONTH(AS$2,-1)+1,$C60:$F60)*VLOOKUP(AS$2,Valores!$H$2:$P$154,8,0)</f>
        <v>19205.6943485198</v>
      </c>
      <c r="AT60" s="30" t="n">
        <f aca="false">SUMIF($C$2:$F$2,EOMONTH(AT$2,-1)+1,$C60:$F60)*VLOOKUP(AT$2,Valores!$H$2:$P$154,8,0)</f>
        <v>19205.6943485198</v>
      </c>
      <c r="AU60" s="30" t="n">
        <f aca="false">SUMIF($C$2:$F$2,EOMONTH(AU$2,-1)+1,$C60:$F60)*VLOOKUP(AU$2,Valores!$H$2:$P$154,8,0)</f>
        <v>38411.3886970397</v>
      </c>
      <c r="AV60" s="30" t="n">
        <f aca="false">SUMIF($C$2:$F$2,EOMONTH(AV$2,-1)+1,$C60:$F60)*VLOOKUP(AV$2,Valores!$H$2:$P$154,8,0)</f>
        <v>48014.2358712996</v>
      </c>
      <c r="AW60" s="30" t="n">
        <f aca="false">SUMIF($C$2:$F$2,EOMONTH(AW$2,-1)+1,$C60:$F60)*VLOOKUP(AW$2,Valores!$H$2:$P$154,8,0)</f>
        <v>28808.5415227798</v>
      </c>
      <c r="AX60" s="30" t="n">
        <f aca="false">SUMIF($C$2:$F$2,EOMONTH(AX$2,-1)+1,$C60:$F60)*VLOOKUP(AX$2,Valores!$H$2:$P$154,8,0)</f>
        <v>19205.6943485198</v>
      </c>
      <c r="AY60" s="30" t="n">
        <f aca="false">SUMIF($C$2:$F$2,EOMONTH(AY$2,-1)+1,$C60:$F60)*VLOOKUP(AY$2,Valores!$H$2:$P$154,8,0)</f>
        <v>24967.4026530758</v>
      </c>
      <c r="AZ60" s="30" t="n">
        <f aca="false">SUMIF($C$2:$F$2,EOMONTH(AZ$2,-1)+1,$C60:$F60)*VLOOKUP(AZ$2,Valores!$H$2:$P$154,8,0)</f>
        <v>24967.4026530758</v>
      </c>
      <c r="BA60" s="30" t="n">
        <f aca="false">SUMIF($C$2:$F$2,EOMONTH(BA$2,-1)+1,$C60:$F60)*VLOOKUP(BA$2,Valores!$H$2:$P$154,8,0)</f>
        <v>24967.4026530758</v>
      </c>
      <c r="BB60" s="30" t="n">
        <f aca="false">SUMIF($C$2:$F$2,EOMONTH(BB$2,-1)+1,$C60:$F60)*VLOOKUP(BB$2,Valores!$H$2:$P$154,8,0)</f>
        <v>44173.0970015956</v>
      </c>
      <c r="BC60" s="30" t="n">
        <f aca="false">SUMIF($C$2:$F$2,EOMONTH(BC$2,-1)+1,$C60:$F60)*VLOOKUP(BC$2,Valores!$H$2:$P$154,8,0)</f>
        <v>53775.9441758556</v>
      </c>
      <c r="BD60" s="30" t="n">
        <f aca="false">SUMIF($C$2:$F$2,EOMONTH(BD$2,-1)+1,$C60:$F60)*VLOOKUP(BD$2,Valores!$H$2:$P$154,8,0)</f>
        <v>28808.5415227798</v>
      </c>
      <c r="BE60" s="30" t="n">
        <f aca="false">SUMIF($C$2:$F$2,EOMONTH(BE$2,-1)+1,$C60:$F60)*VLOOKUP(BE$2,Valores!$H$2:$P$154,8,0)</f>
        <v>25607.5924646931</v>
      </c>
      <c r="BF60" s="30" t="n">
        <f aca="false">SUMIF($C$2:$F$2,EOMONTH(BF$2,-1)+1,$C60:$F60)*VLOOKUP(BF$2,Valores!$H$2:$P$154,8,0)</f>
        <v>25607.5924646931</v>
      </c>
      <c r="BG60" s="30" t="n">
        <f aca="false">SUMIF($C$2:$F$2,EOMONTH(BG$2,-1)+1,$C60:$F60)*VLOOKUP(BG$2,Valores!$H$2:$P$154,8,0)</f>
        <v>25607.5924646931</v>
      </c>
      <c r="BH60" s="30" t="n">
        <f aca="false">SUMIF($C$2:$F$2,EOMONTH(BH$2,-1)+1,$C60:$F60)*VLOOKUP(BH$2,Valores!$H$2:$P$154,8,0)</f>
        <v>25607.5924646931</v>
      </c>
      <c r="BI60" s="30" t="n">
        <f aca="false">SUMIF($C$2:$F$2,EOMONTH(BI$2,-1)+1,$C60:$F60)*VLOOKUP(BI$2,Valores!$H$2:$P$154,8,0)</f>
        <v>51215.1849293863</v>
      </c>
      <c r="BJ60" s="30" t="n">
        <f aca="false">SUMIF($C$2:$F$2,EOMONTH(BJ$2,-1)+1,$C60:$F60)*VLOOKUP(BJ$2,Valores!$H$2:$P$154,8,0)</f>
        <v>64018.9811617328</v>
      </c>
      <c r="BK60" s="30" t="n">
        <f aca="false">SUMIF($C$2:$F$2,EOMONTH(BK$2,-1)+1,$C60:$F60)*VLOOKUP(BK$2,Valores!$H$2:$P$154,8,0)</f>
        <v>30729.1109576318</v>
      </c>
      <c r="BL60" s="30" t="n">
        <f aca="false">SUMIF($C$2:$F$2,EOMONTH(BL$2,-1)+1,$C60:$F60)*VLOOKUP(BL$2,Valores!$H$2:$P$154,8,0)</f>
        <v>22534.68136893</v>
      </c>
      <c r="BM60" s="30" t="n">
        <f aca="false">SUMIF($C$2:$F$2,EOMONTH(BM$2,-1)+1,$C60:$F60)*VLOOKUP(BM$2,Valores!$H$2:$P$154,8,0)</f>
        <v>22534.68136893</v>
      </c>
      <c r="BN60" s="30" t="n">
        <f aca="false">SUMIF($C$2:$F$2,EOMONTH(BN$2,-1)+1,$C60:$F60)*VLOOKUP(BN$2,Valores!$H$2:$P$154,8,0)</f>
        <v>22534.68136893</v>
      </c>
      <c r="BO60" s="30" t="n">
        <f aca="false">SUMIF($C$2:$F$2,EOMONTH(BO$2,-1)+1,$C60:$F60)*VLOOKUP(BO$2,Valores!$H$2:$P$154,8,0)</f>
        <v>23661.4154373764</v>
      </c>
      <c r="BP60" s="30" t="n">
        <f aca="false">SUMIF($C$2:$F$2,EOMONTH(BP$2,-1)+1,$C60:$F60)*VLOOKUP(BP$2,Valores!$H$2:$P$154,8,0)</f>
        <v>59545.0553565542</v>
      </c>
      <c r="BQ60" s="30" t="n">
        <f aca="false">SUMIF($C$2:$F$2,EOMONTH(BQ$2,-1)+1,$C60:$F60)*VLOOKUP(BQ$2,Valores!$H$2:$P$154,8,0)</f>
        <v>74431.3191956928</v>
      </c>
      <c r="BR60" s="30" t="n">
        <f aca="false">SUMIF($C$2:$F$2,EOMONTH(BR$2,-1)+1,$C60:$F60)*VLOOKUP(BR$2,Valores!$H$2:$P$154,8,0)</f>
        <v>35727.0332139325</v>
      </c>
      <c r="BS60" s="30" t="n">
        <f aca="false">SUMIF($C$2:$F$2,EOMONTH(BS$2,-1)+1,$C60:$F60)*VLOOKUP(BS$2,Valores!$H$2:$P$154,8,0)</f>
        <v>15949.568399077</v>
      </c>
      <c r="BT60" s="30" t="n">
        <f aca="false">SUMIF($C$2:$F$2,EOMONTH(BT$2,-1)+1,$C60:$F60)*VLOOKUP(BT$2,Valores!$H$2:$P$154,8,0)</f>
        <v>15949.568399077</v>
      </c>
      <c r="BU60" s="30" t="n">
        <f aca="false">SUMIF($C$2:$F$2,EOMONTH(BU$2,-1)+1,$C60:$F60)*VLOOKUP(BU$2,Valores!$H$2:$P$154,8,0)</f>
        <v>15949.568399077</v>
      </c>
      <c r="BV60" s="30" t="n">
        <f aca="false">SUMIF($C$2:$F$2,EOMONTH(BV$2,-1)+1,$C60:$F60)*VLOOKUP(BV$2,Valores!$H$2:$P$154,8,0)</f>
        <v>15949.568399077</v>
      </c>
      <c r="BW60" s="30" t="n">
        <f aca="false">SUMIF($C$2:$F$2,EOMONTH(BW$2,-1)+1,$C60:$F60)*VLOOKUP(BW$2,Valores!$H$2:$P$154,8,0)</f>
        <v>31899.136798154</v>
      </c>
      <c r="BX60" s="30" t="n">
        <f aca="false">SUMIF($C$2:$F$2,EOMONTH(BX$2,-1)+1,$C60:$F60)*VLOOKUP(BX$2,Valores!$H$2:$P$154,8,0)</f>
        <v>39873.9209976925</v>
      </c>
      <c r="BY60" s="30" t="n">
        <f aca="false">SUMIF($C$2:$F$2,EOMONTH(BY$2,-1)+1,$C60:$F60)*VLOOKUP(BY$2,Valores!$H$2:$P$154,8,0)</f>
        <v>23924.3525986155</v>
      </c>
      <c r="BZ60" s="30" t="n">
        <f aca="false">SUMIF($C$2:$F$2,EOMONTH(BZ$2,-1)+1,$C60:$F60)*VLOOKUP(BZ$2,Valores!$H$2:$P$154,8,0)</f>
        <v>15949.568399077</v>
      </c>
      <c r="CA60" s="30" t="n">
        <f aca="false">SUMIF($C$2:$F$2,EOMONTH(CA$2,-1)+1,$C60:$F60)*VLOOKUP(CA$2,Valores!$H$2:$P$154,8,0)</f>
        <v>15949.568399077</v>
      </c>
      <c r="CB60" s="30" t="n">
        <f aca="false">SUMIF($C$2:$F$2,EOMONTH(CB$2,-1)+1,$C60:$F60)*VLOOKUP(CB$2,Valores!$H$2:$P$154,8,0)</f>
        <v>15949.568399077</v>
      </c>
      <c r="CC60" s="30" t="n">
        <f aca="false">SUMIF($C$2:$F$2,EOMONTH(CC$2,-1)+1,$C60:$F60)*VLOOKUP(CC$2,Valores!$H$2:$P$154,8,0)</f>
        <v>15949.568399077</v>
      </c>
      <c r="CD60" s="30" t="n">
        <f aca="false">SUMIF($C$2:$F$2,EOMONTH(CD$2,-1)+1,$C60:$F60)*VLOOKUP(CD$2,Valores!$H$2:$P$154,8,0)</f>
        <v>47848.7051972311</v>
      </c>
      <c r="CE60" s="30" t="n">
        <f aca="false">SUMIF($C$2:$F$2,EOMONTH(CE$2,-1)+1,$C60:$F60)*VLOOKUP(CE$2,Valores!$H$2:$P$154,8,0)</f>
        <v>63798.2735963081</v>
      </c>
      <c r="CF60" s="30" t="n">
        <f aca="false">SUMIF($C$2:$F$2,EOMONTH(CF$2,-1)+1,$C60:$F60)*VLOOKUP(CF$2,Valores!$H$2:$P$154,8,0)</f>
        <v>39873.9209976925</v>
      </c>
      <c r="CG60" s="30" t="n">
        <f aca="false">SUMIF($C$2:$F$2,EOMONTH(CG$2,-1)+1,$C60:$F60)*VLOOKUP(CG$2,Valores!$H$2:$P$154,8,0)</f>
        <v>21266.0911987694</v>
      </c>
      <c r="CH60" s="30" t="n">
        <f aca="false">SUMIF($C$2:$F$2,EOMONTH(CH$2,-1)+1,$C60:$F60)*VLOOKUP(CH$2,Valores!$H$2:$P$154,8,0)</f>
        <v>21266.0911987694</v>
      </c>
      <c r="CI60" s="30" t="n">
        <f aca="false">SUMIF($C$2:$F$2,EOMONTH(CI$2,-1)+1,$C60:$F60)*VLOOKUP(CI$2,Valores!$H$2:$P$154,8,0)</f>
        <v>21266.0911987694</v>
      </c>
      <c r="CJ60" s="30" t="n">
        <f aca="false">SUMIF($C$2:$F$2,EOMONTH(CJ$2,-1)+1,$C60:$F60)*VLOOKUP(CJ$2,Valores!$H$2:$P$154,8,0)</f>
        <v>21266.0911987694</v>
      </c>
      <c r="CK60" s="30" t="n">
        <f aca="false">SUMIF($C$2:$F$2,EOMONTH(CK$2,-1)+1,$C60:$F60)*VLOOKUP(CK$2,Valores!$H$2:$P$154,8,0)</f>
        <v>42532.1823975387</v>
      </c>
      <c r="CL60" s="30" t="n">
        <f aca="false">SUMIF($C$2:$F$2,EOMONTH(CL$2,-1)+1,$C60:$F60)*VLOOKUP(CL$2,Valores!$H$2:$P$154,8,0)</f>
        <v>53165.2279969234</v>
      </c>
      <c r="CM60" s="30" t="n">
        <f aca="false">SUMIF($C$2:$F$2,EOMONTH(CM$2,-1)+1,$C60:$F60)*VLOOKUP(CM$2,Valores!$H$2:$P$154,8,0)</f>
        <v>31899.136798154</v>
      </c>
      <c r="CN60" s="30" t="n">
        <f aca="false">SUMIF($C$2:$F$2,EOMONTH(CN$2,-1)+1,$C60:$F60)*VLOOKUP(CN$2,Valores!$H$2:$P$154,8,0)</f>
        <v>23392.7003186463</v>
      </c>
      <c r="CO60" s="30" t="n">
        <f aca="false">SUMIF($C$2:$F$2,EOMONTH(CO$2,-1)+1,$C60:$F60)*VLOOKUP(CO$2,Valores!$H$2:$P$154,8,0)</f>
        <v>23392.7003186463</v>
      </c>
      <c r="CP60" s="30" t="n">
        <f aca="false">SUMIF($C$2:$F$2,EOMONTH(CP$2,-1)+1,$C60:$F60)*VLOOKUP(CP$2,Valores!$H$2:$P$154,8,0)</f>
        <v>23392.7003186463</v>
      </c>
      <c r="CQ60" s="30" t="n">
        <f aca="false">SUMIF($C$2:$F$2,EOMONTH(CQ$2,-1)+1,$C60:$F60)*VLOOKUP(CQ$2,Valores!$H$2:$P$154,8,0)</f>
        <v>23392.7003186463</v>
      </c>
      <c r="CR60" s="30" t="n">
        <f aca="false">SUMIF($C$2:$F$2,EOMONTH(CR$2,-1)+1,$C60:$F60)*VLOOKUP(CR$2,Valores!$H$2:$P$154,8,0)</f>
        <v>46785.4006372926</v>
      </c>
      <c r="CS60" s="30" t="n">
        <f aca="false">SUMIF($C$2:$F$2,EOMONTH(CS$2,-1)+1,$C60:$F60)*VLOOKUP(CS$2,Valores!$H$2:$P$154,8,0)</f>
        <v>70178.1009559389</v>
      </c>
      <c r="CT60" s="30" t="e">
        <f aca="false">SUMIF($C$2:$F$2,EOMONTH(CT$2,-1)+1,$C60:$F60)*VLOOKUP(CT$2,Valores!$H$2:$P$154,8,0)</f>
        <v>#VALUE!</v>
      </c>
      <c r="CU60" s="30" t="e">
        <f aca="false">SUMIF($C$2:$F$2,EOMONTH(CU$2,-1)+1,$C60:$F60)*VLOOKUP(CU$2,Valores!$H$2:$P$154,8,0)</f>
        <v>#VALUE!</v>
      </c>
      <c r="CV60" s="30" t="e">
        <f aca="false">SUMIF($C$2:$F$2,EOMONTH(CV$2,-1)+1,$C60:$F60)*VLOOKUP(CV$2,Valores!$H$2:$P$154,8,0)</f>
        <v>#VALUE!</v>
      </c>
      <c r="CW60" s="30" t="e">
        <f aca="false">SUMIF($C$2:$F$2,EOMONTH(CW$2,-1)+1,$C60:$F60)*VLOOKUP(CW$2,Valores!$H$2:$P$154,8,0)</f>
        <v>#VALUE!</v>
      </c>
      <c r="CX60" s="30" t="e">
        <f aca="false">SUMIF($C$2:$F$2,EOMONTH(CX$2,-1)+1,$C60:$F60)*VLOOKUP(CX$2,Valores!$H$2:$P$154,8,0)</f>
        <v>#VALUE!</v>
      </c>
      <c r="CY60" s="30" t="e">
        <f aca="false">SUMIF($C$2:$F$2,EOMONTH(CY$2,-1)+1,$C60:$F60)*VLOOKUP(CY$2,Valores!$H$2:$P$154,8,0)</f>
        <v>#VALUE!</v>
      </c>
      <c r="CZ60" s="30" t="e">
        <f aca="false">SUMIF($C$2:$F$2,EOMONTH(CZ$2,-1)+1,$C60:$F60)*VLOOKUP(CZ$2,Valores!$H$2:$P$154,8,0)</f>
        <v>#VALUE!</v>
      </c>
      <c r="DA60" s="30" t="e">
        <f aca="false">SUMIF($C$2:$F$2,EOMONTH(DA$2,-1)+1,$C60:$F60)*VLOOKUP(DA$2,Valores!$H$2:$P$154,8,0)</f>
        <v>#VALUE!</v>
      </c>
      <c r="DB60" s="30" t="e">
        <f aca="false">SUMIF($C$2:$F$2,EOMONTH(DB$2,-1)+1,$C60:$F60)*VLOOKUP(DB$2,Valores!$H$2:$P$154,8,0)</f>
        <v>#VALUE!</v>
      </c>
      <c r="DC60" s="30" t="e">
        <f aca="false">SUMIF($C$2:$F$2,EOMONTH(DC$2,-1)+1,$C60:$F60)*VLOOKUP(DC$2,Valores!$H$2:$P$154,8,0)</f>
        <v>#VALUE!</v>
      </c>
      <c r="DD60" s="30" t="e">
        <f aca="false">SUMIF($C$2:$F$2,EOMONTH(DD$2,-1)+1,$C60:$F60)*VLOOKUP(DD$2,Valores!$H$2:$P$154,8,0)</f>
        <v>#VALUE!</v>
      </c>
      <c r="DE60" s="30" t="e">
        <f aca="false">SUMIF($C$2:$F$2,EOMONTH(DE$2,-1)+1,$C60:$F60)*VLOOKUP(DE$2,Valores!$H$2:$P$154,8,0)</f>
        <v>#VALUE!</v>
      </c>
      <c r="DF60" s="30" t="e">
        <f aca="false">SUMIF($C$2:$F$2,EOMONTH(DF$2,-1)+1,$C60:$F60)*VLOOKUP(DF$2,Valores!$H$2:$P$154,8,0)</f>
        <v>#VALUE!</v>
      </c>
      <c r="DG60" s="30" t="e">
        <f aca="false">SUMIF($C$2:$F$2,EOMONTH(DG$2,-1)+1,$C60:$F60)*VLOOKUP(DG$2,Valores!$H$2:$P$154,8,0)</f>
        <v>#VALUE!</v>
      </c>
      <c r="DH60" s="30" t="e">
        <f aca="false">SUMIF($C$2:$F$2,EOMONTH(DH$2,-1)+1,$C60:$F60)*VLOOKUP(DH$2,Valores!$H$2:$P$154,8,0)</f>
        <v>#VALUE!</v>
      </c>
      <c r="DI60" s="30" t="e">
        <f aca="false">SUMIF($C$2:$F$2,EOMONTH(DI$2,-1)+1,$C60:$F60)*VLOOKUP(DI$2,Valores!$H$2:$P$154,8,0)</f>
        <v>#VALUE!</v>
      </c>
      <c r="DJ60" s="30" t="e">
        <f aca="false">SUMIF($C$2:$F$2,EOMONTH(DJ$2,-1)+1,$C60:$F60)*VLOOKUP(DJ$2,Valores!$H$2:$P$154,8,0)</f>
        <v>#VALUE!</v>
      </c>
      <c r="DK60" s="30" t="e">
        <f aca="false">SUMIF($C$2:$F$2,EOMONTH(DK$2,-1)+1,$C60:$F60)*VLOOKUP(DK$2,Valores!$H$2:$P$154,8,0)</f>
        <v>#VALUE!</v>
      </c>
      <c r="DL60" s="30" t="e">
        <f aca="false">SUMIF($C$2:$F$2,EOMONTH(DL$2,-1)+1,$C60:$F60)*VLOOKUP(DL$2,Valores!$H$2:$P$154,8,0)</f>
        <v>#VALUE!</v>
      </c>
      <c r="DM60" s="30" t="e">
        <f aca="false">SUMIF($C$2:$F$2,EOMONTH(DM$2,-1)+1,$C60:$F60)*VLOOKUP(DM$2,Valores!$H$2:$P$154,8,0)</f>
        <v>#VALUE!</v>
      </c>
      <c r="DN60" s="30" t="e">
        <f aca="false">SUMIF($C$2:$F$2,EOMONTH(DN$2,-1)+1,$C60:$F60)*VLOOKUP(DN$2,Valores!$H$2:$P$154,8,0)</f>
        <v>#VALUE!</v>
      </c>
      <c r="DO60" s="30" t="e">
        <f aca="false">SUMIF($C$2:$F$2,EOMONTH(DO$2,-1)+1,$C60:$F60)*VLOOKUP(DO$2,Valores!$H$2:$P$154,8,0)</f>
        <v>#VALUE!</v>
      </c>
      <c r="DP60" s="30" t="e">
        <f aca="false">SUMIF($C$2:$F$2,EOMONTH(DP$2,-1)+1,$C60:$F60)*VLOOKUP(DP$2,Valores!$H$2:$P$154,8,0)</f>
        <v>#VALUE!</v>
      </c>
      <c r="DQ60" s="30" t="e">
        <f aca="false">SUMIF($C$2:$F$2,EOMONTH(DQ$2,-1)+1,$C60:$F60)*VLOOKUP(DQ$2,Valores!$H$2:$P$154,8,0)</f>
        <v>#VALUE!</v>
      </c>
      <c r="DR60" s="30" t="e">
        <f aca="false">SUMIF($C$2:$F$2,EOMONTH(DR$2,-1)+1,$C60:$F60)*VLOOKUP(DR$2,Valores!$H$2:$P$154,8,0)</f>
        <v>#VALUE!</v>
      </c>
      <c r="DS60" s="30" t="e">
        <f aca="false">SUMIF($C$2:$F$2,EOMONTH(DS$2,-1)+1,$C60:$F60)*VLOOKUP(DS$2,Valores!$H$2:$P$154,8,0)</f>
        <v>#VALUE!</v>
      </c>
      <c r="DT60" s="30" t="e">
        <f aca="false">SUMIF($C$2:$F$2,EOMONTH(DT$2,-1)+1,$C60:$F60)*VLOOKUP(DT$2,Valores!$H$2:$P$154,8,0)</f>
        <v>#VALUE!</v>
      </c>
      <c r="DU60" s="30" t="e">
        <f aca="false">SUMIF($C$2:$F$2,EOMONTH(DU$2,-1)+1,$C60:$F60)*VLOOKUP(DU$2,Valores!$H$2:$P$154,8,0)</f>
        <v>#VALUE!</v>
      </c>
      <c r="DV60" s="30" t="e">
        <f aca="false">SUMIF($C$2:$F$2,EOMONTH(DV$2,-1)+1,$C60:$F60)*VLOOKUP(DV$2,Valores!$H$2:$P$154,8,0)</f>
        <v>#VALUE!</v>
      </c>
      <c r="DW60" s="30" t="e">
        <f aca="false">SUMIF($C$2:$F$2,EOMONTH(DW$2,-1)+1,$C60:$F60)*VLOOKUP(DW$2,Valores!$H$2:$P$154,8,0)</f>
        <v>#VALUE!</v>
      </c>
      <c r="DX60" s="30" t="e">
        <f aca="false">SUMIF($C$2:$F$2,EOMONTH(DX$2,-1)+1,$C60:$F60)*VLOOKUP(DX$2,Valores!$H$2:$P$154,8,0)</f>
        <v>#VALUE!</v>
      </c>
    </row>
    <row r="61" customFormat="false" ht="13.8" hidden="false" customHeight="false" outlineLevel="0" collapsed="false">
      <c r="A61" s="31" t="s">
        <v>54</v>
      </c>
      <c r="B61" s="31" t="s">
        <v>83</v>
      </c>
      <c r="C61" s="31" t="n">
        <v>1230475</v>
      </c>
      <c r="D61" s="31" t="n">
        <v>1107427.5</v>
      </c>
      <c r="E61" s="31" t="n">
        <v>996684.75</v>
      </c>
      <c r="F61" s="31" t="n">
        <v>897016.275</v>
      </c>
      <c r="G61" s="27" t="n">
        <f aca="false">SUMIF($C$2:$F$2,EOMONTH(G$2,-1)+1,$C61:$F61)*VLOOKUP(G$2,Valores!$H$2:$P$154,8,0)</f>
        <v>35434.1163402995</v>
      </c>
      <c r="H61" s="27" t="n">
        <f aca="false">SUMIF($C$2:$F$2,EOMONTH(H$2,-1)+1,$C61:$F61)*VLOOKUP(H$2,Valores!$H$2:$P$154,8,0)</f>
        <v>24297.6797762054</v>
      </c>
      <c r="I61" s="27" t="n">
        <f aca="false">SUMIF($C$2:$F$2,EOMONTH(I$2,-1)+1,$C61:$F61)*VLOOKUP(I$2,Valores!$H$2:$P$154,8,0)</f>
        <v>24297.6797762054</v>
      </c>
      <c r="J61" s="27" t="n">
        <f aca="false">SUMIF($C$2:$F$2,EOMONTH(J$2,-1)+1,$C61:$F61)*VLOOKUP(J$2,Valores!$H$2:$P$154,8,0)</f>
        <v>24297.6797762054</v>
      </c>
      <c r="K61" s="27" t="n">
        <f aca="false">SUMIF($C$2:$F$2,EOMONTH(K$2,-1)+1,$C61:$F61)*VLOOKUP(K$2,Valores!$H$2:$P$154,8,0)</f>
        <v>24297.6797762054</v>
      </c>
      <c r="L61" s="27" t="n">
        <f aca="false">SUMIF($C$2:$F$2,EOMONTH(L$2,-1)+1,$C61:$F61)*VLOOKUP(L$2,Valores!$H$2:$P$154,8,0)</f>
        <v>48595.3595524107</v>
      </c>
      <c r="M61" s="27" t="n">
        <f aca="false">SUMIF($C$2:$F$2,EOMONTH(M$2,-1)+1,$C61:$F61)*VLOOKUP(M$2,Valores!$H$2:$P$154,8,0)</f>
        <v>60744.1994405134</v>
      </c>
      <c r="N61" s="27" t="n">
        <f aca="false">SUMIF($C$2:$F$2,EOMONTH(N$2,-1)+1,$C61:$F61)*VLOOKUP(N$2,Valores!$H$2:$P$154,8,0)</f>
        <v>36446.519664308</v>
      </c>
      <c r="O61" s="27" t="n">
        <f aca="false">SUMIF($C$2:$F$2,EOMONTH(O$2,-1)+1,$C61:$F61)*VLOOKUP(O$2,Valores!$H$2:$P$154,8,0)</f>
        <v>32396.9063682738</v>
      </c>
      <c r="P61" s="27" t="n">
        <f aca="false">SUMIF($C$2:$F$2,EOMONTH(P$2,-1)+1,$C61:$F61)*VLOOKUP(P$2,Valores!$H$2:$P$154,8,0)</f>
        <v>32396.9063682738</v>
      </c>
      <c r="Q61" s="27" t="n">
        <f aca="false">SUMIF($C$2:$F$2,EOMONTH(Q$2,-1)+1,$C61:$F61)*VLOOKUP(Q$2,Valores!$H$2:$P$154,8,0)</f>
        <v>19438.1438209643</v>
      </c>
      <c r="R61" s="27" t="n">
        <f aca="false">SUMIF($C$2:$F$2,EOMONTH(R$2,-1)+1,$C61:$F61)*VLOOKUP(R$2,Valores!$H$2:$P$154,8,0)</f>
        <v>32396.9063682738</v>
      </c>
      <c r="S61" s="27" t="n">
        <f aca="false">SUMIF($C$2:$F$2,EOMONTH(S$2,-1)+1,$C61:$F61)*VLOOKUP(S$2,Valores!$H$2:$P$154,8,0)</f>
        <v>64793.8127365476</v>
      </c>
      <c r="T61" s="27" t="n">
        <f aca="false">SUMIF($C$2:$F$2,EOMONTH(T$2,-1)+1,$C61:$F61)*VLOOKUP(T$2,Valores!$H$2:$P$154,8,0)</f>
        <v>80992.2659206845</v>
      </c>
      <c r="U61" s="27" t="n">
        <f aca="false">SUMIF($C$2:$F$2,EOMONTH(U$2,-1)+1,$C61:$F61)*VLOOKUP(U$2,Valores!$H$2:$P$154,8,0)</f>
        <v>48595.3595524107</v>
      </c>
      <c r="V61" s="27" t="n">
        <f aca="false">SUMIF($C$2:$F$2,EOMONTH(V$2,-1)+1,$C61:$F61)*VLOOKUP(V$2,Valores!$H$2:$P$154,8,0)</f>
        <v>40496.1329603423</v>
      </c>
      <c r="W61" s="27" t="n">
        <f aca="false">SUMIF($C$2:$F$2,EOMONTH(W$2,-1)+1,$C61:$F61)*VLOOKUP(W$2,Valores!$H$2:$P$154,8,0)</f>
        <v>40496.1329603423</v>
      </c>
      <c r="X61" s="27" t="n">
        <f aca="false">SUMIF($C$2:$F$2,EOMONTH(X$2,-1)+1,$C61:$F61)*VLOOKUP(X$2,Valores!$H$2:$P$154,8,0)</f>
        <v>0</v>
      </c>
      <c r="Y61" s="27" t="n">
        <f aca="false">SUMIF($C$2:$F$2,EOMONTH(Y$2,-1)+1,$C61:$F61)*VLOOKUP(Y$2,Valores!$H$2:$P$154,8,0)</f>
        <v>0</v>
      </c>
      <c r="Z61" s="27" t="n">
        <f aca="false">SUMIF($C$2:$F$2,EOMONTH(Z$2,-1)+1,$C61:$F61)*VLOOKUP(Z$2,Valores!$H$2:$P$154,8,0)</f>
        <v>60744.1994405134</v>
      </c>
      <c r="AA61" s="27" t="n">
        <f aca="false">SUMIF($C$2:$F$2,EOMONTH(AA$2,-1)+1,$C61:$F61)*VLOOKUP(AA$2,Valores!$H$2:$P$154,8,0)</f>
        <v>72893.0393286161</v>
      </c>
      <c r="AB61" s="27" t="n">
        <f aca="false">SUMIF($C$2:$F$2,EOMONTH(AB$2,-1)+1,$C61:$F61)*VLOOKUP(AB$2,Valores!$H$2:$P$154,8,0)</f>
        <v>36446.519664308</v>
      </c>
      <c r="AC61" s="27" t="n">
        <f aca="false">SUMIF($C$2:$F$2,EOMONTH(AC$2,-1)+1,$C61:$F61)*VLOOKUP(AC$2,Valores!$H$2:$P$154,8,0)</f>
        <v>44545.7462563765</v>
      </c>
      <c r="AD61" s="27" t="n">
        <f aca="false">SUMIF($C$2:$F$2,EOMONTH(AD$2,-1)+1,$C61:$F61)*VLOOKUP(AD$2,Valores!$H$2:$P$154,8,0)</f>
        <v>44545.7462563765</v>
      </c>
      <c r="AE61" s="27" t="n">
        <f aca="false">SUMIF($C$2:$F$2,EOMONTH(AE$2,-1)+1,$C61:$F61)*VLOOKUP(AE$2,Valores!$H$2:$P$154,8,0)</f>
        <v>44545.7462563765</v>
      </c>
      <c r="AF61" s="27" t="n">
        <f aca="false">SUMIF($C$2:$F$2,EOMONTH(AF$2,-1)+1,$C61:$F61)*VLOOKUP(AF$2,Valores!$H$2:$P$154,8,0)</f>
        <v>44545.7462563765</v>
      </c>
      <c r="AG61" s="27" t="n">
        <f aca="false">SUMIF($C$2:$F$2,EOMONTH(AG$2,-1)+1,$C61:$F61)*VLOOKUP(AG$2,Valores!$H$2:$P$154,8,0)</f>
        <v>71273.1940102024</v>
      </c>
      <c r="AH61" s="27" t="n">
        <f aca="false">SUMIF($C$2:$F$2,EOMONTH(AH$2,-1)+1,$C61:$F61)*VLOOKUP(AH$2,Valores!$H$2:$P$154,8,0)</f>
        <v>89091.492512753</v>
      </c>
      <c r="AI61" s="27" t="n">
        <f aca="false">SUMIF($C$2:$F$2,EOMONTH(AI$2,-1)+1,$C61:$F61)*VLOOKUP(AI$2,Valores!$H$2:$P$154,8,0)</f>
        <v>31182.0223794635</v>
      </c>
      <c r="AJ61" s="27" t="n">
        <f aca="false">SUMIF($C$2:$F$2,EOMONTH(AJ$2,-1)+1,$C61:$F61)*VLOOKUP(AJ$2,Valores!$H$2:$P$154,8,0)</f>
        <v>20248.0664801711</v>
      </c>
      <c r="AK61" s="27" t="n">
        <f aca="false">SUMIF($C$2:$F$2,EOMONTH(AK$2,-1)+1,$C61:$F61)*VLOOKUP(AK$2,Valores!$H$2:$P$154,8,0)</f>
        <v>36923.9205506204</v>
      </c>
      <c r="AL61" s="27" t="n">
        <f aca="false">SUMIF($C$2:$F$2,EOMONTH(AL$2,-1)+1,$C61:$F61)*VLOOKUP(AL$2,Valores!$H$2:$P$154,8,0)</f>
        <v>36923.9205506204</v>
      </c>
      <c r="AM61" s="27" t="n">
        <f aca="false">SUMIF($C$2:$F$2,EOMONTH(AM$2,-1)+1,$C61:$F61)*VLOOKUP(AM$2,Valores!$H$2:$P$154,8,0)</f>
        <v>36923.9205506204</v>
      </c>
      <c r="AN61" s="27" t="n">
        <f aca="false">SUMIF($C$2:$F$2,EOMONTH(AN$2,-1)+1,$C61:$F61)*VLOOKUP(AN$2,Valores!$H$2:$P$154,8,0)</f>
        <v>73847.8411012408</v>
      </c>
      <c r="AO61" s="27" t="n">
        <f aca="false">SUMIF($C$2:$F$2,EOMONTH(AO$2,-1)+1,$C61:$F61)*VLOOKUP(AO$2,Valores!$H$2:$P$154,8,0)</f>
        <v>92309.801376551</v>
      </c>
      <c r="AP61" s="27" t="n">
        <f aca="false">SUMIF($C$2:$F$2,EOMONTH(AP$2,-1)+1,$C61:$F61)*VLOOKUP(AP$2,Valores!$H$2:$P$154,8,0)</f>
        <v>55385.8808259306</v>
      </c>
      <c r="AQ61" s="27" t="n">
        <f aca="false">SUMIF($C$2:$F$2,EOMONTH(AQ$2,-1)+1,$C61:$F61)*VLOOKUP(AQ$2,Valores!$H$2:$P$154,8,0)</f>
        <v>19780.6717235466</v>
      </c>
      <c r="AR61" s="27" t="n">
        <f aca="false">SUMIF($C$2:$F$2,EOMONTH(AR$2,-1)+1,$C61:$F61)*VLOOKUP(AR$2,Valores!$H$2:$P$154,8,0)</f>
        <v>19780.6717235466</v>
      </c>
      <c r="AS61" s="27" t="n">
        <f aca="false">SUMIF($C$2:$F$2,EOMONTH(AS$2,-1)+1,$C61:$F61)*VLOOKUP(AS$2,Valores!$H$2:$P$154,8,0)</f>
        <v>19780.6717235466</v>
      </c>
      <c r="AT61" s="27" t="n">
        <f aca="false">SUMIF($C$2:$F$2,EOMONTH(AT$2,-1)+1,$C61:$F61)*VLOOKUP(AT$2,Valores!$H$2:$P$154,8,0)</f>
        <v>19780.6717235466</v>
      </c>
      <c r="AU61" s="27" t="n">
        <f aca="false">SUMIF($C$2:$F$2,EOMONTH(AU$2,-1)+1,$C61:$F61)*VLOOKUP(AU$2,Valores!$H$2:$P$154,8,0)</f>
        <v>39561.3434470933</v>
      </c>
      <c r="AV61" s="27" t="n">
        <f aca="false">SUMIF($C$2:$F$2,EOMONTH(AV$2,-1)+1,$C61:$F61)*VLOOKUP(AV$2,Valores!$H$2:$P$154,8,0)</f>
        <v>49451.6793088666</v>
      </c>
      <c r="AW61" s="27" t="n">
        <f aca="false">SUMIF($C$2:$F$2,EOMONTH(AW$2,-1)+1,$C61:$F61)*VLOOKUP(AW$2,Valores!$H$2:$P$154,8,0)</f>
        <v>29671.00758532</v>
      </c>
      <c r="AX61" s="27" t="n">
        <f aca="false">SUMIF($C$2:$F$2,EOMONTH(AX$2,-1)+1,$C61:$F61)*VLOOKUP(AX$2,Valores!$H$2:$P$154,8,0)</f>
        <v>19780.6717235466</v>
      </c>
      <c r="AY61" s="27" t="n">
        <f aca="false">SUMIF($C$2:$F$2,EOMONTH(AY$2,-1)+1,$C61:$F61)*VLOOKUP(AY$2,Valores!$H$2:$P$154,8,0)</f>
        <v>25714.8732406106</v>
      </c>
      <c r="AZ61" s="27" t="n">
        <f aca="false">SUMIF($C$2:$F$2,EOMONTH(AZ$2,-1)+1,$C61:$F61)*VLOOKUP(AZ$2,Valores!$H$2:$P$154,8,0)</f>
        <v>25714.8732406106</v>
      </c>
      <c r="BA61" s="27" t="n">
        <f aca="false">SUMIF($C$2:$F$2,EOMONTH(BA$2,-1)+1,$C61:$F61)*VLOOKUP(BA$2,Valores!$H$2:$P$154,8,0)</f>
        <v>25714.8732406106</v>
      </c>
      <c r="BB61" s="27" t="n">
        <f aca="false">SUMIF($C$2:$F$2,EOMONTH(BB$2,-1)+1,$C61:$F61)*VLOOKUP(BB$2,Valores!$H$2:$P$154,8,0)</f>
        <v>45495.5449641573</v>
      </c>
      <c r="BC61" s="27" t="n">
        <f aca="false">SUMIF($C$2:$F$2,EOMONTH(BC$2,-1)+1,$C61:$F61)*VLOOKUP(BC$2,Valores!$H$2:$P$154,8,0)</f>
        <v>55385.8808259306</v>
      </c>
      <c r="BD61" s="27" t="n">
        <f aca="false">SUMIF($C$2:$F$2,EOMONTH(BD$2,-1)+1,$C61:$F61)*VLOOKUP(BD$2,Valores!$H$2:$P$154,8,0)</f>
        <v>29671.00758532</v>
      </c>
      <c r="BE61" s="27" t="n">
        <f aca="false">SUMIF($C$2:$F$2,EOMONTH(BE$2,-1)+1,$C61:$F61)*VLOOKUP(BE$2,Valores!$H$2:$P$154,8,0)</f>
        <v>26374.2289647289</v>
      </c>
      <c r="BF61" s="27" t="n">
        <f aca="false">SUMIF($C$2:$F$2,EOMONTH(BF$2,-1)+1,$C61:$F61)*VLOOKUP(BF$2,Valores!$H$2:$P$154,8,0)</f>
        <v>26374.2289647289</v>
      </c>
      <c r="BG61" s="27" t="n">
        <f aca="false">SUMIF($C$2:$F$2,EOMONTH(BG$2,-1)+1,$C61:$F61)*VLOOKUP(BG$2,Valores!$H$2:$P$154,8,0)</f>
        <v>26374.2289647289</v>
      </c>
      <c r="BH61" s="27" t="n">
        <f aca="false">SUMIF($C$2:$F$2,EOMONTH(BH$2,-1)+1,$C61:$F61)*VLOOKUP(BH$2,Valores!$H$2:$P$154,8,0)</f>
        <v>26374.2289647289</v>
      </c>
      <c r="BI61" s="27" t="n">
        <f aca="false">SUMIF($C$2:$F$2,EOMONTH(BI$2,-1)+1,$C61:$F61)*VLOOKUP(BI$2,Valores!$H$2:$P$154,8,0)</f>
        <v>52748.4579294577</v>
      </c>
      <c r="BJ61" s="27" t="n">
        <f aca="false">SUMIF($C$2:$F$2,EOMONTH(BJ$2,-1)+1,$C61:$F61)*VLOOKUP(BJ$2,Valores!$H$2:$P$154,8,0)</f>
        <v>65935.5724118221</v>
      </c>
      <c r="BK61" s="27" t="n">
        <f aca="false">SUMIF($C$2:$F$2,EOMONTH(BK$2,-1)+1,$C61:$F61)*VLOOKUP(BK$2,Valores!$H$2:$P$154,8,0)</f>
        <v>31649.0747576746</v>
      </c>
      <c r="BL61" s="27" t="n">
        <f aca="false">SUMIF($C$2:$F$2,EOMONTH(BL$2,-1)+1,$C61:$F61)*VLOOKUP(BL$2,Valores!$H$2:$P$154,8,0)</f>
        <v>23209.3214889614</v>
      </c>
      <c r="BM61" s="27" t="n">
        <f aca="false">SUMIF($C$2:$F$2,EOMONTH(BM$2,-1)+1,$C61:$F61)*VLOOKUP(BM$2,Valores!$H$2:$P$154,8,0)</f>
        <v>23209.3214889614</v>
      </c>
      <c r="BN61" s="27" t="n">
        <f aca="false">SUMIF($C$2:$F$2,EOMONTH(BN$2,-1)+1,$C61:$F61)*VLOOKUP(BN$2,Valores!$H$2:$P$154,8,0)</f>
        <v>23209.3214889614</v>
      </c>
      <c r="BO61" s="27" t="n">
        <f aca="false">SUMIF($C$2:$F$2,EOMONTH(BO$2,-1)+1,$C61:$F61)*VLOOKUP(BO$2,Valores!$H$2:$P$154,8,0)</f>
        <v>24369.7875634095</v>
      </c>
      <c r="BP61" s="27" t="n">
        <f aca="false">SUMIF($C$2:$F$2,EOMONTH(BP$2,-1)+1,$C61:$F61)*VLOOKUP(BP$2,Valores!$H$2:$P$154,8,0)</f>
        <v>61327.7068454016</v>
      </c>
      <c r="BQ61" s="27" t="n">
        <f aca="false">SUMIF($C$2:$F$2,EOMONTH(BQ$2,-1)+1,$C61:$F61)*VLOOKUP(BQ$2,Valores!$H$2:$P$154,8,0)</f>
        <v>76659.633556752</v>
      </c>
      <c r="BR61" s="27" t="n">
        <f aca="false">SUMIF($C$2:$F$2,EOMONTH(BR$2,-1)+1,$C61:$F61)*VLOOKUP(BR$2,Valores!$H$2:$P$154,8,0)</f>
        <v>36796.6241072409</v>
      </c>
      <c r="BS61" s="27" t="n">
        <f aca="false">SUMIF($C$2:$F$2,EOMONTH(BS$2,-1)+1,$C61:$F61)*VLOOKUP(BS$2,Valores!$H$2:$P$154,8,0)</f>
        <v>16427.0643335897</v>
      </c>
      <c r="BT61" s="27" t="n">
        <f aca="false">SUMIF($C$2:$F$2,EOMONTH(BT$2,-1)+1,$C61:$F61)*VLOOKUP(BT$2,Valores!$H$2:$P$154,8,0)</f>
        <v>16427.0643335897</v>
      </c>
      <c r="BU61" s="27" t="n">
        <f aca="false">SUMIF($C$2:$F$2,EOMONTH(BU$2,-1)+1,$C61:$F61)*VLOOKUP(BU$2,Valores!$H$2:$P$154,8,0)</f>
        <v>16427.0643335897</v>
      </c>
      <c r="BV61" s="27" t="n">
        <f aca="false">SUMIF($C$2:$F$2,EOMONTH(BV$2,-1)+1,$C61:$F61)*VLOOKUP(BV$2,Valores!$H$2:$P$154,8,0)</f>
        <v>16427.0643335897</v>
      </c>
      <c r="BW61" s="27" t="n">
        <f aca="false">SUMIF($C$2:$F$2,EOMONTH(BW$2,-1)+1,$C61:$F61)*VLOOKUP(BW$2,Valores!$H$2:$P$154,8,0)</f>
        <v>32854.1286671794</v>
      </c>
      <c r="BX61" s="27" t="n">
        <f aca="false">SUMIF($C$2:$F$2,EOMONTH(BX$2,-1)+1,$C61:$F61)*VLOOKUP(BX$2,Valores!$H$2:$P$154,8,0)</f>
        <v>41067.6608339743</v>
      </c>
      <c r="BY61" s="27" t="n">
        <f aca="false">SUMIF($C$2:$F$2,EOMONTH(BY$2,-1)+1,$C61:$F61)*VLOOKUP(BY$2,Valores!$H$2:$P$154,8,0)</f>
        <v>24640.5965003846</v>
      </c>
      <c r="BZ61" s="27" t="n">
        <f aca="false">SUMIF($C$2:$F$2,EOMONTH(BZ$2,-1)+1,$C61:$F61)*VLOOKUP(BZ$2,Valores!$H$2:$P$154,8,0)</f>
        <v>16427.0643335897</v>
      </c>
      <c r="CA61" s="27" t="n">
        <f aca="false">SUMIF($C$2:$F$2,EOMONTH(CA$2,-1)+1,$C61:$F61)*VLOOKUP(CA$2,Valores!$H$2:$P$154,8,0)</f>
        <v>16427.0643335897</v>
      </c>
      <c r="CB61" s="27" t="n">
        <f aca="false">SUMIF($C$2:$F$2,EOMONTH(CB$2,-1)+1,$C61:$F61)*VLOOKUP(CB$2,Valores!$H$2:$P$154,8,0)</f>
        <v>16427.0643335897</v>
      </c>
      <c r="CC61" s="27" t="n">
        <f aca="false">SUMIF($C$2:$F$2,EOMONTH(CC$2,-1)+1,$C61:$F61)*VLOOKUP(CC$2,Valores!$H$2:$P$154,8,0)</f>
        <v>16427.0643335897</v>
      </c>
      <c r="CD61" s="27" t="n">
        <f aca="false">SUMIF($C$2:$F$2,EOMONTH(CD$2,-1)+1,$C61:$F61)*VLOOKUP(CD$2,Valores!$H$2:$P$154,8,0)</f>
        <v>49281.1930007691</v>
      </c>
      <c r="CE61" s="27" t="n">
        <f aca="false">SUMIF($C$2:$F$2,EOMONTH(CE$2,-1)+1,$C61:$F61)*VLOOKUP(CE$2,Valores!$H$2:$P$154,8,0)</f>
        <v>65708.2573343588</v>
      </c>
      <c r="CF61" s="27" t="n">
        <f aca="false">SUMIF($C$2:$F$2,EOMONTH(CF$2,-1)+1,$C61:$F61)*VLOOKUP(CF$2,Valores!$H$2:$P$154,8,0)</f>
        <v>41067.6608339743</v>
      </c>
      <c r="CG61" s="27" t="n">
        <f aca="false">SUMIF($C$2:$F$2,EOMONTH(CG$2,-1)+1,$C61:$F61)*VLOOKUP(CG$2,Valores!$H$2:$P$154,8,0)</f>
        <v>21902.7524447863</v>
      </c>
      <c r="CH61" s="27" t="n">
        <f aca="false">SUMIF($C$2:$F$2,EOMONTH(CH$2,-1)+1,$C61:$F61)*VLOOKUP(CH$2,Valores!$H$2:$P$154,8,0)</f>
        <v>21902.7524447863</v>
      </c>
      <c r="CI61" s="27" t="n">
        <f aca="false">SUMIF($C$2:$F$2,EOMONTH(CI$2,-1)+1,$C61:$F61)*VLOOKUP(CI$2,Valores!$H$2:$P$154,8,0)</f>
        <v>21902.7524447863</v>
      </c>
      <c r="CJ61" s="27" t="n">
        <f aca="false">SUMIF($C$2:$F$2,EOMONTH(CJ$2,-1)+1,$C61:$F61)*VLOOKUP(CJ$2,Valores!$H$2:$P$154,8,0)</f>
        <v>21902.7524447863</v>
      </c>
      <c r="CK61" s="27" t="n">
        <f aca="false">SUMIF($C$2:$F$2,EOMONTH(CK$2,-1)+1,$C61:$F61)*VLOOKUP(CK$2,Valores!$H$2:$P$154,8,0)</f>
        <v>43805.5048895726</v>
      </c>
      <c r="CL61" s="27" t="n">
        <f aca="false">SUMIF($C$2:$F$2,EOMONTH(CL$2,-1)+1,$C61:$F61)*VLOOKUP(CL$2,Valores!$H$2:$P$154,8,0)</f>
        <v>54756.8811119657</v>
      </c>
      <c r="CM61" s="27" t="n">
        <f aca="false">SUMIF($C$2:$F$2,EOMONTH(CM$2,-1)+1,$C61:$F61)*VLOOKUP(CM$2,Valores!$H$2:$P$154,8,0)</f>
        <v>32854.1286671794</v>
      </c>
      <c r="CN61" s="27" t="n">
        <f aca="false">SUMIF($C$2:$F$2,EOMONTH(CN$2,-1)+1,$C61:$F61)*VLOOKUP(CN$2,Valores!$H$2:$P$154,8,0)</f>
        <v>24093.0276892649</v>
      </c>
      <c r="CO61" s="27" t="n">
        <f aca="false">SUMIF($C$2:$F$2,EOMONTH(CO$2,-1)+1,$C61:$F61)*VLOOKUP(CO$2,Valores!$H$2:$P$154,8,0)</f>
        <v>24093.0276892649</v>
      </c>
      <c r="CP61" s="27" t="n">
        <f aca="false">SUMIF($C$2:$F$2,EOMONTH(CP$2,-1)+1,$C61:$F61)*VLOOKUP(CP$2,Valores!$H$2:$P$154,8,0)</f>
        <v>24093.0276892649</v>
      </c>
      <c r="CQ61" s="27" t="n">
        <f aca="false">SUMIF($C$2:$F$2,EOMONTH(CQ$2,-1)+1,$C61:$F61)*VLOOKUP(CQ$2,Valores!$H$2:$P$154,8,0)</f>
        <v>24093.0276892649</v>
      </c>
      <c r="CR61" s="27" t="n">
        <f aca="false">SUMIF($C$2:$F$2,EOMONTH(CR$2,-1)+1,$C61:$F61)*VLOOKUP(CR$2,Valores!$H$2:$P$154,8,0)</f>
        <v>48186.0553785298</v>
      </c>
      <c r="CS61" s="27" t="n">
        <f aca="false">SUMIF($C$2:$F$2,EOMONTH(CS$2,-1)+1,$C61:$F61)*VLOOKUP(CS$2,Valores!$H$2:$P$154,8,0)</f>
        <v>72279.0830677947</v>
      </c>
      <c r="CT61" s="27" t="e">
        <f aca="false">SUMIF($C$2:$F$2,EOMONTH(CT$2,-1)+1,$C61:$F61)*VLOOKUP(CT$2,Valores!$H$2:$P$154,8,0)</f>
        <v>#VALUE!</v>
      </c>
      <c r="CU61" s="27" t="e">
        <f aca="false">SUMIF($C$2:$F$2,EOMONTH(CU$2,-1)+1,$C61:$F61)*VLOOKUP(CU$2,Valores!$H$2:$P$154,8,0)</f>
        <v>#VALUE!</v>
      </c>
      <c r="CV61" s="27" t="e">
        <f aca="false">SUMIF($C$2:$F$2,EOMONTH(CV$2,-1)+1,$C61:$F61)*VLOOKUP(CV$2,Valores!$H$2:$P$154,8,0)</f>
        <v>#VALUE!</v>
      </c>
      <c r="CW61" s="27" t="e">
        <f aca="false">SUMIF($C$2:$F$2,EOMONTH(CW$2,-1)+1,$C61:$F61)*VLOOKUP(CW$2,Valores!$H$2:$P$154,8,0)</f>
        <v>#VALUE!</v>
      </c>
      <c r="CX61" s="27" t="e">
        <f aca="false">SUMIF($C$2:$F$2,EOMONTH(CX$2,-1)+1,$C61:$F61)*VLOOKUP(CX$2,Valores!$H$2:$P$154,8,0)</f>
        <v>#VALUE!</v>
      </c>
      <c r="CY61" s="27" t="e">
        <f aca="false">SUMIF($C$2:$F$2,EOMONTH(CY$2,-1)+1,$C61:$F61)*VLOOKUP(CY$2,Valores!$H$2:$P$154,8,0)</f>
        <v>#VALUE!</v>
      </c>
      <c r="CZ61" s="27" t="e">
        <f aca="false">SUMIF($C$2:$F$2,EOMONTH(CZ$2,-1)+1,$C61:$F61)*VLOOKUP(CZ$2,Valores!$H$2:$P$154,8,0)</f>
        <v>#VALUE!</v>
      </c>
      <c r="DA61" s="27" t="e">
        <f aca="false">SUMIF($C$2:$F$2,EOMONTH(DA$2,-1)+1,$C61:$F61)*VLOOKUP(DA$2,Valores!$H$2:$P$154,8,0)</f>
        <v>#VALUE!</v>
      </c>
      <c r="DB61" s="27" t="e">
        <f aca="false">SUMIF($C$2:$F$2,EOMONTH(DB$2,-1)+1,$C61:$F61)*VLOOKUP(DB$2,Valores!$H$2:$P$154,8,0)</f>
        <v>#VALUE!</v>
      </c>
      <c r="DC61" s="27" t="e">
        <f aca="false">SUMIF($C$2:$F$2,EOMONTH(DC$2,-1)+1,$C61:$F61)*VLOOKUP(DC$2,Valores!$H$2:$P$154,8,0)</f>
        <v>#VALUE!</v>
      </c>
      <c r="DD61" s="27" t="e">
        <f aca="false">SUMIF($C$2:$F$2,EOMONTH(DD$2,-1)+1,$C61:$F61)*VLOOKUP(DD$2,Valores!$H$2:$P$154,8,0)</f>
        <v>#VALUE!</v>
      </c>
      <c r="DE61" s="27" t="e">
        <f aca="false">SUMIF($C$2:$F$2,EOMONTH(DE$2,-1)+1,$C61:$F61)*VLOOKUP(DE$2,Valores!$H$2:$P$154,8,0)</f>
        <v>#VALUE!</v>
      </c>
      <c r="DF61" s="27" t="e">
        <f aca="false">SUMIF($C$2:$F$2,EOMONTH(DF$2,-1)+1,$C61:$F61)*VLOOKUP(DF$2,Valores!$H$2:$P$154,8,0)</f>
        <v>#VALUE!</v>
      </c>
      <c r="DG61" s="27" t="e">
        <f aca="false">SUMIF($C$2:$F$2,EOMONTH(DG$2,-1)+1,$C61:$F61)*VLOOKUP(DG$2,Valores!$H$2:$P$154,8,0)</f>
        <v>#VALUE!</v>
      </c>
      <c r="DH61" s="27" t="e">
        <f aca="false">SUMIF($C$2:$F$2,EOMONTH(DH$2,-1)+1,$C61:$F61)*VLOOKUP(DH$2,Valores!$H$2:$P$154,8,0)</f>
        <v>#VALUE!</v>
      </c>
      <c r="DI61" s="27" t="e">
        <f aca="false">SUMIF($C$2:$F$2,EOMONTH(DI$2,-1)+1,$C61:$F61)*VLOOKUP(DI$2,Valores!$H$2:$P$154,8,0)</f>
        <v>#VALUE!</v>
      </c>
      <c r="DJ61" s="27" t="e">
        <f aca="false">SUMIF($C$2:$F$2,EOMONTH(DJ$2,-1)+1,$C61:$F61)*VLOOKUP(DJ$2,Valores!$H$2:$P$154,8,0)</f>
        <v>#VALUE!</v>
      </c>
      <c r="DK61" s="27" t="e">
        <f aca="false">SUMIF($C$2:$F$2,EOMONTH(DK$2,-1)+1,$C61:$F61)*VLOOKUP(DK$2,Valores!$H$2:$P$154,8,0)</f>
        <v>#VALUE!</v>
      </c>
      <c r="DL61" s="27" t="e">
        <f aca="false">SUMIF($C$2:$F$2,EOMONTH(DL$2,-1)+1,$C61:$F61)*VLOOKUP(DL$2,Valores!$H$2:$P$154,8,0)</f>
        <v>#VALUE!</v>
      </c>
      <c r="DM61" s="27" t="e">
        <f aca="false">SUMIF($C$2:$F$2,EOMONTH(DM$2,-1)+1,$C61:$F61)*VLOOKUP(DM$2,Valores!$H$2:$P$154,8,0)</f>
        <v>#VALUE!</v>
      </c>
      <c r="DN61" s="27" t="e">
        <f aca="false">SUMIF($C$2:$F$2,EOMONTH(DN$2,-1)+1,$C61:$F61)*VLOOKUP(DN$2,Valores!$H$2:$P$154,8,0)</f>
        <v>#VALUE!</v>
      </c>
      <c r="DO61" s="27" t="e">
        <f aca="false">SUMIF($C$2:$F$2,EOMONTH(DO$2,-1)+1,$C61:$F61)*VLOOKUP(DO$2,Valores!$H$2:$P$154,8,0)</f>
        <v>#VALUE!</v>
      </c>
      <c r="DP61" s="27" t="e">
        <f aca="false">SUMIF($C$2:$F$2,EOMONTH(DP$2,-1)+1,$C61:$F61)*VLOOKUP(DP$2,Valores!$H$2:$P$154,8,0)</f>
        <v>#VALUE!</v>
      </c>
      <c r="DQ61" s="27" t="e">
        <f aca="false">SUMIF($C$2:$F$2,EOMONTH(DQ$2,-1)+1,$C61:$F61)*VLOOKUP(DQ$2,Valores!$H$2:$P$154,8,0)</f>
        <v>#VALUE!</v>
      </c>
      <c r="DR61" s="27" t="e">
        <f aca="false">SUMIF($C$2:$F$2,EOMONTH(DR$2,-1)+1,$C61:$F61)*VLOOKUP(DR$2,Valores!$H$2:$P$154,8,0)</f>
        <v>#VALUE!</v>
      </c>
      <c r="DS61" s="27" t="e">
        <f aca="false">SUMIF($C$2:$F$2,EOMONTH(DS$2,-1)+1,$C61:$F61)*VLOOKUP(DS$2,Valores!$H$2:$P$154,8,0)</f>
        <v>#VALUE!</v>
      </c>
      <c r="DT61" s="27" t="e">
        <f aca="false">SUMIF($C$2:$F$2,EOMONTH(DT$2,-1)+1,$C61:$F61)*VLOOKUP(DT$2,Valores!$H$2:$P$154,8,0)</f>
        <v>#VALUE!</v>
      </c>
      <c r="DU61" s="27" t="e">
        <f aca="false">SUMIF($C$2:$F$2,EOMONTH(DU$2,-1)+1,$C61:$F61)*VLOOKUP(DU$2,Valores!$H$2:$P$154,8,0)</f>
        <v>#VALUE!</v>
      </c>
      <c r="DV61" s="27" t="e">
        <f aca="false">SUMIF($C$2:$F$2,EOMONTH(DV$2,-1)+1,$C61:$F61)*VLOOKUP(DV$2,Valores!$H$2:$P$154,8,0)</f>
        <v>#VALUE!</v>
      </c>
      <c r="DW61" s="27" t="e">
        <f aca="false">SUMIF($C$2:$F$2,EOMONTH(DW$2,-1)+1,$C61:$F61)*VLOOKUP(DW$2,Valores!$H$2:$P$154,8,0)</f>
        <v>#VALUE!</v>
      </c>
      <c r="DX61" s="27" t="e">
        <f aca="false">SUMIF($C$2:$F$2,EOMONTH(DX$2,-1)+1,$C61:$F61)*VLOOKUP(DX$2,Valores!$H$2:$P$154,8,0)</f>
        <v>#VALUE!</v>
      </c>
    </row>
    <row r="62" customFormat="false" ht="13.8" hidden="false" customHeight="false" outlineLevel="0" collapsed="false">
      <c r="A62" s="29" t="s">
        <v>54</v>
      </c>
      <c r="B62" s="29" t="s">
        <v>84</v>
      </c>
      <c r="C62" s="29" t="n">
        <v>1284778</v>
      </c>
      <c r="D62" s="29" t="n">
        <v>1156300.2</v>
      </c>
      <c r="E62" s="29" t="n">
        <v>1040670.18</v>
      </c>
      <c r="F62" s="29" t="n">
        <v>936603.162</v>
      </c>
      <c r="G62" s="30" t="n">
        <f aca="false">SUMIF($C$2:$F$2,EOMONTH(G$2,-1)+1,$C62:$F62)*VLOOKUP(G$2,Valores!$H$2:$P$154,8,0)</f>
        <v>36997.8854698042</v>
      </c>
      <c r="H62" s="30" t="n">
        <f aca="false">SUMIF($C$2:$F$2,EOMONTH(H$2,-1)+1,$C62:$F62)*VLOOKUP(H$2,Valores!$H$2:$P$154,8,0)</f>
        <v>25369.9786078657</v>
      </c>
      <c r="I62" s="30" t="n">
        <f aca="false">SUMIF($C$2:$F$2,EOMONTH(I$2,-1)+1,$C62:$F62)*VLOOKUP(I$2,Valores!$H$2:$P$154,8,0)</f>
        <v>25369.9786078657</v>
      </c>
      <c r="J62" s="30" t="n">
        <f aca="false">SUMIF($C$2:$F$2,EOMONTH(J$2,-1)+1,$C62:$F62)*VLOOKUP(J$2,Valores!$H$2:$P$154,8,0)</f>
        <v>25369.9786078657</v>
      </c>
      <c r="K62" s="30" t="n">
        <f aca="false">SUMIF($C$2:$F$2,EOMONTH(K$2,-1)+1,$C62:$F62)*VLOOKUP(K$2,Valores!$H$2:$P$154,8,0)</f>
        <v>25369.9786078657</v>
      </c>
      <c r="L62" s="30" t="n">
        <f aca="false">SUMIF($C$2:$F$2,EOMONTH(L$2,-1)+1,$C62:$F62)*VLOOKUP(L$2,Valores!$H$2:$P$154,8,0)</f>
        <v>50739.9572157314</v>
      </c>
      <c r="M62" s="30" t="n">
        <f aca="false">SUMIF($C$2:$F$2,EOMONTH(M$2,-1)+1,$C62:$F62)*VLOOKUP(M$2,Valores!$H$2:$P$154,8,0)</f>
        <v>63424.9465196643</v>
      </c>
      <c r="N62" s="30" t="n">
        <f aca="false">SUMIF($C$2:$F$2,EOMONTH(N$2,-1)+1,$C62:$F62)*VLOOKUP(N$2,Valores!$H$2:$P$154,8,0)</f>
        <v>38054.9679117986</v>
      </c>
      <c r="O62" s="30" t="n">
        <f aca="false">SUMIF($C$2:$F$2,EOMONTH(O$2,-1)+1,$C62:$F62)*VLOOKUP(O$2,Valores!$H$2:$P$154,8,0)</f>
        <v>33826.638143821</v>
      </c>
      <c r="P62" s="30" t="n">
        <f aca="false">SUMIF($C$2:$F$2,EOMONTH(P$2,-1)+1,$C62:$F62)*VLOOKUP(P$2,Valores!$H$2:$P$154,8,0)</f>
        <v>33826.638143821</v>
      </c>
      <c r="Q62" s="30" t="n">
        <f aca="false">SUMIF($C$2:$F$2,EOMONTH(Q$2,-1)+1,$C62:$F62)*VLOOKUP(Q$2,Valores!$H$2:$P$154,8,0)</f>
        <v>20295.9828862926</v>
      </c>
      <c r="R62" s="30" t="n">
        <f aca="false">SUMIF($C$2:$F$2,EOMONTH(R$2,-1)+1,$C62:$F62)*VLOOKUP(R$2,Valores!$H$2:$P$154,8,0)</f>
        <v>33826.638143821</v>
      </c>
      <c r="S62" s="30" t="n">
        <f aca="false">SUMIF($C$2:$F$2,EOMONTH(S$2,-1)+1,$C62:$F62)*VLOOKUP(S$2,Valores!$H$2:$P$154,8,0)</f>
        <v>67653.2762876419</v>
      </c>
      <c r="T62" s="30" t="n">
        <f aca="false">SUMIF($C$2:$F$2,EOMONTH(T$2,-1)+1,$C62:$F62)*VLOOKUP(T$2,Valores!$H$2:$P$154,8,0)</f>
        <v>84566.5953595524</v>
      </c>
      <c r="U62" s="30" t="n">
        <f aca="false">SUMIF($C$2:$F$2,EOMONTH(U$2,-1)+1,$C62:$F62)*VLOOKUP(U$2,Valores!$H$2:$P$154,8,0)</f>
        <v>50739.9572157314</v>
      </c>
      <c r="V62" s="30" t="n">
        <f aca="false">SUMIF($C$2:$F$2,EOMONTH(V$2,-1)+1,$C62:$F62)*VLOOKUP(V$2,Valores!$H$2:$P$154,8,0)</f>
        <v>42283.2976797762</v>
      </c>
      <c r="W62" s="30" t="n">
        <f aca="false">SUMIF($C$2:$F$2,EOMONTH(W$2,-1)+1,$C62:$F62)*VLOOKUP(W$2,Valores!$H$2:$P$154,8,0)</f>
        <v>42283.2976797762</v>
      </c>
      <c r="X62" s="30" t="n">
        <f aca="false">SUMIF($C$2:$F$2,EOMONTH(X$2,-1)+1,$C62:$F62)*VLOOKUP(X$2,Valores!$H$2:$P$154,8,0)</f>
        <v>0</v>
      </c>
      <c r="Y62" s="30" t="n">
        <f aca="false">SUMIF($C$2:$F$2,EOMONTH(Y$2,-1)+1,$C62:$F62)*VLOOKUP(Y$2,Valores!$H$2:$P$154,8,0)</f>
        <v>0</v>
      </c>
      <c r="Z62" s="30" t="n">
        <f aca="false">SUMIF($C$2:$F$2,EOMONTH(Z$2,-1)+1,$C62:$F62)*VLOOKUP(Z$2,Valores!$H$2:$P$154,8,0)</f>
        <v>63424.9465196643</v>
      </c>
      <c r="AA62" s="30" t="n">
        <f aca="false">SUMIF($C$2:$F$2,EOMONTH(AA$2,-1)+1,$C62:$F62)*VLOOKUP(AA$2,Valores!$H$2:$P$154,8,0)</f>
        <v>76109.9358235972</v>
      </c>
      <c r="AB62" s="30" t="n">
        <f aca="false">SUMIF($C$2:$F$2,EOMONTH(AB$2,-1)+1,$C62:$F62)*VLOOKUP(AB$2,Valores!$H$2:$P$154,8,0)</f>
        <v>38054.9679117986</v>
      </c>
      <c r="AC62" s="30" t="n">
        <f aca="false">SUMIF($C$2:$F$2,EOMONTH(AC$2,-1)+1,$C62:$F62)*VLOOKUP(AC$2,Valores!$H$2:$P$154,8,0)</f>
        <v>46511.6274477538</v>
      </c>
      <c r="AD62" s="30" t="n">
        <f aca="false">SUMIF($C$2:$F$2,EOMONTH(AD$2,-1)+1,$C62:$F62)*VLOOKUP(AD$2,Valores!$H$2:$P$154,8,0)</f>
        <v>46511.6274477538</v>
      </c>
      <c r="AE62" s="30" t="n">
        <f aca="false">SUMIF($C$2:$F$2,EOMONTH(AE$2,-1)+1,$C62:$F62)*VLOOKUP(AE$2,Valores!$H$2:$P$154,8,0)</f>
        <v>46511.6274477538</v>
      </c>
      <c r="AF62" s="30" t="n">
        <f aca="false">SUMIF($C$2:$F$2,EOMONTH(AF$2,-1)+1,$C62:$F62)*VLOOKUP(AF$2,Valores!$H$2:$P$154,8,0)</f>
        <v>46511.6274477538</v>
      </c>
      <c r="AG62" s="30" t="n">
        <f aca="false">SUMIF($C$2:$F$2,EOMONTH(AG$2,-1)+1,$C62:$F62)*VLOOKUP(AG$2,Valores!$H$2:$P$154,8,0)</f>
        <v>74418.6039164061</v>
      </c>
      <c r="AH62" s="30" t="n">
        <f aca="false">SUMIF($C$2:$F$2,EOMONTH(AH$2,-1)+1,$C62:$F62)*VLOOKUP(AH$2,Valores!$H$2:$P$154,8,0)</f>
        <v>93023.2548955076</v>
      </c>
      <c r="AI62" s="30" t="n">
        <f aca="false">SUMIF($C$2:$F$2,EOMONTH(AI$2,-1)+1,$C62:$F62)*VLOOKUP(AI$2,Valores!$H$2:$P$154,8,0)</f>
        <v>32558.1392134277</v>
      </c>
      <c r="AJ62" s="30" t="n">
        <f aca="false">SUMIF($C$2:$F$2,EOMONTH(AJ$2,-1)+1,$C62:$F62)*VLOOKUP(AJ$2,Valores!$H$2:$P$154,8,0)</f>
        <v>21141.6488398881</v>
      </c>
      <c r="AK62" s="30" t="n">
        <f aca="false">SUMIF($C$2:$F$2,EOMONTH(AK$2,-1)+1,$C62:$F62)*VLOOKUP(AK$2,Valores!$H$2:$P$154,8,0)</f>
        <v>38553.4373288242</v>
      </c>
      <c r="AL62" s="30" t="n">
        <f aca="false">SUMIF($C$2:$F$2,EOMONTH(AL$2,-1)+1,$C62:$F62)*VLOOKUP(AL$2,Valores!$H$2:$P$154,8,0)</f>
        <v>38553.4373288242</v>
      </c>
      <c r="AM62" s="30" t="n">
        <f aca="false">SUMIF($C$2:$F$2,EOMONTH(AM$2,-1)+1,$C62:$F62)*VLOOKUP(AM$2,Valores!$H$2:$P$154,8,0)</f>
        <v>38553.4373288242</v>
      </c>
      <c r="AN62" s="30" t="n">
        <f aca="false">SUMIF($C$2:$F$2,EOMONTH(AN$2,-1)+1,$C62:$F62)*VLOOKUP(AN$2,Valores!$H$2:$P$154,8,0)</f>
        <v>77106.8746576484</v>
      </c>
      <c r="AO62" s="30" t="n">
        <f aca="false">SUMIF($C$2:$F$2,EOMONTH(AO$2,-1)+1,$C62:$F62)*VLOOKUP(AO$2,Valores!$H$2:$P$154,8,0)</f>
        <v>96383.5933220605</v>
      </c>
      <c r="AP62" s="30" t="n">
        <f aca="false">SUMIF($C$2:$F$2,EOMONTH(AP$2,-1)+1,$C62:$F62)*VLOOKUP(AP$2,Valores!$H$2:$P$154,8,0)</f>
        <v>57830.1559932363</v>
      </c>
      <c r="AQ62" s="30" t="n">
        <f aca="false">SUMIF($C$2:$F$2,EOMONTH(AQ$2,-1)+1,$C62:$F62)*VLOOKUP(AQ$2,Valores!$H$2:$P$154,8,0)</f>
        <v>20653.6271404415</v>
      </c>
      <c r="AR62" s="30" t="n">
        <f aca="false">SUMIF($C$2:$F$2,EOMONTH(AR$2,-1)+1,$C62:$F62)*VLOOKUP(AR$2,Valores!$H$2:$P$154,8,0)</f>
        <v>20653.6271404415</v>
      </c>
      <c r="AS62" s="30" t="n">
        <f aca="false">SUMIF($C$2:$F$2,EOMONTH(AS$2,-1)+1,$C62:$F62)*VLOOKUP(AS$2,Valores!$H$2:$P$154,8,0)</f>
        <v>20653.6271404415</v>
      </c>
      <c r="AT62" s="30" t="n">
        <f aca="false">SUMIF($C$2:$F$2,EOMONTH(AT$2,-1)+1,$C62:$F62)*VLOOKUP(AT$2,Valores!$H$2:$P$154,8,0)</f>
        <v>20653.6271404415</v>
      </c>
      <c r="AU62" s="30" t="n">
        <f aca="false">SUMIF($C$2:$F$2,EOMONTH(AU$2,-1)+1,$C62:$F62)*VLOOKUP(AU$2,Valores!$H$2:$P$154,8,0)</f>
        <v>41307.2542808831</v>
      </c>
      <c r="AV62" s="30" t="n">
        <f aca="false">SUMIF($C$2:$F$2,EOMONTH(AV$2,-1)+1,$C62:$F62)*VLOOKUP(AV$2,Valores!$H$2:$P$154,8,0)</f>
        <v>51634.0678511038</v>
      </c>
      <c r="AW62" s="30" t="n">
        <f aca="false">SUMIF($C$2:$F$2,EOMONTH(AW$2,-1)+1,$C62:$F62)*VLOOKUP(AW$2,Valores!$H$2:$P$154,8,0)</f>
        <v>30980.4407106623</v>
      </c>
      <c r="AX62" s="30" t="n">
        <f aca="false">SUMIF($C$2:$F$2,EOMONTH(AX$2,-1)+1,$C62:$F62)*VLOOKUP(AX$2,Valores!$H$2:$P$154,8,0)</f>
        <v>20653.6271404415</v>
      </c>
      <c r="AY62" s="30" t="n">
        <f aca="false">SUMIF($C$2:$F$2,EOMONTH(AY$2,-1)+1,$C62:$F62)*VLOOKUP(AY$2,Valores!$H$2:$P$154,8,0)</f>
        <v>26849.715282574</v>
      </c>
      <c r="AZ62" s="30" t="n">
        <f aca="false">SUMIF($C$2:$F$2,EOMONTH(AZ$2,-1)+1,$C62:$F62)*VLOOKUP(AZ$2,Valores!$H$2:$P$154,8,0)</f>
        <v>26849.715282574</v>
      </c>
      <c r="BA62" s="30" t="n">
        <f aca="false">SUMIF($C$2:$F$2,EOMONTH(BA$2,-1)+1,$C62:$F62)*VLOOKUP(BA$2,Valores!$H$2:$P$154,8,0)</f>
        <v>26849.715282574</v>
      </c>
      <c r="BB62" s="30" t="n">
        <f aca="false">SUMIF($C$2:$F$2,EOMONTH(BB$2,-1)+1,$C62:$F62)*VLOOKUP(BB$2,Valores!$H$2:$P$154,8,0)</f>
        <v>47503.3424230155</v>
      </c>
      <c r="BC62" s="30" t="n">
        <f aca="false">SUMIF($C$2:$F$2,EOMONTH(BC$2,-1)+1,$C62:$F62)*VLOOKUP(BC$2,Valores!$H$2:$P$154,8,0)</f>
        <v>57830.1559932363</v>
      </c>
      <c r="BD62" s="30" t="n">
        <f aca="false">SUMIF($C$2:$F$2,EOMONTH(BD$2,-1)+1,$C62:$F62)*VLOOKUP(BD$2,Valores!$H$2:$P$154,8,0)</f>
        <v>30980.4407106623</v>
      </c>
      <c r="BE62" s="30" t="n">
        <f aca="false">SUMIF($C$2:$F$2,EOMONTH(BE$2,-1)+1,$C62:$F62)*VLOOKUP(BE$2,Valores!$H$2:$P$154,8,0)</f>
        <v>27538.1695205887</v>
      </c>
      <c r="BF62" s="30" t="n">
        <f aca="false">SUMIF($C$2:$F$2,EOMONTH(BF$2,-1)+1,$C62:$F62)*VLOOKUP(BF$2,Valores!$H$2:$P$154,8,0)</f>
        <v>27538.1695205887</v>
      </c>
      <c r="BG62" s="30" t="n">
        <f aca="false">SUMIF($C$2:$F$2,EOMONTH(BG$2,-1)+1,$C62:$F62)*VLOOKUP(BG$2,Valores!$H$2:$P$154,8,0)</f>
        <v>27538.1695205887</v>
      </c>
      <c r="BH62" s="30" t="n">
        <f aca="false">SUMIF($C$2:$F$2,EOMONTH(BH$2,-1)+1,$C62:$F62)*VLOOKUP(BH$2,Valores!$H$2:$P$154,8,0)</f>
        <v>27538.1695205887</v>
      </c>
      <c r="BI62" s="30" t="n">
        <f aca="false">SUMIF($C$2:$F$2,EOMONTH(BI$2,-1)+1,$C62:$F62)*VLOOKUP(BI$2,Valores!$H$2:$P$154,8,0)</f>
        <v>55076.3390411774</v>
      </c>
      <c r="BJ62" s="30" t="n">
        <f aca="false">SUMIF($C$2:$F$2,EOMONTH(BJ$2,-1)+1,$C62:$F62)*VLOOKUP(BJ$2,Valores!$H$2:$P$154,8,0)</f>
        <v>68845.4238014718</v>
      </c>
      <c r="BK62" s="30" t="n">
        <f aca="false">SUMIF($C$2:$F$2,EOMONTH(BK$2,-1)+1,$C62:$F62)*VLOOKUP(BK$2,Valores!$H$2:$P$154,8,0)</f>
        <v>33045.8034247065</v>
      </c>
      <c r="BL62" s="30" t="n">
        <f aca="false">SUMIF($C$2:$F$2,EOMONTH(BL$2,-1)+1,$C62:$F62)*VLOOKUP(BL$2,Valores!$H$2:$P$154,8,0)</f>
        <v>24233.5891781181</v>
      </c>
      <c r="BM62" s="30" t="n">
        <f aca="false">SUMIF($C$2:$F$2,EOMONTH(BM$2,-1)+1,$C62:$F62)*VLOOKUP(BM$2,Valores!$H$2:$P$154,8,0)</f>
        <v>24233.5891781181</v>
      </c>
      <c r="BN62" s="30" t="n">
        <f aca="false">SUMIF($C$2:$F$2,EOMONTH(BN$2,-1)+1,$C62:$F62)*VLOOKUP(BN$2,Valores!$H$2:$P$154,8,0)</f>
        <v>24233.5891781181</v>
      </c>
      <c r="BO62" s="30" t="n">
        <f aca="false">SUMIF($C$2:$F$2,EOMONTH(BO$2,-1)+1,$C62:$F62)*VLOOKUP(BO$2,Valores!$H$2:$P$154,8,0)</f>
        <v>25445.268637024</v>
      </c>
      <c r="BP62" s="30" t="n">
        <f aca="false">SUMIF($C$2:$F$2,EOMONTH(BP$2,-1)+1,$C62:$F62)*VLOOKUP(BP$2,Valores!$H$2:$P$154,8,0)</f>
        <v>64034.2051203164</v>
      </c>
      <c r="BQ62" s="30" t="n">
        <f aca="false">SUMIF($C$2:$F$2,EOMONTH(BQ$2,-1)+1,$C62:$F62)*VLOOKUP(BQ$2,Valores!$H$2:$P$154,8,0)</f>
        <v>80042.7564003955</v>
      </c>
      <c r="BR62" s="30" t="n">
        <f aca="false">SUMIF($C$2:$F$2,EOMONTH(BR$2,-1)+1,$C62:$F62)*VLOOKUP(BR$2,Valores!$H$2:$P$154,8,0)</f>
        <v>38420.5230721899</v>
      </c>
      <c r="BS62" s="30" t="n">
        <f aca="false">SUMIF($C$2:$F$2,EOMONTH(BS$2,-1)+1,$C62:$F62)*VLOOKUP(BS$2,Valores!$H$2:$P$154,8,0)</f>
        <v>17152.0192286562</v>
      </c>
      <c r="BT62" s="30" t="n">
        <f aca="false">SUMIF($C$2:$F$2,EOMONTH(BT$2,-1)+1,$C62:$F62)*VLOOKUP(BT$2,Valores!$H$2:$P$154,8,0)</f>
        <v>17152.0192286562</v>
      </c>
      <c r="BU62" s="30" t="n">
        <f aca="false">SUMIF($C$2:$F$2,EOMONTH(BU$2,-1)+1,$C62:$F62)*VLOOKUP(BU$2,Valores!$H$2:$P$154,8,0)</f>
        <v>17152.0192286562</v>
      </c>
      <c r="BV62" s="30" t="n">
        <f aca="false">SUMIF($C$2:$F$2,EOMONTH(BV$2,-1)+1,$C62:$F62)*VLOOKUP(BV$2,Valores!$H$2:$P$154,8,0)</f>
        <v>17152.0192286562</v>
      </c>
      <c r="BW62" s="30" t="n">
        <f aca="false">SUMIF($C$2:$F$2,EOMONTH(BW$2,-1)+1,$C62:$F62)*VLOOKUP(BW$2,Valores!$H$2:$P$154,8,0)</f>
        <v>34304.0384573124</v>
      </c>
      <c r="BX62" s="30" t="n">
        <f aca="false">SUMIF($C$2:$F$2,EOMONTH(BX$2,-1)+1,$C62:$F62)*VLOOKUP(BX$2,Valores!$H$2:$P$154,8,0)</f>
        <v>42880.0480716405</v>
      </c>
      <c r="BY62" s="30" t="n">
        <f aca="false">SUMIF($C$2:$F$2,EOMONTH(BY$2,-1)+1,$C62:$F62)*VLOOKUP(BY$2,Valores!$H$2:$P$154,8,0)</f>
        <v>25728.0288429843</v>
      </c>
      <c r="BZ62" s="30" t="n">
        <f aca="false">SUMIF($C$2:$F$2,EOMONTH(BZ$2,-1)+1,$C62:$F62)*VLOOKUP(BZ$2,Valores!$H$2:$P$154,8,0)</f>
        <v>17152.0192286562</v>
      </c>
      <c r="CA62" s="30" t="n">
        <f aca="false">SUMIF($C$2:$F$2,EOMONTH(CA$2,-1)+1,$C62:$F62)*VLOOKUP(CA$2,Valores!$H$2:$P$154,8,0)</f>
        <v>17152.0192286562</v>
      </c>
      <c r="CB62" s="30" t="n">
        <f aca="false">SUMIF($C$2:$F$2,EOMONTH(CB$2,-1)+1,$C62:$F62)*VLOOKUP(CB$2,Valores!$H$2:$P$154,8,0)</f>
        <v>17152.0192286562</v>
      </c>
      <c r="CC62" s="30" t="n">
        <f aca="false">SUMIF($C$2:$F$2,EOMONTH(CC$2,-1)+1,$C62:$F62)*VLOOKUP(CC$2,Valores!$H$2:$P$154,8,0)</f>
        <v>17152.0192286562</v>
      </c>
      <c r="CD62" s="30" t="n">
        <f aca="false">SUMIF($C$2:$F$2,EOMONTH(CD$2,-1)+1,$C62:$F62)*VLOOKUP(CD$2,Valores!$H$2:$P$154,8,0)</f>
        <v>51456.0576859686</v>
      </c>
      <c r="CE62" s="30" t="n">
        <f aca="false">SUMIF($C$2:$F$2,EOMONTH(CE$2,-1)+1,$C62:$F62)*VLOOKUP(CE$2,Valores!$H$2:$P$154,8,0)</f>
        <v>68608.0769146247</v>
      </c>
      <c r="CF62" s="30" t="n">
        <f aca="false">SUMIF($C$2:$F$2,EOMONTH(CF$2,-1)+1,$C62:$F62)*VLOOKUP(CF$2,Valores!$H$2:$P$154,8,0)</f>
        <v>42880.0480716405</v>
      </c>
      <c r="CG62" s="30" t="n">
        <f aca="false">SUMIF($C$2:$F$2,EOMONTH(CG$2,-1)+1,$C62:$F62)*VLOOKUP(CG$2,Valores!$H$2:$P$154,8,0)</f>
        <v>22869.3589715416</v>
      </c>
      <c r="CH62" s="30" t="n">
        <f aca="false">SUMIF($C$2:$F$2,EOMONTH(CH$2,-1)+1,$C62:$F62)*VLOOKUP(CH$2,Valores!$H$2:$P$154,8,0)</f>
        <v>22869.3589715416</v>
      </c>
      <c r="CI62" s="30" t="n">
        <f aca="false">SUMIF($C$2:$F$2,EOMONTH(CI$2,-1)+1,$C62:$F62)*VLOOKUP(CI$2,Valores!$H$2:$P$154,8,0)</f>
        <v>22869.3589715416</v>
      </c>
      <c r="CJ62" s="30" t="n">
        <f aca="false">SUMIF($C$2:$F$2,EOMONTH(CJ$2,-1)+1,$C62:$F62)*VLOOKUP(CJ$2,Valores!$H$2:$P$154,8,0)</f>
        <v>22869.3589715416</v>
      </c>
      <c r="CK62" s="30" t="n">
        <f aca="false">SUMIF($C$2:$F$2,EOMONTH(CK$2,-1)+1,$C62:$F62)*VLOOKUP(CK$2,Valores!$H$2:$P$154,8,0)</f>
        <v>45738.7179430832</v>
      </c>
      <c r="CL62" s="30" t="n">
        <f aca="false">SUMIF($C$2:$F$2,EOMONTH(CL$2,-1)+1,$C62:$F62)*VLOOKUP(CL$2,Valores!$H$2:$P$154,8,0)</f>
        <v>57173.397428854</v>
      </c>
      <c r="CM62" s="30" t="n">
        <f aca="false">SUMIF($C$2:$F$2,EOMONTH(CM$2,-1)+1,$C62:$F62)*VLOOKUP(CM$2,Valores!$H$2:$P$154,8,0)</f>
        <v>34304.0384573124</v>
      </c>
      <c r="CN62" s="30" t="n">
        <f aca="false">SUMIF($C$2:$F$2,EOMONTH(CN$2,-1)+1,$C62:$F62)*VLOOKUP(CN$2,Valores!$H$2:$P$154,8,0)</f>
        <v>25156.2948686957</v>
      </c>
      <c r="CO62" s="30" t="n">
        <f aca="false">SUMIF($C$2:$F$2,EOMONTH(CO$2,-1)+1,$C62:$F62)*VLOOKUP(CO$2,Valores!$H$2:$P$154,8,0)</f>
        <v>25156.2948686957</v>
      </c>
      <c r="CP62" s="30" t="n">
        <f aca="false">SUMIF($C$2:$F$2,EOMONTH(CP$2,-1)+1,$C62:$F62)*VLOOKUP(CP$2,Valores!$H$2:$P$154,8,0)</f>
        <v>25156.2948686957</v>
      </c>
      <c r="CQ62" s="30" t="n">
        <f aca="false">SUMIF($C$2:$F$2,EOMONTH(CQ$2,-1)+1,$C62:$F62)*VLOOKUP(CQ$2,Valores!$H$2:$P$154,8,0)</f>
        <v>25156.2948686957</v>
      </c>
      <c r="CR62" s="30" t="n">
        <f aca="false">SUMIF($C$2:$F$2,EOMONTH(CR$2,-1)+1,$C62:$F62)*VLOOKUP(CR$2,Valores!$H$2:$P$154,8,0)</f>
        <v>50312.5897373915</v>
      </c>
      <c r="CS62" s="30" t="n">
        <f aca="false">SUMIF($C$2:$F$2,EOMONTH(CS$2,-1)+1,$C62:$F62)*VLOOKUP(CS$2,Valores!$H$2:$P$154,8,0)</f>
        <v>75468.8846060872</v>
      </c>
      <c r="CT62" s="30" t="e">
        <f aca="false">SUMIF($C$2:$F$2,EOMONTH(CT$2,-1)+1,$C62:$F62)*VLOOKUP(CT$2,Valores!$H$2:$P$154,8,0)</f>
        <v>#VALUE!</v>
      </c>
      <c r="CU62" s="30" t="e">
        <f aca="false">SUMIF($C$2:$F$2,EOMONTH(CU$2,-1)+1,$C62:$F62)*VLOOKUP(CU$2,Valores!$H$2:$P$154,8,0)</f>
        <v>#VALUE!</v>
      </c>
      <c r="CV62" s="30" t="e">
        <f aca="false">SUMIF($C$2:$F$2,EOMONTH(CV$2,-1)+1,$C62:$F62)*VLOOKUP(CV$2,Valores!$H$2:$P$154,8,0)</f>
        <v>#VALUE!</v>
      </c>
      <c r="CW62" s="30" t="e">
        <f aca="false">SUMIF($C$2:$F$2,EOMONTH(CW$2,-1)+1,$C62:$F62)*VLOOKUP(CW$2,Valores!$H$2:$P$154,8,0)</f>
        <v>#VALUE!</v>
      </c>
      <c r="CX62" s="30" t="e">
        <f aca="false">SUMIF($C$2:$F$2,EOMONTH(CX$2,-1)+1,$C62:$F62)*VLOOKUP(CX$2,Valores!$H$2:$P$154,8,0)</f>
        <v>#VALUE!</v>
      </c>
      <c r="CY62" s="30" t="e">
        <f aca="false">SUMIF($C$2:$F$2,EOMONTH(CY$2,-1)+1,$C62:$F62)*VLOOKUP(CY$2,Valores!$H$2:$P$154,8,0)</f>
        <v>#VALUE!</v>
      </c>
      <c r="CZ62" s="30" t="e">
        <f aca="false">SUMIF($C$2:$F$2,EOMONTH(CZ$2,-1)+1,$C62:$F62)*VLOOKUP(CZ$2,Valores!$H$2:$P$154,8,0)</f>
        <v>#VALUE!</v>
      </c>
      <c r="DA62" s="30" t="e">
        <f aca="false">SUMIF($C$2:$F$2,EOMONTH(DA$2,-1)+1,$C62:$F62)*VLOOKUP(DA$2,Valores!$H$2:$P$154,8,0)</f>
        <v>#VALUE!</v>
      </c>
      <c r="DB62" s="30" t="e">
        <f aca="false">SUMIF($C$2:$F$2,EOMONTH(DB$2,-1)+1,$C62:$F62)*VLOOKUP(DB$2,Valores!$H$2:$P$154,8,0)</f>
        <v>#VALUE!</v>
      </c>
      <c r="DC62" s="30" t="e">
        <f aca="false">SUMIF($C$2:$F$2,EOMONTH(DC$2,-1)+1,$C62:$F62)*VLOOKUP(DC$2,Valores!$H$2:$P$154,8,0)</f>
        <v>#VALUE!</v>
      </c>
      <c r="DD62" s="30" t="e">
        <f aca="false">SUMIF($C$2:$F$2,EOMONTH(DD$2,-1)+1,$C62:$F62)*VLOOKUP(DD$2,Valores!$H$2:$P$154,8,0)</f>
        <v>#VALUE!</v>
      </c>
      <c r="DE62" s="30" t="e">
        <f aca="false">SUMIF($C$2:$F$2,EOMONTH(DE$2,-1)+1,$C62:$F62)*VLOOKUP(DE$2,Valores!$H$2:$P$154,8,0)</f>
        <v>#VALUE!</v>
      </c>
      <c r="DF62" s="30" t="e">
        <f aca="false">SUMIF($C$2:$F$2,EOMONTH(DF$2,-1)+1,$C62:$F62)*VLOOKUP(DF$2,Valores!$H$2:$P$154,8,0)</f>
        <v>#VALUE!</v>
      </c>
      <c r="DG62" s="30" t="e">
        <f aca="false">SUMIF($C$2:$F$2,EOMONTH(DG$2,-1)+1,$C62:$F62)*VLOOKUP(DG$2,Valores!$H$2:$P$154,8,0)</f>
        <v>#VALUE!</v>
      </c>
      <c r="DH62" s="30" t="e">
        <f aca="false">SUMIF($C$2:$F$2,EOMONTH(DH$2,-1)+1,$C62:$F62)*VLOOKUP(DH$2,Valores!$H$2:$P$154,8,0)</f>
        <v>#VALUE!</v>
      </c>
      <c r="DI62" s="30" t="e">
        <f aca="false">SUMIF($C$2:$F$2,EOMONTH(DI$2,-1)+1,$C62:$F62)*VLOOKUP(DI$2,Valores!$H$2:$P$154,8,0)</f>
        <v>#VALUE!</v>
      </c>
      <c r="DJ62" s="30" t="e">
        <f aca="false">SUMIF($C$2:$F$2,EOMONTH(DJ$2,-1)+1,$C62:$F62)*VLOOKUP(DJ$2,Valores!$H$2:$P$154,8,0)</f>
        <v>#VALUE!</v>
      </c>
      <c r="DK62" s="30" t="e">
        <f aca="false">SUMIF($C$2:$F$2,EOMONTH(DK$2,-1)+1,$C62:$F62)*VLOOKUP(DK$2,Valores!$H$2:$P$154,8,0)</f>
        <v>#VALUE!</v>
      </c>
      <c r="DL62" s="30" t="e">
        <f aca="false">SUMIF($C$2:$F$2,EOMONTH(DL$2,-1)+1,$C62:$F62)*VLOOKUP(DL$2,Valores!$H$2:$P$154,8,0)</f>
        <v>#VALUE!</v>
      </c>
      <c r="DM62" s="30" t="e">
        <f aca="false">SUMIF($C$2:$F$2,EOMONTH(DM$2,-1)+1,$C62:$F62)*VLOOKUP(DM$2,Valores!$H$2:$P$154,8,0)</f>
        <v>#VALUE!</v>
      </c>
      <c r="DN62" s="30" t="e">
        <f aca="false">SUMIF($C$2:$F$2,EOMONTH(DN$2,-1)+1,$C62:$F62)*VLOOKUP(DN$2,Valores!$H$2:$P$154,8,0)</f>
        <v>#VALUE!</v>
      </c>
      <c r="DO62" s="30" t="e">
        <f aca="false">SUMIF($C$2:$F$2,EOMONTH(DO$2,-1)+1,$C62:$F62)*VLOOKUP(DO$2,Valores!$H$2:$P$154,8,0)</f>
        <v>#VALUE!</v>
      </c>
      <c r="DP62" s="30" t="e">
        <f aca="false">SUMIF($C$2:$F$2,EOMONTH(DP$2,-1)+1,$C62:$F62)*VLOOKUP(DP$2,Valores!$H$2:$P$154,8,0)</f>
        <v>#VALUE!</v>
      </c>
      <c r="DQ62" s="30" t="e">
        <f aca="false">SUMIF($C$2:$F$2,EOMONTH(DQ$2,-1)+1,$C62:$F62)*VLOOKUP(DQ$2,Valores!$H$2:$P$154,8,0)</f>
        <v>#VALUE!</v>
      </c>
      <c r="DR62" s="30" t="e">
        <f aca="false">SUMIF($C$2:$F$2,EOMONTH(DR$2,-1)+1,$C62:$F62)*VLOOKUP(DR$2,Valores!$H$2:$P$154,8,0)</f>
        <v>#VALUE!</v>
      </c>
      <c r="DS62" s="30" t="e">
        <f aca="false">SUMIF($C$2:$F$2,EOMONTH(DS$2,-1)+1,$C62:$F62)*VLOOKUP(DS$2,Valores!$H$2:$P$154,8,0)</f>
        <v>#VALUE!</v>
      </c>
      <c r="DT62" s="30" t="e">
        <f aca="false">SUMIF($C$2:$F$2,EOMONTH(DT$2,-1)+1,$C62:$F62)*VLOOKUP(DT$2,Valores!$H$2:$P$154,8,0)</f>
        <v>#VALUE!</v>
      </c>
      <c r="DU62" s="30" t="e">
        <f aca="false">SUMIF($C$2:$F$2,EOMONTH(DU$2,-1)+1,$C62:$F62)*VLOOKUP(DU$2,Valores!$H$2:$P$154,8,0)</f>
        <v>#VALUE!</v>
      </c>
      <c r="DV62" s="30" t="e">
        <f aca="false">SUMIF($C$2:$F$2,EOMONTH(DV$2,-1)+1,$C62:$F62)*VLOOKUP(DV$2,Valores!$H$2:$P$154,8,0)</f>
        <v>#VALUE!</v>
      </c>
      <c r="DW62" s="30" t="e">
        <f aca="false">SUMIF($C$2:$F$2,EOMONTH(DW$2,-1)+1,$C62:$F62)*VLOOKUP(DW$2,Valores!$H$2:$P$154,8,0)</f>
        <v>#VALUE!</v>
      </c>
      <c r="DX62" s="30" t="e">
        <f aca="false">SUMIF($C$2:$F$2,EOMONTH(DX$2,-1)+1,$C62:$F62)*VLOOKUP(DX$2,Valores!$H$2:$P$154,8,0)</f>
        <v>#VALUE!</v>
      </c>
    </row>
    <row r="63" customFormat="false" ht="13.8" hidden="false" customHeight="false" outlineLevel="0" collapsed="false">
      <c r="A63" s="31" t="s">
        <v>54</v>
      </c>
      <c r="B63" s="31" t="s">
        <v>85</v>
      </c>
      <c r="C63" s="31" t="n">
        <v>1357120</v>
      </c>
      <c r="D63" s="31" t="n">
        <v>1221408</v>
      </c>
      <c r="E63" s="31" t="n">
        <v>1099267.2</v>
      </c>
      <c r="F63" s="31" t="n">
        <v>989340.48</v>
      </c>
      <c r="G63" s="27" t="n">
        <f aca="false">SUMIF($C$2:$F$2,EOMONTH(G$2,-1)+1,$C63:$F63)*VLOOKUP(G$2,Valores!$H$2:$P$154,8,0)</f>
        <v>39081.1255553727</v>
      </c>
      <c r="H63" s="27" t="n">
        <f aca="false">SUMIF($C$2:$F$2,EOMONTH(H$2,-1)+1,$C63:$F63)*VLOOKUP(H$2,Valores!$H$2:$P$154,8,0)</f>
        <v>26798.4860951127</v>
      </c>
      <c r="I63" s="27" t="n">
        <f aca="false">SUMIF($C$2:$F$2,EOMONTH(I$2,-1)+1,$C63:$F63)*VLOOKUP(I$2,Valores!$H$2:$P$154,8,0)</f>
        <v>26798.4860951127</v>
      </c>
      <c r="J63" s="27" t="n">
        <f aca="false">SUMIF($C$2:$F$2,EOMONTH(J$2,-1)+1,$C63:$F63)*VLOOKUP(J$2,Valores!$H$2:$P$154,8,0)</f>
        <v>26798.4860951127</v>
      </c>
      <c r="K63" s="27" t="n">
        <f aca="false">SUMIF($C$2:$F$2,EOMONTH(K$2,-1)+1,$C63:$F63)*VLOOKUP(K$2,Valores!$H$2:$P$154,8,0)</f>
        <v>26798.4860951127</v>
      </c>
      <c r="L63" s="27" t="n">
        <f aca="false">SUMIF($C$2:$F$2,EOMONTH(L$2,-1)+1,$C63:$F63)*VLOOKUP(L$2,Valores!$H$2:$P$154,8,0)</f>
        <v>53596.9721902254</v>
      </c>
      <c r="M63" s="27" t="n">
        <f aca="false">SUMIF($C$2:$F$2,EOMONTH(M$2,-1)+1,$C63:$F63)*VLOOKUP(M$2,Valores!$H$2:$P$154,8,0)</f>
        <v>66996.2152377818</v>
      </c>
      <c r="N63" s="27" t="n">
        <f aca="false">SUMIF($C$2:$F$2,EOMONTH(N$2,-1)+1,$C63:$F63)*VLOOKUP(N$2,Valores!$H$2:$P$154,8,0)</f>
        <v>40197.7291426691</v>
      </c>
      <c r="O63" s="27" t="n">
        <f aca="false">SUMIF($C$2:$F$2,EOMONTH(O$2,-1)+1,$C63:$F63)*VLOOKUP(O$2,Valores!$H$2:$P$154,8,0)</f>
        <v>35731.3147934836</v>
      </c>
      <c r="P63" s="27" t="n">
        <f aca="false">SUMIF($C$2:$F$2,EOMONTH(P$2,-1)+1,$C63:$F63)*VLOOKUP(P$2,Valores!$H$2:$P$154,8,0)</f>
        <v>35731.3147934836</v>
      </c>
      <c r="Q63" s="27" t="n">
        <f aca="false">SUMIF($C$2:$F$2,EOMONTH(Q$2,-1)+1,$C63:$F63)*VLOOKUP(Q$2,Valores!$H$2:$P$154,8,0)</f>
        <v>21438.7888760902</v>
      </c>
      <c r="R63" s="27" t="n">
        <f aca="false">SUMIF($C$2:$F$2,EOMONTH(R$2,-1)+1,$C63:$F63)*VLOOKUP(R$2,Valores!$H$2:$P$154,8,0)</f>
        <v>35731.3147934836</v>
      </c>
      <c r="S63" s="27" t="n">
        <f aca="false">SUMIF($C$2:$F$2,EOMONTH(S$2,-1)+1,$C63:$F63)*VLOOKUP(S$2,Valores!$H$2:$P$154,8,0)</f>
        <v>71462.6295869673</v>
      </c>
      <c r="T63" s="27" t="n">
        <f aca="false">SUMIF($C$2:$F$2,EOMONTH(T$2,-1)+1,$C63:$F63)*VLOOKUP(T$2,Valores!$H$2:$P$154,8,0)</f>
        <v>89328.2869837091</v>
      </c>
      <c r="U63" s="27" t="n">
        <f aca="false">SUMIF($C$2:$F$2,EOMONTH(U$2,-1)+1,$C63:$F63)*VLOOKUP(U$2,Valores!$H$2:$P$154,8,0)</f>
        <v>53596.9721902254</v>
      </c>
      <c r="V63" s="27" t="n">
        <f aca="false">SUMIF($C$2:$F$2,EOMONTH(V$2,-1)+1,$C63:$F63)*VLOOKUP(V$2,Valores!$H$2:$P$154,8,0)</f>
        <v>44664.1434918545</v>
      </c>
      <c r="W63" s="27" t="n">
        <f aca="false">SUMIF($C$2:$F$2,EOMONTH(W$2,-1)+1,$C63:$F63)*VLOOKUP(W$2,Valores!$H$2:$P$154,8,0)</f>
        <v>44664.1434918545</v>
      </c>
      <c r="X63" s="27" t="n">
        <f aca="false">SUMIF($C$2:$F$2,EOMONTH(X$2,-1)+1,$C63:$F63)*VLOOKUP(X$2,Valores!$H$2:$P$154,8,0)</f>
        <v>0</v>
      </c>
      <c r="Y63" s="27" t="n">
        <f aca="false">SUMIF($C$2:$F$2,EOMONTH(Y$2,-1)+1,$C63:$F63)*VLOOKUP(Y$2,Valores!$H$2:$P$154,8,0)</f>
        <v>0</v>
      </c>
      <c r="Z63" s="27" t="n">
        <f aca="false">SUMIF($C$2:$F$2,EOMONTH(Z$2,-1)+1,$C63:$F63)*VLOOKUP(Z$2,Valores!$H$2:$P$154,8,0)</f>
        <v>66996.2152377818</v>
      </c>
      <c r="AA63" s="27" t="n">
        <f aca="false">SUMIF($C$2:$F$2,EOMONTH(AA$2,-1)+1,$C63:$F63)*VLOOKUP(AA$2,Valores!$H$2:$P$154,8,0)</f>
        <v>80395.4582853381</v>
      </c>
      <c r="AB63" s="27" t="n">
        <f aca="false">SUMIF($C$2:$F$2,EOMONTH(AB$2,-1)+1,$C63:$F63)*VLOOKUP(AB$2,Valores!$H$2:$P$154,8,0)</f>
        <v>40197.7291426691</v>
      </c>
      <c r="AC63" s="27" t="n">
        <f aca="false">SUMIF($C$2:$F$2,EOMONTH(AC$2,-1)+1,$C63:$F63)*VLOOKUP(AC$2,Valores!$H$2:$P$154,8,0)</f>
        <v>49130.55784104</v>
      </c>
      <c r="AD63" s="27" t="n">
        <f aca="false">SUMIF($C$2:$F$2,EOMONTH(AD$2,-1)+1,$C63:$F63)*VLOOKUP(AD$2,Valores!$H$2:$P$154,8,0)</f>
        <v>49130.55784104</v>
      </c>
      <c r="AE63" s="27" t="n">
        <f aca="false">SUMIF($C$2:$F$2,EOMONTH(AE$2,-1)+1,$C63:$F63)*VLOOKUP(AE$2,Valores!$H$2:$P$154,8,0)</f>
        <v>49130.55784104</v>
      </c>
      <c r="AF63" s="27" t="n">
        <f aca="false">SUMIF($C$2:$F$2,EOMONTH(AF$2,-1)+1,$C63:$F63)*VLOOKUP(AF$2,Valores!$H$2:$P$154,8,0)</f>
        <v>49130.55784104</v>
      </c>
      <c r="AG63" s="27" t="n">
        <f aca="false">SUMIF($C$2:$F$2,EOMONTH(AG$2,-1)+1,$C63:$F63)*VLOOKUP(AG$2,Valores!$H$2:$P$154,8,0)</f>
        <v>78608.892545664</v>
      </c>
      <c r="AH63" s="27" t="n">
        <f aca="false">SUMIF($C$2:$F$2,EOMONTH(AH$2,-1)+1,$C63:$F63)*VLOOKUP(AH$2,Valores!$H$2:$P$154,8,0)</f>
        <v>98261.11568208</v>
      </c>
      <c r="AI63" s="27" t="n">
        <f aca="false">SUMIF($C$2:$F$2,EOMONTH(AI$2,-1)+1,$C63:$F63)*VLOOKUP(AI$2,Valores!$H$2:$P$154,8,0)</f>
        <v>34391.390488728</v>
      </c>
      <c r="AJ63" s="27" t="n">
        <f aca="false">SUMIF($C$2:$F$2,EOMONTH(AJ$2,-1)+1,$C63:$F63)*VLOOKUP(AJ$2,Valores!$H$2:$P$154,8,0)</f>
        <v>22332.0717459273</v>
      </c>
      <c r="AK63" s="27" t="n">
        <f aca="false">SUMIF($C$2:$F$2,EOMONTH(AK$2,-1)+1,$C63:$F63)*VLOOKUP(AK$2,Valores!$H$2:$P$154,8,0)</f>
        <v>40724.2658791588</v>
      </c>
      <c r="AL63" s="27" t="n">
        <f aca="false">SUMIF($C$2:$F$2,EOMONTH(AL$2,-1)+1,$C63:$F63)*VLOOKUP(AL$2,Valores!$H$2:$P$154,8,0)</f>
        <v>40724.2658791588</v>
      </c>
      <c r="AM63" s="27" t="n">
        <f aca="false">SUMIF($C$2:$F$2,EOMONTH(AM$2,-1)+1,$C63:$F63)*VLOOKUP(AM$2,Valores!$H$2:$P$154,8,0)</f>
        <v>40724.2658791588</v>
      </c>
      <c r="AN63" s="27" t="n">
        <f aca="false">SUMIF($C$2:$F$2,EOMONTH(AN$2,-1)+1,$C63:$F63)*VLOOKUP(AN$2,Valores!$H$2:$P$154,8,0)</f>
        <v>81448.5317583176</v>
      </c>
      <c r="AO63" s="27" t="n">
        <f aca="false">SUMIF($C$2:$F$2,EOMONTH(AO$2,-1)+1,$C63:$F63)*VLOOKUP(AO$2,Valores!$H$2:$P$154,8,0)</f>
        <v>101810.664697897</v>
      </c>
      <c r="AP63" s="27" t="n">
        <f aca="false">SUMIF($C$2:$F$2,EOMONTH(AP$2,-1)+1,$C63:$F63)*VLOOKUP(AP$2,Valores!$H$2:$P$154,8,0)</f>
        <v>61086.3988187382</v>
      </c>
      <c r="AQ63" s="27" t="n">
        <f aca="false">SUMIF($C$2:$F$2,EOMONTH(AQ$2,-1)+1,$C63:$F63)*VLOOKUP(AQ$2,Valores!$H$2:$P$154,8,0)</f>
        <v>21816.5710066922</v>
      </c>
      <c r="AR63" s="27" t="n">
        <f aca="false">SUMIF($C$2:$F$2,EOMONTH(AR$2,-1)+1,$C63:$F63)*VLOOKUP(AR$2,Valores!$H$2:$P$154,8,0)</f>
        <v>21816.5710066922</v>
      </c>
      <c r="AS63" s="27" t="n">
        <f aca="false">SUMIF($C$2:$F$2,EOMONTH(AS$2,-1)+1,$C63:$F63)*VLOOKUP(AS$2,Valores!$H$2:$P$154,8,0)</f>
        <v>21816.5710066922</v>
      </c>
      <c r="AT63" s="27" t="n">
        <f aca="false">SUMIF($C$2:$F$2,EOMONTH(AT$2,-1)+1,$C63:$F63)*VLOOKUP(AT$2,Valores!$H$2:$P$154,8,0)</f>
        <v>21816.5710066922</v>
      </c>
      <c r="AU63" s="27" t="n">
        <f aca="false">SUMIF($C$2:$F$2,EOMONTH(AU$2,-1)+1,$C63:$F63)*VLOOKUP(AU$2,Valores!$H$2:$P$154,8,0)</f>
        <v>43633.1420133844</v>
      </c>
      <c r="AV63" s="27" t="n">
        <f aca="false">SUMIF($C$2:$F$2,EOMONTH(AV$2,-1)+1,$C63:$F63)*VLOOKUP(AV$2,Valores!$H$2:$P$154,8,0)</f>
        <v>54541.4275167306</v>
      </c>
      <c r="AW63" s="27" t="n">
        <f aca="false">SUMIF($C$2:$F$2,EOMONTH(AW$2,-1)+1,$C63:$F63)*VLOOKUP(AW$2,Valores!$H$2:$P$154,8,0)</f>
        <v>32724.8565100383</v>
      </c>
      <c r="AX63" s="27" t="n">
        <f aca="false">SUMIF($C$2:$F$2,EOMONTH(AX$2,-1)+1,$C63:$F63)*VLOOKUP(AX$2,Valores!$H$2:$P$154,8,0)</f>
        <v>21816.5710066922</v>
      </c>
      <c r="AY63" s="27" t="n">
        <f aca="false">SUMIF($C$2:$F$2,EOMONTH(AY$2,-1)+1,$C63:$F63)*VLOOKUP(AY$2,Valores!$H$2:$P$154,8,0)</f>
        <v>28361.5423086999</v>
      </c>
      <c r="AZ63" s="27" t="n">
        <f aca="false">SUMIF($C$2:$F$2,EOMONTH(AZ$2,-1)+1,$C63:$F63)*VLOOKUP(AZ$2,Valores!$H$2:$P$154,8,0)</f>
        <v>28361.5423086999</v>
      </c>
      <c r="BA63" s="27" t="n">
        <f aca="false">SUMIF($C$2:$F$2,EOMONTH(BA$2,-1)+1,$C63:$F63)*VLOOKUP(BA$2,Valores!$H$2:$P$154,8,0)</f>
        <v>28361.5423086999</v>
      </c>
      <c r="BB63" s="27" t="n">
        <f aca="false">SUMIF($C$2:$F$2,EOMONTH(BB$2,-1)+1,$C63:$F63)*VLOOKUP(BB$2,Valores!$H$2:$P$154,8,0)</f>
        <v>50178.1133153921</v>
      </c>
      <c r="BC63" s="27" t="n">
        <f aca="false">SUMIF($C$2:$F$2,EOMONTH(BC$2,-1)+1,$C63:$F63)*VLOOKUP(BC$2,Valores!$H$2:$P$154,8,0)</f>
        <v>61086.3988187382</v>
      </c>
      <c r="BD63" s="27" t="n">
        <f aca="false">SUMIF($C$2:$F$2,EOMONTH(BD$2,-1)+1,$C63:$F63)*VLOOKUP(BD$2,Valores!$H$2:$P$154,8,0)</f>
        <v>32724.8565100383</v>
      </c>
      <c r="BE63" s="27" t="n">
        <f aca="false">SUMIF($C$2:$F$2,EOMONTH(BE$2,-1)+1,$C63:$F63)*VLOOKUP(BE$2,Valores!$H$2:$P$154,8,0)</f>
        <v>29088.7613422563</v>
      </c>
      <c r="BF63" s="27" t="n">
        <f aca="false">SUMIF($C$2:$F$2,EOMONTH(BF$2,-1)+1,$C63:$F63)*VLOOKUP(BF$2,Valores!$H$2:$P$154,8,0)</f>
        <v>29088.7613422563</v>
      </c>
      <c r="BG63" s="27" t="n">
        <f aca="false">SUMIF($C$2:$F$2,EOMONTH(BG$2,-1)+1,$C63:$F63)*VLOOKUP(BG$2,Valores!$H$2:$P$154,8,0)</f>
        <v>29088.7613422563</v>
      </c>
      <c r="BH63" s="27" t="n">
        <f aca="false">SUMIF($C$2:$F$2,EOMONTH(BH$2,-1)+1,$C63:$F63)*VLOOKUP(BH$2,Valores!$H$2:$P$154,8,0)</f>
        <v>29088.7613422563</v>
      </c>
      <c r="BI63" s="27" t="n">
        <f aca="false">SUMIF($C$2:$F$2,EOMONTH(BI$2,-1)+1,$C63:$F63)*VLOOKUP(BI$2,Valores!$H$2:$P$154,8,0)</f>
        <v>58177.5226845126</v>
      </c>
      <c r="BJ63" s="27" t="n">
        <f aca="false">SUMIF($C$2:$F$2,EOMONTH(BJ$2,-1)+1,$C63:$F63)*VLOOKUP(BJ$2,Valores!$H$2:$P$154,8,0)</f>
        <v>72721.9033556408</v>
      </c>
      <c r="BK63" s="27" t="n">
        <f aca="false">SUMIF($C$2:$F$2,EOMONTH(BK$2,-1)+1,$C63:$F63)*VLOOKUP(BK$2,Valores!$H$2:$P$154,8,0)</f>
        <v>34906.5136107076</v>
      </c>
      <c r="BL63" s="27" t="n">
        <f aca="false">SUMIF($C$2:$F$2,EOMONTH(BL$2,-1)+1,$C63:$F63)*VLOOKUP(BL$2,Valores!$H$2:$P$154,8,0)</f>
        <v>25598.1099811855</v>
      </c>
      <c r="BM63" s="27" t="n">
        <f aca="false">SUMIF($C$2:$F$2,EOMONTH(BM$2,-1)+1,$C63:$F63)*VLOOKUP(BM$2,Valores!$H$2:$P$154,8,0)</f>
        <v>25598.1099811855</v>
      </c>
      <c r="BN63" s="27" t="n">
        <f aca="false">SUMIF($C$2:$F$2,EOMONTH(BN$2,-1)+1,$C63:$F63)*VLOOKUP(BN$2,Valores!$H$2:$P$154,8,0)</f>
        <v>25598.1099811855</v>
      </c>
      <c r="BO63" s="27" t="n">
        <f aca="false">SUMIF($C$2:$F$2,EOMONTH(BO$2,-1)+1,$C63:$F63)*VLOOKUP(BO$2,Valores!$H$2:$P$154,8,0)</f>
        <v>26878.0154802448</v>
      </c>
      <c r="BP63" s="27" t="n">
        <f aca="false">SUMIF($C$2:$F$2,EOMONTH(BP$2,-1)+1,$C63:$F63)*VLOOKUP(BP$2,Valores!$H$2:$P$154,8,0)</f>
        <v>67639.7793649049</v>
      </c>
      <c r="BQ63" s="27" t="n">
        <f aca="false">SUMIF($C$2:$F$2,EOMONTH(BQ$2,-1)+1,$C63:$F63)*VLOOKUP(BQ$2,Valores!$H$2:$P$154,8,0)</f>
        <v>84549.7242061312</v>
      </c>
      <c r="BR63" s="27" t="n">
        <f aca="false">SUMIF($C$2:$F$2,EOMONTH(BR$2,-1)+1,$C63:$F63)*VLOOKUP(BR$2,Valores!$H$2:$P$154,8,0)</f>
        <v>40583.867618943</v>
      </c>
      <c r="BS63" s="27" t="n">
        <f aca="false">SUMIF($C$2:$F$2,EOMONTH(BS$2,-1)+1,$C63:$F63)*VLOOKUP(BS$2,Valores!$H$2:$P$154,8,0)</f>
        <v>18117.798044171</v>
      </c>
      <c r="BT63" s="27" t="n">
        <f aca="false">SUMIF($C$2:$F$2,EOMONTH(BT$2,-1)+1,$C63:$F63)*VLOOKUP(BT$2,Valores!$H$2:$P$154,8,0)</f>
        <v>18117.798044171</v>
      </c>
      <c r="BU63" s="27" t="n">
        <f aca="false">SUMIF($C$2:$F$2,EOMONTH(BU$2,-1)+1,$C63:$F63)*VLOOKUP(BU$2,Valores!$H$2:$P$154,8,0)</f>
        <v>18117.798044171</v>
      </c>
      <c r="BV63" s="27" t="n">
        <f aca="false">SUMIF($C$2:$F$2,EOMONTH(BV$2,-1)+1,$C63:$F63)*VLOOKUP(BV$2,Valores!$H$2:$P$154,8,0)</f>
        <v>18117.798044171</v>
      </c>
      <c r="BW63" s="27" t="n">
        <f aca="false">SUMIF($C$2:$F$2,EOMONTH(BW$2,-1)+1,$C63:$F63)*VLOOKUP(BW$2,Valores!$H$2:$P$154,8,0)</f>
        <v>36235.5960883419</v>
      </c>
      <c r="BX63" s="27" t="n">
        <f aca="false">SUMIF($C$2:$F$2,EOMONTH(BX$2,-1)+1,$C63:$F63)*VLOOKUP(BX$2,Valores!$H$2:$P$154,8,0)</f>
        <v>45294.4951104274</v>
      </c>
      <c r="BY63" s="27" t="n">
        <f aca="false">SUMIF($C$2:$F$2,EOMONTH(BY$2,-1)+1,$C63:$F63)*VLOOKUP(BY$2,Valores!$H$2:$P$154,8,0)</f>
        <v>27176.6970662564</v>
      </c>
      <c r="BZ63" s="27" t="n">
        <f aca="false">SUMIF($C$2:$F$2,EOMONTH(BZ$2,-1)+1,$C63:$F63)*VLOOKUP(BZ$2,Valores!$H$2:$P$154,8,0)</f>
        <v>18117.798044171</v>
      </c>
      <c r="CA63" s="27" t="n">
        <f aca="false">SUMIF($C$2:$F$2,EOMONTH(CA$2,-1)+1,$C63:$F63)*VLOOKUP(CA$2,Valores!$H$2:$P$154,8,0)</f>
        <v>18117.798044171</v>
      </c>
      <c r="CB63" s="27" t="n">
        <f aca="false">SUMIF($C$2:$F$2,EOMONTH(CB$2,-1)+1,$C63:$F63)*VLOOKUP(CB$2,Valores!$H$2:$P$154,8,0)</f>
        <v>18117.798044171</v>
      </c>
      <c r="CC63" s="27" t="n">
        <f aca="false">SUMIF($C$2:$F$2,EOMONTH(CC$2,-1)+1,$C63:$F63)*VLOOKUP(CC$2,Valores!$H$2:$P$154,8,0)</f>
        <v>18117.798044171</v>
      </c>
      <c r="CD63" s="27" t="n">
        <f aca="false">SUMIF($C$2:$F$2,EOMONTH(CD$2,-1)+1,$C63:$F63)*VLOOKUP(CD$2,Valores!$H$2:$P$154,8,0)</f>
        <v>54353.3941325129</v>
      </c>
      <c r="CE63" s="27" t="n">
        <f aca="false">SUMIF($C$2:$F$2,EOMONTH(CE$2,-1)+1,$C63:$F63)*VLOOKUP(CE$2,Valores!$H$2:$P$154,8,0)</f>
        <v>72471.1921766839</v>
      </c>
      <c r="CF63" s="27" t="n">
        <f aca="false">SUMIF($C$2:$F$2,EOMONTH(CF$2,-1)+1,$C63:$F63)*VLOOKUP(CF$2,Valores!$H$2:$P$154,8,0)</f>
        <v>45294.4951104274</v>
      </c>
      <c r="CG63" s="27" t="n">
        <f aca="false">SUMIF($C$2:$F$2,EOMONTH(CG$2,-1)+1,$C63:$F63)*VLOOKUP(CG$2,Valores!$H$2:$P$154,8,0)</f>
        <v>24157.0640588946</v>
      </c>
      <c r="CH63" s="27" t="n">
        <f aca="false">SUMIF($C$2:$F$2,EOMONTH(CH$2,-1)+1,$C63:$F63)*VLOOKUP(CH$2,Valores!$H$2:$P$154,8,0)</f>
        <v>24157.0640588946</v>
      </c>
      <c r="CI63" s="27" t="n">
        <f aca="false">SUMIF($C$2:$F$2,EOMONTH(CI$2,-1)+1,$C63:$F63)*VLOOKUP(CI$2,Valores!$H$2:$P$154,8,0)</f>
        <v>24157.0640588946</v>
      </c>
      <c r="CJ63" s="27" t="n">
        <f aca="false">SUMIF($C$2:$F$2,EOMONTH(CJ$2,-1)+1,$C63:$F63)*VLOOKUP(CJ$2,Valores!$H$2:$P$154,8,0)</f>
        <v>24157.0640588946</v>
      </c>
      <c r="CK63" s="27" t="n">
        <f aca="false">SUMIF($C$2:$F$2,EOMONTH(CK$2,-1)+1,$C63:$F63)*VLOOKUP(CK$2,Valores!$H$2:$P$154,8,0)</f>
        <v>48314.1281177892</v>
      </c>
      <c r="CL63" s="27" t="n">
        <f aca="false">SUMIF($C$2:$F$2,EOMONTH(CL$2,-1)+1,$C63:$F63)*VLOOKUP(CL$2,Valores!$H$2:$P$154,8,0)</f>
        <v>60392.6601472365</v>
      </c>
      <c r="CM63" s="27" t="n">
        <f aca="false">SUMIF($C$2:$F$2,EOMONTH(CM$2,-1)+1,$C63:$F63)*VLOOKUP(CM$2,Valores!$H$2:$P$154,8,0)</f>
        <v>36235.5960883419</v>
      </c>
      <c r="CN63" s="27" t="n">
        <f aca="false">SUMIF($C$2:$F$2,EOMONTH(CN$2,-1)+1,$C63:$F63)*VLOOKUP(CN$2,Valores!$H$2:$P$154,8,0)</f>
        <v>26572.7704647841</v>
      </c>
      <c r="CO63" s="27" t="n">
        <f aca="false">SUMIF($C$2:$F$2,EOMONTH(CO$2,-1)+1,$C63:$F63)*VLOOKUP(CO$2,Valores!$H$2:$P$154,8,0)</f>
        <v>26572.7704647841</v>
      </c>
      <c r="CP63" s="27" t="n">
        <f aca="false">SUMIF($C$2:$F$2,EOMONTH(CP$2,-1)+1,$C63:$F63)*VLOOKUP(CP$2,Valores!$H$2:$P$154,8,0)</f>
        <v>26572.7704647841</v>
      </c>
      <c r="CQ63" s="27" t="n">
        <f aca="false">SUMIF($C$2:$F$2,EOMONTH(CQ$2,-1)+1,$C63:$F63)*VLOOKUP(CQ$2,Valores!$H$2:$P$154,8,0)</f>
        <v>26572.7704647841</v>
      </c>
      <c r="CR63" s="27" t="n">
        <f aca="false">SUMIF($C$2:$F$2,EOMONTH(CR$2,-1)+1,$C63:$F63)*VLOOKUP(CR$2,Valores!$H$2:$P$154,8,0)</f>
        <v>53145.5409295682</v>
      </c>
      <c r="CS63" s="27" t="n">
        <f aca="false">SUMIF($C$2:$F$2,EOMONTH(CS$2,-1)+1,$C63:$F63)*VLOOKUP(CS$2,Valores!$H$2:$P$154,8,0)</f>
        <v>79718.3113943523</v>
      </c>
      <c r="CT63" s="27" t="e">
        <f aca="false">SUMIF($C$2:$F$2,EOMONTH(CT$2,-1)+1,$C63:$F63)*VLOOKUP(CT$2,Valores!$H$2:$P$154,8,0)</f>
        <v>#VALUE!</v>
      </c>
      <c r="CU63" s="27" t="e">
        <f aca="false">SUMIF($C$2:$F$2,EOMONTH(CU$2,-1)+1,$C63:$F63)*VLOOKUP(CU$2,Valores!$H$2:$P$154,8,0)</f>
        <v>#VALUE!</v>
      </c>
      <c r="CV63" s="27" t="e">
        <f aca="false">SUMIF($C$2:$F$2,EOMONTH(CV$2,-1)+1,$C63:$F63)*VLOOKUP(CV$2,Valores!$H$2:$P$154,8,0)</f>
        <v>#VALUE!</v>
      </c>
      <c r="CW63" s="27" t="e">
        <f aca="false">SUMIF($C$2:$F$2,EOMONTH(CW$2,-1)+1,$C63:$F63)*VLOOKUP(CW$2,Valores!$H$2:$P$154,8,0)</f>
        <v>#VALUE!</v>
      </c>
      <c r="CX63" s="27" t="e">
        <f aca="false">SUMIF($C$2:$F$2,EOMONTH(CX$2,-1)+1,$C63:$F63)*VLOOKUP(CX$2,Valores!$H$2:$P$154,8,0)</f>
        <v>#VALUE!</v>
      </c>
      <c r="CY63" s="27" t="e">
        <f aca="false">SUMIF($C$2:$F$2,EOMONTH(CY$2,-1)+1,$C63:$F63)*VLOOKUP(CY$2,Valores!$H$2:$P$154,8,0)</f>
        <v>#VALUE!</v>
      </c>
      <c r="CZ63" s="27" t="e">
        <f aca="false">SUMIF($C$2:$F$2,EOMONTH(CZ$2,-1)+1,$C63:$F63)*VLOOKUP(CZ$2,Valores!$H$2:$P$154,8,0)</f>
        <v>#VALUE!</v>
      </c>
      <c r="DA63" s="27" t="e">
        <f aca="false">SUMIF($C$2:$F$2,EOMONTH(DA$2,-1)+1,$C63:$F63)*VLOOKUP(DA$2,Valores!$H$2:$P$154,8,0)</f>
        <v>#VALUE!</v>
      </c>
      <c r="DB63" s="27" t="e">
        <f aca="false">SUMIF($C$2:$F$2,EOMONTH(DB$2,-1)+1,$C63:$F63)*VLOOKUP(DB$2,Valores!$H$2:$P$154,8,0)</f>
        <v>#VALUE!</v>
      </c>
      <c r="DC63" s="27" t="e">
        <f aca="false">SUMIF($C$2:$F$2,EOMONTH(DC$2,-1)+1,$C63:$F63)*VLOOKUP(DC$2,Valores!$H$2:$P$154,8,0)</f>
        <v>#VALUE!</v>
      </c>
      <c r="DD63" s="27" t="e">
        <f aca="false">SUMIF($C$2:$F$2,EOMONTH(DD$2,-1)+1,$C63:$F63)*VLOOKUP(DD$2,Valores!$H$2:$P$154,8,0)</f>
        <v>#VALUE!</v>
      </c>
      <c r="DE63" s="27" t="e">
        <f aca="false">SUMIF($C$2:$F$2,EOMONTH(DE$2,-1)+1,$C63:$F63)*VLOOKUP(DE$2,Valores!$H$2:$P$154,8,0)</f>
        <v>#VALUE!</v>
      </c>
      <c r="DF63" s="27" t="e">
        <f aca="false">SUMIF($C$2:$F$2,EOMONTH(DF$2,-1)+1,$C63:$F63)*VLOOKUP(DF$2,Valores!$H$2:$P$154,8,0)</f>
        <v>#VALUE!</v>
      </c>
      <c r="DG63" s="27" t="e">
        <f aca="false">SUMIF($C$2:$F$2,EOMONTH(DG$2,-1)+1,$C63:$F63)*VLOOKUP(DG$2,Valores!$H$2:$P$154,8,0)</f>
        <v>#VALUE!</v>
      </c>
      <c r="DH63" s="27" t="e">
        <f aca="false">SUMIF($C$2:$F$2,EOMONTH(DH$2,-1)+1,$C63:$F63)*VLOOKUP(DH$2,Valores!$H$2:$P$154,8,0)</f>
        <v>#VALUE!</v>
      </c>
      <c r="DI63" s="27" t="e">
        <f aca="false">SUMIF($C$2:$F$2,EOMONTH(DI$2,-1)+1,$C63:$F63)*VLOOKUP(DI$2,Valores!$H$2:$P$154,8,0)</f>
        <v>#VALUE!</v>
      </c>
      <c r="DJ63" s="27" t="e">
        <f aca="false">SUMIF($C$2:$F$2,EOMONTH(DJ$2,-1)+1,$C63:$F63)*VLOOKUP(DJ$2,Valores!$H$2:$P$154,8,0)</f>
        <v>#VALUE!</v>
      </c>
      <c r="DK63" s="27" t="e">
        <f aca="false">SUMIF($C$2:$F$2,EOMONTH(DK$2,-1)+1,$C63:$F63)*VLOOKUP(DK$2,Valores!$H$2:$P$154,8,0)</f>
        <v>#VALUE!</v>
      </c>
      <c r="DL63" s="27" t="e">
        <f aca="false">SUMIF($C$2:$F$2,EOMONTH(DL$2,-1)+1,$C63:$F63)*VLOOKUP(DL$2,Valores!$H$2:$P$154,8,0)</f>
        <v>#VALUE!</v>
      </c>
      <c r="DM63" s="27" t="e">
        <f aca="false">SUMIF($C$2:$F$2,EOMONTH(DM$2,-1)+1,$C63:$F63)*VLOOKUP(DM$2,Valores!$H$2:$P$154,8,0)</f>
        <v>#VALUE!</v>
      </c>
      <c r="DN63" s="27" t="e">
        <f aca="false">SUMIF($C$2:$F$2,EOMONTH(DN$2,-1)+1,$C63:$F63)*VLOOKUP(DN$2,Valores!$H$2:$P$154,8,0)</f>
        <v>#VALUE!</v>
      </c>
      <c r="DO63" s="27" t="e">
        <f aca="false">SUMIF($C$2:$F$2,EOMONTH(DO$2,-1)+1,$C63:$F63)*VLOOKUP(DO$2,Valores!$H$2:$P$154,8,0)</f>
        <v>#VALUE!</v>
      </c>
      <c r="DP63" s="27" t="e">
        <f aca="false">SUMIF($C$2:$F$2,EOMONTH(DP$2,-1)+1,$C63:$F63)*VLOOKUP(DP$2,Valores!$H$2:$P$154,8,0)</f>
        <v>#VALUE!</v>
      </c>
      <c r="DQ63" s="27" t="e">
        <f aca="false">SUMIF($C$2:$F$2,EOMONTH(DQ$2,-1)+1,$C63:$F63)*VLOOKUP(DQ$2,Valores!$H$2:$P$154,8,0)</f>
        <v>#VALUE!</v>
      </c>
      <c r="DR63" s="27" t="e">
        <f aca="false">SUMIF($C$2:$F$2,EOMONTH(DR$2,-1)+1,$C63:$F63)*VLOOKUP(DR$2,Valores!$H$2:$P$154,8,0)</f>
        <v>#VALUE!</v>
      </c>
      <c r="DS63" s="27" t="e">
        <f aca="false">SUMIF($C$2:$F$2,EOMONTH(DS$2,-1)+1,$C63:$F63)*VLOOKUP(DS$2,Valores!$H$2:$P$154,8,0)</f>
        <v>#VALUE!</v>
      </c>
      <c r="DT63" s="27" t="e">
        <f aca="false">SUMIF($C$2:$F$2,EOMONTH(DT$2,-1)+1,$C63:$F63)*VLOOKUP(DT$2,Valores!$H$2:$P$154,8,0)</f>
        <v>#VALUE!</v>
      </c>
      <c r="DU63" s="27" t="e">
        <f aca="false">SUMIF($C$2:$F$2,EOMONTH(DU$2,-1)+1,$C63:$F63)*VLOOKUP(DU$2,Valores!$H$2:$P$154,8,0)</f>
        <v>#VALUE!</v>
      </c>
      <c r="DV63" s="27" t="e">
        <f aca="false">SUMIF($C$2:$F$2,EOMONTH(DV$2,-1)+1,$C63:$F63)*VLOOKUP(DV$2,Valores!$H$2:$P$154,8,0)</f>
        <v>#VALUE!</v>
      </c>
      <c r="DW63" s="27" t="e">
        <f aca="false">SUMIF($C$2:$F$2,EOMONTH(DW$2,-1)+1,$C63:$F63)*VLOOKUP(DW$2,Valores!$H$2:$P$154,8,0)</f>
        <v>#VALUE!</v>
      </c>
      <c r="DX63" s="27" t="e">
        <f aca="false">SUMIF($C$2:$F$2,EOMONTH(DX$2,-1)+1,$C63:$F63)*VLOOKUP(DX$2,Valores!$H$2:$P$154,8,0)</f>
        <v>#VALUE!</v>
      </c>
    </row>
    <row r="64" customFormat="false" ht="13.8" hidden="false" customHeight="false" outlineLevel="0" collapsed="false">
      <c r="A64" s="29" t="s">
        <v>54</v>
      </c>
      <c r="B64" s="29" t="s">
        <v>86</v>
      </c>
      <c r="C64" s="29" t="n">
        <v>910477</v>
      </c>
      <c r="D64" s="29" t="n">
        <v>819429.3</v>
      </c>
      <c r="E64" s="29" t="n">
        <v>737486.37</v>
      </c>
      <c r="F64" s="29" t="n">
        <v>663737.733</v>
      </c>
      <c r="G64" s="30" t="n">
        <f aca="false">SUMIF($C$2:$F$2,EOMONTH(G$2,-1)+1,$C64:$F64)*VLOOKUP(G$2,Valores!$H$2:$P$154,8,0)</f>
        <v>26219.100707586</v>
      </c>
      <c r="H64" s="30" t="n">
        <f aca="false">SUMIF($C$2:$F$2,EOMONTH(H$2,-1)+1,$C64:$F64)*VLOOKUP(H$2,Valores!$H$2:$P$154,8,0)</f>
        <v>17978.8119137732</v>
      </c>
      <c r="I64" s="30" t="n">
        <f aca="false">SUMIF($C$2:$F$2,EOMONTH(I$2,-1)+1,$C64:$F64)*VLOOKUP(I$2,Valores!$H$2:$P$154,8,0)</f>
        <v>17978.8119137732</v>
      </c>
      <c r="J64" s="30" t="n">
        <f aca="false">SUMIF($C$2:$F$2,EOMONTH(J$2,-1)+1,$C64:$F64)*VLOOKUP(J$2,Valores!$H$2:$P$154,8,0)</f>
        <v>17978.8119137732</v>
      </c>
      <c r="K64" s="30" t="n">
        <f aca="false">SUMIF($C$2:$F$2,EOMONTH(K$2,-1)+1,$C64:$F64)*VLOOKUP(K$2,Valores!$H$2:$P$154,8,0)</f>
        <v>17978.8119137732</v>
      </c>
      <c r="L64" s="30" t="n">
        <f aca="false">SUMIF($C$2:$F$2,EOMONTH(L$2,-1)+1,$C64:$F64)*VLOOKUP(L$2,Valores!$H$2:$P$154,8,0)</f>
        <v>35957.6238275465</v>
      </c>
      <c r="M64" s="30" t="n">
        <f aca="false">SUMIF($C$2:$F$2,EOMONTH(M$2,-1)+1,$C64:$F64)*VLOOKUP(M$2,Valores!$H$2:$P$154,8,0)</f>
        <v>44947.0297844331</v>
      </c>
      <c r="N64" s="30" t="n">
        <f aca="false">SUMIF($C$2:$F$2,EOMONTH(N$2,-1)+1,$C64:$F64)*VLOOKUP(N$2,Valores!$H$2:$P$154,8,0)</f>
        <v>26968.2178706599</v>
      </c>
      <c r="O64" s="30" t="n">
        <f aca="false">SUMIF($C$2:$F$2,EOMONTH(O$2,-1)+1,$C64:$F64)*VLOOKUP(O$2,Valores!$H$2:$P$154,8,0)</f>
        <v>23971.7492183643</v>
      </c>
      <c r="P64" s="30" t="n">
        <f aca="false">SUMIF($C$2:$F$2,EOMONTH(P$2,-1)+1,$C64:$F64)*VLOOKUP(P$2,Valores!$H$2:$P$154,8,0)</f>
        <v>23971.7492183643</v>
      </c>
      <c r="Q64" s="30" t="n">
        <f aca="false">SUMIF($C$2:$F$2,EOMONTH(Q$2,-1)+1,$C64:$F64)*VLOOKUP(Q$2,Valores!$H$2:$P$154,8,0)</f>
        <v>14383.0495310186</v>
      </c>
      <c r="R64" s="30" t="n">
        <f aca="false">SUMIF($C$2:$F$2,EOMONTH(R$2,-1)+1,$C64:$F64)*VLOOKUP(R$2,Valores!$H$2:$P$154,8,0)</f>
        <v>23971.7492183643</v>
      </c>
      <c r="S64" s="30" t="n">
        <f aca="false">SUMIF($C$2:$F$2,EOMONTH(S$2,-1)+1,$C64:$F64)*VLOOKUP(S$2,Valores!$H$2:$P$154,8,0)</f>
        <v>47943.4984367286</v>
      </c>
      <c r="T64" s="30" t="n">
        <f aca="false">SUMIF($C$2:$F$2,EOMONTH(T$2,-1)+1,$C64:$F64)*VLOOKUP(T$2,Valores!$H$2:$P$154,8,0)</f>
        <v>59929.3730459108</v>
      </c>
      <c r="U64" s="30" t="n">
        <f aca="false">SUMIF($C$2:$F$2,EOMONTH(U$2,-1)+1,$C64:$F64)*VLOOKUP(U$2,Valores!$H$2:$P$154,8,0)</f>
        <v>35957.6238275465</v>
      </c>
      <c r="V64" s="30" t="n">
        <f aca="false">SUMIF($C$2:$F$2,EOMONTH(V$2,-1)+1,$C64:$F64)*VLOOKUP(V$2,Valores!$H$2:$P$154,8,0)</f>
        <v>29964.6865229554</v>
      </c>
      <c r="W64" s="30" t="n">
        <f aca="false">SUMIF($C$2:$F$2,EOMONTH(W$2,-1)+1,$C64:$F64)*VLOOKUP(W$2,Valores!$H$2:$P$154,8,0)</f>
        <v>29964.6865229554</v>
      </c>
      <c r="X64" s="30" t="n">
        <f aca="false">SUMIF($C$2:$F$2,EOMONTH(X$2,-1)+1,$C64:$F64)*VLOOKUP(X$2,Valores!$H$2:$P$154,8,0)</f>
        <v>0</v>
      </c>
      <c r="Y64" s="30" t="n">
        <f aca="false">SUMIF($C$2:$F$2,EOMONTH(Y$2,-1)+1,$C64:$F64)*VLOOKUP(Y$2,Valores!$H$2:$P$154,8,0)</f>
        <v>0</v>
      </c>
      <c r="Z64" s="30" t="n">
        <f aca="false">SUMIF($C$2:$F$2,EOMONTH(Z$2,-1)+1,$C64:$F64)*VLOOKUP(Z$2,Valores!$H$2:$P$154,8,0)</f>
        <v>44947.0297844331</v>
      </c>
      <c r="AA64" s="30" t="n">
        <f aca="false">SUMIF($C$2:$F$2,EOMONTH(AA$2,-1)+1,$C64:$F64)*VLOOKUP(AA$2,Valores!$H$2:$P$154,8,0)</f>
        <v>53936.4357413197</v>
      </c>
      <c r="AB64" s="30" t="n">
        <f aca="false">SUMIF($C$2:$F$2,EOMONTH(AB$2,-1)+1,$C64:$F64)*VLOOKUP(AB$2,Valores!$H$2:$P$154,8,0)</f>
        <v>26968.2178706599</v>
      </c>
      <c r="AC64" s="30" t="n">
        <f aca="false">SUMIF($C$2:$F$2,EOMONTH(AC$2,-1)+1,$C64:$F64)*VLOOKUP(AC$2,Valores!$H$2:$P$154,8,0)</f>
        <v>32961.1551752509</v>
      </c>
      <c r="AD64" s="30" t="n">
        <f aca="false">SUMIF($C$2:$F$2,EOMONTH(AD$2,-1)+1,$C64:$F64)*VLOOKUP(AD$2,Valores!$H$2:$P$154,8,0)</f>
        <v>32961.1551752509</v>
      </c>
      <c r="AE64" s="30" t="n">
        <f aca="false">SUMIF($C$2:$F$2,EOMONTH(AE$2,-1)+1,$C64:$F64)*VLOOKUP(AE$2,Valores!$H$2:$P$154,8,0)</f>
        <v>32961.1551752509</v>
      </c>
      <c r="AF64" s="30" t="n">
        <f aca="false">SUMIF($C$2:$F$2,EOMONTH(AF$2,-1)+1,$C64:$F64)*VLOOKUP(AF$2,Valores!$H$2:$P$154,8,0)</f>
        <v>32961.1551752509</v>
      </c>
      <c r="AG64" s="30" t="n">
        <f aca="false">SUMIF($C$2:$F$2,EOMONTH(AG$2,-1)+1,$C64:$F64)*VLOOKUP(AG$2,Valores!$H$2:$P$154,8,0)</f>
        <v>52737.8482804015</v>
      </c>
      <c r="AH64" s="30" t="n">
        <f aca="false">SUMIF($C$2:$F$2,EOMONTH(AH$2,-1)+1,$C64:$F64)*VLOOKUP(AH$2,Valores!$H$2:$P$154,8,0)</f>
        <v>65922.3103505019</v>
      </c>
      <c r="AI64" s="30" t="n">
        <f aca="false">SUMIF($C$2:$F$2,EOMONTH(AI$2,-1)+1,$C64:$F64)*VLOOKUP(AI$2,Valores!$H$2:$P$154,8,0)</f>
        <v>23072.8086226757</v>
      </c>
      <c r="AJ64" s="30" t="n">
        <f aca="false">SUMIF($C$2:$F$2,EOMONTH(AJ$2,-1)+1,$C64:$F64)*VLOOKUP(AJ$2,Valores!$H$2:$P$154,8,0)</f>
        <v>14982.3432614777</v>
      </c>
      <c r="AK64" s="30" t="n">
        <f aca="false">SUMIF($C$2:$F$2,EOMONTH(AK$2,-1)+1,$C64:$F64)*VLOOKUP(AK$2,Valores!$H$2:$P$154,8,0)</f>
        <v>27321.4656219486</v>
      </c>
      <c r="AL64" s="30" t="n">
        <f aca="false">SUMIF($C$2:$F$2,EOMONTH(AL$2,-1)+1,$C64:$F64)*VLOOKUP(AL$2,Valores!$H$2:$P$154,8,0)</f>
        <v>27321.4656219486</v>
      </c>
      <c r="AM64" s="30" t="n">
        <f aca="false">SUMIF($C$2:$F$2,EOMONTH(AM$2,-1)+1,$C64:$F64)*VLOOKUP(AM$2,Valores!$H$2:$P$154,8,0)</f>
        <v>27321.4656219486</v>
      </c>
      <c r="AN64" s="30" t="n">
        <f aca="false">SUMIF($C$2:$F$2,EOMONTH(AN$2,-1)+1,$C64:$F64)*VLOOKUP(AN$2,Valores!$H$2:$P$154,8,0)</f>
        <v>54642.9312438972</v>
      </c>
      <c r="AO64" s="30" t="n">
        <f aca="false">SUMIF($C$2:$F$2,EOMONTH(AO$2,-1)+1,$C64:$F64)*VLOOKUP(AO$2,Valores!$H$2:$P$154,8,0)</f>
        <v>68303.6640548715</v>
      </c>
      <c r="AP64" s="30" t="n">
        <f aca="false">SUMIF($C$2:$F$2,EOMONTH(AP$2,-1)+1,$C64:$F64)*VLOOKUP(AP$2,Valores!$H$2:$P$154,8,0)</f>
        <v>40982.1984329229</v>
      </c>
      <c r="AQ64" s="30" t="n">
        <f aca="false">SUMIF($C$2:$F$2,EOMONTH(AQ$2,-1)+1,$C64:$F64)*VLOOKUP(AQ$2,Valores!$H$2:$P$154,8,0)</f>
        <v>14636.4994403296</v>
      </c>
      <c r="AR64" s="30" t="n">
        <f aca="false">SUMIF($C$2:$F$2,EOMONTH(AR$2,-1)+1,$C64:$F64)*VLOOKUP(AR$2,Valores!$H$2:$P$154,8,0)</f>
        <v>14636.4994403296</v>
      </c>
      <c r="AS64" s="30" t="n">
        <f aca="false">SUMIF($C$2:$F$2,EOMONTH(AS$2,-1)+1,$C64:$F64)*VLOOKUP(AS$2,Valores!$H$2:$P$154,8,0)</f>
        <v>14636.4994403296</v>
      </c>
      <c r="AT64" s="30" t="n">
        <f aca="false">SUMIF($C$2:$F$2,EOMONTH(AT$2,-1)+1,$C64:$F64)*VLOOKUP(AT$2,Valores!$H$2:$P$154,8,0)</f>
        <v>14636.4994403296</v>
      </c>
      <c r="AU64" s="30" t="n">
        <f aca="false">SUMIF($C$2:$F$2,EOMONTH(AU$2,-1)+1,$C64:$F64)*VLOOKUP(AU$2,Valores!$H$2:$P$154,8,0)</f>
        <v>29272.9988806592</v>
      </c>
      <c r="AV64" s="30" t="n">
        <f aca="false">SUMIF($C$2:$F$2,EOMONTH(AV$2,-1)+1,$C64:$F64)*VLOOKUP(AV$2,Valores!$H$2:$P$154,8,0)</f>
        <v>36591.248600824</v>
      </c>
      <c r="AW64" s="30" t="n">
        <f aca="false">SUMIF($C$2:$F$2,EOMONTH(AW$2,-1)+1,$C64:$F64)*VLOOKUP(AW$2,Valores!$H$2:$P$154,8,0)</f>
        <v>21954.7491604944</v>
      </c>
      <c r="AX64" s="30" t="n">
        <f aca="false">SUMIF($C$2:$F$2,EOMONTH(AX$2,-1)+1,$C64:$F64)*VLOOKUP(AX$2,Valores!$H$2:$P$154,8,0)</f>
        <v>14636.4994403296</v>
      </c>
      <c r="AY64" s="30" t="n">
        <f aca="false">SUMIF($C$2:$F$2,EOMONTH(AY$2,-1)+1,$C64:$F64)*VLOOKUP(AY$2,Valores!$H$2:$P$154,8,0)</f>
        <v>19027.4492724285</v>
      </c>
      <c r="AZ64" s="30" t="n">
        <f aca="false">SUMIF($C$2:$F$2,EOMONTH(AZ$2,-1)+1,$C64:$F64)*VLOOKUP(AZ$2,Valores!$H$2:$P$154,8,0)</f>
        <v>19027.4492724285</v>
      </c>
      <c r="BA64" s="30" t="n">
        <f aca="false">SUMIF($C$2:$F$2,EOMONTH(BA$2,-1)+1,$C64:$F64)*VLOOKUP(BA$2,Valores!$H$2:$P$154,8,0)</f>
        <v>19027.4492724285</v>
      </c>
      <c r="BB64" s="30" t="n">
        <f aca="false">SUMIF($C$2:$F$2,EOMONTH(BB$2,-1)+1,$C64:$F64)*VLOOKUP(BB$2,Valores!$H$2:$P$154,8,0)</f>
        <v>33663.9487127581</v>
      </c>
      <c r="BC64" s="30" t="n">
        <f aca="false">SUMIF($C$2:$F$2,EOMONTH(BC$2,-1)+1,$C64:$F64)*VLOOKUP(BC$2,Valores!$H$2:$P$154,8,0)</f>
        <v>40982.1984329229</v>
      </c>
      <c r="BD64" s="30" t="n">
        <f aca="false">SUMIF($C$2:$F$2,EOMONTH(BD$2,-1)+1,$C64:$F64)*VLOOKUP(BD$2,Valores!$H$2:$P$154,8,0)</f>
        <v>21954.7491604944</v>
      </c>
      <c r="BE64" s="30" t="n">
        <f aca="false">SUMIF($C$2:$F$2,EOMONTH(BE$2,-1)+1,$C64:$F64)*VLOOKUP(BE$2,Valores!$H$2:$P$154,8,0)</f>
        <v>19515.3325871061</v>
      </c>
      <c r="BF64" s="30" t="n">
        <f aca="false">SUMIF($C$2:$F$2,EOMONTH(BF$2,-1)+1,$C64:$F64)*VLOOKUP(BF$2,Valores!$H$2:$P$154,8,0)</f>
        <v>19515.3325871061</v>
      </c>
      <c r="BG64" s="30" t="n">
        <f aca="false">SUMIF($C$2:$F$2,EOMONTH(BG$2,-1)+1,$C64:$F64)*VLOOKUP(BG$2,Valores!$H$2:$P$154,8,0)</f>
        <v>19515.3325871061</v>
      </c>
      <c r="BH64" s="30" t="n">
        <f aca="false">SUMIF($C$2:$F$2,EOMONTH(BH$2,-1)+1,$C64:$F64)*VLOOKUP(BH$2,Valores!$H$2:$P$154,8,0)</f>
        <v>19515.3325871061</v>
      </c>
      <c r="BI64" s="30" t="n">
        <f aca="false">SUMIF($C$2:$F$2,EOMONTH(BI$2,-1)+1,$C64:$F64)*VLOOKUP(BI$2,Valores!$H$2:$P$154,8,0)</f>
        <v>39030.6651742123</v>
      </c>
      <c r="BJ64" s="30" t="n">
        <f aca="false">SUMIF($C$2:$F$2,EOMONTH(BJ$2,-1)+1,$C64:$F64)*VLOOKUP(BJ$2,Valores!$H$2:$P$154,8,0)</f>
        <v>48788.3314677654</v>
      </c>
      <c r="BK64" s="30" t="n">
        <f aca="false">SUMIF($C$2:$F$2,EOMONTH(BK$2,-1)+1,$C64:$F64)*VLOOKUP(BK$2,Valores!$H$2:$P$154,8,0)</f>
        <v>23418.3991045274</v>
      </c>
      <c r="BL64" s="30" t="n">
        <f aca="false">SUMIF($C$2:$F$2,EOMONTH(BL$2,-1)+1,$C64:$F64)*VLOOKUP(BL$2,Valores!$H$2:$P$154,8,0)</f>
        <v>17173.4926766534</v>
      </c>
      <c r="BM64" s="30" t="n">
        <f aca="false">SUMIF($C$2:$F$2,EOMONTH(BM$2,-1)+1,$C64:$F64)*VLOOKUP(BM$2,Valores!$H$2:$P$154,8,0)</f>
        <v>17173.4926766534</v>
      </c>
      <c r="BN64" s="30" t="n">
        <f aca="false">SUMIF($C$2:$F$2,EOMONTH(BN$2,-1)+1,$C64:$F64)*VLOOKUP(BN$2,Valores!$H$2:$P$154,8,0)</f>
        <v>17173.4926766534</v>
      </c>
      <c r="BO64" s="30" t="n">
        <f aca="false">SUMIF($C$2:$F$2,EOMONTH(BO$2,-1)+1,$C64:$F64)*VLOOKUP(BO$2,Valores!$H$2:$P$154,8,0)</f>
        <v>18032.1673104861</v>
      </c>
      <c r="BP64" s="30" t="n">
        <f aca="false">SUMIF($C$2:$F$2,EOMONTH(BP$2,-1)+1,$C64:$F64)*VLOOKUP(BP$2,Valores!$H$2:$P$154,8,0)</f>
        <v>45378.7899351719</v>
      </c>
      <c r="BQ64" s="30" t="n">
        <f aca="false">SUMIF($C$2:$F$2,EOMONTH(BQ$2,-1)+1,$C64:$F64)*VLOOKUP(BQ$2,Valores!$H$2:$P$154,8,0)</f>
        <v>56723.4874189649</v>
      </c>
      <c r="BR64" s="30" t="n">
        <f aca="false">SUMIF($C$2:$F$2,EOMONTH(BR$2,-1)+1,$C64:$F64)*VLOOKUP(BR$2,Valores!$H$2:$P$154,8,0)</f>
        <v>27227.2739611032</v>
      </c>
      <c r="BS64" s="30" t="n">
        <f aca="false">SUMIF($C$2:$F$2,EOMONTH(BS$2,-1)+1,$C64:$F64)*VLOOKUP(BS$2,Valores!$H$2:$P$154,8,0)</f>
        <v>12155.0330183496</v>
      </c>
      <c r="BT64" s="30" t="n">
        <f aca="false">SUMIF($C$2:$F$2,EOMONTH(BT$2,-1)+1,$C64:$F64)*VLOOKUP(BT$2,Valores!$H$2:$P$154,8,0)</f>
        <v>12155.0330183496</v>
      </c>
      <c r="BU64" s="30" t="n">
        <f aca="false">SUMIF($C$2:$F$2,EOMONTH(BU$2,-1)+1,$C64:$F64)*VLOOKUP(BU$2,Valores!$H$2:$P$154,8,0)</f>
        <v>12155.0330183496</v>
      </c>
      <c r="BV64" s="30" t="n">
        <f aca="false">SUMIF($C$2:$F$2,EOMONTH(BV$2,-1)+1,$C64:$F64)*VLOOKUP(BV$2,Valores!$H$2:$P$154,8,0)</f>
        <v>12155.0330183496</v>
      </c>
      <c r="BW64" s="30" t="n">
        <f aca="false">SUMIF($C$2:$F$2,EOMONTH(BW$2,-1)+1,$C64:$F64)*VLOOKUP(BW$2,Valores!$H$2:$P$154,8,0)</f>
        <v>24310.0660366993</v>
      </c>
      <c r="BX64" s="30" t="n">
        <f aca="false">SUMIF($C$2:$F$2,EOMONTH(BX$2,-1)+1,$C64:$F64)*VLOOKUP(BX$2,Valores!$H$2:$P$154,8,0)</f>
        <v>30387.5825458741</v>
      </c>
      <c r="BY64" s="30" t="n">
        <f aca="false">SUMIF($C$2:$F$2,EOMONTH(BY$2,-1)+1,$C64:$F64)*VLOOKUP(BY$2,Valores!$H$2:$P$154,8,0)</f>
        <v>18232.5495275244</v>
      </c>
      <c r="BZ64" s="30" t="n">
        <f aca="false">SUMIF($C$2:$F$2,EOMONTH(BZ$2,-1)+1,$C64:$F64)*VLOOKUP(BZ$2,Valores!$H$2:$P$154,8,0)</f>
        <v>12155.0330183496</v>
      </c>
      <c r="CA64" s="30" t="n">
        <f aca="false">SUMIF($C$2:$F$2,EOMONTH(CA$2,-1)+1,$C64:$F64)*VLOOKUP(CA$2,Valores!$H$2:$P$154,8,0)</f>
        <v>12155.0330183496</v>
      </c>
      <c r="CB64" s="30" t="n">
        <f aca="false">SUMIF($C$2:$F$2,EOMONTH(CB$2,-1)+1,$C64:$F64)*VLOOKUP(CB$2,Valores!$H$2:$P$154,8,0)</f>
        <v>12155.0330183496</v>
      </c>
      <c r="CC64" s="30" t="n">
        <f aca="false">SUMIF($C$2:$F$2,EOMONTH(CC$2,-1)+1,$C64:$F64)*VLOOKUP(CC$2,Valores!$H$2:$P$154,8,0)</f>
        <v>12155.0330183496</v>
      </c>
      <c r="CD64" s="30" t="n">
        <f aca="false">SUMIF($C$2:$F$2,EOMONTH(CD$2,-1)+1,$C64:$F64)*VLOOKUP(CD$2,Valores!$H$2:$P$154,8,0)</f>
        <v>36465.0990550489</v>
      </c>
      <c r="CE64" s="30" t="n">
        <f aca="false">SUMIF($C$2:$F$2,EOMONTH(CE$2,-1)+1,$C64:$F64)*VLOOKUP(CE$2,Valores!$H$2:$P$154,8,0)</f>
        <v>48620.1320733985</v>
      </c>
      <c r="CF64" s="30" t="n">
        <f aca="false">SUMIF($C$2:$F$2,EOMONTH(CF$2,-1)+1,$C64:$F64)*VLOOKUP(CF$2,Valores!$H$2:$P$154,8,0)</f>
        <v>30387.5825458741</v>
      </c>
      <c r="CG64" s="30" t="n">
        <f aca="false">SUMIF($C$2:$F$2,EOMONTH(CG$2,-1)+1,$C64:$F64)*VLOOKUP(CG$2,Valores!$H$2:$P$154,8,0)</f>
        <v>16206.7106911328</v>
      </c>
      <c r="CH64" s="30" t="n">
        <f aca="false">SUMIF($C$2:$F$2,EOMONTH(CH$2,-1)+1,$C64:$F64)*VLOOKUP(CH$2,Valores!$H$2:$P$154,8,0)</f>
        <v>16206.7106911328</v>
      </c>
      <c r="CI64" s="30" t="n">
        <f aca="false">SUMIF($C$2:$F$2,EOMONTH(CI$2,-1)+1,$C64:$F64)*VLOOKUP(CI$2,Valores!$H$2:$P$154,8,0)</f>
        <v>16206.7106911328</v>
      </c>
      <c r="CJ64" s="30" t="n">
        <f aca="false">SUMIF($C$2:$F$2,EOMONTH(CJ$2,-1)+1,$C64:$F64)*VLOOKUP(CJ$2,Valores!$H$2:$P$154,8,0)</f>
        <v>16206.7106911328</v>
      </c>
      <c r="CK64" s="30" t="n">
        <f aca="false">SUMIF($C$2:$F$2,EOMONTH(CK$2,-1)+1,$C64:$F64)*VLOOKUP(CK$2,Valores!$H$2:$P$154,8,0)</f>
        <v>32413.4213822657</v>
      </c>
      <c r="CL64" s="30" t="n">
        <f aca="false">SUMIF($C$2:$F$2,EOMONTH(CL$2,-1)+1,$C64:$F64)*VLOOKUP(CL$2,Valores!$H$2:$P$154,8,0)</f>
        <v>40516.7767278321</v>
      </c>
      <c r="CM64" s="30" t="n">
        <f aca="false">SUMIF($C$2:$F$2,EOMONTH(CM$2,-1)+1,$C64:$F64)*VLOOKUP(CM$2,Valores!$H$2:$P$154,8,0)</f>
        <v>24310.0660366993</v>
      </c>
      <c r="CN64" s="30" t="n">
        <f aca="false">SUMIF($C$2:$F$2,EOMONTH(CN$2,-1)+1,$C64:$F64)*VLOOKUP(CN$2,Valores!$H$2:$P$154,8,0)</f>
        <v>17827.3817602461</v>
      </c>
      <c r="CO64" s="30" t="n">
        <f aca="false">SUMIF($C$2:$F$2,EOMONTH(CO$2,-1)+1,$C64:$F64)*VLOOKUP(CO$2,Valores!$H$2:$P$154,8,0)</f>
        <v>17827.3817602461</v>
      </c>
      <c r="CP64" s="30" t="n">
        <f aca="false">SUMIF($C$2:$F$2,EOMONTH(CP$2,-1)+1,$C64:$F64)*VLOOKUP(CP$2,Valores!$H$2:$P$154,8,0)</f>
        <v>17827.3817602461</v>
      </c>
      <c r="CQ64" s="30" t="n">
        <f aca="false">SUMIF($C$2:$F$2,EOMONTH(CQ$2,-1)+1,$C64:$F64)*VLOOKUP(CQ$2,Valores!$H$2:$P$154,8,0)</f>
        <v>17827.3817602461</v>
      </c>
      <c r="CR64" s="30" t="n">
        <f aca="false">SUMIF($C$2:$F$2,EOMONTH(CR$2,-1)+1,$C64:$F64)*VLOOKUP(CR$2,Valores!$H$2:$P$154,8,0)</f>
        <v>35654.7635204922</v>
      </c>
      <c r="CS64" s="30" t="n">
        <f aca="false">SUMIF($C$2:$F$2,EOMONTH(CS$2,-1)+1,$C64:$F64)*VLOOKUP(CS$2,Valores!$H$2:$P$154,8,0)</f>
        <v>53482.1452807384</v>
      </c>
      <c r="CT64" s="30" t="e">
        <f aca="false">SUMIF($C$2:$F$2,EOMONTH(CT$2,-1)+1,$C64:$F64)*VLOOKUP(CT$2,Valores!$H$2:$P$154,8,0)</f>
        <v>#VALUE!</v>
      </c>
      <c r="CU64" s="30" t="e">
        <f aca="false">SUMIF($C$2:$F$2,EOMONTH(CU$2,-1)+1,$C64:$F64)*VLOOKUP(CU$2,Valores!$H$2:$P$154,8,0)</f>
        <v>#VALUE!</v>
      </c>
      <c r="CV64" s="30" t="e">
        <f aca="false">SUMIF($C$2:$F$2,EOMONTH(CV$2,-1)+1,$C64:$F64)*VLOOKUP(CV$2,Valores!$H$2:$P$154,8,0)</f>
        <v>#VALUE!</v>
      </c>
      <c r="CW64" s="30" t="e">
        <f aca="false">SUMIF($C$2:$F$2,EOMONTH(CW$2,-1)+1,$C64:$F64)*VLOOKUP(CW$2,Valores!$H$2:$P$154,8,0)</f>
        <v>#VALUE!</v>
      </c>
      <c r="CX64" s="30" t="e">
        <f aca="false">SUMIF($C$2:$F$2,EOMONTH(CX$2,-1)+1,$C64:$F64)*VLOOKUP(CX$2,Valores!$H$2:$P$154,8,0)</f>
        <v>#VALUE!</v>
      </c>
      <c r="CY64" s="30" t="e">
        <f aca="false">SUMIF($C$2:$F$2,EOMONTH(CY$2,-1)+1,$C64:$F64)*VLOOKUP(CY$2,Valores!$H$2:$P$154,8,0)</f>
        <v>#VALUE!</v>
      </c>
      <c r="CZ64" s="30" t="e">
        <f aca="false">SUMIF($C$2:$F$2,EOMONTH(CZ$2,-1)+1,$C64:$F64)*VLOOKUP(CZ$2,Valores!$H$2:$P$154,8,0)</f>
        <v>#VALUE!</v>
      </c>
      <c r="DA64" s="30" t="e">
        <f aca="false">SUMIF($C$2:$F$2,EOMONTH(DA$2,-1)+1,$C64:$F64)*VLOOKUP(DA$2,Valores!$H$2:$P$154,8,0)</f>
        <v>#VALUE!</v>
      </c>
      <c r="DB64" s="30" t="e">
        <f aca="false">SUMIF($C$2:$F$2,EOMONTH(DB$2,-1)+1,$C64:$F64)*VLOOKUP(DB$2,Valores!$H$2:$P$154,8,0)</f>
        <v>#VALUE!</v>
      </c>
      <c r="DC64" s="30" t="e">
        <f aca="false">SUMIF($C$2:$F$2,EOMONTH(DC$2,-1)+1,$C64:$F64)*VLOOKUP(DC$2,Valores!$H$2:$P$154,8,0)</f>
        <v>#VALUE!</v>
      </c>
      <c r="DD64" s="30" t="e">
        <f aca="false">SUMIF($C$2:$F$2,EOMONTH(DD$2,-1)+1,$C64:$F64)*VLOOKUP(DD$2,Valores!$H$2:$P$154,8,0)</f>
        <v>#VALUE!</v>
      </c>
      <c r="DE64" s="30" t="e">
        <f aca="false">SUMIF($C$2:$F$2,EOMONTH(DE$2,-1)+1,$C64:$F64)*VLOOKUP(DE$2,Valores!$H$2:$P$154,8,0)</f>
        <v>#VALUE!</v>
      </c>
      <c r="DF64" s="30" t="e">
        <f aca="false">SUMIF($C$2:$F$2,EOMONTH(DF$2,-1)+1,$C64:$F64)*VLOOKUP(DF$2,Valores!$H$2:$P$154,8,0)</f>
        <v>#VALUE!</v>
      </c>
      <c r="DG64" s="30" t="e">
        <f aca="false">SUMIF($C$2:$F$2,EOMONTH(DG$2,-1)+1,$C64:$F64)*VLOOKUP(DG$2,Valores!$H$2:$P$154,8,0)</f>
        <v>#VALUE!</v>
      </c>
      <c r="DH64" s="30" t="e">
        <f aca="false">SUMIF($C$2:$F$2,EOMONTH(DH$2,-1)+1,$C64:$F64)*VLOOKUP(DH$2,Valores!$H$2:$P$154,8,0)</f>
        <v>#VALUE!</v>
      </c>
      <c r="DI64" s="30" t="e">
        <f aca="false">SUMIF($C$2:$F$2,EOMONTH(DI$2,-1)+1,$C64:$F64)*VLOOKUP(DI$2,Valores!$H$2:$P$154,8,0)</f>
        <v>#VALUE!</v>
      </c>
      <c r="DJ64" s="30" t="e">
        <f aca="false">SUMIF($C$2:$F$2,EOMONTH(DJ$2,-1)+1,$C64:$F64)*VLOOKUP(DJ$2,Valores!$H$2:$P$154,8,0)</f>
        <v>#VALUE!</v>
      </c>
      <c r="DK64" s="30" t="e">
        <f aca="false">SUMIF($C$2:$F$2,EOMONTH(DK$2,-1)+1,$C64:$F64)*VLOOKUP(DK$2,Valores!$H$2:$P$154,8,0)</f>
        <v>#VALUE!</v>
      </c>
      <c r="DL64" s="30" t="e">
        <f aca="false">SUMIF($C$2:$F$2,EOMONTH(DL$2,-1)+1,$C64:$F64)*VLOOKUP(DL$2,Valores!$H$2:$P$154,8,0)</f>
        <v>#VALUE!</v>
      </c>
      <c r="DM64" s="30" t="e">
        <f aca="false">SUMIF($C$2:$F$2,EOMONTH(DM$2,-1)+1,$C64:$F64)*VLOOKUP(DM$2,Valores!$H$2:$P$154,8,0)</f>
        <v>#VALUE!</v>
      </c>
      <c r="DN64" s="30" t="e">
        <f aca="false">SUMIF($C$2:$F$2,EOMONTH(DN$2,-1)+1,$C64:$F64)*VLOOKUP(DN$2,Valores!$H$2:$P$154,8,0)</f>
        <v>#VALUE!</v>
      </c>
      <c r="DO64" s="30" t="e">
        <f aca="false">SUMIF($C$2:$F$2,EOMONTH(DO$2,-1)+1,$C64:$F64)*VLOOKUP(DO$2,Valores!$H$2:$P$154,8,0)</f>
        <v>#VALUE!</v>
      </c>
      <c r="DP64" s="30" t="e">
        <f aca="false">SUMIF($C$2:$F$2,EOMONTH(DP$2,-1)+1,$C64:$F64)*VLOOKUP(DP$2,Valores!$H$2:$P$154,8,0)</f>
        <v>#VALUE!</v>
      </c>
      <c r="DQ64" s="30" t="e">
        <f aca="false">SUMIF($C$2:$F$2,EOMONTH(DQ$2,-1)+1,$C64:$F64)*VLOOKUP(DQ$2,Valores!$H$2:$P$154,8,0)</f>
        <v>#VALUE!</v>
      </c>
      <c r="DR64" s="30" t="e">
        <f aca="false">SUMIF($C$2:$F$2,EOMONTH(DR$2,-1)+1,$C64:$F64)*VLOOKUP(DR$2,Valores!$H$2:$P$154,8,0)</f>
        <v>#VALUE!</v>
      </c>
      <c r="DS64" s="30" t="e">
        <f aca="false">SUMIF($C$2:$F$2,EOMONTH(DS$2,-1)+1,$C64:$F64)*VLOOKUP(DS$2,Valores!$H$2:$P$154,8,0)</f>
        <v>#VALUE!</v>
      </c>
      <c r="DT64" s="30" t="e">
        <f aca="false">SUMIF($C$2:$F$2,EOMONTH(DT$2,-1)+1,$C64:$F64)*VLOOKUP(DT$2,Valores!$H$2:$P$154,8,0)</f>
        <v>#VALUE!</v>
      </c>
      <c r="DU64" s="30" t="e">
        <f aca="false">SUMIF($C$2:$F$2,EOMONTH(DU$2,-1)+1,$C64:$F64)*VLOOKUP(DU$2,Valores!$H$2:$P$154,8,0)</f>
        <v>#VALUE!</v>
      </c>
      <c r="DV64" s="30" t="e">
        <f aca="false">SUMIF($C$2:$F$2,EOMONTH(DV$2,-1)+1,$C64:$F64)*VLOOKUP(DV$2,Valores!$H$2:$P$154,8,0)</f>
        <v>#VALUE!</v>
      </c>
      <c r="DW64" s="30" t="e">
        <f aca="false">SUMIF($C$2:$F$2,EOMONTH(DW$2,-1)+1,$C64:$F64)*VLOOKUP(DW$2,Valores!$H$2:$P$154,8,0)</f>
        <v>#VALUE!</v>
      </c>
      <c r="DX64" s="30" t="e">
        <f aca="false">SUMIF($C$2:$F$2,EOMONTH(DX$2,-1)+1,$C64:$F64)*VLOOKUP(DX$2,Valores!$H$2:$P$154,8,0)</f>
        <v>#VALUE!</v>
      </c>
    </row>
    <row r="65" customFormat="false" ht="13.8" hidden="false" customHeight="false" outlineLevel="0" collapsed="false">
      <c r="A65" s="31" t="s">
        <v>54</v>
      </c>
      <c r="B65" s="31" t="s">
        <v>87</v>
      </c>
      <c r="C65" s="31" t="n">
        <v>750121</v>
      </c>
      <c r="D65" s="31" t="n">
        <v>675108.9</v>
      </c>
      <c r="E65" s="31" t="n">
        <v>607598.01</v>
      </c>
      <c r="F65" s="31" t="n">
        <v>546838.209</v>
      </c>
      <c r="G65" s="27" t="n">
        <f aca="false">SUMIF($C$2:$F$2,EOMONTH(G$2,-1)+1,$C65:$F65)*VLOOKUP(G$2,Valores!$H$2:$P$154,8,0)</f>
        <v>21601.3123251604</v>
      </c>
      <c r="H65" s="27" t="n">
        <f aca="false">SUMIF($C$2:$F$2,EOMONTH(H$2,-1)+1,$C65:$F65)*VLOOKUP(H$2,Valores!$H$2:$P$154,8,0)</f>
        <v>14812.3284515386</v>
      </c>
      <c r="I65" s="27" t="n">
        <f aca="false">SUMIF($C$2:$F$2,EOMONTH(I$2,-1)+1,$C65:$F65)*VLOOKUP(I$2,Valores!$H$2:$P$154,8,0)</f>
        <v>14812.3284515386</v>
      </c>
      <c r="J65" s="27" t="n">
        <f aca="false">SUMIF($C$2:$F$2,EOMONTH(J$2,-1)+1,$C65:$F65)*VLOOKUP(J$2,Valores!$H$2:$P$154,8,0)</f>
        <v>14812.3284515386</v>
      </c>
      <c r="K65" s="27" t="n">
        <f aca="false">SUMIF($C$2:$F$2,EOMONTH(K$2,-1)+1,$C65:$F65)*VLOOKUP(K$2,Valores!$H$2:$P$154,8,0)</f>
        <v>14812.3284515386</v>
      </c>
      <c r="L65" s="27" t="n">
        <f aca="false">SUMIF($C$2:$F$2,EOMONTH(L$2,-1)+1,$C65:$F65)*VLOOKUP(L$2,Valores!$H$2:$P$154,8,0)</f>
        <v>29624.6569030772</v>
      </c>
      <c r="M65" s="27" t="n">
        <f aca="false">SUMIF($C$2:$F$2,EOMONTH(M$2,-1)+1,$C65:$F65)*VLOOKUP(M$2,Valores!$H$2:$P$154,8,0)</f>
        <v>37030.8211288465</v>
      </c>
      <c r="N65" s="27" t="n">
        <f aca="false">SUMIF($C$2:$F$2,EOMONTH(N$2,-1)+1,$C65:$F65)*VLOOKUP(N$2,Valores!$H$2:$P$154,8,0)</f>
        <v>22218.4926773079</v>
      </c>
      <c r="O65" s="27" t="n">
        <f aca="false">SUMIF($C$2:$F$2,EOMONTH(O$2,-1)+1,$C65:$F65)*VLOOKUP(O$2,Valores!$H$2:$P$154,8,0)</f>
        <v>19749.7712687181</v>
      </c>
      <c r="P65" s="27" t="n">
        <f aca="false">SUMIF($C$2:$F$2,EOMONTH(P$2,-1)+1,$C65:$F65)*VLOOKUP(P$2,Valores!$H$2:$P$154,8,0)</f>
        <v>19749.7712687181</v>
      </c>
      <c r="Q65" s="27" t="n">
        <f aca="false">SUMIF($C$2:$F$2,EOMONTH(Q$2,-1)+1,$C65:$F65)*VLOOKUP(Q$2,Valores!$H$2:$P$154,8,0)</f>
        <v>11849.8627612309</v>
      </c>
      <c r="R65" s="27" t="n">
        <f aca="false">SUMIF($C$2:$F$2,EOMONTH(R$2,-1)+1,$C65:$F65)*VLOOKUP(R$2,Valores!$H$2:$P$154,8,0)</f>
        <v>19749.7712687181</v>
      </c>
      <c r="S65" s="27" t="n">
        <f aca="false">SUMIF($C$2:$F$2,EOMONTH(S$2,-1)+1,$C65:$F65)*VLOOKUP(S$2,Valores!$H$2:$P$154,8,0)</f>
        <v>39499.5425374362</v>
      </c>
      <c r="T65" s="27" t="n">
        <f aca="false">SUMIF($C$2:$F$2,EOMONTH(T$2,-1)+1,$C65:$F65)*VLOOKUP(T$2,Valores!$H$2:$P$154,8,0)</f>
        <v>49374.4281717953</v>
      </c>
      <c r="U65" s="27" t="n">
        <f aca="false">SUMIF($C$2:$F$2,EOMONTH(U$2,-1)+1,$C65:$F65)*VLOOKUP(U$2,Valores!$H$2:$P$154,8,0)</f>
        <v>29624.6569030772</v>
      </c>
      <c r="V65" s="27" t="n">
        <f aca="false">SUMIF($C$2:$F$2,EOMONTH(V$2,-1)+1,$C65:$F65)*VLOOKUP(V$2,Valores!$H$2:$P$154,8,0)</f>
        <v>24687.2140858976</v>
      </c>
      <c r="W65" s="27" t="n">
        <f aca="false">SUMIF($C$2:$F$2,EOMONTH(W$2,-1)+1,$C65:$F65)*VLOOKUP(W$2,Valores!$H$2:$P$154,8,0)</f>
        <v>24687.2140858976</v>
      </c>
      <c r="X65" s="27" t="n">
        <f aca="false">SUMIF($C$2:$F$2,EOMONTH(X$2,-1)+1,$C65:$F65)*VLOOKUP(X$2,Valores!$H$2:$P$154,8,0)</f>
        <v>0</v>
      </c>
      <c r="Y65" s="27" t="n">
        <f aca="false">SUMIF($C$2:$F$2,EOMONTH(Y$2,-1)+1,$C65:$F65)*VLOOKUP(Y$2,Valores!$H$2:$P$154,8,0)</f>
        <v>0</v>
      </c>
      <c r="Z65" s="27" t="n">
        <f aca="false">SUMIF($C$2:$F$2,EOMONTH(Z$2,-1)+1,$C65:$F65)*VLOOKUP(Z$2,Valores!$H$2:$P$154,8,0)</f>
        <v>37030.8211288465</v>
      </c>
      <c r="AA65" s="27" t="n">
        <f aca="false">SUMIF($C$2:$F$2,EOMONTH(AA$2,-1)+1,$C65:$F65)*VLOOKUP(AA$2,Valores!$H$2:$P$154,8,0)</f>
        <v>44436.9853546158</v>
      </c>
      <c r="AB65" s="27" t="n">
        <f aca="false">SUMIF($C$2:$F$2,EOMONTH(AB$2,-1)+1,$C65:$F65)*VLOOKUP(AB$2,Valores!$H$2:$P$154,8,0)</f>
        <v>22218.4926773079</v>
      </c>
      <c r="AC65" s="27" t="n">
        <f aca="false">SUMIF($C$2:$F$2,EOMONTH(AC$2,-1)+1,$C65:$F65)*VLOOKUP(AC$2,Valores!$H$2:$P$154,8,0)</f>
        <v>27155.9354944874</v>
      </c>
      <c r="AD65" s="27" t="n">
        <f aca="false">SUMIF($C$2:$F$2,EOMONTH(AD$2,-1)+1,$C65:$F65)*VLOOKUP(AD$2,Valores!$H$2:$P$154,8,0)</f>
        <v>27155.9354944874</v>
      </c>
      <c r="AE65" s="27" t="n">
        <f aca="false">SUMIF($C$2:$F$2,EOMONTH(AE$2,-1)+1,$C65:$F65)*VLOOKUP(AE$2,Valores!$H$2:$P$154,8,0)</f>
        <v>27155.9354944874</v>
      </c>
      <c r="AF65" s="27" t="n">
        <f aca="false">SUMIF($C$2:$F$2,EOMONTH(AF$2,-1)+1,$C65:$F65)*VLOOKUP(AF$2,Valores!$H$2:$P$154,8,0)</f>
        <v>27155.9354944874</v>
      </c>
      <c r="AG65" s="27" t="n">
        <f aca="false">SUMIF($C$2:$F$2,EOMONTH(AG$2,-1)+1,$C65:$F65)*VLOOKUP(AG$2,Valores!$H$2:$P$154,8,0)</f>
        <v>43449.4967911799</v>
      </c>
      <c r="AH65" s="27" t="n">
        <f aca="false">SUMIF($C$2:$F$2,EOMONTH(AH$2,-1)+1,$C65:$F65)*VLOOKUP(AH$2,Valores!$H$2:$P$154,8,0)</f>
        <v>54311.8709889748</v>
      </c>
      <c r="AI65" s="27" t="n">
        <f aca="false">SUMIF($C$2:$F$2,EOMONTH(AI$2,-1)+1,$C65:$F65)*VLOOKUP(AI$2,Valores!$H$2:$P$154,8,0)</f>
        <v>19009.1548461412</v>
      </c>
      <c r="AJ65" s="27" t="n">
        <f aca="false">SUMIF($C$2:$F$2,EOMONTH(AJ$2,-1)+1,$C65:$F65)*VLOOKUP(AJ$2,Valores!$H$2:$P$154,8,0)</f>
        <v>12343.6070429488</v>
      </c>
      <c r="AK65" s="27" t="n">
        <f aca="false">SUMIF($C$2:$F$2,EOMONTH(AK$2,-1)+1,$C65:$F65)*VLOOKUP(AK$2,Valores!$H$2:$P$154,8,0)</f>
        <v>22509.5253518779</v>
      </c>
      <c r="AL65" s="27" t="n">
        <f aca="false">SUMIF($C$2:$F$2,EOMONTH(AL$2,-1)+1,$C65:$F65)*VLOOKUP(AL$2,Valores!$H$2:$P$154,8,0)</f>
        <v>22509.5253518779</v>
      </c>
      <c r="AM65" s="27" t="n">
        <f aca="false">SUMIF($C$2:$F$2,EOMONTH(AM$2,-1)+1,$C65:$F65)*VLOOKUP(AM$2,Valores!$H$2:$P$154,8,0)</f>
        <v>22509.5253518779</v>
      </c>
      <c r="AN65" s="27" t="n">
        <f aca="false">SUMIF($C$2:$F$2,EOMONTH(AN$2,-1)+1,$C65:$F65)*VLOOKUP(AN$2,Valores!$H$2:$P$154,8,0)</f>
        <v>45019.0507037557</v>
      </c>
      <c r="AO65" s="27" t="n">
        <f aca="false">SUMIF($C$2:$F$2,EOMONTH(AO$2,-1)+1,$C65:$F65)*VLOOKUP(AO$2,Valores!$H$2:$P$154,8,0)</f>
        <v>56273.8133796947</v>
      </c>
      <c r="AP65" s="27" t="n">
        <f aca="false">SUMIF($C$2:$F$2,EOMONTH(AP$2,-1)+1,$C65:$F65)*VLOOKUP(AP$2,Valores!$H$2:$P$154,8,0)</f>
        <v>33764.2880278168</v>
      </c>
      <c r="AQ65" s="27" t="n">
        <f aca="false">SUMIF($C$2:$F$2,EOMONTH(AQ$2,-1)+1,$C65:$F65)*VLOOKUP(AQ$2,Valores!$H$2:$P$154,8,0)</f>
        <v>12058.6742956489</v>
      </c>
      <c r="AR65" s="27" t="n">
        <f aca="false">SUMIF($C$2:$F$2,EOMONTH(AR$2,-1)+1,$C65:$F65)*VLOOKUP(AR$2,Valores!$H$2:$P$154,8,0)</f>
        <v>12058.6742956489</v>
      </c>
      <c r="AS65" s="27" t="n">
        <f aca="false">SUMIF($C$2:$F$2,EOMONTH(AS$2,-1)+1,$C65:$F65)*VLOOKUP(AS$2,Valores!$H$2:$P$154,8,0)</f>
        <v>12058.6742956489</v>
      </c>
      <c r="AT65" s="27" t="n">
        <f aca="false">SUMIF($C$2:$F$2,EOMONTH(AT$2,-1)+1,$C65:$F65)*VLOOKUP(AT$2,Valores!$H$2:$P$154,8,0)</f>
        <v>12058.6742956489</v>
      </c>
      <c r="AU65" s="27" t="n">
        <f aca="false">SUMIF($C$2:$F$2,EOMONTH(AU$2,-1)+1,$C65:$F65)*VLOOKUP(AU$2,Valores!$H$2:$P$154,8,0)</f>
        <v>24117.3485912977</v>
      </c>
      <c r="AV65" s="27" t="n">
        <f aca="false">SUMIF($C$2:$F$2,EOMONTH(AV$2,-1)+1,$C65:$F65)*VLOOKUP(AV$2,Valores!$H$2:$P$154,8,0)</f>
        <v>30146.6857391221</v>
      </c>
      <c r="AW65" s="27" t="n">
        <f aca="false">SUMIF($C$2:$F$2,EOMONTH(AW$2,-1)+1,$C65:$F65)*VLOOKUP(AW$2,Valores!$H$2:$P$154,8,0)</f>
        <v>18088.0114434733</v>
      </c>
      <c r="AX65" s="27" t="n">
        <f aca="false">SUMIF($C$2:$F$2,EOMONTH(AX$2,-1)+1,$C65:$F65)*VLOOKUP(AX$2,Valores!$H$2:$P$154,8,0)</f>
        <v>12058.6742956489</v>
      </c>
      <c r="AY65" s="27" t="n">
        <f aca="false">SUMIF($C$2:$F$2,EOMONTH(AY$2,-1)+1,$C65:$F65)*VLOOKUP(AY$2,Valores!$H$2:$P$154,8,0)</f>
        <v>15676.2765843435</v>
      </c>
      <c r="AZ65" s="27" t="n">
        <f aca="false">SUMIF($C$2:$F$2,EOMONTH(AZ$2,-1)+1,$C65:$F65)*VLOOKUP(AZ$2,Valores!$H$2:$P$154,8,0)</f>
        <v>15676.2765843435</v>
      </c>
      <c r="BA65" s="27" t="n">
        <f aca="false">SUMIF($C$2:$F$2,EOMONTH(BA$2,-1)+1,$C65:$F65)*VLOOKUP(BA$2,Valores!$H$2:$P$154,8,0)</f>
        <v>15676.2765843435</v>
      </c>
      <c r="BB65" s="27" t="n">
        <f aca="false">SUMIF($C$2:$F$2,EOMONTH(BB$2,-1)+1,$C65:$F65)*VLOOKUP(BB$2,Valores!$H$2:$P$154,8,0)</f>
        <v>27734.9508799924</v>
      </c>
      <c r="BC65" s="27" t="n">
        <f aca="false">SUMIF($C$2:$F$2,EOMONTH(BC$2,-1)+1,$C65:$F65)*VLOOKUP(BC$2,Valores!$H$2:$P$154,8,0)</f>
        <v>33764.2880278168</v>
      </c>
      <c r="BD65" s="27" t="n">
        <f aca="false">SUMIF($C$2:$F$2,EOMONTH(BD$2,-1)+1,$C65:$F65)*VLOOKUP(BD$2,Valores!$H$2:$P$154,8,0)</f>
        <v>18088.0114434733</v>
      </c>
      <c r="BE65" s="27" t="n">
        <f aca="false">SUMIF($C$2:$F$2,EOMONTH(BE$2,-1)+1,$C65:$F65)*VLOOKUP(BE$2,Valores!$H$2:$P$154,8,0)</f>
        <v>16078.2323941985</v>
      </c>
      <c r="BF65" s="27" t="n">
        <f aca="false">SUMIF($C$2:$F$2,EOMONTH(BF$2,-1)+1,$C65:$F65)*VLOOKUP(BF$2,Valores!$H$2:$P$154,8,0)</f>
        <v>16078.2323941985</v>
      </c>
      <c r="BG65" s="27" t="n">
        <f aca="false">SUMIF($C$2:$F$2,EOMONTH(BG$2,-1)+1,$C65:$F65)*VLOOKUP(BG$2,Valores!$H$2:$P$154,8,0)</f>
        <v>16078.2323941985</v>
      </c>
      <c r="BH65" s="27" t="n">
        <f aca="false">SUMIF($C$2:$F$2,EOMONTH(BH$2,-1)+1,$C65:$F65)*VLOOKUP(BH$2,Valores!$H$2:$P$154,8,0)</f>
        <v>16078.2323941985</v>
      </c>
      <c r="BI65" s="27" t="n">
        <f aca="false">SUMIF($C$2:$F$2,EOMONTH(BI$2,-1)+1,$C65:$F65)*VLOOKUP(BI$2,Valores!$H$2:$P$154,8,0)</f>
        <v>32156.464788397</v>
      </c>
      <c r="BJ65" s="27" t="n">
        <f aca="false">SUMIF($C$2:$F$2,EOMONTH(BJ$2,-1)+1,$C65:$F65)*VLOOKUP(BJ$2,Valores!$H$2:$P$154,8,0)</f>
        <v>40195.5809854962</v>
      </c>
      <c r="BK65" s="27" t="n">
        <f aca="false">SUMIF($C$2:$F$2,EOMONTH(BK$2,-1)+1,$C65:$F65)*VLOOKUP(BK$2,Valores!$H$2:$P$154,8,0)</f>
        <v>19293.8788730382</v>
      </c>
      <c r="BL65" s="27" t="n">
        <f aca="false">SUMIF($C$2:$F$2,EOMONTH(BL$2,-1)+1,$C65:$F65)*VLOOKUP(BL$2,Valores!$H$2:$P$154,8,0)</f>
        <v>14148.8445068947</v>
      </c>
      <c r="BM65" s="27" t="n">
        <f aca="false">SUMIF($C$2:$F$2,EOMONTH(BM$2,-1)+1,$C65:$F65)*VLOOKUP(BM$2,Valores!$H$2:$P$154,8,0)</f>
        <v>14148.8445068947</v>
      </c>
      <c r="BN65" s="27" t="n">
        <f aca="false">SUMIF($C$2:$F$2,EOMONTH(BN$2,-1)+1,$C65:$F65)*VLOOKUP(BN$2,Valores!$H$2:$P$154,8,0)</f>
        <v>14148.8445068947</v>
      </c>
      <c r="BO65" s="27" t="n">
        <f aca="false">SUMIF($C$2:$F$2,EOMONTH(BO$2,-1)+1,$C65:$F65)*VLOOKUP(BO$2,Valores!$H$2:$P$154,8,0)</f>
        <v>14856.2867322394</v>
      </c>
      <c r="BP65" s="27" t="n">
        <f aca="false">SUMIF($C$2:$F$2,EOMONTH(BP$2,-1)+1,$C65:$F65)*VLOOKUP(BP$2,Valores!$H$2:$P$154,8,0)</f>
        <v>37386.5383584221</v>
      </c>
      <c r="BQ65" s="27" t="n">
        <f aca="false">SUMIF($C$2:$F$2,EOMONTH(BQ$2,-1)+1,$C65:$F65)*VLOOKUP(BQ$2,Valores!$H$2:$P$154,8,0)</f>
        <v>46733.1729480277</v>
      </c>
      <c r="BR65" s="27" t="n">
        <f aca="false">SUMIF($C$2:$F$2,EOMONTH(BR$2,-1)+1,$C65:$F65)*VLOOKUP(BR$2,Valores!$H$2:$P$154,8,0)</f>
        <v>22431.9230150533</v>
      </c>
      <c r="BS65" s="27" t="n">
        <f aca="false">SUMIF($C$2:$F$2,EOMONTH(BS$2,-1)+1,$C65:$F65)*VLOOKUP(BS$2,Valores!$H$2:$P$154,8,0)</f>
        <v>10014.2513460059</v>
      </c>
      <c r="BT65" s="27" t="n">
        <f aca="false">SUMIF($C$2:$F$2,EOMONTH(BT$2,-1)+1,$C65:$F65)*VLOOKUP(BT$2,Valores!$H$2:$P$154,8,0)</f>
        <v>10014.2513460059</v>
      </c>
      <c r="BU65" s="27" t="n">
        <f aca="false">SUMIF($C$2:$F$2,EOMONTH(BU$2,-1)+1,$C65:$F65)*VLOOKUP(BU$2,Valores!$H$2:$P$154,8,0)</f>
        <v>10014.2513460059</v>
      </c>
      <c r="BV65" s="27" t="n">
        <f aca="false">SUMIF($C$2:$F$2,EOMONTH(BV$2,-1)+1,$C65:$F65)*VLOOKUP(BV$2,Valores!$H$2:$P$154,8,0)</f>
        <v>10014.2513460059</v>
      </c>
      <c r="BW65" s="27" t="n">
        <f aca="false">SUMIF($C$2:$F$2,EOMONTH(BW$2,-1)+1,$C65:$F65)*VLOOKUP(BW$2,Valores!$H$2:$P$154,8,0)</f>
        <v>20028.5026920119</v>
      </c>
      <c r="BX65" s="27" t="n">
        <f aca="false">SUMIF($C$2:$F$2,EOMONTH(BX$2,-1)+1,$C65:$F65)*VLOOKUP(BX$2,Valores!$H$2:$P$154,8,0)</f>
        <v>25035.6283650148</v>
      </c>
      <c r="BY65" s="27" t="n">
        <f aca="false">SUMIF($C$2:$F$2,EOMONTH(BY$2,-1)+1,$C65:$F65)*VLOOKUP(BY$2,Valores!$H$2:$P$154,8,0)</f>
        <v>15021.3770190089</v>
      </c>
      <c r="BZ65" s="27" t="n">
        <f aca="false">SUMIF($C$2:$F$2,EOMONTH(BZ$2,-1)+1,$C65:$F65)*VLOOKUP(BZ$2,Valores!$H$2:$P$154,8,0)</f>
        <v>10014.2513460059</v>
      </c>
      <c r="CA65" s="27" t="n">
        <f aca="false">SUMIF($C$2:$F$2,EOMONTH(CA$2,-1)+1,$C65:$F65)*VLOOKUP(CA$2,Valores!$H$2:$P$154,8,0)</f>
        <v>10014.2513460059</v>
      </c>
      <c r="CB65" s="27" t="n">
        <f aca="false">SUMIF($C$2:$F$2,EOMONTH(CB$2,-1)+1,$C65:$F65)*VLOOKUP(CB$2,Valores!$H$2:$P$154,8,0)</f>
        <v>10014.2513460059</v>
      </c>
      <c r="CC65" s="27" t="n">
        <f aca="false">SUMIF($C$2:$F$2,EOMONTH(CC$2,-1)+1,$C65:$F65)*VLOOKUP(CC$2,Valores!$H$2:$P$154,8,0)</f>
        <v>10014.2513460059</v>
      </c>
      <c r="CD65" s="27" t="n">
        <f aca="false">SUMIF($C$2:$F$2,EOMONTH(CD$2,-1)+1,$C65:$F65)*VLOOKUP(CD$2,Valores!$H$2:$P$154,8,0)</f>
        <v>30042.7540380178</v>
      </c>
      <c r="CE65" s="27" t="n">
        <f aca="false">SUMIF($C$2:$F$2,EOMONTH(CE$2,-1)+1,$C65:$F65)*VLOOKUP(CE$2,Valores!$H$2:$P$154,8,0)</f>
        <v>40057.0053840237</v>
      </c>
      <c r="CF65" s="27" t="n">
        <f aca="false">SUMIF($C$2:$F$2,EOMONTH(CF$2,-1)+1,$C65:$F65)*VLOOKUP(CF$2,Valores!$H$2:$P$154,8,0)</f>
        <v>25035.6283650148</v>
      </c>
      <c r="CG65" s="27" t="n">
        <f aca="false">SUMIF($C$2:$F$2,EOMONTH(CG$2,-1)+1,$C65:$F65)*VLOOKUP(CG$2,Valores!$H$2:$P$154,8,0)</f>
        <v>13352.3351280079</v>
      </c>
      <c r="CH65" s="27" t="n">
        <f aca="false">SUMIF($C$2:$F$2,EOMONTH(CH$2,-1)+1,$C65:$F65)*VLOOKUP(CH$2,Valores!$H$2:$P$154,8,0)</f>
        <v>13352.3351280079</v>
      </c>
      <c r="CI65" s="27" t="n">
        <f aca="false">SUMIF($C$2:$F$2,EOMONTH(CI$2,-1)+1,$C65:$F65)*VLOOKUP(CI$2,Valores!$H$2:$P$154,8,0)</f>
        <v>13352.3351280079</v>
      </c>
      <c r="CJ65" s="27" t="n">
        <f aca="false">SUMIF($C$2:$F$2,EOMONTH(CJ$2,-1)+1,$C65:$F65)*VLOOKUP(CJ$2,Valores!$H$2:$P$154,8,0)</f>
        <v>13352.3351280079</v>
      </c>
      <c r="CK65" s="27" t="n">
        <f aca="false">SUMIF($C$2:$F$2,EOMONTH(CK$2,-1)+1,$C65:$F65)*VLOOKUP(CK$2,Valores!$H$2:$P$154,8,0)</f>
        <v>26704.6702560158</v>
      </c>
      <c r="CL65" s="27" t="n">
        <f aca="false">SUMIF($C$2:$F$2,EOMONTH(CL$2,-1)+1,$C65:$F65)*VLOOKUP(CL$2,Valores!$H$2:$P$154,8,0)</f>
        <v>33380.8378200198</v>
      </c>
      <c r="CM65" s="27" t="n">
        <f aca="false">SUMIF($C$2:$F$2,EOMONTH(CM$2,-1)+1,$C65:$F65)*VLOOKUP(CM$2,Valores!$H$2:$P$154,8,0)</f>
        <v>20028.5026920119</v>
      </c>
      <c r="CN65" s="27" t="n">
        <f aca="false">SUMIF($C$2:$F$2,EOMONTH(CN$2,-1)+1,$C65:$F65)*VLOOKUP(CN$2,Valores!$H$2:$P$154,8,0)</f>
        <v>14687.5686408087</v>
      </c>
      <c r="CO65" s="27" t="n">
        <f aca="false">SUMIF($C$2:$F$2,EOMONTH(CO$2,-1)+1,$C65:$F65)*VLOOKUP(CO$2,Valores!$H$2:$P$154,8,0)</f>
        <v>14687.5686408087</v>
      </c>
      <c r="CP65" s="27" t="n">
        <f aca="false">SUMIF($C$2:$F$2,EOMONTH(CP$2,-1)+1,$C65:$F65)*VLOOKUP(CP$2,Valores!$H$2:$P$154,8,0)</f>
        <v>14687.5686408087</v>
      </c>
      <c r="CQ65" s="27" t="n">
        <f aca="false">SUMIF($C$2:$F$2,EOMONTH(CQ$2,-1)+1,$C65:$F65)*VLOOKUP(CQ$2,Valores!$H$2:$P$154,8,0)</f>
        <v>14687.5686408087</v>
      </c>
      <c r="CR65" s="27" t="n">
        <f aca="false">SUMIF($C$2:$F$2,EOMONTH(CR$2,-1)+1,$C65:$F65)*VLOOKUP(CR$2,Valores!$H$2:$P$154,8,0)</f>
        <v>29375.1372816174</v>
      </c>
      <c r="CS65" s="27" t="n">
        <f aca="false">SUMIF($C$2:$F$2,EOMONTH(CS$2,-1)+1,$C65:$F65)*VLOOKUP(CS$2,Valores!$H$2:$P$154,8,0)</f>
        <v>44062.7059224261</v>
      </c>
      <c r="CT65" s="27" t="e">
        <f aca="false">SUMIF($C$2:$F$2,EOMONTH(CT$2,-1)+1,$C65:$F65)*VLOOKUP(CT$2,Valores!$H$2:$P$154,8,0)</f>
        <v>#VALUE!</v>
      </c>
      <c r="CU65" s="27" t="e">
        <f aca="false">SUMIF($C$2:$F$2,EOMONTH(CU$2,-1)+1,$C65:$F65)*VLOOKUP(CU$2,Valores!$H$2:$P$154,8,0)</f>
        <v>#VALUE!</v>
      </c>
      <c r="CV65" s="27" t="e">
        <f aca="false">SUMIF($C$2:$F$2,EOMONTH(CV$2,-1)+1,$C65:$F65)*VLOOKUP(CV$2,Valores!$H$2:$P$154,8,0)</f>
        <v>#VALUE!</v>
      </c>
      <c r="CW65" s="27" t="e">
        <f aca="false">SUMIF($C$2:$F$2,EOMONTH(CW$2,-1)+1,$C65:$F65)*VLOOKUP(CW$2,Valores!$H$2:$P$154,8,0)</f>
        <v>#VALUE!</v>
      </c>
      <c r="CX65" s="27" t="e">
        <f aca="false">SUMIF($C$2:$F$2,EOMONTH(CX$2,-1)+1,$C65:$F65)*VLOOKUP(CX$2,Valores!$H$2:$P$154,8,0)</f>
        <v>#VALUE!</v>
      </c>
      <c r="CY65" s="27" t="e">
        <f aca="false">SUMIF($C$2:$F$2,EOMONTH(CY$2,-1)+1,$C65:$F65)*VLOOKUP(CY$2,Valores!$H$2:$P$154,8,0)</f>
        <v>#VALUE!</v>
      </c>
      <c r="CZ65" s="27" t="e">
        <f aca="false">SUMIF($C$2:$F$2,EOMONTH(CZ$2,-1)+1,$C65:$F65)*VLOOKUP(CZ$2,Valores!$H$2:$P$154,8,0)</f>
        <v>#VALUE!</v>
      </c>
      <c r="DA65" s="27" t="e">
        <f aca="false">SUMIF($C$2:$F$2,EOMONTH(DA$2,-1)+1,$C65:$F65)*VLOOKUP(DA$2,Valores!$H$2:$P$154,8,0)</f>
        <v>#VALUE!</v>
      </c>
      <c r="DB65" s="27" t="e">
        <f aca="false">SUMIF($C$2:$F$2,EOMONTH(DB$2,-1)+1,$C65:$F65)*VLOOKUP(DB$2,Valores!$H$2:$P$154,8,0)</f>
        <v>#VALUE!</v>
      </c>
      <c r="DC65" s="27" t="e">
        <f aca="false">SUMIF($C$2:$F$2,EOMONTH(DC$2,-1)+1,$C65:$F65)*VLOOKUP(DC$2,Valores!$H$2:$P$154,8,0)</f>
        <v>#VALUE!</v>
      </c>
      <c r="DD65" s="27" t="e">
        <f aca="false">SUMIF($C$2:$F$2,EOMONTH(DD$2,-1)+1,$C65:$F65)*VLOOKUP(DD$2,Valores!$H$2:$P$154,8,0)</f>
        <v>#VALUE!</v>
      </c>
      <c r="DE65" s="27" t="e">
        <f aca="false">SUMIF($C$2:$F$2,EOMONTH(DE$2,-1)+1,$C65:$F65)*VLOOKUP(DE$2,Valores!$H$2:$P$154,8,0)</f>
        <v>#VALUE!</v>
      </c>
      <c r="DF65" s="27" t="e">
        <f aca="false">SUMIF($C$2:$F$2,EOMONTH(DF$2,-1)+1,$C65:$F65)*VLOOKUP(DF$2,Valores!$H$2:$P$154,8,0)</f>
        <v>#VALUE!</v>
      </c>
      <c r="DG65" s="27" t="e">
        <f aca="false">SUMIF($C$2:$F$2,EOMONTH(DG$2,-1)+1,$C65:$F65)*VLOOKUP(DG$2,Valores!$H$2:$P$154,8,0)</f>
        <v>#VALUE!</v>
      </c>
      <c r="DH65" s="27" t="e">
        <f aca="false">SUMIF($C$2:$F$2,EOMONTH(DH$2,-1)+1,$C65:$F65)*VLOOKUP(DH$2,Valores!$H$2:$P$154,8,0)</f>
        <v>#VALUE!</v>
      </c>
      <c r="DI65" s="27" t="e">
        <f aca="false">SUMIF($C$2:$F$2,EOMONTH(DI$2,-1)+1,$C65:$F65)*VLOOKUP(DI$2,Valores!$H$2:$P$154,8,0)</f>
        <v>#VALUE!</v>
      </c>
      <c r="DJ65" s="27" t="e">
        <f aca="false">SUMIF($C$2:$F$2,EOMONTH(DJ$2,-1)+1,$C65:$F65)*VLOOKUP(DJ$2,Valores!$H$2:$P$154,8,0)</f>
        <v>#VALUE!</v>
      </c>
      <c r="DK65" s="27" t="e">
        <f aca="false">SUMIF($C$2:$F$2,EOMONTH(DK$2,-1)+1,$C65:$F65)*VLOOKUP(DK$2,Valores!$H$2:$P$154,8,0)</f>
        <v>#VALUE!</v>
      </c>
      <c r="DL65" s="27" t="e">
        <f aca="false">SUMIF($C$2:$F$2,EOMONTH(DL$2,-1)+1,$C65:$F65)*VLOOKUP(DL$2,Valores!$H$2:$P$154,8,0)</f>
        <v>#VALUE!</v>
      </c>
      <c r="DM65" s="27" t="e">
        <f aca="false">SUMIF($C$2:$F$2,EOMONTH(DM$2,-1)+1,$C65:$F65)*VLOOKUP(DM$2,Valores!$H$2:$P$154,8,0)</f>
        <v>#VALUE!</v>
      </c>
      <c r="DN65" s="27" t="e">
        <f aca="false">SUMIF($C$2:$F$2,EOMONTH(DN$2,-1)+1,$C65:$F65)*VLOOKUP(DN$2,Valores!$H$2:$P$154,8,0)</f>
        <v>#VALUE!</v>
      </c>
      <c r="DO65" s="27" t="e">
        <f aca="false">SUMIF($C$2:$F$2,EOMONTH(DO$2,-1)+1,$C65:$F65)*VLOOKUP(DO$2,Valores!$H$2:$P$154,8,0)</f>
        <v>#VALUE!</v>
      </c>
      <c r="DP65" s="27" t="e">
        <f aca="false">SUMIF($C$2:$F$2,EOMONTH(DP$2,-1)+1,$C65:$F65)*VLOOKUP(DP$2,Valores!$H$2:$P$154,8,0)</f>
        <v>#VALUE!</v>
      </c>
      <c r="DQ65" s="27" t="e">
        <f aca="false">SUMIF($C$2:$F$2,EOMONTH(DQ$2,-1)+1,$C65:$F65)*VLOOKUP(DQ$2,Valores!$H$2:$P$154,8,0)</f>
        <v>#VALUE!</v>
      </c>
      <c r="DR65" s="27" t="e">
        <f aca="false">SUMIF($C$2:$F$2,EOMONTH(DR$2,-1)+1,$C65:$F65)*VLOOKUP(DR$2,Valores!$H$2:$P$154,8,0)</f>
        <v>#VALUE!</v>
      </c>
      <c r="DS65" s="27" t="e">
        <f aca="false">SUMIF($C$2:$F$2,EOMONTH(DS$2,-1)+1,$C65:$F65)*VLOOKUP(DS$2,Valores!$H$2:$P$154,8,0)</f>
        <v>#VALUE!</v>
      </c>
      <c r="DT65" s="27" t="e">
        <f aca="false">SUMIF($C$2:$F$2,EOMONTH(DT$2,-1)+1,$C65:$F65)*VLOOKUP(DT$2,Valores!$H$2:$P$154,8,0)</f>
        <v>#VALUE!</v>
      </c>
      <c r="DU65" s="27" t="e">
        <f aca="false">SUMIF($C$2:$F$2,EOMONTH(DU$2,-1)+1,$C65:$F65)*VLOOKUP(DU$2,Valores!$H$2:$P$154,8,0)</f>
        <v>#VALUE!</v>
      </c>
      <c r="DV65" s="27" t="e">
        <f aca="false">SUMIF($C$2:$F$2,EOMONTH(DV$2,-1)+1,$C65:$F65)*VLOOKUP(DV$2,Valores!$H$2:$P$154,8,0)</f>
        <v>#VALUE!</v>
      </c>
      <c r="DW65" s="27" t="e">
        <f aca="false">SUMIF($C$2:$F$2,EOMONTH(DW$2,-1)+1,$C65:$F65)*VLOOKUP(DW$2,Valores!$H$2:$P$154,8,0)</f>
        <v>#VALUE!</v>
      </c>
      <c r="DX65" s="27" t="e">
        <f aca="false">SUMIF($C$2:$F$2,EOMONTH(DX$2,-1)+1,$C65:$F65)*VLOOKUP(DX$2,Valores!$H$2:$P$154,8,0)</f>
        <v>#VALUE!</v>
      </c>
    </row>
    <row r="66" customFormat="false" ht="13.8" hidden="false" customHeight="false" outlineLevel="0" collapsed="false">
      <c r="A66" s="29" t="s">
        <v>54</v>
      </c>
      <c r="B66" s="29" t="s">
        <v>88</v>
      </c>
      <c r="C66" s="29" t="n">
        <v>689174</v>
      </c>
      <c r="D66" s="29" t="n">
        <v>620256.6</v>
      </c>
      <c r="E66" s="29" t="n">
        <v>558230.94</v>
      </c>
      <c r="F66" s="29" t="n">
        <v>502407.846</v>
      </c>
      <c r="G66" s="30" t="n">
        <f aca="false">SUMIF($C$2:$F$2,EOMONTH(G$2,-1)+1,$C66:$F66)*VLOOKUP(G$2,Valores!$H$2:$P$154,8,0)</f>
        <v>19846.2152377818</v>
      </c>
      <c r="H66" s="30" t="n">
        <f aca="false">SUMIF($C$2:$F$2,EOMONTH(H$2,-1)+1,$C66:$F66)*VLOOKUP(H$2,Valores!$H$2:$P$154,8,0)</f>
        <v>13608.8333059075</v>
      </c>
      <c r="I66" s="30" t="n">
        <f aca="false">SUMIF($C$2:$F$2,EOMONTH(I$2,-1)+1,$C66:$F66)*VLOOKUP(I$2,Valores!$H$2:$P$154,8,0)</f>
        <v>13608.8333059075</v>
      </c>
      <c r="J66" s="30" t="n">
        <f aca="false">SUMIF($C$2:$F$2,EOMONTH(J$2,-1)+1,$C66:$F66)*VLOOKUP(J$2,Valores!$H$2:$P$154,8,0)</f>
        <v>13608.8333059075</v>
      </c>
      <c r="K66" s="30" t="n">
        <f aca="false">SUMIF($C$2:$F$2,EOMONTH(K$2,-1)+1,$C66:$F66)*VLOOKUP(K$2,Valores!$H$2:$P$154,8,0)</f>
        <v>13608.8333059075</v>
      </c>
      <c r="L66" s="30" t="n">
        <f aca="false">SUMIF($C$2:$F$2,EOMONTH(L$2,-1)+1,$C66:$F66)*VLOOKUP(L$2,Valores!$H$2:$P$154,8,0)</f>
        <v>27217.666611815</v>
      </c>
      <c r="M66" s="30" t="n">
        <f aca="false">SUMIF($C$2:$F$2,EOMONTH(M$2,-1)+1,$C66:$F66)*VLOOKUP(M$2,Valores!$H$2:$P$154,8,0)</f>
        <v>34022.0832647688</v>
      </c>
      <c r="N66" s="30" t="n">
        <f aca="false">SUMIF($C$2:$F$2,EOMONTH(N$2,-1)+1,$C66:$F66)*VLOOKUP(N$2,Valores!$H$2:$P$154,8,0)</f>
        <v>20413.2499588613</v>
      </c>
      <c r="O66" s="30" t="n">
        <f aca="false">SUMIF($C$2:$F$2,EOMONTH(O$2,-1)+1,$C66:$F66)*VLOOKUP(O$2,Valores!$H$2:$P$154,8,0)</f>
        <v>18145.1110745434</v>
      </c>
      <c r="P66" s="30" t="n">
        <f aca="false">SUMIF($C$2:$F$2,EOMONTH(P$2,-1)+1,$C66:$F66)*VLOOKUP(P$2,Valores!$H$2:$P$154,8,0)</f>
        <v>18145.1110745434</v>
      </c>
      <c r="Q66" s="30" t="n">
        <f aca="false">SUMIF($C$2:$F$2,EOMONTH(Q$2,-1)+1,$C66:$F66)*VLOOKUP(Q$2,Valores!$H$2:$P$154,8,0)</f>
        <v>10887.066644726</v>
      </c>
      <c r="R66" s="30" t="n">
        <f aca="false">SUMIF($C$2:$F$2,EOMONTH(R$2,-1)+1,$C66:$F66)*VLOOKUP(R$2,Valores!$H$2:$P$154,8,0)</f>
        <v>18145.1110745434</v>
      </c>
      <c r="S66" s="30" t="n">
        <f aca="false">SUMIF($C$2:$F$2,EOMONTH(S$2,-1)+1,$C66:$F66)*VLOOKUP(S$2,Valores!$H$2:$P$154,8,0)</f>
        <v>36290.2221490867</v>
      </c>
      <c r="T66" s="30" t="n">
        <f aca="false">SUMIF($C$2:$F$2,EOMONTH(T$2,-1)+1,$C66:$F66)*VLOOKUP(T$2,Valores!$H$2:$P$154,8,0)</f>
        <v>45362.7776863584</v>
      </c>
      <c r="U66" s="30" t="n">
        <f aca="false">SUMIF($C$2:$F$2,EOMONTH(U$2,-1)+1,$C66:$F66)*VLOOKUP(U$2,Valores!$H$2:$P$154,8,0)</f>
        <v>27217.666611815</v>
      </c>
      <c r="V66" s="30" t="n">
        <f aca="false">SUMIF($C$2:$F$2,EOMONTH(V$2,-1)+1,$C66:$F66)*VLOOKUP(V$2,Valores!$H$2:$P$154,8,0)</f>
        <v>22681.3888431792</v>
      </c>
      <c r="W66" s="30" t="n">
        <f aca="false">SUMIF($C$2:$F$2,EOMONTH(W$2,-1)+1,$C66:$F66)*VLOOKUP(W$2,Valores!$H$2:$P$154,8,0)</f>
        <v>22681.3888431792</v>
      </c>
      <c r="X66" s="30" t="n">
        <f aca="false">SUMIF($C$2:$F$2,EOMONTH(X$2,-1)+1,$C66:$F66)*VLOOKUP(X$2,Valores!$H$2:$P$154,8,0)</f>
        <v>0</v>
      </c>
      <c r="Y66" s="30" t="n">
        <f aca="false">SUMIF($C$2:$F$2,EOMONTH(Y$2,-1)+1,$C66:$F66)*VLOOKUP(Y$2,Valores!$H$2:$P$154,8,0)</f>
        <v>0</v>
      </c>
      <c r="Z66" s="30" t="n">
        <f aca="false">SUMIF($C$2:$F$2,EOMONTH(Z$2,-1)+1,$C66:$F66)*VLOOKUP(Z$2,Valores!$H$2:$P$154,8,0)</f>
        <v>34022.0832647688</v>
      </c>
      <c r="AA66" s="30" t="n">
        <f aca="false">SUMIF($C$2:$F$2,EOMONTH(AA$2,-1)+1,$C66:$F66)*VLOOKUP(AA$2,Valores!$H$2:$P$154,8,0)</f>
        <v>40826.4999177225</v>
      </c>
      <c r="AB66" s="30" t="n">
        <f aca="false">SUMIF($C$2:$F$2,EOMONTH(AB$2,-1)+1,$C66:$F66)*VLOOKUP(AB$2,Valores!$H$2:$P$154,8,0)</f>
        <v>20413.2499588613</v>
      </c>
      <c r="AC66" s="30" t="n">
        <f aca="false">SUMIF($C$2:$F$2,EOMONTH(AC$2,-1)+1,$C66:$F66)*VLOOKUP(AC$2,Valores!$H$2:$P$154,8,0)</f>
        <v>24949.5277274971</v>
      </c>
      <c r="AD66" s="30" t="n">
        <f aca="false">SUMIF($C$2:$F$2,EOMONTH(AD$2,-1)+1,$C66:$F66)*VLOOKUP(AD$2,Valores!$H$2:$P$154,8,0)</f>
        <v>24949.5277274971</v>
      </c>
      <c r="AE66" s="30" t="n">
        <f aca="false">SUMIF($C$2:$F$2,EOMONTH(AE$2,-1)+1,$C66:$F66)*VLOOKUP(AE$2,Valores!$H$2:$P$154,8,0)</f>
        <v>24949.5277274971</v>
      </c>
      <c r="AF66" s="30" t="n">
        <f aca="false">SUMIF($C$2:$F$2,EOMONTH(AF$2,-1)+1,$C66:$F66)*VLOOKUP(AF$2,Valores!$H$2:$P$154,8,0)</f>
        <v>24949.5277274971</v>
      </c>
      <c r="AG66" s="30" t="n">
        <f aca="false">SUMIF($C$2:$F$2,EOMONTH(AG$2,-1)+1,$C66:$F66)*VLOOKUP(AG$2,Valores!$H$2:$P$154,8,0)</f>
        <v>39919.2443639954</v>
      </c>
      <c r="AH66" s="30" t="n">
        <f aca="false">SUMIF($C$2:$F$2,EOMONTH(AH$2,-1)+1,$C66:$F66)*VLOOKUP(AH$2,Valores!$H$2:$P$154,8,0)</f>
        <v>49899.0554549942</v>
      </c>
      <c r="AI66" s="30" t="n">
        <f aca="false">SUMIF($C$2:$F$2,EOMONTH(AI$2,-1)+1,$C66:$F66)*VLOOKUP(AI$2,Valores!$H$2:$P$154,8,0)</f>
        <v>17464.669409248</v>
      </c>
      <c r="AJ66" s="30" t="n">
        <f aca="false">SUMIF($C$2:$F$2,EOMONTH(AJ$2,-1)+1,$C66:$F66)*VLOOKUP(AJ$2,Valores!$H$2:$P$154,8,0)</f>
        <v>11340.6944215896</v>
      </c>
      <c r="AK66" s="30" t="n">
        <f aca="false">SUMIF($C$2:$F$2,EOMONTH(AK$2,-1)+1,$C66:$F66)*VLOOKUP(AK$2,Valores!$H$2:$P$154,8,0)</f>
        <v>20680.6363571412</v>
      </c>
      <c r="AL66" s="30" t="n">
        <f aca="false">SUMIF($C$2:$F$2,EOMONTH(AL$2,-1)+1,$C66:$F66)*VLOOKUP(AL$2,Valores!$H$2:$P$154,8,0)</f>
        <v>20680.6363571412</v>
      </c>
      <c r="AM66" s="30" t="n">
        <f aca="false">SUMIF($C$2:$F$2,EOMONTH(AM$2,-1)+1,$C66:$F66)*VLOOKUP(AM$2,Valores!$H$2:$P$154,8,0)</f>
        <v>20680.6363571412</v>
      </c>
      <c r="AN66" s="30" t="n">
        <f aca="false">SUMIF($C$2:$F$2,EOMONTH(AN$2,-1)+1,$C66:$F66)*VLOOKUP(AN$2,Valores!$H$2:$P$154,8,0)</f>
        <v>41361.2727142823</v>
      </c>
      <c r="AO66" s="30" t="n">
        <f aca="false">SUMIF($C$2:$F$2,EOMONTH(AO$2,-1)+1,$C66:$F66)*VLOOKUP(AO$2,Valores!$H$2:$P$154,8,0)</f>
        <v>51701.5908928529</v>
      </c>
      <c r="AP66" s="30" t="n">
        <f aca="false">SUMIF($C$2:$F$2,EOMONTH(AP$2,-1)+1,$C66:$F66)*VLOOKUP(AP$2,Valores!$H$2:$P$154,8,0)</f>
        <v>31020.9545357117</v>
      </c>
      <c r="AQ66" s="30" t="n">
        <f aca="false">SUMIF($C$2:$F$2,EOMONTH(AQ$2,-1)+1,$C66:$F66)*VLOOKUP(AQ$2,Valores!$H$2:$P$154,8,0)</f>
        <v>11078.9123341828</v>
      </c>
      <c r="AR66" s="30" t="n">
        <f aca="false">SUMIF($C$2:$F$2,EOMONTH(AR$2,-1)+1,$C66:$F66)*VLOOKUP(AR$2,Valores!$H$2:$P$154,8,0)</f>
        <v>11078.9123341828</v>
      </c>
      <c r="AS66" s="30" t="n">
        <f aca="false">SUMIF($C$2:$F$2,EOMONTH(AS$2,-1)+1,$C66:$F66)*VLOOKUP(AS$2,Valores!$H$2:$P$154,8,0)</f>
        <v>11078.9123341828</v>
      </c>
      <c r="AT66" s="30" t="n">
        <f aca="false">SUMIF($C$2:$F$2,EOMONTH(AT$2,-1)+1,$C66:$F66)*VLOOKUP(AT$2,Valores!$H$2:$P$154,8,0)</f>
        <v>11078.9123341828</v>
      </c>
      <c r="AU66" s="30" t="n">
        <f aca="false">SUMIF($C$2:$F$2,EOMONTH(AU$2,-1)+1,$C66:$F66)*VLOOKUP(AU$2,Valores!$H$2:$P$154,8,0)</f>
        <v>22157.8246683655</v>
      </c>
      <c r="AV66" s="30" t="n">
        <f aca="false">SUMIF($C$2:$F$2,EOMONTH(AV$2,-1)+1,$C66:$F66)*VLOOKUP(AV$2,Valores!$H$2:$P$154,8,0)</f>
        <v>27697.2808354569</v>
      </c>
      <c r="AW66" s="30" t="n">
        <f aca="false">SUMIF($C$2:$F$2,EOMONTH(AW$2,-1)+1,$C66:$F66)*VLOOKUP(AW$2,Valores!$H$2:$P$154,8,0)</f>
        <v>16618.3685012741</v>
      </c>
      <c r="AX66" s="30" t="n">
        <f aca="false">SUMIF($C$2:$F$2,EOMONTH(AX$2,-1)+1,$C66:$F66)*VLOOKUP(AX$2,Valores!$H$2:$P$154,8,0)</f>
        <v>11078.9123341828</v>
      </c>
      <c r="AY66" s="30" t="n">
        <f aca="false">SUMIF($C$2:$F$2,EOMONTH(AY$2,-1)+1,$C66:$F66)*VLOOKUP(AY$2,Valores!$H$2:$P$154,8,0)</f>
        <v>14402.5860344376</v>
      </c>
      <c r="AZ66" s="30" t="n">
        <f aca="false">SUMIF($C$2:$F$2,EOMONTH(AZ$2,-1)+1,$C66:$F66)*VLOOKUP(AZ$2,Valores!$H$2:$P$154,8,0)</f>
        <v>14402.5860344376</v>
      </c>
      <c r="BA66" s="30" t="n">
        <f aca="false">SUMIF($C$2:$F$2,EOMONTH(BA$2,-1)+1,$C66:$F66)*VLOOKUP(BA$2,Valores!$H$2:$P$154,8,0)</f>
        <v>14402.5860344376</v>
      </c>
      <c r="BB66" s="30" t="n">
        <f aca="false">SUMIF($C$2:$F$2,EOMONTH(BB$2,-1)+1,$C66:$F66)*VLOOKUP(BB$2,Valores!$H$2:$P$154,8,0)</f>
        <v>25481.4983686203</v>
      </c>
      <c r="BC66" s="30" t="n">
        <f aca="false">SUMIF($C$2:$F$2,EOMONTH(BC$2,-1)+1,$C66:$F66)*VLOOKUP(BC$2,Valores!$H$2:$P$154,8,0)</f>
        <v>31020.9545357117</v>
      </c>
      <c r="BD66" s="30" t="n">
        <f aca="false">SUMIF($C$2:$F$2,EOMONTH(BD$2,-1)+1,$C66:$F66)*VLOOKUP(BD$2,Valores!$H$2:$P$154,8,0)</f>
        <v>16618.3685012741</v>
      </c>
      <c r="BE66" s="30" t="n">
        <f aca="false">SUMIF($C$2:$F$2,EOMONTH(BE$2,-1)+1,$C66:$F66)*VLOOKUP(BE$2,Valores!$H$2:$P$154,8,0)</f>
        <v>14771.8831122437</v>
      </c>
      <c r="BF66" s="30" t="n">
        <f aca="false">SUMIF($C$2:$F$2,EOMONTH(BF$2,-1)+1,$C66:$F66)*VLOOKUP(BF$2,Valores!$H$2:$P$154,8,0)</f>
        <v>14771.8831122437</v>
      </c>
      <c r="BG66" s="30" t="n">
        <f aca="false">SUMIF($C$2:$F$2,EOMONTH(BG$2,-1)+1,$C66:$F66)*VLOOKUP(BG$2,Valores!$H$2:$P$154,8,0)</f>
        <v>14771.8831122437</v>
      </c>
      <c r="BH66" s="30" t="n">
        <f aca="false">SUMIF($C$2:$F$2,EOMONTH(BH$2,-1)+1,$C66:$F66)*VLOOKUP(BH$2,Valores!$H$2:$P$154,8,0)</f>
        <v>14771.8831122437</v>
      </c>
      <c r="BI66" s="30" t="n">
        <f aca="false">SUMIF($C$2:$F$2,EOMONTH(BI$2,-1)+1,$C66:$F66)*VLOOKUP(BI$2,Valores!$H$2:$P$154,8,0)</f>
        <v>29543.7662244874</v>
      </c>
      <c r="BJ66" s="30" t="n">
        <f aca="false">SUMIF($C$2:$F$2,EOMONTH(BJ$2,-1)+1,$C66:$F66)*VLOOKUP(BJ$2,Valores!$H$2:$P$154,8,0)</f>
        <v>36929.7077806092</v>
      </c>
      <c r="BK66" s="30" t="n">
        <f aca="false">SUMIF($C$2:$F$2,EOMONTH(BK$2,-1)+1,$C66:$F66)*VLOOKUP(BK$2,Valores!$H$2:$P$154,8,0)</f>
        <v>17726.2597346924</v>
      </c>
      <c r="BL66" s="30" t="n">
        <f aca="false">SUMIF($C$2:$F$2,EOMONTH(BL$2,-1)+1,$C66:$F66)*VLOOKUP(BL$2,Valores!$H$2:$P$154,8,0)</f>
        <v>12999.2571387744</v>
      </c>
      <c r="BM66" s="30" t="n">
        <f aca="false">SUMIF($C$2:$F$2,EOMONTH(BM$2,-1)+1,$C66:$F66)*VLOOKUP(BM$2,Valores!$H$2:$P$154,8,0)</f>
        <v>12999.2571387744</v>
      </c>
      <c r="BN66" s="30" t="n">
        <f aca="false">SUMIF($C$2:$F$2,EOMONTH(BN$2,-1)+1,$C66:$F66)*VLOOKUP(BN$2,Valores!$H$2:$P$154,8,0)</f>
        <v>12999.2571387744</v>
      </c>
      <c r="BO66" s="30" t="n">
        <f aca="false">SUMIF($C$2:$F$2,EOMONTH(BO$2,-1)+1,$C66:$F66)*VLOOKUP(BO$2,Valores!$H$2:$P$154,8,0)</f>
        <v>13649.2199957132</v>
      </c>
      <c r="BP66" s="30" t="n">
        <f aca="false">SUMIF($C$2:$F$2,EOMONTH(BP$2,-1)+1,$C66:$F66)*VLOOKUP(BP$2,Valores!$H$2:$P$154,8,0)</f>
        <v>34348.8986265245</v>
      </c>
      <c r="BQ66" s="30" t="n">
        <f aca="false">SUMIF($C$2:$F$2,EOMONTH(BQ$2,-1)+1,$C66:$F66)*VLOOKUP(BQ$2,Valores!$H$2:$P$154,8,0)</f>
        <v>42936.1232831557</v>
      </c>
      <c r="BR66" s="30" t="n">
        <f aca="false">SUMIF($C$2:$F$2,EOMONTH(BR$2,-1)+1,$C66:$F66)*VLOOKUP(BR$2,Valores!$H$2:$P$154,8,0)</f>
        <v>20609.3391759147</v>
      </c>
      <c r="BS66" s="30" t="n">
        <f aca="false">SUMIF($C$2:$F$2,EOMONTH(BS$2,-1)+1,$C66:$F66)*VLOOKUP(BS$2,Valores!$H$2:$P$154,8,0)</f>
        <v>9200.5978463905</v>
      </c>
      <c r="BT66" s="30" t="n">
        <f aca="false">SUMIF($C$2:$F$2,EOMONTH(BT$2,-1)+1,$C66:$F66)*VLOOKUP(BT$2,Valores!$H$2:$P$154,8,0)</f>
        <v>9200.5978463905</v>
      </c>
      <c r="BU66" s="30" t="n">
        <f aca="false">SUMIF($C$2:$F$2,EOMONTH(BU$2,-1)+1,$C66:$F66)*VLOOKUP(BU$2,Valores!$H$2:$P$154,8,0)</f>
        <v>9200.5978463905</v>
      </c>
      <c r="BV66" s="30" t="n">
        <f aca="false">SUMIF($C$2:$F$2,EOMONTH(BV$2,-1)+1,$C66:$F66)*VLOOKUP(BV$2,Valores!$H$2:$P$154,8,0)</f>
        <v>9200.5978463905</v>
      </c>
      <c r="BW66" s="30" t="n">
        <f aca="false">SUMIF($C$2:$F$2,EOMONTH(BW$2,-1)+1,$C66:$F66)*VLOOKUP(BW$2,Valores!$H$2:$P$154,8,0)</f>
        <v>18401.195692781</v>
      </c>
      <c r="BX66" s="30" t="n">
        <f aca="false">SUMIF($C$2:$F$2,EOMONTH(BX$2,-1)+1,$C66:$F66)*VLOOKUP(BX$2,Valores!$H$2:$P$154,8,0)</f>
        <v>23001.4946159763</v>
      </c>
      <c r="BY66" s="30" t="n">
        <f aca="false">SUMIF($C$2:$F$2,EOMONTH(BY$2,-1)+1,$C66:$F66)*VLOOKUP(BY$2,Valores!$H$2:$P$154,8,0)</f>
        <v>13800.8967695858</v>
      </c>
      <c r="BZ66" s="30" t="n">
        <f aca="false">SUMIF($C$2:$F$2,EOMONTH(BZ$2,-1)+1,$C66:$F66)*VLOOKUP(BZ$2,Valores!$H$2:$P$154,8,0)</f>
        <v>9200.5978463905</v>
      </c>
      <c r="CA66" s="30" t="n">
        <f aca="false">SUMIF($C$2:$F$2,EOMONTH(CA$2,-1)+1,$C66:$F66)*VLOOKUP(CA$2,Valores!$H$2:$P$154,8,0)</f>
        <v>9200.5978463905</v>
      </c>
      <c r="CB66" s="30" t="n">
        <f aca="false">SUMIF($C$2:$F$2,EOMONTH(CB$2,-1)+1,$C66:$F66)*VLOOKUP(CB$2,Valores!$H$2:$P$154,8,0)</f>
        <v>9200.5978463905</v>
      </c>
      <c r="CC66" s="30" t="n">
        <f aca="false">SUMIF($C$2:$F$2,EOMONTH(CC$2,-1)+1,$C66:$F66)*VLOOKUP(CC$2,Valores!$H$2:$P$154,8,0)</f>
        <v>9200.5978463905</v>
      </c>
      <c r="CD66" s="30" t="n">
        <f aca="false">SUMIF($C$2:$F$2,EOMONTH(CD$2,-1)+1,$C66:$F66)*VLOOKUP(CD$2,Valores!$H$2:$P$154,8,0)</f>
        <v>27601.7935391715</v>
      </c>
      <c r="CE66" s="30" t="n">
        <f aca="false">SUMIF($C$2:$F$2,EOMONTH(CE$2,-1)+1,$C66:$F66)*VLOOKUP(CE$2,Valores!$H$2:$P$154,8,0)</f>
        <v>36802.391385562</v>
      </c>
      <c r="CF66" s="30" t="n">
        <f aca="false">SUMIF($C$2:$F$2,EOMONTH(CF$2,-1)+1,$C66:$F66)*VLOOKUP(CF$2,Valores!$H$2:$P$154,8,0)</f>
        <v>23001.4946159763</v>
      </c>
      <c r="CG66" s="30" t="n">
        <f aca="false">SUMIF($C$2:$F$2,EOMONTH(CG$2,-1)+1,$C66:$F66)*VLOOKUP(CG$2,Valores!$H$2:$P$154,8,0)</f>
        <v>12267.4637951873</v>
      </c>
      <c r="CH66" s="30" t="n">
        <f aca="false">SUMIF($C$2:$F$2,EOMONTH(CH$2,-1)+1,$C66:$F66)*VLOOKUP(CH$2,Valores!$H$2:$P$154,8,0)</f>
        <v>12267.4637951873</v>
      </c>
      <c r="CI66" s="30" t="n">
        <f aca="false">SUMIF($C$2:$F$2,EOMONTH(CI$2,-1)+1,$C66:$F66)*VLOOKUP(CI$2,Valores!$H$2:$P$154,8,0)</f>
        <v>12267.4637951873</v>
      </c>
      <c r="CJ66" s="30" t="n">
        <f aca="false">SUMIF($C$2:$F$2,EOMONTH(CJ$2,-1)+1,$C66:$F66)*VLOOKUP(CJ$2,Valores!$H$2:$P$154,8,0)</f>
        <v>12267.4637951873</v>
      </c>
      <c r="CK66" s="30" t="n">
        <f aca="false">SUMIF($C$2:$F$2,EOMONTH(CK$2,-1)+1,$C66:$F66)*VLOOKUP(CK$2,Valores!$H$2:$P$154,8,0)</f>
        <v>24534.9275903747</v>
      </c>
      <c r="CL66" s="30" t="n">
        <f aca="false">SUMIF($C$2:$F$2,EOMONTH(CL$2,-1)+1,$C66:$F66)*VLOOKUP(CL$2,Valores!$H$2:$P$154,8,0)</f>
        <v>30668.6594879683</v>
      </c>
      <c r="CM66" s="30" t="n">
        <f aca="false">SUMIF($C$2:$F$2,EOMONTH(CM$2,-1)+1,$C66:$F66)*VLOOKUP(CM$2,Valores!$H$2:$P$154,8,0)</f>
        <v>18401.195692781</v>
      </c>
      <c r="CN66" s="30" t="n">
        <f aca="false">SUMIF($C$2:$F$2,EOMONTH(CN$2,-1)+1,$C66:$F66)*VLOOKUP(CN$2,Valores!$H$2:$P$154,8,0)</f>
        <v>13494.2101747061</v>
      </c>
      <c r="CO66" s="30" t="n">
        <f aca="false">SUMIF($C$2:$F$2,EOMONTH(CO$2,-1)+1,$C66:$F66)*VLOOKUP(CO$2,Valores!$H$2:$P$154,8,0)</f>
        <v>13494.2101747061</v>
      </c>
      <c r="CP66" s="30" t="n">
        <f aca="false">SUMIF($C$2:$F$2,EOMONTH(CP$2,-1)+1,$C66:$F66)*VLOOKUP(CP$2,Valores!$H$2:$P$154,8,0)</f>
        <v>13494.2101747061</v>
      </c>
      <c r="CQ66" s="30" t="n">
        <f aca="false">SUMIF($C$2:$F$2,EOMONTH(CQ$2,-1)+1,$C66:$F66)*VLOOKUP(CQ$2,Valores!$H$2:$P$154,8,0)</f>
        <v>13494.2101747061</v>
      </c>
      <c r="CR66" s="30" t="n">
        <f aca="false">SUMIF($C$2:$F$2,EOMONTH(CR$2,-1)+1,$C66:$F66)*VLOOKUP(CR$2,Valores!$H$2:$P$154,8,0)</f>
        <v>26988.4203494121</v>
      </c>
      <c r="CS66" s="30" t="n">
        <f aca="false">SUMIF($C$2:$F$2,EOMONTH(CS$2,-1)+1,$C66:$F66)*VLOOKUP(CS$2,Valores!$H$2:$P$154,8,0)</f>
        <v>40482.6305241182</v>
      </c>
      <c r="CT66" s="30" t="e">
        <f aca="false">SUMIF($C$2:$F$2,EOMONTH(CT$2,-1)+1,$C66:$F66)*VLOOKUP(CT$2,Valores!$H$2:$P$154,8,0)</f>
        <v>#VALUE!</v>
      </c>
      <c r="CU66" s="30" t="e">
        <f aca="false">SUMIF($C$2:$F$2,EOMONTH(CU$2,-1)+1,$C66:$F66)*VLOOKUP(CU$2,Valores!$H$2:$P$154,8,0)</f>
        <v>#VALUE!</v>
      </c>
      <c r="CV66" s="30" t="e">
        <f aca="false">SUMIF($C$2:$F$2,EOMONTH(CV$2,-1)+1,$C66:$F66)*VLOOKUP(CV$2,Valores!$H$2:$P$154,8,0)</f>
        <v>#VALUE!</v>
      </c>
      <c r="CW66" s="30" t="e">
        <f aca="false">SUMIF($C$2:$F$2,EOMONTH(CW$2,-1)+1,$C66:$F66)*VLOOKUP(CW$2,Valores!$H$2:$P$154,8,0)</f>
        <v>#VALUE!</v>
      </c>
      <c r="CX66" s="30" t="e">
        <f aca="false">SUMIF($C$2:$F$2,EOMONTH(CX$2,-1)+1,$C66:$F66)*VLOOKUP(CX$2,Valores!$H$2:$P$154,8,0)</f>
        <v>#VALUE!</v>
      </c>
      <c r="CY66" s="30" t="e">
        <f aca="false">SUMIF($C$2:$F$2,EOMONTH(CY$2,-1)+1,$C66:$F66)*VLOOKUP(CY$2,Valores!$H$2:$P$154,8,0)</f>
        <v>#VALUE!</v>
      </c>
      <c r="CZ66" s="30" t="e">
        <f aca="false">SUMIF($C$2:$F$2,EOMONTH(CZ$2,-1)+1,$C66:$F66)*VLOOKUP(CZ$2,Valores!$H$2:$P$154,8,0)</f>
        <v>#VALUE!</v>
      </c>
      <c r="DA66" s="30" t="e">
        <f aca="false">SUMIF($C$2:$F$2,EOMONTH(DA$2,-1)+1,$C66:$F66)*VLOOKUP(DA$2,Valores!$H$2:$P$154,8,0)</f>
        <v>#VALUE!</v>
      </c>
      <c r="DB66" s="30" t="e">
        <f aca="false">SUMIF($C$2:$F$2,EOMONTH(DB$2,-1)+1,$C66:$F66)*VLOOKUP(DB$2,Valores!$H$2:$P$154,8,0)</f>
        <v>#VALUE!</v>
      </c>
      <c r="DC66" s="30" t="e">
        <f aca="false">SUMIF($C$2:$F$2,EOMONTH(DC$2,-1)+1,$C66:$F66)*VLOOKUP(DC$2,Valores!$H$2:$P$154,8,0)</f>
        <v>#VALUE!</v>
      </c>
      <c r="DD66" s="30" t="e">
        <f aca="false">SUMIF($C$2:$F$2,EOMONTH(DD$2,-1)+1,$C66:$F66)*VLOOKUP(DD$2,Valores!$H$2:$P$154,8,0)</f>
        <v>#VALUE!</v>
      </c>
      <c r="DE66" s="30" t="e">
        <f aca="false">SUMIF($C$2:$F$2,EOMONTH(DE$2,-1)+1,$C66:$F66)*VLOOKUP(DE$2,Valores!$H$2:$P$154,8,0)</f>
        <v>#VALUE!</v>
      </c>
      <c r="DF66" s="30" t="e">
        <f aca="false">SUMIF($C$2:$F$2,EOMONTH(DF$2,-1)+1,$C66:$F66)*VLOOKUP(DF$2,Valores!$H$2:$P$154,8,0)</f>
        <v>#VALUE!</v>
      </c>
      <c r="DG66" s="30" t="e">
        <f aca="false">SUMIF($C$2:$F$2,EOMONTH(DG$2,-1)+1,$C66:$F66)*VLOOKUP(DG$2,Valores!$H$2:$P$154,8,0)</f>
        <v>#VALUE!</v>
      </c>
      <c r="DH66" s="30" t="e">
        <f aca="false">SUMIF($C$2:$F$2,EOMONTH(DH$2,-1)+1,$C66:$F66)*VLOOKUP(DH$2,Valores!$H$2:$P$154,8,0)</f>
        <v>#VALUE!</v>
      </c>
      <c r="DI66" s="30" t="e">
        <f aca="false">SUMIF($C$2:$F$2,EOMONTH(DI$2,-1)+1,$C66:$F66)*VLOOKUP(DI$2,Valores!$H$2:$P$154,8,0)</f>
        <v>#VALUE!</v>
      </c>
      <c r="DJ66" s="30" t="e">
        <f aca="false">SUMIF($C$2:$F$2,EOMONTH(DJ$2,-1)+1,$C66:$F66)*VLOOKUP(DJ$2,Valores!$H$2:$P$154,8,0)</f>
        <v>#VALUE!</v>
      </c>
      <c r="DK66" s="30" t="e">
        <f aca="false">SUMIF($C$2:$F$2,EOMONTH(DK$2,-1)+1,$C66:$F66)*VLOOKUP(DK$2,Valores!$H$2:$P$154,8,0)</f>
        <v>#VALUE!</v>
      </c>
      <c r="DL66" s="30" t="e">
        <f aca="false">SUMIF($C$2:$F$2,EOMONTH(DL$2,-1)+1,$C66:$F66)*VLOOKUP(DL$2,Valores!$H$2:$P$154,8,0)</f>
        <v>#VALUE!</v>
      </c>
      <c r="DM66" s="30" t="e">
        <f aca="false">SUMIF($C$2:$F$2,EOMONTH(DM$2,-1)+1,$C66:$F66)*VLOOKUP(DM$2,Valores!$H$2:$P$154,8,0)</f>
        <v>#VALUE!</v>
      </c>
      <c r="DN66" s="30" t="e">
        <f aca="false">SUMIF($C$2:$F$2,EOMONTH(DN$2,-1)+1,$C66:$F66)*VLOOKUP(DN$2,Valores!$H$2:$P$154,8,0)</f>
        <v>#VALUE!</v>
      </c>
      <c r="DO66" s="30" t="e">
        <f aca="false">SUMIF($C$2:$F$2,EOMONTH(DO$2,-1)+1,$C66:$F66)*VLOOKUP(DO$2,Valores!$H$2:$P$154,8,0)</f>
        <v>#VALUE!</v>
      </c>
      <c r="DP66" s="30" t="e">
        <f aca="false">SUMIF($C$2:$F$2,EOMONTH(DP$2,-1)+1,$C66:$F66)*VLOOKUP(DP$2,Valores!$H$2:$P$154,8,0)</f>
        <v>#VALUE!</v>
      </c>
      <c r="DQ66" s="30" t="e">
        <f aca="false">SUMIF($C$2:$F$2,EOMONTH(DQ$2,-1)+1,$C66:$F66)*VLOOKUP(DQ$2,Valores!$H$2:$P$154,8,0)</f>
        <v>#VALUE!</v>
      </c>
      <c r="DR66" s="30" t="e">
        <f aca="false">SUMIF($C$2:$F$2,EOMONTH(DR$2,-1)+1,$C66:$F66)*VLOOKUP(DR$2,Valores!$H$2:$P$154,8,0)</f>
        <v>#VALUE!</v>
      </c>
      <c r="DS66" s="30" t="e">
        <f aca="false">SUMIF($C$2:$F$2,EOMONTH(DS$2,-1)+1,$C66:$F66)*VLOOKUP(DS$2,Valores!$H$2:$P$154,8,0)</f>
        <v>#VALUE!</v>
      </c>
      <c r="DT66" s="30" t="e">
        <f aca="false">SUMIF($C$2:$F$2,EOMONTH(DT$2,-1)+1,$C66:$F66)*VLOOKUP(DT$2,Valores!$H$2:$P$154,8,0)</f>
        <v>#VALUE!</v>
      </c>
      <c r="DU66" s="30" t="e">
        <f aca="false">SUMIF($C$2:$F$2,EOMONTH(DU$2,-1)+1,$C66:$F66)*VLOOKUP(DU$2,Valores!$H$2:$P$154,8,0)</f>
        <v>#VALUE!</v>
      </c>
      <c r="DV66" s="30" t="e">
        <f aca="false">SUMIF($C$2:$F$2,EOMONTH(DV$2,-1)+1,$C66:$F66)*VLOOKUP(DV$2,Valores!$H$2:$P$154,8,0)</f>
        <v>#VALUE!</v>
      </c>
      <c r="DW66" s="30" t="e">
        <f aca="false">SUMIF($C$2:$F$2,EOMONTH(DW$2,-1)+1,$C66:$F66)*VLOOKUP(DW$2,Valores!$H$2:$P$154,8,0)</f>
        <v>#VALUE!</v>
      </c>
      <c r="DX66" s="30" t="e">
        <f aca="false">SUMIF($C$2:$F$2,EOMONTH(DX$2,-1)+1,$C66:$F66)*VLOOKUP(DX$2,Valores!$H$2:$P$154,8,0)</f>
        <v>#VALUE!</v>
      </c>
    </row>
    <row r="67" customFormat="false" ht="13.8" hidden="false" customHeight="false" outlineLevel="0" collapsed="false">
      <c r="A67" s="31" t="s">
        <v>54</v>
      </c>
      <c r="B67" s="31" t="s">
        <v>89</v>
      </c>
      <c r="C67" s="31" t="n">
        <v>712223</v>
      </c>
      <c r="D67" s="31" t="n">
        <v>641000.7</v>
      </c>
      <c r="E67" s="31" t="n">
        <v>576900.63</v>
      </c>
      <c r="F67" s="31" t="n">
        <v>519210.567</v>
      </c>
      <c r="G67" s="27" t="n">
        <f aca="false">SUMIF($C$2:$F$2,EOMONTH(G$2,-1)+1,$C67:$F67)*VLOOKUP(G$2,Valores!$H$2:$P$154,8,0)</f>
        <v>20509.9596840546</v>
      </c>
      <c r="H67" s="27" t="n">
        <f aca="false">SUMIF($C$2:$F$2,EOMONTH(H$2,-1)+1,$C67:$F67)*VLOOKUP(H$2,Valores!$H$2:$P$154,8,0)</f>
        <v>14063.9723547803</v>
      </c>
      <c r="I67" s="27" t="n">
        <f aca="false">SUMIF($C$2:$F$2,EOMONTH(I$2,-1)+1,$C67:$F67)*VLOOKUP(I$2,Valores!$H$2:$P$154,8,0)</f>
        <v>14063.9723547803</v>
      </c>
      <c r="J67" s="27" t="n">
        <f aca="false">SUMIF($C$2:$F$2,EOMONTH(J$2,-1)+1,$C67:$F67)*VLOOKUP(J$2,Valores!$H$2:$P$154,8,0)</f>
        <v>14063.9723547803</v>
      </c>
      <c r="K67" s="27" t="n">
        <f aca="false">SUMIF($C$2:$F$2,EOMONTH(K$2,-1)+1,$C67:$F67)*VLOOKUP(K$2,Valores!$H$2:$P$154,8,0)</f>
        <v>14063.9723547803</v>
      </c>
      <c r="L67" s="27" t="n">
        <f aca="false">SUMIF($C$2:$F$2,EOMONTH(L$2,-1)+1,$C67:$F67)*VLOOKUP(L$2,Valores!$H$2:$P$154,8,0)</f>
        <v>28127.9447095606</v>
      </c>
      <c r="M67" s="27" t="n">
        <f aca="false">SUMIF($C$2:$F$2,EOMONTH(M$2,-1)+1,$C67:$F67)*VLOOKUP(M$2,Valores!$H$2:$P$154,8,0)</f>
        <v>35159.9308869508</v>
      </c>
      <c r="N67" s="27" t="n">
        <f aca="false">SUMIF($C$2:$F$2,EOMONTH(N$2,-1)+1,$C67:$F67)*VLOOKUP(N$2,Valores!$H$2:$P$154,8,0)</f>
        <v>21095.9585321705</v>
      </c>
      <c r="O67" s="27" t="n">
        <f aca="false">SUMIF($C$2:$F$2,EOMONTH(O$2,-1)+1,$C67:$F67)*VLOOKUP(O$2,Valores!$H$2:$P$154,8,0)</f>
        <v>18751.9631397071</v>
      </c>
      <c r="P67" s="27" t="n">
        <f aca="false">SUMIF($C$2:$F$2,EOMONTH(P$2,-1)+1,$C67:$F67)*VLOOKUP(P$2,Valores!$H$2:$P$154,8,0)</f>
        <v>18751.9631397071</v>
      </c>
      <c r="Q67" s="27" t="n">
        <f aca="false">SUMIF($C$2:$F$2,EOMONTH(Q$2,-1)+1,$C67:$F67)*VLOOKUP(Q$2,Valores!$H$2:$P$154,8,0)</f>
        <v>11251.1778838243</v>
      </c>
      <c r="R67" s="27" t="n">
        <f aca="false">SUMIF($C$2:$F$2,EOMONTH(R$2,-1)+1,$C67:$F67)*VLOOKUP(R$2,Valores!$H$2:$P$154,8,0)</f>
        <v>18751.9631397071</v>
      </c>
      <c r="S67" s="27" t="n">
        <f aca="false">SUMIF($C$2:$F$2,EOMONTH(S$2,-1)+1,$C67:$F67)*VLOOKUP(S$2,Valores!$H$2:$P$154,8,0)</f>
        <v>37503.9262794142</v>
      </c>
      <c r="T67" s="27" t="n">
        <f aca="false">SUMIF($C$2:$F$2,EOMONTH(T$2,-1)+1,$C67:$F67)*VLOOKUP(T$2,Valores!$H$2:$P$154,8,0)</f>
        <v>46879.9078492677</v>
      </c>
      <c r="U67" s="27" t="n">
        <f aca="false">SUMIF($C$2:$F$2,EOMONTH(U$2,-1)+1,$C67:$F67)*VLOOKUP(U$2,Valores!$H$2:$P$154,8,0)</f>
        <v>28127.9447095606</v>
      </c>
      <c r="V67" s="27" t="n">
        <f aca="false">SUMIF($C$2:$F$2,EOMONTH(V$2,-1)+1,$C67:$F67)*VLOOKUP(V$2,Valores!$H$2:$P$154,8,0)</f>
        <v>23439.9539246339</v>
      </c>
      <c r="W67" s="27" t="n">
        <f aca="false">SUMIF($C$2:$F$2,EOMONTH(W$2,-1)+1,$C67:$F67)*VLOOKUP(W$2,Valores!$H$2:$P$154,8,0)</f>
        <v>23439.9539246339</v>
      </c>
      <c r="X67" s="27" t="n">
        <f aca="false">SUMIF($C$2:$F$2,EOMONTH(X$2,-1)+1,$C67:$F67)*VLOOKUP(X$2,Valores!$H$2:$P$154,8,0)</f>
        <v>0</v>
      </c>
      <c r="Y67" s="27" t="n">
        <f aca="false">SUMIF($C$2:$F$2,EOMONTH(Y$2,-1)+1,$C67:$F67)*VLOOKUP(Y$2,Valores!$H$2:$P$154,8,0)</f>
        <v>0</v>
      </c>
      <c r="Z67" s="27" t="n">
        <f aca="false">SUMIF($C$2:$F$2,EOMONTH(Z$2,-1)+1,$C67:$F67)*VLOOKUP(Z$2,Valores!$H$2:$P$154,8,0)</f>
        <v>35159.9308869508</v>
      </c>
      <c r="AA67" s="27" t="n">
        <f aca="false">SUMIF($C$2:$F$2,EOMONTH(AA$2,-1)+1,$C67:$F67)*VLOOKUP(AA$2,Valores!$H$2:$P$154,8,0)</f>
        <v>42191.917064341</v>
      </c>
      <c r="AB67" s="27" t="n">
        <f aca="false">SUMIF($C$2:$F$2,EOMONTH(AB$2,-1)+1,$C67:$F67)*VLOOKUP(AB$2,Valores!$H$2:$P$154,8,0)</f>
        <v>21095.9585321705</v>
      </c>
      <c r="AC67" s="27" t="n">
        <f aca="false">SUMIF($C$2:$F$2,EOMONTH(AC$2,-1)+1,$C67:$F67)*VLOOKUP(AC$2,Valores!$H$2:$P$154,8,0)</f>
        <v>25783.9493170972</v>
      </c>
      <c r="AD67" s="27" t="n">
        <f aca="false">SUMIF($C$2:$F$2,EOMONTH(AD$2,-1)+1,$C67:$F67)*VLOOKUP(AD$2,Valores!$H$2:$P$154,8,0)</f>
        <v>25783.9493170972</v>
      </c>
      <c r="AE67" s="27" t="n">
        <f aca="false">SUMIF($C$2:$F$2,EOMONTH(AE$2,-1)+1,$C67:$F67)*VLOOKUP(AE$2,Valores!$H$2:$P$154,8,0)</f>
        <v>25783.9493170972</v>
      </c>
      <c r="AF67" s="27" t="n">
        <f aca="false">SUMIF($C$2:$F$2,EOMONTH(AF$2,-1)+1,$C67:$F67)*VLOOKUP(AF$2,Valores!$H$2:$P$154,8,0)</f>
        <v>25783.9493170972</v>
      </c>
      <c r="AG67" s="27" t="n">
        <f aca="false">SUMIF($C$2:$F$2,EOMONTH(AG$2,-1)+1,$C67:$F67)*VLOOKUP(AG$2,Valores!$H$2:$P$154,8,0)</f>
        <v>41254.3189073556</v>
      </c>
      <c r="AH67" s="27" t="n">
        <f aca="false">SUMIF($C$2:$F$2,EOMONTH(AH$2,-1)+1,$C67:$F67)*VLOOKUP(AH$2,Valores!$H$2:$P$154,8,0)</f>
        <v>51567.8986341945</v>
      </c>
      <c r="AI67" s="27" t="n">
        <f aca="false">SUMIF($C$2:$F$2,EOMONTH(AI$2,-1)+1,$C67:$F67)*VLOOKUP(AI$2,Valores!$H$2:$P$154,8,0)</f>
        <v>18048.7645219681</v>
      </c>
      <c r="AJ67" s="27" t="n">
        <f aca="false">SUMIF($C$2:$F$2,EOMONTH(AJ$2,-1)+1,$C67:$F67)*VLOOKUP(AJ$2,Valores!$H$2:$P$154,8,0)</f>
        <v>11719.9769623169</v>
      </c>
      <c r="AK67" s="27" t="n">
        <f aca="false">SUMIF($C$2:$F$2,EOMONTH(AK$2,-1)+1,$C67:$F67)*VLOOKUP(AK$2,Valores!$H$2:$P$154,8,0)</f>
        <v>21372.2875038701</v>
      </c>
      <c r="AL67" s="27" t="n">
        <f aca="false">SUMIF($C$2:$F$2,EOMONTH(AL$2,-1)+1,$C67:$F67)*VLOOKUP(AL$2,Valores!$H$2:$P$154,8,0)</f>
        <v>21372.2875038701</v>
      </c>
      <c r="AM67" s="27" t="n">
        <f aca="false">SUMIF($C$2:$F$2,EOMONTH(AM$2,-1)+1,$C67:$F67)*VLOOKUP(AM$2,Valores!$H$2:$P$154,8,0)</f>
        <v>21372.2875038701</v>
      </c>
      <c r="AN67" s="27" t="n">
        <f aca="false">SUMIF($C$2:$F$2,EOMONTH(AN$2,-1)+1,$C67:$F67)*VLOOKUP(AN$2,Valores!$H$2:$P$154,8,0)</f>
        <v>42744.5750077401</v>
      </c>
      <c r="AO67" s="27" t="n">
        <f aca="false">SUMIF($C$2:$F$2,EOMONTH(AO$2,-1)+1,$C67:$F67)*VLOOKUP(AO$2,Valores!$H$2:$P$154,8,0)</f>
        <v>53430.7187596751</v>
      </c>
      <c r="AP67" s="27" t="n">
        <f aca="false">SUMIF($C$2:$F$2,EOMONTH(AP$2,-1)+1,$C67:$F67)*VLOOKUP(AP$2,Valores!$H$2:$P$154,8,0)</f>
        <v>32058.4312558051</v>
      </c>
      <c r="AQ67" s="27" t="n">
        <f aca="false">SUMIF($C$2:$F$2,EOMONTH(AQ$2,-1)+1,$C67:$F67)*VLOOKUP(AQ$2,Valores!$H$2:$P$154,8,0)</f>
        <v>11449.4397342161</v>
      </c>
      <c r="AR67" s="27" t="n">
        <f aca="false">SUMIF($C$2:$F$2,EOMONTH(AR$2,-1)+1,$C67:$F67)*VLOOKUP(AR$2,Valores!$H$2:$P$154,8,0)</f>
        <v>11449.4397342161</v>
      </c>
      <c r="AS67" s="27" t="n">
        <f aca="false">SUMIF($C$2:$F$2,EOMONTH(AS$2,-1)+1,$C67:$F67)*VLOOKUP(AS$2,Valores!$H$2:$P$154,8,0)</f>
        <v>11449.4397342161</v>
      </c>
      <c r="AT67" s="27" t="n">
        <f aca="false">SUMIF($C$2:$F$2,EOMONTH(AT$2,-1)+1,$C67:$F67)*VLOOKUP(AT$2,Valores!$H$2:$P$154,8,0)</f>
        <v>11449.4397342161</v>
      </c>
      <c r="AU67" s="27" t="n">
        <f aca="false">SUMIF($C$2:$F$2,EOMONTH(AU$2,-1)+1,$C67:$F67)*VLOOKUP(AU$2,Valores!$H$2:$P$154,8,0)</f>
        <v>22898.8794684322</v>
      </c>
      <c r="AV67" s="27" t="n">
        <f aca="false">SUMIF($C$2:$F$2,EOMONTH(AV$2,-1)+1,$C67:$F67)*VLOOKUP(AV$2,Valores!$H$2:$P$154,8,0)</f>
        <v>28623.5993355402</v>
      </c>
      <c r="AW67" s="27" t="n">
        <f aca="false">SUMIF($C$2:$F$2,EOMONTH(AW$2,-1)+1,$C67:$F67)*VLOOKUP(AW$2,Valores!$H$2:$P$154,8,0)</f>
        <v>17174.1596013242</v>
      </c>
      <c r="AX67" s="27" t="n">
        <f aca="false">SUMIF($C$2:$F$2,EOMONTH(AX$2,-1)+1,$C67:$F67)*VLOOKUP(AX$2,Valores!$H$2:$P$154,8,0)</f>
        <v>11449.4397342161</v>
      </c>
      <c r="AY67" s="27" t="n">
        <f aca="false">SUMIF($C$2:$F$2,EOMONTH(AY$2,-1)+1,$C67:$F67)*VLOOKUP(AY$2,Valores!$H$2:$P$154,8,0)</f>
        <v>14884.2716544809</v>
      </c>
      <c r="AZ67" s="27" t="n">
        <f aca="false">SUMIF($C$2:$F$2,EOMONTH(AZ$2,-1)+1,$C67:$F67)*VLOOKUP(AZ$2,Valores!$H$2:$P$154,8,0)</f>
        <v>14884.2716544809</v>
      </c>
      <c r="BA67" s="27" t="n">
        <f aca="false">SUMIF($C$2:$F$2,EOMONTH(BA$2,-1)+1,$C67:$F67)*VLOOKUP(BA$2,Valores!$H$2:$P$154,8,0)</f>
        <v>14884.2716544809</v>
      </c>
      <c r="BB67" s="27" t="n">
        <f aca="false">SUMIF($C$2:$F$2,EOMONTH(BB$2,-1)+1,$C67:$F67)*VLOOKUP(BB$2,Valores!$H$2:$P$154,8,0)</f>
        <v>26333.711388697</v>
      </c>
      <c r="BC67" s="27" t="n">
        <f aca="false">SUMIF($C$2:$F$2,EOMONTH(BC$2,-1)+1,$C67:$F67)*VLOOKUP(BC$2,Valores!$H$2:$P$154,8,0)</f>
        <v>32058.4312558051</v>
      </c>
      <c r="BD67" s="27" t="n">
        <f aca="false">SUMIF($C$2:$F$2,EOMONTH(BD$2,-1)+1,$C67:$F67)*VLOOKUP(BD$2,Valores!$H$2:$P$154,8,0)</f>
        <v>17174.1596013242</v>
      </c>
      <c r="BE67" s="27" t="n">
        <f aca="false">SUMIF($C$2:$F$2,EOMONTH(BE$2,-1)+1,$C67:$F67)*VLOOKUP(BE$2,Valores!$H$2:$P$154,8,0)</f>
        <v>15265.9196456215</v>
      </c>
      <c r="BF67" s="27" t="n">
        <f aca="false">SUMIF($C$2:$F$2,EOMONTH(BF$2,-1)+1,$C67:$F67)*VLOOKUP(BF$2,Valores!$H$2:$P$154,8,0)</f>
        <v>15265.9196456215</v>
      </c>
      <c r="BG67" s="27" t="n">
        <f aca="false">SUMIF($C$2:$F$2,EOMONTH(BG$2,-1)+1,$C67:$F67)*VLOOKUP(BG$2,Valores!$H$2:$P$154,8,0)</f>
        <v>15265.9196456215</v>
      </c>
      <c r="BH67" s="27" t="n">
        <f aca="false">SUMIF($C$2:$F$2,EOMONTH(BH$2,-1)+1,$C67:$F67)*VLOOKUP(BH$2,Valores!$H$2:$P$154,8,0)</f>
        <v>15265.9196456215</v>
      </c>
      <c r="BI67" s="27" t="n">
        <f aca="false">SUMIF($C$2:$F$2,EOMONTH(BI$2,-1)+1,$C67:$F67)*VLOOKUP(BI$2,Valores!$H$2:$P$154,8,0)</f>
        <v>30531.8392912429</v>
      </c>
      <c r="BJ67" s="27" t="n">
        <f aca="false">SUMIF($C$2:$F$2,EOMONTH(BJ$2,-1)+1,$C67:$F67)*VLOOKUP(BJ$2,Valores!$H$2:$P$154,8,0)</f>
        <v>38164.7991140537</v>
      </c>
      <c r="BK67" s="27" t="n">
        <f aca="false">SUMIF($C$2:$F$2,EOMONTH(BK$2,-1)+1,$C67:$F67)*VLOOKUP(BK$2,Valores!$H$2:$P$154,8,0)</f>
        <v>18319.1035747458</v>
      </c>
      <c r="BL67" s="27" t="n">
        <f aca="false">SUMIF($C$2:$F$2,EOMONTH(BL$2,-1)+1,$C67:$F67)*VLOOKUP(BL$2,Valores!$H$2:$P$154,8,0)</f>
        <v>13434.0092881469</v>
      </c>
      <c r="BM67" s="27" t="n">
        <f aca="false">SUMIF($C$2:$F$2,EOMONTH(BM$2,-1)+1,$C67:$F67)*VLOOKUP(BM$2,Valores!$H$2:$P$154,8,0)</f>
        <v>13434.0092881469</v>
      </c>
      <c r="BN67" s="27" t="n">
        <f aca="false">SUMIF($C$2:$F$2,EOMONTH(BN$2,-1)+1,$C67:$F67)*VLOOKUP(BN$2,Valores!$H$2:$P$154,8,0)</f>
        <v>13434.0092881469</v>
      </c>
      <c r="BO67" s="27" t="n">
        <f aca="false">SUMIF($C$2:$F$2,EOMONTH(BO$2,-1)+1,$C67:$F67)*VLOOKUP(BO$2,Valores!$H$2:$P$154,8,0)</f>
        <v>14105.7097525542</v>
      </c>
      <c r="BP67" s="27" t="n">
        <f aca="false">SUMIF($C$2:$F$2,EOMONTH(BP$2,-1)+1,$C67:$F67)*VLOOKUP(BP$2,Valores!$H$2:$P$154,8,0)</f>
        <v>35497.6763872102</v>
      </c>
      <c r="BQ67" s="27" t="n">
        <f aca="false">SUMIF($C$2:$F$2,EOMONTH(BQ$2,-1)+1,$C67:$F67)*VLOOKUP(BQ$2,Valores!$H$2:$P$154,8,0)</f>
        <v>44372.0954840127</v>
      </c>
      <c r="BR67" s="27" t="n">
        <f aca="false">SUMIF($C$2:$F$2,EOMONTH(BR$2,-1)+1,$C67:$F67)*VLOOKUP(BR$2,Valores!$H$2:$P$154,8,0)</f>
        <v>21298.6058323261</v>
      </c>
      <c r="BS67" s="27" t="n">
        <f aca="false">SUMIF($C$2:$F$2,EOMONTH(BS$2,-1)+1,$C67:$F67)*VLOOKUP(BS$2,Valores!$H$2:$P$154,8,0)</f>
        <v>9508.30617514558</v>
      </c>
      <c r="BT67" s="27" t="n">
        <f aca="false">SUMIF($C$2:$F$2,EOMONTH(BT$2,-1)+1,$C67:$F67)*VLOOKUP(BT$2,Valores!$H$2:$P$154,8,0)</f>
        <v>9508.30617514558</v>
      </c>
      <c r="BU67" s="27" t="n">
        <f aca="false">SUMIF($C$2:$F$2,EOMONTH(BU$2,-1)+1,$C67:$F67)*VLOOKUP(BU$2,Valores!$H$2:$P$154,8,0)</f>
        <v>9508.30617514558</v>
      </c>
      <c r="BV67" s="27" t="n">
        <f aca="false">SUMIF($C$2:$F$2,EOMONTH(BV$2,-1)+1,$C67:$F67)*VLOOKUP(BV$2,Valores!$H$2:$P$154,8,0)</f>
        <v>9508.30617514558</v>
      </c>
      <c r="BW67" s="27" t="n">
        <f aca="false">SUMIF($C$2:$F$2,EOMONTH(BW$2,-1)+1,$C67:$F67)*VLOOKUP(BW$2,Valores!$H$2:$P$154,8,0)</f>
        <v>19016.6123502912</v>
      </c>
      <c r="BX67" s="27" t="n">
        <f aca="false">SUMIF($C$2:$F$2,EOMONTH(BX$2,-1)+1,$C67:$F67)*VLOOKUP(BX$2,Valores!$H$2:$P$154,8,0)</f>
        <v>23770.765437864</v>
      </c>
      <c r="BY67" s="27" t="n">
        <f aca="false">SUMIF($C$2:$F$2,EOMONTH(BY$2,-1)+1,$C67:$F67)*VLOOKUP(BY$2,Valores!$H$2:$P$154,8,0)</f>
        <v>14262.4592627184</v>
      </c>
      <c r="BZ67" s="27" t="n">
        <f aca="false">SUMIF($C$2:$F$2,EOMONTH(BZ$2,-1)+1,$C67:$F67)*VLOOKUP(BZ$2,Valores!$H$2:$P$154,8,0)</f>
        <v>9508.30617514558</v>
      </c>
      <c r="CA67" s="27" t="n">
        <f aca="false">SUMIF($C$2:$F$2,EOMONTH(CA$2,-1)+1,$C67:$F67)*VLOOKUP(CA$2,Valores!$H$2:$P$154,8,0)</f>
        <v>9508.30617514558</v>
      </c>
      <c r="CB67" s="27" t="n">
        <f aca="false">SUMIF($C$2:$F$2,EOMONTH(CB$2,-1)+1,$C67:$F67)*VLOOKUP(CB$2,Valores!$H$2:$P$154,8,0)</f>
        <v>9508.30617514558</v>
      </c>
      <c r="CC67" s="27" t="n">
        <f aca="false">SUMIF($C$2:$F$2,EOMONTH(CC$2,-1)+1,$C67:$F67)*VLOOKUP(CC$2,Valores!$H$2:$P$154,8,0)</f>
        <v>9508.30617514558</v>
      </c>
      <c r="CD67" s="27" t="n">
        <f aca="false">SUMIF($C$2:$F$2,EOMONTH(CD$2,-1)+1,$C67:$F67)*VLOOKUP(CD$2,Valores!$H$2:$P$154,8,0)</f>
        <v>28524.9185254368</v>
      </c>
      <c r="CE67" s="27" t="n">
        <f aca="false">SUMIF($C$2:$F$2,EOMONTH(CE$2,-1)+1,$C67:$F67)*VLOOKUP(CE$2,Valores!$H$2:$P$154,8,0)</f>
        <v>38033.2247005823</v>
      </c>
      <c r="CF67" s="27" t="n">
        <f aca="false">SUMIF($C$2:$F$2,EOMONTH(CF$2,-1)+1,$C67:$F67)*VLOOKUP(CF$2,Valores!$H$2:$P$154,8,0)</f>
        <v>23770.765437864</v>
      </c>
      <c r="CG67" s="27" t="n">
        <f aca="false">SUMIF($C$2:$F$2,EOMONTH(CG$2,-1)+1,$C67:$F67)*VLOOKUP(CG$2,Valores!$H$2:$P$154,8,0)</f>
        <v>12677.7415668608</v>
      </c>
      <c r="CH67" s="27" t="n">
        <f aca="false">SUMIF($C$2:$F$2,EOMONTH(CH$2,-1)+1,$C67:$F67)*VLOOKUP(CH$2,Valores!$H$2:$P$154,8,0)</f>
        <v>12677.7415668608</v>
      </c>
      <c r="CI67" s="27" t="n">
        <f aca="false">SUMIF($C$2:$F$2,EOMONTH(CI$2,-1)+1,$C67:$F67)*VLOOKUP(CI$2,Valores!$H$2:$P$154,8,0)</f>
        <v>12677.7415668608</v>
      </c>
      <c r="CJ67" s="27" t="n">
        <f aca="false">SUMIF($C$2:$F$2,EOMONTH(CJ$2,-1)+1,$C67:$F67)*VLOOKUP(CJ$2,Valores!$H$2:$P$154,8,0)</f>
        <v>12677.7415668608</v>
      </c>
      <c r="CK67" s="27" t="n">
        <f aca="false">SUMIF($C$2:$F$2,EOMONTH(CK$2,-1)+1,$C67:$F67)*VLOOKUP(CK$2,Valores!$H$2:$P$154,8,0)</f>
        <v>25355.4831337216</v>
      </c>
      <c r="CL67" s="27" t="n">
        <f aca="false">SUMIF($C$2:$F$2,EOMONTH(CL$2,-1)+1,$C67:$F67)*VLOOKUP(CL$2,Valores!$H$2:$P$154,8,0)</f>
        <v>31694.3539171519</v>
      </c>
      <c r="CM67" s="27" t="n">
        <f aca="false">SUMIF($C$2:$F$2,EOMONTH(CM$2,-1)+1,$C67:$F67)*VLOOKUP(CM$2,Valores!$H$2:$P$154,8,0)</f>
        <v>19016.6123502912</v>
      </c>
      <c r="CN67" s="27" t="n">
        <f aca="false">SUMIF($C$2:$F$2,EOMONTH(CN$2,-1)+1,$C67:$F67)*VLOOKUP(CN$2,Valores!$H$2:$P$154,8,0)</f>
        <v>13945.5157235469</v>
      </c>
      <c r="CO67" s="27" t="n">
        <f aca="false">SUMIF($C$2:$F$2,EOMONTH(CO$2,-1)+1,$C67:$F67)*VLOOKUP(CO$2,Valores!$H$2:$P$154,8,0)</f>
        <v>13945.5157235469</v>
      </c>
      <c r="CP67" s="27" t="n">
        <f aca="false">SUMIF($C$2:$F$2,EOMONTH(CP$2,-1)+1,$C67:$F67)*VLOOKUP(CP$2,Valores!$H$2:$P$154,8,0)</f>
        <v>13945.5157235469</v>
      </c>
      <c r="CQ67" s="27" t="n">
        <f aca="false">SUMIF($C$2:$F$2,EOMONTH(CQ$2,-1)+1,$C67:$F67)*VLOOKUP(CQ$2,Valores!$H$2:$P$154,8,0)</f>
        <v>13945.5157235469</v>
      </c>
      <c r="CR67" s="27" t="n">
        <f aca="false">SUMIF($C$2:$F$2,EOMONTH(CR$2,-1)+1,$C67:$F67)*VLOOKUP(CR$2,Valores!$H$2:$P$154,8,0)</f>
        <v>27891.0314470937</v>
      </c>
      <c r="CS67" s="27" t="n">
        <f aca="false">SUMIF($C$2:$F$2,EOMONTH(CS$2,-1)+1,$C67:$F67)*VLOOKUP(CS$2,Valores!$H$2:$P$154,8,0)</f>
        <v>41836.5471706406</v>
      </c>
      <c r="CT67" s="27" t="e">
        <f aca="false">SUMIF($C$2:$F$2,EOMONTH(CT$2,-1)+1,$C67:$F67)*VLOOKUP(CT$2,Valores!$H$2:$P$154,8,0)</f>
        <v>#VALUE!</v>
      </c>
      <c r="CU67" s="27" t="e">
        <f aca="false">SUMIF($C$2:$F$2,EOMONTH(CU$2,-1)+1,$C67:$F67)*VLOOKUP(CU$2,Valores!$H$2:$P$154,8,0)</f>
        <v>#VALUE!</v>
      </c>
      <c r="CV67" s="27" t="e">
        <f aca="false">SUMIF($C$2:$F$2,EOMONTH(CV$2,-1)+1,$C67:$F67)*VLOOKUP(CV$2,Valores!$H$2:$P$154,8,0)</f>
        <v>#VALUE!</v>
      </c>
      <c r="CW67" s="27" t="e">
        <f aca="false">SUMIF($C$2:$F$2,EOMONTH(CW$2,-1)+1,$C67:$F67)*VLOOKUP(CW$2,Valores!$H$2:$P$154,8,0)</f>
        <v>#VALUE!</v>
      </c>
      <c r="CX67" s="27" t="e">
        <f aca="false">SUMIF($C$2:$F$2,EOMONTH(CX$2,-1)+1,$C67:$F67)*VLOOKUP(CX$2,Valores!$H$2:$P$154,8,0)</f>
        <v>#VALUE!</v>
      </c>
      <c r="CY67" s="27" t="e">
        <f aca="false">SUMIF($C$2:$F$2,EOMONTH(CY$2,-1)+1,$C67:$F67)*VLOOKUP(CY$2,Valores!$H$2:$P$154,8,0)</f>
        <v>#VALUE!</v>
      </c>
      <c r="CZ67" s="27" t="e">
        <f aca="false">SUMIF($C$2:$F$2,EOMONTH(CZ$2,-1)+1,$C67:$F67)*VLOOKUP(CZ$2,Valores!$H$2:$P$154,8,0)</f>
        <v>#VALUE!</v>
      </c>
      <c r="DA67" s="27" t="e">
        <f aca="false">SUMIF($C$2:$F$2,EOMONTH(DA$2,-1)+1,$C67:$F67)*VLOOKUP(DA$2,Valores!$H$2:$P$154,8,0)</f>
        <v>#VALUE!</v>
      </c>
      <c r="DB67" s="27" t="e">
        <f aca="false">SUMIF($C$2:$F$2,EOMONTH(DB$2,-1)+1,$C67:$F67)*VLOOKUP(DB$2,Valores!$H$2:$P$154,8,0)</f>
        <v>#VALUE!</v>
      </c>
      <c r="DC67" s="27" t="e">
        <f aca="false">SUMIF($C$2:$F$2,EOMONTH(DC$2,-1)+1,$C67:$F67)*VLOOKUP(DC$2,Valores!$H$2:$P$154,8,0)</f>
        <v>#VALUE!</v>
      </c>
      <c r="DD67" s="27" t="e">
        <f aca="false">SUMIF($C$2:$F$2,EOMONTH(DD$2,-1)+1,$C67:$F67)*VLOOKUP(DD$2,Valores!$H$2:$P$154,8,0)</f>
        <v>#VALUE!</v>
      </c>
      <c r="DE67" s="27" t="e">
        <f aca="false">SUMIF($C$2:$F$2,EOMONTH(DE$2,-1)+1,$C67:$F67)*VLOOKUP(DE$2,Valores!$H$2:$P$154,8,0)</f>
        <v>#VALUE!</v>
      </c>
      <c r="DF67" s="27" t="e">
        <f aca="false">SUMIF($C$2:$F$2,EOMONTH(DF$2,-1)+1,$C67:$F67)*VLOOKUP(DF$2,Valores!$H$2:$P$154,8,0)</f>
        <v>#VALUE!</v>
      </c>
      <c r="DG67" s="27" t="e">
        <f aca="false">SUMIF($C$2:$F$2,EOMONTH(DG$2,-1)+1,$C67:$F67)*VLOOKUP(DG$2,Valores!$H$2:$P$154,8,0)</f>
        <v>#VALUE!</v>
      </c>
      <c r="DH67" s="27" t="e">
        <f aca="false">SUMIF($C$2:$F$2,EOMONTH(DH$2,-1)+1,$C67:$F67)*VLOOKUP(DH$2,Valores!$H$2:$P$154,8,0)</f>
        <v>#VALUE!</v>
      </c>
      <c r="DI67" s="27" t="e">
        <f aca="false">SUMIF($C$2:$F$2,EOMONTH(DI$2,-1)+1,$C67:$F67)*VLOOKUP(DI$2,Valores!$H$2:$P$154,8,0)</f>
        <v>#VALUE!</v>
      </c>
      <c r="DJ67" s="27" t="e">
        <f aca="false">SUMIF($C$2:$F$2,EOMONTH(DJ$2,-1)+1,$C67:$F67)*VLOOKUP(DJ$2,Valores!$H$2:$P$154,8,0)</f>
        <v>#VALUE!</v>
      </c>
      <c r="DK67" s="27" t="e">
        <f aca="false">SUMIF($C$2:$F$2,EOMONTH(DK$2,-1)+1,$C67:$F67)*VLOOKUP(DK$2,Valores!$H$2:$P$154,8,0)</f>
        <v>#VALUE!</v>
      </c>
      <c r="DL67" s="27" t="e">
        <f aca="false">SUMIF($C$2:$F$2,EOMONTH(DL$2,-1)+1,$C67:$F67)*VLOOKUP(DL$2,Valores!$H$2:$P$154,8,0)</f>
        <v>#VALUE!</v>
      </c>
      <c r="DM67" s="27" t="e">
        <f aca="false">SUMIF($C$2:$F$2,EOMONTH(DM$2,-1)+1,$C67:$F67)*VLOOKUP(DM$2,Valores!$H$2:$P$154,8,0)</f>
        <v>#VALUE!</v>
      </c>
      <c r="DN67" s="27" t="e">
        <f aca="false">SUMIF($C$2:$F$2,EOMONTH(DN$2,-1)+1,$C67:$F67)*VLOOKUP(DN$2,Valores!$H$2:$P$154,8,0)</f>
        <v>#VALUE!</v>
      </c>
      <c r="DO67" s="27" t="e">
        <f aca="false">SUMIF($C$2:$F$2,EOMONTH(DO$2,-1)+1,$C67:$F67)*VLOOKUP(DO$2,Valores!$H$2:$P$154,8,0)</f>
        <v>#VALUE!</v>
      </c>
      <c r="DP67" s="27" t="e">
        <f aca="false">SUMIF($C$2:$F$2,EOMONTH(DP$2,-1)+1,$C67:$F67)*VLOOKUP(DP$2,Valores!$H$2:$P$154,8,0)</f>
        <v>#VALUE!</v>
      </c>
      <c r="DQ67" s="27" t="e">
        <f aca="false">SUMIF($C$2:$F$2,EOMONTH(DQ$2,-1)+1,$C67:$F67)*VLOOKUP(DQ$2,Valores!$H$2:$P$154,8,0)</f>
        <v>#VALUE!</v>
      </c>
      <c r="DR67" s="27" t="e">
        <f aca="false">SUMIF($C$2:$F$2,EOMONTH(DR$2,-1)+1,$C67:$F67)*VLOOKUP(DR$2,Valores!$H$2:$P$154,8,0)</f>
        <v>#VALUE!</v>
      </c>
      <c r="DS67" s="27" t="e">
        <f aca="false">SUMIF($C$2:$F$2,EOMONTH(DS$2,-1)+1,$C67:$F67)*VLOOKUP(DS$2,Valores!$H$2:$P$154,8,0)</f>
        <v>#VALUE!</v>
      </c>
      <c r="DT67" s="27" t="e">
        <f aca="false">SUMIF($C$2:$F$2,EOMONTH(DT$2,-1)+1,$C67:$F67)*VLOOKUP(DT$2,Valores!$H$2:$P$154,8,0)</f>
        <v>#VALUE!</v>
      </c>
      <c r="DU67" s="27" t="e">
        <f aca="false">SUMIF($C$2:$F$2,EOMONTH(DU$2,-1)+1,$C67:$F67)*VLOOKUP(DU$2,Valores!$H$2:$P$154,8,0)</f>
        <v>#VALUE!</v>
      </c>
      <c r="DV67" s="27" t="e">
        <f aca="false">SUMIF($C$2:$F$2,EOMONTH(DV$2,-1)+1,$C67:$F67)*VLOOKUP(DV$2,Valores!$H$2:$P$154,8,0)</f>
        <v>#VALUE!</v>
      </c>
      <c r="DW67" s="27" t="e">
        <f aca="false">SUMIF($C$2:$F$2,EOMONTH(DW$2,-1)+1,$C67:$F67)*VLOOKUP(DW$2,Valores!$H$2:$P$154,8,0)</f>
        <v>#VALUE!</v>
      </c>
      <c r="DX67" s="27" t="e">
        <f aca="false">SUMIF($C$2:$F$2,EOMONTH(DX$2,-1)+1,$C67:$F67)*VLOOKUP(DX$2,Valores!$H$2:$P$154,8,0)</f>
        <v>#VALUE!</v>
      </c>
    </row>
    <row r="68" customFormat="false" ht="13.8" hidden="false" customHeight="false" outlineLevel="0" collapsed="false">
      <c r="A68" s="29" t="s">
        <v>54</v>
      </c>
      <c r="B68" s="29" t="s">
        <v>90</v>
      </c>
      <c r="C68" s="29" t="n">
        <v>576409</v>
      </c>
      <c r="D68" s="29" t="n">
        <v>518768.1</v>
      </c>
      <c r="E68" s="29" t="n">
        <v>466891.29</v>
      </c>
      <c r="F68" s="29" t="n">
        <v>420202.161</v>
      </c>
      <c r="G68" s="30" t="n">
        <f aca="false">SUMIF($C$2:$F$2,EOMONTH(G$2,-1)+1,$C68:$F68)*VLOOKUP(G$2,Valores!$H$2:$P$154,8,0)</f>
        <v>16598.9098239263</v>
      </c>
      <c r="H68" s="30" t="n">
        <f aca="false">SUMIF($C$2:$F$2,EOMONTH(H$2,-1)+1,$C68:$F68)*VLOOKUP(H$2,Valores!$H$2:$P$154,8,0)</f>
        <v>11382.1095935494</v>
      </c>
      <c r="I68" s="30" t="n">
        <f aca="false">SUMIF($C$2:$F$2,EOMONTH(I$2,-1)+1,$C68:$F68)*VLOOKUP(I$2,Valores!$H$2:$P$154,8,0)</f>
        <v>11382.1095935494</v>
      </c>
      <c r="J68" s="30" t="n">
        <f aca="false">SUMIF($C$2:$F$2,EOMONTH(J$2,-1)+1,$C68:$F68)*VLOOKUP(J$2,Valores!$H$2:$P$154,8,0)</f>
        <v>11382.1095935494</v>
      </c>
      <c r="K68" s="30" t="n">
        <f aca="false">SUMIF($C$2:$F$2,EOMONTH(K$2,-1)+1,$C68:$F68)*VLOOKUP(K$2,Valores!$H$2:$P$154,8,0)</f>
        <v>11382.1095935494</v>
      </c>
      <c r="L68" s="30" t="n">
        <f aca="false">SUMIF($C$2:$F$2,EOMONTH(L$2,-1)+1,$C68:$F68)*VLOOKUP(L$2,Valores!$H$2:$P$154,8,0)</f>
        <v>22764.2191870989</v>
      </c>
      <c r="M68" s="30" t="n">
        <f aca="false">SUMIF($C$2:$F$2,EOMONTH(M$2,-1)+1,$C68:$F68)*VLOOKUP(M$2,Valores!$H$2:$P$154,8,0)</f>
        <v>28455.2739838736</v>
      </c>
      <c r="N68" s="30" t="n">
        <f aca="false">SUMIF($C$2:$F$2,EOMONTH(N$2,-1)+1,$C68:$F68)*VLOOKUP(N$2,Valores!$H$2:$P$154,8,0)</f>
        <v>17073.1643903242</v>
      </c>
      <c r="O68" s="30" t="n">
        <f aca="false">SUMIF($C$2:$F$2,EOMONTH(O$2,-1)+1,$C68:$F68)*VLOOKUP(O$2,Valores!$H$2:$P$154,8,0)</f>
        <v>15176.1461247326</v>
      </c>
      <c r="P68" s="30" t="n">
        <f aca="false">SUMIF($C$2:$F$2,EOMONTH(P$2,-1)+1,$C68:$F68)*VLOOKUP(P$2,Valores!$H$2:$P$154,8,0)</f>
        <v>15176.1461247326</v>
      </c>
      <c r="Q68" s="30" t="n">
        <f aca="false">SUMIF($C$2:$F$2,EOMONTH(Q$2,-1)+1,$C68:$F68)*VLOOKUP(Q$2,Valores!$H$2:$P$154,8,0)</f>
        <v>9105.68767483955</v>
      </c>
      <c r="R68" s="30" t="n">
        <f aca="false">SUMIF($C$2:$F$2,EOMONTH(R$2,-1)+1,$C68:$F68)*VLOOKUP(R$2,Valores!$H$2:$P$154,8,0)</f>
        <v>15176.1461247326</v>
      </c>
      <c r="S68" s="30" t="n">
        <f aca="false">SUMIF($C$2:$F$2,EOMONTH(S$2,-1)+1,$C68:$F68)*VLOOKUP(S$2,Valores!$H$2:$P$154,8,0)</f>
        <v>30352.2922494652</v>
      </c>
      <c r="T68" s="30" t="n">
        <f aca="false">SUMIF($C$2:$F$2,EOMONTH(T$2,-1)+1,$C68:$F68)*VLOOKUP(T$2,Valores!$H$2:$P$154,8,0)</f>
        <v>37940.3653118315</v>
      </c>
      <c r="U68" s="30" t="n">
        <f aca="false">SUMIF($C$2:$F$2,EOMONTH(U$2,-1)+1,$C68:$F68)*VLOOKUP(U$2,Valores!$H$2:$P$154,8,0)</f>
        <v>22764.2191870989</v>
      </c>
      <c r="V68" s="30" t="n">
        <f aca="false">SUMIF($C$2:$F$2,EOMONTH(V$2,-1)+1,$C68:$F68)*VLOOKUP(V$2,Valores!$H$2:$P$154,8,0)</f>
        <v>18970.1826559157</v>
      </c>
      <c r="W68" s="30" t="n">
        <f aca="false">SUMIF($C$2:$F$2,EOMONTH(W$2,-1)+1,$C68:$F68)*VLOOKUP(W$2,Valores!$H$2:$P$154,8,0)</f>
        <v>18970.1826559157</v>
      </c>
      <c r="X68" s="30" t="n">
        <f aca="false">SUMIF($C$2:$F$2,EOMONTH(X$2,-1)+1,$C68:$F68)*VLOOKUP(X$2,Valores!$H$2:$P$154,8,0)</f>
        <v>0</v>
      </c>
      <c r="Y68" s="30" t="n">
        <f aca="false">SUMIF($C$2:$F$2,EOMONTH(Y$2,-1)+1,$C68:$F68)*VLOOKUP(Y$2,Valores!$H$2:$P$154,8,0)</f>
        <v>0</v>
      </c>
      <c r="Z68" s="30" t="n">
        <f aca="false">SUMIF($C$2:$F$2,EOMONTH(Z$2,-1)+1,$C68:$F68)*VLOOKUP(Z$2,Valores!$H$2:$P$154,8,0)</f>
        <v>28455.2739838736</v>
      </c>
      <c r="AA68" s="30" t="n">
        <f aca="false">SUMIF($C$2:$F$2,EOMONTH(AA$2,-1)+1,$C68:$F68)*VLOOKUP(AA$2,Valores!$H$2:$P$154,8,0)</f>
        <v>34146.3287806483</v>
      </c>
      <c r="AB68" s="30" t="n">
        <f aca="false">SUMIF($C$2:$F$2,EOMONTH(AB$2,-1)+1,$C68:$F68)*VLOOKUP(AB$2,Valores!$H$2:$P$154,8,0)</f>
        <v>17073.1643903242</v>
      </c>
      <c r="AC68" s="30" t="n">
        <f aca="false">SUMIF($C$2:$F$2,EOMONTH(AC$2,-1)+1,$C68:$F68)*VLOOKUP(AC$2,Valores!$H$2:$P$154,8,0)</f>
        <v>20867.2009215073</v>
      </c>
      <c r="AD68" s="30" t="n">
        <f aca="false">SUMIF($C$2:$F$2,EOMONTH(AD$2,-1)+1,$C68:$F68)*VLOOKUP(AD$2,Valores!$H$2:$P$154,8,0)</f>
        <v>20867.2009215073</v>
      </c>
      <c r="AE68" s="30" t="n">
        <f aca="false">SUMIF($C$2:$F$2,EOMONTH(AE$2,-1)+1,$C68:$F68)*VLOOKUP(AE$2,Valores!$H$2:$P$154,8,0)</f>
        <v>20867.2009215073</v>
      </c>
      <c r="AF68" s="30" t="n">
        <f aca="false">SUMIF($C$2:$F$2,EOMONTH(AF$2,-1)+1,$C68:$F68)*VLOOKUP(AF$2,Valores!$H$2:$P$154,8,0)</f>
        <v>20867.2009215073</v>
      </c>
      <c r="AG68" s="30" t="n">
        <f aca="false">SUMIF($C$2:$F$2,EOMONTH(AG$2,-1)+1,$C68:$F68)*VLOOKUP(AG$2,Valores!$H$2:$P$154,8,0)</f>
        <v>33387.5214744117</v>
      </c>
      <c r="AH68" s="30" t="n">
        <f aca="false">SUMIF($C$2:$F$2,EOMONTH(AH$2,-1)+1,$C68:$F68)*VLOOKUP(AH$2,Valores!$H$2:$P$154,8,0)</f>
        <v>41734.4018430146</v>
      </c>
      <c r="AI68" s="30" t="n">
        <f aca="false">SUMIF($C$2:$F$2,EOMONTH(AI$2,-1)+1,$C68:$F68)*VLOOKUP(AI$2,Valores!$H$2:$P$154,8,0)</f>
        <v>14607.0406450551</v>
      </c>
      <c r="AJ68" s="30" t="n">
        <f aca="false">SUMIF($C$2:$F$2,EOMONTH(AJ$2,-1)+1,$C68:$F68)*VLOOKUP(AJ$2,Valores!$H$2:$P$154,8,0)</f>
        <v>9485.09132795788</v>
      </c>
      <c r="AK68" s="30" t="n">
        <f aca="false">SUMIF($C$2:$F$2,EOMONTH(AK$2,-1)+1,$C68:$F68)*VLOOKUP(AK$2,Valores!$H$2:$P$154,8,0)</f>
        <v>17296.8001143157</v>
      </c>
      <c r="AL68" s="30" t="n">
        <f aca="false">SUMIF($C$2:$F$2,EOMONTH(AL$2,-1)+1,$C68:$F68)*VLOOKUP(AL$2,Valores!$H$2:$P$154,8,0)</f>
        <v>17296.8001143157</v>
      </c>
      <c r="AM68" s="30" t="n">
        <f aca="false">SUMIF($C$2:$F$2,EOMONTH(AM$2,-1)+1,$C68:$F68)*VLOOKUP(AM$2,Valores!$H$2:$P$154,8,0)</f>
        <v>17296.8001143157</v>
      </c>
      <c r="AN68" s="30" t="n">
        <f aca="false">SUMIF($C$2:$F$2,EOMONTH(AN$2,-1)+1,$C68:$F68)*VLOOKUP(AN$2,Valores!$H$2:$P$154,8,0)</f>
        <v>34593.6002286313</v>
      </c>
      <c r="AO68" s="30" t="n">
        <f aca="false">SUMIF($C$2:$F$2,EOMONTH(AO$2,-1)+1,$C68:$F68)*VLOOKUP(AO$2,Valores!$H$2:$P$154,8,0)</f>
        <v>43242.0002857891</v>
      </c>
      <c r="AP68" s="30" t="n">
        <f aca="false">SUMIF($C$2:$F$2,EOMONTH(AP$2,-1)+1,$C68:$F68)*VLOOKUP(AP$2,Valores!$H$2:$P$154,8,0)</f>
        <v>25945.2001714735</v>
      </c>
      <c r="AQ68" s="30" t="n">
        <f aca="false">SUMIF($C$2:$F$2,EOMONTH(AQ$2,-1)+1,$C68:$F68)*VLOOKUP(AQ$2,Valores!$H$2:$P$154,8,0)</f>
        <v>9266.14291838338</v>
      </c>
      <c r="AR68" s="30" t="n">
        <f aca="false">SUMIF($C$2:$F$2,EOMONTH(AR$2,-1)+1,$C68:$F68)*VLOOKUP(AR$2,Valores!$H$2:$P$154,8,0)</f>
        <v>9266.14291838338</v>
      </c>
      <c r="AS68" s="30" t="n">
        <f aca="false">SUMIF($C$2:$F$2,EOMONTH(AS$2,-1)+1,$C68:$F68)*VLOOKUP(AS$2,Valores!$H$2:$P$154,8,0)</f>
        <v>9266.14291838338</v>
      </c>
      <c r="AT68" s="30" t="n">
        <f aca="false">SUMIF($C$2:$F$2,EOMONTH(AT$2,-1)+1,$C68:$F68)*VLOOKUP(AT$2,Valores!$H$2:$P$154,8,0)</f>
        <v>9266.14291838338</v>
      </c>
      <c r="AU68" s="30" t="n">
        <f aca="false">SUMIF($C$2:$F$2,EOMONTH(AU$2,-1)+1,$C68:$F68)*VLOOKUP(AU$2,Valores!$H$2:$P$154,8,0)</f>
        <v>18532.2858367668</v>
      </c>
      <c r="AV68" s="30" t="n">
        <f aca="false">SUMIF($C$2:$F$2,EOMONTH(AV$2,-1)+1,$C68:$F68)*VLOOKUP(AV$2,Valores!$H$2:$P$154,8,0)</f>
        <v>23165.3572959585</v>
      </c>
      <c r="AW68" s="30" t="n">
        <f aca="false">SUMIF($C$2:$F$2,EOMONTH(AW$2,-1)+1,$C68:$F68)*VLOOKUP(AW$2,Valores!$H$2:$P$154,8,0)</f>
        <v>13899.2143775751</v>
      </c>
      <c r="AX68" s="30" t="n">
        <f aca="false">SUMIF($C$2:$F$2,EOMONTH(AX$2,-1)+1,$C68:$F68)*VLOOKUP(AX$2,Valores!$H$2:$P$154,8,0)</f>
        <v>9266.14291838338</v>
      </c>
      <c r="AY68" s="30" t="n">
        <f aca="false">SUMIF($C$2:$F$2,EOMONTH(AY$2,-1)+1,$C68:$F68)*VLOOKUP(AY$2,Valores!$H$2:$P$154,8,0)</f>
        <v>12045.9857938984</v>
      </c>
      <c r="AZ68" s="30" t="n">
        <f aca="false">SUMIF($C$2:$F$2,EOMONTH(AZ$2,-1)+1,$C68:$F68)*VLOOKUP(AZ$2,Valores!$H$2:$P$154,8,0)</f>
        <v>12045.9857938984</v>
      </c>
      <c r="BA68" s="30" t="n">
        <f aca="false">SUMIF($C$2:$F$2,EOMONTH(BA$2,-1)+1,$C68:$F68)*VLOOKUP(BA$2,Valores!$H$2:$P$154,8,0)</f>
        <v>12045.9857938984</v>
      </c>
      <c r="BB68" s="30" t="n">
        <f aca="false">SUMIF($C$2:$F$2,EOMONTH(BB$2,-1)+1,$C68:$F68)*VLOOKUP(BB$2,Valores!$H$2:$P$154,8,0)</f>
        <v>21312.1287122818</v>
      </c>
      <c r="BC68" s="30" t="n">
        <f aca="false">SUMIF($C$2:$F$2,EOMONTH(BC$2,-1)+1,$C68:$F68)*VLOOKUP(BC$2,Valores!$H$2:$P$154,8,0)</f>
        <v>25945.2001714735</v>
      </c>
      <c r="BD68" s="30" t="n">
        <f aca="false">SUMIF($C$2:$F$2,EOMONTH(BD$2,-1)+1,$C68:$F68)*VLOOKUP(BD$2,Valores!$H$2:$P$154,8,0)</f>
        <v>13899.2143775751</v>
      </c>
      <c r="BE68" s="30" t="n">
        <f aca="false">SUMIF($C$2:$F$2,EOMONTH(BE$2,-1)+1,$C68:$F68)*VLOOKUP(BE$2,Valores!$H$2:$P$154,8,0)</f>
        <v>12354.8572245112</v>
      </c>
      <c r="BF68" s="30" t="n">
        <f aca="false">SUMIF($C$2:$F$2,EOMONTH(BF$2,-1)+1,$C68:$F68)*VLOOKUP(BF$2,Valores!$H$2:$P$154,8,0)</f>
        <v>12354.8572245112</v>
      </c>
      <c r="BG68" s="30" t="n">
        <f aca="false">SUMIF($C$2:$F$2,EOMONTH(BG$2,-1)+1,$C68:$F68)*VLOOKUP(BG$2,Valores!$H$2:$P$154,8,0)</f>
        <v>12354.8572245112</v>
      </c>
      <c r="BH68" s="30" t="n">
        <f aca="false">SUMIF($C$2:$F$2,EOMONTH(BH$2,-1)+1,$C68:$F68)*VLOOKUP(BH$2,Valores!$H$2:$P$154,8,0)</f>
        <v>12354.8572245112</v>
      </c>
      <c r="BI68" s="30" t="n">
        <f aca="false">SUMIF($C$2:$F$2,EOMONTH(BI$2,-1)+1,$C68:$F68)*VLOOKUP(BI$2,Valores!$H$2:$P$154,8,0)</f>
        <v>24709.7144490224</v>
      </c>
      <c r="BJ68" s="30" t="n">
        <f aca="false">SUMIF($C$2:$F$2,EOMONTH(BJ$2,-1)+1,$C68:$F68)*VLOOKUP(BJ$2,Valores!$H$2:$P$154,8,0)</f>
        <v>30887.1430612779</v>
      </c>
      <c r="BK68" s="30" t="n">
        <f aca="false">SUMIF($C$2:$F$2,EOMONTH(BK$2,-1)+1,$C68:$F68)*VLOOKUP(BK$2,Valores!$H$2:$P$154,8,0)</f>
        <v>14825.8286694134</v>
      </c>
      <c r="BL68" s="30" t="n">
        <f aca="false">SUMIF($C$2:$F$2,EOMONTH(BL$2,-1)+1,$C68:$F68)*VLOOKUP(BL$2,Valores!$H$2:$P$154,8,0)</f>
        <v>10872.2743575698</v>
      </c>
      <c r="BM68" s="30" t="n">
        <f aca="false">SUMIF($C$2:$F$2,EOMONTH(BM$2,-1)+1,$C68:$F68)*VLOOKUP(BM$2,Valores!$H$2:$P$154,8,0)</f>
        <v>10872.2743575698</v>
      </c>
      <c r="BN68" s="30" t="n">
        <f aca="false">SUMIF($C$2:$F$2,EOMONTH(BN$2,-1)+1,$C68:$F68)*VLOOKUP(BN$2,Valores!$H$2:$P$154,8,0)</f>
        <v>10872.2743575698</v>
      </c>
      <c r="BO68" s="30" t="n">
        <f aca="false">SUMIF($C$2:$F$2,EOMONTH(BO$2,-1)+1,$C68:$F68)*VLOOKUP(BO$2,Valores!$H$2:$P$154,8,0)</f>
        <v>11415.8880754483</v>
      </c>
      <c r="BP68" s="30" t="n">
        <f aca="false">SUMIF($C$2:$F$2,EOMONTH(BP$2,-1)+1,$C68:$F68)*VLOOKUP(BP$2,Valores!$H$2:$P$154,8,0)</f>
        <v>28728.6147016811</v>
      </c>
      <c r="BQ68" s="30" t="n">
        <f aca="false">SUMIF($C$2:$F$2,EOMONTH(BQ$2,-1)+1,$C68:$F68)*VLOOKUP(BQ$2,Valores!$H$2:$P$154,8,0)</f>
        <v>35910.7683771014</v>
      </c>
      <c r="BR68" s="30" t="n">
        <f aca="false">SUMIF($C$2:$F$2,EOMONTH(BR$2,-1)+1,$C68:$F68)*VLOOKUP(BR$2,Valores!$H$2:$P$154,8,0)</f>
        <v>17237.1688210087</v>
      </c>
      <c r="BS68" s="30" t="n">
        <f aca="false">SUMIF($C$2:$F$2,EOMONTH(BS$2,-1)+1,$C68:$F68)*VLOOKUP(BS$2,Valores!$H$2:$P$154,8,0)</f>
        <v>7695.16465223601</v>
      </c>
      <c r="BT68" s="30" t="n">
        <f aca="false">SUMIF($C$2:$F$2,EOMONTH(BT$2,-1)+1,$C68:$F68)*VLOOKUP(BT$2,Valores!$H$2:$P$154,8,0)</f>
        <v>7695.16465223601</v>
      </c>
      <c r="BU68" s="30" t="n">
        <f aca="false">SUMIF($C$2:$F$2,EOMONTH(BU$2,-1)+1,$C68:$F68)*VLOOKUP(BU$2,Valores!$H$2:$P$154,8,0)</f>
        <v>7695.16465223601</v>
      </c>
      <c r="BV68" s="30" t="n">
        <f aca="false">SUMIF($C$2:$F$2,EOMONTH(BV$2,-1)+1,$C68:$F68)*VLOOKUP(BV$2,Valores!$H$2:$P$154,8,0)</f>
        <v>7695.16465223601</v>
      </c>
      <c r="BW68" s="30" t="n">
        <f aca="false">SUMIF($C$2:$F$2,EOMONTH(BW$2,-1)+1,$C68:$F68)*VLOOKUP(BW$2,Valores!$H$2:$P$154,8,0)</f>
        <v>15390.329304472</v>
      </c>
      <c r="BX68" s="30" t="n">
        <f aca="false">SUMIF($C$2:$F$2,EOMONTH(BX$2,-1)+1,$C68:$F68)*VLOOKUP(BX$2,Valores!$H$2:$P$154,8,0)</f>
        <v>19237.91163059</v>
      </c>
      <c r="BY68" s="30" t="n">
        <f aca="false">SUMIF($C$2:$F$2,EOMONTH(BY$2,-1)+1,$C68:$F68)*VLOOKUP(BY$2,Valores!$H$2:$P$154,8,0)</f>
        <v>11542.746978354</v>
      </c>
      <c r="BZ68" s="30" t="n">
        <f aca="false">SUMIF($C$2:$F$2,EOMONTH(BZ$2,-1)+1,$C68:$F68)*VLOOKUP(BZ$2,Valores!$H$2:$P$154,8,0)</f>
        <v>7695.16465223601</v>
      </c>
      <c r="CA68" s="30" t="n">
        <f aca="false">SUMIF($C$2:$F$2,EOMONTH(CA$2,-1)+1,$C68:$F68)*VLOOKUP(CA$2,Valores!$H$2:$P$154,8,0)</f>
        <v>7695.16465223601</v>
      </c>
      <c r="CB68" s="30" t="n">
        <f aca="false">SUMIF($C$2:$F$2,EOMONTH(CB$2,-1)+1,$C68:$F68)*VLOOKUP(CB$2,Valores!$H$2:$P$154,8,0)</f>
        <v>7695.16465223601</v>
      </c>
      <c r="CC68" s="30" t="n">
        <f aca="false">SUMIF($C$2:$F$2,EOMONTH(CC$2,-1)+1,$C68:$F68)*VLOOKUP(CC$2,Valores!$H$2:$P$154,8,0)</f>
        <v>7695.16465223601</v>
      </c>
      <c r="CD68" s="30" t="n">
        <f aca="false">SUMIF($C$2:$F$2,EOMONTH(CD$2,-1)+1,$C68:$F68)*VLOOKUP(CD$2,Valores!$H$2:$P$154,8,0)</f>
        <v>23085.493956708</v>
      </c>
      <c r="CE68" s="30" t="n">
        <f aca="false">SUMIF($C$2:$F$2,EOMONTH(CE$2,-1)+1,$C68:$F68)*VLOOKUP(CE$2,Valores!$H$2:$P$154,8,0)</f>
        <v>30780.6586089441</v>
      </c>
      <c r="CF68" s="30" t="n">
        <f aca="false">SUMIF($C$2:$F$2,EOMONTH(CF$2,-1)+1,$C68:$F68)*VLOOKUP(CF$2,Valores!$H$2:$P$154,8,0)</f>
        <v>19237.91163059</v>
      </c>
      <c r="CG68" s="30" t="n">
        <f aca="false">SUMIF($C$2:$F$2,EOMONTH(CG$2,-1)+1,$C68:$F68)*VLOOKUP(CG$2,Valores!$H$2:$P$154,8,0)</f>
        <v>10260.2195363147</v>
      </c>
      <c r="CH68" s="30" t="n">
        <f aca="false">SUMIF($C$2:$F$2,EOMONTH(CH$2,-1)+1,$C68:$F68)*VLOOKUP(CH$2,Valores!$H$2:$P$154,8,0)</f>
        <v>10260.2195363147</v>
      </c>
      <c r="CI68" s="30" t="n">
        <f aca="false">SUMIF($C$2:$F$2,EOMONTH(CI$2,-1)+1,$C68:$F68)*VLOOKUP(CI$2,Valores!$H$2:$P$154,8,0)</f>
        <v>10260.2195363147</v>
      </c>
      <c r="CJ68" s="30" t="n">
        <f aca="false">SUMIF($C$2:$F$2,EOMONTH(CJ$2,-1)+1,$C68:$F68)*VLOOKUP(CJ$2,Valores!$H$2:$P$154,8,0)</f>
        <v>10260.2195363147</v>
      </c>
      <c r="CK68" s="30" t="n">
        <f aca="false">SUMIF($C$2:$F$2,EOMONTH(CK$2,-1)+1,$C68:$F68)*VLOOKUP(CK$2,Valores!$H$2:$P$154,8,0)</f>
        <v>20520.4390726294</v>
      </c>
      <c r="CL68" s="30" t="n">
        <f aca="false">SUMIF($C$2:$F$2,EOMONTH(CL$2,-1)+1,$C68:$F68)*VLOOKUP(CL$2,Valores!$H$2:$P$154,8,0)</f>
        <v>25650.5488407867</v>
      </c>
      <c r="CM68" s="30" t="n">
        <f aca="false">SUMIF($C$2:$F$2,EOMONTH(CM$2,-1)+1,$C68:$F68)*VLOOKUP(CM$2,Valores!$H$2:$P$154,8,0)</f>
        <v>15390.329304472</v>
      </c>
      <c r="CN68" s="30" t="n">
        <f aca="false">SUMIF($C$2:$F$2,EOMONTH(CN$2,-1)+1,$C68:$F68)*VLOOKUP(CN$2,Valores!$H$2:$P$154,8,0)</f>
        <v>11286.2414899462</v>
      </c>
      <c r="CO68" s="30" t="n">
        <f aca="false">SUMIF($C$2:$F$2,EOMONTH(CO$2,-1)+1,$C68:$F68)*VLOOKUP(CO$2,Valores!$H$2:$P$154,8,0)</f>
        <v>11286.2414899462</v>
      </c>
      <c r="CP68" s="30" t="n">
        <f aca="false">SUMIF($C$2:$F$2,EOMONTH(CP$2,-1)+1,$C68:$F68)*VLOOKUP(CP$2,Valores!$H$2:$P$154,8,0)</f>
        <v>11286.2414899462</v>
      </c>
      <c r="CQ68" s="30" t="n">
        <f aca="false">SUMIF($C$2:$F$2,EOMONTH(CQ$2,-1)+1,$C68:$F68)*VLOOKUP(CQ$2,Valores!$H$2:$P$154,8,0)</f>
        <v>11286.2414899462</v>
      </c>
      <c r="CR68" s="30" t="n">
        <f aca="false">SUMIF($C$2:$F$2,EOMONTH(CR$2,-1)+1,$C68:$F68)*VLOOKUP(CR$2,Valores!$H$2:$P$154,8,0)</f>
        <v>22572.4829798923</v>
      </c>
      <c r="CS68" s="30" t="n">
        <f aca="false">SUMIF($C$2:$F$2,EOMONTH(CS$2,-1)+1,$C68:$F68)*VLOOKUP(CS$2,Valores!$H$2:$P$154,8,0)</f>
        <v>33858.7244698385</v>
      </c>
      <c r="CT68" s="30" t="e">
        <f aca="false">SUMIF($C$2:$F$2,EOMONTH(CT$2,-1)+1,$C68:$F68)*VLOOKUP(CT$2,Valores!$H$2:$P$154,8,0)</f>
        <v>#VALUE!</v>
      </c>
      <c r="CU68" s="30" t="e">
        <f aca="false">SUMIF($C$2:$F$2,EOMONTH(CU$2,-1)+1,$C68:$F68)*VLOOKUP(CU$2,Valores!$H$2:$P$154,8,0)</f>
        <v>#VALUE!</v>
      </c>
      <c r="CV68" s="30" t="e">
        <f aca="false">SUMIF($C$2:$F$2,EOMONTH(CV$2,-1)+1,$C68:$F68)*VLOOKUP(CV$2,Valores!$H$2:$P$154,8,0)</f>
        <v>#VALUE!</v>
      </c>
      <c r="CW68" s="30" t="e">
        <f aca="false">SUMIF($C$2:$F$2,EOMONTH(CW$2,-1)+1,$C68:$F68)*VLOOKUP(CW$2,Valores!$H$2:$P$154,8,0)</f>
        <v>#VALUE!</v>
      </c>
      <c r="CX68" s="30" t="e">
        <f aca="false">SUMIF($C$2:$F$2,EOMONTH(CX$2,-1)+1,$C68:$F68)*VLOOKUP(CX$2,Valores!$H$2:$P$154,8,0)</f>
        <v>#VALUE!</v>
      </c>
      <c r="CY68" s="30" t="e">
        <f aca="false">SUMIF($C$2:$F$2,EOMONTH(CY$2,-1)+1,$C68:$F68)*VLOOKUP(CY$2,Valores!$H$2:$P$154,8,0)</f>
        <v>#VALUE!</v>
      </c>
      <c r="CZ68" s="30" t="e">
        <f aca="false">SUMIF($C$2:$F$2,EOMONTH(CZ$2,-1)+1,$C68:$F68)*VLOOKUP(CZ$2,Valores!$H$2:$P$154,8,0)</f>
        <v>#VALUE!</v>
      </c>
      <c r="DA68" s="30" t="e">
        <f aca="false">SUMIF($C$2:$F$2,EOMONTH(DA$2,-1)+1,$C68:$F68)*VLOOKUP(DA$2,Valores!$H$2:$P$154,8,0)</f>
        <v>#VALUE!</v>
      </c>
      <c r="DB68" s="30" t="e">
        <f aca="false">SUMIF($C$2:$F$2,EOMONTH(DB$2,-1)+1,$C68:$F68)*VLOOKUP(DB$2,Valores!$H$2:$P$154,8,0)</f>
        <v>#VALUE!</v>
      </c>
      <c r="DC68" s="30" t="e">
        <f aca="false">SUMIF($C$2:$F$2,EOMONTH(DC$2,-1)+1,$C68:$F68)*VLOOKUP(DC$2,Valores!$H$2:$P$154,8,0)</f>
        <v>#VALUE!</v>
      </c>
      <c r="DD68" s="30" t="e">
        <f aca="false">SUMIF($C$2:$F$2,EOMONTH(DD$2,-1)+1,$C68:$F68)*VLOOKUP(DD$2,Valores!$H$2:$P$154,8,0)</f>
        <v>#VALUE!</v>
      </c>
      <c r="DE68" s="30" t="e">
        <f aca="false">SUMIF($C$2:$F$2,EOMONTH(DE$2,-1)+1,$C68:$F68)*VLOOKUP(DE$2,Valores!$H$2:$P$154,8,0)</f>
        <v>#VALUE!</v>
      </c>
      <c r="DF68" s="30" t="e">
        <f aca="false">SUMIF($C$2:$F$2,EOMONTH(DF$2,-1)+1,$C68:$F68)*VLOOKUP(DF$2,Valores!$H$2:$P$154,8,0)</f>
        <v>#VALUE!</v>
      </c>
      <c r="DG68" s="30" t="e">
        <f aca="false">SUMIF($C$2:$F$2,EOMONTH(DG$2,-1)+1,$C68:$F68)*VLOOKUP(DG$2,Valores!$H$2:$P$154,8,0)</f>
        <v>#VALUE!</v>
      </c>
      <c r="DH68" s="30" t="e">
        <f aca="false">SUMIF($C$2:$F$2,EOMONTH(DH$2,-1)+1,$C68:$F68)*VLOOKUP(DH$2,Valores!$H$2:$P$154,8,0)</f>
        <v>#VALUE!</v>
      </c>
      <c r="DI68" s="30" t="e">
        <f aca="false">SUMIF($C$2:$F$2,EOMONTH(DI$2,-1)+1,$C68:$F68)*VLOOKUP(DI$2,Valores!$H$2:$P$154,8,0)</f>
        <v>#VALUE!</v>
      </c>
      <c r="DJ68" s="30" t="e">
        <f aca="false">SUMIF($C$2:$F$2,EOMONTH(DJ$2,-1)+1,$C68:$F68)*VLOOKUP(DJ$2,Valores!$H$2:$P$154,8,0)</f>
        <v>#VALUE!</v>
      </c>
      <c r="DK68" s="30" t="e">
        <f aca="false">SUMIF($C$2:$F$2,EOMONTH(DK$2,-1)+1,$C68:$F68)*VLOOKUP(DK$2,Valores!$H$2:$P$154,8,0)</f>
        <v>#VALUE!</v>
      </c>
      <c r="DL68" s="30" t="e">
        <f aca="false">SUMIF($C$2:$F$2,EOMONTH(DL$2,-1)+1,$C68:$F68)*VLOOKUP(DL$2,Valores!$H$2:$P$154,8,0)</f>
        <v>#VALUE!</v>
      </c>
      <c r="DM68" s="30" t="e">
        <f aca="false">SUMIF($C$2:$F$2,EOMONTH(DM$2,-1)+1,$C68:$F68)*VLOOKUP(DM$2,Valores!$H$2:$P$154,8,0)</f>
        <v>#VALUE!</v>
      </c>
      <c r="DN68" s="30" t="e">
        <f aca="false">SUMIF($C$2:$F$2,EOMONTH(DN$2,-1)+1,$C68:$F68)*VLOOKUP(DN$2,Valores!$H$2:$P$154,8,0)</f>
        <v>#VALUE!</v>
      </c>
      <c r="DO68" s="30" t="e">
        <f aca="false">SUMIF($C$2:$F$2,EOMONTH(DO$2,-1)+1,$C68:$F68)*VLOOKUP(DO$2,Valores!$H$2:$P$154,8,0)</f>
        <v>#VALUE!</v>
      </c>
      <c r="DP68" s="30" t="e">
        <f aca="false">SUMIF($C$2:$F$2,EOMONTH(DP$2,-1)+1,$C68:$F68)*VLOOKUP(DP$2,Valores!$H$2:$P$154,8,0)</f>
        <v>#VALUE!</v>
      </c>
      <c r="DQ68" s="30" t="e">
        <f aca="false">SUMIF($C$2:$F$2,EOMONTH(DQ$2,-1)+1,$C68:$F68)*VLOOKUP(DQ$2,Valores!$H$2:$P$154,8,0)</f>
        <v>#VALUE!</v>
      </c>
      <c r="DR68" s="30" t="e">
        <f aca="false">SUMIF($C$2:$F$2,EOMONTH(DR$2,-1)+1,$C68:$F68)*VLOOKUP(DR$2,Valores!$H$2:$P$154,8,0)</f>
        <v>#VALUE!</v>
      </c>
      <c r="DS68" s="30" t="e">
        <f aca="false">SUMIF($C$2:$F$2,EOMONTH(DS$2,-1)+1,$C68:$F68)*VLOOKUP(DS$2,Valores!$H$2:$P$154,8,0)</f>
        <v>#VALUE!</v>
      </c>
      <c r="DT68" s="30" t="e">
        <f aca="false">SUMIF($C$2:$F$2,EOMONTH(DT$2,-1)+1,$C68:$F68)*VLOOKUP(DT$2,Valores!$H$2:$P$154,8,0)</f>
        <v>#VALUE!</v>
      </c>
      <c r="DU68" s="30" t="e">
        <f aca="false">SUMIF($C$2:$F$2,EOMONTH(DU$2,-1)+1,$C68:$F68)*VLOOKUP(DU$2,Valores!$H$2:$P$154,8,0)</f>
        <v>#VALUE!</v>
      </c>
      <c r="DV68" s="30" t="e">
        <f aca="false">SUMIF($C$2:$F$2,EOMONTH(DV$2,-1)+1,$C68:$F68)*VLOOKUP(DV$2,Valores!$H$2:$P$154,8,0)</f>
        <v>#VALUE!</v>
      </c>
      <c r="DW68" s="30" t="e">
        <f aca="false">SUMIF($C$2:$F$2,EOMONTH(DW$2,-1)+1,$C68:$F68)*VLOOKUP(DW$2,Valores!$H$2:$P$154,8,0)</f>
        <v>#VALUE!</v>
      </c>
      <c r="DX68" s="30" t="e">
        <f aca="false">SUMIF($C$2:$F$2,EOMONTH(DX$2,-1)+1,$C68:$F68)*VLOOKUP(DX$2,Valores!$H$2:$P$154,8,0)</f>
        <v>#VALUE!</v>
      </c>
    </row>
    <row r="69" customFormat="false" ht="13.8" hidden="false" customHeight="false" outlineLevel="0" collapsed="false">
      <c r="A69" s="32" t="s">
        <v>91</v>
      </c>
      <c r="B69" s="31" t="s">
        <v>92</v>
      </c>
      <c r="C69" s="31" t="n">
        <v>1436875</v>
      </c>
      <c r="D69" s="31" t="n">
        <v>1293187.5</v>
      </c>
      <c r="E69" s="31" t="n">
        <v>1163868.75</v>
      </c>
      <c r="F69" s="31" t="n">
        <v>1047481.875</v>
      </c>
      <c r="G69" s="27" t="n">
        <f aca="false">SUMIF($C$2:$F$2,EOMONTH(G$2,-1)+1,$C69:$F69)*VLOOKUP(G$2,Valores!$H$2:$P$154,8,0)</f>
        <v>41377.8385716636</v>
      </c>
      <c r="H69" s="27" t="n">
        <f aca="false">SUMIF($C$2:$F$2,EOMONTH(H$2,-1)+1,$C69:$F69)*VLOOKUP(H$2,Valores!$H$2:$P$154,8,0)</f>
        <v>28373.3750205694</v>
      </c>
      <c r="I69" s="27" t="n">
        <f aca="false">SUMIF($C$2:$F$2,EOMONTH(I$2,-1)+1,$C69:$F69)*VLOOKUP(I$2,Valores!$H$2:$P$154,8,0)</f>
        <v>28373.3750205694</v>
      </c>
      <c r="J69" s="27" t="n">
        <f aca="false">SUMIF($C$2:$F$2,EOMONTH(J$2,-1)+1,$C69:$F69)*VLOOKUP(J$2,Valores!$H$2:$P$154,8,0)</f>
        <v>28373.3750205694</v>
      </c>
      <c r="K69" s="27" t="n">
        <f aca="false">SUMIF($C$2:$F$2,EOMONTH(K$2,-1)+1,$C69:$F69)*VLOOKUP(K$2,Valores!$H$2:$P$154,8,0)</f>
        <v>28373.3750205694</v>
      </c>
      <c r="L69" s="27" t="n">
        <f aca="false">SUMIF($C$2:$F$2,EOMONTH(L$2,-1)+1,$C69:$F69)*VLOOKUP(L$2,Valores!$H$2:$P$154,8,0)</f>
        <v>56746.7500411387</v>
      </c>
      <c r="M69" s="27" t="n">
        <f aca="false">SUMIF($C$2:$F$2,EOMONTH(M$2,-1)+1,$C69:$F69)*VLOOKUP(M$2,Valores!$H$2:$P$154,8,0)</f>
        <v>70933.4375514234</v>
      </c>
      <c r="N69" s="27" t="n">
        <f aca="false">SUMIF($C$2:$F$2,EOMONTH(N$2,-1)+1,$C69:$F69)*VLOOKUP(N$2,Valores!$H$2:$P$154,8,0)</f>
        <v>42560.062530854</v>
      </c>
      <c r="O69" s="27" t="n">
        <f aca="false">SUMIF($C$2:$F$2,EOMONTH(O$2,-1)+1,$C69:$F69)*VLOOKUP(O$2,Valores!$H$2:$P$154,8,0)</f>
        <v>37831.1666940925</v>
      </c>
      <c r="P69" s="27" t="n">
        <f aca="false">SUMIF($C$2:$F$2,EOMONTH(P$2,-1)+1,$C69:$F69)*VLOOKUP(P$2,Valores!$H$2:$P$154,8,0)</f>
        <v>37831.1666940925</v>
      </c>
      <c r="Q69" s="27" t="n">
        <f aca="false">SUMIF($C$2:$F$2,EOMONTH(Q$2,-1)+1,$C69:$F69)*VLOOKUP(Q$2,Valores!$H$2:$P$154,8,0)</f>
        <v>22698.7000164555</v>
      </c>
      <c r="R69" s="27" t="n">
        <f aca="false">SUMIF($C$2:$F$2,EOMONTH(R$2,-1)+1,$C69:$F69)*VLOOKUP(R$2,Valores!$H$2:$P$154,8,0)</f>
        <v>37831.1666940925</v>
      </c>
      <c r="S69" s="27" t="n">
        <f aca="false">SUMIF($C$2:$F$2,EOMONTH(S$2,-1)+1,$C69:$F69)*VLOOKUP(S$2,Valores!$H$2:$P$154,8,0)</f>
        <v>75662.333388185</v>
      </c>
      <c r="T69" s="27" t="n">
        <f aca="false">SUMIF($C$2:$F$2,EOMONTH(T$2,-1)+1,$C69:$F69)*VLOOKUP(T$2,Valores!$H$2:$P$154,8,0)</f>
        <v>94577.9167352312</v>
      </c>
      <c r="U69" s="27" t="n">
        <f aca="false">SUMIF($C$2:$F$2,EOMONTH(U$2,-1)+1,$C69:$F69)*VLOOKUP(U$2,Valores!$H$2:$P$154,8,0)</f>
        <v>56746.7500411387</v>
      </c>
      <c r="V69" s="27" t="n">
        <f aca="false">SUMIF($C$2:$F$2,EOMONTH(V$2,-1)+1,$C69:$F69)*VLOOKUP(V$2,Valores!$H$2:$P$154,8,0)</f>
        <v>47288.9583676156</v>
      </c>
      <c r="W69" s="27" t="n">
        <f aca="false">SUMIF($C$2:$F$2,EOMONTH(W$2,-1)+1,$C69:$F69)*VLOOKUP(W$2,Valores!$H$2:$P$154,8,0)</f>
        <v>47288.9583676156</v>
      </c>
      <c r="X69" s="27" t="n">
        <f aca="false">SUMIF($C$2:$F$2,EOMONTH(X$2,-1)+1,$C69:$F69)*VLOOKUP(X$2,Valores!$H$2:$P$154,8,0)</f>
        <v>0</v>
      </c>
      <c r="Y69" s="27" t="n">
        <f aca="false">SUMIF($C$2:$F$2,EOMONTH(Y$2,-1)+1,$C69:$F69)*VLOOKUP(Y$2,Valores!$H$2:$P$154,8,0)</f>
        <v>0</v>
      </c>
      <c r="Z69" s="27" t="n">
        <f aca="false">SUMIF($C$2:$F$2,EOMONTH(Z$2,-1)+1,$C69:$F69)*VLOOKUP(Z$2,Valores!$H$2:$P$154,8,0)</f>
        <v>70933.4375514234</v>
      </c>
      <c r="AA69" s="27" t="n">
        <f aca="false">SUMIF($C$2:$F$2,EOMONTH(AA$2,-1)+1,$C69:$F69)*VLOOKUP(AA$2,Valores!$H$2:$P$154,8,0)</f>
        <v>85120.1250617081</v>
      </c>
      <c r="AB69" s="27" t="n">
        <f aca="false">SUMIF($C$2:$F$2,EOMONTH(AB$2,-1)+1,$C69:$F69)*VLOOKUP(AB$2,Valores!$H$2:$P$154,8,0)</f>
        <v>42560.062530854</v>
      </c>
      <c r="AC69" s="27" t="n">
        <f aca="false">SUMIF($C$2:$F$2,EOMONTH(AC$2,-1)+1,$C69:$F69)*VLOOKUP(AC$2,Valores!$H$2:$P$154,8,0)</f>
        <v>52017.8542043772</v>
      </c>
      <c r="AD69" s="27" t="n">
        <f aca="false">SUMIF($C$2:$F$2,EOMONTH(AD$2,-1)+1,$C69:$F69)*VLOOKUP(AD$2,Valores!$H$2:$P$154,8,0)</f>
        <v>52017.8542043772</v>
      </c>
      <c r="AE69" s="27" t="n">
        <f aca="false">SUMIF($C$2:$F$2,EOMONTH(AE$2,-1)+1,$C69:$F69)*VLOOKUP(AE$2,Valores!$H$2:$P$154,8,0)</f>
        <v>52017.8542043772</v>
      </c>
      <c r="AF69" s="27" t="n">
        <f aca="false">SUMIF($C$2:$F$2,EOMONTH(AF$2,-1)+1,$C69:$F69)*VLOOKUP(AF$2,Valores!$H$2:$P$154,8,0)</f>
        <v>52017.8542043772</v>
      </c>
      <c r="AG69" s="27" t="n">
        <f aca="false">SUMIF($C$2:$F$2,EOMONTH(AG$2,-1)+1,$C69:$F69)*VLOOKUP(AG$2,Valores!$H$2:$P$154,8,0)</f>
        <v>83228.5667270035</v>
      </c>
      <c r="AH69" s="27" t="n">
        <f aca="false">SUMIF($C$2:$F$2,EOMONTH(AH$2,-1)+1,$C69:$F69)*VLOOKUP(AH$2,Valores!$H$2:$P$154,8,0)</f>
        <v>104035.708408754</v>
      </c>
      <c r="AI69" s="27" t="n">
        <f aca="false">SUMIF($C$2:$F$2,EOMONTH(AI$2,-1)+1,$C69:$F69)*VLOOKUP(AI$2,Valores!$H$2:$P$154,8,0)</f>
        <v>36412.497943064</v>
      </c>
      <c r="AJ69" s="27" t="n">
        <f aca="false">SUMIF($C$2:$F$2,EOMONTH(AJ$2,-1)+1,$C69:$F69)*VLOOKUP(AJ$2,Valores!$H$2:$P$154,8,0)</f>
        <v>23644.4791838078</v>
      </c>
      <c r="AK69" s="27" t="n">
        <f aca="false">SUMIF($C$2:$F$2,EOMONTH(AK$2,-1)+1,$C69:$F69)*VLOOKUP(AK$2,Valores!$H$2:$P$154,8,0)</f>
        <v>43117.5426897521</v>
      </c>
      <c r="AL69" s="27" t="n">
        <f aca="false">SUMIF($C$2:$F$2,EOMONTH(AL$2,-1)+1,$C69:$F69)*VLOOKUP(AL$2,Valores!$H$2:$P$154,8,0)</f>
        <v>43117.5426897521</v>
      </c>
      <c r="AM69" s="27" t="n">
        <f aca="false">SUMIF($C$2:$F$2,EOMONTH(AM$2,-1)+1,$C69:$F69)*VLOOKUP(AM$2,Valores!$H$2:$P$154,8,0)</f>
        <v>43117.5426897521</v>
      </c>
      <c r="AN69" s="27" t="n">
        <f aca="false">SUMIF($C$2:$F$2,EOMONTH(AN$2,-1)+1,$C69:$F69)*VLOOKUP(AN$2,Valores!$H$2:$P$154,8,0)</f>
        <v>86235.0853795042</v>
      </c>
      <c r="AO69" s="27" t="n">
        <f aca="false">SUMIF($C$2:$F$2,EOMONTH(AO$2,-1)+1,$C69:$F69)*VLOOKUP(AO$2,Valores!$H$2:$P$154,8,0)</f>
        <v>107793.85672438</v>
      </c>
      <c r="AP69" s="27" t="n">
        <f aca="false">SUMIF($C$2:$F$2,EOMONTH(AP$2,-1)+1,$C69:$F69)*VLOOKUP(AP$2,Valores!$H$2:$P$154,8,0)</f>
        <v>64676.3140346281</v>
      </c>
      <c r="AQ69" s="27" t="n">
        <f aca="false">SUMIF($C$2:$F$2,EOMONTH(AQ$2,-1)+1,$C69:$F69)*VLOOKUP(AQ$2,Valores!$H$2:$P$154,8,0)</f>
        <v>23098.6835837957</v>
      </c>
      <c r="AR69" s="27" t="n">
        <f aca="false">SUMIF($C$2:$F$2,EOMONTH(AR$2,-1)+1,$C69:$F69)*VLOOKUP(AR$2,Valores!$H$2:$P$154,8,0)</f>
        <v>23098.6835837957</v>
      </c>
      <c r="AS69" s="27" t="n">
        <f aca="false">SUMIF($C$2:$F$2,EOMONTH(AS$2,-1)+1,$C69:$F69)*VLOOKUP(AS$2,Valores!$H$2:$P$154,8,0)</f>
        <v>23098.6835837957</v>
      </c>
      <c r="AT69" s="27" t="n">
        <f aca="false">SUMIF($C$2:$F$2,EOMONTH(AT$2,-1)+1,$C69:$F69)*VLOOKUP(AT$2,Valores!$H$2:$P$154,8,0)</f>
        <v>23098.6835837957</v>
      </c>
      <c r="AU69" s="27" t="n">
        <f aca="false">SUMIF($C$2:$F$2,EOMONTH(AU$2,-1)+1,$C69:$F69)*VLOOKUP(AU$2,Valores!$H$2:$P$154,8,0)</f>
        <v>46197.3671675915</v>
      </c>
      <c r="AV69" s="27" t="n">
        <f aca="false">SUMIF($C$2:$F$2,EOMONTH(AV$2,-1)+1,$C69:$F69)*VLOOKUP(AV$2,Valores!$H$2:$P$154,8,0)</f>
        <v>57746.7089594894</v>
      </c>
      <c r="AW69" s="27" t="n">
        <f aca="false">SUMIF($C$2:$F$2,EOMONTH(AW$2,-1)+1,$C69:$F69)*VLOOKUP(AW$2,Valores!$H$2:$P$154,8,0)</f>
        <v>34648.0253756936</v>
      </c>
      <c r="AX69" s="27" t="n">
        <f aca="false">SUMIF($C$2:$F$2,EOMONTH(AX$2,-1)+1,$C69:$F69)*VLOOKUP(AX$2,Valores!$H$2:$P$154,8,0)</f>
        <v>23098.6835837957</v>
      </c>
      <c r="AY69" s="27" t="n">
        <f aca="false">SUMIF($C$2:$F$2,EOMONTH(AY$2,-1)+1,$C69:$F69)*VLOOKUP(AY$2,Valores!$H$2:$P$154,8,0)</f>
        <v>30028.2886589345</v>
      </c>
      <c r="AZ69" s="27" t="n">
        <f aca="false">SUMIF($C$2:$F$2,EOMONTH(AZ$2,-1)+1,$C69:$F69)*VLOOKUP(AZ$2,Valores!$H$2:$P$154,8,0)</f>
        <v>30028.2886589345</v>
      </c>
      <c r="BA69" s="27" t="n">
        <f aca="false">SUMIF($C$2:$F$2,EOMONTH(BA$2,-1)+1,$C69:$F69)*VLOOKUP(BA$2,Valores!$H$2:$P$154,8,0)</f>
        <v>30028.2886589345</v>
      </c>
      <c r="BB69" s="27" t="n">
        <f aca="false">SUMIF($C$2:$F$2,EOMONTH(BB$2,-1)+1,$C69:$F69)*VLOOKUP(BB$2,Valores!$H$2:$P$154,8,0)</f>
        <v>53126.9722427302</v>
      </c>
      <c r="BC69" s="27" t="n">
        <f aca="false">SUMIF($C$2:$F$2,EOMONTH(BC$2,-1)+1,$C69:$F69)*VLOOKUP(BC$2,Valores!$H$2:$P$154,8,0)</f>
        <v>64676.3140346281</v>
      </c>
      <c r="BD69" s="27" t="n">
        <f aca="false">SUMIF($C$2:$F$2,EOMONTH(BD$2,-1)+1,$C69:$F69)*VLOOKUP(BD$2,Valores!$H$2:$P$154,8,0)</f>
        <v>34648.0253756936</v>
      </c>
      <c r="BE69" s="27" t="n">
        <f aca="false">SUMIF($C$2:$F$2,EOMONTH(BE$2,-1)+1,$C69:$F69)*VLOOKUP(BE$2,Valores!$H$2:$P$154,8,0)</f>
        <v>30798.2447783943</v>
      </c>
      <c r="BF69" s="27" t="n">
        <f aca="false">SUMIF($C$2:$F$2,EOMONTH(BF$2,-1)+1,$C69:$F69)*VLOOKUP(BF$2,Valores!$H$2:$P$154,8,0)</f>
        <v>30798.2447783943</v>
      </c>
      <c r="BG69" s="27" t="n">
        <f aca="false">SUMIF($C$2:$F$2,EOMONTH(BG$2,-1)+1,$C69:$F69)*VLOOKUP(BG$2,Valores!$H$2:$P$154,8,0)</f>
        <v>30798.2447783943</v>
      </c>
      <c r="BH69" s="27" t="n">
        <f aca="false">SUMIF($C$2:$F$2,EOMONTH(BH$2,-1)+1,$C69:$F69)*VLOOKUP(BH$2,Valores!$H$2:$P$154,8,0)</f>
        <v>30798.2447783943</v>
      </c>
      <c r="BI69" s="27" t="n">
        <f aca="false">SUMIF($C$2:$F$2,EOMONTH(BI$2,-1)+1,$C69:$F69)*VLOOKUP(BI$2,Valores!$H$2:$P$154,8,0)</f>
        <v>61596.4895567887</v>
      </c>
      <c r="BJ69" s="27" t="n">
        <f aca="false">SUMIF($C$2:$F$2,EOMONTH(BJ$2,-1)+1,$C69:$F69)*VLOOKUP(BJ$2,Valores!$H$2:$P$154,8,0)</f>
        <v>76995.6119459858</v>
      </c>
      <c r="BK69" s="27" t="n">
        <f aca="false">SUMIF($C$2:$F$2,EOMONTH(BK$2,-1)+1,$C69:$F69)*VLOOKUP(BK$2,Valores!$H$2:$P$154,8,0)</f>
        <v>36957.8937340732</v>
      </c>
      <c r="BL69" s="27" t="n">
        <f aca="false">SUMIF($C$2:$F$2,EOMONTH(BL$2,-1)+1,$C69:$F69)*VLOOKUP(BL$2,Valores!$H$2:$P$154,8,0)</f>
        <v>27102.455404987</v>
      </c>
      <c r="BM69" s="27" t="n">
        <f aca="false">SUMIF($C$2:$F$2,EOMONTH(BM$2,-1)+1,$C69:$F69)*VLOOKUP(BM$2,Valores!$H$2:$P$154,8,0)</f>
        <v>27102.455404987</v>
      </c>
      <c r="BN69" s="27" t="n">
        <f aca="false">SUMIF($C$2:$F$2,EOMONTH(BN$2,-1)+1,$C69:$F69)*VLOOKUP(BN$2,Valores!$H$2:$P$154,8,0)</f>
        <v>27102.455404987</v>
      </c>
      <c r="BO69" s="27" t="n">
        <f aca="false">SUMIF($C$2:$F$2,EOMONTH(BO$2,-1)+1,$C69:$F69)*VLOOKUP(BO$2,Valores!$H$2:$P$154,8,0)</f>
        <v>28457.5781752364</v>
      </c>
      <c r="BP69" s="27" t="n">
        <f aca="false">SUMIF($C$2:$F$2,EOMONTH(BP$2,-1)+1,$C69:$F69)*VLOOKUP(BP$2,Valores!$H$2:$P$154,8,0)</f>
        <v>71614.8225469728</v>
      </c>
      <c r="BQ69" s="27" t="n">
        <f aca="false">SUMIF($C$2:$F$2,EOMONTH(BQ$2,-1)+1,$C69:$F69)*VLOOKUP(BQ$2,Valores!$H$2:$P$154,8,0)</f>
        <v>89518.528183716</v>
      </c>
      <c r="BR69" s="27" t="n">
        <f aca="false">SUMIF($C$2:$F$2,EOMONTH(BR$2,-1)+1,$C69:$F69)*VLOOKUP(BR$2,Valores!$H$2:$P$154,8,0)</f>
        <v>42968.8935281837</v>
      </c>
      <c r="BS69" s="27" t="n">
        <f aca="false">SUMIF($C$2:$F$2,EOMONTH(BS$2,-1)+1,$C69:$F69)*VLOOKUP(BS$2,Valores!$H$2:$P$154,8,0)</f>
        <v>19182.5417536534</v>
      </c>
      <c r="BT69" s="27" t="n">
        <f aca="false">SUMIF($C$2:$F$2,EOMONTH(BT$2,-1)+1,$C69:$F69)*VLOOKUP(BT$2,Valores!$H$2:$P$154,8,0)</f>
        <v>19182.5417536534</v>
      </c>
      <c r="BU69" s="27" t="n">
        <f aca="false">SUMIF($C$2:$F$2,EOMONTH(BU$2,-1)+1,$C69:$F69)*VLOOKUP(BU$2,Valores!$H$2:$P$154,8,0)</f>
        <v>19182.5417536534</v>
      </c>
      <c r="BV69" s="27" t="n">
        <f aca="false">SUMIF($C$2:$F$2,EOMONTH(BV$2,-1)+1,$C69:$F69)*VLOOKUP(BV$2,Valores!$H$2:$P$154,8,0)</f>
        <v>19182.5417536534</v>
      </c>
      <c r="BW69" s="27" t="n">
        <f aca="false">SUMIF($C$2:$F$2,EOMONTH(BW$2,-1)+1,$C69:$F69)*VLOOKUP(BW$2,Valores!$H$2:$P$154,8,0)</f>
        <v>38365.0835073069</v>
      </c>
      <c r="BX69" s="27" t="n">
        <f aca="false">SUMIF($C$2:$F$2,EOMONTH(BX$2,-1)+1,$C69:$F69)*VLOOKUP(BX$2,Valores!$H$2:$P$154,8,0)</f>
        <v>47956.3543841336</v>
      </c>
      <c r="BY69" s="27" t="n">
        <f aca="false">SUMIF($C$2:$F$2,EOMONTH(BY$2,-1)+1,$C69:$F69)*VLOOKUP(BY$2,Valores!$H$2:$P$154,8,0)</f>
        <v>28773.8126304801</v>
      </c>
      <c r="BZ69" s="27" t="n">
        <f aca="false">SUMIF($C$2:$F$2,EOMONTH(BZ$2,-1)+1,$C69:$F69)*VLOOKUP(BZ$2,Valores!$H$2:$P$154,8,0)</f>
        <v>19182.5417536534</v>
      </c>
      <c r="CA69" s="27" t="n">
        <f aca="false">SUMIF($C$2:$F$2,EOMONTH(CA$2,-1)+1,$C69:$F69)*VLOOKUP(CA$2,Valores!$H$2:$P$154,8,0)</f>
        <v>19182.5417536534</v>
      </c>
      <c r="CB69" s="27" t="n">
        <f aca="false">SUMIF($C$2:$F$2,EOMONTH(CB$2,-1)+1,$C69:$F69)*VLOOKUP(CB$2,Valores!$H$2:$P$154,8,0)</f>
        <v>19182.5417536534</v>
      </c>
      <c r="CC69" s="27" t="n">
        <f aca="false">SUMIF($C$2:$F$2,EOMONTH(CC$2,-1)+1,$C69:$F69)*VLOOKUP(CC$2,Valores!$H$2:$P$154,8,0)</f>
        <v>19182.5417536534</v>
      </c>
      <c r="CD69" s="27" t="n">
        <f aca="false">SUMIF($C$2:$F$2,EOMONTH(CD$2,-1)+1,$C69:$F69)*VLOOKUP(CD$2,Valores!$H$2:$P$154,8,0)</f>
        <v>57547.6252609603</v>
      </c>
      <c r="CE69" s="27" t="n">
        <f aca="false">SUMIF($C$2:$F$2,EOMONTH(CE$2,-1)+1,$C69:$F69)*VLOOKUP(CE$2,Valores!$H$2:$P$154,8,0)</f>
        <v>76730.1670146138</v>
      </c>
      <c r="CF69" s="27" t="n">
        <f aca="false">SUMIF($C$2:$F$2,EOMONTH(CF$2,-1)+1,$C69:$F69)*VLOOKUP(CF$2,Valores!$H$2:$P$154,8,0)</f>
        <v>47956.3543841336</v>
      </c>
      <c r="CG69" s="27" t="n">
        <f aca="false">SUMIF($C$2:$F$2,EOMONTH(CG$2,-1)+1,$C69:$F69)*VLOOKUP(CG$2,Valores!$H$2:$P$154,8,0)</f>
        <v>25576.7223382046</v>
      </c>
      <c r="CH69" s="27" t="n">
        <f aca="false">SUMIF($C$2:$F$2,EOMONTH(CH$2,-1)+1,$C69:$F69)*VLOOKUP(CH$2,Valores!$H$2:$P$154,8,0)</f>
        <v>25576.7223382046</v>
      </c>
      <c r="CI69" s="27" t="n">
        <f aca="false">SUMIF($C$2:$F$2,EOMONTH(CI$2,-1)+1,$C69:$F69)*VLOOKUP(CI$2,Valores!$H$2:$P$154,8,0)</f>
        <v>25576.7223382046</v>
      </c>
      <c r="CJ69" s="27" t="n">
        <f aca="false">SUMIF($C$2:$F$2,EOMONTH(CJ$2,-1)+1,$C69:$F69)*VLOOKUP(CJ$2,Valores!$H$2:$P$154,8,0)</f>
        <v>25576.7223382046</v>
      </c>
      <c r="CK69" s="27" t="n">
        <f aca="false">SUMIF($C$2:$F$2,EOMONTH(CK$2,-1)+1,$C69:$F69)*VLOOKUP(CK$2,Valores!$H$2:$P$154,8,0)</f>
        <v>51153.4446764092</v>
      </c>
      <c r="CL69" s="27" t="n">
        <f aca="false">SUMIF($C$2:$F$2,EOMONTH(CL$2,-1)+1,$C69:$F69)*VLOOKUP(CL$2,Valores!$H$2:$P$154,8,0)</f>
        <v>63941.8058455115</v>
      </c>
      <c r="CM69" s="27" t="n">
        <f aca="false">SUMIF($C$2:$F$2,EOMONTH(CM$2,-1)+1,$C69:$F69)*VLOOKUP(CM$2,Valores!$H$2:$P$154,8,0)</f>
        <v>38365.0835073069</v>
      </c>
      <c r="CN69" s="27" t="n">
        <f aca="false">SUMIF($C$2:$F$2,EOMONTH(CN$2,-1)+1,$C69:$F69)*VLOOKUP(CN$2,Valores!$H$2:$P$154,8,0)</f>
        <v>28134.394572025</v>
      </c>
      <c r="CO69" s="27" t="n">
        <f aca="false">SUMIF($C$2:$F$2,EOMONTH(CO$2,-1)+1,$C69:$F69)*VLOOKUP(CO$2,Valores!$H$2:$P$154,8,0)</f>
        <v>28134.394572025</v>
      </c>
      <c r="CP69" s="27" t="n">
        <f aca="false">SUMIF($C$2:$F$2,EOMONTH(CP$2,-1)+1,$C69:$F69)*VLOOKUP(CP$2,Valores!$H$2:$P$154,8,0)</f>
        <v>28134.394572025</v>
      </c>
      <c r="CQ69" s="27" t="n">
        <f aca="false">SUMIF($C$2:$F$2,EOMONTH(CQ$2,-1)+1,$C69:$F69)*VLOOKUP(CQ$2,Valores!$H$2:$P$154,8,0)</f>
        <v>28134.394572025</v>
      </c>
      <c r="CR69" s="27" t="n">
        <f aca="false">SUMIF($C$2:$F$2,EOMONTH(CR$2,-1)+1,$C69:$F69)*VLOOKUP(CR$2,Valores!$H$2:$P$154,8,0)</f>
        <v>56268.7891440501</v>
      </c>
      <c r="CS69" s="27" t="n">
        <f aca="false">SUMIF($C$2:$F$2,EOMONTH(CS$2,-1)+1,$C69:$F69)*VLOOKUP(CS$2,Valores!$H$2:$P$154,8,0)</f>
        <v>84403.1837160751</v>
      </c>
      <c r="CT69" s="27" t="e">
        <f aca="false">SUMIF($C$2:$F$2,EOMONTH(CT$2,-1)+1,$C69:$F69)*VLOOKUP(CT$2,Valores!$H$2:$P$154,8,0)</f>
        <v>#VALUE!</v>
      </c>
      <c r="CU69" s="27" t="e">
        <f aca="false">SUMIF($C$2:$F$2,EOMONTH(CU$2,-1)+1,$C69:$F69)*VLOOKUP(CU$2,Valores!$H$2:$P$154,8,0)</f>
        <v>#VALUE!</v>
      </c>
      <c r="CV69" s="27" t="e">
        <f aca="false">SUMIF($C$2:$F$2,EOMONTH(CV$2,-1)+1,$C69:$F69)*VLOOKUP(CV$2,Valores!$H$2:$P$154,8,0)</f>
        <v>#VALUE!</v>
      </c>
      <c r="CW69" s="27" t="e">
        <f aca="false">SUMIF($C$2:$F$2,EOMONTH(CW$2,-1)+1,$C69:$F69)*VLOOKUP(CW$2,Valores!$H$2:$P$154,8,0)</f>
        <v>#VALUE!</v>
      </c>
      <c r="CX69" s="27" t="e">
        <f aca="false">SUMIF($C$2:$F$2,EOMONTH(CX$2,-1)+1,$C69:$F69)*VLOOKUP(CX$2,Valores!$H$2:$P$154,8,0)</f>
        <v>#VALUE!</v>
      </c>
      <c r="CY69" s="27" t="e">
        <f aca="false">SUMIF($C$2:$F$2,EOMONTH(CY$2,-1)+1,$C69:$F69)*VLOOKUP(CY$2,Valores!$H$2:$P$154,8,0)</f>
        <v>#VALUE!</v>
      </c>
      <c r="CZ69" s="27" t="e">
        <f aca="false">SUMIF($C$2:$F$2,EOMONTH(CZ$2,-1)+1,$C69:$F69)*VLOOKUP(CZ$2,Valores!$H$2:$P$154,8,0)</f>
        <v>#VALUE!</v>
      </c>
      <c r="DA69" s="27" t="e">
        <f aca="false">SUMIF($C$2:$F$2,EOMONTH(DA$2,-1)+1,$C69:$F69)*VLOOKUP(DA$2,Valores!$H$2:$P$154,8,0)</f>
        <v>#VALUE!</v>
      </c>
      <c r="DB69" s="27" t="e">
        <f aca="false">SUMIF($C$2:$F$2,EOMONTH(DB$2,-1)+1,$C69:$F69)*VLOOKUP(DB$2,Valores!$H$2:$P$154,8,0)</f>
        <v>#VALUE!</v>
      </c>
      <c r="DC69" s="27" t="e">
        <f aca="false">SUMIF($C$2:$F$2,EOMONTH(DC$2,-1)+1,$C69:$F69)*VLOOKUP(DC$2,Valores!$H$2:$P$154,8,0)</f>
        <v>#VALUE!</v>
      </c>
      <c r="DD69" s="27" t="e">
        <f aca="false">SUMIF($C$2:$F$2,EOMONTH(DD$2,-1)+1,$C69:$F69)*VLOOKUP(DD$2,Valores!$H$2:$P$154,8,0)</f>
        <v>#VALUE!</v>
      </c>
      <c r="DE69" s="27" t="e">
        <f aca="false">SUMIF($C$2:$F$2,EOMONTH(DE$2,-1)+1,$C69:$F69)*VLOOKUP(DE$2,Valores!$H$2:$P$154,8,0)</f>
        <v>#VALUE!</v>
      </c>
      <c r="DF69" s="27" t="e">
        <f aca="false">SUMIF($C$2:$F$2,EOMONTH(DF$2,-1)+1,$C69:$F69)*VLOOKUP(DF$2,Valores!$H$2:$P$154,8,0)</f>
        <v>#VALUE!</v>
      </c>
      <c r="DG69" s="27" t="e">
        <f aca="false">SUMIF($C$2:$F$2,EOMONTH(DG$2,-1)+1,$C69:$F69)*VLOOKUP(DG$2,Valores!$H$2:$P$154,8,0)</f>
        <v>#VALUE!</v>
      </c>
      <c r="DH69" s="27" t="e">
        <f aca="false">SUMIF($C$2:$F$2,EOMONTH(DH$2,-1)+1,$C69:$F69)*VLOOKUP(DH$2,Valores!$H$2:$P$154,8,0)</f>
        <v>#VALUE!</v>
      </c>
      <c r="DI69" s="27" t="e">
        <f aca="false">SUMIF($C$2:$F$2,EOMONTH(DI$2,-1)+1,$C69:$F69)*VLOOKUP(DI$2,Valores!$H$2:$P$154,8,0)</f>
        <v>#VALUE!</v>
      </c>
      <c r="DJ69" s="27" t="e">
        <f aca="false">SUMIF($C$2:$F$2,EOMONTH(DJ$2,-1)+1,$C69:$F69)*VLOOKUP(DJ$2,Valores!$H$2:$P$154,8,0)</f>
        <v>#VALUE!</v>
      </c>
      <c r="DK69" s="27" t="e">
        <f aca="false">SUMIF($C$2:$F$2,EOMONTH(DK$2,-1)+1,$C69:$F69)*VLOOKUP(DK$2,Valores!$H$2:$P$154,8,0)</f>
        <v>#VALUE!</v>
      </c>
      <c r="DL69" s="27" t="e">
        <f aca="false">SUMIF($C$2:$F$2,EOMONTH(DL$2,-1)+1,$C69:$F69)*VLOOKUP(DL$2,Valores!$H$2:$P$154,8,0)</f>
        <v>#VALUE!</v>
      </c>
      <c r="DM69" s="27" t="e">
        <f aca="false">SUMIF($C$2:$F$2,EOMONTH(DM$2,-1)+1,$C69:$F69)*VLOOKUP(DM$2,Valores!$H$2:$P$154,8,0)</f>
        <v>#VALUE!</v>
      </c>
      <c r="DN69" s="27" t="e">
        <f aca="false">SUMIF($C$2:$F$2,EOMONTH(DN$2,-1)+1,$C69:$F69)*VLOOKUP(DN$2,Valores!$H$2:$P$154,8,0)</f>
        <v>#VALUE!</v>
      </c>
      <c r="DO69" s="27" t="e">
        <f aca="false">SUMIF($C$2:$F$2,EOMONTH(DO$2,-1)+1,$C69:$F69)*VLOOKUP(DO$2,Valores!$H$2:$P$154,8,0)</f>
        <v>#VALUE!</v>
      </c>
      <c r="DP69" s="27" t="e">
        <f aca="false">SUMIF($C$2:$F$2,EOMONTH(DP$2,-1)+1,$C69:$F69)*VLOOKUP(DP$2,Valores!$H$2:$P$154,8,0)</f>
        <v>#VALUE!</v>
      </c>
      <c r="DQ69" s="27" t="e">
        <f aca="false">SUMIF($C$2:$F$2,EOMONTH(DQ$2,-1)+1,$C69:$F69)*VLOOKUP(DQ$2,Valores!$H$2:$P$154,8,0)</f>
        <v>#VALUE!</v>
      </c>
      <c r="DR69" s="27" t="e">
        <f aca="false">SUMIF($C$2:$F$2,EOMONTH(DR$2,-1)+1,$C69:$F69)*VLOOKUP(DR$2,Valores!$H$2:$P$154,8,0)</f>
        <v>#VALUE!</v>
      </c>
      <c r="DS69" s="27" t="e">
        <f aca="false">SUMIF($C$2:$F$2,EOMONTH(DS$2,-1)+1,$C69:$F69)*VLOOKUP(DS$2,Valores!$H$2:$P$154,8,0)</f>
        <v>#VALUE!</v>
      </c>
      <c r="DT69" s="27" t="e">
        <f aca="false">SUMIF($C$2:$F$2,EOMONTH(DT$2,-1)+1,$C69:$F69)*VLOOKUP(DT$2,Valores!$H$2:$P$154,8,0)</f>
        <v>#VALUE!</v>
      </c>
      <c r="DU69" s="27" t="e">
        <f aca="false">SUMIF($C$2:$F$2,EOMONTH(DU$2,-1)+1,$C69:$F69)*VLOOKUP(DU$2,Valores!$H$2:$P$154,8,0)</f>
        <v>#VALUE!</v>
      </c>
      <c r="DV69" s="27" t="e">
        <f aca="false">SUMIF($C$2:$F$2,EOMONTH(DV$2,-1)+1,$C69:$F69)*VLOOKUP(DV$2,Valores!$H$2:$P$154,8,0)</f>
        <v>#VALUE!</v>
      </c>
      <c r="DW69" s="27" t="e">
        <f aca="false">SUMIF($C$2:$F$2,EOMONTH(DW$2,-1)+1,$C69:$F69)*VLOOKUP(DW$2,Valores!$H$2:$P$154,8,0)</f>
        <v>#VALUE!</v>
      </c>
      <c r="DX69" s="27" t="e">
        <f aca="false">SUMIF($C$2:$F$2,EOMONTH(DX$2,-1)+1,$C69:$F69)*VLOOKUP(DX$2,Valores!$H$2:$P$154,8,0)</f>
        <v>#VALUE!</v>
      </c>
    </row>
    <row r="70" customFormat="false" ht="13.8" hidden="false" customHeight="false" outlineLevel="0" collapsed="false">
      <c r="A70" s="33" t="s">
        <v>91</v>
      </c>
      <c r="B70" s="29" t="s">
        <v>93</v>
      </c>
      <c r="C70" s="29" t="n">
        <v>1220325</v>
      </c>
      <c r="D70" s="29" t="n">
        <v>1098292.5</v>
      </c>
      <c r="E70" s="29" t="n">
        <v>988463.25</v>
      </c>
      <c r="F70" s="29" t="n">
        <v>889616.925</v>
      </c>
      <c r="G70" s="30" t="n">
        <f aca="false">SUMIF($C$2:$F$2,EOMONTH(G$2,-1)+1,$C70:$F70)*VLOOKUP(G$2,Valores!$H$2:$P$154,8,0)</f>
        <v>35141.8257363831</v>
      </c>
      <c r="H70" s="30" t="n">
        <f aca="false">SUMIF($C$2:$F$2,EOMONTH(H$2,-1)+1,$C70:$F70)*VLOOKUP(H$2,Valores!$H$2:$P$154,8,0)</f>
        <v>24097.2519335198</v>
      </c>
      <c r="I70" s="30" t="n">
        <f aca="false">SUMIF($C$2:$F$2,EOMONTH(I$2,-1)+1,$C70:$F70)*VLOOKUP(I$2,Valores!$H$2:$P$154,8,0)</f>
        <v>24097.2519335198</v>
      </c>
      <c r="J70" s="30" t="n">
        <f aca="false">SUMIF($C$2:$F$2,EOMONTH(J$2,-1)+1,$C70:$F70)*VLOOKUP(J$2,Valores!$H$2:$P$154,8,0)</f>
        <v>24097.2519335198</v>
      </c>
      <c r="K70" s="30" t="n">
        <f aca="false">SUMIF($C$2:$F$2,EOMONTH(K$2,-1)+1,$C70:$F70)*VLOOKUP(K$2,Valores!$H$2:$P$154,8,0)</f>
        <v>24097.2519335198</v>
      </c>
      <c r="L70" s="30" t="n">
        <f aca="false">SUMIF($C$2:$F$2,EOMONTH(L$2,-1)+1,$C70:$F70)*VLOOKUP(L$2,Valores!$H$2:$P$154,8,0)</f>
        <v>48194.5038670397</v>
      </c>
      <c r="M70" s="30" t="n">
        <f aca="false">SUMIF($C$2:$F$2,EOMONTH(M$2,-1)+1,$C70:$F70)*VLOOKUP(M$2,Valores!$H$2:$P$154,8,0)</f>
        <v>60243.1298337996</v>
      </c>
      <c r="N70" s="30" t="n">
        <f aca="false">SUMIF($C$2:$F$2,EOMONTH(N$2,-1)+1,$C70:$F70)*VLOOKUP(N$2,Valores!$H$2:$P$154,8,0)</f>
        <v>36145.8779002797</v>
      </c>
      <c r="O70" s="30" t="n">
        <f aca="false">SUMIF($C$2:$F$2,EOMONTH(O$2,-1)+1,$C70:$F70)*VLOOKUP(O$2,Valores!$H$2:$P$154,8,0)</f>
        <v>32129.6692446931</v>
      </c>
      <c r="P70" s="30" t="n">
        <f aca="false">SUMIF($C$2:$F$2,EOMONTH(P$2,-1)+1,$C70:$F70)*VLOOKUP(P$2,Valores!$H$2:$P$154,8,0)</f>
        <v>32129.6692446931</v>
      </c>
      <c r="Q70" s="30" t="n">
        <f aca="false">SUMIF($C$2:$F$2,EOMONTH(Q$2,-1)+1,$C70:$F70)*VLOOKUP(Q$2,Valores!$H$2:$P$154,8,0)</f>
        <v>19277.8015468159</v>
      </c>
      <c r="R70" s="30" t="n">
        <f aca="false">SUMIF($C$2:$F$2,EOMONTH(R$2,-1)+1,$C70:$F70)*VLOOKUP(R$2,Valores!$H$2:$P$154,8,0)</f>
        <v>32129.6692446931</v>
      </c>
      <c r="S70" s="30" t="n">
        <f aca="false">SUMIF($C$2:$F$2,EOMONTH(S$2,-1)+1,$C70:$F70)*VLOOKUP(S$2,Valores!$H$2:$P$154,8,0)</f>
        <v>64259.3384893862</v>
      </c>
      <c r="T70" s="30" t="n">
        <f aca="false">SUMIF($C$2:$F$2,EOMONTH(T$2,-1)+1,$C70:$F70)*VLOOKUP(T$2,Valores!$H$2:$P$154,8,0)</f>
        <v>80324.1731117327</v>
      </c>
      <c r="U70" s="30" t="n">
        <f aca="false">SUMIF($C$2:$F$2,EOMONTH(U$2,-1)+1,$C70:$F70)*VLOOKUP(U$2,Valores!$H$2:$P$154,8,0)</f>
        <v>48194.5038670397</v>
      </c>
      <c r="V70" s="30" t="n">
        <f aca="false">SUMIF($C$2:$F$2,EOMONTH(V$2,-1)+1,$C70:$F70)*VLOOKUP(V$2,Valores!$H$2:$P$154,8,0)</f>
        <v>40162.0865558664</v>
      </c>
      <c r="W70" s="30" t="n">
        <f aca="false">SUMIF($C$2:$F$2,EOMONTH(W$2,-1)+1,$C70:$F70)*VLOOKUP(W$2,Valores!$H$2:$P$154,8,0)</f>
        <v>40162.0865558664</v>
      </c>
      <c r="X70" s="30" t="n">
        <f aca="false">SUMIF($C$2:$F$2,EOMONTH(X$2,-1)+1,$C70:$F70)*VLOOKUP(X$2,Valores!$H$2:$P$154,8,0)</f>
        <v>0</v>
      </c>
      <c r="Y70" s="30" t="n">
        <f aca="false">SUMIF($C$2:$F$2,EOMONTH(Y$2,-1)+1,$C70:$F70)*VLOOKUP(Y$2,Valores!$H$2:$P$154,8,0)</f>
        <v>0</v>
      </c>
      <c r="Z70" s="30" t="n">
        <f aca="false">SUMIF($C$2:$F$2,EOMONTH(Z$2,-1)+1,$C70:$F70)*VLOOKUP(Z$2,Valores!$H$2:$P$154,8,0)</f>
        <v>60243.1298337996</v>
      </c>
      <c r="AA70" s="30" t="n">
        <f aca="false">SUMIF($C$2:$F$2,EOMONTH(AA$2,-1)+1,$C70:$F70)*VLOOKUP(AA$2,Valores!$H$2:$P$154,8,0)</f>
        <v>72291.7558005595</v>
      </c>
      <c r="AB70" s="30" t="n">
        <f aca="false">SUMIF($C$2:$F$2,EOMONTH(AB$2,-1)+1,$C70:$F70)*VLOOKUP(AB$2,Valores!$H$2:$P$154,8,0)</f>
        <v>36145.8779002797</v>
      </c>
      <c r="AC70" s="30" t="n">
        <f aca="false">SUMIF($C$2:$F$2,EOMONTH(AC$2,-1)+1,$C70:$F70)*VLOOKUP(AC$2,Valores!$H$2:$P$154,8,0)</f>
        <v>44178.295211453</v>
      </c>
      <c r="AD70" s="30" t="n">
        <f aca="false">SUMIF($C$2:$F$2,EOMONTH(AD$2,-1)+1,$C70:$F70)*VLOOKUP(AD$2,Valores!$H$2:$P$154,8,0)</f>
        <v>44178.295211453</v>
      </c>
      <c r="AE70" s="30" t="n">
        <f aca="false">SUMIF($C$2:$F$2,EOMONTH(AE$2,-1)+1,$C70:$F70)*VLOOKUP(AE$2,Valores!$H$2:$P$154,8,0)</f>
        <v>44178.295211453</v>
      </c>
      <c r="AF70" s="30" t="n">
        <f aca="false">SUMIF($C$2:$F$2,EOMONTH(AF$2,-1)+1,$C70:$F70)*VLOOKUP(AF$2,Valores!$H$2:$P$154,8,0)</f>
        <v>44178.295211453</v>
      </c>
      <c r="AG70" s="30" t="n">
        <f aca="false">SUMIF($C$2:$F$2,EOMONTH(AG$2,-1)+1,$C70:$F70)*VLOOKUP(AG$2,Valores!$H$2:$P$154,8,0)</f>
        <v>70685.2723383248</v>
      </c>
      <c r="AH70" s="30" t="n">
        <f aca="false">SUMIF($C$2:$F$2,EOMONTH(AH$2,-1)+1,$C70:$F70)*VLOOKUP(AH$2,Valores!$H$2:$P$154,8,0)</f>
        <v>88356.590422906</v>
      </c>
      <c r="AI70" s="30" t="n">
        <f aca="false">SUMIF($C$2:$F$2,EOMONTH(AI$2,-1)+1,$C70:$F70)*VLOOKUP(AI$2,Valores!$H$2:$P$154,8,0)</f>
        <v>30924.8066480171</v>
      </c>
      <c r="AJ70" s="30" t="n">
        <f aca="false">SUMIF($C$2:$F$2,EOMONTH(AJ$2,-1)+1,$C70:$F70)*VLOOKUP(AJ$2,Valores!$H$2:$P$154,8,0)</f>
        <v>20081.0432779332</v>
      </c>
      <c r="AK70" s="30" t="n">
        <f aca="false">SUMIF($C$2:$F$2,EOMONTH(AK$2,-1)+1,$C70:$F70)*VLOOKUP(AK$2,Valores!$H$2:$P$154,8,0)</f>
        <v>36619.340779728</v>
      </c>
      <c r="AL70" s="30" t="n">
        <f aca="false">SUMIF($C$2:$F$2,EOMONTH(AL$2,-1)+1,$C70:$F70)*VLOOKUP(AL$2,Valores!$H$2:$P$154,8,0)</f>
        <v>36619.340779728</v>
      </c>
      <c r="AM70" s="30" t="n">
        <f aca="false">SUMIF($C$2:$F$2,EOMONTH(AM$2,-1)+1,$C70:$F70)*VLOOKUP(AM$2,Valores!$H$2:$P$154,8,0)</f>
        <v>36619.340779728</v>
      </c>
      <c r="AN70" s="30" t="n">
        <f aca="false">SUMIF($C$2:$F$2,EOMONTH(AN$2,-1)+1,$C70:$F70)*VLOOKUP(AN$2,Valores!$H$2:$P$154,8,0)</f>
        <v>73238.6815594561</v>
      </c>
      <c r="AO70" s="30" t="n">
        <f aca="false">SUMIF($C$2:$F$2,EOMONTH(AO$2,-1)+1,$C70:$F70)*VLOOKUP(AO$2,Valores!$H$2:$P$154,8,0)</f>
        <v>91548.3519493201</v>
      </c>
      <c r="AP70" s="30" t="n">
        <f aca="false">SUMIF($C$2:$F$2,EOMONTH(AP$2,-1)+1,$C70:$F70)*VLOOKUP(AP$2,Valores!$H$2:$P$154,8,0)</f>
        <v>54929.011169592</v>
      </c>
      <c r="AQ70" s="30" t="n">
        <f aca="false">SUMIF($C$2:$F$2,EOMONTH(AQ$2,-1)+1,$C70:$F70)*VLOOKUP(AQ$2,Valores!$H$2:$P$154,8,0)</f>
        <v>19617.50398914</v>
      </c>
      <c r="AR70" s="30" t="n">
        <f aca="false">SUMIF($C$2:$F$2,EOMONTH(AR$2,-1)+1,$C70:$F70)*VLOOKUP(AR$2,Valores!$H$2:$P$154,8,0)</f>
        <v>19617.50398914</v>
      </c>
      <c r="AS70" s="30" t="n">
        <f aca="false">SUMIF($C$2:$F$2,EOMONTH(AS$2,-1)+1,$C70:$F70)*VLOOKUP(AS$2,Valores!$H$2:$P$154,8,0)</f>
        <v>19617.50398914</v>
      </c>
      <c r="AT70" s="30" t="n">
        <f aca="false">SUMIF($C$2:$F$2,EOMONTH(AT$2,-1)+1,$C70:$F70)*VLOOKUP(AT$2,Valores!$H$2:$P$154,8,0)</f>
        <v>19617.50398914</v>
      </c>
      <c r="AU70" s="30" t="n">
        <f aca="false">SUMIF($C$2:$F$2,EOMONTH(AU$2,-1)+1,$C70:$F70)*VLOOKUP(AU$2,Valores!$H$2:$P$154,8,0)</f>
        <v>39235.00797828</v>
      </c>
      <c r="AV70" s="30" t="n">
        <f aca="false">SUMIF($C$2:$F$2,EOMONTH(AV$2,-1)+1,$C70:$F70)*VLOOKUP(AV$2,Valores!$H$2:$P$154,8,0)</f>
        <v>49043.75997285</v>
      </c>
      <c r="AW70" s="30" t="n">
        <f aca="false">SUMIF($C$2:$F$2,EOMONTH(AW$2,-1)+1,$C70:$F70)*VLOOKUP(AW$2,Valores!$H$2:$P$154,8,0)</f>
        <v>29426.25598371</v>
      </c>
      <c r="AX70" s="30" t="n">
        <f aca="false">SUMIF($C$2:$F$2,EOMONTH(AX$2,-1)+1,$C70:$F70)*VLOOKUP(AX$2,Valores!$H$2:$P$154,8,0)</f>
        <v>19617.50398914</v>
      </c>
      <c r="AY70" s="30" t="n">
        <f aca="false">SUMIF($C$2:$F$2,EOMONTH(AY$2,-1)+1,$C70:$F70)*VLOOKUP(AY$2,Valores!$H$2:$P$154,8,0)</f>
        <v>25502.755185882</v>
      </c>
      <c r="AZ70" s="30" t="n">
        <f aca="false">SUMIF($C$2:$F$2,EOMONTH(AZ$2,-1)+1,$C70:$F70)*VLOOKUP(AZ$2,Valores!$H$2:$P$154,8,0)</f>
        <v>25502.755185882</v>
      </c>
      <c r="BA70" s="30" t="n">
        <f aca="false">SUMIF($C$2:$F$2,EOMONTH(BA$2,-1)+1,$C70:$F70)*VLOOKUP(BA$2,Valores!$H$2:$P$154,8,0)</f>
        <v>25502.755185882</v>
      </c>
      <c r="BB70" s="30" t="n">
        <f aca="false">SUMIF($C$2:$F$2,EOMONTH(BB$2,-1)+1,$C70:$F70)*VLOOKUP(BB$2,Valores!$H$2:$P$154,8,0)</f>
        <v>45120.259175022</v>
      </c>
      <c r="BC70" s="30" t="n">
        <f aca="false">SUMIF($C$2:$F$2,EOMONTH(BC$2,-1)+1,$C70:$F70)*VLOOKUP(BC$2,Valores!$H$2:$P$154,8,0)</f>
        <v>54929.011169592</v>
      </c>
      <c r="BD70" s="30" t="n">
        <f aca="false">SUMIF($C$2:$F$2,EOMONTH(BD$2,-1)+1,$C70:$F70)*VLOOKUP(BD$2,Valores!$H$2:$P$154,8,0)</f>
        <v>29426.25598371</v>
      </c>
      <c r="BE70" s="30" t="n">
        <f aca="false">SUMIF($C$2:$F$2,EOMONTH(BE$2,-1)+1,$C70:$F70)*VLOOKUP(BE$2,Valores!$H$2:$P$154,8,0)</f>
        <v>26156.67198552</v>
      </c>
      <c r="BF70" s="30" t="n">
        <f aca="false">SUMIF($C$2:$F$2,EOMONTH(BF$2,-1)+1,$C70:$F70)*VLOOKUP(BF$2,Valores!$H$2:$P$154,8,0)</f>
        <v>26156.67198552</v>
      </c>
      <c r="BG70" s="30" t="n">
        <f aca="false">SUMIF($C$2:$F$2,EOMONTH(BG$2,-1)+1,$C70:$F70)*VLOOKUP(BG$2,Valores!$H$2:$P$154,8,0)</f>
        <v>26156.67198552</v>
      </c>
      <c r="BH70" s="30" t="n">
        <f aca="false">SUMIF($C$2:$F$2,EOMONTH(BH$2,-1)+1,$C70:$F70)*VLOOKUP(BH$2,Valores!$H$2:$P$154,8,0)</f>
        <v>26156.67198552</v>
      </c>
      <c r="BI70" s="30" t="n">
        <f aca="false">SUMIF($C$2:$F$2,EOMONTH(BI$2,-1)+1,$C70:$F70)*VLOOKUP(BI$2,Valores!$H$2:$P$154,8,0)</f>
        <v>52313.34397104</v>
      </c>
      <c r="BJ70" s="30" t="n">
        <f aca="false">SUMIF($C$2:$F$2,EOMONTH(BJ$2,-1)+1,$C70:$F70)*VLOOKUP(BJ$2,Valores!$H$2:$P$154,8,0)</f>
        <v>65391.6799638</v>
      </c>
      <c r="BK70" s="30" t="n">
        <f aca="false">SUMIF($C$2:$F$2,EOMONTH(BK$2,-1)+1,$C70:$F70)*VLOOKUP(BK$2,Valores!$H$2:$P$154,8,0)</f>
        <v>31388.006382624</v>
      </c>
      <c r="BL70" s="30" t="n">
        <f aca="false">SUMIF($C$2:$F$2,EOMONTH(BL$2,-1)+1,$C70:$F70)*VLOOKUP(BL$2,Valores!$H$2:$P$154,8,0)</f>
        <v>23017.8713472576</v>
      </c>
      <c r="BM70" s="30" t="n">
        <f aca="false">SUMIF($C$2:$F$2,EOMONTH(BM$2,-1)+1,$C70:$F70)*VLOOKUP(BM$2,Valores!$H$2:$P$154,8,0)</f>
        <v>23017.8713472576</v>
      </c>
      <c r="BN70" s="30" t="n">
        <f aca="false">SUMIF($C$2:$F$2,EOMONTH(BN$2,-1)+1,$C70:$F70)*VLOOKUP(BN$2,Valores!$H$2:$P$154,8,0)</f>
        <v>23017.8713472576</v>
      </c>
      <c r="BO70" s="30" t="n">
        <f aca="false">SUMIF($C$2:$F$2,EOMONTH(BO$2,-1)+1,$C70:$F70)*VLOOKUP(BO$2,Valores!$H$2:$P$154,8,0)</f>
        <v>24168.7649146205</v>
      </c>
      <c r="BP70" s="30" t="n">
        <f aca="false">SUMIF($C$2:$F$2,EOMONTH(BP$2,-1)+1,$C70:$F70)*VLOOKUP(BP$2,Valores!$H$2:$P$154,8,0)</f>
        <v>60821.8239753873</v>
      </c>
      <c r="BQ70" s="30" t="n">
        <f aca="false">SUMIF($C$2:$F$2,EOMONTH(BQ$2,-1)+1,$C70:$F70)*VLOOKUP(BQ$2,Valores!$H$2:$P$154,8,0)</f>
        <v>76027.2799692341</v>
      </c>
      <c r="BR70" s="30" t="n">
        <f aca="false">SUMIF($C$2:$F$2,EOMONTH(BR$2,-1)+1,$C70:$F70)*VLOOKUP(BR$2,Valores!$H$2:$P$154,8,0)</f>
        <v>36493.0943852324</v>
      </c>
      <c r="BS70" s="30" t="n">
        <f aca="false">SUMIF($C$2:$F$2,EOMONTH(BS$2,-1)+1,$C70:$F70)*VLOOKUP(BS$2,Valores!$H$2:$P$154,8,0)</f>
        <v>16291.5599934073</v>
      </c>
      <c r="BT70" s="30" t="n">
        <f aca="false">SUMIF($C$2:$F$2,EOMONTH(BT$2,-1)+1,$C70:$F70)*VLOOKUP(BT$2,Valores!$H$2:$P$154,8,0)</f>
        <v>16291.5599934073</v>
      </c>
      <c r="BU70" s="30" t="n">
        <f aca="false">SUMIF($C$2:$F$2,EOMONTH(BU$2,-1)+1,$C70:$F70)*VLOOKUP(BU$2,Valores!$H$2:$P$154,8,0)</f>
        <v>16291.5599934073</v>
      </c>
      <c r="BV70" s="30" t="n">
        <f aca="false">SUMIF($C$2:$F$2,EOMONTH(BV$2,-1)+1,$C70:$F70)*VLOOKUP(BV$2,Valores!$H$2:$P$154,8,0)</f>
        <v>16291.5599934073</v>
      </c>
      <c r="BW70" s="30" t="n">
        <f aca="false">SUMIF($C$2:$F$2,EOMONTH(BW$2,-1)+1,$C70:$F70)*VLOOKUP(BW$2,Valores!$H$2:$P$154,8,0)</f>
        <v>32583.1199868146</v>
      </c>
      <c r="BX70" s="30" t="n">
        <f aca="false">SUMIF($C$2:$F$2,EOMONTH(BX$2,-1)+1,$C70:$F70)*VLOOKUP(BX$2,Valores!$H$2:$P$154,8,0)</f>
        <v>40728.8999835183</v>
      </c>
      <c r="BY70" s="30" t="n">
        <f aca="false">SUMIF($C$2:$F$2,EOMONTH(BY$2,-1)+1,$C70:$F70)*VLOOKUP(BY$2,Valores!$H$2:$P$154,8,0)</f>
        <v>24437.339990111</v>
      </c>
      <c r="BZ70" s="30" t="n">
        <f aca="false">SUMIF($C$2:$F$2,EOMONTH(BZ$2,-1)+1,$C70:$F70)*VLOOKUP(BZ$2,Valores!$H$2:$P$154,8,0)</f>
        <v>16291.5599934073</v>
      </c>
      <c r="CA70" s="30" t="n">
        <f aca="false">SUMIF($C$2:$F$2,EOMONTH(CA$2,-1)+1,$C70:$F70)*VLOOKUP(CA$2,Valores!$H$2:$P$154,8,0)</f>
        <v>16291.5599934073</v>
      </c>
      <c r="CB70" s="30" t="n">
        <f aca="false">SUMIF($C$2:$F$2,EOMONTH(CB$2,-1)+1,$C70:$F70)*VLOOKUP(CB$2,Valores!$H$2:$P$154,8,0)</f>
        <v>16291.5599934073</v>
      </c>
      <c r="CC70" s="30" t="n">
        <f aca="false">SUMIF($C$2:$F$2,EOMONTH(CC$2,-1)+1,$C70:$F70)*VLOOKUP(CC$2,Valores!$H$2:$P$154,8,0)</f>
        <v>16291.5599934073</v>
      </c>
      <c r="CD70" s="30" t="n">
        <f aca="false">SUMIF($C$2:$F$2,EOMONTH(CD$2,-1)+1,$C70:$F70)*VLOOKUP(CD$2,Valores!$H$2:$P$154,8,0)</f>
        <v>48874.6799802219</v>
      </c>
      <c r="CE70" s="30" t="n">
        <f aca="false">SUMIF($C$2:$F$2,EOMONTH(CE$2,-1)+1,$C70:$F70)*VLOOKUP(CE$2,Valores!$H$2:$P$154,8,0)</f>
        <v>65166.2399736292</v>
      </c>
      <c r="CF70" s="30" t="n">
        <f aca="false">SUMIF($C$2:$F$2,EOMONTH(CF$2,-1)+1,$C70:$F70)*VLOOKUP(CF$2,Valores!$H$2:$P$154,8,0)</f>
        <v>40728.8999835183</v>
      </c>
      <c r="CG70" s="30" t="n">
        <f aca="false">SUMIF($C$2:$F$2,EOMONTH(CG$2,-1)+1,$C70:$F70)*VLOOKUP(CG$2,Valores!$H$2:$P$154,8,0)</f>
        <v>21722.0799912097</v>
      </c>
      <c r="CH70" s="30" t="n">
        <f aca="false">SUMIF($C$2:$F$2,EOMONTH(CH$2,-1)+1,$C70:$F70)*VLOOKUP(CH$2,Valores!$H$2:$P$154,8,0)</f>
        <v>21722.0799912097</v>
      </c>
      <c r="CI70" s="30" t="n">
        <f aca="false">SUMIF($C$2:$F$2,EOMONTH(CI$2,-1)+1,$C70:$F70)*VLOOKUP(CI$2,Valores!$H$2:$P$154,8,0)</f>
        <v>21722.0799912097</v>
      </c>
      <c r="CJ70" s="30" t="n">
        <f aca="false">SUMIF($C$2:$F$2,EOMONTH(CJ$2,-1)+1,$C70:$F70)*VLOOKUP(CJ$2,Valores!$H$2:$P$154,8,0)</f>
        <v>21722.0799912097</v>
      </c>
      <c r="CK70" s="30" t="n">
        <f aca="false">SUMIF($C$2:$F$2,EOMONTH(CK$2,-1)+1,$C70:$F70)*VLOOKUP(CK$2,Valores!$H$2:$P$154,8,0)</f>
        <v>43444.1599824195</v>
      </c>
      <c r="CL70" s="30" t="n">
        <f aca="false">SUMIF($C$2:$F$2,EOMONTH(CL$2,-1)+1,$C70:$F70)*VLOOKUP(CL$2,Valores!$H$2:$P$154,8,0)</f>
        <v>54305.1999780244</v>
      </c>
      <c r="CM70" s="30" t="n">
        <f aca="false">SUMIF($C$2:$F$2,EOMONTH(CM$2,-1)+1,$C70:$F70)*VLOOKUP(CM$2,Valores!$H$2:$P$154,8,0)</f>
        <v>32583.1199868146</v>
      </c>
      <c r="CN70" s="30" t="n">
        <f aca="false">SUMIF($C$2:$F$2,EOMONTH(CN$2,-1)+1,$C70:$F70)*VLOOKUP(CN$2,Valores!$H$2:$P$154,8,0)</f>
        <v>23894.2879903307</v>
      </c>
      <c r="CO70" s="30" t="n">
        <f aca="false">SUMIF($C$2:$F$2,EOMONTH(CO$2,-1)+1,$C70:$F70)*VLOOKUP(CO$2,Valores!$H$2:$P$154,8,0)</f>
        <v>23894.2879903307</v>
      </c>
      <c r="CP70" s="30" t="n">
        <f aca="false">SUMIF($C$2:$F$2,EOMONTH(CP$2,-1)+1,$C70:$F70)*VLOOKUP(CP$2,Valores!$H$2:$P$154,8,0)</f>
        <v>23894.2879903307</v>
      </c>
      <c r="CQ70" s="30" t="n">
        <f aca="false">SUMIF($C$2:$F$2,EOMONTH(CQ$2,-1)+1,$C70:$F70)*VLOOKUP(CQ$2,Valores!$H$2:$P$154,8,0)</f>
        <v>23894.2879903307</v>
      </c>
      <c r="CR70" s="30" t="n">
        <f aca="false">SUMIF($C$2:$F$2,EOMONTH(CR$2,-1)+1,$C70:$F70)*VLOOKUP(CR$2,Valores!$H$2:$P$154,8,0)</f>
        <v>47788.5759806615</v>
      </c>
      <c r="CS70" s="30" t="n">
        <f aca="false">SUMIF($C$2:$F$2,EOMONTH(CS$2,-1)+1,$C70:$F70)*VLOOKUP(CS$2,Valores!$H$2:$P$154,8,0)</f>
        <v>71682.8639709922</v>
      </c>
      <c r="CT70" s="30" t="e">
        <f aca="false">SUMIF($C$2:$F$2,EOMONTH(CT$2,-1)+1,$C70:$F70)*VLOOKUP(CT$2,Valores!$H$2:$P$154,8,0)</f>
        <v>#VALUE!</v>
      </c>
      <c r="CU70" s="30" t="e">
        <f aca="false">SUMIF($C$2:$F$2,EOMONTH(CU$2,-1)+1,$C70:$F70)*VLOOKUP(CU$2,Valores!$H$2:$P$154,8,0)</f>
        <v>#VALUE!</v>
      </c>
      <c r="CV70" s="30" t="e">
        <f aca="false">SUMIF($C$2:$F$2,EOMONTH(CV$2,-1)+1,$C70:$F70)*VLOOKUP(CV$2,Valores!$H$2:$P$154,8,0)</f>
        <v>#VALUE!</v>
      </c>
      <c r="CW70" s="30" t="e">
        <f aca="false">SUMIF($C$2:$F$2,EOMONTH(CW$2,-1)+1,$C70:$F70)*VLOOKUP(CW$2,Valores!$H$2:$P$154,8,0)</f>
        <v>#VALUE!</v>
      </c>
      <c r="CX70" s="30" t="e">
        <f aca="false">SUMIF($C$2:$F$2,EOMONTH(CX$2,-1)+1,$C70:$F70)*VLOOKUP(CX$2,Valores!$H$2:$P$154,8,0)</f>
        <v>#VALUE!</v>
      </c>
      <c r="CY70" s="30" t="e">
        <f aca="false">SUMIF($C$2:$F$2,EOMONTH(CY$2,-1)+1,$C70:$F70)*VLOOKUP(CY$2,Valores!$H$2:$P$154,8,0)</f>
        <v>#VALUE!</v>
      </c>
      <c r="CZ70" s="30" t="e">
        <f aca="false">SUMIF($C$2:$F$2,EOMONTH(CZ$2,-1)+1,$C70:$F70)*VLOOKUP(CZ$2,Valores!$H$2:$P$154,8,0)</f>
        <v>#VALUE!</v>
      </c>
      <c r="DA70" s="30" t="e">
        <f aca="false">SUMIF($C$2:$F$2,EOMONTH(DA$2,-1)+1,$C70:$F70)*VLOOKUP(DA$2,Valores!$H$2:$P$154,8,0)</f>
        <v>#VALUE!</v>
      </c>
      <c r="DB70" s="30" t="e">
        <f aca="false">SUMIF($C$2:$F$2,EOMONTH(DB$2,-1)+1,$C70:$F70)*VLOOKUP(DB$2,Valores!$H$2:$P$154,8,0)</f>
        <v>#VALUE!</v>
      </c>
      <c r="DC70" s="30" t="e">
        <f aca="false">SUMIF($C$2:$F$2,EOMONTH(DC$2,-1)+1,$C70:$F70)*VLOOKUP(DC$2,Valores!$H$2:$P$154,8,0)</f>
        <v>#VALUE!</v>
      </c>
      <c r="DD70" s="30" t="e">
        <f aca="false">SUMIF($C$2:$F$2,EOMONTH(DD$2,-1)+1,$C70:$F70)*VLOOKUP(DD$2,Valores!$H$2:$P$154,8,0)</f>
        <v>#VALUE!</v>
      </c>
      <c r="DE70" s="30" t="e">
        <f aca="false">SUMIF($C$2:$F$2,EOMONTH(DE$2,-1)+1,$C70:$F70)*VLOOKUP(DE$2,Valores!$H$2:$P$154,8,0)</f>
        <v>#VALUE!</v>
      </c>
      <c r="DF70" s="30" t="e">
        <f aca="false">SUMIF($C$2:$F$2,EOMONTH(DF$2,-1)+1,$C70:$F70)*VLOOKUP(DF$2,Valores!$H$2:$P$154,8,0)</f>
        <v>#VALUE!</v>
      </c>
      <c r="DG70" s="30" t="e">
        <f aca="false">SUMIF($C$2:$F$2,EOMONTH(DG$2,-1)+1,$C70:$F70)*VLOOKUP(DG$2,Valores!$H$2:$P$154,8,0)</f>
        <v>#VALUE!</v>
      </c>
      <c r="DH70" s="30" t="e">
        <f aca="false">SUMIF($C$2:$F$2,EOMONTH(DH$2,-1)+1,$C70:$F70)*VLOOKUP(DH$2,Valores!$H$2:$P$154,8,0)</f>
        <v>#VALUE!</v>
      </c>
      <c r="DI70" s="30" t="e">
        <f aca="false">SUMIF($C$2:$F$2,EOMONTH(DI$2,-1)+1,$C70:$F70)*VLOOKUP(DI$2,Valores!$H$2:$P$154,8,0)</f>
        <v>#VALUE!</v>
      </c>
      <c r="DJ70" s="30" t="e">
        <f aca="false">SUMIF($C$2:$F$2,EOMONTH(DJ$2,-1)+1,$C70:$F70)*VLOOKUP(DJ$2,Valores!$H$2:$P$154,8,0)</f>
        <v>#VALUE!</v>
      </c>
      <c r="DK70" s="30" t="e">
        <f aca="false">SUMIF($C$2:$F$2,EOMONTH(DK$2,-1)+1,$C70:$F70)*VLOOKUP(DK$2,Valores!$H$2:$P$154,8,0)</f>
        <v>#VALUE!</v>
      </c>
      <c r="DL70" s="30" t="e">
        <f aca="false">SUMIF($C$2:$F$2,EOMONTH(DL$2,-1)+1,$C70:$F70)*VLOOKUP(DL$2,Valores!$H$2:$P$154,8,0)</f>
        <v>#VALUE!</v>
      </c>
      <c r="DM70" s="30" t="e">
        <f aca="false">SUMIF($C$2:$F$2,EOMONTH(DM$2,-1)+1,$C70:$F70)*VLOOKUP(DM$2,Valores!$H$2:$P$154,8,0)</f>
        <v>#VALUE!</v>
      </c>
      <c r="DN70" s="30" t="e">
        <f aca="false">SUMIF($C$2:$F$2,EOMONTH(DN$2,-1)+1,$C70:$F70)*VLOOKUP(DN$2,Valores!$H$2:$P$154,8,0)</f>
        <v>#VALUE!</v>
      </c>
      <c r="DO70" s="30" t="e">
        <f aca="false">SUMIF($C$2:$F$2,EOMONTH(DO$2,-1)+1,$C70:$F70)*VLOOKUP(DO$2,Valores!$H$2:$P$154,8,0)</f>
        <v>#VALUE!</v>
      </c>
      <c r="DP70" s="30" t="e">
        <f aca="false">SUMIF($C$2:$F$2,EOMONTH(DP$2,-1)+1,$C70:$F70)*VLOOKUP(DP$2,Valores!$H$2:$P$154,8,0)</f>
        <v>#VALUE!</v>
      </c>
      <c r="DQ70" s="30" t="e">
        <f aca="false">SUMIF($C$2:$F$2,EOMONTH(DQ$2,-1)+1,$C70:$F70)*VLOOKUP(DQ$2,Valores!$H$2:$P$154,8,0)</f>
        <v>#VALUE!</v>
      </c>
      <c r="DR70" s="30" t="e">
        <f aca="false">SUMIF($C$2:$F$2,EOMONTH(DR$2,-1)+1,$C70:$F70)*VLOOKUP(DR$2,Valores!$H$2:$P$154,8,0)</f>
        <v>#VALUE!</v>
      </c>
      <c r="DS70" s="30" t="e">
        <f aca="false">SUMIF($C$2:$F$2,EOMONTH(DS$2,-1)+1,$C70:$F70)*VLOOKUP(DS$2,Valores!$H$2:$P$154,8,0)</f>
        <v>#VALUE!</v>
      </c>
      <c r="DT70" s="30" t="e">
        <f aca="false">SUMIF($C$2:$F$2,EOMONTH(DT$2,-1)+1,$C70:$F70)*VLOOKUP(DT$2,Valores!$H$2:$P$154,8,0)</f>
        <v>#VALUE!</v>
      </c>
      <c r="DU70" s="30" t="e">
        <f aca="false">SUMIF($C$2:$F$2,EOMONTH(DU$2,-1)+1,$C70:$F70)*VLOOKUP(DU$2,Valores!$H$2:$P$154,8,0)</f>
        <v>#VALUE!</v>
      </c>
      <c r="DV70" s="30" t="e">
        <f aca="false">SUMIF($C$2:$F$2,EOMONTH(DV$2,-1)+1,$C70:$F70)*VLOOKUP(DV$2,Valores!$H$2:$P$154,8,0)</f>
        <v>#VALUE!</v>
      </c>
      <c r="DW70" s="30" t="e">
        <f aca="false">SUMIF($C$2:$F$2,EOMONTH(DW$2,-1)+1,$C70:$F70)*VLOOKUP(DW$2,Valores!$H$2:$P$154,8,0)</f>
        <v>#VALUE!</v>
      </c>
      <c r="DX70" s="30" t="e">
        <f aca="false">SUMIF($C$2:$F$2,EOMONTH(DX$2,-1)+1,$C70:$F70)*VLOOKUP(DX$2,Valores!$H$2:$P$154,8,0)</f>
        <v>#VALUE!</v>
      </c>
    </row>
    <row r="71" customFormat="false" ht="13.8" hidden="false" customHeight="false" outlineLevel="0" collapsed="false">
      <c r="A71" s="32" t="s">
        <v>91</v>
      </c>
      <c r="B71" s="31" t="s">
        <v>94</v>
      </c>
      <c r="C71" s="31" t="n">
        <v>1025799</v>
      </c>
      <c r="D71" s="31" t="n">
        <v>923219.1</v>
      </c>
      <c r="E71" s="31" t="n">
        <v>830897.19</v>
      </c>
      <c r="F71" s="31" t="n">
        <v>747807.471</v>
      </c>
      <c r="G71" s="27" t="n">
        <f aca="false">SUMIF($C$2:$F$2,EOMONTH(G$2,-1)+1,$C71:$F71)*VLOOKUP(G$2,Valores!$H$2:$P$154,8,0)</f>
        <v>29540.0403159454</v>
      </c>
      <c r="H71" s="27" t="n">
        <f aca="false">SUMIF($C$2:$F$2,EOMONTH(H$2,-1)+1,$C71:$F71)*VLOOKUP(H$2,Valores!$H$2:$P$154,8,0)</f>
        <v>20256.0276452197</v>
      </c>
      <c r="I71" s="27" t="n">
        <f aca="false">SUMIF($C$2:$F$2,EOMONTH(I$2,-1)+1,$C71:$F71)*VLOOKUP(I$2,Valores!$H$2:$P$154,8,0)</f>
        <v>20256.0276452197</v>
      </c>
      <c r="J71" s="27" t="n">
        <f aca="false">SUMIF($C$2:$F$2,EOMONTH(J$2,-1)+1,$C71:$F71)*VLOOKUP(J$2,Valores!$H$2:$P$154,8,0)</f>
        <v>20256.0276452197</v>
      </c>
      <c r="K71" s="27" t="n">
        <f aca="false">SUMIF($C$2:$F$2,EOMONTH(K$2,-1)+1,$C71:$F71)*VLOOKUP(K$2,Valores!$H$2:$P$154,8,0)</f>
        <v>20256.0276452197</v>
      </c>
      <c r="L71" s="27" t="n">
        <f aca="false">SUMIF($C$2:$F$2,EOMONTH(L$2,-1)+1,$C71:$F71)*VLOOKUP(L$2,Valores!$H$2:$P$154,8,0)</f>
        <v>40512.0552904394</v>
      </c>
      <c r="M71" s="27" t="n">
        <f aca="false">SUMIF($C$2:$F$2,EOMONTH(M$2,-1)+1,$C71:$F71)*VLOOKUP(M$2,Valores!$H$2:$P$154,8,0)</f>
        <v>50640.0691130492</v>
      </c>
      <c r="N71" s="27" t="n">
        <f aca="false">SUMIF($C$2:$F$2,EOMONTH(N$2,-1)+1,$C71:$F71)*VLOOKUP(N$2,Valores!$H$2:$P$154,8,0)</f>
        <v>30384.0414678295</v>
      </c>
      <c r="O71" s="27" t="n">
        <f aca="false">SUMIF($C$2:$F$2,EOMONTH(O$2,-1)+1,$C71:$F71)*VLOOKUP(O$2,Valores!$H$2:$P$154,8,0)</f>
        <v>27008.0368602929</v>
      </c>
      <c r="P71" s="27" t="n">
        <f aca="false">SUMIF($C$2:$F$2,EOMONTH(P$2,-1)+1,$C71:$F71)*VLOOKUP(P$2,Valores!$H$2:$P$154,8,0)</f>
        <v>27008.0368602929</v>
      </c>
      <c r="Q71" s="27" t="n">
        <f aca="false">SUMIF($C$2:$F$2,EOMONTH(Q$2,-1)+1,$C71:$F71)*VLOOKUP(Q$2,Valores!$H$2:$P$154,8,0)</f>
        <v>16204.8221161757</v>
      </c>
      <c r="R71" s="27" t="n">
        <f aca="false">SUMIF($C$2:$F$2,EOMONTH(R$2,-1)+1,$C71:$F71)*VLOOKUP(R$2,Valores!$H$2:$P$154,8,0)</f>
        <v>27008.0368602929</v>
      </c>
      <c r="S71" s="27" t="n">
        <f aca="false">SUMIF($C$2:$F$2,EOMONTH(S$2,-1)+1,$C71:$F71)*VLOOKUP(S$2,Valores!$H$2:$P$154,8,0)</f>
        <v>54016.0737205858</v>
      </c>
      <c r="T71" s="27" t="n">
        <f aca="false">SUMIF($C$2:$F$2,EOMONTH(T$2,-1)+1,$C71:$F71)*VLOOKUP(T$2,Valores!$H$2:$P$154,8,0)</f>
        <v>67520.0921507323</v>
      </c>
      <c r="U71" s="27" t="n">
        <f aca="false">SUMIF($C$2:$F$2,EOMONTH(U$2,-1)+1,$C71:$F71)*VLOOKUP(U$2,Valores!$H$2:$P$154,8,0)</f>
        <v>40512.0552904394</v>
      </c>
      <c r="V71" s="27" t="n">
        <f aca="false">SUMIF($C$2:$F$2,EOMONTH(V$2,-1)+1,$C71:$F71)*VLOOKUP(V$2,Valores!$H$2:$P$154,8,0)</f>
        <v>33760.0460753661</v>
      </c>
      <c r="W71" s="27" t="n">
        <f aca="false">SUMIF($C$2:$F$2,EOMONTH(W$2,-1)+1,$C71:$F71)*VLOOKUP(W$2,Valores!$H$2:$P$154,8,0)</f>
        <v>33760.0460753661</v>
      </c>
      <c r="X71" s="27" t="n">
        <f aca="false">SUMIF($C$2:$F$2,EOMONTH(X$2,-1)+1,$C71:$F71)*VLOOKUP(X$2,Valores!$H$2:$P$154,8,0)</f>
        <v>0</v>
      </c>
      <c r="Y71" s="27" t="n">
        <f aca="false">SUMIF($C$2:$F$2,EOMONTH(Y$2,-1)+1,$C71:$F71)*VLOOKUP(Y$2,Valores!$H$2:$P$154,8,0)</f>
        <v>0</v>
      </c>
      <c r="Z71" s="27" t="n">
        <f aca="false">SUMIF($C$2:$F$2,EOMONTH(Z$2,-1)+1,$C71:$F71)*VLOOKUP(Z$2,Valores!$H$2:$P$154,8,0)</f>
        <v>50640.0691130492</v>
      </c>
      <c r="AA71" s="27" t="n">
        <f aca="false">SUMIF($C$2:$F$2,EOMONTH(AA$2,-1)+1,$C71:$F71)*VLOOKUP(AA$2,Valores!$H$2:$P$154,8,0)</f>
        <v>60768.082935659</v>
      </c>
      <c r="AB71" s="27" t="n">
        <f aca="false">SUMIF($C$2:$F$2,EOMONTH(AB$2,-1)+1,$C71:$F71)*VLOOKUP(AB$2,Valores!$H$2:$P$154,8,0)</f>
        <v>30384.0414678295</v>
      </c>
      <c r="AC71" s="27" t="n">
        <f aca="false">SUMIF($C$2:$F$2,EOMONTH(AC$2,-1)+1,$C71:$F71)*VLOOKUP(AC$2,Valores!$H$2:$P$154,8,0)</f>
        <v>37136.0506829027</v>
      </c>
      <c r="AD71" s="27" t="n">
        <f aca="false">SUMIF($C$2:$F$2,EOMONTH(AD$2,-1)+1,$C71:$F71)*VLOOKUP(AD$2,Valores!$H$2:$P$154,8,0)</f>
        <v>37136.0506829027</v>
      </c>
      <c r="AE71" s="27" t="n">
        <f aca="false">SUMIF($C$2:$F$2,EOMONTH(AE$2,-1)+1,$C71:$F71)*VLOOKUP(AE$2,Valores!$H$2:$P$154,8,0)</f>
        <v>37136.0506829027</v>
      </c>
      <c r="AF71" s="27" t="n">
        <f aca="false">SUMIF($C$2:$F$2,EOMONTH(AF$2,-1)+1,$C71:$F71)*VLOOKUP(AF$2,Valores!$H$2:$P$154,8,0)</f>
        <v>37136.0506829027</v>
      </c>
      <c r="AG71" s="27" t="n">
        <f aca="false">SUMIF($C$2:$F$2,EOMONTH(AG$2,-1)+1,$C71:$F71)*VLOOKUP(AG$2,Valores!$H$2:$P$154,8,0)</f>
        <v>59417.6810926444</v>
      </c>
      <c r="AH71" s="27" t="n">
        <f aca="false">SUMIF($C$2:$F$2,EOMONTH(AH$2,-1)+1,$C71:$F71)*VLOOKUP(AH$2,Valores!$H$2:$P$154,8,0)</f>
        <v>74272.1013658055</v>
      </c>
      <c r="AI71" s="27" t="n">
        <f aca="false">SUMIF($C$2:$F$2,EOMONTH(AI$2,-1)+1,$C71:$F71)*VLOOKUP(AI$2,Valores!$H$2:$P$154,8,0)</f>
        <v>25995.2354780319</v>
      </c>
      <c r="AJ71" s="27" t="n">
        <f aca="false">SUMIF($C$2:$F$2,EOMONTH(AJ$2,-1)+1,$C71:$F71)*VLOOKUP(AJ$2,Valores!$H$2:$P$154,8,0)</f>
        <v>16880.0230376831</v>
      </c>
      <c r="AK71" s="27" t="n">
        <f aca="false">SUMIF($C$2:$F$2,EOMONTH(AK$2,-1)+1,$C71:$F71)*VLOOKUP(AK$2,Valores!$H$2:$P$154,8,0)</f>
        <v>30782.0319607516</v>
      </c>
      <c r="AL71" s="27" t="n">
        <f aca="false">SUMIF($C$2:$F$2,EOMONTH(AL$2,-1)+1,$C71:$F71)*VLOOKUP(AL$2,Valores!$H$2:$P$154,8,0)</f>
        <v>30782.0319607516</v>
      </c>
      <c r="AM71" s="27" t="n">
        <f aca="false">SUMIF($C$2:$F$2,EOMONTH(AM$2,-1)+1,$C71:$F71)*VLOOKUP(AM$2,Valores!$H$2:$P$154,8,0)</f>
        <v>30782.0319607516</v>
      </c>
      <c r="AN71" s="27" t="n">
        <f aca="false">SUMIF($C$2:$F$2,EOMONTH(AN$2,-1)+1,$C71:$F71)*VLOOKUP(AN$2,Valores!$H$2:$P$154,8,0)</f>
        <v>61564.0639215033</v>
      </c>
      <c r="AO71" s="27" t="n">
        <f aca="false">SUMIF($C$2:$F$2,EOMONTH(AO$2,-1)+1,$C71:$F71)*VLOOKUP(AO$2,Valores!$H$2:$P$154,8,0)</f>
        <v>76955.079901879</v>
      </c>
      <c r="AP71" s="27" t="n">
        <f aca="false">SUMIF($C$2:$F$2,EOMONTH(AP$2,-1)+1,$C71:$F71)*VLOOKUP(AP$2,Valores!$H$2:$P$154,8,0)</f>
        <v>46173.0479411274</v>
      </c>
      <c r="AQ71" s="27" t="n">
        <f aca="false">SUMIF($C$2:$F$2,EOMONTH(AQ$2,-1)+1,$C71:$F71)*VLOOKUP(AQ$2,Valores!$H$2:$P$154,8,0)</f>
        <v>16490.3742646884</v>
      </c>
      <c r="AR71" s="27" t="n">
        <f aca="false">SUMIF($C$2:$F$2,EOMONTH(AR$2,-1)+1,$C71:$F71)*VLOOKUP(AR$2,Valores!$H$2:$P$154,8,0)</f>
        <v>16490.3742646884</v>
      </c>
      <c r="AS71" s="27" t="n">
        <f aca="false">SUMIF($C$2:$F$2,EOMONTH(AS$2,-1)+1,$C71:$F71)*VLOOKUP(AS$2,Valores!$H$2:$P$154,8,0)</f>
        <v>16490.3742646884</v>
      </c>
      <c r="AT71" s="27" t="n">
        <f aca="false">SUMIF($C$2:$F$2,EOMONTH(AT$2,-1)+1,$C71:$F71)*VLOOKUP(AT$2,Valores!$H$2:$P$154,8,0)</f>
        <v>16490.3742646884</v>
      </c>
      <c r="AU71" s="27" t="n">
        <f aca="false">SUMIF($C$2:$F$2,EOMONTH(AU$2,-1)+1,$C71:$F71)*VLOOKUP(AU$2,Valores!$H$2:$P$154,8,0)</f>
        <v>32980.7485293767</v>
      </c>
      <c r="AV71" s="27" t="n">
        <f aca="false">SUMIF($C$2:$F$2,EOMONTH(AV$2,-1)+1,$C71:$F71)*VLOOKUP(AV$2,Valores!$H$2:$P$154,8,0)</f>
        <v>41225.9356617209</v>
      </c>
      <c r="AW71" s="27" t="n">
        <f aca="false">SUMIF($C$2:$F$2,EOMONTH(AW$2,-1)+1,$C71:$F71)*VLOOKUP(AW$2,Valores!$H$2:$P$154,8,0)</f>
        <v>24735.5613970325</v>
      </c>
      <c r="AX71" s="27" t="n">
        <f aca="false">SUMIF($C$2:$F$2,EOMONTH(AX$2,-1)+1,$C71:$F71)*VLOOKUP(AX$2,Valores!$H$2:$P$154,8,0)</f>
        <v>16490.3742646884</v>
      </c>
      <c r="AY71" s="27" t="n">
        <f aca="false">SUMIF($C$2:$F$2,EOMONTH(AY$2,-1)+1,$C71:$F71)*VLOOKUP(AY$2,Valores!$H$2:$P$154,8,0)</f>
        <v>21437.4865440949</v>
      </c>
      <c r="AZ71" s="27" t="n">
        <f aca="false">SUMIF($C$2:$F$2,EOMONTH(AZ$2,-1)+1,$C71:$F71)*VLOOKUP(AZ$2,Valores!$H$2:$P$154,8,0)</f>
        <v>21437.4865440949</v>
      </c>
      <c r="BA71" s="27" t="n">
        <f aca="false">SUMIF($C$2:$F$2,EOMONTH(BA$2,-1)+1,$C71:$F71)*VLOOKUP(BA$2,Valores!$H$2:$P$154,8,0)</f>
        <v>21437.4865440949</v>
      </c>
      <c r="BB71" s="27" t="n">
        <f aca="false">SUMIF($C$2:$F$2,EOMONTH(BB$2,-1)+1,$C71:$F71)*VLOOKUP(BB$2,Valores!$H$2:$P$154,8,0)</f>
        <v>37927.8608087832</v>
      </c>
      <c r="BC71" s="27" t="n">
        <f aca="false">SUMIF($C$2:$F$2,EOMONTH(BC$2,-1)+1,$C71:$F71)*VLOOKUP(BC$2,Valores!$H$2:$P$154,8,0)</f>
        <v>46173.0479411274</v>
      </c>
      <c r="BD71" s="27" t="n">
        <f aca="false">SUMIF($C$2:$F$2,EOMONTH(BD$2,-1)+1,$C71:$F71)*VLOOKUP(BD$2,Valores!$H$2:$P$154,8,0)</f>
        <v>24735.5613970325</v>
      </c>
      <c r="BE71" s="27" t="n">
        <f aca="false">SUMIF($C$2:$F$2,EOMONTH(BE$2,-1)+1,$C71:$F71)*VLOOKUP(BE$2,Valores!$H$2:$P$154,8,0)</f>
        <v>21987.1656862512</v>
      </c>
      <c r="BF71" s="27" t="n">
        <f aca="false">SUMIF($C$2:$F$2,EOMONTH(BF$2,-1)+1,$C71:$F71)*VLOOKUP(BF$2,Valores!$H$2:$P$154,8,0)</f>
        <v>21987.1656862512</v>
      </c>
      <c r="BG71" s="27" t="n">
        <f aca="false">SUMIF($C$2:$F$2,EOMONTH(BG$2,-1)+1,$C71:$F71)*VLOOKUP(BG$2,Valores!$H$2:$P$154,8,0)</f>
        <v>21987.1656862512</v>
      </c>
      <c r="BH71" s="27" t="n">
        <f aca="false">SUMIF($C$2:$F$2,EOMONTH(BH$2,-1)+1,$C71:$F71)*VLOOKUP(BH$2,Valores!$H$2:$P$154,8,0)</f>
        <v>21987.1656862512</v>
      </c>
      <c r="BI71" s="27" t="n">
        <f aca="false">SUMIF($C$2:$F$2,EOMONTH(BI$2,-1)+1,$C71:$F71)*VLOOKUP(BI$2,Valores!$H$2:$P$154,8,0)</f>
        <v>43974.3313725023</v>
      </c>
      <c r="BJ71" s="27" t="n">
        <f aca="false">SUMIF($C$2:$F$2,EOMONTH(BJ$2,-1)+1,$C71:$F71)*VLOOKUP(BJ$2,Valores!$H$2:$P$154,8,0)</f>
        <v>54967.9142156279</v>
      </c>
      <c r="BK71" s="27" t="n">
        <f aca="false">SUMIF($C$2:$F$2,EOMONTH(BK$2,-1)+1,$C71:$F71)*VLOOKUP(BK$2,Valores!$H$2:$P$154,8,0)</f>
        <v>26384.5988235014</v>
      </c>
      <c r="BL71" s="27" t="n">
        <f aca="false">SUMIF($C$2:$F$2,EOMONTH(BL$2,-1)+1,$C71:$F71)*VLOOKUP(BL$2,Valores!$H$2:$P$154,8,0)</f>
        <v>19348.705803901</v>
      </c>
      <c r="BM71" s="27" t="n">
        <f aca="false">SUMIF($C$2:$F$2,EOMONTH(BM$2,-1)+1,$C71:$F71)*VLOOKUP(BM$2,Valores!$H$2:$P$154,8,0)</f>
        <v>19348.705803901</v>
      </c>
      <c r="BN71" s="27" t="n">
        <f aca="false">SUMIF($C$2:$F$2,EOMONTH(BN$2,-1)+1,$C71:$F71)*VLOOKUP(BN$2,Valores!$H$2:$P$154,8,0)</f>
        <v>19348.705803901</v>
      </c>
      <c r="BO71" s="27" t="n">
        <f aca="false">SUMIF($C$2:$F$2,EOMONTH(BO$2,-1)+1,$C71:$F71)*VLOOKUP(BO$2,Valores!$H$2:$P$154,8,0)</f>
        <v>20316.1410940961</v>
      </c>
      <c r="BP71" s="27" t="n">
        <f aca="false">SUMIF($C$2:$F$2,EOMONTH(BP$2,-1)+1,$C71:$F71)*VLOOKUP(BP$2,Valores!$H$2:$P$154,8,0)</f>
        <v>51126.5164707175</v>
      </c>
      <c r="BQ71" s="27" t="n">
        <f aca="false">SUMIF($C$2:$F$2,EOMONTH(BQ$2,-1)+1,$C71:$F71)*VLOOKUP(BQ$2,Valores!$H$2:$P$154,8,0)</f>
        <v>63908.1455883969</v>
      </c>
      <c r="BR71" s="27" t="n">
        <f aca="false">SUMIF($C$2:$F$2,EOMONTH(BR$2,-1)+1,$C71:$F71)*VLOOKUP(BR$2,Valores!$H$2:$P$154,8,0)</f>
        <v>30675.9098824305</v>
      </c>
      <c r="BS71" s="27" t="n">
        <f aca="false">SUMIF($C$2:$F$2,EOMONTH(BS$2,-1)+1,$C71:$F71)*VLOOKUP(BS$2,Valores!$H$2:$P$154,8,0)</f>
        <v>13694.602626085</v>
      </c>
      <c r="BT71" s="27" t="n">
        <f aca="false">SUMIF($C$2:$F$2,EOMONTH(BT$2,-1)+1,$C71:$F71)*VLOOKUP(BT$2,Valores!$H$2:$P$154,8,0)</f>
        <v>13694.602626085</v>
      </c>
      <c r="BU71" s="27" t="n">
        <f aca="false">SUMIF($C$2:$F$2,EOMONTH(BU$2,-1)+1,$C71:$F71)*VLOOKUP(BU$2,Valores!$H$2:$P$154,8,0)</f>
        <v>13694.602626085</v>
      </c>
      <c r="BV71" s="27" t="n">
        <f aca="false">SUMIF($C$2:$F$2,EOMONTH(BV$2,-1)+1,$C71:$F71)*VLOOKUP(BV$2,Valores!$H$2:$P$154,8,0)</f>
        <v>13694.602626085</v>
      </c>
      <c r="BW71" s="27" t="n">
        <f aca="false">SUMIF($C$2:$F$2,EOMONTH(BW$2,-1)+1,$C71:$F71)*VLOOKUP(BW$2,Valores!$H$2:$P$154,8,0)</f>
        <v>27389.2052521701</v>
      </c>
      <c r="BX71" s="27" t="n">
        <f aca="false">SUMIF($C$2:$F$2,EOMONTH(BX$2,-1)+1,$C71:$F71)*VLOOKUP(BX$2,Valores!$H$2:$P$154,8,0)</f>
        <v>34236.5065652126</v>
      </c>
      <c r="BY71" s="27" t="n">
        <f aca="false">SUMIF($C$2:$F$2,EOMONTH(BY$2,-1)+1,$C71:$F71)*VLOOKUP(BY$2,Valores!$H$2:$P$154,8,0)</f>
        <v>20541.9039391276</v>
      </c>
      <c r="BZ71" s="27" t="n">
        <f aca="false">SUMIF($C$2:$F$2,EOMONTH(BZ$2,-1)+1,$C71:$F71)*VLOOKUP(BZ$2,Valores!$H$2:$P$154,8,0)</f>
        <v>13694.602626085</v>
      </c>
      <c r="CA71" s="27" t="n">
        <f aca="false">SUMIF($C$2:$F$2,EOMONTH(CA$2,-1)+1,$C71:$F71)*VLOOKUP(CA$2,Valores!$H$2:$P$154,8,0)</f>
        <v>13694.602626085</v>
      </c>
      <c r="CB71" s="27" t="n">
        <f aca="false">SUMIF($C$2:$F$2,EOMONTH(CB$2,-1)+1,$C71:$F71)*VLOOKUP(CB$2,Valores!$H$2:$P$154,8,0)</f>
        <v>13694.602626085</v>
      </c>
      <c r="CC71" s="27" t="n">
        <f aca="false">SUMIF($C$2:$F$2,EOMONTH(CC$2,-1)+1,$C71:$F71)*VLOOKUP(CC$2,Valores!$H$2:$P$154,8,0)</f>
        <v>13694.602626085</v>
      </c>
      <c r="CD71" s="27" t="n">
        <f aca="false">SUMIF($C$2:$F$2,EOMONTH(CD$2,-1)+1,$C71:$F71)*VLOOKUP(CD$2,Valores!$H$2:$P$154,8,0)</f>
        <v>41083.8078782551</v>
      </c>
      <c r="CE71" s="27" t="n">
        <f aca="false">SUMIF($C$2:$F$2,EOMONTH(CE$2,-1)+1,$C71:$F71)*VLOOKUP(CE$2,Valores!$H$2:$P$154,8,0)</f>
        <v>54778.4105043402</v>
      </c>
      <c r="CF71" s="27" t="n">
        <f aca="false">SUMIF($C$2:$F$2,EOMONTH(CF$2,-1)+1,$C71:$F71)*VLOOKUP(CF$2,Valores!$H$2:$P$154,8,0)</f>
        <v>34236.5065652126</v>
      </c>
      <c r="CG71" s="27" t="n">
        <f aca="false">SUMIF($C$2:$F$2,EOMONTH(CG$2,-1)+1,$C71:$F71)*VLOOKUP(CG$2,Valores!$H$2:$P$154,8,0)</f>
        <v>18259.4701681134</v>
      </c>
      <c r="CH71" s="27" t="n">
        <f aca="false">SUMIF($C$2:$F$2,EOMONTH(CH$2,-1)+1,$C71:$F71)*VLOOKUP(CH$2,Valores!$H$2:$P$154,8,0)</f>
        <v>18259.4701681134</v>
      </c>
      <c r="CI71" s="27" t="n">
        <f aca="false">SUMIF($C$2:$F$2,EOMONTH(CI$2,-1)+1,$C71:$F71)*VLOOKUP(CI$2,Valores!$H$2:$P$154,8,0)</f>
        <v>18259.4701681134</v>
      </c>
      <c r="CJ71" s="27" t="n">
        <f aca="false">SUMIF($C$2:$F$2,EOMONTH(CJ$2,-1)+1,$C71:$F71)*VLOOKUP(CJ$2,Valores!$H$2:$P$154,8,0)</f>
        <v>18259.4701681134</v>
      </c>
      <c r="CK71" s="27" t="n">
        <f aca="false">SUMIF($C$2:$F$2,EOMONTH(CK$2,-1)+1,$C71:$F71)*VLOOKUP(CK$2,Valores!$H$2:$P$154,8,0)</f>
        <v>36518.9403362268</v>
      </c>
      <c r="CL71" s="27" t="n">
        <f aca="false">SUMIF($C$2:$F$2,EOMONTH(CL$2,-1)+1,$C71:$F71)*VLOOKUP(CL$2,Valores!$H$2:$P$154,8,0)</f>
        <v>45648.6754202835</v>
      </c>
      <c r="CM71" s="27" t="n">
        <f aca="false">SUMIF($C$2:$F$2,EOMONTH(CM$2,-1)+1,$C71:$F71)*VLOOKUP(CM$2,Valores!$H$2:$P$154,8,0)</f>
        <v>27389.2052521701</v>
      </c>
      <c r="CN71" s="27" t="n">
        <f aca="false">SUMIF($C$2:$F$2,EOMONTH(CN$2,-1)+1,$C71:$F71)*VLOOKUP(CN$2,Valores!$H$2:$P$154,8,0)</f>
        <v>20085.4171849247</v>
      </c>
      <c r="CO71" s="27" t="n">
        <f aca="false">SUMIF($C$2:$F$2,EOMONTH(CO$2,-1)+1,$C71:$F71)*VLOOKUP(CO$2,Valores!$H$2:$P$154,8,0)</f>
        <v>20085.4171849247</v>
      </c>
      <c r="CP71" s="27" t="n">
        <f aca="false">SUMIF($C$2:$F$2,EOMONTH(CP$2,-1)+1,$C71:$F71)*VLOOKUP(CP$2,Valores!$H$2:$P$154,8,0)</f>
        <v>20085.4171849247</v>
      </c>
      <c r="CQ71" s="27" t="n">
        <f aca="false">SUMIF($C$2:$F$2,EOMONTH(CQ$2,-1)+1,$C71:$F71)*VLOOKUP(CQ$2,Valores!$H$2:$P$154,8,0)</f>
        <v>20085.4171849247</v>
      </c>
      <c r="CR71" s="27" t="n">
        <f aca="false">SUMIF($C$2:$F$2,EOMONTH(CR$2,-1)+1,$C71:$F71)*VLOOKUP(CR$2,Valores!$H$2:$P$154,8,0)</f>
        <v>40170.8343698494</v>
      </c>
      <c r="CS71" s="27" t="n">
        <f aca="false">SUMIF($C$2:$F$2,EOMONTH(CS$2,-1)+1,$C71:$F71)*VLOOKUP(CS$2,Valores!$H$2:$P$154,8,0)</f>
        <v>60256.2515547742</v>
      </c>
      <c r="CT71" s="27" t="e">
        <f aca="false">SUMIF($C$2:$F$2,EOMONTH(CT$2,-1)+1,$C71:$F71)*VLOOKUP(CT$2,Valores!$H$2:$P$154,8,0)</f>
        <v>#VALUE!</v>
      </c>
      <c r="CU71" s="27" t="e">
        <f aca="false">SUMIF($C$2:$F$2,EOMONTH(CU$2,-1)+1,$C71:$F71)*VLOOKUP(CU$2,Valores!$H$2:$P$154,8,0)</f>
        <v>#VALUE!</v>
      </c>
      <c r="CV71" s="27" t="e">
        <f aca="false">SUMIF($C$2:$F$2,EOMONTH(CV$2,-1)+1,$C71:$F71)*VLOOKUP(CV$2,Valores!$H$2:$P$154,8,0)</f>
        <v>#VALUE!</v>
      </c>
      <c r="CW71" s="27" t="e">
        <f aca="false">SUMIF($C$2:$F$2,EOMONTH(CW$2,-1)+1,$C71:$F71)*VLOOKUP(CW$2,Valores!$H$2:$P$154,8,0)</f>
        <v>#VALUE!</v>
      </c>
      <c r="CX71" s="27" t="e">
        <f aca="false">SUMIF($C$2:$F$2,EOMONTH(CX$2,-1)+1,$C71:$F71)*VLOOKUP(CX$2,Valores!$H$2:$P$154,8,0)</f>
        <v>#VALUE!</v>
      </c>
      <c r="CY71" s="27" t="e">
        <f aca="false">SUMIF($C$2:$F$2,EOMONTH(CY$2,-1)+1,$C71:$F71)*VLOOKUP(CY$2,Valores!$H$2:$P$154,8,0)</f>
        <v>#VALUE!</v>
      </c>
      <c r="CZ71" s="27" t="e">
        <f aca="false">SUMIF($C$2:$F$2,EOMONTH(CZ$2,-1)+1,$C71:$F71)*VLOOKUP(CZ$2,Valores!$H$2:$P$154,8,0)</f>
        <v>#VALUE!</v>
      </c>
      <c r="DA71" s="27" t="e">
        <f aca="false">SUMIF($C$2:$F$2,EOMONTH(DA$2,-1)+1,$C71:$F71)*VLOOKUP(DA$2,Valores!$H$2:$P$154,8,0)</f>
        <v>#VALUE!</v>
      </c>
      <c r="DB71" s="27" t="e">
        <f aca="false">SUMIF($C$2:$F$2,EOMONTH(DB$2,-1)+1,$C71:$F71)*VLOOKUP(DB$2,Valores!$H$2:$P$154,8,0)</f>
        <v>#VALUE!</v>
      </c>
      <c r="DC71" s="27" t="e">
        <f aca="false">SUMIF($C$2:$F$2,EOMONTH(DC$2,-1)+1,$C71:$F71)*VLOOKUP(DC$2,Valores!$H$2:$P$154,8,0)</f>
        <v>#VALUE!</v>
      </c>
      <c r="DD71" s="27" t="e">
        <f aca="false">SUMIF($C$2:$F$2,EOMONTH(DD$2,-1)+1,$C71:$F71)*VLOOKUP(DD$2,Valores!$H$2:$P$154,8,0)</f>
        <v>#VALUE!</v>
      </c>
      <c r="DE71" s="27" t="e">
        <f aca="false">SUMIF($C$2:$F$2,EOMONTH(DE$2,-1)+1,$C71:$F71)*VLOOKUP(DE$2,Valores!$H$2:$P$154,8,0)</f>
        <v>#VALUE!</v>
      </c>
      <c r="DF71" s="27" t="e">
        <f aca="false">SUMIF($C$2:$F$2,EOMONTH(DF$2,-1)+1,$C71:$F71)*VLOOKUP(DF$2,Valores!$H$2:$P$154,8,0)</f>
        <v>#VALUE!</v>
      </c>
      <c r="DG71" s="27" t="e">
        <f aca="false">SUMIF($C$2:$F$2,EOMONTH(DG$2,-1)+1,$C71:$F71)*VLOOKUP(DG$2,Valores!$H$2:$P$154,8,0)</f>
        <v>#VALUE!</v>
      </c>
      <c r="DH71" s="27" t="e">
        <f aca="false">SUMIF($C$2:$F$2,EOMONTH(DH$2,-1)+1,$C71:$F71)*VLOOKUP(DH$2,Valores!$H$2:$P$154,8,0)</f>
        <v>#VALUE!</v>
      </c>
      <c r="DI71" s="27" t="e">
        <f aca="false">SUMIF($C$2:$F$2,EOMONTH(DI$2,-1)+1,$C71:$F71)*VLOOKUP(DI$2,Valores!$H$2:$P$154,8,0)</f>
        <v>#VALUE!</v>
      </c>
      <c r="DJ71" s="27" t="e">
        <f aca="false">SUMIF($C$2:$F$2,EOMONTH(DJ$2,-1)+1,$C71:$F71)*VLOOKUP(DJ$2,Valores!$H$2:$P$154,8,0)</f>
        <v>#VALUE!</v>
      </c>
      <c r="DK71" s="27" t="e">
        <f aca="false">SUMIF($C$2:$F$2,EOMONTH(DK$2,-1)+1,$C71:$F71)*VLOOKUP(DK$2,Valores!$H$2:$P$154,8,0)</f>
        <v>#VALUE!</v>
      </c>
      <c r="DL71" s="27" t="e">
        <f aca="false">SUMIF($C$2:$F$2,EOMONTH(DL$2,-1)+1,$C71:$F71)*VLOOKUP(DL$2,Valores!$H$2:$P$154,8,0)</f>
        <v>#VALUE!</v>
      </c>
      <c r="DM71" s="27" t="e">
        <f aca="false">SUMIF($C$2:$F$2,EOMONTH(DM$2,-1)+1,$C71:$F71)*VLOOKUP(DM$2,Valores!$H$2:$P$154,8,0)</f>
        <v>#VALUE!</v>
      </c>
      <c r="DN71" s="27" t="e">
        <f aca="false">SUMIF($C$2:$F$2,EOMONTH(DN$2,-1)+1,$C71:$F71)*VLOOKUP(DN$2,Valores!$H$2:$P$154,8,0)</f>
        <v>#VALUE!</v>
      </c>
      <c r="DO71" s="27" t="e">
        <f aca="false">SUMIF($C$2:$F$2,EOMONTH(DO$2,-1)+1,$C71:$F71)*VLOOKUP(DO$2,Valores!$H$2:$P$154,8,0)</f>
        <v>#VALUE!</v>
      </c>
      <c r="DP71" s="27" t="e">
        <f aca="false">SUMIF($C$2:$F$2,EOMONTH(DP$2,-1)+1,$C71:$F71)*VLOOKUP(DP$2,Valores!$H$2:$P$154,8,0)</f>
        <v>#VALUE!</v>
      </c>
      <c r="DQ71" s="27" t="e">
        <f aca="false">SUMIF($C$2:$F$2,EOMONTH(DQ$2,-1)+1,$C71:$F71)*VLOOKUP(DQ$2,Valores!$H$2:$P$154,8,0)</f>
        <v>#VALUE!</v>
      </c>
      <c r="DR71" s="27" t="e">
        <f aca="false">SUMIF($C$2:$F$2,EOMONTH(DR$2,-1)+1,$C71:$F71)*VLOOKUP(DR$2,Valores!$H$2:$P$154,8,0)</f>
        <v>#VALUE!</v>
      </c>
      <c r="DS71" s="27" t="e">
        <f aca="false">SUMIF($C$2:$F$2,EOMONTH(DS$2,-1)+1,$C71:$F71)*VLOOKUP(DS$2,Valores!$H$2:$P$154,8,0)</f>
        <v>#VALUE!</v>
      </c>
      <c r="DT71" s="27" t="e">
        <f aca="false">SUMIF($C$2:$F$2,EOMONTH(DT$2,-1)+1,$C71:$F71)*VLOOKUP(DT$2,Valores!$H$2:$P$154,8,0)</f>
        <v>#VALUE!</v>
      </c>
      <c r="DU71" s="27" t="e">
        <f aca="false">SUMIF($C$2:$F$2,EOMONTH(DU$2,-1)+1,$C71:$F71)*VLOOKUP(DU$2,Valores!$H$2:$P$154,8,0)</f>
        <v>#VALUE!</v>
      </c>
      <c r="DV71" s="27" t="e">
        <f aca="false">SUMIF($C$2:$F$2,EOMONTH(DV$2,-1)+1,$C71:$F71)*VLOOKUP(DV$2,Valores!$H$2:$P$154,8,0)</f>
        <v>#VALUE!</v>
      </c>
      <c r="DW71" s="27" t="e">
        <f aca="false">SUMIF($C$2:$F$2,EOMONTH(DW$2,-1)+1,$C71:$F71)*VLOOKUP(DW$2,Valores!$H$2:$P$154,8,0)</f>
        <v>#VALUE!</v>
      </c>
      <c r="DX71" s="27" t="e">
        <f aca="false">SUMIF($C$2:$F$2,EOMONTH(DX$2,-1)+1,$C71:$F71)*VLOOKUP(DX$2,Valores!$H$2:$P$154,8,0)</f>
        <v>#VALUE!</v>
      </c>
    </row>
    <row r="72" customFormat="false" ht="13.8" hidden="false" customHeight="false" outlineLevel="0" collapsed="false">
      <c r="A72" s="33" t="s">
        <v>91</v>
      </c>
      <c r="B72" s="29" t="s">
        <v>95</v>
      </c>
      <c r="C72" s="29" t="n">
        <v>960906</v>
      </c>
      <c r="D72" s="29" t="n">
        <v>864815.4</v>
      </c>
      <c r="E72" s="29" t="n">
        <v>778333.86</v>
      </c>
      <c r="F72" s="29" t="n">
        <v>700500.474</v>
      </c>
      <c r="G72" s="30" t="n">
        <f aca="false">SUMIF($C$2:$F$2,EOMONTH(G$2,-1)+1,$C72:$F72)*VLOOKUP(G$2,Valores!$H$2:$P$154,8,0)</f>
        <v>27671.3098568373</v>
      </c>
      <c r="H72" s="30" t="n">
        <f aca="false">SUMIF($C$2:$F$2,EOMONTH(H$2,-1)+1,$C72:$F72)*VLOOKUP(H$2,Valores!$H$2:$P$154,8,0)</f>
        <v>18974.6124732598</v>
      </c>
      <c r="I72" s="30" t="n">
        <f aca="false">SUMIF($C$2:$F$2,EOMONTH(I$2,-1)+1,$C72:$F72)*VLOOKUP(I$2,Valores!$H$2:$P$154,8,0)</f>
        <v>18974.6124732598</v>
      </c>
      <c r="J72" s="30" t="n">
        <f aca="false">SUMIF($C$2:$F$2,EOMONTH(J$2,-1)+1,$C72:$F72)*VLOOKUP(J$2,Valores!$H$2:$P$154,8,0)</f>
        <v>18974.6124732598</v>
      </c>
      <c r="K72" s="30" t="n">
        <f aca="false">SUMIF($C$2:$F$2,EOMONTH(K$2,-1)+1,$C72:$F72)*VLOOKUP(K$2,Valores!$H$2:$P$154,8,0)</f>
        <v>18974.6124732598</v>
      </c>
      <c r="L72" s="30" t="n">
        <f aca="false">SUMIF($C$2:$F$2,EOMONTH(L$2,-1)+1,$C72:$F72)*VLOOKUP(L$2,Valores!$H$2:$P$154,8,0)</f>
        <v>37949.2249465197</v>
      </c>
      <c r="M72" s="30" t="n">
        <f aca="false">SUMIF($C$2:$F$2,EOMONTH(M$2,-1)+1,$C72:$F72)*VLOOKUP(M$2,Valores!$H$2:$P$154,8,0)</f>
        <v>47436.5311831496</v>
      </c>
      <c r="N72" s="30" t="n">
        <f aca="false">SUMIF($C$2:$F$2,EOMONTH(N$2,-1)+1,$C72:$F72)*VLOOKUP(N$2,Valores!$H$2:$P$154,8,0)</f>
        <v>28461.9187098897</v>
      </c>
      <c r="O72" s="30" t="n">
        <f aca="false">SUMIF($C$2:$F$2,EOMONTH(O$2,-1)+1,$C72:$F72)*VLOOKUP(O$2,Valores!$H$2:$P$154,8,0)</f>
        <v>25299.4832976798</v>
      </c>
      <c r="P72" s="30" t="n">
        <f aca="false">SUMIF($C$2:$F$2,EOMONTH(P$2,-1)+1,$C72:$F72)*VLOOKUP(P$2,Valores!$H$2:$P$154,8,0)</f>
        <v>25299.4832976798</v>
      </c>
      <c r="Q72" s="30" t="n">
        <f aca="false">SUMIF($C$2:$F$2,EOMONTH(Q$2,-1)+1,$C72:$F72)*VLOOKUP(Q$2,Valores!$H$2:$P$154,8,0)</f>
        <v>15179.6899786079</v>
      </c>
      <c r="R72" s="30" t="n">
        <f aca="false">SUMIF($C$2:$F$2,EOMONTH(R$2,-1)+1,$C72:$F72)*VLOOKUP(R$2,Valores!$H$2:$P$154,8,0)</f>
        <v>25299.4832976798</v>
      </c>
      <c r="S72" s="30" t="n">
        <f aca="false">SUMIF($C$2:$F$2,EOMONTH(S$2,-1)+1,$C72:$F72)*VLOOKUP(S$2,Valores!$H$2:$P$154,8,0)</f>
        <v>50598.9665953596</v>
      </c>
      <c r="T72" s="30" t="n">
        <f aca="false">SUMIF($C$2:$F$2,EOMONTH(T$2,-1)+1,$C72:$F72)*VLOOKUP(T$2,Valores!$H$2:$P$154,8,0)</f>
        <v>63248.7082441994</v>
      </c>
      <c r="U72" s="30" t="n">
        <f aca="false">SUMIF($C$2:$F$2,EOMONTH(U$2,-1)+1,$C72:$F72)*VLOOKUP(U$2,Valores!$H$2:$P$154,8,0)</f>
        <v>37949.2249465197</v>
      </c>
      <c r="V72" s="30" t="n">
        <f aca="false">SUMIF($C$2:$F$2,EOMONTH(V$2,-1)+1,$C72:$F72)*VLOOKUP(V$2,Valores!$H$2:$P$154,8,0)</f>
        <v>31624.3541220997</v>
      </c>
      <c r="W72" s="30" t="n">
        <f aca="false">SUMIF($C$2:$F$2,EOMONTH(W$2,-1)+1,$C72:$F72)*VLOOKUP(W$2,Valores!$H$2:$P$154,8,0)</f>
        <v>31624.3541220997</v>
      </c>
      <c r="X72" s="30" t="n">
        <f aca="false">SUMIF($C$2:$F$2,EOMONTH(X$2,-1)+1,$C72:$F72)*VLOOKUP(X$2,Valores!$H$2:$P$154,8,0)</f>
        <v>0</v>
      </c>
      <c r="Y72" s="30" t="n">
        <f aca="false">SUMIF($C$2:$F$2,EOMONTH(Y$2,-1)+1,$C72:$F72)*VLOOKUP(Y$2,Valores!$H$2:$P$154,8,0)</f>
        <v>0</v>
      </c>
      <c r="Z72" s="30" t="n">
        <f aca="false">SUMIF($C$2:$F$2,EOMONTH(Z$2,-1)+1,$C72:$F72)*VLOOKUP(Z$2,Valores!$H$2:$P$154,8,0)</f>
        <v>47436.5311831496</v>
      </c>
      <c r="AA72" s="30" t="n">
        <f aca="false">SUMIF($C$2:$F$2,EOMONTH(AA$2,-1)+1,$C72:$F72)*VLOOKUP(AA$2,Valores!$H$2:$P$154,8,0)</f>
        <v>56923.8374197795</v>
      </c>
      <c r="AB72" s="30" t="n">
        <f aca="false">SUMIF($C$2:$F$2,EOMONTH(AB$2,-1)+1,$C72:$F72)*VLOOKUP(AB$2,Valores!$H$2:$P$154,8,0)</f>
        <v>28461.9187098897</v>
      </c>
      <c r="AC72" s="30" t="n">
        <f aca="false">SUMIF($C$2:$F$2,EOMONTH(AC$2,-1)+1,$C72:$F72)*VLOOKUP(AC$2,Valores!$H$2:$P$154,8,0)</f>
        <v>34786.7895343097</v>
      </c>
      <c r="AD72" s="30" t="n">
        <f aca="false">SUMIF($C$2:$F$2,EOMONTH(AD$2,-1)+1,$C72:$F72)*VLOOKUP(AD$2,Valores!$H$2:$P$154,8,0)</f>
        <v>34786.7895343097</v>
      </c>
      <c r="AE72" s="30" t="n">
        <f aca="false">SUMIF($C$2:$F$2,EOMONTH(AE$2,-1)+1,$C72:$F72)*VLOOKUP(AE$2,Valores!$H$2:$P$154,8,0)</f>
        <v>34786.7895343097</v>
      </c>
      <c r="AF72" s="30" t="n">
        <f aca="false">SUMIF($C$2:$F$2,EOMONTH(AF$2,-1)+1,$C72:$F72)*VLOOKUP(AF$2,Valores!$H$2:$P$154,8,0)</f>
        <v>34786.7895343097</v>
      </c>
      <c r="AG72" s="30" t="n">
        <f aca="false">SUMIF($C$2:$F$2,EOMONTH(AG$2,-1)+1,$C72:$F72)*VLOOKUP(AG$2,Valores!$H$2:$P$154,8,0)</f>
        <v>55658.8632548955</v>
      </c>
      <c r="AH72" s="30" t="n">
        <f aca="false">SUMIF($C$2:$F$2,EOMONTH(AH$2,-1)+1,$C72:$F72)*VLOOKUP(AH$2,Valores!$H$2:$P$154,8,0)</f>
        <v>69573.5790686194</v>
      </c>
      <c r="AI72" s="30" t="n">
        <f aca="false">SUMIF($C$2:$F$2,EOMONTH(AI$2,-1)+1,$C72:$F72)*VLOOKUP(AI$2,Valores!$H$2:$P$154,8,0)</f>
        <v>24350.7526740168</v>
      </c>
      <c r="AJ72" s="30" t="n">
        <f aca="false">SUMIF($C$2:$F$2,EOMONTH(AJ$2,-1)+1,$C72:$F72)*VLOOKUP(AJ$2,Valores!$H$2:$P$154,8,0)</f>
        <v>15812.1770610499</v>
      </c>
      <c r="AK72" s="30" t="n">
        <f aca="false">SUMIF($C$2:$F$2,EOMONTH(AK$2,-1)+1,$C72:$F72)*VLOOKUP(AK$2,Valores!$H$2:$P$154,8,0)</f>
        <v>28834.7319536069</v>
      </c>
      <c r="AL72" s="30" t="n">
        <f aca="false">SUMIF($C$2:$F$2,EOMONTH(AL$2,-1)+1,$C72:$F72)*VLOOKUP(AL$2,Valores!$H$2:$P$154,8,0)</f>
        <v>28834.7319536069</v>
      </c>
      <c r="AM72" s="30" t="n">
        <f aca="false">SUMIF($C$2:$F$2,EOMONTH(AM$2,-1)+1,$C72:$F72)*VLOOKUP(AM$2,Valores!$H$2:$P$154,8,0)</f>
        <v>28834.7319536069</v>
      </c>
      <c r="AN72" s="30" t="n">
        <f aca="false">SUMIF($C$2:$F$2,EOMONTH(AN$2,-1)+1,$C72:$F72)*VLOOKUP(AN$2,Valores!$H$2:$P$154,8,0)</f>
        <v>57669.4639072138</v>
      </c>
      <c r="AO72" s="30" t="n">
        <f aca="false">SUMIF($C$2:$F$2,EOMONTH(AO$2,-1)+1,$C72:$F72)*VLOOKUP(AO$2,Valores!$H$2:$P$154,8,0)</f>
        <v>72086.8298840172</v>
      </c>
      <c r="AP72" s="30" t="n">
        <f aca="false">SUMIF($C$2:$F$2,EOMONTH(AP$2,-1)+1,$C72:$F72)*VLOOKUP(AP$2,Valores!$H$2:$P$154,8,0)</f>
        <v>43252.0979304103</v>
      </c>
      <c r="AQ72" s="30" t="n">
        <f aca="false">SUMIF($C$2:$F$2,EOMONTH(AQ$2,-1)+1,$C72:$F72)*VLOOKUP(AQ$2,Valores!$H$2:$P$154,8,0)</f>
        <v>15447.1778322894</v>
      </c>
      <c r="AR72" s="30" t="n">
        <f aca="false">SUMIF($C$2:$F$2,EOMONTH(AR$2,-1)+1,$C72:$F72)*VLOOKUP(AR$2,Valores!$H$2:$P$154,8,0)</f>
        <v>15447.1778322894</v>
      </c>
      <c r="AS72" s="30" t="n">
        <f aca="false">SUMIF($C$2:$F$2,EOMONTH(AS$2,-1)+1,$C72:$F72)*VLOOKUP(AS$2,Valores!$H$2:$P$154,8,0)</f>
        <v>15447.1778322894</v>
      </c>
      <c r="AT72" s="30" t="n">
        <f aca="false">SUMIF($C$2:$F$2,EOMONTH(AT$2,-1)+1,$C72:$F72)*VLOOKUP(AT$2,Valores!$H$2:$P$154,8,0)</f>
        <v>15447.1778322894</v>
      </c>
      <c r="AU72" s="30" t="n">
        <f aca="false">SUMIF($C$2:$F$2,EOMONTH(AU$2,-1)+1,$C72:$F72)*VLOOKUP(AU$2,Valores!$H$2:$P$154,8,0)</f>
        <v>30894.3556645788</v>
      </c>
      <c r="AV72" s="30" t="n">
        <f aca="false">SUMIF($C$2:$F$2,EOMONTH(AV$2,-1)+1,$C72:$F72)*VLOOKUP(AV$2,Valores!$H$2:$P$154,8,0)</f>
        <v>38617.9445807235</v>
      </c>
      <c r="AW72" s="30" t="n">
        <f aca="false">SUMIF($C$2:$F$2,EOMONTH(AW$2,-1)+1,$C72:$F72)*VLOOKUP(AW$2,Valores!$H$2:$P$154,8,0)</f>
        <v>23170.7667484341</v>
      </c>
      <c r="AX72" s="30" t="n">
        <f aca="false">SUMIF($C$2:$F$2,EOMONTH(AX$2,-1)+1,$C72:$F72)*VLOOKUP(AX$2,Valores!$H$2:$P$154,8,0)</f>
        <v>15447.1778322894</v>
      </c>
      <c r="AY72" s="30" t="n">
        <f aca="false">SUMIF($C$2:$F$2,EOMONTH(AY$2,-1)+1,$C72:$F72)*VLOOKUP(AY$2,Valores!$H$2:$P$154,8,0)</f>
        <v>20081.3311819762</v>
      </c>
      <c r="AZ72" s="30" t="n">
        <f aca="false">SUMIF($C$2:$F$2,EOMONTH(AZ$2,-1)+1,$C72:$F72)*VLOOKUP(AZ$2,Valores!$H$2:$P$154,8,0)</f>
        <v>20081.3311819762</v>
      </c>
      <c r="BA72" s="30" t="n">
        <f aca="false">SUMIF($C$2:$F$2,EOMONTH(BA$2,-1)+1,$C72:$F72)*VLOOKUP(BA$2,Valores!$H$2:$P$154,8,0)</f>
        <v>20081.3311819762</v>
      </c>
      <c r="BB72" s="30" t="n">
        <f aca="false">SUMIF($C$2:$F$2,EOMONTH(BB$2,-1)+1,$C72:$F72)*VLOOKUP(BB$2,Valores!$H$2:$P$154,8,0)</f>
        <v>35528.5090142656</v>
      </c>
      <c r="BC72" s="30" t="n">
        <f aca="false">SUMIF($C$2:$F$2,EOMONTH(BC$2,-1)+1,$C72:$F72)*VLOOKUP(BC$2,Valores!$H$2:$P$154,8,0)</f>
        <v>43252.0979304103</v>
      </c>
      <c r="BD72" s="30" t="n">
        <f aca="false">SUMIF($C$2:$F$2,EOMONTH(BD$2,-1)+1,$C72:$F72)*VLOOKUP(BD$2,Valores!$H$2:$P$154,8,0)</f>
        <v>23170.7667484341</v>
      </c>
      <c r="BE72" s="30" t="n">
        <f aca="false">SUMIF($C$2:$F$2,EOMONTH(BE$2,-1)+1,$C72:$F72)*VLOOKUP(BE$2,Valores!$H$2:$P$154,8,0)</f>
        <v>20596.2371097192</v>
      </c>
      <c r="BF72" s="30" t="n">
        <f aca="false">SUMIF($C$2:$F$2,EOMONTH(BF$2,-1)+1,$C72:$F72)*VLOOKUP(BF$2,Valores!$H$2:$P$154,8,0)</f>
        <v>20596.2371097192</v>
      </c>
      <c r="BG72" s="30" t="n">
        <f aca="false">SUMIF($C$2:$F$2,EOMONTH(BG$2,-1)+1,$C72:$F72)*VLOOKUP(BG$2,Valores!$H$2:$P$154,8,0)</f>
        <v>20596.2371097192</v>
      </c>
      <c r="BH72" s="30" t="n">
        <f aca="false">SUMIF($C$2:$F$2,EOMONTH(BH$2,-1)+1,$C72:$F72)*VLOOKUP(BH$2,Valores!$H$2:$P$154,8,0)</f>
        <v>20596.2371097192</v>
      </c>
      <c r="BI72" s="30" t="n">
        <f aca="false">SUMIF($C$2:$F$2,EOMONTH(BI$2,-1)+1,$C72:$F72)*VLOOKUP(BI$2,Valores!$H$2:$P$154,8,0)</f>
        <v>41192.4742194384</v>
      </c>
      <c r="BJ72" s="30" t="n">
        <f aca="false">SUMIF($C$2:$F$2,EOMONTH(BJ$2,-1)+1,$C72:$F72)*VLOOKUP(BJ$2,Valores!$H$2:$P$154,8,0)</f>
        <v>51490.592774298</v>
      </c>
      <c r="BK72" s="30" t="n">
        <f aca="false">SUMIF($C$2:$F$2,EOMONTH(BK$2,-1)+1,$C72:$F72)*VLOOKUP(BK$2,Valores!$H$2:$P$154,8,0)</f>
        <v>24715.4845316631</v>
      </c>
      <c r="BL72" s="30" t="n">
        <f aca="false">SUMIF($C$2:$F$2,EOMONTH(BL$2,-1)+1,$C72:$F72)*VLOOKUP(BL$2,Valores!$H$2:$P$154,8,0)</f>
        <v>18124.6886565529</v>
      </c>
      <c r="BM72" s="30" t="n">
        <f aca="false">SUMIF($C$2:$F$2,EOMONTH(BM$2,-1)+1,$C72:$F72)*VLOOKUP(BM$2,Valores!$H$2:$P$154,8,0)</f>
        <v>18124.6886565529</v>
      </c>
      <c r="BN72" s="30" t="n">
        <f aca="false">SUMIF($C$2:$F$2,EOMONTH(BN$2,-1)+1,$C72:$F72)*VLOOKUP(BN$2,Valores!$H$2:$P$154,8,0)</f>
        <v>18124.6886565529</v>
      </c>
      <c r="BO72" s="30" t="n">
        <f aca="false">SUMIF($C$2:$F$2,EOMONTH(BO$2,-1)+1,$C72:$F72)*VLOOKUP(BO$2,Valores!$H$2:$P$154,8,0)</f>
        <v>19030.9230893806</v>
      </c>
      <c r="BP72" s="30" t="n">
        <f aca="false">SUMIF($C$2:$F$2,EOMONTH(BP$2,-1)+1,$C72:$F72)*VLOOKUP(BP$2,Valores!$H$2:$P$154,8,0)</f>
        <v>47892.2054279749</v>
      </c>
      <c r="BQ72" s="30" t="n">
        <f aca="false">SUMIF($C$2:$F$2,EOMONTH(BQ$2,-1)+1,$C72:$F72)*VLOOKUP(BQ$2,Valores!$H$2:$P$154,8,0)</f>
        <v>59865.2567849687</v>
      </c>
      <c r="BR72" s="30" t="n">
        <f aca="false">SUMIF($C$2:$F$2,EOMONTH(BR$2,-1)+1,$C72:$F72)*VLOOKUP(BR$2,Valores!$H$2:$P$154,8,0)</f>
        <v>28735.323256785</v>
      </c>
      <c r="BS72" s="30" t="n">
        <f aca="false">SUMIF($C$2:$F$2,EOMONTH(BS$2,-1)+1,$C72:$F72)*VLOOKUP(BS$2,Valores!$H$2:$P$154,8,0)</f>
        <v>12828.2693110647</v>
      </c>
      <c r="BT72" s="30" t="n">
        <f aca="false">SUMIF($C$2:$F$2,EOMONTH(BT$2,-1)+1,$C72:$F72)*VLOOKUP(BT$2,Valores!$H$2:$P$154,8,0)</f>
        <v>12828.2693110647</v>
      </c>
      <c r="BU72" s="30" t="n">
        <f aca="false">SUMIF($C$2:$F$2,EOMONTH(BU$2,-1)+1,$C72:$F72)*VLOOKUP(BU$2,Valores!$H$2:$P$154,8,0)</f>
        <v>12828.2693110647</v>
      </c>
      <c r="BV72" s="30" t="n">
        <f aca="false">SUMIF($C$2:$F$2,EOMONTH(BV$2,-1)+1,$C72:$F72)*VLOOKUP(BV$2,Valores!$H$2:$P$154,8,0)</f>
        <v>12828.2693110647</v>
      </c>
      <c r="BW72" s="30" t="n">
        <f aca="false">SUMIF($C$2:$F$2,EOMONTH(BW$2,-1)+1,$C72:$F72)*VLOOKUP(BW$2,Valores!$H$2:$P$154,8,0)</f>
        <v>25656.5386221294</v>
      </c>
      <c r="BX72" s="30" t="n">
        <f aca="false">SUMIF($C$2:$F$2,EOMONTH(BX$2,-1)+1,$C72:$F72)*VLOOKUP(BX$2,Valores!$H$2:$P$154,8,0)</f>
        <v>32070.6732776618</v>
      </c>
      <c r="BY72" s="30" t="n">
        <f aca="false">SUMIF($C$2:$F$2,EOMONTH(BY$2,-1)+1,$C72:$F72)*VLOOKUP(BY$2,Valores!$H$2:$P$154,8,0)</f>
        <v>19242.4039665971</v>
      </c>
      <c r="BZ72" s="30" t="n">
        <f aca="false">SUMIF($C$2:$F$2,EOMONTH(BZ$2,-1)+1,$C72:$F72)*VLOOKUP(BZ$2,Valores!$H$2:$P$154,8,0)</f>
        <v>12828.2693110647</v>
      </c>
      <c r="CA72" s="30" t="n">
        <f aca="false">SUMIF($C$2:$F$2,EOMONTH(CA$2,-1)+1,$C72:$F72)*VLOOKUP(CA$2,Valores!$H$2:$P$154,8,0)</f>
        <v>12828.2693110647</v>
      </c>
      <c r="CB72" s="30" t="n">
        <f aca="false">SUMIF($C$2:$F$2,EOMONTH(CB$2,-1)+1,$C72:$F72)*VLOOKUP(CB$2,Valores!$H$2:$P$154,8,0)</f>
        <v>12828.2693110647</v>
      </c>
      <c r="CC72" s="30" t="n">
        <f aca="false">SUMIF($C$2:$F$2,EOMONTH(CC$2,-1)+1,$C72:$F72)*VLOOKUP(CC$2,Valores!$H$2:$P$154,8,0)</f>
        <v>12828.2693110647</v>
      </c>
      <c r="CD72" s="30" t="n">
        <f aca="false">SUMIF($C$2:$F$2,EOMONTH(CD$2,-1)+1,$C72:$F72)*VLOOKUP(CD$2,Valores!$H$2:$P$154,8,0)</f>
        <v>38484.8079331941</v>
      </c>
      <c r="CE72" s="30" t="n">
        <f aca="false">SUMIF($C$2:$F$2,EOMONTH(CE$2,-1)+1,$C72:$F72)*VLOOKUP(CE$2,Valores!$H$2:$P$154,8,0)</f>
        <v>51313.0772442589</v>
      </c>
      <c r="CF72" s="30" t="n">
        <f aca="false">SUMIF($C$2:$F$2,EOMONTH(CF$2,-1)+1,$C72:$F72)*VLOOKUP(CF$2,Valores!$H$2:$P$154,8,0)</f>
        <v>32070.6732776618</v>
      </c>
      <c r="CG72" s="30" t="n">
        <f aca="false">SUMIF($C$2:$F$2,EOMONTH(CG$2,-1)+1,$C72:$F72)*VLOOKUP(CG$2,Valores!$H$2:$P$154,8,0)</f>
        <v>17104.3590814196</v>
      </c>
      <c r="CH72" s="30" t="n">
        <f aca="false">SUMIF($C$2:$F$2,EOMONTH(CH$2,-1)+1,$C72:$F72)*VLOOKUP(CH$2,Valores!$H$2:$P$154,8,0)</f>
        <v>17104.3590814196</v>
      </c>
      <c r="CI72" s="30" t="n">
        <f aca="false">SUMIF($C$2:$F$2,EOMONTH(CI$2,-1)+1,$C72:$F72)*VLOOKUP(CI$2,Valores!$H$2:$P$154,8,0)</f>
        <v>17104.3590814196</v>
      </c>
      <c r="CJ72" s="30" t="n">
        <f aca="false">SUMIF($C$2:$F$2,EOMONTH(CJ$2,-1)+1,$C72:$F72)*VLOOKUP(CJ$2,Valores!$H$2:$P$154,8,0)</f>
        <v>17104.3590814196</v>
      </c>
      <c r="CK72" s="30" t="n">
        <f aca="false">SUMIF($C$2:$F$2,EOMONTH(CK$2,-1)+1,$C72:$F72)*VLOOKUP(CK$2,Valores!$H$2:$P$154,8,0)</f>
        <v>34208.7181628392</v>
      </c>
      <c r="CL72" s="30" t="n">
        <f aca="false">SUMIF($C$2:$F$2,EOMONTH(CL$2,-1)+1,$C72:$F72)*VLOOKUP(CL$2,Valores!$H$2:$P$154,8,0)</f>
        <v>42760.897703549</v>
      </c>
      <c r="CM72" s="30" t="n">
        <f aca="false">SUMIF($C$2:$F$2,EOMONTH(CM$2,-1)+1,$C72:$F72)*VLOOKUP(CM$2,Valores!$H$2:$P$154,8,0)</f>
        <v>25656.5386221294</v>
      </c>
      <c r="CN72" s="30" t="n">
        <f aca="false">SUMIF($C$2:$F$2,EOMONTH(CN$2,-1)+1,$C72:$F72)*VLOOKUP(CN$2,Valores!$H$2:$P$154,8,0)</f>
        <v>18814.7949895616</v>
      </c>
      <c r="CO72" s="30" t="n">
        <f aca="false">SUMIF($C$2:$F$2,EOMONTH(CO$2,-1)+1,$C72:$F72)*VLOOKUP(CO$2,Valores!$H$2:$P$154,8,0)</f>
        <v>18814.7949895616</v>
      </c>
      <c r="CP72" s="30" t="n">
        <f aca="false">SUMIF($C$2:$F$2,EOMONTH(CP$2,-1)+1,$C72:$F72)*VLOOKUP(CP$2,Valores!$H$2:$P$154,8,0)</f>
        <v>18814.7949895616</v>
      </c>
      <c r="CQ72" s="30" t="n">
        <f aca="false">SUMIF($C$2:$F$2,EOMONTH(CQ$2,-1)+1,$C72:$F72)*VLOOKUP(CQ$2,Valores!$H$2:$P$154,8,0)</f>
        <v>18814.7949895616</v>
      </c>
      <c r="CR72" s="30" t="n">
        <f aca="false">SUMIF($C$2:$F$2,EOMONTH(CR$2,-1)+1,$C72:$F72)*VLOOKUP(CR$2,Valores!$H$2:$P$154,8,0)</f>
        <v>37629.5899791232</v>
      </c>
      <c r="CS72" s="30" t="n">
        <f aca="false">SUMIF($C$2:$F$2,EOMONTH(CS$2,-1)+1,$C72:$F72)*VLOOKUP(CS$2,Valores!$H$2:$P$154,8,0)</f>
        <v>56444.3849686847</v>
      </c>
      <c r="CT72" s="30" t="e">
        <f aca="false">SUMIF($C$2:$F$2,EOMONTH(CT$2,-1)+1,$C72:$F72)*VLOOKUP(CT$2,Valores!$H$2:$P$154,8,0)</f>
        <v>#VALUE!</v>
      </c>
      <c r="CU72" s="30" t="e">
        <f aca="false">SUMIF($C$2:$F$2,EOMONTH(CU$2,-1)+1,$C72:$F72)*VLOOKUP(CU$2,Valores!$H$2:$P$154,8,0)</f>
        <v>#VALUE!</v>
      </c>
      <c r="CV72" s="30" t="e">
        <f aca="false">SUMIF($C$2:$F$2,EOMONTH(CV$2,-1)+1,$C72:$F72)*VLOOKUP(CV$2,Valores!$H$2:$P$154,8,0)</f>
        <v>#VALUE!</v>
      </c>
      <c r="CW72" s="30" t="e">
        <f aca="false">SUMIF($C$2:$F$2,EOMONTH(CW$2,-1)+1,$C72:$F72)*VLOOKUP(CW$2,Valores!$H$2:$P$154,8,0)</f>
        <v>#VALUE!</v>
      </c>
      <c r="CX72" s="30" t="e">
        <f aca="false">SUMIF($C$2:$F$2,EOMONTH(CX$2,-1)+1,$C72:$F72)*VLOOKUP(CX$2,Valores!$H$2:$P$154,8,0)</f>
        <v>#VALUE!</v>
      </c>
      <c r="CY72" s="30" t="e">
        <f aca="false">SUMIF($C$2:$F$2,EOMONTH(CY$2,-1)+1,$C72:$F72)*VLOOKUP(CY$2,Valores!$H$2:$P$154,8,0)</f>
        <v>#VALUE!</v>
      </c>
      <c r="CZ72" s="30" t="e">
        <f aca="false">SUMIF($C$2:$F$2,EOMONTH(CZ$2,-1)+1,$C72:$F72)*VLOOKUP(CZ$2,Valores!$H$2:$P$154,8,0)</f>
        <v>#VALUE!</v>
      </c>
      <c r="DA72" s="30" t="e">
        <f aca="false">SUMIF($C$2:$F$2,EOMONTH(DA$2,-1)+1,$C72:$F72)*VLOOKUP(DA$2,Valores!$H$2:$P$154,8,0)</f>
        <v>#VALUE!</v>
      </c>
      <c r="DB72" s="30" t="e">
        <f aca="false">SUMIF($C$2:$F$2,EOMONTH(DB$2,-1)+1,$C72:$F72)*VLOOKUP(DB$2,Valores!$H$2:$P$154,8,0)</f>
        <v>#VALUE!</v>
      </c>
      <c r="DC72" s="30" t="e">
        <f aca="false">SUMIF($C$2:$F$2,EOMONTH(DC$2,-1)+1,$C72:$F72)*VLOOKUP(DC$2,Valores!$H$2:$P$154,8,0)</f>
        <v>#VALUE!</v>
      </c>
      <c r="DD72" s="30" t="e">
        <f aca="false">SUMIF($C$2:$F$2,EOMONTH(DD$2,-1)+1,$C72:$F72)*VLOOKUP(DD$2,Valores!$H$2:$P$154,8,0)</f>
        <v>#VALUE!</v>
      </c>
      <c r="DE72" s="30" t="e">
        <f aca="false">SUMIF($C$2:$F$2,EOMONTH(DE$2,-1)+1,$C72:$F72)*VLOOKUP(DE$2,Valores!$H$2:$P$154,8,0)</f>
        <v>#VALUE!</v>
      </c>
      <c r="DF72" s="30" t="e">
        <f aca="false">SUMIF($C$2:$F$2,EOMONTH(DF$2,-1)+1,$C72:$F72)*VLOOKUP(DF$2,Valores!$H$2:$P$154,8,0)</f>
        <v>#VALUE!</v>
      </c>
      <c r="DG72" s="30" t="e">
        <f aca="false">SUMIF($C$2:$F$2,EOMONTH(DG$2,-1)+1,$C72:$F72)*VLOOKUP(DG$2,Valores!$H$2:$P$154,8,0)</f>
        <v>#VALUE!</v>
      </c>
      <c r="DH72" s="30" t="e">
        <f aca="false">SUMIF($C$2:$F$2,EOMONTH(DH$2,-1)+1,$C72:$F72)*VLOOKUP(DH$2,Valores!$H$2:$P$154,8,0)</f>
        <v>#VALUE!</v>
      </c>
      <c r="DI72" s="30" t="e">
        <f aca="false">SUMIF($C$2:$F$2,EOMONTH(DI$2,-1)+1,$C72:$F72)*VLOOKUP(DI$2,Valores!$H$2:$P$154,8,0)</f>
        <v>#VALUE!</v>
      </c>
      <c r="DJ72" s="30" t="e">
        <f aca="false">SUMIF($C$2:$F$2,EOMONTH(DJ$2,-1)+1,$C72:$F72)*VLOOKUP(DJ$2,Valores!$H$2:$P$154,8,0)</f>
        <v>#VALUE!</v>
      </c>
      <c r="DK72" s="30" t="e">
        <f aca="false">SUMIF($C$2:$F$2,EOMONTH(DK$2,-1)+1,$C72:$F72)*VLOOKUP(DK$2,Valores!$H$2:$P$154,8,0)</f>
        <v>#VALUE!</v>
      </c>
      <c r="DL72" s="30" t="e">
        <f aca="false">SUMIF($C$2:$F$2,EOMONTH(DL$2,-1)+1,$C72:$F72)*VLOOKUP(DL$2,Valores!$H$2:$P$154,8,0)</f>
        <v>#VALUE!</v>
      </c>
      <c r="DM72" s="30" t="e">
        <f aca="false">SUMIF($C$2:$F$2,EOMONTH(DM$2,-1)+1,$C72:$F72)*VLOOKUP(DM$2,Valores!$H$2:$P$154,8,0)</f>
        <v>#VALUE!</v>
      </c>
      <c r="DN72" s="30" t="e">
        <f aca="false">SUMIF($C$2:$F$2,EOMONTH(DN$2,-1)+1,$C72:$F72)*VLOOKUP(DN$2,Valores!$H$2:$P$154,8,0)</f>
        <v>#VALUE!</v>
      </c>
      <c r="DO72" s="30" t="e">
        <f aca="false">SUMIF($C$2:$F$2,EOMONTH(DO$2,-1)+1,$C72:$F72)*VLOOKUP(DO$2,Valores!$H$2:$P$154,8,0)</f>
        <v>#VALUE!</v>
      </c>
      <c r="DP72" s="30" t="e">
        <f aca="false">SUMIF($C$2:$F$2,EOMONTH(DP$2,-1)+1,$C72:$F72)*VLOOKUP(DP$2,Valores!$H$2:$P$154,8,0)</f>
        <v>#VALUE!</v>
      </c>
      <c r="DQ72" s="30" t="e">
        <f aca="false">SUMIF($C$2:$F$2,EOMONTH(DQ$2,-1)+1,$C72:$F72)*VLOOKUP(DQ$2,Valores!$H$2:$P$154,8,0)</f>
        <v>#VALUE!</v>
      </c>
      <c r="DR72" s="30" t="e">
        <f aca="false">SUMIF($C$2:$F$2,EOMONTH(DR$2,-1)+1,$C72:$F72)*VLOOKUP(DR$2,Valores!$H$2:$P$154,8,0)</f>
        <v>#VALUE!</v>
      </c>
      <c r="DS72" s="30" t="e">
        <f aca="false">SUMIF($C$2:$F$2,EOMONTH(DS$2,-1)+1,$C72:$F72)*VLOOKUP(DS$2,Valores!$H$2:$P$154,8,0)</f>
        <v>#VALUE!</v>
      </c>
      <c r="DT72" s="30" t="e">
        <f aca="false">SUMIF($C$2:$F$2,EOMONTH(DT$2,-1)+1,$C72:$F72)*VLOOKUP(DT$2,Valores!$H$2:$P$154,8,0)</f>
        <v>#VALUE!</v>
      </c>
      <c r="DU72" s="30" t="e">
        <f aca="false">SUMIF($C$2:$F$2,EOMONTH(DU$2,-1)+1,$C72:$F72)*VLOOKUP(DU$2,Valores!$H$2:$P$154,8,0)</f>
        <v>#VALUE!</v>
      </c>
      <c r="DV72" s="30" t="e">
        <f aca="false">SUMIF($C$2:$F$2,EOMONTH(DV$2,-1)+1,$C72:$F72)*VLOOKUP(DV$2,Valores!$H$2:$P$154,8,0)</f>
        <v>#VALUE!</v>
      </c>
      <c r="DW72" s="30" t="e">
        <f aca="false">SUMIF($C$2:$F$2,EOMONTH(DW$2,-1)+1,$C72:$F72)*VLOOKUP(DW$2,Valores!$H$2:$P$154,8,0)</f>
        <v>#VALUE!</v>
      </c>
      <c r="DX72" s="30" t="e">
        <f aca="false">SUMIF($C$2:$F$2,EOMONTH(DX$2,-1)+1,$C72:$F72)*VLOOKUP(DX$2,Valores!$H$2:$P$154,8,0)</f>
        <v>#VALUE!</v>
      </c>
    </row>
    <row r="73" customFormat="false" ht="13.8" hidden="false" customHeight="false" outlineLevel="0" collapsed="false">
      <c r="A73" s="32" t="s">
        <v>91</v>
      </c>
      <c r="B73" s="31" t="s">
        <v>96</v>
      </c>
      <c r="C73" s="31" t="n">
        <v>928050</v>
      </c>
      <c r="D73" s="31" t="n">
        <v>835245</v>
      </c>
      <c r="E73" s="31" t="n">
        <v>751720.5</v>
      </c>
      <c r="F73" s="31" t="n">
        <v>676548.45</v>
      </c>
      <c r="G73" s="27" t="n">
        <f aca="false">SUMIF($C$2:$F$2,EOMONTH(G$2,-1)+1,$C73:$F73)*VLOOKUP(G$2,Valores!$H$2:$P$154,8,0)</f>
        <v>26725.1522132631</v>
      </c>
      <c r="H73" s="27" t="n">
        <f aca="false">SUMIF($C$2:$F$2,EOMONTH(H$2,-1)+1,$C73:$F73)*VLOOKUP(H$2,Valores!$H$2:$P$154,8,0)</f>
        <v>18325.8186605233</v>
      </c>
      <c r="I73" s="27" t="n">
        <f aca="false">SUMIF($C$2:$F$2,EOMONTH(I$2,-1)+1,$C73:$F73)*VLOOKUP(I$2,Valores!$H$2:$P$154,8,0)</f>
        <v>18325.8186605233</v>
      </c>
      <c r="J73" s="27" t="n">
        <f aca="false">SUMIF($C$2:$F$2,EOMONTH(J$2,-1)+1,$C73:$F73)*VLOOKUP(J$2,Valores!$H$2:$P$154,8,0)</f>
        <v>18325.8186605233</v>
      </c>
      <c r="K73" s="27" t="n">
        <f aca="false">SUMIF($C$2:$F$2,EOMONTH(K$2,-1)+1,$C73:$F73)*VLOOKUP(K$2,Valores!$H$2:$P$154,8,0)</f>
        <v>18325.8186605233</v>
      </c>
      <c r="L73" s="27" t="n">
        <f aca="false">SUMIF($C$2:$F$2,EOMONTH(L$2,-1)+1,$C73:$F73)*VLOOKUP(L$2,Valores!$H$2:$P$154,8,0)</f>
        <v>36651.6373210466</v>
      </c>
      <c r="M73" s="27" t="n">
        <f aca="false">SUMIF($C$2:$F$2,EOMONTH(M$2,-1)+1,$C73:$F73)*VLOOKUP(M$2,Valores!$H$2:$P$154,8,0)</f>
        <v>45814.5466513082</v>
      </c>
      <c r="N73" s="27" t="n">
        <f aca="false">SUMIF($C$2:$F$2,EOMONTH(N$2,-1)+1,$C73:$F73)*VLOOKUP(N$2,Valores!$H$2:$P$154,8,0)</f>
        <v>27488.7279907849</v>
      </c>
      <c r="O73" s="27" t="n">
        <f aca="false">SUMIF($C$2:$F$2,EOMONTH(O$2,-1)+1,$C73:$F73)*VLOOKUP(O$2,Valores!$H$2:$P$154,8,0)</f>
        <v>24434.4248806977</v>
      </c>
      <c r="P73" s="27" t="n">
        <f aca="false">SUMIF($C$2:$F$2,EOMONTH(P$2,-1)+1,$C73:$F73)*VLOOKUP(P$2,Valores!$H$2:$P$154,8,0)</f>
        <v>24434.4248806977</v>
      </c>
      <c r="Q73" s="27" t="n">
        <f aca="false">SUMIF($C$2:$F$2,EOMONTH(Q$2,-1)+1,$C73:$F73)*VLOOKUP(Q$2,Valores!$H$2:$P$154,8,0)</f>
        <v>14660.6549284186</v>
      </c>
      <c r="R73" s="27" t="n">
        <f aca="false">SUMIF($C$2:$F$2,EOMONTH(R$2,-1)+1,$C73:$F73)*VLOOKUP(R$2,Valores!$H$2:$P$154,8,0)</f>
        <v>24434.4248806977</v>
      </c>
      <c r="S73" s="27" t="n">
        <f aca="false">SUMIF($C$2:$F$2,EOMONTH(S$2,-1)+1,$C73:$F73)*VLOOKUP(S$2,Valores!$H$2:$P$154,8,0)</f>
        <v>48868.8497613954</v>
      </c>
      <c r="T73" s="27" t="n">
        <f aca="false">SUMIF($C$2:$F$2,EOMONTH(T$2,-1)+1,$C73:$F73)*VLOOKUP(T$2,Valores!$H$2:$P$154,8,0)</f>
        <v>61086.0622017443</v>
      </c>
      <c r="U73" s="27" t="n">
        <f aca="false">SUMIF($C$2:$F$2,EOMONTH(U$2,-1)+1,$C73:$F73)*VLOOKUP(U$2,Valores!$H$2:$P$154,8,0)</f>
        <v>36651.6373210466</v>
      </c>
      <c r="V73" s="27" t="n">
        <f aca="false">SUMIF($C$2:$F$2,EOMONTH(V$2,-1)+1,$C73:$F73)*VLOOKUP(V$2,Valores!$H$2:$P$154,8,0)</f>
        <v>30543.0311008721</v>
      </c>
      <c r="W73" s="27" t="n">
        <f aca="false">SUMIF($C$2:$F$2,EOMONTH(W$2,-1)+1,$C73:$F73)*VLOOKUP(W$2,Valores!$H$2:$P$154,8,0)</f>
        <v>30543.0311008721</v>
      </c>
      <c r="X73" s="27" t="n">
        <f aca="false">SUMIF($C$2:$F$2,EOMONTH(X$2,-1)+1,$C73:$F73)*VLOOKUP(X$2,Valores!$H$2:$P$154,8,0)</f>
        <v>0</v>
      </c>
      <c r="Y73" s="27" t="n">
        <f aca="false">SUMIF($C$2:$F$2,EOMONTH(Y$2,-1)+1,$C73:$F73)*VLOOKUP(Y$2,Valores!$H$2:$P$154,8,0)</f>
        <v>0</v>
      </c>
      <c r="Z73" s="27" t="n">
        <f aca="false">SUMIF($C$2:$F$2,EOMONTH(Z$2,-1)+1,$C73:$F73)*VLOOKUP(Z$2,Valores!$H$2:$P$154,8,0)</f>
        <v>45814.5466513082</v>
      </c>
      <c r="AA73" s="27" t="n">
        <f aca="false">SUMIF($C$2:$F$2,EOMONTH(AA$2,-1)+1,$C73:$F73)*VLOOKUP(AA$2,Valores!$H$2:$P$154,8,0)</f>
        <v>54977.4559815698</v>
      </c>
      <c r="AB73" s="27" t="n">
        <f aca="false">SUMIF($C$2:$F$2,EOMONTH(AB$2,-1)+1,$C73:$F73)*VLOOKUP(AB$2,Valores!$H$2:$P$154,8,0)</f>
        <v>27488.7279907849</v>
      </c>
      <c r="AC73" s="27" t="n">
        <f aca="false">SUMIF($C$2:$F$2,EOMONTH(AC$2,-1)+1,$C73:$F73)*VLOOKUP(AC$2,Valores!$H$2:$P$154,8,0)</f>
        <v>33597.3342109593</v>
      </c>
      <c r="AD73" s="27" t="n">
        <f aca="false">SUMIF($C$2:$F$2,EOMONTH(AD$2,-1)+1,$C73:$F73)*VLOOKUP(AD$2,Valores!$H$2:$P$154,8,0)</f>
        <v>33597.3342109593</v>
      </c>
      <c r="AE73" s="27" t="n">
        <f aca="false">SUMIF($C$2:$F$2,EOMONTH(AE$2,-1)+1,$C73:$F73)*VLOOKUP(AE$2,Valores!$H$2:$P$154,8,0)</f>
        <v>33597.3342109593</v>
      </c>
      <c r="AF73" s="27" t="n">
        <f aca="false">SUMIF($C$2:$F$2,EOMONTH(AF$2,-1)+1,$C73:$F73)*VLOOKUP(AF$2,Valores!$H$2:$P$154,8,0)</f>
        <v>33597.3342109593</v>
      </c>
      <c r="AG73" s="27" t="n">
        <f aca="false">SUMIF($C$2:$F$2,EOMONTH(AG$2,-1)+1,$C73:$F73)*VLOOKUP(AG$2,Valores!$H$2:$P$154,8,0)</f>
        <v>53755.734737535</v>
      </c>
      <c r="AH73" s="27" t="n">
        <f aca="false">SUMIF($C$2:$F$2,EOMONTH(AH$2,-1)+1,$C73:$F73)*VLOOKUP(AH$2,Valores!$H$2:$P$154,8,0)</f>
        <v>67194.6684219187</v>
      </c>
      <c r="AI73" s="27" t="n">
        <f aca="false">SUMIF($C$2:$F$2,EOMONTH(AI$2,-1)+1,$C73:$F73)*VLOOKUP(AI$2,Valores!$H$2:$P$154,8,0)</f>
        <v>23518.1339476715</v>
      </c>
      <c r="AJ73" s="27" t="n">
        <f aca="false">SUMIF($C$2:$F$2,EOMONTH(AJ$2,-1)+1,$C73:$F73)*VLOOKUP(AJ$2,Valores!$H$2:$P$154,8,0)</f>
        <v>15271.5155504361</v>
      </c>
      <c r="AK73" s="27" t="n">
        <f aca="false">SUMIF($C$2:$F$2,EOMONTH(AK$2,-1)+1,$C73:$F73)*VLOOKUP(AK$2,Valores!$H$2:$P$154,8,0)</f>
        <v>27848.7937316916</v>
      </c>
      <c r="AL73" s="27" t="n">
        <f aca="false">SUMIF($C$2:$F$2,EOMONTH(AL$2,-1)+1,$C73:$F73)*VLOOKUP(AL$2,Valores!$H$2:$P$154,8,0)</f>
        <v>27848.7937316916</v>
      </c>
      <c r="AM73" s="27" t="n">
        <f aca="false">SUMIF($C$2:$F$2,EOMONTH(AM$2,-1)+1,$C73:$F73)*VLOOKUP(AM$2,Valores!$H$2:$P$154,8,0)</f>
        <v>27848.7937316916</v>
      </c>
      <c r="AN73" s="27" t="n">
        <f aca="false">SUMIF($C$2:$F$2,EOMONTH(AN$2,-1)+1,$C73:$F73)*VLOOKUP(AN$2,Valores!$H$2:$P$154,8,0)</f>
        <v>55697.5874633833</v>
      </c>
      <c r="AO73" s="27" t="n">
        <f aca="false">SUMIF($C$2:$F$2,EOMONTH(AO$2,-1)+1,$C73:$F73)*VLOOKUP(AO$2,Valores!$H$2:$P$154,8,0)</f>
        <v>69621.9843292291</v>
      </c>
      <c r="AP73" s="27" t="n">
        <f aca="false">SUMIF($C$2:$F$2,EOMONTH(AP$2,-1)+1,$C73:$F73)*VLOOKUP(AP$2,Valores!$H$2:$P$154,8,0)</f>
        <v>41773.1905975374</v>
      </c>
      <c r="AQ73" s="27" t="n">
        <f aca="false">SUMIF($C$2:$F$2,EOMONTH(AQ$2,-1)+1,$C73:$F73)*VLOOKUP(AQ$2,Valores!$H$2:$P$154,8,0)</f>
        <v>14918.9966419777</v>
      </c>
      <c r="AR73" s="27" t="n">
        <f aca="false">SUMIF($C$2:$F$2,EOMONTH(AR$2,-1)+1,$C73:$F73)*VLOOKUP(AR$2,Valores!$H$2:$P$154,8,0)</f>
        <v>14918.9966419777</v>
      </c>
      <c r="AS73" s="27" t="n">
        <f aca="false">SUMIF($C$2:$F$2,EOMONTH(AS$2,-1)+1,$C73:$F73)*VLOOKUP(AS$2,Valores!$H$2:$P$154,8,0)</f>
        <v>14918.9966419777</v>
      </c>
      <c r="AT73" s="27" t="n">
        <f aca="false">SUMIF($C$2:$F$2,EOMONTH(AT$2,-1)+1,$C73:$F73)*VLOOKUP(AT$2,Valores!$H$2:$P$154,8,0)</f>
        <v>14918.9966419777</v>
      </c>
      <c r="AU73" s="27" t="n">
        <f aca="false">SUMIF($C$2:$F$2,EOMONTH(AU$2,-1)+1,$C73:$F73)*VLOOKUP(AU$2,Valores!$H$2:$P$154,8,0)</f>
        <v>29837.9932839553</v>
      </c>
      <c r="AV73" s="27" t="n">
        <f aca="false">SUMIF($C$2:$F$2,EOMONTH(AV$2,-1)+1,$C73:$F73)*VLOOKUP(AV$2,Valores!$H$2:$P$154,8,0)</f>
        <v>37297.4916049441</v>
      </c>
      <c r="AW73" s="27" t="n">
        <f aca="false">SUMIF($C$2:$F$2,EOMONTH(AW$2,-1)+1,$C73:$F73)*VLOOKUP(AW$2,Valores!$H$2:$P$154,8,0)</f>
        <v>22378.4949629665</v>
      </c>
      <c r="AX73" s="27" t="n">
        <f aca="false">SUMIF($C$2:$F$2,EOMONTH(AX$2,-1)+1,$C73:$F73)*VLOOKUP(AX$2,Valores!$H$2:$P$154,8,0)</f>
        <v>14918.9966419777</v>
      </c>
      <c r="AY73" s="27" t="n">
        <f aca="false">SUMIF($C$2:$F$2,EOMONTH(AY$2,-1)+1,$C73:$F73)*VLOOKUP(AY$2,Valores!$H$2:$P$154,8,0)</f>
        <v>19394.695634571</v>
      </c>
      <c r="AZ73" s="27" t="n">
        <f aca="false">SUMIF($C$2:$F$2,EOMONTH(AZ$2,-1)+1,$C73:$F73)*VLOOKUP(AZ$2,Valores!$H$2:$P$154,8,0)</f>
        <v>19394.695634571</v>
      </c>
      <c r="BA73" s="27" t="n">
        <f aca="false">SUMIF($C$2:$F$2,EOMONTH(BA$2,-1)+1,$C73:$F73)*VLOOKUP(BA$2,Valores!$H$2:$P$154,8,0)</f>
        <v>19394.695634571</v>
      </c>
      <c r="BB73" s="27" t="n">
        <f aca="false">SUMIF($C$2:$F$2,EOMONTH(BB$2,-1)+1,$C73:$F73)*VLOOKUP(BB$2,Valores!$H$2:$P$154,8,0)</f>
        <v>34313.6922765486</v>
      </c>
      <c r="BC73" s="27" t="n">
        <f aca="false">SUMIF($C$2:$F$2,EOMONTH(BC$2,-1)+1,$C73:$F73)*VLOOKUP(BC$2,Valores!$H$2:$P$154,8,0)</f>
        <v>41773.1905975374</v>
      </c>
      <c r="BD73" s="27" t="n">
        <f aca="false">SUMIF($C$2:$F$2,EOMONTH(BD$2,-1)+1,$C73:$F73)*VLOOKUP(BD$2,Valores!$H$2:$P$154,8,0)</f>
        <v>22378.4949629665</v>
      </c>
      <c r="BE73" s="27" t="n">
        <f aca="false">SUMIF($C$2:$F$2,EOMONTH(BE$2,-1)+1,$C73:$F73)*VLOOKUP(BE$2,Valores!$H$2:$P$154,8,0)</f>
        <v>19891.9955226369</v>
      </c>
      <c r="BF73" s="27" t="n">
        <f aca="false">SUMIF($C$2:$F$2,EOMONTH(BF$2,-1)+1,$C73:$F73)*VLOOKUP(BF$2,Valores!$H$2:$P$154,8,0)</f>
        <v>19891.9955226369</v>
      </c>
      <c r="BG73" s="27" t="n">
        <f aca="false">SUMIF($C$2:$F$2,EOMONTH(BG$2,-1)+1,$C73:$F73)*VLOOKUP(BG$2,Valores!$H$2:$P$154,8,0)</f>
        <v>19891.9955226369</v>
      </c>
      <c r="BH73" s="27" t="n">
        <f aca="false">SUMIF($C$2:$F$2,EOMONTH(BH$2,-1)+1,$C73:$F73)*VLOOKUP(BH$2,Valores!$H$2:$P$154,8,0)</f>
        <v>19891.9955226369</v>
      </c>
      <c r="BI73" s="27" t="n">
        <f aca="false">SUMIF($C$2:$F$2,EOMONTH(BI$2,-1)+1,$C73:$F73)*VLOOKUP(BI$2,Valores!$H$2:$P$154,8,0)</f>
        <v>39783.9910452738</v>
      </c>
      <c r="BJ73" s="27" t="n">
        <f aca="false">SUMIF($C$2:$F$2,EOMONTH(BJ$2,-1)+1,$C73:$F73)*VLOOKUP(BJ$2,Valores!$H$2:$P$154,8,0)</f>
        <v>49729.9888065922</v>
      </c>
      <c r="BK73" s="27" t="n">
        <f aca="false">SUMIF($C$2:$F$2,EOMONTH(BK$2,-1)+1,$C73:$F73)*VLOOKUP(BK$2,Valores!$H$2:$P$154,8,0)</f>
        <v>23870.3946271643</v>
      </c>
      <c r="BL73" s="27" t="n">
        <f aca="false">SUMIF($C$2:$F$2,EOMONTH(BL$2,-1)+1,$C73:$F73)*VLOOKUP(BL$2,Valores!$H$2:$P$154,8,0)</f>
        <v>17504.9560599205</v>
      </c>
      <c r="BM73" s="27" t="n">
        <f aca="false">SUMIF($C$2:$F$2,EOMONTH(BM$2,-1)+1,$C73:$F73)*VLOOKUP(BM$2,Valores!$H$2:$P$154,8,0)</f>
        <v>17504.9560599205</v>
      </c>
      <c r="BN73" s="27" t="n">
        <f aca="false">SUMIF($C$2:$F$2,EOMONTH(BN$2,-1)+1,$C73:$F73)*VLOOKUP(BN$2,Valores!$H$2:$P$154,8,0)</f>
        <v>17504.9560599205</v>
      </c>
      <c r="BO73" s="27" t="n">
        <f aca="false">SUMIF($C$2:$F$2,EOMONTH(BO$2,-1)+1,$C73:$F73)*VLOOKUP(BO$2,Valores!$H$2:$P$154,8,0)</f>
        <v>18380.2038629165</v>
      </c>
      <c r="BP73" s="27" t="n">
        <f aca="false">SUMIF($C$2:$F$2,EOMONTH(BP$2,-1)+1,$C73:$F73)*VLOOKUP(BP$2,Valores!$H$2:$P$154,8,0)</f>
        <v>46254.6401494341</v>
      </c>
      <c r="BQ73" s="27" t="n">
        <f aca="false">SUMIF($C$2:$F$2,EOMONTH(BQ$2,-1)+1,$C73:$F73)*VLOOKUP(BQ$2,Valores!$H$2:$P$154,8,0)</f>
        <v>57818.3001867926</v>
      </c>
      <c r="BR73" s="27" t="n">
        <f aca="false">SUMIF($C$2:$F$2,EOMONTH(BR$2,-1)+1,$C73:$F73)*VLOOKUP(BR$2,Valores!$H$2:$P$154,8,0)</f>
        <v>27752.7840896605</v>
      </c>
      <c r="BS73" s="27" t="n">
        <f aca="false">SUMIF($C$2:$F$2,EOMONTH(BS$2,-1)+1,$C73:$F73)*VLOOKUP(BS$2,Valores!$H$2:$P$154,8,0)</f>
        <v>12389.6357543127</v>
      </c>
      <c r="BT73" s="27" t="n">
        <f aca="false">SUMIF($C$2:$F$2,EOMONTH(BT$2,-1)+1,$C73:$F73)*VLOOKUP(BT$2,Valores!$H$2:$P$154,8,0)</f>
        <v>12389.6357543127</v>
      </c>
      <c r="BU73" s="27" t="n">
        <f aca="false">SUMIF($C$2:$F$2,EOMONTH(BU$2,-1)+1,$C73:$F73)*VLOOKUP(BU$2,Valores!$H$2:$P$154,8,0)</f>
        <v>12389.6357543127</v>
      </c>
      <c r="BV73" s="27" t="n">
        <f aca="false">SUMIF($C$2:$F$2,EOMONTH(BV$2,-1)+1,$C73:$F73)*VLOOKUP(BV$2,Valores!$H$2:$P$154,8,0)</f>
        <v>12389.6357543127</v>
      </c>
      <c r="BW73" s="27" t="n">
        <f aca="false">SUMIF($C$2:$F$2,EOMONTH(BW$2,-1)+1,$C73:$F73)*VLOOKUP(BW$2,Valores!$H$2:$P$154,8,0)</f>
        <v>24779.2715086254</v>
      </c>
      <c r="BX73" s="27" t="n">
        <f aca="false">SUMIF($C$2:$F$2,EOMONTH(BX$2,-1)+1,$C73:$F73)*VLOOKUP(BX$2,Valores!$H$2:$P$154,8,0)</f>
        <v>30974.0893857818</v>
      </c>
      <c r="BY73" s="27" t="n">
        <f aca="false">SUMIF($C$2:$F$2,EOMONTH(BY$2,-1)+1,$C73:$F73)*VLOOKUP(BY$2,Valores!$H$2:$P$154,8,0)</f>
        <v>18584.4536314691</v>
      </c>
      <c r="BZ73" s="27" t="n">
        <f aca="false">SUMIF($C$2:$F$2,EOMONTH(BZ$2,-1)+1,$C73:$F73)*VLOOKUP(BZ$2,Valores!$H$2:$P$154,8,0)</f>
        <v>12389.6357543127</v>
      </c>
      <c r="CA73" s="27" t="n">
        <f aca="false">SUMIF($C$2:$F$2,EOMONTH(CA$2,-1)+1,$C73:$F73)*VLOOKUP(CA$2,Valores!$H$2:$P$154,8,0)</f>
        <v>12389.6357543127</v>
      </c>
      <c r="CB73" s="27" t="n">
        <f aca="false">SUMIF($C$2:$F$2,EOMONTH(CB$2,-1)+1,$C73:$F73)*VLOOKUP(CB$2,Valores!$H$2:$P$154,8,0)</f>
        <v>12389.6357543127</v>
      </c>
      <c r="CC73" s="27" t="n">
        <f aca="false">SUMIF($C$2:$F$2,EOMONTH(CC$2,-1)+1,$C73:$F73)*VLOOKUP(CC$2,Valores!$H$2:$P$154,8,0)</f>
        <v>12389.6357543127</v>
      </c>
      <c r="CD73" s="27" t="n">
        <f aca="false">SUMIF($C$2:$F$2,EOMONTH(CD$2,-1)+1,$C73:$F73)*VLOOKUP(CD$2,Valores!$H$2:$P$154,8,0)</f>
        <v>37168.9072629381</v>
      </c>
      <c r="CE73" s="27" t="n">
        <f aca="false">SUMIF($C$2:$F$2,EOMONTH(CE$2,-1)+1,$C73:$F73)*VLOOKUP(CE$2,Valores!$H$2:$P$154,8,0)</f>
        <v>49558.5430172508</v>
      </c>
      <c r="CF73" s="27" t="n">
        <f aca="false">SUMIF($C$2:$F$2,EOMONTH(CF$2,-1)+1,$C73:$F73)*VLOOKUP(CF$2,Valores!$H$2:$P$154,8,0)</f>
        <v>30974.0893857818</v>
      </c>
      <c r="CG73" s="27" t="n">
        <f aca="false">SUMIF($C$2:$F$2,EOMONTH(CG$2,-1)+1,$C73:$F73)*VLOOKUP(CG$2,Valores!$H$2:$P$154,8,0)</f>
        <v>16519.5143390836</v>
      </c>
      <c r="CH73" s="27" t="n">
        <f aca="false">SUMIF($C$2:$F$2,EOMONTH(CH$2,-1)+1,$C73:$F73)*VLOOKUP(CH$2,Valores!$H$2:$P$154,8,0)</f>
        <v>16519.5143390836</v>
      </c>
      <c r="CI73" s="27" t="n">
        <f aca="false">SUMIF($C$2:$F$2,EOMONTH(CI$2,-1)+1,$C73:$F73)*VLOOKUP(CI$2,Valores!$H$2:$P$154,8,0)</f>
        <v>16519.5143390836</v>
      </c>
      <c r="CJ73" s="27" t="n">
        <f aca="false">SUMIF($C$2:$F$2,EOMONTH(CJ$2,-1)+1,$C73:$F73)*VLOOKUP(CJ$2,Valores!$H$2:$P$154,8,0)</f>
        <v>16519.5143390836</v>
      </c>
      <c r="CK73" s="27" t="n">
        <f aca="false">SUMIF($C$2:$F$2,EOMONTH(CK$2,-1)+1,$C73:$F73)*VLOOKUP(CK$2,Valores!$H$2:$P$154,8,0)</f>
        <v>33039.0286781672</v>
      </c>
      <c r="CL73" s="27" t="n">
        <f aca="false">SUMIF($C$2:$F$2,EOMONTH(CL$2,-1)+1,$C73:$F73)*VLOOKUP(CL$2,Valores!$H$2:$P$154,8,0)</f>
        <v>41298.785847709</v>
      </c>
      <c r="CM73" s="27" t="n">
        <f aca="false">SUMIF($C$2:$F$2,EOMONTH(CM$2,-1)+1,$C73:$F73)*VLOOKUP(CM$2,Valores!$H$2:$P$154,8,0)</f>
        <v>24779.2715086254</v>
      </c>
      <c r="CN73" s="27" t="n">
        <f aca="false">SUMIF($C$2:$F$2,EOMONTH(CN$2,-1)+1,$C73:$F73)*VLOOKUP(CN$2,Valores!$H$2:$P$154,8,0)</f>
        <v>18171.465772992</v>
      </c>
      <c r="CO73" s="27" t="n">
        <f aca="false">SUMIF($C$2:$F$2,EOMONTH(CO$2,-1)+1,$C73:$F73)*VLOOKUP(CO$2,Valores!$H$2:$P$154,8,0)</f>
        <v>18171.465772992</v>
      </c>
      <c r="CP73" s="27" t="n">
        <f aca="false">SUMIF($C$2:$F$2,EOMONTH(CP$2,-1)+1,$C73:$F73)*VLOOKUP(CP$2,Valores!$H$2:$P$154,8,0)</f>
        <v>18171.465772992</v>
      </c>
      <c r="CQ73" s="27" t="n">
        <f aca="false">SUMIF($C$2:$F$2,EOMONTH(CQ$2,-1)+1,$C73:$F73)*VLOOKUP(CQ$2,Valores!$H$2:$P$154,8,0)</f>
        <v>18171.465772992</v>
      </c>
      <c r="CR73" s="27" t="n">
        <f aca="false">SUMIF($C$2:$F$2,EOMONTH(CR$2,-1)+1,$C73:$F73)*VLOOKUP(CR$2,Valores!$H$2:$P$154,8,0)</f>
        <v>36342.9315459839</v>
      </c>
      <c r="CS73" s="27" t="n">
        <f aca="false">SUMIF($C$2:$F$2,EOMONTH(CS$2,-1)+1,$C73:$F73)*VLOOKUP(CS$2,Valores!$H$2:$P$154,8,0)</f>
        <v>54514.3973189759</v>
      </c>
      <c r="CT73" s="27" t="e">
        <f aca="false">SUMIF($C$2:$F$2,EOMONTH(CT$2,-1)+1,$C73:$F73)*VLOOKUP(CT$2,Valores!$H$2:$P$154,8,0)</f>
        <v>#VALUE!</v>
      </c>
      <c r="CU73" s="27" t="e">
        <f aca="false">SUMIF($C$2:$F$2,EOMONTH(CU$2,-1)+1,$C73:$F73)*VLOOKUP(CU$2,Valores!$H$2:$P$154,8,0)</f>
        <v>#VALUE!</v>
      </c>
      <c r="CV73" s="27" t="e">
        <f aca="false">SUMIF($C$2:$F$2,EOMONTH(CV$2,-1)+1,$C73:$F73)*VLOOKUP(CV$2,Valores!$H$2:$P$154,8,0)</f>
        <v>#VALUE!</v>
      </c>
      <c r="CW73" s="27" t="e">
        <f aca="false">SUMIF($C$2:$F$2,EOMONTH(CW$2,-1)+1,$C73:$F73)*VLOOKUP(CW$2,Valores!$H$2:$P$154,8,0)</f>
        <v>#VALUE!</v>
      </c>
      <c r="CX73" s="27" t="e">
        <f aca="false">SUMIF($C$2:$F$2,EOMONTH(CX$2,-1)+1,$C73:$F73)*VLOOKUP(CX$2,Valores!$H$2:$P$154,8,0)</f>
        <v>#VALUE!</v>
      </c>
      <c r="CY73" s="27" t="e">
        <f aca="false">SUMIF($C$2:$F$2,EOMONTH(CY$2,-1)+1,$C73:$F73)*VLOOKUP(CY$2,Valores!$H$2:$P$154,8,0)</f>
        <v>#VALUE!</v>
      </c>
      <c r="CZ73" s="27" t="e">
        <f aca="false">SUMIF($C$2:$F$2,EOMONTH(CZ$2,-1)+1,$C73:$F73)*VLOOKUP(CZ$2,Valores!$H$2:$P$154,8,0)</f>
        <v>#VALUE!</v>
      </c>
      <c r="DA73" s="27" t="e">
        <f aca="false">SUMIF($C$2:$F$2,EOMONTH(DA$2,-1)+1,$C73:$F73)*VLOOKUP(DA$2,Valores!$H$2:$P$154,8,0)</f>
        <v>#VALUE!</v>
      </c>
      <c r="DB73" s="27" t="e">
        <f aca="false">SUMIF($C$2:$F$2,EOMONTH(DB$2,-1)+1,$C73:$F73)*VLOOKUP(DB$2,Valores!$H$2:$P$154,8,0)</f>
        <v>#VALUE!</v>
      </c>
      <c r="DC73" s="27" t="e">
        <f aca="false">SUMIF($C$2:$F$2,EOMONTH(DC$2,-1)+1,$C73:$F73)*VLOOKUP(DC$2,Valores!$H$2:$P$154,8,0)</f>
        <v>#VALUE!</v>
      </c>
      <c r="DD73" s="27" t="e">
        <f aca="false">SUMIF($C$2:$F$2,EOMONTH(DD$2,-1)+1,$C73:$F73)*VLOOKUP(DD$2,Valores!$H$2:$P$154,8,0)</f>
        <v>#VALUE!</v>
      </c>
      <c r="DE73" s="27" t="e">
        <f aca="false">SUMIF($C$2:$F$2,EOMONTH(DE$2,-1)+1,$C73:$F73)*VLOOKUP(DE$2,Valores!$H$2:$P$154,8,0)</f>
        <v>#VALUE!</v>
      </c>
      <c r="DF73" s="27" t="e">
        <f aca="false">SUMIF($C$2:$F$2,EOMONTH(DF$2,-1)+1,$C73:$F73)*VLOOKUP(DF$2,Valores!$H$2:$P$154,8,0)</f>
        <v>#VALUE!</v>
      </c>
      <c r="DG73" s="27" t="e">
        <f aca="false">SUMIF($C$2:$F$2,EOMONTH(DG$2,-1)+1,$C73:$F73)*VLOOKUP(DG$2,Valores!$H$2:$P$154,8,0)</f>
        <v>#VALUE!</v>
      </c>
      <c r="DH73" s="27" t="e">
        <f aca="false">SUMIF($C$2:$F$2,EOMONTH(DH$2,-1)+1,$C73:$F73)*VLOOKUP(DH$2,Valores!$H$2:$P$154,8,0)</f>
        <v>#VALUE!</v>
      </c>
      <c r="DI73" s="27" t="e">
        <f aca="false">SUMIF($C$2:$F$2,EOMONTH(DI$2,-1)+1,$C73:$F73)*VLOOKUP(DI$2,Valores!$H$2:$P$154,8,0)</f>
        <v>#VALUE!</v>
      </c>
      <c r="DJ73" s="27" t="e">
        <f aca="false">SUMIF($C$2:$F$2,EOMONTH(DJ$2,-1)+1,$C73:$F73)*VLOOKUP(DJ$2,Valores!$H$2:$P$154,8,0)</f>
        <v>#VALUE!</v>
      </c>
      <c r="DK73" s="27" t="e">
        <f aca="false">SUMIF($C$2:$F$2,EOMONTH(DK$2,-1)+1,$C73:$F73)*VLOOKUP(DK$2,Valores!$H$2:$P$154,8,0)</f>
        <v>#VALUE!</v>
      </c>
      <c r="DL73" s="27" t="e">
        <f aca="false">SUMIF($C$2:$F$2,EOMONTH(DL$2,-1)+1,$C73:$F73)*VLOOKUP(DL$2,Valores!$H$2:$P$154,8,0)</f>
        <v>#VALUE!</v>
      </c>
      <c r="DM73" s="27" t="e">
        <f aca="false">SUMIF($C$2:$F$2,EOMONTH(DM$2,-1)+1,$C73:$F73)*VLOOKUP(DM$2,Valores!$H$2:$P$154,8,0)</f>
        <v>#VALUE!</v>
      </c>
      <c r="DN73" s="27" t="e">
        <f aca="false">SUMIF($C$2:$F$2,EOMONTH(DN$2,-1)+1,$C73:$F73)*VLOOKUP(DN$2,Valores!$H$2:$P$154,8,0)</f>
        <v>#VALUE!</v>
      </c>
      <c r="DO73" s="27" t="e">
        <f aca="false">SUMIF($C$2:$F$2,EOMONTH(DO$2,-1)+1,$C73:$F73)*VLOOKUP(DO$2,Valores!$H$2:$P$154,8,0)</f>
        <v>#VALUE!</v>
      </c>
      <c r="DP73" s="27" t="e">
        <f aca="false">SUMIF($C$2:$F$2,EOMONTH(DP$2,-1)+1,$C73:$F73)*VLOOKUP(DP$2,Valores!$H$2:$P$154,8,0)</f>
        <v>#VALUE!</v>
      </c>
      <c r="DQ73" s="27" t="e">
        <f aca="false">SUMIF($C$2:$F$2,EOMONTH(DQ$2,-1)+1,$C73:$F73)*VLOOKUP(DQ$2,Valores!$H$2:$P$154,8,0)</f>
        <v>#VALUE!</v>
      </c>
      <c r="DR73" s="27" t="e">
        <f aca="false">SUMIF($C$2:$F$2,EOMONTH(DR$2,-1)+1,$C73:$F73)*VLOOKUP(DR$2,Valores!$H$2:$P$154,8,0)</f>
        <v>#VALUE!</v>
      </c>
      <c r="DS73" s="27" t="e">
        <f aca="false">SUMIF($C$2:$F$2,EOMONTH(DS$2,-1)+1,$C73:$F73)*VLOOKUP(DS$2,Valores!$H$2:$P$154,8,0)</f>
        <v>#VALUE!</v>
      </c>
      <c r="DT73" s="27" t="e">
        <f aca="false">SUMIF($C$2:$F$2,EOMONTH(DT$2,-1)+1,$C73:$F73)*VLOOKUP(DT$2,Valores!$H$2:$P$154,8,0)</f>
        <v>#VALUE!</v>
      </c>
      <c r="DU73" s="27" t="e">
        <f aca="false">SUMIF($C$2:$F$2,EOMONTH(DU$2,-1)+1,$C73:$F73)*VLOOKUP(DU$2,Valores!$H$2:$P$154,8,0)</f>
        <v>#VALUE!</v>
      </c>
      <c r="DV73" s="27" t="e">
        <f aca="false">SUMIF($C$2:$F$2,EOMONTH(DV$2,-1)+1,$C73:$F73)*VLOOKUP(DV$2,Valores!$H$2:$P$154,8,0)</f>
        <v>#VALUE!</v>
      </c>
      <c r="DW73" s="27" t="e">
        <f aca="false">SUMIF($C$2:$F$2,EOMONTH(DW$2,-1)+1,$C73:$F73)*VLOOKUP(DW$2,Valores!$H$2:$P$154,8,0)</f>
        <v>#VALUE!</v>
      </c>
      <c r="DX73" s="27" t="e">
        <f aca="false">SUMIF($C$2:$F$2,EOMONTH(DX$2,-1)+1,$C73:$F73)*VLOOKUP(DX$2,Valores!$H$2:$P$154,8,0)</f>
        <v>#VALUE!</v>
      </c>
    </row>
    <row r="74" customFormat="false" ht="13.8" hidden="false" customHeight="false" outlineLevel="0" collapsed="false">
      <c r="A74" s="33" t="s">
        <v>91</v>
      </c>
      <c r="B74" s="29" t="s">
        <v>97</v>
      </c>
      <c r="C74" s="29" t="n">
        <v>885180</v>
      </c>
      <c r="D74" s="29" t="n">
        <v>796662</v>
      </c>
      <c r="E74" s="29" t="n">
        <v>716995.8</v>
      </c>
      <c r="F74" s="29" t="n">
        <v>645296.22</v>
      </c>
      <c r="G74" s="30" t="n">
        <f aca="false">SUMIF($C$2:$F$2,EOMONTH(G$2,-1)+1,$C74:$F74)*VLOOKUP(G$2,Valores!$H$2:$P$154,8,0)</f>
        <v>25490.620371894</v>
      </c>
      <c r="H74" s="30" t="n">
        <f aca="false">SUMIF($C$2:$F$2,EOMONTH(H$2,-1)+1,$C74:$F74)*VLOOKUP(H$2,Valores!$H$2:$P$154,8,0)</f>
        <v>17479.2825407273</v>
      </c>
      <c r="I74" s="30" t="n">
        <f aca="false">SUMIF($C$2:$F$2,EOMONTH(I$2,-1)+1,$C74:$F74)*VLOOKUP(I$2,Valores!$H$2:$P$154,8,0)</f>
        <v>17479.2825407273</v>
      </c>
      <c r="J74" s="30" t="n">
        <f aca="false">SUMIF($C$2:$F$2,EOMONTH(J$2,-1)+1,$C74:$F74)*VLOOKUP(J$2,Valores!$H$2:$P$154,8,0)</f>
        <v>17479.2825407273</v>
      </c>
      <c r="K74" s="30" t="n">
        <f aca="false">SUMIF($C$2:$F$2,EOMONTH(K$2,-1)+1,$C74:$F74)*VLOOKUP(K$2,Valores!$H$2:$P$154,8,0)</f>
        <v>17479.2825407273</v>
      </c>
      <c r="L74" s="30" t="n">
        <f aca="false">SUMIF($C$2:$F$2,EOMONTH(L$2,-1)+1,$C74:$F74)*VLOOKUP(L$2,Valores!$H$2:$P$154,8,0)</f>
        <v>34958.5650814547</v>
      </c>
      <c r="M74" s="30" t="n">
        <f aca="false">SUMIF($C$2:$F$2,EOMONTH(M$2,-1)+1,$C74:$F74)*VLOOKUP(M$2,Valores!$H$2:$P$154,8,0)</f>
        <v>43698.2063518183</v>
      </c>
      <c r="N74" s="30" t="n">
        <f aca="false">SUMIF($C$2:$F$2,EOMONTH(N$2,-1)+1,$C74:$F74)*VLOOKUP(N$2,Valores!$H$2:$P$154,8,0)</f>
        <v>26218.923811091</v>
      </c>
      <c r="O74" s="30" t="n">
        <f aca="false">SUMIF($C$2:$F$2,EOMONTH(O$2,-1)+1,$C74:$F74)*VLOOKUP(O$2,Valores!$H$2:$P$154,8,0)</f>
        <v>23305.7100543031</v>
      </c>
      <c r="P74" s="30" t="n">
        <f aca="false">SUMIF($C$2:$F$2,EOMONTH(P$2,-1)+1,$C74:$F74)*VLOOKUP(P$2,Valores!$H$2:$P$154,8,0)</f>
        <v>23305.7100543031</v>
      </c>
      <c r="Q74" s="30" t="n">
        <f aca="false">SUMIF($C$2:$F$2,EOMONTH(Q$2,-1)+1,$C74:$F74)*VLOOKUP(Q$2,Valores!$H$2:$P$154,8,0)</f>
        <v>13983.4260325819</v>
      </c>
      <c r="R74" s="30" t="n">
        <f aca="false">SUMIF($C$2:$F$2,EOMONTH(R$2,-1)+1,$C74:$F74)*VLOOKUP(R$2,Valores!$H$2:$P$154,8,0)</f>
        <v>23305.7100543031</v>
      </c>
      <c r="S74" s="30" t="n">
        <f aca="false">SUMIF($C$2:$F$2,EOMONTH(S$2,-1)+1,$C74:$F74)*VLOOKUP(S$2,Valores!$H$2:$P$154,8,0)</f>
        <v>46611.4201086062</v>
      </c>
      <c r="T74" s="30" t="n">
        <f aca="false">SUMIF($C$2:$F$2,EOMONTH(T$2,-1)+1,$C74:$F74)*VLOOKUP(T$2,Valores!$H$2:$P$154,8,0)</f>
        <v>58264.2751357578</v>
      </c>
      <c r="U74" s="30" t="n">
        <f aca="false">SUMIF($C$2:$F$2,EOMONTH(U$2,-1)+1,$C74:$F74)*VLOOKUP(U$2,Valores!$H$2:$P$154,8,0)</f>
        <v>34958.5650814547</v>
      </c>
      <c r="V74" s="30" t="n">
        <f aca="false">SUMIF($C$2:$F$2,EOMONTH(V$2,-1)+1,$C74:$F74)*VLOOKUP(V$2,Valores!$H$2:$P$154,8,0)</f>
        <v>29132.1375678789</v>
      </c>
      <c r="W74" s="30" t="n">
        <f aca="false">SUMIF($C$2:$F$2,EOMONTH(W$2,-1)+1,$C74:$F74)*VLOOKUP(W$2,Valores!$H$2:$P$154,8,0)</f>
        <v>29132.1375678789</v>
      </c>
      <c r="X74" s="30" t="n">
        <f aca="false">SUMIF($C$2:$F$2,EOMONTH(X$2,-1)+1,$C74:$F74)*VLOOKUP(X$2,Valores!$H$2:$P$154,8,0)</f>
        <v>0</v>
      </c>
      <c r="Y74" s="30" t="n">
        <f aca="false">SUMIF($C$2:$F$2,EOMONTH(Y$2,-1)+1,$C74:$F74)*VLOOKUP(Y$2,Valores!$H$2:$P$154,8,0)</f>
        <v>0</v>
      </c>
      <c r="Z74" s="30" t="n">
        <f aca="false">SUMIF($C$2:$F$2,EOMONTH(Z$2,-1)+1,$C74:$F74)*VLOOKUP(Z$2,Valores!$H$2:$P$154,8,0)</f>
        <v>43698.2063518183</v>
      </c>
      <c r="AA74" s="30" t="n">
        <f aca="false">SUMIF($C$2:$F$2,EOMONTH(AA$2,-1)+1,$C74:$F74)*VLOOKUP(AA$2,Valores!$H$2:$P$154,8,0)</f>
        <v>52437.847622182</v>
      </c>
      <c r="AB74" s="30" t="n">
        <f aca="false">SUMIF($C$2:$F$2,EOMONTH(AB$2,-1)+1,$C74:$F74)*VLOOKUP(AB$2,Valores!$H$2:$P$154,8,0)</f>
        <v>26218.923811091</v>
      </c>
      <c r="AC74" s="30" t="n">
        <f aca="false">SUMIF($C$2:$F$2,EOMONTH(AC$2,-1)+1,$C74:$F74)*VLOOKUP(AC$2,Valores!$H$2:$P$154,8,0)</f>
        <v>32045.3513246668</v>
      </c>
      <c r="AD74" s="30" t="n">
        <f aca="false">SUMIF($C$2:$F$2,EOMONTH(AD$2,-1)+1,$C74:$F74)*VLOOKUP(AD$2,Valores!$H$2:$P$154,8,0)</f>
        <v>32045.3513246668</v>
      </c>
      <c r="AE74" s="30" t="n">
        <f aca="false">SUMIF($C$2:$F$2,EOMONTH(AE$2,-1)+1,$C74:$F74)*VLOOKUP(AE$2,Valores!$H$2:$P$154,8,0)</f>
        <v>32045.3513246668</v>
      </c>
      <c r="AF74" s="30" t="n">
        <f aca="false">SUMIF($C$2:$F$2,EOMONTH(AF$2,-1)+1,$C74:$F74)*VLOOKUP(AF$2,Valores!$H$2:$P$154,8,0)</f>
        <v>32045.3513246668</v>
      </c>
      <c r="AG74" s="30" t="n">
        <f aca="false">SUMIF($C$2:$F$2,EOMONTH(AG$2,-1)+1,$C74:$F74)*VLOOKUP(AG$2,Valores!$H$2:$P$154,8,0)</f>
        <v>51272.5621194668</v>
      </c>
      <c r="AH74" s="30" t="n">
        <f aca="false">SUMIF($C$2:$F$2,EOMONTH(AH$2,-1)+1,$C74:$F74)*VLOOKUP(AH$2,Valores!$H$2:$P$154,8,0)</f>
        <v>64090.7026493336</v>
      </c>
      <c r="AI74" s="30" t="n">
        <f aca="false">SUMIF($C$2:$F$2,EOMONTH(AI$2,-1)+1,$C74:$F74)*VLOOKUP(AI$2,Valores!$H$2:$P$154,8,0)</f>
        <v>22431.7459272667</v>
      </c>
      <c r="AJ74" s="30" t="n">
        <f aca="false">SUMIF($C$2:$F$2,EOMONTH(AJ$2,-1)+1,$C74:$F74)*VLOOKUP(AJ$2,Valores!$H$2:$P$154,8,0)</f>
        <v>14566.0687839394</v>
      </c>
      <c r="AK74" s="30" t="n">
        <f aca="false">SUMIF($C$2:$F$2,EOMONTH(AK$2,-1)+1,$C74:$F74)*VLOOKUP(AK$2,Valores!$H$2:$P$154,8,0)</f>
        <v>26562.3568077354</v>
      </c>
      <c r="AL74" s="30" t="n">
        <f aca="false">SUMIF($C$2:$F$2,EOMONTH(AL$2,-1)+1,$C74:$F74)*VLOOKUP(AL$2,Valores!$H$2:$P$154,8,0)</f>
        <v>26562.3568077354</v>
      </c>
      <c r="AM74" s="30" t="n">
        <f aca="false">SUMIF($C$2:$F$2,EOMONTH(AM$2,-1)+1,$C74:$F74)*VLOOKUP(AM$2,Valores!$H$2:$P$154,8,0)</f>
        <v>26562.3568077354</v>
      </c>
      <c r="AN74" s="30" t="n">
        <f aca="false">SUMIF($C$2:$F$2,EOMONTH(AN$2,-1)+1,$C74:$F74)*VLOOKUP(AN$2,Valores!$H$2:$P$154,8,0)</f>
        <v>53124.7136154707</v>
      </c>
      <c r="AO74" s="30" t="n">
        <f aca="false">SUMIF($C$2:$F$2,EOMONTH(AO$2,-1)+1,$C74:$F74)*VLOOKUP(AO$2,Valores!$H$2:$P$154,8,0)</f>
        <v>66405.8920193384</v>
      </c>
      <c r="AP74" s="30" t="n">
        <f aca="false">SUMIF($C$2:$F$2,EOMONTH(AP$2,-1)+1,$C74:$F74)*VLOOKUP(AP$2,Valores!$H$2:$P$154,8,0)</f>
        <v>39843.535211603</v>
      </c>
      <c r="AQ74" s="30" t="n">
        <f aca="false">SUMIF($C$2:$F$2,EOMONTH(AQ$2,-1)+1,$C74:$F74)*VLOOKUP(AQ$2,Valores!$H$2:$P$154,8,0)</f>
        <v>14229.8340041439</v>
      </c>
      <c r="AR74" s="30" t="n">
        <f aca="false">SUMIF($C$2:$F$2,EOMONTH(AR$2,-1)+1,$C74:$F74)*VLOOKUP(AR$2,Valores!$H$2:$P$154,8,0)</f>
        <v>14229.8340041439</v>
      </c>
      <c r="AS74" s="30" t="n">
        <f aca="false">SUMIF($C$2:$F$2,EOMONTH(AS$2,-1)+1,$C74:$F74)*VLOOKUP(AS$2,Valores!$H$2:$P$154,8,0)</f>
        <v>14229.8340041439</v>
      </c>
      <c r="AT74" s="30" t="n">
        <f aca="false">SUMIF($C$2:$F$2,EOMONTH(AT$2,-1)+1,$C74:$F74)*VLOOKUP(AT$2,Valores!$H$2:$P$154,8,0)</f>
        <v>14229.8340041439</v>
      </c>
      <c r="AU74" s="30" t="n">
        <f aca="false">SUMIF($C$2:$F$2,EOMONTH(AU$2,-1)+1,$C74:$F74)*VLOOKUP(AU$2,Valores!$H$2:$P$154,8,0)</f>
        <v>28459.6680082879</v>
      </c>
      <c r="AV74" s="30" t="n">
        <f aca="false">SUMIF($C$2:$F$2,EOMONTH(AV$2,-1)+1,$C74:$F74)*VLOOKUP(AV$2,Valores!$H$2:$P$154,8,0)</f>
        <v>35574.5850103598</v>
      </c>
      <c r="AW74" s="30" t="n">
        <f aca="false">SUMIF($C$2:$F$2,EOMONTH(AW$2,-1)+1,$C74:$F74)*VLOOKUP(AW$2,Valores!$H$2:$P$154,8,0)</f>
        <v>21344.7510062159</v>
      </c>
      <c r="AX74" s="30" t="n">
        <f aca="false">SUMIF($C$2:$F$2,EOMONTH(AX$2,-1)+1,$C74:$F74)*VLOOKUP(AX$2,Valores!$H$2:$P$154,8,0)</f>
        <v>14229.8340041439</v>
      </c>
      <c r="AY74" s="30" t="n">
        <f aca="false">SUMIF($C$2:$F$2,EOMONTH(AY$2,-1)+1,$C74:$F74)*VLOOKUP(AY$2,Valores!$H$2:$P$154,8,0)</f>
        <v>18498.7842053871</v>
      </c>
      <c r="AZ74" s="30" t="n">
        <f aca="false">SUMIF($C$2:$F$2,EOMONTH(AZ$2,-1)+1,$C74:$F74)*VLOOKUP(AZ$2,Valores!$H$2:$P$154,8,0)</f>
        <v>18498.7842053871</v>
      </c>
      <c r="BA74" s="30" t="n">
        <f aca="false">SUMIF($C$2:$F$2,EOMONTH(BA$2,-1)+1,$C74:$F74)*VLOOKUP(BA$2,Valores!$H$2:$P$154,8,0)</f>
        <v>18498.7842053871</v>
      </c>
      <c r="BB74" s="30" t="n">
        <f aca="false">SUMIF($C$2:$F$2,EOMONTH(BB$2,-1)+1,$C74:$F74)*VLOOKUP(BB$2,Valores!$H$2:$P$154,8,0)</f>
        <v>32728.6182095311</v>
      </c>
      <c r="BC74" s="30" t="n">
        <f aca="false">SUMIF($C$2:$F$2,EOMONTH(BC$2,-1)+1,$C74:$F74)*VLOOKUP(BC$2,Valores!$H$2:$P$154,8,0)</f>
        <v>39843.535211603</v>
      </c>
      <c r="BD74" s="30" t="n">
        <f aca="false">SUMIF($C$2:$F$2,EOMONTH(BD$2,-1)+1,$C74:$F74)*VLOOKUP(BD$2,Valores!$H$2:$P$154,8,0)</f>
        <v>21344.7510062159</v>
      </c>
      <c r="BE74" s="30" t="n">
        <f aca="false">SUMIF($C$2:$F$2,EOMONTH(BE$2,-1)+1,$C74:$F74)*VLOOKUP(BE$2,Valores!$H$2:$P$154,8,0)</f>
        <v>18973.1120055253</v>
      </c>
      <c r="BF74" s="30" t="n">
        <f aca="false">SUMIF($C$2:$F$2,EOMONTH(BF$2,-1)+1,$C74:$F74)*VLOOKUP(BF$2,Valores!$H$2:$P$154,8,0)</f>
        <v>18973.1120055253</v>
      </c>
      <c r="BG74" s="30" t="n">
        <f aca="false">SUMIF($C$2:$F$2,EOMONTH(BG$2,-1)+1,$C74:$F74)*VLOOKUP(BG$2,Valores!$H$2:$P$154,8,0)</f>
        <v>18973.1120055253</v>
      </c>
      <c r="BH74" s="30" t="n">
        <f aca="false">SUMIF($C$2:$F$2,EOMONTH(BH$2,-1)+1,$C74:$F74)*VLOOKUP(BH$2,Valores!$H$2:$P$154,8,0)</f>
        <v>18973.1120055253</v>
      </c>
      <c r="BI74" s="30" t="n">
        <f aca="false">SUMIF($C$2:$F$2,EOMONTH(BI$2,-1)+1,$C74:$F74)*VLOOKUP(BI$2,Valores!$H$2:$P$154,8,0)</f>
        <v>37946.2240110505</v>
      </c>
      <c r="BJ74" s="30" t="n">
        <f aca="false">SUMIF($C$2:$F$2,EOMONTH(BJ$2,-1)+1,$C74:$F74)*VLOOKUP(BJ$2,Valores!$H$2:$P$154,8,0)</f>
        <v>47432.7800138131</v>
      </c>
      <c r="BK74" s="30" t="n">
        <f aca="false">SUMIF($C$2:$F$2,EOMONTH(BK$2,-1)+1,$C74:$F74)*VLOOKUP(BK$2,Valores!$H$2:$P$154,8,0)</f>
        <v>22767.7344066303</v>
      </c>
      <c r="BL74" s="30" t="n">
        <f aca="false">SUMIF($C$2:$F$2,EOMONTH(BL$2,-1)+1,$C74:$F74)*VLOOKUP(BL$2,Valores!$H$2:$P$154,8,0)</f>
        <v>16696.3385648622</v>
      </c>
      <c r="BM74" s="30" t="n">
        <f aca="false">SUMIF($C$2:$F$2,EOMONTH(BM$2,-1)+1,$C74:$F74)*VLOOKUP(BM$2,Valores!$H$2:$P$154,8,0)</f>
        <v>16696.3385648622</v>
      </c>
      <c r="BN74" s="30" t="n">
        <f aca="false">SUMIF($C$2:$F$2,EOMONTH(BN$2,-1)+1,$C74:$F74)*VLOOKUP(BN$2,Valores!$H$2:$P$154,8,0)</f>
        <v>16696.3385648622</v>
      </c>
      <c r="BO74" s="30" t="n">
        <f aca="false">SUMIF($C$2:$F$2,EOMONTH(BO$2,-1)+1,$C74:$F74)*VLOOKUP(BO$2,Valores!$H$2:$P$154,8,0)</f>
        <v>17531.1554931053</v>
      </c>
      <c r="BP74" s="30" t="n">
        <f aca="false">SUMIF($C$2:$F$2,EOMONTH(BP$2,-1)+1,$C74:$F74)*VLOOKUP(BP$2,Valores!$H$2:$P$154,8,0)</f>
        <v>44117.9703329304</v>
      </c>
      <c r="BQ74" s="30" t="n">
        <f aca="false">SUMIF($C$2:$F$2,EOMONTH(BQ$2,-1)+1,$C74:$F74)*VLOOKUP(BQ$2,Valores!$H$2:$P$154,8,0)</f>
        <v>55147.462916163</v>
      </c>
      <c r="BR74" s="30" t="n">
        <f aca="false">SUMIF($C$2:$F$2,EOMONTH(BR$2,-1)+1,$C74:$F74)*VLOOKUP(BR$2,Valores!$H$2:$P$154,8,0)</f>
        <v>26470.7821997583</v>
      </c>
      <c r="BS74" s="30" t="n">
        <f aca="false">SUMIF($C$2:$F$2,EOMONTH(BS$2,-1)+1,$C74:$F74)*VLOOKUP(BS$2,Valores!$H$2:$P$154,8,0)</f>
        <v>11817.3134820349</v>
      </c>
      <c r="BT74" s="30" t="n">
        <f aca="false">SUMIF($C$2:$F$2,EOMONTH(BT$2,-1)+1,$C74:$F74)*VLOOKUP(BT$2,Valores!$H$2:$P$154,8,0)</f>
        <v>11817.3134820349</v>
      </c>
      <c r="BU74" s="30" t="n">
        <f aca="false">SUMIF($C$2:$F$2,EOMONTH(BU$2,-1)+1,$C74:$F74)*VLOOKUP(BU$2,Valores!$H$2:$P$154,8,0)</f>
        <v>11817.3134820349</v>
      </c>
      <c r="BV74" s="30" t="n">
        <f aca="false">SUMIF($C$2:$F$2,EOMONTH(BV$2,-1)+1,$C74:$F74)*VLOOKUP(BV$2,Valores!$H$2:$P$154,8,0)</f>
        <v>11817.3134820349</v>
      </c>
      <c r="BW74" s="30" t="n">
        <f aca="false">SUMIF($C$2:$F$2,EOMONTH(BW$2,-1)+1,$C74:$F74)*VLOOKUP(BW$2,Valores!$H$2:$P$154,8,0)</f>
        <v>23634.6269640699</v>
      </c>
      <c r="BX74" s="30" t="n">
        <f aca="false">SUMIF($C$2:$F$2,EOMONTH(BX$2,-1)+1,$C74:$F74)*VLOOKUP(BX$2,Valores!$H$2:$P$154,8,0)</f>
        <v>29543.2837050873</v>
      </c>
      <c r="BY74" s="30" t="n">
        <f aca="false">SUMIF($C$2:$F$2,EOMONTH(BY$2,-1)+1,$C74:$F74)*VLOOKUP(BY$2,Valores!$H$2:$P$154,8,0)</f>
        <v>17725.9702230524</v>
      </c>
      <c r="BZ74" s="30" t="n">
        <f aca="false">SUMIF($C$2:$F$2,EOMONTH(BZ$2,-1)+1,$C74:$F74)*VLOOKUP(BZ$2,Valores!$H$2:$P$154,8,0)</f>
        <v>11817.3134820349</v>
      </c>
      <c r="CA74" s="30" t="n">
        <f aca="false">SUMIF($C$2:$F$2,EOMONTH(CA$2,-1)+1,$C74:$F74)*VLOOKUP(CA$2,Valores!$H$2:$P$154,8,0)</f>
        <v>11817.3134820349</v>
      </c>
      <c r="CB74" s="30" t="n">
        <f aca="false">SUMIF($C$2:$F$2,EOMONTH(CB$2,-1)+1,$C74:$F74)*VLOOKUP(CB$2,Valores!$H$2:$P$154,8,0)</f>
        <v>11817.3134820349</v>
      </c>
      <c r="CC74" s="30" t="n">
        <f aca="false">SUMIF($C$2:$F$2,EOMONTH(CC$2,-1)+1,$C74:$F74)*VLOOKUP(CC$2,Valores!$H$2:$P$154,8,0)</f>
        <v>11817.3134820349</v>
      </c>
      <c r="CD74" s="30" t="n">
        <f aca="false">SUMIF($C$2:$F$2,EOMONTH(CD$2,-1)+1,$C74:$F74)*VLOOKUP(CD$2,Valores!$H$2:$P$154,8,0)</f>
        <v>35451.9404461048</v>
      </c>
      <c r="CE74" s="30" t="n">
        <f aca="false">SUMIF($C$2:$F$2,EOMONTH(CE$2,-1)+1,$C74:$F74)*VLOOKUP(CE$2,Valores!$H$2:$P$154,8,0)</f>
        <v>47269.2539281398</v>
      </c>
      <c r="CF74" s="30" t="n">
        <f aca="false">SUMIF($C$2:$F$2,EOMONTH(CF$2,-1)+1,$C74:$F74)*VLOOKUP(CF$2,Valores!$H$2:$P$154,8,0)</f>
        <v>29543.2837050873</v>
      </c>
      <c r="CG74" s="30" t="n">
        <f aca="false">SUMIF($C$2:$F$2,EOMONTH(CG$2,-1)+1,$C74:$F74)*VLOOKUP(CG$2,Valores!$H$2:$P$154,8,0)</f>
        <v>15756.4179760466</v>
      </c>
      <c r="CH74" s="30" t="n">
        <f aca="false">SUMIF($C$2:$F$2,EOMONTH(CH$2,-1)+1,$C74:$F74)*VLOOKUP(CH$2,Valores!$H$2:$P$154,8,0)</f>
        <v>15756.4179760466</v>
      </c>
      <c r="CI74" s="30" t="n">
        <f aca="false">SUMIF($C$2:$F$2,EOMONTH(CI$2,-1)+1,$C74:$F74)*VLOOKUP(CI$2,Valores!$H$2:$P$154,8,0)</f>
        <v>15756.4179760466</v>
      </c>
      <c r="CJ74" s="30" t="n">
        <f aca="false">SUMIF($C$2:$F$2,EOMONTH(CJ$2,-1)+1,$C74:$F74)*VLOOKUP(CJ$2,Valores!$H$2:$P$154,8,0)</f>
        <v>15756.4179760466</v>
      </c>
      <c r="CK74" s="30" t="n">
        <f aca="false">SUMIF($C$2:$F$2,EOMONTH(CK$2,-1)+1,$C74:$F74)*VLOOKUP(CK$2,Valores!$H$2:$P$154,8,0)</f>
        <v>31512.8359520932</v>
      </c>
      <c r="CL74" s="30" t="n">
        <f aca="false">SUMIF($C$2:$F$2,EOMONTH(CL$2,-1)+1,$C74:$F74)*VLOOKUP(CL$2,Valores!$H$2:$P$154,8,0)</f>
        <v>39391.0449401165</v>
      </c>
      <c r="CM74" s="30" t="n">
        <f aca="false">SUMIF($C$2:$F$2,EOMONTH(CM$2,-1)+1,$C74:$F74)*VLOOKUP(CM$2,Valores!$H$2:$P$154,8,0)</f>
        <v>23634.6269640699</v>
      </c>
      <c r="CN74" s="30" t="n">
        <f aca="false">SUMIF($C$2:$F$2,EOMONTH(CN$2,-1)+1,$C74:$F74)*VLOOKUP(CN$2,Valores!$H$2:$P$154,8,0)</f>
        <v>17332.0597736512</v>
      </c>
      <c r="CO74" s="30" t="n">
        <f aca="false">SUMIF($C$2:$F$2,EOMONTH(CO$2,-1)+1,$C74:$F74)*VLOOKUP(CO$2,Valores!$H$2:$P$154,8,0)</f>
        <v>17332.0597736512</v>
      </c>
      <c r="CP74" s="30" t="n">
        <f aca="false">SUMIF($C$2:$F$2,EOMONTH(CP$2,-1)+1,$C74:$F74)*VLOOKUP(CP$2,Valores!$H$2:$P$154,8,0)</f>
        <v>17332.0597736512</v>
      </c>
      <c r="CQ74" s="30" t="n">
        <f aca="false">SUMIF($C$2:$F$2,EOMONTH(CQ$2,-1)+1,$C74:$F74)*VLOOKUP(CQ$2,Valores!$H$2:$P$154,8,0)</f>
        <v>17332.0597736512</v>
      </c>
      <c r="CR74" s="30" t="n">
        <f aca="false">SUMIF($C$2:$F$2,EOMONTH(CR$2,-1)+1,$C74:$F74)*VLOOKUP(CR$2,Valores!$H$2:$P$154,8,0)</f>
        <v>34664.1195473025</v>
      </c>
      <c r="CS74" s="30" t="n">
        <f aca="false">SUMIF($C$2:$F$2,EOMONTH(CS$2,-1)+1,$C74:$F74)*VLOOKUP(CS$2,Valores!$H$2:$P$154,8,0)</f>
        <v>51996.1793209537</v>
      </c>
      <c r="CT74" s="30" t="e">
        <f aca="false">SUMIF($C$2:$F$2,EOMONTH(CT$2,-1)+1,$C74:$F74)*VLOOKUP(CT$2,Valores!$H$2:$P$154,8,0)</f>
        <v>#VALUE!</v>
      </c>
      <c r="CU74" s="30" t="e">
        <f aca="false">SUMIF($C$2:$F$2,EOMONTH(CU$2,-1)+1,$C74:$F74)*VLOOKUP(CU$2,Valores!$H$2:$P$154,8,0)</f>
        <v>#VALUE!</v>
      </c>
      <c r="CV74" s="30" t="e">
        <f aca="false">SUMIF($C$2:$F$2,EOMONTH(CV$2,-1)+1,$C74:$F74)*VLOOKUP(CV$2,Valores!$H$2:$P$154,8,0)</f>
        <v>#VALUE!</v>
      </c>
      <c r="CW74" s="30" t="e">
        <f aca="false">SUMIF($C$2:$F$2,EOMONTH(CW$2,-1)+1,$C74:$F74)*VLOOKUP(CW$2,Valores!$H$2:$P$154,8,0)</f>
        <v>#VALUE!</v>
      </c>
      <c r="CX74" s="30" t="e">
        <f aca="false">SUMIF($C$2:$F$2,EOMONTH(CX$2,-1)+1,$C74:$F74)*VLOOKUP(CX$2,Valores!$H$2:$P$154,8,0)</f>
        <v>#VALUE!</v>
      </c>
      <c r="CY74" s="30" t="e">
        <f aca="false">SUMIF($C$2:$F$2,EOMONTH(CY$2,-1)+1,$C74:$F74)*VLOOKUP(CY$2,Valores!$H$2:$P$154,8,0)</f>
        <v>#VALUE!</v>
      </c>
      <c r="CZ74" s="30" t="e">
        <f aca="false">SUMIF($C$2:$F$2,EOMONTH(CZ$2,-1)+1,$C74:$F74)*VLOOKUP(CZ$2,Valores!$H$2:$P$154,8,0)</f>
        <v>#VALUE!</v>
      </c>
      <c r="DA74" s="30" t="e">
        <f aca="false">SUMIF($C$2:$F$2,EOMONTH(DA$2,-1)+1,$C74:$F74)*VLOOKUP(DA$2,Valores!$H$2:$P$154,8,0)</f>
        <v>#VALUE!</v>
      </c>
      <c r="DB74" s="30" t="e">
        <f aca="false">SUMIF($C$2:$F$2,EOMONTH(DB$2,-1)+1,$C74:$F74)*VLOOKUP(DB$2,Valores!$H$2:$P$154,8,0)</f>
        <v>#VALUE!</v>
      </c>
      <c r="DC74" s="30" t="e">
        <f aca="false">SUMIF($C$2:$F$2,EOMONTH(DC$2,-1)+1,$C74:$F74)*VLOOKUP(DC$2,Valores!$H$2:$P$154,8,0)</f>
        <v>#VALUE!</v>
      </c>
      <c r="DD74" s="30" t="e">
        <f aca="false">SUMIF($C$2:$F$2,EOMONTH(DD$2,-1)+1,$C74:$F74)*VLOOKUP(DD$2,Valores!$H$2:$P$154,8,0)</f>
        <v>#VALUE!</v>
      </c>
      <c r="DE74" s="30" t="e">
        <f aca="false">SUMIF($C$2:$F$2,EOMONTH(DE$2,-1)+1,$C74:$F74)*VLOOKUP(DE$2,Valores!$H$2:$P$154,8,0)</f>
        <v>#VALUE!</v>
      </c>
      <c r="DF74" s="30" t="e">
        <f aca="false">SUMIF($C$2:$F$2,EOMONTH(DF$2,-1)+1,$C74:$F74)*VLOOKUP(DF$2,Valores!$H$2:$P$154,8,0)</f>
        <v>#VALUE!</v>
      </c>
      <c r="DG74" s="30" t="e">
        <f aca="false">SUMIF($C$2:$F$2,EOMONTH(DG$2,-1)+1,$C74:$F74)*VLOOKUP(DG$2,Valores!$H$2:$P$154,8,0)</f>
        <v>#VALUE!</v>
      </c>
      <c r="DH74" s="30" t="e">
        <f aca="false">SUMIF($C$2:$F$2,EOMONTH(DH$2,-1)+1,$C74:$F74)*VLOOKUP(DH$2,Valores!$H$2:$P$154,8,0)</f>
        <v>#VALUE!</v>
      </c>
      <c r="DI74" s="30" t="e">
        <f aca="false">SUMIF($C$2:$F$2,EOMONTH(DI$2,-1)+1,$C74:$F74)*VLOOKUP(DI$2,Valores!$H$2:$P$154,8,0)</f>
        <v>#VALUE!</v>
      </c>
      <c r="DJ74" s="30" t="e">
        <f aca="false">SUMIF($C$2:$F$2,EOMONTH(DJ$2,-1)+1,$C74:$F74)*VLOOKUP(DJ$2,Valores!$H$2:$P$154,8,0)</f>
        <v>#VALUE!</v>
      </c>
      <c r="DK74" s="30" t="e">
        <f aca="false">SUMIF($C$2:$F$2,EOMONTH(DK$2,-1)+1,$C74:$F74)*VLOOKUP(DK$2,Valores!$H$2:$P$154,8,0)</f>
        <v>#VALUE!</v>
      </c>
      <c r="DL74" s="30" t="e">
        <f aca="false">SUMIF($C$2:$F$2,EOMONTH(DL$2,-1)+1,$C74:$F74)*VLOOKUP(DL$2,Valores!$H$2:$P$154,8,0)</f>
        <v>#VALUE!</v>
      </c>
      <c r="DM74" s="30" t="e">
        <f aca="false">SUMIF($C$2:$F$2,EOMONTH(DM$2,-1)+1,$C74:$F74)*VLOOKUP(DM$2,Valores!$H$2:$P$154,8,0)</f>
        <v>#VALUE!</v>
      </c>
      <c r="DN74" s="30" t="e">
        <f aca="false">SUMIF($C$2:$F$2,EOMONTH(DN$2,-1)+1,$C74:$F74)*VLOOKUP(DN$2,Valores!$H$2:$P$154,8,0)</f>
        <v>#VALUE!</v>
      </c>
      <c r="DO74" s="30" t="e">
        <f aca="false">SUMIF($C$2:$F$2,EOMONTH(DO$2,-1)+1,$C74:$F74)*VLOOKUP(DO$2,Valores!$H$2:$P$154,8,0)</f>
        <v>#VALUE!</v>
      </c>
      <c r="DP74" s="30" t="e">
        <f aca="false">SUMIF($C$2:$F$2,EOMONTH(DP$2,-1)+1,$C74:$F74)*VLOOKUP(DP$2,Valores!$H$2:$P$154,8,0)</f>
        <v>#VALUE!</v>
      </c>
      <c r="DQ74" s="30" t="e">
        <f aca="false">SUMIF($C$2:$F$2,EOMONTH(DQ$2,-1)+1,$C74:$F74)*VLOOKUP(DQ$2,Valores!$H$2:$P$154,8,0)</f>
        <v>#VALUE!</v>
      </c>
      <c r="DR74" s="30" t="e">
        <f aca="false">SUMIF($C$2:$F$2,EOMONTH(DR$2,-1)+1,$C74:$F74)*VLOOKUP(DR$2,Valores!$H$2:$P$154,8,0)</f>
        <v>#VALUE!</v>
      </c>
      <c r="DS74" s="30" t="e">
        <f aca="false">SUMIF($C$2:$F$2,EOMONTH(DS$2,-1)+1,$C74:$F74)*VLOOKUP(DS$2,Valores!$H$2:$P$154,8,0)</f>
        <v>#VALUE!</v>
      </c>
      <c r="DT74" s="30" t="e">
        <f aca="false">SUMIF($C$2:$F$2,EOMONTH(DT$2,-1)+1,$C74:$F74)*VLOOKUP(DT$2,Valores!$H$2:$P$154,8,0)</f>
        <v>#VALUE!</v>
      </c>
      <c r="DU74" s="30" t="e">
        <f aca="false">SUMIF($C$2:$F$2,EOMONTH(DU$2,-1)+1,$C74:$F74)*VLOOKUP(DU$2,Valores!$H$2:$P$154,8,0)</f>
        <v>#VALUE!</v>
      </c>
      <c r="DV74" s="30" t="e">
        <f aca="false">SUMIF($C$2:$F$2,EOMONTH(DV$2,-1)+1,$C74:$F74)*VLOOKUP(DV$2,Valores!$H$2:$P$154,8,0)</f>
        <v>#VALUE!</v>
      </c>
      <c r="DW74" s="30" t="e">
        <f aca="false">SUMIF($C$2:$F$2,EOMONTH(DW$2,-1)+1,$C74:$F74)*VLOOKUP(DW$2,Valores!$H$2:$P$154,8,0)</f>
        <v>#VALUE!</v>
      </c>
      <c r="DX74" s="30" t="e">
        <f aca="false">SUMIF($C$2:$F$2,EOMONTH(DX$2,-1)+1,$C74:$F74)*VLOOKUP(DX$2,Valores!$H$2:$P$154,8,0)</f>
        <v>#VALUE!</v>
      </c>
    </row>
    <row r="75" customFormat="false" ht="13.8" hidden="false" customHeight="false" outlineLevel="0" collapsed="false">
      <c r="A75" s="32" t="s">
        <v>91</v>
      </c>
      <c r="B75" s="31" t="s">
        <v>98</v>
      </c>
      <c r="C75" s="31" t="n">
        <v>868253</v>
      </c>
      <c r="D75" s="31" t="n">
        <v>781427.7</v>
      </c>
      <c r="E75" s="31" t="n">
        <v>703284.93</v>
      </c>
      <c r="F75" s="31" t="n">
        <v>632956.437</v>
      </c>
      <c r="G75" s="27" t="n">
        <f aca="false">SUMIF($C$2:$F$2,EOMONTH(G$2,-1)+1,$C75:$F75)*VLOOKUP(G$2,Valores!$H$2:$P$154,8,0)</f>
        <v>25003.1717952937</v>
      </c>
      <c r="H75" s="27" t="n">
        <f aca="false">SUMIF($C$2:$F$2,EOMONTH(H$2,-1)+1,$C75:$F75)*VLOOKUP(H$2,Valores!$H$2:$P$154,8,0)</f>
        <v>17145.0320882014</v>
      </c>
      <c r="I75" s="27" t="n">
        <f aca="false">SUMIF($C$2:$F$2,EOMONTH(I$2,-1)+1,$C75:$F75)*VLOOKUP(I$2,Valores!$H$2:$P$154,8,0)</f>
        <v>17145.0320882014</v>
      </c>
      <c r="J75" s="27" t="n">
        <f aca="false">SUMIF($C$2:$F$2,EOMONTH(J$2,-1)+1,$C75:$F75)*VLOOKUP(J$2,Valores!$H$2:$P$154,8,0)</f>
        <v>17145.0320882014</v>
      </c>
      <c r="K75" s="27" t="n">
        <f aca="false">SUMIF($C$2:$F$2,EOMONTH(K$2,-1)+1,$C75:$F75)*VLOOKUP(K$2,Valores!$H$2:$P$154,8,0)</f>
        <v>17145.0320882014</v>
      </c>
      <c r="L75" s="27" t="n">
        <f aca="false">SUMIF($C$2:$F$2,EOMONTH(L$2,-1)+1,$C75:$F75)*VLOOKUP(L$2,Valores!$H$2:$P$154,8,0)</f>
        <v>34290.0641764028</v>
      </c>
      <c r="M75" s="27" t="n">
        <f aca="false">SUMIF($C$2:$F$2,EOMONTH(M$2,-1)+1,$C75:$F75)*VLOOKUP(M$2,Valores!$H$2:$P$154,8,0)</f>
        <v>42862.5802205035</v>
      </c>
      <c r="N75" s="27" t="n">
        <f aca="false">SUMIF($C$2:$F$2,EOMONTH(N$2,-1)+1,$C75:$F75)*VLOOKUP(N$2,Valores!$H$2:$P$154,8,0)</f>
        <v>25717.5481323021</v>
      </c>
      <c r="O75" s="27" t="n">
        <f aca="false">SUMIF($C$2:$F$2,EOMONTH(O$2,-1)+1,$C75:$F75)*VLOOKUP(O$2,Valores!$H$2:$P$154,8,0)</f>
        <v>22860.0427842685</v>
      </c>
      <c r="P75" s="27" t="n">
        <f aca="false">SUMIF($C$2:$F$2,EOMONTH(P$2,-1)+1,$C75:$F75)*VLOOKUP(P$2,Valores!$H$2:$P$154,8,0)</f>
        <v>22860.0427842685</v>
      </c>
      <c r="Q75" s="27" t="n">
        <f aca="false">SUMIF($C$2:$F$2,EOMONTH(Q$2,-1)+1,$C75:$F75)*VLOOKUP(Q$2,Valores!$H$2:$P$154,8,0)</f>
        <v>13716.0256705611</v>
      </c>
      <c r="R75" s="27" t="n">
        <f aca="false">SUMIF($C$2:$F$2,EOMONTH(R$2,-1)+1,$C75:$F75)*VLOOKUP(R$2,Valores!$H$2:$P$154,8,0)</f>
        <v>22860.0427842685</v>
      </c>
      <c r="S75" s="27" t="n">
        <f aca="false">SUMIF($C$2:$F$2,EOMONTH(S$2,-1)+1,$C75:$F75)*VLOOKUP(S$2,Valores!$H$2:$P$154,8,0)</f>
        <v>45720.0855685371</v>
      </c>
      <c r="T75" s="27" t="n">
        <f aca="false">SUMIF($C$2:$F$2,EOMONTH(T$2,-1)+1,$C75:$F75)*VLOOKUP(T$2,Valores!$H$2:$P$154,8,0)</f>
        <v>57150.1069606714</v>
      </c>
      <c r="U75" s="27" t="n">
        <f aca="false">SUMIF($C$2:$F$2,EOMONTH(U$2,-1)+1,$C75:$F75)*VLOOKUP(U$2,Valores!$H$2:$P$154,8,0)</f>
        <v>34290.0641764028</v>
      </c>
      <c r="V75" s="27" t="n">
        <f aca="false">SUMIF($C$2:$F$2,EOMONTH(V$2,-1)+1,$C75:$F75)*VLOOKUP(V$2,Valores!$H$2:$P$154,8,0)</f>
        <v>28575.0534803357</v>
      </c>
      <c r="W75" s="27" t="n">
        <f aca="false">SUMIF($C$2:$F$2,EOMONTH(W$2,-1)+1,$C75:$F75)*VLOOKUP(W$2,Valores!$H$2:$P$154,8,0)</f>
        <v>28575.0534803357</v>
      </c>
      <c r="X75" s="27" t="n">
        <f aca="false">SUMIF($C$2:$F$2,EOMONTH(X$2,-1)+1,$C75:$F75)*VLOOKUP(X$2,Valores!$H$2:$P$154,8,0)</f>
        <v>0</v>
      </c>
      <c r="Y75" s="27" t="n">
        <f aca="false">SUMIF($C$2:$F$2,EOMONTH(Y$2,-1)+1,$C75:$F75)*VLOOKUP(Y$2,Valores!$H$2:$P$154,8,0)</f>
        <v>0</v>
      </c>
      <c r="Z75" s="27" t="n">
        <f aca="false">SUMIF($C$2:$F$2,EOMONTH(Z$2,-1)+1,$C75:$F75)*VLOOKUP(Z$2,Valores!$H$2:$P$154,8,0)</f>
        <v>42862.5802205035</v>
      </c>
      <c r="AA75" s="27" t="n">
        <f aca="false">SUMIF($C$2:$F$2,EOMONTH(AA$2,-1)+1,$C75:$F75)*VLOOKUP(AA$2,Valores!$H$2:$P$154,8,0)</f>
        <v>51435.0962646042</v>
      </c>
      <c r="AB75" s="27" t="n">
        <f aca="false">SUMIF($C$2:$F$2,EOMONTH(AB$2,-1)+1,$C75:$F75)*VLOOKUP(AB$2,Valores!$H$2:$P$154,8,0)</f>
        <v>25717.5481323021</v>
      </c>
      <c r="AC75" s="27" t="n">
        <f aca="false">SUMIF($C$2:$F$2,EOMONTH(AC$2,-1)+1,$C75:$F75)*VLOOKUP(AC$2,Valores!$H$2:$P$154,8,0)</f>
        <v>31432.5588283693</v>
      </c>
      <c r="AD75" s="27" t="n">
        <f aca="false">SUMIF($C$2:$F$2,EOMONTH(AD$2,-1)+1,$C75:$F75)*VLOOKUP(AD$2,Valores!$H$2:$P$154,8,0)</f>
        <v>31432.5588283693</v>
      </c>
      <c r="AE75" s="27" t="n">
        <f aca="false">SUMIF($C$2:$F$2,EOMONTH(AE$2,-1)+1,$C75:$F75)*VLOOKUP(AE$2,Valores!$H$2:$P$154,8,0)</f>
        <v>31432.5588283693</v>
      </c>
      <c r="AF75" s="27" t="n">
        <f aca="false">SUMIF($C$2:$F$2,EOMONTH(AF$2,-1)+1,$C75:$F75)*VLOOKUP(AF$2,Valores!$H$2:$P$154,8,0)</f>
        <v>31432.5588283693</v>
      </c>
      <c r="AG75" s="27" t="n">
        <f aca="false">SUMIF($C$2:$F$2,EOMONTH(AG$2,-1)+1,$C75:$F75)*VLOOKUP(AG$2,Valores!$H$2:$P$154,8,0)</f>
        <v>50292.0941253908</v>
      </c>
      <c r="AH75" s="27" t="n">
        <f aca="false">SUMIF($C$2:$F$2,EOMONTH(AH$2,-1)+1,$C75:$F75)*VLOOKUP(AH$2,Valores!$H$2:$P$154,8,0)</f>
        <v>62865.1176567385</v>
      </c>
      <c r="AI75" s="27" t="n">
        <f aca="false">SUMIF($C$2:$F$2,EOMONTH(AI$2,-1)+1,$C75:$F75)*VLOOKUP(AI$2,Valores!$H$2:$P$154,8,0)</f>
        <v>22002.7911798585</v>
      </c>
      <c r="AJ75" s="27" t="n">
        <f aca="false">SUMIF($C$2:$F$2,EOMONTH(AJ$2,-1)+1,$C75:$F75)*VLOOKUP(AJ$2,Valores!$H$2:$P$154,8,0)</f>
        <v>14287.5267401678</v>
      </c>
      <c r="AK75" s="27" t="n">
        <f aca="false">SUMIF($C$2:$F$2,EOMONTH(AK$2,-1)+1,$C75:$F75)*VLOOKUP(AK$2,Valores!$H$2:$P$154,8,0)</f>
        <v>26054.4137750363</v>
      </c>
      <c r="AL75" s="27" t="n">
        <f aca="false">SUMIF($C$2:$F$2,EOMONTH(AL$2,-1)+1,$C75:$F75)*VLOOKUP(AL$2,Valores!$H$2:$P$154,8,0)</f>
        <v>26054.4137750363</v>
      </c>
      <c r="AM75" s="27" t="n">
        <f aca="false">SUMIF($C$2:$F$2,EOMONTH(AM$2,-1)+1,$C75:$F75)*VLOOKUP(AM$2,Valores!$H$2:$P$154,8,0)</f>
        <v>26054.4137750363</v>
      </c>
      <c r="AN75" s="27" t="n">
        <f aca="false">SUMIF($C$2:$F$2,EOMONTH(AN$2,-1)+1,$C75:$F75)*VLOOKUP(AN$2,Valores!$H$2:$P$154,8,0)</f>
        <v>52108.8275500726</v>
      </c>
      <c r="AO75" s="27" t="n">
        <f aca="false">SUMIF($C$2:$F$2,EOMONTH(AO$2,-1)+1,$C75:$F75)*VLOOKUP(AO$2,Valores!$H$2:$P$154,8,0)</f>
        <v>65136.0344375908</v>
      </c>
      <c r="AP75" s="27" t="n">
        <f aca="false">SUMIF($C$2:$F$2,EOMONTH(AP$2,-1)+1,$C75:$F75)*VLOOKUP(AP$2,Valores!$H$2:$P$154,8,0)</f>
        <v>39081.6206625545</v>
      </c>
      <c r="AQ75" s="27" t="n">
        <f aca="false">SUMIF($C$2:$F$2,EOMONTH(AQ$2,-1)+1,$C75:$F75)*VLOOKUP(AQ$2,Valores!$H$2:$P$154,8,0)</f>
        <v>13957.721665198</v>
      </c>
      <c r="AR75" s="27" t="n">
        <f aca="false">SUMIF($C$2:$F$2,EOMONTH(AR$2,-1)+1,$C75:$F75)*VLOOKUP(AR$2,Valores!$H$2:$P$154,8,0)</f>
        <v>13957.721665198</v>
      </c>
      <c r="AS75" s="27" t="n">
        <f aca="false">SUMIF($C$2:$F$2,EOMONTH(AS$2,-1)+1,$C75:$F75)*VLOOKUP(AS$2,Valores!$H$2:$P$154,8,0)</f>
        <v>13957.721665198</v>
      </c>
      <c r="AT75" s="27" t="n">
        <f aca="false">SUMIF($C$2:$F$2,EOMONTH(AT$2,-1)+1,$C75:$F75)*VLOOKUP(AT$2,Valores!$H$2:$P$154,8,0)</f>
        <v>13957.721665198</v>
      </c>
      <c r="AU75" s="27" t="n">
        <f aca="false">SUMIF($C$2:$F$2,EOMONTH(AU$2,-1)+1,$C75:$F75)*VLOOKUP(AU$2,Valores!$H$2:$P$154,8,0)</f>
        <v>27915.443330396</v>
      </c>
      <c r="AV75" s="27" t="n">
        <f aca="false">SUMIF($C$2:$F$2,EOMONTH(AV$2,-1)+1,$C75:$F75)*VLOOKUP(AV$2,Valores!$H$2:$P$154,8,0)</f>
        <v>34894.3041629951</v>
      </c>
      <c r="AW75" s="27" t="n">
        <f aca="false">SUMIF($C$2:$F$2,EOMONTH(AW$2,-1)+1,$C75:$F75)*VLOOKUP(AW$2,Valores!$H$2:$P$154,8,0)</f>
        <v>20936.582497797</v>
      </c>
      <c r="AX75" s="27" t="n">
        <f aca="false">SUMIF($C$2:$F$2,EOMONTH(AX$2,-1)+1,$C75:$F75)*VLOOKUP(AX$2,Valores!$H$2:$P$154,8,0)</f>
        <v>13957.721665198</v>
      </c>
      <c r="AY75" s="27" t="n">
        <f aca="false">SUMIF($C$2:$F$2,EOMONTH(AY$2,-1)+1,$C75:$F75)*VLOOKUP(AY$2,Valores!$H$2:$P$154,8,0)</f>
        <v>18145.0381647574</v>
      </c>
      <c r="AZ75" s="27" t="n">
        <f aca="false">SUMIF($C$2:$F$2,EOMONTH(AZ$2,-1)+1,$C75:$F75)*VLOOKUP(AZ$2,Valores!$H$2:$P$154,8,0)</f>
        <v>18145.0381647574</v>
      </c>
      <c r="BA75" s="27" t="n">
        <f aca="false">SUMIF($C$2:$F$2,EOMONTH(BA$2,-1)+1,$C75:$F75)*VLOOKUP(BA$2,Valores!$H$2:$P$154,8,0)</f>
        <v>18145.0381647574</v>
      </c>
      <c r="BB75" s="27" t="n">
        <f aca="false">SUMIF($C$2:$F$2,EOMONTH(BB$2,-1)+1,$C75:$F75)*VLOOKUP(BB$2,Valores!$H$2:$P$154,8,0)</f>
        <v>32102.7598299555</v>
      </c>
      <c r="BC75" s="27" t="n">
        <f aca="false">SUMIF($C$2:$F$2,EOMONTH(BC$2,-1)+1,$C75:$F75)*VLOOKUP(BC$2,Valores!$H$2:$P$154,8,0)</f>
        <v>39081.6206625545</v>
      </c>
      <c r="BD75" s="27" t="n">
        <f aca="false">SUMIF($C$2:$F$2,EOMONTH(BD$2,-1)+1,$C75:$F75)*VLOOKUP(BD$2,Valores!$H$2:$P$154,8,0)</f>
        <v>20936.582497797</v>
      </c>
      <c r="BE75" s="27" t="n">
        <f aca="false">SUMIF($C$2:$F$2,EOMONTH(BE$2,-1)+1,$C75:$F75)*VLOOKUP(BE$2,Valores!$H$2:$P$154,8,0)</f>
        <v>18610.2955535974</v>
      </c>
      <c r="BF75" s="27" t="n">
        <f aca="false">SUMIF($C$2:$F$2,EOMONTH(BF$2,-1)+1,$C75:$F75)*VLOOKUP(BF$2,Valores!$H$2:$P$154,8,0)</f>
        <v>18610.2955535974</v>
      </c>
      <c r="BG75" s="27" t="n">
        <f aca="false">SUMIF($C$2:$F$2,EOMONTH(BG$2,-1)+1,$C75:$F75)*VLOOKUP(BG$2,Valores!$H$2:$P$154,8,0)</f>
        <v>18610.2955535974</v>
      </c>
      <c r="BH75" s="27" t="n">
        <f aca="false">SUMIF($C$2:$F$2,EOMONTH(BH$2,-1)+1,$C75:$F75)*VLOOKUP(BH$2,Valores!$H$2:$P$154,8,0)</f>
        <v>18610.2955535974</v>
      </c>
      <c r="BI75" s="27" t="n">
        <f aca="false">SUMIF($C$2:$F$2,EOMONTH(BI$2,-1)+1,$C75:$F75)*VLOOKUP(BI$2,Valores!$H$2:$P$154,8,0)</f>
        <v>37220.5911071947</v>
      </c>
      <c r="BJ75" s="27" t="n">
        <f aca="false">SUMIF($C$2:$F$2,EOMONTH(BJ$2,-1)+1,$C75:$F75)*VLOOKUP(BJ$2,Valores!$H$2:$P$154,8,0)</f>
        <v>46525.7388839934</v>
      </c>
      <c r="BK75" s="27" t="n">
        <f aca="false">SUMIF($C$2:$F$2,EOMONTH(BK$2,-1)+1,$C75:$F75)*VLOOKUP(BK$2,Valores!$H$2:$P$154,8,0)</f>
        <v>22332.3546643168</v>
      </c>
      <c r="BL75" s="27" t="n">
        <f aca="false">SUMIF($C$2:$F$2,EOMONTH(BL$2,-1)+1,$C75:$F75)*VLOOKUP(BL$2,Valores!$H$2:$P$154,8,0)</f>
        <v>16377.0600871657</v>
      </c>
      <c r="BM75" s="27" t="n">
        <f aca="false">SUMIF($C$2:$F$2,EOMONTH(BM$2,-1)+1,$C75:$F75)*VLOOKUP(BM$2,Valores!$H$2:$P$154,8,0)</f>
        <v>16377.0600871657</v>
      </c>
      <c r="BN75" s="27" t="n">
        <f aca="false">SUMIF($C$2:$F$2,EOMONTH(BN$2,-1)+1,$C75:$F75)*VLOOKUP(BN$2,Valores!$H$2:$P$154,8,0)</f>
        <v>16377.0600871657</v>
      </c>
      <c r="BO75" s="27" t="n">
        <f aca="false">SUMIF($C$2:$F$2,EOMONTH(BO$2,-1)+1,$C75:$F75)*VLOOKUP(BO$2,Valores!$H$2:$P$154,8,0)</f>
        <v>17195.913091524</v>
      </c>
      <c r="BP75" s="27" t="n">
        <f aca="false">SUMIF($C$2:$F$2,EOMONTH(BP$2,-1)+1,$C75:$F75)*VLOOKUP(BP$2,Valores!$H$2:$P$154,8,0)</f>
        <v>43274.3171959125</v>
      </c>
      <c r="BQ75" s="27" t="n">
        <f aca="false">SUMIF($C$2:$F$2,EOMONTH(BQ$2,-1)+1,$C75:$F75)*VLOOKUP(BQ$2,Valores!$H$2:$P$154,8,0)</f>
        <v>54092.8964948907</v>
      </c>
      <c r="BR75" s="27" t="n">
        <f aca="false">SUMIF($C$2:$F$2,EOMONTH(BR$2,-1)+1,$C75:$F75)*VLOOKUP(BR$2,Valores!$H$2:$P$154,8,0)</f>
        <v>25964.5903175475</v>
      </c>
      <c r="BS75" s="27" t="n">
        <f aca="false">SUMIF($C$2:$F$2,EOMONTH(BS$2,-1)+1,$C75:$F75)*VLOOKUP(BS$2,Valores!$H$2:$P$154,8,0)</f>
        <v>11591.3349631909</v>
      </c>
      <c r="BT75" s="27" t="n">
        <f aca="false">SUMIF($C$2:$F$2,EOMONTH(BT$2,-1)+1,$C75:$F75)*VLOOKUP(BT$2,Valores!$H$2:$P$154,8,0)</f>
        <v>11591.3349631909</v>
      </c>
      <c r="BU75" s="27" t="n">
        <f aca="false">SUMIF($C$2:$F$2,EOMONTH(BU$2,-1)+1,$C75:$F75)*VLOOKUP(BU$2,Valores!$H$2:$P$154,8,0)</f>
        <v>11591.3349631909</v>
      </c>
      <c r="BV75" s="27" t="n">
        <f aca="false">SUMIF($C$2:$F$2,EOMONTH(BV$2,-1)+1,$C75:$F75)*VLOOKUP(BV$2,Valores!$H$2:$P$154,8,0)</f>
        <v>11591.3349631909</v>
      </c>
      <c r="BW75" s="27" t="n">
        <f aca="false">SUMIF($C$2:$F$2,EOMONTH(BW$2,-1)+1,$C75:$F75)*VLOOKUP(BW$2,Valores!$H$2:$P$154,8,0)</f>
        <v>23182.6699263817</v>
      </c>
      <c r="BX75" s="27" t="n">
        <f aca="false">SUMIF($C$2:$F$2,EOMONTH(BX$2,-1)+1,$C75:$F75)*VLOOKUP(BX$2,Valores!$H$2:$P$154,8,0)</f>
        <v>28978.3374079771</v>
      </c>
      <c r="BY75" s="27" t="n">
        <f aca="false">SUMIF($C$2:$F$2,EOMONTH(BY$2,-1)+1,$C75:$F75)*VLOOKUP(BY$2,Valores!$H$2:$P$154,8,0)</f>
        <v>17387.0024447863</v>
      </c>
      <c r="BZ75" s="27" t="n">
        <f aca="false">SUMIF($C$2:$F$2,EOMONTH(BZ$2,-1)+1,$C75:$F75)*VLOOKUP(BZ$2,Valores!$H$2:$P$154,8,0)</f>
        <v>11591.3349631909</v>
      </c>
      <c r="CA75" s="27" t="n">
        <f aca="false">SUMIF($C$2:$F$2,EOMONTH(CA$2,-1)+1,$C75:$F75)*VLOOKUP(CA$2,Valores!$H$2:$P$154,8,0)</f>
        <v>11591.3349631909</v>
      </c>
      <c r="CB75" s="27" t="n">
        <f aca="false">SUMIF($C$2:$F$2,EOMONTH(CB$2,-1)+1,$C75:$F75)*VLOOKUP(CB$2,Valores!$H$2:$P$154,8,0)</f>
        <v>11591.3349631909</v>
      </c>
      <c r="CC75" s="27" t="n">
        <f aca="false">SUMIF($C$2:$F$2,EOMONTH(CC$2,-1)+1,$C75:$F75)*VLOOKUP(CC$2,Valores!$H$2:$P$154,8,0)</f>
        <v>11591.3349631909</v>
      </c>
      <c r="CD75" s="27" t="n">
        <f aca="false">SUMIF($C$2:$F$2,EOMONTH(CD$2,-1)+1,$C75:$F75)*VLOOKUP(CD$2,Valores!$H$2:$P$154,8,0)</f>
        <v>34774.0048895726</v>
      </c>
      <c r="CE75" s="27" t="n">
        <f aca="false">SUMIF($C$2:$F$2,EOMONTH(CE$2,-1)+1,$C75:$F75)*VLOOKUP(CE$2,Valores!$H$2:$P$154,8,0)</f>
        <v>46365.3398527634</v>
      </c>
      <c r="CF75" s="27" t="n">
        <f aca="false">SUMIF($C$2:$F$2,EOMONTH(CF$2,-1)+1,$C75:$F75)*VLOOKUP(CF$2,Valores!$H$2:$P$154,8,0)</f>
        <v>28978.3374079771</v>
      </c>
      <c r="CG75" s="27" t="n">
        <f aca="false">SUMIF($C$2:$F$2,EOMONTH(CG$2,-1)+1,$C75:$F75)*VLOOKUP(CG$2,Valores!$H$2:$P$154,8,0)</f>
        <v>15455.1132842545</v>
      </c>
      <c r="CH75" s="27" t="n">
        <f aca="false">SUMIF($C$2:$F$2,EOMONTH(CH$2,-1)+1,$C75:$F75)*VLOOKUP(CH$2,Valores!$H$2:$P$154,8,0)</f>
        <v>15455.1132842545</v>
      </c>
      <c r="CI75" s="27" t="n">
        <f aca="false">SUMIF($C$2:$F$2,EOMONTH(CI$2,-1)+1,$C75:$F75)*VLOOKUP(CI$2,Valores!$H$2:$P$154,8,0)</f>
        <v>15455.1132842545</v>
      </c>
      <c r="CJ75" s="27" t="n">
        <f aca="false">SUMIF($C$2:$F$2,EOMONTH(CJ$2,-1)+1,$C75:$F75)*VLOOKUP(CJ$2,Valores!$H$2:$P$154,8,0)</f>
        <v>15455.1132842545</v>
      </c>
      <c r="CK75" s="27" t="n">
        <f aca="false">SUMIF($C$2:$F$2,EOMONTH(CK$2,-1)+1,$C75:$F75)*VLOOKUP(CK$2,Valores!$H$2:$P$154,8,0)</f>
        <v>30910.2265685089</v>
      </c>
      <c r="CL75" s="27" t="n">
        <f aca="false">SUMIF($C$2:$F$2,EOMONTH(CL$2,-1)+1,$C75:$F75)*VLOOKUP(CL$2,Valores!$H$2:$P$154,8,0)</f>
        <v>38637.7832106362</v>
      </c>
      <c r="CM75" s="27" t="n">
        <f aca="false">SUMIF($C$2:$F$2,EOMONTH(CM$2,-1)+1,$C75:$F75)*VLOOKUP(CM$2,Valores!$H$2:$P$154,8,0)</f>
        <v>23182.6699263817</v>
      </c>
      <c r="CN75" s="27" t="n">
        <f aca="false">SUMIF($C$2:$F$2,EOMONTH(CN$2,-1)+1,$C75:$F75)*VLOOKUP(CN$2,Valores!$H$2:$P$154,8,0)</f>
        <v>17000.6246126799</v>
      </c>
      <c r="CO75" s="27" t="n">
        <f aca="false">SUMIF($C$2:$F$2,EOMONTH(CO$2,-1)+1,$C75:$F75)*VLOOKUP(CO$2,Valores!$H$2:$P$154,8,0)</f>
        <v>17000.6246126799</v>
      </c>
      <c r="CP75" s="27" t="n">
        <f aca="false">SUMIF($C$2:$F$2,EOMONTH(CP$2,-1)+1,$C75:$F75)*VLOOKUP(CP$2,Valores!$H$2:$P$154,8,0)</f>
        <v>17000.6246126799</v>
      </c>
      <c r="CQ75" s="27" t="n">
        <f aca="false">SUMIF($C$2:$F$2,EOMONTH(CQ$2,-1)+1,$C75:$F75)*VLOOKUP(CQ$2,Valores!$H$2:$P$154,8,0)</f>
        <v>17000.6246126799</v>
      </c>
      <c r="CR75" s="27" t="n">
        <f aca="false">SUMIF($C$2:$F$2,EOMONTH(CR$2,-1)+1,$C75:$F75)*VLOOKUP(CR$2,Valores!$H$2:$P$154,8,0)</f>
        <v>34001.2492253598</v>
      </c>
      <c r="CS75" s="27" t="n">
        <f aca="false">SUMIF($C$2:$F$2,EOMONTH(CS$2,-1)+1,$C75:$F75)*VLOOKUP(CS$2,Valores!$H$2:$P$154,8,0)</f>
        <v>51001.8738380398</v>
      </c>
      <c r="CT75" s="27" t="e">
        <f aca="false">SUMIF($C$2:$F$2,EOMONTH(CT$2,-1)+1,$C75:$F75)*VLOOKUP(CT$2,Valores!$H$2:$P$154,8,0)</f>
        <v>#VALUE!</v>
      </c>
      <c r="CU75" s="27" t="e">
        <f aca="false">SUMIF($C$2:$F$2,EOMONTH(CU$2,-1)+1,$C75:$F75)*VLOOKUP(CU$2,Valores!$H$2:$P$154,8,0)</f>
        <v>#VALUE!</v>
      </c>
      <c r="CV75" s="27" t="e">
        <f aca="false">SUMIF($C$2:$F$2,EOMONTH(CV$2,-1)+1,$C75:$F75)*VLOOKUP(CV$2,Valores!$H$2:$P$154,8,0)</f>
        <v>#VALUE!</v>
      </c>
      <c r="CW75" s="27" t="e">
        <f aca="false">SUMIF($C$2:$F$2,EOMONTH(CW$2,-1)+1,$C75:$F75)*VLOOKUP(CW$2,Valores!$H$2:$P$154,8,0)</f>
        <v>#VALUE!</v>
      </c>
      <c r="CX75" s="27" t="e">
        <f aca="false">SUMIF($C$2:$F$2,EOMONTH(CX$2,-1)+1,$C75:$F75)*VLOOKUP(CX$2,Valores!$H$2:$P$154,8,0)</f>
        <v>#VALUE!</v>
      </c>
      <c r="CY75" s="27" t="e">
        <f aca="false">SUMIF($C$2:$F$2,EOMONTH(CY$2,-1)+1,$C75:$F75)*VLOOKUP(CY$2,Valores!$H$2:$P$154,8,0)</f>
        <v>#VALUE!</v>
      </c>
      <c r="CZ75" s="27" t="e">
        <f aca="false">SUMIF($C$2:$F$2,EOMONTH(CZ$2,-1)+1,$C75:$F75)*VLOOKUP(CZ$2,Valores!$H$2:$P$154,8,0)</f>
        <v>#VALUE!</v>
      </c>
      <c r="DA75" s="27" t="e">
        <f aca="false">SUMIF($C$2:$F$2,EOMONTH(DA$2,-1)+1,$C75:$F75)*VLOOKUP(DA$2,Valores!$H$2:$P$154,8,0)</f>
        <v>#VALUE!</v>
      </c>
      <c r="DB75" s="27" t="e">
        <f aca="false">SUMIF($C$2:$F$2,EOMONTH(DB$2,-1)+1,$C75:$F75)*VLOOKUP(DB$2,Valores!$H$2:$P$154,8,0)</f>
        <v>#VALUE!</v>
      </c>
      <c r="DC75" s="27" t="e">
        <f aca="false">SUMIF($C$2:$F$2,EOMONTH(DC$2,-1)+1,$C75:$F75)*VLOOKUP(DC$2,Valores!$H$2:$P$154,8,0)</f>
        <v>#VALUE!</v>
      </c>
      <c r="DD75" s="27" t="e">
        <f aca="false">SUMIF($C$2:$F$2,EOMONTH(DD$2,-1)+1,$C75:$F75)*VLOOKUP(DD$2,Valores!$H$2:$P$154,8,0)</f>
        <v>#VALUE!</v>
      </c>
      <c r="DE75" s="27" t="e">
        <f aca="false">SUMIF($C$2:$F$2,EOMONTH(DE$2,-1)+1,$C75:$F75)*VLOOKUP(DE$2,Valores!$H$2:$P$154,8,0)</f>
        <v>#VALUE!</v>
      </c>
      <c r="DF75" s="27" t="e">
        <f aca="false">SUMIF($C$2:$F$2,EOMONTH(DF$2,-1)+1,$C75:$F75)*VLOOKUP(DF$2,Valores!$H$2:$P$154,8,0)</f>
        <v>#VALUE!</v>
      </c>
      <c r="DG75" s="27" t="e">
        <f aca="false">SUMIF($C$2:$F$2,EOMONTH(DG$2,-1)+1,$C75:$F75)*VLOOKUP(DG$2,Valores!$H$2:$P$154,8,0)</f>
        <v>#VALUE!</v>
      </c>
      <c r="DH75" s="27" t="e">
        <f aca="false">SUMIF($C$2:$F$2,EOMONTH(DH$2,-1)+1,$C75:$F75)*VLOOKUP(DH$2,Valores!$H$2:$P$154,8,0)</f>
        <v>#VALUE!</v>
      </c>
      <c r="DI75" s="27" t="e">
        <f aca="false">SUMIF($C$2:$F$2,EOMONTH(DI$2,-1)+1,$C75:$F75)*VLOOKUP(DI$2,Valores!$H$2:$P$154,8,0)</f>
        <v>#VALUE!</v>
      </c>
      <c r="DJ75" s="27" t="e">
        <f aca="false">SUMIF($C$2:$F$2,EOMONTH(DJ$2,-1)+1,$C75:$F75)*VLOOKUP(DJ$2,Valores!$H$2:$P$154,8,0)</f>
        <v>#VALUE!</v>
      </c>
      <c r="DK75" s="27" t="e">
        <f aca="false">SUMIF($C$2:$F$2,EOMONTH(DK$2,-1)+1,$C75:$F75)*VLOOKUP(DK$2,Valores!$H$2:$P$154,8,0)</f>
        <v>#VALUE!</v>
      </c>
      <c r="DL75" s="27" t="e">
        <f aca="false">SUMIF($C$2:$F$2,EOMONTH(DL$2,-1)+1,$C75:$F75)*VLOOKUP(DL$2,Valores!$H$2:$P$154,8,0)</f>
        <v>#VALUE!</v>
      </c>
      <c r="DM75" s="27" t="e">
        <f aca="false">SUMIF($C$2:$F$2,EOMONTH(DM$2,-1)+1,$C75:$F75)*VLOOKUP(DM$2,Valores!$H$2:$P$154,8,0)</f>
        <v>#VALUE!</v>
      </c>
      <c r="DN75" s="27" t="e">
        <f aca="false">SUMIF($C$2:$F$2,EOMONTH(DN$2,-1)+1,$C75:$F75)*VLOOKUP(DN$2,Valores!$H$2:$P$154,8,0)</f>
        <v>#VALUE!</v>
      </c>
      <c r="DO75" s="27" t="e">
        <f aca="false">SUMIF($C$2:$F$2,EOMONTH(DO$2,-1)+1,$C75:$F75)*VLOOKUP(DO$2,Valores!$H$2:$P$154,8,0)</f>
        <v>#VALUE!</v>
      </c>
      <c r="DP75" s="27" t="e">
        <f aca="false">SUMIF($C$2:$F$2,EOMONTH(DP$2,-1)+1,$C75:$F75)*VLOOKUP(DP$2,Valores!$H$2:$P$154,8,0)</f>
        <v>#VALUE!</v>
      </c>
      <c r="DQ75" s="27" t="e">
        <f aca="false">SUMIF($C$2:$F$2,EOMONTH(DQ$2,-1)+1,$C75:$F75)*VLOOKUP(DQ$2,Valores!$H$2:$P$154,8,0)</f>
        <v>#VALUE!</v>
      </c>
      <c r="DR75" s="27" t="e">
        <f aca="false">SUMIF($C$2:$F$2,EOMONTH(DR$2,-1)+1,$C75:$F75)*VLOOKUP(DR$2,Valores!$H$2:$P$154,8,0)</f>
        <v>#VALUE!</v>
      </c>
      <c r="DS75" s="27" t="e">
        <f aca="false">SUMIF($C$2:$F$2,EOMONTH(DS$2,-1)+1,$C75:$F75)*VLOOKUP(DS$2,Valores!$H$2:$P$154,8,0)</f>
        <v>#VALUE!</v>
      </c>
      <c r="DT75" s="27" t="e">
        <f aca="false">SUMIF($C$2:$F$2,EOMONTH(DT$2,-1)+1,$C75:$F75)*VLOOKUP(DT$2,Valores!$H$2:$P$154,8,0)</f>
        <v>#VALUE!</v>
      </c>
      <c r="DU75" s="27" t="e">
        <f aca="false">SUMIF($C$2:$F$2,EOMONTH(DU$2,-1)+1,$C75:$F75)*VLOOKUP(DU$2,Valores!$H$2:$P$154,8,0)</f>
        <v>#VALUE!</v>
      </c>
      <c r="DV75" s="27" t="e">
        <f aca="false">SUMIF($C$2:$F$2,EOMONTH(DV$2,-1)+1,$C75:$F75)*VLOOKUP(DV$2,Valores!$H$2:$P$154,8,0)</f>
        <v>#VALUE!</v>
      </c>
      <c r="DW75" s="27" t="e">
        <f aca="false">SUMIF($C$2:$F$2,EOMONTH(DW$2,-1)+1,$C75:$F75)*VLOOKUP(DW$2,Valores!$H$2:$P$154,8,0)</f>
        <v>#VALUE!</v>
      </c>
      <c r="DX75" s="27" t="e">
        <f aca="false">SUMIF($C$2:$F$2,EOMONTH(DX$2,-1)+1,$C75:$F75)*VLOOKUP(DX$2,Valores!$H$2:$P$154,8,0)</f>
        <v>#VALUE!</v>
      </c>
    </row>
    <row r="76" customFormat="false" ht="13.8" hidden="false" customHeight="false" outlineLevel="0" collapsed="false">
      <c r="A76" s="33" t="s">
        <v>91</v>
      </c>
      <c r="B76" s="29" t="s">
        <v>99</v>
      </c>
      <c r="C76" s="29" t="n">
        <v>838297</v>
      </c>
      <c r="D76" s="29" t="n">
        <v>754467.3</v>
      </c>
      <c r="E76" s="29" t="n">
        <v>679020.57</v>
      </c>
      <c r="F76" s="29" t="n">
        <v>611118.513</v>
      </c>
      <c r="G76" s="30" t="n">
        <f aca="false">SUMIF($C$2:$F$2,EOMONTH(G$2,-1)+1,$C76:$F76)*VLOOKUP(G$2,Valores!$H$2:$P$154,8,0)</f>
        <v>24140.5257528386</v>
      </c>
      <c r="H76" s="30" t="n">
        <f aca="false">SUMIF($C$2:$F$2,EOMONTH(H$2,-1)+1,$C76:$F76)*VLOOKUP(H$2,Valores!$H$2:$P$154,8,0)</f>
        <v>16553.503373375</v>
      </c>
      <c r="I76" s="30" t="n">
        <f aca="false">SUMIF($C$2:$F$2,EOMONTH(I$2,-1)+1,$C76:$F76)*VLOOKUP(I$2,Valores!$H$2:$P$154,8,0)</f>
        <v>16553.503373375</v>
      </c>
      <c r="J76" s="30" t="n">
        <f aca="false">SUMIF($C$2:$F$2,EOMONTH(J$2,-1)+1,$C76:$F76)*VLOOKUP(J$2,Valores!$H$2:$P$154,8,0)</f>
        <v>16553.503373375</v>
      </c>
      <c r="K76" s="30" t="n">
        <f aca="false">SUMIF($C$2:$F$2,EOMONTH(K$2,-1)+1,$C76:$F76)*VLOOKUP(K$2,Valores!$H$2:$P$154,8,0)</f>
        <v>16553.503373375</v>
      </c>
      <c r="L76" s="30" t="n">
        <f aca="false">SUMIF($C$2:$F$2,EOMONTH(L$2,-1)+1,$C76:$F76)*VLOOKUP(L$2,Valores!$H$2:$P$154,8,0)</f>
        <v>33107.00674675</v>
      </c>
      <c r="M76" s="30" t="n">
        <f aca="false">SUMIF($C$2:$F$2,EOMONTH(M$2,-1)+1,$C76:$F76)*VLOOKUP(M$2,Valores!$H$2:$P$154,8,0)</f>
        <v>41383.7584334375</v>
      </c>
      <c r="N76" s="30" t="n">
        <f aca="false">SUMIF($C$2:$F$2,EOMONTH(N$2,-1)+1,$C76:$F76)*VLOOKUP(N$2,Valores!$H$2:$P$154,8,0)</f>
        <v>24830.2550600625</v>
      </c>
      <c r="O76" s="30" t="n">
        <f aca="false">SUMIF($C$2:$F$2,EOMONTH(O$2,-1)+1,$C76:$F76)*VLOOKUP(O$2,Valores!$H$2:$P$154,8,0)</f>
        <v>22071.3378311667</v>
      </c>
      <c r="P76" s="30" t="n">
        <f aca="false">SUMIF($C$2:$F$2,EOMONTH(P$2,-1)+1,$C76:$F76)*VLOOKUP(P$2,Valores!$H$2:$P$154,8,0)</f>
        <v>22071.3378311667</v>
      </c>
      <c r="Q76" s="30" t="n">
        <f aca="false">SUMIF($C$2:$F$2,EOMONTH(Q$2,-1)+1,$C76:$F76)*VLOOKUP(Q$2,Valores!$H$2:$P$154,8,0)</f>
        <v>13242.8026987</v>
      </c>
      <c r="R76" s="30" t="n">
        <f aca="false">SUMIF($C$2:$F$2,EOMONTH(R$2,-1)+1,$C76:$F76)*VLOOKUP(R$2,Valores!$H$2:$P$154,8,0)</f>
        <v>22071.3378311667</v>
      </c>
      <c r="S76" s="30" t="n">
        <f aca="false">SUMIF($C$2:$F$2,EOMONTH(S$2,-1)+1,$C76:$F76)*VLOOKUP(S$2,Valores!$H$2:$P$154,8,0)</f>
        <v>44142.6756623334</v>
      </c>
      <c r="T76" s="30" t="n">
        <f aca="false">SUMIF($C$2:$F$2,EOMONTH(T$2,-1)+1,$C76:$F76)*VLOOKUP(T$2,Valores!$H$2:$P$154,8,0)</f>
        <v>55178.3445779167</v>
      </c>
      <c r="U76" s="30" t="n">
        <f aca="false">SUMIF($C$2:$F$2,EOMONTH(U$2,-1)+1,$C76:$F76)*VLOOKUP(U$2,Valores!$H$2:$P$154,8,0)</f>
        <v>33107.00674675</v>
      </c>
      <c r="V76" s="30" t="n">
        <f aca="false">SUMIF($C$2:$F$2,EOMONTH(V$2,-1)+1,$C76:$F76)*VLOOKUP(V$2,Valores!$H$2:$P$154,8,0)</f>
        <v>27589.1722889584</v>
      </c>
      <c r="W76" s="30" t="n">
        <f aca="false">SUMIF($C$2:$F$2,EOMONTH(W$2,-1)+1,$C76:$F76)*VLOOKUP(W$2,Valores!$H$2:$P$154,8,0)</f>
        <v>27589.1722889584</v>
      </c>
      <c r="X76" s="30" t="n">
        <f aca="false">SUMIF($C$2:$F$2,EOMONTH(X$2,-1)+1,$C76:$F76)*VLOOKUP(X$2,Valores!$H$2:$P$154,8,0)</f>
        <v>0</v>
      </c>
      <c r="Y76" s="30" t="n">
        <f aca="false">SUMIF($C$2:$F$2,EOMONTH(Y$2,-1)+1,$C76:$F76)*VLOOKUP(Y$2,Valores!$H$2:$P$154,8,0)</f>
        <v>0</v>
      </c>
      <c r="Z76" s="30" t="n">
        <f aca="false">SUMIF($C$2:$F$2,EOMONTH(Z$2,-1)+1,$C76:$F76)*VLOOKUP(Z$2,Valores!$H$2:$P$154,8,0)</f>
        <v>41383.7584334375</v>
      </c>
      <c r="AA76" s="30" t="n">
        <f aca="false">SUMIF($C$2:$F$2,EOMONTH(AA$2,-1)+1,$C76:$F76)*VLOOKUP(AA$2,Valores!$H$2:$P$154,8,0)</f>
        <v>49660.510120125</v>
      </c>
      <c r="AB76" s="30" t="n">
        <f aca="false">SUMIF($C$2:$F$2,EOMONTH(AB$2,-1)+1,$C76:$F76)*VLOOKUP(AB$2,Valores!$H$2:$P$154,8,0)</f>
        <v>24830.2550600625</v>
      </c>
      <c r="AC76" s="30" t="n">
        <f aca="false">SUMIF($C$2:$F$2,EOMONTH(AC$2,-1)+1,$C76:$F76)*VLOOKUP(AC$2,Valores!$H$2:$P$154,8,0)</f>
        <v>30348.0895178542</v>
      </c>
      <c r="AD76" s="30" t="n">
        <f aca="false">SUMIF($C$2:$F$2,EOMONTH(AD$2,-1)+1,$C76:$F76)*VLOOKUP(AD$2,Valores!$H$2:$P$154,8,0)</f>
        <v>30348.0895178542</v>
      </c>
      <c r="AE76" s="30" t="n">
        <f aca="false">SUMIF($C$2:$F$2,EOMONTH(AE$2,-1)+1,$C76:$F76)*VLOOKUP(AE$2,Valores!$H$2:$P$154,8,0)</f>
        <v>30348.0895178542</v>
      </c>
      <c r="AF76" s="30" t="n">
        <f aca="false">SUMIF($C$2:$F$2,EOMONTH(AF$2,-1)+1,$C76:$F76)*VLOOKUP(AF$2,Valores!$H$2:$P$154,8,0)</f>
        <v>30348.0895178542</v>
      </c>
      <c r="AG76" s="30" t="n">
        <f aca="false">SUMIF($C$2:$F$2,EOMONTH(AG$2,-1)+1,$C76:$F76)*VLOOKUP(AG$2,Valores!$H$2:$P$154,8,0)</f>
        <v>48556.9432285667</v>
      </c>
      <c r="AH76" s="30" t="n">
        <f aca="false">SUMIF($C$2:$F$2,EOMONTH(AH$2,-1)+1,$C76:$F76)*VLOOKUP(AH$2,Valores!$H$2:$P$154,8,0)</f>
        <v>60696.1790357084</v>
      </c>
      <c r="AI76" s="30" t="n">
        <f aca="false">SUMIF($C$2:$F$2,EOMONTH(AI$2,-1)+1,$C76:$F76)*VLOOKUP(AI$2,Valores!$H$2:$P$154,8,0)</f>
        <v>21243.6626624979</v>
      </c>
      <c r="AJ76" s="30" t="n">
        <f aca="false">SUMIF($C$2:$F$2,EOMONTH(AJ$2,-1)+1,$C76:$F76)*VLOOKUP(AJ$2,Valores!$H$2:$P$154,8,0)</f>
        <v>13794.5861444792</v>
      </c>
      <c r="AK76" s="30" t="n">
        <f aca="false">SUMIF($C$2:$F$2,EOMONTH(AK$2,-1)+1,$C76:$F76)*VLOOKUP(AK$2,Valores!$H$2:$P$154,8,0)</f>
        <v>25155.4983448046</v>
      </c>
      <c r="AL76" s="30" t="n">
        <f aca="false">SUMIF($C$2:$F$2,EOMONTH(AL$2,-1)+1,$C76:$F76)*VLOOKUP(AL$2,Valores!$H$2:$P$154,8,0)</f>
        <v>25155.4983448046</v>
      </c>
      <c r="AM76" s="30" t="n">
        <f aca="false">SUMIF($C$2:$F$2,EOMONTH(AM$2,-1)+1,$C76:$F76)*VLOOKUP(AM$2,Valores!$H$2:$P$154,8,0)</f>
        <v>25155.4983448046</v>
      </c>
      <c r="AN76" s="30" t="n">
        <f aca="false">SUMIF($C$2:$F$2,EOMONTH(AN$2,-1)+1,$C76:$F76)*VLOOKUP(AN$2,Valores!$H$2:$P$154,8,0)</f>
        <v>50310.9966896092</v>
      </c>
      <c r="AO76" s="30" t="n">
        <f aca="false">SUMIF($C$2:$F$2,EOMONTH(AO$2,-1)+1,$C76:$F76)*VLOOKUP(AO$2,Valores!$H$2:$P$154,8,0)</f>
        <v>62888.7458620115</v>
      </c>
      <c r="AP76" s="30" t="n">
        <f aca="false">SUMIF($C$2:$F$2,EOMONTH(AP$2,-1)+1,$C76:$F76)*VLOOKUP(AP$2,Valores!$H$2:$P$154,8,0)</f>
        <v>37733.2475172069</v>
      </c>
      <c r="AQ76" s="30" t="n">
        <f aca="false">SUMIF($C$2:$F$2,EOMONTH(AQ$2,-1)+1,$C76:$F76)*VLOOKUP(AQ$2,Valores!$H$2:$P$154,8,0)</f>
        <v>13476.1598275739</v>
      </c>
      <c r="AR76" s="30" t="n">
        <f aca="false">SUMIF($C$2:$F$2,EOMONTH(AR$2,-1)+1,$C76:$F76)*VLOOKUP(AR$2,Valores!$H$2:$P$154,8,0)</f>
        <v>13476.1598275739</v>
      </c>
      <c r="AS76" s="30" t="n">
        <f aca="false">SUMIF($C$2:$F$2,EOMONTH(AS$2,-1)+1,$C76:$F76)*VLOOKUP(AS$2,Valores!$H$2:$P$154,8,0)</f>
        <v>13476.1598275739</v>
      </c>
      <c r="AT76" s="30" t="n">
        <f aca="false">SUMIF($C$2:$F$2,EOMONTH(AT$2,-1)+1,$C76:$F76)*VLOOKUP(AT$2,Valores!$H$2:$P$154,8,0)</f>
        <v>13476.1598275739</v>
      </c>
      <c r="AU76" s="30" t="n">
        <f aca="false">SUMIF($C$2:$F$2,EOMONTH(AU$2,-1)+1,$C76:$F76)*VLOOKUP(AU$2,Valores!$H$2:$P$154,8,0)</f>
        <v>26952.3196551478</v>
      </c>
      <c r="AV76" s="30" t="n">
        <f aca="false">SUMIF($C$2:$F$2,EOMONTH(AV$2,-1)+1,$C76:$F76)*VLOOKUP(AV$2,Valores!$H$2:$P$154,8,0)</f>
        <v>33690.3995689347</v>
      </c>
      <c r="AW76" s="30" t="n">
        <f aca="false">SUMIF($C$2:$F$2,EOMONTH(AW$2,-1)+1,$C76:$F76)*VLOOKUP(AW$2,Valores!$H$2:$P$154,8,0)</f>
        <v>20214.2397413608</v>
      </c>
      <c r="AX76" s="30" t="n">
        <f aca="false">SUMIF($C$2:$F$2,EOMONTH(AX$2,-1)+1,$C76:$F76)*VLOOKUP(AX$2,Valores!$H$2:$P$154,8,0)</f>
        <v>13476.1598275739</v>
      </c>
      <c r="AY76" s="30" t="n">
        <f aca="false">SUMIF($C$2:$F$2,EOMONTH(AY$2,-1)+1,$C76:$F76)*VLOOKUP(AY$2,Valores!$H$2:$P$154,8,0)</f>
        <v>17519.0077758461</v>
      </c>
      <c r="AZ76" s="30" t="n">
        <f aca="false">SUMIF($C$2:$F$2,EOMONTH(AZ$2,-1)+1,$C76:$F76)*VLOOKUP(AZ$2,Valores!$H$2:$P$154,8,0)</f>
        <v>17519.0077758461</v>
      </c>
      <c r="BA76" s="30" t="n">
        <f aca="false">SUMIF($C$2:$F$2,EOMONTH(BA$2,-1)+1,$C76:$F76)*VLOOKUP(BA$2,Valores!$H$2:$P$154,8,0)</f>
        <v>17519.0077758461</v>
      </c>
      <c r="BB76" s="30" t="n">
        <f aca="false">SUMIF($C$2:$F$2,EOMONTH(BB$2,-1)+1,$C76:$F76)*VLOOKUP(BB$2,Valores!$H$2:$P$154,8,0)</f>
        <v>30995.1676034199</v>
      </c>
      <c r="BC76" s="30" t="n">
        <f aca="false">SUMIF($C$2:$F$2,EOMONTH(BC$2,-1)+1,$C76:$F76)*VLOOKUP(BC$2,Valores!$H$2:$P$154,8,0)</f>
        <v>37733.2475172069</v>
      </c>
      <c r="BD76" s="30" t="n">
        <f aca="false">SUMIF($C$2:$F$2,EOMONTH(BD$2,-1)+1,$C76:$F76)*VLOOKUP(BD$2,Valores!$H$2:$P$154,8,0)</f>
        <v>20214.2397413608</v>
      </c>
      <c r="BE76" s="30" t="n">
        <f aca="false">SUMIF($C$2:$F$2,EOMONTH(BE$2,-1)+1,$C76:$F76)*VLOOKUP(BE$2,Valores!$H$2:$P$154,8,0)</f>
        <v>17968.2131034319</v>
      </c>
      <c r="BF76" s="30" t="n">
        <f aca="false">SUMIF($C$2:$F$2,EOMONTH(BF$2,-1)+1,$C76:$F76)*VLOOKUP(BF$2,Valores!$H$2:$P$154,8,0)</f>
        <v>17968.2131034319</v>
      </c>
      <c r="BG76" s="30" t="n">
        <f aca="false">SUMIF($C$2:$F$2,EOMONTH(BG$2,-1)+1,$C76:$F76)*VLOOKUP(BG$2,Valores!$H$2:$P$154,8,0)</f>
        <v>17968.2131034319</v>
      </c>
      <c r="BH76" s="30" t="n">
        <f aca="false">SUMIF($C$2:$F$2,EOMONTH(BH$2,-1)+1,$C76:$F76)*VLOOKUP(BH$2,Valores!$H$2:$P$154,8,0)</f>
        <v>17968.2131034319</v>
      </c>
      <c r="BI76" s="30" t="n">
        <f aca="false">SUMIF($C$2:$F$2,EOMONTH(BI$2,-1)+1,$C76:$F76)*VLOOKUP(BI$2,Valores!$H$2:$P$154,8,0)</f>
        <v>35936.4262068637</v>
      </c>
      <c r="BJ76" s="30" t="n">
        <f aca="false">SUMIF($C$2:$F$2,EOMONTH(BJ$2,-1)+1,$C76:$F76)*VLOOKUP(BJ$2,Valores!$H$2:$P$154,8,0)</f>
        <v>44920.5327585796</v>
      </c>
      <c r="BK76" s="30" t="n">
        <f aca="false">SUMIF($C$2:$F$2,EOMONTH(BK$2,-1)+1,$C76:$F76)*VLOOKUP(BK$2,Valores!$H$2:$P$154,8,0)</f>
        <v>21561.8557241182</v>
      </c>
      <c r="BL76" s="30" t="n">
        <f aca="false">SUMIF($C$2:$F$2,EOMONTH(BL$2,-1)+1,$C76:$F76)*VLOOKUP(BL$2,Valores!$H$2:$P$154,8,0)</f>
        <v>15812.02753102</v>
      </c>
      <c r="BM76" s="30" t="n">
        <f aca="false">SUMIF($C$2:$F$2,EOMONTH(BM$2,-1)+1,$C76:$F76)*VLOOKUP(BM$2,Valores!$H$2:$P$154,8,0)</f>
        <v>15812.02753102</v>
      </c>
      <c r="BN76" s="30" t="n">
        <f aca="false">SUMIF($C$2:$F$2,EOMONTH(BN$2,-1)+1,$C76:$F76)*VLOOKUP(BN$2,Valores!$H$2:$P$154,8,0)</f>
        <v>15812.02753102</v>
      </c>
      <c r="BO76" s="30" t="n">
        <f aca="false">SUMIF($C$2:$F$2,EOMONTH(BO$2,-1)+1,$C76:$F76)*VLOOKUP(BO$2,Valores!$H$2:$P$154,8,0)</f>
        <v>16602.628907571</v>
      </c>
      <c r="BP76" s="30" t="n">
        <f aca="false">SUMIF($C$2:$F$2,EOMONTH(BP$2,-1)+1,$C76:$F76)*VLOOKUP(BP$2,Valores!$H$2:$P$154,8,0)</f>
        <v>41781.2898802329</v>
      </c>
      <c r="BQ76" s="30" t="n">
        <f aca="false">SUMIF($C$2:$F$2,EOMONTH(BQ$2,-1)+1,$C76:$F76)*VLOOKUP(BQ$2,Valores!$H$2:$P$154,8,0)</f>
        <v>52226.6123502912</v>
      </c>
      <c r="BR76" s="30" t="n">
        <f aca="false">SUMIF($C$2:$F$2,EOMONTH(BR$2,-1)+1,$C76:$F76)*VLOOKUP(BR$2,Valores!$H$2:$P$154,8,0)</f>
        <v>25068.7739281398</v>
      </c>
      <c r="BS76" s="30" t="n">
        <f aca="false">SUMIF($C$2:$F$2,EOMONTH(BS$2,-1)+1,$C76:$F76)*VLOOKUP(BS$2,Valores!$H$2:$P$154,8,0)</f>
        <v>11191.4169322052</v>
      </c>
      <c r="BT76" s="30" t="n">
        <f aca="false">SUMIF($C$2:$F$2,EOMONTH(BT$2,-1)+1,$C76:$F76)*VLOOKUP(BT$2,Valores!$H$2:$P$154,8,0)</f>
        <v>11191.4169322052</v>
      </c>
      <c r="BU76" s="30" t="n">
        <f aca="false">SUMIF($C$2:$F$2,EOMONTH(BU$2,-1)+1,$C76:$F76)*VLOOKUP(BU$2,Valores!$H$2:$P$154,8,0)</f>
        <v>11191.4169322052</v>
      </c>
      <c r="BV76" s="30" t="n">
        <f aca="false">SUMIF($C$2:$F$2,EOMONTH(BV$2,-1)+1,$C76:$F76)*VLOOKUP(BV$2,Valores!$H$2:$P$154,8,0)</f>
        <v>11191.4169322052</v>
      </c>
      <c r="BW76" s="30" t="n">
        <f aca="false">SUMIF($C$2:$F$2,EOMONTH(BW$2,-1)+1,$C76:$F76)*VLOOKUP(BW$2,Valores!$H$2:$P$154,8,0)</f>
        <v>22382.8338644105</v>
      </c>
      <c r="BX76" s="30" t="n">
        <f aca="false">SUMIF($C$2:$F$2,EOMONTH(BX$2,-1)+1,$C76:$F76)*VLOOKUP(BX$2,Valores!$H$2:$P$154,8,0)</f>
        <v>27978.5423305131</v>
      </c>
      <c r="BY76" s="30" t="n">
        <f aca="false">SUMIF($C$2:$F$2,EOMONTH(BY$2,-1)+1,$C76:$F76)*VLOOKUP(BY$2,Valores!$H$2:$P$154,8,0)</f>
        <v>16787.1253983079</v>
      </c>
      <c r="BZ76" s="30" t="n">
        <f aca="false">SUMIF($C$2:$F$2,EOMONTH(BZ$2,-1)+1,$C76:$F76)*VLOOKUP(BZ$2,Valores!$H$2:$P$154,8,0)</f>
        <v>11191.4169322052</v>
      </c>
      <c r="CA76" s="30" t="n">
        <f aca="false">SUMIF($C$2:$F$2,EOMONTH(CA$2,-1)+1,$C76:$F76)*VLOOKUP(CA$2,Valores!$H$2:$P$154,8,0)</f>
        <v>11191.4169322052</v>
      </c>
      <c r="CB76" s="30" t="n">
        <f aca="false">SUMIF($C$2:$F$2,EOMONTH(CB$2,-1)+1,$C76:$F76)*VLOOKUP(CB$2,Valores!$H$2:$P$154,8,0)</f>
        <v>11191.4169322052</v>
      </c>
      <c r="CC76" s="30" t="n">
        <f aca="false">SUMIF($C$2:$F$2,EOMONTH(CC$2,-1)+1,$C76:$F76)*VLOOKUP(CC$2,Valores!$H$2:$P$154,8,0)</f>
        <v>11191.4169322052</v>
      </c>
      <c r="CD76" s="30" t="n">
        <f aca="false">SUMIF($C$2:$F$2,EOMONTH(CD$2,-1)+1,$C76:$F76)*VLOOKUP(CD$2,Valores!$H$2:$P$154,8,0)</f>
        <v>33574.2507966157</v>
      </c>
      <c r="CE76" s="30" t="n">
        <f aca="false">SUMIF($C$2:$F$2,EOMONTH(CE$2,-1)+1,$C76:$F76)*VLOOKUP(CE$2,Valores!$H$2:$P$154,8,0)</f>
        <v>44765.667728821</v>
      </c>
      <c r="CF76" s="30" t="n">
        <f aca="false">SUMIF($C$2:$F$2,EOMONTH(CF$2,-1)+1,$C76:$F76)*VLOOKUP(CF$2,Valores!$H$2:$P$154,8,0)</f>
        <v>27978.5423305131</v>
      </c>
      <c r="CG76" s="30" t="n">
        <f aca="false">SUMIF($C$2:$F$2,EOMONTH(CG$2,-1)+1,$C76:$F76)*VLOOKUP(CG$2,Valores!$H$2:$P$154,8,0)</f>
        <v>14921.8892429403</v>
      </c>
      <c r="CH76" s="30" t="n">
        <f aca="false">SUMIF($C$2:$F$2,EOMONTH(CH$2,-1)+1,$C76:$F76)*VLOOKUP(CH$2,Valores!$H$2:$P$154,8,0)</f>
        <v>14921.8892429403</v>
      </c>
      <c r="CI76" s="30" t="n">
        <f aca="false">SUMIF($C$2:$F$2,EOMONTH(CI$2,-1)+1,$C76:$F76)*VLOOKUP(CI$2,Valores!$H$2:$P$154,8,0)</f>
        <v>14921.8892429403</v>
      </c>
      <c r="CJ76" s="30" t="n">
        <f aca="false">SUMIF($C$2:$F$2,EOMONTH(CJ$2,-1)+1,$C76:$F76)*VLOOKUP(CJ$2,Valores!$H$2:$P$154,8,0)</f>
        <v>14921.8892429403</v>
      </c>
      <c r="CK76" s="30" t="n">
        <f aca="false">SUMIF($C$2:$F$2,EOMONTH(CK$2,-1)+1,$C76:$F76)*VLOOKUP(CK$2,Valores!$H$2:$P$154,8,0)</f>
        <v>29843.7784858807</v>
      </c>
      <c r="CL76" s="30" t="n">
        <f aca="false">SUMIF($C$2:$F$2,EOMONTH(CL$2,-1)+1,$C76:$F76)*VLOOKUP(CL$2,Valores!$H$2:$P$154,8,0)</f>
        <v>37304.7231073508</v>
      </c>
      <c r="CM76" s="30" t="n">
        <f aca="false">SUMIF($C$2:$F$2,EOMONTH(CM$2,-1)+1,$C76:$F76)*VLOOKUP(CM$2,Valores!$H$2:$P$154,8,0)</f>
        <v>22382.8338644105</v>
      </c>
      <c r="CN76" s="30" t="n">
        <f aca="false">SUMIF($C$2:$F$2,EOMONTH(CN$2,-1)+1,$C76:$F76)*VLOOKUP(CN$2,Valores!$H$2:$P$154,8,0)</f>
        <v>16414.0781672344</v>
      </c>
      <c r="CO76" s="30" t="n">
        <f aca="false">SUMIF($C$2:$F$2,EOMONTH(CO$2,-1)+1,$C76:$F76)*VLOOKUP(CO$2,Valores!$H$2:$P$154,8,0)</f>
        <v>16414.0781672344</v>
      </c>
      <c r="CP76" s="30" t="n">
        <f aca="false">SUMIF($C$2:$F$2,EOMONTH(CP$2,-1)+1,$C76:$F76)*VLOOKUP(CP$2,Valores!$H$2:$P$154,8,0)</f>
        <v>16414.0781672344</v>
      </c>
      <c r="CQ76" s="30" t="n">
        <f aca="false">SUMIF($C$2:$F$2,EOMONTH(CQ$2,-1)+1,$C76:$F76)*VLOOKUP(CQ$2,Valores!$H$2:$P$154,8,0)</f>
        <v>16414.0781672344</v>
      </c>
      <c r="CR76" s="30" t="n">
        <f aca="false">SUMIF($C$2:$F$2,EOMONTH(CR$2,-1)+1,$C76:$F76)*VLOOKUP(CR$2,Valores!$H$2:$P$154,8,0)</f>
        <v>32828.1563344687</v>
      </c>
      <c r="CS76" s="30" t="n">
        <f aca="false">SUMIF($C$2:$F$2,EOMONTH(CS$2,-1)+1,$C76:$F76)*VLOOKUP(CS$2,Valores!$H$2:$P$154,8,0)</f>
        <v>49242.2345017031</v>
      </c>
      <c r="CT76" s="30" t="e">
        <f aca="false">SUMIF($C$2:$F$2,EOMONTH(CT$2,-1)+1,$C76:$F76)*VLOOKUP(CT$2,Valores!$H$2:$P$154,8,0)</f>
        <v>#VALUE!</v>
      </c>
      <c r="CU76" s="30" t="e">
        <f aca="false">SUMIF($C$2:$F$2,EOMONTH(CU$2,-1)+1,$C76:$F76)*VLOOKUP(CU$2,Valores!$H$2:$P$154,8,0)</f>
        <v>#VALUE!</v>
      </c>
      <c r="CV76" s="30" t="e">
        <f aca="false">SUMIF($C$2:$F$2,EOMONTH(CV$2,-1)+1,$C76:$F76)*VLOOKUP(CV$2,Valores!$H$2:$P$154,8,0)</f>
        <v>#VALUE!</v>
      </c>
      <c r="CW76" s="30" t="e">
        <f aca="false">SUMIF($C$2:$F$2,EOMONTH(CW$2,-1)+1,$C76:$F76)*VLOOKUP(CW$2,Valores!$H$2:$P$154,8,0)</f>
        <v>#VALUE!</v>
      </c>
      <c r="CX76" s="30" t="e">
        <f aca="false">SUMIF($C$2:$F$2,EOMONTH(CX$2,-1)+1,$C76:$F76)*VLOOKUP(CX$2,Valores!$H$2:$P$154,8,0)</f>
        <v>#VALUE!</v>
      </c>
      <c r="CY76" s="30" t="e">
        <f aca="false">SUMIF($C$2:$F$2,EOMONTH(CY$2,-1)+1,$C76:$F76)*VLOOKUP(CY$2,Valores!$H$2:$P$154,8,0)</f>
        <v>#VALUE!</v>
      </c>
      <c r="CZ76" s="30" t="e">
        <f aca="false">SUMIF($C$2:$F$2,EOMONTH(CZ$2,-1)+1,$C76:$F76)*VLOOKUP(CZ$2,Valores!$H$2:$P$154,8,0)</f>
        <v>#VALUE!</v>
      </c>
      <c r="DA76" s="30" t="e">
        <f aca="false">SUMIF($C$2:$F$2,EOMONTH(DA$2,-1)+1,$C76:$F76)*VLOOKUP(DA$2,Valores!$H$2:$P$154,8,0)</f>
        <v>#VALUE!</v>
      </c>
      <c r="DB76" s="30" t="e">
        <f aca="false">SUMIF($C$2:$F$2,EOMONTH(DB$2,-1)+1,$C76:$F76)*VLOOKUP(DB$2,Valores!$H$2:$P$154,8,0)</f>
        <v>#VALUE!</v>
      </c>
      <c r="DC76" s="30" t="e">
        <f aca="false">SUMIF($C$2:$F$2,EOMONTH(DC$2,-1)+1,$C76:$F76)*VLOOKUP(DC$2,Valores!$H$2:$P$154,8,0)</f>
        <v>#VALUE!</v>
      </c>
      <c r="DD76" s="30" t="e">
        <f aca="false">SUMIF($C$2:$F$2,EOMONTH(DD$2,-1)+1,$C76:$F76)*VLOOKUP(DD$2,Valores!$H$2:$P$154,8,0)</f>
        <v>#VALUE!</v>
      </c>
      <c r="DE76" s="30" t="e">
        <f aca="false">SUMIF($C$2:$F$2,EOMONTH(DE$2,-1)+1,$C76:$F76)*VLOOKUP(DE$2,Valores!$H$2:$P$154,8,0)</f>
        <v>#VALUE!</v>
      </c>
      <c r="DF76" s="30" t="e">
        <f aca="false">SUMIF($C$2:$F$2,EOMONTH(DF$2,-1)+1,$C76:$F76)*VLOOKUP(DF$2,Valores!$H$2:$P$154,8,0)</f>
        <v>#VALUE!</v>
      </c>
      <c r="DG76" s="30" t="e">
        <f aca="false">SUMIF($C$2:$F$2,EOMONTH(DG$2,-1)+1,$C76:$F76)*VLOOKUP(DG$2,Valores!$H$2:$P$154,8,0)</f>
        <v>#VALUE!</v>
      </c>
      <c r="DH76" s="30" t="e">
        <f aca="false">SUMIF($C$2:$F$2,EOMONTH(DH$2,-1)+1,$C76:$F76)*VLOOKUP(DH$2,Valores!$H$2:$P$154,8,0)</f>
        <v>#VALUE!</v>
      </c>
      <c r="DI76" s="30" t="e">
        <f aca="false">SUMIF($C$2:$F$2,EOMONTH(DI$2,-1)+1,$C76:$F76)*VLOOKUP(DI$2,Valores!$H$2:$P$154,8,0)</f>
        <v>#VALUE!</v>
      </c>
      <c r="DJ76" s="30" t="e">
        <f aca="false">SUMIF($C$2:$F$2,EOMONTH(DJ$2,-1)+1,$C76:$F76)*VLOOKUP(DJ$2,Valores!$H$2:$P$154,8,0)</f>
        <v>#VALUE!</v>
      </c>
      <c r="DK76" s="30" t="e">
        <f aca="false">SUMIF($C$2:$F$2,EOMONTH(DK$2,-1)+1,$C76:$F76)*VLOOKUP(DK$2,Valores!$H$2:$P$154,8,0)</f>
        <v>#VALUE!</v>
      </c>
      <c r="DL76" s="30" t="e">
        <f aca="false">SUMIF($C$2:$F$2,EOMONTH(DL$2,-1)+1,$C76:$F76)*VLOOKUP(DL$2,Valores!$H$2:$P$154,8,0)</f>
        <v>#VALUE!</v>
      </c>
      <c r="DM76" s="30" t="e">
        <f aca="false">SUMIF($C$2:$F$2,EOMONTH(DM$2,-1)+1,$C76:$F76)*VLOOKUP(DM$2,Valores!$H$2:$P$154,8,0)</f>
        <v>#VALUE!</v>
      </c>
      <c r="DN76" s="30" t="e">
        <f aca="false">SUMIF($C$2:$F$2,EOMONTH(DN$2,-1)+1,$C76:$F76)*VLOOKUP(DN$2,Valores!$H$2:$P$154,8,0)</f>
        <v>#VALUE!</v>
      </c>
      <c r="DO76" s="30" t="e">
        <f aca="false">SUMIF($C$2:$F$2,EOMONTH(DO$2,-1)+1,$C76:$F76)*VLOOKUP(DO$2,Valores!$H$2:$P$154,8,0)</f>
        <v>#VALUE!</v>
      </c>
      <c r="DP76" s="30" t="e">
        <f aca="false">SUMIF($C$2:$F$2,EOMONTH(DP$2,-1)+1,$C76:$F76)*VLOOKUP(DP$2,Valores!$H$2:$P$154,8,0)</f>
        <v>#VALUE!</v>
      </c>
      <c r="DQ76" s="30" t="e">
        <f aca="false">SUMIF($C$2:$F$2,EOMONTH(DQ$2,-1)+1,$C76:$F76)*VLOOKUP(DQ$2,Valores!$H$2:$P$154,8,0)</f>
        <v>#VALUE!</v>
      </c>
      <c r="DR76" s="30" t="e">
        <f aca="false">SUMIF($C$2:$F$2,EOMONTH(DR$2,-1)+1,$C76:$F76)*VLOOKUP(DR$2,Valores!$H$2:$P$154,8,0)</f>
        <v>#VALUE!</v>
      </c>
      <c r="DS76" s="30" t="e">
        <f aca="false">SUMIF($C$2:$F$2,EOMONTH(DS$2,-1)+1,$C76:$F76)*VLOOKUP(DS$2,Valores!$H$2:$P$154,8,0)</f>
        <v>#VALUE!</v>
      </c>
      <c r="DT76" s="30" t="e">
        <f aca="false">SUMIF($C$2:$F$2,EOMONTH(DT$2,-1)+1,$C76:$F76)*VLOOKUP(DT$2,Valores!$H$2:$P$154,8,0)</f>
        <v>#VALUE!</v>
      </c>
      <c r="DU76" s="30" t="e">
        <f aca="false">SUMIF($C$2:$F$2,EOMONTH(DU$2,-1)+1,$C76:$F76)*VLOOKUP(DU$2,Valores!$H$2:$P$154,8,0)</f>
        <v>#VALUE!</v>
      </c>
      <c r="DV76" s="30" t="e">
        <f aca="false">SUMIF($C$2:$F$2,EOMONTH(DV$2,-1)+1,$C76:$F76)*VLOOKUP(DV$2,Valores!$H$2:$P$154,8,0)</f>
        <v>#VALUE!</v>
      </c>
      <c r="DW76" s="30" t="e">
        <f aca="false">SUMIF($C$2:$F$2,EOMONTH(DW$2,-1)+1,$C76:$F76)*VLOOKUP(DW$2,Valores!$H$2:$P$154,8,0)</f>
        <v>#VALUE!</v>
      </c>
      <c r="DX76" s="30" t="e">
        <f aca="false">SUMIF($C$2:$F$2,EOMONTH(DX$2,-1)+1,$C76:$F76)*VLOOKUP(DX$2,Valores!$H$2:$P$154,8,0)</f>
        <v>#VALUE!</v>
      </c>
    </row>
    <row r="77" customFormat="false" ht="13.8" hidden="false" customHeight="false" outlineLevel="0" collapsed="false">
      <c r="A77" s="32" t="s">
        <v>91</v>
      </c>
      <c r="B77" s="31" t="s">
        <v>100</v>
      </c>
      <c r="C77" s="31" t="n">
        <v>833311</v>
      </c>
      <c r="D77" s="31" t="n">
        <v>749979.9</v>
      </c>
      <c r="E77" s="31" t="n">
        <v>674981.91</v>
      </c>
      <c r="F77" s="31" t="n">
        <v>607483.719</v>
      </c>
      <c r="G77" s="27" t="n">
        <f aca="false">SUMIF($C$2:$F$2,EOMONTH(G$2,-1)+1,$C77:$F77)*VLOOKUP(G$2,Valores!$H$2:$P$154,8,0)</f>
        <v>23996.9433931216</v>
      </c>
      <c r="H77" s="27" t="n">
        <f aca="false">SUMIF($C$2:$F$2,EOMONTH(H$2,-1)+1,$C77:$F77)*VLOOKUP(H$2,Valores!$H$2:$P$154,8,0)</f>
        <v>16455.0468981405</v>
      </c>
      <c r="I77" s="27" t="n">
        <f aca="false">SUMIF($C$2:$F$2,EOMONTH(I$2,-1)+1,$C77:$F77)*VLOOKUP(I$2,Valores!$H$2:$P$154,8,0)</f>
        <v>16455.0468981405</v>
      </c>
      <c r="J77" s="27" t="n">
        <f aca="false">SUMIF($C$2:$F$2,EOMONTH(J$2,-1)+1,$C77:$F77)*VLOOKUP(J$2,Valores!$H$2:$P$154,8,0)</f>
        <v>16455.0468981405</v>
      </c>
      <c r="K77" s="27" t="n">
        <f aca="false">SUMIF($C$2:$F$2,EOMONTH(K$2,-1)+1,$C77:$F77)*VLOOKUP(K$2,Valores!$H$2:$P$154,8,0)</f>
        <v>16455.0468981405</v>
      </c>
      <c r="L77" s="27" t="n">
        <f aca="false">SUMIF($C$2:$F$2,EOMONTH(L$2,-1)+1,$C77:$F77)*VLOOKUP(L$2,Valores!$H$2:$P$154,8,0)</f>
        <v>32910.0937962811</v>
      </c>
      <c r="M77" s="27" t="n">
        <f aca="false">SUMIF($C$2:$F$2,EOMONTH(M$2,-1)+1,$C77:$F77)*VLOOKUP(M$2,Valores!$H$2:$P$154,8,0)</f>
        <v>41137.6172453513</v>
      </c>
      <c r="N77" s="27" t="n">
        <f aca="false">SUMIF($C$2:$F$2,EOMONTH(N$2,-1)+1,$C77:$F77)*VLOOKUP(N$2,Valores!$H$2:$P$154,8,0)</f>
        <v>24682.5703472108</v>
      </c>
      <c r="O77" s="27" t="n">
        <f aca="false">SUMIF($C$2:$F$2,EOMONTH(O$2,-1)+1,$C77:$F77)*VLOOKUP(O$2,Valores!$H$2:$P$154,8,0)</f>
        <v>21940.062530854</v>
      </c>
      <c r="P77" s="27" t="n">
        <f aca="false">SUMIF($C$2:$F$2,EOMONTH(P$2,-1)+1,$C77:$F77)*VLOOKUP(P$2,Valores!$H$2:$P$154,8,0)</f>
        <v>21940.062530854</v>
      </c>
      <c r="Q77" s="27" t="n">
        <f aca="false">SUMIF($C$2:$F$2,EOMONTH(Q$2,-1)+1,$C77:$F77)*VLOOKUP(Q$2,Valores!$H$2:$P$154,8,0)</f>
        <v>13164.0375185124</v>
      </c>
      <c r="R77" s="27" t="n">
        <f aca="false">SUMIF($C$2:$F$2,EOMONTH(R$2,-1)+1,$C77:$F77)*VLOOKUP(R$2,Valores!$H$2:$P$154,8,0)</f>
        <v>21940.062530854</v>
      </c>
      <c r="S77" s="27" t="n">
        <f aca="false">SUMIF($C$2:$F$2,EOMONTH(S$2,-1)+1,$C77:$F77)*VLOOKUP(S$2,Valores!$H$2:$P$154,8,0)</f>
        <v>43880.1250617081</v>
      </c>
      <c r="T77" s="27" t="n">
        <f aca="false">SUMIF($C$2:$F$2,EOMONTH(T$2,-1)+1,$C77:$F77)*VLOOKUP(T$2,Valores!$H$2:$P$154,8,0)</f>
        <v>54850.1563271351</v>
      </c>
      <c r="U77" s="27" t="n">
        <f aca="false">SUMIF($C$2:$F$2,EOMONTH(U$2,-1)+1,$C77:$F77)*VLOOKUP(U$2,Valores!$H$2:$P$154,8,0)</f>
        <v>32910.0937962811</v>
      </c>
      <c r="V77" s="27" t="n">
        <f aca="false">SUMIF($C$2:$F$2,EOMONTH(V$2,-1)+1,$C77:$F77)*VLOOKUP(V$2,Valores!$H$2:$P$154,8,0)</f>
        <v>27425.0781635675</v>
      </c>
      <c r="W77" s="27" t="n">
        <f aca="false">SUMIF($C$2:$F$2,EOMONTH(W$2,-1)+1,$C77:$F77)*VLOOKUP(W$2,Valores!$H$2:$P$154,8,0)</f>
        <v>27425.0781635675</v>
      </c>
      <c r="X77" s="27" t="n">
        <f aca="false">SUMIF($C$2:$F$2,EOMONTH(X$2,-1)+1,$C77:$F77)*VLOOKUP(X$2,Valores!$H$2:$P$154,8,0)</f>
        <v>0</v>
      </c>
      <c r="Y77" s="27" t="n">
        <f aca="false">SUMIF($C$2:$F$2,EOMONTH(Y$2,-1)+1,$C77:$F77)*VLOOKUP(Y$2,Valores!$H$2:$P$154,8,0)</f>
        <v>0</v>
      </c>
      <c r="Z77" s="27" t="n">
        <f aca="false">SUMIF($C$2:$F$2,EOMONTH(Z$2,-1)+1,$C77:$F77)*VLOOKUP(Z$2,Valores!$H$2:$P$154,8,0)</f>
        <v>41137.6172453513</v>
      </c>
      <c r="AA77" s="27" t="n">
        <f aca="false">SUMIF($C$2:$F$2,EOMONTH(AA$2,-1)+1,$C77:$F77)*VLOOKUP(AA$2,Valores!$H$2:$P$154,8,0)</f>
        <v>49365.1406944216</v>
      </c>
      <c r="AB77" s="27" t="n">
        <f aca="false">SUMIF($C$2:$F$2,EOMONTH(AB$2,-1)+1,$C77:$F77)*VLOOKUP(AB$2,Valores!$H$2:$P$154,8,0)</f>
        <v>24682.5703472108</v>
      </c>
      <c r="AC77" s="27" t="n">
        <f aca="false">SUMIF($C$2:$F$2,EOMONTH(AC$2,-1)+1,$C77:$F77)*VLOOKUP(AC$2,Valores!$H$2:$P$154,8,0)</f>
        <v>30167.5859799243</v>
      </c>
      <c r="AD77" s="27" t="n">
        <f aca="false">SUMIF($C$2:$F$2,EOMONTH(AD$2,-1)+1,$C77:$F77)*VLOOKUP(AD$2,Valores!$H$2:$P$154,8,0)</f>
        <v>30167.5859799243</v>
      </c>
      <c r="AE77" s="27" t="n">
        <f aca="false">SUMIF($C$2:$F$2,EOMONTH(AE$2,-1)+1,$C77:$F77)*VLOOKUP(AE$2,Valores!$H$2:$P$154,8,0)</f>
        <v>30167.5859799243</v>
      </c>
      <c r="AF77" s="27" t="n">
        <f aca="false">SUMIF($C$2:$F$2,EOMONTH(AF$2,-1)+1,$C77:$F77)*VLOOKUP(AF$2,Valores!$H$2:$P$154,8,0)</f>
        <v>30167.5859799243</v>
      </c>
      <c r="AG77" s="27" t="n">
        <f aca="false">SUMIF($C$2:$F$2,EOMONTH(AG$2,-1)+1,$C77:$F77)*VLOOKUP(AG$2,Valores!$H$2:$P$154,8,0)</f>
        <v>48268.1375678789</v>
      </c>
      <c r="AH77" s="27" t="n">
        <f aca="false">SUMIF($C$2:$F$2,EOMONTH(AH$2,-1)+1,$C77:$F77)*VLOOKUP(AH$2,Valores!$H$2:$P$154,8,0)</f>
        <v>60335.1719598486</v>
      </c>
      <c r="AI77" s="27" t="n">
        <f aca="false">SUMIF($C$2:$F$2,EOMONTH(AI$2,-1)+1,$C77:$F77)*VLOOKUP(AI$2,Valores!$H$2:$P$154,8,0)</f>
        <v>21117.310185947</v>
      </c>
      <c r="AJ77" s="27" t="n">
        <f aca="false">SUMIF($C$2:$F$2,EOMONTH(AJ$2,-1)+1,$C77:$F77)*VLOOKUP(AJ$2,Valores!$H$2:$P$154,8,0)</f>
        <v>13712.5390817838</v>
      </c>
      <c r="AK77" s="27" t="n">
        <f aca="false">SUMIF($C$2:$F$2,EOMONTH(AK$2,-1)+1,$C77:$F77)*VLOOKUP(AK$2,Valores!$H$2:$P$154,8,0)</f>
        <v>25005.8791588273</v>
      </c>
      <c r="AL77" s="27" t="n">
        <f aca="false">SUMIF($C$2:$F$2,EOMONTH(AL$2,-1)+1,$C77:$F77)*VLOOKUP(AL$2,Valores!$H$2:$P$154,8,0)</f>
        <v>25005.8791588273</v>
      </c>
      <c r="AM77" s="27" t="n">
        <f aca="false">SUMIF($C$2:$F$2,EOMONTH(AM$2,-1)+1,$C77:$F77)*VLOOKUP(AM$2,Valores!$H$2:$P$154,8,0)</f>
        <v>25005.8791588273</v>
      </c>
      <c r="AN77" s="27" t="n">
        <f aca="false">SUMIF($C$2:$F$2,EOMONTH(AN$2,-1)+1,$C77:$F77)*VLOOKUP(AN$2,Valores!$H$2:$P$154,8,0)</f>
        <v>50011.7583176546</v>
      </c>
      <c r="AO77" s="27" t="n">
        <f aca="false">SUMIF($C$2:$F$2,EOMONTH(AO$2,-1)+1,$C77:$F77)*VLOOKUP(AO$2,Valores!$H$2:$P$154,8,0)</f>
        <v>62514.6978970683</v>
      </c>
      <c r="AP77" s="27" t="n">
        <f aca="false">SUMIF($C$2:$F$2,EOMONTH(AP$2,-1)+1,$C77:$F77)*VLOOKUP(AP$2,Valores!$H$2:$P$154,8,0)</f>
        <v>37508.818738241</v>
      </c>
      <c r="AQ77" s="27" t="n">
        <f aca="false">SUMIF($C$2:$F$2,EOMONTH(AQ$2,-1)+1,$C77:$F77)*VLOOKUP(AQ$2,Valores!$H$2:$P$154,8,0)</f>
        <v>13396.0066922289</v>
      </c>
      <c r="AR77" s="27" t="n">
        <f aca="false">SUMIF($C$2:$F$2,EOMONTH(AR$2,-1)+1,$C77:$F77)*VLOOKUP(AR$2,Valores!$H$2:$P$154,8,0)</f>
        <v>13396.0066922289</v>
      </c>
      <c r="AS77" s="27" t="n">
        <f aca="false">SUMIF($C$2:$F$2,EOMONTH(AS$2,-1)+1,$C77:$F77)*VLOOKUP(AS$2,Valores!$H$2:$P$154,8,0)</f>
        <v>13396.0066922289</v>
      </c>
      <c r="AT77" s="27" t="n">
        <f aca="false">SUMIF($C$2:$F$2,EOMONTH(AT$2,-1)+1,$C77:$F77)*VLOOKUP(AT$2,Valores!$H$2:$P$154,8,0)</f>
        <v>13396.0066922289</v>
      </c>
      <c r="AU77" s="27" t="n">
        <f aca="false">SUMIF($C$2:$F$2,EOMONTH(AU$2,-1)+1,$C77:$F77)*VLOOKUP(AU$2,Valores!$H$2:$P$154,8,0)</f>
        <v>26792.0133844578</v>
      </c>
      <c r="AV77" s="27" t="n">
        <f aca="false">SUMIF($C$2:$F$2,EOMONTH(AV$2,-1)+1,$C77:$F77)*VLOOKUP(AV$2,Valores!$H$2:$P$154,8,0)</f>
        <v>33490.0167305723</v>
      </c>
      <c r="AW77" s="27" t="n">
        <f aca="false">SUMIF($C$2:$F$2,EOMONTH(AW$2,-1)+1,$C77:$F77)*VLOOKUP(AW$2,Valores!$H$2:$P$154,8,0)</f>
        <v>20094.0100383434</v>
      </c>
      <c r="AX77" s="27" t="n">
        <f aca="false">SUMIF($C$2:$F$2,EOMONTH(AX$2,-1)+1,$C77:$F77)*VLOOKUP(AX$2,Valores!$H$2:$P$154,8,0)</f>
        <v>13396.0066922289</v>
      </c>
      <c r="AY77" s="27" t="n">
        <f aca="false">SUMIF($C$2:$F$2,EOMONTH(AY$2,-1)+1,$C77:$F77)*VLOOKUP(AY$2,Valores!$H$2:$P$154,8,0)</f>
        <v>17414.8086998976</v>
      </c>
      <c r="AZ77" s="27" t="n">
        <f aca="false">SUMIF($C$2:$F$2,EOMONTH(AZ$2,-1)+1,$C77:$F77)*VLOOKUP(AZ$2,Valores!$H$2:$P$154,8,0)</f>
        <v>17414.8086998976</v>
      </c>
      <c r="BA77" s="27" t="n">
        <f aca="false">SUMIF($C$2:$F$2,EOMONTH(BA$2,-1)+1,$C77:$F77)*VLOOKUP(BA$2,Valores!$H$2:$P$154,8,0)</f>
        <v>17414.8086998976</v>
      </c>
      <c r="BB77" s="27" t="n">
        <f aca="false">SUMIF($C$2:$F$2,EOMONTH(BB$2,-1)+1,$C77:$F77)*VLOOKUP(BB$2,Valores!$H$2:$P$154,8,0)</f>
        <v>30810.8153921265</v>
      </c>
      <c r="BC77" s="27" t="n">
        <f aca="false">SUMIF($C$2:$F$2,EOMONTH(BC$2,-1)+1,$C77:$F77)*VLOOKUP(BC$2,Valores!$H$2:$P$154,8,0)</f>
        <v>37508.818738241</v>
      </c>
      <c r="BD77" s="27" t="n">
        <f aca="false">SUMIF($C$2:$F$2,EOMONTH(BD$2,-1)+1,$C77:$F77)*VLOOKUP(BD$2,Valores!$H$2:$P$154,8,0)</f>
        <v>20094.0100383434</v>
      </c>
      <c r="BE77" s="27" t="n">
        <f aca="false">SUMIF($C$2:$F$2,EOMONTH(BE$2,-1)+1,$C77:$F77)*VLOOKUP(BE$2,Valores!$H$2:$P$154,8,0)</f>
        <v>17861.3422563052</v>
      </c>
      <c r="BF77" s="27" t="n">
        <f aca="false">SUMIF($C$2:$F$2,EOMONTH(BF$2,-1)+1,$C77:$F77)*VLOOKUP(BF$2,Valores!$H$2:$P$154,8,0)</f>
        <v>17861.3422563052</v>
      </c>
      <c r="BG77" s="27" t="n">
        <f aca="false">SUMIF($C$2:$F$2,EOMONTH(BG$2,-1)+1,$C77:$F77)*VLOOKUP(BG$2,Valores!$H$2:$P$154,8,0)</f>
        <v>17861.3422563052</v>
      </c>
      <c r="BH77" s="27" t="n">
        <f aca="false">SUMIF($C$2:$F$2,EOMONTH(BH$2,-1)+1,$C77:$F77)*VLOOKUP(BH$2,Valores!$H$2:$P$154,8,0)</f>
        <v>17861.3422563052</v>
      </c>
      <c r="BI77" s="27" t="n">
        <f aca="false">SUMIF($C$2:$F$2,EOMONTH(BI$2,-1)+1,$C77:$F77)*VLOOKUP(BI$2,Valores!$H$2:$P$154,8,0)</f>
        <v>35722.6845126104</v>
      </c>
      <c r="BJ77" s="27" t="n">
        <f aca="false">SUMIF($C$2:$F$2,EOMONTH(BJ$2,-1)+1,$C77:$F77)*VLOOKUP(BJ$2,Valores!$H$2:$P$154,8,0)</f>
        <v>44653.355640763</v>
      </c>
      <c r="BK77" s="27" t="n">
        <f aca="false">SUMIF($C$2:$F$2,EOMONTH(BK$2,-1)+1,$C77:$F77)*VLOOKUP(BK$2,Valores!$H$2:$P$154,8,0)</f>
        <v>21433.6107075663</v>
      </c>
      <c r="BL77" s="27" t="n">
        <f aca="false">SUMIF($C$2:$F$2,EOMONTH(BL$2,-1)+1,$C77:$F77)*VLOOKUP(BL$2,Valores!$H$2:$P$154,8,0)</f>
        <v>15717.9811855486</v>
      </c>
      <c r="BM77" s="27" t="n">
        <f aca="false">SUMIF($C$2:$F$2,EOMONTH(BM$2,-1)+1,$C77:$F77)*VLOOKUP(BM$2,Valores!$H$2:$P$154,8,0)</f>
        <v>15717.9811855486</v>
      </c>
      <c r="BN77" s="27" t="n">
        <f aca="false">SUMIF($C$2:$F$2,EOMONTH(BN$2,-1)+1,$C77:$F77)*VLOOKUP(BN$2,Valores!$H$2:$P$154,8,0)</f>
        <v>15717.9811855486</v>
      </c>
      <c r="BO77" s="27" t="n">
        <f aca="false">SUMIF($C$2:$F$2,EOMONTH(BO$2,-1)+1,$C77:$F77)*VLOOKUP(BO$2,Valores!$H$2:$P$154,8,0)</f>
        <v>16503.880244826</v>
      </c>
      <c r="BP77" s="27" t="n">
        <f aca="false">SUMIF($C$2:$F$2,EOMONTH(BP$2,-1)+1,$C77:$F77)*VLOOKUP(BP$2,Valores!$H$2:$P$154,8,0)</f>
        <v>41532.7842654653</v>
      </c>
      <c r="BQ77" s="27" t="n">
        <f aca="false">SUMIF($C$2:$F$2,EOMONTH(BQ$2,-1)+1,$C77:$F77)*VLOOKUP(BQ$2,Valores!$H$2:$P$154,8,0)</f>
        <v>51915.9803318317</v>
      </c>
      <c r="BR77" s="27" t="n">
        <f aca="false">SUMIF($C$2:$F$2,EOMONTH(BR$2,-1)+1,$C77:$F77)*VLOOKUP(BR$2,Valores!$H$2:$P$154,8,0)</f>
        <v>24919.6705592792</v>
      </c>
      <c r="BS77" s="27" t="n">
        <f aca="false">SUMIF($C$2:$F$2,EOMONTH(BS$2,-1)+1,$C77:$F77)*VLOOKUP(BS$2,Valores!$H$2:$P$154,8,0)</f>
        <v>11124.8529282496</v>
      </c>
      <c r="BT77" s="27" t="n">
        <f aca="false">SUMIF($C$2:$F$2,EOMONTH(BT$2,-1)+1,$C77:$F77)*VLOOKUP(BT$2,Valores!$H$2:$P$154,8,0)</f>
        <v>11124.8529282496</v>
      </c>
      <c r="BU77" s="27" t="n">
        <f aca="false">SUMIF($C$2:$F$2,EOMONTH(BU$2,-1)+1,$C77:$F77)*VLOOKUP(BU$2,Valores!$H$2:$P$154,8,0)</f>
        <v>11124.8529282496</v>
      </c>
      <c r="BV77" s="27" t="n">
        <f aca="false">SUMIF($C$2:$F$2,EOMONTH(BV$2,-1)+1,$C77:$F77)*VLOOKUP(BV$2,Valores!$H$2:$P$154,8,0)</f>
        <v>11124.8529282496</v>
      </c>
      <c r="BW77" s="27" t="n">
        <f aca="false">SUMIF($C$2:$F$2,EOMONTH(BW$2,-1)+1,$C77:$F77)*VLOOKUP(BW$2,Valores!$H$2:$P$154,8,0)</f>
        <v>22249.7058564993</v>
      </c>
      <c r="BX77" s="27" t="n">
        <f aca="false">SUMIF($C$2:$F$2,EOMONTH(BX$2,-1)+1,$C77:$F77)*VLOOKUP(BX$2,Valores!$H$2:$P$154,8,0)</f>
        <v>27812.1323206241</v>
      </c>
      <c r="BY77" s="27" t="n">
        <f aca="false">SUMIF($C$2:$F$2,EOMONTH(BY$2,-1)+1,$C77:$F77)*VLOOKUP(BY$2,Valores!$H$2:$P$154,8,0)</f>
        <v>16687.2793923745</v>
      </c>
      <c r="BZ77" s="27" t="n">
        <f aca="false">SUMIF($C$2:$F$2,EOMONTH(BZ$2,-1)+1,$C77:$F77)*VLOOKUP(BZ$2,Valores!$H$2:$P$154,8,0)</f>
        <v>11124.8529282496</v>
      </c>
      <c r="CA77" s="27" t="n">
        <f aca="false">SUMIF($C$2:$F$2,EOMONTH(CA$2,-1)+1,$C77:$F77)*VLOOKUP(CA$2,Valores!$H$2:$P$154,8,0)</f>
        <v>11124.8529282496</v>
      </c>
      <c r="CB77" s="27" t="n">
        <f aca="false">SUMIF($C$2:$F$2,EOMONTH(CB$2,-1)+1,$C77:$F77)*VLOOKUP(CB$2,Valores!$H$2:$P$154,8,0)</f>
        <v>11124.8529282496</v>
      </c>
      <c r="CC77" s="27" t="n">
        <f aca="false">SUMIF($C$2:$F$2,EOMONTH(CC$2,-1)+1,$C77:$F77)*VLOOKUP(CC$2,Valores!$H$2:$P$154,8,0)</f>
        <v>11124.8529282496</v>
      </c>
      <c r="CD77" s="27" t="n">
        <f aca="false">SUMIF($C$2:$F$2,EOMONTH(CD$2,-1)+1,$C77:$F77)*VLOOKUP(CD$2,Valores!$H$2:$P$154,8,0)</f>
        <v>33374.5587847489</v>
      </c>
      <c r="CE77" s="27" t="n">
        <f aca="false">SUMIF($C$2:$F$2,EOMONTH(CE$2,-1)+1,$C77:$F77)*VLOOKUP(CE$2,Valores!$H$2:$P$154,8,0)</f>
        <v>44499.4117129986</v>
      </c>
      <c r="CF77" s="27" t="n">
        <f aca="false">SUMIF($C$2:$F$2,EOMONTH(CF$2,-1)+1,$C77:$F77)*VLOOKUP(CF$2,Valores!$H$2:$P$154,8,0)</f>
        <v>27812.1323206241</v>
      </c>
      <c r="CG77" s="27" t="n">
        <f aca="false">SUMIF($C$2:$F$2,EOMONTH(CG$2,-1)+1,$C77:$F77)*VLOOKUP(CG$2,Valores!$H$2:$P$154,8,0)</f>
        <v>14833.1372376662</v>
      </c>
      <c r="CH77" s="27" t="n">
        <f aca="false">SUMIF($C$2:$F$2,EOMONTH(CH$2,-1)+1,$C77:$F77)*VLOOKUP(CH$2,Valores!$H$2:$P$154,8,0)</f>
        <v>14833.1372376662</v>
      </c>
      <c r="CI77" s="27" t="n">
        <f aca="false">SUMIF($C$2:$F$2,EOMONTH(CI$2,-1)+1,$C77:$F77)*VLOOKUP(CI$2,Valores!$H$2:$P$154,8,0)</f>
        <v>14833.1372376662</v>
      </c>
      <c r="CJ77" s="27" t="n">
        <f aca="false">SUMIF($C$2:$F$2,EOMONTH(CJ$2,-1)+1,$C77:$F77)*VLOOKUP(CJ$2,Valores!$H$2:$P$154,8,0)</f>
        <v>14833.1372376662</v>
      </c>
      <c r="CK77" s="27" t="n">
        <f aca="false">SUMIF($C$2:$F$2,EOMONTH(CK$2,-1)+1,$C77:$F77)*VLOOKUP(CK$2,Valores!$H$2:$P$154,8,0)</f>
        <v>29666.2744753324</v>
      </c>
      <c r="CL77" s="27" t="n">
        <f aca="false">SUMIF($C$2:$F$2,EOMONTH(CL$2,-1)+1,$C77:$F77)*VLOOKUP(CL$2,Valores!$H$2:$P$154,8,0)</f>
        <v>37082.8430941655</v>
      </c>
      <c r="CM77" s="27" t="n">
        <f aca="false">SUMIF($C$2:$F$2,EOMONTH(CM$2,-1)+1,$C77:$F77)*VLOOKUP(CM$2,Valores!$H$2:$P$154,8,0)</f>
        <v>22249.7058564993</v>
      </c>
      <c r="CN77" s="27" t="n">
        <f aca="false">SUMIF($C$2:$F$2,EOMONTH(CN$2,-1)+1,$C77:$F77)*VLOOKUP(CN$2,Valores!$H$2:$P$154,8,0)</f>
        <v>16316.4509614328</v>
      </c>
      <c r="CO77" s="27" t="n">
        <f aca="false">SUMIF($C$2:$F$2,EOMONTH(CO$2,-1)+1,$C77:$F77)*VLOOKUP(CO$2,Valores!$H$2:$P$154,8,0)</f>
        <v>16316.4509614328</v>
      </c>
      <c r="CP77" s="27" t="n">
        <f aca="false">SUMIF($C$2:$F$2,EOMONTH(CP$2,-1)+1,$C77:$F77)*VLOOKUP(CP$2,Valores!$H$2:$P$154,8,0)</f>
        <v>16316.4509614328</v>
      </c>
      <c r="CQ77" s="27" t="n">
        <f aca="false">SUMIF($C$2:$F$2,EOMONTH(CQ$2,-1)+1,$C77:$F77)*VLOOKUP(CQ$2,Valores!$H$2:$P$154,8,0)</f>
        <v>16316.4509614328</v>
      </c>
      <c r="CR77" s="27" t="n">
        <f aca="false">SUMIF($C$2:$F$2,EOMONTH(CR$2,-1)+1,$C77:$F77)*VLOOKUP(CR$2,Valores!$H$2:$P$154,8,0)</f>
        <v>32632.9019228656</v>
      </c>
      <c r="CS77" s="27" t="n">
        <f aca="false">SUMIF($C$2:$F$2,EOMONTH(CS$2,-1)+1,$C77:$F77)*VLOOKUP(CS$2,Valores!$H$2:$P$154,8,0)</f>
        <v>48949.3528842984</v>
      </c>
      <c r="CT77" s="27" t="e">
        <f aca="false">SUMIF($C$2:$F$2,EOMONTH(CT$2,-1)+1,$C77:$F77)*VLOOKUP(CT$2,Valores!$H$2:$P$154,8,0)</f>
        <v>#VALUE!</v>
      </c>
      <c r="CU77" s="27" t="e">
        <f aca="false">SUMIF($C$2:$F$2,EOMONTH(CU$2,-1)+1,$C77:$F77)*VLOOKUP(CU$2,Valores!$H$2:$P$154,8,0)</f>
        <v>#VALUE!</v>
      </c>
      <c r="CV77" s="27" t="e">
        <f aca="false">SUMIF($C$2:$F$2,EOMONTH(CV$2,-1)+1,$C77:$F77)*VLOOKUP(CV$2,Valores!$H$2:$P$154,8,0)</f>
        <v>#VALUE!</v>
      </c>
      <c r="CW77" s="27" t="e">
        <f aca="false">SUMIF($C$2:$F$2,EOMONTH(CW$2,-1)+1,$C77:$F77)*VLOOKUP(CW$2,Valores!$H$2:$P$154,8,0)</f>
        <v>#VALUE!</v>
      </c>
      <c r="CX77" s="27" t="e">
        <f aca="false">SUMIF($C$2:$F$2,EOMONTH(CX$2,-1)+1,$C77:$F77)*VLOOKUP(CX$2,Valores!$H$2:$P$154,8,0)</f>
        <v>#VALUE!</v>
      </c>
      <c r="CY77" s="27" t="e">
        <f aca="false">SUMIF($C$2:$F$2,EOMONTH(CY$2,-1)+1,$C77:$F77)*VLOOKUP(CY$2,Valores!$H$2:$P$154,8,0)</f>
        <v>#VALUE!</v>
      </c>
      <c r="CZ77" s="27" t="e">
        <f aca="false">SUMIF($C$2:$F$2,EOMONTH(CZ$2,-1)+1,$C77:$F77)*VLOOKUP(CZ$2,Valores!$H$2:$P$154,8,0)</f>
        <v>#VALUE!</v>
      </c>
      <c r="DA77" s="27" t="e">
        <f aca="false">SUMIF($C$2:$F$2,EOMONTH(DA$2,-1)+1,$C77:$F77)*VLOOKUP(DA$2,Valores!$H$2:$P$154,8,0)</f>
        <v>#VALUE!</v>
      </c>
      <c r="DB77" s="27" t="e">
        <f aca="false">SUMIF($C$2:$F$2,EOMONTH(DB$2,-1)+1,$C77:$F77)*VLOOKUP(DB$2,Valores!$H$2:$P$154,8,0)</f>
        <v>#VALUE!</v>
      </c>
      <c r="DC77" s="27" t="e">
        <f aca="false">SUMIF($C$2:$F$2,EOMONTH(DC$2,-1)+1,$C77:$F77)*VLOOKUP(DC$2,Valores!$H$2:$P$154,8,0)</f>
        <v>#VALUE!</v>
      </c>
      <c r="DD77" s="27" t="e">
        <f aca="false">SUMIF($C$2:$F$2,EOMONTH(DD$2,-1)+1,$C77:$F77)*VLOOKUP(DD$2,Valores!$H$2:$P$154,8,0)</f>
        <v>#VALUE!</v>
      </c>
      <c r="DE77" s="27" t="e">
        <f aca="false">SUMIF($C$2:$F$2,EOMONTH(DE$2,-1)+1,$C77:$F77)*VLOOKUP(DE$2,Valores!$H$2:$P$154,8,0)</f>
        <v>#VALUE!</v>
      </c>
      <c r="DF77" s="27" t="e">
        <f aca="false">SUMIF($C$2:$F$2,EOMONTH(DF$2,-1)+1,$C77:$F77)*VLOOKUP(DF$2,Valores!$H$2:$P$154,8,0)</f>
        <v>#VALUE!</v>
      </c>
      <c r="DG77" s="27" t="e">
        <f aca="false">SUMIF($C$2:$F$2,EOMONTH(DG$2,-1)+1,$C77:$F77)*VLOOKUP(DG$2,Valores!$H$2:$P$154,8,0)</f>
        <v>#VALUE!</v>
      </c>
      <c r="DH77" s="27" t="e">
        <f aca="false">SUMIF($C$2:$F$2,EOMONTH(DH$2,-1)+1,$C77:$F77)*VLOOKUP(DH$2,Valores!$H$2:$P$154,8,0)</f>
        <v>#VALUE!</v>
      </c>
      <c r="DI77" s="27" t="e">
        <f aca="false">SUMIF($C$2:$F$2,EOMONTH(DI$2,-1)+1,$C77:$F77)*VLOOKUP(DI$2,Valores!$H$2:$P$154,8,0)</f>
        <v>#VALUE!</v>
      </c>
      <c r="DJ77" s="27" t="e">
        <f aca="false">SUMIF($C$2:$F$2,EOMONTH(DJ$2,-1)+1,$C77:$F77)*VLOOKUP(DJ$2,Valores!$H$2:$P$154,8,0)</f>
        <v>#VALUE!</v>
      </c>
      <c r="DK77" s="27" t="e">
        <f aca="false">SUMIF($C$2:$F$2,EOMONTH(DK$2,-1)+1,$C77:$F77)*VLOOKUP(DK$2,Valores!$H$2:$P$154,8,0)</f>
        <v>#VALUE!</v>
      </c>
      <c r="DL77" s="27" t="e">
        <f aca="false">SUMIF($C$2:$F$2,EOMONTH(DL$2,-1)+1,$C77:$F77)*VLOOKUP(DL$2,Valores!$H$2:$P$154,8,0)</f>
        <v>#VALUE!</v>
      </c>
      <c r="DM77" s="27" t="e">
        <f aca="false">SUMIF($C$2:$F$2,EOMONTH(DM$2,-1)+1,$C77:$F77)*VLOOKUP(DM$2,Valores!$H$2:$P$154,8,0)</f>
        <v>#VALUE!</v>
      </c>
      <c r="DN77" s="27" t="e">
        <f aca="false">SUMIF($C$2:$F$2,EOMONTH(DN$2,-1)+1,$C77:$F77)*VLOOKUP(DN$2,Valores!$H$2:$P$154,8,0)</f>
        <v>#VALUE!</v>
      </c>
      <c r="DO77" s="27" t="e">
        <f aca="false">SUMIF($C$2:$F$2,EOMONTH(DO$2,-1)+1,$C77:$F77)*VLOOKUP(DO$2,Valores!$H$2:$P$154,8,0)</f>
        <v>#VALUE!</v>
      </c>
      <c r="DP77" s="27" t="e">
        <f aca="false">SUMIF($C$2:$F$2,EOMONTH(DP$2,-1)+1,$C77:$F77)*VLOOKUP(DP$2,Valores!$H$2:$P$154,8,0)</f>
        <v>#VALUE!</v>
      </c>
      <c r="DQ77" s="27" t="e">
        <f aca="false">SUMIF($C$2:$F$2,EOMONTH(DQ$2,-1)+1,$C77:$F77)*VLOOKUP(DQ$2,Valores!$H$2:$P$154,8,0)</f>
        <v>#VALUE!</v>
      </c>
      <c r="DR77" s="27" t="e">
        <f aca="false">SUMIF($C$2:$F$2,EOMONTH(DR$2,-1)+1,$C77:$F77)*VLOOKUP(DR$2,Valores!$H$2:$P$154,8,0)</f>
        <v>#VALUE!</v>
      </c>
      <c r="DS77" s="27" t="e">
        <f aca="false">SUMIF($C$2:$F$2,EOMONTH(DS$2,-1)+1,$C77:$F77)*VLOOKUP(DS$2,Valores!$H$2:$P$154,8,0)</f>
        <v>#VALUE!</v>
      </c>
      <c r="DT77" s="27" t="e">
        <f aca="false">SUMIF($C$2:$F$2,EOMONTH(DT$2,-1)+1,$C77:$F77)*VLOOKUP(DT$2,Valores!$H$2:$P$154,8,0)</f>
        <v>#VALUE!</v>
      </c>
      <c r="DU77" s="27" t="e">
        <f aca="false">SUMIF($C$2:$F$2,EOMONTH(DU$2,-1)+1,$C77:$F77)*VLOOKUP(DU$2,Valores!$H$2:$P$154,8,0)</f>
        <v>#VALUE!</v>
      </c>
      <c r="DV77" s="27" t="e">
        <f aca="false">SUMIF($C$2:$F$2,EOMONTH(DV$2,-1)+1,$C77:$F77)*VLOOKUP(DV$2,Valores!$H$2:$P$154,8,0)</f>
        <v>#VALUE!</v>
      </c>
      <c r="DW77" s="27" t="e">
        <f aca="false">SUMIF($C$2:$F$2,EOMONTH(DW$2,-1)+1,$C77:$F77)*VLOOKUP(DW$2,Valores!$H$2:$P$154,8,0)</f>
        <v>#VALUE!</v>
      </c>
      <c r="DX77" s="27" t="e">
        <f aca="false">SUMIF($C$2:$F$2,EOMONTH(DX$2,-1)+1,$C77:$F77)*VLOOKUP(DX$2,Valores!$H$2:$P$154,8,0)</f>
        <v>#VALUE!</v>
      </c>
    </row>
    <row r="78" customFormat="false" ht="13.8" hidden="false" customHeight="false" outlineLevel="0" collapsed="false">
      <c r="A78" s="33" t="s">
        <v>91</v>
      </c>
      <c r="B78" s="29" t="s">
        <v>101</v>
      </c>
      <c r="C78" s="29" t="n">
        <v>780094</v>
      </c>
      <c r="D78" s="29" t="n">
        <v>702084.6</v>
      </c>
      <c r="E78" s="29" t="n">
        <v>631876.14</v>
      </c>
      <c r="F78" s="29" t="n">
        <v>568688.526</v>
      </c>
      <c r="G78" s="30" t="n">
        <f aca="false">SUMIF($C$2:$F$2,EOMONTH(G$2,-1)+1,$C78:$F78)*VLOOKUP(G$2,Valores!$H$2:$P$154,8,0)</f>
        <v>22464.4479183808</v>
      </c>
      <c r="H78" s="30" t="n">
        <f aca="false">SUMIF($C$2:$F$2,EOMONTH(H$2,-1)+1,$C78:$F78)*VLOOKUP(H$2,Valores!$H$2:$P$154,8,0)</f>
        <v>15404.1928583182</v>
      </c>
      <c r="I78" s="30" t="n">
        <f aca="false">SUMIF($C$2:$F$2,EOMONTH(I$2,-1)+1,$C78:$F78)*VLOOKUP(I$2,Valores!$H$2:$P$154,8,0)</f>
        <v>15404.1928583182</v>
      </c>
      <c r="J78" s="30" t="n">
        <f aca="false">SUMIF($C$2:$F$2,EOMONTH(J$2,-1)+1,$C78:$F78)*VLOOKUP(J$2,Valores!$H$2:$P$154,8,0)</f>
        <v>15404.1928583182</v>
      </c>
      <c r="K78" s="30" t="n">
        <f aca="false">SUMIF($C$2:$F$2,EOMONTH(K$2,-1)+1,$C78:$F78)*VLOOKUP(K$2,Valores!$H$2:$P$154,8,0)</f>
        <v>15404.1928583182</v>
      </c>
      <c r="L78" s="30" t="n">
        <f aca="false">SUMIF($C$2:$F$2,EOMONTH(L$2,-1)+1,$C78:$F78)*VLOOKUP(L$2,Valores!$H$2:$P$154,8,0)</f>
        <v>30808.3857166365</v>
      </c>
      <c r="M78" s="30" t="n">
        <f aca="false">SUMIF($C$2:$F$2,EOMONTH(M$2,-1)+1,$C78:$F78)*VLOOKUP(M$2,Valores!$H$2:$P$154,8,0)</f>
        <v>38510.4821457956</v>
      </c>
      <c r="N78" s="30" t="n">
        <f aca="false">SUMIF($C$2:$F$2,EOMONTH(N$2,-1)+1,$C78:$F78)*VLOOKUP(N$2,Valores!$H$2:$P$154,8,0)</f>
        <v>23106.2892874774</v>
      </c>
      <c r="O78" s="30" t="n">
        <f aca="false">SUMIF($C$2:$F$2,EOMONTH(O$2,-1)+1,$C78:$F78)*VLOOKUP(O$2,Valores!$H$2:$P$154,8,0)</f>
        <v>20538.923811091</v>
      </c>
      <c r="P78" s="30" t="n">
        <f aca="false">SUMIF($C$2:$F$2,EOMONTH(P$2,-1)+1,$C78:$F78)*VLOOKUP(P$2,Valores!$H$2:$P$154,8,0)</f>
        <v>20538.923811091</v>
      </c>
      <c r="Q78" s="30" t="n">
        <f aca="false">SUMIF($C$2:$F$2,EOMONTH(Q$2,-1)+1,$C78:$F78)*VLOOKUP(Q$2,Valores!$H$2:$P$154,8,0)</f>
        <v>12323.3542866546</v>
      </c>
      <c r="R78" s="30" t="n">
        <f aca="false">SUMIF($C$2:$F$2,EOMONTH(R$2,-1)+1,$C78:$F78)*VLOOKUP(R$2,Valores!$H$2:$P$154,8,0)</f>
        <v>20538.923811091</v>
      </c>
      <c r="S78" s="30" t="n">
        <f aca="false">SUMIF($C$2:$F$2,EOMONTH(S$2,-1)+1,$C78:$F78)*VLOOKUP(S$2,Valores!$H$2:$P$154,8,0)</f>
        <v>41077.847622182</v>
      </c>
      <c r="T78" s="30" t="n">
        <f aca="false">SUMIF($C$2:$F$2,EOMONTH(T$2,-1)+1,$C78:$F78)*VLOOKUP(T$2,Valores!$H$2:$P$154,8,0)</f>
        <v>51347.3095277275</v>
      </c>
      <c r="U78" s="30" t="n">
        <f aca="false">SUMIF($C$2:$F$2,EOMONTH(U$2,-1)+1,$C78:$F78)*VLOOKUP(U$2,Valores!$H$2:$P$154,8,0)</f>
        <v>30808.3857166365</v>
      </c>
      <c r="V78" s="30" t="n">
        <f aca="false">SUMIF($C$2:$F$2,EOMONTH(V$2,-1)+1,$C78:$F78)*VLOOKUP(V$2,Valores!$H$2:$P$154,8,0)</f>
        <v>25673.6547638637</v>
      </c>
      <c r="W78" s="30" t="n">
        <f aca="false">SUMIF($C$2:$F$2,EOMONTH(W$2,-1)+1,$C78:$F78)*VLOOKUP(W$2,Valores!$H$2:$P$154,8,0)</f>
        <v>25673.6547638637</v>
      </c>
      <c r="X78" s="30" t="n">
        <f aca="false">SUMIF($C$2:$F$2,EOMONTH(X$2,-1)+1,$C78:$F78)*VLOOKUP(X$2,Valores!$H$2:$P$154,8,0)</f>
        <v>0</v>
      </c>
      <c r="Y78" s="30" t="n">
        <f aca="false">SUMIF($C$2:$F$2,EOMONTH(Y$2,-1)+1,$C78:$F78)*VLOOKUP(Y$2,Valores!$H$2:$P$154,8,0)</f>
        <v>0</v>
      </c>
      <c r="Z78" s="30" t="n">
        <f aca="false">SUMIF($C$2:$F$2,EOMONTH(Z$2,-1)+1,$C78:$F78)*VLOOKUP(Z$2,Valores!$H$2:$P$154,8,0)</f>
        <v>38510.4821457956</v>
      </c>
      <c r="AA78" s="30" t="n">
        <f aca="false">SUMIF($C$2:$F$2,EOMONTH(AA$2,-1)+1,$C78:$F78)*VLOOKUP(AA$2,Valores!$H$2:$P$154,8,0)</f>
        <v>46212.5785749547</v>
      </c>
      <c r="AB78" s="30" t="n">
        <f aca="false">SUMIF($C$2:$F$2,EOMONTH(AB$2,-1)+1,$C78:$F78)*VLOOKUP(AB$2,Valores!$H$2:$P$154,8,0)</f>
        <v>23106.2892874774</v>
      </c>
      <c r="AC78" s="30" t="n">
        <f aca="false">SUMIF($C$2:$F$2,EOMONTH(AC$2,-1)+1,$C78:$F78)*VLOOKUP(AC$2,Valores!$H$2:$P$154,8,0)</f>
        <v>28241.0202402501</v>
      </c>
      <c r="AD78" s="30" t="n">
        <f aca="false">SUMIF($C$2:$F$2,EOMONTH(AD$2,-1)+1,$C78:$F78)*VLOOKUP(AD$2,Valores!$H$2:$P$154,8,0)</f>
        <v>28241.0202402501</v>
      </c>
      <c r="AE78" s="30" t="n">
        <f aca="false">SUMIF($C$2:$F$2,EOMONTH(AE$2,-1)+1,$C78:$F78)*VLOOKUP(AE$2,Valores!$H$2:$P$154,8,0)</f>
        <v>28241.0202402501</v>
      </c>
      <c r="AF78" s="30" t="n">
        <f aca="false">SUMIF($C$2:$F$2,EOMONTH(AF$2,-1)+1,$C78:$F78)*VLOOKUP(AF$2,Valores!$H$2:$P$154,8,0)</f>
        <v>28241.0202402501</v>
      </c>
      <c r="AG78" s="30" t="n">
        <f aca="false">SUMIF($C$2:$F$2,EOMONTH(AG$2,-1)+1,$C78:$F78)*VLOOKUP(AG$2,Valores!$H$2:$P$154,8,0)</f>
        <v>45185.6323844002</v>
      </c>
      <c r="AH78" s="30" t="n">
        <f aca="false">SUMIF($C$2:$F$2,EOMONTH(AH$2,-1)+1,$C78:$F78)*VLOOKUP(AH$2,Valores!$H$2:$P$154,8,0)</f>
        <v>56482.0404805002</v>
      </c>
      <c r="AI78" s="30" t="n">
        <f aca="false">SUMIF($C$2:$F$2,EOMONTH(AI$2,-1)+1,$C78:$F78)*VLOOKUP(AI$2,Valores!$H$2:$P$154,8,0)</f>
        <v>19768.7141681751</v>
      </c>
      <c r="AJ78" s="30" t="n">
        <f aca="false">SUMIF($C$2:$F$2,EOMONTH(AJ$2,-1)+1,$C78:$F78)*VLOOKUP(AJ$2,Valores!$H$2:$P$154,8,0)</f>
        <v>12836.8273819319</v>
      </c>
      <c r="AK78" s="30" t="n">
        <f aca="false">SUMIF($C$2:$F$2,EOMONTH(AK$2,-1)+1,$C78:$F78)*VLOOKUP(AK$2,Valores!$H$2:$P$154,8,0)</f>
        <v>23408.950915716</v>
      </c>
      <c r="AL78" s="30" t="n">
        <f aca="false">SUMIF($C$2:$F$2,EOMONTH(AL$2,-1)+1,$C78:$F78)*VLOOKUP(AL$2,Valores!$H$2:$P$154,8,0)</f>
        <v>23408.950915716</v>
      </c>
      <c r="AM78" s="30" t="n">
        <f aca="false">SUMIF($C$2:$F$2,EOMONTH(AM$2,-1)+1,$C78:$F78)*VLOOKUP(AM$2,Valores!$H$2:$P$154,8,0)</f>
        <v>23408.950915716</v>
      </c>
      <c r="AN78" s="30" t="n">
        <f aca="false">SUMIF($C$2:$F$2,EOMONTH(AN$2,-1)+1,$C78:$F78)*VLOOKUP(AN$2,Valores!$H$2:$P$154,8,0)</f>
        <v>46817.901831432</v>
      </c>
      <c r="AO78" s="30" t="n">
        <f aca="false">SUMIF($C$2:$F$2,EOMONTH(AO$2,-1)+1,$C78:$F78)*VLOOKUP(AO$2,Valores!$H$2:$P$154,8,0)</f>
        <v>58522.37728929</v>
      </c>
      <c r="AP78" s="30" t="n">
        <f aca="false">SUMIF($C$2:$F$2,EOMONTH(AP$2,-1)+1,$C78:$F78)*VLOOKUP(AP$2,Valores!$H$2:$P$154,8,0)</f>
        <v>35113.426373574</v>
      </c>
      <c r="AQ78" s="30" t="n">
        <f aca="false">SUMIF($C$2:$F$2,EOMONTH(AQ$2,-1)+1,$C78:$F78)*VLOOKUP(AQ$2,Valores!$H$2:$P$154,8,0)</f>
        <v>12540.5094191336</v>
      </c>
      <c r="AR78" s="30" t="n">
        <f aca="false">SUMIF($C$2:$F$2,EOMONTH(AR$2,-1)+1,$C78:$F78)*VLOOKUP(AR$2,Valores!$H$2:$P$154,8,0)</f>
        <v>12540.5094191336</v>
      </c>
      <c r="AS78" s="30" t="n">
        <f aca="false">SUMIF($C$2:$F$2,EOMONTH(AS$2,-1)+1,$C78:$F78)*VLOOKUP(AS$2,Valores!$H$2:$P$154,8,0)</f>
        <v>12540.5094191336</v>
      </c>
      <c r="AT78" s="30" t="n">
        <f aca="false">SUMIF($C$2:$F$2,EOMONTH(AT$2,-1)+1,$C78:$F78)*VLOOKUP(AT$2,Valores!$H$2:$P$154,8,0)</f>
        <v>12540.5094191336</v>
      </c>
      <c r="AU78" s="30" t="n">
        <f aca="false">SUMIF($C$2:$F$2,EOMONTH(AU$2,-1)+1,$C78:$F78)*VLOOKUP(AU$2,Valores!$H$2:$P$154,8,0)</f>
        <v>25081.0188382672</v>
      </c>
      <c r="AV78" s="30" t="n">
        <f aca="false">SUMIF($C$2:$F$2,EOMONTH(AV$2,-1)+1,$C78:$F78)*VLOOKUP(AV$2,Valores!$H$2:$P$154,8,0)</f>
        <v>31351.2735478339</v>
      </c>
      <c r="AW78" s="30" t="n">
        <f aca="false">SUMIF($C$2:$F$2,EOMONTH(AW$2,-1)+1,$C78:$F78)*VLOOKUP(AW$2,Valores!$H$2:$P$154,8,0)</f>
        <v>18810.7641287004</v>
      </c>
      <c r="AX78" s="30" t="n">
        <f aca="false">SUMIF($C$2:$F$2,EOMONTH(AX$2,-1)+1,$C78:$F78)*VLOOKUP(AX$2,Valores!$H$2:$P$154,8,0)</f>
        <v>12540.5094191336</v>
      </c>
      <c r="AY78" s="30" t="n">
        <f aca="false">SUMIF($C$2:$F$2,EOMONTH(AY$2,-1)+1,$C78:$F78)*VLOOKUP(AY$2,Valores!$H$2:$P$154,8,0)</f>
        <v>16302.6622448737</v>
      </c>
      <c r="AZ78" s="30" t="n">
        <f aca="false">SUMIF($C$2:$F$2,EOMONTH(AZ$2,-1)+1,$C78:$F78)*VLOOKUP(AZ$2,Valores!$H$2:$P$154,8,0)</f>
        <v>16302.6622448737</v>
      </c>
      <c r="BA78" s="30" t="n">
        <f aca="false">SUMIF($C$2:$F$2,EOMONTH(BA$2,-1)+1,$C78:$F78)*VLOOKUP(BA$2,Valores!$H$2:$P$154,8,0)</f>
        <v>16302.6622448737</v>
      </c>
      <c r="BB78" s="30" t="n">
        <f aca="false">SUMIF($C$2:$F$2,EOMONTH(BB$2,-1)+1,$C78:$F78)*VLOOKUP(BB$2,Valores!$H$2:$P$154,8,0)</f>
        <v>28843.1716640072</v>
      </c>
      <c r="BC78" s="30" t="n">
        <f aca="false">SUMIF($C$2:$F$2,EOMONTH(BC$2,-1)+1,$C78:$F78)*VLOOKUP(BC$2,Valores!$H$2:$P$154,8,0)</f>
        <v>35113.426373574</v>
      </c>
      <c r="BD78" s="30" t="n">
        <f aca="false">SUMIF($C$2:$F$2,EOMONTH(BD$2,-1)+1,$C78:$F78)*VLOOKUP(BD$2,Valores!$H$2:$P$154,8,0)</f>
        <v>18810.7641287004</v>
      </c>
      <c r="BE78" s="30" t="n">
        <f aca="false">SUMIF($C$2:$F$2,EOMONTH(BE$2,-1)+1,$C78:$F78)*VLOOKUP(BE$2,Valores!$H$2:$P$154,8,0)</f>
        <v>16720.6792255114</v>
      </c>
      <c r="BF78" s="30" t="n">
        <f aca="false">SUMIF($C$2:$F$2,EOMONTH(BF$2,-1)+1,$C78:$F78)*VLOOKUP(BF$2,Valores!$H$2:$P$154,8,0)</f>
        <v>16720.6792255114</v>
      </c>
      <c r="BG78" s="30" t="n">
        <f aca="false">SUMIF($C$2:$F$2,EOMONTH(BG$2,-1)+1,$C78:$F78)*VLOOKUP(BG$2,Valores!$H$2:$P$154,8,0)</f>
        <v>16720.6792255114</v>
      </c>
      <c r="BH78" s="30" t="n">
        <f aca="false">SUMIF($C$2:$F$2,EOMONTH(BH$2,-1)+1,$C78:$F78)*VLOOKUP(BH$2,Valores!$H$2:$P$154,8,0)</f>
        <v>16720.6792255114</v>
      </c>
      <c r="BI78" s="30" t="n">
        <f aca="false">SUMIF($C$2:$F$2,EOMONTH(BI$2,-1)+1,$C78:$F78)*VLOOKUP(BI$2,Valores!$H$2:$P$154,8,0)</f>
        <v>33441.3584510229</v>
      </c>
      <c r="BJ78" s="30" t="n">
        <f aca="false">SUMIF($C$2:$F$2,EOMONTH(BJ$2,-1)+1,$C78:$F78)*VLOOKUP(BJ$2,Valores!$H$2:$P$154,8,0)</f>
        <v>41801.6980637786</v>
      </c>
      <c r="BK78" s="30" t="n">
        <f aca="false">SUMIF($C$2:$F$2,EOMONTH(BK$2,-1)+1,$C78:$F78)*VLOOKUP(BK$2,Valores!$H$2:$P$154,8,0)</f>
        <v>20064.8150706137</v>
      </c>
      <c r="BL78" s="30" t="n">
        <f aca="false">SUMIF($C$2:$F$2,EOMONTH(BL$2,-1)+1,$C78:$F78)*VLOOKUP(BL$2,Valores!$H$2:$P$154,8,0)</f>
        <v>14714.1977184501</v>
      </c>
      <c r="BM78" s="30" t="n">
        <f aca="false">SUMIF($C$2:$F$2,EOMONTH(BM$2,-1)+1,$C78:$F78)*VLOOKUP(BM$2,Valores!$H$2:$P$154,8,0)</f>
        <v>14714.1977184501</v>
      </c>
      <c r="BN78" s="30" t="n">
        <f aca="false">SUMIF($C$2:$F$2,EOMONTH(BN$2,-1)+1,$C78:$F78)*VLOOKUP(BN$2,Valores!$H$2:$P$154,8,0)</f>
        <v>14714.1977184501</v>
      </c>
      <c r="BO78" s="30" t="n">
        <f aca="false">SUMIF($C$2:$F$2,EOMONTH(BO$2,-1)+1,$C78:$F78)*VLOOKUP(BO$2,Valores!$H$2:$P$154,8,0)</f>
        <v>15449.9076043726</v>
      </c>
      <c r="BP78" s="30" t="n">
        <f aca="false">SUMIF($C$2:$F$2,EOMONTH(BP$2,-1)+1,$C78:$F78)*VLOOKUP(BP$2,Valores!$H$2:$P$154,8,0)</f>
        <v>38880.4129656082</v>
      </c>
      <c r="BQ78" s="30" t="n">
        <f aca="false">SUMIF($C$2:$F$2,EOMONTH(BQ$2,-1)+1,$C78:$F78)*VLOOKUP(BQ$2,Valores!$H$2:$P$154,8,0)</f>
        <v>48600.5162070102</v>
      </c>
      <c r="BR78" s="30" t="n">
        <f aca="false">SUMIF($C$2:$F$2,EOMONTH(BR$2,-1)+1,$C78:$F78)*VLOOKUP(BR$2,Valores!$H$2:$P$154,8,0)</f>
        <v>23328.2477793649</v>
      </c>
      <c r="BS78" s="30" t="n">
        <f aca="false">SUMIF($C$2:$F$2,EOMONTH(BS$2,-1)+1,$C78:$F78)*VLOOKUP(BS$2,Valores!$H$2:$P$154,8,0)</f>
        <v>10414.3963300736</v>
      </c>
      <c r="BT78" s="30" t="n">
        <f aca="false">SUMIF($C$2:$F$2,EOMONTH(BT$2,-1)+1,$C78:$F78)*VLOOKUP(BT$2,Valores!$H$2:$P$154,8,0)</f>
        <v>10414.3963300736</v>
      </c>
      <c r="BU78" s="30" t="n">
        <f aca="false">SUMIF($C$2:$F$2,EOMONTH(BU$2,-1)+1,$C78:$F78)*VLOOKUP(BU$2,Valores!$H$2:$P$154,8,0)</f>
        <v>10414.3963300736</v>
      </c>
      <c r="BV78" s="30" t="n">
        <f aca="false">SUMIF($C$2:$F$2,EOMONTH(BV$2,-1)+1,$C78:$F78)*VLOOKUP(BV$2,Valores!$H$2:$P$154,8,0)</f>
        <v>10414.3963300736</v>
      </c>
      <c r="BW78" s="30" t="n">
        <f aca="false">SUMIF($C$2:$F$2,EOMONTH(BW$2,-1)+1,$C78:$F78)*VLOOKUP(BW$2,Valores!$H$2:$P$154,8,0)</f>
        <v>20828.7926601472</v>
      </c>
      <c r="BX78" s="30" t="n">
        <f aca="false">SUMIF($C$2:$F$2,EOMONTH(BX$2,-1)+1,$C78:$F78)*VLOOKUP(BX$2,Valores!$H$2:$P$154,8,0)</f>
        <v>26035.990825184</v>
      </c>
      <c r="BY78" s="30" t="n">
        <f aca="false">SUMIF($C$2:$F$2,EOMONTH(BY$2,-1)+1,$C78:$F78)*VLOOKUP(BY$2,Valores!$H$2:$P$154,8,0)</f>
        <v>15621.5944951104</v>
      </c>
      <c r="BZ78" s="30" t="n">
        <f aca="false">SUMIF($C$2:$F$2,EOMONTH(BZ$2,-1)+1,$C78:$F78)*VLOOKUP(BZ$2,Valores!$H$2:$P$154,8,0)</f>
        <v>10414.3963300736</v>
      </c>
      <c r="CA78" s="30" t="n">
        <f aca="false">SUMIF($C$2:$F$2,EOMONTH(CA$2,-1)+1,$C78:$F78)*VLOOKUP(CA$2,Valores!$H$2:$P$154,8,0)</f>
        <v>10414.3963300736</v>
      </c>
      <c r="CB78" s="30" t="n">
        <f aca="false">SUMIF($C$2:$F$2,EOMONTH(CB$2,-1)+1,$C78:$F78)*VLOOKUP(CB$2,Valores!$H$2:$P$154,8,0)</f>
        <v>10414.3963300736</v>
      </c>
      <c r="CC78" s="30" t="n">
        <f aca="false">SUMIF($C$2:$F$2,EOMONTH(CC$2,-1)+1,$C78:$F78)*VLOOKUP(CC$2,Valores!$H$2:$P$154,8,0)</f>
        <v>10414.3963300736</v>
      </c>
      <c r="CD78" s="30" t="n">
        <f aca="false">SUMIF($C$2:$F$2,EOMONTH(CD$2,-1)+1,$C78:$F78)*VLOOKUP(CD$2,Valores!$H$2:$P$154,8,0)</f>
        <v>31243.1889902208</v>
      </c>
      <c r="CE78" s="30" t="n">
        <f aca="false">SUMIF($C$2:$F$2,EOMONTH(CE$2,-1)+1,$C78:$F78)*VLOOKUP(CE$2,Valores!$H$2:$P$154,8,0)</f>
        <v>41657.5853202945</v>
      </c>
      <c r="CF78" s="30" t="n">
        <f aca="false">SUMIF($C$2:$F$2,EOMONTH(CF$2,-1)+1,$C78:$F78)*VLOOKUP(CF$2,Valores!$H$2:$P$154,8,0)</f>
        <v>26035.990825184</v>
      </c>
      <c r="CG78" s="30" t="n">
        <f aca="false">SUMIF($C$2:$F$2,EOMONTH(CG$2,-1)+1,$C78:$F78)*VLOOKUP(CG$2,Valores!$H$2:$P$154,8,0)</f>
        <v>13885.8617734315</v>
      </c>
      <c r="CH78" s="30" t="n">
        <f aca="false">SUMIF($C$2:$F$2,EOMONTH(CH$2,-1)+1,$C78:$F78)*VLOOKUP(CH$2,Valores!$H$2:$P$154,8,0)</f>
        <v>13885.8617734315</v>
      </c>
      <c r="CI78" s="30" t="n">
        <f aca="false">SUMIF($C$2:$F$2,EOMONTH(CI$2,-1)+1,$C78:$F78)*VLOOKUP(CI$2,Valores!$H$2:$P$154,8,0)</f>
        <v>13885.8617734315</v>
      </c>
      <c r="CJ78" s="30" t="n">
        <f aca="false">SUMIF($C$2:$F$2,EOMONTH(CJ$2,-1)+1,$C78:$F78)*VLOOKUP(CJ$2,Valores!$H$2:$P$154,8,0)</f>
        <v>13885.8617734315</v>
      </c>
      <c r="CK78" s="30" t="n">
        <f aca="false">SUMIF($C$2:$F$2,EOMONTH(CK$2,-1)+1,$C78:$F78)*VLOOKUP(CK$2,Valores!$H$2:$P$154,8,0)</f>
        <v>27771.723546863</v>
      </c>
      <c r="CL78" s="30" t="n">
        <f aca="false">SUMIF($C$2:$F$2,EOMONTH(CL$2,-1)+1,$C78:$F78)*VLOOKUP(CL$2,Valores!$H$2:$P$154,8,0)</f>
        <v>34714.6544335787</v>
      </c>
      <c r="CM78" s="30" t="n">
        <f aca="false">SUMIF($C$2:$F$2,EOMONTH(CM$2,-1)+1,$C78:$F78)*VLOOKUP(CM$2,Valores!$H$2:$P$154,8,0)</f>
        <v>20828.7926601472</v>
      </c>
      <c r="CN78" s="30" t="n">
        <f aca="false">SUMIF($C$2:$F$2,EOMONTH(CN$2,-1)+1,$C78:$F78)*VLOOKUP(CN$2,Valores!$H$2:$P$154,8,0)</f>
        <v>15274.4479507746</v>
      </c>
      <c r="CO78" s="30" t="n">
        <f aca="false">SUMIF($C$2:$F$2,EOMONTH(CO$2,-1)+1,$C78:$F78)*VLOOKUP(CO$2,Valores!$H$2:$P$154,8,0)</f>
        <v>15274.4479507746</v>
      </c>
      <c r="CP78" s="30" t="n">
        <f aca="false">SUMIF($C$2:$F$2,EOMONTH(CP$2,-1)+1,$C78:$F78)*VLOOKUP(CP$2,Valores!$H$2:$P$154,8,0)</f>
        <v>15274.4479507746</v>
      </c>
      <c r="CQ78" s="30" t="n">
        <f aca="false">SUMIF($C$2:$F$2,EOMONTH(CQ$2,-1)+1,$C78:$F78)*VLOOKUP(CQ$2,Valores!$H$2:$P$154,8,0)</f>
        <v>15274.4479507746</v>
      </c>
      <c r="CR78" s="30" t="n">
        <f aca="false">SUMIF($C$2:$F$2,EOMONTH(CR$2,-1)+1,$C78:$F78)*VLOOKUP(CR$2,Valores!$H$2:$P$154,8,0)</f>
        <v>30548.8959015493</v>
      </c>
      <c r="CS78" s="30" t="n">
        <f aca="false">SUMIF($C$2:$F$2,EOMONTH(CS$2,-1)+1,$C78:$F78)*VLOOKUP(CS$2,Valores!$H$2:$P$154,8,0)</f>
        <v>45823.3438523239</v>
      </c>
      <c r="CT78" s="30" t="e">
        <f aca="false">SUMIF($C$2:$F$2,EOMONTH(CT$2,-1)+1,$C78:$F78)*VLOOKUP(CT$2,Valores!$H$2:$P$154,8,0)</f>
        <v>#VALUE!</v>
      </c>
      <c r="CU78" s="30" t="e">
        <f aca="false">SUMIF($C$2:$F$2,EOMONTH(CU$2,-1)+1,$C78:$F78)*VLOOKUP(CU$2,Valores!$H$2:$P$154,8,0)</f>
        <v>#VALUE!</v>
      </c>
      <c r="CV78" s="30" t="e">
        <f aca="false">SUMIF($C$2:$F$2,EOMONTH(CV$2,-1)+1,$C78:$F78)*VLOOKUP(CV$2,Valores!$H$2:$P$154,8,0)</f>
        <v>#VALUE!</v>
      </c>
      <c r="CW78" s="30" t="e">
        <f aca="false">SUMIF($C$2:$F$2,EOMONTH(CW$2,-1)+1,$C78:$F78)*VLOOKUP(CW$2,Valores!$H$2:$P$154,8,0)</f>
        <v>#VALUE!</v>
      </c>
      <c r="CX78" s="30" t="e">
        <f aca="false">SUMIF($C$2:$F$2,EOMONTH(CX$2,-1)+1,$C78:$F78)*VLOOKUP(CX$2,Valores!$H$2:$P$154,8,0)</f>
        <v>#VALUE!</v>
      </c>
      <c r="CY78" s="30" t="e">
        <f aca="false">SUMIF($C$2:$F$2,EOMONTH(CY$2,-1)+1,$C78:$F78)*VLOOKUP(CY$2,Valores!$H$2:$P$154,8,0)</f>
        <v>#VALUE!</v>
      </c>
      <c r="CZ78" s="30" t="e">
        <f aca="false">SUMIF($C$2:$F$2,EOMONTH(CZ$2,-1)+1,$C78:$F78)*VLOOKUP(CZ$2,Valores!$H$2:$P$154,8,0)</f>
        <v>#VALUE!</v>
      </c>
      <c r="DA78" s="30" t="e">
        <f aca="false">SUMIF($C$2:$F$2,EOMONTH(DA$2,-1)+1,$C78:$F78)*VLOOKUP(DA$2,Valores!$H$2:$P$154,8,0)</f>
        <v>#VALUE!</v>
      </c>
      <c r="DB78" s="30" t="e">
        <f aca="false">SUMIF($C$2:$F$2,EOMONTH(DB$2,-1)+1,$C78:$F78)*VLOOKUP(DB$2,Valores!$H$2:$P$154,8,0)</f>
        <v>#VALUE!</v>
      </c>
      <c r="DC78" s="30" t="e">
        <f aca="false">SUMIF($C$2:$F$2,EOMONTH(DC$2,-1)+1,$C78:$F78)*VLOOKUP(DC$2,Valores!$H$2:$P$154,8,0)</f>
        <v>#VALUE!</v>
      </c>
      <c r="DD78" s="30" t="e">
        <f aca="false">SUMIF($C$2:$F$2,EOMONTH(DD$2,-1)+1,$C78:$F78)*VLOOKUP(DD$2,Valores!$H$2:$P$154,8,0)</f>
        <v>#VALUE!</v>
      </c>
      <c r="DE78" s="30" t="e">
        <f aca="false">SUMIF($C$2:$F$2,EOMONTH(DE$2,-1)+1,$C78:$F78)*VLOOKUP(DE$2,Valores!$H$2:$P$154,8,0)</f>
        <v>#VALUE!</v>
      </c>
      <c r="DF78" s="30" t="e">
        <f aca="false">SUMIF($C$2:$F$2,EOMONTH(DF$2,-1)+1,$C78:$F78)*VLOOKUP(DF$2,Valores!$H$2:$P$154,8,0)</f>
        <v>#VALUE!</v>
      </c>
      <c r="DG78" s="30" t="e">
        <f aca="false">SUMIF($C$2:$F$2,EOMONTH(DG$2,-1)+1,$C78:$F78)*VLOOKUP(DG$2,Valores!$H$2:$P$154,8,0)</f>
        <v>#VALUE!</v>
      </c>
      <c r="DH78" s="30" t="e">
        <f aca="false">SUMIF($C$2:$F$2,EOMONTH(DH$2,-1)+1,$C78:$F78)*VLOOKUP(DH$2,Valores!$H$2:$P$154,8,0)</f>
        <v>#VALUE!</v>
      </c>
      <c r="DI78" s="30" t="e">
        <f aca="false">SUMIF($C$2:$F$2,EOMONTH(DI$2,-1)+1,$C78:$F78)*VLOOKUP(DI$2,Valores!$H$2:$P$154,8,0)</f>
        <v>#VALUE!</v>
      </c>
      <c r="DJ78" s="30" t="e">
        <f aca="false">SUMIF($C$2:$F$2,EOMONTH(DJ$2,-1)+1,$C78:$F78)*VLOOKUP(DJ$2,Valores!$H$2:$P$154,8,0)</f>
        <v>#VALUE!</v>
      </c>
      <c r="DK78" s="30" t="e">
        <f aca="false">SUMIF($C$2:$F$2,EOMONTH(DK$2,-1)+1,$C78:$F78)*VLOOKUP(DK$2,Valores!$H$2:$P$154,8,0)</f>
        <v>#VALUE!</v>
      </c>
      <c r="DL78" s="30" t="e">
        <f aca="false">SUMIF($C$2:$F$2,EOMONTH(DL$2,-1)+1,$C78:$F78)*VLOOKUP(DL$2,Valores!$H$2:$P$154,8,0)</f>
        <v>#VALUE!</v>
      </c>
      <c r="DM78" s="30" t="e">
        <f aca="false">SUMIF($C$2:$F$2,EOMONTH(DM$2,-1)+1,$C78:$F78)*VLOOKUP(DM$2,Valores!$H$2:$P$154,8,0)</f>
        <v>#VALUE!</v>
      </c>
      <c r="DN78" s="30" t="e">
        <f aca="false">SUMIF($C$2:$F$2,EOMONTH(DN$2,-1)+1,$C78:$F78)*VLOOKUP(DN$2,Valores!$H$2:$P$154,8,0)</f>
        <v>#VALUE!</v>
      </c>
      <c r="DO78" s="30" t="e">
        <f aca="false">SUMIF($C$2:$F$2,EOMONTH(DO$2,-1)+1,$C78:$F78)*VLOOKUP(DO$2,Valores!$H$2:$P$154,8,0)</f>
        <v>#VALUE!</v>
      </c>
      <c r="DP78" s="30" t="e">
        <f aca="false">SUMIF($C$2:$F$2,EOMONTH(DP$2,-1)+1,$C78:$F78)*VLOOKUP(DP$2,Valores!$H$2:$P$154,8,0)</f>
        <v>#VALUE!</v>
      </c>
      <c r="DQ78" s="30" t="e">
        <f aca="false">SUMIF($C$2:$F$2,EOMONTH(DQ$2,-1)+1,$C78:$F78)*VLOOKUP(DQ$2,Valores!$H$2:$P$154,8,0)</f>
        <v>#VALUE!</v>
      </c>
      <c r="DR78" s="30" t="e">
        <f aca="false">SUMIF($C$2:$F$2,EOMONTH(DR$2,-1)+1,$C78:$F78)*VLOOKUP(DR$2,Valores!$H$2:$P$154,8,0)</f>
        <v>#VALUE!</v>
      </c>
      <c r="DS78" s="30" t="e">
        <f aca="false">SUMIF($C$2:$F$2,EOMONTH(DS$2,-1)+1,$C78:$F78)*VLOOKUP(DS$2,Valores!$H$2:$P$154,8,0)</f>
        <v>#VALUE!</v>
      </c>
      <c r="DT78" s="30" t="e">
        <f aca="false">SUMIF($C$2:$F$2,EOMONTH(DT$2,-1)+1,$C78:$F78)*VLOOKUP(DT$2,Valores!$H$2:$P$154,8,0)</f>
        <v>#VALUE!</v>
      </c>
      <c r="DU78" s="30" t="e">
        <f aca="false">SUMIF($C$2:$F$2,EOMONTH(DU$2,-1)+1,$C78:$F78)*VLOOKUP(DU$2,Valores!$H$2:$P$154,8,0)</f>
        <v>#VALUE!</v>
      </c>
      <c r="DV78" s="30" t="e">
        <f aca="false">SUMIF($C$2:$F$2,EOMONTH(DV$2,-1)+1,$C78:$F78)*VLOOKUP(DV$2,Valores!$H$2:$P$154,8,0)</f>
        <v>#VALUE!</v>
      </c>
      <c r="DW78" s="30" t="e">
        <f aca="false">SUMIF($C$2:$F$2,EOMONTH(DW$2,-1)+1,$C78:$F78)*VLOOKUP(DW$2,Valores!$H$2:$P$154,8,0)</f>
        <v>#VALUE!</v>
      </c>
      <c r="DX78" s="30" t="e">
        <f aca="false">SUMIF($C$2:$F$2,EOMONTH(DX$2,-1)+1,$C78:$F78)*VLOOKUP(DX$2,Valores!$H$2:$P$154,8,0)</f>
        <v>#VALUE!</v>
      </c>
    </row>
    <row r="79" customFormat="false" ht="13.8" hidden="false" customHeight="false" outlineLevel="0" collapsed="false">
      <c r="A79" s="32" t="s">
        <v>91</v>
      </c>
      <c r="B79" s="31" t="s">
        <v>102</v>
      </c>
      <c r="C79" s="31" t="n">
        <v>733477</v>
      </c>
      <c r="D79" s="31" t="n">
        <v>660129.3</v>
      </c>
      <c r="E79" s="31" t="n">
        <v>594116.37</v>
      </c>
      <c r="F79" s="31" t="n">
        <v>534704.733</v>
      </c>
      <c r="G79" s="27" t="n">
        <f aca="false">SUMIF($C$2:$F$2,EOMONTH(G$2,-1)+1,$C79:$F79)*VLOOKUP(G$2,Valores!$H$2:$P$154,8,0)</f>
        <v>21122.0133289452</v>
      </c>
      <c r="H79" s="27" t="n">
        <f aca="false">SUMIF($C$2:$F$2,EOMONTH(H$2,-1)+1,$C79:$F79)*VLOOKUP(H$2,Valores!$H$2:$P$154,8,0)</f>
        <v>14483.6662827053</v>
      </c>
      <c r="I79" s="27" t="n">
        <f aca="false">SUMIF($C$2:$F$2,EOMONTH(I$2,-1)+1,$C79:$F79)*VLOOKUP(I$2,Valores!$H$2:$P$154,8,0)</f>
        <v>14483.6662827053</v>
      </c>
      <c r="J79" s="27" t="n">
        <f aca="false">SUMIF($C$2:$F$2,EOMONTH(J$2,-1)+1,$C79:$F79)*VLOOKUP(J$2,Valores!$H$2:$P$154,8,0)</f>
        <v>14483.6662827053</v>
      </c>
      <c r="K79" s="27" t="n">
        <f aca="false">SUMIF($C$2:$F$2,EOMONTH(K$2,-1)+1,$C79:$F79)*VLOOKUP(K$2,Valores!$H$2:$P$154,8,0)</f>
        <v>14483.6662827053</v>
      </c>
      <c r="L79" s="27" t="n">
        <f aca="false">SUMIF($C$2:$F$2,EOMONTH(L$2,-1)+1,$C79:$F79)*VLOOKUP(L$2,Valores!$H$2:$P$154,8,0)</f>
        <v>28967.3325654106</v>
      </c>
      <c r="M79" s="27" t="n">
        <f aca="false">SUMIF($C$2:$F$2,EOMONTH(M$2,-1)+1,$C79:$F79)*VLOOKUP(M$2,Valores!$H$2:$P$154,8,0)</f>
        <v>36209.1657067632</v>
      </c>
      <c r="N79" s="27" t="n">
        <f aca="false">SUMIF($C$2:$F$2,EOMONTH(N$2,-1)+1,$C79:$F79)*VLOOKUP(N$2,Valores!$H$2:$P$154,8,0)</f>
        <v>21725.4994240579</v>
      </c>
      <c r="O79" s="27" t="n">
        <f aca="false">SUMIF($C$2:$F$2,EOMONTH(O$2,-1)+1,$C79:$F79)*VLOOKUP(O$2,Valores!$H$2:$P$154,8,0)</f>
        <v>19311.555043607</v>
      </c>
      <c r="P79" s="27" t="n">
        <f aca="false">SUMIF($C$2:$F$2,EOMONTH(P$2,-1)+1,$C79:$F79)*VLOOKUP(P$2,Valores!$H$2:$P$154,8,0)</f>
        <v>19311.555043607</v>
      </c>
      <c r="Q79" s="27" t="n">
        <f aca="false">SUMIF($C$2:$F$2,EOMONTH(Q$2,-1)+1,$C79:$F79)*VLOOKUP(Q$2,Valores!$H$2:$P$154,8,0)</f>
        <v>11586.9330261642</v>
      </c>
      <c r="R79" s="27" t="n">
        <f aca="false">SUMIF($C$2:$F$2,EOMONTH(R$2,-1)+1,$C79:$F79)*VLOOKUP(R$2,Valores!$H$2:$P$154,8,0)</f>
        <v>19311.555043607</v>
      </c>
      <c r="S79" s="27" t="n">
        <f aca="false">SUMIF($C$2:$F$2,EOMONTH(S$2,-1)+1,$C79:$F79)*VLOOKUP(S$2,Valores!$H$2:$P$154,8,0)</f>
        <v>38623.1100872141</v>
      </c>
      <c r="T79" s="27" t="n">
        <f aca="false">SUMIF($C$2:$F$2,EOMONTH(T$2,-1)+1,$C79:$F79)*VLOOKUP(T$2,Valores!$H$2:$P$154,8,0)</f>
        <v>48278.8876090176</v>
      </c>
      <c r="U79" s="27" t="n">
        <f aca="false">SUMIF($C$2:$F$2,EOMONTH(U$2,-1)+1,$C79:$F79)*VLOOKUP(U$2,Valores!$H$2:$P$154,8,0)</f>
        <v>28967.3325654106</v>
      </c>
      <c r="V79" s="27" t="n">
        <f aca="false">SUMIF($C$2:$F$2,EOMONTH(V$2,-1)+1,$C79:$F79)*VLOOKUP(V$2,Valores!$H$2:$P$154,8,0)</f>
        <v>24139.4438045088</v>
      </c>
      <c r="W79" s="27" t="n">
        <f aca="false">SUMIF($C$2:$F$2,EOMONTH(W$2,-1)+1,$C79:$F79)*VLOOKUP(W$2,Valores!$H$2:$P$154,8,0)</f>
        <v>24139.4438045088</v>
      </c>
      <c r="X79" s="27" t="n">
        <f aca="false">SUMIF($C$2:$F$2,EOMONTH(X$2,-1)+1,$C79:$F79)*VLOOKUP(X$2,Valores!$H$2:$P$154,8,0)</f>
        <v>0</v>
      </c>
      <c r="Y79" s="27" t="n">
        <f aca="false">SUMIF($C$2:$F$2,EOMONTH(Y$2,-1)+1,$C79:$F79)*VLOOKUP(Y$2,Valores!$H$2:$P$154,8,0)</f>
        <v>0</v>
      </c>
      <c r="Z79" s="27" t="n">
        <f aca="false">SUMIF($C$2:$F$2,EOMONTH(Z$2,-1)+1,$C79:$F79)*VLOOKUP(Z$2,Valores!$H$2:$P$154,8,0)</f>
        <v>36209.1657067632</v>
      </c>
      <c r="AA79" s="27" t="n">
        <f aca="false">SUMIF($C$2:$F$2,EOMONTH(AA$2,-1)+1,$C79:$F79)*VLOOKUP(AA$2,Valores!$H$2:$P$154,8,0)</f>
        <v>43450.9988481158</v>
      </c>
      <c r="AB79" s="27" t="n">
        <f aca="false">SUMIF($C$2:$F$2,EOMONTH(AB$2,-1)+1,$C79:$F79)*VLOOKUP(AB$2,Valores!$H$2:$P$154,8,0)</f>
        <v>21725.4994240579</v>
      </c>
      <c r="AC79" s="27" t="n">
        <f aca="false">SUMIF($C$2:$F$2,EOMONTH(AC$2,-1)+1,$C79:$F79)*VLOOKUP(AC$2,Valores!$H$2:$P$154,8,0)</f>
        <v>26553.3881849597</v>
      </c>
      <c r="AD79" s="27" t="n">
        <f aca="false">SUMIF($C$2:$F$2,EOMONTH(AD$2,-1)+1,$C79:$F79)*VLOOKUP(AD$2,Valores!$H$2:$P$154,8,0)</f>
        <v>26553.3881849597</v>
      </c>
      <c r="AE79" s="27" t="n">
        <f aca="false">SUMIF($C$2:$F$2,EOMONTH(AE$2,-1)+1,$C79:$F79)*VLOOKUP(AE$2,Valores!$H$2:$P$154,8,0)</f>
        <v>26553.3881849597</v>
      </c>
      <c r="AF79" s="27" t="n">
        <f aca="false">SUMIF($C$2:$F$2,EOMONTH(AF$2,-1)+1,$C79:$F79)*VLOOKUP(AF$2,Valores!$H$2:$P$154,8,0)</f>
        <v>26553.3881849597</v>
      </c>
      <c r="AG79" s="27" t="n">
        <f aca="false">SUMIF($C$2:$F$2,EOMONTH(AG$2,-1)+1,$C79:$F79)*VLOOKUP(AG$2,Valores!$H$2:$P$154,8,0)</f>
        <v>42485.4210959355</v>
      </c>
      <c r="AH79" s="27" t="n">
        <f aca="false">SUMIF($C$2:$F$2,EOMONTH(AH$2,-1)+1,$C79:$F79)*VLOOKUP(AH$2,Valores!$H$2:$P$154,8,0)</f>
        <v>53106.7763699194</v>
      </c>
      <c r="AI79" s="27" t="n">
        <f aca="false">SUMIF($C$2:$F$2,EOMONTH(AI$2,-1)+1,$C79:$F79)*VLOOKUP(AI$2,Valores!$H$2:$P$154,8,0)</f>
        <v>18587.3717294718</v>
      </c>
      <c r="AJ79" s="27" t="n">
        <f aca="false">SUMIF($C$2:$F$2,EOMONTH(AJ$2,-1)+1,$C79:$F79)*VLOOKUP(AJ$2,Valores!$H$2:$P$154,8,0)</f>
        <v>12069.7219022544</v>
      </c>
      <c r="AK79" s="27" t="n">
        <f aca="false">SUMIF($C$2:$F$2,EOMONTH(AK$2,-1)+1,$C79:$F79)*VLOOKUP(AK$2,Valores!$H$2:$P$154,8,0)</f>
        <v>22010.0745433328</v>
      </c>
      <c r="AL79" s="27" t="n">
        <f aca="false">SUMIF($C$2:$F$2,EOMONTH(AL$2,-1)+1,$C79:$F79)*VLOOKUP(AL$2,Valores!$H$2:$P$154,8,0)</f>
        <v>22010.0745433328</v>
      </c>
      <c r="AM79" s="27" t="n">
        <f aca="false">SUMIF($C$2:$F$2,EOMONTH(AM$2,-1)+1,$C79:$F79)*VLOOKUP(AM$2,Valores!$H$2:$P$154,8,0)</f>
        <v>22010.0745433328</v>
      </c>
      <c r="AN79" s="27" t="n">
        <f aca="false">SUMIF($C$2:$F$2,EOMONTH(AN$2,-1)+1,$C79:$F79)*VLOOKUP(AN$2,Valores!$H$2:$P$154,8,0)</f>
        <v>44020.1490866656</v>
      </c>
      <c r="AO79" s="27" t="n">
        <f aca="false">SUMIF($C$2:$F$2,EOMONTH(AO$2,-1)+1,$C79:$F79)*VLOOKUP(AO$2,Valores!$H$2:$P$154,8,0)</f>
        <v>55025.1863583319</v>
      </c>
      <c r="AP79" s="27" t="n">
        <f aca="false">SUMIF($C$2:$F$2,EOMONTH(AP$2,-1)+1,$C79:$F79)*VLOOKUP(AP$2,Valores!$H$2:$P$154,8,0)</f>
        <v>33015.1118149992</v>
      </c>
      <c r="AQ79" s="27" t="n">
        <f aca="false">SUMIF($C$2:$F$2,EOMONTH(AQ$2,-1)+1,$C79:$F79)*VLOOKUP(AQ$2,Valores!$H$2:$P$154,8,0)</f>
        <v>11791.1113624997</v>
      </c>
      <c r="AR79" s="27" t="n">
        <f aca="false">SUMIF($C$2:$F$2,EOMONTH(AR$2,-1)+1,$C79:$F79)*VLOOKUP(AR$2,Valores!$H$2:$P$154,8,0)</f>
        <v>11791.1113624997</v>
      </c>
      <c r="AS79" s="27" t="n">
        <f aca="false">SUMIF($C$2:$F$2,EOMONTH(AS$2,-1)+1,$C79:$F79)*VLOOKUP(AS$2,Valores!$H$2:$P$154,8,0)</f>
        <v>11791.1113624997</v>
      </c>
      <c r="AT79" s="27" t="n">
        <f aca="false">SUMIF($C$2:$F$2,EOMONTH(AT$2,-1)+1,$C79:$F79)*VLOOKUP(AT$2,Valores!$H$2:$P$154,8,0)</f>
        <v>11791.1113624997</v>
      </c>
      <c r="AU79" s="27" t="n">
        <f aca="false">SUMIF($C$2:$F$2,EOMONTH(AU$2,-1)+1,$C79:$F79)*VLOOKUP(AU$2,Valores!$H$2:$P$154,8,0)</f>
        <v>23582.2227249994</v>
      </c>
      <c r="AV79" s="27" t="n">
        <f aca="false">SUMIF($C$2:$F$2,EOMONTH(AV$2,-1)+1,$C79:$F79)*VLOOKUP(AV$2,Valores!$H$2:$P$154,8,0)</f>
        <v>29477.7784062492</v>
      </c>
      <c r="AW79" s="27" t="n">
        <f aca="false">SUMIF($C$2:$F$2,EOMONTH(AW$2,-1)+1,$C79:$F79)*VLOOKUP(AW$2,Valores!$H$2:$P$154,8,0)</f>
        <v>17686.6670437495</v>
      </c>
      <c r="AX79" s="27" t="n">
        <f aca="false">SUMIF($C$2:$F$2,EOMONTH(AX$2,-1)+1,$C79:$F79)*VLOOKUP(AX$2,Valores!$H$2:$P$154,8,0)</f>
        <v>11791.1113624997</v>
      </c>
      <c r="AY79" s="27" t="n">
        <f aca="false">SUMIF($C$2:$F$2,EOMONTH(AY$2,-1)+1,$C79:$F79)*VLOOKUP(AY$2,Valores!$H$2:$P$154,8,0)</f>
        <v>15328.4447712496</v>
      </c>
      <c r="AZ79" s="27" t="n">
        <f aca="false">SUMIF($C$2:$F$2,EOMONTH(AZ$2,-1)+1,$C79:$F79)*VLOOKUP(AZ$2,Valores!$H$2:$P$154,8,0)</f>
        <v>15328.4447712496</v>
      </c>
      <c r="BA79" s="27" t="n">
        <f aca="false">SUMIF($C$2:$F$2,EOMONTH(BA$2,-1)+1,$C79:$F79)*VLOOKUP(BA$2,Valores!$H$2:$P$154,8,0)</f>
        <v>15328.4447712496</v>
      </c>
      <c r="BB79" s="27" t="n">
        <f aca="false">SUMIF($C$2:$F$2,EOMONTH(BB$2,-1)+1,$C79:$F79)*VLOOKUP(BB$2,Valores!$H$2:$P$154,8,0)</f>
        <v>27119.5561337493</v>
      </c>
      <c r="BC79" s="27" t="n">
        <f aca="false">SUMIF($C$2:$F$2,EOMONTH(BC$2,-1)+1,$C79:$F79)*VLOOKUP(BC$2,Valores!$H$2:$P$154,8,0)</f>
        <v>33015.1118149992</v>
      </c>
      <c r="BD79" s="27" t="n">
        <f aca="false">SUMIF($C$2:$F$2,EOMONTH(BD$2,-1)+1,$C79:$F79)*VLOOKUP(BD$2,Valores!$H$2:$P$154,8,0)</f>
        <v>17686.6670437495</v>
      </c>
      <c r="BE79" s="27" t="n">
        <f aca="false">SUMIF($C$2:$F$2,EOMONTH(BE$2,-1)+1,$C79:$F79)*VLOOKUP(BE$2,Valores!$H$2:$P$154,8,0)</f>
        <v>15721.4818166663</v>
      </c>
      <c r="BF79" s="27" t="n">
        <f aca="false">SUMIF($C$2:$F$2,EOMONTH(BF$2,-1)+1,$C79:$F79)*VLOOKUP(BF$2,Valores!$H$2:$P$154,8,0)</f>
        <v>15721.4818166663</v>
      </c>
      <c r="BG79" s="27" t="n">
        <f aca="false">SUMIF($C$2:$F$2,EOMONTH(BG$2,-1)+1,$C79:$F79)*VLOOKUP(BG$2,Valores!$H$2:$P$154,8,0)</f>
        <v>15721.4818166663</v>
      </c>
      <c r="BH79" s="27" t="n">
        <f aca="false">SUMIF($C$2:$F$2,EOMONTH(BH$2,-1)+1,$C79:$F79)*VLOOKUP(BH$2,Valores!$H$2:$P$154,8,0)</f>
        <v>15721.4818166663</v>
      </c>
      <c r="BI79" s="27" t="n">
        <f aca="false">SUMIF($C$2:$F$2,EOMONTH(BI$2,-1)+1,$C79:$F79)*VLOOKUP(BI$2,Valores!$H$2:$P$154,8,0)</f>
        <v>31442.9636333325</v>
      </c>
      <c r="BJ79" s="27" t="n">
        <f aca="false">SUMIF($C$2:$F$2,EOMONTH(BJ$2,-1)+1,$C79:$F79)*VLOOKUP(BJ$2,Valores!$H$2:$P$154,8,0)</f>
        <v>39303.7045416657</v>
      </c>
      <c r="BK79" s="27" t="n">
        <f aca="false">SUMIF($C$2:$F$2,EOMONTH(BK$2,-1)+1,$C79:$F79)*VLOOKUP(BK$2,Valores!$H$2:$P$154,8,0)</f>
        <v>18865.7781799995</v>
      </c>
      <c r="BL79" s="27" t="n">
        <f aca="false">SUMIF($C$2:$F$2,EOMONTH(BL$2,-1)+1,$C79:$F79)*VLOOKUP(BL$2,Valores!$H$2:$P$154,8,0)</f>
        <v>13834.9039986663</v>
      </c>
      <c r="BM79" s="27" t="n">
        <f aca="false">SUMIF($C$2:$F$2,EOMONTH(BM$2,-1)+1,$C79:$F79)*VLOOKUP(BM$2,Valores!$H$2:$P$154,8,0)</f>
        <v>13834.9039986663</v>
      </c>
      <c r="BN79" s="27" t="n">
        <f aca="false">SUMIF($C$2:$F$2,EOMONTH(BN$2,-1)+1,$C79:$F79)*VLOOKUP(BN$2,Valores!$H$2:$P$154,8,0)</f>
        <v>13834.9039986663</v>
      </c>
      <c r="BO79" s="27" t="n">
        <f aca="false">SUMIF($C$2:$F$2,EOMONTH(BO$2,-1)+1,$C79:$F79)*VLOOKUP(BO$2,Valores!$H$2:$P$154,8,0)</f>
        <v>14526.6491985996</v>
      </c>
      <c r="BP79" s="27" t="n">
        <f aca="false">SUMIF($C$2:$F$2,EOMONTH(BP$2,-1)+1,$C79:$F79)*VLOOKUP(BP$2,Valores!$H$2:$P$154,8,0)</f>
        <v>36556.9901329524</v>
      </c>
      <c r="BQ79" s="27" t="n">
        <f aca="false">SUMIF($C$2:$F$2,EOMONTH(BQ$2,-1)+1,$C79:$F79)*VLOOKUP(BQ$2,Valores!$H$2:$P$154,8,0)</f>
        <v>45696.2376661905</v>
      </c>
      <c r="BR79" s="27" t="n">
        <f aca="false">SUMIF($C$2:$F$2,EOMONTH(BR$2,-1)+1,$C79:$F79)*VLOOKUP(BR$2,Valores!$H$2:$P$154,8,0)</f>
        <v>21934.1940797714</v>
      </c>
      <c r="BS79" s="27" t="n">
        <f aca="false">SUMIF($C$2:$F$2,EOMONTH(BS$2,-1)+1,$C79:$F79)*VLOOKUP(BS$2,Valores!$H$2:$P$154,8,0)</f>
        <v>9792.0509284694</v>
      </c>
      <c r="BT79" s="27" t="n">
        <f aca="false">SUMIF($C$2:$F$2,EOMONTH(BT$2,-1)+1,$C79:$F79)*VLOOKUP(BT$2,Valores!$H$2:$P$154,8,0)</f>
        <v>9792.0509284694</v>
      </c>
      <c r="BU79" s="27" t="n">
        <f aca="false">SUMIF($C$2:$F$2,EOMONTH(BU$2,-1)+1,$C79:$F79)*VLOOKUP(BU$2,Valores!$H$2:$P$154,8,0)</f>
        <v>9792.0509284694</v>
      </c>
      <c r="BV79" s="27" t="n">
        <f aca="false">SUMIF($C$2:$F$2,EOMONTH(BV$2,-1)+1,$C79:$F79)*VLOOKUP(BV$2,Valores!$H$2:$P$154,8,0)</f>
        <v>9792.0509284694</v>
      </c>
      <c r="BW79" s="27" t="n">
        <f aca="false">SUMIF($C$2:$F$2,EOMONTH(BW$2,-1)+1,$C79:$F79)*VLOOKUP(BW$2,Valores!$H$2:$P$154,8,0)</f>
        <v>19584.1018569388</v>
      </c>
      <c r="BX79" s="27" t="n">
        <f aca="false">SUMIF($C$2:$F$2,EOMONTH(BX$2,-1)+1,$C79:$F79)*VLOOKUP(BX$2,Valores!$H$2:$P$154,8,0)</f>
        <v>24480.1273211735</v>
      </c>
      <c r="BY79" s="27" t="n">
        <f aca="false">SUMIF($C$2:$F$2,EOMONTH(BY$2,-1)+1,$C79:$F79)*VLOOKUP(BY$2,Valores!$H$2:$P$154,8,0)</f>
        <v>14688.0763927041</v>
      </c>
      <c r="BZ79" s="27" t="n">
        <f aca="false">SUMIF($C$2:$F$2,EOMONTH(BZ$2,-1)+1,$C79:$F79)*VLOOKUP(BZ$2,Valores!$H$2:$P$154,8,0)</f>
        <v>9792.0509284694</v>
      </c>
      <c r="CA79" s="27" t="n">
        <f aca="false">SUMIF($C$2:$F$2,EOMONTH(CA$2,-1)+1,$C79:$F79)*VLOOKUP(CA$2,Valores!$H$2:$P$154,8,0)</f>
        <v>9792.0509284694</v>
      </c>
      <c r="CB79" s="27" t="n">
        <f aca="false">SUMIF($C$2:$F$2,EOMONTH(CB$2,-1)+1,$C79:$F79)*VLOOKUP(CB$2,Valores!$H$2:$P$154,8,0)</f>
        <v>9792.0509284694</v>
      </c>
      <c r="CC79" s="27" t="n">
        <f aca="false">SUMIF($C$2:$F$2,EOMONTH(CC$2,-1)+1,$C79:$F79)*VLOOKUP(CC$2,Valores!$H$2:$P$154,8,0)</f>
        <v>9792.0509284694</v>
      </c>
      <c r="CD79" s="27" t="n">
        <f aca="false">SUMIF($C$2:$F$2,EOMONTH(CD$2,-1)+1,$C79:$F79)*VLOOKUP(CD$2,Valores!$H$2:$P$154,8,0)</f>
        <v>29376.1527854082</v>
      </c>
      <c r="CE79" s="27" t="n">
        <f aca="false">SUMIF($C$2:$F$2,EOMONTH(CE$2,-1)+1,$C79:$F79)*VLOOKUP(CE$2,Valores!$H$2:$P$154,8,0)</f>
        <v>39168.2037138776</v>
      </c>
      <c r="CF79" s="27" t="n">
        <f aca="false">SUMIF($C$2:$F$2,EOMONTH(CF$2,-1)+1,$C79:$F79)*VLOOKUP(CF$2,Valores!$H$2:$P$154,8,0)</f>
        <v>24480.1273211735</v>
      </c>
      <c r="CG79" s="27" t="n">
        <f aca="false">SUMIF($C$2:$F$2,EOMONTH(CG$2,-1)+1,$C79:$F79)*VLOOKUP(CG$2,Valores!$H$2:$P$154,8,0)</f>
        <v>13056.0679046259</v>
      </c>
      <c r="CH79" s="27" t="n">
        <f aca="false">SUMIF($C$2:$F$2,EOMONTH(CH$2,-1)+1,$C79:$F79)*VLOOKUP(CH$2,Valores!$H$2:$P$154,8,0)</f>
        <v>13056.0679046259</v>
      </c>
      <c r="CI79" s="27" t="n">
        <f aca="false">SUMIF($C$2:$F$2,EOMONTH(CI$2,-1)+1,$C79:$F79)*VLOOKUP(CI$2,Valores!$H$2:$P$154,8,0)</f>
        <v>13056.0679046259</v>
      </c>
      <c r="CJ79" s="27" t="n">
        <f aca="false">SUMIF($C$2:$F$2,EOMONTH(CJ$2,-1)+1,$C79:$F79)*VLOOKUP(CJ$2,Valores!$H$2:$P$154,8,0)</f>
        <v>13056.0679046259</v>
      </c>
      <c r="CK79" s="27" t="n">
        <f aca="false">SUMIF($C$2:$F$2,EOMONTH(CK$2,-1)+1,$C79:$F79)*VLOOKUP(CK$2,Valores!$H$2:$P$154,8,0)</f>
        <v>26112.1358092517</v>
      </c>
      <c r="CL79" s="27" t="n">
        <f aca="false">SUMIF($C$2:$F$2,EOMONTH(CL$2,-1)+1,$C79:$F79)*VLOOKUP(CL$2,Valores!$H$2:$P$154,8,0)</f>
        <v>32640.1697615646</v>
      </c>
      <c r="CM79" s="27" t="n">
        <f aca="false">SUMIF($C$2:$F$2,EOMONTH(CM$2,-1)+1,$C79:$F79)*VLOOKUP(CM$2,Valores!$H$2:$P$154,8,0)</f>
        <v>19584.1018569388</v>
      </c>
      <c r="CN79" s="27" t="n">
        <f aca="false">SUMIF($C$2:$F$2,EOMONTH(CN$2,-1)+1,$C79:$F79)*VLOOKUP(CN$2,Valores!$H$2:$P$154,8,0)</f>
        <v>14361.6746950884</v>
      </c>
      <c r="CO79" s="27" t="n">
        <f aca="false">SUMIF($C$2:$F$2,EOMONTH(CO$2,-1)+1,$C79:$F79)*VLOOKUP(CO$2,Valores!$H$2:$P$154,8,0)</f>
        <v>14361.6746950884</v>
      </c>
      <c r="CP79" s="27" t="n">
        <f aca="false">SUMIF($C$2:$F$2,EOMONTH(CP$2,-1)+1,$C79:$F79)*VLOOKUP(CP$2,Valores!$H$2:$P$154,8,0)</f>
        <v>14361.6746950884</v>
      </c>
      <c r="CQ79" s="27" t="n">
        <f aca="false">SUMIF($C$2:$F$2,EOMONTH(CQ$2,-1)+1,$C79:$F79)*VLOOKUP(CQ$2,Valores!$H$2:$P$154,8,0)</f>
        <v>14361.6746950884</v>
      </c>
      <c r="CR79" s="27" t="n">
        <f aca="false">SUMIF($C$2:$F$2,EOMONTH(CR$2,-1)+1,$C79:$F79)*VLOOKUP(CR$2,Valores!$H$2:$P$154,8,0)</f>
        <v>28723.3493901769</v>
      </c>
      <c r="CS79" s="27" t="n">
        <f aca="false">SUMIF($C$2:$F$2,EOMONTH(CS$2,-1)+1,$C79:$F79)*VLOOKUP(CS$2,Valores!$H$2:$P$154,8,0)</f>
        <v>43085.0240852653</v>
      </c>
      <c r="CT79" s="27" t="e">
        <f aca="false">SUMIF($C$2:$F$2,EOMONTH(CT$2,-1)+1,$C79:$F79)*VLOOKUP(CT$2,Valores!$H$2:$P$154,8,0)</f>
        <v>#VALUE!</v>
      </c>
      <c r="CU79" s="27" t="e">
        <f aca="false">SUMIF($C$2:$F$2,EOMONTH(CU$2,-1)+1,$C79:$F79)*VLOOKUP(CU$2,Valores!$H$2:$P$154,8,0)</f>
        <v>#VALUE!</v>
      </c>
      <c r="CV79" s="27" t="e">
        <f aca="false">SUMIF($C$2:$F$2,EOMONTH(CV$2,-1)+1,$C79:$F79)*VLOOKUP(CV$2,Valores!$H$2:$P$154,8,0)</f>
        <v>#VALUE!</v>
      </c>
      <c r="CW79" s="27" t="e">
        <f aca="false">SUMIF($C$2:$F$2,EOMONTH(CW$2,-1)+1,$C79:$F79)*VLOOKUP(CW$2,Valores!$H$2:$P$154,8,0)</f>
        <v>#VALUE!</v>
      </c>
      <c r="CX79" s="27" t="e">
        <f aca="false">SUMIF($C$2:$F$2,EOMONTH(CX$2,-1)+1,$C79:$F79)*VLOOKUP(CX$2,Valores!$H$2:$P$154,8,0)</f>
        <v>#VALUE!</v>
      </c>
      <c r="CY79" s="27" t="e">
        <f aca="false">SUMIF($C$2:$F$2,EOMONTH(CY$2,-1)+1,$C79:$F79)*VLOOKUP(CY$2,Valores!$H$2:$P$154,8,0)</f>
        <v>#VALUE!</v>
      </c>
      <c r="CZ79" s="27" t="e">
        <f aca="false">SUMIF($C$2:$F$2,EOMONTH(CZ$2,-1)+1,$C79:$F79)*VLOOKUP(CZ$2,Valores!$H$2:$P$154,8,0)</f>
        <v>#VALUE!</v>
      </c>
      <c r="DA79" s="27" t="e">
        <f aca="false">SUMIF($C$2:$F$2,EOMONTH(DA$2,-1)+1,$C79:$F79)*VLOOKUP(DA$2,Valores!$H$2:$P$154,8,0)</f>
        <v>#VALUE!</v>
      </c>
      <c r="DB79" s="27" t="e">
        <f aca="false">SUMIF($C$2:$F$2,EOMONTH(DB$2,-1)+1,$C79:$F79)*VLOOKUP(DB$2,Valores!$H$2:$P$154,8,0)</f>
        <v>#VALUE!</v>
      </c>
      <c r="DC79" s="27" t="e">
        <f aca="false">SUMIF($C$2:$F$2,EOMONTH(DC$2,-1)+1,$C79:$F79)*VLOOKUP(DC$2,Valores!$H$2:$P$154,8,0)</f>
        <v>#VALUE!</v>
      </c>
      <c r="DD79" s="27" t="e">
        <f aca="false">SUMIF($C$2:$F$2,EOMONTH(DD$2,-1)+1,$C79:$F79)*VLOOKUP(DD$2,Valores!$H$2:$P$154,8,0)</f>
        <v>#VALUE!</v>
      </c>
      <c r="DE79" s="27" t="e">
        <f aca="false">SUMIF($C$2:$F$2,EOMONTH(DE$2,-1)+1,$C79:$F79)*VLOOKUP(DE$2,Valores!$H$2:$P$154,8,0)</f>
        <v>#VALUE!</v>
      </c>
      <c r="DF79" s="27" t="e">
        <f aca="false">SUMIF($C$2:$F$2,EOMONTH(DF$2,-1)+1,$C79:$F79)*VLOOKUP(DF$2,Valores!$H$2:$P$154,8,0)</f>
        <v>#VALUE!</v>
      </c>
      <c r="DG79" s="27" t="e">
        <f aca="false">SUMIF($C$2:$F$2,EOMONTH(DG$2,-1)+1,$C79:$F79)*VLOOKUP(DG$2,Valores!$H$2:$P$154,8,0)</f>
        <v>#VALUE!</v>
      </c>
      <c r="DH79" s="27" t="e">
        <f aca="false">SUMIF($C$2:$F$2,EOMONTH(DH$2,-1)+1,$C79:$F79)*VLOOKUP(DH$2,Valores!$H$2:$P$154,8,0)</f>
        <v>#VALUE!</v>
      </c>
      <c r="DI79" s="27" t="e">
        <f aca="false">SUMIF($C$2:$F$2,EOMONTH(DI$2,-1)+1,$C79:$F79)*VLOOKUP(DI$2,Valores!$H$2:$P$154,8,0)</f>
        <v>#VALUE!</v>
      </c>
      <c r="DJ79" s="27" t="e">
        <f aca="false">SUMIF($C$2:$F$2,EOMONTH(DJ$2,-1)+1,$C79:$F79)*VLOOKUP(DJ$2,Valores!$H$2:$P$154,8,0)</f>
        <v>#VALUE!</v>
      </c>
      <c r="DK79" s="27" t="e">
        <f aca="false">SUMIF($C$2:$F$2,EOMONTH(DK$2,-1)+1,$C79:$F79)*VLOOKUP(DK$2,Valores!$H$2:$P$154,8,0)</f>
        <v>#VALUE!</v>
      </c>
      <c r="DL79" s="27" t="e">
        <f aca="false">SUMIF($C$2:$F$2,EOMONTH(DL$2,-1)+1,$C79:$F79)*VLOOKUP(DL$2,Valores!$H$2:$P$154,8,0)</f>
        <v>#VALUE!</v>
      </c>
      <c r="DM79" s="27" t="e">
        <f aca="false">SUMIF($C$2:$F$2,EOMONTH(DM$2,-1)+1,$C79:$F79)*VLOOKUP(DM$2,Valores!$H$2:$P$154,8,0)</f>
        <v>#VALUE!</v>
      </c>
      <c r="DN79" s="27" t="e">
        <f aca="false">SUMIF($C$2:$F$2,EOMONTH(DN$2,-1)+1,$C79:$F79)*VLOOKUP(DN$2,Valores!$H$2:$P$154,8,0)</f>
        <v>#VALUE!</v>
      </c>
      <c r="DO79" s="27" t="e">
        <f aca="false">SUMIF($C$2:$F$2,EOMONTH(DO$2,-1)+1,$C79:$F79)*VLOOKUP(DO$2,Valores!$H$2:$P$154,8,0)</f>
        <v>#VALUE!</v>
      </c>
      <c r="DP79" s="27" t="e">
        <f aca="false">SUMIF($C$2:$F$2,EOMONTH(DP$2,-1)+1,$C79:$F79)*VLOOKUP(DP$2,Valores!$H$2:$P$154,8,0)</f>
        <v>#VALUE!</v>
      </c>
      <c r="DQ79" s="27" t="e">
        <f aca="false">SUMIF($C$2:$F$2,EOMONTH(DQ$2,-1)+1,$C79:$F79)*VLOOKUP(DQ$2,Valores!$H$2:$P$154,8,0)</f>
        <v>#VALUE!</v>
      </c>
      <c r="DR79" s="27" t="e">
        <f aca="false">SUMIF($C$2:$F$2,EOMONTH(DR$2,-1)+1,$C79:$F79)*VLOOKUP(DR$2,Valores!$H$2:$P$154,8,0)</f>
        <v>#VALUE!</v>
      </c>
      <c r="DS79" s="27" t="e">
        <f aca="false">SUMIF($C$2:$F$2,EOMONTH(DS$2,-1)+1,$C79:$F79)*VLOOKUP(DS$2,Valores!$H$2:$P$154,8,0)</f>
        <v>#VALUE!</v>
      </c>
      <c r="DT79" s="27" t="e">
        <f aca="false">SUMIF($C$2:$F$2,EOMONTH(DT$2,-1)+1,$C79:$F79)*VLOOKUP(DT$2,Valores!$H$2:$P$154,8,0)</f>
        <v>#VALUE!</v>
      </c>
      <c r="DU79" s="27" t="e">
        <f aca="false">SUMIF($C$2:$F$2,EOMONTH(DU$2,-1)+1,$C79:$F79)*VLOOKUP(DU$2,Valores!$H$2:$P$154,8,0)</f>
        <v>#VALUE!</v>
      </c>
      <c r="DV79" s="27" t="e">
        <f aca="false">SUMIF($C$2:$F$2,EOMONTH(DV$2,-1)+1,$C79:$F79)*VLOOKUP(DV$2,Valores!$H$2:$P$154,8,0)</f>
        <v>#VALUE!</v>
      </c>
      <c r="DW79" s="27" t="e">
        <f aca="false">SUMIF($C$2:$F$2,EOMONTH(DW$2,-1)+1,$C79:$F79)*VLOOKUP(DW$2,Valores!$H$2:$P$154,8,0)</f>
        <v>#VALUE!</v>
      </c>
      <c r="DX79" s="27" t="e">
        <f aca="false">SUMIF($C$2:$F$2,EOMONTH(DX$2,-1)+1,$C79:$F79)*VLOOKUP(DX$2,Valores!$H$2:$P$154,8,0)</f>
        <v>#VALUE!</v>
      </c>
    </row>
    <row r="80" customFormat="false" ht="13.8" hidden="false" customHeight="false" outlineLevel="0" collapsed="false">
      <c r="A80" s="33" t="s">
        <v>91</v>
      </c>
      <c r="B80" s="29" t="s">
        <v>103</v>
      </c>
      <c r="C80" s="29" t="n">
        <v>743495</v>
      </c>
      <c r="D80" s="29" t="n">
        <v>669145.5</v>
      </c>
      <c r="E80" s="29" t="n">
        <v>602230.95</v>
      </c>
      <c r="F80" s="29" t="n">
        <v>542007.855</v>
      </c>
      <c r="G80" s="30" t="n">
        <f aca="false">SUMIF($C$2:$F$2,EOMONTH(G$2,-1)+1,$C80:$F80)*VLOOKUP(G$2,Valores!$H$2:$P$154,8,0)</f>
        <v>21410.5027151555</v>
      </c>
      <c r="H80" s="30" t="n">
        <f aca="false">SUMIF($C$2:$F$2,EOMONTH(H$2,-1)+1,$C80:$F80)*VLOOKUP(H$2,Valores!$H$2:$P$154,8,0)</f>
        <v>14681.4875761066</v>
      </c>
      <c r="I80" s="30" t="n">
        <f aca="false">SUMIF($C$2:$F$2,EOMONTH(I$2,-1)+1,$C80:$F80)*VLOOKUP(I$2,Valores!$H$2:$P$154,8,0)</f>
        <v>14681.4875761066</v>
      </c>
      <c r="J80" s="30" t="n">
        <f aca="false">SUMIF($C$2:$F$2,EOMONTH(J$2,-1)+1,$C80:$F80)*VLOOKUP(J$2,Valores!$H$2:$P$154,8,0)</f>
        <v>14681.4875761066</v>
      </c>
      <c r="K80" s="30" t="n">
        <f aca="false">SUMIF($C$2:$F$2,EOMONTH(K$2,-1)+1,$C80:$F80)*VLOOKUP(K$2,Valores!$H$2:$P$154,8,0)</f>
        <v>14681.4875761066</v>
      </c>
      <c r="L80" s="30" t="n">
        <f aca="false">SUMIF($C$2:$F$2,EOMONTH(L$2,-1)+1,$C80:$F80)*VLOOKUP(L$2,Valores!$H$2:$P$154,8,0)</f>
        <v>29362.9751522133</v>
      </c>
      <c r="M80" s="30" t="n">
        <f aca="false">SUMIF($C$2:$F$2,EOMONTH(M$2,-1)+1,$C80:$F80)*VLOOKUP(M$2,Valores!$H$2:$P$154,8,0)</f>
        <v>36703.7189402666</v>
      </c>
      <c r="N80" s="30" t="n">
        <f aca="false">SUMIF($C$2:$F$2,EOMONTH(N$2,-1)+1,$C80:$F80)*VLOOKUP(N$2,Valores!$H$2:$P$154,8,0)</f>
        <v>22022.2313641599</v>
      </c>
      <c r="O80" s="30" t="n">
        <f aca="false">SUMIF($C$2:$F$2,EOMONTH(O$2,-1)+1,$C80:$F80)*VLOOKUP(O$2,Valores!$H$2:$P$154,8,0)</f>
        <v>19575.3167681422</v>
      </c>
      <c r="P80" s="30" t="n">
        <f aca="false">SUMIF($C$2:$F$2,EOMONTH(P$2,-1)+1,$C80:$F80)*VLOOKUP(P$2,Valores!$H$2:$P$154,8,0)</f>
        <v>19575.3167681422</v>
      </c>
      <c r="Q80" s="30" t="n">
        <f aca="false">SUMIF($C$2:$F$2,EOMONTH(Q$2,-1)+1,$C80:$F80)*VLOOKUP(Q$2,Valores!$H$2:$P$154,8,0)</f>
        <v>11745.1900608853</v>
      </c>
      <c r="R80" s="30" t="n">
        <f aca="false">SUMIF($C$2:$F$2,EOMONTH(R$2,-1)+1,$C80:$F80)*VLOOKUP(R$2,Valores!$H$2:$P$154,8,0)</f>
        <v>19575.3167681422</v>
      </c>
      <c r="S80" s="30" t="n">
        <f aca="false">SUMIF($C$2:$F$2,EOMONTH(S$2,-1)+1,$C80:$F80)*VLOOKUP(S$2,Valores!$H$2:$P$154,8,0)</f>
        <v>39150.6335362843</v>
      </c>
      <c r="T80" s="30" t="n">
        <f aca="false">SUMIF($C$2:$F$2,EOMONTH(T$2,-1)+1,$C80:$F80)*VLOOKUP(T$2,Valores!$H$2:$P$154,8,0)</f>
        <v>48938.2919203554</v>
      </c>
      <c r="U80" s="30" t="n">
        <f aca="false">SUMIF($C$2:$F$2,EOMONTH(U$2,-1)+1,$C80:$F80)*VLOOKUP(U$2,Valores!$H$2:$P$154,8,0)</f>
        <v>29362.9751522133</v>
      </c>
      <c r="V80" s="30" t="n">
        <f aca="false">SUMIF($C$2:$F$2,EOMONTH(V$2,-1)+1,$C80:$F80)*VLOOKUP(V$2,Valores!$H$2:$P$154,8,0)</f>
        <v>24469.1459601777</v>
      </c>
      <c r="W80" s="30" t="n">
        <f aca="false">SUMIF($C$2:$F$2,EOMONTH(W$2,-1)+1,$C80:$F80)*VLOOKUP(W$2,Valores!$H$2:$P$154,8,0)</f>
        <v>24469.1459601777</v>
      </c>
      <c r="X80" s="30" t="n">
        <f aca="false">SUMIF($C$2:$F$2,EOMONTH(X$2,-1)+1,$C80:$F80)*VLOOKUP(X$2,Valores!$H$2:$P$154,8,0)</f>
        <v>0</v>
      </c>
      <c r="Y80" s="30" t="n">
        <f aca="false">SUMIF($C$2:$F$2,EOMONTH(Y$2,-1)+1,$C80:$F80)*VLOOKUP(Y$2,Valores!$H$2:$P$154,8,0)</f>
        <v>0</v>
      </c>
      <c r="Z80" s="30" t="n">
        <f aca="false">SUMIF($C$2:$F$2,EOMONTH(Z$2,-1)+1,$C80:$F80)*VLOOKUP(Z$2,Valores!$H$2:$P$154,8,0)</f>
        <v>36703.7189402666</v>
      </c>
      <c r="AA80" s="30" t="n">
        <f aca="false">SUMIF($C$2:$F$2,EOMONTH(AA$2,-1)+1,$C80:$F80)*VLOOKUP(AA$2,Valores!$H$2:$P$154,8,0)</f>
        <v>44044.4627283199</v>
      </c>
      <c r="AB80" s="30" t="n">
        <f aca="false">SUMIF($C$2:$F$2,EOMONTH(AB$2,-1)+1,$C80:$F80)*VLOOKUP(AB$2,Valores!$H$2:$P$154,8,0)</f>
        <v>22022.2313641599</v>
      </c>
      <c r="AC80" s="30" t="n">
        <f aca="false">SUMIF($C$2:$F$2,EOMONTH(AC$2,-1)+1,$C80:$F80)*VLOOKUP(AC$2,Valores!$H$2:$P$154,8,0)</f>
        <v>26916.0605561955</v>
      </c>
      <c r="AD80" s="30" t="n">
        <f aca="false">SUMIF($C$2:$F$2,EOMONTH(AD$2,-1)+1,$C80:$F80)*VLOOKUP(AD$2,Valores!$H$2:$P$154,8,0)</f>
        <v>26916.0605561955</v>
      </c>
      <c r="AE80" s="30" t="n">
        <f aca="false">SUMIF($C$2:$F$2,EOMONTH(AE$2,-1)+1,$C80:$F80)*VLOOKUP(AE$2,Valores!$H$2:$P$154,8,0)</f>
        <v>26916.0605561955</v>
      </c>
      <c r="AF80" s="30" t="n">
        <f aca="false">SUMIF($C$2:$F$2,EOMONTH(AF$2,-1)+1,$C80:$F80)*VLOOKUP(AF$2,Valores!$H$2:$P$154,8,0)</f>
        <v>26916.0605561955</v>
      </c>
      <c r="AG80" s="30" t="n">
        <f aca="false">SUMIF($C$2:$F$2,EOMONTH(AG$2,-1)+1,$C80:$F80)*VLOOKUP(AG$2,Valores!$H$2:$P$154,8,0)</f>
        <v>43065.6968899128</v>
      </c>
      <c r="AH80" s="30" t="n">
        <f aca="false">SUMIF($C$2:$F$2,EOMONTH(AH$2,-1)+1,$C80:$F80)*VLOOKUP(AH$2,Valores!$H$2:$P$154,8,0)</f>
        <v>53832.121112391</v>
      </c>
      <c r="AI80" s="30" t="n">
        <f aca="false">SUMIF($C$2:$F$2,EOMONTH(AI$2,-1)+1,$C80:$F80)*VLOOKUP(AI$2,Valores!$H$2:$P$154,8,0)</f>
        <v>18841.2423893368</v>
      </c>
      <c r="AJ80" s="30" t="n">
        <f aca="false">SUMIF($C$2:$F$2,EOMONTH(AJ$2,-1)+1,$C80:$F80)*VLOOKUP(AJ$2,Valores!$H$2:$P$154,8,0)</f>
        <v>12234.5729800889</v>
      </c>
      <c r="AK80" s="30" t="n">
        <f aca="false">SUMIF($C$2:$F$2,EOMONTH(AK$2,-1)+1,$C80:$F80)*VLOOKUP(AK$2,Valores!$H$2:$P$154,8,0)</f>
        <v>22310.6932768106</v>
      </c>
      <c r="AL80" s="30" t="n">
        <f aca="false">SUMIF($C$2:$F$2,EOMONTH(AL$2,-1)+1,$C80:$F80)*VLOOKUP(AL$2,Valores!$H$2:$P$154,8,0)</f>
        <v>22310.6932768106</v>
      </c>
      <c r="AM80" s="30" t="n">
        <f aca="false">SUMIF($C$2:$F$2,EOMONTH(AM$2,-1)+1,$C80:$F80)*VLOOKUP(AM$2,Valores!$H$2:$P$154,8,0)</f>
        <v>22310.6932768106</v>
      </c>
      <c r="AN80" s="30" t="n">
        <f aca="false">SUMIF($C$2:$F$2,EOMONTH(AN$2,-1)+1,$C80:$F80)*VLOOKUP(AN$2,Valores!$H$2:$P$154,8,0)</f>
        <v>44621.3865536212</v>
      </c>
      <c r="AO80" s="30" t="n">
        <f aca="false">SUMIF($C$2:$F$2,EOMONTH(AO$2,-1)+1,$C80:$F80)*VLOOKUP(AO$2,Valores!$H$2:$P$154,8,0)</f>
        <v>55776.7331920265</v>
      </c>
      <c r="AP80" s="30" t="n">
        <f aca="false">SUMIF($C$2:$F$2,EOMONTH(AP$2,-1)+1,$C80:$F80)*VLOOKUP(AP$2,Valores!$H$2:$P$154,8,0)</f>
        <v>33466.0399152159</v>
      </c>
      <c r="AQ80" s="30" t="n">
        <f aca="false">SUMIF($C$2:$F$2,EOMONTH(AQ$2,-1)+1,$C80:$F80)*VLOOKUP(AQ$2,Valores!$H$2:$P$154,8,0)</f>
        <v>11952.1571125771</v>
      </c>
      <c r="AR80" s="30" t="n">
        <f aca="false">SUMIF($C$2:$F$2,EOMONTH(AR$2,-1)+1,$C80:$F80)*VLOOKUP(AR$2,Valores!$H$2:$P$154,8,0)</f>
        <v>11952.1571125771</v>
      </c>
      <c r="AS80" s="30" t="n">
        <f aca="false">SUMIF($C$2:$F$2,EOMONTH(AS$2,-1)+1,$C80:$F80)*VLOOKUP(AS$2,Valores!$H$2:$P$154,8,0)</f>
        <v>11952.1571125771</v>
      </c>
      <c r="AT80" s="30" t="n">
        <f aca="false">SUMIF($C$2:$F$2,EOMONTH(AT$2,-1)+1,$C80:$F80)*VLOOKUP(AT$2,Valores!$H$2:$P$154,8,0)</f>
        <v>11952.1571125771</v>
      </c>
      <c r="AU80" s="30" t="n">
        <f aca="false">SUMIF($C$2:$F$2,EOMONTH(AU$2,-1)+1,$C80:$F80)*VLOOKUP(AU$2,Valores!$H$2:$P$154,8,0)</f>
        <v>23904.3142251542</v>
      </c>
      <c r="AV80" s="30" t="n">
        <f aca="false">SUMIF($C$2:$F$2,EOMONTH(AV$2,-1)+1,$C80:$F80)*VLOOKUP(AV$2,Valores!$H$2:$P$154,8,0)</f>
        <v>29880.3927814428</v>
      </c>
      <c r="AW80" s="30" t="n">
        <f aca="false">SUMIF($C$2:$F$2,EOMONTH(AW$2,-1)+1,$C80:$F80)*VLOOKUP(AW$2,Valores!$H$2:$P$154,8,0)</f>
        <v>17928.2356688657</v>
      </c>
      <c r="AX80" s="30" t="n">
        <f aca="false">SUMIF($C$2:$F$2,EOMONTH(AX$2,-1)+1,$C80:$F80)*VLOOKUP(AX$2,Valores!$H$2:$P$154,8,0)</f>
        <v>11952.1571125771</v>
      </c>
      <c r="AY80" s="30" t="n">
        <f aca="false">SUMIF($C$2:$F$2,EOMONTH(AY$2,-1)+1,$C80:$F80)*VLOOKUP(AY$2,Valores!$H$2:$P$154,8,0)</f>
        <v>15537.8042463502</v>
      </c>
      <c r="AZ80" s="30" t="n">
        <f aca="false">SUMIF($C$2:$F$2,EOMONTH(AZ$2,-1)+1,$C80:$F80)*VLOOKUP(AZ$2,Valores!$H$2:$P$154,8,0)</f>
        <v>15537.8042463502</v>
      </c>
      <c r="BA80" s="30" t="n">
        <f aca="false">SUMIF($C$2:$F$2,EOMONTH(BA$2,-1)+1,$C80:$F80)*VLOOKUP(BA$2,Valores!$H$2:$P$154,8,0)</f>
        <v>15537.8042463502</v>
      </c>
      <c r="BB80" s="30" t="n">
        <f aca="false">SUMIF($C$2:$F$2,EOMONTH(BB$2,-1)+1,$C80:$F80)*VLOOKUP(BB$2,Valores!$H$2:$P$154,8,0)</f>
        <v>27489.9613589273</v>
      </c>
      <c r="BC80" s="30" t="n">
        <f aca="false">SUMIF($C$2:$F$2,EOMONTH(BC$2,-1)+1,$C80:$F80)*VLOOKUP(BC$2,Valores!$H$2:$P$154,8,0)</f>
        <v>33466.0399152159</v>
      </c>
      <c r="BD80" s="30" t="n">
        <f aca="false">SUMIF($C$2:$F$2,EOMONTH(BD$2,-1)+1,$C80:$F80)*VLOOKUP(BD$2,Valores!$H$2:$P$154,8,0)</f>
        <v>17928.2356688657</v>
      </c>
      <c r="BE80" s="30" t="n">
        <f aca="false">SUMIF($C$2:$F$2,EOMONTH(BE$2,-1)+1,$C80:$F80)*VLOOKUP(BE$2,Valores!$H$2:$P$154,8,0)</f>
        <v>15936.2094834361</v>
      </c>
      <c r="BF80" s="30" t="n">
        <f aca="false">SUMIF($C$2:$F$2,EOMONTH(BF$2,-1)+1,$C80:$F80)*VLOOKUP(BF$2,Valores!$H$2:$P$154,8,0)</f>
        <v>15936.2094834361</v>
      </c>
      <c r="BG80" s="30" t="n">
        <f aca="false">SUMIF($C$2:$F$2,EOMONTH(BG$2,-1)+1,$C80:$F80)*VLOOKUP(BG$2,Valores!$H$2:$P$154,8,0)</f>
        <v>15936.2094834361</v>
      </c>
      <c r="BH80" s="30" t="n">
        <f aca="false">SUMIF($C$2:$F$2,EOMONTH(BH$2,-1)+1,$C80:$F80)*VLOOKUP(BH$2,Valores!$H$2:$P$154,8,0)</f>
        <v>15936.2094834361</v>
      </c>
      <c r="BI80" s="30" t="n">
        <f aca="false">SUMIF($C$2:$F$2,EOMONTH(BI$2,-1)+1,$C80:$F80)*VLOOKUP(BI$2,Valores!$H$2:$P$154,8,0)</f>
        <v>31872.4189668723</v>
      </c>
      <c r="BJ80" s="30" t="n">
        <f aca="false">SUMIF($C$2:$F$2,EOMONTH(BJ$2,-1)+1,$C80:$F80)*VLOOKUP(BJ$2,Valores!$H$2:$P$154,8,0)</f>
        <v>39840.5237085903</v>
      </c>
      <c r="BK80" s="30" t="n">
        <f aca="false">SUMIF($C$2:$F$2,EOMONTH(BK$2,-1)+1,$C80:$F80)*VLOOKUP(BK$2,Valores!$H$2:$P$154,8,0)</f>
        <v>19123.4513801234</v>
      </c>
      <c r="BL80" s="30" t="n">
        <f aca="false">SUMIF($C$2:$F$2,EOMONTH(BL$2,-1)+1,$C80:$F80)*VLOOKUP(BL$2,Valores!$H$2:$P$154,8,0)</f>
        <v>14023.8643454238</v>
      </c>
      <c r="BM80" s="30" t="n">
        <f aca="false">SUMIF($C$2:$F$2,EOMONTH(BM$2,-1)+1,$C80:$F80)*VLOOKUP(BM$2,Valores!$H$2:$P$154,8,0)</f>
        <v>14023.8643454238</v>
      </c>
      <c r="BN80" s="30" t="n">
        <f aca="false">SUMIF($C$2:$F$2,EOMONTH(BN$2,-1)+1,$C80:$F80)*VLOOKUP(BN$2,Valores!$H$2:$P$154,8,0)</f>
        <v>14023.8643454238</v>
      </c>
      <c r="BO80" s="30" t="n">
        <f aca="false">SUMIF($C$2:$F$2,EOMONTH(BO$2,-1)+1,$C80:$F80)*VLOOKUP(BO$2,Valores!$H$2:$P$154,8,0)</f>
        <v>14725.057562695</v>
      </c>
      <c r="BP80" s="30" t="n">
        <f aca="false">SUMIF($C$2:$F$2,EOMONTH(BP$2,-1)+1,$C80:$F80)*VLOOKUP(BP$2,Valores!$H$2:$P$154,8,0)</f>
        <v>37056.2940336227</v>
      </c>
      <c r="BQ80" s="30" t="n">
        <f aca="false">SUMIF($C$2:$F$2,EOMONTH(BQ$2,-1)+1,$C80:$F80)*VLOOKUP(BQ$2,Valores!$H$2:$P$154,8,0)</f>
        <v>46320.3675420283</v>
      </c>
      <c r="BR80" s="30" t="n">
        <f aca="false">SUMIF($C$2:$F$2,EOMONTH(BR$2,-1)+1,$C80:$F80)*VLOOKUP(BR$2,Valores!$H$2:$P$154,8,0)</f>
        <v>22233.7764201736</v>
      </c>
      <c r="BS80" s="30" t="n">
        <f aca="false">SUMIF($C$2:$F$2,EOMONTH(BS$2,-1)+1,$C80:$F80)*VLOOKUP(BS$2,Valores!$H$2:$P$154,8,0)</f>
        <v>9925.79304472035</v>
      </c>
      <c r="BT80" s="30" t="n">
        <f aca="false">SUMIF($C$2:$F$2,EOMONTH(BT$2,-1)+1,$C80:$F80)*VLOOKUP(BT$2,Valores!$H$2:$P$154,8,0)</f>
        <v>9925.79304472035</v>
      </c>
      <c r="BU80" s="30" t="n">
        <f aca="false">SUMIF($C$2:$F$2,EOMONTH(BU$2,-1)+1,$C80:$F80)*VLOOKUP(BU$2,Valores!$H$2:$P$154,8,0)</f>
        <v>9925.79304472035</v>
      </c>
      <c r="BV80" s="30" t="n">
        <f aca="false">SUMIF($C$2:$F$2,EOMONTH(BV$2,-1)+1,$C80:$F80)*VLOOKUP(BV$2,Valores!$H$2:$P$154,8,0)</f>
        <v>9925.79304472035</v>
      </c>
      <c r="BW80" s="30" t="n">
        <f aca="false">SUMIF($C$2:$F$2,EOMONTH(BW$2,-1)+1,$C80:$F80)*VLOOKUP(BW$2,Valores!$H$2:$P$154,8,0)</f>
        <v>19851.5860894407</v>
      </c>
      <c r="BX80" s="30" t="n">
        <f aca="false">SUMIF($C$2:$F$2,EOMONTH(BX$2,-1)+1,$C80:$F80)*VLOOKUP(BX$2,Valores!$H$2:$P$154,8,0)</f>
        <v>24814.4826118009</v>
      </c>
      <c r="BY80" s="30" t="n">
        <f aca="false">SUMIF($C$2:$F$2,EOMONTH(BY$2,-1)+1,$C80:$F80)*VLOOKUP(BY$2,Valores!$H$2:$P$154,8,0)</f>
        <v>14888.6895670805</v>
      </c>
      <c r="BZ80" s="30" t="n">
        <f aca="false">SUMIF($C$2:$F$2,EOMONTH(BZ$2,-1)+1,$C80:$F80)*VLOOKUP(BZ$2,Valores!$H$2:$P$154,8,0)</f>
        <v>9925.79304472035</v>
      </c>
      <c r="CA80" s="30" t="n">
        <f aca="false">SUMIF($C$2:$F$2,EOMONTH(CA$2,-1)+1,$C80:$F80)*VLOOKUP(CA$2,Valores!$H$2:$P$154,8,0)</f>
        <v>9925.79304472035</v>
      </c>
      <c r="CB80" s="30" t="n">
        <f aca="false">SUMIF($C$2:$F$2,EOMONTH(CB$2,-1)+1,$C80:$F80)*VLOOKUP(CB$2,Valores!$H$2:$P$154,8,0)</f>
        <v>9925.79304472035</v>
      </c>
      <c r="CC80" s="30" t="n">
        <f aca="false">SUMIF($C$2:$F$2,EOMONTH(CC$2,-1)+1,$C80:$F80)*VLOOKUP(CC$2,Valores!$H$2:$P$154,8,0)</f>
        <v>9925.79304472035</v>
      </c>
      <c r="CD80" s="30" t="n">
        <f aca="false">SUMIF($C$2:$F$2,EOMONTH(CD$2,-1)+1,$C80:$F80)*VLOOKUP(CD$2,Valores!$H$2:$P$154,8,0)</f>
        <v>29777.3791341611</v>
      </c>
      <c r="CE80" s="30" t="n">
        <f aca="false">SUMIF($C$2:$F$2,EOMONTH(CE$2,-1)+1,$C80:$F80)*VLOOKUP(CE$2,Valores!$H$2:$P$154,8,0)</f>
        <v>39703.1721788814</v>
      </c>
      <c r="CF80" s="30" t="n">
        <f aca="false">SUMIF($C$2:$F$2,EOMONTH(CF$2,-1)+1,$C80:$F80)*VLOOKUP(CF$2,Valores!$H$2:$P$154,8,0)</f>
        <v>24814.4826118009</v>
      </c>
      <c r="CG80" s="30" t="n">
        <f aca="false">SUMIF($C$2:$F$2,EOMONTH(CG$2,-1)+1,$C80:$F80)*VLOOKUP(CG$2,Valores!$H$2:$P$154,8,0)</f>
        <v>13234.3907262938</v>
      </c>
      <c r="CH80" s="30" t="n">
        <f aca="false">SUMIF($C$2:$F$2,EOMONTH(CH$2,-1)+1,$C80:$F80)*VLOOKUP(CH$2,Valores!$H$2:$P$154,8,0)</f>
        <v>13234.3907262938</v>
      </c>
      <c r="CI80" s="30" t="n">
        <f aca="false">SUMIF($C$2:$F$2,EOMONTH(CI$2,-1)+1,$C80:$F80)*VLOOKUP(CI$2,Valores!$H$2:$P$154,8,0)</f>
        <v>13234.3907262938</v>
      </c>
      <c r="CJ80" s="30" t="n">
        <f aca="false">SUMIF($C$2:$F$2,EOMONTH(CJ$2,-1)+1,$C80:$F80)*VLOOKUP(CJ$2,Valores!$H$2:$P$154,8,0)</f>
        <v>13234.3907262938</v>
      </c>
      <c r="CK80" s="30" t="n">
        <f aca="false">SUMIF($C$2:$F$2,EOMONTH(CK$2,-1)+1,$C80:$F80)*VLOOKUP(CK$2,Valores!$H$2:$P$154,8,0)</f>
        <v>26468.7814525876</v>
      </c>
      <c r="CL80" s="30" t="n">
        <f aca="false">SUMIF($C$2:$F$2,EOMONTH(CL$2,-1)+1,$C80:$F80)*VLOOKUP(CL$2,Valores!$H$2:$P$154,8,0)</f>
        <v>33085.9768157345</v>
      </c>
      <c r="CM80" s="30" t="n">
        <f aca="false">SUMIF($C$2:$F$2,EOMONTH(CM$2,-1)+1,$C80:$F80)*VLOOKUP(CM$2,Valores!$H$2:$P$154,8,0)</f>
        <v>19851.5860894407</v>
      </c>
      <c r="CN80" s="30" t="n">
        <f aca="false">SUMIF($C$2:$F$2,EOMONTH(CN$2,-1)+1,$C80:$F80)*VLOOKUP(CN$2,Valores!$H$2:$P$154,8,0)</f>
        <v>14557.8297989232</v>
      </c>
      <c r="CO80" s="30" t="n">
        <f aca="false">SUMIF($C$2:$F$2,EOMONTH(CO$2,-1)+1,$C80:$F80)*VLOOKUP(CO$2,Valores!$H$2:$P$154,8,0)</f>
        <v>14557.8297989232</v>
      </c>
      <c r="CP80" s="30" t="n">
        <f aca="false">SUMIF($C$2:$F$2,EOMONTH(CP$2,-1)+1,$C80:$F80)*VLOOKUP(CP$2,Valores!$H$2:$P$154,8,0)</f>
        <v>14557.8297989232</v>
      </c>
      <c r="CQ80" s="30" t="n">
        <f aca="false">SUMIF($C$2:$F$2,EOMONTH(CQ$2,-1)+1,$C80:$F80)*VLOOKUP(CQ$2,Valores!$H$2:$P$154,8,0)</f>
        <v>14557.8297989232</v>
      </c>
      <c r="CR80" s="30" t="n">
        <f aca="false">SUMIF($C$2:$F$2,EOMONTH(CR$2,-1)+1,$C80:$F80)*VLOOKUP(CR$2,Valores!$H$2:$P$154,8,0)</f>
        <v>29115.6595978464</v>
      </c>
      <c r="CS80" s="30" t="n">
        <f aca="false">SUMIF($C$2:$F$2,EOMONTH(CS$2,-1)+1,$C80:$F80)*VLOOKUP(CS$2,Valores!$H$2:$P$154,8,0)</f>
        <v>43673.4893967696</v>
      </c>
      <c r="CT80" s="30" t="e">
        <f aca="false">SUMIF($C$2:$F$2,EOMONTH(CT$2,-1)+1,$C80:$F80)*VLOOKUP(CT$2,Valores!$H$2:$P$154,8,0)</f>
        <v>#VALUE!</v>
      </c>
      <c r="CU80" s="30" t="e">
        <f aca="false">SUMIF($C$2:$F$2,EOMONTH(CU$2,-1)+1,$C80:$F80)*VLOOKUP(CU$2,Valores!$H$2:$P$154,8,0)</f>
        <v>#VALUE!</v>
      </c>
      <c r="CV80" s="30" t="e">
        <f aca="false">SUMIF($C$2:$F$2,EOMONTH(CV$2,-1)+1,$C80:$F80)*VLOOKUP(CV$2,Valores!$H$2:$P$154,8,0)</f>
        <v>#VALUE!</v>
      </c>
      <c r="CW80" s="30" t="e">
        <f aca="false">SUMIF($C$2:$F$2,EOMONTH(CW$2,-1)+1,$C80:$F80)*VLOOKUP(CW$2,Valores!$H$2:$P$154,8,0)</f>
        <v>#VALUE!</v>
      </c>
      <c r="CX80" s="30" t="e">
        <f aca="false">SUMIF($C$2:$F$2,EOMONTH(CX$2,-1)+1,$C80:$F80)*VLOOKUP(CX$2,Valores!$H$2:$P$154,8,0)</f>
        <v>#VALUE!</v>
      </c>
      <c r="CY80" s="30" t="e">
        <f aca="false">SUMIF($C$2:$F$2,EOMONTH(CY$2,-1)+1,$C80:$F80)*VLOOKUP(CY$2,Valores!$H$2:$P$154,8,0)</f>
        <v>#VALUE!</v>
      </c>
      <c r="CZ80" s="30" t="e">
        <f aca="false">SUMIF($C$2:$F$2,EOMONTH(CZ$2,-1)+1,$C80:$F80)*VLOOKUP(CZ$2,Valores!$H$2:$P$154,8,0)</f>
        <v>#VALUE!</v>
      </c>
      <c r="DA80" s="30" t="e">
        <f aca="false">SUMIF($C$2:$F$2,EOMONTH(DA$2,-1)+1,$C80:$F80)*VLOOKUP(DA$2,Valores!$H$2:$P$154,8,0)</f>
        <v>#VALUE!</v>
      </c>
      <c r="DB80" s="30" t="e">
        <f aca="false">SUMIF($C$2:$F$2,EOMONTH(DB$2,-1)+1,$C80:$F80)*VLOOKUP(DB$2,Valores!$H$2:$P$154,8,0)</f>
        <v>#VALUE!</v>
      </c>
      <c r="DC80" s="30" t="e">
        <f aca="false">SUMIF($C$2:$F$2,EOMONTH(DC$2,-1)+1,$C80:$F80)*VLOOKUP(DC$2,Valores!$H$2:$P$154,8,0)</f>
        <v>#VALUE!</v>
      </c>
      <c r="DD80" s="30" t="e">
        <f aca="false">SUMIF($C$2:$F$2,EOMONTH(DD$2,-1)+1,$C80:$F80)*VLOOKUP(DD$2,Valores!$H$2:$P$154,8,0)</f>
        <v>#VALUE!</v>
      </c>
      <c r="DE80" s="30" t="e">
        <f aca="false">SUMIF($C$2:$F$2,EOMONTH(DE$2,-1)+1,$C80:$F80)*VLOOKUP(DE$2,Valores!$H$2:$P$154,8,0)</f>
        <v>#VALUE!</v>
      </c>
      <c r="DF80" s="30" t="e">
        <f aca="false">SUMIF($C$2:$F$2,EOMONTH(DF$2,-1)+1,$C80:$F80)*VLOOKUP(DF$2,Valores!$H$2:$P$154,8,0)</f>
        <v>#VALUE!</v>
      </c>
      <c r="DG80" s="30" t="e">
        <f aca="false">SUMIF($C$2:$F$2,EOMONTH(DG$2,-1)+1,$C80:$F80)*VLOOKUP(DG$2,Valores!$H$2:$P$154,8,0)</f>
        <v>#VALUE!</v>
      </c>
      <c r="DH80" s="30" t="e">
        <f aca="false">SUMIF($C$2:$F$2,EOMONTH(DH$2,-1)+1,$C80:$F80)*VLOOKUP(DH$2,Valores!$H$2:$P$154,8,0)</f>
        <v>#VALUE!</v>
      </c>
      <c r="DI80" s="30" t="e">
        <f aca="false">SUMIF($C$2:$F$2,EOMONTH(DI$2,-1)+1,$C80:$F80)*VLOOKUP(DI$2,Valores!$H$2:$P$154,8,0)</f>
        <v>#VALUE!</v>
      </c>
      <c r="DJ80" s="30" t="e">
        <f aca="false">SUMIF($C$2:$F$2,EOMONTH(DJ$2,-1)+1,$C80:$F80)*VLOOKUP(DJ$2,Valores!$H$2:$P$154,8,0)</f>
        <v>#VALUE!</v>
      </c>
      <c r="DK80" s="30" t="e">
        <f aca="false">SUMIF($C$2:$F$2,EOMONTH(DK$2,-1)+1,$C80:$F80)*VLOOKUP(DK$2,Valores!$H$2:$P$154,8,0)</f>
        <v>#VALUE!</v>
      </c>
      <c r="DL80" s="30" t="e">
        <f aca="false">SUMIF($C$2:$F$2,EOMONTH(DL$2,-1)+1,$C80:$F80)*VLOOKUP(DL$2,Valores!$H$2:$P$154,8,0)</f>
        <v>#VALUE!</v>
      </c>
      <c r="DM80" s="30" t="e">
        <f aca="false">SUMIF($C$2:$F$2,EOMONTH(DM$2,-1)+1,$C80:$F80)*VLOOKUP(DM$2,Valores!$H$2:$P$154,8,0)</f>
        <v>#VALUE!</v>
      </c>
      <c r="DN80" s="30" t="e">
        <f aca="false">SUMIF($C$2:$F$2,EOMONTH(DN$2,-1)+1,$C80:$F80)*VLOOKUP(DN$2,Valores!$H$2:$P$154,8,0)</f>
        <v>#VALUE!</v>
      </c>
      <c r="DO80" s="30" t="e">
        <f aca="false">SUMIF($C$2:$F$2,EOMONTH(DO$2,-1)+1,$C80:$F80)*VLOOKUP(DO$2,Valores!$H$2:$P$154,8,0)</f>
        <v>#VALUE!</v>
      </c>
      <c r="DP80" s="30" t="e">
        <f aca="false">SUMIF($C$2:$F$2,EOMONTH(DP$2,-1)+1,$C80:$F80)*VLOOKUP(DP$2,Valores!$H$2:$P$154,8,0)</f>
        <v>#VALUE!</v>
      </c>
      <c r="DQ80" s="30" t="e">
        <f aca="false">SUMIF($C$2:$F$2,EOMONTH(DQ$2,-1)+1,$C80:$F80)*VLOOKUP(DQ$2,Valores!$H$2:$P$154,8,0)</f>
        <v>#VALUE!</v>
      </c>
      <c r="DR80" s="30" t="e">
        <f aca="false">SUMIF($C$2:$F$2,EOMONTH(DR$2,-1)+1,$C80:$F80)*VLOOKUP(DR$2,Valores!$H$2:$P$154,8,0)</f>
        <v>#VALUE!</v>
      </c>
      <c r="DS80" s="30" t="e">
        <f aca="false">SUMIF($C$2:$F$2,EOMONTH(DS$2,-1)+1,$C80:$F80)*VLOOKUP(DS$2,Valores!$H$2:$P$154,8,0)</f>
        <v>#VALUE!</v>
      </c>
      <c r="DT80" s="30" t="e">
        <f aca="false">SUMIF($C$2:$F$2,EOMONTH(DT$2,-1)+1,$C80:$F80)*VLOOKUP(DT$2,Valores!$H$2:$P$154,8,0)</f>
        <v>#VALUE!</v>
      </c>
      <c r="DU80" s="30" t="e">
        <f aca="false">SUMIF($C$2:$F$2,EOMONTH(DU$2,-1)+1,$C80:$F80)*VLOOKUP(DU$2,Valores!$H$2:$P$154,8,0)</f>
        <v>#VALUE!</v>
      </c>
      <c r="DV80" s="30" t="e">
        <f aca="false">SUMIF($C$2:$F$2,EOMONTH(DV$2,-1)+1,$C80:$F80)*VLOOKUP(DV$2,Valores!$H$2:$P$154,8,0)</f>
        <v>#VALUE!</v>
      </c>
      <c r="DW80" s="30" t="e">
        <f aca="false">SUMIF($C$2:$F$2,EOMONTH(DW$2,-1)+1,$C80:$F80)*VLOOKUP(DW$2,Valores!$H$2:$P$154,8,0)</f>
        <v>#VALUE!</v>
      </c>
      <c r="DX80" s="30" t="e">
        <f aca="false">SUMIF($C$2:$F$2,EOMONTH(DX$2,-1)+1,$C80:$F80)*VLOOKUP(DX$2,Valores!$H$2:$P$154,8,0)</f>
        <v>#VALUE!</v>
      </c>
    </row>
    <row r="81" customFormat="false" ht="13.8" hidden="false" customHeight="false" outlineLevel="0" collapsed="false">
      <c r="A81" s="32" t="s">
        <v>91</v>
      </c>
      <c r="B81" s="31" t="s">
        <v>104</v>
      </c>
      <c r="C81" s="31" t="n">
        <v>736012</v>
      </c>
      <c r="D81" s="31" t="n">
        <v>662410.8</v>
      </c>
      <c r="E81" s="31" t="n">
        <v>596169.72</v>
      </c>
      <c r="F81" s="31" t="n">
        <v>536552.748</v>
      </c>
      <c r="G81" s="27" t="n">
        <f aca="false">SUMIF($C$2:$F$2,EOMONTH(G$2,-1)+1,$C81:$F81)*VLOOKUP(G$2,Valores!$H$2:$P$154,8,0)</f>
        <v>21195.0139871647</v>
      </c>
      <c r="H81" s="27" t="n">
        <f aca="false">SUMIF($C$2:$F$2,EOMONTH(H$2,-1)+1,$C81:$F81)*VLOOKUP(H$2,Valores!$H$2:$P$154,8,0)</f>
        <v>14533.723876913</v>
      </c>
      <c r="I81" s="27" t="n">
        <f aca="false">SUMIF($C$2:$F$2,EOMONTH(I$2,-1)+1,$C81:$F81)*VLOOKUP(I$2,Valores!$H$2:$P$154,8,0)</f>
        <v>14533.723876913</v>
      </c>
      <c r="J81" s="27" t="n">
        <f aca="false">SUMIF($C$2:$F$2,EOMONTH(J$2,-1)+1,$C81:$F81)*VLOOKUP(J$2,Valores!$H$2:$P$154,8,0)</f>
        <v>14533.723876913</v>
      </c>
      <c r="K81" s="27" t="n">
        <f aca="false">SUMIF($C$2:$F$2,EOMONTH(K$2,-1)+1,$C81:$F81)*VLOOKUP(K$2,Valores!$H$2:$P$154,8,0)</f>
        <v>14533.723876913</v>
      </c>
      <c r="L81" s="27" t="n">
        <f aca="false">SUMIF($C$2:$F$2,EOMONTH(L$2,-1)+1,$C81:$F81)*VLOOKUP(L$2,Valores!$H$2:$P$154,8,0)</f>
        <v>29067.4477538259</v>
      </c>
      <c r="M81" s="27" t="n">
        <f aca="false">SUMIF($C$2:$F$2,EOMONTH(M$2,-1)+1,$C81:$F81)*VLOOKUP(M$2,Valores!$H$2:$P$154,8,0)</f>
        <v>36334.3096922824</v>
      </c>
      <c r="N81" s="27" t="n">
        <f aca="false">SUMIF($C$2:$F$2,EOMONTH(N$2,-1)+1,$C81:$F81)*VLOOKUP(N$2,Valores!$H$2:$P$154,8,0)</f>
        <v>21800.5858153694</v>
      </c>
      <c r="O81" s="27" t="n">
        <f aca="false">SUMIF($C$2:$F$2,EOMONTH(O$2,-1)+1,$C81:$F81)*VLOOKUP(O$2,Valores!$H$2:$P$154,8,0)</f>
        <v>19378.2985025506</v>
      </c>
      <c r="P81" s="27" t="n">
        <f aca="false">SUMIF($C$2:$F$2,EOMONTH(P$2,-1)+1,$C81:$F81)*VLOOKUP(P$2,Valores!$H$2:$P$154,8,0)</f>
        <v>19378.2985025506</v>
      </c>
      <c r="Q81" s="27" t="n">
        <f aca="false">SUMIF($C$2:$F$2,EOMONTH(Q$2,-1)+1,$C81:$F81)*VLOOKUP(Q$2,Valores!$H$2:$P$154,8,0)</f>
        <v>11626.9791015304</v>
      </c>
      <c r="R81" s="27" t="n">
        <f aca="false">SUMIF($C$2:$F$2,EOMONTH(R$2,-1)+1,$C81:$F81)*VLOOKUP(R$2,Valores!$H$2:$P$154,8,0)</f>
        <v>19378.2985025506</v>
      </c>
      <c r="S81" s="27" t="n">
        <f aca="false">SUMIF($C$2:$F$2,EOMONTH(S$2,-1)+1,$C81:$F81)*VLOOKUP(S$2,Valores!$H$2:$P$154,8,0)</f>
        <v>38756.5970051012</v>
      </c>
      <c r="T81" s="27" t="n">
        <f aca="false">SUMIF($C$2:$F$2,EOMONTH(T$2,-1)+1,$C81:$F81)*VLOOKUP(T$2,Valores!$H$2:$P$154,8,0)</f>
        <v>48445.7462563765</v>
      </c>
      <c r="U81" s="27" t="n">
        <f aca="false">SUMIF($C$2:$F$2,EOMONTH(U$2,-1)+1,$C81:$F81)*VLOOKUP(U$2,Valores!$H$2:$P$154,8,0)</f>
        <v>29067.4477538259</v>
      </c>
      <c r="V81" s="27" t="n">
        <f aca="false">SUMIF($C$2:$F$2,EOMONTH(V$2,-1)+1,$C81:$F81)*VLOOKUP(V$2,Valores!$H$2:$P$154,8,0)</f>
        <v>24222.8731281882</v>
      </c>
      <c r="W81" s="27" t="n">
        <f aca="false">SUMIF($C$2:$F$2,EOMONTH(W$2,-1)+1,$C81:$F81)*VLOOKUP(W$2,Valores!$H$2:$P$154,8,0)</f>
        <v>24222.8731281882</v>
      </c>
      <c r="X81" s="27" t="n">
        <f aca="false">SUMIF($C$2:$F$2,EOMONTH(X$2,-1)+1,$C81:$F81)*VLOOKUP(X$2,Valores!$H$2:$P$154,8,0)</f>
        <v>0</v>
      </c>
      <c r="Y81" s="27" t="n">
        <f aca="false">SUMIF($C$2:$F$2,EOMONTH(Y$2,-1)+1,$C81:$F81)*VLOOKUP(Y$2,Valores!$H$2:$P$154,8,0)</f>
        <v>0</v>
      </c>
      <c r="Z81" s="27" t="n">
        <f aca="false">SUMIF($C$2:$F$2,EOMONTH(Z$2,-1)+1,$C81:$F81)*VLOOKUP(Z$2,Valores!$H$2:$P$154,8,0)</f>
        <v>36334.3096922824</v>
      </c>
      <c r="AA81" s="27" t="n">
        <f aca="false">SUMIF($C$2:$F$2,EOMONTH(AA$2,-1)+1,$C81:$F81)*VLOOKUP(AA$2,Valores!$H$2:$P$154,8,0)</f>
        <v>43601.1716307388</v>
      </c>
      <c r="AB81" s="27" t="n">
        <f aca="false">SUMIF($C$2:$F$2,EOMONTH(AB$2,-1)+1,$C81:$F81)*VLOOKUP(AB$2,Valores!$H$2:$P$154,8,0)</f>
        <v>21800.5858153694</v>
      </c>
      <c r="AC81" s="27" t="n">
        <f aca="false">SUMIF($C$2:$F$2,EOMONTH(AC$2,-1)+1,$C81:$F81)*VLOOKUP(AC$2,Valores!$H$2:$P$154,8,0)</f>
        <v>26645.1604410071</v>
      </c>
      <c r="AD81" s="27" t="n">
        <f aca="false">SUMIF($C$2:$F$2,EOMONTH(AD$2,-1)+1,$C81:$F81)*VLOOKUP(AD$2,Valores!$H$2:$P$154,8,0)</f>
        <v>26645.1604410071</v>
      </c>
      <c r="AE81" s="27" t="n">
        <f aca="false">SUMIF($C$2:$F$2,EOMONTH(AE$2,-1)+1,$C81:$F81)*VLOOKUP(AE$2,Valores!$H$2:$P$154,8,0)</f>
        <v>26645.1604410071</v>
      </c>
      <c r="AF81" s="27" t="n">
        <f aca="false">SUMIF($C$2:$F$2,EOMONTH(AF$2,-1)+1,$C81:$F81)*VLOOKUP(AF$2,Valores!$H$2:$P$154,8,0)</f>
        <v>26645.1604410071</v>
      </c>
      <c r="AG81" s="27" t="n">
        <f aca="false">SUMIF($C$2:$F$2,EOMONTH(AG$2,-1)+1,$C81:$F81)*VLOOKUP(AG$2,Valores!$H$2:$P$154,8,0)</f>
        <v>42632.2567056113</v>
      </c>
      <c r="AH81" s="27" t="n">
        <f aca="false">SUMIF($C$2:$F$2,EOMONTH(AH$2,-1)+1,$C81:$F81)*VLOOKUP(AH$2,Valores!$H$2:$P$154,8,0)</f>
        <v>53290.3208820142</v>
      </c>
      <c r="AI81" s="27" t="n">
        <f aca="false">SUMIF($C$2:$F$2,EOMONTH(AI$2,-1)+1,$C81:$F81)*VLOOKUP(AI$2,Valores!$H$2:$P$154,8,0)</f>
        <v>18651.612308705</v>
      </c>
      <c r="AJ81" s="27" t="n">
        <f aca="false">SUMIF($C$2:$F$2,EOMONTH(AJ$2,-1)+1,$C81:$F81)*VLOOKUP(AJ$2,Valores!$H$2:$P$154,8,0)</f>
        <v>12111.4365640941</v>
      </c>
      <c r="AK81" s="27" t="n">
        <f aca="false">SUMIF($C$2:$F$2,EOMONTH(AK$2,-1)+1,$C81:$F81)*VLOOKUP(AK$2,Valores!$H$2:$P$154,8,0)</f>
        <v>22086.1444664079</v>
      </c>
      <c r="AL81" s="27" t="n">
        <f aca="false">SUMIF($C$2:$F$2,EOMONTH(AL$2,-1)+1,$C81:$F81)*VLOOKUP(AL$2,Valores!$H$2:$P$154,8,0)</f>
        <v>22086.1444664079</v>
      </c>
      <c r="AM81" s="27" t="n">
        <f aca="false">SUMIF($C$2:$F$2,EOMONTH(AM$2,-1)+1,$C81:$F81)*VLOOKUP(AM$2,Valores!$H$2:$P$154,8,0)</f>
        <v>22086.1444664079</v>
      </c>
      <c r="AN81" s="27" t="n">
        <f aca="false">SUMIF($C$2:$F$2,EOMONTH(AN$2,-1)+1,$C81:$F81)*VLOOKUP(AN$2,Valores!$H$2:$P$154,8,0)</f>
        <v>44172.2889328157</v>
      </c>
      <c r="AO81" s="27" t="n">
        <f aca="false">SUMIF($C$2:$F$2,EOMONTH(AO$2,-1)+1,$C81:$F81)*VLOOKUP(AO$2,Valores!$H$2:$P$154,8,0)</f>
        <v>55215.3611660197</v>
      </c>
      <c r="AP81" s="27" t="n">
        <f aca="false">SUMIF($C$2:$F$2,EOMONTH(AP$2,-1)+1,$C81:$F81)*VLOOKUP(AP$2,Valores!$H$2:$P$154,8,0)</f>
        <v>33129.2166996118</v>
      </c>
      <c r="AQ81" s="27" t="n">
        <f aca="false">SUMIF($C$2:$F$2,EOMONTH(AQ$2,-1)+1,$C81:$F81)*VLOOKUP(AQ$2,Valores!$H$2:$P$154,8,0)</f>
        <v>11831.8631070042</v>
      </c>
      <c r="AR81" s="27" t="n">
        <f aca="false">SUMIF($C$2:$F$2,EOMONTH(AR$2,-1)+1,$C81:$F81)*VLOOKUP(AR$2,Valores!$H$2:$P$154,8,0)</f>
        <v>11831.8631070042</v>
      </c>
      <c r="AS81" s="27" t="n">
        <f aca="false">SUMIF($C$2:$F$2,EOMONTH(AS$2,-1)+1,$C81:$F81)*VLOOKUP(AS$2,Valores!$H$2:$P$154,8,0)</f>
        <v>11831.8631070042</v>
      </c>
      <c r="AT81" s="27" t="n">
        <f aca="false">SUMIF($C$2:$F$2,EOMONTH(AT$2,-1)+1,$C81:$F81)*VLOOKUP(AT$2,Valores!$H$2:$P$154,8,0)</f>
        <v>11831.8631070042</v>
      </c>
      <c r="AU81" s="27" t="n">
        <f aca="false">SUMIF($C$2:$F$2,EOMONTH(AU$2,-1)+1,$C81:$F81)*VLOOKUP(AU$2,Valores!$H$2:$P$154,8,0)</f>
        <v>23663.7262140084</v>
      </c>
      <c r="AV81" s="27" t="n">
        <f aca="false">SUMIF($C$2:$F$2,EOMONTH(AV$2,-1)+1,$C81:$F81)*VLOOKUP(AV$2,Valores!$H$2:$P$154,8,0)</f>
        <v>29579.6577675105</v>
      </c>
      <c r="AW81" s="27" t="n">
        <f aca="false">SUMIF($C$2:$F$2,EOMONTH(AW$2,-1)+1,$C81:$F81)*VLOOKUP(AW$2,Valores!$H$2:$P$154,8,0)</f>
        <v>17747.7946605063</v>
      </c>
      <c r="AX81" s="27" t="n">
        <f aca="false">SUMIF($C$2:$F$2,EOMONTH(AX$2,-1)+1,$C81:$F81)*VLOOKUP(AX$2,Valores!$H$2:$P$154,8,0)</f>
        <v>11831.8631070042</v>
      </c>
      <c r="AY81" s="27" t="n">
        <f aca="false">SUMIF($C$2:$F$2,EOMONTH(AY$2,-1)+1,$C81:$F81)*VLOOKUP(AY$2,Valores!$H$2:$P$154,8,0)</f>
        <v>15381.4220391055</v>
      </c>
      <c r="AZ81" s="27" t="n">
        <f aca="false">SUMIF($C$2:$F$2,EOMONTH(AZ$2,-1)+1,$C81:$F81)*VLOOKUP(AZ$2,Valores!$H$2:$P$154,8,0)</f>
        <v>15381.4220391055</v>
      </c>
      <c r="BA81" s="27" t="n">
        <f aca="false">SUMIF($C$2:$F$2,EOMONTH(BA$2,-1)+1,$C81:$F81)*VLOOKUP(BA$2,Valores!$H$2:$P$154,8,0)</f>
        <v>15381.4220391055</v>
      </c>
      <c r="BB81" s="27" t="n">
        <f aca="false">SUMIF($C$2:$F$2,EOMONTH(BB$2,-1)+1,$C81:$F81)*VLOOKUP(BB$2,Valores!$H$2:$P$154,8,0)</f>
        <v>27213.2851461097</v>
      </c>
      <c r="BC81" s="27" t="n">
        <f aca="false">SUMIF($C$2:$F$2,EOMONTH(BC$2,-1)+1,$C81:$F81)*VLOOKUP(BC$2,Valores!$H$2:$P$154,8,0)</f>
        <v>33129.2166996118</v>
      </c>
      <c r="BD81" s="27" t="n">
        <f aca="false">SUMIF($C$2:$F$2,EOMONTH(BD$2,-1)+1,$C81:$F81)*VLOOKUP(BD$2,Valores!$H$2:$P$154,8,0)</f>
        <v>17747.7946605063</v>
      </c>
      <c r="BE81" s="27" t="n">
        <f aca="false">SUMIF($C$2:$F$2,EOMONTH(BE$2,-1)+1,$C81:$F81)*VLOOKUP(BE$2,Valores!$H$2:$P$154,8,0)</f>
        <v>15775.8174760056</v>
      </c>
      <c r="BF81" s="27" t="n">
        <f aca="false">SUMIF($C$2:$F$2,EOMONTH(BF$2,-1)+1,$C81:$F81)*VLOOKUP(BF$2,Valores!$H$2:$P$154,8,0)</f>
        <v>15775.8174760056</v>
      </c>
      <c r="BG81" s="27" t="n">
        <f aca="false">SUMIF($C$2:$F$2,EOMONTH(BG$2,-1)+1,$C81:$F81)*VLOOKUP(BG$2,Valores!$H$2:$P$154,8,0)</f>
        <v>15775.8174760056</v>
      </c>
      <c r="BH81" s="27" t="n">
        <f aca="false">SUMIF($C$2:$F$2,EOMONTH(BH$2,-1)+1,$C81:$F81)*VLOOKUP(BH$2,Valores!$H$2:$P$154,8,0)</f>
        <v>15775.8174760056</v>
      </c>
      <c r="BI81" s="27" t="n">
        <f aca="false">SUMIF($C$2:$F$2,EOMONTH(BI$2,-1)+1,$C81:$F81)*VLOOKUP(BI$2,Valores!$H$2:$P$154,8,0)</f>
        <v>31551.6349520112</v>
      </c>
      <c r="BJ81" s="27" t="n">
        <f aca="false">SUMIF($C$2:$F$2,EOMONTH(BJ$2,-1)+1,$C81:$F81)*VLOOKUP(BJ$2,Valores!$H$2:$P$154,8,0)</f>
        <v>39439.543690014</v>
      </c>
      <c r="BK81" s="27" t="n">
        <f aca="false">SUMIF($C$2:$F$2,EOMONTH(BK$2,-1)+1,$C81:$F81)*VLOOKUP(BK$2,Valores!$H$2:$P$154,8,0)</f>
        <v>18930.9809712067</v>
      </c>
      <c r="BL81" s="27" t="n">
        <f aca="false">SUMIF($C$2:$F$2,EOMONTH(BL$2,-1)+1,$C81:$F81)*VLOOKUP(BL$2,Valores!$H$2:$P$154,8,0)</f>
        <v>13882.7193788849</v>
      </c>
      <c r="BM81" s="27" t="n">
        <f aca="false">SUMIF($C$2:$F$2,EOMONTH(BM$2,-1)+1,$C81:$F81)*VLOOKUP(BM$2,Valores!$H$2:$P$154,8,0)</f>
        <v>13882.7193788849</v>
      </c>
      <c r="BN81" s="27" t="n">
        <f aca="false">SUMIF($C$2:$F$2,EOMONTH(BN$2,-1)+1,$C81:$F81)*VLOOKUP(BN$2,Valores!$H$2:$P$154,8,0)</f>
        <v>13882.7193788849</v>
      </c>
      <c r="BO81" s="27" t="n">
        <f aca="false">SUMIF($C$2:$F$2,EOMONTH(BO$2,-1)+1,$C81:$F81)*VLOOKUP(BO$2,Valores!$H$2:$P$154,8,0)</f>
        <v>14576.8553478292</v>
      </c>
      <c r="BP81" s="27" t="n">
        <f aca="false">SUMIF($C$2:$F$2,EOMONTH(BP$2,-1)+1,$C81:$F81)*VLOOKUP(BP$2,Valores!$H$2:$P$154,8,0)</f>
        <v>36683.3362487639</v>
      </c>
      <c r="BQ81" s="27" t="n">
        <f aca="false">SUMIF($C$2:$F$2,EOMONTH(BQ$2,-1)+1,$C81:$F81)*VLOOKUP(BQ$2,Valores!$H$2:$P$154,8,0)</f>
        <v>45854.1703109548</v>
      </c>
      <c r="BR81" s="27" t="n">
        <f aca="false">SUMIF($C$2:$F$2,EOMONTH(BR$2,-1)+1,$C81:$F81)*VLOOKUP(BR$2,Valores!$H$2:$P$154,8,0)</f>
        <v>22010.0017492583</v>
      </c>
      <c r="BS81" s="27" t="n">
        <f aca="false">SUMIF($C$2:$F$2,EOMONTH(BS$2,-1)+1,$C81:$F81)*VLOOKUP(BS$2,Valores!$H$2:$P$154,8,0)</f>
        <v>9825.89363806175</v>
      </c>
      <c r="BT81" s="27" t="n">
        <f aca="false">SUMIF($C$2:$F$2,EOMONTH(BT$2,-1)+1,$C81:$F81)*VLOOKUP(BT$2,Valores!$H$2:$P$154,8,0)</f>
        <v>9825.89363806175</v>
      </c>
      <c r="BU81" s="27" t="n">
        <f aca="false">SUMIF($C$2:$F$2,EOMONTH(BU$2,-1)+1,$C81:$F81)*VLOOKUP(BU$2,Valores!$H$2:$P$154,8,0)</f>
        <v>9825.89363806175</v>
      </c>
      <c r="BV81" s="27" t="n">
        <f aca="false">SUMIF($C$2:$F$2,EOMONTH(BV$2,-1)+1,$C81:$F81)*VLOOKUP(BV$2,Valores!$H$2:$P$154,8,0)</f>
        <v>9825.89363806175</v>
      </c>
      <c r="BW81" s="27" t="n">
        <f aca="false">SUMIF($C$2:$F$2,EOMONTH(BW$2,-1)+1,$C81:$F81)*VLOOKUP(BW$2,Valores!$H$2:$P$154,8,0)</f>
        <v>19651.7872761235</v>
      </c>
      <c r="BX81" s="27" t="n">
        <f aca="false">SUMIF($C$2:$F$2,EOMONTH(BX$2,-1)+1,$C81:$F81)*VLOOKUP(BX$2,Valores!$H$2:$P$154,8,0)</f>
        <v>24564.7340951544</v>
      </c>
      <c r="BY81" s="27" t="n">
        <f aca="false">SUMIF($C$2:$F$2,EOMONTH(BY$2,-1)+1,$C81:$F81)*VLOOKUP(BY$2,Valores!$H$2:$P$154,8,0)</f>
        <v>14738.8404570926</v>
      </c>
      <c r="BZ81" s="27" t="n">
        <f aca="false">SUMIF($C$2:$F$2,EOMONTH(BZ$2,-1)+1,$C81:$F81)*VLOOKUP(BZ$2,Valores!$H$2:$P$154,8,0)</f>
        <v>9825.89363806175</v>
      </c>
      <c r="CA81" s="27" t="n">
        <f aca="false">SUMIF($C$2:$F$2,EOMONTH(CA$2,-1)+1,$C81:$F81)*VLOOKUP(CA$2,Valores!$H$2:$P$154,8,0)</f>
        <v>9825.89363806175</v>
      </c>
      <c r="CB81" s="27" t="n">
        <f aca="false">SUMIF($C$2:$F$2,EOMONTH(CB$2,-1)+1,$C81:$F81)*VLOOKUP(CB$2,Valores!$H$2:$P$154,8,0)</f>
        <v>9825.89363806175</v>
      </c>
      <c r="CC81" s="27" t="n">
        <f aca="false">SUMIF($C$2:$F$2,EOMONTH(CC$2,-1)+1,$C81:$F81)*VLOOKUP(CC$2,Valores!$H$2:$P$154,8,0)</f>
        <v>9825.89363806175</v>
      </c>
      <c r="CD81" s="27" t="n">
        <f aca="false">SUMIF($C$2:$F$2,EOMONTH(CD$2,-1)+1,$C81:$F81)*VLOOKUP(CD$2,Valores!$H$2:$P$154,8,0)</f>
        <v>29477.6809141852</v>
      </c>
      <c r="CE81" s="27" t="n">
        <f aca="false">SUMIF($C$2:$F$2,EOMONTH(CE$2,-1)+1,$C81:$F81)*VLOOKUP(CE$2,Valores!$H$2:$P$154,8,0)</f>
        <v>39303.574552247</v>
      </c>
      <c r="CF81" s="27" t="n">
        <f aca="false">SUMIF($C$2:$F$2,EOMONTH(CF$2,-1)+1,$C81:$F81)*VLOOKUP(CF$2,Valores!$H$2:$P$154,8,0)</f>
        <v>24564.7340951544</v>
      </c>
      <c r="CG81" s="27" t="n">
        <f aca="false">SUMIF($C$2:$F$2,EOMONTH(CG$2,-1)+1,$C81:$F81)*VLOOKUP(CG$2,Valores!$H$2:$P$154,8,0)</f>
        <v>13101.1915174157</v>
      </c>
      <c r="CH81" s="27" t="n">
        <f aca="false">SUMIF($C$2:$F$2,EOMONTH(CH$2,-1)+1,$C81:$F81)*VLOOKUP(CH$2,Valores!$H$2:$P$154,8,0)</f>
        <v>13101.1915174157</v>
      </c>
      <c r="CI81" s="27" t="n">
        <f aca="false">SUMIF($C$2:$F$2,EOMONTH(CI$2,-1)+1,$C81:$F81)*VLOOKUP(CI$2,Valores!$H$2:$P$154,8,0)</f>
        <v>13101.1915174157</v>
      </c>
      <c r="CJ81" s="27" t="n">
        <f aca="false">SUMIF($C$2:$F$2,EOMONTH(CJ$2,-1)+1,$C81:$F81)*VLOOKUP(CJ$2,Valores!$H$2:$P$154,8,0)</f>
        <v>13101.1915174157</v>
      </c>
      <c r="CK81" s="27" t="n">
        <f aca="false">SUMIF($C$2:$F$2,EOMONTH(CK$2,-1)+1,$C81:$F81)*VLOOKUP(CK$2,Valores!$H$2:$P$154,8,0)</f>
        <v>26202.3830348313</v>
      </c>
      <c r="CL81" s="27" t="n">
        <f aca="false">SUMIF($C$2:$F$2,EOMONTH(CL$2,-1)+1,$C81:$F81)*VLOOKUP(CL$2,Valores!$H$2:$P$154,8,0)</f>
        <v>32752.9787935392</v>
      </c>
      <c r="CM81" s="27" t="n">
        <f aca="false">SUMIF($C$2:$F$2,EOMONTH(CM$2,-1)+1,$C81:$F81)*VLOOKUP(CM$2,Valores!$H$2:$P$154,8,0)</f>
        <v>19651.7872761235</v>
      </c>
      <c r="CN81" s="27" t="n">
        <f aca="false">SUMIF($C$2:$F$2,EOMONTH(CN$2,-1)+1,$C81:$F81)*VLOOKUP(CN$2,Valores!$H$2:$P$154,8,0)</f>
        <v>14411.3106691572</v>
      </c>
      <c r="CO81" s="27" t="n">
        <f aca="false">SUMIF($C$2:$F$2,EOMONTH(CO$2,-1)+1,$C81:$F81)*VLOOKUP(CO$2,Valores!$H$2:$P$154,8,0)</f>
        <v>14411.3106691572</v>
      </c>
      <c r="CP81" s="27" t="n">
        <f aca="false">SUMIF($C$2:$F$2,EOMONTH(CP$2,-1)+1,$C81:$F81)*VLOOKUP(CP$2,Valores!$H$2:$P$154,8,0)</f>
        <v>14411.3106691572</v>
      </c>
      <c r="CQ81" s="27" t="n">
        <f aca="false">SUMIF($C$2:$F$2,EOMONTH(CQ$2,-1)+1,$C81:$F81)*VLOOKUP(CQ$2,Valores!$H$2:$P$154,8,0)</f>
        <v>14411.3106691572</v>
      </c>
      <c r="CR81" s="27" t="n">
        <f aca="false">SUMIF($C$2:$F$2,EOMONTH(CR$2,-1)+1,$C81:$F81)*VLOOKUP(CR$2,Valores!$H$2:$P$154,8,0)</f>
        <v>28822.6213383145</v>
      </c>
      <c r="CS81" s="27" t="n">
        <f aca="false">SUMIF($C$2:$F$2,EOMONTH(CS$2,-1)+1,$C81:$F81)*VLOOKUP(CS$2,Valores!$H$2:$P$154,8,0)</f>
        <v>43233.9320074717</v>
      </c>
      <c r="CT81" s="27" t="e">
        <f aca="false">SUMIF($C$2:$F$2,EOMONTH(CT$2,-1)+1,$C81:$F81)*VLOOKUP(CT$2,Valores!$H$2:$P$154,8,0)</f>
        <v>#VALUE!</v>
      </c>
      <c r="CU81" s="27" t="e">
        <f aca="false">SUMIF($C$2:$F$2,EOMONTH(CU$2,-1)+1,$C81:$F81)*VLOOKUP(CU$2,Valores!$H$2:$P$154,8,0)</f>
        <v>#VALUE!</v>
      </c>
      <c r="CV81" s="27" t="e">
        <f aca="false">SUMIF($C$2:$F$2,EOMONTH(CV$2,-1)+1,$C81:$F81)*VLOOKUP(CV$2,Valores!$H$2:$P$154,8,0)</f>
        <v>#VALUE!</v>
      </c>
      <c r="CW81" s="27" t="e">
        <f aca="false">SUMIF($C$2:$F$2,EOMONTH(CW$2,-1)+1,$C81:$F81)*VLOOKUP(CW$2,Valores!$H$2:$P$154,8,0)</f>
        <v>#VALUE!</v>
      </c>
      <c r="CX81" s="27" t="e">
        <f aca="false">SUMIF($C$2:$F$2,EOMONTH(CX$2,-1)+1,$C81:$F81)*VLOOKUP(CX$2,Valores!$H$2:$P$154,8,0)</f>
        <v>#VALUE!</v>
      </c>
      <c r="CY81" s="27" t="e">
        <f aca="false">SUMIF($C$2:$F$2,EOMONTH(CY$2,-1)+1,$C81:$F81)*VLOOKUP(CY$2,Valores!$H$2:$P$154,8,0)</f>
        <v>#VALUE!</v>
      </c>
      <c r="CZ81" s="27" t="e">
        <f aca="false">SUMIF($C$2:$F$2,EOMONTH(CZ$2,-1)+1,$C81:$F81)*VLOOKUP(CZ$2,Valores!$H$2:$P$154,8,0)</f>
        <v>#VALUE!</v>
      </c>
      <c r="DA81" s="27" t="e">
        <f aca="false">SUMIF($C$2:$F$2,EOMONTH(DA$2,-1)+1,$C81:$F81)*VLOOKUP(DA$2,Valores!$H$2:$P$154,8,0)</f>
        <v>#VALUE!</v>
      </c>
      <c r="DB81" s="27" t="e">
        <f aca="false">SUMIF($C$2:$F$2,EOMONTH(DB$2,-1)+1,$C81:$F81)*VLOOKUP(DB$2,Valores!$H$2:$P$154,8,0)</f>
        <v>#VALUE!</v>
      </c>
      <c r="DC81" s="27" t="e">
        <f aca="false">SUMIF($C$2:$F$2,EOMONTH(DC$2,-1)+1,$C81:$F81)*VLOOKUP(DC$2,Valores!$H$2:$P$154,8,0)</f>
        <v>#VALUE!</v>
      </c>
      <c r="DD81" s="27" t="e">
        <f aca="false">SUMIF($C$2:$F$2,EOMONTH(DD$2,-1)+1,$C81:$F81)*VLOOKUP(DD$2,Valores!$H$2:$P$154,8,0)</f>
        <v>#VALUE!</v>
      </c>
      <c r="DE81" s="27" t="e">
        <f aca="false">SUMIF($C$2:$F$2,EOMONTH(DE$2,-1)+1,$C81:$F81)*VLOOKUP(DE$2,Valores!$H$2:$P$154,8,0)</f>
        <v>#VALUE!</v>
      </c>
      <c r="DF81" s="27" t="e">
        <f aca="false">SUMIF($C$2:$F$2,EOMONTH(DF$2,-1)+1,$C81:$F81)*VLOOKUP(DF$2,Valores!$H$2:$P$154,8,0)</f>
        <v>#VALUE!</v>
      </c>
      <c r="DG81" s="27" t="e">
        <f aca="false">SUMIF($C$2:$F$2,EOMONTH(DG$2,-1)+1,$C81:$F81)*VLOOKUP(DG$2,Valores!$H$2:$P$154,8,0)</f>
        <v>#VALUE!</v>
      </c>
      <c r="DH81" s="27" t="e">
        <f aca="false">SUMIF($C$2:$F$2,EOMONTH(DH$2,-1)+1,$C81:$F81)*VLOOKUP(DH$2,Valores!$H$2:$P$154,8,0)</f>
        <v>#VALUE!</v>
      </c>
      <c r="DI81" s="27" t="e">
        <f aca="false">SUMIF($C$2:$F$2,EOMONTH(DI$2,-1)+1,$C81:$F81)*VLOOKUP(DI$2,Valores!$H$2:$P$154,8,0)</f>
        <v>#VALUE!</v>
      </c>
      <c r="DJ81" s="27" t="e">
        <f aca="false">SUMIF($C$2:$F$2,EOMONTH(DJ$2,-1)+1,$C81:$F81)*VLOOKUP(DJ$2,Valores!$H$2:$P$154,8,0)</f>
        <v>#VALUE!</v>
      </c>
      <c r="DK81" s="27" t="e">
        <f aca="false">SUMIF($C$2:$F$2,EOMONTH(DK$2,-1)+1,$C81:$F81)*VLOOKUP(DK$2,Valores!$H$2:$P$154,8,0)</f>
        <v>#VALUE!</v>
      </c>
      <c r="DL81" s="27" t="e">
        <f aca="false">SUMIF($C$2:$F$2,EOMONTH(DL$2,-1)+1,$C81:$F81)*VLOOKUP(DL$2,Valores!$H$2:$P$154,8,0)</f>
        <v>#VALUE!</v>
      </c>
      <c r="DM81" s="27" t="e">
        <f aca="false">SUMIF($C$2:$F$2,EOMONTH(DM$2,-1)+1,$C81:$F81)*VLOOKUP(DM$2,Valores!$H$2:$P$154,8,0)</f>
        <v>#VALUE!</v>
      </c>
      <c r="DN81" s="27" t="e">
        <f aca="false">SUMIF($C$2:$F$2,EOMONTH(DN$2,-1)+1,$C81:$F81)*VLOOKUP(DN$2,Valores!$H$2:$P$154,8,0)</f>
        <v>#VALUE!</v>
      </c>
      <c r="DO81" s="27" t="e">
        <f aca="false">SUMIF($C$2:$F$2,EOMONTH(DO$2,-1)+1,$C81:$F81)*VLOOKUP(DO$2,Valores!$H$2:$P$154,8,0)</f>
        <v>#VALUE!</v>
      </c>
      <c r="DP81" s="27" t="e">
        <f aca="false">SUMIF($C$2:$F$2,EOMONTH(DP$2,-1)+1,$C81:$F81)*VLOOKUP(DP$2,Valores!$H$2:$P$154,8,0)</f>
        <v>#VALUE!</v>
      </c>
      <c r="DQ81" s="27" t="e">
        <f aca="false">SUMIF($C$2:$F$2,EOMONTH(DQ$2,-1)+1,$C81:$F81)*VLOOKUP(DQ$2,Valores!$H$2:$P$154,8,0)</f>
        <v>#VALUE!</v>
      </c>
      <c r="DR81" s="27" t="e">
        <f aca="false">SUMIF($C$2:$F$2,EOMONTH(DR$2,-1)+1,$C81:$F81)*VLOOKUP(DR$2,Valores!$H$2:$P$154,8,0)</f>
        <v>#VALUE!</v>
      </c>
      <c r="DS81" s="27" t="e">
        <f aca="false">SUMIF($C$2:$F$2,EOMONTH(DS$2,-1)+1,$C81:$F81)*VLOOKUP(DS$2,Valores!$H$2:$P$154,8,0)</f>
        <v>#VALUE!</v>
      </c>
      <c r="DT81" s="27" t="e">
        <f aca="false">SUMIF($C$2:$F$2,EOMONTH(DT$2,-1)+1,$C81:$F81)*VLOOKUP(DT$2,Valores!$H$2:$P$154,8,0)</f>
        <v>#VALUE!</v>
      </c>
      <c r="DU81" s="27" t="e">
        <f aca="false">SUMIF($C$2:$F$2,EOMONTH(DU$2,-1)+1,$C81:$F81)*VLOOKUP(DU$2,Valores!$H$2:$P$154,8,0)</f>
        <v>#VALUE!</v>
      </c>
      <c r="DV81" s="27" t="e">
        <f aca="false">SUMIF($C$2:$F$2,EOMONTH(DV$2,-1)+1,$C81:$F81)*VLOOKUP(DV$2,Valores!$H$2:$P$154,8,0)</f>
        <v>#VALUE!</v>
      </c>
      <c r="DW81" s="27" t="e">
        <f aca="false">SUMIF($C$2:$F$2,EOMONTH(DW$2,-1)+1,$C81:$F81)*VLOOKUP(DW$2,Valores!$H$2:$P$154,8,0)</f>
        <v>#VALUE!</v>
      </c>
      <c r="DX81" s="27" t="e">
        <f aca="false">SUMIF($C$2:$F$2,EOMONTH(DX$2,-1)+1,$C81:$F81)*VLOOKUP(DX$2,Valores!$H$2:$P$154,8,0)</f>
        <v>#VALUE!</v>
      </c>
    </row>
    <row r="82" customFormat="false" ht="13.8" hidden="false" customHeight="false" outlineLevel="0" collapsed="false">
      <c r="A82" s="33" t="s">
        <v>91</v>
      </c>
      <c r="B82" s="29" t="s">
        <v>105</v>
      </c>
      <c r="C82" s="29" t="n">
        <v>721533</v>
      </c>
      <c r="D82" s="29" t="n">
        <v>649379.7</v>
      </c>
      <c r="E82" s="29" t="n">
        <v>584441.73</v>
      </c>
      <c r="F82" s="29" t="n">
        <v>525997.557</v>
      </c>
      <c r="G82" s="30" t="n">
        <f aca="false">SUMIF($C$2:$F$2,EOMONTH(G$2,-1)+1,$C82:$F82)*VLOOKUP(G$2,Valores!$H$2:$P$154,8,0)</f>
        <v>20778.0607207504</v>
      </c>
      <c r="H82" s="30" t="n">
        <f aca="false">SUMIF($C$2:$F$2,EOMONTH(H$2,-1)+1,$C82:$F82)*VLOOKUP(H$2,Valores!$H$2:$P$154,8,0)</f>
        <v>14247.8130656574</v>
      </c>
      <c r="I82" s="30" t="n">
        <f aca="false">SUMIF($C$2:$F$2,EOMONTH(I$2,-1)+1,$C82:$F82)*VLOOKUP(I$2,Valores!$H$2:$P$154,8,0)</f>
        <v>14247.8130656574</v>
      </c>
      <c r="J82" s="30" t="n">
        <f aca="false">SUMIF($C$2:$F$2,EOMONTH(J$2,-1)+1,$C82:$F82)*VLOOKUP(J$2,Valores!$H$2:$P$154,8,0)</f>
        <v>14247.8130656574</v>
      </c>
      <c r="K82" s="30" t="n">
        <f aca="false">SUMIF($C$2:$F$2,EOMONTH(K$2,-1)+1,$C82:$F82)*VLOOKUP(K$2,Valores!$H$2:$P$154,8,0)</f>
        <v>14247.8130656574</v>
      </c>
      <c r="L82" s="30" t="n">
        <f aca="false">SUMIF($C$2:$F$2,EOMONTH(L$2,-1)+1,$C82:$F82)*VLOOKUP(L$2,Valores!$H$2:$P$154,8,0)</f>
        <v>28495.6261313148</v>
      </c>
      <c r="M82" s="30" t="n">
        <f aca="false">SUMIF($C$2:$F$2,EOMONTH(M$2,-1)+1,$C82:$F82)*VLOOKUP(M$2,Valores!$H$2:$P$154,8,0)</f>
        <v>35619.5326641435</v>
      </c>
      <c r="N82" s="30" t="n">
        <f aca="false">SUMIF($C$2:$F$2,EOMONTH(N$2,-1)+1,$C82:$F82)*VLOOKUP(N$2,Valores!$H$2:$P$154,8,0)</f>
        <v>21371.7195984861</v>
      </c>
      <c r="O82" s="30" t="n">
        <f aca="false">SUMIF($C$2:$F$2,EOMONTH(O$2,-1)+1,$C82:$F82)*VLOOKUP(O$2,Valores!$H$2:$P$154,8,0)</f>
        <v>18997.0840875432</v>
      </c>
      <c r="P82" s="30" t="n">
        <f aca="false">SUMIF($C$2:$F$2,EOMONTH(P$2,-1)+1,$C82:$F82)*VLOOKUP(P$2,Valores!$H$2:$P$154,8,0)</f>
        <v>18997.0840875432</v>
      </c>
      <c r="Q82" s="30" t="n">
        <f aca="false">SUMIF($C$2:$F$2,EOMONTH(Q$2,-1)+1,$C82:$F82)*VLOOKUP(Q$2,Valores!$H$2:$P$154,8,0)</f>
        <v>11398.2504525259</v>
      </c>
      <c r="R82" s="30" t="n">
        <f aca="false">SUMIF($C$2:$F$2,EOMONTH(R$2,-1)+1,$C82:$F82)*VLOOKUP(R$2,Valores!$H$2:$P$154,8,0)</f>
        <v>18997.0840875432</v>
      </c>
      <c r="S82" s="30" t="n">
        <f aca="false">SUMIF($C$2:$F$2,EOMONTH(S$2,-1)+1,$C82:$F82)*VLOOKUP(S$2,Valores!$H$2:$P$154,8,0)</f>
        <v>37994.1681750864</v>
      </c>
      <c r="T82" s="30" t="n">
        <f aca="false">SUMIF($C$2:$F$2,EOMONTH(T$2,-1)+1,$C82:$F82)*VLOOKUP(T$2,Valores!$H$2:$P$154,8,0)</f>
        <v>47492.710218858</v>
      </c>
      <c r="U82" s="30" t="n">
        <f aca="false">SUMIF($C$2:$F$2,EOMONTH(U$2,-1)+1,$C82:$F82)*VLOOKUP(U$2,Valores!$H$2:$P$154,8,0)</f>
        <v>28495.6261313148</v>
      </c>
      <c r="V82" s="30" t="n">
        <f aca="false">SUMIF($C$2:$F$2,EOMONTH(V$2,-1)+1,$C82:$F82)*VLOOKUP(V$2,Valores!$H$2:$P$154,8,0)</f>
        <v>23746.355109429</v>
      </c>
      <c r="W82" s="30" t="n">
        <f aca="false">SUMIF($C$2:$F$2,EOMONTH(W$2,-1)+1,$C82:$F82)*VLOOKUP(W$2,Valores!$H$2:$P$154,8,0)</f>
        <v>23746.355109429</v>
      </c>
      <c r="X82" s="30" t="n">
        <f aca="false">SUMIF($C$2:$F$2,EOMONTH(X$2,-1)+1,$C82:$F82)*VLOOKUP(X$2,Valores!$H$2:$P$154,8,0)</f>
        <v>0</v>
      </c>
      <c r="Y82" s="30" t="n">
        <f aca="false">SUMIF($C$2:$F$2,EOMONTH(Y$2,-1)+1,$C82:$F82)*VLOOKUP(Y$2,Valores!$H$2:$P$154,8,0)</f>
        <v>0</v>
      </c>
      <c r="Z82" s="30" t="n">
        <f aca="false">SUMIF($C$2:$F$2,EOMONTH(Z$2,-1)+1,$C82:$F82)*VLOOKUP(Z$2,Valores!$H$2:$P$154,8,0)</f>
        <v>35619.5326641435</v>
      </c>
      <c r="AA82" s="30" t="n">
        <f aca="false">SUMIF($C$2:$F$2,EOMONTH(AA$2,-1)+1,$C82:$F82)*VLOOKUP(AA$2,Valores!$H$2:$P$154,8,0)</f>
        <v>42743.4391969722</v>
      </c>
      <c r="AB82" s="30" t="n">
        <f aca="false">SUMIF($C$2:$F$2,EOMONTH(AB$2,-1)+1,$C82:$F82)*VLOOKUP(AB$2,Valores!$H$2:$P$154,8,0)</f>
        <v>21371.7195984861</v>
      </c>
      <c r="AC82" s="30" t="n">
        <f aca="false">SUMIF($C$2:$F$2,EOMONTH(AC$2,-1)+1,$C82:$F82)*VLOOKUP(AC$2,Valores!$H$2:$P$154,8,0)</f>
        <v>26120.9906203719</v>
      </c>
      <c r="AD82" s="30" t="n">
        <f aca="false">SUMIF($C$2:$F$2,EOMONTH(AD$2,-1)+1,$C82:$F82)*VLOOKUP(AD$2,Valores!$H$2:$P$154,8,0)</f>
        <v>26120.9906203719</v>
      </c>
      <c r="AE82" s="30" t="n">
        <f aca="false">SUMIF($C$2:$F$2,EOMONTH(AE$2,-1)+1,$C82:$F82)*VLOOKUP(AE$2,Valores!$H$2:$P$154,8,0)</f>
        <v>26120.9906203719</v>
      </c>
      <c r="AF82" s="30" t="n">
        <f aca="false">SUMIF($C$2:$F$2,EOMONTH(AF$2,-1)+1,$C82:$F82)*VLOOKUP(AF$2,Valores!$H$2:$P$154,8,0)</f>
        <v>26120.9906203719</v>
      </c>
      <c r="AG82" s="30" t="n">
        <f aca="false">SUMIF($C$2:$F$2,EOMONTH(AG$2,-1)+1,$C82:$F82)*VLOOKUP(AG$2,Valores!$H$2:$P$154,8,0)</f>
        <v>41793.584992595</v>
      </c>
      <c r="AH82" s="30" t="n">
        <f aca="false">SUMIF($C$2:$F$2,EOMONTH(AH$2,-1)+1,$C82:$F82)*VLOOKUP(AH$2,Valores!$H$2:$P$154,8,0)</f>
        <v>52241.9812407438</v>
      </c>
      <c r="AI82" s="30" t="n">
        <f aca="false">SUMIF($C$2:$F$2,EOMONTH(AI$2,-1)+1,$C82:$F82)*VLOOKUP(AI$2,Valores!$H$2:$P$154,8,0)</f>
        <v>18284.6934342603</v>
      </c>
      <c r="AJ82" s="30" t="n">
        <f aca="false">SUMIF($C$2:$F$2,EOMONTH(AJ$2,-1)+1,$C82:$F82)*VLOOKUP(AJ$2,Valores!$H$2:$P$154,8,0)</f>
        <v>11873.1775547145</v>
      </c>
      <c r="AK82" s="30" t="n">
        <f aca="false">SUMIF($C$2:$F$2,EOMONTH(AK$2,-1)+1,$C82:$F82)*VLOOKUP(AK$2,Valores!$H$2:$P$154,8,0)</f>
        <v>21651.6606730334</v>
      </c>
      <c r="AL82" s="30" t="n">
        <f aca="false">SUMIF($C$2:$F$2,EOMONTH(AL$2,-1)+1,$C82:$F82)*VLOOKUP(AL$2,Valores!$H$2:$P$154,8,0)</f>
        <v>21651.6606730334</v>
      </c>
      <c r="AM82" s="30" t="n">
        <f aca="false">SUMIF($C$2:$F$2,EOMONTH(AM$2,-1)+1,$C82:$F82)*VLOOKUP(AM$2,Valores!$H$2:$P$154,8,0)</f>
        <v>21651.6606730334</v>
      </c>
      <c r="AN82" s="30" t="n">
        <f aca="false">SUMIF($C$2:$F$2,EOMONTH(AN$2,-1)+1,$C82:$F82)*VLOOKUP(AN$2,Valores!$H$2:$P$154,8,0)</f>
        <v>43303.3213460668</v>
      </c>
      <c r="AO82" s="30" t="n">
        <f aca="false">SUMIF($C$2:$F$2,EOMONTH(AO$2,-1)+1,$C82:$F82)*VLOOKUP(AO$2,Valores!$H$2:$P$154,8,0)</f>
        <v>54129.1516825835</v>
      </c>
      <c r="AP82" s="30" t="n">
        <f aca="false">SUMIF($C$2:$F$2,EOMONTH(AP$2,-1)+1,$C82:$F82)*VLOOKUP(AP$2,Valores!$H$2:$P$154,8,0)</f>
        <v>32477.4910095501</v>
      </c>
      <c r="AQ82" s="30" t="n">
        <f aca="false">SUMIF($C$2:$F$2,EOMONTH(AQ$2,-1)+1,$C82:$F82)*VLOOKUP(AQ$2,Valores!$H$2:$P$154,8,0)</f>
        <v>11599.1039319822</v>
      </c>
      <c r="AR82" s="30" t="n">
        <f aca="false">SUMIF($C$2:$F$2,EOMONTH(AR$2,-1)+1,$C82:$F82)*VLOOKUP(AR$2,Valores!$H$2:$P$154,8,0)</f>
        <v>11599.1039319822</v>
      </c>
      <c r="AS82" s="30" t="n">
        <f aca="false">SUMIF($C$2:$F$2,EOMONTH(AS$2,-1)+1,$C82:$F82)*VLOOKUP(AS$2,Valores!$H$2:$P$154,8,0)</f>
        <v>11599.1039319822</v>
      </c>
      <c r="AT82" s="30" t="n">
        <f aca="false">SUMIF($C$2:$F$2,EOMONTH(AT$2,-1)+1,$C82:$F82)*VLOOKUP(AT$2,Valores!$H$2:$P$154,8,0)</f>
        <v>11599.1039319822</v>
      </c>
      <c r="AU82" s="30" t="n">
        <f aca="false">SUMIF($C$2:$F$2,EOMONTH(AU$2,-1)+1,$C82:$F82)*VLOOKUP(AU$2,Valores!$H$2:$P$154,8,0)</f>
        <v>23198.2078639644</v>
      </c>
      <c r="AV82" s="30" t="n">
        <f aca="false">SUMIF($C$2:$F$2,EOMONTH(AV$2,-1)+1,$C82:$F82)*VLOOKUP(AV$2,Valores!$H$2:$P$154,8,0)</f>
        <v>28997.7598299555</v>
      </c>
      <c r="AW82" s="30" t="n">
        <f aca="false">SUMIF($C$2:$F$2,EOMONTH(AW$2,-1)+1,$C82:$F82)*VLOOKUP(AW$2,Valores!$H$2:$P$154,8,0)</f>
        <v>17398.6558979733</v>
      </c>
      <c r="AX82" s="30" t="n">
        <f aca="false">SUMIF($C$2:$F$2,EOMONTH(AX$2,-1)+1,$C82:$F82)*VLOOKUP(AX$2,Valores!$H$2:$P$154,8,0)</f>
        <v>11599.1039319822</v>
      </c>
      <c r="AY82" s="30" t="n">
        <f aca="false">SUMIF($C$2:$F$2,EOMONTH(AY$2,-1)+1,$C82:$F82)*VLOOKUP(AY$2,Valores!$H$2:$P$154,8,0)</f>
        <v>15078.8351115768</v>
      </c>
      <c r="AZ82" s="30" t="n">
        <f aca="false">SUMIF($C$2:$F$2,EOMONTH(AZ$2,-1)+1,$C82:$F82)*VLOOKUP(AZ$2,Valores!$H$2:$P$154,8,0)</f>
        <v>15078.8351115768</v>
      </c>
      <c r="BA82" s="30" t="n">
        <f aca="false">SUMIF($C$2:$F$2,EOMONTH(BA$2,-1)+1,$C82:$F82)*VLOOKUP(BA$2,Valores!$H$2:$P$154,8,0)</f>
        <v>15078.8351115768</v>
      </c>
      <c r="BB82" s="30" t="n">
        <f aca="false">SUMIF($C$2:$F$2,EOMONTH(BB$2,-1)+1,$C82:$F82)*VLOOKUP(BB$2,Valores!$H$2:$P$154,8,0)</f>
        <v>26677.939043559</v>
      </c>
      <c r="BC82" s="30" t="n">
        <f aca="false">SUMIF($C$2:$F$2,EOMONTH(BC$2,-1)+1,$C82:$F82)*VLOOKUP(BC$2,Valores!$H$2:$P$154,8,0)</f>
        <v>32477.4910095501</v>
      </c>
      <c r="BD82" s="30" t="n">
        <f aca="false">SUMIF($C$2:$F$2,EOMONTH(BD$2,-1)+1,$C82:$F82)*VLOOKUP(BD$2,Valores!$H$2:$P$154,8,0)</f>
        <v>17398.6558979733</v>
      </c>
      <c r="BE82" s="30" t="n">
        <f aca="false">SUMIF($C$2:$F$2,EOMONTH(BE$2,-1)+1,$C82:$F82)*VLOOKUP(BE$2,Valores!$H$2:$P$154,8,0)</f>
        <v>15465.4719093096</v>
      </c>
      <c r="BF82" s="30" t="n">
        <f aca="false">SUMIF($C$2:$F$2,EOMONTH(BF$2,-1)+1,$C82:$F82)*VLOOKUP(BF$2,Valores!$H$2:$P$154,8,0)</f>
        <v>15465.4719093096</v>
      </c>
      <c r="BG82" s="30" t="n">
        <f aca="false">SUMIF($C$2:$F$2,EOMONTH(BG$2,-1)+1,$C82:$F82)*VLOOKUP(BG$2,Valores!$H$2:$P$154,8,0)</f>
        <v>15465.4719093096</v>
      </c>
      <c r="BH82" s="30" t="n">
        <f aca="false">SUMIF($C$2:$F$2,EOMONTH(BH$2,-1)+1,$C82:$F82)*VLOOKUP(BH$2,Valores!$H$2:$P$154,8,0)</f>
        <v>15465.4719093096</v>
      </c>
      <c r="BI82" s="30" t="n">
        <f aca="false">SUMIF($C$2:$F$2,EOMONTH(BI$2,-1)+1,$C82:$F82)*VLOOKUP(BI$2,Valores!$H$2:$P$154,8,0)</f>
        <v>30930.9438186192</v>
      </c>
      <c r="BJ82" s="30" t="n">
        <f aca="false">SUMIF($C$2:$F$2,EOMONTH(BJ$2,-1)+1,$C82:$F82)*VLOOKUP(BJ$2,Valores!$H$2:$P$154,8,0)</f>
        <v>38663.6797732739</v>
      </c>
      <c r="BK82" s="30" t="n">
        <f aca="false">SUMIF($C$2:$F$2,EOMONTH(BK$2,-1)+1,$C82:$F82)*VLOOKUP(BK$2,Valores!$H$2:$P$154,8,0)</f>
        <v>18558.5662911715</v>
      </c>
      <c r="BL82" s="30" t="n">
        <f aca="false">SUMIF($C$2:$F$2,EOMONTH(BL$2,-1)+1,$C82:$F82)*VLOOKUP(BL$2,Valores!$H$2:$P$154,8,0)</f>
        <v>13609.6152801924</v>
      </c>
      <c r="BM82" s="30" t="n">
        <f aca="false">SUMIF($C$2:$F$2,EOMONTH(BM$2,-1)+1,$C82:$F82)*VLOOKUP(BM$2,Valores!$H$2:$P$154,8,0)</f>
        <v>13609.6152801924</v>
      </c>
      <c r="BN82" s="30" t="n">
        <f aca="false">SUMIF($C$2:$F$2,EOMONTH(BN$2,-1)+1,$C82:$F82)*VLOOKUP(BN$2,Valores!$H$2:$P$154,8,0)</f>
        <v>13609.6152801924</v>
      </c>
      <c r="BO82" s="30" t="n">
        <f aca="false">SUMIF($C$2:$F$2,EOMONTH(BO$2,-1)+1,$C82:$F82)*VLOOKUP(BO$2,Valores!$H$2:$P$154,8,0)</f>
        <v>14290.0960442021</v>
      </c>
      <c r="BP82" s="30" t="n">
        <f aca="false">SUMIF($C$2:$F$2,EOMONTH(BP$2,-1)+1,$C82:$F82)*VLOOKUP(BP$2,Valores!$H$2:$P$154,8,0)</f>
        <v>35961.6930886716</v>
      </c>
      <c r="BQ82" s="30" t="n">
        <f aca="false">SUMIF($C$2:$F$2,EOMONTH(BQ$2,-1)+1,$C82:$F82)*VLOOKUP(BQ$2,Valores!$H$2:$P$154,8,0)</f>
        <v>44952.1163608395</v>
      </c>
      <c r="BR82" s="30" t="n">
        <f aca="false">SUMIF($C$2:$F$2,EOMONTH(BR$2,-1)+1,$C82:$F82)*VLOOKUP(BR$2,Valores!$H$2:$P$154,8,0)</f>
        <v>21577.0158532029</v>
      </c>
      <c r="BS82" s="30" t="n">
        <f aca="false">SUMIF($C$2:$F$2,EOMONTH(BS$2,-1)+1,$C82:$F82)*VLOOKUP(BS$2,Valores!$H$2:$P$154,8,0)</f>
        <v>9632.59636303702</v>
      </c>
      <c r="BT82" s="30" t="n">
        <f aca="false">SUMIF($C$2:$F$2,EOMONTH(BT$2,-1)+1,$C82:$F82)*VLOOKUP(BT$2,Valores!$H$2:$P$154,8,0)</f>
        <v>9632.59636303702</v>
      </c>
      <c r="BU82" s="30" t="n">
        <f aca="false">SUMIF($C$2:$F$2,EOMONTH(BU$2,-1)+1,$C82:$F82)*VLOOKUP(BU$2,Valores!$H$2:$P$154,8,0)</f>
        <v>9632.59636303702</v>
      </c>
      <c r="BV82" s="30" t="n">
        <f aca="false">SUMIF($C$2:$F$2,EOMONTH(BV$2,-1)+1,$C82:$F82)*VLOOKUP(BV$2,Valores!$H$2:$P$154,8,0)</f>
        <v>9632.59636303702</v>
      </c>
      <c r="BW82" s="30" t="n">
        <f aca="false">SUMIF($C$2:$F$2,EOMONTH(BW$2,-1)+1,$C82:$F82)*VLOOKUP(BW$2,Valores!$H$2:$P$154,8,0)</f>
        <v>19265.1927260741</v>
      </c>
      <c r="BX82" s="30" t="n">
        <f aca="false">SUMIF($C$2:$F$2,EOMONTH(BX$2,-1)+1,$C82:$F82)*VLOOKUP(BX$2,Valores!$H$2:$P$154,8,0)</f>
        <v>24081.4909075926</v>
      </c>
      <c r="BY82" s="30" t="n">
        <f aca="false">SUMIF($C$2:$F$2,EOMONTH(BY$2,-1)+1,$C82:$F82)*VLOOKUP(BY$2,Valores!$H$2:$P$154,8,0)</f>
        <v>14448.8945445555</v>
      </c>
      <c r="BZ82" s="30" t="n">
        <f aca="false">SUMIF($C$2:$F$2,EOMONTH(BZ$2,-1)+1,$C82:$F82)*VLOOKUP(BZ$2,Valores!$H$2:$P$154,8,0)</f>
        <v>9632.59636303702</v>
      </c>
      <c r="CA82" s="30" t="n">
        <f aca="false">SUMIF($C$2:$F$2,EOMONTH(CA$2,-1)+1,$C82:$F82)*VLOOKUP(CA$2,Valores!$H$2:$P$154,8,0)</f>
        <v>9632.59636303702</v>
      </c>
      <c r="CB82" s="30" t="n">
        <f aca="false">SUMIF($C$2:$F$2,EOMONTH(CB$2,-1)+1,$C82:$F82)*VLOOKUP(CB$2,Valores!$H$2:$P$154,8,0)</f>
        <v>9632.59636303702</v>
      </c>
      <c r="CC82" s="30" t="n">
        <f aca="false">SUMIF($C$2:$F$2,EOMONTH(CC$2,-1)+1,$C82:$F82)*VLOOKUP(CC$2,Valores!$H$2:$P$154,8,0)</f>
        <v>9632.59636303702</v>
      </c>
      <c r="CD82" s="30" t="n">
        <f aca="false">SUMIF($C$2:$F$2,EOMONTH(CD$2,-1)+1,$C82:$F82)*VLOOKUP(CD$2,Valores!$H$2:$P$154,8,0)</f>
        <v>28897.7890891111</v>
      </c>
      <c r="CE82" s="30" t="n">
        <f aca="false">SUMIF($C$2:$F$2,EOMONTH(CE$2,-1)+1,$C82:$F82)*VLOOKUP(CE$2,Valores!$H$2:$P$154,8,0)</f>
        <v>38530.3854521481</v>
      </c>
      <c r="CF82" s="30" t="n">
        <f aca="false">SUMIF($C$2:$F$2,EOMONTH(CF$2,-1)+1,$C82:$F82)*VLOOKUP(CF$2,Valores!$H$2:$P$154,8,0)</f>
        <v>24081.4909075926</v>
      </c>
      <c r="CG82" s="30" t="n">
        <f aca="false">SUMIF($C$2:$F$2,EOMONTH(CG$2,-1)+1,$C82:$F82)*VLOOKUP(CG$2,Valores!$H$2:$P$154,8,0)</f>
        <v>12843.4618173827</v>
      </c>
      <c r="CH82" s="30" t="n">
        <f aca="false">SUMIF($C$2:$F$2,EOMONTH(CH$2,-1)+1,$C82:$F82)*VLOOKUP(CH$2,Valores!$H$2:$P$154,8,0)</f>
        <v>12843.4618173827</v>
      </c>
      <c r="CI82" s="30" t="n">
        <f aca="false">SUMIF($C$2:$F$2,EOMONTH(CI$2,-1)+1,$C82:$F82)*VLOOKUP(CI$2,Valores!$H$2:$P$154,8,0)</f>
        <v>12843.4618173827</v>
      </c>
      <c r="CJ82" s="30" t="n">
        <f aca="false">SUMIF($C$2:$F$2,EOMONTH(CJ$2,-1)+1,$C82:$F82)*VLOOKUP(CJ$2,Valores!$H$2:$P$154,8,0)</f>
        <v>12843.4618173827</v>
      </c>
      <c r="CK82" s="30" t="n">
        <f aca="false">SUMIF($C$2:$F$2,EOMONTH(CK$2,-1)+1,$C82:$F82)*VLOOKUP(CK$2,Valores!$H$2:$P$154,8,0)</f>
        <v>25686.9236347654</v>
      </c>
      <c r="CL82" s="30" t="n">
        <f aca="false">SUMIF($C$2:$F$2,EOMONTH(CL$2,-1)+1,$C82:$F82)*VLOOKUP(CL$2,Valores!$H$2:$P$154,8,0)</f>
        <v>32108.6545434567</v>
      </c>
      <c r="CM82" s="30" t="n">
        <f aca="false">SUMIF($C$2:$F$2,EOMONTH(CM$2,-1)+1,$C82:$F82)*VLOOKUP(CM$2,Valores!$H$2:$P$154,8,0)</f>
        <v>19265.1927260741</v>
      </c>
      <c r="CN82" s="30" t="n">
        <f aca="false">SUMIF($C$2:$F$2,EOMONTH(CN$2,-1)+1,$C82:$F82)*VLOOKUP(CN$2,Valores!$H$2:$P$154,8,0)</f>
        <v>14127.807999121</v>
      </c>
      <c r="CO82" s="30" t="n">
        <f aca="false">SUMIF($C$2:$F$2,EOMONTH(CO$2,-1)+1,$C82:$F82)*VLOOKUP(CO$2,Valores!$H$2:$P$154,8,0)</f>
        <v>14127.807999121</v>
      </c>
      <c r="CP82" s="30" t="n">
        <f aca="false">SUMIF($C$2:$F$2,EOMONTH(CP$2,-1)+1,$C82:$F82)*VLOOKUP(CP$2,Valores!$H$2:$P$154,8,0)</f>
        <v>14127.807999121</v>
      </c>
      <c r="CQ82" s="30" t="n">
        <f aca="false">SUMIF($C$2:$F$2,EOMONTH(CQ$2,-1)+1,$C82:$F82)*VLOOKUP(CQ$2,Valores!$H$2:$P$154,8,0)</f>
        <v>14127.807999121</v>
      </c>
      <c r="CR82" s="30" t="n">
        <f aca="false">SUMIF($C$2:$F$2,EOMONTH(CR$2,-1)+1,$C82:$F82)*VLOOKUP(CR$2,Valores!$H$2:$P$154,8,0)</f>
        <v>28255.6159982419</v>
      </c>
      <c r="CS82" s="30" t="n">
        <f aca="false">SUMIF($C$2:$F$2,EOMONTH(CS$2,-1)+1,$C82:$F82)*VLOOKUP(CS$2,Valores!$H$2:$P$154,8,0)</f>
        <v>42383.4239973629</v>
      </c>
      <c r="CT82" s="30" t="e">
        <f aca="false">SUMIF($C$2:$F$2,EOMONTH(CT$2,-1)+1,$C82:$F82)*VLOOKUP(CT$2,Valores!$H$2:$P$154,8,0)</f>
        <v>#VALUE!</v>
      </c>
      <c r="CU82" s="30" t="e">
        <f aca="false">SUMIF($C$2:$F$2,EOMONTH(CU$2,-1)+1,$C82:$F82)*VLOOKUP(CU$2,Valores!$H$2:$P$154,8,0)</f>
        <v>#VALUE!</v>
      </c>
      <c r="CV82" s="30" t="e">
        <f aca="false">SUMIF($C$2:$F$2,EOMONTH(CV$2,-1)+1,$C82:$F82)*VLOOKUP(CV$2,Valores!$H$2:$P$154,8,0)</f>
        <v>#VALUE!</v>
      </c>
      <c r="CW82" s="30" t="e">
        <f aca="false">SUMIF($C$2:$F$2,EOMONTH(CW$2,-1)+1,$C82:$F82)*VLOOKUP(CW$2,Valores!$H$2:$P$154,8,0)</f>
        <v>#VALUE!</v>
      </c>
      <c r="CX82" s="30" t="e">
        <f aca="false">SUMIF($C$2:$F$2,EOMONTH(CX$2,-1)+1,$C82:$F82)*VLOOKUP(CX$2,Valores!$H$2:$P$154,8,0)</f>
        <v>#VALUE!</v>
      </c>
      <c r="CY82" s="30" t="e">
        <f aca="false">SUMIF($C$2:$F$2,EOMONTH(CY$2,-1)+1,$C82:$F82)*VLOOKUP(CY$2,Valores!$H$2:$P$154,8,0)</f>
        <v>#VALUE!</v>
      </c>
      <c r="CZ82" s="30" t="e">
        <f aca="false">SUMIF($C$2:$F$2,EOMONTH(CZ$2,-1)+1,$C82:$F82)*VLOOKUP(CZ$2,Valores!$H$2:$P$154,8,0)</f>
        <v>#VALUE!</v>
      </c>
      <c r="DA82" s="30" t="e">
        <f aca="false">SUMIF($C$2:$F$2,EOMONTH(DA$2,-1)+1,$C82:$F82)*VLOOKUP(DA$2,Valores!$H$2:$P$154,8,0)</f>
        <v>#VALUE!</v>
      </c>
      <c r="DB82" s="30" t="e">
        <f aca="false">SUMIF($C$2:$F$2,EOMONTH(DB$2,-1)+1,$C82:$F82)*VLOOKUP(DB$2,Valores!$H$2:$P$154,8,0)</f>
        <v>#VALUE!</v>
      </c>
      <c r="DC82" s="30" t="e">
        <f aca="false">SUMIF($C$2:$F$2,EOMONTH(DC$2,-1)+1,$C82:$F82)*VLOOKUP(DC$2,Valores!$H$2:$P$154,8,0)</f>
        <v>#VALUE!</v>
      </c>
      <c r="DD82" s="30" t="e">
        <f aca="false">SUMIF($C$2:$F$2,EOMONTH(DD$2,-1)+1,$C82:$F82)*VLOOKUP(DD$2,Valores!$H$2:$P$154,8,0)</f>
        <v>#VALUE!</v>
      </c>
      <c r="DE82" s="30" t="e">
        <f aca="false">SUMIF($C$2:$F$2,EOMONTH(DE$2,-1)+1,$C82:$F82)*VLOOKUP(DE$2,Valores!$H$2:$P$154,8,0)</f>
        <v>#VALUE!</v>
      </c>
      <c r="DF82" s="30" t="e">
        <f aca="false">SUMIF($C$2:$F$2,EOMONTH(DF$2,-1)+1,$C82:$F82)*VLOOKUP(DF$2,Valores!$H$2:$P$154,8,0)</f>
        <v>#VALUE!</v>
      </c>
      <c r="DG82" s="30" t="e">
        <f aca="false">SUMIF($C$2:$F$2,EOMONTH(DG$2,-1)+1,$C82:$F82)*VLOOKUP(DG$2,Valores!$H$2:$P$154,8,0)</f>
        <v>#VALUE!</v>
      </c>
      <c r="DH82" s="30" t="e">
        <f aca="false">SUMIF($C$2:$F$2,EOMONTH(DH$2,-1)+1,$C82:$F82)*VLOOKUP(DH$2,Valores!$H$2:$P$154,8,0)</f>
        <v>#VALUE!</v>
      </c>
      <c r="DI82" s="30" t="e">
        <f aca="false">SUMIF($C$2:$F$2,EOMONTH(DI$2,-1)+1,$C82:$F82)*VLOOKUP(DI$2,Valores!$H$2:$P$154,8,0)</f>
        <v>#VALUE!</v>
      </c>
      <c r="DJ82" s="30" t="e">
        <f aca="false">SUMIF($C$2:$F$2,EOMONTH(DJ$2,-1)+1,$C82:$F82)*VLOOKUP(DJ$2,Valores!$H$2:$P$154,8,0)</f>
        <v>#VALUE!</v>
      </c>
      <c r="DK82" s="30" t="e">
        <f aca="false">SUMIF($C$2:$F$2,EOMONTH(DK$2,-1)+1,$C82:$F82)*VLOOKUP(DK$2,Valores!$H$2:$P$154,8,0)</f>
        <v>#VALUE!</v>
      </c>
      <c r="DL82" s="30" t="e">
        <f aca="false">SUMIF($C$2:$F$2,EOMONTH(DL$2,-1)+1,$C82:$F82)*VLOOKUP(DL$2,Valores!$H$2:$P$154,8,0)</f>
        <v>#VALUE!</v>
      </c>
      <c r="DM82" s="30" t="e">
        <f aca="false">SUMIF($C$2:$F$2,EOMONTH(DM$2,-1)+1,$C82:$F82)*VLOOKUP(DM$2,Valores!$H$2:$P$154,8,0)</f>
        <v>#VALUE!</v>
      </c>
      <c r="DN82" s="30" t="e">
        <f aca="false">SUMIF($C$2:$F$2,EOMONTH(DN$2,-1)+1,$C82:$F82)*VLOOKUP(DN$2,Valores!$H$2:$P$154,8,0)</f>
        <v>#VALUE!</v>
      </c>
      <c r="DO82" s="30" t="e">
        <f aca="false">SUMIF($C$2:$F$2,EOMONTH(DO$2,-1)+1,$C82:$F82)*VLOOKUP(DO$2,Valores!$H$2:$P$154,8,0)</f>
        <v>#VALUE!</v>
      </c>
      <c r="DP82" s="30" t="e">
        <f aca="false">SUMIF($C$2:$F$2,EOMONTH(DP$2,-1)+1,$C82:$F82)*VLOOKUP(DP$2,Valores!$H$2:$P$154,8,0)</f>
        <v>#VALUE!</v>
      </c>
      <c r="DQ82" s="30" t="e">
        <f aca="false">SUMIF($C$2:$F$2,EOMONTH(DQ$2,-1)+1,$C82:$F82)*VLOOKUP(DQ$2,Valores!$H$2:$P$154,8,0)</f>
        <v>#VALUE!</v>
      </c>
      <c r="DR82" s="30" t="e">
        <f aca="false">SUMIF($C$2:$F$2,EOMONTH(DR$2,-1)+1,$C82:$F82)*VLOOKUP(DR$2,Valores!$H$2:$P$154,8,0)</f>
        <v>#VALUE!</v>
      </c>
      <c r="DS82" s="30" t="e">
        <f aca="false">SUMIF($C$2:$F$2,EOMONTH(DS$2,-1)+1,$C82:$F82)*VLOOKUP(DS$2,Valores!$H$2:$P$154,8,0)</f>
        <v>#VALUE!</v>
      </c>
      <c r="DT82" s="30" t="e">
        <f aca="false">SUMIF($C$2:$F$2,EOMONTH(DT$2,-1)+1,$C82:$F82)*VLOOKUP(DT$2,Valores!$H$2:$P$154,8,0)</f>
        <v>#VALUE!</v>
      </c>
      <c r="DU82" s="30" t="e">
        <f aca="false">SUMIF($C$2:$F$2,EOMONTH(DU$2,-1)+1,$C82:$F82)*VLOOKUP(DU$2,Valores!$H$2:$P$154,8,0)</f>
        <v>#VALUE!</v>
      </c>
      <c r="DV82" s="30" t="e">
        <f aca="false">SUMIF($C$2:$F$2,EOMONTH(DV$2,-1)+1,$C82:$F82)*VLOOKUP(DV$2,Valores!$H$2:$P$154,8,0)</f>
        <v>#VALUE!</v>
      </c>
      <c r="DW82" s="30" t="e">
        <f aca="false">SUMIF($C$2:$F$2,EOMONTH(DW$2,-1)+1,$C82:$F82)*VLOOKUP(DW$2,Valores!$H$2:$P$154,8,0)</f>
        <v>#VALUE!</v>
      </c>
      <c r="DX82" s="30" t="e">
        <f aca="false">SUMIF($C$2:$F$2,EOMONTH(DX$2,-1)+1,$C82:$F82)*VLOOKUP(DX$2,Valores!$H$2:$P$154,8,0)</f>
        <v>#VALUE!</v>
      </c>
    </row>
    <row r="83" customFormat="false" ht="13.8" hidden="false" customHeight="false" outlineLevel="0" collapsed="false">
      <c r="A83" s="32" t="s">
        <v>91</v>
      </c>
      <c r="B83" s="31" t="s">
        <v>106</v>
      </c>
      <c r="C83" s="31" t="n">
        <v>662442</v>
      </c>
      <c r="D83" s="31" t="n">
        <v>596197.8</v>
      </c>
      <c r="E83" s="31" t="n">
        <v>536578.02</v>
      </c>
      <c r="F83" s="31" t="n">
        <v>482920.218</v>
      </c>
      <c r="G83" s="27" t="n">
        <f aca="false">SUMIF($C$2:$F$2,EOMONTH(G$2,-1)+1,$C83:$F83)*VLOOKUP(G$2,Valores!$H$2:$P$154,8,0)</f>
        <v>19076.4110580879</v>
      </c>
      <c r="H83" s="27" t="n">
        <f aca="false">SUMIF($C$2:$F$2,EOMONTH(H$2,-1)+1,$C83:$F83)*VLOOKUP(H$2,Valores!$H$2:$P$154,8,0)</f>
        <v>13080.9675826888</v>
      </c>
      <c r="I83" s="27" t="n">
        <f aca="false">SUMIF($C$2:$F$2,EOMONTH(I$2,-1)+1,$C83:$F83)*VLOOKUP(I$2,Valores!$H$2:$P$154,8,0)</f>
        <v>13080.9675826888</v>
      </c>
      <c r="J83" s="27" t="n">
        <f aca="false">SUMIF($C$2:$F$2,EOMONTH(J$2,-1)+1,$C83:$F83)*VLOOKUP(J$2,Valores!$H$2:$P$154,8,0)</f>
        <v>13080.9675826888</v>
      </c>
      <c r="K83" s="27" t="n">
        <f aca="false">SUMIF($C$2:$F$2,EOMONTH(K$2,-1)+1,$C83:$F83)*VLOOKUP(K$2,Valores!$H$2:$P$154,8,0)</f>
        <v>13080.9675826888</v>
      </c>
      <c r="L83" s="27" t="n">
        <f aca="false">SUMIF($C$2:$F$2,EOMONTH(L$2,-1)+1,$C83:$F83)*VLOOKUP(L$2,Valores!$H$2:$P$154,8,0)</f>
        <v>26161.9351653776</v>
      </c>
      <c r="M83" s="27" t="n">
        <f aca="false">SUMIF($C$2:$F$2,EOMONTH(M$2,-1)+1,$C83:$F83)*VLOOKUP(M$2,Valores!$H$2:$P$154,8,0)</f>
        <v>32702.4189567221</v>
      </c>
      <c r="N83" s="27" t="n">
        <f aca="false">SUMIF($C$2:$F$2,EOMONTH(N$2,-1)+1,$C83:$F83)*VLOOKUP(N$2,Valores!$H$2:$P$154,8,0)</f>
        <v>19621.4513740332</v>
      </c>
      <c r="O83" s="27" t="n">
        <f aca="false">SUMIF($C$2:$F$2,EOMONTH(O$2,-1)+1,$C83:$F83)*VLOOKUP(O$2,Valores!$H$2:$P$154,8,0)</f>
        <v>17441.2901102518</v>
      </c>
      <c r="P83" s="27" t="n">
        <f aca="false">SUMIF($C$2:$F$2,EOMONTH(P$2,-1)+1,$C83:$F83)*VLOOKUP(P$2,Valores!$H$2:$P$154,8,0)</f>
        <v>17441.2901102518</v>
      </c>
      <c r="Q83" s="27" t="n">
        <f aca="false">SUMIF($C$2:$F$2,EOMONTH(Q$2,-1)+1,$C83:$F83)*VLOOKUP(Q$2,Valores!$H$2:$P$154,8,0)</f>
        <v>10464.7740661511</v>
      </c>
      <c r="R83" s="27" t="n">
        <f aca="false">SUMIF($C$2:$F$2,EOMONTH(R$2,-1)+1,$C83:$F83)*VLOOKUP(R$2,Valores!$H$2:$P$154,8,0)</f>
        <v>17441.2901102518</v>
      </c>
      <c r="S83" s="27" t="n">
        <f aca="false">SUMIF($C$2:$F$2,EOMONTH(S$2,-1)+1,$C83:$F83)*VLOOKUP(S$2,Valores!$H$2:$P$154,8,0)</f>
        <v>34882.5802205035</v>
      </c>
      <c r="T83" s="27" t="n">
        <f aca="false">SUMIF($C$2:$F$2,EOMONTH(T$2,-1)+1,$C83:$F83)*VLOOKUP(T$2,Valores!$H$2:$P$154,8,0)</f>
        <v>43603.2252756294</v>
      </c>
      <c r="U83" s="27" t="n">
        <f aca="false">SUMIF($C$2:$F$2,EOMONTH(U$2,-1)+1,$C83:$F83)*VLOOKUP(U$2,Valores!$H$2:$P$154,8,0)</f>
        <v>26161.9351653776</v>
      </c>
      <c r="V83" s="27" t="n">
        <f aca="false">SUMIF($C$2:$F$2,EOMONTH(V$2,-1)+1,$C83:$F83)*VLOOKUP(V$2,Valores!$H$2:$P$154,8,0)</f>
        <v>21801.6126378147</v>
      </c>
      <c r="W83" s="27" t="n">
        <f aca="false">SUMIF($C$2:$F$2,EOMONTH(W$2,-1)+1,$C83:$F83)*VLOOKUP(W$2,Valores!$H$2:$P$154,8,0)</f>
        <v>21801.6126378147</v>
      </c>
      <c r="X83" s="27" t="n">
        <f aca="false">SUMIF($C$2:$F$2,EOMONTH(X$2,-1)+1,$C83:$F83)*VLOOKUP(X$2,Valores!$H$2:$P$154,8,0)</f>
        <v>0</v>
      </c>
      <c r="Y83" s="27" t="n">
        <f aca="false">SUMIF($C$2:$F$2,EOMONTH(Y$2,-1)+1,$C83:$F83)*VLOOKUP(Y$2,Valores!$H$2:$P$154,8,0)</f>
        <v>0</v>
      </c>
      <c r="Z83" s="27" t="n">
        <f aca="false">SUMIF($C$2:$F$2,EOMONTH(Z$2,-1)+1,$C83:$F83)*VLOOKUP(Z$2,Valores!$H$2:$P$154,8,0)</f>
        <v>32702.4189567221</v>
      </c>
      <c r="AA83" s="27" t="n">
        <f aca="false">SUMIF($C$2:$F$2,EOMONTH(AA$2,-1)+1,$C83:$F83)*VLOOKUP(AA$2,Valores!$H$2:$P$154,8,0)</f>
        <v>39242.9027480665</v>
      </c>
      <c r="AB83" s="27" t="n">
        <f aca="false">SUMIF($C$2:$F$2,EOMONTH(AB$2,-1)+1,$C83:$F83)*VLOOKUP(AB$2,Valores!$H$2:$P$154,8,0)</f>
        <v>19621.4513740332</v>
      </c>
      <c r="AC83" s="27" t="n">
        <f aca="false">SUMIF($C$2:$F$2,EOMONTH(AC$2,-1)+1,$C83:$F83)*VLOOKUP(AC$2,Valores!$H$2:$P$154,8,0)</f>
        <v>23981.7739015962</v>
      </c>
      <c r="AD83" s="27" t="n">
        <f aca="false">SUMIF($C$2:$F$2,EOMONTH(AD$2,-1)+1,$C83:$F83)*VLOOKUP(AD$2,Valores!$H$2:$P$154,8,0)</f>
        <v>23981.7739015962</v>
      </c>
      <c r="AE83" s="27" t="n">
        <f aca="false">SUMIF($C$2:$F$2,EOMONTH(AE$2,-1)+1,$C83:$F83)*VLOOKUP(AE$2,Valores!$H$2:$P$154,8,0)</f>
        <v>23981.7739015962</v>
      </c>
      <c r="AF83" s="27" t="n">
        <f aca="false">SUMIF($C$2:$F$2,EOMONTH(AF$2,-1)+1,$C83:$F83)*VLOOKUP(AF$2,Valores!$H$2:$P$154,8,0)</f>
        <v>23981.7739015962</v>
      </c>
      <c r="AG83" s="27" t="n">
        <f aca="false">SUMIF($C$2:$F$2,EOMONTH(AG$2,-1)+1,$C83:$F83)*VLOOKUP(AG$2,Valores!$H$2:$P$154,8,0)</f>
        <v>38370.8382425539</v>
      </c>
      <c r="AH83" s="27" t="n">
        <f aca="false">SUMIF($C$2:$F$2,EOMONTH(AH$2,-1)+1,$C83:$F83)*VLOOKUP(AH$2,Valores!$H$2:$P$154,8,0)</f>
        <v>47963.5478031924</v>
      </c>
      <c r="AI83" s="27" t="n">
        <f aca="false">SUMIF($C$2:$F$2,EOMONTH(AI$2,-1)+1,$C83:$F83)*VLOOKUP(AI$2,Valores!$H$2:$P$154,8,0)</f>
        <v>16787.2417311173</v>
      </c>
      <c r="AJ83" s="27" t="n">
        <f aca="false">SUMIF($C$2:$F$2,EOMONTH(AJ$2,-1)+1,$C83:$F83)*VLOOKUP(AJ$2,Valores!$H$2:$P$154,8,0)</f>
        <v>10900.8063189074</v>
      </c>
      <c r="AK83" s="27" t="n">
        <f aca="false">SUMIF($C$2:$F$2,EOMONTH(AK$2,-1)+1,$C83:$F83)*VLOOKUP(AK$2,Valores!$H$2:$P$154,8,0)</f>
        <v>19878.4662649742</v>
      </c>
      <c r="AL83" s="27" t="n">
        <f aca="false">SUMIF($C$2:$F$2,EOMONTH(AL$2,-1)+1,$C83:$F83)*VLOOKUP(AL$2,Valores!$H$2:$P$154,8,0)</f>
        <v>19878.4662649742</v>
      </c>
      <c r="AM83" s="27" t="n">
        <f aca="false">SUMIF($C$2:$F$2,EOMONTH(AM$2,-1)+1,$C83:$F83)*VLOOKUP(AM$2,Valores!$H$2:$P$154,8,0)</f>
        <v>19878.4662649742</v>
      </c>
      <c r="AN83" s="27" t="n">
        <f aca="false">SUMIF($C$2:$F$2,EOMONTH(AN$2,-1)+1,$C83:$F83)*VLOOKUP(AN$2,Valores!$H$2:$P$154,8,0)</f>
        <v>39756.9325299483</v>
      </c>
      <c r="AO83" s="27" t="n">
        <f aca="false">SUMIF($C$2:$F$2,EOMONTH(AO$2,-1)+1,$C83:$F83)*VLOOKUP(AO$2,Valores!$H$2:$P$154,8,0)</f>
        <v>49696.1656624354</v>
      </c>
      <c r="AP83" s="27" t="n">
        <f aca="false">SUMIF($C$2:$F$2,EOMONTH(AP$2,-1)+1,$C83:$F83)*VLOOKUP(AP$2,Valores!$H$2:$P$154,8,0)</f>
        <v>29817.6993974612</v>
      </c>
      <c r="AQ83" s="27" t="n">
        <f aca="false">SUMIF($C$2:$F$2,EOMONTH(AQ$2,-1)+1,$C83:$F83)*VLOOKUP(AQ$2,Valores!$H$2:$P$154,8,0)</f>
        <v>10649.1783562362</v>
      </c>
      <c r="AR83" s="27" t="n">
        <f aca="false">SUMIF($C$2:$F$2,EOMONTH(AR$2,-1)+1,$C83:$F83)*VLOOKUP(AR$2,Valores!$H$2:$P$154,8,0)</f>
        <v>10649.1783562362</v>
      </c>
      <c r="AS83" s="27" t="n">
        <f aca="false">SUMIF($C$2:$F$2,EOMONTH(AS$2,-1)+1,$C83:$F83)*VLOOKUP(AS$2,Valores!$H$2:$P$154,8,0)</f>
        <v>10649.1783562362</v>
      </c>
      <c r="AT83" s="27" t="n">
        <f aca="false">SUMIF($C$2:$F$2,EOMONTH(AT$2,-1)+1,$C83:$F83)*VLOOKUP(AT$2,Valores!$H$2:$P$154,8,0)</f>
        <v>10649.1783562362</v>
      </c>
      <c r="AU83" s="27" t="n">
        <f aca="false">SUMIF($C$2:$F$2,EOMONTH(AU$2,-1)+1,$C83:$F83)*VLOOKUP(AU$2,Valores!$H$2:$P$154,8,0)</f>
        <v>21298.3567124723</v>
      </c>
      <c r="AV83" s="27" t="n">
        <f aca="false">SUMIF($C$2:$F$2,EOMONTH(AV$2,-1)+1,$C83:$F83)*VLOOKUP(AV$2,Valores!$H$2:$P$154,8,0)</f>
        <v>26622.9458905904</v>
      </c>
      <c r="AW83" s="27" t="n">
        <f aca="false">SUMIF($C$2:$F$2,EOMONTH(AW$2,-1)+1,$C83:$F83)*VLOOKUP(AW$2,Valores!$H$2:$P$154,8,0)</f>
        <v>15973.7675343542</v>
      </c>
      <c r="AX83" s="27" t="n">
        <f aca="false">SUMIF($C$2:$F$2,EOMONTH(AX$2,-1)+1,$C83:$F83)*VLOOKUP(AX$2,Valores!$H$2:$P$154,8,0)</f>
        <v>10649.1783562362</v>
      </c>
      <c r="AY83" s="27" t="n">
        <f aca="false">SUMIF($C$2:$F$2,EOMONTH(AY$2,-1)+1,$C83:$F83)*VLOOKUP(AY$2,Valores!$H$2:$P$154,8,0)</f>
        <v>13843.931863107</v>
      </c>
      <c r="AZ83" s="27" t="n">
        <f aca="false">SUMIF($C$2:$F$2,EOMONTH(AZ$2,-1)+1,$C83:$F83)*VLOOKUP(AZ$2,Valores!$H$2:$P$154,8,0)</f>
        <v>13843.931863107</v>
      </c>
      <c r="BA83" s="27" t="n">
        <f aca="false">SUMIF($C$2:$F$2,EOMONTH(BA$2,-1)+1,$C83:$F83)*VLOOKUP(BA$2,Valores!$H$2:$P$154,8,0)</f>
        <v>13843.931863107</v>
      </c>
      <c r="BB83" s="27" t="n">
        <f aca="false">SUMIF($C$2:$F$2,EOMONTH(BB$2,-1)+1,$C83:$F83)*VLOOKUP(BB$2,Valores!$H$2:$P$154,8,0)</f>
        <v>24493.1102193432</v>
      </c>
      <c r="BC83" s="27" t="n">
        <f aca="false">SUMIF($C$2:$F$2,EOMONTH(BC$2,-1)+1,$C83:$F83)*VLOOKUP(BC$2,Valores!$H$2:$P$154,8,0)</f>
        <v>29817.6993974612</v>
      </c>
      <c r="BD83" s="27" t="n">
        <f aca="false">SUMIF($C$2:$F$2,EOMONTH(BD$2,-1)+1,$C83:$F83)*VLOOKUP(BD$2,Valores!$H$2:$P$154,8,0)</f>
        <v>15973.7675343542</v>
      </c>
      <c r="BE83" s="27" t="n">
        <f aca="false">SUMIF($C$2:$F$2,EOMONTH(BE$2,-1)+1,$C83:$F83)*VLOOKUP(BE$2,Valores!$H$2:$P$154,8,0)</f>
        <v>14198.9044749815</v>
      </c>
      <c r="BF83" s="27" t="n">
        <f aca="false">SUMIF($C$2:$F$2,EOMONTH(BF$2,-1)+1,$C83:$F83)*VLOOKUP(BF$2,Valores!$H$2:$P$154,8,0)</f>
        <v>14198.9044749815</v>
      </c>
      <c r="BG83" s="27" t="n">
        <f aca="false">SUMIF($C$2:$F$2,EOMONTH(BG$2,-1)+1,$C83:$F83)*VLOOKUP(BG$2,Valores!$H$2:$P$154,8,0)</f>
        <v>14198.9044749815</v>
      </c>
      <c r="BH83" s="27" t="n">
        <f aca="false">SUMIF($C$2:$F$2,EOMONTH(BH$2,-1)+1,$C83:$F83)*VLOOKUP(BH$2,Valores!$H$2:$P$154,8,0)</f>
        <v>14198.9044749815</v>
      </c>
      <c r="BI83" s="27" t="n">
        <f aca="false">SUMIF($C$2:$F$2,EOMONTH(BI$2,-1)+1,$C83:$F83)*VLOOKUP(BI$2,Valores!$H$2:$P$154,8,0)</f>
        <v>28397.8089499631</v>
      </c>
      <c r="BJ83" s="27" t="n">
        <f aca="false">SUMIF($C$2:$F$2,EOMONTH(BJ$2,-1)+1,$C83:$F83)*VLOOKUP(BJ$2,Valores!$H$2:$P$154,8,0)</f>
        <v>35497.2611874538</v>
      </c>
      <c r="BK83" s="27" t="n">
        <f aca="false">SUMIF($C$2:$F$2,EOMONTH(BK$2,-1)+1,$C83:$F83)*VLOOKUP(BK$2,Valores!$H$2:$P$154,8,0)</f>
        <v>17038.6853699779</v>
      </c>
      <c r="BL83" s="27" t="n">
        <f aca="false">SUMIF($C$2:$F$2,EOMONTH(BL$2,-1)+1,$C83:$F83)*VLOOKUP(BL$2,Valores!$H$2:$P$154,8,0)</f>
        <v>12495.0359379838</v>
      </c>
      <c r="BM83" s="27" t="n">
        <f aca="false">SUMIF($C$2:$F$2,EOMONTH(BM$2,-1)+1,$C83:$F83)*VLOOKUP(BM$2,Valores!$H$2:$P$154,8,0)</f>
        <v>12495.0359379838</v>
      </c>
      <c r="BN83" s="27" t="n">
        <f aca="false">SUMIF($C$2:$F$2,EOMONTH(BN$2,-1)+1,$C83:$F83)*VLOOKUP(BN$2,Valores!$H$2:$P$154,8,0)</f>
        <v>12495.0359379838</v>
      </c>
      <c r="BO83" s="27" t="n">
        <f aca="false">SUMIF($C$2:$F$2,EOMONTH(BO$2,-1)+1,$C83:$F83)*VLOOKUP(BO$2,Valores!$H$2:$P$154,8,0)</f>
        <v>13119.7877348829</v>
      </c>
      <c r="BP83" s="27" t="n">
        <f aca="false">SUMIF($C$2:$F$2,EOMONTH(BP$2,-1)+1,$C83:$F83)*VLOOKUP(BP$2,Valores!$H$2:$P$154,8,0)</f>
        <v>33016.5576530052</v>
      </c>
      <c r="BQ83" s="27" t="n">
        <f aca="false">SUMIF($C$2:$F$2,EOMONTH(BQ$2,-1)+1,$C83:$F83)*VLOOKUP(BQ$2,Valores!$H$2:$P$154,8,0)</f>
        <v>41270.6970662564</v>
      </c>
      <c r="BR83" s="27" t="n">
        <f aca="false">SUMIF($C$2:$F$2,EOMONTH(BR$2,-1)+1,$C83:$F83)*VLOOKUP(BR$2,Valores!$H$2:$P$154,8,0)</f>
        <v>19809.9345918031</v>
      </c>
      <c r="BS83" s="27" t="n">
        <f aca="false">SUMIF($C$2:$F$2,EOMONTH(BS$2,-1)+1,$C83:$F83)*VLOOKUP(BS$2,Valores!$H$2:$P$154,8,0)</f>
        <v>8843.7207999121</v>
      </c>
      <c r="BT83" s="27" t="n">
        <f aca="false">SUMIF($C$2:$F$2,EOMONTH(BT$2,-1)+1,$C83:$F83)*VLOOKUP(BT$2,Valores!$H$2:$P$154,8,0)</f>
        <v>8843.7207999121</v>
      </c>
      <c r="BU83" s="27" t="n">
        <f aca="false">SUMIF($C$2:$F$2,EOMONTH(BU$2,-1)+1,$C83:$F83)*VLOOKUP(BU$2,Valores!$H$2:$P$154,8,0)</f>
        <v>8843.7207999121</v>
      </c>
      <c r="BV83" s="27" t="n">
        <f aca="false">SUMIF($C$2:$F$2,EOMONTH(BV$2,-1)+1,$C83:$F83)*VLOOKUP(BV$2,Valores!$H$2:$P$154,8,0)</f>
        <v>8843.7207999121</v>
      </c>
      <c r="BW83" s="27" t="n">
        <f aca="false">SUMIF($C$2:$F$2,EOMONTH(BW$2,-1)+1,$C83:$F83)*VLOOKUP(BW$2,Valores!$H$2:$P$154,8,0)</f>
        <v>17687.4415998242</v>
      </c>
      <c r="BX83" s="27" t="n">
        <f aca="false">SUMIF($C$2:$F$2,EOMONTH(BX$2,-1)+1,$C83:$F83)*VLOOKUP(BX$2,Valores!$H$2:$P$154,8,0)</f>
        <v>22109.3019997802</v>
      </c>
      <c r="BY83" s="27" t="n">
        <f aca="false">SUMIF($C$2:$F$2,EOMONTH(BY$2,-1)+1,$C83:$F83)*VLOOKUP(BY$2,Valores!$H$2:$P$154,8,0)</f>
        <v>13265.5811998681</v>
      </c>
      <c r="BZ83" s="27" t="n">
        <f aca="false">SUMIF($C$2:$F$2,EOMONTH(BZ$2,-1)+1,$C83:$F83)*VLOOKUP(BZ$2,Valores!$H$2:$P$154,8,0)</f>
        <v>8843.7207999121</v>
      </c>
      <c r="CA83" s="27" t="n">
        <f aca="false">SUMIF($C$2:$F$2,EOMONTH(CA$2,-1)+1,$C83:$F83)*VLOOKUP(CA$2,Valores!$H$2:$P$154,8,0)</f>
        <v>8843.7207999121</v>
      </c>
      <c r="CB83" s="27" t="n">
        <f aca="false">SUMIF($C$2:$F$2,EOMONTH(CB$2,-1)+1,$C83:$F83)*VLOOKUP(CB$2,Valores!$H$2:$P$154,8,0)</f>
        <v>8843.7207999121</v>
      </c>
      <c r="CC83" s="27" t="n">
        <f aca="false">SUMIF($C$2:$F$2,EOMONTH(CC$2,-1)+1,$C83:$F83)*VLOOKUP(CC$2,Valores!$H$2:$P$154,8,0)</f>
        <v>8843.7207999121</v>
      </c>
      <c r="CD83" s="27" t="n">
        <f aca="false">SUMIF($C$2:$F$2,EOMONTH(CD$2,-1)+1,$C83:$F83)*VLOOKUP(CD$2,Valores!$H$2:$P$154,8,0)</f>
        <v>26531.1623997363</v>
      </c>
      <c r="CE83" s="27" t="n">
        <f aca="false">SUMIF($C$2:$F$2,EOMONTH(CE$2,-1)+1,$C83:$F83)*VLOOKUP(CE$2,Valores!$H$2:$P$154,8,0)</f>
        <v>35374.8831996484</v>
      </c>
      <c r="CF83" s="27" t="n">
        <f aca="false">SUMIF($C$2:$F$2,EOMONTH(CF$2,-1)+1,$C83:$F83)*VLOOKUP(CF$2,Valores!$H$2:$P$154,8,0)</f>
        <v>22109.3019997802</v>
      </c>
      <c r="CG83" s="27" t="n">
        <f aca="false">SUMIF($C$2:$F$2,EOMONTH(CG$2,-1)+1,$C83:$F83)*VLOOKUP(CG$2,Valores!$H$2:$P$154,8,0)</f>
        <v>11791.6277332161</v>
      </c>
      <c r="CH83" s="27" t="n">
        <f aca="false">SUMIF($C$2:$F$2,EOMONTH(CH$2,-1)+1,$C83:$F83)*VLOOKUP(CH$2,Valores!$H$2:$P$154,8,0)</f>
        <v>11791.6277332161</v>
      </c>
      <c r="CI83" s="27" t="n">
        <f aca="false">SUMIF($C$2:$F$2,EOMONTH(CI$2,-1)+1,$C83:$F83)*VLOOKUP(CI$2,Valores!$H$2:$P$154,8,0)</f>
        <v>11791.6277332161</v>
      </c>
      <c r="CJ83" s="27" t="n">
        <f aca="false">SUMIF($C$2:$F$2,EOMONTH(CJ$2,-1)+1,$C83:$F83)*VLOOKUP(CJ$2,Valores!$H$2:$P$154,8,0)</f>
        <v>11791.6277332161</v>
      </c>
      <c r="CK83" s="27" t="n">
        <f aca="false">SUMIF($C$2:$F$2,EOMONTH(CK$2,-1)+1,$C83:$F83)*VLOOKUP(CK$2,Valores!$H$2:$P$154,8,0)</f>
        <v>23583.2554664323</v>
      </c>
      <c r="CL83" s="27" t="n">
        <f aca="false">SUMIF($C$2:$F$2,EOMONTH(CL$2,-1)+1,$C83:$F83)*VLOOKUP(CL$2,Valores!$H$2:$P$154,8,0)</f>
        <v>29479.0693330403</v>
      </c>
      <c r="CM83" s="27" t="n">
        <f aca="false">SUMIF($C$2:$F$2,EOMONTH(CM$2,-1)+1,$C83:$F83)*VLOOKUP(CM$2,Valores!$H$2:$P$154,8,0)</f>
        <v>17687.4415998242</v>
      </c>
      <c r="CN83" s="27" t="n">
        <f aca="false">SUMIF($C$2:$F$2,EOMONTH(CN$2,-1)+1,$C83:$F83)*VLOOKUP(CN$2,Valores!$H$2:$P$154,8,0)</f>
        <v>12970.7905065377</v>
      </c>
      <c r="CO83" s="27" t="n">
        <f aca="false">SUMIF($C$2:$F$2,EOMONTH(CO$2,-1)+1,$C83:$F83)*VLOOKUP(CO$2,Valores!$H$2:$P$154,8,0)</f>
        <v>12970.7905065377</v>
      </c>
      <c r="CP83" s="27" t="n">
        <f aca="false">SUMIF($C$2:$F$2,EOMONTH(CP$2,-1)+1,$C83:$F83)*VLOOKUP(CP$2,Valores!$H$2:$P$154,8,0)</f>
        <v>12970.7905065377</v>
      </c>
      <c r="CQ83" s="27" t="n">
        <f aca="false">SUMIF($C$2:$F$2,EOMONTH(CQ$2,-1)+1,$C83:$F83)*VLOOKUP(CQ$2,Valores!$H$2:$P$154,8,0)</f>
        <v>12970.7905065377</v>
      </c>
      <c r="CR83" s="27" t="n">
        <f aca="false">SUMIF($C$2:$F$2,EOMONTH(CR$2,-1)+1,$C83:$F83)*VLOOKUP(CR$2,Valores!$H$2:$P$154,8,0)</f>
        <v>25941.5810130755</v>
      </c>
      <c r="CS83" s="27" t="n">
        <f aca="false">SUMIF($C$2:$F$2,EOMONTH(CS$2,-1)+1,$C83:$F83)*VLOOKUP(CS$2,Valores!$H$2:$P$154,8,0)</f>
        <v>38912.3715196132</v>
      </c>
      <c r="CT83" s="27" t="e">
        <f aca="false">SUMIF($C$2:$F$2,EOMONTH(CT$2,-1)+1,$C83:$F83)*VLOOKUP(CT$2,Valores!$H$2:$P$154,8,0)</f>
        <v>#VALUE!</v>
      </c>
      <c r="CU83" s="27" t="e">
        <f aca="false">SUMIF($C$2:$F$2,EOMONTH(CU$2,-1)+1,$C83:$F83)*VLOOKUP(CU$2,Valores!$H$2:$P$154,8,0)</f>
        <v>#VALUE!</v>
      </c>
      <c r="CV83" s="27" t="e">
        <f aca="false">SUMIF($C$2:$F$2,EOMONTH(CV$2,-1)+1,$C83:$F83)*VLOOKUP(CV$2,Valores!$H$2:$P$154,8,0)</f>
        <v>#VALUE!</v>
      </c>
      <c r="CW83" s="27" t="e">
        <f aca="false">SUMIF($C$2:$F$2,EOMONTH(CW$2,-1)+1,$C83:$F83)*VLOOKUP(CW$2,Valores!$H$2:$P$154,8,0)</f>
        <v>#VALUE!</v>
      </c>
      <c r="CX83" s="27" t="e">
        <f aca="false">SUMIF($C$2:$F$2,EOMONTH(CX$2,-1)+1,$C83:$F83)*VLOOKUP(CX$2,Valores!$H$2:$P$154,8,0)</f>
        <v>#VALUE!</v>
      </c>
      <c r="CY83" s="27" t="e">
        <f aca="false">SUMIF($C$2:$F$2,EOMONTH(CY$2,-1)+1,$C83:$F83)*VLOOKUP(CY$2,Valores!$H$2:$P$154,8,0)</f>
        <v>#VALUE!</v>
      </c>
      <c r="CZ83" s="27" t="e">
        <f aca="false">SUMIF($C$2:$F$2,EOMONTH(CZ$2,-1)+1,$C83:$F83)*VLOOKUP(CZ$2,Valores!$H$2:$P$154,8,0)</f>
        <v>#VALUE!</v>
      </c>
      <c r="DA83" s="27" t="e">
        <f aca="false">SUMIF($C$2:$F$2,EOMONTH(DA$2,-1)+1,$C83:$F83)*VLOOKUP(DA$2,Valores!$H$2:$P$154,8,0)</f>
        <v>#VALUE!</v>
      </c>
      <c r="DB83" s="27" t="e">
        <f aca="false">SUMIF($C$2:$F$2,EOMONTH(DB$2,-1)+1,$C83:$F83)*VLOOKUP(DB$2,Valores!$H$2:$P$154,8,0)</f>
        <v>#VALUE!</v>
      </c>
      <c r="DC83" s="27" t="e">
        <f aca="false">SUMIF($C$2:$F$2,EOMONTH(DC$2,-1)+1,$C83:$F83)*VLOOKUP(DC$2,Valores!$H$2:$P$154,8,0)</f>
        <v>#VALUE!</v>
      </c>
      <c r="DD83" s="27" t="e">
        <f aca="false">SUMIF($C$2:$F$2,EOMONTH(DD$2,-1)+1,$C83:$F83)*VLOOKUP(DD$2,Valores!$H$2:$P$154,8,0)</f>
        <v>#VALUE!</v>
      </c>
      <c r="DE83" s="27" t="e">
        <f aca="false">SUMIF($C$2:$F$2,EOMONTH(DE$2,-1)+1,$C83:$F83)*VLOOKUP(DE$2,Valores!$H$2:$P$154,8,0)</f>
        <v>#VALUE!</v>
      </c>
      <c r="DF83" s="27" t="e">
        <f aca="false">SUMIF($C$2:$F$2,EOMONTH(DF$2,-1)+1,$C83:$F83)*VLOOKUP(DF$2,Valores!$H$2:$P$154,8,0)</f>
        <v>#VALUE!</v>
      </c>
      <c r="DG83" s="27" t="e">
        <f aca="false">SUMIF($C$2:$F$2,EOMONTH(DG$2,-1)+1,$C83:$F83)*VLOOKUP(DG$2,Valores!$H$2:$P$154,8,0)</f>
        <v>#VALUE!</v>
      </c>
      <c r="DH83" s="27" t="e">
        <f aca="false">SUMIF($C$2:$F$2,EOMONTH(DH$2,-1)+1,$C83:$F83)*VLOOKUP(DH$2,Valores!$H$2:$P$154,8,0)</f>
        <v>#VALUE!</v>
      </c>
      <c r="DI83" s="27" t="e">
        <f aca="false">SUMIF($C$2:$F$2,EOMONTH(DI$2,-1)+1,$C83:$F83)*VLOOKUP(DI$2,Valores!$H$2:$P$154,8,0)</f>
        <v>#VALUE!</v>
      </c>
      <c r="DJ83" s="27" t="e">
        <f aca="false">SUMIF($C$2:$F$2,EOMONTH(DJ$2,-1)+1,$C83:$F83)*VLOOKUP(DJ$2,Valores!$H$2:$P$154,8,0)</f>
        <v>#VALUE!</v>
      </c>
      <c r="DK83" s="27" t="e">
        <f aca="false">SUMIF($C$2:$F$2,EOMONTH(DK$2,-1)+1,$C83:$F83)*VLOOKUP(DK$2,Valores!$H$2:$P$154,8,0)</f>
        <v>#VALUE!</v>
      </c>
      <c r="DL83" s="27" t="e">
        <f aca="false">SUMIF($C$2:$F$2,EOMONTH(DL$2,-1)+1,$C83:$F83)*VLOOKUP(DL$2,Valores!$H$2:$P$154,8,0)</f>
        <v>#VALUE!</v>
      </c>
      <c r="DM83" s="27" t="e">
        <f aca="false">SUMIF($C$2:$F$2,EOMONTH(DM$2,-1)+1,$C83:$F83)*VLOOKUP(DM$2,Valores!$H$2:$P$154,8,0)</f>
        <v>#VALUE!</v>
      </c>
      <c r="DN83" s="27" t="e">
        <f aca="false">SUMIF($C$2:$F$2,EOMONTH(DN$2,-1)+1,$C83:$F83)*VLOOKUP(DN$2,Valores!$H$2:$P$154,8,0)</f>
        <v>#VALUE!</v>
      </c>
      <c r="DO83" s="27" t="e">
        <f aca="false">SUMIF($C$2:$F$2,EOMONTH(DO$2,-1)+1,$C83:$F83)*VLOOKUP(DO$2,Valores!$H$2:$P$154,8,0)</f>
        <v>#VALUE!</v>
      </c>
      <c r="DP83" s="27" t="e">
        <f aca="false">SUMIF($C$2:$F$2,EOMONTH(DP$2,-1)+1,$C83:$F83)*VLOOKUP(DP$2,Valores!$H$2:$P$154,8,0)</f>
        <v>#VALUE!</v>
      </c>
      <c r="DQ83" s="27" t="e">
        <f aca="false">SUMIF($C$2:$F$2,EOMONTH(DQ$2,-1)+1,$C83:$F83)*VLOOKUP(DQ$2,Valores!$H$2:$P$154,8,0)</f>
        <v>#VALUE!</v>
      </c>
      <c r="DR83" s="27" t="e">
        <f aca="false">SUMIF($C$2:$F$2,EOMONTH(DR$2,-1)+1,$C83:$F83)*VLOOKUP(DR$2,Valores!$H$2:$P$154,8,0)</f>
        <v>#VALUE!</v>
      </c>
      <c r="DS83" s="27" t="e">
        <f aca="false">SUMIF($C$2:$F$2,EOMONTH(DS$2,-1)+1,$C83:$F83)*VLOOKUP(DS$2,Valores!$H$2:$P$154,8,0)</f>
        <v>#VALUE!</v>
      </c>
      <c r="DT83" s="27" t="e">
        <f aca="false">SUMIF($C$2:$F$2,EOMONTH(DT$2,-1)+1,$C83:$F83)*VLOOKUP(DT$2,Valores!$H$2:$P$154,8,0)</f>
        <v>#VALUE!</v>
      </c>
      <c r="DU83" s="27" t="e">
        <f aca="false">SUMIF($C$2:$F$2,EOMONTH(DU$2,-1)+1,$C83:$F83)*VLOOKUP(DU$2,Valores!$H$2:$P$154,8,0)</f>
        <v>#VALUE!</v>
      </c>
      <c r="DV83" s="27" t="e">
        <f aca="false">SUMIF($C$2:$F$2,EOMONTH(DV$2,-1)+1,$C83:$F83)*VLOOKUP(DV$2,Valores!$H$2:$P$154,8,0)</f>
        <v>#VALUE!</v>
      </c>
      <c r="DW83" s="27" t="e">
        <f aca="false">SUMIF($C$2:$F$2,EOMONTH(DW$2,-1)+1,$C83:$F83)*VLOOKUP(DW$2,Valores!$H$2:$P$154,8,0)</f>
        <v>#VALUE!</v>
      </c>
      <c r="DX83" s="27" t="e">
        <f aca="false">SUMIF($C$2:$F$2,EOMONTH(DX$2,-1)+1,$C83:$F83)*VLOOKUP(DX$2,Valores!$H$2:$P$154,8,0)</f>
        <v>#VALUE!</v>
      </c>
    </row>
    <row r="84" customFormat="false" ht="13.8" hidden="false" customHeight="false" outlineLevel="0" collapsed="false">
      <c r="A84" s="33" t="s">
        <v>91</v>
      </c>
      <c r="B84" s="29" t="s">
        <v>107</v>
      </c>
      <c r="C84" s="29" t="n">
        <v>693390</v>
      </c>
      <c r="D84" s="29" t="n">
        <v>624051</v>
      </c>
      <c r="E84" s="29" t="n">
        <v>561645.9</v>
      </c>
      <c r="F84" s="29" t="n">
        <v>505481.31</v>
      </c>
      <c r="G84" s="30" t="n">
        <f aca="false">SUMIF($C$2:$F$2,EOMONTH(G$2,-1)+1,$C84:$F84)*VLOOKUP(G$2,Valores!$H$2:$P$154,8,0)</f>
        <v>19967.6238275465</v>
      </c>
      <c r="H84" s="30" t="n">
        <f aca="false">SUMIF($C$2:$F$2,EOMONTH(H$2,-1)+1,$C84:$F84)*VLOOKUP(H$2,Valores!$H$2:$P$154,8,0)</f>
        <v>13692.0849103176</v>
      </c>
      <c r="I84" s="30" t="n">
        <f aca="false">SUMIF($C$2:$F$2,EOMONTH(I$2,-1)+1,$C84:$F84)*VLOOKUP(I$2,Valores!$H$2:$P$154,8,0)</f>
        <v>13692.0849103176</v>
      </c>
      <c r="J84" s="30" t="n">
        <f aca="false">SUMIF($C$2:$F$2,EOMONTH(J$2,-1)+1,$C84:$F84)*VLOOKUP(J$2,Valores!$H$2:$P$154,8,0)</f>
        <v>13692.0849103176</v>
      </c>
      <c r="K84" s="30" t="n">
        <f aca="false">SUMIF($C$2:$F$2,EOMONTH(K$2,-1)+1,$C84:$F84)*VLOOKUP(K$2,Valores!$H$2:$P$154,8,0)</f>
        <v>13692.0849103176</v>
      </c>
      <c r="L84" s="30" t="n">
        <f aca="false">SUMIF($C$2:$F$2,EOMONTH(L$2,-1)+1,$C84:$F84)*VLOOKUP(L$2,Valores!$H$2:$P$154,8,0)</f>
        <v>27384.1698206352</v>
      </c>
      <c r="M84" s="30" t="n">
        <f aca="false">SUMIF($C$2:$F$2,EOMONTH(M$2,-1)+1,$C84:$F84)*VLOOKUP(M$2,Valores!$H$2:$P$154,8,0)</f>
        <v>34230.212275794</v>
      </c>
      <c r="N84" s="30" t="n">
        <f aca="false">SUMIF($C$2:$F$2,EOMONTH(N$2,-1)+1,$C84:$F84)*VLOOKUP(N$2,Valores!$H$2:$P$154,8,0)</f>
        <v>20538.1273654764</v>
      </c>
      <c r="O84" s="30" t="n">
        <f aca="false">SUMIF($C$2:$F$2,EOMONTH(O$2,-1)+1,$C84:$F84)*VLOOKUP(O$2,Valores!$H$2:$P$154,8,0)</f>
        <v>18256.1132137568</v>
      </c>
      <c r="P84" s="30" t="n">
        <f aca="false">SUMIF($C$2:$F$2,EOMONTH(P$2,-1)+1,$C84:$F84)*VLOOKUP(P$2,Valores!$H$2:$P$154,8,0)</f>
        <v>18256.1132137568</v>
      </c>
      <c r="Q84" s="30" t="n">
        <f aca="false">SUMIF($C$2:$F$2,EOMONTH(Q$2,-1)+1,$C84:$F84)*VLOOKUP(Q$2,Valores!$H$2:$P$154,8,0)</f>
        <v>10953.6679282541</v>
      </c>
      <c r="R84" s="30" t="n">
        <f aca="false">SUMIF($C$2:$F$2,EOMONTH(R$2,-1)+1,$C84:$F84)*VLOOKUP(R$2,Valores!$H$2:$P$154,8,0)</f>
        <v>18256.1132137568</v>
      </c>
      <c r="S84" s="30" t="n">
        <f aca="false">SUMIF($C$2:$F$2,EOMONTH(S$2,-1)+1,$C84:$F84)*VLOOKUP(S$2,Valores!$H$2:$P$154,8,0)</f>
        <v>36512.2264275136</v>
      </c>
      <c r="T84" s="30" t="n">
        <f aca="false">SUMIF($C$2:$F$2,EOMONTH(T$2,-1)+1,$C84:$F84)*VLOOKUP(T$2,Valores!$H$2:$P$154,8,0)</f>
        <v>45640.283034392</v>
      </c>
      <c r="U84" s="30" t="n">
        <f aca="false">SUMIF($C$2:$F$2,EOMONTH(U$2,-1)+1,$C84:$F84)*VLOOKUP(U$2,Valores!$H$2:$P$154,8,0)</f>
        <v>27384.1698206352</v>
      </c>
      <c r="V84" s="30" t="n">
        <f aca="false">SUMIF($C$2:$F$2,EOMONTH(V$2,-1)+1,$C84:$F84)*VLOOKUP(V$2,Valores!$H$2:$P$154,8,0)</f>
        <v>22820.141517196</v>
      </c>
      <c r="W84" s="30" t="n">
        <f aca="false">SUMIF($C$2:$F$2,EOMONTH(W$2,-1)+1,$C84:$F84)*VLOOKUP(W$2,Valores!$H$2:$P$154,8,0)</f>
        <v>22820.141517196</v>
      </c>
      <c r="X84" s="30" t="n">
        <f aca="false">SUMIF($C$2:$F$2,EOMONTH(X$2,-1)+1,$C84:$F84)*VLOOKUP(X$2,Valores!$H$2:$P$154,8,0)</f>
        <v>0</v>
      </c>
      <c r="Y84" s="30" t="n">
        <f aca="false">SUMIF($C$2:$F$2,EOMONTH(Y$2,-1)+1,$C84:$F84)*VLOOKUP(Y$2,Valores!$H$2:$P$154,8,0)</f>
        <v>0</v>
      </c>
      <c r="Z84" s="30" t="n">
        <f aca="false">SUMIF($C$2:$F$2,EOMONTH(Z$2,-1)+1,$C84:$F84)*VLOOKUP(Z$2,Valores!$H$2:$P$154,8,0)</f>
        <v>34230.212275794</v>
      </c>
      <c r="AA84" s="30" t="n">
        <f aca="false">SUMIF($C$2:$F$2,EOMONTH(AA$2,-1)+1,$C84:$F84)*VLOOKUP(AA$2,Valores!$H$2:$P$154,8,0)</f>
        <v>41076.2547309528</v>
      </c>
      <c r="AB84" s="30" t="n">
        <f aca="false">SUMIF($C$2:$F$2,EOMONTH(AB$2,-1)+1,$C84:$F84)*VLOOKUP(AB$2,Valores!$H$2:$P$154,8,0)</f>
        <v>20538.1273654764</v>
      </c>
      <c r="AC84" s="30" t="n">
        <f aca="false">SUMIF($C$2:$F$2,EOMONTH(AC$2,-1)+1,$C84:$F84)*VLOOKUP(AC$2,Valores!$H$2:$P$154,8,0)</f>
        <v>25102.1556689156</v>
      </c>
      <c r="AD84" s="30" t="n">
        <f aca="false">SUMIF($C$2:$F$2,EOMONTH(AD$2,-1)+1,$C84:$F84)*VLOOKUP(AD$2,Valores!$H$2:$P$154,8,0)</f>
        <v>25102.1556689156</v>
      </c>
      <c r="AE84" s="30" t="n">
        <f aca="false">SUMIF($C$2:$F$2,EOMONTH(AE$2,-1)+1,$C84:$F84)*VLOOKUP(AE$2,Valores!$H$2:$P$154,8,0)</f>
        <v>25102.1556689156</v>
      </c>
      <c r="AF84" s="30" t="n">
        <f aca="false">SUMIF($C$2:$F$2,EOMONTH(AF$2,-1)+1,$C84:$F84)*VLOOKUP(AF$2,Valores!$H$2:$P$154,8,0)</f>
        <v>25102.1556689156</v>
      </c>
      <c r="AG84" s="30" t="n">
        <f aca="false">SUMIF($C$2:$F$2,EOMONTH(AG$2,-1)+1,$C84:$F84)*VLOOKUP(AG$2,Valores!$H$2:$P$154,8,0)</f>
        <v>40163.4490702649</v>
      </c>
      <c r="AH84" s="30" t="n">
        <f aca="false">SUMIF($C$2:$F$2,EOMONTH(AH$2,-1)+1,$C84:$F84)*VLOOKUP(AH$2,Valores!$H$2:$P$154,8,0)</f>
        <v>50204.3113378312</v>
      </c>
      <c r="AI84" s="30" t="n">
        <f aca="false">SUMIF($C$2:$F$2,EOMONTH(AI$2,-1)+1,$C84:$F84)*VLOOKUP(AI$2,Valores!$H$2:$P$154,8,0)</f>
        <v>17571.5089682409</v>
      </c>
      <c r="AJ84" s="30" t="n">
        <f aca="false">SUMIF($C$2:$F$2,EOMONTH(AJ$2,-1)+1,$C84:$F84)*VLOOKUP(AJ$2,Valores!$H$2:$P$154,8,0)</f>
        <v>11410.070758598</v>
      </c>
      <c r="AK84" s="30" t="n">
        <f aca="false">SUMIF($C$2:$F$2,EOMONTH(AK$2,-1)+1,$C84:$F84)*VLOOKUP(AK$2,Valores!$H$2:$P$154,8,0)</f>
        <v>20807.1494915335</v>
      </c>
      <c r="AL84" s="30" t="n">
        <f aca="false">SUMIF($C$2:$F$2,EOMONTH(AL$2,-1)+1,$C84:$F84)*VLOOKUP(AL$2,Valores!$H$2:$P$154,8,0)</f>
        <v>20807.1494915335</v>
      </c>
      <c r="AM84" s="30" t="n">
        <f aca="false">SUMIF($C$2:$F$2,EOMONTH(AM$2,-1)+1,$C84:$F84)*VLOOKUP(AM$2,Valores!$H$2:$P$154,8,0)</f>
        <v>20807.1494915335</v>
      </c>
      <c r="AN84" s="30" t="n">
        <f aca="false">SUMIF($C$2:$F$2,EOMONTH(AN$2,-1)+1,$C84:$F84)*VLOOKUP(AN$2,Valores!$H$2:$P$154,8,0)</f>
        <v>41614.298983067</v>
      </c>
      <c r="AO84" s="30" t="n">
        <f aca="false">SUMIF($C$2:$F$2,EOMONTH(AO$2,-1)+1,$C84:$F84)*VLOOKUP(AO$2,Valores!$H$2:$P$154,8,0)</f>
        <v>52017.8737288337</v>
      </c>
      <c r="AP84" s="30" t="n">
        <f aca="false">SUMIF($C$2:$F$2,EOMONTH(AP$2,-1)+1,$C84:$F84)*VLOOKUP(AP$2,Valores!$H$2:$P$154,8,0)</f>
        <v>31210.7242373002</v>
      </c>
      <c r="AQ84" s="30" t="n">
        <f aca="false">SUMIF($C$2:$F$2,EOMONTH(AQ$2,-1)+1,$C84:$F84)*VLOOKUP(AQ$2,Valores!$H$2:$P$154,8,0)</f>
        <v>11146.6872276072</v>
      </c>
      <c r="AR84" s="30" t="n">
        <f aca="false">SUMIF($C$2:$F$2,EOMONTH(AR$2,-1)+1,$C84:$F84)*VLOOKUP(AR$2,Valores!$H$2:$P$154,8,0)</f>
        <v>11146.6872276072</v>
      </c>
      <c r="AS84" s="30" t="n">
        <f aca="false">SUMIF($C$2:$F$2,EOMONTH(AS$2,-1)+1,$C84:$F84)*VLOOKUP(AS$2,Valores!$H$2:$P$154,8,0)</f>
        <v>11146.6872276072</v>
      </c>
      <c r="AT84" s="30" t="n">
        <f aca="false">SUMIF($C$2:$F$2,EOMONTH(AT$2,-1)+1,$C84:$F84)*VLOOKUP(AT$2,Valores!$H$2:$P$154,8,0)</f>
        <v>11146.6872276072</v>
      </c>
      <c r="AU84" s="30" t="n">
        <f aca="false">SUMIF($C$2:$F$2,EOMONTH(AU$2,-1)+1,$C84:$F84)*VLOOKUP(AU$2,Valores!$H$2:$P$154,8,0)</f>
        <v>22293.3744552145</v>
      </c>
      <c r="AV84" s="30" t="n">
        <f aca="false">SUMIF($C$2:$F$2,EOMONTH(AV$2,-1)+1,$C84:$F84)*VLOOKUP(AV$2,Valores!$H$2:$P$154,8,0)</f>
        <v>27866.7180690181</v>
      </c>
      <c r="AW84" s="30" t="n">
        <f aca="false">SUMIF($C$2:$F$2,EOMONTH(AW$2,-1)+1,$C84:$F84)*VLOOKUP(AW$2,Valores!$H$2:$P$154,8,0)</f>
        <v>16720.0308414108</v>
      </c>
      <c r="AX84" s="30" t="n">
        <f aca="false">SUMIF($C$2:$F$2,EOMONTH(AX$2,-1)+1,$C84:$F84)*VLOOKUP(AX$2,Valores!$H$2:$P$154,8,0)</f>
        <v>11146.6872276072</v>
      </c>
      <c r="AY84" s="30" t="n">
        <f aca="false">SUMIF($C$2:$F$2,EOMONTH(AY$2,-1)+1,$C84:$F84)*VLOOKUP(AY$2,Valores!$H$2:$P$154,8,0)</f>
        <v>14490.6933958894</v>
      </c>
      <c r="AZ84" s="30" t="n">
        <f aca="false">SUMIF($C$2:$F$2,EOMONTH(AZ$2,-1)+1,$C84:$F84)*VLOOKUP(AZ$2,Valores!$H$2:$P$154,8,0)</f>
        <v>14490.6933958894</v>
      </c>
      <c r="BA84" s="30" t="n">
        <f aca="false">SUMIF($C$2:$F$2,EOMONTH(BA$2,-1)+1,$C84:$F84)*VLOOKUP(BA$2,Valores!$H$2:$P$154,8,0)</f>
        <v>14490.6933958894</v>
      </c>
      <c r="BB84" s="30" t="n">
        <f aca="false">SUMIF($C$2:$F$2,EOMONTH(BB$2,-1)+1,$C84:$F84)*VLOOKUP(BB$2,Valores!$H$2:$P$154,8,0)</f>
        <v>25637.3806234966</v>
      </c>
      <c r="BC84" s="30" t="n">
        <f aca="false">SUMIF($C$2:$F$2,EOMONTH(BC$2,-1)+1,$C84:$F84)*VLOOKUP(BC$2,Valores!$H$2:$P$154,8,0)</f>
        <v>31210.7242373002</v>
      </c>
      <c r="BD84" s="30" t="n">
        <f aca="false">SUMIF($C$2:$F$2,EOMONTH(BD$2,-1)+1,$C84:$F84)*VLOOKUP(BD$2,Valores!$H$2:$P$154,8,0)</f>
        <v>16720.0308414108</v>
      </c>
      <c r="BE84" s="30" t="n">
        <f aca="false">SUMIF($C$2:$F$2,EOMONTH(BE$2,-1)+1,$C84:$F84)*VLOOKUP(BE$2,Valores!$H$2:$P$154,8,0)</f>
        <v>14862.2496368096</v>
      </c>
      <c r="BF84" s="30" t="n">
        <f aca="false">SUMIF($C$2:$F$2,EOMONTH(BF$2,-1)+1,$C84:$F84)*VLOOKUP(BF$2,Valores!$H$2:$P$154,8,0)</f>
        <v>14862.2496368096</v>
      </c>
      <c r="BG84" s="30" t="n">
        <f aca="false">SUMIF($C$2:$F$2,EOMONTH(BG$2,-1)+1,$C84:$F84)*VLOOKUP(BG$2,Valores!$H$2:$P$154,8,0)</f>
        <v>14862.2496368096</v>
      </c>
      <c r="BH84" s="30" t="n">
        <f aca="false">SUMIF($C$2:$F$2,EOMONTH(BH$2,-1)+1,$C84:$F84)*VLOOKUP(BH$2,Valores!$H$2:$P$154,8,0)</f>
        <v>14862.2496368096</v>
      </c>
      <c r="BI84" s="30" t="n">
        <f aca="false">SUMIF($C$2:$F$2,EOMONTH(BI$2,-1)+1,$C84:$F84)*VLOOKUP(BI$2,Valores!$H$2:$P$154,8,0)</f>
        <v>29724.4992736193</v>
      </c>
      <c r="BJ84" s="30" t="n">
        <f aca="false">SUMIF($C$2:$F$2,EOMONTH(BJ$2,-1)+1,$C84:$F84)*VLOOKUP(BJ$2,Valores!$H$2:$P$154,8,0)</f>
        <v>37155.6240920241</v>
      </c>
      <c r="BK84" s="30" t="n">
        <f aca="false">SUMIF($C$2:$F$2,EOMONTH(BK$2,-1)+1,$C84:$F84)*VLOOKUP(BK$2,Valores!$H$2:$P$154,8,0)</f>
        <v>17834.6995641716</v>
      </c>
      <c r="BL84" s="30" t="n">
        <f aca="false">SUMIF($C$2:$F$2,EOMONTH(BL$2,-1)+1,$C84:$F84)*VLOOKUP(BL$2,Valores!$H$2:$P$154,8,0)</f>
        <v>13078.7796803925</v>
      </c>
      <c r="BM84" s="30" t="n">
        <f aca="false">SUMIF($C$2:$F$2,EOMONTH(BM$2,-1)+1,$C84:$F84)*VLOOKUP(BM$2,Valores!$H$2:$P$154,8,0)</f>
        <v>13078.7796803925</v>
      </c>
      <c r="BN84" s="30" t="n">
        <f aca="false">SUMIF($C$2:$F$2,EOMONTH(BN$2,-1)+1,$C84:$F84)*VLOOKUP(BN$2,Valores!$H$2:$P$154,8,0)</f>
        <v>13078.7796803925</v>
      </c>
      <c r="BO84" s="30" t="n">
        <f aca="false">SUMIF($C$2:$F$2,EOMONTH(BO$2,-1)+1,$C84:$F84)*VLOOKUP(BO$2,Valores!$H$2:$P$154,8,0)</f>
        <v>13732.7186644121</v>
      </c>
      <c r="BP84" s="30" t="n">
        <f aca="false">SUMIF($C$2:$F$2,EOMONTH(BP$2,-1)+1,$C84:$F84)*VLOOKUP(BP$2,Valores!$H$2:$P$154,8,0)</f>
        <v>34559.0269201187</v>
      </c>
      <c r="BQ84" s="30" t="n">
        <f aca="false">SUMIF($C$2:$F$2,EOMONTH(BQ$2,-1)+1,$C84:$F84)*VLOOKUP(BQ$2,Valores!$H$2:$P$154,8,0)</f>
        <v>43198.7836501483</v>
      </c>
      <c r="BR84" s="30" t="n">
        <f aca="false">SUMIF($C$2:$F$2,EOMONTH(BR$2,-1)+1,$C84:$F84)*VLOOKUP(BR$2,Valores!$H$2:$P$154,8,0)</f>
        <v>20735.4161520712</v>
      </c>
      <c r="BS84" s="30" t="n">
        <f aca="false">SUMIF($C$2:$F$2,EOMONTH(BS$2,-1)+1,$C84:$F84)*VLOOKUP(BS$2,Valores!$H$2:$P$154,8,0)</f>
        <v>9256.88221074607</v>
      </c>
      <c r="BT84" s="30" t="n">
        <f aca="false">SUMIF($C$2:$F$2,EOMONTH(BT$2,-1)+1,$C84:$F84)*VLOOKUP(BT$2,Valores!$H$2:$P$154,8,0)</f>
        <v>9256.88221074607</v>
      </c>
      <c r="BU84" s="30" t="n">
        <f aca="false">SUMIF($C$2:$F$2,EOMONTH(BU$2,-1)+1,$C84:$F84)*VLOOKUP(BU$2,Valores!$H$2:$P$154,8,0)</f>
        <v>9256.88221074607</v>
      </c>
      <c r="BV84" s="30" t="n">
        <f aca="false">SUMIF($C$2:$F$2,EOMONTH(BV$2,-1)+1,$C84:$F84)*VLOOKUP(BV$2,Valores!$H$2:$P$154,8,0)</f>
        <v>9256.88221074607</v>
      </c>
      <c r="BW84" s="30" t="n">
        <f aca="false">SUMIF($C$2:$F$2,EOMONTH(BW$2,-1)+1,$C84:$F84)*VLOOKUP(BW$2,Valores!$H$2:$P$154,8,0)</f>
        <v>18513.7644214921</v>
      </c>
      <c r="BX84" s="30" t="n">
        <f aca="false">SUMIF($C$2:$F$2,EOMONTH(BX$2,-1)+1,$C84:$F84)*VLOOKUP(BX$2,Valores!$H$2:$P$154,8,0)</f>
        <v>23142.2055268652</v>
      </c>
      <c r="BY84" s="30" t="n">
        <f aca="false">SUMIF($C$2:$F$2,EOMONTH(BY$2,-1)+1,$C84:$F84)*VLOOKUP(BY$2,Valores!$H$2:$P$154,8,0)</f>
        <v>13885.3233161191</v>
      </c>
      <c r="BZ84" s="30" t="n">
        <f aca="false">SUMIF($C$2:$F$2,EOMONTH(BZ$2,-1)+1,$C84:$F84)*VLOOKUP(BZ$2,Valores!$H$2:$P$154,8,0)</f>
        <v>9256.88221074607</v>
      </c>
      <c r="CA84" s="30" t="n">
        <f aca="false">SUMIF($C$2:$F$2,EOMONTH(CA$2,-1)+1,$C84:$F84)*VLOOKUP(CA$2,Valores!$H$2:$P$154,8,0)</f>
        <v>9256.88221074607</v>
      </c>
      <c r="CB84" s="30" t="n">
        <f aca="false">SUMIF($C$2:$F$2,EOMONTH(CB$2,-1)+1,$C84:$F84)*VLOOKUP(CB$2,Valores!$H$2:$P$154,8,0)</f>
        <v>9256.88221074607</v>
      </c>
      <c r="CC84" s="30" t="n">
        <f aca="false">SUMIF($C$2:$F$2,EOMONTH(CC$2,-1)+1,$C84:$F84)*VLOOKUP(CC$2,Valores!$H$2:$P$154,8,0)</f>
        <v>9256.88221074607</v>
      </c>
      <c r="CD84" s="30" t="n">
        <f aca="false">SUMIF($C$2:$F$2,EOMONTH(CD$2,-1)+1,$C84:$F84)*VLOOKUP(CD$2,Valores!$H$2:$P$154,8,0)</f>
        <v>27770.6466322382</v>
      </c>
      <c r="CE84" s="30" t="n">
        <f aca="false">SUMIF($C$2:$F$2,EOMONTH(CE$2,-1)+1,$C84:$F84)*VLOOKUP(CE$2,Valores!$H$2:$P$154,8,0)</f>
        <v>37027.5288429843</v>
      </c>
      <c r="CF84" s="30" t="n">
        <f aca="false">SUMIF($C$2:$F$2,EOMONTH(CF$2,-1)+1,$C84:$F84)*VLOOKUP(CF$2,Valores!$H$2:$P$154,8,0)</f>
        <v>23142.2055268652</v>
      </c>
      <c r="CG84" s="30" t="n">
        <f aca="false">SUMIF($C$2:$F$2,EOMONTH(CG$2,-1)+1,$C84:$F84)*VLOOKUP(CG$2,Valores!$H$2:$P$154,8,0)</f>
        <v>12342.5096143281</v>
      </c>
      <c r="CH84" s="30" t="n">
        <f aca="false">SUMIF($C$2:$F$2,EOMONTH(CH$2,-1)+1,$C84:$F84)*VLOOKUP(CH$2,Valores!$H$2:$P$154,8,0)</f>
        <v>12342.5096143281</v>
      </c>
      <c r="CI84" s="30" t="n">
        <f aca="false">SUMIF($C$2:$F$2,EOMONTH(CI$2,-1)+1,$C84:$F84)*VLOOKUP(CI$2,Valores!$H$2:$P$154,8,0)</f>
        <v>12342.5096143281</v>
      </c>
      <c r="CJ84" s="30" t="n">
        <f aca="false">SUMIF($C$2:$F$2,EOMONTH(CJ$2,-1)+1,$C84:$F84)*VLOOKUP(CJ$2,Valores!$H$2:$P$154,8,0)</f>
        <v>12342.5096143281</v>
      </c>
      <c r="CK84" s="30" t="n">
        <f aca="false">SUMIF($C$2:$F$2,EOMONTH(CK$2,-1)+1,$C84:$F84)*VLOOKUP(CK$2,Valores!$H$2:$P$154,8,0)</f>
        <v>24685.0192286562</v>
      </c>
      <c r="CL84" s="30" t="n">
        <f aca="false">SUMIF($C$2:$F$2,EOMONTH(CL$2,-1)+1,$C84:$F84)*VLOOKUP(CL$2,Valores!$H$2:$P$154,8,0)</f>
        <v>30856.2740358202</v>
      </c>
      <c r="CM84" s="30" t="n">
        <f aca="false">SUMIF($C$2:$F$2,EOMONTH(CM$2,-1)+1,$C84:$F84)*VLOOKUP(CM$2,Valores!$H$2:$P$154,8,0)</f>
        <v>18513.7644214921</v>
      </c>
      <c r="CN84" s="30" t="n">
        <f aca="false">SUMIF($C$2:$F$2,EOMONTH(CN$2,-1)+1,$C84:$F84)*VLOOKUP(CN$2,Valores!$H$2:$P$154,8,0)</f>
        <v>13576.7605757609</v>
      </c>
      <c r="CO84" s="30" t="n">
        <f aca="false">SUMIF($C$2:$F$2,EOMONTH(CO$2,-1)+1,$C84:$F84)*VLOOKUP(CO$2,Valores!$H$2:$P$154,8,0)</f>
        <v>13576.7605757609</v>
      </c>
      <c r="CP84" s="30" t="n">
        <f aca="false">SUMIF($C$2:$F$2,EOMONTH(CP$2,-1)+1,$C84:$F84)*VLOOKUP(CP$2,Valores!$H$2:$P$154,8,0)</f>
        <v>13576.7605757609</v>
      </c>
      <c r="CQ84" s="30" t="n">
        <f aca="false">SUMIF($C$2:$F$2,EOMONTH(CQ$2,-1)+1,$C84:$F84)*VLOOKUP(CQ$2,Valores!$H$2:$P$154,8,0)</f>
        <v>13576.7605757609</v>
      </c>
      <c r="CR84" s="30" t="n">
        <f aca="false">SUMIF($C$2:$F$2,EOMONTH(CR$2,-1)+1,$C84:$F84)*VLOOKUP(CR$2,Valores!$H$2:$P$154,8,0)</f>
        <v>27153.5211515218</v>
      </c>
      <c r="CS84" s="30" t="n">
        <f aca="false">SUMIF($C$2:$F$2,EOMONTH(CS$2,-1)+1,$C84:$F84)*VLOOKUP(CS$2,Valores!$H$2:$P$154,8,0)</f>
        <v>40730.2817272827</v>
      </c>
      <c r="CT84" s="30" t="e">
        <f aca="false">SUMIF($C$2:$F$2,EOMONTH(CT$2,-1)+1,$C84:$F84)*VLOOKUP(CT$2,Valores!$H$2:$P$154,8,0)</f>
        <v>#VALUE!</v>
      </c>
      <c r="CU84" s="30" t="e">
        <f aca="false">SUMIF($C$2:$F$2,EOMONTH(CU$2,-1)+1,$C84:$F84)*VLOOKUP(CU$2,Valores!$H$2:$P$154,8,0)</f>
        <v>#VALUE!</v>
      </c>
      <c r="CV84" s="30" t="e">
        <f aca="false">SUMIF($C$2:$F$2,EOMONTH(CV$2,-1)+1,$C84:$F84)*VLOOKUP(CV$2,Valores!$H$2:$P$154,8,0)</f>
        <v>#VALUE!</v>
      </c>
      <c r="CW84" s="30" t="e">
        <f aca="false">SUMIF($C$2:$F$2,EOMONTH(CW$2,-1)+1,$C84:$F84)*VLOOKUP(CW$2,Valores!$H$2:$P$154,8,0)</f>
        <v>#VALUE!</v>
      </c>
      <c r="CX84" s="30" t="e">
        <f aca="false">SUMIF($C$2:$F$2,EOMONTH(CX$2,-1)+1,$C84:$F84)*VLOOKUP(CX$2,Valores!$H$2:$P$154,8,0)</f>
        <v>#VALUE!</v>
      </c>
      <c r="CY84" s="30" t="e">
        <f aca="false">SUMIF($C$2:$F$2,EOMONTH(CY$2,-1)+1,$C84:$F84)*VLOOKUP(CY$2,Valores!$H$2:$P$154,8,0)</f>
        <v>#VALUE!</v>
      </c>
      <c r="CZ84" s="30" t="e">
        <f aca="false">SUMIF($C$2:$F$2,EOMONTH(CZ$2,-1)+1,$C84:$F84)*VLOOKUP(CZ$2,Valores!$H$2:$P$154,8,0)</f>
        <v>#VALUE!</v>
      </c>
      <c r="DA84" s="30" t="e">
        <f aca="false">SUMIF($C$2:$F$2,EOMONTH(DA$2,-1)+1,$C84:$F84)*VLOOKUP(DA$2,Valores!$H$2:$P$154,8,0)</f>
        <v>#VALUE!</v>
      </c>
      <c r="DB84" s="30" t="e">
        <f aca="false">SUMIF($C$2:$F$2,EOMONTH(DB$2,-1)+1,$C84:$F84)*VLOOKUP(DB$2,Valores!$H$2:$P$154,8,0)</f>
        <v>#VALUE!</v>
      </c>
      <c r="DC84" s="30" t="e">
        <f aca="false">SUMIF($C$2:$F$2,EOMONTH(DC$2,-1)+1,$C84:$F84)*VLOOKUP(DC$2,Valores!$H$2:$P$154,8,0)</f>
        <v>#VALUE!</v>
      </c>
      <c r="DD84" s="30" t="e">
        <f aca="false">SUMIF($C$2:$F$2,EOMONTH(DD$2,-1)+1,$C84:$F84)*VLOOKUP(DD$2,Valores!$H$2:$P$154,8,0)</f>
        <v>#VALUE!</v>
      </c>
      <c r="DE84" s="30" t="e">
        <f aca="false">SUMIF($C$2:$F$2,EOMONTH(DE$2,-1)+1,$C84:$F84)*VLOOKUP(DE$2,Valores!$H$2:$P$154,8,0)</f>
        <v>#VALUE!</v>
      </c>
      <c r="DF84" s="30" t="e">
        <f aca="false">SUMIF($C$2:$F$2,EOMONTH(DF$2,-1)+1,$C84:$F84)*VLOOKUP(DF$2,Valores!$H$2:$P$154,8,0)</f>
        <v>#VALUE!</v>
      </c>
      <c r="DG84" s="30" t="e">
        <f aca="false">SUMIF($C$2:$F$2,EOMONTH(DG$2,-1)+1,$C84:$F84)*VLOOKUP(DG$2,Valores!$H$2:$P$154,8,0)</f>
        <v>#VALUE!</v>
      </c>
      <c r="DH84" s="30" t="e">
        <f aca="false">SUMIF($C$2:$F$2,EOMONTH(DH$2,-1)+1,$C84:$F84)*VLOOKUP(DH$2,Valores!$H$2:$P$154,8,0)</f>
        <v>#VALUE!</v>
      </c>
      <c r="DI84" s="30" t="e">
        <f aca="false">SUMIF($C$2:$F$2,EOMONTH(DI$2,-1)+1,$C84:$F84)*VLOOKUP(DI$2,Valores!$H$2:$P$154,8,0)</f>
        <v>#VALUE!</v>
      </c>
      <c r="DJ84" s="30" t="e">
        <f aca="false">SUMIF($C$2:$F$2,EOMONTH(DJ$2,-1)+1,$C84:$F84)*VLOOKUP(DJ$2,Valores!$H$2:$P$154,8,0)</f>
        <v>#VALUE!</v>
      </c>
      <c r="DK84" s="30" t="e">
        <f aca="false">SUMIF($C$2:$F$2,EOMONTH(DK$2,-1)+1,$C84:$F84)*VLOOKUP(DK$2,Valores!$H$2:$P$154,8,0)</f>
        <v>#VALUE!</v>
      </c>
      <c r="DL84" s="30" t="e">
        <f aca="false">SUMIF($C$2:$F$2,EOMONTH(DL$2,-1)+1,$C84:$F84)*VLOOKUP(DL$2,Valores!$H$2:$P$154,8,0)</f>
        <v>#VALUE!</v>
      </c>
      <c r="DM84" s="30" t="e">
        <f aca="false">SUMIF($C$2:$F$2,EOMONTH(DM$2,-1)+1,$C84:$F84)*VLOOKUP(DM$2,Valores!$H$2:$P$154,8,0)</f>
        <v>#VALUE!</v>
      </c>
      <c r="DN84" s="30" t="e">
        <f aca="false">SUMIF($C$2:$F$2,EOMONTH(DN$2,-1)+1,$C84:$F84)*VLOOKUP(DN$2,Valores!$H$2:$P$154,8,0)</f>
        <v>#VALUE!</v>
      </c>
      <c r="DO84" s="30" t="e">
        <f aca="false">SUMIF($C$2:$F$2,EOMONTH(DO$2,-1)+1,$C84:$F84)*VLOOKUP(DO$2,Valores!$H$2:$P$154,8,0)</f>
        <v>#VALUE!</v>
      </c>
      <c r="DP84" s="30" t="e">
        <f aca="false">SUMIF($C$2:$F$2,EOMONTH(DP$2,-1)+1,$C84:$F84)*VLOOKUP(DP$2,Valores!$H$2:$P$154,8,0)</f>
        <v>#VALUE!</v>
      </c>
      <c r="DQ84" s="30" t="e">
        <f aca="false">SUMIF($C$2:$F$2,EOMONTH(DQ$2,-1)+1,$C84:$F84)*VLOOKUP(DQ$2,Valores!$H$2:$P$154,8,0)</f>
        <v>#VALUE!</v>
      </c>
      <c r="DR84" s="30" t="e">
        <f aca="false">SUMIF($C$2:$F$2,EOMONTH(DR$2,-1)+1,$C84:$F84)*VLOOKUP(DR$2,Valores!$H$2:$P$154,8,0)</f>
        <v>#VALUE!</v>
      </c>
      <c r="DS84" s="30" t="e">
        <f aca="false">SUMIF($C$2:$F$2,EOMONTH(DS$2,-1)+1,$C84:$F84)*VLOOKUP(DS$2,Valores!$H$2:$P$154,8,0)</f>
        <v>#VALUE!</v>
      </c>
      <c r="DT84" s="30" t="e">
        <f aca="false">SUMIF($C$2:$F$2,EOMONTH(DT$2,-1)+1,$C84:$F84)*VLOOKUP(DT$2,Valores!$H$2:$P$154,8,0)</f>
        <v>#VALUE!</v>
      </c>
      <c r="DU84" s="30" t="e">
        <f aca="false">SUMIF($C$2:$F$2,EOMONTH(DU$2,-1)+1,$C84:$F84)*VLOOKUP(DU$2,Valores!$H$2:$P$154,8,0)</f>
        <v>#VALUE!</v>
      </c>
      <c r="DV84" s="30" t="e">
        <f aca="false">SUMIF($C$2:$F$2,EOMONTH(DV$2,-1)+1,$C84:$F84)*VLOOKUP(DV$2,Valores!$H$2:$P$154,8,0)</f>
        <v>#VALUE!</v>
      </c>
      <c r="DW84" s="30" t="e">
        <f aca="false">SUMIF($C$2:$F$2,EOMONTH(DW$2,-1)+1,$C84:$F84)*VLOOKUP(DW$2,Valores!$H$2:$P$154,8,0)</f>
        <v>#VALUE!</v>
      </c>
      <c r="DX84" s="30" t="e">
        <f aca="false">SUMIF($C$2:$F$2,EOMONTH(DX$2,-1)+1,$C84:$F84)*VLOOKUP(DX$2,Valores!$H$2:$P$154,8,0)</f>
        <v>#VALUE!</v>
      </c>
    </row>
    <row r="85" customFormat="false" ht="13.8" hidden="false" customHeight="false" outlineLevel="0" collapsed="false">
      <c r="A85" s="32" t="s">
        <v>91</v>
      </c>
      <c r="B85" s="31" t="s">
        <v>108</v>
      </c>
      <c r="C85" s="31" t="n">
        <v>640656</v>
      </c>
      <c r="D85" s="31" t="n">
        <v>576590.4</v>
      </c>
      <c r="E85" s="31" t="n">
        <v>518931.36</v>
      </c>
      <c r="F85" s="31" t="n">
        <v>467038.224</v>
      </c>
      <c r="G85" s="27" t="n">
        <f aca="false">SUMIF($C$2:$F$2,EOMONTH(G$2,-1)+1,$C85:$F85)*VLOOKUP(G$2,Valores!$H$2:$P$154,8,0)</f>
        <v>18449.0373539575</v>
      </c>
      <c r="H85" s="27" t="n">
        <f aca="false">SUMIF($C$2:$F$2,EOMONTH(H$2,-1)+1,$C85:$F85)*VLOOKUP(H$2,Valores!$H$2:$P$154,8,0)</f>
        <v>12650.7684712852</v>
      </c>
      <c r="I85" s="27" t="n">
        <f aca="false">SUMIF($C$2:$F$2,EOMONTH(I$2,-1)+1,$C85:$F85)*VLOOKUP(I$2,Valores!$H$2:$P$154,8,0)</f>
        <v>12650.7684712852</v>
      </c>
      <c r="J85" s="27" t="n">
        <f aca="false">SUMIF($C$2:$F$2,EOMONTH(J$2,-1)+1,$C85:$F85)*VLOOKUP(J$2,Valores!$H$2:$P$154,8,0)</f>
        <v>12650.7684712852</v>
      </c>
      <c r="K85" s="27" t="n">
        <f aca="false">SUMIF($C$2:$F$2,EOMONTH(K$2,-1)+1,$C85:$F85)*VLOOKUP(K$2,Valores!$H$2:$P$154,8,0)</f>
        <v>12650.7684712852</v>
      </c>
      <c r="L85" s="27" t="n">
        <f aca="false">SUMIF($C$2:$F$2,EOMONTH(L$2,-1)+1,$C85:$F85)*VLOOKUP(L$2,Valores!$H$2:$P$154,8,0)</f>
        <v>25301.5369425703</v>
      </c>
      <c r="M85" s="27" t="n">
        <f aca="false">SUMIF($C$2:$F$2,EOMONTH(M$2,-1)+1,$C85:$F85)*VLOOKUP(M$2,Valores!$H$2:$P$154,8,0)</f>
        <v>31626.9211782129</v>
      </c>
      <c r="N85" s="27" t="n">
        <f aca="false">SUMIF($C$2:$F$2,EOMONTH(N$2,-1)+1,$C85:$F85)*VLOOKUP(N$2,Valores!$H$2:$P$154,8,0)</f>
        <v>18976.1527069278</v>
      </c>
      <c r="O85" s="27" t="n">
        <f aca="false">SUMIF($C$2:$F$2,EOMONTH(O$2,-1)+1,$C85:$F85)*VLOOKUP(O$2,Valores!$H$2:$P$154,8,0)</f>
        <v>16867.6912950469</v>
      </c>
      <c r="P85" s="27" t="n">
        <f aca="false">SUMIF($C$2:$F$2,EOMONTH(P$2,-1)+1,$C85:$F85)*VLOOKUP(P$2,Valores!$H$2:$P$154,8,0)</f>
        <v>16867.6912950469</v>
      </c>
      <c r="Q85" s="27" t="n">
        <f aca="false">SUMIF($C$2:$F$2,EOMONTH(Q$2,-1)+1,$C85:$F85)*VLOOKUP(Q$2,Valores!$H$2:$P$154,8,0)</f>
        <v>10120.6147770281</v>
      </c>
      <c r="R85" s="27" t="n">
        <f aca="false">SUMIF($C$2:$F$2,EOMONTH(R$2,-1)+1,$C85:$F85)*VLOOKUP(R$2,Valores!$H$2:$P$154,8,0)</f>
        <v>16867.6912950469</v>
      </c>
      <c r="S85" s="27" t="n">
        <f aca="false">SUMIF($C$2:$F$2,EOMONTH(S$2,-1)+1,$C85:$F85)*VLOOKUP(S$2,Valores!$H$2:$P$154,8,0)</f>
        <v>33735.3825900938</v>
      </c>
      <c r="T85" s="27" t="n">
        <f aca="false">SUMIF($C$2:$F$2,EOMONTH(T$2,-1)+1,$C85:$F85)*VLOOKUP(T$2,Valores!$H$2:$P$154,8,0)</f>
        <v>42169.2282376172</v>
      </c>
      <c r="U85" s="27" t="n">
        <f aca="false">SUMIF($C$2:$F$2,EOMONTH(U$2,-1)+1,$C85:$F85)*VLOOKUP(U$2,Valores!$H$2:$P$154,8,0)</f>
        <v>25301.5369425703</v>
      </c>
      <c r="V85" s="27" t="n">
        <f aca="false">SUMIF($C$2:$F$2,EOMONTH(V$2,-1)+1,$C85:$F85)*VLOOKUP(V$2,Valores!$H$2:$P$154,8,0)</f>
        <v>21084.6141188086</v>
      </c>
      <c r="W85" s="27" t="n">
        <f aca="false">SUMIF($C$2:$F$2,EOMONTH(W$2,-1)+1,$C85:$F85)*VLOOKUP(W$2,Valores!$H$2:$P$154,8,0)</f>
        <v>21084.6141188086</v>
      </c>
      <c r="X85" s="27" t="n">
        <f aca="false">SUMIF($C$2:$F$2,EOMONTH(X$2,-1)+1,$C85:$F85)*VLOOKUP(X$2,Valores!$H$2:$P$154,8,0)</f>
        <v>0</v>
      </c>
      <c r="Y85" s="27" t="n">
        <f aca="false">SUMIF($C$2:$F$2,EOMONTH(Y$2,-1)+1,$C85:$F85)*VLOOKUP(Y$2,Valores!$H$2:$P$154,8,0)</f>
        <v>0</v>
      </c>
      <c r="Z85" s="27" t="n">
        <f aca="false">SUMIF($C$2:$F$2,EOMONTH(Z$2,-1)+1,$C85:$F85)*VLOOKUP(Z$2,Valores!$H$2:$P$154,8,0)</f>
        <v>31626.9211782129</v>
      </c>
      <c r="AA85" s="27" t="n">
        <f aca="false">SUMIF($C$2:$F$2,EOMONTH(AA$2,-1)+1,$C85:$F85)*VLOOKUP(AA$2,Valores!$H$2:$P$154,8,0)</f>
        <v>37952.3054138555</v>
      </c>
      <c r="AB85" s="27" t="n">
        <f aca="false">SUMIF($C$2:$F$2,EOMONTH(AB$2,-1)+1,$C85:$F85)*VLOOKUP(AB$2,Valores!$H$2:$P$154,8,0)</f>
        <v>18976.1527069278</v>
      </c>
      <c r="AC85" s="27" t="n">
        <f aca="false">SUMIF($C$2:$F$2,EOMONTH(AC$2,-1)+1,$C85:$F85)*VLOOKUP(AC$2,Valores!$H$2:$P$154,8,0)</f>
        <v>23193.0755306895</v>
      </c>
      <c r="AD85" s="27" t="n">
        <f aca="false">SUMIF($C$2:$F$2,EOMONTH(AD$2,-1)+1,$C85:$F85)*VLOOKUP(AD$2,Valores!$H$2:$P$154,8,0)</f>
        <v>23193.0755306895</v>
      </c>
      <c r="AE85" s="27" t="n">
        <f aca="false">SUMIF($C$2:$F$2,EOMONTH(AE$2,-1)+1,$C85:$F85)*VLOOKUP(AE$2,Valores!$H$2:$P$154,8,0)</f>
        <v>23193.0755306895</v>
      </c>
      <c r="AF85" s="27" t="n">
        <f aca="false">SUMIF($C$2:$F$2,EOMONTH(AF$2,-1)+1,$C85:$F85)*VLOOKUP(AF$2,Valores!$H$2:$P$154,8,0)</f>
        <v>23193.0755306895</v>
      </c>
      <c r="AG85" s="27" t="n">
        <f aca="false">SUMIF($C$2:$F$2,EOMONTH(AG$2,-1)+1,$C85:$F85)*VLOOKUP(AG$2,Valores!$H$2:$P$154,8,0)</f>
        <v>37108.9208491032</v>
      </c>
      <c r="AH85" s="27" t="n">
        <f aca="false">SUMIF($C$2:$F$2,EOMONTH(AH$2,-1)+1,$C85:$F85)*VLOOKUP(AH$2,Valores!$H$2:$P$154,8,0)</f>
        <v>46386.151061379</v>
      </c>
      <c r="AI85" s="27" t="n">
        <f aca="false">SUMIF($C$2:$F$2,EOMONTH(AI$2,-1)+1,$C85:$F85)*VLOOKUP(AI$2,Valores!$H$2:$P$154,8,0)</f>
        <v>16235.1528714826</v>
      </c>
      <c r="AJ85" s="27" t="n">
        <f aca="false">SUMIF($C$2:$F$2,EOMONTH(AJ$2,-1)+1,$C85:$F85)*VLOOKUP(AJ$2,Valores!$H$2:$P$154,8,0)</f>
        <v>10542.3070594043</v>
      </c>
      <c r="AK85" s="27" t="n">
        <f aca="false">SUMIF($C$2:$F$2,EOMONTH(AK$2,-1)+1,$C85:$F85)*VLOOKUP(AK$2,Valores!$H$2:$P$154,8,0)</f>
        <v>19224.7150444164</v>
      </c>
      <c r="AL85" s="27" t="n">
        <f aca="false">SUMIF($C$2:$F$2,EOMONTH(AL$2,-1)+1,$C85:$F85)*VLOOKUP(AL$2,Valores!$H$2:$P$154,8,0)</f>
        <v>19224.7150444164</v>
      </c>
      <c r="AM85" s="27" t="n">
        <f aca="false">SUMIF($C$2:$F$2,EOMONTH(AM$2,-1)+1,$C85:$F85)*VLOOKUP(AM$2,Valores!$H$2:$P$154,8,0)</f>
        <v>19224.7150444164</v>
      </c>
      <c r="AN85" s="27" t="n">
        <f aca="false">SUMIF($C$2:$F$2,EOMONTH(AN$2,-1)+1,$C85:$F85)*VLOOKUP(AN$2,Valores!$H$2:$P$154,8,0)</f>
        <v>38449.4300888328</v>
      </c>
      <c r="AO85" s="27" t="n">
        <f aca="false">SUMIF($C$2:$F$2,EOMONTH(AO$2,-1)+1,$C85:$F85)*VLOOKUP(AO$2,Valores!$H$2:$P$154,8,0)</f>
        <v>48061.787611041</v>
      </c>
      <c r="AP85" s="27" t="n">
        <f aca="false">SUMIF($C$2:$F$2,EOMONTH(AP$2,-1)+1,$C85:$F85)*VLOOKUP(AP$2,Valores!$H$2:$P$154,8,0)</f>
        <v>28837.0725666246</v>
      </c>
      <c r="AQ85" s="27" t="n">
        <f aca="false">SUMIF($C$2:$F$2,EOMONTH(AQ$2,-1)+1,$C85:$F85)*VLOOKUP(AQ$2,Valores!$H$2:$P$154,8,0)</f>
        <v>10298.9544880802</v>
      </c>
      <c r="AR85" s="27" t="n">
        <f aca="false">SUMIF($C$2:$F$2,EOMONTH(AR$2,-1)+1,$C85:$F85)*VLOOKUP(AR$2,Valores!$H$2:$P$154,8,0)</f>
        <v>10298.9544880802</v>
      </c>
      <c r="AS85" s="27" t="n">
        <f aca="false">SUMIF($C$2:$F$2,EOMONTH(AS$2,-1)+1,$C85:$F85)*VLOOKUP(AS$2,Valores!$H$2:$P$154,8,0)</f>
        <v>10298.9544880802</v>
      </c>
      <c r="AT85" s="27" t="n">
        <f aca="false">SUMIF($C$2:$F$2,EOMONTH(AT$2,-1)+1,$C85:$F85)*VLOOKUP(AT$2,Valores!$H$2:$P$154,8,0)</f>
        <v>10298.9544880802</v>
      </c>
      <c r="AU85" s="27" t="n">
        <f aca="false">SUMIF($C$2:$F$2,EOMONTH(AU$2,-1)+1,$C85:$F85)*VLOOKUP(AU$2,Valores!$H$2:$P$154,8,0)</f>
        <v>20597.9089761604</v>
      </c>
      <c r="AV85" s="27" t="n">
        <f aca="false">SUMIF($C$2:$F$2,EOMONTH(AV$2,-1)+1,$C85:$F85)*VLOOKUP(AV$2,Valores!$H$2:$P$154,8,0)</f>
        <v>25747.3862202005</v>
      </c>
      <c r="AW85" s="27" t="n">
        <f aca="false">SUMIF($C$2:$F$2,EOMONTH(AW$2,-1)+1,$C85:$F85)*VLOOKUP(AW$2,Valores!$H$2:$P$154,8,0)</f>
        <v>15448.4317321203</v>
      </c>
      <c r="AX85" s="27" t="n">
        <f aca="false">SUMIF($C$2:$F$2,EOMONTH(AX$2,-1)+1,$C85:$F85)*VLOOKUP(AX$2,Valores!$H$2:$P$154,8,0)</f>
        <v>10298.9544880802</v>
      </c>
      <c r="AY85" s="27" t="n">
        <f aca="false">SUMIF($C$2:$F$2,EOMONTH(AY$2,-1)+1,$C85:$F85)*VLOOKUP(AY$2,Valores!$H$2:$P$154,8,0)</f>
        <v>13388.6408345043</v>
      </c>
      <c r="AZ85" s="27" t="n">
        <f aca="false">SUMIF($C$2:$F$2,EOMONTH(AZ$2,-1)+1,$C85:$F85)*VLOOKUP(AZ$2,Valores!$H$2:$P$154,8,0)</f>
        <v>13388.6408345043</v>
      </c>
      <c r="BA85" s="27" t="n">
        <f aca="false">SUMIF($C$2:$F$2,EOMONTH(BA$2,-1)+1,$C85:$F85)*VLOOKUP(BA$2,Valores!$H$2:$P$154,8,0)</f>
        <v>13388.6408345043</v>
      </c>
      <c r="BB85" s="27" t="n">
        <f aca="false">SUMIF($C$2:$F$2,EOMONTH(BB$2,-1)+1,$C85:$F85)*VLOOKUP(BB$2,Valores!$H$2:$P$154,8,0)</f>
        <v>23687.5953225845</v>
      </c>
      <c r="BC85" s="27" t="n">
        <f aca="false">SUMIF($C$2:$F$2,EOMONTH(BC$2,-1)+1,$C85:$F85)*VLOOKUP(BC$2,Valores!$H$2:$P$154,8,0)</f>
        <v>28837.0725666246</v>
      </c>
      <c r="BD85" s="27" t="n">
        <f aca="false">SUMIF($C$2:$F$2,EOMONTH(BD$2,-1)+1,$C85:$F85)*VLOOKUP(BD$2,Valores!$H$2:$P$154,8,0)</f>
        <v>15448.4317321203</v>
      </c>
      <c r="BE85" s="27" t="n">
        <f aca="false">SUMIF($C$2:$F$2,EOMONTH(BE$2,-1)+1,$C85:$F85)*VLOOKUP(BE$2,Valores!$H$2:$P$154,8,0)</f>
        <v>13731.9393174403</v>
      </c>
      <c r="BF85" s="27" t="n">
        <f aca="false">SUMIF($C$2:$F$2,EOMONTH(BF$2,-1)+1,$C85:$F85)*VLOOKUP(BF$2,Valores!$H$2:$P$154,8,0)</f>
        <v>13731.9393174403</v>
      </c>
      <c r="BG85" s="27" t="n">
        <f aca="false">SUMIF($C$2:$F$2,EOMONTH(BG$2,-1)+1,$C85:$F85)*VLOOKUP(BG$2,Valores!$H$2:$P$154,8,0)</f>
        <v>13731.9393174403</v>
      </c>
      <c r="BH85" s="27" t="n">
        <f aca="false">SUMIF($C$2:$F$2,EOMONTH(BH$2,-1)+1,$C85:$F85)*VLOOKUP(BH$2,Valores!$H$2:$P$154,8,0)</f>
        <v>13731.9393174403</v>
      </c>
      <c r="BI85" s="27" t="n">
        <f aca="false">SUMIF($C$2:$F$2,EOMONTH(BI$2,-1)+1,$C85:$F85)*VLOOKUP(BI$2,Valores!$H$2:$P$154,8,0)</f>
        <v>27463.8786348806</v>
      </c>
      <c r="BJ85" s="27" t="n">
        <f aca="false">SUMIF($C$2:$F$2,EOMONTH(BJ$2,-1)+1,$C85:$F85)*VLOOKUP(BJ$2,Valores!$H$2:$P$154,8,0)</f>
        <v>34329.8482936007</v>
      </c>
      <c r="BK85" s="27" t="n">
        <f aca="false">SUMIF($C$2:$F$2,EOMONTH(BK$2,-1)+1,$C85:$F85)*VLOOKUP(BK$2,Valores!$H$2:$P$154,8,0)</f>
        <v>16478.3271809283</v>
      </c>
      <c r="BL85" s="27" t="n">
        <f aca="false">SUMIF($C$2:$F$2,EOMONTH(BL$2,-1)+1,$C85:$F85)*VLOOKUP(BL$2,Valores!$H$2:$P$154,8,0)</f>
        <v>12084.1065993474</v>
      </c>
      <c r="BM85" s="27" t="n">
        <f aca="false">SUMIF($C$2:$F$2,EOMONTH(BM$2,-1)+1,$C85:$F85)*VLOOKUP(BM$2,Valores!$H$2:$P$154,8,0)</f>
        <v>12084.1065993474</v>
      </c>
      <c r="BN85" s="27" t="n">
        <f aca="false">SUMIF($C$2:$F$2,EOMONTH(BN$2,-1)+1,$C85:$F85)*VLOOKUP(BN$2,Valores!$H$2:$P$154,8,0)</f>
        <v>12084.1065993474</v>
      </c>
      <c r="BO85" s="27" t="n">
        <f aca="false">SUMIF($C$2:$F$2,EOMONTH(BO$2,-1)+1,$C85:$F85)*VLOOKUP(BO$2,Valores!$H$2:$P$154,8,0)</f>
        <v>12688.3119293148</v>
      </c>
      <c r="BP85" s="27" t="n">
        <f aca="false">SUMIF($C$2:$F$2,EOMONTH(BP$2,-1)+1,$C85:$F85)*VLOOKUP(BP$2,Valores!$H$2:$P$154,8,0)</f>
        <v>31930.7286671794</v>
      </c>
      <c r="BQ85" s="27" t="n">
        <f aca="false">SUMIF($C$2:$F$2,EOMONTH(BQ$2,-1)+1,$C85:$F85)*VLOOKUP(BQ$2,Valores!$H$2:$P$154,8,0)</f>
        <v>39913.4108339743</v>
      </c>
      <c r="BR85" s="27" t="n">
        <f aca="false">SUMIF($C$2:$F$2,EOMONTH(BR$2,-1)+1,$C85:$F85)*VLOOKUP(BR$2,Valores!$H$2:$P$154,8,0)</f>
        <v>19158.4372003077</v>
      </c>
      <c r="BS85" s="27" t="n">
        <f aca="false">SUMIF($C$2:$F$2,EOMONTH(BS$2,-1)+1,$C85:$F85)*VLOOKUP(BS$2,Valores!$H$2:$P$154,8,0)</f>
        <v>8552.87375013734</v>
      </c>
      <c r="BT85" s="27" t="n">
        <f aca="false">SUMIF($C$2:$F$2,EOMONTH(BT$2,-1)+1,$C85:$F85)*VLOOKUP(BT$2,Valores!$H$2:$P$154,8,0)</f>
        <v>8552.87375013734</v>
      </c>
      <c r="BU85" s="27" t="n">
        <f aca="false">SUMIF($C$2:$F$2,EOMONTH(BU$2,-1)+1,$C85:$F85)*VLOOKUP(BU$2,Valores!$H$2:$P$154,8,0)</f>
        <v>8552.87375013734</v>
      </c>
      <c r="BV85" s="27" t="n">
        <f aca="false">SUMIF($C$2:$F$2,EOMONTH(BV$2,-1)+1,$C85:$F85)*VLOOKUP(BV$2,Valores!$H$2:$P$154,8,0)</f>
        <v>8552.87375013734</v>
      </c>
      <c r="BW85" s="27" t="n">
        <f aca="false">SUMIF($C$2:$F$2,EOMONTH(BW$2,-1)+1,$C85:$F85)*VLOOKUP(BW$2,Valores!$H$2:$P$154,8,0)</f>
        <v>17105.7475002747</v>
      </c>
      <c r="BX85" s="27" t="n">
        <f aca="false">SUMIF($C$2:$F$2,EOMONTH(BX$2,-1)+1,$C85:$F85)*VLOOKUP(BX$2,Valores!$H$2:$P$154,8,0)</f>
        <v>21382.1843753434</v>
      </c>
      <c r="BY85" s="27" t="n">
        <f aca="false">SUMIF($C$2:$F$2,EOMONTH(BY$2,-1)+1,$C85:$F85)*VLOOKUP(BY$2,Valores!$H$2:$P$154,8,0)</f>
        <v>12829.310625206</v>
      </c>
      <c r="BZ85" s="27" t="n">
        <f aca="false">SUMIF($C$2:$F$2,EOMONTH(BZ$2,-1)+1,$C85:$F85)*VLOOKUP(BZ$2,Valores!$H$2:$P$154,8,0)</f>
        <v>8552.87375013734</v>
      </c>
      <c r="CA85" s="27" t="n">
        <f aca="false">SUMIF($C$2:$F$2,EOMONTH(CA$2,-1)+1,$C85:$F85)*VLOOKUP(CA$2,Valores!$H$2:$P$154,8,0)</f>
        <v>8552.87375013734</v>
      </c>
      <c r="CB85" s="27" t="n">
        <f aca="false">SUMIF($C$2:$F$2,EOMONTH(CB$2,-1)+1,$C85:$F85)*VLOOKUP(CB$2,Valores!$H$2:$P$154,8,0)</f>
        <v>8552.87375013734</v>
      </c>
      <c r="CC85" s="27" t="n">
        <f aca="false">SUMIF($C$2:$F$2,EOMONTH(CC$2,-1)+1,$C85:$F85)*VLOOKUP(CC$2,Valores!$H$2:$P$154,8,0)</f>
        <v>8552.87375013734</v>
      </c>
      <c r="CD85" s="27" t="n">
        <f aca="false">SUMIF($C$2:$F$2,EOMONTH(CD$2,-1)+1,$C85:$F85)*VLOOKUP(CD$2,Valores!$H$2:$P$154,8,0)</f>
        <v>25658.621250412</v>
      </c>
      <c r="CE85" s="27" t="n">
        <f aca="false">SUMIF($C$2:$F$2,EOMONTH(CE$2,-1)+1,$C85:$F85)*VLOOKUP(CE$2,Valores!$H$2:$P$154,8,0)</f>
        <v>34211.4950005494</v>
      </c>
      <c r="CF85" s="27" t="n">
        <f aca="false">SUMIF($C$2:$F$2,EOMONTH(CF$2,-1)+1,$C85:$F85)*VLOOKUP(CF$2,Valores!$H$2:$P$154,8,0)</f>
        <v>21382.1843753434</v>
      </c>
      <c r="CG85" s="27" t="n">
        <f aca="false">SUMIF($C$2:$F$2,EOMONTH(CG$2,-1)+1,$C85:$F85)*VLOOKUP(CG$2,Valores!$H$2:$P$154,8,0)</f>
        <v>11403.8316668498</v>
      </c>
      <c r="CH85" s="27" t="n">
        <f aca="false">SUMIF($C$2:$F$2,EOMONTH(CH$2,-1)+1,$C85:$F85)*VLOOKUP(CH$2,Valores!$H$2:$P$154,8,0)</f>
        <v>11403.8316668498</v>
      </c>
      <c r="CI85" s="27" t="n">
        <f aca="false">SUMIF($C$2:$F$2,EOMONTH(CI$2,-1)+1,$C85:$F85)*VLOOKUP(CI$2,Valores!$H$2:$P$154,8,0)</f>
        <v>11403.8316668498</v>
      </c>
      <c r="CJ85" s="27" t="n">
        <f aca="false">SUMIF($C$2:$F$2,EOMONTH(CJ$2,-1)+1,$C85:$F85)*VLOOKUP(CJ$2,Valores!$H$2:$P$154,8,0)</f>
        <v>11403.8316668498</v>
      </c>
      <c r="CK85" s="27" t="n">
        <f aca="false">SUMIF($C$2:$F$2,EOMONTH(CK$2,-1)+1,$C85:$F85)*VLOOKUP(CK$2,Valores!$H$2:$P$154,8,0)</f>
        <v>22807.6633336996</v>
      </c>
      <c r="CL85" s="27" t="n">
        <f aca="false">SUMIF($C$2:$F$2,EOMONTH(CL$2,-1)+1,$C85:$F85)*VLOOKUP(CL$2,Valores!$H$2:$P$154,8,0)</f>
        <v>28509.5791671245</v>
      </c>
      <c r="CM85" s="27" t="n">
        <f aca="false">SUMIF($C$2:$F$2,EOMONTH(CM$2,-1)+1,$C85:$F85)*VLOOKUP(CM$2,Valores!$H$2:$P$154,8,0)</f>
        <v>17105.7475002747</v>
      </c>
      <c r="CN85" s="27" t="n">
        <f aca="false">SUMIF($C$2:$F$2,EOMONTH(CN$2,-1)+1,$C85:$F85)*VLOOKUP(CN$2,Valores!$H$2:$P$154,8,0)</f>
        <v>12544.2148335348</v>
      </c>
      <c r="CO85" s="27" t="n">
        <f aca="false">SUMIF($C$2:$F$2,EOMONTH(CO$2,-1)+1,$C85:$F85)*VLOOKUP(CO$2,Valores!$H$2:$P$154,8,0)</f>
        <v>12544.2148335348</v>
      </c>
      <c r="CP85" s="27" t="n">
        <f aca="false">SUMIF($C$2:$F$2,EOMONTH(CP$2,-1)+1,$C85:$F85)*VLOOKUP(CP$2,Valores!$H$2:$P$154,8,0)</f>
        <v>12544.2148335348</v>
      </c>
      <c r="CQ85" s="27" t="n">
        <f aca="false">SUMIF($C$2:$F$2,EOMONTH(CQ$2,-1)+1,$C85:$F85)*VLOOKUP(CQ$2,Valores!$H$2:$P$154,8,0)</f>
        <v>12544.2148335348</v>
      </c>
      <c r="CR85" s="27" t="n">
        <f aca="false">SUMIF($C$2:$F$2,EOMONTH(CR$2,-1)+1,$C85:$F85)*VLOOKUP(CR$2,Valores!$H$2:$P$154,8,0)</f>
        <v>25088.4296670695</v>
      </c>
      <c r="CS85" s="27" t="n">
        <f aca="false">SUMIF($C$2:$F$2,EOMONTH(CS$2,-1)+1,$C85:$F85)*VLOOKUP(CS$2,Valores!$H$2:$P$154,8,0)</f>
        <v>37632.6445006043</v>
      </c>
      <c r="CT85" s="27" t="e">
        <f aca="false">SUMIF($C$2:$F$2,EOMONTH(CT$2,-1)+1,$C85:$F85)*VLOOKUP(CT$2,Valores!$H$2:$P$154,8,0)</f>
        <v>#VALUE!</v>
      </c>
      <c r="CU85" s="27" t="e">
        <f aca="false">SUMIF($C$2:$F$2,EOMONTH(CU$2,-1)+1,$C85:$F85)*VLOOKUP(CU$2,Valores!$H$2:$P$154,8,0)</f>
        <v>#VALUE!</v>
      </c>
      <c r="CV85" s="27" t="e">
        <f aca="false">SUMIF($C$2:$F$2,EOMONTH(CV$2,-1)+1,$C85:$F85)*VLOOKUP(CV$2,Valores!$H$2:$P$154,8,0)</f>
        <v>#VALUE!</v>
      </c>
      <c r="CW85" s="27" t="e">
        <f aca="false">SUMIF($C$2:$F$2,EOMONTH(CW$2,-1)+1,$C85:$F85)*VLOOKUP(CW$2,Valores!$H$2:$P$154,8,0)</f>
        <v>#VALUE!</v>
      </c>
      <c r="CX85" s="27" t="e">
        <f aca="false">SUMIF($C$2:$F$2,EOMONTH(CX$2,-1)+1,$C85:$F85)*VLOOKUP(CX$2,Valores!$H$2:$P$154,8,0)</f>
        <v>#VALUE!</v>
      </c>
      <c r="CY85" s="27" t="e">
        <f aca="false">SUMIF($C$2:$F$2,EOMONTH(CY$2,-1)+1,$C85:$F85)*VLOOKUP(CY$2,Valores!$H$2:$P$154,8,0)</f>
        <v>#VALUE!</v>
      </c>
      <c r="CZ85" s="27" t="e">
        <f aca="false">SUMIF($C$2:$F$2,EOMONTH(CZ$2,-1)+1,$C85:$F85)*VLOOKUP(CZ$2,Valores!$H$2:$P$154,8,0)</f>
        <v>#VALUE!</v>
      </c>
      <c r="DA85" s="27" t="e">
        <f aca="false">SUMIF($C$2:$F$2,EOMONTH(DA$2,-1)+1,$C85:$F85)*VLOOKUP(DA$2,Valores!$H$2:$P$154,8,0)</f>
        <v>#VALUE!</v>
      </c>
      <c r="DB85" s="27" t="e">
        <f aca="false">SUMIF($C$2:$F$2,EOMONTH(DB$2,-1)+1,$C85:$F85)*VLOOKUP(DB$2,Valores!$H$2:$P$154,8,0)</f>
        <v>#VALUE!</v>
      </c>
      <c r="DC85" s="27" t="e">
        <f aca="false">SUMIF($C$2:$F$2,EOMONTH(DC$2,-1)+1,$C85:$F85)*VLOOKUP(DC$2,Valores!$H$2:$P$154,8,0)</f>
        <v>#VALUE!</v>
      </c>
      <c r="DD85" s="27" t="e">
        <f aca="false">SUMIF($C$2:$F$2,EOMONTH(DD$2,-1)+1,$C85:$F85)*VLOOKUP(DD$2,Valores!$H$2:$P$154,8,0)</f>
        <v>#VALUE!</v>
      </c>
      <c r="DE85" s="27" t="e">
        <f aca="false">SUMIF($C$2:$F$2,EOMONTH(DE$2,-1)+1,$C85:$F85)*VLOOKUP(DE$2,Valores!$H$2:$P$154,8,0)</f>
        <v>#VALUE!</v>
      </c>
      <c r="DF85" s="27" t="e">
        <f aca="false">SUMIF($C$2:$F$2,EOMONTH(DF$2,-1)+1,$C85:$F85)*VLOOKUP(DF$2,Valores!$H$2:$P$154,8,0)</f>
        <v>#VALUE!</v>
      </c>
      <c r="DG85" s="27" t="e">
        <f aca="false">SUMIF($C$2:$F$2,EOMONTH(DG$2,-1)+1,$C85:$F85)*VLOOKUP(DG$2,Valores!$H$2:$P$154,8,0)</f>
        <v>#VALUE!</v>
      </c>
      <c r="DH85" s="27" t="e">
        <f aca="false">SUMIF($C$2:$F$2,EOMONTH(DH$2,-1)+1,$C85:$F85)*VLOOKUP(DH$2,Valores!$H$2:$P$154,8,0)</f>
        <v>#VALUE!</v>
      </c>
      <c r="DI85" s="27" t="e">
        <f aca="false">SUMIF($C$2:$F$2,EOMONTH(DI$2,-1)+1,$C85:$F85)*VLOOKUP(DI$2,Valores!$H$2:$P$154,8,0)</f>
        <v>#VALUE!</v>
      </c>
      <c r="DJ85" s="27" t="e">
        <f aca="false">SUMIF($C$2:$F$2,EOMONTH(DJ$2,-1)+1,$C85:$F85)*VLOOKUP(DJ$2,Valores!$H$2:$P$154,8,0)</f>
        <v>#VALUE!</v>
      </c>
      <c r="DK85" s="27" t="e">
        <f aca="false">SUMIF($C$2:$F$2,EOMONTH(DK$2,-1)+1,$C85:$F85)*VLOOKUP(DK$2,Valores!$H$2:$P$154,8,0)</f>
        <v>#VALUE!</v>
      </c>
      <c r="DL85" s="27" t="e">
        <f aca="false">SUMIF($C$2:$F$2,EOMONTH(DL$2,-1)+1,$C85:$F85)*VLOOKUP(DL$2,Valores!$H$2:$P$154,8,0)</f>
        <v>#VALUE!</v>
      </c>
      <c r="DM85" s="27" t="e">
        <f aca="false">SUMIF($C$2:$F$2,EOMONTH(DM$2,-1)+1,$C85:$F85)*VLOOKUP(DM$2,Valores!$H$2:$P$154,8,0)</f>
        <v>#VALUE!</v>
      </c>
      <c r="DN85" s="27" t="e">
        <f aca="false">SUMIF($C$2:$F$2,EOMONTH(DN$2,-1)+1,$C85:$F85)*VLOOKUP(DN$2,Valores!$H$2:$P$154,8,0)</f>
        <v>#VALUE!</v>
      </c>
      <c r="DO85" s="27" t="e">
        <f aca="false">SUMIF($C$2:$F$2,EOMONTH(DO$2,-1)+1,$C85:$F85)*VLOOKUP(DO$2,Valores!$H$2:$P$154,8,0)</f>
        <v>#VALUE!</v>
      </c>
      <c r="DP85" s="27" t="e">
        <f aca="false">SUMIF($C$2:$F$2,EOMONTH(DP$2,-1)+1,$C85:$F85)*VLOOKUP(DP$2,Valores!$H$2:$P$154,8,0)</f>
        <v>#VALUE!</v>
      </c>
      <c r="DQ85" s="27" t="e">
        <f aca="false">SUMIF($C$2:$F$2,EOMONTH(DQ$2,-1)+1,$C85:$F85)*VLOOKUP(DQ$2,Valores!$H$2:$P$154,8,0)</f>
        <v>#VALUE!</v>
      </c>
      <c r="DR85" s="27" t="e">
        <f aca="false">SUMIF($C$2:$F$2,EOMONTH(DR$2,-1)+1,$C85:$F85)*VLOOKUP(DR$2,Valores!$H$2:$P$154,8,0)</f>
        <v>#VALUE!</v>
      </c>
      <c r="DS85" s="27" t="e">
        <f aca="false">SUMIF($C$2:$F$2,EOMONTH(DS$2,-1)+1,$C85:$F85)*VLOOKUP(DS$2,Valores!$H$2:$P$154,8,0)</f>
        <v>#VALUE!</v>
      </c>
      <c r="DT85" s="27" t="e">
        <f aca="false">SUMIF($C$2:$F$2,EOMONTH(DT$2,-1)+1,$C85:$F85)*VLOOKUP(DT$2,Valores!$H$2:$P$154,8,0)</f>
        <v>#VALUE!</v>
      </c>
      <c r="DU85" s="27" t="e">
        <f aca="false">SUMIF($C$2:$F$2,EOMONTH(DU$2,-1)+1,$C85:$F85)*VLOOKUP(DU$2,Valores!$H$2:$P$154,8,0)</f>
        <v>#VALUE!</v>
      </c>
      <c r="DV85" s="27" t="e">
        <f aca="false">SUMIF($C$2:$F$2,EOMONTH(DV$2,-1)+1,$C85:$F85)*VLOOKUP(DV$2,Valores!$H$2:$P$154,8,0)</f>
        <v>#VALUE!</v>
      </c>
      <c r="DW85" s="27" t="e">
        <f aca="false">SUMIF($C$2:$F$2,EOMONTH(DW$2,-1)+1,$C85:$F85)*VLOOKUP(DW$2,Valores!$H$2:$P$154,8,0)</f>
        <v>#VALUE!</v>
      </c>
      <c r="DX85" s="27" t="e">
        <f aca="false">SUMIF($C$2:$F$2,EOMONTH(DX$2,-1)+1,$C85:$F85)*VLOOKUP(DX$2,Valores!$H$2:$P$154,8,0)</f>
        <v>#VALUE!</v>
      </c>
    </row>
    <row r="86" customFormat="false" ht="13.8" hidden="false" customHeight="false" outlineLevel="0" collapsed="false">
      <c r="A86" s="33" t="s">
        <v>91</v>
      </c>
      <c r="B86" s="29" t="s">
        <v>109</v>
      </c>
      <c r="C86" s="29" t="n">
        <v>643201</v>
      </c>
      <c r="D86" s="29" t="n">
        <v>578880.9</v>
      </c>
      <c r="E86" s="29" t="n">
        <v>520992.81</v>
      </c>
      <c r="F86" s="29" t="n">
        <v>468893.529</v>
      </c>
      <c r="G86" s="30" t="n">
        <f aca="false">SUMIF($C$2:$F$2,EOMONTH(G$2,-1)+1,$C86:$F86)*VLOOKUP(G$2,Valores!$H$2:$P$154,8,0)</f>
        <v>18522.3259832154</v>
      </c>
      <c r="H86" s="30" t="n">
        <f aca="false">SUMIF($C$2:$F$2,EOMONTH(H$2,-1)+1,$C86:$F86)*VLOOKUP(H$2,Valores!$H$2:$P$154,8,0)</f>
        <v>12701.0235313477</v>
      </c>
      <c r="I86" s="30" t="n">
        <f aca="false">SUMIF($C$2:$F$2,EOMONTH(I$2,-1)+1,$C86:$F86)*VLOOKUP(I$2,Valores!$H$2:$P$154,8,0)</f>
        <v>12701.0235313477</v>
      </c>
      <c r="J86" s="30" t="n">
        <f aca="false">SUMIF($C$2:$F$2,EOMONTH(J$2,-1)+1,$C86:$F86)*VLOOKUP(J$2,Valores!$H$2:$P$154,8,0)</f>
        <v>12701.0235313477</v>
      </c>
      <c r="K86" s="30" t="n">
        <f aca="false">SUMIF($C$2:$F$2,EOMONTH(K$2,-1)+1,$C86:$F86)*VLOOKUP(K$2,Valores!$H$2:$P$154,8,0)</f>
        <v>12701.0235313477</v>
      </c>
      <c r="L86" s="30" t="n">
        <f aca="false">SUMIF($C$2:$F$2,EOMONTH(L$2,-1)+1,$C86:$F86)*VLOOKUP(L$2,Valores!$H$2:$P$154,8,0)</f>
        <v>25402.0470626954</v>
      </c>
      <c r="M86" s="30" t="n">
        <f aca="false">SUMIF($C$2:$F$2,EOMONTH(M$2,-1)+1,$C86:$F86)*VLOOKUP(M$2,Valores!$H$2:$P$154,8,0)</f>
        <v>31752.5588283693</v>
      </c>
      <c r="N86" s="30" t="n">
        <f aca="false">SUMIF($C$2:$F$2,EOMONTH(N$2,-1)+1,$C86:$F86)*VLOOKUP(N$2,Valores!$H$2:$P$154,8,0)</f>
        <v>19051.5352970215</v>
      </c>
      <c r="O86" s="30" t="n">
        <f aca="false">SUMIF($C$2:$F$2,EOMONTH(O$2,-1)+1,$C86:$F86)*VLOOKUP(O$2,Valores!$H$2:$P$154,8,0)</f>
        <v>16934.6980417969</v>
      </c>
      <c r="P86" s="30" t="n">
        <f aca="false">SUMIF($C$2:$F$2,EOMONTH(P$2,-1)+1,$C86:$F86)*VLOOKUP(P$2,Valores!$H$2:$P$154,8,0)</f>
        <v>16934.6980417969</v>
      </c>
      <c r="Q86" s="30" t="n">
        <f aca="false">SUMIF($C$2:$F$2,EOMONTH(Q$2,-1)+1,$C86:$F86)*VLOOKUP(Q$2,Valores!$H$2:$P$154,8,0)</f>
        <v>10160.8188250782</v>
      </c>
      <c r="R86" s="30" t="n">
        <f aca="false">SUMIF($C$2:$F$2,EOMONTH(R$2,-1)+1,$C86:$F86)*VLOOKUP(R$2,Valores!$H$2:$P$154,8,0)</f>
        <v>16934.6980417969</v>
      </c>
      <c r="S86" s="30" t="n">
        <f aca="false">SUMIF($C$2:$F$2,EOMONTH(S$2,-1)+1,$C86:$F86)*VLOOKUP(S$2,Valores!$H$2:$P$154,8,0)</f>
        <v>33869.3960835939</v>
      </c>
      <c r="T86" s="30" t="n">
        <f aca="false">SUMIF($C$2:$F$2,EOMONTH(T$2,-1)+1,$C86:$F86)*VLOOKUP(T$2,Valores!$H$2:$P$154,8,0)</f>
        <v>42336.7451044923</v>
      </c>
      <c r="U86" s="30" t="n">
        <f aca="false">SUMIF($C$2:$F$2,EOMONTH(U$2,-1)+1,$C86:$F86)*VLOOKUP(U$2,Valores!$H$2:$P$154,8,0)</f>
        <v>25402.0470626954</v>
      </c>
      <c r="V86" s="30" t="n">
        <f aca="false">SUMIF($C$2:$F$2,EOMONTH(V$2,-1)+1,$C86:$F86)*VLOOKUP(V$2,Valores!$H$2:$P$154,8,0)</f>
        <v>21168.3725522462</v>
      </c>
      <c r="W86" s="30" t="n">
        <f aca="false">SUMIF($C$2:$F$2,EOMONTH(W$2,-1)+1,$C86:$F86)*VLOOKUP(W$2,Valores!$H$2:$P$154,8,0)</f>
        <v>21168.3725522462</v>
      </c>
      <c r="X86" s="30" t="n">
        <f aca="false">SUMIF($C$2:$F$2,EOMONTH(X$2,-1)+1,$C86:$F86)*VLOOKUP(X$2,Valores!$H$2:$P$154,8,0)</f>
        <v>0</v>
      </c>
      <c r="Y86" s="30" t="n">
        <f aca="false">SUMIF($C$2:$F$2,EOMONTH(Y$2,-1)+1,$C86:$F86)*VLOOKUP(Y$2,Valores!$H$2:$P$154,8,0)</f>
        <v>0</v>
      </c>
      <c r="Z86" s="30" t="n">
        <f aca="false">SUMIF($C$2:$F$2,EOMONTH(Z$2,-1)+1,$C86:$F86)*VLOOKUP(Z$2,Valores!$H$2:$P$154,8,0)</f>
        <v>31752.5588283693</v>
      </c>
      <c r="AA86" s="30" t="n">
        <f aca="false">SUMIF($C$2:$F$2,EOMONTH(AA$2,-1)+1,$C86:$F86)*VLOOKUP(AA$2,Valores!$H$2:$P$154,8,0)</f>
        <v>38103.0705940431</v>
      </c>
      <c r="AB86" s="30" t="n">
        <f aca="false">SUMIF($C$2:$F$2,EOMONTH(AB$2,-1)+1,$C86:$F86)*VLOOKUP(AB$2,Valores!$H$2:$P$154,8,0)</f>
        <v>19051.5352970215</v>
      </c>
      <c r="AC86" s="30" t="n">
        <f aca="false">SUMIF($C$2:$F$2,EOMONTH(AC$2,-1)+1,$C86:$F86)*VLOOKUP(AC$2,Valores!$H$2:$P$154,8,0)</f>
        <v>23285.2098074708</v>
      </c>
      <c r="AD86" s="30" t="n">
        <f aca="false">SUMIF($C$2:$F$2,EOMONTH(AD$2,-1)+1,$C86:$F86)*VLOOKUP(AD$2,Valores!$H$2:$P$154,8,0)</f>
        <v>23285.2098074708</v>
      </c>
      <c r="AE86" s="30" t="n">
        <f aca="false">SUMIF($C$2:$F$2,EOMONTH(AE$2,-1)+1,$C86:$F86)*VLOOKUP(AE$2,Valores!$H$2:$P$154,8,0)</f>
        <v>23285.2098074708</v>
      </c>
      <c r="AF86" s="30" t="n">
        <f aca="false">SUMIF($C$2:$F$2,EOMONTH(AF$2,-1)+1,$C86:$F86)*VLOOKUP(AF$2,Valores!$H$2:$P$154,8,0)</f>
        <v>23285.2098074708</v>
      </c>
      <c r="AG86" s="30" t="n">
        <f aca="false">SUMIF($C$2:$F$2,EOMONTH(AG$2,-1)+1,$C86:$F86)*VLOOKUP(AG$2,Valores!$H$2:$P$154,8,0)</f>
        <v>37256.3356919533</v>
      </c>
      <c r="AH86" s="30" t="n">
        <f aca="false">SUMIF($C$2:$F$2,EOMONTH(AH$2,-1)+1,$C86:$F86)*VLOOKUP(AH$2,Valores!$H$2:$P$154,8,0)</f>
        <v>46570.4196149416</v>
      </c>
      <c r="AI86" s="30" t="n">
        <f aca="false">SUMIF($C$2:$F$2,EOMONTH(AI$2,-1)+1,$C86:$F86)*VLOOKUP(AI$2,Valores!$H$2:$P$154,8,0)</f>
        <v>16299.6468652296</v>
      </c>
      <c r="AJ86" s="30" t="n">
        <f aca="false">SUMIF($C$2:$F$2,EOMONTH(AJ$2,-1)+1,$C86:$F86)*VLOOKUP(AJ$2,Valores!$H$2:$P$154,8,0)</f>
        <v>10584.1862761231</v>
      </c>
      <c r="AK86" s="30" t="n">
        <f aca="false">SUMIF($C$2:$F$2,EOMONTH(AK$2,-1)+1,$C86:$F86)*VLOOKUP(AK$2,Valores!$H$2:$P$154,8,0)</f>
        <v>19301.0850460835</v>
      </c>
      <c r="AL86" s="30" t="n">
        <f aca="false">SUMIF($C$2:$F$2,EOMONTH(AL$2,-1)+1,$C86:$F86)*VLOOKUP(AL$2,Valores!$H$2:$P$154,8,0)</f>
        <v>19301.0850460835</v>
      </c>
      <c r="AM86" s="30" t="n">
        <f aca="false">SUMIF($C$2:$F$2,EOMONTH(AM$2,-1)+1,$C86:$F86)*VLOOKUP(AM$2,Valores!$H$2:$P$154,8,0)</f>
        <v>19301.0850460835</v>
      </c>
      <c r="AN86" s="30" t="n">
        <f aca="false">SUMIF($C$2:$F$2,EOMONTH(AN$2,-1)+1,$C86:$F86)*VLOOKUP(AN$2,Valores!$H$2:$P$154,8,0)</f>
        <v>38602.170092167</v>
      </c>
      <c r="AO86" s="30" t="n">
        <f aca="false">SUMIF($C$2:$F$2,EOMONTH(AO$2,-1)+1,$C86:$F86)*VLOOKUP(AO$2,Valores!$H$2:$P$154,8,0)</f>
        <v>48252.7126152087</v>
      </c>
      <c r="AP86" s="30" t="n">
        <f aca="false">SUMIF($C$2:$F$2,EOMONTH(AP$2,-1)+1,$C86:$F86)*VLOOKUP(AP$2,Valores!$H$2:$P$154,8,0)</f>
        <v>28951.6275691252</v>
      </c>
      <c r="AQ86" s="30" t="n">
        <f aca="false">SUMIF($C$2:$F$2,EOMONTH(AQ$2,-1)+1,$C86:$F86)*VLOOKUP(AQ$2,Valores!$H$2:$P$154,8,0)</f>
        <v>10339.8669889733</v>
      </c>
      <c r="AR86" s="30" t="n">
        <f aca="false">SUMIF($C$2:$F$2,EOMONTH(AR$2,-1)+1,$C86:$F86)*VLOOKUP(AR$2,Valores!$H$2:$P$154,8,0)</f>
        <v>10339.8669889733</v>
      </c>
      <c r="AS86" s="30" t="n">
        <f aca="false">SUMIF($C$2:$F$2,EOMONTH(AS$2,-1)+1,$C86:$F86)*VLOOKUP(AS$2,Valores!$H$2:$P$154,8,0)</f>
        <v>10339.8669889733</v>
      </c>
      <c r="AT86" s="30" t="n">
        <f aca="false">SUMIF($C$2:$F$2,EOMONTH(AT$2,-1)+1,$C86:$F86)*VLOOKUP(AT$2,Valores!$H$2:$P$154,8,0)</f>
        <v>10339.8669889733</v>
      </c>
      <c r="AU86" s="30" t="n">
        <f aca="false">SUMIF($C$2:$F$2,EOMONTH(AU$2,-1)+1,$C86:$F86)*VLOOKUP(AU$2,Valores!$H$2:$P$154,8,0)</f>
        <v>20679.7339779466</v>
      </c>
      <c r="AV86" s="30" t="n">
        <f aca="false">SUMIF($C$2:$F$2,EOMONTH(AV$2,-1)+1,$C86:$F86)*VLOOKUP(AV$2,Valores!$H$2:$P$154,8,0)</f>
        <v>25849.6674724332</v>
      </c>
      <c r="AW86" s="30" t="n">
        <f aca="false">SUMIF($C$2:$F$2,EOMONTH(AW$2,-1)+1,$C86:$F86)*VLOOKUP(AW$2,Valores!$H$2:$P$154,8,0)</f>
        <v>15509.80048346</v>
      </c>
      <c r="AX86" s="30" t="n">
        <f aca="false">SUMIF($C$2:$F$2,EOMONTH(AX$2,-1)+1,$C86:$F86)*VLOOKUP(AX$2,Valores!$H$2:$P$154,8,0)</f>
        <v>10339.8669889733</v>
      </c>
      <c r="AY86" s="30" t="n">
        <f aca="false">SUMIF($C$2:$F$2,EOMONTH(AY$2,-1)+1,$C86:$F86)*VLOOKUP(AY$2,Valores!$H$2:$P$154,8,0)</f>
        <v>13441.8270856653</v>
      </c>
      <c r="AZ86" s="30" t="n">
        <f aca="false">SUMIF($C$2:$F$2,EOMONTH(AZ$2,-1)+1,$C86:$F86)*VLOOKUP(AZ$2,Valores!$H$2:$P$154,8,0)</f>
        <v>13441.8270856653</v>
      </c>
      <c r="BA86" s="30" t="n">
        <f aca="false">SUMIF($C$2:$F$2,EOMONTH(BA$2,-1)+1,$C86:$F86)*VLOOKUP(BA$2,Valores!$H$2:$P$154,8,0)</f>
        <v>13441.8270856653</v>
      </c>
      <c r="BB86" s="30" t="n">
        <f aca="false">SUMIF($C$2:$F$2,EOMONTH(BB$2,-1)+1,$C86:$F86)*VLOOKUP(BB$2,Valores!$H$2:$P$154,8,0)</f>
        <v>23781.6940746386</v>
      </c>
      <c r="BC86" s="30" t="n">
        <f aca="false">SUMIF($C$2:$F$2,EOMONTH(BC$2,-1)+1,$C86:$F86)*VLOOKUP(BC$2,Valores!$H$2:$P$154,8,0)</f>
        <v>28951.6275691252</v>
      </c>
      <c r="BD86" s="30" t="n">
        <f aca="false">SUMIF($C$2:$F$2,EOMONTH(BD$2,-1)+1,$C86:$F86)*VLOOKUP(BD$2,Valores!$H$2:$P$154,8,0)</f>
        <v>15509.80048346</v>
      </c>
      <c r="BE86" s="30" t="n">
        <f aca="false">SUMIF($C$2:$F$2,EOMONTH(BE$2,-1)+1,$C86:$F86)*VLOOKUP(BE$2,Valores!$H$2:$P$154,8,0)</f>
        <v>13786.4893186311</v>
      </c>
      <c r="BF86" s="30" t="n">
        <f aca="false">SUMIF($C$2:$F$2,EOMONTH(BF$2,-1)+1,$C86:$F86)*VLOOKUP(BF$2,Valores!$H$2:$P$154,8,0)</f>
        <v>13786.4893186311</v>
      </c>
      <c r="BG86" s="30" t="n">
        <f aca="false">SUMIF($C$2:$F$2,EOMONTH(BG$2,-1)+1,$C86:$F86)*VLOOKUP(BG$2,Valores!$H$2:$P$154,8,0)</f>
        <v>13786.4893186311</v>
      </c>
      <c r="BH86" s="30" t="n">
        <f aca="false">SUMIF($C$2:$F$2,EOMONTH(BH$2,-1)+1,$C86:$F86)*VLOOKUP(BH$2,Valores!$H$2:$P$154,8,0)</f>
        <v>13786.4893186311</v>
      </c>
      <c r="BI86" s="30" t="n">
        <f aca="false">SUMIF($C$2:$F$2,EOMONTH(BI$2,-1)+1,$C86:$F86)*VLOOKUP(BI$2,Valores!$H$2:$P$154,8,0)</f>
        <v>27572.9786372621</v>
      </c>
      <c r="BJ86" s="30" t="n">
        <f aca="false">SUMIF($C$2:$F$2,EOMONTH(BJ$2,-1)+1,$C86:$F86)*VLOOKUP(BJ$2,Valores!$H$2:$P$154,8,0)</f>
        <v>34466.2232965777</v>
      </c>
      <c r="BK86" s="30" t="n">
        <f aca="false">SUMIF($C$2:$F$2,EOMONTH(BK$2,-1)+1,$C86:$F86)*VLOOKUP(BK$2,Valores!$H$2:$P$154,8,0)</f>
        <v>16543.7871823573</v>
      </c>
      <c r="BL86" s="30" t="n">
        <f aca="false">SUMIF($C$2:$F$2,EOMONTH(BL$2,-1)+1,$C86:$F86)*VLOOKUP(BL$2,Valores!$H$2:$P$154,8,0)</f>
        <v>12132.1106003953</v>
      </c>
      <c r="BM86" s="30" t="n">
        <f aca="false">SUMIF($C$2:$F$2,EOMONTH(BM$2,-1)+1,$C86:$F86)*VLOOKUP(BM$2,Valores!$H$2:$P$154,8,0)</f>
        <v>12132.1106003953</v>
      </c>
      <c r="BN86" s="30" t="n">
        <f aca="false">SUMIF($C$2:$F$2,EOMONTH(BN$2,-1)+1,$C86:$F86)*VLOOKUP(BN$2,Valores!$H$2:$P$154,8,0)</f>
        <v>12132.1106003953</v>
      </c>
      <c r="BO86" s="30" t="n">
        <f aca="false">SUMIF($C$2:$F$2,EOMONTH(BO$2,-1)+1,$C86:$F86)*VLOOKUP(BO$2,Valores!$H$2:$P$154,8,0)</f>
        <v>12738.7161304151</v>
      </c>
      <c r="BP86" s="30" t="n">
        <f aca="false">SUMIF($C$2:$F$2,EOMONTH(BP$2,-1)+1,$C86:$F86)*VLOOKUP(BP$2,Valores!$H$2:$P$154,8,0)</f>
        <v>32057.5731897594</v>
      </c>
      <c r="BQ86" s="30" t="n">
        <f aca="false">SUMIF($C$2:$F$2,EOMONTH(BQ$2,-1)+1,$C86:$F86)*VLOOKUP(BQ$2,Valores!$H$2:$P$154,8,0)</f>
        <v>40071.9664871992</v>
      </c>
      <c r="BR86" s="30" t="n">
        <f aca="false">SUMIF($C$2:$F$2,EOMONTH(BR$2,-1)+1,$C86:$F86)*VLOOKUP(BR$2,Valores!$H$2:$P$154,8,0)</f>
        <v>19234.5439138556</v>
      </c>
      <c r="BS86" s="30" t="n">
        <f aca="false">SUMIF($C$2:$F$2,EOMONTH(BS$2,-1)+1,$C86:$F86)*VLOOKUP(BS$2,Valores!$H$2:$P$154,8,0)</f>
        <v>8586.84996154268</v>
      </c>
      <c r="BT86" s="30" t="n">
        <f aca="false">SUMIF($C$2:$F$2,EOMONTH(BT$2,-1)+1,$C86:$F86)*VLOOKUP(BT$2,Valores!$H$2:$P$154,8,0)</f>
        <v>8586.84996154268</v>
      </c>
      <c r="BU86" s="30" t="n">
        <f aca="false">SUMIF($C$2:$F$2,EOMONTH(BU$2,-1)+1,$C86:$F86)*VLOOKUP(BU$2,Valores!$H$2:$P$154,8,0)</f>
        <v>8586.84996154268</v>
      </c>
      <c r="BV86" s="30" t="n">
        <f aca="false">SUMIF($C$2:$F$2,EOMONTH(BV$2,-1)+1,$C86:$F86)*VLOOKUP(BV$2,Valores!$H$2:$P$154,8,0)</f>
        <v>8586.84996154268</v>
      </c>
      <c r="BW86" s="30" t="n">
        <f aca="false">SUMIF($C$2:$F$2,EOMONTH(BW$2,-1)+1,$C86:$F86)*VLOOKUP(BW$2,Valores!$H$2:$P$154,8,0)</f>
        <v>17173.6999230854</v>
      </c>
      <c r="BX86" s="30" t="n">
        <f aca="false">SUMIF($C$2:$F$2,EOMONTH(BX$2,-1)+1,$C86:$F86)*VLOOKUP(BX$2,Valores!$H$2:$P$154,8,0)</f>
        <v>21467.1249038567</v>
      </c>
      <c r="BY86" s="30" t="n">
        <f aca="false">SUMIF($C$2:$F$2,EOMONTH(BY$2,-1)+1,$C86:$F86)*VLOOKUP(BY$2,Valores!$H$2:$P$154,8,0)</f>
        <v>12880.274942314</v>
      </c>
      <c r="BZ86" s="30" t="n">
        <f aca="false">SUMIF($C$2:$F$2,EOMONTH(BZ$2,-1)+1,$C86:$F86)*VLOOKUP(BZ$2,Valores!$H$2:$P$154,8,0)</f>
        <v>8586.84996154268</v>
      </c>
      <c r="CA86" s="30" t="n">
        <f aca="false">SUMIF($C$2:$F$2,EOMONTH(CA$2,-1)+1,$C86:$F86)*VLOOKUP(CA$2,Valores!$H$2:$P$154,8,0)</f>
        <v>8586.84996154268</v>
      </c>
      <c r="CB86" s="30" t="n">
        <f aca="false">SUMIF($C$2:$F$2,EOMONTH(CB$2,-1)+1,$C86:$F86)*VLOOKUP(CB$2,Valores!$H$2:$P$154,8,0)</f>
        <v>8586.84996154268</v>
      </c>
      <c r="CC86" s="30" t="n">
        <f aca="false">SUMIF($C$2:$F$2,EOMONTH(CC$2,-1)+1,$C86:$F86)*VLOOKUP(CC$2,Valores!$H$2:$P$154,8,0)</f>
        <v>8586.84996154268</v>
      </c>
      <c r="CD86" s="30" t="n">
        <f aca="false">SUMIF($C$2:$F$2,EOMONTH(CD$2,-1)+1,$C86:$F86)*VLOOKUP(CD$2,Valores!$H$2:$P$154,8,0)</f>
        <v>25760.549884628</v>
      </c>
      <c r="CE86" s="30" t="n">
        <f aca="false">SUMIF($C$2:$F$2,EOMONTH(CE$2,-1)+1,$C86:$F86)*VLOOKUP(CE$2,Valores!$H$2:$P$154,8,0)</f>
        <v>34347.3998461707</v>
      </c>
      <c r="CF86" s="30" t="n">
        <f aca="false">SUMIF($C$2:$F$2,EOMONTH(CF$2,-1)+1,$C86:$F86)*VLOOKUP(CF$2,Valores!$H$2:$P$154,8,0)</f>
        <v>21467.1249038567</v>
      </c>
      <c r="CG86" s="30" t="n">
        <f aca="false">SUMIF($C$2:$F$2,EOMONTH(CG$2,-1)+1,$C86:$F86)*VLOOKUP(CG$2,Valores!$H$2:$P$154,8,0)</f>
        <v>11449.1332820569</v>
      </c>
      <c r="CH86" s="30" t="n">
        <f aca="false">SUMIF($C$2:$F$2,EOMONTH(CH$2,-1)+1,$C86:$F86)*VLOOKUP(CH$2,Valores!$H$2:$P$154,8,0)</f>
        <v>11449.1332820569</v>
      </c>
      <c r="CI86" s="30" t="n">
        <f aca="false">SUMIF($C$2:$F$2,EOMONTH(CI$2,-1)+1,$C86:$F86)*VLOOKUP(CI$2,Valores!$H$2:$P$154,8,0)</f>
        <v>11449.1332820569</v>
      </c>
      <c r="CJ86" s="30" t="n">
        <f aca="false">SUMIF($C$2:$F$2,EOMONTH(CJ$2,-1)+1,$C86:$F86)*VLOOKUP(CJ$2,Valores!$H$2:$P$154,8,0)</f>
        <v>11449.1332820569</v>
      </c>
      <c r="CK86" s="30" t="n">
        <f aca="false">SUMIF($C$2:$F$2,EOMONTH(CK$2,-1)+1,$C86:$F86)*VLOOKUP(CK$2,Valores!$H$2:$P$154,8,0)</f>
        <v>22898.2665641138</v>
      </c>
      <c r="CL86" s="30" t="n">
        <f aca="false">SUMIF($C$2:$F$2,EOMONTH(CL$2,-1)+1,$C86:$F86)*VLOOKUP(CL$2,Valores!$H$2:$P$154,8,0)</f>
        <v>28622.8332051423</v>
      </c>
      <c r="CM86" s="30" t="n">
        <f aca="false">SUMIF($C$2:$F$2,EOMONTH(CM$2,-1)+1,$C86:$F86)*VLOOKUP(CM$2,Valores!$H$2:$P$154,8,0)</f>
        <v>17173.6999230854</v>
      </c>
      <c r="CN86" s="30" t="n">
        <f aca="false">SUMIF($C$2:$F$2,EOMONTH(CN$2,-1)+1,$C86:$F86)*VLOOKUP(CN$2,Valores!$H$2:$P$154,8,0)</f>
        <v>12594.0466102626</v>
      </c>
      <c r="CO86" s="30" t="n">
        <f aca="false">SUMIF($C$2:$F$2,EOMONTH(CO$2,-1)+1,$C86:$F86)*VLOOKUP(CO$2,Valores!$H$2:$P$154,8,0)</f>
        <v>12594.0466102626</v>
      </c>
      <c r="CP86" s="30" t="n">
        <f aca="false">SUMIF($C$2:$F$2,EOMONTH(CP$2,-1)+1,$C86:$F86)*VLOOKUP(CP$2,Valores!$H$2:$P$154,8,0)</f>
        <v>12594.0466102626</v>
      </c>
      <c r="CQ86" s="30" t="n">
        <f aca="false">SUMIF($C$2:$F$2,EOMONTH(CQ$2,-1)+1,$C86:$F86)*VLOOKUP(CQ$2,Valores!$H$2:$P$154,8,0)</f>
        <v>12594.0466102626</v>
      </c>
      <c r="CR86" s="30" t="n">
        <f aca="false">SUMIF($C$2:$F$2,EOMONTH(CR$2,-1)+1,$C86:$F86)*VLOOKUP(CR$2,Valores!$H$2:$P$154,8,0)</f>
        <v>25188.0932205252</v>
      </c>
      <c r="CS86" s="30" t="n">
        <f aca="false">SUMIF($C$2:$F$2,EOMONTH(CS$2,-1)+1,$C86:$F86)*VLOOKUP(CS$2,Valores!$H$2:$P$154,8,0)</f>
        <v>37782.1398307878</v>
      </c>
      <c r="CT86" s="30" t="e">
        <f aca="false">SUMIF($C$2:$F$2,EOMONTH(CT$2,-1)+1,$C86:$F86)*VLOOKUP(CT$2,Valores!$H$2:$P$154,8,0)</f>
        <v>#VALUE!</v>
      </c>
      <c r="CU86" s="30" t="e">
        <f aca="false">SUMIF($C$2:$F$2,EOMONTH(CU$2,-1)+1,$C86:$F86)*VLOOKUP(CU$2,Valores!$H$2:$P$154,8,0)</f>
        <v>#VALUE!</v>
      </c>
      <c r="CV86" s="30" t="e">
        <f aca="false">SUMIF($C$2:$F$2,EOMONTH(CV$2,-1)+1,$C86:$F86)*VLOOKUP(CV$2,Valores!$H$2:$P$154,8,0)</f>
        <v>#VALUE!</v>
      </c>
      <c r="CW86" s="30" t="e">
        <f aca="false">SUMIF($C$2:$F$2,EOMONTH(CW$2,-1)+1,$C86:$F86)*VLOOKUP(CW$2,Valores!$H$2:$P$154,8,0)</f>
        <v>#VALUE!</v>
      </c>
      <c r="CX86" s="30" t="e">
        <f aca="false">SUMIF($C$2:$F$2,EOMONTH(CX$2,-1)+1,$C86:$F86)*VLOOKUP(CX$2,Valores!$H$2:$P$154,8,0)</f>
        <v>#VALUE!</v>
      </c>
      <c r="CY86" s="30" t="e">
        <f aca="false">SUMIF($C$2:$F$2,EOMONTH(CY$2,-1)+1,$C86:$F86)*VLOOKUP(CY$2,Valores!$H$2:$P$154,8,0)</f>
        <v>#VALUE!</v>
      </c>
      <c r="CZ86" s="30" t="e">
        <f aca="false">SUMIF($C$2:$F$2,EOMONTH(CZ$2,-1)+1,$C86:$F86)*VLOOKUP(CZ$2,Valores!$H$2:$P$154,8,0)</f>
        <v>#VALUE!</v>
      </c>
      <c r="DA86" s="30" t="e">
        <f aca="false">SUMIF($C$2:$F$2,EOMONTH(DA$2,-1)+1,$C86:$F86)*VLOOKUP(DA$2,Valores!$H$2:$P$154,8,0)</f>
        <v>#VALUE!</v>
      </c>
      <c r="DB86" s="30" t="e">
        <f aca="false">SUMIF($C$2:$F$2,EOMONTH(DB$2,-1)+1,$C86:$F86)*VLOOKUP(DB$2,Valores!$H$2:$P$154,8,0)</f>
        <v>#VALUE!</v>
      </c>
      <c r="DC86" s="30" t="e">
        <f aca="false">SUMIF($C$2:$F$2,EOMONTH(DC$2,-1)+1,$C86:$F86)*VLOOKUP(DC$2,Valores!$H$2:$P$154,8,0)</f>
        <v>#VALUE!</v>
      </c>
      <c r="DD86" s="30" t="e">
        <f aca="false">SUMIF($C$2:$F$2,EOMONTH(DD$2,-1)+1,$C86:$F86)*VLOOKUP(DD$2,Valores!$H$2:$P$154,8,0)</f>
        <v>#VALUE!</v>
      </c>
      <c r="DE86" s="30" t="e">
        <f aca="false">SUMIF($C$2:$F$2,EOMONTH(DE$2,-1)+1,$C86:$F86)*VLOOKUP(DE$2,Valores!$H$2:$P$154,8,0)</f>
        <v>#VALUE!</v>
      </c>
      <c r="DF86" s="30" t="e">
        <f aca="false">SUMIF($C$2:$F$2,EOMONTH(DF$2,-1)+1,$C86:$F86)*VLOOKUP(DF$2,Valores!$H$2:$P$154,8,0)</f>
        <v>#VALUE!</v>
      </c>
      <c r="DG86" s="30" t="e">
        <f aca="false">SUMIF($C$2:$F$2,EOMONTH(DG$2,-1)+1,$C86:$F86)*VLOOKUP(DG$2,Valores!$H$2:$P$154,8,0)</f>
        <v>#VALUE!</v>
      </c>
      <c r="DH86" s="30" t="e">
        <f aca="false">SUMIF($C$2:$F$2,EOMONTH(DH$2,-1)+1,$C86:$F86)*VLOOKUP(DH$2,Valores!$H$2:$P$154,8,0)</f>
        <v>#VALUE!</v>
      </c>
      <c r="DI86" s="30" t="e">
        <f aca="false">SUMIF($C$2:$F$2,EOMONTH(DI$2,-1)+1,$C86:$F86)*VLOOKUP(DI$2,Valores!$H$2:$P$154,8,0)</f>
        <v>#VALUE!</v>
      </c>
      <c r="DJ86" s="30" t="e">
        <f aca="false">SUMIF($C$2:$F$2,EOMONTH(DJ$2,-1)+1,$C86:$F86)*VLOOKUP(DJ$2,Valores!$H$2:$P$154,8,0)</f>
        <v>#VALUE!</v>
      </c>
      <c r="DK86" s="30" t="e">
        <f aca="false">SUMIF($C$2:$F$2,EOMONTH(DK$2,-1)+1,$C86:$F86)*VLOOKUP(DK$2,Valores!$H$2:$P$154,8,0)</f>
        <v>#VALUE!</v>
      </c>
      <c r="DL86" s="30" t="e">
        <f aca="false">SUMIF($C$2:$F$2,EOMONTH(DL$2,-1)+1,$C86:$F86)*VLOOKUP(DL$2,Valores!$H$2:$P$154,8,0)</f>
        <v>#VALUE!</v>
      </c>
      <c r="DM86" s="30" t="e">
        <f aca="false">SUMIF($C$2:$F$2,EOMONTH(DM$2,-1)+1,$C86:$F86)*VLOOKUP(DM$2,Valores!$H$2:$P$154,8,0)</f>
        <v>#VALUE!</v>
      </c>
      <c r="DN86" s="30" t="e">
        <f aca="false">SUMIF($C$2:$F$2,EOMONTH(DN$2,-1)+1,$C86:$F86)*VLOOKUP(DN$2,Valores!$H$2:$P$154,8,0)</f>
        <v>#VALUE!</v>
      </c>
      <c r="DO86" s="30" t="e">
        <f aca="false">SUMIF($C$2:$F$2,EOMONTH(DO$2,-1)+1,$C86:$F86)*VLOOKUP(DO$2,Valores!$H$2:$P$154,8,0)</f>
        <v>#VALUE!</v>
      </c>
      <c r="DP86" s="30" t="e">
        <f aca="false">SUMIF($C$2:$F$2,EOMONTH(DP$2,-1)+1,$C86:$F86)*VLOOKUP(DP$2,Valores!$H$2:$P$154,8,0)</f>
        <v>#VALUE!</v>
      </c>
      <c r="DQ86" s="30" t="e">
        <f aca="false">SUMIF($C$2:$F$2,EOMONTH(DQ$2,-1)+1,$C86:$F86)*VLOOKUP(DQ$2,Valores!$H$2:$P$154,8,0)</f>
        <v>#VALUE!</v>
      </c>
      <c r="DR86" s="30" t="e">
        <f aca="false">SUMIF($C$2:$F$2,EOMONTH(DR$2,-1)+1,$C86:$F86)*VLOOKUP(DR$2,Valores!$H$2:$P$154,8,0)</f>
        <v>#VALUE!</v>
      </c>
      <c r="DS86" s="30" t="e">
        <f aca="false">SUMIF($C$2:$F$2,EOMONTH(DS$2,-1)+1,$C86:$F86)*VLOOKUP(DS$2,Valores!$H$2:$P$154,8,0)</f>
        <v>#VALUE!</v>
      </c>
      <c r="DT86" s="30" t="e">
        <f aca="false">SUMIF($C$2:$F$2,EOMONTH(DT$2,-1)+1,$C86:$F86)*VLOOKUP(DT$2,Valores!$H$2:$P$154,8,0)</f>
        <v>#VALUE!</v>
      </c>
      <c r="DU86" s="30" t="e">
        <f aca="false">SUMIF($C$2:$F$2,EOMONTH(DU$2,-1)+1,$C86:$F86)*VLOOKUP(DU$2,Valores!$H$2:$P$154,8,0)</f>
        <v>#VALUE!</v>
      </c>
      <c r="DV86" s="30" t="e">
        <f aca="false">SUMIF($C$2:$F$2,EOMONTH(DV$2,-1)+1,$C86:$F86)*VLOOKUP(DV$2,Valores!$H$2:$P$154,8,0)</f>
        <v>#VALUE!</v>
      </c>
      <c r="DW86" s="30" t="e">
        <f aca="false">SUMIF($C$2:$F$2,EOMONTH(DW$2,-1)+1,$C86:$F86)*VLOOKUP(DW$2,Valores!$H$2:$P$154,8,0)</f>
        <v>#VALUE!</v>
      </c>
      <c r="DX86" s="30" t="e">
        <f aca="false">SUMIF($C$2:$F$2,EOMONTH(DX$2,-1)+1,$C86:$F86)*VLOOKUP(DX$2,Valores!$H$2:$P$154,8,0)</f>
        <v>#VALUE!</v>
      </c>
    </row>
    <row r="87" customFormat="false" ht="13.8" hidden="false" customHeight="false" outlineLevel="0" collapsed="false">
      <c r="A87" s="32" t="s">
        <v>91</v>
      </c>
      <c r="B87" s="31" t="s">
        <v>110</v>
      </c>
      <c r="C87" s="31" t="n">
        <v>623742</v>
      </c>
      <c r="D87" s="31" t="n">
        <v>561367.8</v>
      </c>
      <c r="E87" s="31" t="n">
        <v>505231.02</v>
      </c>
      <c r="F87" s="31" t="n">
        <v>454707.918</v>
      </c>
      <c r="G87" s="27" t="n">
        <f aca="false">SUMIF($C$2:$F$2,EOMONTH(G$2,-1)+1,$C87:$F87)*VLOOKUP(G$2,Valores!$H$2:$P$154,8,0)</f>
        <v>17961.9631397071</v>
      </c>
      <c r="H87" s="27" t="n">
        <f aca="false">SUMIF($C$2:$F$2,EOMONTH(H$2,-1)+1,$C87:$F87)*VLOOKUP(H$2,Valores!$H$2:$P$154,8,0)</f>
        <v>12316.7747243706</v>
      </c>
      <c r="I87" s="27" t="n">
        <f aca="false">SUMIF($C$2:$F$2,EOMONTH(I$2,-1)+1,$C87:$F87)*VLOOKUP(I$2,Valores!$H$2:$P$154,8,0)</f>
        <v>12316.7747243706</v>
      </c>
      <c r="J87" s="27" t="n">
        <f aca="false">SUMIF($C$2:$F$2,EOMONTH(J$2,-1)+1,$C87:$F87)*VLOOKUP(J$2,Valores!$H$2:$P$154,8,0)</f>
        <v>12316.7747243706</v>
      </c>
      <c r="K87" s="27" t="n">
        <f aca="false">SUMIF($C$2:$F$2,EOMONTH(K$2,-1)+1,$C87:$F87)*VLOOKUP(K$2,Valores!$H$2:$P$154,8,0)</f>
        <v>12316.7747243706</v>
      </c>
      <c r="L87" s="27" t="n">
        <f aca="false">SUMIF($C$2:$F$2,EOMONTH(L$2,-1)+1,$C87:$F87)*VLOOKUP(L$2,Valores!$H$2:$P$154,8,0)</f>
        <v>24633.5494487412</v>
      </c>
      <c r="M87" s="27" t="n">
        <f aca="false">SUMIF($C$2:$F$2,EOMONTH(M$2,-1)+1,$C87:$F87)*VLOOKUP(M$2,Valores!$H$2:$P$154,8,0)</f>
        <v>30791.9368109264</v>
      </c>
      <c r="N87" s="27" t="n">
        <f aca="false">SUMIF($C$2:$F$2,EOMONTH(N$2,-1)+1,$C87:$F87)*VLOOKUP(N$2,Valores!$H$2:$P$154,8,0)</f>
        <v>18475.1620865559</v>
      </c>
      <c r="O87" s="27" t="n">
        <f aca="false">SUMIF($C$2:$F$2,EOMONTH(O$2,-1)+1,$C87:$F87)*VLOOKUP(O$2,Valores!$H$2:$P$154,8,0)</f>
        <v>16422.3662991608</v>
      </c>
      <c r="P87" s="27" t="n">
        <f aca="false">SUMIF($C$2:$F$2,EOMONTH(P$2,-1)+1,$C87:$F87)*VLOOKUP(P$2,Valores!$H$2:$P$154,8,0)</f>
        <v>16422.3662991608</v>
      </c>
      <c r="Q87" s="27" t="n">
        <f aca="false">SUMIF($C$2:$F$2,EOMONTH(Q$2,-1)+1,$C87:$F87)*VLOOKUP(Q$2,Valores!$H$2:$P$154,8,0)</f>
        <v>9853.41977949646</v>
      </c>
      <c r="R87" s="27" t="n">
        <f aca="false">SUMIF($C$2:$F$2,EOMONTH(R$2,-1)+1,$C87:$F87)*VLOOKUP(R$2,Valores!$H$2:$P$154,8,0)</f>
        <v>16422.3662991608</v>
      </c>
      <c r="S87" s="27" t="n">
        <f aca="false">SUMIF($C$2:$F$2,EOMONTH(S$2,-1)+1,$C87:$F87)*VLOOKUP(S$2,Valores!$H$2:$P$154,8,0)</f>
        <v>32844.7325983215</v>
      </c>
      <c r="T87" s="27" t="n">
        <f aca="false">SUMIF($C$2:$F$2,EOMONTH(T$2,-1)+1,$C87:$F87)*VLOOKUP(T$2,Valores!$H$2:$P$154,8,0)</f>
        <v>41055.9157479019</v>
      </c>
      <c r="U87" s="27" t="n">
        <f aca="false">SUMIF($C$2:$F$2,EOMONTH(U$2,-1)+1,$C87:$F87)*VLOOKUP(U$2,Valores!$H$2:$P$154,8,0)</f>
        <v>24633.5494487412</v>
      </c>
      <c r="V87" s="27" t="n">
        <f aca="false">SUMIF($C$2:$F$2,EOMONTH(V$2,-1)+1,$C87:$F87)*VLOOKUP(V$2,Valores!$H$2:$P$154,8,0)</f>
        <v>20527.957873951</v>
      </c>
      <c r="W87" s="27" t="n">
        <f aca="false">SUMIF($C$2:$F$2,EOMONTH(W$2,-1)+1,$C87:$F87)*VLOOKUP(W$2,Valores!$H$2:$P$154,8,0)</f>
        <v>20527.957873951</v>
      </c>
      <c r="X87" s="27" t="n">
        <f aca="false">SUMIF($C$2:$F$2,EOMONTH(X$2,-1)+1,$C87:$F87)*VLOOKUP(X$2,Valores!$H$2:$P$154,8,0)</f>
        <v>0</v>
      </c>
      <c r="Y87" s="27" t="n">
        <f aca="false">SUMIF($C$2:$F$2,EOMONTH(Y$2,-1)+1,$C87:$F87)*VLOOKUP(Y$2,Valores!$H$2:$P$154,8,0)</f>
        <v>0</v>
      </c>
      <c r="Z87" s="27" t="n">
        <f aca="false">SUMIF($C$2:$F$2,EOMONTH(Z$2,-1)+1,$C87:$F87)*VLOOKUP(Z$2,Valores!$H$2:$P$154,8,0)</f>
        <v>30791.9368109264</v>
      </c>
      <c r="AA87" s="27" t="n">
        <f aca="false">SUMIF($C$2:$F$2,EOMONTH(AA$2,-1)+1,$C87:$F87)*VLOOKUP(AA$2,Valores!$H$2:$P$154,8,0)</f>
        <v>36950.3241731117</v>
      </c>
      <c r="AB87" s="27" t="n">
        <f aca="false">SUMIF($C$2:$F$2,EOMONTH(AB$2,-1)+1,$C87:$F87)*VLOOKUP(AB$2,Valores!$H$2:$P$154,8,0)</f>
        <v>18475.1620865559</v>
      </c>
      <c r="AC87" s="27" t="n">
        <f aca="false">SUMIF($C$2:$F$2,EOMONTH(AC$2,-1)+1,$C87:$F87)*VLOOKUP(AC$2,Valores!$H$2:$P$154,8,0)</f>
        <v>22580.7536613461</v>
      </c>
      <c r="AD87" s="27" t="n">
        <f aca="false">SUMIF($C$2:$F$2,EOMONTH(AD$2,-1)+1,$C87:$F87)*VLOOKUP(AD$2,Valores!$H$2:$P$154,8,0)</f>
        <v>22580.7536613461</v>
      </c>
      <c r="AE87" s="27" t="n">
        <f aca="false">SUMIF($C$2:$F$2,EOMONTH(AE$2,-1)+1,$C87:$F87)*VLOOKUP(AE$2,Valores!$H$2:$P$154,8,0)</f>
        <v>22580.7536613461</v>
      </c>
      <c r="AF87" s="27" t="n">
        <f aca="false">SUMIF($C$2:$F$2,EOMONTH(AF$2,-1)+1,$C87:$F87)*VLOOKUP(AF$2,Valores!$H$2:$P$154,8,0)</f>
        <v>22580.7536613461</v>
      </c>
      <c r="AG87" s="27" t="n">
        <f aca="false">SUMIF($C$2:$F$2,EOMONTH(AG$2,-1)+1,$C87:$F87)*VLOOKUP(AG$2,Valores!$H$2:$P$154,8,0)</f>
        <v>36129.2058581537</v>
      </c>
      <c r="AH87" s="27" t="n">
        <f aca="false">SUMIF($C$2:$F$2,EOMONTH(AH$2,-1)+1,$C87:$F87)*VLOOKUP(AH$2,Valores!$H$2:$P$154,8,0)</f>
        <v>45161.5073226921</v>
      </c>
      <c r="AI87" s="27" t="n">
        <f aca="false">SUMIF($C$2:$F$2,EOMONTH(AI$2,-1)+1,$C87:$F87)*VLOOKUP(AI$2,Valores!$H$2:$P$154,8,0)</f>
        <v>15806.5275629422</v>
      </c>
      <c r="AJ87" s="27" t="n">
        <f aca="false">SUMIF($C$2:$F$2,EOMONTH(AJ$2,-1)+1,$C87:$F87)*VLOOKUP(AJ$2,Valores!$H$2:$P$154,8,0)</f>
        <v>10263.9789369755</v>
      </c>
      <c r="AK87" s="27" t="n">
        <f aca="false">SUMIF($C$2:$F$2,EOMONTH(AK$2,-1)+1,$C87:$F87)*VLOOKUP(AK$2,Valores!$H$2:$P$154,8,0)</f>
        <v>18717.162113887</v>
      </c>
      <c r="AL87" s="27" t="n">
        <f aca="false">SUMIF($C$2:$F$2,EOMONTH(AL$2,-1)+1,$C87:$F87)*VLOOKUP(AL$2,Valores!$H$2:$P$154,8,0)</f>
        <v>18717.162113887</v>
      </c>
      <c r="AM87" s="27" t="n">
        <f aca="false">SUMIF($C$2:$F$2,EOMONTH(AM$2,-1)+1,$C87:$F87)*VLOOKUP(AM$2,Valores!$H$2:$P$154,8,0)</f>
        <v>18717.162113887</v>
      </c>
      <c r="AN87" s="27" t="n">
        <f aca="false">SUMIF($C$2:$F$2,EOMONTH(AN$2,-1)+1,$C87:$F87)*VLOOKUP(AN$2,Valores!$H$2:$P$154,8,0)</f>
        <v>37434.3242277739</v>
      </c>
      <c r="AO87" s="27" t="n">
        <f aca="false">SUMIF($C$2:$F$2,EOMONTH(AO$2,-1)+1,$C87:$F87)*VLOOKUP(AO$2,Valores!$H$2:$P$154,8,0)</f>
        <v>46792.9052847174</v>
      </c>
      <c r="AP87" s="27" t="n">
        <f aca="false">SUMIF($C$2:$F$2,EOMONTH(AP$2,-1)+1,$C87:$F87)*VLOOKUP(AP$2,Valores!$H$2:$P$154,8,0)</f>
        <v>28075.7431708305</v>
      </c>
      <c r="AQ87" s="27" t="n">
        <f aca="false">SUMIF($C$2:$F$2,EOMONTH(AQ$2,-1)+1,$C87:$F87)*VLOOKUP(AQ$2,Valores!$H$2:$P$154,8,0)</f>
        <v>10027.0511324394</v>
      </c>
      <c r="AR87" s="27" t="n">
        <f aca="false">SUMIF($C$2:$F$2,EOMONTH(AR$2,-1)+1,$C87:$F87)*VLOOKUP(AR$2,Valores!$H$2:$P$154,8,0)</f>
        <v>10027.0511324394</v>
      </c>
      <c r="AS87" s="27" t="n">
        <f aca="false">SUMIF($C$2:$F$2,EOMONTH(AS$2,-1)+1,$C87:$F87)*VLOOKUP(AS$2,Valores!$H$2:$P$154,8,0)</f>
        <v>10027.0511324394</v>
      </c>
      <c r="AT87" s="27" t="n">
        <f aca="false">SUMIF($C$2:$F$2,EOMONTH(AT$2,-1)+1,$C87:$F87)*VLOOKUP(AT$2,Valores!$H$2:$P$154,8,0)</f>
        <v>10027.0511324394</v>
      </c>
      <c r="AU87" s="27" t="n">
        <f aca="false">SUMIF($C$2:$F$2,EOMONTH(AU$2,-1)+1,$C87:$F87)*VLOOKUP(AU$2,Valores!$H$2:$P$154,8,0)</f>
        <v>20054.1022648789</v>
      </c>
      <c r="AV87" s="27" t="n">
        <f aca="false">SUMIF($C$2:$F$2,EOMONTH(AV$2,-1)+1,$C87:$F87)*VLOOKUP(AV$2,Valores!$H$2:$P$154,8,0)</f>
        <v>25067.6278310986</v>
      </c>
      <c r="AW87" s="27" t="n">
        <f aca="false">SUMIF($C$2:$F$2,EOMONTH(AW$2,-1)+1,$C87:$F87)*VLOOKUP(AW$2,Valores!$H$2:$P$154,8,0)</f>
        <v>15040.5766986592</v>
      </c>
      <c r="AX87" s="27" t="n">
        <f aca="false">SUMIF($C$2:$F$2,EOMONTH(AX$2,-1)+1,$C87:$F87)*VLOOKUP(AX$2,Valores!$H$2:$P$154,8,0)</f>
        <v>10027.0511324394</v>
      </c>
      <c r="AY87" s="27" t="n">
        <f aca="false">SUMIF($C$2:$F$2,EOMONTH(AY$2,-1)+1,$C87:$F87)*VLOOKUP(AY$2,Valores!$H$2:$P$154,8,0)</f>
        <v>13035.1664721713</v>
      </c>
      <c r="AZ87" s="27" t="n">
        <f aca="false">SUMIF($C$2:$F$2,EOMONTH(AZ$2,-1)+1,$C87:$F87)*VLOOKUP(AZ$2,Valores!$H$2:$P$154,8,0)</f>
        <v>13035.1664721713</v>
      </c>
      <c r="BA87" s="27" t="n">
        <f aca="false">SUMIF($C$2:$F$2,EOMONTH(BA$2,-1)+1,$C87:$F87)*VLOOKUP(BA$2,Valores!$H$2:$P$154,8,0)</f>
        <v>13035.1664721713</v>
      </c>
      <c r="BB87" s="27" t="n">
        <f aca="false">SUMIF($C$2:$F$2,EOMONTH(BB$2,-1)+1,$C87:$F87)*VLOOKUP(BB$2,Valores!$H$2:$P$154,8,0)</f>
        <v>23062.2176046107</v>
      </c>
      <c r="BC87" s="27" t="n">
        <f aca="false">SUMIF($C$2:$F$2,EOMONTH(BC$2,-1)+1,$C87:$F87)*VLOOKUP(BC$2,Valores!$H$2:$P$154,8,0)</f>
        <v>28075.7431708305</v>
      </c>
      <c r="BD87" s="27" t="n">
        <f aca="false">SUMIF($C$2:$F$2,EOMONTH(BD$2,-1)+1,$C87:$F87)*VLOOKUP(BD$2,Valores!$H$2:$P$154,8,0)</f>
        <v>15040.5766986592</v>
      </c>
      <c r="BE87" s="27" t="n">
        <f aca="false">SUMIF($C$2:$F$2,EOMONTH(BE$2,-1)+1,$C87:$F87)*VLOOKUP(BE$2,Valores!$H$2:$P$154,8,0)</f>
        <v>13369.4015099193</v>
      </c>
      <c r="BF87" s="27" t="n">
        <f aca="false">SUMIF($C$2:$F$2,EOMONTH(BF$2,-1)+1,$C87:$F87)*VLOOKUP(BF$2,Valores!$H$2:$P$154,8,0)</f>
        <v>13369.4015099193</v>
      </c>
      <c r="BG87" s="27" t="n">
        <f aca="false">SUMIF($C$2:$F$2,EOMONTH(BG$2,-1)+1,$C87:$F87)*VLOOKUP(BG$2,Valores!$H$2:$P$154,8,0)</f>
        <v>13369.4015099193</v>
      </c>
      <c r="BH87" s="27" t="n">
        <f aca="false">SUMIF($C$2:$F$2,EOMONTH(BH$2,-1)+1,$C87:$F87)*VLOOKUP(BH$2,Valores!$H$2:$P$154,8,0)</f>
        <v>13369.4015099193</v>
      </c>
      <c r="BI87" s="27" t="n">
        <f aca="false">SUMIF($C$2:$F$2,EOMONTH(BI$2,-1)+1,$C87:$F87)*VLOOKUP(BI$2,Valores!$H$2:$P$154,8,0)</f>
        <v>26738.8030198385</v>
      </c>
      <c r="BJ87" s="27" t="n">
        <f aca="false">SUMIF($C$2:$F$2,EOMONTH(BJ$2,-1)+1,$C87:$F87)*VLOOKUP(BJ$2,Valores!$H$2:$P$154,8,0)</f>
        <v>33423.5037747982</v>
      </c>
      <c r="BK87" s="27" t="n">
        <f aca="false">SUMIF($C$2:$F$2,EOMONTH(BK$2,-1)+1,$C87:$F87)*VLOOKUP(BK$2,Valores!$H$2:$P$154,8,0)</f>
        <v>16043.2818119031</v>
      </c>
      <c r="BL87" s="27" t="n">
        <f aca="false">SUMIF($C$2:$F$2,EOMONTH(BL$2,-1)+1,$C87:$F87)*VLOOKUP(BL$2,Valores!$H$2:$P$154,8,0)</f>
        <v>11765.073328729</v>
      </c>
      <c r="BM87" s="27" t="n">
        <f aca="false">SUMIF($C$2:$F$2,EOMONTH(BM$2,-1)+1,$C87:$F87)*VLOOKUP(BM$2,Valores!$H$2:$P$154,8,0)</f>
        <v>11765.073328729</v>
      </c>
      <c r="BN87" s="27" t="n">
        <f aca="false">SUMIF($C$2:$F$2,EOMONTH(BN$2,-1)+1,$C87:$F87)*VLOOKUP(BN$2,Valores!$H$2:$P$154,8,0)</f>
        <v>11765.073328729</v>
      </c>
      <c r="BO87" s="27" t="n">
        <f aca="false">SUMIF($C$2:$F$2,EOMONTH(BO$2,-1)+1,$C87:$F87)*VLOOKUP(BO$2,Valores!$H$2:$P$154,8,0)</f>
        <v>12353.3269951654</v>
      </c>
      <c r="BP87" s="27" t="n">
        <f aca="false">SUMIF($C$2:$F$2,EOMONTH(BP$2,-1)+1,$C87:$F87)*VLOOKUP(BP$2,Valores!$H$2:$P$154,8,0)</f>
        <v>31087.7234589605</v>
      </c>
      <c r="BQ87" s="27" t="n">
        <f aca="false">SUMIF($C$2:$F$2,EOMONTH(BQ$2,-1)+1,$C87:$F87)*VLOOKUP(BQ$2,Valores!$H$2:$P$154,8,0)</f>
        <v>38859.6543237007</v>
      </c>
      <c r="BR87" s="27" t="n">
        <f aca="false">SUMIF($C$2:$F$2,EOMONTH(BR$2,-1)+1,$C87:$F87)*VLOOKUP(BR$2,Valores!$H$2:$P$154,8,0)</f>
        <v>18652.6340753763</v>
      </c>
      <c r="BS87" s="27" t="n">
        <f aca="false">SUMIF($C$2:$F$2,EOMONTH(BS$2,-1)+1,$C87:$F87)*VLOOKUP(BS$2,Valores!$H$2:$P$154,8,0)</f>
        <v>8327.06878365015</v>
      </c>
      <c r="BT87" s="27" t="n">
        <f aca="false">SUMIF($C$2:$F$2,EOMONTH(BT$2,-1)+1,$C87:$F87)*VLOOKUP(BT$2,Valores!$H$2:$P$154,8,0)</f>
        <v>8327.06878365015</v>
      </c>
      <c r="BU87" s="27" t="n">
        <f aca="false">SUMIF($C$2:$F$2,EOMONTH(BU$2,-1)+1,$C87:$F87)*VLOOKUP(BU$2,Valores!$H$2:$P$154,8,0)</f>
        <v>8327.06878365015</v>
      </c>
      <c r="BV87" s="27" t="n">
        <f aca="false">SUMIF($C$2:$F$2,EOMONTH(BV$2,-1)+1,$C87:$F87)*VLOOKUP(BV$2,Valores!$H$2:$P$154,8,0)</f>
        <v>8327.06878365015</v>
      </c>
      <c r="BW87" s="27" t="n">
        <f aca="false">SUMIF($C$2:$F$2,EOMONTH(BW$2,-1)+1,$C87:$F87)*VLOOKUP(BW$2,Valores!$H$2:$P$154,8,0)</f>
        <v>16654.1375673003</v>
      </c>
      <c r="BX87" s="27" t="n">
        <f aca="false">SUMIF($C$2:$F$2,EOMONTH(BX$2,-1)+1,$C87:$F87)*VLOOKUP(BX$2,Valores!$H$2:$P$154,8,0)</f>
        <v>20817.6719591254</v>
      </c>
      <c r="BY87" s="27" t="n">
        <f aca="false">SUMIF($C$2:$F$2,EOMONTH(BY$2,-1)+1,$C87:$F87)*VLOOKUP(BY$2,Valores!$H$2:$P$154,8,0)</f>
        <v>12490.6031754752</v>
      </c>
      <c r="BZ87" s="27" t="n">
        <f aca="false">SUMIF($C$2:$F$2,EOMONTH(BZ$2,-1)+1,$C87:$F87)*VLOOKUP(BZ$2,Valores!$H$2:$P$154,8,0)</f>
        <v>8327.06878365015</v>
      </c>
      <c r="CA87" s="27" t="n">
        <f aca="false">SUMIF($C$2:$F$2,EOMONTH(CA$2,-1)+1,$C87:$F87)*VLOOKUP(CA$2,Valores!$H$2:$P$154,8,0)</f>
        <v>8327.06878365015</v>
      </c>
      <c r="CB87" s="27" t="n">
        <f aca="false">SUMIF($C$2:$F$2,EOMONTH(CB$2,-1)+1,$C87:$F87)*VLOOKUP(CB$2,Valores!$H$2:$P$154,8,0)</f>
        <v>8327.06878365015</v>
      </c>
      <c r="CC87" s="27" t="n">
        <f aca="false">SUMIF($C$2:$F$2,EOMONTH(CC$2,-1)+1,$C87:$F87)*VLOOKUP(CC$2,Valores!$H$2:$P$154,8,0)</f>
        <v>8327.06878365015</v>
      </c>
      <c r="CD87" s="27" t="n">
        <f aca="false">SUMIF($C$2:$F$2,EOMONTH(CD$2,-1)+1,$C87:$F87)*VLOOKUP(CD$2,Valores!$H$2:$P$154,8,0)</f>
        <v>24981.2063509504</v>
      </c>
      <c r="CE87" s="27" t="n">
        <f aca="false">SUMIF($C$2:$F$2,EOMONTH(CE$2,-1)+1,$C87:$F87)*VLOOKUP(CE$2,Valores!$H$2:$P$154,8,0)</f>
        <v>33308.2751346006</v>
      </c>
      <c r="CF87" s="27" t="n">
        <f aca="false">SUMIF($C$2:$F$2,EOMONTH(CF$2,-1)+1,$C87:$F87)*VLOOKUP(CF$2,Valores!$H$2:$P$154,8,0)</f>
        <v>20817.6719591254</v>
      </c>
      <c r="CG87" s="27" t="n">
        <f aca="false">SUMIF($C$2:$F$2,EOMONTH(CG$2,-1)+1,$C87:$F87)*VLOOKUP(CG$2,Valores!$H$2:$P$154,8,0)</f>
        <v>11102.7583782002</v>
      </c>
      <c r="CH87" s="27" t="n">
        <f aca="false">SUMIF($C$2:$F$2,EOMONTH(CH$2,-1)+1,$C87:$F87)*VLOOKUP(CH$2,Valores!$H$2:$P$154,8,0)</f>
        <v>11102.7583782002</v>
      </c>
      <c r="CI87" s="27" t="n">
        <f aca="false">SUMIF($C$2:$F$2,EOMONTH(CI$2,-1)+1,$C87:$F87)*VLOOKUP(CI$2,Valores!$H$2:$P$154,8,0)</f>
        <v>11102.7583782002</v>
      </c>
      <c r="CJ87" s="27" t="n">
        <f aca="false">SUMIF($C$2:$F$2,EOMONTH(CJ$2,-1)+1,$C87:$F87)*VLOOKUP(CJ$2,Valores!$H$2:$P$154,8,0)</f>
        <v>11102.7583782002</v>
      </c>
      <c r="CK87" s="27" t="n">
        <f aca="false">SUMIF($C$2:$F$2,EOMONTH(CK$2,-1)+1,$C87:$F87)*VLOOKUP(CK$2,Valores!$H$2:$P$154,8,0)</f>
        <v>22205.5167564004</v>
      </c>
      <c r="CL87" s="27" t="n">
        <f aca="false">SUMIF($C$2:$F$2,EOMONTH(CL$2,-1)+1,$C87:$F87)*VLOOKUP(CL$2,Valores!$H$2:$P$154,8,0)</f>
        <v>27756.8959455005</v>
      </c>
      <c r="CM87" s="27" t="n">
        <f aca="false">SUMIF($C$2:$F$2,EOMONTH(CM$2,-1)+1,$C87:$F87)*VLOOKUP(CM$2,Valores!$H$2:$P$154,8,0)</f>
        <v>16654.1375673003</v>
      </c>
      <c r="CN87" s="27" t="n">
        <f aca="false">SUMIF($C$2:$F$2,EOMONTH(CN$2,-1)+1,$C87:$F87)*VLOOKUP(CN$2,Valores!$H$2:$P$154,8,0)</f>
        <v>12213.0342160202</v>
      </c>
      <c r="CO87" s="27" t="n">
        <f aca="false">SUMIF($C$2:$F$2,EOMONTH(CO$2,-1)+1,$C87:$F87)*VLOOKUP(CO$2,Valores!$H$2:$P$154,8,0)</f>
        <v>12213.0342160202</v>
      </c>
      <c r="CP87" s="27" t="n">
        <f aca="false">SUMIF($C$2:$F$2,EOMONTH(CP$2,-1)+1,$C87:$F87)*VLOOKUP(CP$2,Valores!$H$2:$P$154,8,0)</f>
        <v>12213.0342160202</v>
      </c>
      <c r="CQ87" s="27" t="n">
        <f aca="false">SUMIF($C$2:$F$2,EOMONTH(CQ$2,-1)+1,$C87:$F87)*VLOOKUP(CQ$2,Valores!$H$2:$P$154,8,0)</f>
        <v>12213.0342160202</v>
      </c>
      <c r="CR87" s="27" t="n">
        <f aca="false">SUMIF($C$2:$F$2,EOMONTH(CR$2,-1)+1,$C87:$F87)*VLOOKUP(CR$2,Valores!$H$2:$P$154,8,0)</f>
        <v>24426.0684320404</v>
      </c>
      <c r="CS87" s="27" t="n">
        <f aca="false">SUMIF($C$2:$F$2,EOMONTH(CS$2,-1)+1,$C87:$F87)*VLOOKUP(CS$2,Valores!$H$2:$P$154,8,0)</f>
        <v>36639.1026480606</v>
      </c>
      <c r="CT87" s="27" t="e">
        <f aca="false">SUMIF($C$2:$F$2,EOMONTH(CT$2,-1)+1,$C87:$F87)*VLOOKUP(CT$2,Valores!$H$2:$P$154,8,0)</f>
        <v>#VALUE!</v>
      </c>
      <c r="CU87" s="27" t="e">
        <f aca="false">SUMIF($C$2:$F$2,EOMONTH(CU$2,-1)+1,$C87:$F87)*VLOOKUP(CU$2,Valores!$H$2:$P$154,8,0)</f>
        <v>#VALUE!</v>
      </c>
      <c r="CV87" s="27" t="e">
        <f aca="false">SUMIF($C$2:$F$2,EOMONTH(CV$2,-1)+1,$C87:$F87)*VLOOKUP(CV$2,Valores!$H$2:$P$154,8,0)</f>
        <v>#VALUE!</v>
      </c>
      <c r="CW87" s="27" t="e">
        <f aca="false">SUMIF($C$2:$F$2,EOMONTH(CW$2,-1)+1,$C87:$F87)*VLOOKUP(CW$2,Valores!$H$2:$P$154,8,0)</f>
        <v>#VALUE!</v>
      </c>
      <c r="CX87" s="27" t="e">
        <f aca="false">SUMIF($C$2:$F$2,EOMONTH(CX$2,-1)+1,$C87:$F87)*VLOOKUP(CX$2,Valores!$H$2:$P$154,8,0)</f>
        <v>#VALUE!</v>
      </c>
      <c r="CY87" s="27" t="e">
        <f aca="false">SUMIF($C$2:$F$2,EOMONTH(CY$2,-1)+1,$C87:$F87)*VLOOKUP(CY$2,Valores!$H$2:$P$154,8,0)</f>
        <v>#VALUE!</v>
      </c>
      <c r="CZ87" s="27" t="e">
        <f aca="false">SUMIF($C$2:$F$2,EOMONTH(CZ$2,-1)+1,$C87:$F87)*VLOOKUP(CZ$2,Valores!$H$2:$P$154,8,0)</f>
        <v>#VALUE!</v>
      </c>
      <c r="DA87" s="27" t="e">
        <f aca="false">SUMIF($C$2:$F$2,EOMONTH(DA$2,-1)+1,$C87:$F87)*VLOOKUP(DA$2,Valores!$H$2:$P$154,8,0)</f>
        <v>#VALUE!</v>
      </c>
      <c r="DB87" s="27" t="e">
        <f aca="false">SUMIF($C$2:$F$2,EOMONTH(DB$2,-1)+1,$C87:$F87)*VLOOKUP(DB$2,Valores!$H$2:$P$154,8,0)</f>
        <v>#VALUE!</v>
      </c>
      <c r="DC87" s="27" t="e">
        <f aca="false">SUMIF($C$2:$F$2,EOMONTH(DC$2,-1)+1,$C87:$F87)*VLOOKUP(DC$2,Valores!$H$2:$P$154,8,0)</f>
        <v>#VALUE!</v>
      </c>
      <c r="DD87" s="27" t="e">
        <f aca="false">SUMIF($C$2:$F$2,EOMONTH(DD$2,-1)+1,$C87:$F87)*VLOOKUP(DD$2,Valores!$H$2:$P$154,8,0)</f>
        <v>#VALUE!</v>
      </c>
      <c r="DE87" s="27" t="e">
        <f aca="false">SUMIF($C$2:$F$2,EOMONTH(DE$2,-1)+1,$C87:$F87)*VLOOKUP(DE$2,Valores!$H$2:$P$154,8,0)</f>
        <v>#VALUE!</v>
      </c>
      <c r="DF87" s="27" t="e">
        <f aca="false">SUMIF($C$2:$F$2,EOMONTH(DF$2,-1)+1,$C87:$F87)*VLOOKUP(DF$2,Valores!$H$2:$P$154,8,0)</f>
        <v>#VALUE!</v>
      </c>
      <c r="DG87" s="27" t="e">
        <f aca="false">SUMIF($C$2:$F$2,EOMONTH(DG$2,-1)+1,$C87:$F87)*VLOOKUP(DG$2,Valores!$H$2:$P$154,8,0)</f>
        <v>#VALUE!</v>
      </c>
      <c r="DH87" s="27" t="e">
        <f aca="false">SUMIF($C$2:$F$2,EOMONTH(DH$2,-1)+1,$C87:$F87)*VLOOKUP(DH$2,Valores!$H$2:$P$154,8,0)</f>
        <v>#VALUE!</v>
      </c>
      <c r="DI87" s="27" t="e">
        <f aca="false">SUMIF($C$2:$F$2,EOMONTH(DI$2,-1)+1,$C87:$F87)*VLOOKUP(DI$2,Valores!$H$2:$P$154,8,0)</f>
        <v>#VALUE!</v>
      </c>
      <c r="DJ87" s="27" t="e">
        <f aca="false">SUMIF($C$2:$F$2,EOMONTH(DJ$2,-1)+1,$C87:$F87)*VLOOKUP(DJ$2,Valores!$H$2:$P$154,8,0)</f>
        <v>#VALUE!</v>
      </c>
      <c r="DK87" s="27" t="e">
        <f aca="false">SUMIF($C$2:$F$2,EOMONTH(DK$2,-1)+1,$C87:$F87)*VLOOKUP(DK$2,Valores!$H$2:$P$154,8,0)</f>
        <v>#VALUE!</v>
      </c>
      <c r="DL87" s="27" t="e">
        <f aca="false">SUMIF($C$2:$F$2,EOMONTH(DL$2,-1)+1,$C87:$F87)*VLOOKUP(DL$2,Valores!$H$2:$P$154,8,0)</f>
        <v>#VALUE!</v>
      </c>
      <c r="DM87" s="27" t="e">
        <f aca="false">SUMIF($C$2:$F$2,EOMONTH(DM$2,-1)+1,$C87:$F87)*VLOOKUP(DM$2,Valores!$H$2:$P$154,8,0)</f>
        <v>#VALUE!</v>
      </c>
      <c r="DN87" s="27" t="e">
        <f aca="false">SUMIF($C$2:$F$2,EOMONTH(DN$2,-1)+1,$C87:$F87)*VLOOKUP(DN$2,Valores!$H$2:$P$154,8,0)</f>
        <v>#VALUE!</v>
      </c>
      <c r="DO87" s="27" t="e">
        <f aca="false">SUMIF($C$2:$F$2,EOMONTH(DO$2,-1)+1,$C87:$F87)*VLOOKUP(DO$2,Valores!$H$2:$P$154,8,0)</f>
        <v>#VALUE!</v>
      </c>
      <c r="DP87" s="27" t="e">
        <f aca="false">SUMIF($C$2:$F$2,EOMONTH(DP$2,-1)+1,$C87:$F87)*VLOOKUP(DP$2,Valores!$H$2:$P$154,8,0)</f>
        <v>#VALUE!</v>
      </c>
      <c r="DQ87" s="27" t="e">
        <f aca="false">SUMIF($C$2:$F$2,EOMONTH(DQ$2,-1)+1,$C87:$F87)*VLOOKUP(DQ$2,Valores!$H$2:$P$154,8,0)</f>
        <v>#VALUE!</v>
      </c>
      <c r="DR87" s="27" t="e">
        <f aca="false">SUMIF($C$2:$F$2,EOMONTH(DR$2,-1)+1,$C87:$F87)*VLOOKUP(DR$2,Valores!$H$2:$P$154,8,0)</f>
        <v>#VALUE!</v>
      </c>
      <c r="DS87" s="27" t="e">
        <f aca="false">SUMIF($C$2:$F$2,EOMONTH(DS$2,-1)+1,$C87:$F87)*VLOOKUP(DS$2,Valores!$H$2:$P$154,8,0)</f>
        <v>#VALUE!</v>
      </c>
      <c r="DT87" s="27" t="e">
        <f aca="false">SUMIF($C$2:$F$2,EOMONTH(DT$2,-1)+1,$C87:$F87)*VLOOKUP(DT$2,Valores!$H$2:$P$154,8,0)</f>
        <v>#VALUE!</v>
      </c>
      <c r="DU87" s="27" t="e">
        <f aca="false">SUMIF($C$2:$F$2,EOMONTH(DU$2,-1)+1,$C87:$F87)*VLOOKUP(DU$2,Valores!$H$2:$P$154,8,0)</f>
        <v>#VALUE!</v>
      </c>
      <c r="DV87" s="27" t="e">
        <f aca="false">SUMIF($C$2:$F$2,EOMONTH(DV$2,-1)+1,$C87:$F87)*VLOOKUP(DV$2,Valores!$H$2:$P$154,8,0)</f>
        <v>#VALUE!</v>
      </c>
      <c r="DW87" s="27" t="e">
        <f aca="false">SUMIF($C$2:$F$2,EOMONTH(DW$2,-1)+1,$C87:$F87)*VLOOKUP(DW$2,Valores!$H$2:$P$154,8,0)</f>
        <v>#VALUE!</v>
      </c>
      <c r="DX87" s="27" t="e">
        <f aca="false">SUMIF($C$2:$F$2,EOMONTH(DX$2,-1)+1,$C87:$F87)*VLOOKUP(DX$2,Valores!$H$2:$P$154,8,0)</f>
        <v>#VALUE!</v>
      </c>
    </row>
    <row r="88" customFormat="false" ht="13.8" hidden="false" customHeight="false" outlineLevel="0" collapsed="false">
      <c r="A88" s="33" t="s">
        <v>91</v>
      </c>
      <c r="B88" s="29" t="s">
        <v>111</v>
      </c>
      <c r="C88" s="29" t="n">
        <v>587810</v>
      </c>
      <c r="D88" s="29" t="n">
        <v>529029</v>
      </c>
      <c r="E88" s="29" t="n">
        <v>476126.1</v>
      </c>
      <c r="F88" s="29" t="n">
        <v>428513.49</v>
      </c>
      <c r="G88" s="30" t="n">
        <f aca="false">SUMIF($C$2:$F$2,EOMONTH(G$2,-1)+1,$C88:$F88)*VLOOKUP(G$2,Valores!$H$2:$P$154,8,0)</f>
        <v>16927.2256047392</v>
      </c>
      <c r="H88" s="30" t="n">
        <f aca="false">SUMIF($C$2:$F$2,EOMONTH(H$2,-1)+1,$C88:$F88)*VLOOKUP(H$2,Valores!$H$2:$P$154,8,0)</f>
        <v>11607.2404146783</v>
      </c>
      <c r="I88" s="30" t="n">
        <f aca="false">SUMIF($C$2:$F$2,EOMONTH(I$2,-1)+1,$C88:$F88)*VLOOKUP(I$2,Valores!$H$2:$P$154,8,0)</f>
        <v>11607.2404146783</v>
      </c>
      <c r="J88" s="30" t="n">
        <f aca="false">SUMIF($C$2:$F$2,EOMONTH(J$2,-1)+1,$C88:$F88)*VLOOKUP(J$2,Valores!$H$2:$P$154,8,0)</f>
        <v>11607.2404146783</v>
      </c>
      <c r="K88" s="30" t="n">
        <f aca="false">SUMIF($C$2:$F$2,EOMONTH(K$2,-1)+1,$C88:$F88)*VLOOKUP(K$2,Valores!$H$2:$P$154,8,0)</f>
        <v>11607.2404146783</v>
      </c>
      <c r="L88" s="30" t="n">
        <f aca="false">SUMIF($C$2:$F$2,EOMONTH(L$2,-1)+1,$C88:$F88)*VLOOKUP(L$2,Valores!$H$2:$P$154,8,0)</f>
        <v>23214.4808293566</v>
      </c>
      <c r="M88" s="30" t="n">
        <f aca="false">SUMIF($C$2:$F$2,EOMONTH(M$2,-1)+1,$C88:$F88)*VLOOKUP(M$2,Valores!$H$2:$P$154,8,0)</f>
        <v>29018.1010366957</v>
      </c>
      <c r="N88" s="30" t="n">
        <f aca="false">SUMIF($C$2:$F$2,EOMONTH(N$2,-1)+1,$C88:$F88)*VLOOKUP(N$2,Valores!$H$2:$P$154,8,0)</f>
        <v>17410.8606220174</v>
      </c>
      <c r="O88" s="30" t="n">
        <f aca="false">SUMIF($C$2:$F$2,EOMONTH(O$2,-1)+1,$C88:$F88)*VLOOKUP(O$2,Valores!$H$2:$P$154,8,0)</f>
        <v>15476.3205529044</v>
      </c>
      <c r="P88" s="30" t="n">
        <f aca="false">SUMIF($C$2:$F$2,EOMONTH(P$2,-1)+1,$C88:$F88)*VLOOKUP(P$2,Valores!$H$2:$P$154,8,0)</f>
        <v>15476.3205529044</v>
      </c>
      <c r="Q88" s="30" t="n">
        <f aca="false">SUMIF($C$2:$F$2,EOMONTH(Q$2,-1)+1,$C88:$F88)*VLOOKUP(Q$2,Valores!$H$2:$P$154,8,0)</f>
        <v>9285.79233174263</v>
      </c>
      <c r="R88" s="30" t="n">
        <f aca="false">SUMIF($C$2:$F$2,EOMONTH(R$2,-1)+1,$C88:$F88)*VLOOKUP(R$2,Valores!$H$2:$P$154,8,0)</f>
        <v>15476.3205529044</v>
      </c>
      <c r="S88" s="30" t="n">
        <f aca="false">SUMIF($C$2:$F$2,EOMONTH(S$2,-1)+1,$C88:$F88)*VLOOKUP(S$2,Valores!$H$2:$P$154,8,0)</f>
        <v>30952.6411058088</v>
      </c>
      <c r="T88" s="30" t="n">
        <f aca="false">SUMIF($C$2:$F$2,EOMONTH(T$2,-1)+1,$C88:$F88)*VLOOKUP(T$2,Valores!$H$2:$P$154,8,0)</f>
        <v>38690.801382261</v>
      </c>
      <c r="U88" s="30" t="n">
        <f aca="false">SUMIF($C$2:$F$2,EOMONTH(U$2,-1)+1,$C88:$F88)*VLOOKUP(U$2,Valores!$H$2:$P$154,8,0)</f>
        <v>23214.4808293566</v>
      </c>
      <c r="V88" s="30" t="n">
        <f aca="false">SUMIF($C$2:$F$2,EOMONTH(V$2,-1)+1,$C88:$F88)*VLOOKUP(V$2,Valores!$H$2:$P$154,8,0)</f>
        <v>19345.4006911305</v>
      </c>
      <c r="W88" s="30" t="n">
        <f aca="false">SUMIF($C$2:$F$2,EOMONTH(W$2,-1)+1,$C88:$F88)*VLOOKUP(W$2,Valores!$H$2:$P$154,8,0)</f>
        <v>19345.4006911305</v>
      </c>
      <c r="X88" s="30" t="n">
        <f aca="false">SUMIF($C$2:$F$2,EOMONTH(X$2,-1)+1,$C88:$F88)*VLOOKUP(X$2,Valores!$H$2:$P$154,8,0)</f>
        <v>0</v>
      </c>
      <c r="Y88" s="30" t="n">
        <f aca="false">SUMIF($C$2:$F$2,EOMONTH(Y$2,-1)+1,$C88:$F88)*VLOOKUP(Y$2,Valores!$H$2:$P$154,8,0)</f>
        <v>0</v>
      </c>
      <c r="Z88" s="30" t="n">
        <f aca="false">SUMIF($C$2:$F$2,EOMONTH(Z$2,-1)+1,$C88:$F88)*VLOOKUP(Z$2,Valores!$H$2:$P$154,8,0)</f>
        <v>29018.1010366957</v>
      </c>
      <c r="AA88" s="30" t="n">
        <f aca="false">SUMIF($C$2:$F$2,EOMONTH(AA$2,-1)+1,$C88:$F88)*VLOOKUP(AA$2,Valores!$H$2:$P$154,8,0)</f>
        <v>34821.7212440349</v>
      </c>
      <c r="AB88" s="30" t="n">
        <f aca="false">SUMIF($C$2:$F$2,EOMONTH(AB$2,-1)+1,$C88:$F88)*VLOOKUP(AB$2,Valores!$H$2:$P$154,8,0)</f>
        <v>17410.8606220174</v>
      </c>
      <c r="AC88" s="30" t="n">
        <f aca="false">SUMIF($C$2:$F$2,EOMONTH(AC$2,-1)+1,$C88:$F88)*VLOOKUP(AC$2,Valores!$H$2:$P$154,8,0)</f>
        <v>21279.9407602435</v>
      </c>
      <c r="AD88" s="30" t="n">
        <f aca="false">SUMIF($C$2:$F$2,EOMONTH(AD$2,-1)+1,$C88:$F88)*VLOOKUP(AD$2,Valores!$H$2:$P$154,8,0)</f>
        <v>21279.9407602435</v>
      </c>
      <c r="AE88" s="30" t="n">
        <f aca="false">SUMIF($C$2:$F$2,EOMONTH(AE$2,-1)+1,$C88:$F88)*VLOOKUP(AE$2,Valores!$H$2:$P$154,8,0)</f>
        <v>21279.9407602435</v>
      </c>
      <c r="AF88" s="30" t="n">
        <f aca="false">SUMIF($C$2:$F$2,EOMONTH(AF$2,-1)+1,$C88:$F88)*VLOOKUP(AF$2,Valores!$H$2:$P$154,8,0)</f>
        <v>21279.9407602435</v>
      </c>
      <c r="AG88" s="30" t="n">
        <f aca="false">SUMIF($C$2:$F$2,EOMONTH(AG$2,-1)+1,$C88:$F88)*VLOOKUP(AG$2,Valores!$H$2:$P$154,8,0)</f>
        <v>34047.9052163897</v>
      </c>
      <c r="AH88" s="30" t="n">
        <f aca="false">SUMIF($C$2:$F$2,EOMONTH(AH$2,-1)+1,$C88:$F88)*VLOOKUP(AH$2,Valores!$H$2:$P$154,8,0)</f>
        <v>42559.8815204871</v>
      </c>
      <c r="AI88" s="30" t="n">
        <f aca="false">SUMIF($C$2:$F$2,EOMONTH(AI$2,-1)+1,$C88:$F88)*VLOOKUP(AI$2,Valores!$H$2:$P$154,8,0)</f>
        <v>14895.9585321705</v>
      </c>
      <c r="AJ88" s="30" t="n">
        <f aca="false">SUMIF($C$2:$F$2,EOMONTH(AJ$2,-1)+1,$C88:$F88)*VLOOKUP(AJ$2,Valores!$H$2:$P$154,8,0)</f>
        <v>9672.70034556525</v>
      </c>
      <c r="AK88" s="30" t="n">
        <f aca="false">SUMIF($C$2:$F$2,EOMONTH(AK$2,-1)+1,$C88:$F88)*VLOOKUP(AK$2,Valores!$H$2:$P$154,8,0)</f>
        <v>17638.9197170688</v>
      </c>
      <c r="AL88" s="30" t="n">
        <f aca="false">SUMIF($C$2:$F$2,EOMONTH(AL$2,-1)+1,$C88:$F88)*VLOOKUP(AL$2,Valores!$H$2:$P$154,8,0)</f>
        <v>17638.9197170688</v>
      </c>
      <c r="AM88" s="30" t="n">
        <f aca="false">SUMIF($C$2:$F$2,EOMONTH(AM$2,-1)+1,$C88:$F88)*VLOOKUP(AM$2,Valores!$H$2:$P$154,8,0)</f>
        <v>17638.9197170688</v>
      </c>
      <c r="AN88" s="30" t="n">
        <f aca="false">SUMIF($C$2:$F$2,EOMONTH(AN$2,-1)+1,$C88:$F88)*VLOOKUP(AN$2,Valores!$H$2:$P$154,8,0)</f>
        <v>35277.8394341375</v>
      </c>
      <c r="AO88" s="30" t="n">
        <f aca="false">SUMIF($C$2:$F$2,EOMONTH(AO$2,-1)+1,$C88:$F88)*VLOOKUP(AO$2,Valores!$H$2:$P$154,8,0)</f>
        <v>44097.2992926719</v>
      </c>
      <c r="AP88" s="30" t="n">
        <f aca="false">SUMIF($C$2:$F$2,EOMONTH(AP$2,-1)+1,$C88:$F88)*VLOOKUP(AP$2,Valores!$H$2:$P$154,8,0)</f>
        <v>26458.3795756031</v>
      </c>
      <c r="AQ88" s="30" t="n">
        <f aca="false">SUMIF($C$2:$F$2,EOMONTH(AQ$2,-1)+1,$C88:$F88)*VLOOKUP(AQ$2,Valores!$H$2:$P$154,8,0)</f>
        <v>9449.42127700112</v>
      </c>
      <c r="AR88" s="30" t="n">
        <f aca="false">SUMIF($C$2:$F$2,EOMONTH(AR$2,-1)+1,$C88:$F88)*VLOOKUP(AR$2,Valores!$H$2:$P$154,8,0)</f>
        <v>9449.42127700112</v>
      </c>
      <c r="AS88" s="30" t="n">
        <f aca="false">SUMIF($C$2:$F$2,EOMONTH(AS$2,-1)+1,$C88:$F88)*VLOOKUP(AS$2,Valores!$H$2:$P$154,8,0)</f>
        <v>9449.42127700112</v>
      </c>
      <c r="AT88" s="30" t="n">
        <f aca="false">SUMIF($C$2:$F$2,EOMONTH(AT$2,-1)+1,$C88:$F88)*VLOOKUP(AT$2,Valores!$H$2:$P$154,8,0)</f>
        <v>9449.42127700112</v>
      </c>
      <c r="AU88" s="30" t="n">
        <f aca="false">SUMIF($C$2:$F$2,EOMONTH(AU$2,-1)+1,$C88:$F88)*VLOOKUP(AU$2,Valores!$H$2:$P$154,8,0)</f>
        <v>18898.8425540022</v>
      </c>
      <c r="AV88" s="30" t="n">
        <f aca="false">SUMIF($C$2:$F$2,EOMONTH(AV$2,-1)+1,$C88:$F88)*VLOOKUP(AV$2,Valores!$H$2:$P$154,8,0)</f>
        <v>23623.5531925028</v>
      </c>
      <c r="AW88" s="30" t="n">
        <f aca="false">SUMIF($C$2:$F$2,EOMONTH(AW$2,-1)+1,$C88:$F88)*VLOOKUP(AW$2,Valores!$H$2:$P$154,8,0)</f>
        <v>14174.1319155017</v>
      </c>
      <c r="AX88" s="30" t="n">
        <f aca="false">SUMIF($C$2:$F$2,EOMONTH(AX$2,-1)+1,$C88:$F88)*VLOOKUP(AX$2,Valores!$H$2:$P$154,8,0)</f>
        <v>9449.42127700112</v>
      </c>
      <c r="AY88" s="30" t="n">
        <f aca="false">SUMIF($C$2:$F$2,EOMONTH(AY$2,-1)+1,$C88:$F88)*VLOOKUP(AY$2,Valores!$H$2:$P$154,8,0)</f>
        <v>12284.2476601015</v>
      </c>
      <c r="AZ88" s="30" t="n">
        <f aca="false">SUMIF($C$2:$F$2,EOMONTH(AZ$2,-1)+1,$C88:$F88)*VLOOKUP(AZ$2,Valores!$H$2:$P$154,8,0)</f>
        <v>12284.2476601015</v>
      </c>
      <c r="BA88" s="30" t="n">
        <f aca="false">SUMIF($C$2:$F$2,EOMONTH(BA$2,-1)+1,$C88:$F88)*VLOOKUP(BA$2,Valores!$H$2:$P$154,8,0)</f>
        <v>12284.2476601015</v>
      </c>
      <c r="BB88" s="30" t="n">
        <f aca="false">SUMIF($C$2:$F$2,EOMONTH(BB$2,-1)+1,$C88:$F88)*VLOOKUP(BB$2,Valores!$H$2:$P$154,8,0)</f>
        <v>21733.6689371026</v>
      </c>
      <c r="BC88" s="30" t="n">
        <f aca="false">SUMIF($C$2:$F$2,EOMONTH(BC$2,-1)+1,$C88:$F88)*VLOOKUP(BC$2,Valores!$H$2:$P$154,8,0)</f>
        <v>26458.3795756031</v>
      </c>
      <c r="BD88" s="30" t="n">
        <f aca="false">SUMIF($C$2:$F$2,EOMONTH(BD$2,-1)+1,$C88:$F88)*VLOOKUP(BD$2,Valores!$H$2:$P$154,8,0)</f>
        <v>14174.1319155017</v>
      </c>
      <c r="BE88" s="30" t="n">
        <f aca="false">SUMIF($C$2:$F$2,EOMONTH(BE$2,-1)+1,$C88:$F88)*VLOOKUP(BE$2,Valores!$H$2:$P$154,8,0)</f>
        <v>12599.2283693348</v>
      </c>
      <c r="BF88" s="30" t="n">
        <f aca="false">SUMIF($C$2:$F$2,EOMONTH(BF$2,-1)+1,$C88:$F88)*VLOOKUP(BF$2,Valores!$H$2:$P$154,8,0)</f>
        <v>12599.2283693348</v>
      </c>
      <c r="BG88" s="30" t="n">
        <f aca="false">SUMIF($C$2:$F$2,EOMONTH(BG$2,-1)+1,$C88:$F88)*VLOOKUP(BG$2,Valores!$H$2:$P$154,8,0)</f>
        <v>12599.2283693348</v>
      </c>
      <c r="BH88" s="30" t="n">
        <f aca="false">SUMIF($C$2:$F$2,EOMONTH(BH$2,-1)+1,$C88:$F88)*VLOOKUP(BH$2,Valores!$H$2:$P$154,8,0)</f>
        <v>12599.2283693348</v>
      </c>
      <c r="BI88" s="30" t="n">
        <f aca="false">SUMIF($C$2:$F$2,EOMONTH(BI$2,-1)+1,$C88:$F88)*VLOOKUP(BI$2,Valores!$H$2:$P$154,8,0)</f>
        <v>25198.4567386696</v>
      </c>
      <c r="BJ88" s="30" t="n">
        <f aca="false">SUMIF($C$2:$F$2,EOMONTH(BJ$2,-1)+1,$C88:$F88)*VLOOKUP(BJ$2,Valores!$H$2:$P$154,8,0)</f>
        <v>31498.0709233371</v>
      </c>
      <c r="BK88" s="30" t="n">
        <f aca="false">SUMIF($C$2:$F$2,EOMONTH(BK$2,-1)+1,$C88:$F88)*VLOOKUP(BK$2,Valores!$H$2:$P$154,8,0)</f>
        <v>15119.0740432018</v>
      </c>
      <c r="BL88" s="30" t="n">
        <f aca="false">SUMIF($C$2:$F$2,EOMONTH(BL$2,-1)+1,$C88:$F88)*VLOOKUP(BL$2,Valores!$H$2:$P$154,8,0)</f>
        <v>11087.3209650146</v>
      </c>
      <c r="BM88" s="30" t="n">
        <f aca="false">SUMIF($C$2:$F$2,EOMONTH(BM$2,-1)+1,$C88:$F88)*VLOOKUP(BM$2,Valores!$H$2:$P$154,8,0)</f>
        <v>11087.3209650146</v>
      </c>
      <c r="BN88" s="30" t="n">
        <f aca="false">SUMIF($C$2:$F$2,EOMONTH(BN$2,-1)+1,$C88:$F88)*VLOOKUP(BN$2,Valores!$H$2:$P$154,8,0)</f>
        <v>11087.3209650146</v>
      </c>
      <c r="BO88" s="30" t="n">
        <f aca="false">SUMIF($C$2:$F$2,EOMONTH(BO$2,-1)+1,$C88:$F88)*VLOOKUP(BO$2,Valores!$H$2:$P$154,8,0)</f>
        <v>11641.6870132654</v>
      </c>
      <c r="BP88" s="30" t="n">
        <f aca="false">SUMIF($C$2:$F$2,EOMONTH(BP$2,-1)+1,$C88:$F88)*VLOOKUP(BP$2,Valores!$H$2:$P$154,8,0)</f>
        <v>29296.8482584331</v>
      </c>
      <c r="BQ88" s="30" t="n">
        <f aca="false">SUMIF($C$2:$F$2,EOMONTH(BQ$2,-1)+1,$C88:$F88)*VLOOKUP(BQ$2,Valores!$H$2:$P$154,8,0)</f>
        <v>36621.0603230414</v>
      </c>
      <c r="BR88" s="30" t="n">
        <f aca="false">SUMIF($C$2:$F$2,EOMONTH(BR$2,-1)+1,$C88:$F88)*VLOOKUP(BR$2,Valores!$H$2:$P$154,8,0)</f>
        <v>17578.1089550599</v>
      </c>
      <c r="BS88" s="30" t="n">
        <f aca="false">SUMIF($C$2:$F$2,EOMONTH(BS$2,-1)+1,$C88:$F88)*VLOOKUP(BS$2,Valores!$H$2:$P$154,8,0)</f>
        <v>7847.37006922316</v>
      </c>
      <c r="BT88" s="30" t="n">
        <f aca="false">SUMIF($C$2:$F$2,EOMONTH(BT$2,-1)+1,$C88:$F88)*VLOOKUP(BT$2,Valores!$H$2:$P$154,8,0)</f>
        <v>7847.37006922316</v>
      </c>
      <c r="BU88" s="30" t="n">
        <f aca="false">SUMIF($C$2:$F$2,EOMONTH(BU$2,-1)+1,$C88:$F88)*VLOOKUP(BU$2,Valores!$H$2:$P$154,8,0)</f>
        <v>7847.37006922316</v>
      </c>
      <c r="BV88" s="30" t="n">
        <f aca="false">SUMIF($C$2:$F$2,EOMONTH(BV$2,-1)+1,$C88:$F88)*VLOOKUP(BV$2,Valores!$H$2:$P$154,8,0)</f>
        <v>7847.37006922316</v>
      </c>
      <c r="BW88" s="30" t="n">
        <f aca="false">SUMIF($C$2:$F$2,EOMONTH(BW$2,-1)+1,$C88:$F88)*VLOOKUP(BW$2,Valores!$H$2:$P$154,8,0)</f>
        <v>15694.7401384463</v>
      </c>
      <c r="BX88" s="30" t="n">
        <f aca="false">SUMIF($C$2:$F$2,EOMONTH(BX$2,-1)+1,$C88:$F88)*VLOOKUP(BX$2,Valores!$H$2:$P$154,8,0)</f>
        <v>19618.4251730579</v>
      </c>
      <c r="BY88" s="30" t="n">
        <f aca="false">SUMIF($C$2:$F$2,EOMONTH(BY$2,-1)+1,$C88:$F88)*VLOOKUP(BY$2,Valores!$H$2:$P$154,8,0)</f>
        <v>11771.0551038347</v>
      </c>
      <c r="BZ88" s="30" t="n">
        <f aca="false">SUMIF($C$2:$F$2,EOMONTH(BZ$2,-1)+1,$C88:$F88)*VLOOKUP(BZ$2,Valores!$H$2:$P$154,8,0)</f>
        <v>7847.37006922316</v>
      </c>
      <c r="CA88" s="30" t="n">
        <f aca="false">SUMIF($C$2:$F$2,EOMONTH(CA$2,-1)+1,$C88:$F88)*VLOOKUP(CA$2,Valores!$H$2:$P$154,8,0)</f>
        <v>7847.37006922316</v>
      </c>
      <c r="CB88" s="30" t="n">
        <f aca="false">SUMIF($C$2:$F$2,EOMONTH(CB$2,-1)+1,$C88:$F88)*VLOOKUP(CB$2,Valores!$H$2:$P$154,8,0)</f>
        <v>7847.37006922316</v>
      </c>
      <c r="CC88" s="30" t="n">
        <f aca="false">SUMIF($C$2:$F$2,EOMONTH(CC$2,-1)+1,$C88:$F88)*VLOOKUP(CC$2,Valores!$H$2:$P$154,8,0)</f>
        <v>7847.37006922316</v>
      </c>
      <c r="CD88" s="30" t="n">
        <f aca="false">SUMIF($C$2:$F$2,EOMONTH(CD$2,-1)+1,$C88:$F88)*VLOOKUP(CD$2,Valores!$H$2:$P$154,8,0)</f>
        <v>23542.1102076695</v>
      </c>
      <c r="CE88" s="30" t="n">
        <f aca="false">SUMIF($C$2:$F$2,EOMONTH(CE$2,-1)+1,$C88:$F88)*VLOOKUP(CE$2,Valores!$H$2:$P$154,8,0)</f>
        <v>31389.4802768926</v>
      </c>
      <c r="CF88" s="30" t="n">
        <f aca="false">SUMIF($C$2:$F$2,EOMONTH(CF$2,-1)+1,$C88:$F88)*VLOOKUP(CF$2,Valores!$H$2:$P$154,8,0)</f>
        <v>19618.4251730579</v>
      </c>
      <c r="CG88" s="30" t="n">
        <f aca="false">SUMIF($C$2:$F$2,EOMONTH(CG$2,-1)+1,$C88:$F88)*VLOOKUP(CG$2,Valores!$H$2:$P$154,8,0)</f>
        <v>10463.1600922975</v>
      </c>
      <c r="CH88" s="30" t="n">
        <f aca="false">SUMIF($C$2:$F$2,EOMONTH(CH$2,-1)+1,$C88:$F88)*VLOOKUP(CH$2,Valores!$H$2:$P$154,8,0)</f>
        <v>10463.1600922975</v>
      </c>
      <c r="CI88" s="30" t="n">
        <f aca="false">SUMIF($C$2:$F$2,EOMONTH(CI$2,-1)+1,$C88:$F88)*VLOOKUP(CI$2,Valores!$H$2:$P$154,8,0)</f>
        <v>10463.1600922975</v>
      </c>
      <c r="CJ88" s="30" t="n">
        <f aca="false">SUMIF($C$2:$F$2,EOMONTH(CJ$2,-1)+1,$C88:$F88)*VLOOKUP(CJ$2,Valores!$H$2:$P$154,8,0)</f>
        <v>10463.1600922975</v>
      </c>
      <c r="CK88" s="30" t="n">
        <f aca="false">SUMIF($C$2:$F$2,EOMONTH(CK$2,-1)+1,$C88:$F88)*VLOOKUP(CK$2,Valores!$H$2:$P$154,8,0)</f>
        <v>20926.3201845951</v>
      </c>
      <c r="CL88" s="30" t="n">
        <f aca="false">SUMIF($C$2:$F$2,EOMONTH(CL$2,-1)+1,$C88:$F88)*VLOOKUP(CL$2,Valores!$H$2:$P$154,8,0)</f>
        <v>26157.9002307439</v>
      </c>
      <c r="CM88" s="30" t="n">
        <f aca="false">SUMIF($C$2:$F$2,EOMONTH(CM$2,-1)+1,$C88:$F88)*VLOOKUP(CM$2,Valores!$H$2:$P$154,8,0)</f>
        <v>15694.7401384463</v>
      </c>
      <c r="CN88" s="30" t="n">
        <f aca="false">SUMIF($C$2:$F$2,EOMONTH(CN$2,-1)+1,$C88:$F88)*VLOOKUP(CN$2,Valores!$H$2:$P$154,8,0)</f>
        <v>11509.4761015273</v>
      </c>
      <c r="CO88" s="30" t="n">
        <f aca="false">SUMIF($C$2:$F$2,EOMONTH(CO$2,-1)+1,$C88:$F88)*VLOOKUP(CO$2,Valores!$H$2:$P$154,8,0)</f>
        <v>11509.4761015273</v>
      </c>
      <c r="CP88" s="30" t="n">
        <f aca="false">SUMIF($C$2:$F$2,EOMONTH(CP$2,-1)+1,$C88:$F88)*VLOOKUP(CP$2,Valores!$H$2:$P$154,8,0)</f>
        <v>11509.4761015273</v>
      </c>
      <c r="CQ88" s="30" t="n">
        <f aca="false">SUMIF($C$2:$F$2,EOMONTH(CQ$2,-1)+1,$C88:$F88)*VLOOKUP(CQ$2,Valores!$H$2:$P$154,8,0)</f>
        <v>11509.4761015273</v>
      </c>
      <c r="CR88" s="30" t="n">
        <f aca="false">SUMIF($C$2:$F$2,EOMONTH(CR$2,-1)+1,$C88:$F88)*VLOOKUP(CR$2,Valores!$H$2:$P$154,8,0)</f>
        <v>23018.9522030546</v>
      </c>
      <c r="CS88" s="30" t="n">
        <f aca="false">SUMIF($C$2:$F$2,EOMONTH(CS$2,-1)+1,$C88:$F88)*VLOOKUP(CS$2,Valores!$H$2:$P$154,8,0)</f>
        <v>34528.4283045819</v>
      </c>
      <c r="CT88" s="30" t="e">
        <f aca="false">SUMIF($C$2:$F$2,EOMONTH(CT$2,-1)+1,$C88:$F88)*VLOOKUP(CT$2,Valores!$H$2:$P$154,8,0)</f>
        <v>#VALUE!</v>
      </c>
      <c r="CU88" s="30" t="e">
        <f aca="false">SUMIF($C$2:$F$2,EOMONTH(CU$2,-1)+1,$C88:$F88)*VLOOKUP(CU$2,Valores!$H$2:$P$154,8,0)</f>
        <v>#VALUE!</v>
      </c>
      <c r="CV88" s="30" t="e">
        <f aca="false">SUMIF($C$2:$F$2,EOMONTH(CV$2,-1)+1,$C88:$F88)*VLOOKUP(CV$2,Valores!$H$2:$P$154,8,0)</f>
        <v>#VALUE!</v>
      </c>
      <c r="CW88" s="30" t="e">
        <f aca="false">SUMIF($C$2:$F$2,EOMONTH(CW$2,-1)+1,$C88:$F88)*VLOOKUP(CW$2,Valores!$H$2:$P$154,8,0)</f>
        <v>#VALUE!</v>
      </c>
      <c r="CX88" s="30" t="e">
        <f aca="false">SUMIF($C$2:$F$2,EOMONTH(CX$2,-1)+1,$C88:$F88)*VLOOKUP(CX$2,Valores!$H$2:$P$154,8,0)</f>
        <v>#VALUE!</v>
      </c>
      <c r="CY88" s="30" t="e">
        <f aca="false">SUMIF($C$2:$F$2,EOMONTH(CY$2,-1)+1,$C88:$F88)*VLOOKUP(CY$2,Valores!$H$2:$P$154,8,0)</f>
        <v>#VALUE!</v>
      </c>
      <c r="CZ88" s="30" t="e">
        <f aca="false">SUMIF($C$2:$F$2,EOMONTH(CZ$2,-1)+1,$C88:$F88)*VLOOKUP(CZ$2,Valores!$H$2:$P$154,8,0)</f>
        <v>#VALUE!</v>
      </c>
      <c r="DA88" s="30" t="e">
        <f aca="false">SUMIF($C$2:$F$2,EOMONTH(DA$2,-1)+1,$C88:$F88)*VLOOKUP(DA$2,Valores!$H$2:$P$154,8,0)</f>
        <v>#VALUE!</v>
      </c>
      <c r="DB88" s="30" t="e">
        <f aca="false">SUMIF($C$2:$F$2,EOMONTH(DB$2,-1)+1,$C88:$F88)*VLOOKUP(DB$2,Valores!$H$2:$P$154,8,0)</f>
        <v>#VALUE!</v>
      </c>
      <c r="DC88" s="30" t="e">
        <f aca="false">SUMIF($C$2:$F$2,EOMONTH(DC$2,-1)+1,$C88:$F88)*VLOOKUP(DC$2,Valores!$H$2:$P$154,8,0)</f>
        <v>#VALUE!</v>
      </c>
      <c r="DD88" s="30" t="e">
        <f aca="false">SUMIF($C$2:$F$2,EOMONTH(DD$2,-1)+1,$C88:$F88)*VLOOKUP(DD$2,Valores!$H$2:$P$154,8,0)</f>
        <v>#VALUE!</v>
      </c>
      <c r="DE88" s="30" t="e">
        <f aca="false">SUMIF($C$2:$F$2,EOMONTH(DE$2,-1)+1,$C88:$F88)*VLOOKUP(DE$2,Valores!$H$2:$P$154,8,0)</f>
        <v>#VALUE!</v>
      </c>
      <c r="DF88" s="30" t="e">
        <f aca="false">SUMIF($C$2:$F$2,EOMONTH(DF$2,-1)+1,$C88:$F88)*VLOOKUP(DF$2,Valores!$H$2:$P$154,8,0)</f>
        <v>#VALUE!</v>
      </c>
      <c r="DG88" s="30" t="e">
        <f aca="false">SUMIF($C$2:$F$2,EOMONTH(DG$2,-1)+1,$C88:$F88)*VLOOKUP(DG$2,Valores!$H$2:$P$154,8,0)</f>
        <v>#VALUE!</v>
      </c>
      <c r="DH88" s="30" t="e">
        <f aca="false">SUMIF($C$2:$F$2,EOMONTH(DH$2,-1)+1,$C88:$F88)*VLOOKUP(DH$2,Valores!$H$2:$P$154,8,0)</f>
        <v>#VALUE!</v>
      </c>
      <c r="DI88" s="30" t="e">
        <f aca="false">SUMIF($C$2:$F$2,EOMONTH(DI$2,-1)+1,$C88:$F88)*VLOOKUP(DI$2,Valores!$H$2:$P$154,8,0)</f>
        <v>#VALUE!</v>
      </c>
      <c r="DJ88" s="30" t="e">
        <f aca="false">SUMIF($C$2:$F$2,EOMONTH(DJ$2,-1)+1,$C88:$F88)*VLOOKUP(DJ$2,Valores!$H$2:$P$154,8,0)</f>
        <v>#VALUE!</v>
      </c>
      <c r="DK88" s="30" t="e">
        <f aca="false">SUMIF($C$2:$F$2,EOMONTH(DK$2,-1)+1,$C88:$F88)*VLOOKUP(DK$2,Valores!$H$2:$P$154,8,0)</f>
        <v>#VALUE!</v>
      </c>
      <c r="DL88" s="30" t="e">
        <f aca="false">SUMIF($C$2:$F$2,EOMONTH(DL$2,-1)+1,$C88:$F88)*VLOOKUP(DL$2,Valores!$H$2:$P$154,8,0)</f>
        <v>#VALUE!</v>
      </c>
      <c r="DM88" s="30" t="e">
        <f aca="false">SUMIF($C$2:$F$2,EOMONTH(DM$2,-1)+1,$C88:$F88)*VLOOKUP(DM$2,Valores!$H$2:$P$154,8,0)</f>
        <v>#VALUE!</v>
      </c>
      <c r="DN88" s="30" t="e">
        <f aca="false">SUMIF($C$2:$F$2,EOMONTH(DN$2,-1)+1,$C88:$F88)*VLOOKUP(DN$2,Valores!$H$2:$P$154,8,0)</f>
        <v>#VALUE!</v>
      </c>
      <c r="DO88" s="30" t="e">
        <f aca="false">SUMIF($C$2:$F$2,EOMONTH(DO$2,-1)+1,$C88:$F88)*VLOOKUP(DO$2,Valores!$H$2:$P$154,8,0)</f>
        <v>#VALUE!</v>
      </c>
      <c r="DP88" s="30" t="e">
        <f aca="false">SUMIF($C$2:$F$2,EOMONTH(DP$2,-1)+1,$C88:$F88)*VLOOKUP(DP$2,Valores!$H$2:$P$154,8,0)</f>
        <v>#VALUE!</v>
      </c>
      <c r="DQ88" s="30" t="e">
        <f aca="false">SUMIF($C$2:$F$2,EOMONTH(DQ$2,-1)+1,$C88:$F88)*VLOOKUP(DQ$2,Valores!$H$2:$P$154,8,0)</f>
        <v>#VALUE!</v>
      </c>
      <c r="DR88" s="30" t="e">
        <f aca="false">SUMIF($C$2:$F$2,EOMONTH(DR$2,-1)+1,$C88:$F88)*VLOOKUP(DR$2,Valores!$H$2:$P$154,8,0)</f>
        <v>#VALUE!</v>
      </c>
      <c r="DS88" s="30" t="e">
        <f aca="false">SUMIF($C$2:$F$2,EOMONTH(DS$2,-1)+1,$C88:$F88)*VLOOKUP(DS$2,Valores!$H$2:$P$154,8,0)</f>
        <v>#VALUE!</v>
      </c>
      <c r="DT88" s="30" t="e">
        <f aca="false">SUMIF($C$2:$F$2,EOMONTH(DT$2,-1)+1,$C88:$F88)*VLOOKUP(DT$2,Valores!$H$2:$P$154,8,0)</f>
        <v>#VALUE!</v>
      </c>
      <c r="DU88" s="30" t="e">
        <f aca="false">SUMIF($C$2:$F$2,EOMONTH(DU$2,-1)+1,$C88:$F88)*VLOOKUP(DU$2,Valores!$H$2:$P$154,8,0)</f>
        <v>#VALUE!</v>
      </c>
      <c r="DV88" s="30" t="e">
        <f aca="false">SUMIF($C$2:$F$2,EOMONTH(DV$2,-1)+1,$C88:$F88)*VLOOKUP(DV$2,Valores!$H$2:$P$154,8,0)</f>
        <v>#VALUE!</v>
      </c>
      <c r="DW88" s="30" t="e">
        <f aca="false">SUMIF($C$2:$F$2,EOMONTH(DW$2,-1)+1,$C88:$F88)*VLOOKUP(DW$2,Valores!$H$2:$P$154,8,0)</f>
        <v>#VALUE!</v>
      </c>
      <c r="DX88" s="30" t="e">
        <f aca="false">SUMIF($C$2:$F$2,EOMONTH(DX$2,-1)+1,$C88:$F88)*VLOOKUP(DX$2,Valores!$H$2:$P$154,8,0)</f>
        <v>#VALUE!</v>
      </c>
    </row>
    <row r="89" customFormat="false" ht="13.8" hidden="false" customHeight="false" outlineLevel="0" collapsed="false">
      <c r="A89" s="32" t="s">
        <v>91</v>
      </c>
      <c r="B89" s="31" t="s">
        <v>112</v>
      </c>
      <c r="C89" s="31" t="n">
        <v>494025</v>
      </c>
      <c r="D89" s="31" t="n">
        <v>444622.5</v>
      </c>
      <c r="E89" s="31" t="n">
        <v>400160.25</v>
      </c>
      <c r="F89" s="31" t="n">
        <v>360144.225</v>
      </c>
      <c r="G89" s="27" t="n">
        <f aca="false">SUMIF($C$2:$F$2,EOMONTH(G$2,-1)+1,$C89:$F89)*VLOOKUP(G$2,Valores!$H$2:$P$154,8,0)</f>
        <v>14226.4892216554</v>
      </c>
      <c r="H89" s="27" t="n">
        <f aca="false">SUMIF($C$2:$F$2,EOMONTH(H$2,-1)+1,$C89:$F89)*VLOOKUP(H$2,Valores!$H$2:$P$154,8,0)</f>
        <v>9755.30689484943</v>
      </c>
      <c r="I89" s="27" t="n">
        <f aca="false">SUMIF($C$2:$F$2,EOMONTH(I$2,-1)+1,$C89:$F89)*VLOOKUP(I$2,Valores!$H$2:$P$154,8,0)</f>
        <v>9755.30689484943</v>
      </c>
      <c r="J89" s="27" t="n">
        <f aca="false">SUMIF($C$2:$F$2,EOMONTH(J$2,-1)+1,$C89:$F89)*VLOOKUP(J$2,Valores!$H$2:$P$154,8,0)</f>
        <v>9755.30689484943</v>
      </c>
      <c r="K89" s="27" t="n">
        <f aca="false">SUMIF($C$2:$F$2,EOMONTH(K$2,-1)+1,$C89:$F89)*VLOOKUP(K$2,Valores!$H$2:$P$154,8,0)</f>
        <v>9755.30689484943</v>
      </c>
      <c r="L89" s="27" t="n">
        <f aca="false">SUMIF($C$2:$F$2,EOMONTH(L$2,-1)+1,$C89:$F89)*VLOOKUP(L$2,Valores!$H$2:$P$154,8,0)</f>
        <v>19510.6137896989</v>
      </c>
      <c r="M89" s="27" t="n">
        <f aca="false">SUMIF($C$2:$F$2,EOMONTH(M$2,-1)+1,$C89:$F89)*VLOOKUP(M$2,Valores!$H$2:$P$154,8,0)</f>
        <v>24388.2672371236</v>
      </c>
      <c r="N89" s="27" t="n">
        <f aca="false">SUMIF($C$2:$F$2,EOMONTH(N$2,-1)+1,$C89:$F89)*VLOOKUP(N$2,Valores!$H$2:$P$154,8,0)</f>
        <v>14632.9603422741</v>
      </c>
      <c r="O89" s="27" t="n">
        <f aca="false">SUMIF($C$2:$F$2,EOMONTH(O$2,-1)+1,$C89:$F89)*VLOOKUP(O$2,Valores!$H$2:$P$154,8,0)</f>
        <v>13007.0758597992</v>
      </c>
      <c r="P89" s="27" t="n">
        <f aca="false">SUMIF($C$2:$F$2,EOMONTH(P$2,-1)+1,$C89:$F89)*VLOOKUP(P$2,Valores!$H$2:$P$154,8,0)</f>
        <v>13007.0758597992</v>
      </c>
      <c r="Q89" s="27" t="n">
        <f aca="false">SUMIF($C$2:$F$2,EOMONTH(Q$2,-1)+1,$C89:$F89)*VLOOKUP(Q$2,Valores!$H$2:$P$154,8,0)</f>
        <v>7804.24551587954</v>
      </c>
      <c r="R89" s="27" t="n">
        <f aca="false">SUMIF($C$2:$F$2,EOMONTH(R$2,-1)+1,$C89:$F89)*VLOOKUP(R$2,Valores!$H$2:$P$154,8,0)</f>
        <v>13007.0758597992</v>
      </c>
      <c r="S89" s="27" t="n">
        <f aca="false">SUMIF($C$2:$F$2,EOMONTH(S$2,-1)+1,$C89:$F89)*VLOOKUP(S$2,Valores!$H$2:$P$154,8,0)</f>
        <v>26014.1517195985</v>
      </c>
      <c r="T89" s="27" t="n">
        <f aca="false">SUMIF($C$2:$F$2,EOMONTH(T$2,-1)+1,$C89:$F89)*VLOOKUP(T$2,Valores!$H$2:$P$154,8,0)</f>
        <v>32517.6896494981</v>
      </c>
      <c r="U89" s="27" t="n">
        <f aca="false">SUMIF($C$2:$F$2,EOMONTH(U$2,-1)+1,$C89:$F89)*VLOOKUP(U$2,Valores!$H$2:$P$154,8,0)</f>
        <v>19510.6137896989</v>
      </c>
      <c r="V89" s="27" t="n">
        <f aca="false">SUMIF($C$2:$F$2,EOMONTH(V$2,-1)+1,$C89:$F89)*VLOOKUP(V$2,Valores!$H$2:$P$154,8,0)</f>
        <v>16258.8448247491</v>
      </c>
      <c r="W89" s="27" t="n">
        <f aca="false">SUMIF($C$2:$F$2,EOMONTH(W$2,-1)+1,$C89:$F89)*VLOOKUP(W$2,Valores!$H$2:$P$154,8,0)</f>
        <v>16258.8448247491</v>
      </c>
      <c r="X89" s="27" t="n">
        <f aca="false">SUMIF($C$2:$F$2,EOMONTH(X$2,-1)+1,$C89:$F89)*VLOOKUP(X$2,Valores!$H$2:$P$154,8,0)</f>
        <v>0</v>
      </c>
      <c r="Y89" s="27" t="n">
        <f aca="false">SUMIF($C$2:$F$2,EOMONTH(Y$2,-1)+1,$C89:$F89)*VLOOKUP(Y$2,Valores!$H$2:$P$154,8,0)</f>
        <v>0</v>
      </c>
      <c r="Z89" s="27" t="n">
        <f aca="false">SUMIF($C$2:$F$2,EOMONTH(Z$2,-1)+1,$C89:$F89)*VLOOKUP(Z$2,Valores!$H$2:$P$154,8,0)</f>
        <v>24388.2672371236</v>
      </c>
      <c r="AA89" s="27" t="n">
        <f aca="false">SUMIF($C$2:$F$2,EOMONTH(AA$2,-1)+1,$C89:$F89)*VLOOKUP(AA$2,Valores!$H$2:$P$154,8,0)</f>
        <v>29265.9206845483</v>
      </c>
      <c r="AB89" s="27" t="n">
        <f aca="false">SUMIF($C$2:$F$2,EOMONTH(AB$2,-1)+1,$C89:$F89)*VLOOKUP(AB$2,Valores!$H$2:$P$154,8,0)</f>
        <v>14632.9603422741</v>
      </c>
      <c r="AC89" s="27" t="n">
        <f aca="false">SUMIF($C$2:$F$2,EOMONTH(AC$2,-1)+1,$C89:$F89)*VLOOKUP(AC$2,Valores!$H$2:$P$154,8,0)</f>
        <v>17884.729307224</v>
      </c>
      <c r="AD89" s="27" t="n">
        <f aca="false">SUMIF($C$2:$F$2,EOMONTH(AD$2,-1)+1,$C89:$F89)*VLOOKUP(AD$2,Valores!$H$2:$P$154,8,0)</f>
        <v>17884.729307224</v>
      </c>
      <c r="AE89" s="27" t="n">
        <f aca="false">SUMIF($C$2:$F$2,EOMONTH(AE$2,-1)+1,$C89:$F89)*VLOOKUP(AE$2,Valores!$H$2:$P$154,8,0)</f>
        <v>17884.729307224</v>
      </c>
      <c r="AF89" s="27" t="n">
        <f aca="false">SUMIF($C$2:$F$2,EOMONTH(AF$2,-1)+1,$C89:$F89)*VLOOKUP(AF$2,Valores!$H$2:$P$154,8,0)</f>
        <v>17884.729307224</v>
      </c>
      <c r="AG89" s="27" t="n">
        <f aca="false">SUMIF($C$2:$F$2,EOMONTH(AG$2,-1)+1,$C89:$F89)*VLOOKUP(AG$2,Valores!$H$2:$P$154,8,0)</f>
        <v>28615.5668915583</v>
      </c>
      <c r="AH89" s="27" t="n">
        <f aca="false">SUMIF($C$2:$F$2,EOMONTH(AH$2,-1)+1,$C89:$F89)*VLOOKUP(AH$2,Valores!$H$2:$P$154,8,0)</f>
        <v>35769.4586144479</v>
      </c>
      <c r="AI89" s="27" t="n">
        <f aca="false">SUMIF($C$2:$F$2,EOMONTH(AI$2,-1)+1,$C89:$F89)*VLOOKUP(AI$2,Valores!$H$2:$P$154,8,0)</f>
        <v>12519.3105150568</v>
      </c>
      <c r="AJ89" s="27" t="n">
        <f aca="false">SUMIF($C$2:$F$2,EOMONTH(AJ$2,-1)+1,$C89:$F89)*VLOOKUP(AJ$2,Valores!$H$2:$P$154,8,0)</f>
        <v>8129.42241237453</v>
      </c>
      <c r="AK89" s="27" t="n">
        <f aca="false">SUMIF($C$2:$F$2,EOMONTH(AK$2,-1)+1,$C89:$F89)*VLOOKUP(AK$2,Valores!$H$2:$P$154,8,0)</f>
        <v>14824.6326418824</v>
      </c>
      <c r="AL89" s="27" t="n">
        <f aca="false">SUMIF($C$2:$F$2,EOMONTH(AL$2,-1)+1,$C89:$F89)*VLOOKUP(AL$2,Valores!$H$2:$P$154,8,0)</f>
        <v>14824.6326418824</v>
      </c>
      <c r="AM89" s="27" t="n">
        <f aca="false">SUMIF($C$2:$F$2,EOMONTH(AM$2,-1)+1,$C89:$F89)*VLOOKUP(AM$2,Valores!$H$2:$P$154,8,0)</f>
        <v>14824.6326418824</v>
      </c>
      <c r="AN89" s="27" t="n">
        <f aca="false">SUMIF($C$2:$F$2,EOMONTH(AN$2,-1)+1,$C89:$F89)*VLOOKUP(AN$2,Valores!$H$2:$P$154,8,0)</f>
        <v>29649.2652837648</v>
      </c>
      <c r="AO89" s="27" t="n">
        <f aca="false">SUMIF($C$2:$F$2,EOMONTH(AO$2,-1)+1,$C89:$F89)*VLOOKUP(AO$2,Valores!$H$2:$P$154,8,0)</f>
        <v>37061.581604706</v>
      </c>
      <c r="AP89" s="27" t="n">
        <f aca="false">SUMIF($C$2:$F$2,EOMONTH(AP$2,-1)+1,$C89:$F89)*VLOOKUP(AP$2,Valores!$H$2:$P$154,8,0)</f>
        <v>22236.9489628236</v>
      </c>
      <c r="AQ89" s="27" t="n">
        <f aca="false">SUMIF($C$2:$F$2,EOMONTH(AQ$2,-1)+1,$C89:$F89)*VLOOKUP(AQ$2,Valores!$H$2:$P$154,8,0)</f>
        <v>7941.76748672271</v>
      </c>
      <c r="AR89" s="27" t="n">
        <f aca="false">SUMIF($C$2:$F$2,EOMONTH(AR$2,-1)+1,$C89:$F89)*VLOOKUP(AR$2,Valores!$H$2:$P$154,8,0)</f>
        <v>7941.76748672271</v>
      </c>
      <c r="AS89" s="27" t="n">
        <f aca="false">SUMIF($C$2:$F$2,EOMONTH(AS$2,-1)+1,$C89:$F89)*VLOOKUP(AS$2,Valores!$H$2:$P$154,8,0)</f>
        <v>7941.76748672271</v>
      </c>
      <c r="AT89" s="27" t="n">
        <f aca="false">SUMIF($C$2:$F$2,EOMONTH(AT$2,-1)+1,$C89:$F89)*VLOOKUP(AT$2,Valores!$H$2:$P$154,8,0)</f>
        <v>7941.76748672271</v>
      </c>
      <c r="AU89" s="27" t="n">
        <f aca="false">SUMIF($C$2:$F$2,EOMONTH(AU$2,-1)+1,$C89:$F89)*VLOOKUP(AU$2,Valores!$H$2:$P$154,8,0)</f>
        <v>15883.5349734454</v>
      </c>
      <c r="AV89" s="27" t="n">
        <f aca="false">SUMIF($C$2:$F$2,EOMONTH(AV$2,-1)+1,$C89:$F89)*VLOOKUP(AV$2,Valores!$H$2:$P$154,8,0)</f>
        <v>19854.4187168068</v>
      </c>
      <c r="AW89" s="27" t="n">
        <f aca="false">SUMIF($C$2:$F$2,EOMONTH(AW$2,-1)+1,$C89:$F89)*VLOOKUP(AW$2,Valores!$H$2:$P$154,8,0)</f>
        <v>11912.6512300841</v>
      </c>
      <c r="AX89" s="27" t="n">
        <f aca="false">SUMIF($C$2:$F$2,EOMONTH(AX$2,-1)+1,$C89:$F89)*VLOOKUP(AX$2,Valores!$H$2:$P$154,8,0)</f>
        <v>7941.76748672271</v>
      </c>
      <c r="AY89" s="27" t="n">
        <f aca="false">SUMIF($C$2:$F$2,EOMONTH(AY$2,-1)+1,$C89:$F89)*VLOOKUP(AY$2,Valores!$H$2:$P$154,8,0)</f>
        <v>10324.2977327395</v>
      </c>
      <c r="AZ89" s="27" t="n">
        <f aca="false">SUMIF($C$2:$F$2,EOMONTH(AZ$2,-1)+1,$C89:$F89)*VLOOKUP(AZ$2,Valores!$H$2:$P$154,8,0)</f>
        <v>10324.2977327395</v>
      </c>
      <c r="BA89" s="27" t="n">
        <f aca="false">SUMIF($C$2:$F$2,EOMONTH(BA$2,-1)+1,$C89:$F89)*VLOOKUP(BA$2,Valores!$H$2:$P$154,8,0)</f>
        <v>10324.2977327395</v>
      </c>
      <c r="BB89" s="27" t="n">
        <f aca="false">SUMIF($C$2:$F$2,EOMONTH(BB$2,-1)+1,$C89:$F89)*VLOOKUP(BB$2,Valores!$H$2:$P$154,8,0)</f>
        <v>18266.0652194622</v>
      </c>
      <c r="BC89" s="27" t="n">
        <f aca="false">SUMIF($C$2:$F$2,EOMONTH(BC$2,-1)+1,$C89:$F89)*VLOOKUP(BC$2,Valores!$H$2:$P$154,8,0)</f>
        <v>22236.9489628236</v>
      </c>
      <c r="BD89" s="27" t="n">
        <f aca="false">SUMIF($C$2:$F$2,EOMONTH(BD$2,-1)+1,$C89:$F89)*VLOOKUP(BD$2,Valores!$H$2:$P$154,8,0)</f>
        <v>11912.6512300841</v>
      </c>
      <c r="BE89" s="27" t="n">
        <f aca="false">SUMIF($C$2:$F$2,EOMONTH(BE$2,-1)+1,$C89:$F89)*VLOOKUP(BE$2,Valores!$H$2:$P$154,8,0)</f>
        <v>10589.0233156303</v>
      </c>
      <c r="BF89" s="27" t="n">
        <f aca="false">SUMIF($C$2:$F$2,EOMONTH(BF$2,-1)+1,$C89:$F89)*VLOOKUP(BF$2,Valores!$H$2:$P$154,8,0)</f>
        <v>10589.0233156303</v>
      </c>
      <c r="BG89" s="27" t="n">
        <f aca="false">SUMIF($C$2:$F$2,EOMONTH(BG$2,-1)+1,$C89:$F89)*VLOOKUP(BG$2,Valores!$H$2:$P$154,8,0)</f>
        <v>10589.0233156303</v>
      </c>
      <c r="BH89" s="27" t="n">
        <f aca="false">SUMIF($C$2:$F$2,EOMONTH(BH$2,-1)+1,$C89:$F89)*VLOOKUP(BH$2,Valores!$H$2:$P$154,8,0)</f>
        <v>10589.0233156303</v>
      </c>
      <c r="BI89" s="27" t="n">
        <f aca="false">SUMIF($C$2:$F$2,EOMONTH(BI$2,-1)+1,$C89:$F89)*VLOOKUP(BI$2,Valores!$H$2:$P$154,8,0)</f>
        <v>21178.0466312606</v>
      </c>
      <c r="BJ89" s="27" t="n">
        <f aca="false">SUMIF($C$2:$F$2,EOMONTH(BJ$2,-1)+1,$C89:$F89)*VLOOKUP(BJ$2,Valores!$H$2:$P$154,8,0)</f>
        <v>26472.5582890757</v>
      </c>
      <c r="BK89" s="27" t="n">
        <f aca="false">SUMIF($C$2:$F$2,EOMONTH(BK$2,-1)+1,$C89:$F89)*VLOOKUP(BK$2,Valores!$H$2:$P$154,8,0)</f>
        <v>12706.8279787563</v>
      </c>
      <c r="BL89" s="27" t="n">
        <f aca="false">SUMIF($C$2:$F$2,EOMONTH(BL$2,-1)+1,$C89:$F89)*VLOOKUP(BL$2,Valores!$H$2:$P$154,8,0)</f>
        <v>9318.34051775465</v>
      </c>
      <c r="BM89" s="27" t="n">
        <f aca="false">SUMIF($C$2:$F$2,EOMONTH(BM$2,-1)+1,$C89:$F89)*VLOOKUP(BM$2,Valores!$H$2:$P$154,8,0)</f>
        <v>9318.34051775465</v>
      </c>
      <c r="BN89" s="27" t="n">
        <f aca="false">SUMIF($C$2:$F$2,EOMONTH(BN$2,-1)+1,$C89:$F89)*VLOOKUP(BN$2,Valores!$H$2:$P$154,8,0)</f>
        <v>9318.34051775465</v>
      </c>
      <c r="BO89" s="27" t="n">
        <f aca="false">SUMIF($C$2:$F$2,EOMONTH(BO$2,-1)+1,$C89:$F89)*VLOOKUP(BO$2,Valores!$H$2:$P$154,8,0)</f>
        <v>9784.25754364238</v>
      </c>
      <c r="BP89" s="27" t="n">
        <f aca="false">SUMIF($C$2:$F$2,EOMONTH(BP$2,-1)+1,$C89:$F89)*VLOOKUP(BP$2,Valores!$H$2:$P$154,8,0)</f>
        <v>24622.540380178</v>
      </c>
      <c r="BQ89" s="27" t="n">
        <f aca="false">SUMIF($C$2:$F$2,EOMONTH(BQ$2,-1)+1,$C89:$F89)*VLOOKUP(BQ$2,Valores!$H$2:$P$154,8,0)</f>
        <v>30778.1754752225</v>
      </c>
      <c r="BR89" s="27" t="n">
        <f aca="false">SUMIF($C$2:$F$2,EOMONTH(BR$2,-1)+1,$C89:$F89)*VLOOKUP(BR$2,Valores!$H$2:$P$154,8,0)</f>
        <v>14773.5242281068</v>
      </c>
      <c r="BS89" s="27" t="n">
        <f aca="false">SUMIF($C$2:$F$2,EOMONTH(BS$2,-1)+1,$C89:$F89)*VLOOKUP(BS$2,Valores!$H$2:$P$154,8,0)</f>
        <v>6595.32331611911</v>
      </c>
      <c r="BT89" s="27" t="n">
        <f aca="false">SUMIF($C$2:$F$2,EOMONTH(BT$2,-1)+1,$C89:$F89)*VLOOKUP(BT$2,Valores!$H$2:$P$154,8,0)</f>
        <v>6595.32331611911</v>
      </c>
      <c r="BU89" s="27" t="n">
        <f aca="false">SUMIF($C$2:$F$2,EOMONTH(BU$2,-1)+1,$C89:$F89)*VLOOKUP(BU$2,Valores!$H$2:$P$154,8,0)</f>
        <v>6595.32331611911</v>
      </c>
      <c r="BV89" s="27" t="n">
        <f aca="false">SUMIF($C$2:$F$2,EOMONTH(BV$2,-1)+1,$C89:$F89)*VLOOKUP(BV$2,Valores!$H$2:$P$154,8,0)</f>
        <v>6595.32331611911</v>
      </c>
      <c r="BW89" s="27" t="n">
        <f aca="false">SUMIF($C$2:$F$2,EOMONTH(BW$2,-1)+1,$C89:$F89)*VLOOKUP(BW$2,Valores!$H$2:$P$154,8,0)</f>
        <v>13190.6466322382</v>
      </c>
      <c r="BX89" s="27" t="n">
        <f aca="false">SUMIF($C$2:$F$2,EOMONTH(BX$2,-1)+1,$C89:$F89)*VLOOKUP(BX$2,Valores!$H$2:$P$154,8,0)</f>
        <v>16488.3082902978</v>
      </c>
      <c r="BY89" s="27" t="n">
        <f aca="false">SUMIF($C$2:$F$2,EOMONTH(BY$2,-1)+1,$C89:$F89)*VLOOKUP(BY$2,Valores!$H$2:$P$154,8,0)</f>
        <v>9892.98497417866</v>
      </c>
      <c r="BZ89" s="27" t="n">
        <f aca="false">SUMIF($C$2:$F$2,EOMONTH(BZ$2,-1)+1,$C89:$F89)*VLOOKUP(BZ$2,Valores!$H$2:$P$154,8,0)</f>
        <v>6595.32331611911</v>
      </c>
      <c r="CA89" s="27" t="n">
        <f aca="false">SUMIF($C$2:$F$2,EOMONTH(CA$2,-1)+1,$C89:$F89)*VLOOKUP(CA$2,Valores!$H$2:$P$154,8,0)</f>
        <v>6595.32331611911</v>
      </c>
      <c r="CB89" s="27" t="n">
        <f aca="false">SUMIF($C$2:$F$2,EOMONTH(CB$2,-1)+1,$C89:$F89)*VLOOKUP(CB$2,Valores!$H$2:$P$154,8,0)</f>
        <v>6595.32331611911</v>
      </c>
      <c r="CC89" s="27" t="n">
        <f aca="false">SUMIF($C$2:$F$2,EOMONTH(CC$2,-1)+1,$C89:$F89)*VLOOKUP(CC$2,Valores!$H$2:$P$154,8,0)</f>
        <v>6595.32331611911</v>
      </c>
      <c r="CD89" s="27" t="n">
        <f aca="false">SUMIF($C$2:$F$2,EOMONTH(CD$2,-1)+1,$C89:$F89)*VLOOKUP(CD$2,Valores!$H$2:$P$154,8,0)</f>
        <v>19785.9699483573</v>
      </c>
      <c r="CE89" s="27" t="n">
        <f aca="false">SUMIF($C$2:$F$2,EOMONTH(CE$2,-1)+1,$C89:$F89)*VLOOKUP(CE$2,Valores!$H$2:$P$154,8,0)</f>
        <v>26381.2932644764</v>
      </c>
      <c r="CF89" s="27" t="n">
        <f aca="false">SUMIF($C$2:$F$2,EOMONTH(CF$2,-1)+1,$C89:$F89)*VLOOKUP(CF$2,Valores!$H$2:$P$154,8,0)</f>
        <v>16488.3082902978</v>
      </c>
      <c r="CG89" s="27" t="n">
        <f aca="false">SUMIF($C$2:$F$2,EOMONTH(CG$2,-1)+1,$C89:$F89)*VLOOKUP(CG$2,Valores!$H$2:$P$154,8,0)</f>
        <v>8793.76442149214</v>
      </c>
      <c r="CH89" s="27" t="n">
        <f aca="false">SUMIF($C$2:$F$2,EOMONTH(CH$2,-1)+1,$C89:$F89)*VLOOKUP(CH$2,Valores!$H$2:$P$154,8,0)</f>
        <v>8793.76442149214</v>
      </c>
      <c r="CI89" s="27" t="n">
        <f aca="false">SUMIF($C$2:$F$2,EOMONTH(CI$2,-1)+1,$C89:$F89)*VLOOKUP(CI$2,Valores!$H$2:$P$154,8,0)</f>
        <v>8793.76442149214</v>
      </c>
      <c r="CJ89" s="27" t="n">
        <f aca="false">SUMIF($C$2:$F$2,EOMONTH(CJ$2,-1)+1,$C89:$F89)*VLOOKUP(CJ$2,Valores!$H$2:$P$154,8,0)</f>
        <v>8793.76442149214</v>
      </c>
      <c r="CK89" s="27" t="n">
        <f aca="false">SUMIF($C$2:$F$2,EOMONTH(CK$2,-1)+1,$C89:$F89)*VLOOKUP(CK$2,Valores!$H$2:$P$154,8,0)</f>
        <v>17587.5288429843</v>
      </c>
      <c r="CL89" s="27" t="n">
        <f aca="false">SUMIF($C$2:$F$2,EOMONTH(CL$2,-1)+1,$C89:$F89)*VLOOKUP(CL$2,Valores!$H$2:$P$154,8,0)</f>
        <v>21984.4110537303</v>
      </c>
      <c r="CM89" s="27" t="n">
        <f aca="false">SUMIF($C$2:$F$2,EOMONTH(CM$2,-1)+1,$C89:$F89)*VLOOKUP(CM$2,Valores!$H$2:$P$154,8,0)</f>
        <v>13190.6466322382</v>
      </c>
      <c r="CN89" s="27" t="n">
        <f aca="false">SUMIF($C$2:$F$2,EOMONTH(CN$2,-1)+1,$C89:$F89)*VLOOKUP(CN$2,Valores!$H$2:$P$154,8,0)</f>
        <v>9673.14086364135</v>
      </c>
      <c r="CO89" s="27" t="n">
        <f aca="false">SUMIF($C$2:$F$2,EOMONTH(CO$2,-1)+1,$C89:$F89)*VLOOKUP(CO$2,Valores!$H$2:$P$154,8,0)</f>
        <v>9673.14086364135</v>
      </c>
      <c r="CP89" s="27" t="n">
        <f aca="false">SUMIF($C$2:$F$2,EOMONTH(CP$2,-1)+1,$C89:$F89)*VLOOKUP(CP$2,Valores!$H$2:$P$154,8,0)</f>
        <v>9673.14086364135</v>
      </c>
      <c r="CQ89" s="27" t="n">
        <f aca="false">SUMIF($C$2:$F$2,EOMONTH(CQ$2,-1)+1,$C89:$F89)*VLOOKUP(CQ$2,Valores!$H$2:$P$154,8,0)</f>
        <v>9673.14086364135</v>
      </c>
      <c r="CR89" s="27" t="n">
        <f aca="false">SUMIF($C$2:$F$2,EOMONTH(CR$2,-1)+1,$C89:$F89)*VLOOKUP(CR$2,Valores!$H$2:$P$154,8,0)</f>
        <v>19346.2817272827</v>
      </c>
      <c r="CS89" s="27" t="n">
        <f aca="false">SUMIF($C$2:$F$2,EOMONTH(CS$2,-1)+1,$C89:$F89)*VLOOKUP(CS$2,Valores!$H$2:$P$154,8,0)</f>
        <v>29019.4225909241</v>
      </c>
      <c r="CT89" s="27" t="e">
        <f aca="false">SUMIF($C$2:$F$2,EOMONTH(CT$2,-1)+1,$C89:$F89)*VLOOKUP(CT$2,Valores!$H$2:$P$154,8,0)</f>
        <v>#VALUE!</v>
      </c>
      <c r="CU89" s="27" t="e">
        <f aca="false">SUMIF($C$2:$F$2,EOMONTH(CU$2,-1)+1,$C89:$F89)*VLOOKUP(CU$2,Valores!$H$2:$P$154,8,0)</f>
        <v>#VALUE!</v>
      </c>
      <c r="CV89" s="27" t="e">
        <f aca="false">SUMIF($C$2:$F$2,EOMONTH(CV$2,-1)+1,$C89:$F89)*VLOOKUP(CV$2,Valores!$H$2:$P$154,8,0)</f>
        <v>#VALUE!</v>
      </c>
      <c r="CW89" s="27" t="e">
        <f aca="false">SUMIF($C$2:$F$2,EOMONTH(CW$2,-1)+1,$C89:$F89)*VLOOKUP(CW$2,Valores!$H$2:$P$154,8,0)</f>
        <v>#VALUE!</v>
      </c>
      <c r="CX89" s="27" t="e">
        <f aca="false">SUMIF($C$2:$F$2,EOMONTH(CX$2,-1)+1,$C89:$F89)*VLOOKUP(CX$2,Valores!$H$2:$P$154,8,0)</f>
        <v>#VALUE!</v>
      </c>
      <c r="CY89" s="27" t="e">
        <f aca="false">SUMIF($C$2:$F$2,EOMONTH(CY$2,-1)+1,$C89:$F89)*VLOOKUP(CY$2,Valores!$H$2:$P$154,8,0)</f>
        <v>#VALUE!</v>
      </c>
      <c r="CZ89" s="27" t="e">
        <f aca="false">SUMIF($C$2:$F$2,EOMONTH(CZ$2,-1)+1,$C89:$F89)*VLOOKUP(CZ$2,Valores!$H$2:$P$154,8,0)</f>
        <v>#VALUE!</v>
      </c>
      <c r="DA89" s="27" t="e">
        <f aca="false">SUMIF($C$2:$F$2,EOMONTH(DA$2,-1)+1,$C89:$F89)*VLOOKUP(DA$2,Valores!$H$2:$P$154,8,0)</f>
        <v>#VALUE!</v>
      </c>
      <c r="DB89" s="27" t="e">
        <f aca="false">SUMIF($C$2:$F$2,EOMONTH(DB$2,-1)+1,$C89:$F89)*VLOOKUP(DB$2,Valores!$H$2:$P$154,8,0)</f>
        <v>#VALUE!</v>
      </c>
      <c r="DC89" s="27" t="e">
        <f aca="false">SUMIF($C$2:$F$2,EOMONTH(DC$2,-1)+1,$C89:$F89)*VLOOKUP(DC$2,Valores!$H$2:$P$154,8,0)</f>
        <v>#VALUE!</v>
      </c>
      <c r="DD89" s="27" t="e">
        <f aca="false">SUMIF($C$2:$F$2,EOMONTH(DD$2,-1)+1,$C89:$F89)*VLOOKUP(DD$2,Valores!$H$2:$P$154,8,0)</f>
        <v>#VALUE!</v>
      </c>
      <c r="DE89" s="27" t="e">
        <f aca="false">SUMIF($C$2:$F$2,EOMONTH(DE$2,-1)+1,$C89:$F89)*VLOOKUP(DE$2,Valores!$H$2:$P$154,8,0)</f>
        <v>#VALUE!</v>
      </c>
      <c r="DF89" s="27" t="e">
        <f aca="false">SUMIF($C$2:$F$2,EOMONTH(DF$2,-1)+1,$C89:$F89)*VLOOKUP(DF$2,Valores!$H$2:$P$154,8,0)</f>
        <v>#VALUE!</v>
      </c>
      <c r="DG89" s="27" t="e">
        <f aca="false">SUMIF($C$2:$F$2,EOMONTH(DG$2,-1)+1,$C89:$F89)*VLOOKUP(DG$2,Valores!$H$2:$P$154,8,0)</f>
        <v>#VALUE!</v>
      </c>
      <c r="DH89" s="27" t="e">
        <f aca="false">SUMIF($C$2:$F$2,EOMONTH(DH$2,-1)+1,$C89:$F89)*VLOOKUP(DH$2,Valores!$H$2:$P$154,8,0)</f>
        <v>#VALUE!</v>
      </c>
      <c r="DI89" s="27" t="e">
        <f aca="false">SUMIF($C$2:$F$2,EOMONTH(DI$2,-1)+1,$C89:$F89)*VLOOKUP(DI$2,Valores!$H$2:$P$154,8,0)</f>
        <v>#VALUE!</v>
      </c>
      <c r="DJ89" s="27" t="e">
        <f aca="false">SUMIF($C$2:$F$2,EOMONTH(DJ$2,-1)+1,$C89:$F89)*VLOOKUP(DJ$2,Valores!$H$2:$P$154,8,0)</f>
        <v>#VALUE!</v>
      </c>
      <c r="DK89" s="27" t="e">
        <f aca="false">SUMIF($C$2:$F$2,EOMONTH(DK$2,-1)+1,$C89:$F89)*VLOOKUP(DK$2,Valores!$H$2:$P$154,8,0)</f>
        <v>#VALUE!</v>
      </c>
      <c r="DL89" s="27" t="e">
        <f aca="false">SUMIF($C$2:$F$2,EOMONTH(DL$2,-1)+1,$C89:$F89)*VLOOKUP(DL$2,Valores!$H$2:$P$154,8,0)</f>
        <v>#VALUE!</v>
      </c>
      <c r="DM89" s="27" t="e">
        <f aca="false">SUMIF($C$2:$F$2,EOMONTH(DM$2,-1)+1,$C89:$F89)*VLOOKUP(DM$2,Valores!$H$2:$P$154,8,0)</f>
        <v>#VALUE!</v>
      </c>
      <c r="DN89" s="27" t="e">
        <f aca="false">SUMIF($C$2:$F$2,EOMONTH(DN$2,-1)+1,$C89:$F89)*VLOOKUP(DN$2,Valores!$H$2:$P$154,8,0)</f>
        <v>#VALUE!</v>
      </c>
      <c r="DO89" s="27" t="e">
        <f aca="false">SUMIF($C$2:$F$2,EOMONTH(DO$2,-1)+1,$C89:$F89)*VLOOKUP(DO$2,Valores!$H$2:$P$154,8,0)</f>
        <v>#VALUE!</v>
      </c>
      <c r="DP89" s="27" t="e">
        <f aca="false">SUMIF($C$2:$F$2,EOMONTH(DP$2,-1)+1,$C89:$F89)*VLOOKUP(DP$2,Valores!$H$2:$P$154,8,0)</f>
        <v>#VALUE!</v>
      </c>
      <c r="DQ89" s="27" t="e">
        <f aca="false">SUMIF($C$2:$F$2,EOMONTH(DQ$2,-1)+1,$C89:$F89)*VLOOKUP(DQ$2,Valores!$H$2:$P$154,8,0)</f>
        <v>#VALUE!</v>
      </c>
      <c r="DR89" s="27" t="e">
        <f aca="false">SUMIF($C$2:$F$2,EOMONTH(DR$2,-1)+1,$C89:$F89)*VLOOKUP(DR$2,Valores!$H$2:$P$154,8,0)</f>
        <v>#VALUE!</v>
      </c>
      <c r="DS89" s="27" t="e">
        <f aca="false">SUMIF($C$2:$F$2,EOMONTH(DS$2,-1)+1,$C89:$F89)*VLOOKUP(DS$2,Valores!$H$2:$P$154,8,0)</f>
        <v>#VALUE!</v>
      </c>
      <c r="DT89" s="27" t="e">
        <f aca="false">SUMIF($C$2:$F$2,EOMONTH(DT$2,-1)+1,$C89:$F89)*VLOOKUP(DT$2,Valores!$H$2:$P$154,8,0)</f>
        <v>#VALUE!</v>
      </c>
      <c r="DU89" s="27" t="e">
        <f aca="false">SUMIF($C$2:$F$2,EOMONTH(DU$2,-1)+1,$C89:$F89)*VLOOKUP(DU$2,Valores!$H$2:$P$154,8,0)</f>
        <v>#VALUE!</v>
      </c>
      <c r="DV89" s="27" t="e">
        <f aca="false">SUMIF($C$2:$F$2,EOMONTH(DV$2,-1)+1,$C89:$F89)*VLOOKUP(DV$2,Valores!$H$2:$P$154,8,0)</f>
        <v>#VALUE!</v>
      </c>
      <c r="DW89" s="27" t="e">
        <f aca="false">SUMIF($C$2:$F$2,EOMONTH(DW$2,-1)+1,$C89:$F89)*VLOOKUP(DW$2,Valores!$H$2:$P$154,8,0)</f>
        <v>#VALUE!</v>
      </c>
      <c r="DX89" s="27" t="e">
        <f aca="false">SUMIF($C$2:$F$2,EOMONTH(DX$2,-1)+1,$C89:$F89)*VLOOKUP(DX$2,Valores!$H$2:$P$154,8,0)</f>
        <v>#VALUE!</v>
      </c>
    </row>
    <row r="90" customFormat="false" ht="13.8" hidden="false" customHeight="false" outlineLevel="0" collapsed="false">
      <c r="A90" s="33" t="s">
        <v>91</v>
      </c>
      <c r="B90" s="29" t="s">
        <v>113</v>
      </c>
      <c r="C90" s="29" t="n">
        <v>498992</v>
      </c>
      <c r="D90" s="29" t="n">
        <v>449092.8</v>
      </c>
      <c r="E90" s="29" t="n">
        <v>404183.52</v>
      </c>
      <c r="F90" s="29" t="n">
        <v>363765.168</v>
      </c>
      <c r="G90" s="30" t="n">
        <f aca="false">SUMIF($C$2:$F$2,EOMONTH(G$2,-1)+1,$C90:$F90)*VLOOKUP(G$2,Valores!$H$2:$P$154,8,0)</f>
        <v>14369.5244363995</v>
      </c>
      <c r="H90" s="30" t="n">
        <f aca="false">SUMIF($C$2:$F$2,EOMONTH(H$2,-1)+1,$C90:$F90)*VLOOKUP(H$2,Valores!$H$2:$P$154,8,0)</f>
        <v>9853.38818495968</v>
      </c>
      <c r="I90" s="30" t="n">
        <f aca="false">SUMIF($C$2:$F$2,EOMONTH(I$2,-1)+1,$C90:$F90)*VLOOKUP(I$2,Valores!$H$2:$P$154,8,0)</f>
        <v>9853.38818495968</v>
      </c>
      <c r="J90" s="30" t="n">
        <f aca="false">SUMIF($C$2:$F$2,EOMONTH(J$2,-1)+1,$C90:$F90)*VLOOKUP(J$2,Valores!$H$2:$P$154,8,0)</f>
        <v>9853.38818495968</v>
      </c>
      <c r="K90" s="30" t="n">
        <f aca="false">SUMIF($C$2:$F$2,EOMONTH(K$2,-1)+1,$C90:$F90)*VLOOKUP(K$2,Valores!$H$2:$P$154,8,0)</f>
        <v>9853.38818495968</v>
      </c>
      <c r="L90" s="30" t="n">
        <f aca="false">SUMIF($C$2:$F$2,EOMONTH(L$2,-1)+1,$C90:$F90)*VLOOKUP(L$2,Valores!$H$2:$P$154,8,0)</f>
        <v>19706.7763699194</v>
      </c>
      <c r="M90" s="30" t="n">
        <f aca="false">SUMIF($C$2:$F$2,EOMONTH(M$2,-1)+1,$C90:$F90)*VLOOKUP(M$2,Valores!$H$2:$P$154,8,0)</f>
        <v>24633.4704623992</v>
      </c>
      <c r="N90" s="30" t="n">
        <f aca="false">SUMIF($C$2:$F$2,EOMONTH(N$2,-1)+1,$C90:$F90)*VLOOKUP(N$2,Valores!$H$2:$P$154,8,0)</f>
        <v>14780.0822774395</v>
      </c>
      <c r="O90" s="30" t="n">
        <f aca="false">SUMIF($C$2:$F$2,EOMONTH(O$2,-1)+1,$C90:$F90)*VLOOKUP(O$2,Valores!$H$2:$P$154,8,0)</f>
        <v>13137.8509132796</v>
      </c>
      <c r="P90" s="30" t="n">
        <f aca="false">SUMIF($C$2:$F$2,EOMONTH(P$2,-1)+1,$C90:$F90)*VLOOKUP(P$2,Valores!$H$2:$P$154,8,0)</f>
        <v>13137.8509132796</v>
      </c>
      <c r="Q90" s="30" t="n">
        <f aca="false">SUMIF($C$2:$F$2,EOMONTH(Q$2,-1)+1,$C90:$F90)*VLOOKUP(Q$2,Valores!$H$2:$P$154,8,0)</f>
        <v>7882.71054796774</v>
      </c>
      <c r="R90" s="30" t="n">
        <f aca="false">SUMIF($C$2:$F$2,EOMONTH(R$2,-1)+1,$C90:$F90)*VLOOKUP(R$2,Valores!$H$2:$P$154,8,0)</f>
        <v>13137.8509132796</v>
      </c>
      <c r="S90" s="30" t="n">
        <f aca="false">SUMIF($C$2:$F$2,EOMONTH(S$2,-1)+1,$C90:$F90)*VLOOKUP(S$2,Valores!$H$2:$P$154,8,0)</f>
        <v>26275.7018265592</v>
      </c>
      <c r="T90" s="30" t="n">
        <f aca="false">SUMIF($C$2:$F$2,EOMONTH(T$2,-1)+1,$C90:$F90)*VLOOKUP(T$2,Valores!$H$2:$P$154,8,0)</f>
        <v>32844.6272831989</v>
      </c>
      <c r="U90" s="30" t="n">
        <f aca="false">SUMIF($C$2:$F$2,EOMONTH(U$2,-1)+1,$C90:$F90)*VLOOKUP(U$2,Valores!$H$2:$P$154,8,0)</f>
        <v>19706.7763699194</v>
      </c>
      <c r="V90" s="30" t="n">
        <f aca="false">SUMIF($C$2:$F$2,EOMONTH(V$2,-1)+1,$C90:$F90)*VLOOKUP(V$2,Valores!$H$2:$P$154,8,0)</f>
        <v>16422.3136415995</v>
      </c>
      <c r="W90" s="30" t="n">
        <f aca="false">SUMIF($C$2:$F$2,EOMONTH(W$2,-1)+1,$C90:$F90)*VLOOKUP(W$2,Valores!$H$2:$P$154,8,0)</f>
        <v>16422.3136415995</v>
      </c>
      <c r="X90" s="30" t="n">
        <f aca="false">SUMIF($C$2:$F$2,EOMONTH(X$2,-1)+1,$C90:$F90)*VLOOKUP(X$2,Valores!$H$2:$P$154,8,0)</f>
        <v>0</v>
      </c>
      <c r="Y90" s="30" t="n">
        <f aca="false">SUMIF($C$2:$F$2,EOMONTH(Y$2,-1)+1,$C90:$F90)*VLOOKUP(Y$2,Valores!$H$2:$P$154,8,0)</f>
        <v>0</v>
      </c>
      <c r="Z90" s="30" t="n">
        <f aca="false">SUMIF($C$2:$F$2,EOMONTH(Z$2,-1)+1,$C90:$F90)*VLOOKUP(Z$2,Valores!$H$2:$P$154,8,0)</f>
        <v>24633.4704623992</v>
      </c>
      <c r="AA90" s="30" t="n">
        <f aca="false">SUMIF($C$2:$F$2,EOMONTH(AA$2,-1)+1,$C90:$F90)*VLOOKUP(AA$2,Valores!$H$2:$P$154,8,0)</f>
        <v>29560.164554879</v>
      </c>
      <c r="AB90" s="30" t="n">
        <f aca="false">SUMIF($C$2:$F$2,EOMONTH(AB$2,-1)+1,$C90:$F90)*VLOOKUP(AB$2,Valores!$H$2:$P$154,8,0)</f>
        <v>14780.0822774395</v>
      </c>
      <c r="AC90" s="30" t="n">
        <f aca="false">SUMIF($C$2:$F$2,EOMONTH(AC$2,-1)+1,$C90:$F90)*VLOOKUP(AC$2,Valores!$H$2:$P$154,8,0)</f>
        <v>18064.5450057594</v>
      </c>
      <c r="AD90" s="30" t="n">
        <f aca="false">SUMIF($C$2:$F$2,EOMONTH(AD$2,-1)+1,$C90:$F90)*VLOOKUP(AD$2,Valores!$H$2:$P$154,8,0)</f>
        <v>18064.5450057594</v>
      </c>
      <c r="AE90" s="30" t="n">
        <f aca="false">SUMIF($C$2:$F$2,EOMONTH(AE$2,-1)+1,$C90:$F90)*VLOOKUP(AE$2,Valores!$H$2:$P$154,8,0)</f>
        <v>18064.5450057594</v>
      </c>
      <c r="AF90" s="30" t="n">
        <f aca="false">SUMIF($C$2:$F$2,EOMONTH(AF$2,-1)+1,$C90:$F90)*VLOOKUP(AF$2,Valores!$H$2:$P$154,8,0)</f>
        <v>18064.5450057594</v>
      </c>
      <c r="AG90" s="30" t="n">
        <f aca="false">SUMIF($C$2:$F$2,EOMONTH(AG$2,-1)+1,$C90:$F90)*VLOOKUP(AG$2,Valores!$H$2:$P$154,8,0)</f>
        <v>28903.2720092151</v>
      </c>
      <c r="AH90" s="30" t="n">
        <f aca="false">SUMIF($C$2:$F$2,EOMONTH(AH$2,-1)+1,$C90:$F90)*VLOOKUP(AH$2,Valores!$H$2:$P$154,8,0)</f>
        <v>36129.0900115188</v>
      </c>
      <c r="AI90" s="30" t="n">
        <f aca="false">SUMIF($C$2:$F$2,EOMONTH(AI$2,-1)+1,$C90:$F90)*VLOOKUP(AI$2,Valores!$H$2:$P$154,8,0)</f>
        <v>12645.1815040316</v>
      </c>
      <c r="AJ90" s="30" t="n">
        <f aca="false">SUMIF($C$2:$F$2,EOMONTH(AJ$2,-1)+1,$C90:$F90)*VLOOKUP(AJ$2,Valores!$H$2:$P$154,8,0)</f>
        <v>8211.15682079974</v>
      </c>
      <c r="AK90" s="30" t="n">
        <f aca="false">SUMIF($C$2:$F$2,EOMONTH(AK$2,-1)+1,$C90:$F90)*VLOOKUP(AK$2,Valores!$H$2:$P$154,8,0)</f>
        <v>14973.6816785349</v>
      </c>
      <c r="AL90" s="30" t="n">
        <f aca="false">SUMIF($C$2:$F$2,EOMONTH(AL$2,-1)+1,$C90:$F90)*VLOOKUP(AL$2,Valores!$H$2:$P$154,8,0)</f>
        <v>14973.6816785349</v>
      </c>
      <c r="AM90" s="30" t="n">
        <f aca="false">SUMIF($C$2:$F$2,EOMONTH(AM$2,-1)+1,$C90:$F90)*VLOOKUP(AM$2,Valores!$H$2:$P$154,8,0)</f>
        <v>14973.6816785349</v>
      </c>
      <c r="AN90" s="30" t="n">
        <f aca="false">SUMIF($C$2:$F$2,EOMONTH(AN$2,-1)+1,$C90:$F90)*VLOOKUP(AN$2,Valores!$H$2:$P$154,8,0)</f>
        <v>29947.3633570697</v>
      </c>
      <c r="AO90" s="30" t="n">
        <f aca="false">SUMIF($C$2:$F$2,EOMONTH(AO$2,-1)+1,$C90:$F90)*VLOOKUP(AO$2,Valores!$H$2:$P$154,8,0)</f>
        <v>37434.2041963371</v>
      </c>
      <c r="AP90" s="30" t="n">
        <f aca="false">SUMIF($C$2:$F$2,EOMONTH(AP$2,-1)+1,$C90:$F90)*VLOOKUP(AP$2,Valores!$H$2:$P$154,8,0)</f>
        <v>22460.5225178023</v>
      </c>
      <c r="AQ90" s="30" t="n">
        <f aca="false">SUMIF($C$2:$F$2,EOMONTH(AQ$2,-1)+1,$C90:$F90)*VLOOKUP(AQ$2,Valores!$H$2:$P$154,8,0)</f>
        <v>8021.61518492938</v>
      </c>
      <c r="AR90" s="30" t="n">
        <f aca="false">SUMIF($C$2:$F$2,EOMONTH(AR$2,-1)+1,$C90:$F90)*VLOOKUP(AR$2,Valores!$H$2:$P$154,8,0)</f>
        <v>8021.61518492938</v>
      </c>
      <c r="AS90" s="30" t="n">
        <f aca="false">SUMIF($C$2:$F$2,EOMONTH(AS$2,-1)+1,$C90:$F90)*VLOOKUP(AS$2,Valores!$H$2:$P$154,8,0)</f>
        <v>8021.61518492938</v>
      </c>
      <c r="AT90" s="30" t="n">
        <f aca="false">SUMIF($C$2:$F$2,EOMONTH(AT$2,-1)+1,$C90:$F90)*VLOOKUP(AT$2,Valores!$H$2:$P$154,8,0)</f>
        <v>8021.61518492938</v>
      </c>
      <c r="AU90" s="30" t="n">
        <f aca="false">SUMIF($C$2:$F$2,EOMONTH(AU$2,-1)+1,$C90:$F90)*VLOOKUP(AU$2,Valores!$H$2:$P$154,8,0)</f>
        <v>16043.2303698588</v>
      </c>
      <c r="AV90" s="30" t="n">
        <f aca="false">SUMIF($C$2:$F$2,EOMONTH(AV$2,-1)+1,$C90:$F90)*VLOOKUP(AV$2,Valores!$H$2:$P$154,8,0)</f>
        <v>20054.0379623235</v>
      </c>
      <c r="AW90" s="30" t="n">
        <f aca="false">SUMIF($C$2:$F$2,EOMONTH(AW$2,-1)+1,$C90:$F90)*VLOOKUP(AW$2,Valores!$H$2:$P$154,8,0)</f>
        <v>12032.4227773941</v>
      </c>
      <c r="AX90" s="30" t="n">
        <f aca="false">SUMIF($C$2:$F$2,EOMONTH(AX$2,-1)+1,$C90:$F90)*VLOOKUP(AX$2,Valores!$H$2:$P$154,8,0)</f>
        <v>8021.61518492938</v>
      </c>
      <c r="AY90" s="30" t="n">
        <f aca="false">SUMIF($C$2:$F$2,EOMONTH(AY$2,-1)+1,$C90:$F90)*VLOOKUP(AY$2,Valores!$H$2:$P$154,8,0)</f>
        <v>10428.0997404082</v>
      </c>
      <c r="AZ90" s="30" t="n">
        <f aca="false">SUMIF($C$2:$F$2,EOMONTH(AZ$2,-1)+1,$C90:$F90)*VLOOKUP(AZ$2,Valores!$H$2:$P$154,8,0)</f>
        <v>10428.0997404082</v>
      </c>
      <c r="BA90" s="30" t="n">
        <f aca="false">SUMIF($C$2:$F$2,EOMONTH(BA$2,-1)+1,$C90:$F90)*VLOOKUP(BA$2,Valores!$H$2:$P$154,8,0)</f>
        <v>10428.0997404082</v>
      </c>
      <c r="BB90" s="30" t="n">
        <f aca="false">SUMIF($C$2:$F$2,EOMONTH(BB$2,-1)+1,$C90:$F90)*VLOOKUP(BB$2,Valores!$H$2:$P$154,8,0)</f>
        <v>18449.7149253376</v>
      </c>
      <c r="BC90" s="30" t="n">
        <f aca="false">SUMIF($C$2:$F$2,EOMONTH(BC$2,-1)+1,$C90:$F90)*VLOOKUP(BC$2,Valores!$H$2:$P$154,8,0)</f>
        <v>22460.5225178023</v>
      </c>
      <c r="BD90" s="30" t="n">
        <f aca="false">SUMIF($C$2:$F$2,EOMONTH(BD$2,-1)+1,$C90:$F90)*VLOOKUP(BD$2,Valores!$H$2:$P$154,8,0)</f>
        <v>12032.4227773941</v>
      </c>
      <c r="BE90" s="30" t="n">
        <f aca="false">SUMIF($C$2:$F$2,EOMONTH(BE$2,-1)+1,$C90:$F90)*VLOOKUP(BE$2,Valores!$H$2:$P$154,8,0)</f>
        <v>10695.4869132392</v>
      </c>
      <c r="BF90" s="30" t="n">
        <f aca="false">SUMIF($C$2:$F$2,EOMONTH(BF$2,-1)+1,$C90:$F90)*VLOOKUP(BF$2,Valores!$H$2:$P$154,8,0)</f>
        <v>10695.4869132392</v>
      </c>
      <c r="BG90" s="30" t="n">
        <f aca="false">SUMIF($C$2:$F$2,EOMONTH(BG$2,-1)+1,$C90:$F90)*VLOOKUP(BG$2,Valores!$H$2:$P$154,8,0)</f>
        <v>10695.4869132392</v>
      </c>
      <c r="BH90" s="30" t="n">
        <f aca="false">SUMIF($C$2:$F$2,EOMONTH(BH$2,-1)+1,$C90:$F90)*VLOOKUP(BH$2,Valores!$H$2:$P$154,8,0)</f>
        <v>10695.4869132392</v>
      </c>
      <c r="BI90" s="30" t="n">
        <f aca="false">SUMIF($C$2:$F$2,EOMONTH(BI$2,-1)+1,$C90:$F90)*VLOOKUP(BI$2,Valores!$H$2:$P$154,8,0)</f>
        <v>21390.9738264784</v>
      </c>
      <c r="BJ90" s="30" t="n">
        <f aca="false">SUMIF($C$2:$F$2,EOMONTH(BJ$2,-1)+1,$C90:$F90)*VLOOKUP(BJ$2,Valores!$H$2:$P$154,8,0)</f>
        <v>26738.7172830979</v>
      </c>
      <c r="BK90" s="30" t="n">
        <f aca="false">SUMIF($C$2:$F$2,EOMONTH(BK$2,-1)+1,$C90:$F90)*VLOOKUP(BK$2,Valores!$H$2:$P$154,8,0)</f>
        <v>12834.584295887</v>
      </c>
      <c r="BL90" s="30" t="n">
        <f aca="false">SUMIF($C$2:$F$2,EOMONTH(BL$2,-1)+1,$C90:$F90)*VLOOKUP(BL$2,Valores!$H$2:$P$154,8,0)</f>
        <v>9412.02848365048</v>
      </c>
      <c r="BM90" s="30" t="n">
        <f aca="false">SUMIF($C$2:$F$2,EOMONTH(BM$2,-1)+1,$C90:$F90)*VLOOKUP(BM$2,Valores!$H$2:$P$154,8,0)</f>
        <v>9412.02848365048</v>
      </c>
      <c r="BN90" s="30" t="n">
        <f aca="false">SUMIF($C$2:$F$2,EOMONTH(BN$2,-1)+1,$C90:$F90)*VLOOKUP(BN$2,Valores!$H$2:$P$154,8,0)</f>
        <v>9412.02848365048</v>
      </c>
      <c r="BO90" s="30" t="n">
        <f aca="false">SUMIF($C$2:$F$2,EOMONTH(BO$2,-1)+1,$C90:$F90)*VLOOKUP(BO$2,Valores!$H$2:$P$154,8,0)</f>
        <v>9882.629907833</v>
      </c>
      <c r="BP90" s="30" t="n">
        <f aca="false">SUMIF($C$2:$F$2,EOMONTH(BP$2,-1)+1,$C90:$F90)*VLOOKUP(BP$2,Valores!$H$2:$P$154,8,0)</f>
        <v>24870.0990220855</v>
      </c>
      <c r="BQ90" s="30" t="n">
        <f aca="false">SUMIF($C$2:$F$2,EOMONTH(BQ$2,-1)+1,$C90:$F90)*VLOOKUP(BQ$2,Valores!$H$2:$P$154,8,0)</f>
        <v>31087.6237776068</v>
      </c>
      <c r="BR90" s="30" t="n">
        <f aca="false">SUMIF($C$2:$F$2,EOMONTH(BR$2,-1)+1,$C90:$F90)*VLOOKUP(BR$2,Valores!$H$2:$P$154,8,0)</f>
        <v>14922.0594132513</v>
      </c>
      <c r="BS90" s="30" t="n">
        <f aca="false">SUMIF($C$2:$F$2,EOMONTH(BS$2,-1)+1,$C90:$F90)*VLOOKUP(BS$2,Valores!$H$2:$P$154,8,0)</f>
        <v>6661.63366663004</v>
      </c>
      <c r="BT90" s="30" t="n">
        <f aca="false">SUMIF($C$2:$F$2,EOMONTH(BT$2,-1)+1,$C90:$F90)*VLOOKUP(BT$2,Valores!$H$2:$P$154,8,0)</f>
        <v>6661.63366663004</v>
      </c>
      <c r="BU90" s="30" t="n">
        <f aca="false">SUMIF($C$2:$F$2,EOMONTH(BU$2,-1)+1,$C90:$F90)*VLOOKUP(BU$2,Valores!$H$2:$P$154,8,0)</f>
        <v>6661.63366663004</v>
      </c>
      <c r="BV90" s="30" t="n">
        <f aca="false">SUMIF($C$2:$F$2,EOMONTH(BV$2,-1)+1,$C90:$F90)*VLOOKUP(BV$2,Valores!$H$2:$P$154,8,0)</f>
        <v>6661.63366663004</v>
      </c>
      <c r="BW90" s="30" t="n">
        <f aca="false">SUMIF($C$2:$F$2,EOMONTH(BW$2,-1)+1,$C90:$F90)*VLOOKUP(BW$2,Valores!$H$2:$P$154,8,0)</f>
        <v>13323.2673332601</v>
      </c>
      <c r="BX90" s="30" t="n">
        <f aca="false">SUMIF($C$2:$F$2,EOMONTH(BX$2,-1)+1,$C90:$F90)*VLOOKUP(BX$2,Valores!$H$2:$P$154,8,0)</f>
        <v>16654.0841665751</v>
      </c>
      <c r="BY90" s="30" t="n">
        <f aca="false">SUMIF($C$2:$F$2,EOMONTH(BY$2,-1)+1,$C90:$F90)*VLOOKUP(BY$2,Valores!$H$2:$P$154,8,0)</f>
        <v>9992.45049994505</v>
      </c>
      <c r="BZ90" s="30" t="n">
        <f aca="false">SUMIF($C$2:$F$2,EOMONTH(BZ$2,-1)+1,$C90:$F90)*VLOOKUP(BZ$2,Valores!$H$2:$P$154,8,0)</f>
        <v>6661.63366663004</v>
      </c>
      <c r="CA90" s="30" t="n">
        <f aca="false">SUMIF($C$2:$F$2,EOMONTH(CA$2,-1)+1,$C90:$F90)*VLOOKUP(CA$2,Valores!$H$2:$P$154,8,0)</f>
        <v>6661.63366663004</v>
      </c>
      <c r="CB90" s="30" t="n">
        <f aca="false">SUMIF($C$2:$F$2,EOMONTH(CB$2,-1)+1,$C90:$F90)*VLOOKUP(CB$2,Valores!$H$2:$P$154,8,0)</f>
        <v>6661.63366663004</v>
      </c>
      <c r="CC90" s="30" t="n">
        <f aca="false">SUMIF($C$2:$F$2,EOMONTH(CC$2,-1)+1,$C90:$F90)*VLOOKUP(CC$2,Valores!$H$2:$P$154,8,0)</f>
        <v>6661.63366663004</v>
      </c>
      <c r="CD90" s="30" t="n">
        <f aca="false">SUMIF($C$2:$F$2,EOMONTH(CD$2,-1)+1,$C90:$F90)*VLOOKUP(CD$2,Valores!$H$2:$P$154,8,0)</f>
        <v>19984.9009998901</v>
      </c>
      <c r="CE90" s="30" t="n">
        <f aca="false">SUMIF($C$2:$F$2,EOMONTH(CE$2,-1)+1,$C90:$F90)*VLOOKUP(CE$2,Valores!$H$2:$P$154,8,0)</f>
        <v>26646.5346665202</v>
      </c>
      <c r="CF90" s="30" t="n">
        <f aca="false">SUMIF($C$2:$F$2,EOMONTH(CF$2,-1)+1,$C90:$F90)*VLOOKUP(CF$2,Valores!$H$2:$P$154,8,0)</f>
        <v>16654.0841665751</v>
      </c>
      <c r="CG90" s="30" t="n">
        <f aca="false">SUMIF($C$2:$F$2,EOMONTH(CG$2,-1)+1,$C90:$F90)*VLOOKUP(CG$2,Valores!$H$2:$P$154,8,0)</f>
        <v>8882.17822217339</v>
      </c>
      <c r="CH90" s="30" t="n">
        <f aca="false">SUMIF($C$2:$F$2,EOMONTH(CH$2,-1)+1,$C90:$F90)*VLOOKUP(CH$2,Valores!$H$2:$P$154,8,0)</f>
        <v>8882.17822217339</v>
      </c>
      <c r="CI90" s="30" t="n">
        <f aca="false">SUMIF($C$2:$F$2,EOMONTH(CI$2,-1)+1,$C90:$F90)*VLOOKUP(CI$2,Valores!$H$2:$P$154,8,0)</f>
        <v>8882.17822217339</v>
      </c>
      <c r="CJ90" s="30" t="n">
        <f aca="false">SUMIF($C$2:$F$2,EOMONTH(CJ$2,-1)+1,$C90:$F90)*VLOOKUP(CJ$2,Valores!$H$2:$P$154,8,0)</f>
        <v>8882.17822217339</v>
      </c>
      <c r="CK90" s="30" t="n">
        <f aca="false">SUMIF($C$2:$F$2,EOMONTH(CK$2,-1)+1,$C90:$F90)*VLOOKUP(CK$2,Valores!$H$2:$P$154,8,0)</f>
        <v>17764.3564443468</v>
      </c>
      <c r="CL90" s="30" t="n">
        <f aca="false">SUMIF($C$2:$F$2,EOMONTH(CL$2,-1)+1,$C90:$F90)*VLOOKUP(CL$2,Valores!$H$2:$P$154,8,0)</f>
        <v>22205.4455554335</v>
      </c>
      <c r="CM90" s="30" t="n">
        <f aca="false">SUMIF($C$2:$F$2,EOMONTH(CM$2,-1)+1,$C90:$F90)*VLOOKUP(CM$2,Valores!$H$2:$P$154,8,0)</f>
        <v>13323.2673332601</v>
      </c>
      <c r="CN90" s="30" t="n">
        <f aca="false">SUMIF($C$2:$F$2,EOMONTH(CN$2,-1)+1,$C90:$F90)*VLOOKUP(CN$2,Valores!$H$2:$P$154,8,0)</f>
        <v>9770.39604439072</v>
      </c>
      <c r="CO90" s="30" t="n">
        <f aca="false">SUMIF($C$2:$F$2,EOMONTH(CO$2,-1)+1,$C90:$F90)*VLOOKUP(CO$2,Valores!$H$2:$P$154,8,0)</f>
        <v>9770.39604439072</v>
      </c>
      <c r="CP90" s="30" t="n">
        <f aca="false">SUMIF($C$2:$F$2,EOMONTH(CP$2,-1)+1,$C90:$F90)*VLOOKUP(CP$2,Valores!$H$2:$P$154,8,0)</f>
        <v>9770.39604439072</v>
      </c>
      <c r="CQ90" s="30" t="n">
        <f aca="false">SUMIF($C$2:$F$2,EOMONTH(CQ$2,-1)+1,$C90:$F90)*VLOOKUP(CQ$2,Valores!$H$2:$P$154,8,0)</f>
        <v>9770.39604439072</v>
      </c>
      <c r="CR90" s="30" t="n">
        <f aca="false">SUMIF($C$2:$F$2,EOMONTH(CR$2,-1)+1,$C90:$F90)*VLOOKUP(CR$2,Valores!$H$2:$P$154,8,0)</f>
        <v>19540.7920887814</v>
      </c>
      <c r="CS90" s="30" t="n">
        <f aca="false">SUMIF($C$2:$F$2,EOMONTH(CS$2,-1)+1,$C90:$F90)*VLOOKUP(CS$2,Valores!$H$2:$P$154,8,0)</f>
        <v>29311.1881331722</v>
      </c>
      <c r="CT90" s="30" t="e">
        <f aca="false">SUMIF($C$2:$F$2,EOMONTH(CT$2,-1)+1,$C90:$F90)*VLOOKUP(CT$2,Valores!$H$2:$P$154,8,0)</f>
        <v>#VALUE!</v>
      </c>
      <c r="CU90" s="30" t="e">
        <f aca="false">SUMIF($C$2:$F$2,EOMONTH(CU$2,-1)+1,$C90:$F90)*VLOOKUP(CU$2,Valores!$H$2:$P$154,8,0)</f>
        <v>#VALUE!</v>
      </c>
      <c r="CV90" s="30" t="e">
        <f aca="false">SUMIF($C$2:$F$2,EOMONTH(CV$2,-1)+1,$C90:$F90)*VLOOKUP(CV$2,Valores!$H$2:$P$154,8,0)</f>
        <v>#VALUE!</v>
      </c>
      <c r="CW90" s="30" t="e">
        <f aca="false">SUMIF($C$2:$F$2,EOMONTH(CW$2,-1)+1,$C90:$F90)*VLOOKUP(CW$2,Valores!$H$2:$P$154,8,0)</f>
        <v>#VALUE!</v>
      </c>
      <c r="CX90" s="30" t="e">
        <f aca="false">SUMIF($C$2:$F$2,EOMONTH(CX$2,-1)+1,$C90:$F90)*VLOOKUP(CX$2,Valores!$H$2:$P$154,8,0)</f>
        <v>#VALUE!</v>
      </c>
      <c r="CY90" s="30" t="e">
        <f aca="false">SUMIF($C$2:$F$2,EOMONTH(CY$2,-1)+1,$C90:$F90)*VLOOKUP(CY$2,Valores!$H$2:$P$154,8,0)</f>
        <v>#VALUE!</v>
      </c>
      <c r="CZ90" s="30" t="e">
        <f aca="false">SUMIF($C$2:$F$2,EOMONTH(CZ$2,-1)+1,$C90:$F90)*VLOOKUP(CZ$2,Valores!$H$2:$P$154,8,0)</f>
        <v>#VALUE!</v>
      </c>
      <c r="DA90" s="30" t="e">
        <f aca="false">SUMIF($C$2:$F$2,EOMONTH(DA$2,-1)+1,$C90:$F90)*VLOOKUP(DA$2,Valores!$H$2:$P$154,8,0)</f>
        <v>#VALUE!</v>
      </c>
      <c r="DB90" s="30" t="e">
        <f aca="false">SUMIF($C$2:$F$2,EOMONTH(DB$2,-1)+1,$C90:$F90)*VLOOKUP(DB$2,Valores!$H$2:$P$154,8,0)</f>
        <v>#VALUE!</v>
      </c>
      <c r="DC90" s="30" t="e">
        <f aca="false">SUMIF($C$2:$F$2,EOMONTH(DC$2,-1)+1,$C90:$F90)*VLOOKUP(DC$2,Valores!$H$2:$P$154,8,0)</f>
        <v>#VALUE!</v>
      </c>
      <c r="DD90" s="30" t="e">
        <f aca="false">SUMIF($C$2:$F$2,EOMONTH(DD$2,-1)+1,$C90:$F90)*VLOOKUP(DD$2,Valores!$H$2:$P$154,8,0)</f>
        <v>#VALUE!</v>
      </c>
      <c r="DE90" s="30" t="e">
        <f aca="false">SUMIF($C$2:$F$2,EOMONTH(DE$2,-1)+1,$C90:$F90)*VLOOKUP(DE$2,Valores!$H$2:$P$154,8,0)</f>
        <v>#VALUE!</v>
      </c>
      <c r="DF90" s="30" t="e">
        <f aca="false">SUMIF($C$2:$F$2,EOMONTH(DF$2,-1)+1,$C90:$F90)*VLOOKUP(DF$2,Valores!$H$2:$P$154,8,0)</f>
        <v>#VALUE!</v>
      </c>
      <c r="DG90" s="30" t="e">
        <f aca="false">SUMIF($C$2:$F$2,EOMONTH(DG$2,-1)+1,$C90:$F90)*VLOOKUP(DG$2,Valores!$H$2:$P$154,8,0)</f>
        <v>#VALUE!</v>
      </c>
      <c r="DH90" s="30" t="e">
        <f aca="false">SUMIF($C$2:$F$2,EOMONTH(DH$2,-1)+1,$C90:$F90)*VLOOKUP(DH$2,Valores!$H$2:$P$154,8,0)</f>
        <v>#VALUE!</v>
      </c>
      <c r="DI90" s="30" t="e">
        <f aca="false">SUMIF($C$2:$F$2,EOMONTH(DI$2,-1)+1,$C90:$F90)*VLOOKUP(DI$2,Valores!$H$2:$P$154,8,0)</f>
        <v>#VALUE!</v>
      </c>
      <c r="DJ90" s="30" t="e">
        <f aca="false">SUMIF($C$2:$F$2,EOMONTH(DJ$2,-1)+1,$C90:$F90)*VLOOKUP(DJ$2,Valores!$H$2:$P$154,8,0)</f>
        <v>#VALUE!</v>
      </c>
      <c r="DK90" s="30" t="e">
        <f aca="false">SUMIF($C$2:$F$2,EOMONTH(DK$2,-1)+1,$C90:$F90)*VLOOKUP(DK$2,Valores!$H$2:$P$154,8,0)</f>
        <v>#VALUE!</v>
      </c>
      <c r="DL90" s="30" t="e">
        <f aca="false">SUMIF($C$2:$F$2,EOMONTH(DL$2,-1)+1,$C90:$F90)*VLOOKUP(DL$2,Valores!$H$2:$P$154,8,0)</f>
        <v>#VALUE!</v>
      </c>
      <c r="DM90" s="30" t="e">
        <f aca="false">SUMIF($C$2:$F$2,EOMONTH(DM$2,-1)+1,$C90:$F90)*VLOOKUP(DM$2,Valores!$H$2:$P$154,8,0)</f>
        <v>#VALUE!</v>
      </c>
      <c r="DN90" s="30" t="e">
        <f aca="false">SUMIF($C$2:$F$2,EOMONTH(DN$2,-1)+1,$C90:$F90)*VLOOKUP(DN$2,Valores!$H$2:$P$154,8,0)</f>
        <v>#VALUE!</v>
      </c>
      <c r="DO90" s="30" t="e">
        <f aca="false">SUMIF($C$2:$F$2,EOMONTH(DO$2,-1)+1,$C90:$F90)*VLOOKUP(DO$2,Valores!$H$2:$P$154,8,0)</f>
        <v>#VALUE!</v>
      </c>
      <c r="DP90" s="30" t="e">
        <f aca="false">SUMIF($C$2:$F$2,EOMONTH(DP$2,-1)+1,$C90:$F90)*VLOOKUP(DP$2,Valores!$H$2:$P$154,8,0)</f>
        <v>#VALUE!</v>
      </c>
      <c r="DQ90" s="30" t="e">
        <f aca="false">SUMIF($C$2:$F$2,EOMONTH(DQ$2,-1)+1,$C90:$F90)*VLOOKUP(DQ$2,Valores!$H$2:$P$154,8,0)</f>
        <v>#VALUE!</v>
      </c>
      <c r="DR90" s="30" t="e">
        <f aca="false">SUMIF($C$2:$F$2,EOMONTH(DR$2,-1)+1,$C90:$F90)*VLOOKUP(DR$2,Valores!$H$2:$P$154,8,0)</f>
        <v>#VALUE!</v>
      </c>
      <c r="DS90" s="30" t="e">
        <f aca="false">SUMIF($C$2:$F$2,EOMONTH(DS$2,-1)+1,$C90:$F90)*VLOOKUP(DS$2,Valores!$H$2:$P$154,8,0)</f>
        <v>#VALUE!</v>
      </c>
      <c r="DT90" s="30" t="e">
        <f aca="false">SUMIF($C$2:$F$2,EOMONTH(DT$2,-1)+1,$C90:$F90)*VLOOKUP(DT$2,Valores!$H$2:$P$154,8,0)</f>
        <v>#VALUE!</v>
      </c>
      <c r="DU90" s="30" t="e">
        <f aca="false">SUMIF($C$2:$F$2,EOMONTH(DU$2,-1)+1,$C90:$F90)*VLOOKUP(DU$2,Valores!$H$2:$P$154,8,0)</f>
        <v>#VALUE!</v>
      </c>
      <c r="DV90" s="30" t="e">
        <f aca="false">SUMIF($C$2:$F$2,EOMONTH(DV$2,-1)+1,$C90:$F90)*VLOOKUP(DV$2,Valores!$H$2:$P$154,8,0)</f>
        <v>#VALUE!</v>
      </c>
      <c r="DW90" s="30" t="e">
        <f aca="false">SUMIF($C$2:$F$2,EOMONTH(DW$2,-1)+1,$C90:$F90)*VLOOKUP(DW$2,Valores!$H$2:$P$154,8,0)</f>
        <v>#VALUE!</v>
      </c>
      <c r="DX90" s="30" t="e">
        <f aca="false">SUMIF($C$2:$F$2,EOMONTH(DX$2,-1)+1,$C90:$F90)*VLOOKUP(DX$2,Valores!$H$2:$P$154,8,0)</f>
        <v>#VALUE!</v>
      </c>
    </row>
    <row r="91" customFormat="false" ht="13.8" hidden="false" customHeight="false" outlineLevel="0" collapsed="false">
      <c r="A91" s="32" t="s">
        <v>91</v>
      </c>
      <c r="B91" s="31" t="s">
        <v>114</v>
      </c>
      <c r="C91" s="31" t="n">
        <v>404190</v>
      </c>
      <c r="D91" s="31" t="n">
        <v>363771</v>
      </c>
      <c r="E91" s="31" t="n">
        <v>327393.9</v>
      </c>
      <c r="F91" s="31" t="n">
        <v>294654.51</v>
      </c>
      <c r="G91" s="27" t="n">
        <f aca="false">SUMIF($C$2:$F$2,EOMONTH(G$2,-1)+1,$C91:$F91)*VLOOKUP(G$2,Valores!$H$2:$P$154,8,0)</f>
        <v>11639.5013987165</v>
      </c>
      <c r="H91" s="27" t="n">
        <f aca="false">SUMIF($C$2:$F$2,EOMONTH(H$2,-1)+1,$C91:$F91)*VLOOKUP(H$2,Valores!$H$2:$P$154,8,0)</f>
        <v>7981.37238769129</v>
      </c>
      <c r="I91" s="27" t="n">
        <f aca="false">SUMIF($C$2:$F$2,EOMONTH(I$2,-1)+1,$C91:$F91)*VLOOKUP(I$2,Valores!$H$2:$P$154,8,0)</f>
        <v>7981.37238769129</v>
      </c>
      <c r="J91" s="27" t="n">
        <f aca="false">SUMIF($C$2:$F$2,EOMONTH(J$2,-1)+1,$C91:$F91)*VLOOKUP(J$2,Valores!$H$2:$P$154,8,0)</f>
        <v>7981.37238769129</v>
      </c>
      <c r="K91" s="27" t="n">
        <f aca="false">SUMIF($C$2:$F$2,EOMONTH(K$2,-1)+1,$C91:$F91)*VLOOKUP(K$2,Valores!$H$2:$P$154,8,0)</f>
        <v>7981.37238769129</v>
      </c>
      <c r="L91" s="27" t="n">
        <f aca="false">SUMIF($C$2:$F$2,EOMONTH(L$2,-1)+1,$C91:$F91)*VLOOKUP(L$2,Valores!$H$2:$P$154,8,0)</f>
        <v>15962.7447753826</v>
      </c>
      <c r="M91" s="27" t="n">
        <f aca="false">SUMIF($C$2:$F$2,EOMONTH(M$2,-1)+1,$C91:$F91)*VLOOKUP(M$2,Valores!$H$2:$P$154,8,0)</f>
        <v>19953.4309692282</v>
      </c>
      <c r="N91" s="27" t="n">
        <f aca="false">SUMIF($C$2:$F$2,EOMONTH(N$2,-1)+1,$C91:$F91)*VLOOKUP(N$2,Valores!$H$2:$P$154,8,0)</f>
        <v>11972.0585815369</v>
      </c>
      <c r="O91" s="27" t="n">
        <f aca="false">SUMIF($C$2:$F$2,EOMONTH(O$2,-1)+1,$C91:$F91)*VLOOKUP(O$2,Valores!$H$2:$P$154,8,0)</f>
        <v>10641.8298502551</v>
      </c>
      <c r="P91" s="27" t="n">
        <f aca="false">SUMIF($C$2:$F$2,EOMONTH(P$2,-1)+1,$C91:$F91)*VLOOKUP(P$2,Valores!$H$2:$P$154,8,0)</f>
        <v>10641.8298502551</v>
      </c>
      <c r="Q91" s="27" t="n">
        <f aca="false">SUMIF($C$2:$F$2,EOMONTH(Q$2,-1)+1,$C91:$F91)*VLOOKUP(Q$2,Valores!$H$2:$P$154,8,0)</f>
        <v>6385.09791015303</v>
      </c>
      <c r="R91" s="27" t="n">
        <f aca="false">SUMIF($C$2:$F$2,EOMONTH(R$2,-1)+1,$C91:$F91)*VLOOKUP(R$2,Valores!$H$2:$P$154,8,0)</f>
        <v>10641.8298502551</v>
      </c>
      <c r="S91" s="27" t="n">
        <f aca="false">SUMIF($C$2:$F$2,EOMONTH(S$2,-1)+1,$C91:$F91)*VLOOKUP(S$2,Valores!$H$2:$P$154,8,0)</f>
        <v>21283.6597005101</v>
      </c>
      <c r="T91" s="27" t="n">
        <f aca="false">SUMIF($C$2:$F$2,EOMONTH(T$2,-1)+1,$C91:$F91)*VLOOKUP(T$2,Valores!$H$2:$P$154,8,0)</f>
        <v>26604.5746256376</v>
      </c>
      <c r="U91" s="27" t="n">
        <f aca="false">SUMIF($C$2:$F$2,EOMONTH(U$2,-1)+1,$C91:$F91)*VLOOKUP(U$2,Valores!$H$2:$P$154,8,0)</f>
        <v>15962.7447753826</v>
      </c>
      <c r="V91" s="27" t="n">
        <f aca="false">SUMIF($C$2:$F$2,EOMONTH(V$2,-1)+1,$C91:$F91)*VLOOKUP(V$2,Valores!$H$2:$P$154,8,0)</f>
        <v>13302.2873128188</v>
      </c>
      <c r="W91" s="27" t="n">
        <f aca="false">SUMIF($C$2:$F$2,EOMONTH(W$2,-1)+1,$C91:$F91)*VLOOKUP(W$2,Valores!$H$2:$P$154,8,0)</f>
        <v>13302.2873128188</v>
      </c>
      <c r="X91" s="27" t="n">
        <f aca="false">SUMIF($C$2:$F$2,EOMONTH(X$2,-1)+1,$C91:$F91)*VLOOKUP(X$2,Valores!$H$2:$P$154,8,0)</f>
        <v>0</v>
      </c>
      <c r="Y91" s="27" t="n">
        <f aca="false">SUMIF($C$2:$F$2,EOMONTH(Y$2,-1)+1,$C91:$F91)*VLOOKUP(Y$2,Valores!$H$2:$P$154,8,0)</f>
        <v>0</v>
      </c>
      <c r="Z91" s="27" t="n">
        <f aca="false">SUMIF($C$2:$F$2,EOMONTH(Z$2,-1)+1,$C91:$F91)*VLOOKUP(Z$2,Valores!$H$2:$P$154,8,0)</f>
        <v>19953.4309692282</v>
      </c>
      <c r="AA91" s="27" t="n">
        <f aca="false">SUMIF($C$2:$F$2,EOMONTH(AA$2,-1)+1,$C91:$F91)*VLOOKUP(AA$2,Valores!$H$2:$P$154,8,0)</f>
        <v>23944.1171630739</v>
      </c>
      <c r="AB91" s="27" t="n">
        <f aca="false">SUMIF($C$2:$F$2,EOMONTH(AB$2,-1)+1,$C91:$F91)*VLOOKUP(AB$2,Valores!$H$2:$P$154,8,0)</f>
        <v>11972.0585815369</v>
      </c>
      <c r="AC91" s="27" t="n">
        <f aca="false">SUMIF($C$2:$F$2,EOMONTH(AC$2,-1)+1,$C91:$F91)*VLOOKUP(AC$2,Valores!$H$2:$P$154,8,0)</f>
        <v>14632.5160441007</v>
      </c>
      <c r="AD91" s="27" t="n">
        <f aca="false">SUMIF($C$2:$F$2,EOMONTH(AD$2,-1)+1,$C91:$F91)*VLOOKUP(AD$2,Valores!$H$2:$P$154,8,0)</f>
        <v>14632.5160441007</v>
      </c>
      <c r="AE91" s="27" t="n">
        <f aca="false">SUMIF($C$2:$F$2,EOMONTH(AE$2,-1)+1,$C91:$F91)*VLOOKUP(AE$2,Valores!$H$2:$P$154,8,0)</f>
        <v>14632.5160441007</v>
      </c>
      <c r="AF91" s="27" t="n">
        <f aca="false">SUMIF($C$2:$F$2,EOMONTH(AF$2,-1)+1,$C91:$F91)*VLOOKUP(AF$2,Valores!$H$2:$P$154,8,0)</f>
        <v>14632.5160441007</v>
      </c>
      <c r="AG91" s="27" t="n">
        <f aca="false">SUMIF($C$2:$F$2,EOMONTH(AG$2,-1)+1,$C91:$F91)*VLOOKUP(AG$2,Valores!$H$2:$P$154,8,0)</f>
        <v>23412.0256705611</v>
      </c>
      <c r="AH91" s="27" t="n">
        <f aca="false">SUMIF($C$2:$F$2,EOMONTH(AH$2,-1)+1,$C91:$F91)*VLOOKUP(AH$2,Valores!$H$2:$P$154,8,0)</f>
        <v>29265.0320882014</v>
      </c>
      <c r="AI91" s="27" t="n">
        <f aca="false">SUMIF($C$2:$F$2,EOMONTH(AI$2,-1)+1,$C91:$F91)*VLOOKUP(AI$2,Valores!$H$2:$P$154,8,0)</f>
        <v>10242.7612308705</v>
      </c>
      <c r="AJ91" s="27" t="n">
        <f aca="false">SUMIF($C$2:$F$2,EOMONTH(AJ$2,-1)+1,$C91:$F91)*VLOOKUP(AJ$2,Valores!$H$2:$P$154,8,0)</f>
        <v>6651.14365640941</v>
      </c>
      <c r="AK91" s="27" t="n">
        <f aca="false">SUMIF($C$2:$F$2,EOMONTH(AK$2,-1)+1,$C91:$F91)*VLOOKUP(AK$2,Valores!$H$2:$P$154,8,0)</f>
        <v>12128.8766105409</v>
      </c>
      <c r="AL91" s="27" t="n">
        <f aca="false">SUMIF($C$2:$F$2,EOMONTH(AL$2,-1)+1,$C91:$F91)*VLOOKUP(AL$2,Valores!$H$2:$P$154,8,0)</f>
        <v>12128.8766105409</v>
      </c>
      <c r="AM91" s="27" t="n">
        <f aca="false">SUMIF($C$2:$F$2,EOMONTH(AM$2,-1)+1,$C91:$F91)*VLOOKUP(AM$2,Valores!$H$2:$P$154,8,0)</f>
        <v>12128.8766105409</v>
      </c>
      <c r="AN91" s="27" t="n">
        <f aca="false">SUMIF($C$2:$F$2,EOMONTH(AN$2,-1)+1,$C91:$F91)*VLOOKUP(AN$2,Valores!$H$2:$P$154,8,0)</f>
        <v>24257.7532210817</v>
      </c>
      <c r="AO91" s="27" t="n">
        <f aca="false">SUMIF($C$2:$F$2,EOMONTH(AO$2,-1)+1,$C91:$F91)*VLOOKUP(AO$2,Valores!$H$2:$P$154,8,0)</f>
        <v>30322.1915263521</v>
      </c>
      <c r="AP91" s="27" t="n">
        <f aca="false">SUMIF($C$2:$F$2,EOMONTH(AP$2,-1)+1,$C91:$F91)*VLOOKUP(AP$2,Valores!$H$2:$P$154,8,0)</f>
        <v>18193.3149158113</v>
      </c>
      <c r="AQ91" s="27" t="n">
        <f aca="false">SUMIF($C$2:$F$2,EOMONTH(AQ$2,-1)+1,$C91:$F91)*VLOOKUP(AQ$2,Valores!$H$2:$P$154,8,0)</f>
        <v>6497.6124699326</v>
      </c>
      <c r="AR91" s="27" t="n">
        <f aca="false">SUMIF($C$2:$F$2,EOMONTH(AR$2,-1)+1,$C91:$F91)*VLOOKUP(AR$2,Valores!$H$2:$P$154,8,0)</f>
        <v>6497.6124699326</v>
      </c>
      <c r="AS91" s="27" t="n">
        <f aca="false">SUMIF($C$2:$F$2,EOMONTH(AS$2,-1)+1,$C91:$F91)*VLOOKUP(AS$2,Valores!$H$2:$P$154,8,0)</f>
        <v>6497.6124699326</v>
      </c>
      <c r="AT91" s="27" t="n">
        <f aca="false">SUMIF($C$2:$F$2,EOMONTH(AT$2,-1)+1,$C91:$F91)*VLOOKUP(AT$2,Valores!$H$2:$P$154,8,0)</f>
        <v>6497.6124699326</v>
      </c>
      <c r="AU91" s="27" t="n">
        <f aca="false">SUMIF($C$2:$F$2,EOMONTH(AU$2,-1)+1,$C91:$F91)*VLOOKUP(AU$2,Valores!$H$2:$P$154,8,0)</f>
        <v>12995.2249398652</v>
      </c>
      <c r="AV91" s="27" t="n">
        <f aca="false">SUMIF($C$2:$F$2,EOMONTH(AV$2,-1)+1,$C91:$F91)*VLOOKUP(AV$2,Valores!$H$2:$P$154,8,0)</f>
        <v>16244.0311748315</v>
      </c>
      <c r="AW91" s="27" t="n">
        <f aca="false">SUMIF($C$2:$F$2,EOMONTH(AW$2,-1)+1,$C91:$F91)*VLOOKUP(AW$2,Valores!$H$2:$P$154,8,0)</f>
        <v>9746.4187048989</v>
      </c>
      <c r="AX91" s="27" t="n">
        <f aca="false">SUMIF($C$2:$F$2,EOMONTH(AX$2,-1)+1,$C91:$F91)*VLOOKUP(AX$2,Valores!$H$2:$P$154,8,0)</f>
        <v>6497.6124699326</v>
      </c>
      <c r="AY91" s="27" t="n">
        <f aca="false">SUMIF($C$2:$F$2,EOMONTH(AY$2,-1)+1,$C91:$F91)*VLOOKUP(AY$2,Valores!$H$2:$P$154,8,0)</f>
        <v>8446.89621091238</v>
      </c>
      <c r="AZ91" s="27" t="n">
        <f aca="false">SUMIF($C$2:$F$2,EOMONTH(AZ$2,-1)+1,$C91:$F91)*VLOOKUP(AZ$2,Valores!$H$2:$P$154,8,0)</f>
        <v>8446.89621091238</v>
      </c>
      <c r="BA91" s="27" t="n">
        <f aca="false">SUMIF($C$2:$F$2,EOMONTH(BA$2,-1)+1,$C91:$F91)*VLOOKUP(BA$2,Valores!$H$2:$P$154,8,0)</f>
        <v>8446.89621091238</v>
      </c>
      <c r="BB91" s="27" t="n">
        <f aca="false">SUMIF($C$2:$F$2,EOMONTH(BB$2,-1)+1,$C91:$F91)*VLOOKUP(BB$2,Valores!$H$2:$P$154,8,0)</f>
        <v>14944.508680845</v>
      </c>
      <c r="BC91" s="27" t="n">
        <f aca="false">SUMIF($C$2:$F$2,EOMONTH(BC$2,-1)+1,$C91:$F91)*VLOOKUP(BC$2,Valores!$H$2:$P$154,8,0)</f>
        <v>18193.3149158113</v>
      </c>
      <c r="BD91" s="27" t="n">
        <f aca="false">SUMIF($C$2:$F$2,EOMONTH(BD$2,-1)+1,$C91:$F91)*VLOOKUP(BD$2,Valores!$H$2:$P$154,8,0)</f>
        <v>9746.4187048989</v>
      </c>
      <c r="BE91" s="27" t="n">
        <f aca="false">SUMIF($C$2:$F$2,EOMONTH(BE$2,-1)+1,$C91:$F91)*VLOOKUP(BE$2,Valores!$H$2:$P$154,8,0)</f>
        <v>8663.48329324347</v>
      </c>
      <c r="BF91" s="27" t="n">
        <f aca="false">SUMIF($C$2:$F$2,EOMONTH(BF$2,-1)+1,$C91:$F91)*VLOOKUP(BF$2,Valores!$H$2:$P$154,8,0)</f>
        <v>8663.48329324347</v>
      </c>
      <c r="BG91" s="27" t="n">
        <f aca="false">SUMIF($C$2:$F$2,EOMONTH(BG$2,-1)+1,$C91:$F91)*VLOOKUP(BG$2,Valores!$H$2:$P$154,8,0)</f>
        <v>8663.48329324347</v>
      </c>
      <c r="BH91" s="27" t="n">
        <f aca="false">SUMIF($C$2:$F$2,EOMONTH(BH$2,-1)+1,$C91:$F91)*VLOOKUP(BH$2,Valores!$H$2:$P$154,8,0)</f>
        <v>8663.48329324347</v>
      </c>
      <c r="BI91" s="27" t="n">
        <f aca="false">SUMIF($C$2:$F$2,EOMONTH(BI$2,-1)+1,$C91:$F91)*VLOOKUP(BI$2,Valores!$H$2:$P$154,8,0)</f>
        <v>17326.9665864869</v>
      </c>
      <c r="BJ91" s="27" t="n">
        <f aca="false">SUMIF($C$2:$F$2,EOMONTH(BJ$2,-1)+1,$C91:$F91)*VLOOKUP(BJ$2,Valores!$H$2:$P$154,8,0)</f>
        <v>21658.7082331087</v>
      </c>
      <c r="BK91" s="27" t="n">
        <f aca="false">SUMIF($C$2:$F$2,EOMONTH(BK$2,-1)+1,$C91:$F91)*VLOOKUP(BK$2,Valores!$H$2:$P$154,8,0)</f>
        <v>10396.1799518922</v>
      </c>
      <c r="BL91" s="27" t="n">
        <f aca="false">SUMIF($C$2:$F$2,EOMONTH(BL$2,-1)+1,$C91:$F91)*VLOOKUP(BL$2,Valores!$H$2:$P$154,8,0)</f>
        <v>7623.86529805425</v>
      </c>
      <c r="BM91" s="27" t="n">
        <f aca="false">SUMIF($C$2:$F$2,EOMONTH(BM$2,-1)+1,$C91:$F91)*VLOOKUP(BM$2,Valores!$H$2:$P$154,8,0)</f>
        <v>7623.86529805425</v>
      </c>
      <c r="BN91" s="27" t="n">
        <f aca="false">SUMIF($C$2:$F$2,EOMONTH(BN$2,-1)+1,$C91:$F91)*VLOOKUP(BN$2,Valores!$H$2:$P$154,8,0)</f>
        <v>7623.86529805425</v>
      </c>
      <c r="BO91" s="27" t="n">
        <f aca="false">SUMIF($C$2:$F$2,EOMONTH(BO$2,-1)+1,$C91:$F91)*VLOOKUP(BO$2,Valores!$H$2:$P$154,8,0)</f>
        <v>8005.05856295696</v>
      </c>
      <c r="BP91" s="27" t="n">
        <f aca="false">SUMIF($C$2:$F$2,EOMONTH(BP$2,-1)+1,$C91:$F91)*VLOOKUP(BP$2,Valores!$H$2:$P$154,8,0)</f>
        <v>20145.1031754752</v>
      </c>
      <c r="BQ91" s="27" t="n">
        <f aca="false">SUMIF($C$2:$F$2,EOMONTH(BQ$2,-1)+1,$C91:$F91)*VLOOKUP(BQ$2,Valores!$H$2:$P$154,8,0)</f>
        <v>25181.378969344</v>
      </c>
      <c r="BR91" s="27" t="n">
        <f aca="false">SUMIF($C$2:$F$2,EOMONTH(BR$2,-1)+1,$C91:$F91)*VLOOKUP(BR$2,Valores!$H$2:$P$154,8,0)</f>
        <v>12087.0619052851</v>
      </c>
      <c r="BS91" s="27" t="n">
        <f aca="false">SUMIF($C$2:$F$2,EOMONTH(BS$2,-1)+1,$C91:$F91)*VLOOKUP(BS$2,Valores!$H$2:$P$154,8,0)</f>
        <v>5396.00977914515</v>
      </c>
      <c r="BT91" s="27" t="n">
        <f aca="false">SUMIF($C$2:$F$2,EOMONTH(BT$2,-1)+1,$C91:$F91)*VLOOKUP(BT$2,Valores!$H$2:$P$154,8,0)</f>
        <v>5396.00977914515</v>
      </c>
      <c r="BU91" s="27" t="n">
        <f aca="false">SUMIF($C$2:$F$2,EOMONTH(BU$2,-1)+1,$C91:$F91)*VLOOKUP(BU$2,Valores!$H$2:$P$154,8,0)</f>
        <v>5396.00977914515</v>
      </c>
      <c r="BV91" s="27" t="n">
        <f aca="false">SUMIF($C$2:$F$2,EOMONTH(BV$2,-1)+1,$C91:$F91)*VLOOKUP(BV$2,Valores!$H$2:$P$154,8,0)</f>
        <v>5396.00977914515</v>
      </c>
      <c r="BW91" s="27" t="n">
        <f aca="false">SUMIF($C$2:$F$2,EOMONTH(BW$2,-1)+1,$C91:$F91)*VLOOKUP(BW$2,Valores!$H$2:$P$154,8,0)</f>
        <v>10792.0195582903</v>
      </c>
      <c r="BX91" s="27" t="n">
        <f aca="false">SUMIF($C$2:$F$2,EOMONTH(BX$2,-1)+1,$C91:$F91)*VLOOKUP(BX$2,Valores!$H$2:$P$154,8,0)</f>
        <v>13490.0244478629</v>
      </c>
      <c r="BY91" s="27" t="n">
        <f aca="false">SUMIF($C$2:$F$2,EOMONTH(BY$2,-1)+1,$C91:$F91)*VLOOKUP(BY$2,Valores!$H$2:$P$154,8,0)</f>
        <v>8094.01466871772</v>
      </c>
      <c r="BZ91" s="27" t="n">
        <f aca="false">SUMIF($C$2:$F$2,EOMONTH(BZ$2,-1)+1,$C91:$F91)*VLOOKUP(BZ$2,Valores!$H$2:$P$154,8,0)</f>
        <v>5396.00977914515</v>
      </c>
      <c r="CA91" s="27" t="n">
        <f aca="false">SUMIF($C$2:$F$2,EOMONTH(CA$2,-1)+1,$C91:$F91)*VLOOKUP(CA$2,Valores!$H$2:$P$154,8,0)</f>
        <v>5396.00977914515</v>
      </c>
      <c r="CB91" s="27" t="n">
        <f aca="false">SUMIF($C$2:$F$2,EOMONTH(CB$2,-1)+1,$C91:$F91)*VLOOKUP(CB$2,Valores!$H$2:$P$154,8,0)</f>
        <v>5396.00977914515</v>
      </c>
      <c r="CC91" s="27" t="n">
        <f aca="false">SUMIF($C$2:$F$2,EOMONTH(CC$2,-1)+1,$C91:$F91)*VLOOKUP(CC$2,Valores!$H$2:$P$154,8,0)</f>
        <v>5396.00977914515</v>
      </c>
      <c r="CD91" s="27" t="n">
        <f aca="false">SUMIF($C$2:$F$2,EOMONTH(CD$2,-1)+1,$C91:$F91)*VLOOKUP(CD$2,Valores!$H$2:$P$154,8,0)</f>
        <v>16188.0293374354</v>
      </c>
      <c r="CE91" s="27" t="n">
        <f aca="false">SUMIF($C$2:$F$2,EOMONTH(CE$2,-1)+1,$C91:$F91)*VLOOKUP(CE$2,Valores!$H$2:$P$154,8,0)</f>
        <v>21584.0391165806</v>
      </c>
      <c r="CF91" s="27" t="n">
        <f aca="false">SUMIF($C$2:$F$2,EOMONTH(CF$2,-1)+1,$C91:$F91)*VLOOKUP(CF$2,Valores!$H$2:$P$154,8,0)</f>
        <v>13490.0244478629</v>
      </c>
      <c r="CG91" s="27" t="n">
        <f aca="false">SUMIF($C$2:$F$2,EOMONTH(CG$2,-1)+1,$C91:$F91)*VLOOKUP(CG$2,Valores!$H$2:$P$154,8,0)</f>
        <v>7194.67970552686</v>
      </c>
      <c r="CH91" s="27" t="n">
        <f aca="false">SUMIF($C$2:$F$2,EOMONTH(CH$2,-1)+1,$C91:$F91)*VLOOKUP(CH$2,Valores!$H$2:$P$154,8,0)</f>
        <v>7194.67970552686</v>
      </c>
      <c r="CI91" s="27" t="n">
        <f aca="false">SUMIF($C$2:$F$2,EOMONTH(CI$2,-1)+1,$C91:$F91)*VLOOKUP(CI$2,Valores!$H$2:$P$154,8,0)</f>
        <v>7194.67970552686</v>
      </c>
      <c r="CJ91" s="27" t="n">
        <f aca="false">SUMIF($C$2:$F$2,EOMONTH(CJ$2,-1)+1,$C91:$F91)*VLOOKUP(CJ$2,Valores!$H$2:$P$154,8,0)</f>
        <v>7194.67970552686</v>
      </c>
      <c r="CK91" s="27" t="n">
        <f aca="false">SUMIF($C$2:$F$2,EOMONTH(CK$2,-1)+1,$C91:$F91)*VLOOKUP(CK$2,Valores!$H$2:$P$154,8,0)</f>
        <v>14389.3594110537</v>
      </c>
      <c r="CL91" s="27" t="n">
        <f aca="false">SUMIF($C$2:$F$2,EOMONTH(CL$2,-1)+1,$C91:$F91)*VLOOKUP(CL$2,Valores!$H$2:$P$154,8,0)</f>
        <v>17986.6992638172</v>
      </c>
      <c r="CM91" s="27" t="n">
        <f aca="false">SUMIF($C$2:$F$2,EOMONTH(CM$2,-1)+1,$C91:$F91)*VLOOKUP(CM$2,Valores!$H$2:$P$154,8,0)</f>
        <v>10792.0195582903</v>
      </c>
      <c r="CN91" s="27" t="n">
        <f aca="false">SUMIF($C$2:$F$2,EOMONTH(CN$2,-1)+1,$C91:$F91)*VLOOKUP(CN$2,Valores!$H$2:$P$154,8,0)</f>
        <v>7914.14767607955</v>
      </c>
      <c r="CO91" s="27" t="n">
        <f aca="false">SUMIF($C$2:$F$2,EOMONTH(CO$2,-1)+1,$C91:$F91)*VLOOKUP(CO$2,Valores!$H$2:$P$154,8,0)</f>
        <v>7914.14767607955</v>
      </c>
      <c r="CP91" s="27" t="n">
        <f aca="false">SUMIF($C$2:$F$2,EOMONTH(CP$2,-1)+1,$C91:$F91)*VLOOKUP(CP$2,Valores!$H$2:$P$154,8,0)</f>
        <v>7914.14767607955</v>
      </c>
      <c r="CQ91" s="27" t="n">
        <f aca="false">SUMIF($C$2:$F$2,EOMONTH(CQ$2,-1)+1,$C91:$F91)*VLOOKUP(CQ$2,Valores!$H$2:$P$154,8,0)</f>
        <v>7914.14767607955</v>
      </c>
      <c r="CR91" s="27" t="n">
        <f aca="false">SUMIF($C$2:$F$2,EOMONTH(CR$2,-1)+1,$C91:$F91)*VLOOKUP(CR$2,Valores!$H$2:$P$154,8,0)</f>
        <v>15828.2953521591</v>
      </c>
      <c r="CS91" s="27" t="n">
        <f aca="false">SUMIF($C$2:$F$2,EOMONTH(CS$2,-1)+1,$C91:$F91)*VLOOKUP(CS$2,Valores!$H$2:$P$154,8,0)</f>
        <v>23742.4430282387</v>
      </c>
      <c r="CT91" s="27" t="e">
        <f aca="false">SUMIF($C$2:$F$2,EOMONTH(CT$2,-1)+1,$C91:$F91)*VLOOKUP(CT$2,Valores!$H$2:$P$154,8,0)</f>
        <v>#VALUE!</v>
      </c>
      <c r="CU91" s="27" t="e">
        <f aca="false">SUMIF($C$2:$F$2,EOMONTH(CU$2,-1)+1,$C91:$F91)*VLOOKUP(CU$2,Valores!$H$2:$P$154,8,0)</f>
        <v>#VALUE!</v>
      </c>
      <c r="CV91" s="27" t="e">
        <f aca="false">SUMIF($C$2:$F$2,EOMONTH(CV$2,-1)+1,$C91:$F91)*VLOOKUP(CV$2,Valores!$H$2:$P$154,8,0)</f>
        <v>#VALUE!</v>
      </c>
      <c r="CW91" s="27" t="e">
        <f aca="false">SUMIF($C$2:$F$2,EOMONTH(CW$2,-1)+1,$C91:$F91)*VLOOKUP(CW$2,Valores!$H$2:$P$154,8,0)</f>
        <v>#VALUE!</v>
      </c>
      <c r="CX91" s="27" t="e">
        <f aca="false">SUMIF($C$2:$F$2,EOMONTH(CX$2,-1)+1,$C91:$F91)*VLOOKUP(CX$2,Valores!$H$2:$P$154,8,0)</f>
        <v>#VALUE!</v>
      </c>
      <c r="CY91" s="27" t="e">
        <f aca="false">SUMIF($C$2:$F$2,EOMONTH(CY$2,-1)+1,$C91:$F91)*VLOOKUP(CY$2,Valores!$H$2:$P$154,8,0)</f>
        <v>#VALUE!</v>
      </c>
      <c r="CZ91" s="27" t="e">
        <f aca="false">SUMIF($C$2:$F$2,EOMONTH(CZ$2,-1)+1,$C91:$F91)*VLOOKUP(CZ$2,Valores!$H$2:$P$154,8,0)</f>
        <v>#VALUE!</v>
      </c>
      <c r="DA91" s="27" t="e">
        <f aca="false">SUMIF($C$2:$F$2,EOMONTH(DA$2,-1)+1,$C91:$F91)*VLOOKUP(DA$2,Valores!$H$2:$P$154,8,0)</f>
        <v>#VALUE!</v>
      </c>
      <c r="DB91" s="27" t="e">
        <f aca="false">SUMIF($C$2:$F$2,EOMONTH(DB$2,-1)+1,$C91:$F91)*VLOOKUP(DB$2,Valores!$H$2:$P$154,8,0)</f>
        <v>#VALUE!</v>
      </c>
      <c r="DC91" s="27" t="e">
        <f aca="false">SUMIF($C$2:$F$2,EOMONTH(DC$2,-1)+1,$C91:$F91)*VLOOKUP(DC$2,Valores!$H$2:$P$154,8,0)</f>
        <v>#VALUE!</v>
      </c>
      <c r="DD91" s="27" t="e">
        <f aca="false">SUMIF($C$2:$F$2,EOMONTH(DD$2,-1)+1,$C91:$F91)*VLOOKUP(DD$2,Valores!$H$2:$P$154,8,0)</f>
        <v>#VALUE!</v>
      </c>
      <c r="DE91" s="27" t="e">
        <f aca="false">SUMIF($C$2:$F$2,EOMONTH(DE$2,-1)+1,$C91:$F91)*VLOOKUP(DE$2,Valores!$H$2:$P$154,8,0)</f>
        <v>#VALUE!</v>
      </c>
      <c r="DF91" s="27" t="e">
        <f aca="false">SUMIF($C$2:$F$2,EOMONTH(DF$2,-1)+1,$C91:$F91)*VLOOKUP(DF$2,Valores!$H$2:$P$154,8,0)</f>
        <v>#VALUE!</v>
      </c>
      <c r="DG91" s="27" t="e">
        <f aca="false">SUMIF($C$2:$F$2,EOMONTH(DG$2,-1)+1,$C91:$F91)*VLOOKUP(DG$2,Valores!$H$2:$P$154,8,0)</f>
        <v>#VALUE!</v>
      </c>
      <c r="DH91" s="27" t="e">
        <f aca="false">SUMIF($C$2:$F$2,EOMONTH(DH$2,-1)+1,$C91:$F91)*VLOOKUP(DH$2,Valores!$H$2:$P$154,8,0)</f>
        <v>#VALUE!</v>
      </c>
      <c r="DI91" s="27" t="e">
        <f aca="false">SUMIF($C$2:$F$2,EOMONTH(DI$2,-1)+1,$C91:$F91)*VLOOKUP(DI$2,Valores!$H$2:$P$154,8,0)</f>
        <v>#VALUE!</v>
      </c>
      <c r="DJ91" s="27" t="e">
        <f aca="false">SUMIF($C$2:$F$2,EOMONTH(DJ$2,-1)+1,$C91:$F91)*VLOOKUP(DJ$2,Valores!$H$2:$P$154,8,0)</f>
        <v>#VALUE!</v>
      </c>
      <c r="DK91" s="27" t="e">
        <f aca="false">SUMIF($C$2:$F$2,EOMONTH(DK$2,-1)+1,$C91:$F91)*VLOOKUP(DK$2,Valores!$H$2:$P$154,8,0)</f>
        <v>#VALUE!</v>
      </c>
      <c r="DL91" s="27" t="e">
        <f aca="false">SUMIF($C$2:$F$2,EOMONTH(DL$2,-1)+1,$C91:$F91)*VLOOKUP(DL$2,Valores!$H$2:$P$154,8,0)</f>
        <v>#VALUE!</v>
      </c>
      <c r="DM91" s="27" t="e">
        <f aca="false">SUMIF($C$2:$F$2,EOMONTH(DM$2,-1)+1,$C91:$F91)*VLOOKUP(DM$2,Valores!$H$2:$P$154,8,0)</f>
        <v>#VALUE!</v>
      </c>
      <c r="DN91" s="27" t="e">
        <f aca="false">SUMIF($C$2:$F$2,EOMONTH(DN$2,-1)+1,$C91:$F91)*VLOOKUP(DN$2,Valores!$H$2:$P$154,8,0)</f>
        <v>#VALUE!</v>
      </c>
      <c r="DO91" s="27" t="e">
        <f aca="false">SUMIF($C$2:$F$2,EOMONTH(DO$2,-1)+1,$C91:$F91)*VLOOKUP(DO$2,Valores!$H$2:$P$154,8,0)</f>
        <v>#VALUE!</v>
      </c>
      <c r="DP91" s="27" t="e">
        <f aca="false">SUMIF($C$2:$F$2,EOMONTH(DP$2,-1)+1,$C91:$F91)*VLOOKUP(DP$2,Valores!$H$2:$P$154,8,0)</f>
        <v>#VALUE!</v>
      </c>
      <c r="DQ91" s="27" t="e">
        <f aca="false">SUMIF($C$2:$F$2,EOMONTH(DQ$2,-1)+1,$C91:$F91)*VLOOKUP(DQ$2,Valores!$H$2:$P$154,8,0)</f>
        <v>#VALUE!</v>
      </c>
      <c r="DR91" s="27" t="e">
        <f aca="false">SUMIF($C$2:$F$2,EOMONTH(DR$2,-1)+1,$C91:$F91)*VLOOKUP(DR$2,Valores!$H$2:$P$154,8,0)</f>
        <v>#VALUE!</v>
      </c>
      <c r="DS91" s="27" t="e">
        <f aca="false">SUMIF($C$2:$F$2,EOMONTH(DS$2,-1)+1,$C91:$F91)*VLOOKUP(DS$2,Valores!$H$2:$P$154,8,0)</f>
        <v>#VALUE!</v>
      </c>
      <c r="DT91" s="27" t="e">
        <f aca="false">SUMIF($C$2:$F$2,EOMONTH(DT$2,-1)+1,$C91:$F91)*VLOOKUP(DT$2,Valores!$H$2:$P$154,8,0)</f>
        <v>#VALUE!</v>
      </c>
      <c r="DU91" s="27" t="e">
        <f aca="false">SUMIF($C$2:$F$2,EOMONTH(DU$2,-1)+1,$C91:$F91)*VLOOKUP(DU$2,Valores!$H$2:$P$154,8,0)</f>
        <v>#VALUE!</v>
      </c>
      <c r="DV91" s="27" t="e">
        <f aca="false">SUMIF($C$2:$F$2,EOMONTH(DV$2,-1)+1,$C91:$F91)*VLOOKUP(DV$2,Valores!$H$2:$P$154,8,0)</f>
        <v>#VALUE!</v>
      </c>
      <c r="DW91" s="27" t="e">
        <f aca="false">SUMIF($C$2:$F$2,EOMONTH(DW$2,-1)+1,$C91:$F91)*VLOOKUP(DW$2,Valores!$H$2:$P$154,8,0)</f>
        <v>#VALUE!</v>
      </c>
      <c r="DX91" s="27" t="e">
        <f aca="false">SUMIF($C$2:$F$2,EOMONTH(DX$2,-1)+1,$C91:$F91)*VLOOKUP(DX$2,Valores!$H$2:$P$154,8,0)</f>
        <v>#VALUE!</v>
      </c>
    </row>
    <row r="92" customFormat="false" ht="13.8" hidden="false" customHeight="false" outlineLevel="0" collapsed="false">
      <c r="A92" s="33" t="s">
        <v>91</v>
      </c>
      <c r="B92" s="29" t="s">
        <v>115</v>
      </c>
      <c r="C92" s="29" t="n">
        <v>388006</v>
      </c>
      <c r="D92" s="29" t="n">
        <v>349205.4</v>
      </c>
      <c r="E92" s="29" t="n">
        <v>314284.86</v>
      </c>
      <c r="F92" s="29" t="n">
        <v>282856.374</v>
      </c>
      <c r="G92" s="30" t="n">
        <f aca="false">SUMIF($C$2:$F$2,EOMONTH(G$2,-1)+1,$C92:$F92)*VLOOKUP(G$2,Valores!$H$2:$P$154,8,0)</f>
        <v>11173.4490702649</v>
      </c>
      <c r="H92" s="30" t="n">
        <f aca="false">SUMIF($C$2:$F$2,EOMONTH(H$2,-1)+1,$C92:$F92)*VLOOKUP(H$2,Valores!$H$2:$P$154,8,0)</f>
        <v>7661.79364818167</v>
      </c>
      <c r="I92" s="30" t="n">
        <f aca="false">SUMIF($C$2:$F$2,EOMONTH(I$2,-1)+1,$C92:$F92)*VLOOKUP(I$2,Valores!$H$2:$P$154,8,0)</f>
        <v>7661.79364818167</v>
      </c>
      <c r="J92" s="30" t="n">
        <f aca="false">SUMIF($C$2:$F$2,EOMONTH(J$2,-1)+1,$C92:$F92)*VLOOKUP(J$2,Valores!$H$2:$P$154,8,0)</f>
        <v>7661.79364818167</v>
      </c>
      <c r="K92" s="30" t="n">
        <f aca="false">SUMIF($C$2:$F$2,EOMONTH(K$2,-1)+1,$C92:$F92)*VLOOKUP(K$2,Valores!$H$2:$P$154,8,0)</f>
        <v>7661.79364818167</v>
      </c>
      <c r="L92" s="30" t="n">
        <f aca="false">SUMIF($C$2:$F$2,EOMONTH(L$2,-1)+1,$C92:$F92)*VLOOKUP(L$2,Valores!$H$2:$P$154,8,0)</f>
        <v>15323.5872963633</v>
      </c>
      <c r="M92" s="30" t="n">
        <f aca="false">SUMIF($C$2:$F$2,EOMONTH(M$2,-1)+1,$C92:$F92)*VLOOKUP(M$2,Valores!$H$2:$P$154,8,0)</f>
        <v>19154.4841204542</v>
      </c>
      <c r="N92" s="30" t="n">
        <f aca="false">SUMIF($C$2:$F$2,EOMONTH(N$2,-1)+1,$C92:$F92)*VLOOKUP(N$2,Valores!$H$2:$P$154,8,0)</f>
        <v>11492.6904722725</v>
      </c>
      <c r="O92" s="30" t="n">
        <f aca="false">SUMIF($C$2:$F$2,EOMONTH(O$2,-1)+1,$C92:$F92)*VLOOKUP(O$2,Valores!$H$2:$P$154,8,0)</f>
        <v>10215.7248642422</v>
      </c>
      <c r="P92" s="30" t="n">
        <f aca="false">SUMIF($C$2:$F$2,EOMONTH(P$2,-1)+1,$C92:$F92)*VLOOKUP(P$2,Valores!$H$2:$P$154,8,0)</f>
        <v>10215.7248642422</v>
      </c>
      <c r="Q92" s="30" t="n">
        <f aca="false">SUMIF($C$2:$F$2,EOMONTH(Q$2,-1)+1,$C92:$F92)*VLOOKUP(Q$2,Valores!$H$2:$P$154,8,0)</f>
        <v>6129.43491854533</v>
      </c>
      <c r="R92" s="30" t="n">
        <f aca="false">SUMIF($C$2:$F$2,EOMONTH(R$2,-1)+1,$C92:$F92)*VLOOKUP(R$2,Valores!$H$2:$P$154,8,0)</f>
        <v>10215.7248642422</v>
      </c>
      <c r="S92" s="30" t="n">
        <f aca="false">SUMIF($C$2:$F$2,EOMONTH(S$2,-1)+1,$C92:$F92)*VLOOKUP(S$2,Valores!$H$2:$P$154,8,0)</f>
        <v>20431.4497284844</v>
      </c>
      <c r="T92" s="30" t="n">
        <f aca="false">SUMIF($C$2:$F$2,EOMONTH(T$2,-1)+1,$C92:$F92)*VLOOKUP(T$2,Valores!$H$2:$P$154,8,0)</f>
        <v>25539.3121606056</v>
      </c>
      <c r="U92" s="30" t="n">
        <f aca="false">SUMIF($C$2:$F$2,EOMONTH(U$2,-1)+1,$C92:$F92)*VLOOKUP(U$2,Valores!$H$2:$P$154,8,0)</f>
        <v>15323.5872963633</v>
      </c>
      <c r="V92" s="30" t="n">
        <f aca="false">SUMIF($C$2:$F$2,EOMONTH(V$2,-1)+1,$C92:$F92)*VLOOKUP(V$2,Valores!$H$2:$P$154,8,0)</f>
        <v>12769.6560803028</v>
      </c>
      <c r="W92" s="30" t="n">
        <f aca="false">SUMIF($C$2:$F$2,EOMONTH(W$2,-1)+1,$C92:$F92)*VLOOKUP(W$2,Valores!$H$2:$P$154,8,0)</f>
        <v>12769.6560803028</v>
      </c>
      <c r="X92" s="30" t="n">
        <f aca="false">SUMIF($C$2:$F$2,EOMONTH(X$2,-1)+1,$C92:$F92)*VLOOKUP(X$2,Valores!$H$2:$P$154,8,0)</f>
        <v>0</v>
      </c>
      <c r="Y92" s="30" t="n">
        <f aca="false">SUMIF($C$2:$F$2,EOMONTH(Y$2,-1)+1,$C92:$F92)*VLOOKUP(Y$2,Valores!$H$2:$P$154,8,0)</f>
        <v>0</v>
      </c>
      <c r="Z92" s="30" t="n">
        <f aca="false">SUMIF($C$2:$F$2,EOMONTH(Z$2,-1)+1,$C92:$F92)*VLOOKUP(Z$2,Valores!$H$2:$P$154,8,0)</f>
        <v>19154.4841204542</v>
      </c>
      <c r="AA92" s="30" t="n">
        <f aca="false">SUMIF($C$2:$F$2,EOMONTH(AA$2,-1)+1,$C92:$F92)*VLOOKUP(AA$2,Valores!$H$2:$P$154,8,0)</f>
        <v>22985.380944545</v>
      </c>
      <c r="AB92" s="30" t="n">
        <f aca="false">SUMIF($C$2:$F$2,EOMONTH(AB$2,-1)+1,$C92:$F92)*VLOOKUP(AB$2,Valores!$H$2:$P$154,8,0)</f>
        <v>11492.6904722725</v>
      </c>
      <c r="AC92" s="30" t="n">
        <f aca="false">SUMIF($C$2:$F$2,EOMONTH(AC$2,-1)+1,$C92:$F92)*VLOOKUP(AC$2,Valores!$H$2:$P$154,8,0)</f>
        <v>14046.6216883331</v>
      </c>
      <c r="AD92" s="30" t="n">
        <f aca="false">SUMIF($C$2:$F$2,EOMONTH(AD$2,-1)+1,$C92:$F92)*VLOOKUP(AD$2,Valores!$H$2:$P$154,8,0)</f>
        <v>14046.6216883331</v>
      </c>
      <c r="AE92" s="30" t="n">
        <f aca="false">SUMIF($C$2:$F$2,EOMONTH(AE$2,-1)+1,$C92:$F92)*VLOOKUP(AE$2,Valores!$H$2:$P$154,8,0)</f>
        <v>14046.6216883331</v>
      </c>
      <c r="AF92" s="30" t="n">
        <f aca="false">SUMIF($C$2:$F$2,EOMONTH(AF$2,-1)+1,$C92:$F92)*VLOOKUP(AF$2,Valores!$H$2:$P$154,8,0)</f>
        <v>14046.6216883331</v>
      </c>
      <c r="AG92" s="30" t="n">
        <f aca="false">SUMIF($C$2:$F$2,EOMONTH(AG$2,-1)+1,$C92:$F92)*VLOOKUP(AG$2,Valores!$H$2:$P$154,8,0)</f>
        <v>22474.5947013329</v>
      </c>
      <c r="AH92" s="30" t="n">
        <f aca="false">SUMIF($C$2:$F$2,EOMONTH(AH$2,-1)+1,$C92:$F92)*VLOOKUP(AH$2,Valores!$H$2:$P$154,8,0)</f>
        <v>28093.2433766661</v>
      </c>
      <c r="AI92" s="30" t="n">
        <f aca="false">SUMIF($C$2:$F$2,EOMONTH(AI$2,-1)+1,$C92:$F92)*VLOOKUP(AI$2,Valores!$H$2:$P$154,8,0)</f>
        <v>9832.63518183314</v>
      </c>
      <c r="AJ92" s="30" t="n">
        <f aca="false">SUMIF($C$2:$F$2,EOMONTH(AJ$2,-1)+1,$C92:$F92)*VLOOKUP(AJ$2,Valores!$H$2:$P$154,8,0)</f>
        <v>6384.82804015139</v>
      </c>
      <c r="AK92" s="30" t="n">
        <f aca="false">SUMIF($C$2:$F$2,EOMONTH(AK$2,-1)+1,$C92:$F92)*VLOOKUP(AK$2,Valores!$H$2:$P$154,8,0)</f>
        <v>11643.2294172283</v>
      </c>
      <c r="AL92" s="30" t="n">
        <f aca="false">SUMIF($C$2:$F$2,EOMONTH(AL$2,-1)+1,$C92:$F92)*VLOOKUP(AL$2,Valores!$H$2:$P$154,8,0)</f>
        <v>11643.2294172283</v>
      </c>
      <c r="AM92" s="30" t="n">
        <f aca="false">SUMIF($C$2:$F$2,EOMONTH(AM$2,-1)+1,$C92:$F92)*VLOOKUP(AM$2,Valores!$H$2:$P$154,8,0)</f>
        <v>11643.2294172283</v>
      </c>
      <c r="AN92" s="30" t="n">
        <f aca="false">SUMIF($C$2:$F$2,EOMONTH(AN$2,-1)+1,$C92:$F92)*VLOOKUP(AN$2,Valores!$H$2:$P$154,8,0)</f>
        <v>23286.4588344566</v>
      </c>
      <c r="AO92" s="30" t="n">
        <f aca="false">SUMIF($C$2:$F$2,EOMONTH(AO$2,-1)+1,$C92:$F92)*VLOOKUP(AO$2,Valores!$H$2:$P$154,8,0)</f>
        <v>29108.0735430708</v>
      </c>
      <c r="AP92" s="30" t="n">
        <f aca="false">SUMIF($C$2:$F$2,EOMONTH(AP$2,-1)+1,$C92:$F92)*VLOOKUP(AP$2,Valores!$H$2:$P$154,8,0)</f>
        <v>17464.8441258425</v>
      </c>
      <c r="AQ92" s="30" t="n">
        <f aca="false">SUMIF($C$2:$F$2,EOMONTH(AQ$2,-1)+1,$C92:$F92)*VLOOKUP(AQ$2,Valores!$H$2:$P$154,8,0)</f>
        <v>6237.44433065803</v>
      </c>
      <c r="AR92" s="30" t="n">
        <f aca="false">SUMIF($C$2:$F$2,EOMONTH(AR$2,-1)+1,$C92:$F92)*VLOOKUP(AR$2,Valores!$H$2:$P$154,8,0)</f>
        <v>6237.44433065803</v>
      </c>
      <c r="AS92" s="30" t="n">
        <f aca="false">SUMIF($C$2:$F$2,EOMONTH(AS$2,-1)+1,$C92:$F92)*VLOOKUP(AS$2,Valores!$H$2:$P$154,8,0)</f>
        <v>6237.44433065803</v>
      </c>
      <c r="AT92" s="30" t="n">
        <f aca="false">SUMIF($C$2:$F$2,EOMONTH(AT$2,-1)+1,$C92:$F92)*VLOOKUP(AT$2,Valores!$H$2:$P$154,8,0)</f>
        <v>6237.44433065803</v>
      </c>
      <c r="AU92" s="30" t="n">
        <f aca="false">SUMIF($C$2:$F$2,EOMONTH(AU$2,-1)+1,$C92:$F92)*VLOOKUP(AU$2,Valores!$H$2:$P$154,8,0)</f>
        <v>12474.8886613161</v>
      </c>
      <c r="AV92" s="30" t="n">
        <f aca="false">SUMIF($C$2:$F$2,EOMONTH(AV$2,-1)+1,$C92:$F92)*VLOOKUP(AV$2,Valores!$H$2:$P$154,8,0)</f>
        <v>15593.6108266451</v>
      </c>
      <c r="AW92" s="30" t="n">
        <f aca="false">SUMIF($C$2:$F$2,EOMONTH(AW$2,-1)+1,$C92:$F92)*VLOOKUP(AW$2,Valores!$H$2:$P$154,8,0)</f>
        <v>9356.16649598704</v>
      </c>
      <c r="AX92" s="30" t="n">
        <f aca="false">SUMIF($C$2:$F$2,EOMONTH(AX$2,-1)+1,$C92:$F92)*VLOOKUP(AX$2,Valores!$H$2:$P$154,8,0)</f>
        <v>6237.44433065803</v>
      </c>
      <c r="AY92" s="30" t="n">
        <f aca="false">SUMIF($C$2:$F$2,EOMONTH(AY$2,-1)+1,$C92:$F92)*VLOOKUP(AY$2,Valores!$H$2:$P$154,8,0)</f>
        <v>8108.67762985544</v>
      </c>
      <c r="AZ92" s="30" t="n">
        <f aca="false">SUMIF($C$2:$F$2,EOMONTH(AZ$2,-1)+1,$C92:$F92)*VLOOKUP(AZ$2,Valores!$H$2:$P$154,8,0)</f>
        <v>8108.67762985544</v>
      </c>
      <c r="BA92" s="30" t="n">
        <f aca="false">SUMIF($C$2:$F$2,EOMONTH(BA$2,-1)+1,$C92:$F92)*VLOOKUP(BA$2,Valores!$H$2:$P$154,8,0)</f>
        <v>8108.67762985544</v>
      </c>
      <c r="BB92" s="30" t="n">
        <f aca="false">SUMIF($C$2:$F$2,EOMONTH(BB$2,-1)+1,$C92:$F92)*VLOOKUP(BB$2,Valores!$H$2:$P$154,8,0)</f>
        <v>14346.1219605135</v>
      </c>
      <c r="BC92" s="30" t="n">
        <f aca="false">SUMIF($C$2:$F$2,EOMONTH(BC$2,-1)+1,$C92:$F92)*VLOOKUP(BC$2,Valores!$H$2:$P$154,8,0)</f>
        <v>17464.8441258425</v>
      </c>
      <c r="BD92" s="30" t="n">
        <f aca="false">SUMIF($C$2:$F$2,EOMONTH(BD$2,-1)+1,$C92:$F92)*VLOOKUP(BD$2,Valores!$H$2:$P$154,8,0)</f>
        <v>9356.16649598704</v>
      </c>
      <c r="BE92" s="30" t="n">
        <f aca="false">SUMIF($C$2:$F$2,EOMONTH(BE$2,-1)+1,$C92:$F92)*VLOOKUP(BE$2,Valores!$H$2:$P$154,8,0)</f>
        <v>8316.59244087737</v>
      </c>
      <c r="BF92" s="30" t="n">
        <f aca="false">SUMIF($C$2:$F$2,EOMONTH(BF$2,-1)+1,$C92:$F92)*VLOOKUP(BF$2,Valores!$H$2:$P$154,8,0)</f>
        <v>8316.59244087737</v>
      </c>
      <c r="BG92" s="30" t="n">
        <f aca="false">SUMIF($C$2:$F$2,EOMONTH(BG$2,-1)+1,$C92:$F92)*VLOOKUP(BG$2,Valores!$H$2:$P$154,8,0)</f>
        <v>8316.59244087737</v>
      </c>
      <c r="BH92" s="30" t="n">
        <f aca="false">SUMIF($C$2:$F$2,EOMONTH(BH$2,-1)+1,$C92:$F92)*VLOOKUP(BH$2,Valores!$H$2:$P$154,8,0)</f>
        <v>8316.59244087737</v>
      </c>
      <c r="BI92" s="30" t="n">
        <f aca="false">SUMIF($C$2:$F$2,EOMONTH(BI$2,-1)+1,$C92:$F92)*VLOOKUP(BI$2,Valores!$H$2:$P$154,8,0)</f>
        <v>16633.1848817547</v>
      </c>
      <c r="BJ92" s="30" t="n">
        <f aca="false">SUMIF($C$2:$F$2,EOMONTH(BJ$2,-1)+1,$C92:$F92)*VLOOKUP(BJ$2,Valores!$H$2:$P$154,8,0)</f>
        <v>20791.4811021934</v>
      </c>
      <c r="BK92" s="30" t="n">
        <f aca="false">SUMIF($C$2:$F$2,EOMONTH(BK$2,-1)+1,$C92:$F92)*VLOOKUP(BK$2,Valores!$H$2:$P$154,8,0)</f>
        <v>9979.91092905285</v>
      </c>
      <c r="BL92" s="30" t="n">
        <f aca="false">SUMIF($C$2:$F$2,EOMONTH(BL$2,-1)+1,$C92:$F92)*VLOOKUP(BL$2,Valores!$H$2:$P$154,8,0)</f>
        <v>7318.60134797209</v>
      </c>
      <c r="BM92" s="30" t="n">
        <f aca="false">SUMIF($C$2:$F$2,EOMONTH(BM$2,-1)+1,$C92:$F92)*VLOOKUP(BM$2,Valores!$H$2:$P$154,8,0)</f>
        <v>7318.60134797209</v>
      </c>
      <c r="BN92" s="30" t="n">
        <f aca="false">SUMIF($C$2:$F$2,EOMONTH(BN$2,-1)+1,$C92:$F92)*VLOOKUP(BN$2,Valores!$H$2:$P$154,8,0)</f>
        <v>7318.60134797209</v>
      </c>
      <c r="BO92" s="30" t="n">
        <f aca="false">SUMIF($C$2:$F$2,EOMONTH(BO$2,-1)+1,$C92:$F92)*VLOOKUP(BO$2,Valores!$H$2:$P$154,8,0)</f>
        <v>7684.53141537069</v>
      </c>
      <c r="BP92" s="30" t="n">
        <f aca="false">SUMIF($C$2:$F$2,EOMONTH(BP$2,-1)+1,$C92:$F92)*VLOOKUP(BP$2,Valores!$H$2:$P$154,8,0)</f>
        <v>19338.4816613559</v>
      </c>
      <c r="BQ92" s="30" t="n">
        <f aca="false">SUMIF($C$2:$F$2,EOMONTH(BQ$2,-1)+1,$C92:$F92)*VLOOKUP(BQ$2,Valores!$H$2:$P$154,8,0)</f>
        <v>24173.1020766949</v>
      </c>
      <c r="BR92" s="30" t="n">
        <f aca="false">SUMIF($C$2:$F$2,EOMONTH(BR$2,-1)+1,$C92:$F92)*VLOOKUP(BR$2,Valores!$H$2:$P$154,8,0)</f>
        <v>11603.0889968135</v>
      </c>
      <c r="BS92" s="30" t="n">
        <f aca="false">SUMIF($C$2:$F$2,EOMONTH(BS$2,-1)+1,$C92:$F92)*VLOOKUP(BS$2,Valores!$H$2:$P$154,8,0)</f>
        <v>5179.95044500604</v>
      </c>
      <c r="BT92" s="30" t="n">
        <f aca="false">SUMIF($C$2:$F$2,EOMONTH(BT$2,-1)+1,$C92:$F92)*VLOOKUP(BT$2,Valores!$H$2:$P$154,8,0)</f>
        <v>5179.95044500604</v>
      </c>
      <c r="BU92" s="30" t="n">
        <f aca="false">SUMIF($C$2:$F$2,EOMONTH(BU$2,-1)+1,$C92:$F92)*VLOOKUP(BU$2,Valores!$H$2:$P$154,8,0)</f>
        <v>5179.95044500604</v>
      </c>
      <c r="BV92" s="30" t="n">
        <f aca="false">SUMIF($C$2:$F$2,EOMONTH(BV$2,-1)+1,$C92:$F92)*VLOOKUP(BV$2,Valores!$H$2:$P$154,8,0)</f>
        <v>5179.95044500604</v>
      </c>
      <c r="BW92" s="30" t="n">
        <f aca="false">SUMIF($C$2:$F$2,EOMONTH(BW$2,-1)+1,$C92:$F92)*VLOOKUP(BW$2,Valores!$H$2:$P$154,8,0)</f>
        <v>10359.9008900121</v>
      </c>
      <c r="BX92" s="30" t="n">
        <f aca="false">SUMIF($C$2:$F$2,EOMONTH(BX$2,-1)+1,$C92:$F92)*VLOOKUP(BX$2,Valores!$H$2:$P$154,8,0)</f>
        <v>12949.8761125151</v>
      </c>
      <c r="BY92" s="30" t="n">
        <f aca="false">SUMIF($C$2:$F$2,EOMONTH(BY$2,-1)+1,$C92:$F92)*VLOOKUP(BY$2,Valores!$H$2:$P$154,8,0)</f>
        <v>7769.92566750906</v>
      </c>
      <c r="BZ92" s="30" t="n">
        <f aca="false">SUMIF($C$2:$F$2,EOMONTH(BZ$2,-1)+1,$C92:$F92)*VLOOKUP(BZ$2,Valores!$H$2:$P$154,8,0)</f>
        <v>5179.95044500604</v>
      </c>
      <c r="CA92" s="30" t="n">
        <f aca="false">SUMIF($C$2:$F$2,EOMONTH(CA$2,-1)+1,$C92:$F92)*VLOOKUP(CA$2,Valores!$H$2:$P$154,8,0)</f>
        <v>5179.95044500604</v>
      </c>
      <c r="CB92" s="30" t="n">
        <f aca="false">SUMIF($C$2:$F$2,EOMONTH(CB$2,-1)+1,$C92:$F92)*VLOOKUP(CB$2,Valores!$H$2:$P$154,8,0)</f>
        <v>5179.95044500604</v>
      </c>
      <c r="CC92" s="30" t="n">
        <f aca="false">SUMIF($C$2:$F$2,EOMONTH(CC$2,-1)+1,$C92:$F92)*VLOOKUP(CC$2,Valores!$H$2:$P$154,8,0)</f>
        <v>5179.95044500604</v>
      </c>
      <c r="CD92" s="30" t="n">
        <f aca="false">SUMIF($C$2:$F$2,EOMONTH(CD$2,-1)+1,$C92:$F92)*VLOOKUP(CD$2,Valores!$H$2:$P$154,8,0)</f>
        <v>15539.8513350181</v>
      </c>
      <c r="CE92" s="30" t="n">
        <f aca="false">SUMIF($C$2:$F$2,EOMONTH(CE$2,-1)+1,$C92:$F92)*VLOOKUP(CE$2,Valores!$H$2:$P$154,8,0)</f>
        <v>20719.8017800242</v>
      </c>
      <c r="CF92" s="30" t="n">
        <f aca="false">SUMIF($C$2:$F$2,EOMONTH(CF$2,-1)+1,$C92:$F92)*VLOOKUP(CF$2,Valores!$H$2:$P$154,8,0)</f>
        <v>12949.8761125151</v>
      </c>
      <c r="CG92" s="30" t="n">
        <f aca="false">SUMIF($C$2:$F$2,EOMONTH(CG$2,-1)+1,$C92:$F92)*VLOOKUP(CG$2,Valores!$H$2:$P$154,8,0)</f>
        <v>6906.60059334139</v>
      </c>
      <c r="CH92" s="30" t="n">
        <f aca="false">SUMIF($C$2:$F$2,EOMONTH(CH$2,-1)+1,$C92:$F92)*VLOOKUP(CH$2,Valores!$H$2:$P$154,8,0)</f>
        <v>6906.60059334139</v>
      </c>
      <c r="CI92" s="30" t="n">
        <f aca="false">SUMIF($C$2:$F$2,EOMONTH(CI$2,-1)+1,$C92:$F92)*VLOOKUP(CI$2,Valores!$H$2:$P$154,8,0)</f>
        <v>6906.60059334139</v>
      </c>
      <c r="CJ92" s="30" t="n">
        <f aca="false">SUMIF($C$2:$F$2,EOMONTH(CJ$2,-1)+1,$C92:$F92)*VLOOKUP(CJ$2,Valores!$H$2:$P$154,8,0)</f>
        <v>6906.60059334139</v>
      </c>
      <c r="CK92" s="30" t="n">
        <f aca="false">SUMIF($C$2:$F$2,EOMONTH(CK$2,-1)+1,$C92:$F92)*VLOOKUP(CK$2,Valores!$H$2:$P$154,8,0)</f>
        <v>13813.2011866828</v>
      </c>
      <c r="CL92" s="30" t="n">
        <f aca="false">SUMIF($C$2:$F$2,EOMONTH(CL$2,-1)+1,$C92:$F92)*VLOOKUP(CL$2,Valores!$H$2:$P$154,8,0)</f>
        <v>17266.5014833535</v>
      </c>
      <c r="CM92" s="30" t="n">
        <f aca="false">SUMIF($C$2:$F$2,EOMONTH(CM$2,-1)+1,$C92:$F92)*VLOOKUP(CM$2,Valores!$H$2:$P$154,8,0)</f>
        <v>10359.9008900121</v>
      </c>
      <c r="CN92" s="30" t="n">
        <f aca="false">SUMIF($C$2:$F$2,EOMONTH(CN$2,-1)+1,$C92:$F92)*VLOOKUP(CN$2,Valores!$H$2:$P$154,8,0)</f>
        <v>7597.26065267553</v>
      </c>
      <c r="CO92" s="30" t="n">
        <f aca="false">SUMIF($C$2:$F$2,EOMONTH(CO$2,-1)+1,$C92:$F92)*VLOOKUP(CO$2,Valores!$H$2:$P$154,8,0)</f>
        <v>7597.26065267553</v>
      </c>
      <c r="CP92" s="30" t="n">
        <f aca="false">SUMIF($C$2:$F$2,EOMONTH(CP$2,-1)+1,$C92:$F92)*VLOOKUP(CP$2,Valores!$H$2:$P$154,8,0)</f>
        <v>7597.26065267553</v>
      </c>
      <c r="CQ92" s="30" t="n">
        <f aca="false">SUMIF($C$2:$F$2,EOMONTH(CQ$2,-1)+1,$C92:$F92)*VLOOKUP(CQ$2,Valores!$H$2:$P$154,8,0)</f>
        <v>7597.26065267553</v>
      </c>
      <c r="CR92" s="30" t="n">
        <f aca="false">SUMIF($C$2:$F$2,EOMONTH(CR$2,-1)+1,$C92:$F92)*VLOOKUP(CR$2,Valores!$H$2:$P$154,8,0)</f>
        <v>15194.5213053511</v>
      </c>
      <c r="CS92" s="30" t="n">
        <f aca="false">SUMIF($C$2:$F$2,EOMONTH(CS$2,-1)+1,$C92:$F92)*VLOOKUP(CS$2,Valores!$H$2:$P$154,8,0)</f>
        <v>22791.7819580266</v>
      </c>
      <c r="CT92" s="30" t="e">
        <f aca="false">SUMIF($C$2:$F$2,EOMONTH(CT$2,-1)+1,$C92:$F92)*VLOOKUP(CT$2,Valores!$H$2:$P$154,8,0)</f>
        <v>#VALUE!</v>
      </c>
      <c r="CU92" s="30" t="e">
        <f aca="false">SUMIF($C$2:$F$2,EOMONTH(CU$2,-1)+1,$C92:$F92)*VLOOKUP(CU$2,Valores!$H$2:$P$154,8,0)</f>
        <v>#VALUE!</v>
      </c>
      <c r="CV92" s="30" t="e">
        <f aca="false">SUMIF($C$2:$F$2,EOMONTH(CV$2,-1)+1,$C92:$F92)*VLOOKUP(CV$2,Valores!$H$2:$P$154,8,0)</f>
        <v>#VALUE!</v>
      </c>
      <c r="CW92" s="30" t="e">
        <f aca="false">SUMIF($C$2:$F$2,EOMONTH(CW$2,-1)+1,$C92:$F92)*VLOOKUP(CW$2,Valores!$H$2:$P$154,8,0)</f>
        <v>#VALUE!</v>
      </c>
      <c r="CX92" s="30" t="e">
        <f aca="false">SUMIF($C$2:$F$2,EOMONTH(CX$2,-1)+1,$C92:$F92)*VLOOKUP(CX$2,Valores!$H$2:$P$154,8,0)</f>
        <v>#VALUE!</v>
      </c>
      <c r="CY92" s="30" t="e">
        <f aca="false">SUMIF($C$2:$F$2,EOMONTH(CY$2,-1)+1,$C92:$F92)*VLOOKUP(CY$2,Valores!$H$2:$P$154,8,0)</f>
        <v>#VALUE!</v>
      </c>
      <c r="CZ92" s="30" t="e">
        <f aca="false">SUMIF($C$2:$F$2,EOMONTH(CZ$2,-1)+1,$C92:$F92)*VLOOKUP(CZ$2,Valores!$H$2:$P$154,8,0)</f>
        <v>#VALUE!</v>
      </c>
      <c r="DA92" s="30" t="e">
        <f aca="false">SUMIF($C$2:$F$2,EOMONTH(DA$2,-1)+1,$C92:$F92)*VLOOKUP(DA$2,Valores!$H$2:$P$154,8,0)</f>
        <v>#VALUE!</v>
      </c>
      <c r="DB92" s="30" t="e">
        <f aca="false">SUMIF($C$2:$F$2,EOMONTH(DB$2,-1)+1,$C92:$F92)*VLOOKUP(DB$2,Valores!$H$2:$P$154,8,0)</f>
        <v>#VALUE!</v>
      </c>
      <c r="DC92" s="30" t="e">
        <f aca="false">SUMIF($C$2:$F$2,EOMONTH(DC$2,-1)+1,$C92:$F92)*VLOOKUP(DC$2,Valores!$H$2:$P$154,8,0)</f>
        <v>#VALUE!</v>
      </c>
      <c r="DD92" s="30" t="e">
        <f aca="false">SUMIF($C$2:$F$2,EOMONTH(DD$2,-1)+1,$C92:$F92)*VLOOKUP(DD$2,Valores!$H$2:$P$154,8,0)</f>
        <v>#VALUE!</v>
      </c>
      <c r="DE92" s="30" t="e">
        <f aca="false">SUMIF($C$2:$F$2,EOMONTH(DE$2,-1)+1,$C92:$F92)*VLOOKUP(DE$2,Valores!$H$2:$P$154,8,0)</f>
        <v>#VALUE!</v>
      </c>
      <c r="DF92" s="30" t="e">
        <f aca="false">SUMIF($C$2:$F$2,EOMONTH(DF$2,-1)+1,$C92:$F92)*VLOOKUP(DF$2,Valores!$H$2:$P$154,8,0)</f>
        <v>#VALUE!</v>
      </c>
      <c r="DG92" s="30" t="e">
        <f aca="false">SUMIF($C$2:$F$2,EOMONTH(DG$2,-1)+1,$C92:$F92)*VLOOKUP(DG$2,Valores!$H$2:$P$154,8,0)</f>
        <v>#VALUE!</v>
      </c>
      <c r="DH92" s="30" t="e">
        <f aca="false">SUMIF($C$2:$F$2,EOMONTH(DH$2,-1)+1,$C92:$F92)*VLOOKUP(DH$2,Valores!$H$2:$P$154,8,0)</f>
        <v>#VALUE!</v>
      </c>
      <c r="DI92" s="30" t="e">
        <f aca="false">SUMIF($C$2:$F$2,EOMONTH(DI$2,-1)+1,$C92:$F92)*VLOOKUP(DI$2,Valores!$H$2:$P$154,8,0)</f>
        <v>#VALUE!</v>
      </c>
      <c r="DJ92" s="30" t="e">
        <f aca="false">SUMIF($C$2:$F$2,EOMONTH(DJ$2,-1)+1,$C92:$F92)*VLOOKUP(DJ$2,Valores!$H$2:$P$154,8,0)</f>
        <v>#VALUE!</v>
      </c>
      <c r="DK92" s="30" t="e">
        <f aca="false">SUMIF($C$2:$F$2,EOMONTH(DK$2,-1)+1,$C92:$F92)*VLOOKUP(DK$2,Valores!$H$2:$P$154,8,0)</f>
        <v>#VALUE!</v>
      </c>
      <c r="DL92" s="30" t="e">
        <f aca="false">SUMIF($C$2:$F$2,EOMONTH(DL$2,-1)+1,$C92:$F92)*VLOOKUP(DL$2,Valores!$H$2:$P$154,8,0)</f>
        <v>#VALUE!</v>
      </c>
      <c r="DM92" s="30" t="e">
        <f aca="false">SUMIF($C$2:$F$2,EOMONTH(DM$2,-1)+1,$C92:$F92)*VLOOKUP(DM$2,Valores!$H$2:$P$154,8,0)</f>
        <v>#VALUE!</v>
      </c>
      <c r="DN92" s="30" t="e">
        <f aca="false">SUMIF($C$2:$F$2,EOMONTH(DN$2,-1)+1,$C92:$F92)*VLOOKUP(DN$2,Valores!$H$2:$P$154,8,0)</f>
        <v>#VALUE!</v>
      </c>
      <c r="DO92" s="30" t="e">
        <f aca="false">SUMIF($C$2:$F$2,EOMONTH(DO$2,-1)+1,$C92:$F92)*VLOOKUP(DO$2,Valores!$H$2:$P$154,8,0)</f>
        <v>#VALUE!</v>
      </c>
      <c r="DP92" s="30" t="e">
        <f aca="false">SUMIF($C$2:$F$2,EOMONTH(DP$2,-1)+1,$C92:$F92)*VLOOKUP(DP$2,Valores!$H$2:$P$154,8,0)</f>
        <v>#VALUE!</v>
      </c>
      <c r="DQ92" s="30" t="e">
        <f aca="false">SUMIF($C$2:$F$2,EOMONTH(DQ$2,-1)+1,$C92:$F92)*VLOOKUP(DQ$2,Valores!$H$2:$P$154,8,0)</f>
        <v>#VALUE!</v>
      </c>
      <c r="DR92" s="30" t="e">
        <f aca="false">SUMIF($C$2:$F$2,EOMONTH(DR$2,-1)+1,$C92:$F92)*VLOOKUP(DR$2,Valores!$H$2:$P$154,8,0)</f>
        <v>#VALUE!</v>
      </c>
      <c r="DS92" s="30" t="e">
        <f aca="false">SUMIF($C$2:$F$2,EOMONTH(DS$2,-1)+1,$C92:$F92)*VLOOKUP(DS$2,Valores!$H$2:$P$154,8,0)</f>
        <v>#VALUE!</v>
      </c>
      <c r="DT92" s="30" t="e">
        <f aca="false">SUMIF($C$2:$F$2,EOMONTH(DT$2,-1)+1,$C92:$F92)*VLOOKUP(DT$2,Valores!$H$2:$P$154,8,0)</f>
        <v>#VALUE!</v>
      </c>
      <c r="DU92" s="30" t="e">
        <f aca="false">SUMIF($C$2:$F$2,EOMONTH(DU$2,-1)+1,$C92:$F92)*VLOOKUP(DU$2,Valores!$H$2:$P$154,8,0)</f>
        <v>#VALUE!</v>
      </c>
      <c r="DV92" s="30" t="e">
        <f aca="false">SUMIF($C$2:$F$2,EOMONTH(DV$2,-1)+1,$C92:$F92)*VLOOKUP(DV$2,Valores!$H$2:$P$154,8,0)</f>
        <v>#VALUE!</v>
      </c>
      <c r="DW92" s="30" t="e">
        <f aca="false">SUMIF($C$2:$F$2,EOMONTH(DW$2,-1)+1,$C92:$F92)*VLOOKUP(DW$2,Valores!$H$2:$P$154,8,0)</f>
        <v>#VALUE!</v>
      </c>
      <c r="DX92" s="30" t="e">
        <f aca="false">SUMIF($C$2:$F$2,EOMONTH(DX$2,-1)+1,$C92:$F92)*VLOOKUP(DX$2,Valores!$H$2:$P$154,8,0)</f>
        <v>#VALUE!</v>
      </c>
    </row>
    <row r="93" customFormat="false" ht="13.8" hidden="false" customHeight="false" outlineLevel="0" collapsed="false">
      <c r="A93" s="32" t="s">
        <v>91</v>
      </c>
      <c r="B93" s="31" t="s">
        <v>116</v>
      </c>
      <c r="C93" s="31" t="n">
        <v>379237</v>
      </c>
      <c r="D93" s="31" t="n">
        <v>341313.3</v>
      </c>
      <c r="E93" s="31" t="n">
        <v>307181.97</v>
      </c>
      <c r="F93" s="31" t="n">
        <v>276463.773</v>
      </c>
      <c r="G93" s="27" t="n">
        <f aca="false">SUMIF($C$2:$F$2,EOMONTH(G$2,-1)+1,$C93:$F93)*VLOOKUP(G$2,Valores!$H$2:$P$154,8,0)</f>
        <v>10920.9272667435</v>
      </c>
      <c r="H93" s="27" t="n">
        <f aca="false">SUMIF($C$2:$F$2,EOMONTH(H$2,-1)+1,$C93:$F93)*VLOOKUP(H$2,Valores!$H$2:$P$154,8,0)</f>
        <v>7488.63584005266</v>
      </c>
      <c r="I93" s="27" t="n">
        <f aca="false">SUMIF($C$2:$F$2,EOMONTH(I$2,-1)+1,$C93:$F93)*VLOOKUP(I$2,Valores!$H$2:$P$154,8,0)</f>
        <v>7488.63584005266</v>
      </c>
      <c r="J93" s="27" t="n">
        <f aca="false">SUMIF($C$2:$F$2,EOMONTH(J$2,-1)+1,$C93:$F93)*VLOOKUP(J$2,Valores!$H$2:$P$154,8,0)</f>
        <v>7488.63584005266</v>
      </c>
      <c r="K93" s="27" t="n">
        <f aca="false">SUMIF($C$2:$F$2,EOMONTH(K$2,-1)+1,$C93:$F93)*VLOOKUP(K$2,Valores!$H$2:$P$154,8,0)</f>
        <v>7488.63584005266</v>
      </c>
      <c r="L93" s="27" t="n">
        <f aca="false">SUMIF($C$2:$F$2,EOMONTH(L$2,-1)+1,$C93:$F93)*VLOOKUP(L$2,Valores!$H$2:$P$154,8,0)</f>
        <v>14977.2716801053</v>
      </c>
      <c r="M93" s="27" t="n">
        <f aca="false">SUMIF($C$2:$F$2,EOMONTH(M$2,-1)+1,$C93:$F93)*VLOOKUP(M$2,Valores!$H$2:$P$154,8,0)</f>
        <v>18721.5896001316</v>
      </c>
      <c r="N93" s="27" t="n">
        <f aca="false">SUMIF($C$2:$F$2,EOMONTH(N$2,-1)+1,$C93:$F93)*VLOOKUP(N$2,Valores!$H$2:$P$154,8,0)</f>
        <v>11232.953760079</v>
      </c>
      <c r="O93" s="27" t="n">
        <f aca="false">SUMIF($C$2:$F$2,EOMONTH(O$2,-1)+1,$C93:$F93)*VLOOKUP(O$2,Valores!$H$2:$P$154,8,0)</f>
        <v>9984.84778673688</v>
      </c>
      <c r="P93" s="27" t="n">
        <f aca="false">SUMIF($C$2:$F$2,EOMONTH(P$2,-1)+1,$C93:$F93)*VLOOKUP(P$2,Valores!$H$2:$P$154,8,0)</f>
        <v>9984.84778673688</v>
      </c>
      <c r="Q93" s="27" t="n">
        <f aca="false">SUMIF($C$2:$F$2,EOMONTH(Q$2,-1)+1,$C93:$F93)*VLOOKUP(Q$2,Valores!$H$2:$P$154,8,0)</f>
        <v>5990.90867204212</v>
      </c>
      <c r="R93" s="27" t="n">
        <f aca="false">SUMIF($C$2:$F$2,EOMONTH(R$2,-1)+1,$C93:$F93)*VLOOKUP(R$2,Valores!$H$2:$P$154,8,0)</f>
        <v>9984.84778673688</v>
      </c>
      <c r="S93" s="27" t="n">
        <f aca="false">SUMIF($C$2:$F$2,EOMONTH(S$2,-1)+1,$C93:$F93)*VLOOKUP(S$2,Valores!$H$2:$P$154,8,0)</f>
        <v>19969.6955734737</v>
      </c>
      <c r="T93" s="27" t="n">
        <f aca="false">SUMIF($C$2:$F$2,EOMONTH(T$2,-1)+1,$C93:$F93)*VLOOKUP(T$2,Valores!$H$2:$P$154,8,0)</f>
        <v>24962.1194668422</v>
      </c>
      <c r="U93" s="27" t="n">
        <f aca="false">SUMIF($C$2:$F$2,EOMONTH(U$2,-1)+1,$C93:$F93)*VLOOKUP(U$2,Valores!$H$2:$P$154,8,0)</f>
        <v>14977.2716801053</v>
      </c>
      <c r="V93" s="27" t="n">
        <f aca="false">SUMIF($C$2:$F$2,EOMONTH(V$2,-1)+1,$C93:$F93)*VLOOKUP(V$2,Valores!$H$2:$P$154,8,0)</f>
        <v>12481.0597334211</v>
      </c>
      <c r="W93" s="27" t="n">
        <f aca="false">SUMIF($C$2:$F$2,EOMONTH(W$2,-1)+1,$C93:$F93)*VLOOKUP(W$2,Valores!$H$2:$P$154,8,0)</f>
        <v>12481.0597334211</v>
      </c>
      <c r="X93" s="27" t="n">
        <f aca="false">SUMIF($C$2:$F$2,EOMONTH(X$2,-1)+1,$C93:$F93)*VLOOKUP(X$2,Valores!$H$2:$P$154,8,0)</f>
        <v>0</v>
      </c>
      <c r="Y93" s="27" t="n">
        <f aca="false">SUMIF($C$2:$F$2,EOMONTH(Y$2,-1)+1,$C93:$F93)*VLOOKUP(Y$2,Valores!$H$2:$P$154,8,0)</f>
        <v>0</v>
      </c>
      <c r="Z93" s="27" t="n">
        <f aca="false">SUMIF($C$2:$F$2,EOMONTH(Z$2,-1)+1,$C93:$F93)*VLOOKUP(Z$2,Valores!$H$2:$P$154,8,0)</f>
        <v>18721.5896001316</v>
      </c>
      <c r="AA93" s="27" t="n">
        <f aca="false">SUMIF($C$2:$F$2,EOMONTH(AA$2,-1)+1,$C93:$F93)*VLOOKUP(AA$2,Valores!$H$2:$P$154,8,0)</f>
        <v>22465.907520158</v>
      </c>
      <c r="AB93" s="27" t="n">
        <f aca="false">SUMIF($C$2:$F$2,EOMONTH(AB$2,-1)+1,$C93:$F93)*VLOOKUP(AB$2,Valores!$H$2:$P$154,8,0)</f>
        <v>11232.953760079</v>
      </c>
      <c r="AC93" s="27" t="n">
        <f aca="false">SUMIF($C$2:$F$2,EOMONTH(AC$2,-1)+1,$C93:$F93)*VLOOKUP(AC$2,Valores!$H$2:$P$154,8,0)</f>
        <v>13729.1657067632</v>
      </c>
      <c r="AD93" s="27" t="n">
        <f aca="false">SUMIF($C$2:$F$2,EOMONTH(AD$2,-1)+1,$C93:$F93)*VLOOKUP(AD$2,Valores!$H$2:$P$154,8,0)</f>
        <v>13729.1657067632</v>
      </c>
      <c r="AE93" s="27" t="n">
        <f aca="false">SUMIF($C$2:$F$2,EOMONTH(AE$2,-1)+1,$C93:$F93)*VLOOKUP(AE$2,Valores!$H$2:$P$154,8,0)</f>
        <v>13729.1657067632</v>
      </c>
      <c r="AF93" s="27" t="n">
        <f aca="false">SUMIF($C$2:$F$2,EOMONTH(AF$2,-1)+1,$C93:$F93)*VLOOKUP(AF$2,Valores!$H$2:$P$154,8,0)</f>
        <v>13729.1657067632</v>
      </c>
      <c r="AG93" s="27" t="n">
        <f aca="false">SUMIF($C$2:$F$2,EOMONTH(AG$2,-1)+1,$C93:$F93)*VLOOKUP(AG$2,Valores!$H$2:$P$154,8,0)</f>
        <v>21966.6651308211</v>
      </c>
      <c r="AH93" s="27" t="n">
        <f aca="false">SUMIF($C$2:$F$2,EOMONTH(AH$2,-1)+1,$C93:$F93)*VLOOKUP(AH$2,Valores!$H$2:$P$154,8,0)</f>
        <v>27458.3314135264</v>
      </c>
      <c r="AI93" s="27" t="n">
        <f aca="false">SUMIF($C$2:$F$2,EOMONTH(AI$2,-1)+1,$C93:$F93)*VLOOKUP(AI$2,Valores!$H$2:$P$154,8,0)</f>
        <v>9610.41599473424</v>
      </c>
      <c r="AJ93" s="27" t="n">
        <f aca="false">SUMIF($C$2:$F$2,EOMONTH(AJ$2,-1)+1,$C93:$F93)*VLOOKUP(AJ$2,Valores!$H$2:$P$154,8,0)</f>
        <v>6240.52986671055</v>
      </c>
      <c r="AK93" s="27" t="n">
        <f aca="false">SUMIF($C$2:$F$2,EOMONTH(AK$2,-1)+1,$C93:$F93)*VLOOKUP(AK$2,Valores!$H$2:$P$154,8,0)</f>
        <v>11380.0904998928</v>
      </c>
      <c r="AL93" s="27" t="n">
        <f aca="false">SUMIF($C$2:$F$2,EOMONTH(AL$2,-1)+1,$C93:$F93)*VLOOKUP(AL$2,Valores!$H$2:$P$154,8,0)</f>
        <v>11380.0904998928</v>
      </c>
      <c r="AM93" s="27" t="n">
        <f aca="false">SUMIF($C$2:$F$2,EOMONTH(AM$2,-1)+1,$C93:$F93)*VLOOKUP(AM$2,Valores!$H$2:$P$154,8,0)</f>
        <v>11380.0904998928</v>
      </c>
      <c r="AN93" s="27" t="n">
        <f aca="false">SUMIF($C$2:$F$2,EOMONTH(AN$2,-1)+1,$C93:$F93)*VLOOKUP(AN$2,Valores!$H$2:$P$154,8,0)</f>
        <v>22760.1809997857</v>
      </c>
      <c r="AO93" s="27" t="n">
        <f aca="false">SUMIF($C$2:$F$2,EOMONTH(AO$2,-1)+1,$C93:$F93)*VLOOKUP(AO$2,Valores!$H$2:$P$154,8,0)</f>
        <v>28450.2262497321</v>
      </c>
      <c r="AP93" s="27" t="n">
        <f aca="false">SUMIF($C$2:$F$2,EOMONTH(AP$2,-1)+1,$C93:$F93)*VLOOKUP(AP$2,Valores!$H$2:$P$154,8,0)</f>
        <v>17070.1357498392</v>
      </c>
      <c r="AQ93" s="27" t="n">
        <f aca="false">SUMIF($C$2:$F$2,EOMONTH(AQ$2,-1)+1,$C93:$F93)*VLOOKUP(AQ$2,Valores!$H$2:$P$154,8,0)</f>
        <v>6096.47705351401</v>
      </c>
      <c r="AR93" s="27" t="n">
        <f aca="false">SUMIF($C$2:$F$2,EOMONTH(AR$2,-1)+1,$C93:$F93)*VLOOKUP(AR$2,Valores!$H$2:$P$154,8,0)</f>
        <v>6096.47705351401</v>
      </c>
      <c r="AS93" s="27" t="n">
        <f aca="false">SUMIF($C$2:$F$2,EOMONTH(AS$2,-1)+1,$C93:$F93)*VLOOKUP(AS$2,Valores!$H$2:$P$154,8,0)</f>
        <v>6096.47705351401</v>
      </c>
      <c r="AT93" s="27" t="n">
        <f aca="false">SUMIF($C$2:$F$2,EOMONTH(AT$2,-1)+1,$C93:$F93)*VLOOKUP(AT$2,Valores!$H$2:$P$154,8,0)</f>
        <v>6096.47705351401</v>
      </c>
      <c r="AU93" s="27" t="n">
        <f aca="false">SUMIF($C$2:$F$2,EOMONTH(AU$2,-1)+1,$C93:$F93)*VLOOKUP(AU$2,Valores!$H$2:$P$154,8,0)</f>
        <v>12192.954107028</v>
      </c>
      <c r="AV93" s="27" t="n">
        <f aca="false">SUMIF($C$2:$F$2,EOMONTH(AV$2,-1)+1,$C93:$F93)*VLOOKUP(AV$2,Valores!$H$2:$P$154,8,0)</f>
        <v>15241.192633785</v>
      </c>
      <c r="AW93" s="27" t="n">
        <f aca="false">SUMIF($C$2:$F$2,EOMONTH(AW$2,-1)+1,$C93:$F93)*VLOOKUP(AW$2,Valores!$H$2:$P$154,8,0)</f>
        <v>9144.71558027102</v>
      </c>
      <c r="AX93" s="27" t="n">
        <f aca="false">SUMIF($C$2:$F$2,EOMONTH(AX$2,-1)+1,$C93:$F93)*VLOOKUP(AX$2,Valores!$H$2:$P$154,8,0)</f>
        <v>6096.47705351401</v>
      </c>
      <c r="AY93" s="27" t="n">
        <f aca="false">SUMIF($C$2:$F$2,EOMONTH(AY$2,-1)+1,$C93:$F93)*VLOOKUP(AY$2,Valores!$H$2:$P$154,8,0)</f>
        <v>7925.42016956822</v>
      </c>
      <c r="AZ93" s="27" t="n">
        <f aca="false">SUMIF($C$2:$F$2,EOMONTH(AZ$2,-1)+1,$C93:$F93)*VLOOKUP(AZ$2,Valores!$H$2:$P$154,8,0)</f>
        <v>7925.42016956822</v>
      </c>
      <c r="BA93" s="27" t="n">
        <f aca="false">SUMIF($C$2:$F$2,EOMONTH(BA$2,-1)+1,$C93:$F93)*VLOOKUP(BA$2,Valores!$H$2:$P$154,8,0)</f>
        <v>7925.42016956822</v>
      </c>
      <c r="BB93" s="27" t="n">
        <f aca="false">SUMIF($C$2:$F$2,EOMONTH(BB$2,-1)+1,$C93:$F93)*VLOOKUP(BB$2,Valores!$H$2:$P$154,8,0)</f>
        <v>14021.8972230822</v>
      </c>
      <c r="BC93" s="27" t="n">
        <f aca="false">SUMIF($C$2:$F$2,EOMONTH(BC$2,-1)+1,$C93:$F93)*VLOOKUP(BC$2,Valores!$H$2:$P$154,8,0)</f>
        <v>17070.1357498392</v>
      </c>
      <c r="BD93" s="27" t="n">
        <f aca="false">SUMIF($C$2:$F$2,EOMONTH(BD$2,-1)+1,$C93:$F93)*VLOOKUP(BD$2,Valores!$H$2:$P$154,8,0)</f>
        <v>9144.71558027102</v>
      </c>
      <c r="BE93" s="27" t="n">
        <f aca="false">SUMIF($C$2:$F$2,EOMONTH(BE$2,-1)+1,$C93:$F93)*VLOOKUP(BE$2,Valores!$H$2:$P$154,8,0)</f>
        <v>8128.63607135202</v>
      </c>
      <c r="BF93" s="27" t="n">
        <f aca="false">SUMIF($C$2:$F$2,EOMONTH(BF$2,-1)+1,$C93:$F93)*VLOOKUP(BF$2,Valores!$H$2:$P$154,8,0)</f>
        <v>8128.63607135202</v>
      </c>
      <c r="BG93" s="27" t="n">
        <f aca="false">SUMIF($C$2:$F$2,EOMONTH(BG$2,-1)+1,$C93:$F93)*VLOOKUP(BG$2,Valores!$H$2:$P$154,8,0)</f>
        <v>8128.63607135202</v>
      </c>
      <c r="BH93" s="27" t="n">
        <f aca="false">SUMIF($C$2:$F$2,EOMONTH(BH$2,-1)+1,$C93:$F93)*VLOOKUP(BH$2,Valores!$H$2:$P$154,8,0)</f>
        <v>8128.63607135202</v>
      </c>
      <c r="BI93" s="27" t="n">
        <f aca="false">SUMIF($C$2:$F$2,EOMONTH(BI$2,-1)+1,$C93:$F93)*VLOOKUP(BI$2,Valores!$H$2:$P$154,8,0)</f>
        <v>16257.272142704</v>
      </c>
      <c r="BJ93" s="27" t="n">
        <f aca="false">SUMIF($C$2:$F$2,EOMONTH(BJ$2,-1)+1,$C93:$F93)*VLOOKUP(BJ$2,Valores!$H$2:$P$154,8,0)</f>
        <v>20321.59017838</v>
      </c>
      <c r="BK93" s="27" t="n">
        <f aca="false">SUMIF($C$2:$F$2,EOMONTH(BK$2,-1)+1,$C93:$F93)*VLOOKUP(BK$2,Valores!$H$2:$P$154,8,0)</f>
        <v>9754.36328562242</v>
      </c>
      <c r="BL93" s="27" t="n">
        <f aca="false">SUMIF($C$2:$F$2,EOMONTH(BL$2,-1)+1,$C93:$F93)*VLOOKUP(BL$2,Valores!$H$2:$P$154,8,0)</f>
        <v>7153.19974278978</v>
      </c>
      <c r="BM93" s="27" t="n">
        <f aca="false">SUMIF($C$2:$F$2,EOMONTH(BM$2,-1)+1,$C93:$F93)*VLOOKUP(BM$2,Valores!$H$2:$P$154,8,0)</f>
        <v>7153.19974278978</v>
      </c>
      <c r="BN93" s="27" t="n">
        <f aca="false">SUMIF($C$2:$F$2,EOMONTH(BN$2,-1)+1,$C93:$F93)*VLOOKUP(BN$2,Valores!$H$2:$P$154,8,0)</f>
        <v>7153.19974278978</v>
      </c>
      <c r="BO93" s="27" t="n">
        <f aca="false">SUMIF($C$2:$F$2,EOMONTH(BO$2,-1)+1,$C93:$F93)*VLOOKUP(BO$2,Valores!$H$2:$P$154,8,0)</f>
        <v>7510.85972992927</v>
      </c>
      <c r="BP93" s="27" t="n">
        <f aca="false">SUMIF($C$2:$F$2,EOMONTH(BP$2,-1)+1,$C93:$F93)*VLOOKUP(BP$2,Valores!$H$2:$P$154,8,0)</f>
        <v>18901.4287660697</v>
      </c>
      <c r="BQ93" s="27" t="n">
        <f aca="false">SUMIF($C$2:$F$2,EOMONTH(BQ$2,-1)+1,$C93:$F93)*VLOOKUP(BQ$2,Valores!$H$2:$P$154,8,0)</f>
        <v>23626.7859575871</v>
      </c>
      <c r="BR93" s="27" t="n">
        <f aca="false">SUMIF($C$2:$F$2,EOMONTH(BR$2,-1)+1,$C93:$F93)*VLOOKUP(BR$2,Valores!$H$2:$P$154,8,0)</f>
        <v>11340.8572596418</v>
      </c>
      <c r="BS93" s="27" t="n">
        <f aca="false">SUMIF($C$2:$F$2,EOMONTH(BS$2,-1)+1,$C93:$F93)*VLOOKUP(BS$2,Valores!$H$2:$P$154,8,0)</f>
        <v>5062.88270519723</v>
      </c>
      <c r="BT93" s="27" t="n">
        <f aca="false">SUMIF($C$2:$F$2,EOMONTH(BT$2,-1)+1,$C93:$F93)*VLOOKUP(BT$2,Valores!$H$2:$P$154,8,0)</f>
        <v>5062.88270519723</v>
      </c>
      <c r="BU93" s="27" t="n">
        <f aca="false">SUMIF($C$2:$F$2,EOMONTH(BU$2,-1)+1,$C93:$F93)*VLOOKUP(BU$2,Valores!$H$2:$P$154,8,0)</f>
        <v>5062.88270519723</v>
      </c>
      <c r="BV93" s="27" t="n">
        <f aca="false">SUMIF($C$2:$F$2,EOMONTH(BV$2,-1)+1,$C93:$F93)*VLOOKUP(BV$2,Valores!$H$2:$P$154,8,0)</f>
        <v>5062.88270519723</v>
      </c>
      <c r="BW93" s="27" t="n">
        <f aca="false">SUMIF($C$2:$F$2,EOMONTH(BW$2,-1)+1,$C93:$F93)*VLOOKUP(BW$2,Valores!$H$2:$P$154,8,0)</f>
        <v>10125.7654103945</v>
      </c>
      <c r="BX93" s="27" t="n">
        <f aca="false">SUMIF($C$2:$F$2,EOMONTH(BX$2,-1)+1,$C93:$F93)*VLOOKUP(BX$2,Valores!$H$2:$P$154,8,0)</f>
        <v>12657.2067629931</v>
      </c>
      <c r="BY93" s="27" t="n">
        <f aca="false">SUMIF($C$2:$F$2,EOMONTH(BY$2,-1)+1,$C93:$F93)*VLOOKUP(BY$2,Valores!$H$2:$P$154,8,0)</f>
        <v>7594.32405779584</v>
      </c>
      <c r="BZ93" s="27" t="n">
        <f aca="false">SUMIF($C$2:$F$2,EOMONTH(BZ$2,-1)+1,$C93:$F93)*VLOOKUP(BZ$2,Valores!$H$2:$P$154,8,0)</f>
        <v>5062.88270519723</v>
      </c>
      <c r="CA93" s="27" t="n">
        <f aca="false">SUMIF($C$2:$F$2,EOMONTH(CA$2,-1)+1,$C93:$F93)*VLOOKUP(CA$2,Valores!$H$2:$P$154,8,0)</f>
        <v>5062.88270519723</v>
      </c>
      <c r="CB93" s="27" t="n">
        <f aca="false">SUMIF($C$2:$F$2,EOMONTH(CB$2,-1)+1,$C93:$F93)*VLOOKUP(CB$2,Valores!$H$2:$P$154,8,0)</f>
        <v>5062.88270519723</v>
      </c>
      <c r="CC93" s="27" t="n">
        <f aca="false">SUMIF($C$2:$F$2,EOMONTH(CC$2,-1)+1,$C93:$F93)*VLOOKUP(CC$2,Valores!$H$2:$P$154,8,0)</f>
        <v>5062.88270519723</v>
      </c>
      <c r="CD93" s="27" t="n">
        <f aca="false">SUMIF($C$2:$F$2,EOMONTH(CD$2,-1)+1,$C93:$F93)*VLOOKUP(CD$2,Valores!$H$2:$P$154,8,0)</f>
        <v>15188.6481155917</v>
      </c>
      <c r="CE93" s="27" t="n">
        <f aca="false">SUMIF($C$2:$F$2,EOMONTH(CE$2,-1)+1,$C93:$F93)*VLOOKUP(CE$2,Valores!$H$2:$P$154,8,0)</f>
        <v>20251.5308207889</v>
      </c>
      <c r="CF93" s="27" t="n">
        <f aca="false">SUMIF($C$2:$F$2,EOMONTH(CF$2,-1)+1,$C93:$F93)*VLOOKUP(CF$2,Valores!$H$2:$P$154,8,0)</f>
        <v>12657.2067629931</v>
      </c>
      <c r="CG93" s="27" t="n">
        <f aca="false">SUMIF($C$2:$F$2,EOMONTH(CG$2,-1)+1,$C93:$F93)*VLOOKUP(CG$2,Valores!$H$2:$P$154,8,0)</f>
        <v>6750.51027359631</v>
      </c>
      <c r="CH93" s="27" t="n">
        <f aca="false">SUMIF($C$2:$F$2,EOMONTH(CH$2,-1)+1,$C93:$F93)*VLOOKUP(CH$2,Valores!$H$2:$P$154,8,0)</f>
        <v>6750.51027359631</v>
      </c>
      <c r="CI93" s="27" t="n">
        <f aca="false">SUMIF($C$2:$F$2,EOMONTH(CI$2,-1)+1,$C93:$F93)*VLOOKUP(CI$2,Valores!$H$2:$P$154,8,0)</f>
        <v>6750.51027359631</v>
      </c>
      <c r="CJ93" s="27" t="n">
        <f aca="false">SUMIF($C$2:$F$2,EOMONTH(CJ$2,-1)+1,$C93:$F93)*VLOOKUP(CJ$2,Valores!$H$2:$P$154,8,0)</f>
        <v>6750.51027359631</v>
      </c>
      <c r="CK93" s="27" t="n">
        <f aca="false">SUMIF($C$2:$F$2,EOMONTH(CK$2,-1)+1,$C93:$F93)*VLOOKUP(CK$2,Valores!$H$2:$P$154,8,0)</f>
        <v>13501.0205471926</v>
      </c>
      <c r="CL93" s="27" t="n">
        <f aca="false">SUMIF($C$2:$F$2,EOMONTH(CL$2,-1)+1,$C93:$F93)*VLOOKUP(CL$2,Valores!$H$2:$P$154,8,0)</f>
        <v>16876.2756839908</v>
      </c>
      <c r="CM93" s="27" t="n">
        <f aca="false">SUMIF($C$2:$F$2,EOMONTH(CM$2,-1)+1,$C93:$F93)*VLOOKUP(CM$2,Valores!$H$2:$P$154,8,0)</f>
        <v>10125.7654103945</v>
      </c>
      <c r="CN93" s="27" t="n">
        <f aca="false">SUMIF($C$2:$F$2,EOMONTH(CN$2,-1)+1,$C93:$F93)*VLOOKUP(CN$2,Valores!$H$2:$P$154,8,0)</f>
        <v>7425.56130095594</v>
      </c>
      <c r="CO93" s="27" t="n">
        <f aca="false">SUMIF($C$2:$F$2,EOMONTH(CO$2,-1)+1,$C93:$F93)*VLOOKUP(CO$2,Valores!$H$2:$P$154,8,0)</f>
        <v>7425.56130095594</v>
      </c>
      <c r="CP93" s="27" t="n">
        <f aca="false">SUMIF($C$2:$F$2,EOMONTH(CP$2,-1)+1,$C93:$F93)*VLOOKUP(CP$2,Valores!$H$2:$P$154,8,0)</f>
        <v>7425.56130095594</v>
      </c>
      <c r="CQ93" s="27" t="n">
        <f aca="false">SUMIF($C$2:$F$2,EOMONTH(CQ$2,-1)+1,$C93:$F93)*VLOOKUP(CQ$2,Valores!$H$2:$P$154,8,0)</f>
        <v>7425.56130095594</v>
      </c>
      <c r="CR93" s="27" t="n">
        <f aca="false">SUMIF($C$2:$F$2,EOMONTH(CR$2,-1)+1,$C93:$F93)*VLOOKUP(CR$2,Valores!$H$2:$P$154,8,0)</f>
        <v>14851.1226019119</v>
      </c>
      <c r="CS93" s="27" t="n">
        <f aca="false">SUMIF($C$2:$F$2,EOMONTH(CS$2,-1)+1,$C93:$F93)*VLOOKUP(CS$2,Valores!$H$2:$P$154,8,0)</f>
        <v>22276.6839028678</v>
      </c>
      <c r="CT93" s="27" t="e">
        <f aca="false">SUMIF($C$2:$F$2,EOMONTH(CT$2,-1)+1,$C93:$F93)*VLOOKUP(CT$2,Valores!$H$2:$P$154,8,0)</f>
        <v>#VALUE!</v>
      </c>
      <c r="CU93" s="27" t="e">
        <f aca="false">SUMIF($C$2:$F$2,EOMONTH(CU$2,-1)+1,$C93:$F93)*VLOOKUP(CU$2,Valores!$H$2:$P$154,8,0)</f>
        <v>#VALUE!</v>
      </c>
      <c r="CV93" s="27" t="e">
        <f aca="false">SUMIF($C$2:$F$2,EOMONTH(CV$2,-1)+1,$C93:$F93)*VLOOKUP(CV$2,Valores!$H$2:$P$154,8,0)</f>
        <v>#VALUE!</v>
      </c>
      <c r="CW93" s="27" t="e">
        <f aca="false">SUMIF($C$2:$F$2,EOMONTH(CW$2,-1)+1,$C93:$F93)*VLOOKUP(CW$2,Valores!$H$2:$P$154,8,0)</f>
        <v>#VALUE!</v>
      </c>
      <c r="CX93" s="27" t="e">
        <f aca="false">SUMIF($C$2:$F$2,EOMONTH(CX$2,-1)+1,$C93:$F93)*VLOOKUP(CX$2,Valores!$H$2:$P$154,8,0)</f>
        <v>#VALUE!</v>
      </c>
      <c r="CY93" s="27" t="e">
        <f aca="false">SUMIF($C$2:$F$2,EOMONTH(CY$2,-1)+1,$C93:$F93)*VLOOKUP(CY$2,Valores!$H$2:$P$154,8,0)</f>
        <v>#VALUE!</v>
      </c>
      <c r="CZ93" s="27" t="e">
        <f aca="false">SUMIF($C$2:$F$2,EOMONTH(CZ$2,-1)+1,$C93:$F93)*VLOOKUP(CZ$2,Valores!$H$2:$P$154,8,0)</f>
        <v>#VALUE!</v>
      </c>
      <c r="DA93" s="27" t="e">
        <f aca="false">SUMIF($C$2:$F$2,EOMONTH(DA$2,-1)+1,$C93:$F93)*VLOOKUP(DA$2,Valores!$H$2:$P$154,8,0)</f>
        <v>#VALUE!</v>
      </c>
      <c r="DB93" s="27" t="e">
        <f aca="false">SUMIF($C$2:$F$2,EOMONTH(DB$2,-1)+1,$C93:$F93)*VLOOKUP(DB$2,Valores!$H$2:$P$154,8,0)</f>
        <v>#VALUE!</v>
      </c>
      <c r="DC93" s="27" t="e">
        <f aca="false">SUMIF($C$2:$F$2,EOMONTH(DC$2,-1)+1,$C93:$F93)*VLOOKUP(DC$2,Valores!$H$2:$P$154,8,0)</f>
        <v>#VALUE!</v>
      </c>
      <c r="DD93" s="27" t="e">
        <f aca="false">SUMIF($C$2:$F$2,EOMONTH(DD$2,-1)+1,$C93:$F93)*VLOOKUP(DD$2,Valores!$H$2:$P$154,8,0)</f>
        <v>#VALUE!</v>
      </c>
      <c r="DE93" s="27" t="e">
        <f aca="false">SUMIF($C$2:$F$2,EOMONTH(DE$2,-1)+1,$C93:$F93)*VLOOKUP(DE$2,Valores!$H$2:$P$154,8,0)</f>
        <v>#VALUE!</v>
      </c>
      <c r="DF93" s="27" t="e">
        <f aca="false">SUMIF($C$2:$F$2,EOMONTH(DF$2,-1)+1,$C93:$F93)*VLOOKUP(DF$2,Valores!$H$2:$P$154,8,0)</f>
        <v>#VALUE!</v>
      </c>
      <c r="DG93" s="27" t="e">
        <f aca="false">SUMIF($C$2:$F$2,EOMONTH(DG$2,-1)+1,$C93:$F93)*VLOOKUP(DG$2,Valores!$H$2:$P$154,8,0)</f>
        <v>#VALUE!</v>
      </c>
      <c r="DH93" s="27" t="e">
        <f aca="false">SUMIF($C$2:$F$2,EOMONTH(DH$2,-1)+1,$C93:$F93)*VLOOKUP(DH$2,Valores!$H$2:$P$154,8,0)</f>
        <v>#VALUE!</v>
      </c>
      <c r="DI93" s="27" t="e">
        <f aca="false">SUMIF($C$2:$F$2,EOMONTH(DI$2,-1)+1,$C93:$F93)*VLOOKUP(DI$2,Valores!$H$2:$P$154,8,0)</f>
        <v>#VALUE!</v>
      </c>
      <c r="DJ93" s="27" t="e">
        <f aca="false">SUMIF($C$2:$F$2,EOMONTH(DJ$2,-1)+1,$C93:$F93)*VLOOKUP(DJ$2,Valores!$H$2:$P$154,8,0)</f>
        <v>#VALUE!</v>
      </c>
      <c r="DK93" s="27" t="e">
        <f aca="false">SUMIF($C$2:$F$2,EOMONTH(DK$2,-1)+1,$C93:$F93)*VLOOKUP(DK$2,Valores!$H$2:$P$154,8,0)</f>
        <v>#VALUE!</v>
      </c>
      <c r="DL93" s="27" t="e">
        <f aca="false">SUMIF($C$2:$F$2,EOMONTH(DL$2,-1)+1,$C93:$F93)*VLOOKUP(DL$2,Valores!$H$2:$P$154,8,0)</f>
        <v>#VALUE!</v>
      </c>
      <c r="DM93" s="27" t="e">
        <f aca="false">SUMIF($C$2:$F$2,EOMONTH(DM$2,-1)+1,$C93:$F93)*VLOOKUP(DM$2,Valores!$H$2:$P$154,8,0)</f>
        <v>#VALUE!</v>
      </c>
      <c r="DN93" s="27" t="e">
        <f aca="false">SUMIF($C$2:$F$2,EOMONTH(DN$2,-1)+1,$C93:$F93)*VLOOKUP(DN$2,Valores!$H$2:$P$154,8,0)</f>
        <v>#VALUE!</v>
      </c>
      <c r="DO93" s="27" t="e">
        <f aca="false">SUMIF($C$2:$F$2,EOMONTH(DO$2,-1)+1,$C93:$F93)*VLOOKUP(DO$2,Valores!$H$2:$P$154,8,0)</f>
        <v>#VALUE!</v>
      </c>
      <c r="DP93" s="27" t="e">
        <f aca="false">SUMIF($C$2:$F$2,EOMONTH(DP$2,-1)+1,$C93:$F93)*VLOOKUP(DP$2,Valores!$H$2:$P$154,8,0)</f>
        <v>#VALUE!</v>
      </c>
      <c r="DQ93" s="27" t="e">
        <f aca="false">SUMIF($C$2:$F$2,EOMONTH(DQ$2,-1)+1,$C93:$F93)*VLOOKUP(DQ$2,Valores!$H$2:$P$154,8,0)</f>
        <v>#VALUE!</v>
      </c>
      <c r="DR93" s="27" t="e">
        <f aca="false">SUMIF($C$2:$F$2,EOMONTH(DR$2,-1)+1,$C93:$F93)*VLOOKUP(DR$2,Valores!$H$2:$P$154,8,0)</f>
        <v>#VALUE!</v>
      </c>
      <c r="DS93" s="27" t="e">
        <f aca="false">SUMIF($C$2:$F$2,EOMONTH(DS$2,-1)+1,$C93:$F93)*VLOOKUP(DS$2,Valores!$H$2:$P$154,8,0)</f>
        <v>#VALUE!</v>
      </c>
      <c r="DT93" s="27" t="e">
        <f aca="false">SUMIF($C$2:$F$2,EOMONTH(DT$2,-1)+1,$C93:$F93)*VLOOKUP(DT$2,Valores!$H$2:$P$154,8,0)</f>
        <v>#VALUE!</v>
      </c>
      <c r="DU93" s="27" t="e">
        <f aca="false">SUMIF($C$2:$F$2,EOMONTH(DU$2,-1)+1,$C93:$F93)*VLOOKUP(DU$2,Valores!$H$2:$P$154,8,0)</f>
        <v>#VALUE!</v>
      </c>
      <c r="DV93" s="27" t="e">
        <f aca="false">SUMIF($C$2:$F$2,EOMONTH(DV$2,-1)+1,$C93:$F93)*VLOOKUP(DV$2,Valores!$H$2:$P$154,8,0)</f>
        <v>#VALUE!</v>
      </c>
      <c r="DW93" s="27" t="e">
        <f aca="false">SUMIF($C$2:$F$2,EOMONTH(DW$2,-1)+1,$C93:$F93)*VLOOKUP(DW$2,Valores!$H$2:$P$154,8,0)</f>
        <v>#VALUE!</v>
      </c>
      <c r="DX93" s="27" t="e">
        <f aca="false">SUMIF($C$2:$F$2,EOMONTH(DX$2,-1)+1,$C93:$F93)*VLOOKUP(DX$2,Valores!$H$2:$P$154,8,0)</f>
        <v>#VALUE!</v>
      </c>
    </row>
    <row r="94" customFormat="false" ht="13.8" hidden="false" customHeight="false" outlineLevel="0" collapsed="false">
      <c r="A94" s="33" t="s">
        <v>91</v>
      </c>
      <c r="B94" s="29" t="s">
        <v>117</v>
      </c>
      <c r="C94" s="29" t="n">
        <v>340004</v>
      </c>
      <c r="D94" s="29" t="n">
        <v>306003.6</v>
      </c>
      <c r="E94" s="29" t="n">
        <v>275403.24</v>
      </c>
      <c r="F94" s="29" t="n">
        <v>247862.916</v>
      </c>
      <c r="G94" s="30" t="n">
        <f aca="false">SUMIF($C$2:$F$2,EOMONTH(G$2,-1)+1,$C94:$F94)*VLOOKUP(G$2,Valores!$H$2:$P$154,8,0)</f>
        <v>9791.13049201909</v>
      </c>
      <c r="H94" s="30" t="n">
        <f aca="false">SUMIF($C$2:$F$2,EOMONTH(H$2,-1)+1,$C94:$F94)*VLOOKUP(H$2,Valores!$H$2:$P$154,8,0)</f>
        <v>6713.91805167023</v>
      </c>
      <c r="I94" s="30" t="n">
        <f aca="false">SUMIF($C$2:$F$2,EOMONTH(I$2,-1)+1,$C94:$F94)*VLOOKUP(I$2,Valores!$H$2:$P$154,8,0)</f>
        <v>6713.91805167023</v>
      </c>
      <c r="J94" s="30" t="n">
        <f aca="false">SUMIF($C$2:$F$2,EOMONTH(J$2,-1)+1,$C94:$F94)*VLOOKUP(J$2,Valores!$H$2:$P$154,8,0)</f>
        <v>6713.91805167023</v>
      </c>
      <c r="K94" s="30" t="n">
        <f aca="false">SUMIF($C$2:$F$2,EOMONTH(K$2,-1)+1,$C94:$F94)*VLOOKUP(K$2,Valores!$H$2:$P$154,8,0)</f>
        <v>6713.91805167023</v>
      </c>
      <c r="L94" s="30" t="n">
        <f aca="false">SUMIF($C$2:$F$2,EOMONTH(L$2,-1)+1,$C94:$F94)*VLOOKUP(L$2,Valores!$H$2:$P$154,8,0)</f>
        <v>13427.8361033405</v>
      </c>
      <c r="M94" s="30" t="n">
        <f aca="false">SUMIF($C$2:$F$2,EOMONTH(M$2,-1)+1,$C94:$F94)*VLOOKUP(M$2,Valores!$H$2:$P$154,8,0)</f>
        <v>16784.7951291756</v>
      </c>
      <c r="N94" s="30" t="n">
        <f aca="false">SUMIF($C$2:$F$2,EOMONTH(N$2,-1)+1,$C94:$F94)*VLOOKUP(N$2,Valores!$H$2:$P$154,8,0)</f>
        <v>10070.8770775053</v>
      </c>
      <c r="O94" s="30" t="n">
        <f aca="false">SUMIF($C$2:$F$2,EOMONTH(O$2,-1)+1,$C94:$F94)*VLOOKUP(O$2,Valores!$H$2:$P$154,8,0)</f>
        <v>8951.89073556031</v>
      </c>
      <c r="P94" s="30" t="n">
        <f aca="false">SUMIF($C$2:$F$2,EOMONTH(P$2,-1)+1,$C94:$F94)*VLOOKUP(P$2,Valores!$H$2:$P$154,8,0)</f>
        <v>8951.89073556031</v>
      </c>
      <c r="Q94" s="30" t="n">
        <f aca="false">SUMIF($C$2:$F$2,EOMONTH(Q$2,-1)+1,$C94:$F94)*VLOOKUP(Q$2,Valores!$H$2:$P$154,8,0)</f>
        <v>5371.13444133618</v>
      </c>
      <c r="R94" s="30" t="n">
        <f aca="false">SUMIF($C$2:$F$2,EOMONTH(R$2,-1)+1,$C94:$F94)*VLOOKUP(R$2,Valores!$H$2:$P$154,8,0)</f>
        <v>8951.89073556031</v>
      </c>
      <c r="S94" s="30" t="n">
        <f aca="false">SUMIF($C$2:$F$2,EOMONTH(S$2,-1)+1,$C94:$F94)*VLOOKUP(S$2,Valores!$H$2:$P$154,8,0)</f>
        <v>17903.7814711206</v>
      </c>
      <c r="T94" s="30" t="n">
        <f aca="false">SUMIF($C$2:$F$2,EOMONTH(T$2,-1)+1,$C94:$F94)*VLOOKUP(T$2,Valores!$H$2:$P$154,8,0)</f>
        <v>22379.7268389008</v>
      </c>
      <c r="U94" s="30" t="n">
        <f aca="false">SUMIF($C$2:$F$2,EOMONTH(U$2,-1)+1,$C94:$F94)*VLOOKUP(U$2,Valores!$H$2:$P$154,8,0)</f>
        <v>13427.8361033405</v>
      </c>
      <c r="V94" s="30" t="n">
        <f aca="false">SUMIF($C$2:$F$2,EOMONTH(V$2,-1)+1,$C94:$F94)*VLOOKUP(V$2,Valores!$H$2:$P$154,8,0)</f>
        <v>11189.8634194504</v>
      </c>
      <c r="W94" s="30" t="n">
        <f aca="false">SUMIF($C$2:$F$2,EOMONTH(W$2,-1)+1,$C94:$F94)*VLOOKUP(W$2,Valores!$H$2:$P$154,8,0)</f>
        <v>11189.8634194504</v>
      </c>
      <c r="X94" s="30" t="n">
        <f aca="false">SUMIF($C$2:$F$2,EOMONTH(X$2,-1)+1,$C94:$F94)*VLOOKUP(X$2,Valores!$H$2:$P$154,8,0)</f>
        <v>0</v>
      </c>
      <c r="Y94" s="30" t="n">
        <f aca="false">SUMIF($C$2:$F$2,EOMONTH(Y$2,-1)+1,$C94:$F94)*VLOOKUP(Y$2,Valores!$H$2:$P$154,8,0)</f>
        <v>0</v>
      </c>
      <c r="Z94" s="30" t="n">
        <f aca="false">SUMIF($C$2:$F$2,EOMONTH(Z$2,-1)+1,$C94:$F94)*VLOOKUP(Z$2,Valores!$H$2:$P$154,8,0)</f>
        <v>16784.7951291756</v>
      </c>
      <c r="AA94" s="30" t="n">
        <f aca="false">SUMIF($C$2:$F$2,EOMONTH(AA$2,-1)+1,$C94:$F94)*VLOOKUP(AA$2,Valores!$H$2:$P$154,8,0)</f>
        <v>20141.7541550107</v>
      </c>
      <c r="AB94" s="30" t="n">
        <f aca="false">SUMIF($C$2:$F$2,EOMONTH(AB$2,-1)+1,$C94:$F94)*VLOOKUP(AB$2,Valores!$H$2:$P$154,8,0)</f>
        <v>10070.8770775053</v>
      </c>
      <c r="AC94" s="30" t="n">
        <f aca="false">SUMIF($C$2:$F$2,EOMONTH(AC$2,-1)+1,$C94:$F94)*VLOOKUP(AC$2,Valores!$H$2:$P$154,8,0)</f>
        <v>12308.8497613954</v>
      </c>
      <c r="AD94" s="30" t="n">
        <f aca="false">SUMIF($C$2:$F$2,EOMONTH(AD$2,-1)+1,$C94:$F94)*VLOOKUP(AD$2,Valores!$H$2:$P$154,8,0)</f>
        <v>12308.8497613954</v>
      </c>
      <c r="AE94" s="30" t="n">
        <f aca="false">SUMIF($C$2:$F$2,EOMONTH(AE$2,-1)+1,$C94:$F94)*VLOOKUP(AE$2,Valores!$H$2:$P$154,8,0)</f>
        <v>12308.8497613954</v>
      </c>
      <c r="AF94" s="30" t="n">
        <f aca="false">SUMIF($C$2:$F$2,EOMONTH(AF$2,-1)+1,$C94:$F94)*VLOOKUP(AF$2,Valores!$H$2:$P$154,8,0)</f>
        <v>12308.8497613954</v>
      </c>
      <c r="AG94" s="30" t="n">
        <f aca="false">SUMIF($C$2:$F$2,EOMONTH(AG$2,-1)+1,$C94:$F94)*VLOOKUP(AG$2,Valores!$H$2:$P$154,8,0)</f>
        <v>19694.1596182327</v>
      </c>
      <c r="AH94" s="30" t="n">
        <f aca="false">SUMIF($C$2:$F$2,EOMONTH(AH$2,-1)+1,$C94:$F94)*VLOOKUP(AH$2,Valores!$H$2:$P$154,8,0)</f>
        <v>24617.6995227908</v>
      </c>
      <c r="AI94" s="30" t="n">
        <f aca="false">SUMIF($C$2:$F$2,EOMONTH(AI$2,-1)+1,$C94:$F94)*VLOOKUP(AI$2,Valores!$H$2:$P$154,8,0)</f>
        <v>8616.1948329768</v>
      </c>
      <c r="AJ94" s="30" t="n">
        <f aca="false">SUMIF($C$2:$F$2,EOMONTH(AJ$2,-1)+1,$C94:$F94)*VLOOKUP(AJ$2,Valores!$H$2:$P$154,8,0)</f>
        <v>5594.93170972519</v>
      </c>
      <c r="AK94" s="30" t="n">
        <f aca="false">SUMIF($C$2:$F$2,EOMONTH(AK$2,-1)+1,$C94:$F94)*VLOOKUP(AK$2,Valores!$H$2:$P$154,8,0)</f>
        <v>10202.7921598514</v>
      </c>
      <c r="AL94" s="30" t="n">
        <f aca="false">SUMIF($C$2:$F$2,EOMONTH(AL$2,-1)+1,$C94:$F94)*VLOOKUP(AL$2,Valores!$H$2:$P$154,8,0)</f>
        <v>10202.7921598514</v>
      </c>
      <c r="AM94" s="30" t="n">
        <f aca="false">SUMIF($C$2:$F$2,EOMONTH(AM$2,-1)+1,$C94:$F94)*VLOOKUP(AM$2,Valores!$H$2:$P$154,8,0)</f>
        <v>10202.7921598514</v>
      </c>
      <c r="AN94" s="30" t="n">
        <f aca="false">SUMIF($C$2:$F$2,EOMONTH(AN$2,-1)+1,$C94:$F94)*VLOOKUP(AN$2,Valores!$H$2:$P$154,8,0)</f>
        <v>20405.5843197028</v>
      </c>
      <c r="AO94" s="30" t="n">
        <f aca="false">SUMIF($C$2:$F$2,EOMONTH(AO$2,-1)+1,$C94:$F94)*VLOOKUP(AO$2,Valores!$H$2:$P$154,8,0)</f>
        <v>25506.9803996285</v>
      </c>
      <c r="AP94" s="30" t="n">
        <f aca="false">SUMIF($C$2:$F$2,EOMONTH(AP$2,-1)+1,$C94:$F94)*VLOOKUP(AP$2,Valores!$H$2:$P$154,8,0)</f>
        <v>15304.1882397771</v>
      </c>
      <c r="AQ94" s="30" t="n">
        <f aca="false">SUMIF($C$2:$F$2,EOMONTH(AQ$2,-1)+1,$C94:$F94)*VLOOKUP(AQ$2,Valores!$H$2:$P$154,8,0)</f>
        <v>5465.7815142061</v>
      </c>
      <c r="AR94" s="30" t="n">
        <f aca="false">SUMIF($C$2:$F$2,EOMONTH(AR$2,-1)+1,$C94:$F94)*VLOOKUP(AR$2,Valores!$H$2:$P$154,8,0)</f>
        <v>5465.7815142061</v>
      </c>
      <c r="AS94" s="30" t="n">
        <f aca="false">SUMIF($C$2:$F$2,EOMONTH(AS$2,-1)+1,$C94:$F94)*VLOOKUP(AS$2,Valores!$H$2:$P$154,8,0)</f>
        <v>5465.7815142061</v>
      </c>
      <c r="AT94" s="30" t="n">
        <f aca="false">SUMIF($C$2:$F$2,EOMONTH(AT$2,-1)+1,$C94:$F94)*VLOOKUP(AT$2,Valores!$H$2:$P$154,8,0)</f>
        <v>5465.7815142061</v>
      </c>
      <c r="AU94" s="30" t="n">
        <f aca="false">SUMIF($C$2:$F$2,EOMONTH(AU$2,-1)+1,$C94:$F94)*VLOOKUP(AU$2,Valores!$H$2:$P$154,8,0)</f>
        <v>10931.5630284122</v>
      </c>
      <c r="AV94" s="30" t="n">
        <f aca="false">SUMIF($C$2:$F$2,EOMONTH(AV$2,-1)+1,$C94:$F94)*VLOOKUP(AV$2,Valores!$H$2:$P$154,8,0)</f>
        <v>13664.4537855153</v>
      </c>
      <c r="AW94" s="30" t="n">
        <f aca="false">SUMIF($C$2:$F$2,EOMONTH(AW$2,-1)+1,$C94:$F94)*VLOOKUP(AW$2,Valores!$H$2:$P$154,8,0)</f>
        <v>8198.67227130915</v>
      </c>
      <c r="AX94" s="30" t="n">
        <f aca="false">SUMIF($C$2:$F$2,EOMONTH(AX$2,-1)+1,$C94:$F94)*VLOOKUP(AX$2,Valores!$H$2:$P$154,8,0)</f>
        <v>5465.7815142061</v>
      </c>
      <c r="AY94" s="30" t="n">
        <f aca="false">SUMIF($C$2:$F$2,EOMONTH(AY$2,-1)+1,$C94:$F94)*VLOOKUP(AY$2,Valores!$H$2:$P$154,8,0)</f>
        <v>7105.51596846793</v>
      </c>
      <c r="AZ94" s="30" t="n">
        <f aca="false">SUMIF($C$2:$F$2,EOMONTH(AZ$2,-1)+1,$C94:$F94)*VLOOKUP(AZ$2,Valores!$H$2:$P$154,8,0)</f>
        <v>7105.51596846793</v>
      </c>
      <c r="BA94" s="30" t="n">
        <f aca="false">SUMIF($C$2:$F$2,EOMONTH(BA$2,-1)+1,$C94:$F94)*VLOOKUP(BA$2,Valores!$H$2:$P$154,8,0)</f>
        <v>7105.51596846793</v>
      </c>
      <c r="BB94" s="30" t="n">
        <f aca="false">SUMIF($C$2:$F$2,EOMONTH(BB$2,-1)+1,$C94:$F94)*VLOOKUP(BB$2,Valores!$H$2:$P$154,8,0)</f>
        <v>12571.297482674</v>
      </c>
      <c r="BC94" s="30" t="n">
        <f aca="false">SUMIF($C$2:$F$2,EOMONTH(BC$2,-1)+1,$C94:$F94)*VLOOKUP(BC$2,Valores!$H$2:$P$154,8,0)</f>
        <v>15304.1882397771</v>
      </c>
      <c r="BD94" s="30" t="n">
        <f aca="false">SUMIF($C$2:$F$2,EOMONTH(BD$2,-1)+1,$C94:$F94)*VLOOKUP(BD$2,Valores!$H$2:$P$154,8,0)</f>
        <v>8198.67227130915</v>
      </c>
      <c r="BE94" s="30" t="n">
        <f aca="false">SUMIF($C$2:$F$2,EOMONTH(BE$2,-1)+1,$C94:$F94)*VLOOKUP(BE$2,Valores!$H$2:$P$154,8,0)</f>
        <v>7287.70868560813</v>
      </c>
      <c r="BF94" s="30" t="n">
        <f aca="false">SUMIF($C$2:$F$2,EOMONTH(BF$2,-1)+1,$C94:$F94)*VLOOKUP(BF$2,Valores!$H$2:$P$154,8,0)</f>
        <v>7287.70868560813</v>
      </c>
      <c r="BG94" s="30" t="n">
        <f aca="false">SUMIF($C$2:$F$2,EOMONTH(BG$2,-1)+1,$C94:$F94)*VLOOKUP(BG$2,Valores!$H$2:$P$154,8,0)</f>
        <v>7287.70868560813</v>
      </c>
      <c r="BH94" s="30" t="n">
        <f aca="false">SUMIF($C$2:$F$2,EOMONTH(BH$2,-1)+1,$C94:$F94)*VLOOKUP(BH$2,Valores!$H$2:$P$154,8,0)</f>
        <v>7287.70868560813</v>
      </c>
      <c r="BI94" s="30" t="n">
        <f aca="false">SUMIF($C$2:$F$2,EOMONTH(BI$2,-1)+1,$C94:$F94)*VLOOKUP(BI$2,Valores!$H$2:$P$154,8,0)</f>
        <v>14575.4173712163</v>
      </c>
      <c r="BJ94" s="30" t="n">
        <f aca="false">SUMIF($C$2:$F$2,EOMONTH(BJ$2,-1)+1,$C94:$F94)*VLOOKUP(BJ$2,Valores!$H$2:$P$154,8,0)</f>
        <v>18219.2717140203</v>
      </c>
      <c r="BK94" s="30" t="n">
        <f aca="false">SUMIF($C$2:$F$2,EOMONTH(BK$2,-1)+1,$C94:$F94)*VLOOKUP(BK$2,Valores!$H$2:$P$154,8,0)</f>
        <v>8745.25042272976</v>
      </c>
      <c r="BL94" s="30" t="n">
        <f aca="false">SUMIF($C$2:$F$2,EOMONTH(BL$2,-1)+1,$C94:$F94)*VLOOKUP(BL$2,Valores!$H$2:$P$154,8,0)</f>
        <v>6413.18364333516</v>
      </c>
      <c r="BM94" s="30" t="n">
        <f aca="false">SUMIF($C$2:$F$2,EOMONTH(BM$2,-1)+1,$C94:$F94)*VLOOKUP(BM$2,Valores!$H$2:$P$154,8,0)</f>
        <v>6413.18364333516</v>
      </c>
      <c r="BN94" s="30" t="n">
        <f aca="false">SUMIF($C$2:$F$2,EOMONTH(BN$2,-1)+1,$C94:$F94)*VLOOKUP(BN$2,Valores!$H$2:$P$154,8,0)</f>
        <v>6413.18364333516</v>
      </c>
      <c r="BO94" s="30" t="n">
        <f aca="false">SUMIF($C$2:$F$2,EOMONTH(BO$2,-1)+1,$C94:$F94)*VLOOKUP(BO$2,Valores!$H$2:$P$154,8,0)</f>
        <v>6733.84282550192</v>
      </c>
      <c r="BP94" s="30" t="n">
        <f aca="false">SUMIF($C$2:$F$2,EOMONTH(BP$2,-1)+1,$C94:$F94)*VLOOKUP(BP$2,Valores!$H$2:$P$154,8,0)</f>
        <v>16946.0294912647</v>
      </c>
      <c r="BQ94" s="30" t="n">
        <f aca="false">SUMIF($C$2:$F$2,EOMONTH(BQ$2,-1)+1,$C94:$F94)*VLOOKUP(BQ$2,Valores!$H$2:$P$154,8,0)</f>
        <v>21182.5368640809</v>
      </c>
      <c r="BR94" s="30" t="n">
        <f aca="false">SUMIF($C$2:$F$2,EOMONTH(BR$2,-1)+1,$C94:$F94)*VLOOKUP(BR$2,Valores!$H$2:$P$154,8,0)</f>
        <v>10167.6176947588</v>
      </c>
      <c r="BS94" s="30" t="n">
        <f aca="false">SUMIF($C$2:$F$2,EOMONTH(BS$2,-1)+1,$C94:$F94)*VLOOKUP(BS$2,Valores!$H$2:$P$154,8,0)</f>
        <v>4539.11504230304</v>
      </c>
      <c r="BT94" s="30" t="n">
        <f aca="false">SUMIF($C$2:$F$2,EOMONTH(BT$2,-1)+1,$C94:$F94)*VLOOKUP(BT$2,Valores!$H$2:$P$154,8,0)</f>
        <v>4539.11504230304</v>
      </c>
      <c r="BU94" s="30" t="n">
        <f aca="false">SUMIF($C$2:$F$2,EOMONTH(BU$2,-1)+1,$C94:$F94)*VLOOKUP(BU$2,Valores!$H$2:$P$154,8,0)</f>
        <v>4539.11504230304</v>
      </c>
      <c r="BV94" s="30" t="n">
        <f aca="false">SUMIF($C$2:$F$2,EOMONTH(BV$2,-1)+1,$C94:$F94)*VLOOKUP(BV$2,Valores!$H$2:$P$154,8,0)</f>
        <v>4539.11504230304</v>
      </c>
      <c r="BW94" s="30" t="n">
        <f aca="false">SUMIF($C$2:$F$2,EOMONTH(BW$2,-1)+1,$C94:$F94)*VLOOKUP(BW$2,Valores!$H$2:$P$154,8,0)</f>
        <v>9078.23008460608</v>
      </c>
      <c r="BX94" s="30" t="n">
        <f aca="false">SUMIF($C$2:$F$2,EOMONTH(BX$2,-1)+1,$C94:$F94)*VLOOKUP(BX$2,Valores!$H$2:$P$154,8,0)</f>
        <v>11347.7876057576</v>
      </c>
      <c r="BY94" s="30" t="n">
        <f aca="false">SUMIF($C$2:$F$2,EOMONTH(BY$2,-1)+1,$C94:$F94)*VLOOKUP(BY$2,Valores!$H$2:$P$154,8,0)</f>
        <v>6808.67256345456</v>
      </c>
      <c r="BZ94" s="30" t="n">
        <f aca="false">SUMIF($C$2:$F$2,EOMONTH(BZ$2,-1)+1,$C94:$F94)*VLOOKUP(BZ$2,Valores!$H$2:$P$154,8,0)</f>
        <v>4539.11504230304</v>
      </c>
      <c r="CA94" s="30" t="n">
        <f aca="false">SUMIF($C$2:$F$2,EOMONTH(CA$2,-1)+1,$C94:$F94)*VLOOKUP(CA$2,Valores!$H$2:$P$154,8,0)</f>
        <v>4539.11504230304</v>
      </c>
      <c r="CB94" s="30" t="n">
        <f aca="false">SUMIF($C$2:$F$2,EOMONTH(CB$2,-1)+1,$C94:$F94)*VLOOKUP(CB$2,Valores!$H$2:$P$154,8,0)</f>
        <v>4539.11504230304</v>
      </c>
      <c r="CC94" s="30" t="n">
        <f aca="false">SUMIF($C$2:$F$2,EOMONTH(CC$2,-1)+1,$C94:$F94)*VLOOKUP(CC$2,Valores!$H$2:$P$154,8,0)</f>
        <v>4539.11504230304</v>
      </c>
      <c r="CD94" s="30" t="n">
        <f aca="false">SUMIF($C$2:$F$2,EOMONTH(CD$2,-1)+1,$C94:$F94)*VLOOKUP(CD$2,Valores!$H$2:$P$154,8,0)</f>
        <v>13617.3451269091</v>
      </c>
      <c r="CE94" s="30" t="n">
        <f aca="false">SUMIF($C$2:$F$2,EOMONTH(CE$2,-1)+1,$C94:$F94)*VLOOKUP(CE$2,Valores!$H$2:$P$154,8,0)</f>
        <v>18156.4601692122</v>
      </c>
      <c r="CF94" s="30" t="n">
        <f aca="false">SUMIF($C$2:$F$2,EOMONTH(CF$2,-1)+1,$C94:$F94)*VLOOKUP(CF$2,Valores!$H$2:$P$154,8,0)</f>
        <v>11347.7876057576</v>
      </c>
      <c r="CG94" s="30" t="n">
        <f aca="false">SUMIF($C$2:$F$2,EOMONTH(CG$2,-1)+1,$C94:$F94)*VLOOKUP(CG$2,Valores!$H$2:$P$154,8,0)</f>
        <v>6052.15338973739</v>
      </c>
      <c r="CH94" s="30" t="n">
        <f aca="false">SUMIF($C$2:$F$2,EOMONTH(CH$2,-1)+1,$C94:$F94)*VLOOKUP(CH$2,Valores!$H$2:$P$154,8,0)</f>
        <v>6052.15338973739</v>
      </c>
      <c r="CI94" s="30" t="n">
        <f aca="false">SUMIF($C$2:$F$2,EOMONTH(CI$2,-1)+1,$C94:$F94)*VLOOKUP(CI$2,Valores!$H$2:$P$154,8,0)</f>
        <v>6052.15338973739</v>
      </c>
      <c r="CJ94" s="30" t="n">
        <f aca="false">SUMIF($C$2:$F$2,EOMONTH(CJ$2,-1)+1,$C94:$F94)*VLOOKUP(CJ$2,Valores!$H$2:$P$154,8,0)</f>
        <v>6052.15338973739</v>
      </c>
      <c r="CK94" s="30" t="n">
        <f aca="false">SUMIF($C$2:$F$2,EOMONTH(CK$2,-1)+1,$C94:$F94)*VLOOKUP(CK$2,Valores!$H$2:$P$154,8,0)</f>
        <v>12104.3067794748</v>
      </c>
      <c r="CL94" s="30" t="n">
        <f aca="false">SUMIF($C$2:$F$2,EOMONTH(CL$2,-1)+1,$C94:$F94)*VLOOKUP(CL$2,Valores!$H$2:$P$154,8,0)</f>
        <v>15130.3834743435</v>
      </c>
      <c r="CM94" s="30" t="n">
        <f aca="false">SUMIF($C$2:$F$2,EOMONTH(CM$2,-1)+1,$C94:$F94)*VLOOKUP(CM$2,Valores!$H$2:$P$154,8,0)</f>
        <v>9078.23008460608</v>
      </c>
      <c r="CN94" s="30" t="n">
        <f aca="false">SUMIF($C$2:$F$2,EOMONTH(CN$2,-1)+1,$C94:$F94)*VLOOKUP(CN$2,Valores!$H$2:$P$154,8,0)</f>
        <v>6657.36872871113</v>
      </c>
      <c r="CO94" s="30" t="n">
        <f aca="false">SUMIF($C$2:$F$2,EOMONTH(CO$2,-1)+1,$C94:$F94)*VLOOKUP(CO$2,Valores!$H$2:$P$154,8,0)</f>
        <v>6657.36872871113</v>
      </c>
      <c r="CP94" s="30" t="n">
        <f aca="false">SUMIF($C$2:$F$2,EOMONTH(CP$2,-1)+1,$C94:$F94)*VLOOKUP(CP$2,Valores!$H$2:$P$154,8,0)</f>
        <v>6657.36872871113</v>
      </c>
      <c r="CQ94" s="30" t="n">
        <f aca="false">SUMIF($C$2:$F$2,EOMONTH(CQ$2,-1)+1,$C94:$F94)*VLOOKUP(CQ$2,Valores!$H$2:$P$154,8,0)</f>
        <v>6657.36872871113</v>
      </c>
      <c r="CR94" s="30" t="n">
        <f aca="false">SUMIF($C$2:$F$2,EOMONTH(CR$2,-1)+1,$C94:$F94)*VLOOKUP(CR$2,Valores!$H$2:$P$154,8,0)</f>
        <v>13314.7374574223</v>
      </c>
      <c r="CS94" s="30" t="n">
        <f aca="false">SUMIF($C$2:$F$2,EOMONTH(CS$2,-1)+1,$C94:$F94)*VLOOKUP(CS$2,Valores!$H$2:$P$154,8,0)</f>
        <v>19972.1061861334</v>
      </c>
      <c r="CT94" s="30" t="e">
        <f aca="false">SUMIF($C$2:$F$2,EOMONTH(CT$2,-1)+1,$C94:$F94)*VLOOKUP(CT$2,Valores!$H$2:$P$154,8,0)</f>
        <v>#VALUE!</v>
      </c>
      <c r="CU94" s="30" t="e">
        <f aca="false">SUMIF($C$2:$F$2,EOMONTH(CU$2,-1)+1,$C94:$F94)*VLOOKUP(CU$2,Valores!$H$2:$P$154,8,0)</f>
        <v>#VALUE!</v>
      </c>
      <c r="CV94" s="30" t="e">
        <f aca="false">SUMIF($C$2:$F$2,EOMONTH(CV$2,-1)+1,$C94:$F94)*VLOOKUP(CV$2,Valores!$H$2:$P$154,8,0)</f>
        <v>#VALUE!</v>
      </c>
      <c r="CW94" s="30" t="e">
        <f aca="false">SUMIF($C$2:$F$2,EOMONTH(CW$2,-1)+1,$C94:$F94)*VLOOKUP(CW$2,Valores!$H$2:$P$154,8,0)</f>
        <v>#VALUE!</v>
      </c>
      <c r="CX94" s="30" t="e">
        <f aca="false">SUMIF($C$2:$F$2,EOMONTH(CX$2,-1)+1,$C94:$F94)*VLOOKUP(CX$2,Valores!$H$2:$P$154,8,0)</f>
        <v>#VALUE!</v>
      </c>
      <c r="CY94" s="30" t="e">
        <f aca="false">SUMIF($C$2:$F$2,EOMONTH(CY$2,-1)+1,$C94:$F94)*VLOOKUP(CY$2,Valores!$H$2:$P$154,8,0)</f>
        <v>#VALUE!</v>
      </c>
      <c r="CZ94" s="30" t="e">
        <f aca="false">SUMIF($C$2:$F$2,EOMONTH(CZ$2,-1)+1,$C94:$F94)*VLOOKUP(CZ$2,Valores!$H$2:$P$154,8,0)</f>
        <v>#VALUE!</v>
      </c>
      <c r="DA94" s="30" t="e">
        <f aca="false">SUMIF($C$2:$F$2,EOMONTH(DA$2,-1)+1,$C94:$F94)*VLOOKUP(DA$2,Valores!$H$2:$P$154,8,0)</f>
        <v>#VALUE!</v>
      </c>
      <c r="DB94" s="30" t="e">
        <f aca="false">SUMIF($C$2:$F$2,EOMONTH(DB$2,-1)+1,$C94:$F94)*VLOOKUP(DB$2,Valores!$H$2:$P$154,8,0)</f>
        <v>#VALUE!</v>
      </c>
      <c r="DC94" s="30" t="e">
        <f aca="false">SUMIF($C$2:$F$2,EOMONTH(DC$2,-1)+1,$C94:$F94)*VLOOKUP(DC$2,Valores!$H$2:$P$154,8,0)</f>
        <v>#VALUE!</v>
      </c>
      <c r="DD94" s="30" t="e">
        <f aca="false">SUMIF($C$2:$F$2,EOMONTH(DD$2,-1)+1,$C94:$F94)*VLOOKUP(DD$2,Valores!$H$2:$P$154,8,0)</f>
        <v>#VALUE!</v>
      </c>
      <c r="DE94" s="30" t="e">
        <f aca="false">SUMIF($C$2:$F$2,EOMONTH(DE$2,-1)+1,$C94:$F94)*VLOOKUP(DE$2,Valores!$H$2:$P$154,8,0)</f>
        <v>#VALUE!</v>
      </c>
      <c r="DF94" s="30" t="e">
        <f aca="false">SUMIF($C$2:$F$2,EOMONTH(DF$2,-1)+1,$C94:$F94)*VLOOKUP(DF$2,Valores!$H$2:$P$154,8,0)</f>
        <v>#VALUE!</v>
      </c>
      <c r="DG94" s="30" t="e">
        <f aca="false">SUMIF($C$2:$F$2,EOMONTH(DG$2,-1)+1,$C94:$F94)*VLOOKUP(DG$2,Valores!$H$2:$P$154,8,0)</f>
        <v>#VALUE!</v>
      </c>
      <c r="DH94" s="30" t="e">
        <f aca="false">SUMIF($C$2:$F$2,EOMONTH(DH$2,-1)+1,$C94:$F94)*VLOOKUP(DH$2,Valores!$H$2:$P$154,8,0)</f>
        <v>#VALUE!</v>
      </c>
      <c r="DI94" s="30" t="e">
        <f aca="false">SUMIF($C$2:$F$2,EOMONTH(DI$2,-1)+1,$C94:$F94)*VLOOKUP(DI$2,Valores!$H$2:$P$154,8,0)</f>
        <v>#VALUE!</v>
      </c>
      <c r="DJ94" s="30" t="e">
        <f aca="false">SUMIF($C$2:$F$2,EOMONTH(DJ$2,-1)+1,$C94:$F94)*VLOOKUP(DJ$2,Valores!$H$2:$P$154,8,0)</f>
        <v>#VALUE!</v>
      </c>
      <c r="DK94" s="30" t="e">
        <f aca="false">SUMIF($C$2:$F$2,EOMONTH(DK$2,-1)+1,$C94:$F94)*VLOOKUP(DK$2,Valores!$H$2:$P$154,8,0)</f>
        <v>#VALUE!</v>
      </c>
      <c r="DL94" s="30" t="e">
        <f aca="false">SUMIF($C$2:$F$2,EOMONTH(DL$2,-1)+1,$C94:$F94)*VLOOKUP(DL$2,Valores!$H$2:$P$154,8,0)</f>
        <v>#VALUE!</v>
      </c>
      <c r="DM94" s="30" t="e">
        <f aca="false">SUMIF($C$2:$F$2,EOMONTH(DM$2,-1)+1,$C94:$F94)*VLOOKUP(DM$2,Valores!$H$2:$P$154,8,0)</f>
        <v>#VALUE!</v>
      </c>
      <c r="DN94" s="30" t="e">
        <f aca="false">SUMIF($C$2:$F$2,EOMONTH(DN$2,-1)+1,$C94:$F94)*VLOOKUP(DN$2,Valores!$H$2:$P$154,8,0)</f>
        <v>#VALUE!</v>
      </c>
      <c r="DO94" s="30" t="e">
        <f aca="false">SUMIF($C$2:$F$2,EOMONTH(DO$2,-1)+1,$C94:$F94)*VLOOKUP(DO$2,Valores!$H$2:$P$154,8,0)</f>
        <v>#VALUE!</v>
      </c>
      <c r="DP94" s="30" t="e">
        <f aca="false">SUMIF($C$2:$F$2,EOMONTH(DP$2,-1)+1,$C94:$F94)*VLOOKUP(DP$2,Valores!$H$2:$P$154,8,0)</f>
        <v>#VALUE!</v>
      </c>
      <c r="DQ94" s="30" t="e">
        <f aca="false">SUMIF($C$2:$F$2,EOMONTH(DQ$2,-1)+1,$C94:$F94)*VLOOKUP(DQ$2,Valores!$H$2:$P$154,8,0)</f>
        <v>#VALUE!</v>
      </c>
      <c r="DR94" s="30" t="e">
        <f aca="false">SUMIF($C$2:$F$2,EOMONTH(DR$2,-1)+1,$C94:$F94)*VLOOKUP(DR$2,Valores!$H$2:$P$154,8,0)</f>
        <v>#VALUE!</v>
      </c>
      <c r="DS94" s="30" t="e">
        <f aca="false">SUMIF($C$2:$F$2,EOMONTH(DS$2,-1)+1,$C94:$F94)*VLOOKUP(DS$2,Valores!$H$2:$P$154,8,0)</f>
        <v>#VALUE!</v>
      </c>
      <c r="DT94" s="30" t="e">
        <f aca="false">SUMIF($C$2:$F$2,EOMONTH(DT$2,-1)+1,$C94:$F94)*VLOOKUP(DT$2,Valores!$H$2:$P$154,8,0)</f>
        <v>#VALUE!</v>
      </c>
      <c r="DU94" s="30" t="e">
        <f aca="false">SUMIF($C$2:$F$2,EOMONTH(DU$2,-1)+1,$C94:$F94)*VLOOKUP(DU$2,Valores!$H$2:$P$154,8,0)</f>
        <v>#VALUE!</v>
      </c>
      <c r="DV94" s="30" t="e">
        <f aca="false">SUMIF($C$2:$F$2,EOMONTH(DV$2,-1)+1,$C94:$F94)*VLOOKUP(DV$2,Valores!$H$2:$P$154,8,0)</f>
        <v>#VALUE!</v>
      </c>
      <c r="DW94" s="30" t="e">
        <f aca="false">SUMIF($C$2:$F$2,EOMONTH(DW$2,-1)+1,$C94:$F94)*VLOOKUP(DW$2,Valores!$H$2:$P$154,8,0)</f>
        <v>#VALUE!</v>
      </c>
      <c r="DX94" s="30" t="e">
        <f aca="false">SUMIF($C$2:$F$2,EOMONTH(DX$2,-1)+1,$C94:$F94)*VLOOKUP(DX$2,Valores!$H$2:$P$154,8,0)</f>
        <v>#VALUE!</v>
      </c>
    </row>
    <row r="95" customFormat="false" ht="13.8" hidden="false" customHeight="false" outlineLevel="0" collapsed="false">
      <c r="A95" s="31"/>
      <c r="B95" s="31"/>
      <c r="C95" s="31"/>
      <c r="D95" s="31"/>
      <c r="E95" s="31"/>
      <c r="F95" s="31"/>
      <c r="G95" s="27" t="n">
        <f aca="false">SUMIF($C$2:$F$2,EOMONTH(G$2,-1)+1,$C95:$F95)*VLOOKUP(G$2,Valores!$H$2:$P$154,8,0)</f>
        <v>0</v>
      </c>
      <c r="H95" s="27" t="n">
        <f aca="false">SUMIF($C$2:$F$2,EOMONTH(H$2,-1)+1,$C95:$F95)*VLOOKUP(H$2,Valores!$H$2:$P$154,8,0)</f>
        <v>0</v>
      </c>
      <c r="I95" s="27" t="n">
        <f aca="false">SUMIF($C$2:$F$2,EOMONTH(I$2,-1)+1,$C95:$F95)*VLOOKUP(I$2,Valores!$H$2:$P$154,8,0)</f>
        <v>0</v>
      </c>
      <c r="J95" s="27" t="n">
        <f aca="false">SUMIF($C$2:$F$2,EOMONTH(J$2,-1)+1,$C95:$F95)*VLOOKUP(J$2,Valores!$H$2:$P$154,8,0)</f>
        <v>0</v>
      </c>
      <c r="K95" s="27" t="n">
        <f aca="false">SUMIF($C$2:$F$2,EOMONTH(K$2,-1)+1,$C95:$F95)*VLOOKUP(K$2,Valores!$H$2:$P$154,8,0)</f>
        <v>0</v>
      </c>
      <c r="L95" s="27" t="n">
        <f aca="false">SUMIF($C$2:$F$2,EOMONTH(L$2,-1)+1,$C95:$F95)*VLOOKUP(L$2,Valores!$H$2:$P$154,8,0)</f>
        <v>0</v>
      </c>
      <c r="M95" s="27" t="n">
        <f aca="false">SUMIF($C$2:$F$2,EOMONTH(M$2,-1)+1,$C95:$F95)*VLOOKUP(M$2,Valores!$H$2:$P$154,8,0)</f>
        <v>0</v>
      </c>
      <c r="N95" s="27" t="n">
        <f aca="false">SUMIF($C$2:$F$2,EOMONTH(N$2,-1)+1,$C95:$F95)*VLOOKUP(N$2,Valores!$H$2:$P$154,8,0)</f>
        <v>0</v>
      </c>
      <c r="O95" s="27" t="n">
        <f aca="false">SUMIF($C$2:$F$2,EOMONTH(O$2,-1)+1,$C95:$F95)*VLOOKUP(O$2,Valores!$H$2:$P$154,8,0)</f>
        <v>0</v>
      </c>
      <c r="P95" s="27" t="n">
        <f aca="false">SUMIF($C$2:$F$2,EOMONTH(P$2,-1)+1,$C95:$F95)*VLOOKUP(P$2,Valores!$H$2:$P$154,8,0)</f>
        <v>0</v>
      </c>
      <c r="Q95" s="27" t="n">
        <f aca="false">SUMIF($C$2:$F$2,EOMONTH(Q$2,-1)+1,$C95:$F95)*VLOOKUP(Q$2,Valores!$H$2:$P$154,8,0)</f>
        <v>0</v>
      </c>
      <c r="R95" s="27" t="n">
        <f aca="false">SUMIF($C$2:$F$2,EOMONTH(R$2,-1)+1,$C95:$F95)*VLOOKUP(R$2,Valores!$H$2:$P$154,8,0)</f>
        <v>0</v>
      </c>
      <c r="S95" s="27" t="n">
        <f aca="false">SUMIF($C$2:$F$2,EOMONTH(S$2,-1)+1,$C95:$F95)*VLOOKUP(S$2,Valores!$H$2:$P$154,8,0)</f>
        <v>0</v>
      </c>
      <c r="T95" s="27" t="n">
        <f aca="false">SUMIF($C$2:$F$2,EOMONTH(T$2,-1)+1,$C95:$F95)*VLOOKUP(T$2,Valores!$H$2:$P$154,8,0)</f>
        <v>0</v>
      </c>
      <c r="U95" s="27" t="n">
        <f aca="false">SUMIF($C$2:$F$2,EOMONTH(U$2,-1)+1,$C95:$F95)*VLOOKUP(U$2,Valores!$H$2:$P$154,8,0)</f>
        <v>0</v>
      </c>
      <c r="V95" s="27" t="n">
        <f aca="false">SUMIF($C$2:$F$2,EOMONTH(V$2,-1)+1,$C95:$F95)*VLOOKUP(V$2,Valores!$H$2:$P$154,8,0)</f>
        <v>0</v>
      </c>
      <c r="W95" s="27" t="n">
        <f aca="false">SUMIF($C$2:$F$2,EOMONTH(W$2,-1)+1,$C95:$F95)*VLOOKUP(W$2,Valores!$H$2:$P$154,8,0)</f>
        <v>0</v>
      </c>
      <c r="X95" s="27" t="n">
        <f aca="false">SUMIF($C$2:$F$2,EOMONTH(X$2,-1)+1,$C95:$F95)*VLOOKUP(X$2,Valores!$H$2:$P$154,8,0)</f>
        <v>0</v>
      </c>
      <c r="Y95" s="27" t="n">
        <f aca="false">SUMIF($C$2:$F$2,EOMONTH(Y$2,-1)+1,$C95:$F95)*VLOOKUP(Y$2,Valores!$H$2:$P$154,8,0)</f>
        <v>0</v>
      </c>
      <c r="Z95" s="27" t="n">
        <f aca="false">SUMIF($C$2:$F$2,EOMONTH(Z$2,-1)+1,$C95:$F95)*VLOOKUP(Z$2,Valores!$H$2:$P$154,8,0)</f>
        <v>0</v>
      </c>
      <c r="AA95" s="27" t="n">
        <f aca="false">SUMIF($C$2:$F$2,EOMONTH(AA$2,-1)+1,$C95:$F95)*VLOOKUP(AA$2,Valores!$H$2:$P$154,8,0)</f>
        <v>0</v>
      </c>
      <c r="AB95" s="27" t="n">
        <f aca="false">SUMIF($C$2:$F$2,EOMONTH(AB$2,-1)+1,$C95:$F95)*VLOOKUP(AB$2,Valores!$H$2:$P$154,8,0)</f>
        <v>0</v>
      </c>
      <c r="AC95" s="27" t="n">
        <f aca="false">SUMIF($C$2:$F$2,EOMONTH(AC$2,-1)+1,$C95:$F95)*VLOOKUP(AC$2,Valores!$H$2:$P$154,8,0)</f>
        <v>0</v>
      </c>
      <c r="AD95" s="27" t="n">
        <f aca="false">SUMIF($C$2:$F$2,EOMONTH(AD$2,-1)+1,$C95:$F95)*VLOOKUP(AD$2,Valores!$H$2:$P$154,8,0)</f>
        <v>0</v>
      </c>
      <c r="AE95" s="27" t="n">
        <f aca="false">SUMIF($C$2:$F$2,EOMONTH(AE$2,-1)+1,$C95:$F95)*VLOOKUP(AE$2,Valores!$H$2:$P$154,8,0)</f>
        <v>0</v>
      </c>
      <c r="AF95" s="27" t="n">
        <f aca="false">SUMIF($C$2:$F$2,EOMONTH(AF$2,-1)+1,$C95:$F95)*VLOOKUP(AF$2,Valores!$H$2:$P$154,8,0)</f>
        <v>0</v>
      </c>
      <c r="AG95" s="27" t="n">
        <f aca="false">SUMIF($C$2:$F$2,EOMONTH(AG$2,-1)+1,$C95:$F95)*VLOOKUP(AG$2,Valores!$H$2:$P$154,8,0)</f>
        <v>0</v>
      </c>
      <c r="AH95" s="27" t="n">
        <f aca="false">SUMIF($C$2:$F$2,EOMONTH(AH$2,-1)+1,$C95:$F95)*VLOOKUP(AH$2,Valores!$H$2:$P$154,8,0)</f>
        <v>0</v>
      </c>
      <c r="AI95" s="27" t="n">
        <f aca="false">SUMIF($C$2:$F$2,EOMONTH(AI$2,-1)+1,$C95:$F95)*VLOOKUP(AI$2,Valores!$H$2:$P$154,8,0)</f>
        <v>0</v>
      </c>
      <c r="AJ95" s="27" t="n">
        <f aca="false">SUMIF($C$2:$F$2,EOMONTH(AJ$2,-1)+1,$C95:$F95)*VLOOKUP(AJ$2,Valores!$H$2:$P$154,8,0)</f>
        <v>0</v>
      </c>
      <c r="AK95" s="27" t="n">
        <f aca="false">SUMIF($C$2:$F$2,EOMONTH(AK$2,-1)+1,$C95:$F95)*VLOOKUP(AK$2,Valores!$H$2:$P$154,8,0)</f>
        <v>0</v>
      </c>
      <c r="AL95" s="27" t="n">
        <f aca="false">SUMIF($C$2:$F$2,EOMONTH(AL$2,-1)+1,$C95:$F95)*VLOOKUP(AL$2,Valores!$H$2:$P$154,8,0)</f>
        <v>0</v>
      </c>
      <c r="AM95" s="27" t="n">
        <f aca="false">SUMIF($C$2:$F$2,EOMONTH(AM$2,-1)+1,$C95:$F95)*VLOOKUP(AM$2,Valores!$H$2:$P$154,8,0)</f>
        <v>0</v>
      </c>
      <c r="AN95" s="27" t="n">
        <f aca="false">SUMIF($C$2:$F$2,EOMONTH(AN$2,-1)+1,$C95:$F95)*VLOOKUP(AN$2,Valores!$H$2:$P$154,8,0)</f>
        <v>0</v>
      </c>
      <c r="AO95" s="27" t="n">
        <f aca="false">SUMIF($C$2:$F$2,EOMONTH(AO$2,-1)+1,$C95:$F95)*VLOOKUP(AO$2,Valores!$H$2:$P$154,8,0)</f>
        <v>0</v>
      </c>
      <c r="AP95" s="27" t="n">
        <f aca="false">SUMIF($C$2:$F$2,EOMONTH(AP$2,-1)+1,$C95:$F95)*VLOOKUP(AP$2,Valores!$H$2:$P$154,8,0)</f>
        <v>0</v>
      </c>
      <c r="AQ95" s="27" t="n">
        <f aca="false">SUMIF($C$2:$F$2,EOMONTH(AQ$2,-1)+1,$C95:$F95)*VLOOKUP(AQ$2,Valores!$H$2:$P$154,8,0)</f>
        <v>0</v>
      </c>
      <c r="AR95" s="27" t="n">
        <f aca="false">SUMIF($C$2:$F$2,EOMONTH(AR$2,-1)+1,$C95:$F95)*VLOOKUP(AR$2,Valores!$H$2:$P$154,8,0)</f>
        <v>0</v>
      </c>
      <c r="AS95" s="27" t="n">
        <f aca="false">SUMIF($C$2:$F$2,EOMONTH(AS$2,-1)+1,$C95:$F95)*VLOOKUP(AS$2,Valores!$H$2:$P$154,8,0)</f>
        <v>0</v>
      </c>
      <c r="AT95" s="27" t="n">
        <f aca="false">SUMIF($C$2:$F$2,EOMONTH(AT$2,-1)+1,$C95:$F95)*VLOOKUP(AT$2,Valores!$H$2:$P$154,8,0)</f>
        <v>0</v>
      </c>
      <c r="AU95" s="27" t="n">
        <f aca="false">SUMIF($C$2:$F$2,EOMONTH(AU$2,-1)+1,$C95:$F95)*VLOOKUP(AU$2,Valores!$H$2:$P$154,8,0)</f>
        <v>0</v>
      </c>
      <c r="AV95" s="27" t="n">
        <f aca="false">SUMIF($C$2:$F$2,EOMONTH(AV$2,-1)+1,$C95:$F95)*VLOOKUP(AV$2,Valores!$H$2:$P$154,8,0)</f>
        <v>0</v>
      </c>
      <c r="AW95" s="27" t="n">
        <f aca="false">SUMIF($C$2:$F$2,EOMONTH(AW$2,-1)+1,$C95:$F95)*VLOOKUP(AW$2,Valores!$H$2:$P$154,8,0)</f>
        <v>0</v>
      </c>
      <c r="AX95" s="27" t="n">
        <f aca="false">SUMIF($C$2:$F$2,EOMONTH(AX$2,-1)+1,$C95:$F95)*VLOOKUP(AX$2,Valores!$H$2:$P$154,8,0)</f>
        <v>0</v>
      </c>
      <c r="AY95" s="27" t="n">
        <f aca="false">SUMIF($C$2:$F$2,EOMONTH(AY$2,-1)+1,$C95:$F95)*VLOOKUP(AY$2,Valores!$H$2:$P$154,8,0)</f>
        <v>0</v>
      </c>
      <c r="AZ95" s="27" t="n">
        <f aca="false">SUMIF($C$2:$F$2,EOMONTH(AZ$2,-1)+1,$C95:$F95)*VLOOKUP(AZ$2,Valores!$H$2:$P$154,8,0)</f>
        <v>0</v>
      </c>
      <c r="BA95" s="27" t="n">
        <f aca="false">SUMIF($C$2:$F$2,EOMONTH(BA$2,-1)+1,$C95:$F95)*VLOOKUP(BA$2,Valores!$H$2:$P$154,8,0)</f>
        <v>0</v>
      </c>
      <c r="BB95" s="27" t="n">
        <f aca="false">SUMIF($C$2:$F$2,EOMONTH(BB$2,-1)+1,$C95:$F95)*VLOOKUP(BB$2,Valores!$H$2:$P$154,8,0)</f>
        <v>0</v>
      </c>
      <c r="BC95" s="27" t="n">
        <f aca="false">SUMIF($C$2:$F$2,EOMONTH(BC$2,-1)+1,$C95:$F95)*VLOOKUP(BC$2,Valores!$H$2:$P$154,8,0)</f>
        <v>0</v>
      </c>
      <c r="BD95" s="27" t="n">
        <f aca="false">SUMIF($C$2:$F$2,EOMONTH(BD$2,-1)+1,$C95:$F95)*VLOOKUP(BD$2,Valores!$H$2:$P$154,8,0)</f>
        <v>0</v>
      </c>
      <c r="BE95" s="27" t="n">
        <f aca="false">SUMIF($C$2:$F$2,EOMONTH(BE$2,-1)+1,$C95:$F95)*VLOOKUP(BE$2,Valores!$H$2:$P$154,8,0)</f>
        <v>0</v>
      </c>
      <c r="BF95" s="27" t="n">
        <f aca="false">SUMIF($C$2:$F$2,EOMONTH(BF$2,-1)+1,$C95:$F95)*VLOOKUP(BF$2,Valores!$H$2:$P$154,8,0)</f>
        <v>0</v>
      </c>
      <c r="BG95" s="27" t="n">
        <f aca="false">SUMIF($C$2:$F$2,EOMONTH(BG$2,-1)+1,$C95:$F95)*VLOOKUP(BG$2,Valores!$H$2:$P$154,8,0)</f>
        <v>0</v>
      </c>
      <c r="BH95" s="27" t="n">
        <f aca="false">SUMIF($C$2:$F$2,EOMONTH(BH$2,-1)+1,$C95:$F95)*VLOOKUP(BH$2,Valores!$H$2:$P$154,8,0)</f>
        <v>0</v>
      </c>
      <c r="BI95" s="27" t="n">
        <f aca="false">SUMIF($C$2:$F$2,EOMONTH(BI$2,-1)+1,$C95:$F95)*VLOOKUP(BI$2,Valores!$H$2:$P$154,8,0)</f>
        <v>0</v>
      </c>
      <c r="BJ95" s="27" t="n">
        <f aca="false">SUMIF($C$2:$F$2,EOMONTH(BJ$2,-1)+1,$C95:$F95)*VLOOKUP(BJ$2,Valores!$H$2:$P$154,8,0)</f>
        <v>0</v>
      </c>
      <c r="BK95" s="27" t="n">
        <f aca="false">SUMIF($C$2:$F$2,EOMONTH(BK$2,-1)+1,$C95:$F95)*VLOOKUP(BK$2,Valores!$H$2:$P$154,8,0)</f>
        <v>0</v>
      </c>
      <c r="BL95" s="27" t="n">
        <f aca="false">SUMIF($C$2:$F$2,EOMONTH(BL$2,-1)+1,$C95:$F95)*VLOOKUP(BL$2,Valores!$H$2:$P$154,8,0)</f>
        <v>0</v>
      </c>
      <c r="BM95" s="27" t="n">
        <f aca="false">SUMIF($C$2:$F$2,EOMONTH(BM$2,-1)+1,$C95:$F95)*VLOOKUP(BM$2,Valores!$H$2:$P$154,8,0)</f>
        <v>0</v>
      </c>
      <c r="BN95" s="27" t="n">
        <f aca="false">SUMIF($C$2:$F$2,EOMONTH(BN$2,-1)+1,$C95:$F95)*VLOOKUP(BN$2,Valores!$H$2:$P$154,8,0)</f>
        <v>0</v>
      </c>
      <c r="BO95" s="27" t="n">
        <f aca="false">SUMIF($C$2:$F$2,EOMONTH(BO$2,-1)+1,$C95:$F95)*VLOOKUP(BO$2,Valores!$H$2:$P$154,8,0)</f>
        <v>0</v>
      </c>
      <c r="BP95" s="27" t="n">
        <f aca="false">SUMIF($C$2:$F$2,EOMONTH(BP$2,-1)+1,$C95:$F95)*VLOOKUP(BP$2,Valores!$H$2:$P$154,8,0)</f>
        <v>0</v>
      </c>
      <c r="BQ95" s="27" t="n">
        <f aca="false">SUMIF($C$2:$F$2,EOMONTH(BQ$2,-1)+1,$C95:$F95)*VLOOKUP(BQ$2,Valores!$H$2:$P$154,8,0)</f>
        <v>0</v>
      </c>
      <c r="BR95" s="27" t="n">
        <f aca="false">SUMIF($C$2:$F$2,EOMONTH(BR$2,-1)+1,$C95:$F95)*VLOOKUP(BR$2,Valores!$H$2:$P$154,8,0)</f>
        <v>0</v>
      </c>
      <c r="BS95" s="27" t="n">
        <f aca="false">SUMIF($C$2:$F$2,EOMONTH(BS$2,-1)+1,$C95:$F95)*VLOOKUP(BS$2,Valores!$H$2:$P$154,8,0)</f>
        <v>0</v>
      </c>
      <c r="BT95" s="27" t="n">
        <f aca="false">SUMIF($C$2:$F$2,EOMONTH(BT$2,-1)+1,$C95:$F95)*VLOOKUP(BT$2,Valores!$H$2:$P$154,8,0)</f>
        <v>0</v>
      </c>
      <c r="BU95" s="27" t="n">
        <f aca="false">SUMIF($C$2:$F$2,EOMONTH(BU$2,-1)+1,$C95:$F95)*VLOOKUP(BU$2,Valores!$H$2:$P$154,8,0)</f>
        <v>0</v>
      </c>
      <c r="BV95" s="27" t="n">
        <f aca="false">SUMIF($C$2:$F$2,EOMONTH(BV$2,-1)+1,$C95:$F95)*VLOOKUP(BV$2,Valores!$H$2:$P$154,8,0)</f>
        <v>0</v>
      </c>
      <c r="BW95" s="27" t="n">
        <f aca="false">SUMIF($C$2:$F$2,EOMONTH(BW$2,-1)+1,$C95:$F95)*VLOOKUP(BW$2,Valores!$H$2:$P$154,8,0)</f>
        <v>0</v>
      </c>
      <c r="BX95" s="27" t="n">
        <f aca="false">SUMIF($C$2:$F$2,EOMONTH(BX$2,-1)+1,$C95:$F95)*VLOOKUP(BX$2,Valores!$H$2:$P$154,8,0)</f>
        <v>0</v>
      </c>
      <c r="BY95" s="27" t="n">
        <f aca="false">SUMIF($C$2:$F$2,EOMONTH(BY$2,-1)+1,$C95:$F95)*VLOOKUP(BY$2,Valores!$H$2:$P$154,8,0)</f>
        <v>0</v>
      </c>
      <c r="BZ95" s="27" t="n">
        <f aca="false">SUMIF($C$2:$F$2,EOMONTH(BZ$2,-1)+1,$C95:$F95)*VLOOKUP(BZ$2,Valores!$H$2:$P$154,8,0)</f>
        <v>0</v>
      </c>
      <c r="CA95" s="27" t="n">
        <f aca="false">SUMIF($C$2:$F$2,EOMONTH(CA$2,-1)+1,$C95:$F95)*VLOOKUP(CA$2,Valores!$H$2:$P$154,8,0)</f>
        <v>0</v>
      </c>
      <c r="CB95" s="27" t="n">
        <f aca="false">SUMIF($C$2:$F$2,EOMONTH(CB$2,-1)+1,$C95:$F95)*VLOOKUP(CB$2,Valores!$H$2:$P$154,8,0)</f>
        <v>0</v>
      </c>
      <c r="CC95" s="27" t="n">
        <f aca="false">SUMIF($C$2:$F$2,EOMONTH(CC$2,-1)+1,$C95:$F95)*VLOOKUP(CC$2,Valores!$H$2:$P$154,8,0)</f>
        <v>0</v>
      </c>
      <c r="CD95" s="27" t="n">
        <f aca="false">SUMIF($C$2:$F$2,EOMONTH(CD$2,-1)+1,$C95:$F95)*VLOOKUP(CD$2,Valores!$H$2:$P$154,8,0)</f>
        <v>0</v>
      </c>
      <c r="CE95" s="27" t="n">
        <f aca="false">SUMIF($C$2:$F$2,EOMONTH(CE$2,-1)+1,$C95:$F95)*VLOOKUP(CE$2,Valores!$H$2:$P$154,8,0)</f>
        <v>0</v>
      </c>
      <c r="CF95" s="27" t="n">
        <f aca="false">SUMIF($C$2:$F$2,EOMONTH(CF$2,-1)+1,$C95:$F95)*VLOOKUP(CF$2,Valores!$H$2:$P$154,8,0)</f>
        <v>0</v>
      </c>
      <c r="CG95" s="27" t="n">
        <f aca="false">SUMIF($C$2:$F$2,EOMONTH(CG$2,-1)+1,$C95:$F95)*VLOOKUP(CG$2,Valores!$H$2:$P$154,8,0)</f>
        <v>0</v>
      </c>
      <c r="CH95" s="27" t="n">
        <f aca="false">SUMIF($C$2:$F$2,EOMONTH(CH$2,-1)+1,$C95:$F95)*VLOOKUP(CH$2,Valores!$H$2:$P$154,8,0)</f>
        <v>0</v>
      </c>
      <c r="CI95" s="27" t="n">
        <f aca="false">SUMIF($C$2:$F$2,EOMONTH(CI$2,-1)+1,$C95:$F95)*VLOOKUP(CI$2,Valores!$H$2:$P$154,8,0)</f>
        <v>0</v>
      </c>
      <c r="CJ95" s="27" t="n">
        <f aca="false">SUMIF($C$2:$F$2,EOMONTH(CJ$2,-1)+1,$C95:$F95)*VLOOKUP(CJ$2,Valores!$H$2:$P$154,8,0)</f>
        <v>0</v>
      </c>
      <c r="CK95" s="27" t="n">
        <f aca="false">SUMIF($C$2:$F$2,EOMONTH(CK$2,-1)+1,$C95:$F95)*VLOOKUP(CK$2,Valores!$H$2:$P$154,8,0)</f>
        <v>0</v>
      </c>
      <c r="CL95" s="27" t="n">
        <f aca="false">SUMIF($C$2:$F$2,EOMONTH(CL$2,-1)+1,$C95:$F95)*VLOOKUP(CL$2,Valores!$H$2:$P$154,8,0)</f>
        <v>0</v>
      </c>
      <c r="CM95" s="27" t="n">
        <f aca="false">SUMIF($C$2:$F$2,EOMONTH(CM$2,-1)+1,$C95:$F95)*VLOOKUP(CM$2,Valores!$H$2:$P$154,8,0)</f>
        <v>0</v>
      </c>
      <c r="CN95" s="27" t="n">
        <f aca="false">SUMIF($C$2:$F$2,EOMONTH(CN$2,-1)+1,$C95:$F95)*VLOOKUP(CN$2,Valores!$H$2:$P$154,8,0)</f>
        <v>0</v>
      </c>
      <c r="CO95" s="27" t="n">
        <f aca="false">SUMIF($C$2:$F$2,EOMONTH(CO$2,-1)+1,$C95:$F95)*VLOOKUP(CO$2,Valores!$H$2:$P$154,8,0)</f>
        <v>0</v>
      </c>
      <c r="CP95" s="27" t="n">
        <f aca="false">SUMIF($C$2:$F$2,EOMONTH(CP$2,-1)+1,$C95:$F95)*VLOOKUP(CP$2,Valores!$H$2:$P$154,8,0)</f>
        <v>0</v>
      </c>
      <c r="CQ95" s="27" t="n">
        <f aca="false">SUMIF($C$2:$F$2,EOMONTH(CQ$2,-1)+1,$C95:$F95)*VLOOKUP(CQ$2,Valores!$H$2:$P$154,8,0)</f>
        <v>0</v>
      </c>
      <c r="CR95" s="27" t="n">
        <f aca="false">SUMIF($C$2:$F$2,EOMONTH(CR$2,-1)+1,$C95:$F95)*VLOOKUP(CR$2,Valores!$H$2:$P$154,8,0)</f>
        <v>0</v>
      </c>
      <c r="CS95" s="27" t="n">
        <f aca="false">SUMIF($C$2:$F$2,EOMONTH(CS$2,-1)+1,$C95:$F95)*VLOOKUP(CS$2,Valores!$H$2:$P$154,8,0)</f>
        <v>0</v>
      </c>
      <c r="CT95" s="27" t="e">
        <f aca="false">SUMIF($C$2:$F$2,EOMONTH(CT$2,-1)+1,$C95:$F95)*VLOOKUP(CT$2,Valores!$H$2:$P$154,8,0)</f>
        <v>#VALUE!</v>
      </c>
      <c r="CU95" s="27" t="e">
        <f aca="false">SUMIF($C$2:$F$2,EOMONTH(CU$2,-1)+1,$C95:$F95)*VLOOKUP(CU$2,Valores!$H$2:$P$154,8,0)</f>
        <v>#VALUE!</v>
      </c>
      <c r="CV95" s="27" t="e">
        <f aca="false">SUMIF($C$2:$F$2,EOMONTH(CV$2,-1)+1,$C95:$F95)*VLOOKUP(CV$2,Valores!$H$2:$P$154,8,0)</f>
        <v>#VALUE!</v>
      </c>
      <c r="CW95" s="27" t="e">
        <f aca="false">SUMIF($C$2:$F$2,EOMONTH(CW$2,-1)+1,$C95:$F95)*VLOOKUP(CW$2,Valores!$H$2:$P$154,8,0)</f>
        <v>#VALUE!</v>
      </c>
      <c r="CX95" s="27" t="e">
        <f aca="false">SUMIF($C$2:$F$2,EOMONTH(CX$2,-1)+1,$C95:$F95)*VLOOKUP(CX$2,Valores!$H$2:$P$154,8,0)</f>
        <v>#VALUE!</v>
      </c>
      <c r="CY95" s="27" t="e">
        <f aca="false">SUMIF($C$2:$F$2,EOMONTH(CY$2,-1)+1,$C95:$F95)*VLOOKUP(CY$2,Valores!$H$2:$P$154,8,0)</f>
        <v>#VALUE!</v>
      </c>
      <c r="CZ95" s="27" t="e">
        <f aca="false">SUMIF($C$2:$F$2,EOMONTH(CZ$2,-1)+1,$C95:$F95)*VLOOKUP(CZ$2,Valores!$H$2:$P$154,8,0)</f>
        <v>#VALUE!</v>
      </c>
      <c r="DA95" s="27" t="e">
        <f aca="false">SUMIF($C$2:$F$2,EOMONTH(DA$2,-1)+1,$C95:$F95)*VLOOKUP(DA$2,Valores!$H$2:$P$154,8,0)</f>
        <v>#VALUE!</v>
      </c>
      <c r="DB95" s="27" t="e">
        <f aca="false">SUMIF($C$2:$F$2,EOMONTH(DB$2,-1)+1,$C95:$F95)*VLOOKUP(DB$2,Valores!$H$2:$P$154,8,0)</f>
        <v>#VALUE!</v>
      </c>
      <c r="DC95" s="27" t="e">
        <f aca="false">SUMIF($C$2:$F$2,EOMONTH(DC$2,-1)+1,$C95:$F95)*VLOOKUP(DC$2,Valores!$H$2:$P$154,8,0)</f>
        <v>#VALUE!</v>
      </c>
      <c r="DD95" s="27" t="e">
        <f aca="false">SUMIF($C$2:$F$2,EOMONTH(DD$2,-1)+1,$C95:$F95)*VLOOKUP(DD$2,Valores!$H$2:$P$154,8,0)</f>
        <v>#VALUE!</v>
      </c>
      <c r="DE95" s="27" t="e">
        <f aca="false">SUMIF($C$2:$F$2,EOMONTH(DE$2,-1)+1,$C95:$F95)*VLOOKUP(DE$2,Valores!$H$2:$P$154,8,0)</f>
        <v>#VALUE!</v>
      </c>
      <c r="DF95" s="27" t="e">
        <f aca="false">SUMIF($C$2:$F$2,EOMONTH(DF$2,-1)+1,$C95:$F95)*VLOOKUP(DF$2,Valores!$H$2:$P$154,8,0)</f>
        <v>#VALUE!</v>
      </c>
      <c r="DG95" s="27" t="e">
        <f aca="false">SUMIF($C$2:$F$2,EOMONTH(DG$2,-1)+1,$C95:$F95)*VLOOKUP(DG$2,Valores!$H$2:$P$154,8,0)</f>
        <v>#VALUE!</v>
      </c>
      <c r="DH95" s="27" t="e">
        <f aca="false">SUMIF($C$2:$F$2,EOMONTH(DH$2,-1)+1,$C95:$F95)*VLOOKUP(DH$2,Valores!$H$2:$P$154,8,0)</f>
        <v>#VALUE!</v>
      </c>
      <c r="DI95" s="27" t="e">
        <f aca="false">SUMIF($C$2:$F$2,EOMONTH(DI$2,-1)+1,$C95:$F95)*VLOOKUP(DI$2,Valores!$H$2:$P$154,8,0)</f>
        <v>#VALUE!</v>
      </c>
      <c r="DJ95" s="27" t="e">
        <f aca="false">SUMIF($C$2:$F$2,EOMONTH(DJ$2,-1)+1,$C95:$F95)*VLOOKUP(DJ$2,Valores!$H$2:$P$154,8,0)</f>
        <v>#VALUE!</v>
      </c>
      <c r="DK95" s="27" t="e">
        <f aca="false">SUMIF($C$2:$F$2,EOMONTH(DK$2,-1)+1,$C95:$F95)*VLOOKUP(DK$2,Valores!$H$2:$P$154,8,0)</f>
        <v>#VALUE!</v>
      </c>
      <c r="DL95" s="27" t="e">
        <f aca="false">SUMIF($C$2:$F$2,EOMONTH(DL$2,-1)+1,$C95:$F95)*VLOOKUP(DL$2,Valores!$H$2:$P$154,8,0)</f>
        <v>#VALUE!</v>
      </c>
      <c r="DM95" s="27" t="e">
        <f aca="false">SUMIF($C$2:$F$2,EOMONTH(DM$2,-1)+1,$C95:$F95)*VLOOKUP(DM$2,Valores!$H$2:$P$154,8,0)</f>
        <v>#VALUE!</v>
      </c>
      <c r="DN95" s="27" t="e">
        <f aca="false">SUMIF($C$2:$F$2,EOMONTH(DN$2,-1)+1,$C95:$F95)*VLOOKUP(DN$2,Valores!$H$2:$P$154,8,0)</f>
        <v>#VALUE!</v>
      </c>
      <c r="DO95" s="27" t="e">
        <f aca="false">SUMIF($C$2:$F$2,EOMONTH(DO$2,-1)+1,$C95:$F95)*VLOOKUP(DO$2,Valores!$H$2:$P$154,8,0)</f>
        <v>#VALUE!</v>
      </c>
      <c r="DP95" s="27" t="e">
        <f aca="false">SUMIF($C$2:$F$2,EOMONTH(DP$2,-1)+1,$C95:$F95)*VLOOKUP(DP$2,Valores!$H$2:$P$154,8,0)</f>
        <v>#VALUE!</v>
      </c>
      <c r="DQ95" s="27" t="e">
        <f aca="false">SUMIF($C$2:$F$2,EOMONTH(DQ$2,-1)+1,$C95:$F95)*VLOOKUP(DQ$2,Valores!$H$2:$P$154,8,0)</f>
        <v>#VALUE!</v>
      </c>
      <c r="DR95" s="27" t="e">
        <f aca="false">SUMIF($C$2:$F$2,EOMONTH(DR$2,-1)+1,$C95:$F95)*VLOOKUP(DR$2,Valores!$H$2:$P$154,8,0)</f>
        <v>#VALUE!</v>
      </c>
      <c r="DS95" s="27" t="e">
        <f aca="false">SUMIF($C$2:$F$2,EOMONTH(DS$2,-1)+1,$C95:$F95)*VLOOKUP(DS$2,Valores!$H$2:$P$154,8,0)</f>
        <v>#VALUE!</v>
      </c>
      <c r="DT95" s="27" t="e">
        <f aca="false">SUMIF($C$2:$F$2,EOMONTH(DT$2,-1)+1,$C95:$F95)*VLOOKUP(DT$2,Valores!$H$2:$P$154,8,0)</f>
        <v>#VALUE!</v>
      </c>
      <c r="DU95" s="27" t="e">
        <f aca="false">SUMIF($C$2:$F$2,EOMONTH(DU$2,-1)+1,$C95:$F95)*VLOOKUP(DU$2,Valores!$H$2:$P$154,8,0)</f>
        <v>#VALUE!</v>
      </c>
      <c r="DV95" s="27" t="e">
        <f aca="false">SUMIF($C$2:$F$2,EOMONTH(DV$2,-1)+1,$C95:$F95)*VLOOKUP(DV$2,Valores!$H$2:$P$154,8,0)</f>
        <v>#VALUE!</v>
      </c>
      <c r="DW95" s="27" t="e">
        <f aca="false">SUMIF($C$2:$F$2,EOMONTH(DW$2,-1)+1,$C95:$F95)*VLOOKUP(DW$2,Valores!$H$2:$P$154,8,0)</f>
        <v>#VALUE!</v>
      </c>
      <c r="DX95" s="27" t="e">
        <f aca="false">SUMIF($C$2:$F$2,EOMONTH(DX$2,-1)+1,$C95:$F95)*VLOOKUP(DX$2,Valores!$H$2:$P$154,8,0)</f>
        <v>#VALUE!</v>
      </c>
    </row>
    <row r="96" customFormat="false" ht="13.8" hidden="false" customHeight="false" outlineLevel="0" collapsed="false">
      <c r="A96" s="29"/>
      <c r="B96" s="29"/>
      <c r="C96" s="29"/>
      <c r="D96" s="29"/>
      <c r="E96" s="29"/>
      <c r="F96" s="29"/>
      <c r="G96" s="30" t="n">
        <f aca="false">SUMIF($C$2:$F$2,EOMONTH(G$2,-1)+1,$C96:$F96)*VLOOKUP(G$2,Valores!$H$2:$P$154,8,0)</f>
        <v>0</v>
      </c>
      <c r="H96" s="30" t="n">
        <f aca="false">SUMIF($C$2:$F$2,EOMONTH(H$2,-1)+1,$C96:$F96)*VLOOKUP(H$2,Valores!$H$2:$P$154,8,0)</f>
        <v>0</v>
      </c>
      <c r="I96" s="30" t="n">
        <f aca="false">SUMIF($C$2:$F$2,EOMONTH(I$2,-1)+1,$C96:$F96)*VLOOKUP(I$2,Valores!$H$2:$P$154,8,0)</f>
        <v>0</v>
      </c>
      <c r="J96" s="30" t="n">
        <f aca="false">SUMIF($C$2:$F$2,EOMONTH(J$2,-1)+1,$C96:$F96)*VLOOKUP(J$2,Valores!$H$2:$P$154,8,0)</f>
        <v>0</v>
      </c>
      <c r="K96" s="30" t="n">
        <f aca="false">SUMIF($C$2:$F$2,EOMONTH(K$2,-1)+1,$C96:$F96)*VLOOKUP(K$2,Valores!$H$2:$P$154,8,0)</f>
        <v>0</v>
      </c>
      <c r="L96" s="30" t="n">
        <f aca="false">SUMIF($C$2:$F$2,EOMONTH(L$2,-1)+1,$C96:$F96)*VLOOKUP(L$2,Valores!$H$2:$P$154,8,0)</f>
        <v>0</v>
      </c>
      <c r="M96" s="30" t="n">
        <f aca="false">SUMIF($C$2:$F$2,EOMONTH(M$2,-1)+1,$C96:$F96)*VLOOKUP(M$2,Valores!$H$2:$P$154,8,0)</f>
        <v>0</v>
      </c>
      <c r="N96" s="30" t="n">
        <f aca="false">SUMIF($C$2:$F$2,EOMONTH(N$2,-1)+1,$C96:$F96)*VLOOKUP(N$2,Valores!$H$2:$P$154,8,0)</f>
        <v>0</v>
      </c>
      <c r="O96" s="30" t="n">
        <f aca="false">SUMIF($C$2:$F$2,EOMONTH(O$2,-1)+1,$C96:$F96)*VLOOKUP(O$2,Valores!$H$2:$P$154,8,0)</f>
        <v>0</v>
      </c>
      <c r="P96" s="30" t="n">
        <f aca="false">SUMIF($C$2:$F$2,EOMONTH(P$2,-1)+1,$C96:$F96)*VLOOKUP(P$2,Valores!$H$2:$P$154,8,0)</f>
        <v>0</v>
      </c>
      <c r="Q96" s="30" t="n">
        <f aca="false">SUMIF($C$2:$F$2,EOMONTH(Q$2,-1)+1,$C96:$F96)*VLOOKUP(Q$2,Valores!$H$2:$P$154,8,0)</f>
        <v>0</v>
      </c>
      <c r="R96" s="30" t="n">
        <f aca="false">SUMIF($C$2:$F$2,EOMONTH(R$2,-1)+1,$C96:$F96)*VLOOKUP(R$2,Valores!$H$2:$P$154,8,0)</f>
        <v>0</v>
      </c>
      <c r="S96" s="30" t="n">
        <f aca="false">SUMIF($C$2:$F$2,EOMONTH(S$2,-1)+1,$C96:$F96)*VLOOKUP(S$2,Valores!$H$2:$P$154,8,0)</f>
        <v>0</v>
      </c>
      <c r="T96" s="30" t="n">
        <f aca="false">SUMIF($C$2:$F$2,EOMONTH(T$2,-1)+1,$C96:$F96)*VLOOKUP(T$2,Valores!$H$2:$P$154,8,0)</f>
        <v>0</v>
      </c>
      <c r="U96" s="30" t="n">
        <f aca="false">SUMIF($C$2:$F$2,EOMONTH(U$2,-1)+1,$C96:$F96)*VLOOKUP(U$2,Valores!$H$2:$P$154,8,0)</f>
        <v>0</v>
      </c>
      <c r="V96" s="30" t="n">
        <f aca="false">SUMIF($C$2:$F$2,EOMONTH(V$2,-1)+1,$C96:$F96)*VLOOKUP(V$2,Valores!$H$2:$P$154,8,0)</f>
        <v>0</v>
      </c>
      <c r="W96" s="30" t="n">
        <f aca="false">SUMIF($C$2:$F$2,EOMONTH(W$2,-1)+1,$C96:$F96)*VLOOKUP(W$2,Valores!$H$2:$P$154,8,0)</f>
        <v>0</v>
      </c>
      <c r="X96" s="30" t="n">
        <f aca="false">SUMIF($C$2:$F$2,EOMONTH(X$2,-1)+1,$C96:$F96)*VLOOKUP(X$2,Valores!$H$2:$P$154,8,0)</f>
        <v>0</v>
      </c>
      <c r="Y96" s="30" t="n">
        <f aca="false">SUMIF($C$2:$F$2,EOMONTH(Y$2,-1)+1,$C96:$F96)*VLOOKUP(Y$2,Valores!$H$2:$P$154,8,0)</f>
        <v>0</v>
      </c>
      <c r="Z96" s="30" t="n">
        <f aca="false">SUMIF($C$2:$F$2,EOMONTH(Z$2,-1)+1,$C96:$F96)*VLOOKUP(Z$2,Valores!$H$2:$P$154,8,0)</f>
        <v>0</v>
      </c>
      <c r="AA96" s="30" t="n">
        <f aca="false">SUMIF($C$2:$F$2,EOMONTH(AA$2,-1)+1,$C96:$F96)*VLOOKUP(AA$2,Valores!$H$2:$P$154,8,0)</f>
        <v>0</v>
      </c>
      <c r="AB96" s="30" t="n">
        <f aca="false">SUMIF($C$2:$F$2,EOMONTH(AB$2,-1)+1,$C96:$F96)*VLOOKUP(AB$2,Valores!$H$2:$P$154,8,0)</f>
        <v>0</v>
      </c>
      <c r="AC96" s="30" t="n">
        <f aca="false">SUMIF($C$2:$F$2,EOMONTH(AC$2,-1)+1,$C96:$F96)*VLOOKUP(AC$2,Valores!$H$2:$P$154,8,0)</f>
        <v>0</v>
      </c>
      <c r="AD96" s="30" t="n">
        <f aca="false">SUMIF($C$2:$F$2,EOMONTH(AD$2,-1)+1,$C96:$F96)*VLOOKUP(AD$2,Valores!$H$2:$P$154,8,0)</f>
        <v>0</v>
      </c>
      <c r="AE96" s="30" t="n">
        <f aca="false">SUMIF($C$2:$F$2,EOMONTH(AE$2,-1)+1,$C96:$F96)*VLOOKUP(AE$2,Valores!$H$2:$P$154,8,0)</f>
        <v>0</v>
      </c>
      <c r="AF96" s="30" t="n">
        <f aca="false">SUMIF($C$2:$F$2,EOMONTH(AF$2,-1)+1,$C96:$F96)*VLOOKUP(AF$2,Valores!$H$2:$P$154,8,0)</f>
        <v>0</v>
      </c>
      <c r="AG96" s="30" t="n">
        <f aca="false">SUMIF($C$2:$F$2,EOMONTH(AG$2,-1)+1,$C96:$F96)*VLOOKUP(AG$2,Valores!$H$2:$P$154,8,0)</f>
        <v>0</v>
      </c>
      <c r="AH96" s="30" t="n">
        <f aca="false">SUMIF($C$2:$F$2,EOMONTH(AH$2,-1)+1,$C96:$F96)*VLOOKUP(AH$2,Valores!$H$2:$P$154,8,0)</f>
        <v>0</v>
      </c>
      <c r="AI96" s="30" t="n">
        <f aca="false">SUMIF($C$2:$F$2,EOMONTH(AI$2,-1)+1,$C96:$F96)*VLOOKUP(AI$2,Valores!$H$2:$P$154,8,0)</f>
        <v>0</v>
      </c>
      <c r="AJ96" s="30" t="n">
        <f aca="false">SUMIF($C$2:$F$2,EOMONTH(AJ$2,-1)+1,$C96:$F96)*VLOOKUP(AJ$2,Valores!$H$2:$P$154,8,0)</f>
        <v>0</v>
      </c>
      <c r="AK96" s="30" t="n">
        <f aca="false">SUMIF($C$2:$F$2,EOMONTH(AK$2,-1)+1,$C96:$F96)*VLOOKUP(AK$2,Valores!$H$2:$P$154,8,0)</f>
        <v>0</v>
      </c>
      <c r="AL96" s="30" t="n">
        <f aca="false">SUMIF($C$2:$F$2,EOMONTH(AL$2,-1)+1,$C96:$F96)*VLOOKUP(AL$2,Valores!$H$2:$P$154,8,0)</f>
        <v>0</v>
      </c>
      <c r="AM96" s="30" t="n">
        <f aca="false">SUMIF($C$2:$F$2,EOMONTH(AM$2,-1)+1,$C96:$F96)*VLOOKUP(AM$2,Valores!$H$2:$P$154,8,0)</f>
        <v>0</v>
      </c>
      <c r="AN96" s="30" t="n">
        <f aca="false">SUMIF($C$2:$F$2,EOMONTH(AN$2,-1)+1,$C96:$F96)*VLOOKUP(AN$2,Valores!$H$2:$P$154,8,0)</f>
        <v>0</v>
      </c>
      <c r="AO96" s="30" t="n">
        <f aca="false">SUMIF($C$2:$F$2,EOMONTH(AO$2,-1)+1,$C96:$F96)*VLOOKUP(AO$2,Valores!$H$2:$P$154,8,0)</f>
        <v>0</v>
      </c>
      <c r="AP96" s="30" t="n">
        <f aca="false">SUMIF($C$2:$F$2,EOMONTH(AP$2,-1)+1,$C96:$F96)*VLOOKUP(AP$2,Valores!$H$2:$P$154,8,0)</f>
        <v>0</v>
      </c>
      <c r="AQ96" s="30" t="n">
        <f aca="false">SUMIF($C$2:$F$2,EOMONTH(AQ$2,-1)+1,$C96:$F96)*VLOOKUP(AQ$2,Valores!$H$2:$P$154,8,0)</f>
        <v>0</v>
      </c>
      <c r="AR96" s="30" t="n">
        <f aca="false">SUMIF($C$2:$F$2,EOMONTH(AR$2,-1)+1,$C96:$F96)*VLOOKUP(AR$2,Valores!$H$2:$P$154,8,0)</f>
        <v>0</v>
      </c>
      <c r="AS96" s="30" t="n">
        <f aca="false">SUMIF($C$2:$F$2,EOMONTH(AS$2,-1)+1,$C96:$F96)*VLOOKUP(AS$2,Valores!$H$2:$P$154,8,0)</f>
        <v>0</v>
      </c>
      <c r="AT96" s="30" t="n">
        <f aca="false">SUMIF($C$2:$F$2,EOMONTH(AT$2,-1)+1,$C96:$F96)*VLOOKUP(AT$2,Valores!$H$2:$P$154,8,0)</f>
        <v>0</v>
      </c>
      <c r="AU96" s="30" t="n">
        <f aca="false">SUMIF($C$2:$F$2,EOMONTH(AU$2,-1)+1,$C96:$F96)*VLOOKUP(AU$2,Valores!$H$2:$P$154,8,0)</f>
        <v>0</v>
      </c>
      <c r="AV96" s="30" t="n">
        <f aca="false">SUMIF($C$2:$F$2,EOMONTH(AV$2,-1)+1,$C96:$F96)*VLOOKUP(AV$2,Valores!$H$2:$P$154,8,0)</f>
        <v>0</v>
      </c>
      <c r="AW96" s="30" t="n">
        <f aca="false">SUMIF($C$2:$F$2,EOMONTH(AW$2,-1)+1,$C96:$F96)*VLOOKUP(AW$2,Valores!$H$2:$P$154,8,0)</f>
        <v>0</v>
      </c>
      <c r="AX96" s="30" t="n">
        <f aca="false">SUMIF($C$2:$F$2,EOMONTH(AX$2,-1)+1,$C96:$F96)*VLOOKUP(AX$2,Valores!$H$2:$P$154,8,0)</f>
        <v>0</v>
      </c>
      <c r="AY96" s="30" t="n">
        <f aca="false">SUMIF($C$2:$F$2,EOMONTH(AY$2,-1)+1,$C96:$F96)*VLOOKUP(AY$2,Valores!$H$2:$P$154,8,0)</f>
        <v>0</v>
      </c>
      <c r="AZ96" s="30" t="n">
        <f aca="false">SUMIF($C$2:$F$2,EOMONTH(AZ$2,-1)+1,$C96:$F96)*VLOOKUP(AZ$2,Valores!$H$2:$P$154,8,0)</f>
        <v>0</v>
      </c>
      <c r="BA96" s="30" t="n">
        <f aca="false">SUMIF($C$2:$F$2,EOMONTH(BA$2,-1)+1,$C96:$F96)*VLOOKUP(BA$2,Valores!$H$2:$P$154,8,0)</f>
        <v>0</v>
      </c>
      <c r="BB96" s="30" t="n">
        <f aca="false">SUMIF($C$2:$F$2,EOMONTH(BB$2,-1)+1,$C96:$F96)*VLOOKUP(BB$2,Valores!$H$2:$P$154,8,0)</f>
        <v>0</v>
      </c>
      <c r="BC96" s="30" t="n">
        <f aca="false">SUMIF($C$2:$F$2,EOMONTH(BC$2,-1)+1,$C96:$F96)*VLOOKUP(BC$2,Valores!$H$2:$P$154,8,0)</f>
        <v>0</v>
      </c>
      <c r="BD96" s="30" t="n">
        <f aca="false">SUMIF($C$2:$F$2,EOMONTH(BD$2,-1)+1,$C96:$F96)*VLOOKUP(BD$2,Valores!$H$2:$P$154,8,0)</f>
        <v>0</v>
      </c>
      <c r="BE96" s="30" t="n">
        <f aca="false">SUMIF($C$2:$F$2,EOMONTH(BE$2,-1)+1,$C96:$F96)*VLOOKUP(BE$2,Valores!$H$2:$P$154,8,0)</f>
        <v>0</v>
      </c>
      <c r="BF96" s="30" t="n">
        <f aca="false">SUMIF($C$2:$F$2,EOMONTH(BF$2,-1)+1,$C96:$F96)*VLOOKUP(BF$2,Valores!$H$2:$P$154,8,0)</f>
        <v>0</v>
      </c>
      <c r="BG96" s="30" t="n">
        <f aca="false">SUMIF($C$2:$F$2,EOMONTH(BG$2,-1)+1,$C96:$F96)*VLOOKUP(BG$2,Valores!$H$2:$P$154,8,0)</f>
        <v>0</v>
      </c>
      <c r="BH96" s="30" t="n">
        <f aca="false">SUMIF($C$2:$F$2,EOMONTH(BH$2,-1)+1,$C96:$F96)*VLOOKUP(BH$2,Valores!$H$2:$P$154,8,0)</f>
        <v>0</v>
      </c>
      <c r="BI96" s="30" t="n">
        <f aca="false">SUMIF($C$2:$F$2,EOMONTH(BI$2,-1)+1,$C96:$F96)*VLOOKUP(BI$2,Valores!$H$2:$P$154,8,0)</f>
        <v>0</v>
      </c>
      <c r="BJ96" s="30" t="n">
        <f aca="false">SUMIF($C$2:$F$2,EOMONTH(BJ$2,-1)+1,$C96:$F96)*VLOOKUP(BJ$2,Valores!$H$2:$P$154,8,0)</f>
        <v>0</v>
      </c>
      <c r="BK96" s="30" t="n">
        <f aca="false">SUMIF($C$2:$F$2,EOMONTH(BK$2,-1)+1,$C96:$F96)*VLOOKUP(BK$2,Valores!$H$2:$P$154,8,0)</f>
        <v>0</v>
      </c>
      <c r="BL96" s="30" t="n">
        <f aca="false">SUMIF($C$2:$F$2,EOMONTH(BL$2,-1)+1,$C96:$F96)*VLOOKUP(BL$2,Valores!$H$2:$P$154,8,0)</f>
        <v>0</v>
      </c>
      <c r="BM96" s="30" t="n">
        <f aca="false">SUMIF($C$2:$F$2,EOMONTH(BM$2,-1)+1,$C96:$F96)*VLOOKUP(BM$2,Valores!$H$2:$P$154,8,0)</f>
        <v>0</v>
      </c>
      <c r="BN96" s="30" t="n">
        <f aca="false">SUMIF($C$2:$F$2,EOMONTH(BN$2,-1)+1,$C96:$F96)*VLOOKUP(BN$2,Valores!$H$2:$P$154,8,0)</f>
        <v>0</v>
      </c>
      <c r="BO96" s="30" t="n">
        <f aca="false">SUMIF($C$2:$F$2,EOMONTH(BO$2,-1)+1,$C96:$F96)*VLOOKUP(BO$2,Valores!$H$2:$P$154,8,0)</f>
        <v>0</v>
      </c>
      <c r="BP96" s="30" t="n">
        <f aca="false">SUMIF($C$2:$F$2,EOMONTH(BP$2,-1)+1,$C96:$F96)*VLOOKUP(BP$2,Valores!$H$2:$P$154,8,0)</f>
        <v>0</v>
      </c>
      <c r="BQ96" s="30" t="n">
        <f aca="false">SUMIF($C$2:$F$2,EOMONTH(BQ$2,-1)+1,$C96:$F96)*VLOOKUP(BQ$2,Valores!$H$2:$P$154,8,0)</f>
        <v>0</v>
      </c>
      <c r="BR96" s="30" t="n">
        <f aca="false">SUMIF($C$2:$F$2,EOMONTH(BR$2,-1)+1,$C96:$F96)*VLOOKUP(BR$2,Valores!$H$2:$P$154,8,0)</f>
        <v>0</v>
      </c>
      <c r="BS96" s="30" t="n">
        <f aca="false">SUMIF($C$2:$F$2,EOMONTH(BS$2,-1)+1,$C96:$F96)*VLOOKUP(BS$2,Valores!$H$2:$P$154,8,0)</f>
        <v>0</v>
      </c>
      <c r="BT96" s="30" t="n">
        <f aca="false">SUMIF($C$2:$F$2,EOMONTH(BT$2,-1)+1,$C96:$F96)*VLOOKUP(BT$2,Valores!$H$2:$P$154,8,0)</f>
        <v>0</v>
      </c>
      <c r="BU96" s="30" t="n">
        <f aca="false">SUMIF($C$2:$F$2,EOMONTH(BU$2,-1)+1,$C96:$F96)*VLOOKUP(BU$2,Valores!$H$2:$P$154,8,0)</f>
        <v>0</v>
      </c>
      <c r="BV96" s="30" t="n">
        <f aca="false">SUMIF($C$2:$F$2,EOMONTH(BV$2,-1)+1,$C96:$F96)*VLOOKUP(BV$2,Valores!$H$2:$P$154,8,0)</f>
        <v>0</v>
      </c>
      <c r="BW96" s="30" t="n">
        <f aca="false">SUMIF($C$2:$F$2,EOMONTH(BW$2,-1)+1,$C96:$F96)*VLOOKUP(BW$2,Valores!$H$2:$P$154,8,0)</f>
        <v>0</v>
      </c>
      <c r="BX96" s="30" t="n">
        <f aca="false">SUMIF($C$2:$F$2,EOMONTH(BX$2,-1)+1,$C96:$F96)*VLOOKUP(BX$2,Valores!$H$2:$P$154,8,0)</f>
        <v>0</v>
      </c>
      <c r="BY96" s="30" t="n">
        <f aca="false">SUMIF($C$2:$F$2,EOMONTH(BY$2,-1)+1,$C96:$F96)*VLOOKUP(BY$2,Valores!$H$2:$P$154,8,0)</f>
        <v>0</v>
      </c>
      <c r="BZ96" s="30" t="n">
        <f aca="false">SUMIF($C$2:$F$2,EOMONTH(BZ$2,-1)+1,$C96:$F96)*VLOOKUP(BZ$2,Valores!$H$2:$P$154,8,0)</f>
        <v>0</v>
      </c>
      <c r="CA96" s="30" t="n">
        <f aca="false">SUMIF($C$2:$F$2,EOMONTH(CA$2,-1)+1,$C96:$F96)*VLOOKUP(CA$2,Valores!$H$2:$P$154,8,0)</f>
        <v>0</v>
      </c>
      <c r="CB96" s="30" t="n">
        <f aca="false">SUMIF($C$2:$F$2,EOMONTH(CB$2,-1)+1,$C96:$F96)*VLOOKUP(CB$2,Valores!$H$2:$P$154,8,0)</f>
        <v>0</v>
      </c>
      <c r="CC96" s="30" t="n">
        <f aca="false">SUMIF($C$2:$F$2,EOMONTH(CC$2,-1)+1,$C96:$F96)*VLOOKUP(CC$2,Valores!$H$2:$P$154,8,0)</f>
        <v>0</v>
      </c>
      <c r="CD96" s="30" t="n">
        <f aca="false">SUMIF($C$2:$F$2,EOMONTH(CD$2,-1)+1,$C96:$F96)*VLOOKUP(CD$2,Valores!$H$2:$P$154,8,0)</f>
        <v>0</v>
      </c>
      <c r="CE96" s="30" t="n">
        <f aca="false">SUMIF($C$2:$F$2,EOMONTH(CE$2,-1)+1,$C96:$F96)*VLOOKUP(CE$2,Valores!$H$2:$P$154,8,0)</f>
        <v>0</v>
      </c>
      <c r="CF96" s="30" t="n">
        <f aca="false">SUMIF($C$2:$F$2,EOMONTH(CF$2,-1)+1,$C96:$F96)*VLOOKUP(CF$2,Valores!$H$2:$P$154,8,0)</f>
        <v>0</v>
      </c>
      <c r="CG96" s="30" t="n">
        <f aca="false">SUMIF($C$2:$F$2,EOMONTH(CG$2,-1)+1,$C96:$F96)*VLOOKUP(CG$2,Valores!$H$2:$P$154,8,0)</f>
        <v>0</v>
      </c>
      <c r="CH96" s="30" t="n">
        <f aca="false">SUMIF($C$2:$F$2,EOMONTH(CH$2,-1)+1,$C96:$F96)*VLOOKUP(CH$2,Valores!$H$2:$P$154,8,0)</f>
        <v>0</v>
      </c>
      <c r="CI96" s="30" t="n">
        <f aca="false">SUMIF($C$2:$F$2,EOMONTH(CI$2,-1)+1,$C96:$F96)*VLOOKUP(CI$2,Valores!$H$2:$P$154,8,0)</f>
        <v>0</v>
      </c>
      <c r="CJ96" s="30" t="n">
        <f aca="false">SUMIF($C$2:$F$2,EOMONTH(CJ$2,-1)+1,$C96:$F96)*VLOOKUP(CJ$2,Valores!$H$2:$P$154,8,0)</f>
        <v>0</v>
      </c>
      <c r="CK96" s="30" t="n">
        <f aca="false">SUMIF($C$2:$F$2,EOMONTH(CK$2,-1)+1,$C96:$F96)*VLOOKUP(CK$2,Valores!$H$2:$P$154,8,0)</f>
        <v>0</v>
      </c>
      <c r="CL96" s="30" t="n">
        <f aca="false">SUMIF($C$2:$F$2,EOMONTH(CL$2,-1)+1,$C96:$F96)*VLOOKUP(CL$2,Valores!$H$2:$P$154,8,0)</f>
        <v>0</v>
      </c>
      <c r="CM96" s="30" t="n">
        <f aca="false">SUMIF($C$2:$F$2,EOMONTH(CM$2,-1)+1,$C96:$F96)*VLOOKUP(CM$2,Valores!$H$2:$P$154,8,0)</f>
        <v>0</v>
      </c>
      <c r="CN96" s="30" t="n">
        <f aca="false">SUMIF($C$2:$F$2,EOMONTH(CN$2,-1)+1,$C96:$F96)*VLOOKUP(CN$2,Valores!$H$2:$P$154,8,0)</f>
        <v>0</v>
      </c>
      <c r="CO96" s="30" t="n">
        <f aca="false">SUMIF($C$2:$F$2,EOMONTH(CO$2,-1)+1,$C96:$F96)*VLOOKUP(CO$2,Valores!$H$2:$P$154,8,0)</f>
        <v>0</v>
      </c>
      <c r="CP96" s="30" t="n">
        <f aca="false">SUMIF($C$2:$F$2,EOMONTH(CP$2,-1)+1,$C96:$F96)*VLOOKUP(CP$2,Valores!$H$2:$P$154,8,0)</f>
        <v>0</v>
      </c>
      <c r="CQ96" s="30" t="n">
        <f aca="false">SUMIF($C$2:$F$2,EOMONTH(CQ$2,-1)+1,$C96:$F96)*VLOOKUP(CQ$2,Valores!$H$2:$P$154,8,0)</f>
        <v>0</v>
      </c>
      <c r="CR96" s="30" t="n">
        <f aca="false">SUMIF($C$2:$F$2,EOMONTH(CR$2,-1)+1,$C96:$F96)*VLOOKUP(CR$2,Valores!$H$2:$P$154,8,0)</f>
        <v>0</v>
      </c>
      <c r="CS96" s="30" t="n">
        <f aca="false">SUMIF($C$2:$F$2,EOMONTH(CS$2,-1)+1,$C96:$F96)*VLOOKUP(CS$2,Valores!$H$2:$P$154,8,0)</f>
        <v>0</v>
      </c>
      <c r="CT96" s="30" t="e">
        <f aca="false">SUMIF($C$2:$F$2,EOMONTH(CT$2,-1)+1,$C96:$F96)*VLOOKUP(CT$2,Valores!$H$2:$P$154,8,0)</f>
        <v>#VALUE!</v>
      </c>
      <c r="CU96" s="30" t="e">
        <f aca="false">SUMIF($C$2:$F$2,EOMONTH(CU$2,-1)+1,$C96:$F96)*VLOOKUP(CU$2,Valores!$H$2:$P$154,8,0)</f>
        <v>#VALUE!</v>
      </c>
      <c r="CV96" s="30" t="e">
        <f aca="false">SUMIF($C$2:$F$2,EOMONTH(CV$2,-1)+1,$C96:$F96)*VLOOKUP(CV$2,Valores!$H$2:$P$154,8,0)</f>
        <v>#VALUE!</v>
      </c>
      <c r="CW96" s="30" t="e">
        <f aca="false">SUMIF($C$2:$F$2,EOMONTH(CW$2,-1)+1,$C96:$F96)*VLOOKUP(CW$2,Valores!$H$2:$P$154,8,0)</f>
        <v>#VALUE!</v>
      </c>
      <c r="CX96" s="30" t="e">
        <f aca="false">SUMIF($C$2:$F$2,EOMONTH(CX$2,-1)+1,$C96:$F96)*VLOOKUP(CX$2,Valores!$H$2:$P$154,8,0)</f>
        <v>#VALUE!</v>
      </c>
      <c r="CY96" s="30" t="e">
        <f aca="false">SUMIF($C$2:$F$2,EOMONTH(CY$2,-1)+1,$C96:$F96)*VLOOKUP(CY$2,Valores!$H$2:$P$154,8,0)</f>
        <v>#VALUE!</v>
      </c>
      <c r="CZ96" s="30" t="e">
        <f aca="false">SUMIF($C$2:$F$2,EOMONTH(CZ$2,-1)+1,$C96:$F96)*VLOOKUP(CZ$2,Valores!$H$2:$P$154,8,0)</f>
        <v>#VALUE!</v>
      </c>
      <c r="DA96" s="30" t="e">
        <f aca="false">SUMIF($C$2:$F$2,EOMONTH(DA$2,-1)+1,$C96:$F96)*VLOOKUP(DA$2,Valores!$H$2:$P$154,8,0)</f>
        <v>#VALUE!</v>
      </c>
      <c r="DB96" s="30" t="e">
        <f aca="false">SUMIF($C$2:$F$2,EOMONTH(DB$2,-1)+1,$C96:$F96)*VLOOKUP(DB$2,Valores!$H$2:$P$154,8,0)</f>
        <v>#VALUE!</v>
      </c>
      <c r="DC96" s="30" t="e">
        <f aca="false">SUMIF($C$2:$F$2,EOMONTH(DC$2,-1)+1,$C96:$F96)*VLOOKUP(DC$2,Valores!$H$2:$P$154,8,0)</f>
        <v>#VALUE!</v>
      </c>
      <c r="DD96" s="30" t="e">
        <f aca="false">SUMIF($C$2:$F$2,EOMONTH(DD$2,-1)+1,$C96:$F96)*VLOOKUP(DD$2,Valores!$H$2:$P$154,8,0)</f>
        <v>#VALUE!</v>
      </c>
      <c r="DE96" s="30" t="e">
        <f aca="false">SUMIF($C$2:$F$2,EOMONTH(DE$2,-1)+1,$C96:$F96)*VLOOKUP(DE$2,Valores!$H$2:$P$154,8,0)</f>
        <v>#VALUE!</v>
      </c>
      <c r="DF96" s="30" t="e">
        <f aca="false">SUMIF($C$2:$F$2,EOMONTH(DF$2,-1)+1,$C96:$F96)*VLOOKUP(DF$2,Valores!$H$2:$P$154,8,0)</f>
        <v>#VALUE!</v>
      </c>
      <c r="DG96" s="30" t="e">
        <f aca="false">SUMIF($C$2:$F$2,EOMONTH(DG$2,-1)+1,$C96:$F96)*VLOOKUP(DG$2,Valores!$H$2:$P$154,8,0)</f>
        <v>#VALUE!</v>
      </c>
      <c r="DH96" s="30" t="e">
        <f aca="false">SUMIF($C$2:$F$2,EOMONTH(DH$2,-1)+1,$C96:$F96)*VLOOKUP(DH$2,Valores!$H$2:$P$154,8,0)</f>
        <v>#VALUE!</v>
      </c>
      <c r="DI96" s="30" t="e">
        <f aca="false">SUMIF($C$2:$F$2,EOMONTH(DI$2,-1)+1,$C96:$F96)*VLOOKUP(DI$2,Valores!$H$2:$P$154,8,0)</f>
        <v>#VALUE!</v>
      </c>
      <c r="DJ96" s="30" t="e">
        <f aca="false">SUMIF($C$2:$F$2,EOMONTH(DJ$2,-1)+1,$C96:$F96)*VLOOKUP(DJ$2,Valores!$H$2:$P$154,8,0)</f>
        <v>#VALUE!</v>
      </c>
      <c r="DK96" s="30" t="e">
        <f aca="false">SUMIF($C$2:$F$2,EOMONTH(DK$2,-1)+1,$C96:$F96)*VLOOKUP(DK$2,Valores!$H$2:$P$154,8,0)</f>
        <v>#VALUE!</v>
      </c>
      <c r="DL96" s="30" t="e">
        <f aca="false">SUMIF($C$2:$F$2,EOMONTH(DL$2,-1)+1,$C96:$F96)*VLOOKUP(DL$2,Valores!$H$2:$P$154,8,0)</f>
        <v>#VALUE!</v>
      </c>
      <c r="DM96" s="30" t="e">
        <f aca="false">SUMIF($C$2:$F$2,EOMONTH(DM$2,-1)+1,$C96:$F96)*VLOOKUP(DM$2,Valores!$H$2:$P$154,8,0)</f>
        <v>#VALUE!</v>
      </c>
      <c r="DN96" s="30" t="e">
        <f aca="false">SUMIF($C$2:$F$2,EOMONTH(DN$2,-1)+1,$C96:$F96)*VLOOKUP(DN$2,Valores!$H$2:$P$154,8,0)</f>
        <v>#VALUE!</v>
      </c>
      <c r="DO96" s="30" t="e">
        <f aca="false">SUMIF($C$2:$F$2,EOMONTH(DO$2,-1)+1,$C96:$F96)*VLOOKUP(DO$2,Valores!$H$2:$P$154,8,0)</f>
        <v>#VALUE!</v>
      </c>
      <c r="DP96" s="30" t="e">
        <f aca="false">SUMIF($C$2:$F$2,EOMONTH(DP$2,-1)+1,$C96:$F96)*VLOOKUP(DP$2,Valores!$H$2:$P$154,8,0)</f>
        <v>#VALUE!</v>
      </c>
      <c r="DQ96" s="30" t="e">
        <f aca="false">SUMIF($C$2:$F$2,EOMONTH(DQ$2,-1)+1,$C96:$F96)*VLOOKUP(DQ$2,Valores!$H$2:$P$154,8,0)</f>
        <v>#VALUE!</v>
      </c>
      <c r="DR96" s="30" t="e">
        <f aca="false">SUMIF($C$2:$F$2,EOMONTH(DR$2,-1)+1,$C96:$F96)*VLOOKUP(DR$2,Valores!$H$2:$P$154,8,0)</f>
        <v>#VALUE!</v>
      </c>
      <c r="DS96" s="30" t="e">
        <f aca="false">SUMIF($C$2:$F$2,EOMONTH(DS$2,-1)+1,$C96:$F96)*VLOOKUP(DS$2,Valores!$H$2:$P$154,8,0)</f>
        <v>#VALUE!</v>
      </c>
      <c r="DT96" s="30" t="e">
        <f aca="false">SUMIF($C$2:$F$2,EOMONTH(DT$2,-1)+1,$C96:$F96)*VLOOKUP(DT$2,Valores!$H$2:$P$154,8,0)</f>
        <v>#VALUE!</v>
      </c>
      <c r="DU96" s="30" t="e">
        <f aca="false">SUMIF($C$2:$F$2,EOMONTH(DU$2,-1)+1,$C96:$F96)*VLOOKUP(DU$2,Valores!$H$2:$P$154,8,0)</f>
        <v>#VALUE!</v>
      </c>
      <c r="DV96" s="30" t="e">
        <f aca="false">SUMIF($C$2:$F$2,EOMONTH(DV$2,-1)+1,$C96:$F96)*VLOOKUP(DV$2,Valores!$H$2:$P$154,8,0)</f>
        <v>#VALUE!</v>
      </c>
      <c r="DW96" s="30" t="e">
        <f aca="false">SUMIF($C$2:$F$2,EOMONTH(DW$2,-1)+1,$C96:$F96)*VLOOKUP(DW$2,Valores!$H$2:$P$154,8,0)</f>
        <v>#VALUE!</v>
      </c>
      <c r="DX96" s="30" t="e">
        <f aca="false">SUMIF($C$2:$F$2,EOMONTH(DX$2,-1)+1,$C96:$F96)*VLOOKUP(DX$2,Valores!$H$2:$P$154,8,0)</f>
        <v>#VALUE!</v>
      </c>
    </row>
    <row r="97" customFormat="false" ht="13.8" hidden="false" customHeight="false" outlineLevel="0" collapsed="false">
      <c r="A97" s="31"/>
      <c r="B97" s="31"/>
      <c r="C97" s="31"/>
      <c r="D97" s="31"/>
      <c r="E97" s="31"/>
      <c r="F97" s="31"/>
      <c r="G97" s="27" t="n">
        <f aca="false">SUMIF($C$2:$F$2,EOMONTH(G$2,-1)+1,$C97:$F97)*VLOOKUP(G$2,Valores!$H$2:$P$154,8,0)</f>
        <v>0</v>
      </c>
      <c r="H97" s="27" t="n">
        <f aca="false">SUMIF($C$2:$F$2,EOMONTH(H$2,-1)+1,$C97:$F97)*VLOOKUP(H$2,Valores!$H$2:$P$154,8,0)</f>
        <v>0</v>
      </c>
      <c r="I97" s="27" t="n">
        <f aca="false">SUMIF($C$2:$F$2,EOMONTH(I$2,-1)+1,$C97:$F97)*VLOOKUP(I$2,Valores!$H$2:$P$154,8,0)</f>
        <v>0</v>
      </c>
      <c r="J97" s="27" t="n">
        <f aca="false">SUMIF($C$2:$F$2,EOMONTH(J$2,-1)+1,$C97:$F97)*VLOOKUP(J$2,Valores!$H$2:$P$154,8,0)</f>
        <v>0</v>
      </c>
      <c r="K97" s="27" t="n">
        <f aca="false">SUMIF($C$2:$F$2,EOMONTH(K$2,-1)+1,$C97:$F97)*VLOOKUP(K$2,Valores!$H$2:$P$154,8,0)</f>
        <v>0</v>
      </c>
      <c r="L97" s="27" t="n">
        <f aca="false">SUMIF($C$2:$F$2,EOMONTH(L$2,-1)+1,$C97:$F97)*VLOOKUP(L$2,Valores!$H$2:$P$154,8,0)</f>
        <v>0</v>
      </c>
      <c r="M97" s="27" t="n">
        <f aca="false">SUMIF($C$2:$F$2,EOMONTH(M$2,-1)+1,$C97:$F97)*VLOOKUP(M$2,Valores!$H$2:$P$154,8,0)</f>
        <v>0</v>
      </c>
      <c r="N97" s="27" t="n">
        <f aca="false">SUMIF($C$2:$F$2,EOMONTH(N$2,-1)+1,$C97:$F97)*VLOOKUP(N$2,Valores!$H$2:$P$154,8,0)</f>
        <v>0</v>
      </c>
      <c r="O97" s="27" t="n">
        <f aca="false">SUMIF($C$2:$F$2,EOMONTH(O$2,-1)+1,$C97:$F97)*VLOOKUP(O$2,Valores!$H$2:$P$154,8,0)</f>
        <v>0</v>
      </c>
      <c r="P97" s="27" t="n">
        <f aca="false">SUMIF($C$2:$F$2,EOMONTH(P$2,-1)+1,$C97:$F97)*VLOOKUP(P$2,Valores!$H$2:$P$154,8,0)</f>
        <v>0</v>
      </c>
      <c r="Q97" s="27" t="n">
        <f aca="false">SUMIF($C$2:$F$2,EOMONTH(Q$2,-1)+1,$C97:$F97)*VLOOKUP(Q$2,Valores!$H$2:$P$154,8,0)</f>
        <v>0</v>
      </c>
      <c r="R97" s="27" t="n">
        <f aca="false">SUMIF($C$2:$F$2,EOMONTH(R$2,-1)+1,$C97:$F97)*VLOOKUP(R$2,Valores!$H$2:$P$154,8,0)</f>
        <v>0</v>
      </c>
      <c r="S97" s="27" t="n">
        <f aca="false">SUMIF($C$2:$F$2,EOMONTH(S$2,-1)+1,$C97:$F97)*VLOOKUP(S$2,Valores!$H$2:$P$154,8,0)</f>
        <v>0</v>
      </c>
      <c r="T97" s="27" t="n">
        <f aca="false">SUMIF($C$2:$F$2,EOMONTH(T$2,-1)+1,$C97:$F97)*VLOOKUP(T$2,Valores!$H$2:$P$154,8,0)</f>
        <v>0</v>
      </c>
      <c r="U97" s="27" t="n">
        <f aca="false">SUMIF($C$2:$F$2,EOMONTH(U$2,-1)+1,$C97:$F97)*VLOOKUP(U$2,Valores!$H$2:$P$154,8,0)</f>
        <v>0</v>
      </c>
      <c r="V97" s="27" t="n">
        <f aca="false">SUMIF($C$2:$F$2,EOMONTH(V$2,-1)+1,$C97:$F97)*VLOOKUP(V$2,Valores!$H$2:$P$154,8,0)</f>
        <v>0</v>
      </c>
      <c r="W97" s="27" t="n">
        <f aca="false">SUMIF($C$2:$F$2,EOMONTH(W$2,-1)+1,$C97:$F97)*VLOOKUP(W$2,Valores!$H$2:$P$154,8,0)</f>
        <v>0</v>
      </c>
      <c r="X97" s="27" t="n">
        <f aca="false">SUMIF($C$2:$F$2,EOMONTH(X$2,-1)+1,$C97:$F97)*VLOOKUP(X$2,Valores!$H$2:$P$154,8,0)</f>
        <v>0</v>
      </c>
      <c r="Y97" s="27" t="n">
        <f aca="false">SUMIF($C$2:$F$2,EOMONTH(Y$2,-1)+1,$C97:$F97)*VLOOKUP(Y$2,Valores!$H$2:$P$154,8,0)</f>
        <v>0</v>
      </c>
      <c r="Z97" s="27" t="n">
        <f aca="false">SUMIF($C$2:$F$2,EOMONTH(Z$2,-1)+1,$C97:$F97)*VLOOKUP(Z$2,Valores!$H$2:$P$154,8,0)</f>
        <v>0</v>
      </c>
      <c r="AA97" s="27" t="n">
        <f aca="false">SUMIF($C$2:$F$2,EOMONTH(AA$2,-1)+1,$C97:$F97)*VLOOKUP(AA$2,Valores!$H$2:$P$154,8,0)</f>
        <v>0</v>
      </c>
      <c r="AB97" s="27" t="n">
        <f aca="false">SUMIF($C$2:$F$2,EOMONTH(AB$2,-1)+1,$C97:$F97)*VLOOKUP(AB$2,Valores!$H$2:$P$154,8,0)</f>
        <v>0</v>
      </c>
      <c r="AC97" s="27" t="n">
        <f aca="false">SUMIF($C$2:$F$2,EOMONTH(AC$2,-1)+1,$C97:$F97)*VLOOKUP(AC$2,Valores!$H$2:$P$154,8,0)</f>
        <v>0</v>
      </c>
      <c r="AD97" s="27" t="n">
        <f aca="false">SUMIF($C$2:$F$2,EOMONTH(AD$2,-1)+1,$C97:$F97)*VLOOKUP(AD$2,Valores!$H$2:$P$154,8,0)</f>
        <v>0</v>
      </c>
      <c r="AE97" s="27" t="n">
        <f aca="false">SUMIF($C$2:$F$2,EOMONTH(AE$2,-1)+1,$C97:$F97)*VLOOKUP(AE$2,Valores!$H$2:$P$154,8,0)</f>
        <v>0</v>
      </c>
      <c r="AF97" s="27" t="n">
        <f aca="false">SUMIF($C$2:$F$2,EOMONTH(AF$2,-1)+1,$C97:$F97)*VLOOKUP(AF$2,Valores!$H$2:$P$154,8,0)</f>
        <v>0</v>
      </c>
      <c r="AG97" s="27" t="n">
        <f aca="false">SUMIF($C$2:$F$2,EOMONTH(AG$2,-1)+1,$C97:$F97)*VLOOKUP(AG$2,Valores!$H$2:$P$154,8,0)</f>
        <v>0</v>
      </c>
      <c r="AH97" s="27" t="n">
        <f aca="false">SUMIF($C$2:$F$2,EOMONTH(AH$2,-1)+1,$C97:$F97)*VLOOKUP(AH$2,Valores!$H$2:$P$154,8,0)</f>
        <v>0</v>
      </c>
      <c r="AI97" s="27" t="n">
        <f aca="false">SUMIF($C$2:$F$2,EOMONTH(AI$2,-1)+1,$C97:$F97)*VLOOKUP(AI$2,Valores!$H$2:$P$154,8,0)</f>
        <v>0</v>
      </c>
      <c r="AJ97" s="27" t="n">
        <f aca="false">SUMIF($C$2:$F$2,EOMONTH(AJ$2,-1)+1,$C97:$F97)*VLOOKUP(AJ$2,Valores!$H$2:$P$154,8,0)</f>
        <v>0</v>
      </c>
      <c r="AK97" s="27" t="n">
        <f aca="false">SUMIF($C$2:$F$2,EOMONTH(AK$2,-1)+1,$C97:$F97)*VLOOKUP(AK$2,Valores!$H$2:$P$154,8,0)</f>
        <v>0</v>
      </c>
      <c r="AL97" s="27" t="n">
        <f aca="false">SUMIF($C$2:$F$2,EOMONTH(AL$2,-1)+1,$C97:$F97)*VLOOKUP(AL$2,Valores!$H$2:$P$154,8,0)</f>
        <v>0</v>
      </c>
      <c r="AM97" s="27" t="n">
        <f aca="false">SUMIF($C$2:$F$2,EOMONTH(AM$2,-1)+1,$C97:$F97)*VLOOKUP(AM$2,Valores!$H$2:$P$154,8,0)</f>
        <v>0</v>
      </c>
      <c r="AN97" s="27" t="n">
        <f aca="false">SUMIF($C$2:$F$2,EOMONTH(AN$2,-1)+1,$C97:$F97)*VLOOKUP(AN$2,Valores!$H$2:$P$154,8,0)</f>
        <v>0</v>
      </c>
      <c r="AO97" s="27" t="n">
        <f aca="false">SUMIF($C$2:$F$2,EOMONTH(AO$2,-1)+1,$C97:$F97)*VLOOKUP(AO$2,Valores!$H$2:$P$154,8,0)</f>
        <v>0</v>
      </c>
      <c r="AP97" s="27" t="n">
        <f aca="false">SUMIF($C$2:$F$2,EOMONTH(AP$2,-1)+1,$C97:$F97)*VLOOKUP(AP$2,Valores!$H$2:$P$154,8,0)</f>
        <v>0</v>
      </c>
      <c r="AQ97" s="27" t="n">
        <f aca="false">SUMIF($C$2:$F$2,EOMONTH(AQ$2,-1)+1,$C97:$F97)*VLOOKUP(AQ$2,Valores!$H$2:$P$154,8,0)</f>
        <v>0</v>
      </c>
      <c r="AR97" s="27" t="n">
        <f aca="false">SUMIF($C$2:$F$2,EOMONTH(AR$2,-1)+1,$C97:$F97)*VLOOKUP(AR$2,Valores!$H$2:$P$154,8,0)</f>
        <v>0</v>
      </c>
      <c r="AS97" s="27" t="n">
        <f aca="false">SUMIF($C$2:$F$2,EOMONTH(AS$2,-1)+1,$C97:$F97)*VLOOKUP(AS$2,Valores!$H$2:$P$154,8,0)</f>
        <v>0</v>
      </c>
      <c r="AT97" s="27" t="n">
        <f aca="false">SUMIF($C$2:$F$2,EOMONTH(AT$2,-1)+1,$C97:$F97)*VLOOKUP(AT$2,Valores!$H$2:$P$154,8,0)</f>
        <v>0</v>
      </c>
      <c r="AU97" s="27" t="n">
        <f aca="false">SUMIF($C$2:$F$2,EOMONTH(AU$2,-1)+1,$C97:$F97)*VLOOKUP(AU$2,Valores!$H$2:$P$154,8,0)</f>
        <v>0</v>
      </c>
      <c r="AV97" s="27" t="n">
        <f aca="false">SUMIF($C$2:$F$2,EOMONTH(AV$2,-1)+1,$C97:$F97)*VLOOKUP(AV$2,Valores!$H$2:$P$154,8,0)</f>
        <v>0</v>
      </c>
      <c r="AW97" s="27" t="n">
        <f aca="false">SUMIF($C$2:$F$2,EOMONTH(AW$2,-1)+1,$C97:$F97)*VLOOKUP(AW$2,Valores!$H$2:$P$154,8,0)</f>
        <v>0</v>
      </c>
      <c r="AX97" s="27" t="n">
        <f aca="false">SUMIF($C$2:$F$2,EOMONTH(AX$2,-1)+1,$C97:$F97)*VLOOKUP(AX$2,Valores!$H$2:$P$154,8,0)</f>
        <v>0</v>
      </c>
      <c r="AY97" s="27" t="n">
        <f aca="false">SUMIF($C$2:$F$2,EOMONTH(AY$2,-1)+1,$C97:$F97)*VLOOKUP(AY$2,Valores!$H$2:$P$154,8,0)</f>
        <v>0</v>
      </c>
      <c r="AZ97" s="27" t="n">
        <f aca="false">SUMIF($C$2:$F$2,EOMONTH(AZ$2,-1)+1,$C97:$F97)*VLOOKUP(AZ$2,Valores!$H$2:$P$154,8,0)</f>
        <v>0</v>
      </c>
      <c r="BA97" s="27" t="n">
        <f aca="false">SUMIF($C$2:$F$2,EOMONTH(BA$2,-1)+1,$C97:$F97)*VLOOKUP(BA$2,Valores!$H$2:$P$154,8,0)</f>
        <v>0</v>
      </c>
      <c r="BB97" s="27" t="n">
        <f aca="false">SUMIF($C$2:$F$2,EOMONTH(BB$2,-1)+1,$C97:$F97)*VLOOKUP(BB$2,Valores!$H$2:$P$154,8,0)</f>
        <v>0</v>
      </c>
      <c r="BC97" s="27" t="n">
        <f aca="false">SUMIF($C$2:$F$2,EOMONTH(BC$2,-1)+1,$C97:$F97)*VLOOKUP(BC$2,Valores!$H$2:$P$154,8,0)</f>
        <v>0</v>
      </c>
      <c r="BD97" s="27" t="n">
        <f aca="false">SUMIF($C$2:$F$2,EOMONTH(BD$2,-1)+1,$C97:$F97)*VLOOKUP(BD$2,Valores!$H$2:$P$154,8,0)</f>
        <v>0</v>
      </c>
      <c r="BE97" s="27" t="n">
        <f aca="false">SUMIF($C$2:$F$2,EOMONTH(BE$2,-1)+1,$C97:$F97)*VLOOKUP(BE$2,Valores!$H$2:$P$154,8,0)</f>
        <v>0</v>
      </c>
      <c r="BF97" s="27" t="n">
        <f aca="false">SUMIF($C$2:$F$2,EOMONTH(BF$2,-1)+1,$C97:$F97)*VLOOKUP(BF$2,Valores!$H$2:$P$154,8,0)</f>
        <v>0</v>
      </c>
      <c r="BG97" s="27" t="n">
        <f aca="false">SUMIF($C$2:$F$2,EOMONTH(BG$2,-1)+1,$C97:$F97)*VLOOKUP(BG$2,Valores!$H$2:$P$154,8,0)</f>
        <v>0</v>
      </c>
      <c r="BH97" s="27" t="n">
        <f aca="false">SUMIF($C$2:$F$2,EOMONTH(BH$2,-1)+1,$C97:$F97)*VLOOKUP(BH$2,Valores!$H$2:$P$154,8,0)</f>
        <v>0</v>
      </c>
      <c r="BI97" s="27" t="n">
        <f aca="false">SUMIF($C$2:$F$2,EOMONTH(BI$2,-1)+1,$C97:$F97)*VLOOKUP(BI$2,Valores!$H$2:$P$154,8,0)</f>
        <v>0</v>
      </c>
      <c r="BJ97" s="27" t="n">
        <f aca="false">SUMIF($C$2:$F$2,EOMONTH(BJ$2,-1)+1,$C97:$F97)*VLOOKUP(BJ$2,Valores!$H$2:$P$154,8,0)</f>
        <v>0</v>
      </c>
      <c r="BK97" s="27" t="n">
        <f aca="false">SUMIF($C$2:$F$2,EOMONTH(BK$2,-1)+1,$C97:$F97)*VLOOKUP(BK$2,Valores!$H$2:$P$154,8,0)</f>
        <v>0</v>
      </c>
      <c r="BL97" s="27" t="n">
        <f aca="false">SUMIF($C$2:$F$2,EOMONTH(BL$2,-1)+1,$C97:$F97)*VLOOKUP(BL$2,Valores!$H$2:$P$154,8,0)</f>
        <v>0</v>
      </c>
      <c r="BM97" s="27" t="n">
        <f aca="false">SUMIF($C$2:$F$2,EOMONTH(BM$2,-1)+1,$C97:$F97)*VLOOKUP(BM$2,Valores!$H$2:$P$154,8,0)</f>
        <v>0</v>
      </c>
      <c r="BN97" s="27" t="n">
        <f aca="false">SUMIF($C$2:$F$2,EOMONTH(BN$2,-1)+1,$C97:$F97)*VLOOKUP(BN$2,Valores!$H$2:$P$154,8,0)</f>
        <v>0</v>
      </c>
      <c r="BO97" s="27" t="n">
        <f aca="false">SUMIF($C$2:$F$2,EOMONTH(BO$2,-1)+1,$C97:$F97)*VLOOKUP(BO$2,Valores!$H$2:$P$154,8,0)</f>
        <v>0</v>
      </c>
      <c r="BP97" s="27" t="n">
        <f aca="false">SUMIF($C$2:$F$2,EOMONTH(BP$2,-1)+1,$C97:$F97)*VLOOKUP(BP$2,Valores!$H$2:$P$154,8,0)</f>
        <v>0</v>
      </c>
      <c r="BQ97" s="27" t="n">
        <f aca="false">SUMIF($C$2:$F$2,EOMONTH(BQ$2,-1)+1,$C97:$F97)*VLOOKUP(BQ$2,Valores!$H$2:$P$154,8,0)</f>
        <v>0</v>
      </c>
      <c r="BR97" s="27" t="n">
        <f aca="false">SUMIF($C$2:$F$2,EOMONTH(BR$2,-1)+1,$C97:$F97)*VLOOKUP(BR$2,Valores!$H$2:$P$154,8,0)</f>
        <v>0</v>
      </c>
      <c r="BS97" s="27" t="n">
        <f aca="false">SUMIF($C$2:$F$2,EOMONTH(BS$2,-1)+1,$C97:$F97)*VLOOKUP(BS$2,Valores!$H$2:$P$154,8,0)</f>
        <v>0</v>
      </c>
      <c r="BT97" s="27" t="n">
        <f aca="false">SUMIF($C$2:$F$2,EOMONTH(BT$2,-1)+1,$C97:$F97)*VLOOKUP(BT$2,Valores!$H$2:$P$154,8,0)</f>
        <v>0</v>
      </c>
      <c r="BU97" s="27" t="n">
        <f aca="false">SUMIF($C$2:$F$2,EOMONTH(BU$2,-1)+1,$C97:$F97)*VLOOKUP(BU$2,Valores!$H$2:$P$154,8,0)</f>
        <v>0</v>
      </c>
      <c r="BV97" s="27" t="n">
        <f aca="false">SUMIF($C$2:$F$2,EOMONTH(BV$2,-1)+1,$C97:$F97)*VLOOKUP(BV$2,Valores!$H$2:$P$154,8,0)</f>
        <v>0</v>
      </c>
      <c r="BW97" s="27" t="n">
        <f aca="false">SUMIF($C$2:$F$2,EOMONTH(BW$2,-1)+1,$C97:$F97)*VLOOKUP(BW$2,Valores!$H$2:$P$154,8,0)</f>
        <v>0</v>
      </c>
      <c r="BX97" s="27" t="n">
        <f aca="false">SUMIF($C$2:$F$2,EOMONTH(BX$2,-1)+1,$C97:$F97)*VLOOKUP(BX$2,Valores!$H$2:$P$154,8,0)</f>
        <v>0</v>
      </c>
      <c r="BY97" s="27" t="n">
        <f aca="false">SUMIF($C$2:$F$2,EOMONTH(BY$2,-1)+1,$C97:$F97)*VLOOKUP(BY$2,Valores!$H$2:$P$154,8,0)</f>
        <v>0</v>
      </c>
      <c r="BZ97" s="27" t="n">
        <f aca="false">SUMIF($C$2:$F$2,EOMONTH(BZ$2,-1)+1,$C97:$F97)*VLOOKUP(BZ$2,Valores!$H$2:$P$154,8,0)</f>
        <v>0</v>
      </c>
      <c r="CA97" s="27" t="n">
        <f aca="false">SUMIF($C$2:$F$2,EOMONTH(CA$2,-1)+1,$C97:$F97)*VLOOKUP(CA$2,Valores!$H$2:$P$154,8,0)</f>
        <v>0</v>
      </c>
      <c r="CB97" s="27" t="n">
        <f aca="false">SUMIF($C$2:$F$2,EOMONTH(CB$2,-1)+1,$C97:$F97)*VLOOKUP(CB$2,Valores!$H$2:$P$154,8,0)</f>
        <v>0</v>
      </c>
      <c r="CC97" s="27" t="n">
        <f aca="false">SUMIF($C$2:$F$2,EOMONTH(CC$2,-1)+1,$C97:$F97)*VLOOKUP(CC$2,Valores!$H$2:$P$154,8,0)</f>
        <v>0</v>
      </c>
      <c r="CD97" s="27" t="n">
        <f aca="false">SUMIF($C$2:$F$2,EOMONTH(CD$2,-1)+1,$C97:$F97)*VLOOKUP(CD$2,Valores!$H$2:$P$154,8,0)</f>
        <v>0</v>
      </c>
      <c r="CE97" s="27" t="n">
        <f aca="false">SUMIF($C$2:$F$2,EOMONTH(CE$2,-1)+1,$C97:$F97)*VLOOKUP(CE$2,Valores!$H$2:$P$154,8,0)</f>
        <v>0</v>
      </c>
      <c r="CF97" s="27" t="n">
        <f aca="false">SUMIF($C$2:$F$2,EOMONTH(CF$2,-1)+1,$C97:$F97)*VLOOKUP(CF$2,Valores!$H$2:$P$154,8,0)</f>
        <v>0</v>
      </c>
      <c r="CG97" s="27" t="n">
        <f aca="false">SUMIF($C$2:$F$2,EOMONTH(CG$2,-1)+1,$C97:$F97)*VLOOKUP(CG$2,Valores!$H$2:$P$154,8,0)</f>
        <v>0</v>
      </c>
      <c r="CH97" s="27" t="n">
        <f aca="false">SUMIF($C$2:$F$2,EOMONTH(CH$2,-1)+1,$C97:$F97)*VLOOKUP(CH$2,Valores!$H$2:$P$154,8,0)</f>
        <v>0</v>
      </c>
      <c r="CI97" s="27" t="n">
        <f aca="false">SUMIF($C$2:$F$2,EOMONTH(CI$2,-1)+1,$C97:$F97)*VLOOKUP(CI$2,Valores!$H$2:$P$154,8,0)</f>
        <v>0</v>
      </c>
      <c r="CJ97" s="27" t="n">
        <f aca="false">SUMIF($C$2:$F$2,EOMONTH(CJ$2,-1)+1,$C97:$F97)*VLOOKUP(CJ$2,Valores!$H$2:$P$154,8,0)</f>
        <v>0</v>
      </c>
      <c r="CK97" s="27" t="n">
        <f aca="false">SUMIF($C$2:$F$2,EOMONTH(CK$2,-1)+1,$C97:$F97)*VLOOKUP(CK$2,Valores!$H$2:$P$154,8,0)</f>
        <v>0</v>
      </c>
      <c r="CL97" s="27" t="n">
        <f aca="false">SUMIF($C$2:$F$2,EOMONTH(CL$2,-1)+1,$C97:$F97)*VLOOKUP(CL$2,Valores!$H$2:$P$154,8,0)</f>
        <v>0</v>
      </c>
      <c r="CM97" s="27" t="n">
        <f aca="false">SUMIF($C$2:$F$2,EOMONTH(CM$2,-1)+1,$C97:$F97)*VLOOKUP(CM$2,Valores!$H$2:$P$154,8,0)</f>
        <v>0</v>
      </c>
      <c r="CN97" s="27" t="n">
        <f aca="false">SUMIF($C$2:$F$2,EOMONTH(CN$2,-1)+1,$C97:$F97)*VLOOKUP(CN$2,Valores!$H$2:$P$154,8,0)</f>
        <v>0</v>
      </c>
      <c r="CO97" s="27" t="n">
        <f aca="false">SUMIF($C$2:$F$2,EOMONTH(CO$2,-1)+1,$C97:$F97)*VLOOKUP(CO$2,Valores!$H$2:$P$154,8,0)</f>
        <v>0</v>
      </c>
      <c r="CP97" s="27" t="n">
        <f aca="false">SUMIF($C$2:$F$2,EOMONTH(CP$2,-1)+1,$C97:$F97)*VLOOKUP(CP$2,Valores!$H$2:$P$154,8,0)</f>
        <v>0</v>
      </c>
      <c r="CQ97" s="27" t="n">
        <f aca="false">SUMIF($C$2:$F$2,EOMONTH(CQ$2,-1)+1,$C97:$F97)*VLOOKUP(CQ$2,Valores!$H$2:$P$154,8,0)</f>
        <v>0</v>
      </c>
      <c r="CR97" s="27" t="n">
        <f aca="false">SUMIF($C$2:$F$2,EOMONTH(CR$2,-1)+1,$C97:$F97)*VLOOKUP(CR$2,Valores!$H$2:$P$154,8,0)</f>
        <v>0</v>
      </c>
      <c r="CS97" s="27" t="n">
        <f aca="false">SUMIF($C$2:$F$2,EOMONTH(CS$2,-1)+1,$C97:$F97)*VLOOKUP(CS$2,Valores!$H$2:$P$154,8,0)</f>
        <v>0</v>
      </c>
      <c r="CT97" s="27" t="e">
        <f aca="false">SUMIF($C$2:$F$2,EOMONTH(CT$2,-1)+1,$C97:$F97)*VLOOKUP(CT$2,Valores!$H$2:$P$154,8,0)</f>
        <v>#VALUE!</v>
      </c>
      <c r="CU97" s="27" t="e">
        <f aca="false">SUMIF($C$2:$F$2,EOMONTH(CU$2,-1)+1,$C97:$F97)*VLOOKUP(CU$2,Valores!$H$2:$P$154,8,0)</f>
        <v>#VALUE!</v>
      </c>
      <c r="CV97" s="27" t="e">
        <f aca="false">SUMIF($C$2:$F$2,EOMONTH(CV$2,-1)+1,$C97:$F97)*VLOOKUP(CV$2,Valores!$H$2:$P$154,8,0)</f>
        <v>#VALUE!</v>
      </c>
      <c r="CW97" s="27" t="e">
        <f aca="false">SUMIF($C$2:$F$2,EOMONTH(CW$2,-1)+1,$C97:$F97)*VLOOKUP(CW$2,Valores!$H$2:$P$154,8,0)</f>
        <v>#VALUE!</v>
      </c>
      <c r="CX97" s="27" t="e">
        <f aca="false">SUMIF($C$2:$F$2,EOMONTH(CX$2,-1)+1,$C97:$F97)*VLOOKUP(CX$2,Valores!$H$2:$P$154,8,0)</f>
        <v>#VALUE!</v>
      </c>
      <c r="CY97" s="27" t="e">
        <f aca="false">SUMIF($C$2:$F$2,EOMONTH(CY$2,-1)+1,$C97:$F97)*VLOOKUP(CY$2,Valores!$H$2:$P$154,8,0)</f>
        <v>#VALUE!</v>
      </c>
      <c r="CZ97" s="27" t="e">
        <f aca="false">SUMIF($C$2:$F$2,EOMONTH(CZ$2,-1)+1,$C97:$F97)*VLOOKUP(CZ$2,Valores!$H$2:$P$154,8,0)</f>
        <v>#VALUE!</v>
      </c>
      <c r="DA97" s="27" t="e">
        <f aca="false">SUMIF($C$2:$F$2,EOMONTH(DA$2,-1)+1,$C97:$F97)*VLOOKUP(DA$2,Valores!$H$2:$P$154,8,0)</f>
        <v>#VALUE!</v>
      </c>
      <c r="DB97" s="27" t="e">
        <f aca="false">SUMIF($C$2:$F$2,EOMONTH(DB$2,-1)+1,$C97:$F97)*VLOOKUP(DB$2,Valores!$H$2:$P$154,8,0)</f>
        <v>#VALUE!</v>
      </c>
      <c r="DC97" s="27" t="e">
        <f aca="false">SUMIF($C$2:$F$2,EOMONTH(DC$2,-1)+1,$C97:$F97)*VLOOKUP(DC$2,Valores!$H$2:$P$154,8,0)</f>
        <v>#VALUE!</v>
      </c>
      <c r="DD97" s="27" t="e">
        <f aca="false">SUMIF($C$2:$F$2,EOMONTH(DD$2,-1)+1,$C97:$F97)*VLOOKUP(DD$2,Valores!$H$2:$P$154,8,0)</f>
        <v>#VALUE!</v>
      </c>
      <c r="DE97" s="27" t="e">
        <f aca="false">SUMIF($C$2:$F$2,EOMONTH(DE$2,-1)+1,$C97:$F97)*VLOOKUP(DE$2,Valores!$H$2:$P$154,8,0)</f>
        <v>#VALUE!</v>
      </c>
      <c r="DF97" s="27" t="e">
        <f aca="false">SUMIF($C$2:$F$2,EOMONTH(DF$2,-1)+1,$C97:$F97)*VLOOKUP(DF$2,Valores!$H$2:$P$154,8,0)</f>
        <v>#VALUE!</v>
      </c>
      <c r="DG97" s="27" t="e">
        <f aca="false">SUMIF($C$2:$F$2,EOMONTH(DG$2,-1)+1,$C97:$F97)*VLOOKUP(DG$2,Valores!$H$2:$P$154,8,0)</f>
        <v>#VALUE!</v>
      </c>
      <c r="DH97" s="27" t="e">
        <f aca="false">SUMIF($C$2:$F$2,EOMONTH(DH$2,-1)+1,$C97:$F97)*VLOOKUP(DH$2,Valores!$H$2:$P$154,8,0)</f>
        <v>#VALUE!</v>
      </c>
      <c r="DI97" s="27" t="e">
        <f aca="false">SUMIF($C$2:$F$2,EOMONTH(DI$2,-1)+1,$C97:$F97)*VLOOKUP(DI$2,Valores!$H$2:$P$154,8,0)</f>
        <v>#VALUE!</v>
      </c>
      <c r="DJ97" s="27" t="e">
        <f aca="false">SUMIF($C$2:$F$2,EOMONTH(DJ$2,-1)+1,$C97:$F97)*VLOOKUP(DJ$2,Valores!$H$2:$P$154,8,0)</f>
        <v>#VALUE!</v>
      </c>
      <c r="DK97" s="27" t="e">
        <f aca="false">SUMIF($C$2:$F$2,EOMONTH(DK$2,-1)+1,$C97:$F97)*VLOOKUP(DK$2,Valores!$H$2:$P$154,8,0)</f>
        <v>#VALUE!</v>
      </c>
      <c r="DL97" s="27" t="e">
        <f aca="false">SUMIF($C$2:$F$2,EOMONTH(DL$2,-1)+1,$C97:$F97)*VLOOKUP(DL$2,Valores!$H$2:$P$154,8,0)</f>
        <v>#VALUE!</v>
      </c>
      <c r="DM97" s="27" t="e">
        <f aca="false">SUMIF($C$2:$F$2,EOMONTH(DM$2,-1)+1,$C97:$F97)*VLOOKUP(DM$2,Valores!$H$2:$P$154,8,0)</f>
        <v>#VALUE!</v>
      </c>
      <c r="DN97" s="27" t="e">
        <f aca="false">SUMIF($C$2:$F$2,EOMONTH(DN$2,-1)+1,$C97:$F97)*VLOOKUP(DN$2,Valores!$H$2:$P$154,8,0)</f>
        <v>#VALUE!</v>
      </c>
      <c r="DO97" s="27" t="e">
        <f aca="false">SUMIF($C$2:$F$2,EOMONTH(DO$2,-1)+1,$C97:$F97)*VLOOKUP(DO$2,Valores!$H$2:$P$154,8,0)</f>
        <v>#VALUE!</v>
      </c>
      <c r="DP97" s="27" t="e">
        <f aca="false">SUMIF($C$2:$F$2,EOMONTH(DP$2,-1)+1,$C97:$F97)*VLOOKUP(DP$2,Valores!$H$2:$P$154,8,0)</f>
        <v>#VALUE!</v>
      </c>
      <c r="DQ97" s="27" t="e">
        <f aca="false">SUMIF($C$2:$F$2,EOMONTH(DQ$2,-1)+1,$C97:$F97)*VLOOKUP(DQ$2,Valores!$H$2:$P$154,8,0)</f>
        <v>#VALUE!</v>
      </c>
      <c r="DR97" s="27" t="e">
        <f aca="false">SUMIF($C$2:$F$2,EOMONTH(DR$2,-1)+1,$C97:$F97)*VLOOKUP(DR$2,Valores!$H$2:$P$154,8,0)</f>
        <v>#VALUE!</v>
      </c>
      <c r="DS97" s="27" t="e">
        <f aca="false">SUMIF($C$2:$F$2,EOMONTH(DS$2,-1)+1,$C97:$F97)*VLOOKUP(DS$2,Valores!$H$2:$P$154,8,0)</f>
        <v>#VALUE!</v>
      </c>
      <c r="DT97" s="27" t="e">
        <f aca="false">SUMIF($C$2:$F$2,EOMONTH(DT$2,-1)+1,$C97:$F97)*VLOOKUP(DT$2,Valores!$H$2:$P$154,8,0)</f>
        <v>#VALUE!</v>
      </c>
      <c r="DU97" s="27" t="e">
        <f aca="false">SUMIF($C$2:$F$2,EOMONTH(DU$2,-1)+1,$C97:$F97)*VLOOKUP(DU$2,Valores!$H$2:$P$154,8,0)</f>
        <v>#VALUE!</v>
      </c>
      <c r="DV97" s="27" t="e">
        <f aca="false">SUMIF($C$2:$F$2,EOMONTH(DV$2,-1)+1,$C97:$F97)*VLOOKUP(DV$2,Valores!$H$2:$P$154,8,0)</f>
        <v>#VALUE!</v>
      </c>
      <c r="DW97" s="27" t="e">
        <f aca="false">SUMIF($C$2:$F$2,EOMONTH(DW$2,-1)+1,$C97:$F97)*VLOOKUP(DW$2,Valores!$H$2:$P$154,8,0)</f>
        <v>#VALUE!</v>
      </c>
      <c r="DX97" s="27" t="e">
        <f aca="false">SUMIF($C$2:$F$2,EOMONTH(DX$2,-1)+1,$C97:$F97)*VLOOKUP(DX$2,Valores!$H$2:$P$154,8,0)</f>
        <v>#VALUE!</v>
      </c>
    </row>
    <row r="98" customFormat="false" ht="13.8" hidden="false" customHeight="false" outlineLevel="0" collapsed="false">
      <c r="A98" s="29"/>
      <c r="B98" s="29"/>
      <c r="C98" s="29"/>
      <c r="D98" s="29"/>
      <c r="E98" s="29"/>
      <c r="F98" s="29"/>
      <c r="G98" s="30" t="n">
        <f aca="false">SUMIF($C$2:$F$2,EOMONTH(G$2,-1)+1,$C98:$F98)*VLOOKUP(G$2,Valores!$H$2:$P$154,8,0)</f>
        <v>0</v>
      </c>
      <c r="H98" s="30" t="n">
        <f aca="false">SUMIF($C$2:$F$2,EOMONTH(H$2,-1)+1,$C98:$F98)*VLOOKUP(H$2,Valores!$H$2:$P$154,8,0)</f>
        <v>0</v>
      </c>
      <c r="I98" s="30" t="n">
        <f aca="false">SUMIF($C$2:$F$2,EOMONTH(I$2,-1)+1,$C98:$F98)*VLOOKUP(I$2,Valores!$H$2:$P$154,8,0)</f>
        <v>0</v>
      </c>
      <c r="J98" s="30" t="n">
        <f aca="false">SUMIF($C$2:$F$2,EOMONTH(J$2,-1)+1,$C98:$F98)*VLOOKUP(J$2,Valores!$H$2:$P$154,8,0)</f>
        <v>0</v>
      </c>
      <c r="K98" s="30" t="n">
        <f aca="false">SUMIF($C$2:$F$2,EOMONTH(K$2,-1)+1,$C98:$F98)*VLOOKUP(K$2,Valores!$H$2:$P$154,8,0)</f>
        <v>0</v>
      </c>
      <c r="L98" s="30" t="n">
        <f aca="false">SUMIF($C$2:$F$2,EOMONTH(L$2,-1)+1,$C98:$F98)*VLOOKUP(L$2,Valores!$H$2:$P$154,8,0)</f>
        <v>0</v>
      </c>
      <c r="M98" s="30" t="n">
        <f aca="false">SUMIF($C$2:$F$2,EOMONTH(M$2,-1)+1,$C98:$F98)*VLOOKUP(M$2,Valores!$H$2:$P$154,8,0)</f>
        <v>0</v>
      </c>
      <c r="N98" s="30" t="n">
        <f aca="false">SUMIF($C$2:$F$2,EOMONTH(N$2,-1)+1,$C98:$F98)*VLOOKUP(N$2,Valores!$H$2:$P$154,8,0)</f>
        <v>0</v>
      </c>
      <c r="O98" s="30" t="n">
        <f aca="false">SUMIF($C$2:$F$2,EOMONTH(O$2,-1)+1,$C98:$F98)*VLOOKUP(O$2,Valores!$H$2:$P$154,8,0)</f>
        <v>0</v>
      </c>
      <c r="P98" s="30" t="n">
        <f aca="false">SUMIF($C$2:$F$2,EOMONTH(P$2,-1)+1,$C98:$F98)*VLOOKUP(P$2,Valores!$H$2:$P$154,8,0)</f>
        <v>0</v>
      </c>
      <c r="Q98" s="30" t="n">
        <f aca="false">SUMIF($C$2:$F$2,EOMONTH(Q$2,-1)+1,$C98:$F98)*VLOOKUP(Q$2,Valores!$H$2:$P$154,8,0)</f>
        <v>0</v>
      </c>
      <c r="R98" s="30" t="n">
        <f aca="false">SUMIF($C$2:$F$2,EOMONTH(R$2,-1)+1,$C98:$F98)*VLOOKUP(R$2,Valores!$H$2:$P$154,8,0)</f>
        <v>0</v>
      </c>
      <c r="S98" s="30" t="n">
        <f aca="false">SUMIF($C$2:$F$2,EOMONTH(S$2,-1)+1,$C98:$F98)*VLOOKUP(S$2,Valores!$H$2:$P$154,8,0)</f>
        <v>0</v>
      </c>
      <c r="T98" s="30" t="n">
        <f aca="false">SUMIF($C$2:$F$2,EOMONTH(T$2,-1)+1,$C98:$F98)*VLOOKUP(T$2,Valores!$H$2:$P$154,8,0)</f>
        <v>0</v>
      </c>
      <c r="U98" s="30" t="n">
        <f aca="false">SUMIF($C$2:$F$2,EOMONTH(U$2,-1)+1,$C98:$F98)*VLOOKUP(U$2,Valores!$H$2:$P$154,8,0)</f>
        <v>0</v>
      </c>
      <c r="V98" s="30" t="n">
        <f aca="false">SUMIF($C$2:$F$2,EOMONTH(V$2,-1)+1,$C98:$F98)*VLOOKUP(V$2,Valores!$H$2:$P$154,8,0)</f>
        <v>0</v>
      </c>
      <c r="W98" s="30" t="n">
        <f aca="false">SUMIF($C$2:$F$2,EOMONTH(W$2,-1)+1,$C98:$F98)*VLOOKUP(W$2,Valores!$H$2:$P$154,8,0)</f>
        <v>0</v>
      </c>
      <c r="X98" s="30" t="n">
        <f aca="false">SUMIF($C$2:$F$2,EOMONTH(X$2,-1)+1,$C98:$F98)*VLOOKUP(X$2,Valores!$H$2:$P$154,8,0)</f>
        <v>0</v>
      </c>
      <c r="Y98" s="30" t="n">
        <f aca="false">SUMIF($C$2:$F$2,EOMONTH(Y$2,-1)+1,$C98:$F98)*VLOOKUP(Y$2,Valores!$H$2:$P$154,8,0)</f>
        <v>0</v>
      </c>
      <c r="Z98" s="30" t="n">
        <f aca="false">SUMIF($C$2:$F$2,EOMONTH(Z$2,-1)+1,$C98:$F98)*VLOOKUP(Z$2,Valores!$H$2:$P$154,8,0)</f>
        <v>0</v>
      </c>
      <c r="AA98" s="30" t="n">
        <f aca="false">SUMIF($C$2:$F$2,EOMONTH(AA$2,-1)+1,$C98:$F98)*VLOOKUP(AA$2,Valores!$H$2:$P$154,8,0)</f>
        <v>0</v>
      </c>
      <c r="AB98" s="30" t="n">
        <f aca="false">SUMIF($C$2:$F$2,EOMONTH(AB$2,-1)+1,$C98:$F98)*VLOOKUP(AB$2,Valores!$H$2:$P$154,8,0)</f>
        <v>0</v>
      </c>
      <c r="AC98" s="30" t="n">
        <f aca="false">SUMIF($C$2:$F$2,EOMONTH(AC$2,-1)+1,$C98:$F98)*VLOOKUP(AC$2,Valores!$H$2:$P$154,8,0)</f>
        <v>0</v>
      </c>
      <c r="AD98" s="30" t="n">
        <f aca="false">SUMIF($C$2:$F$2,EOMONTH(AD$2,-1)+1,$C98:$F98)*VLOOKUP(AD$2,Valores!$H$2:$P$154,8,0)</f>
        <v>0</v>
      </c>
      <c r="AE98" s="30" t="n">
        <f aca="false">SUMIF($C$2:$F$2,EOMONTH(AE$2,-1)+1,$C98:$F98)*VLOOKUP(AE$2,Valores!$H$2:$P$154,8,0)</f>
        <v>0</v>
      </c>
      <c r="AF98" s="30" t="n">
        <f aca="false">SUMIF($C$2:$F$2,EOMONTH(AF$2,-1)+1,$C98:$F98)*VLOOKUP(AF$2,Valores!$H$2:$P$154,8,0)</f>
        <v>0</v>
      </c>
      <c r="AG98" s="30" t="n">
        <f aca="false">SUMIF($C$2:$F$2,EOMONTH(AG$2,-1)+1,$C98:$F98)*VLOOKUP(AG$2,Valores!$H$2:$P$154,8,0)</f>
        <v>0</v>
      </c>
      <c r="AH98" s="30" t="n">
        <f aca="false">SUMIF($C$2:$F$2,EOMONTH(AH$2,-1)+1,$C98:$F98)*VLOOKUP(AH$2,Valores!$H$2:$P$154,8,0)</f>
        <v>0</v>
      </c>
      <c r="AI98" s="30" t="n">
        <f aca="false">SUMIF($C$2:$F$2,EOMONTH(AI$2,-1)+1,$C98:$F98)*VLOOKUP(AI$2,Valores!$H$2:$P$154,8,0)</f>
        <v>0</v>
      </c>
      <c r="AJ98" s="30" t="n">
        <f aca="false">SUMIF($C$2:$F$2,EOMONTH(AJ$2,-1)+1,$C98:$F98)*VLOOKUP(AJ$2,Valores!$H$2:$P$154,8,0)</f>
        <v>0</v>
      </c>
      <c r="AK98" s="30" t="n">
        <f aca="false">SUMIF($C$2:$F$2,EOMONTH(AK$2,-1)+1,$C98:$F98)*VLOOKUP(AK$2,Valores!$H$2:$P$154,8,0)</f>
        <v>0</v>
      </c>
      <c r="AL98" s="30" t="n">
        <f aca="false">SUMIF($C$2:$F$2,EOMONTH(AL$2,-1)+1,$C98:$F98)*VLOOKUP(AL$2,Valores!$H$2:$P$154,8,0)</f>
        <v>0</v>
      </c>
      <c r="AM98" s="30" t="n">
        <f aca="false">SUMIF($C$2:$F$2,EOMONTH(AM$2,-1)+1,$C98:$F98)*VLOOKUP(AM$2,Valores!$H$2:$P$154,8,0)</f>
        <v>0</v>
      </c>
      <c r="AN98" s="30" t="n">
        <f aca="false">SUMIF($C$2:$F$2,EOMONTH(AN$2,-1)+1,$C98:$F98)*VLOOKUP(AN$2,Valores!$H$2:$P$154,8,0)</f>
        <v>0</v>
      </c>
      <c r="AO98" s="30" t="n">
        <f aca="false">SUMIF($C$2:$F$2,EOMONTH(AO$2,-1)+1,$C98:$F98)*VLOOKUP(AO$2,Valores!$H$2:$P$154,8,0)</f>
        <v>0</v>
      </c>
      <c r="AP98" s="30" t="n">
        <f aca="false">SUMIF($C$2:$F$2,EOMONTH(AP$2,-1)+1,$C98:$F98)*VLOOKUP(AP$2,Valores!$H$2:$P$154,8,0)</f>
        <v>0</v>
      </c>
      <c r="AQ98" s="30" t="n">
        <f aca="false">SUMIF($C$2:$F$2,EOMONTH(AQ$2,-1)+1,$C98:$F98)*VLOOKUP(AQ$2,Valores!$H$2:$P$154,8,0)</f>
        <v>0</v>
      </c>
      <c r="AR98" s="30" t="n">
        <f aca="false">SUMIF($C$2:$F$2,EOMONTH(AR$2,-1)+1,$C98:$F98)*VLOOKUP(AR$2,Valores!$H$2:$P$154,8,0)</f>
        <v>0</v>
      </c>
      <c r="AS98" s="30" t="n">
        <f aca="false">SUMIF($C$2:$F$2,EOMONTH(AS$2,-1)+1,$C98:$F98)*VLOOKUP(AS$2,Valores!$H$2:$P$154,8,0)</f>
        <v>0</v>
      </c>
      <c r="AT98" s="30" t="n">
        <f aca="false">SUMIF($C$2:$F$2,EOMONTH(AT$2,-1)+1,$C98:$F98)*VLOOKUP(AT$2,Valores!$H$2:$P$154,8,0)</f>
        <v>0</v>
      </c>
      <c r="AU98" s="30" t="n">
        <f aca="false">SUMIF($C$2:$F$2,EOMONTH(AU$2,-1)+1,$C98:$F98)*VLOOKUP(AU$2,Valores!$H$2:$P$154,8,0)</f>
        <v>0</v>
      </c>
      <c r="AV98" s="30" t="n">
        <f aca="false">SUMIF($C$2:$F$2,EOMONTH(AV$2,-1)+1,$C98:$F98)*VLOOKUP(AV$2,Valores!$H$2:$P$154,8,0)</f>
        <v>0</v>
      </c>
      <c r="AW98" s="30" t="n">
        <f aca="false">SUMIF($C$2:$F$2,EOMONTH(AW$2,-1)+1,$C98:$F98)*VLOOKUP(AW$2,Valores!$H$2:$P$154,8,0)</f>
        <v>0</v>
      </c>
      <c r="AX98" s="30" t="n">
        <f aca="false">SUMIF($C$2:$F$2,EOMONTH(AX$2,-1)+1,$C98:$F98)*VLOOKUP(AX$2,Valores!$H$2:$P$154,8,0)</f>
        <v>0</v>
      </c>
      <c r="AY98" s="30" t="n">
        <f aca="false">SUMIF($C$2:$F$2,EOMONTH(AY$2,-1)+1,$C98:$F98)*VLOOKUP(AY$2,Valores!$H$2:$P$154,8,0)</f>
        <v>0</v>
      </c>
      <c r="AZ98" s="30" t="n">
        <f aca="false">SUMIF($C$2:$F$2,EOMONTH(AZ$2,-1)+1,$C98:$F98)*VLOOKUP(AZ$2,Valores!$H$2:$P$154,8,0)</f>
        <v>0</v>
      </c>
      <c r="BA98" s="30" t="n">
        <f aca="false">SUMIF($C$2:$F$2,EOMONTH(BA$2,-1)+1,$C98:$F98)*VLOOKUP(BA$2,Valores!$H$2:$P$154,8,0)</f>
        <v>0</v>
      </c>
      <c r="BB98" s="30" t="n">
        <f aca="false">SUMIF($C$2:$F$2,EOMONTH(BB$2,-1)+1,$C98:$F98)*VLOOKUP(BB$2,Valores!$H$2:$P$154,8,0)</f>
        <v>0</v>
      </c>
      <c r="BC98" s="30" t="n">
        <f aca="false">SUMIF($C$2:$F$2,EOMONTH(BC$2,-1)+1,$C98:$F98)*VLOOKUP(BC$2,Valores!$H$2:$P$154,8,0)</f>
        <v>0</v>
      </c>
      <c r="BD98" s="30" t="n">
        <f aca="false">SUMIF($C$2:$F$2,EOMONTH(BD$2,-1)+1,$C98:$F98)*VLOOKUP(BD$2,Valores!$H$2:$P$154,8,0)</f>
        <v>0</v>
      </c>
      <c r="BE98" s="30" t="n">
        <f aca="false">SUMIF($C$2:$F$2,EOMONTH(BE$2,-1)+1,$C98:$F98)*VLOOKUP(BE$2,Valores!$H$2:$P$154,8,0)</f>
        <v>0</v>
      </c>
      <c r="BF98" s="30" t="n">
        <f aca="false">SUMIF($C$2:$F$2,EOMONTH(BF$2,-1)+1,$C98:$F98)*VLOOKUP(BF$2,Valores!$H$2:$P$154,8,0)</f>
        <v>0</v>
      </c>
      <c r="BG98" s="30" t="n">
        <f aca="false">SUMIF($C$2:$F$2,EOMONTH(BG$2,-1)+1,$C98:$F98)*VLOOKUP(BG$2,Valores!$H$2:$P$154,8,0)</f>
        <v>0</v>
      </c>
      <c r="BH98" s="30" t="n">
        <f aca="false">SUMIF($C$2:$F$2,EOMONTH(BH$2,-1)+1,$C98:$F98)*VLOOKUP(BH$2,Valores!$H$2:$P$154,8,0)</f>
        <v>0</v>
      </c>
      <c r="BI98" s="30" t="n">
        <f aca="false">SUMIF($C$2:$F$2,EOMONTH(BI$2,-1)+1,$C98:$F98)*VLOOKUP(BI$2,Valores!$H$2:$P$154,8,0)</f>
        <v>0</v>
      </c>
      <c r="BJ98" s="30" t="n">
        <f aca="false">SUMIF($C$2:$F$2,EOMONTH(BJ$2,-1)+1,$C98:$F98)*VLOOKUP(BJ$2,Valores!$H$2:$P$154,8,0)</f>
        <v>0</v>
      </c>
      <c r="BK98" s="30" t="n">
        <f aca="false">SUMIF($C$2:$F$2,EOMONTH(BK$2,-1)+1,$C98:$F98)*VLOOKUP(BK$2,Valores!$H$2:$P$154,8,0)</f>
        <v>0</v>
      </c>
      <c r="BL98" s="30" t="n">
        <f aca="false">SUMIF($C$2:$F$2,EOMONTH(BL$2,-1)+1,$C98:$F98)*VLOOKUP(BL$2,Valores!$H$2:$P$154,8,0)</f>
        <v>0</v>
      </c>
      <c r="BM98" s="30" t="n">
        <f aca="false">SUMIF($C$2:$F$2,EOMONTH(BM$2,-1)+1,$C98:$F98)*VLOOKUP(BM$2,Valores!$H$2:$P$154,8,0)</f>
        <v>0</v>
      </c>
      <c r="BN98" s="30" t="n">
        <f aca="false">SUMIF($C$2:$F$2,EOMONTH(BN$2,-1)+1,$C98:$F98)*VLOOKUP(BN$2,Valores!$H$2:$P$154,8,0)</f>
        <v>0</v>
      </c>
      <c r="BO98" s="30" t="n">
        <f aca="false">SUMIF($C$2:$F$2,EOMONTH(BO$2,-1)+1,$C98:$F98)*VLOOKUP(BO$2,Valores!$H$2:$P$154,8,0)</f>
        <v>0</v>
      </c>
      <c r="BP98" s="30" t="n">
        <f aca="false">SUMIF($C$2:$F$2,EOMONTH(BP$2,-1)+1,$C98:$F98)*VLOOKUP(BP$2,Valores!$H$2:$P$154,8,0)</f>
        <v>0</v>
      </c>
      <c r="BQ98" s="30" t="n">
        <f aca="false">SUMIF($C$2:$F$2,EOMONTH(BQ$2,-1)+1,$C98:$F98)*VLOOKUP(BQ$2,Valores!$H$2:$P$154,8,0)</f>
        <v>0</v>
      </c>
      <c r="BR98" s="30" t="n">
        <f aca="false">SUMIF($C$2:$F$2,EOMONTH(BR$2,-1)+1,$C98:$F98)*VLOOKUP(BR$2,Valores!$H$2:$P$154,8,0)</f>
        <v>0</v>
      </c>
      <c r="BS98" s="30" t="n">
        <f aca="false">SUMIF($C$2:$F$2,EOMONTH(BS$2,-1)+1,$C98:$F98)*VLOOKUP(BS$2,Valores!$H$2:$P$154,8,0)</f>
        <v>0</v>
      </c>
      <c r="BT98" s="30" t="n">
        <f aca="false">SUMIF($C$2:$F$2,EOMONTH(BT$2,-1)+1,$C98:$F98)*VLOOKUP(BT$2,Valores!$H$2:$P$154,8,0)</f>
        <v>0</v>
      </c>
      <c r="BU98" s="30" t="n">
        <f aca="false">SUMIF($C$2:$F$2,EOMONTH(BU$2,-1)+1,$C98:$F98)*VLOOKUP(BU$2,Valores!$H$2:$P$154,8,0)</f>
        <v>0</v>
      </c>
      <c r="BV98" s="30" t="n">
        <f aca="false">SUMIF($C$2:$F$2,EOMONTH(BV$2,-1)+1,$C98:$F98)*VLOOKUP(BV$2,Valores!$H$2:$P$154,8,0)</f>
        <v>0</v>
      </c>
      <c r="BW98" s="30" t="n">
        <f aca="false">SUMIF($C$2:$F$2,EOMONTH(BW$2,-1)+1,$C98:$F98)*VLOOKUP(BW$2,Valores!$H$2:$P$154,8,0)</f>
        <v>0</v>
      </c>
      <c r="BX98" s="30" t="n">
        <f aca="false">SUMIF($C$2:$F$2,EOMONTH(BX$2,-1)+1,$C98:$F98)*VLOOKUP(BX$2,Valores!$H$2:$P$154,8,0)</f>
        <v>0</v>
      </c>
      <c r="BY98" s="30" t="n">
        <f aca="false">SUMIF($C$2:$F$2,EOMONTH(BY$2,-1)+1,$C98:$F98)*VLOOKUP(BY$2,Valores!$H$2:$P$154,8,0)</f>
        <v>0</v>
      </c>
      <c r="BZ98" s="30" t="n">
        <f aca="false">SUMIF($C$2:$F$2,EOMONTH(BZ$2,-1)+1,$C98:$F98)*VLOOKUP(BZ$2,Valores!$H$2:$P$154,8,0)</f>
        <v>0</v>
      </c>
      <c r="CA98" s="30" t="n">
        <f aca="false">SUMIF($C$2:$F$2,EOMONTH(CA$2,-1)+1,$C98:$F98)*VLOOKUP(CA$2,Valores!$H$2:$P$154,8,0)</f>
        <v>0</v>
      </c>
      <c r="CB98" s="30" t="n">
        <f aca="false">SUMIF($C$2:$F$2,EOMONTH(CB$2,-1)+1,$C98:$F98)*VLOOKUP(CB$2,Valores!$H$2:$P$154,8,0)</f>
        <v>0</v>
      </c>
      <c r="CC98" s="30" t="n">
        <f aca="false">SUMIF($C$2:$F$2,EOMONTH(CC$2,-1)+1,$C98:$F98)*VLOOKUP(CC$2,Valores!$H$2:$P$154,8,0)</f>
        <v>0</v>
      </c>
      <c r="CD98" s="30" t="n">
        <f aca="false">SUMIF($C$2:$F$2,EOMONTH(CD$2,-1)+1,$C98:$F98)*VLOOKUP(CD$2,Valores!$H$2:$P$154,8,0)</f>
        <v>0</v>
      </c>
      <c r="CE98" s="30" t="n">
        <f aca="false">SUMIF($C$2:$F$2,EOMONTH(CE$2,-1)+1,$C98:$F98)*VLOOKUP(CE$2,Valores!$H$2:$P$154,8,0)</f>
        <v>0</v>
      </c>
      <c r="CF98" s="30" t="n">
        <f aca="false">SUMIF($C$2:$F$2,EOMONTH(CF$2,-1)+1,$C98:$F98)*VLOOKUP(CF$2,Valores!$H$2:$P$154,8,0)</f>
        <v>0</v>
      </c>
      <c r="CG98" s="30" t="n">
        <f aca="false">SUMIF($C$2:$F$2,EOMONTH(CG$2,-1)+1,$C98:$F98)*VLOOKUP(CG$2,Valores!$H$2:$P$154,8,0)</f>
        <v>0</v>
      </c>
      <c r="CH98" s="30" t="n">
        <f aca="false">SUMIF($C$2:$F$2,EOMONTH(CH$2,-1)+1,$C98:$F98)*VLOOKUP(CH$2,Valores!$H$2:$P$154,8,0)</f>
        <v>0</v>
      </c>
      <c r="CI98" s="30" t="n">
        <f aca="false">SUMIF($C$2:$F$2,EOMONTH(CI$2,-1)+1,$C98:$F98)*VLOOKUP(CI$2,Valores!$H$2:$P$154,8,0)</f>
        <v>0</v>
      </c>
      <c r="CJ98" s="30" t="n">
        <f aca="false">SUMIF($C$2:$F$2,EOMONTH(CJ$2,-1)+1,$C98:$F98)*VLOOKUP(CJ$2,Valores!$H$2:$P$154,8,0)</f>
        <v>0</v>
      </c>
      <c r="CK98" s="30" t="n">
        <f aca="false">SUMIF($C$2:$F$2,EOMONTH(CK$2,-1)+1,$C98:$F98)*VLOOKUP(CK$2,Valores!$H$2:$P$154,8,0)</f>
        <v>0</v>
      </c>
      <c r="CL98" s="30" t="n">
        <f aca="false">SUMIF($C$2:$F$2,EOMONTH(CL$2,-1)+1,$C98:$F98)*VLOOKUP(CL$2,Valores!$H$2:$P$154,8,0)</f>
        <v>0</v>
      </c>
      <c r="CM98" s="30" t="n">
        <f aca="false">SUMIF($C$2:$F$2,EOMONTH(CM$2,-1)+1,$C98:$F98)*VLOOKUP(CM$2,Valores!$H$2:$P$154,8,0)</f>
        <v>0</v>
      </c>
      <c r="CN98" s="30" t="n">
        <f aca="false">SUMIF($C$2:$F$2,EOMONTH(CN$2,-1)+1,$C98:$F98)*VLOOKUP(CN$2,Valores!$H$2:$P$154,8,0)</f>
        <v>0</v>
      </c>
      <c r="CO98" s="30" t="n">
        <f aca="false">SUMIF($C$2:$F$2,EOMONTH(CO$2,-1)+1,$C98:$F98)*VLOOKUP(CO$2,Valores!$H$2:$P$154,8,0)</f>
        <v>0</v>
      </c>
      <c r="CP98" s="30" t="n">
        <f aca="false">SUMIF($C$2:$F$2,EOMONTH(CP$2,-1)+1,$C98:$F98)*VLOOKUP(CP$2,Valores!$H$2:$P$154,8,0)</f>
        <v>0</v>
      </c>
      <c r="CQ98" s="30" t="n">
        <f aca="false">SUMIF($C$2:$F$2,EOMONTH(CQ$2,-1)+1,$C98:$F98)*VLOOKUP(CQ$2,Valores!$H$2:$P$154,8,0)</f>
        <v>0</v>
      </c>
      <c r="CR98" s="30" t="n">
        <f aca="false">SUMIF($C$2:$F$2,EOMONTH(CR$2,-1)+1,$C98:$F98)*VLOOKUP(CR$2,Valores!$H$2:$P$154,8,0)</f>
        <v>0</v>
      </c>
      <c r="CS98" s="30" t="n">
        <f aca="false">SUMIF($C$2:$F$2,EOMONTH(CS$2,-1)+1,$C98:$F98)*VLOOKUP(CS$2,Valores!$H$2:$P$154,8,0)</f>
        <v>0</v>
      </c>
      <c r="CT98" s="30" t="e">
        <f aca="false">SUMIF($C$2:$F$2,EOMONTH(CT$2,-1)+1,$C98:$F98)*VLOOKUP(CT$2,Valores!$H$2:$P$154,8,0)</f>
        <v>#VALUE!</v>
      </c>
      <c r="CU98" s="30" t="e">
        <f aca="false">SUMIF($C$2:$F$2,EOMONTH(CU$2,-1)+1,$C98:$F98)*VLOOKUP(CU$2,Valores!$H$2:$P$154,8,0)</f>
        <v>#VALUE!</v>
      </c>
      <c r="CV98" s="30" t="e">
        <f aca="false">SUMIF($C$2:$F$2,EOMONTH(CV$2,-1)+1,$C98:$F98)*VLOOKUP(CV$2,Valores!$H$2:$P$154,8,0)</f>
        <v>#VALUE!</v>
      </c>
      <c r="CW98" s="30" t="e">
        <f aca="false">SUMIF($C$2:$F$2,EOMONTH(CW$2,-1)+1,$C98:$F98)*VLOOKUP(CW$2,Valores!$H$2:$P$154,8,0)</f>
        <v>#VALUE!</v>
      </c>
      <c r="CX98" s="30" t="e">
        <f aca="false">SUMIF($C$2:$F$2,EOMONTH(CX$2,-1)+1,$C98:$F98)*VLOOKUP(CX$2,Valores!$H$2:$P$154,8,0)</f>
        <v>#VALUE!</v>
      </c>
      <c r="CY98" s="30" t="e">
        <f aca="false">SUMIF($C$2:$F$2,EOMONTH(CY$2,-1)+1,$C98:$F98)*VLOOKUP(CY$2,Valores!$H$2:$P$154,8,0)</f>
        <v>#VALUE!</v>
      </c>
      <c r="CZ98" s="30" t="e">
        <f aca="false">SUMIF($C$2:$F$2,EOMONTH(CZ$2,-1)+1,$C98:$F98)*VLOOKUP(CZ$2,Valores!$H$2:$P$154,8,0)</f>
        <v>#VALUE!</v>
      </c>
      <c r="DA98" s="30" t="e">
        <f aca="false">SUMIF($C$2:$F$2,EOMONTH(DA$2,-1)+1,$C98:$F98)*VLOOKUP(DA$2,Valores!$H$2:$P$154,8,0)</f>
        <v>#VALUE!</v>
      </c>
      <c r="DB98" s="30" t="e">
        <f aca="false">SUMIF($C$2:$F$2,EOMONTH(DB$2,-1)+1,$C98:$F98)*VLOOKUP(DB$2,Valores!$H$2:$P$154,8,0)</f>
        <v>#VALUE!</v>
      </c>
      <c r="DC98" s="30" t="e">
        <f aca="false">SUMIF($C$2:$F$2,EOMONTH(DC$2,-1)+1,$C98:$F98)*VLOOKUP(DC$2,Valores!$H$2:$P$154,8,0)</f>
        <v>#VALUE!</v>
      </c>
      <c r="DD98" s="30" t="e">
        <f aca="false">SUMIF($C$2:$F$2,EOMONTH(DD$2,-1)+1,$C98:$F98)*VLOOKUP(DD$2,Valores!$H$2:$P$154,8,0)</f>
        <v>#VALUE!</v>
      </c>
      <c r="DE98" s="30" t="e">
        <f aca="false">SUMIF($C$2:$F$2,EOMONTH(DE$2,-1)+1,$C98:$F98)*VLOOKUP(DE$2,Valores!$H$2:$P$154,8,0)</f>
        <v>#VALUE!</v>
      </c>
      <c r="DF98" s="30" t="e">
        <f aca="false">SUMIF($C$2:$F$2,EOMONTH(DF$2,-1)+1,$C98:$F98)*VLOOKUP(DF$2,Valores!$H$2:$P$154,8,0)</f>
        <v>#VALUE!</v>
      </c>
      <c r="DG98" s="30" t="e">
        <f aca="false">SUMIF($C$2:$F$2,EOMONTH(DG$2,-1)+1,$C98:$F98)*VLOOKUP(DG$2,Valores!$H$2:$P$154,8,0)</f>
        <v>#VALUE!</v>
      </c>
      <c r="DH98" s="30" t="e">
        <f aca="false">SUMIF($C$2:$F$2,EOMONTH(DH$2,-1)+1,$C98:$F98)*VLOOKUP(DH$2,Valores!$H$2:$P$154,8,0)</f>
        <v>#VALUE!</v>
      </c>
      <c r="DI98" s="30" t="e">
        <f aca="false">SUMIF($C$2:$F$2,EOMONTH(DI$2,-1)+1,$C98:$F98)*VLOOKUP(DI$2,Valores!$H$2:$P$154,8,0)</f>
        <v>#VALUE!</v>
      </c>
      <c r="DJ98" s="30" t="e">
        <f aca="false">SUMIF($C$2:$F$2,EOMONTH(DJ$2,-1)+1,$C98:$F98)*VLOOKUP(DJ$2,Valores!$H$2:$P$154,8,0)</f>
        <v>#VALUE!</v>
      </c>
      <c r="DK98" s="30" t="e">
        <f aca="false">SUMIF($C$2:$F$2,EOMONTH(DK$2,-1)+1,$C98:$F98)*VLOOKUP(DK$2,Valores!$H$2:$P$154,8,0)</f>
        <v>#VALUE!</v>
      </c>
      <c r="DL98" s="30" t="e">
        <f aca="false">SUMIF($C$2:$F$2,EOMONTH(DL$2,-1)+1,$C98:$F98)*VLOOKUP(DL$2,Valores!$H$2:$P$154,8,0)</f>
        <v>#VALUE!</v>
      </c>
      <c r="DM98" s="30" t="e">
        <f aca="false">SUMIF($C$2:$F$2,EOMONTH(DM$2,-1)+1,$C98:$F98)*VLOOKUP(DM$2,Valores!$H$2:$P$154,8,0)</f>
        <v>#VALUE!</v>
      </c>
      <c r="DN98" s="30" t="e">
        <f aca="false">SUMIF($C$2:$F$2,EOMONTH(DN$2,-1)+1,$C98:$F98)*VLOOKUP(DN$2,Valores!$H$2:$P$154,8,0)</f>
        <v>#VALUE!</v>
      </c>
      <c r="DO98" s="30" t="e">
        <f aca="false">SUMIF($C$2:$F$2,EOMONTH(DO$2,-1)+1,$C98:$F98)*VLOOKUP(DO$2,Valores!$H$2:$P$154,8,0)</f>
        <v>#VALUE!</v>
      </c>
      <c r="DP98" s="30" t="e">
        <f aca="false">SUMIF($C$2:$F$2,EOMONTH(DP$2,-1)+1,$C98:$F98)*VLOOKUP(DP$2,Valores!$H$2:$P$154,8,0)</f>
        <v>#VALUE!</v>
      </c>
      <c r="DQ98" s="30" t="e">
        <f aca="false">SUMIF($C$2:$F$2,EOMONTH(DQ$2,-1)+1,$C98:$F98)*VLOOKUP(DQ$2,Valores!$H$2:$P$154,8,0)</f>
        <v>#VALUE!</v>
      </c>
      <c r="DR98" s="30" t="e">
        <f aca="false">SUMIF($C$2:$F$2,EOMONTH(DR$2,-1)+1,$C98:$F98)*VLOOKUP(DR$2,Valores!$H$2:$P$154,8,0)</f>
        <v>#VALUE!</v>
      </c>
      <c r="DS98" s="30" t="e">
        <f aca="false">SUMIF($C$2:$F$2,EOMONTH(DS$2,-1)+1,$C98:$F98)*VLOOKUP(DS$2,Valores!$H$2:$P$154,8,0)</f>
        <v>#VALUE!</v>
      </c>
      <c r="DT98" s="30" t="e">
        <f aca="false">SUMIF($C$2:$F$2,EOMONTH(DT$2,-1)+1,$C98:$F98)*VLOOKUP(DT$2,Valores!$H$2:$P$154,8,0)</f>
        <v>#VALUE!</v>
      </c>
      <c r="DU98" s="30" t="e">
        <f aca="false">SUMIF($C$2:$F$2,EOMONTH(DU$2,-1)+1,$C98:$F98)*VLOOKUP(DU$2,Valores!$H$2:$P$154,8,0)</f>
        <v>#VALUE!</v>
      </c>
      <c r="DV98" s="30" t="e">
        <f aca="false">SUMIF($C$2:$F$2,EOMONTH(DV$2,-1)+1,$C98:$F98)*VLOOKUP(DV$2,Valores!$H$2:$P$154,8,0)</f>
        <v>#VALUE!</v>
      </c>
      <c r="DW98" s="30" t="e">
        <f aca="false">SUMIF($C$2:$F$2,EOMONTH(DW$2,-1)+1,$C98:$F98)*VLOOKUP(DW$2,Valores!$H$2:$P$154,8,0)</f>
        <v>#VALUE!</v>
      </c>
      <c r="DX98" s="30" t="e">
        <f aca="false">SUMIF($C$2:$F$2,EOMONTH(DX$2,-1)+1,$C98:$F98)*VLOOKUP(DX$2,Valores!$H$2:$P$154,8,0)</f>
        <v>#VALUE!</v>
      </c>
    </row>
    <row r="99" customFormat="false" ht="13.8" hidden="false" customHeight="false" outlineLevel="0" collapsed="false">
      <c r="A99" s="31"/>
      <c r="B99" s="31"/>
      <c r="C99" s="31"/>
      <c r="D99" s="31"/>
      <c r="E99" s="31"/>
      <c r="F99" s="31"/>
      <c r="G99" s="27" t="n">
        <f aca="false">SUMIF($C$2:$F$2,EOMONTH(G$2,-1)+1,$C99:$F99)*VLOOKUP(G$2,Valores!$H$2:$P$154,8,0)</f>
        <v>0</v>
      </c>
      <c r="H99" s="27" t="n">
        <f aca="false">SUMIF($C$2:$F$2,EOMONTH(H$2,-1)+1,$C99:$F99)*VLOOKUP(H$2,Valores!$H$2:$P$154,8,0)</f>
        <v>0</v>
      </c>
      <c r="I99" s="27" t="n">
        <f aca="false">SUMIF($C$2:$F$2,EOMONTH(I$2,-1)+1,$C99:$F99)*VLOOKUP(I$2,Valores!$H$2:$P$154,8,0)</f>
        <v>0</v>
      </c>
      <c r="J99" s="27" t="n">
        <f aca="false">SUMIF($C$2:$F$2,EOMONTH(J$2,-1)+1,$C99:$F99)*VLOOKUP(J$2,Valores!$H$2:$P$154,8,0)</f>
        <v>0</v>
      </c>
      <c r="K99" s="27" t="n">
        <f aca="false">SUMIF($C$2:$F$2,EOMONTH(K$2,-1)+1,$C99:$F99)*VLOOKUP(K$2,Valores!$H$2:$P$154,8,0)</f>
        <v>0</v>
      </c>
      <c r="L99" s="27" t="n">
        <f aca="false">SUMIF($C$2:$F$2,EOMONTH(L$2,-1)+1,$C99:$F99)*VLOOKUP(L$2,Valores!$H$2:$P$154,8,0)</f>
        <v>0</v>
      </c>
      <c r="M99" s="27" t="n">
        <f aca="false">SUMIF($C$2:$F$2,EOMONTH(M$2,-1)+1,$C99:$F99)*VLOOKUP(M$2,Valores!$H$2:$P$154,8,0)</f>
        <v>0</v>
      </c>
      <c r="N99" s="27" t="n">
        <f aca="false">SUMIF($C$2:$F$2,EOMONTH(N$2,-1)+1,$C99:$F99)*VLOOKUP(N$2,Valores!$H$2:$P$154,8,0)</f>
        <v>0</v>
      </c>
      <c r="O99" s="27" t="n">
        <f aca="false">SUMIF($C$2:$F$2,EOMONTH(O$2,-1)+1,$C99:$F99)*VLOOKUP(O$2,Valores!$H$2:$P$154,8,0)</f>
        <v>0</v>
      </c>
      <c r="P99" s="27" t="n">
        <f aca="false">SUMIF($C$2:$F$2,EOMONTH(P$2,-1)+1,$C99:$F99)*VLOOKUP(P$2,Valores!$H$2:$P$154,8,0)</f>
        <v>0</v>
      </c>
      <c r="Q99" s="27" t="n">
        <f aca="false">SUMIF($C$2:$F$2,EOMONTH(Q$2,-1)+1,$C99:$F99)*VLOOKUP(Q$2,Valores!$H$2:$P$154,8,0)</f>
        <v>0</v>
      </c>
      <c r="R99" s="27" t="n">
        <f aca="false">SUMIF($C$2:$F$2,EOMONTH(R$2,-1)+1,$C99:$F99)*VLOOKUP(R$2,Valores!$H$2:$P$154,8,0)</f>
        <v>0</v>
      </c>
      <c r="S99" s="27" t="n">
        <f aca="false">SUMIF($C$2:$F$2,EOMONTH(S$2,-1)+1,$C99:$F99)*VLOOKUP(S$2,Valores!$H$2:$P$154,8,0)</f>
        <v>0</v>
      </c>
      <c r="T99" s="27" t="n">
        <f aca="false">SUMIF($C$2:$F$2,EOMONTH(T$2,-1)+1,$C99:$F99)*VLOOKUP(T$2,Valores!$H$2:$P$154,8,0)</f>
        <v>0</v>
      </c>
      <c r="U99" s="27" t="n">
        <f aca="false">SUMIF($C$2:$F$2,EOMONTH(U$2,-1)+1,$C99:$F99)*VLOOKUP(U$2,Valores!$H$2:$P$154,8,0)</f>
        <v>0</v>
      </c>
      <c r="V99" s="27" t="n">
        <f aca="false">SUMIF($C$2:$F$2,EOMONTH(V$2,-1)+1,$C99:$F99)*VLOOKUP(V$2,Valores!$H$2:$P$154,8,0)</f>
        <v>0</v>
      </c>
      <c r="W99" s="27" t="n">
        <f aca="false">SUMIF($C$2:$F$2,EOMONTH(W$2,-1)+1,$C99:$F99)*VLOOKUP(W$2,Valores!$H$2:$P$154,8,0)</f>
        <v>0</v>
      </c>
      <c r="X99" s="27" t="n">
        <f aca="false">SUMIF($C$2:$F$2,EOMONTH(X$2,-1)+1,$C99:$F99)*VLOOKUP(X$2,Valores!$H$2:$P$154,8,0)</f>
        <v>0</v>
      </c>
      <c r="Y99" s="27" t="n">
        <f aca="false">SUMIF($C$2:$F$2,EOMONTH(Y$2,-1)+1,$C99:$F99)*VLOOKUP(Y$2,Valores!$H$2:$P$154,8,0)</f>
        <v>0</v>
      </c>
      <c r="Z99" s="27" t="n">
        <f aca="false">SUMIF($C$2:$F$2,EOMONTH(Z$2,-1)+1,$C99:$F99)*VLOOKUP(Z$2,Valores!$H$2:$P$154,8,0)</f>
        <v>0</v>
      </c>
      <c r="AA99" s="27" t="n">
        <f aca="false">SUMIF($C$2:$F$2,EOMONTH(AA$2,-1)+1,$C99:$F99)*VLOOKUP(AA$2,Valores!$H$2:$P$154,8,0)</f>
        <v>0</v>
      </c>
      <c r="AB99" s="27" t="n">
        <f aca="false">SUMIF($C$2:$F$2,EOMONTH(AB$2,-1)+1,$C99:$F99)*VLOOKUP(AB$2,Valores!$H$2:$P$154,8,0)</f>
        <v>0</v>
      </c>
      <c r="AC99" s="27" t="n">
        <f aca="false">SUMIF($C$2:$F$2,EOMONTH(AC$2,-1)+1,$C99:$F99)*VLOOKUP(AC$2,Valores!$H$2:$P$154,8,0)</f>
        <v>0</v>
      </c>
      <c r="AD99" s="27" t="n">
        <f aca="false">SUMIF($C$2:$F$2,EOMONTH(AD$2,-1)+1,$C99:$F99)*VLOOKUP(AD$2,Valores!$H$2:$P$154,8,0)</f>
        <v>0</v>
      </c>
      <c r="AE99" s="27" t="n">
        <f aca="false">SUMIF($C$2:$F$2,EOMONTH(AE$2,-1)+1,$C99:$F99)*VLOOKUP(AE$2,Valores!$H$2:$P$154,8,0)</f>
        <v>0</v>
      </c>
      <c r="AF99" s="27" t="n">
        <f aca="false">SUMIF($C$2:$F$2,EOMONTH(AF$2,-1)+1,$C99:$F99)*VLOOKUP(AF$2,Valores!$H$2:$P$154,8,0)</f>
        <v>0</v>
      </c>
      <c r="AG99" s="27" t="n">
        <f aca="false">SUMIF($C$2:$F$2,EOMONTH(AG$2,-1)+1,$C99:$F99)*VLOOKUP(AG$2,Valores!$H$2:$P$154,8,0)</f>
        <v>0</v>
      </c>
      <c r="AH99" s="27" t="n">
        <f aca="false">SUMIF($C$2:$F$2,EOMONTH(AH$2,-1)+1,$C99:$F99)*VLOOKUP(AH$2,Valores!$H$2:$P$154,8,0)</f>
        <v>0</v>
      </c>
      <c r="AI99" s="27" t="n">
        <f aca="false">SUMIF($C$2:$F$2,EOMONTH(AI$2,-1)+1,$C99:$F99)*VLOOKUP(AI$2,Valores!$H$2:$P$154,8,0)</f>
        <v>0</v>
      </c>
      <c r="AJ99" s="27" t="n">
        <f aca="false">SUMIF($C$2:$F$2,EOMONTH(AJ$2,-1)+1,$C99:$F99)*VLOOKUP(AJ$2,Valores!$H$2:$P$154,8,0)</f>
        <v>0</v>
      </c>
      <c r="AK99" s="27" t="n">
        <f aca="false">SUMIF($C$2:$F$2,EOMONTH(AK$2,-1)+1,$C99:$F99)*VLOOKUP(AK$2,Valores!$H$2:$P$154,8,0)</f>
        <v>0</v>
      </c>
      <c r="AL99" s="27" t="n">
        <f aca="false">SUMIF($C$2:$F$2,EOMONTH(AL$2,-1)+1,$C99:$F99)*VLOOKUP(AL$2,Valores!$H$2:$P$154,8,0)</f>
        <v>0</v>
      </c>
      <c r="AM99" s="27" t="n">
        <f aca="false">SUMIF($C$2:$F$2,EOMONTH(AM$2,-1)+1,$C99:$F99)*VLOOKUP(AM$2,Valores!$H$2:$P$154,8,0)</f>
        <v>0</v>
      </c>
      <c r="AN99" s="27" t="n">
        <f aca="false">SUMIF($C$2:$F$2,EOMONTH(AN$2,-1)+1,$C99:$F99)*VLOOKUP(AN$2,Valores!$H$2:$P$154,8,0)</f>
        <v>0</v>
      </c>
      <c r="AO99" s="27" t="n">
        <f aca="false">SUMIF($C$2:$F$2,EOMONTH(AO$2,-1)+1,$C99:$F99)*VLOOKUP(AO$2,Valores!$H$2:$P$154,8,0)</f>
        <v>0</v>
      </c>
      <c r="AP99" s="27" t="n">
        <f aca="false">SUMIF($C$2:$F$2,EOMONTH(AP$2,-1)+1,$C99:$F99)*VLOOKUP(AP$2,Valores!$H$2:$P$154,8,0)</f>
        <v>0</v>
      </c>
      <c r="AQ99" s="27" t="n">
        <f aca="false">SUMIF($C$2:$F$2,EOMONTH(AQ$2,-1)+1,$C99:$F99)*VLOOKUP(AQ$2,Valores!$H$2:$P$154,8,0)</f>
        <v>0</v>
      </c>
      <c r="AR99" s="27" t="n">
        <f aca="false">SUMIF($C$2:$F$2,EOMONTH(AR$2,-1)+1,$C99:$F99)*VLOOKUP(AR$2,Valores!$H$2:$P$154,8,0)</f>
        <v>0</v>
      </c>
      <c r="AS99" s="27" t="n">
        <f aca="false">SUMIF($C$2:$F$2,EOMONTH(AS$2,-1)+1,$C99:$F99)*VLOOKUP(AS$2,Valores!$H$2:$P$154,8,0)</f>
        <v>0</v>
      </c>
      <c r="AT99" s="27" t="n">
        <f aca="false">SUMIF($C$2:$F$2,EOMONTH(AT$2,-1)+1,$C99:$F99)*VLOOKUP(AT$2,Valores!$H$2:$P$154,8,0)</f>
        <v>0</v>
      </c>
      <c r="AU99" s="27" t="n">
        <f aca="false">SUMIF($C$2:$F$2,EOMONTH(AU$2,-1)+1,$C99:$F99)*VLOOKUP(AU$2,Valores!$H$2:$P$154,8,0)</f>
        <v>0</v>
      </c>
      <c r="AV99" s="27" t="n">
        <f aca="false">SUMIF($C$2:$F$2,EOMONTH(AV$2,-1)+1,$C99:$F99)*VLOOKUP(AV$2,Valores!$H$2:$P$154,8,0)</f>
        <v>0</v>
      </c>
      <c r="AW99" s="27" t="n">
        <f aca="false">SUMIF($C$2:$F$2,EOMONTH(AW$2,-1)+1,$C99:$F99)*VLOOKUP(AW$2,Valores!$H$2:$P$154,8,0)</f>
        <v>0</v>
      </c>
      <c r="AX99" s="27" t="n">
        <f aca="false">SUMIF($C$2:$F$2,EOMONTH(AX$2,-1)+1,$C99:$F99)*VLOOKUP(AX$2,Valores!$H$2:$P$154,8,0)</f>
        <v>0</v>
      </c>
      <c r="AY99" s="27" t="n">
        <f aca="false">SUMIF($C$2:$F$2,EOMONTH(AY$2,-1)+1,$C99:$F99)*VLOOKUP(AY$2,Valores!$H$2:$P$154,8,0)</f>
        <v>0</v>
      </c>
      <c r="AZ99" s="27" t="n">
        <f aca="false">SUMIF($C$2:$F$2,EOMONTH(AZ$2,-1)+1,$C99:$F99)*VLOOKUP(AZ$2,Valores!$H$2:$P$154,8,0)</f>
        <v>0</v>
      </c>
      <c r="BA99" s="27" t="n">
        <f aca="false">SUMIF($C$2:$F$2,EOMONTH(BA$2,-1)+1,$C99:$F99)*VLOOKUP(BA$2,Valores!$H$2:$P$154,8,0)</f>
        <v>0</v>
      </c>
      <c r="BB99" s="27" t="n">
        <f aca="false">SUMIF($C$2:$F$2,EOMONTH(BB$2,-1)+1,$C99:$F99)*VLOOKUP(BB$2,Valores!$H$2:$P$154,8,0)</f>
        <v>0</v>
      </c>
      <c r="BC99" s="27" t="n">
        <f aca="false">SUMIF($C$2:$F$2,EOMONTH(BC$2,-1)+1,$C99:$F99)*VLOOKUP(BC$2,Valores!$H$2:$P$154,8,0)</f>
        <v>0</v>
      </c>
      <c r="BD99" s="27" t="n">
        <f aca="false">SUMIF($C$2:$F$2,EOMONTH(BD$2,-1)+1,$C99:$F99)*VLOOKUP(BD$2,Valores!$H$2:$P$154,8,0)</f>
        <v>0</v>
      </c>
      <c r="BE99" s="27" t="n">
        <f aca="false">SUMIF($C$2:$F$2,EOMONTH(BE$2,-1)+1,$C99:$F99)*VLOOKUP(BE$2,Valores!$H$2:$P$154,8,0)</f>
        <v>0</v>
      </c>
      <c r="BF99" s="27" t="n">
        <f aca="false">SUMIF($C$2:$F$2,EOMONTH(BF$2,-1)+1,$C99:$F99)*VLOOKUP(BF$2,Valores!$H$2:$P$154,8,0)</f>
        <v>0</v>
      </c>
      <c r="BG99" s="27" t="n">
        <f aca="false">SUMIF($C$2:$F$2,EOMONTH(BG$2,-1)+1,$C99:$F99)*VLOOKUP(BG$2,Valores!$H$2:$P$154,8,0)</f>
        <v>0</v>
      </c>
      <c r="BH99" s="27" t="n">
        <f aca="false">SUMIF($C$2:$F$2,EOMONTH(BH$2,-1)+1,$C99:$F99)*VLOOKUP(BH$2,Valores!$H$2:$P$154,8,0)</f>
        <v>0</v>
      </c>
      <c r="BI99" s="27" t="n">
        <f aca="false">SUMIF($C$2:$F$2,EOMONTH(BI$2,-1)+1,$C99:$F99)*VLOOKUP(BI$2,Valores!$H$2:$P$154,8,0)</f>
        <v>0</v>
      </c>
      <c r="BJ99" s="27" t="n">
        <f aca="false">SUMIF($C$2:$F$2,EOMONTH(BJ$2,-1)+1,$C99:$F99)*VLOOKUP(BJ$2,Valores!$H$2:$P$154,8,0)</f>
        <v>0</v>
      </c>
      <c r="BK99" s="27" t="n">
        <f aca="false">SUMIF($C$2:$F$2,EOMONTH(BK$2,-1)+1,$C99:$F99)*VLOOKUP(BK$2,Valores!$H$2:$P$154,8,0)</f>
        <v>0</v>
      </c>
      <c r="BL99" s="27" t="n">
        <f aca="false">SUMIF($C$2:$F$2,EOMONTH(BL$2,-1)+1,$C99:$F99)*VLOOKUP(BL$2,Valores!$H$2:$P$154,8,0)</f>
        <v>0</v>
      </c>
      <c r="BM99" s="27" t="n">
        <f aca="false">SUMIF($C$2:$F$2,EOMONTH(BM$2,-1)+1,$C99:$F99)*VLOOKUP(BM$2,Valores!$H$2:$P$154,8,0)</f>
        <v>0</v>
      </c>
      <c r="BN99" s="27" t="n">
        <f aca="false">SUMIF($C$2:$F$2,EOMONTH(BN$2,-1)+1,$C99:$F99)*VLOOKUP(BN$2,Valores!$H$2:$P$154,8,0)</f>
        <v>0</v>
      </c>
      <c r="BO99" s="27" t="n">
        <f aca="false">SUMIF($C$2:$F$2,EOMONTH(BO$2,-1)+1,$C99:$F99)*VLOOKUP(BO$2,Valores!$H$2:$P$154,8,0)</f>
        <v>0</v>
      </c>
      <c r="BP99" s="27" t="n">
        <f aca="false">SUMIF($C$2:$F$2,EOMONTH(BP$2,-1)+1,$C99:$F99)*VLOOKUP(BP$2,Valores!$H$2:$P$154,8,0)</f>
        <v>0</v>
      </c>
      <c r="BQ99" s="27" t="n">
        <f aca="false">SUMIF($C$2:$F$2,EOMONTH(BQ$2,-1)+1,$C99:$F99)*VLOOKUP(BQ$2,Valores!$H$2:$P$154,8,0)</f>
        <v>0</v>
      </c>
      <c r="BR99" s="27" t="n">
        <f aca="false">SUMIF($C$2:$F$2,EOMONTH(BR$2,-1)+1,$C99:$F99)*VLOOKUP(BR$2,Valores!$H$2:$P$154,8,0)</f>
        <v>0</v>
      </c>
      <c r="BS99" s="27" t="n">
        <f aca="false">SUMIF($C$2:$F$2,EOMONTH(BS$2,-1)+1,$C99:$F99)*VLOOKUP(BS$2,Valores!$H$2:$P$154,8,0)</f>
        <v>0</v>
      </c>
      <c r="BT99" s="27" t="n">
        <f aca="false">SUMIF($C$2:$F$2,EOMONTH(BT$2,-1)+1,$C99:$F99)*VLOOKUP(BT$2,Valores!$H$2:$P$154,8,0)</f>
        <v>0</v>
      </c>
      <c r="BU99" s="27" t="n">
        <f aca="false">SUMIF($C$2:$F$2,EOMONTH(BU$2,-1)+1,$C99:$F99)*VLOOKUP(BU$2,Valores!$H$2:$P$154,8,0)</f>
        <v>0</v>
      </c>
      <c r="BV99" s="27" t="n">
        <f aca="false">SUMIF($C$2:$F$2,EOMONTH(BV$2,-1)+1,$C99:$F99)*VLOOKUP(BV$2,Valores!$H$2:$P$154,8,0)</f>
        <v>0</v>
      </c>
      <c r="BW99" s="27" t="n">
        <f aca="false">SUMIF($C$2:$F$2,EOMONTH(BW$2,-1)+1,$C99:$F99)*VLOOKUP(BW$2,Valores!$H$2:$P$154,8,0)</f>
        <v>0</v>
      </c>
      <c r="BX99" s="27" t="n">
        <f aca="false">SUMIF($C$2:$F$2,EOMONTH(BX$2,-1)+1,$C99:$F99)*VLOOKUP(BX$2,Valores!$H$2:$P$154,8,0)</f>
        <v>0</v>
      </c>
      <c r="BY99" s="27" t="n">
        <f aca="false">SUMIF($C$2:$F$2,EOMONTH(BY$2,-1)+1,$C99:$F99)*VLOOKUP(BY$2,Valores!$H$2:$P$154,8,0)</f>
        <v>0</v>
      </c>
      <c r="BZ99" s="27" t="n">
        <f aca="false">SUMIF($C$2:$F$2,EOMONTH(BZ$2,-1)+1,$C99:$F99)*VLOOKUP(BZ$2,Valores!$H$2:$P$154,8,0)</f>
        <v>0</v>
      </c>
      <c r="CA99" s="27" t="n">
        <f aca="false">SUMIF($C$2:$F$2,EOMONTH(CA$2,-1)+1,$C99:$F99)*VLOOKUP(CA$2,Valores!$H$2:$P$154,8,0)</f>
        <v>0</v>
      </c>
      <c r="CB99" s="27" t="n">
        <f aca="false">SUMIF($C$2:$F$2,EOMONTH(CB$2,-1)+1,$C99:$F99)*VLOOKUP(CB$2,Valores!$H$2:$P$154,8,0)</f>
        <v>0</v>
      </c>
      <c r="CC99" s="27" t="n">
        <f aca="false">SUMIF($C$2:$F$2,EOMONTH(CC$2,-1)+1,$C99:$F99)*VLOOKUP(CC$2,Valores!$H$2:$P$154,8,0)</f>
        <v>0</v>
      </c>
      <c r="CD99" s="27" t="n">
        <f aca="false">SUMIF($C$2:$F$2,EOMONTH(CD$2,-1)+1,$C99:$F99)*VLOOKUP(CD$2,Valores!$H$2:$P$154,8,0)</f>
        <v>0</v>
      </c>
      <c r="CE99" s="27" t="n">
        <f aca="false">SUMIF($C$2:$F$2,EOMONTH(CE$2,-1)+1,$C99:$F99)*VLOOKUP(CE$2,Valores!$H$2:$P$154,8,0)</f>
        <v>0</v>
      </c>
      <c r="CF99" s="27" t="n">
        <f aca="false">SUMIF($C$2:$F$2,EOMONTH(CF$2,-1)+1,$C99:$F99)*VLOOKUP(CF$2,Valores!$H$2:$P$154,8,0)</f>
        <v>0</v>
      </c>
      <c r="CG99" s="27" t="n">
        <f aca="false">SUMIF($C$2:$F$2,EOMONTH(CG$2,-1)+1,$C99:$F99)*VLOOKUP(CG$2,Valores!$H$2:$P$154,8,0)</f>
        <v>0</v>
      </c>
      <c r="CH99" s="27" t="n">
        <f aca="false">SUMIF($C$2:$F$2,EOMONTH(CH$2,-1)+1,$C99:$F99)*VLOOKUP(CH$2,Valores!$H$2:$P$154,8,0)</f>
        <v>0</v>
      </c>
      <c r="CI99" s="27" t="n">
        <f aca="false">SUMIF($C$2:$F$2,EOMONTH(CI$2,-1)+1,$C99:$F99)*VLOOKUP(CI$2,Valores!$H$2:$P$154,8,0)</f>
        <v>0</v>
      </c>
      <c r="CJ99" s="27" t="n">
        <f aca="false">SUMIF($C$2:$F$2,EOMONTH(CJ$2,-1)+1,$C99:$F99)*VLOOKUP(CJ$2,Valores!$H$2:$P$154,8,0)</f>
        <v>0</v>
      </c>
      <c r="CK99" s="27" t="n">
        <f aca="false">SUMIF($C$2:$F$2,EOMONTH(CK$2,-1)+1,$C99:$F99)*VLOOKUP(CK$2,Valores!$H$2:$P$154,8,0)</f>
        <v>0</v>
      </c>
      <c r="CL99" s="27" t="n">
        <f aca="false">SUMIF($C$2:$F$2,EOMONTH(CL$2,-1)+1,$C99:$F99)*VLOOKUP(CL$2,Valores!$H$2:$P$154,8,0)</f>
        <v>0</v>
      </c>
      <c r="CM99" s="27" t="n">
        <f aca="false">SUMIF($C$2:$F$2,EOMONTH(CM$2,-1)+1,$C99:$F99)*VLOOKUP(CM$2,Valores!$H$2:$P$154,8,0)</f>
        <v>0</v>
      </c>
      <c r="CN99" s="27" t="n">
        <f aca="false">SUMIF($C$2:$F$2,EOMONTH(CN$2,-1)+1,$C99:$F99)*VLOOKUP(CN$2,Valores!$H$2:$P$154,8,0)</f>
        <v>0</v>
      </c>
      <c r="CO99" s="27" t="n">
        <f aca="false">SUMIF($C$2:$F$2,EOMONTH(CO$2,-1)+1,$C99:$F99)*VLOOKUP(CO$2,Valores!$H$2:$P$154,8,0)</f>
        <v>0</v>
      </c>
      <c r="CP99" s="27" t="n">
        <f aca="false">SUMIF($C$2:$F$2,EOMONTH(CP$2,-1)+1,$C99:$F99)*VLOOKUP(CP$2,Valores!$H$2:$P$154,8,0)</f>
        <v>0</v>
      </c>
      <c r="CQ99" s="27" t="n">
        <f aca="false">SUMIF($C$2:$F$2,EOMONTH(CQ$2,-1)+1,$C99:$F99)*VLOOKUP(CQ$2,Valores!$H$2:$P$154,8,0)</f>
        <v>0</v>
      </c>
      <c r="CR99" s="27" t="n">
        <f aca="false">SUMIF($C$2:$F$2,EOMONTH(CR$2,-1)+1,$C99:$F99)*VLOOKUP(CR$2,Valores!$H$2:$P$154,8,0)</f>
        <v>0</v>
      </c>
      <c r="CS99" s="27" t="n">
        <f aca="false">SUMIF($C$2:$F$2,EOMONTH(CS$2,-1)+1,$C99:$F99)*VLOOKUP(CS$2,Valores!$H$2:$P$154,8,0)</f>
        <v>0</v>
      </c>
      <c r="CT99" s="27" t="e">
        <f aca="false">SUMIF($C$2:$F$2,EOMONTH(CT$2,-1)+1,$C99:$F99)*VLOOKUP(CT$2,Valores!$H$2:$P$154,8,0)</f>
        <v>#VALUE!</v>
      </c>
      <c r="CU99" s="27" t="e">
        <f aca="false">SUMIF($C$2:$F$2,EOMONTH(CU$2,-1)+1,$C99:$F99)*VLOOKUP(CU$2,Valores!$H$2:$P$154,8,0)</f>
        <v>#VALUE!</v>
      </c>
      <c r="CV99" s="27" t="e">
        <f aca="false">SUMIF($C$2:$F$2,EOMONTH(CV$2,-1)+1,$C99:$F99)*VLOOKUP(CV$2,Valores!$H$2:$P$154,8,0)</f>
        <v>#VALUE!</v>
      </c>
      <c r="CW99" s="27" t="e">
        <f aca="false">SUMIF($C$2:$F$2,EOMONTH(CW$2,-1)+1,$C99:$F99)*VLOOKUP(CW$2,Valores!$H$2:$P$154,8,0)</f>
        <v>#VALUE!</v>
      </c>
      <c r="CX99" s="27" t="e">
        <f aca="false">SUMIF($C$2:$F$2,EOMONTH(CX$2,-1)+1,$C99:$F99)*VLOOKUP(CX$2,Valores!$H$2:$P$154,8,0)</f>
        <v>#VALUE!</v>
      </c>
      <c r="CY99" s="27" t="e">
        <f aca="false">SUMIF($C$2:$F$2,EOMONTH(CY$2,-1)+1,$C99:$F99)*VLOOKUP(CY$2,Valores!$H$2:$P$154,8,0)</f>
        <v>#VALUE!</v>
      </c>
      <c r="CZ99" s="27" t="e">
        <f aca="false">SUMIF($C$2:$F$2,EOMONTH(CZ$2,-1)+1,$C99:$F99)*VLOOKUP(CZ$2,Valores!$H$2:$P$154,8,0)</f>
        <v>#VALUE!</v>
      </c>
      <c r="DA99" s="27" t="e">
        <f aca="false">SUMIF($C$2:$F$2,EOMONTH(DA$2,-1)+1,$C99:$F99)*VLOOKUP(DA$2,Valores!$H$2:$P$154,8,0)</f>
        <v>#VALUE!</v>
      </c>
      <c r="DB99" s="27" t="e">
        <f aca="false">SUMIF($C$2:$F$2,EOMONTH(DB$2,-1)+1,$C99:$F99)*VLOOKUP(DB$2,Valores!$H$2:$P$154,8,0)</f>
        <v>#VALUE!</v>
      </c>
      <c r="DC99" s="27" t="e">
        <f aca="false">SUMIF($C$2:$F$2,EOMONTH(DC$2,-1)+1,$C99:$F99)*VLOOKUP(DC$2,Valores!$H$2:$P$154,8,0)</f>
        <v>#VALUE!</v>
      </c>
      <c r="DD99" s="27" t="e">
        <f aca="false">SUMIF($C$2:$F$2,EOMONTH(DD$2,-1)+1,$C99:$F99)*VLOOKUP(DD$2,Valores!$H$2:$P$154,8,0)</f>
        <v>#VALUE!</v>
      </c>
      <c r="DE99" s="27" t="e">
        <f aca="false">SUMIF($C$2:$F$2,EOMONTH(DE$2,-1)+1,$C99:$F99)*VLOOKUP(DE$2,Valores!$H$2:$P$154,8,0)</f>
        <v>#VALUE!</v>
      </c>
      <c r="DF99" s="27" t="e">
        <f aca="false">SUMIF($C$2:$F$2,EOMONTH(DF$2,-1)+1,$C99:$F99)*VLOOKUP(DF$2,Valores!$H$2:$P$154,8,0)</f>
        <v>#VALUE!</v>
      </c>
      <c r="DG99" s="27" t="e">
        <f aca="false">SUMIF($C$2:$F$2,EOMONTH(DG$2,-1)+1,$C99:$F99)*VLOOKUP(DG$2,Valores!$H$2:$P$154,8,0)</f>
        <v>#VALUE!</v>
      </c>
      <c r="DH99" s="27" t="e">
        <f aca="false">SUMIF($C$2:$F$2,EOMONTH(DH$2,-1)+1,$C99:$F99)*VLOOKUP(DH$2,Valores!$H$2:$P$154,8,0)</f>
        <v>#VALUE!</v>
      </c>
      <c r="DI99" s="27" t="e">
        <f aca="false">SUMIF($C$2:$F$2,EOMONTH(DI$2,-1)+1,$C99:$F99)*VLOOKUP(DI$2,Valores!$H$2:$P$154,8,0)</f>
        <v>#VALUE!</v>
      </c>
      <c r="DJ99" s="27" t="e">
        <f aca="false">SUMIF($C$2:$F$2,EOMONTH(DJ$2,-1)+1,$C99:$F99)*VLOOKUP(DJ$2,Valores!$H$2:$P$154,8,0)</f>
        <v>#VALUE!</v>
      </c>
      <c r="DK99" s="27" t="e">
        <f aca="false">SUMIF($C$2:$F$2,EOMONTH(DK$2,-1)+1,$C99:$F99)*VLOOKUP(DK$2,Valores!$H$2:$P$154,8,0)</f>
        <v>#VALUE!</v>
      </c>
      <c r="DL99" s="27" t="e">
        <f aca="false">SUMIF($C$2:$F$2,EOMONTH(DL$2,-1)+1,$C99:$F99)*VLOOKUP(DL$2,Valores!$H$2:$P$154,8,0)</f>
        <v>#VALUE!</v>
      </c>
      <c r="DM99" s="27" t="e">
        <f aca="false">SUMIF($C$2:$F$2,EOMONTH(DM$2,-1)+1,$C99:$F99)*VLOOKUP(DM$2,Valores!$H$2:$P$154,8,0)</f>
        <v>#VALUE!</v>
      </c>
      <c r="DN99" s="27" t="e">
        <f aca="false">SUMIF($C$2:$F$2,EOMONTH(DN$2,-1)+1,$C99:$F99)*VLOOKUP(DN$2,Valores!$H$2:$P$154,8,0)</f>
        <v>#VALUE!</v>
      </c>
      <c r="DO99" s="27" t="e">
        <f aca="false">SUMIF($C$2:$F$2,EOMONTH(DO$2,-1)+1,$C99:$F99)*VLOOKUP(DO$2,Valores!$H$2:$P$154,8,0)</f>
        <v>#VALUE!</v>
      </c>
      <c r="DP99" s="27" t="e">
        <f aca="false">SUMIF($C$2:$F$2,EOMONTH(DP$2,-1)+1,$C99:$F99)*VLOOKUP(DP$2,Valores!$H$2:$P$154,8,0)</f>
        <v>#VALUE!</v>
      </c>
      <c r="DQ99" s="27" t="e">
        <f aca="false">SUMIF($C$2:$F$2,EOMONTH(DQ$2,-1)+1,$C99:$F99)*VLOOKUP(DQ$2,Valores!$H$2:$P$154,8,0)</f>
        <v>#VALUE!</v>
      </c>
      <c r="DR99" s="27" t="e">
        <f aca="false">SUMIF($C$2:$F$2,EOMONTH(DR$2,-1)+1,$C99:$F99)*VLOOKUP(DR$2,Valores!$H$2:$P$154,8,0)</f>
        <v>#VALUE!</v>
      </c>
      <c r="DS99" s="27" t="e">
        <f aca="false">SUMIF($C$2:$F$2,EOMONTH(DS$2,-1)+1,$C99:$F99)*VLOOKUP(DS$2,Valores!$H$2:$P$154,8,0)</f>
        <v>#VALUE!</v>
      </c>
      <c r="DT99" s="27" t="e">
        <f aca="false">SUMIF($C$2:$F$2,EOMONTH(DT$2,-1)+1,$C99:$F99)*VLOOKUP(DT$2,Valores!$H$2:$P$154,8,0)</f>
        <v>#VALUE!</v>
      </c>
      <c r="DU99" s="27" t="e">
        <f aca="false">SUMIF($C$2:$F$2,EOMONTH(DU$2,-1)+1,$C99:$F99)*VLOOKUP(DU$2,Valores!$H$2:$P$154,8,0)</f>
        <v>#VALUE!</v>
      </c>
      <c r="DV99" s="27" t="e">
        <f aca="false">SUMIF($C$2:$F$2,EOMONTH(DV$2,-1)+1,$C99:$F99)*VLOOKUP(DV$2,Valores!$H$2:$P$154,8,0)</f>
        <v>#VALUE!</v>
      </c>
      <c r="DW99" s="27" t="e">
        <f aca="false">SUMIF($C$2:$F$2,EOMONTH(DW$2,-1)+1,$C99:$F99)*VLOOKUP(DW$2,Valores!$H$2:$P$154,8,0)</f>
        <v>#VALUE!</v>
      </c>
      <c r="DX99" s="27" t="e">
        <f aca="false">SUMIF($C$2:$F$2,EOMONTH(DX$2,-1)+1,$C99:$F99)*VLOOKUP(DX$2,Valores!$H$2:$P$154,8,0)</f>
        <v>#VALUE!</v>
      </c>
    </row>
    <row r="100" customFormat="false" ht="13.8" hidden="false" customHeight="false" outlineLevel="0" collapsed="false">
      <c r="A100" s="29"/>
      <c r="B100" s="29"/>
      <c r="C100" s="29"/>
      <c r="D100" s="29"/>
      <c r="E100" s="29"/>
      <c r="F100" s="29"/>
      <c r="G100" s="30" t="n">
        <f aca="false">SUMIF($C$2:$F$2,EOMONTH(G$2,-1)+1,$C100:$F100)*VLOOKUP(G$2,Valores!$H$2:$P$154,8,0)</f>
        <v>0</v>
      </c>
      <c r="H100" s="30" t="n">
        <f aca="false">SUMIF($C$2:$F$2,EOMONTH(H$2,-1)+1,$C100:$F100)*VLOOKUP(H$2,Valores!$H$2:$P$154,8,0)</f>
        <v>0</v>
      </c>
      <c r="I100" s="30" t="n">
        <f aca="false">SUMIF($C$2:$F$2,EOMONTH(I$2,-1)+1,$C100:$F100)*VLOOKUP(I$2,Valores!$H$2:$P$154,8,0)</f>
        <v>0</v>
      </c>
      <c r="J100" s="30" t="n">
        <f aca="false">SUMIF($C$2:$F$2,EOMONTH(J$2,-1)+1,$C100:$F100)*VLOOKUP(J$2,Valores!$H$2:$P$154,8,0)</f>
        <v>0</v>
      </c>
      <c r="K100" s="30" t="n">
        <f aca="false">SUMIF($C$2:$F$2,EOMONTH(K$2,-1)+1,$C100:$F100)*VLOOKUP(K$2,Valores!$H$2:$P$154,8,0)</f>
        <v>0</v>
      </c>
      <c r="L100" s="30" t="n">
        <f aca="false">SUMIF($C$2:$F$2,EOMONTH(L$2,-1)+1,$C100:$F100)*VLOOKUP(L$2,Valores!$H$2:$P$154,8,0)</f>
        <v>0</v>
      </c>
      <c r="M100" s="30" t="n">
        <f aca="false">SUMIF($C$2:$F$2,EOMONTH(M$2,-1)+1,$C100:$F100)*VLOOKUP(M$2,Valores!$H$2:$P$154,8,0)</f>
        <v>0</v>
      </c>
      <c r="N100" s="30" t="n">
        <f aca="false">SUMIF($C$2:$F$2,EOMONTH(N$2,-1)+1,$C100:$F100)*VLOOKUP(N$2,Valores!$H$2:$P$154,8,0)</f>
        <v>0</v>
      </c>
      <c r="O100" s="30" t="n">
        <f aca="false">SUMIF($C$2:$F$2,EOMONTH(O$2,-1)+1,$C100:$F100)*VLOOKUP(O$2,Valores!$H$2:$P$154,8,0)</f>
        <v>0</v>
      </c>
      <c r="P100" s="30" t="n">
        <f aca="false">SUMIF($C$2:$F$2,EOMONTH(P$2,-1)+1,$C100:$F100)*VLOOKUP(P$2,Valores!$H$2:$P$154,8,0)</f>
        <v>0</v>
      </c>
      <c r="Q100" s="30" t="n">
        <f aca="false">SUMIF($C$2:$F$2,EOMONTH(Q$2,-1)+1,$C100:$F100)*VLOOKUP(Q$2,Valores!$H$2:$P$154,8,0)</f>
        <v>0</v>
      </c>
      <c r="R100" s="30" t="n">
        <f aca="false">SUMIF($C$2:$F$2,EOMONTH(R$2,-1)+1,$C100:$F100)*VLOOKUP(R$2,Valores!$H$2:$P$154,8,0)</f>
        <v>0</v>
      </c>
      <c r="S100" s="30" t="n">
        <f aca="false">SUMIF($C$2:$F$2,EOMONTH(S$2,-1)+1,$C100:$F100)*VLOOKUP(S$2,Valores!$H$2:$P$154,8,0)</f>
        <v>0</v>
      </c>
      <c r="T100" s="30" t="n">
        <f aca="false">SUMIF($C$2:$F$2,EOMONTH(T$2,-1)+1,$C100:$F100)*VLOOKUP(T$2,Valores!$H$2:$P$154,8,0)</f>
        <v>0</v>
      </c>
      <c r="U100" s="30" t="n">
        <f aca="false">SUMIF($C$2:$F$2,EOMONTH(U$2,-1)+1,$C100:$F100)*VLOOKUP(U$2,Valores!$H$2:$P$154,8,0)</f>
        <v>0</v>
      </c>
      <c r="V100" s="30" t="n">
        <f aca="false">SUMIF($C$2:$F$2,EOMONTH(V$2,-1)+1,$C100:$F100)*VLOOKUP(V$2,Valores!$H$2:$P$154,8,0)</f>
        <v>0</v>
      </c>
      <c r="W100" s="30" t="n">
        <f aca="false">SUMIF($C$2:$F$2,EOMONTH(W$2,-1)+1,$C100:$F100)*VLOOKUP(W$2,Valores!$H$2:$P$154,8,0)</f>
        <v>0</v>
      </c>
      <c r="X100" s="30" t="n">
        <f aca="false">SUMIF($C$2:$F$2,EOMONTH(X$2,-1)+1,$C100:$F100)*VLOOKUP(X$2,Valores!$H$2:$P$154,8,0)</f>
        <v>0</v>
      </c>
      <c r="Y100" s="30" t="n">
        <f aca="false">SUMIF($C$2:$F$2,EOMONTH(Y$2,-1)+1,$C100:$F100)*VLOOKUP(Y$2,Valores!$H$2:$P$154,8,0)</f>
        <v>0</v>
      </c>
      <c r="Z100" s="30" t="n">
        <f aca="false">SUMIF($C$2:$F$2,EOMONTH(Z$2,-1)+1,$C100:$F100)*VLOOKUP(Z$2,Valores!$H$2:$P$154,8,0)</f>
        <v>0</v>
      </c>
      <c r="AA100" s="30" t="n">
        <f aca="false">SUMIF($C$2:$F$2,EOMONTH(AA$2,-1)+1,$C100:$F100)*VLOOKUP(AA$2,Valores!$H$2:$P$154,8,0)</f>
        <v>0</v>
      </c>
      <c r="AB100" s="30" t="n">
        <f aca="false">SUMIF($C$2:$F$2,EOMONTH(AB$2,-1)+1,$C100:$F100)*VLOOKUP(AB$2,Valores!$H$2:$P$154,8,0)</f>
        <v>0</v>
      </c>
      <c r="AC100" s="30" t="n">
        <f aca="false">SUMIF($C$2:$F$2,EOMONTH(AC$2,-1)+1,$C100:$F100)*VLOOKUP(AC$2,Valores!$H$2:$P$154,8,0)</f>
        <v>0</v>
      </c>
      <c r="AD100" s="30" t="n">
        <f aca="false">SUMIF($C$2:$F$2,EOMONTH(AD$2,-1)+1,$C100:$F100)*VLOOKUP(AD$2,Valores!$H$2:$P$154,8,0)</f>
        <v>0</v>
      </c>
      <c r="AE100" s="30" t="n">
        <f aca="false">SUMIF($C$2:$F$2,EOMONTH(AE$2,-1)+1,$C100:$F100)*VLOOKUP(AE$2,Valores!$H$2:$P$154,8,0)</f>
        <v>0</v>
      </c>
      <c r="AF100" s="30" t="n">
        <f aca="false">SUMIF($C$2:$F$2,EOMONTH(AF$2,-1)+1,$C100:$F100)*VLOOKUP(AF$2,Valores!$H$2:$P$154,8,0)</f>
        <v>0</v>
      </c>
      <c r="AG100" s="30" t="n">
        <f aca="false">SUMIF($C$2:$F$2,EOMONTH(AG$2,-1)+1,$C100:$F100)*VLOOKUP(AG$2,Valores!$H$2:$P$154,8,0)</f>
        <v>0</v>
      </c>
      <c r="AH100" s="30" t="n">
        <f aca="false">SUMIF($C$2:$F$2,EOMONTH(AH$2,-1)+1,$C100:$F100)*VLOOKUP(AH$2,Valores!$H$2:$P$154,8,0)</f>
        <v>0</v>
      </c>
      <c r="AI100" s="30" t="n">
        <f aca="false">SUMIF($C$2:$F$2,EOMONTH(AI$2,-1)+1,$C100:$F100)*VLOOKUP(AI$2,Valores!$H$2:$P$154,8,0)</f>
        <v>0</v>
      </c>
      <c r="AJ100" s="30" t="n">
        <f aca="false">SUMIF($C$2:$F$2,EOMONTH(AJ$2,-1)+1,$C100:$F100)*VLOOKUP(AJ$2,Valores!$H$2:$P$154,8,0)</f>
        <v>0</v>
      </c>
      <c r="AK100" s="30" t="n">
        <f aca="false">SUMIF($C$2:$F$2,EOMONTH(AK$2,-1)+1,$C100:$F100)*VLOOKUP(AK$2,Valores!$H$2:$P$154,8,0)</f>
        <v>0</v>
      </c>
      <c r="AL100" s="30" t="n">
        <f aca="false">SUMIF($C$2:$F$2,EOMONTH(AL$2,-1)+1,$C100:$F100)*VLOOKUP(AL$2,Valores!$H$2:$P$154,8,0)</f>
        <v>0</v>
      </c>
      <c r="AM100" s="30" t="n">
        <f aca="false">SUMIF($C$2:$F$2,EOMONTH(AM$2,-1)+1,$C100:$F100)*VLOOKUP(AM$2,Valores!$H$2:$P$154,8,0)</f>
        <v>0</v>
      </c>
      <c r="AN100" s="30" t="n">
        <f aca="false">SUMIF($C$2:$F$2,EOMONTH(AN$2,-1)+1,$C100:$F100)*VLOOKUP(AN$2,Valores!$H$2:$P$154,8,0)</f>
        <v>0</v>
      </c>
      <c r="AO100" s="30" t="n">
        <f aca="false">SUMIF($C$2:$F$2,EOMONTH(AO$2,-1)+1,$C100:$F100)*VLOOKUP(AO$2,Valores!$H$2:$P$154,8,0)</f>
        <v>0</v>
      </c>
      <c r="AP100" s="30" t="n">
        <f aca="false">SUMIF($C$2:$F$2,EOMONTH(AP$2,-1)+1,$C100:$F100)*VLOOKUP(AP$2,Valores!$H$2:$P$154,8,0)</f>
        <v>0</v>
      </c>
      <c r="AQ100" s="30" t="n">
        <f aca="false">SUMIF($C$2:$F$2,EOMONTH(AQ$2,-1)+1,$C100:$F100)*VLOOKUP(AQ$2,Valores!$H$2:$P$154,8,0)</f>
        <v>0</v>
      </c>
      <c r="AR100" s="30" t="n">
        <f aca="false">SUMIF($C$2:$F$2,EOMONTH(AR$2,-1)+1,$C100:$F100)*VLOOKUP(AR$2,Valores!$H$2:$P$154,8,0)</f>
        <v>0</v>
      </c>
      <c r="AS100" s="30" t="n">
        <f aca="false">SUMIF($C$2:$F$2,EOMONTH(AS$2,-1)+1,$C100:$F100)*VLOOKUP(AS$2,Valores!$H$2:$P$154,8,0)</f>
        <v>0</v>
      </c>
      <c r="AT100" s="30" t="n">
        <f aca="false">SUMIF($C$2:$F$2,EOMONTH(AT$2,-1)+1,$C100:$F100)*VLOOKUP(AT$2,Valores!$H$2:$P$154,8,0)</f>
        <v>0</v>
      </c>
      <c r="AU100" s="30" t="n">
        <f aca="false">SUMIF($C$2:$F$2,EOMONTH(AU$2,-1)+1,$C100:$F100)*VLOOKUP(AU$2,Valores!$H$2:$P$154,8,0)</f>
        <v>0</v>
      </c>
      <c r="AV100" s="30" t="n">
        <f aca="false">SUMIF($C$2:$F$2,EOMONTH(AV$2,-1)+1,$C100:$F100)*VLOOKUP(AV$2,Valores!$H$2:$P$154,8,0)</f>
        <v>0</v>
      </c>
      <c r="AW100" s="30" t="n">
        <f aca="false">SUMIF($C$2:$F$2,EOMONTH(AW$2,-1)+1,$C100:$F100)*VLOOKUP(AW$2,Valores!$H$2:$P$154,8,0)</f>
        <v>0</v>
      </c>
      <c r="AX100" s="30" t="n">
        <f aca="false">SUMIF($C$2:$F$2,EOMONTH(AX$2,-1)+1,$C100:$F100)*VLOOKUP(AX$2,Valores!$H$2:$P$154,8,0)</f>
        <v>0</v>
      </c>
      <c r="AY100" s="30" t="n">
        <f aca="false">SUMIF($C$2:$F$2,EOMONTH(AY$2,-1)+1,$C100:$F100)*VLOOKUP(AY$2,Valores!$H$2:$P$154,8,0)</f>
        <v>0</v>
      </c>
      <c r="AZ100" s="30" t="n">
        <f aca="false">SUMIF($C$2:$F$2,EOMONTH(AZ$2,-1)+1,$C100:$F100)*VLOOKUP(AZ$2,Valores!$H$2:$P$154,8,0)</f>
        <v>0</v>
      </c>
      <c r="BA100" s="30" t="n">
        <f aca="false">SUMIF($C$2:$F$2,EOMONTH(BA$2,-1)+1,$C100:$F100)*VLOOKUP(BA$2,Valores!$H$2:$P$154,8,0)</f>
        <v>0</v>
      </c>
      <c r="BB100" s="30" t="n">
        <f aca="false">SUMIF($C$2:$F$2,EOMONTH(BB$2,-1)+1,$C100:$F100)*VLOOKUP(BB$2,Valores!$H$2:$P$154,8,0)</f>
        <v>0</v>
      </c>
      <c r="BC100" s="30" t="n">
        <f aca="false">SUMIF($C$2:$F$2,EOMONTH(BC$2,-1)+1,$C100:$F100)*VLOOKUP(BC$2,Valores!$H$2:$P$154,8,0)</f>
        <v>0</v>
      </c>
      <c r="BD100" s="30" t="n">
        <f aca="false">SUMIF($C$2:$F$2,EOMONTH(BD$2,-1)+1,$C100:$F100)*VLOOKUP(BD$2,Valores!$H$2:$P$154,8,0)</f>
        <v>0</v>
      </c>
      <c r="BE100" s="30" t="n">
        <f aca="false">SUMIF($C$2:$F$2,EOMONTH(BE$2,-1)+1,$C100:$F100)*VLOOKUP(BE$2,Valores!$H$2:$P$154,8,0)</f>
        <v>0</v>
      </c>
      <c r="BF100" s="30" t="n">
        <f aca="false">SUMIF($C$2:$F$2,EOMONTH(BF$2,-1)+1,$C100:$F100)*VLOOKUP(BF$2,Valores!$H$2:$P$154,8,0)</f>
        <v>0</v>
      </c>
      <c r="BG100" s="30" t="n">
        <f aca="false">SUMIF($C$2:$F$2,EOMONTH(BG$2,-1)+1,$C100:$F100)*VLOOKUP(BG$2,Valores!$H$2:$P$154,8,0)</f>
        <v>0</v>
      </c>
      <c r="BH100" s="30" t="n">
        <f aca="false">SUMIF($C$2:$F$2,EOMONTH(BH$2,-1)+1,$C100:$F100)*VLOOKUP(BH$2,Valores!$H$2:$P$154,8,0)</f>
        <v>0</v>
      </c>
      <c r="BI100" s="30" t="n">
        <f aca="false">SUMIF($C$2:$F$2,EOMONTH(BI$2,-1)+1,$C100:$F100)*VLOOKUP(BI$2,Valores!$H$2:$P$154,8,0)</f>
        <v>0</v>
      </c>
      <c r="BJ100" s="30" t="n">
        <f aca="false">SUMIF($C$2:$F$2,EOMONTH(BJ$2,-1)+1,$C100:$F100)*VLOOKUP(BJ$2,Valores!$H$2:$P$154,8,0)</f>
        <v>0</v>
      </c>
      <c r="BK100" s="30" t="n">
        <f aca="false">SUMIF($C$2:$F$2,EOMONTH(BK$2,-1)+1,$C100:$F100)*VLOOKUP(BK$2,Valores!$H$2:$P$154,8,0)</f>
        <v>0</v>
      </c>
      <c r="BL100" s="30" t="n">
        <f aca="false">SUMIF($C$2:$F$2,EOMONTH(BL$2,-1)+1,$C100:$F100)*VLOOKUP(BL$2,Valores!$H$2:$P$154,8,0)</f>
        <v>0</v>
      </c>
      <c r="BM100" s="30" t="n">
        <f aca="false">SUMIF($C$2:$F$2,EOMONTH(BM$2,-1)+1,$C100:$F100)*VLOOKUP(BM$2,Valores!$H$2:$P$154,8,0)</f>
        <v>0</v>
      </c>
      <c r="BN100" s="30" t="n">
        <f aca="false">SUMIF($C$2:$F$2,EOMONTH(BN$2,-1)+1,$C100:$F100)*VLOOKUP(BN$2,Valores!$H$2:$P$154,8,0)</f>
        <v>0</v>
      </c>
      <c r="BO100" s="30" t="n">
        <f aca="false">SUMIF($C$2:$F$2,EOMONTH(BO$2,-1)+1,$C100:$F100)*VLOOKUP(BO$2,Valores!$H$2:$P$154,8,0)</f>
        <v>0</v>
      </c>
      <c r="BP100" s="30" t="n">
        <f aca="false">SUMIF($C$2:$F$2,EOMONTH(BP$2,-1)+1,$C100:$F100)*VLOOKUP(BP$2,Valores!$H$2:$P$154,8,0)</f>
        <v>0</v>
      </c>
      <c r="BQ100" s="30" t="n">
        <f aca="false">SUMIF($C$2:$F$2,EOMONTH(BQ$2,-1)+1,$C100:$F100)*VLOOKUP(BQ$2,Valores!$H$2:$P$154,8,0)</f>
        <v>0</v>
      </c>
      <c r="BR100" s="30" t="n">
        <f aca="false">SUMIF($C$2:$F$2,EOMONTH(BR$2,-1)+1,$C100:$F100)*VLOOKUP(BR$2,Valores!$H$2:$P$154,8,0)</f>
        <v>0</v>
      </c>
      <c r="BS100" s="30" t="n">
        <f aca="false">SUMIF($C$2:$F$2,EOMONTH(BS$2,-1)+1,$C100:$F100)*VLOOKUP(BS$2,Valores!$H$2:$P$154,8,0)</f>
        <v>0</v>
      </c>
      <c r="BT100" s="30" t="n">
        <f aca="false">SUMIF($C$2:$F$2,EOMONTH(BT$2,-1)+1,$C100:$F100)*VLOOKUP(BT$2,Valores!$H$2:$P$154,8,0)</f>
        <v>0</v>
      </c>
      <c r="BU100" s="30" t="n">
        <f aca="false">SUMIF($C$2:$F$2,EOMONTH(BU$2,-1)+1,$C100:$F100)*VLOOKUP(BU$2,Valores!$H$2:$P$154,8,0)</f>
        <v>0</v>
      </c>
      <c r="BV100" s="30" t="n">
        <f aca="false">SUMIF($C$2:$F$2,EOMONTH(BV$2,-1)+1,$C100:$F100)*VLOOKUP(BV$2,Valores!$H$2:$P$154,8,0)</f>
        <v>0</v>
      </c>
      <c r="BW100" s="30" t="n">
        <f aca="false">SUMIF($C$2:$F$2,EOMONTH(BW$2,-1)+1,$C100:$F100)*VLOOKUP(BW$2,Valores!$H$2:$P$154,8,0)</f>
        <v>0</v>
      </c>
      <c r="BX100" s="30" t="n">
        <f aca="false">SUMIF($C$2:$F$2,EOMONTH(BX$2,-1)+1,$C100:$F100)*VLOOKUP(BX$2,Valores!$H$2:$P$154,8,0)</f>
        <v>0</v>
      </c>
      <c r="BY100" s="30" t="n">
        <f aca="false">SUMIF($C$2:$F$2,EOMONTH(BY$2,-1)+1,$C100:$F100)*VLOOKUP(BY$2,Valores!$H$2:$P$154,8,0)</f>
        <v>0</v>
      </c>
      <c r="BZ100" s="30" t="n">
        <f aca="false">SUMIF($C$2:$F$2,EOMONTH(BZ$2,-1)+1,$C100:$F100)*VLOOKUP(BZ$2,Valores!$H$2:$P$154,8,0)</f>
        <v>0</v>
      </c>
      <c r="CA100" s="30" t="n">
        <f aca="false">SUMIF($C$2:$F$2,EOMONTH(CA$2,-1)+1,$C100:$F100)*VLOOKUP(CA$2,Valores!$H$2:$P$154,8,0)</f>
        <v>0</v>
      </c>
      <c r="CB100" s="30" t="n">
        <f aca="false">SUMIF($C$2:$F$2,EOMONTH(CB$2,-1)+1,$C100:$F100)*VLOOKUP(CB$2,Valores!$H$2:$P$154,8,0)</f>
        <v>0</v>
      </c>
      <c r="CC100" s="30" t="n">
        <f aca="false">SUMIF($C$2:$F$2,EOMONTH(CC$2,-1)+1,$C100:$F100)*VLOOKUP(CC$2,Valores!$H$2:$P$154,8,0)</f>
        <v>0</v>
      </c>
      <c r="CD100" s="30" t="n">
        <f aca="false">SUMIF($C$2:$F$2,EOMONTH(CD$2,-1)+1,$C100:$F100)*VLOOKUP(CD$2,Valores!$H$2:$P$154,8,0)</f>
        <v>0</v>
      </c>
      <c r="CE100" s="30" t="n">
        <f aca="false">SUMIF($C$2:$F$2,EOMONTH(CE$2,-1)+1,$C100:$F100)*VLOOKUP(CE$2,Valores!$H$2:$P$154,8,0)</f>
        <v>0</v>
      </c>
      <c r="CF100" s="30" t="n">
        <f aca="false">SUMIF($C$2:$F$2,EOMONTH(CF$2,-1)+1,$C100:$F100)*VLOOKUP(CF$2,Valores!$H$2:$P$154,8,0)</f>
        <v>0</v>
      </c>
      <c r="CG100" s="30" t="n">
        <f aca="false">SUMIF($C$2:$F$2,EOMONTH(CG$2,-1)+1,$C100:$F100)*VLOOKUP(CG$2,Valores!$H$2:$P$154,8,0)</f>
        <v>0</v>
      </c>
      <c r="CH100" s="30" t="n">
        <f aca="false">SUMIF($C$2:$F$2,EOMONTH(CH$2,-1)+1,$C100:$F100)*VLOOKUP(CH$2,Valores!$H$2:$P$154,8,0)</f>
        <v>0</v>
      </c>
      <c r="CI100" s="30" t="n">
        <f aca="false">SUMIF($C$2:$F$2,EOMONTH(CI$2,-1)+1,$C100:$F100)*VLOOKUP(CI$2,Valores!$H$2:$P$154,8,0)</f>
        <v>0</v>
      </c>
      <c r="CJ100" s="30" t="n">
        <f aca="false">SUMIF($C$2:$F$2,EOMONTH(CJ$2,-1)+1,$C100:$F100)*VLOOKUP(CJ$2,Valores!$H$2:$P$154,8,0)</f>
        <v>0</v>
      </c>
      <c r="CK100" s="30" t="n">
        <f aca="false">SUMIF($C$2:$F$2,EOMONTH(CK$2,-1)+1,$C100:$F100)*VLOOKUP(CK$2,Valores!$H$2:$P$154,8,0)</f>
        <v>0</v>
      </c>
      <c r="CL100" s="30" t="n">
        <f aca="false">SUMIF($C$2:$F$2,EOMONTH(CL$2,-1)+1,$C100:$F100)*VLOOKUP(CL$2,Valores!$H$2:$P$154,8,0)</f>
        <v>0</v>
      </c>
      <c r="CM100" s="30" t="n">
        <f aca="false">SUMIF($C$2:$F$2,EOMONTH(CM$2,-1)+1,$C100:$F100)*VLOOKUP(CM$2,Valores!$H$2:$P$154,8,0)</f>
        <v>0</v>
      </c>
      <c r="CN100" s="30" t="n">
        <f aca="false">SUMIF($C$2:$F$2,EOMONTH(CN$2,-1)+1,$C100:$F100)*VLOOKUP(CN$2,Valores!$H$2:$P$154,8,0)</f>
        <v>0</v>
      </c>
      <c r="CO100" s="30" t="n">
        <f aca="false">SUMIF($C$2:$F$2,EOMONTH(CO$2,-1)+1,$C100:$F100)*VLOOKUP(CO$2,Valores!$H$2:$P$154,8,0)</f>
        <v>0</v>
      </c>
      <c r="CP100" s="30" t="n">
        <f aca="false">SUMIF($C$2:$F$2,EOMONTH(CP$2,-1)+1,$C100:$F100)*VLOOKUP(CP$2,Valores!$H$2:$P$154,8,0)</f>
        <v>0</v>
      </c>
      <c r="CQ100" s="30" t="n">
        <f aca="false">SUMIF($C$2:$F$2,EOMONTH(CQ$2,-1)+1,$C100:$F100)*VLOOKUP(CQ$2,Valores!$H$2:$P$154,8,0)</f>
        <v>0</v>
      </c>
      <c r="CR100" s="30" t="n">
        <f aca="false">SUMIF($C$2:$F$2,EOMONTH(CR$2,-1)+1,$C100:$F100)*VLOOKUP(CR$2,Valores!$H$2:$P$154,8,0)</f>
        <v>0</v>
      </c>
      <c r="CS100" s="30" t="n">
        <f aca="false">SUMIF($C$2:$F$2,EOMONTH(CS$2,-1)+1,$C100:$F100)*VLOOKUP(CS$2,Valores!$H$2:$P$154,8,0)</f>
        <v>0</v>
      </c>
      <c r="CT100" s="30" t="e">
        <f aca="false">SUMIF($C$2:$F$2,EOMONTH(CT$2,-1)+1,$C100:$F100)*VLOOKUP(CT$2,Valores!$H$2:$P$154,8,0)</f>
        <v>#VALUE!</v>
      </c>
      <c r="CU100" s="30" t="e">
        <f aca="false">SUMIF($C$2:$F$2,EOMONTH(CU$2,-1)+1,$C100:$F100)*VLOOKUP(CU$2,Valores!$H$2:$P$154,8,0)</f>
        <v>#VALUE!</v>
      </c>
      <c r="CV100" s="30" t="e">
        <f aca="false">SUMIF($C$2:$F$2,EOMONTH(CV$2,-1)+1,$C100:$F100)*VLOOKUP(CV$2,Valores!$H$2:$P$154,8,0)</f>
        <v>#VALUE!</v>
      </c>
      <c r="CW100" s="30" t="e">
        <f aca="false">SUMIF($C$2:$F$2,EOMONTH(CW$2,-1)+1,$C100:$F100)*VLOOKUP(CW$2,Valores!$H$2:$P$154,8,0)</f>
        <v>#VALUE!</v>
      </c>
      <c r="CX100" s="30" t="e">
        <f aca="false">SUMIF($C$2:$F$2,EOMONTH(CX$2,-1)+1,$C100:$F100)*VLOOKUP(CX$2,Valores!$H$2:$P$154,8,0)</f>
        <v>#VALUE!</v>
      </c>
      <c r="CY100" s="30" t="e">
        <f aca="false">SUMIF($C$2:$F$2,EOMONTH(CY$2,-1)+1,$C100:$F100)*VLOOKUP(CY$2,Valores!$H$2:$P$154,8,0)</f>
        <v>#VALUE!</v>
      </c>
      <c r="CZ100" s="30" t="e">
        <f aca="false">SUMIF($C$2:$F$2,EOMONTH(CZ$2,-1)+1,$C100:$F100)*VLOOKUP(CZ$2,Valores!$H$2:$P$154,8,0)</f>
        <v>#VALUE!</v>
      </c>
      <c r="DA100" s="30" t="e">
        <f aca="false">SUMIF($C$2:$F$2,EOMONTH(DA$2,-1)+1,$C100:$F100)*VLOOKUP(DA$2,Valores!$H$2:$P$154,8,0)</f>
        <v>#VALUE!</v>
      </c>
      <c r="DB100" s="30" t="e">
        <f aca="false">SUMIF($C$2:$F$2,EOMONTH(DB$2,-1)+1,$C100:$F100)*VLOOKUP(DB$2,Valores!$H$2:$P$154,8,0)</f>
        <v>#VALUE!</v>
      </c>
      <c r="DC100" s="30" t="e">
        <f aca="false">SUMIF($C$2:$F$2,EOMONTH(DC$2,-1)+1,$C100:$F100)*VLOOKUP(DC$2,Valores!$H$2:$P$154,8,0)</f>
        <v>#VALUE!</v>
      </c>
      <c r="DD100" s="30" t="e">
        <f aca="false">SUMIF($C$2:$F$2,EOMONTH(DD$2,-1)+1,$C100:$F100)*VLOOKUP(DD$2,Valores!$H$2:$P$154,8,0)</f>
        <v>#VALUE!</v>
      </c>
      <c r="DE100" s="30" t="e">
        <f aca="false">SUMIF($C$2:$F$2,EOMONTH(DE$2,-1)+1,$C100:$F100)*VLOOKUP(DE$2,Valores!$H$2:$P$154,8,0)</f>
        <v>#VALUE!</v>
      </c>
      <c r="DF100" s="30" t="e">
        <f aca="false">SUMIF($C$2:$F$2,EOMONTH(DF$2,-1)+1,$C100:$F100)*VLOOKUP(DF$2,Valores!$H$2:$P$154,8,0)</f>
        <v>#VALUE!</v>
      </c>
      <c r="DG100" s="30" t="e">
        <f aca="false">SUMIF($C$2:$F$2,EOMONTH(DG$2,-1)+1,$C100:$F100)*VLOOKUP(DG$2,Valores!$H$2:$P$154,8,0)</f>
        <v>#VALUE!</v>
      </c>
      <c r="DH100" s="30" t="e">
        <f aca="false">SUMIF($C$2:$F$2,EOMONTH(DH$2,-1)+1,$C100:$F100)*VLOOKUP(DH$2,Valores!$H$2:$P$154,8,0)</f>
        <v>#VALUE!</v>
      </c>
      <c r="DI100" s="30" t="e">
        <f aca="false">SUMIF($C$2:$F$2,EOMONTH(DI$2,-1)+1,$C100:$F100)*VLOOKUP(DI$2,Valores!$H$2:$P$154,8,0)</f>
        <v>#VALUE!</v>
      </c>
      <c r="DJ100" s="30" t="e">
        <f aca="false">SUMIF($C$2:$F$2,EOMONTH(DJ$2,-1)+1,$C100:$F100)*VLOOKUP(DJ$2,Valores!$H$2:$P$154,8,0)</f>
        <v>#VALUE!</v>
      </c>
      <c r="DK100" s="30" t="e">
        <f aca="false">SUMIF($C$2:$F$2,EOMONTH(DK$2,-1)+1,$C100:$F100)*VLOOKUP(DK$2,Valores!$H$2:$P$154,8,0)</f>
        <v>#VALUE!</v>
      </c>
      <c r="DL100" s="30" t="e">
        <f aca="false">SUMIF($C$2:$F$2,EOMONTH(DL$2,-1)+1,$C100:$F100)*VLOOKUP(DL$2,Valores!$H$2:$P$154,8,0)</f>
        <v>#VALUE!</v>
      </c>
      <c r="DM100" s="30" t="e">
        <f aca="false">SUMIF($C$2:$F$2,EOMONTH(DM$2,-1)+1,$C100:$F100)*VLOOKUP(DM$2,Valores!$H$2:$P$154,8,0)</f>
        <v>#VALUE!</v>
      </c>
      <c r="DN100" s="30" t="e">
        <f aca="false">SUMIF($C$2:$F$2,EOMONTH(DN$2,-1)+1,$C100:$F100)*VLOOKUP(DN$2,Valores!$H$2:$P$154,8,0)</f>
        <v>#VALUE!</v>
      </c>
      <c r="DO100" s="30" t="e">
        <f aca="false">SUMIF($C$2:$F$2,EOMONTH(DO$2,-1)+1,$C100:$F100)*VLOOKUP(DO$2,Valores!$H$2:$P$154,8,0)</f>
        <v>#VALUE!</v>
      </c>
      <c r="DP100" s="30" t="e">
        <f aca="false">SUMIF($C$2:$F$2,EOMONTH(DP$2,-1)+1,$C100:$F100)*VLOOKUP(DP$2,Valores!$H$2:$P$154,8,0)</f>
        <v>#VALUE!</v>
      </c>
      <c r="DQ100" s="30" t="e">
        <f aca="false">SUMIF($C$2:$F$2,EOMONTH(DQ$2,-1)+1,$C100:$F100)*VLOOKUP(DQ$2,Valores!$H$2:$P$154,8,0)</f>
        <v>#VALUE!</v>
      </c>
      <c r="DR100" s="30" t="e">
        <f aca="false">SUMIF($C$2:$F$2,EOMONTH(DR$2,-1)+1,$C100:$F100)*VLOOKUP(DR$2,Valores!$H$2:$P$154,8,0)</f>
        <v>#VALUE!</v>
      </c>
      <c r="DS100" s="30" t="e">
        <f aca="false">SUMIF($C$2:$F$2,EOMONTH(DS$2,-1)+1,$C100:$F100)*VLOOKUP(DS$2,Valores!$H$2:$P$154,8,0)</f>
        <v>#VALUE!</v>
      </c>
      <c r="DT100" s="30" t="e">
        <f aca="false">SUMIF($C$2:$F$2,EOMONTH(DT$2,-1)+1,$C100:$F100)*VLOOKUP(DT$2,Valores!$H$2:$P$154,8,0)</f>
        <v>#VALUE!</v>
      </c>
      <c r="DU100" s="30" t="e">
        <f aca="false">SUMIF($C$2:$F$2,EOMONTH(DU$2,-1)+1,$C100:$F100)*VLOOKUP(DU$2,Valores!$H$2:$P$154,8,0)</f>
        <v>#VALUE!</v>
      </c>
      <c r="DV100" s="30" t="e">
        <f aca="false">SUMIF($C$2:$F$2,EOMONTH(DV$2,-1)+1,$C100:$F100)*VLOOKUP(DV$2,Valores!$H$2:$P$154,8,0)</f>
        <v>#VALUE!</v>
      </c>
      <c r="DW100" s="30" t="e">
        <f aca="false">SUMIF($C$2:$F$2,EOMONTH(DW$2,-1)+1,$C100:$F100)*VLOOKUP(DW$2,Valores!$H$2:$P$154,8,0)</f>
        <v>#VALUE!</v>
      </c>
      <c r="DX100" s="30" t="e">
        <f aca="false">SUMIF($C$2:$F$2,EOMONTH(DX$2,-1)+1,$C100:$F100)*VLOOKUP(DX$2,Valores!$H$2:$P$154,8,0)</f>
        <v>#VALUE!</v>
      </c>
    </row>
    <row r="101" customFormat="false" ht="13.8" hidden="false" customHeight="false" outlineLevel="0" collapsed="false">
      <c r="A101" s="31"/>
      <c r="B101" s="31"/>
      <c r="C101" s="31"/>
      <c r="D101" s="31"/>
      <c r="E101" s="31"/>
      <c r="F101" s="31"/>
      <c r="G101" s="27" t="n">
        <f aca="false">SUMIF($C$2:$F$2,EOMONTH(G$2,-1)+1,$C101:$F101)*VLOOKUP(G$2,Valores!$H$2:$P$154,8,0)</f>
        <v>0</v>
      </c>
      <c r="H101" s="27" t="n">
        <f aca="false">SUMIF($C$2:$F$2,EOMONTH(H$2,-1)+1,$C101:$F101)*VLOOKUP(H$2,Valores!$H$2:$P$154,8,0)</f>
        <v>0</v>
      </c>
      <c r="I101" s="27" t="n">
        <f aca="false">SUMIF($C$2:$F$2,EOMONTH(I$2,-1)+1,$C101:$F101)*VLOOKUP(I$2,Valores!$H$2:$P$154,8,0)</f>
        <v>0</v>
      </c>
      <c r="J101" s="27" t="n">
        <f aca="false">SUMIF($C$2:$F$2,EOMONTH(J$2,-1)+1,$C101:$F101)*VLOOKUP(J$2,Valores!$H$2:$P$154,8,0)</f>
        <v>0</v>
      </c>
      <c r="K101" s="27" t="n">
        <f aca="false">SUMIF($C$2:$F$2,EOMONTH(K$2,-1)+1,$C101:$F101)*VLOOKUP(K$2,Valores!$H$2:$P$154,8,0)</f>
        <v>0</v>
      </c>
      <c r="L101" s="27" t="n">
        <f aca="false">SUMIF($C$2:$F$2,EOMONTH(L$2,-1)+1,$C101:$F101)*VLOOKUP(L$2,Valores!$H$2:$P$154,8,0)</f>
        <v>0</v>
      </c>
      <c r="M101" s="27" t="n">
        <f aca="false">SUMIF($C$2:$F$2,EOMONTH(M$2,-1)+1,$C101:$F101)*VLOOKUP(M$2,Valores!$H$2:$P$154,8,0)</f>
        <v>0</v>
      </c>
      <c r="N101" s="27" t="n">
        <f aca="false">SUMIF($C$2:$F$2,EOMONTH(N$2,-1)+1,$C101:$F101)*VLOOKUP(N$2,Valores!$H$2:$P$154,8,0)</f>
        <v>0</v>
      </c>
      <c r="O101" s="27" t="n">
        <f aca="false">SUMIF($C$2:$F$2,EOMONTH(O$2,-1)+1,$C101:$F101)*VLOOKUP(O$2,Valores!$H$2:$P$154,8,0)</f>
        <v>0</v>
      </c>
      <c r="P101" s="27" t="n">
        <f aca="false">SUMIF($C$2:$F$2,EOMONTH(P$2,-1)+1,$C101:$F101)*VLOOKUP(P$2,Valores!$H$2:$P$154,8,0)</f>
        <v>0</v>
      </c>
      <c r="Q101" s="27" t="n">
        <f aca="false">SUMIF($C$2:$F$2,EOMONTH(Q$2,-1)+1,$C101:$F101)*VLOOKUP(Q$2,Valores!$H$2:$P$154,8,0)</f>
        <v>0</v>
      </c>
      <c r="R101" s="27" t="n">
        <f aca="false">SUMIF($C$2:$F$2,EOMONTH(R$2,-1)+1,$C101:$F101)*VLOOKUP(R$2,Valores!$H$2:$P$154,8,0)</f>
        <v>0</v>
      </c>
      <c r="S101" s="27" t="n">
        <f aca="false">SUMIF($C$2:$F$2,EOMONTH(S$2,-1)+1,$C101:$F101)*VLOOKUP(S$2,Valores!$H$2:$P$154,8,0)</f>
        <v>0</v>
      </c>
      <c r="T101" s="27" t="n">
        <f aca="false">SUMIF($C$2:$F$2,EOMONTH(T$2,-1)+1,$C101:$F101)*VLOOKUP(T$2,Valores!$H$2:$P$154,8,0)</f>
        <v>0</v>
      </c>
      <c r="U101" s="27" t="n">
        <f aca="false">SUMIF($C$2:$F$2,EOMONTH(U$2,-1)+1,$C101:$F101)*VLOOKUP(U$2,Valores!$H$2:$P$154,8,0)</f>
        <v>0</v>
      </c>
      <c r="V101" s="27" t="n">
        <f aca="false">SUMIF($C$2:$F$2,EOMONTH(V$2,-1)+1,$C101:$F101)*VLOOKUP(V$2,Valores!$H$2:$P$154,8,0)</f>
        <v>0</v>
      </c>
      <c r="W101" s="27" t="n">
        <f aca="false">SUMIF($C$2:$F$2,EOMONTH(W$2,-1)+1,$C101:$F101)*VLOOKUP(W$2,Valores!$H$2:$P$154,8,0)</f>
        <v>0</v>
      </c>
      <c r="X101" s="27" t="n">
        <f aca="false">SUMIF($C$2:$F$2,EOMONTH(X$2,-1)+1,$C101:$F101)*VLOOKUP(X$2,Valores!$H$2:$P$154,8,0)</f>
        <v>0</v>
      </c>
      <c r="Y101" s="27" t="n">
        <f aca="false">SUMIF($C$2:$F$2,EOMONTH(Y$2,-1)+1,$C101:$F101)*VLOOKUP(Y$2,Valores!$H$2:$P$154,8,0)</f>
        <v>0</v>
      </c>
      <c r="Z101" s="27" t="n">
        <f aca="false">SUMIF($C$2:$F$2,EOMONTH(Z$2,-1)+1,$C101:$F101)*VLOOKUP(Z$2,Valores!$H$2:$P$154,8,0)</f>
        <v>0</v>
      </c>
      <c r="AA101" s="27" t="n">
        <f aca="false">SUMIF($C$2:$F$2,EOMONTH(AA$2,-1)+1,$C101:$F101)*VLOOKUP(AA$2,Valores!$H$2:$P$154,8,0)</f>
        <v>0</v>
      </c>
      <c r="AB101" s="27" t="n">
        <f aca="false">SUMIF($C$2:$F$2,EOMONTH(AB$2,-1)+1,$C101:$F101)*VLOOKUP(AB$2,Valores!$H$2:$P$154,8,0)</f>
        <v>0</v>
      </c>
      <c r="AC101" s="27" t="n">
        <f aca="false">SUMIF($C$2:$F$2,EOMONTH(AC$2,-1)+1,$C101:$F101)*VLOOKUP(AC$2,Valores!$H$2:$P$154,8,0)</f>
        <v>0</v>
      </c>
      <c r="AD101" s="27" t="n">
        <f aca="false">SUMIF($C$2:$F$2,EOMONTH(AD$2,-1)+1,$C101:$F101)*VLOOKUP(AD$2,Valores!$H$2:$P$154,8,0)</f>
        <v>0</v>
      </c>
      <c r="AE101" s="27" t="n">
        <f aca="false">SUMIF($C$2:$F$2,EOMONTH(AE$2,-1)+1,$C101:$F101)*VLOOKUP(AE$2,Valores!$H$2:$P$154,8,0)</f>
        <v>0</v>
      </c>
      <c r="AF101" s="27" t="n">
        <f aca="false">SUMIF($C$2:$F$2,EOMONTH(AF$2,-1)+1,$C101:$F101)*VLOOKUP(AF$2,Valores!$H$2:$P$154,8,0)</f>
        <v>0</v>
      </c>
      <c r="AG101" s="27" t="n">
        <f aca="false">SUMIF($C$2:$F$2,EOMONTH(AG$2,-1)+1,$C101:$F101)*VLOOKUP(AG$2,Valores!$H$2:$P$154,8,0)</f>
        <v>0</v>
      </c>
      <c r="AH101" s="27" t="n">
        <f aca="false">SUMIF($C$2:$F$2,EOMONTH(AH$2,-1)+1,$C101:$F101)*VLOOKUP(AH$2,Valores!$H$2:$P$154,8,0)</f>
        <v>0</v>
      </c>
      <c r="AI101" s="27" t="n">
        <f aca="false">SUMIF($C$2:$F$2,EOMONTH(AI$2,-1)+1,$C101:$F101)*VLOOKUP(AI$2,Valores!$H$2:$P$154,8,0)</f>
        <v>0</v>
      </c>
      <c r="AJ101" s="27" t="n">
        <f aca="false">SUMIF($C$2:$F$2,EOMONTH(AJ$2,-1)+1,$C101:$F101)*VLOOKUP(AJ$2,Valores!$H$2:$P$154,8,0)</f>
        <v>0</v>
      </c>
      <c r="AK101" s="27" t="n">
        <f aca="false">SUMIF($C$2:$F$2,EOMONTH(AK$2,-1)+1,$C101:$F101)*VLOOKUP(AK$2,Valores!$H$2:$P$154,8,0)</f>
        <v>0</v>
      </c>
      <c r="AL101" s="27" t="n">
        <f aca="false">SUMIF($C$2:$F$2,EOMONTH(AL$2,-1)+1,$C101:$F101)*VLOOKUP(AL$2,Valores!$H$2:$P$154,8,0)</f>
        <v>0</v>
      </c>
      <c r="AM101" s="27" t="n">
        <f aca="false">SUMIF($C$2:$F$2,EOMONTH(AM$2,-1)+1,$C101:$F101)*VLOOKUP(AM$2,Valores!$H$2:$P$154,8,0)</f>
        <v>0</v>
      </c>
      <c r="AN101" s="27" t="n">
        <f aca="false">SUMIF($C$2:$F$2,EOMONTH(AN$2,-1)+1,$C101:$F101)*VLOOKUP(AN$2,Valores!$H$2:$P$154,8,0)</f>
        <v>0</v>
      </c>
      <c r="AO101" s="27" t="n">
        <f aca="false">SUMIF($C$2:$F$2,EOMONTH(AO$2,-1)+1,$C101:$F101)*VLOOKUP(AO$2,Valores!$H$2:$P$154,8,0)</f>
        <v>0</v>
      </c>
      <c r="AP101" s="27" t="n">
        <f aca="false">SUMIF($C$2:$F$2,EOMONTH(AP$2,-1)+1,$C101:$F101)*VLOOKUP(AP$2,Valores!$H$2:$P$154,8,0)</f>
        <v>0</v>
      </c>
      <c r="AQ101" s="27" t="n">
        <f aca="false">SUMIF($C$2:$F$2,EOMONTH(AQ$2,-1)+1,$C101:$F101)*VLOOKUP(AQ$2,Valores!$H$2:$P$154,8,0)</f>
        <v>0</v>
      </c>
      <c r="AR101" s="27" t="n">
        <f aca="false">SUMIF($C$2:$F$2,EOMONTH(AR$2,-1)+1,$C101:$F101)*VLOOKUP(AR$2,Valores!$H$2:$P$154,8,0)</f>
        <v>0</v>
      </c>
      <c r="AS101" s="27" t="n">
        <f aca="false">SUMIF($C$2:$F$2,EOMONTH(AS$2,-1)+1,$C101:$F101)*VLOOKUP(AS$2,Valores!$H$2:$P$154,8,0)</f>
        <v>0</v>
      </c>
      <c r="AT101" s="27" t="n">
        <f aca="false">SUMIF($C$2:$F$2,EOMONTH(AT$2,-1)+1,$C101:$F101)*VLOOKUP(AT$2,Valores!$H$2:$P$154,8,0)</f>
        <v>0</v>
      </c>
      <c r="AU101" s="27" t="n">
        <f aca="false">SUMIF($C$2:$F$2,EOMONTH(AU$2,-1)+1,$C101:$F101)*VLOOKUP(AU$2,Valores!$H$2:$P$154,8,0)</f>
        <v>0</v>
      </c>
      <c r="AV101" s="27" t="n">
        <f aca="false">SUMIF($C$2:$F$2,EOMONTH(AV$2,-1)+1,$C101:$F101)*VLOOKUP(AV$2,Valores!$H$2:$P$154,8,0)</f>
        <v>0</v>
      </c>
      <c r="AW101" s="27" t="n">
        <f aca="false">SUMIF($C$2:$F$2,EOMONTH(AW$2,-1)+1,$C101:$F101)*VLOOKUP(AW$2,Valores!$H$2:$P$154,8,0)</f>
        <v>0</v>
      </c>
      <c r="AX101" s="27" t="n">
        <f aca="false">SUMIF($C$2:$F$2,EOMONTH(AX$2,-1)+1,$C101:$F101)*VLOOKUP(AX$2,Valores!$H$2:$P$154,8,0)</f>
        <v>0</v>
      </c>
      <c r="AY101" s="27" t="n">
        <f aca="false">SUMIF($C$2:$F$2,EOMONTH(AY$2,-1)+1,$C101:$F101)*VLOOKUP(AY$2,Valores!$H$2:$P$154,8,0)</f>
        <v>0</v>
      </c>
      <c r="AZ101" s="27" t="n">
        <f aca="false">SUMIF($C$2:$F$2,EOMONTH(AZ$2,-1)+1,$C101:$F101)*VLOOKUP(AZ$2,Valores!$H$2:$P$154,8,0)</f>
        <v>0</v>
      </c>
      <c r="BA101" s="27" t="n">
        <f aca="false">SUMIF($C$2:$F$2,EOMONTH(BA$2,-1)+1,$C101:$F101)*VLOOKUP(BA$2,Valores!$H$2:$P$154,8,0)</f>
        <v>0</v>
      </c>
      <c r="BB101" s="27" t="n">
        <f aca="false">SUMIF($C$2:$F$2,EOMONTH(BB$2,-1)+1,$C101:$F101)*VLOOKUP(BB$2,Valores!$H$2:$P$154,8,0)</f>
        <v>0</v>
      </c>
      <c r="BC101" s="27" t="n">
        <f aca="false">SUMIF($C$2:$F$2,EOMONTH(BC$2,-1)+1,$C101:$F101)*VLOOKUP(BC$2,Valores!$H$2:$P$154,8,0)</f>
        <v>0</v>
      </c>
      <c r="BD101" s="27" t="n">
        <f aca="false">SUMIF($C$2:$F$2,EOMONTH(BD$2,-1)+1,$C101:$F101)*VLOOKUP(BD$2,Valores!$H$2:$P$154,8,0)</f>
        <v>0</v>
      </c>
      <c r="BE101" s="27" t="n">
        <f aca="false">SUMIF($C$2:$F$2,EOMONTH(BE$2,-1)+1,$C101:$F101)*VLOOKUP(BE$2,Valores!$H$2:$P$154,8,0)</f>
        <v>0</v>
      </c>
      <c r="BF101" s="27" t="n">
        <f aca="false">SUMIF($C$2:$F$2,EOMONTH(BF$2,-1)+1,$C101:$F101)*VLOOKUP(BF$2,Valores!$H$2:$P$154,8,0)</f>
        <v>0</v>
      </c>
      <c r="BG101" s="27" t="n">
        <f aca="false">SUMIF($C$2:$F$2,EOMONTH(BG$2,-1)+1,$C101:$F101)*VLOOKUP(BG$2,Valores!$H$2:$P$154,8,0)</f>
        <v>0</v>
      </c>
      <c r="BH101" s="27" t="n">
        <f aca="false">SUMIF($C$2:$F$2,EOMONTH(BH$2,-1)+1,$C101:$F101)*VLOOKUP(BH$2,Valores!$H$2:$P$154,8,0)</f>
        <v>0</v>
      </c>
      <c r="BI101" s="27" t="n">
        <f aca="false">SUMIF($C$2:$F$2,EOMONTH(BI$2,-1)+1,$C101:$F101)*VLOOKUP(BI$2,Valores!$H$2:$P$154,8,0)</f>
        <v>0</v>
      </c>
      <c r="BJ101" s="27" t="n">
        <f aca="false">SUMIF($C$2:$F$2,EOMONTH(BJ$2,-1)+1,$C101:$F101)*VLOOKUP(BJ$2,Valores!$H$2:$P$154,8,0)</f>
        <v>0</v>
      </c>
      <c r="BK101" s="27" t="n">
        <f aca="false">SUMIF($C$2:$F$2,EOMONTH(BK$2,-1)+1,$C101:$F101)*VLOOKUP(BK$2,Valores!$H$2:$P$154,8,0)</f>
        <v>0</v>
      </c>
      <c r="BL101" s="27" t="n">
        <f aca="false">SUMIF($C$2:$F$2,EOMONTH(BL$2,-1)+1,$C101:$F101)*VLOOKUP(BL$2,Valores!$H$2:$P$154,8,0)</f>
        <v>0</v>
      </c>
      <c r="BM101" s="27" t="n">
        <f aca="false">SUMIF($C$2:$F$2,EOMONTH(BM$2,-1)+1,$C101:$F101)*VLOOKUP(BM$2,Valores!$H$2:$P$154,8,0)</f>
        <v>0</v>
      </c>
      <c r="BN101" s="27" t="n">
        <f aca="false">SUMIF($C$2:$F$2,EOMONTH(BN$2,-1)+1,$C101:$F101)*VLOOKUP(BN$2,Valores!$H$2:$P$154,8,0)</f>
        <v>0</v>
      </c>
      <c r="BO101" s="27" t="n">
        <f aca="false">SUMIF($C$2:$F$2,EOMONTH(BO$2,-1)+1,$C101:$F101)*VLOOKUP(BO$2,Valores!$H$2:$P$154,8,0)</f>
        <v>0</v>
      </c>
      <c r="BP101" s="27" t="n">
        <f aca="false">SUMIF($C$2:$F$2,EOMONTH(BP$2,-1)+1,$C101:$F101)*VLOOKUP(BP$2,Valores!$H$2:$P$154,8,0)</f>
        <v>0</v>
      </c>
      <c r="BQ101" s="27" t="n">
        <f aca="false">SUMIF($C$2:$F$2,EOMONTH(BQ$2,-1)+1,$C101:$F101)*VLOOKUP(BQ$2,Valores!$H$2:$P$154,8,0)</f>
        <v>0</v>
      </c>
      <c r="BR101" s="27" t="n">
        <f aca="false">SUMIF($C$2:$F$2,EOMONTH(BR$2,-1)+1,$C101:$F101)*VLOOKUP(BR$2,Valores!$H$2:$P$154,8,0)</f>
        <v>0</v>
      </c>
      <c r="BS101" s="27" t="n">
        <f aca="false">SUMIF($C$2:$F$2,EOMONTH(BS$2,-1)+1,$C101:$F101)*VLOOKUP(BS$2,Valores!$H$2:$P$154,8,0)</f>
        <v>0</v>
      </c>
      <c r="BT101" s="27" t="n">
        <f aca="false">SUMIF($C$2:$F$2,EOMONTH(BT$2,-1)+1,$C101:$F101)*VLOOKUP(BT$2,Valores!$H$2:$P$154,8,0)</f>
        <v>0</v>
      </c>
      <c r="BU101" s="27" t="n">
        <f aca="false">SUMIF($C$2:$F$2,EOMONTH(BU$2,-1)+1,$C101:$F101)*VLOOKUP(BU$2,Valores!$H$2:$P$154,8,0)</f>
        <v>0</v>
      </c>
      <c r="BV101" s="27" t="n">
        <f aca="false">SUMIF($C$2:$F$2,EOMONTH(BV$2,-1)+1,$C101:$F101)*VLOOKUP(BV$2,Valores!$H$2:$P$154,8,0)</f>
        <v>0</v>
      </c>
      <c r="BW101" s="27" t="n">
        <f aca="false">SUMIF($C$2:$F$2,EOMONTH(BW$2,-1)+1,$C101:$F101)*VLOOKUP(BW$2,Valores!$H$2:$P$154,8,0)</f>
        <v>0</v>
      </c>
      <c r="BX101" s="27" t="n">
        <f aca="false">SUMIF($C$2:$F$2,EOMONTH(BX$2,-1)+1,$C101:$F101)*VLOOKUP(BX$2,Valores!$H$2:$P$154,8,0)</f>
        <v>0</v>
      </c>
      <c r="BY101" s="27" t="n">
        <f aca="false">SUMIF($C$2:$F$2,EOMONTH(BY$2,-1)+1,$C101:$F101)*VLOOKUP(BY$2,Valores!$H$2:$P$154,8,0)</f>
        <v>0</v>
      </c>
      <c r="BZ101" s="27" t="n">
        <f aca="false">SUMIF($C$2:$F$2,EOMONTH(BZ$2,-1)+1,$C101:$F101)*VLOOKUP(BZ$2,Valores!$H$2:$P$154,8,0)</f>
        <v>0</v>
      </c>
      <c r="CA101" s="27" t="n">
        <f aca="false">SUMIF($C$2:$F$2,EOMONTH(CA$2,-1)+1,$C101:$F101)*VLOOKUP(CA$2,Valores!$H$2:$P$154,8,0)</f>
        <v>0</v>
      </c>
      <c r="CB101" s="27" t="n">
        <f aca="false">SUMIF($C$2:$F$2,EOMONTH(CB$2,-1)+1,$C101:$F101)*VLOOKUP(CB$2,Valores!$H$2:$P$154,8,0)</f>
        <v>0</v>
      </c>
      <c r="CC101" s="27" t="n">
        <f aca="false">SUMIF($C$2:$F$2,EOMONTH(CC$2,-1)+1,$C101:$F101)*VLOOKUP(CC$2,Valores!$H$2:$P$154,8,0)</f>
        <v>0</v>
      </c>
      <c r="CD101" s="27" t="n">
        <f aca="false">SUMIF($C$2:$F$2,EOMONTH(CD$2,-1)+1,$C101:$F101)*VLOOKUP(CD$2,Valores!$H$2:$P$154,8,0)</f>
        <v>0</v>
      </c>
      <c r="CE101" s="27" t="n">
        <f aca="false">SUMIF($C$2:$F$2,EOMONTH(CE$2,-1)+1,$C101:$F101)*VLOOKUP(CE$2,Valores!$H$2:$P$154,8,0)</f>
        <v>0</v>
      </c>
      <c r="CF101" s="27" t="n">
        <f aca="false">SUMIF($C$2:$F$2,EOMONTH(CF$2,-1)+1,$C101:$F101)*VLOOKUP(CF$2,Valores!$H$2:$P$154,8,0)</f>
        <v>0</v>
      </c>
      <c r="CG101" s="27" t="n">
        <f aca="false">SUMIF($C$2:$F$2,EOMONTH(CG$2,-1)+1,$C101:$F101)*VLOOKUP(CG$2,Valores!$H$2:$P$154,8,0)</f>
        <v>0</v>
      </c>
      <c r="CH101" s="27" t="n">
        <f aca="false">SUMIF($C$2:$F$2,EOMONTH(CH$2,-1)+1,$C101:$F101)*VLOOKUP(CH$2,Valores!$H$2:$P$154,8,0)</f>
        <v>0</v>
      </c>
      <c r="CI101" s="27" t="n">
        <f aca="false">SUMIF($C$2:$F$2,EOMONTH(CI$2,-1)+1,$C101:$F101)*VLOOKUP(CI$2,Valores!$H$2:$P$154,8,0)</f>
        <v>0</v>
      </c>
      <c r="CJ101" s="27" t="n">
        <f aca="false">SUMIF($C$2:$F$2,EOMONTH(CJ$2,-1)+1,$C101:$F101)*VLOOKUP(CJ$2,Valores!$H$2:$P$154,8,0)</f>
        <v>0</v>
      </c>
      <c r="CK101" s="27" t="n">
        <f aca="false">SUMIF($C$2:$F$2,EOMONTH(CK$2,-1)+1,$C101:$F101)*VLOOKUP(CK$2,Valores!$H$2:$P$154,8,0)</f>
        <v>0</v>
      </c>
      <c r="CL101" s="27" t="n">
        <f aca="false">SUMIF($C$2:$F$2,EOMONTH(CL$2,-1)+1,$C101:$F101)*VLOOKUP(CL$2,Valores!$H$2:$P$154,8,0)</f>
        <v>0</v>
      </c>
      <c r="CM101" s="27" t="n">
        <f aca="false">SUMIF($C$2:$F$2,EOMONTH(CM$2,-1)+1,$C101:$F101)*VLOOKUP(CM$2,Valores!$H$2:$P$154,8,0)</f>
        <v>0</v>
      </c>
      <c r="CN101" s="27" t="n">
        <f aca="false">SUMIF($C$2:$F$2,EOMONTH(CN$2,-1)+1,$C101:$F101)*VLOOKUP(CN$2,Valores!$H$2:$P$154,8,0)</f>
        <v>0</v>
      </c>
      <c r="CO101" s="27" t="n">
        <f aca="false">SUMIF($C$2:$F$2,EOMONTH(CO$2,-1)+1,$C101:$F101)*VLOOKUP(CO$2,Valores!$H$2:$P$154,8,0)</f>
        <v>0</v>
      </c>
      <c r="CP101" s="27" t="n">
        <f aca="false">SUMIF($C$2:$F$2,EOMONTH(CP$2,-1)+1,$C101:$F101)*VLOOKUP(CP$2,Valores!$H$2:$P$154,8,0)</f>
        <v>0</v>
      </c>
      <c r="CQ101" s="27" t="n">
        <f aca="false">SUMIF($C$2:$F$2,EOMONTH(CQ$2,-1)+1,$C101:$F101)*VLOOKUP(CQ$2,Valores!$H$2:$P$154,8,0)</f>
        <v>0</v>
      </c>
      <c r="CR101" s="27" t="n">
        <f aca="false">SUMIF($C$2:$F$2,EOMONTH(CR$2,-1)+1,$C101:$F101)*VLOOKUP(CR$2,Valores!$H$2:$P$154,8,0)</f>
        <v>0</v>
      </c>
      <c r="CS101" s="27" t="n">
        <f aca="false">SUMIF($C$2:$F$2,EOMONTH(CS$2,-1)+1,$C101:$F101)*VLOOKUP(CS$2,Valores!$H$2:$P$154,8,0)</f>
        <v>0</v>
      </c>
      <c r="CT101" s="27" t="e">
        <f aca="false">SUMIF($C$2:$F$2,EOMONTH(CT$2,-1)+1,$C101:$F101)*VLOOKUP(CT$2,Valores!$H$2:$P$154,8,0)</f>
        <v>#VALUE!</v>
      </c>
      <c r="CU101" s="27" t="e">
        <f aca="false">SUMIF($C$2:$F$2,EOMONTH(CU$2,-1)+1,$C101:$F101)*VLOOKUP(CU$2,Valores!$H$2:$P$154,8,0)</f>
        <v>#VALUE!</v>
      </c>
      <c r="CV101" s="27" t="e">
        <f aca="false">SUMIF($C$2:$F$2,EOMONTH(CV$2,-1)+1,$C101:$F101)*VLOOKUP(CV$2,Valores!$H$2:$P$154,8,0)</f>
        <v>#VALUE!</v>
      </c>
      <c r="CW101" s="27" t="e">
        <f aca="false">SUMIF($C$2:$F$2,EOMONTH(CW$2,-1)+1,$C101:$F101)*VLOOKUP(CW$2,Valores!$H$2:$P$154,8,0)</f>
        <v>#VALUE!</v>
      </c>
      <c r="CX101" s="27" t="e">
        <f aca="false">SUMIF($C$2:$F$2,EOMONTH(CX$2,-1)+1,$C101:$F101)*VLOOKUP(CX$2,Valores!$H$2:$P$154,8,0)</f>
        <v>#VALUE!</v>
      </c>
      <c r="CY101" s="27" t="e">
        <f aca="false">SUMIF($C$2:$F$2,EOMONTH(CY$2,-1)+1,$C101:$F101)*VLOOKUP(CY$2,Valores!$H$2:$P$154,8,0)</f>
        <v>#VALUE!</v>
      </c>
      <c r="CZ101" s="27" t="e">
        <f aca="false">SUMIF($C$2:$F$2,EOMONTH(CZ$2,-1)+1,$C101:$F101)*VLOOKUP(CZ$2,Valores!$H$2:$P$154,8,0)</f>
        <v>#VALUE!</v>
      </c>
      <c r="DA101" s="27" t="e">
        <f aca="false">SUMIF($C$2:$F$2,EOMONTH(DA$2,-1)+1,$C101:$F101)*VLOOKUP(DA$2,Valores!$H$2:$P$154,8,0)</f>
        <v>#VALUE!</v>
      </c>
      <c r="DB101" s="27" t="e">
        <f aca="false">SUMIF($C$2:$F$2,EOMONTH(DB$2,-1)+1,$C101:$F101)*VLOOKUP(DB$2,Valores!$H$2:$P$154,8,0)</f>
        <v>#VALUE!</v>
      </c>
      <c r="DC101" s="27" t="e">
        <f aca="false">SUMIF($C$2:$F$2,EOMONTH(DC$2,-1)+1,$C101:$F101)*VLOOKUP(DC$2,Valores!$H$2:$P$154,8,0)</f>
        <v>#VALUE!</v>
      </c>
      <c r="DD101" s="27" t="e">
        <f aca="false">SUMIF($C$2:$F$2,EOMONTH(DD$2,-1)+1,$C101:$F101)*VLOOKUP(DD$2,Valores!$H$2:$P$154,8,0)</f>
        <v>#VALUE!</v>
      </c>
      <c r="DE101" s="27" t="e">
        <f aca="false">SUMIF($C$2:$F$2,EOMONTH(DE$2,-1)+1,$C101:$F101)*VLOOKUP(DE$2,Valores!$H$2:$P$154,8,0)</f>
        <v>#VALUE!</v>
      </c>
      <c r="DF101" s="27" t="e">
        <f aca="false">SUMIF($C$2:$F$2,EOMONTH(DF$2,-1)+1,$C101:$F101)*VLOOKUP(DF$2,Valores!$H$2:$P$154,8,0)</f>
        <v>#VALUE!</v>
      </c>
      <c r="DG101" s="27" t="e">
        <f aca="false">SUMIF($C$2:$F$2,EOMONTH(DG$2,-1)+1,$C101:$F101)*VLOOKUP(DG$2,Valores!$H$2:$P$154,8,0)</f>
        <v>#VALUE!</v>
      </c>
      <c r="DH101" s="27" t="e">
        <f aca="false">SUMIF($C$2:$F$2,EOMONTH(DH$2,-1)+1,$C101:$F101)*VLOOKUP(DH$2,Valores!$H$2:$P$154,8,0)</f>
        <v>#VALUE!</v>
      </c>
      <c r="DI101" s="27" t="e">
        <f aca="false">SUMIF($C$2:$F$2,EOMONTH(DI$2,-1)+1,$C101:$F101)*VLOOKUP(DI$2,Valores!$H$2:$P$154,8,0)</f>
        <v>#VALUE!</v>
      </c>
      <c r="DJ101" s="27" t="e">
        <f aca="false">SUMIF($C$2:$F$2,EOMONTH(DJ$2,-1)+1,$C101:$F101)*VLOOKUP(DJ$2,Valores!$H$2:$P$154,8,0)</f>
        <v>#VALUE!</v>
      </c>
      <c r="DK101" s="27" t="e">
        <f aca="false">SUMIF($C$2:$F$2,EOMONTH(DK$2,-1)+1,$C101:$F101)*VLOOKUP(DK$2,Valores!$H$2:$P$154,8,0)</f>
        <v>#VALUE!</v>
      </c>
      <c r="DL101" s="27" t="e">
        <f aca="false">SUMIF($C$2:$F$2,EOMONTH(DL$2,-1)+1,$C101:$F101)*VLOOKUP(DL$2,Valores!$H$2:$P$154,8,0)</f>
        <v>#VALUE!</v>
      </c>
      <c r="DM101" s="27" t="e">
        <f aca="false">SUMIF($C$2:$F$2,EOMONTH(DM$2,-1)+1,$C101:$F101)*VLOOKUP(DM$2,Valores!$H$2:$P$154,8,0)</f>
        <v>#VALUE!</v>
      </c>
      <c r="DN101" s="27" t="e">
        <f aca="false">SUMIF($C$2:$F$2,EOMONTH(DN$2,-1)+1,$C101:$F101)*VLOOKUP(DN$2,Valores!$H$2:$P$154,8,0)</f>
        <v>#VALUE!</v>
      </c>
      <c r="DO101" s="27" t="e">
        <f aca="false">SUMIF($C$2:$F$2,EOMONTH(DO$2,-1)+1,$C101:$F101)*VLOOKUP(DO$2,Valores!$H$2:$P$154,8,0)</f>
        <v>#VALUE!</v>
      </c>
      <c r="DP101" s="27" t="e">
        <f aca="false">SUMIF($C$2:$F$2,EOMONTH(DP$2,-1)+1,$C101:$F101)*VLOOKUP(DP$2,Valores!$H$2:$P$154,8,0)</f>
        <v>#VALUE!</v>
      </c>
      <c r="DQ101" s="27" t="e">
        <f aca="false">SUMIF($C$2:$F$2,EOMONTH(DQ$2,-1)+1,$C101:$F101)*VLOOKUP(DQ$2,Valores!$H$2:$P$154,8,0)</f>
        <v>#VALUE!</v>
      </c>
      <c r="DR101" s="27" t="e">
        <f aca="false">SUMIF($C$2:$F$2,EOMONTH(DR$2,-1)+1,$C101:$F101)*VLOOKUP(DR$2,Valores!$H$2:$P$154,8,0)</f>
        <v>#VALUE!</v>
      </c>
      <c r="DS101" s="27" t="e">
        <f aca="false">SUMIF($C$2:$F$2,EOMONTH(DS$2,-1)+1,$C101:$F101)*VLOOKUP(DS$2,Valores!$H$2:$P$154,8,0)</f>
        <v>#VALUE!</v>
      </c>
      <c r="DT101" s="27" t="e">
        <f aca="false">SUMIF($C$2:$F$2,EOMONTH(DT$2,-1)+1,$C101:$F101)*VLOOKUP(DT$2,Valores!$H$2:$P$154,8,0)</f>
        <v>#VALUE!</v>
      </c>
      <c r="DU101" s="27" t="e">
        <f aca="false">SUMIF($C$2:$F$2,EOMONTH(DU$2,-1)+1,$C101:$F101)*VLOOKUP(DU$2,Valores!$H$2:$P$154,8,0)</f>
        <v>#VALUE!</v>
      </c>
      <c r="DV101" s="27" t="e">
        <f aca="false">SUMIF($C$2:$F$2,EOMONTH(DV$2,-1)+1,$C101:$F101)*VLOOKUP(DV$2,Valores!$H$2:$P$154,8,0)</f>
        <v>#VALUE!</v>
      </c>
      <c r="DW101" s="27" t="e">
        <f aca="false">SUMIF($C$2:$F$2,EOMONTH(DW$2,-1)+1,$C101:$F101)*VLOOKUP(DW$2,Valores!$H$2:$P$154,8,0)</f>
        <v>#VALUE!</v>
      </c>
      <c r="DX101" s="27" t="e">
        <f aca="false">SUMIF($C$2:$F$2,EOMONTH(DX$2,-1)+1,$C101:$F101)*VLOOKUP(DX$2,Valores!$H$2:$P$154,8,0)</f>
        <v>#VALUE!</v>
      </c>
    </row>
    <row r="102" customFormat="false" ht="13.8" hidden="false" customHeight="false" outlineLevel="0" collapsed="false">
      <c r="A102" s="29"/>
      <c r="B102" s="29"/>
      <c r="C102" s="29"/>
      <c r="D102" s="29"/>
      <c r="E102" s="29"/>
      <c r="F102" s="29"/>
      <c r="G102" s="30" t="n">
        <f aca="false">SUMIF($C$2:$F$2,EOMONTH(G$2,-1)+1,$C102:$F102)*VLOOKUP(G$2,Valores!$H$2:$P$154,8,0)</f>
        <v>0</v>
      </c>
      <c r="H102" s="30" t="n">
        <f aca="false">SUMIF($C$2:$F$2,EOMONTH(H$2,-1)+1,$C102:$F102)*VLOOKUP(H$2,Valores!$H$2:$P$154,8,0)</f>
        <v>0</v>
      </c>
      <c r="I102" s="30" t="n">
        <f aca="false">SUMIF($C$2:$F$2,EOMONTH(I$2,-1)+1,$C102:$F102)*VLOOKUP(I$2,Valores!$H$2:$P$154,8,0)</f>
        <v>0</v>
      </c>
      <c r="J102" s="30" t="n">
        <f aca="false">SUMIF($C$2:$F$2,EOMONTH(J$2,-1)+1,$C102:$F102)*VLOOKUP(J$2,Valores!$H$2:$P$154,8,0)</f>
        <v>0</v>
      </c>
      <c r="K102" s="30" t="n">
        <f aca="false">SUMIF($C$2:$F$2,EOMONTH(K$2,-1)+1,$C102:$F102)*VLOOKUP(K$2,Valores!$H$2:$P$154,8,0)</f>
        <v>0</v>
      </c>
      <c r="L102" s="30" t="n">
        <f aca="false">SUMIF($C$2:$F$2,EOMONTH(L$2,-1)+1,$C102:$F102)*VLOOKUP(L$2,Valores!$H$2:$P$154,8,0)</f>
        <v>0</v>
      </c>
      <c r="M102" s="30" t="n">
        <f aca="false">SUMIF($C$2:$F$2,EOMONTH(M$2,-1)+1,$C102:$F102)*VLOOKUP(M$2,Valores!$H$2:$P$154,8,0)</f>
        <v>0</v>
      </c>
      <c r="N102" s="30" t="n">
        <f aca="false">SUMIF($C$2:$F$2,EOMONTH(N$2,-1)+1,$C102:$F102)*VLOOKUP(N$2,Valores!$H$2:$P$154,8,0)</f>
        <v>0</v>
      </c>
      <c r="O102" s="30" t="n">
        <f aca="false">SUMIF($C$2:$F$2,EOMONTH(O$2,-1)+1,$C102:$F102)*VLOOKUP(O$2,Valores!$H$2:$P$154,8,0)</f>
        <v>0</v>
      </c>
      <c r="P102" s="30" t="n">
        <f aca="false">SUMIF($C$2:$F$2,EOMONTH(P$2,-1)+1,$C102:$F102)*VLOOKUP(P$2,Valores!$H$2:$P$154,8,0)</f>
        <v>0</v>
      </c>
      <c r="Q102" s="30" t="n">
        <f aca="false">SUMIF($C$2:$F$2,EOMONTH(Q$2,-1)+1,$C102:$F102)*VLOOKUP(Q$2,Valores!$H$2:$P$154,8,0)</f>
        <v>0</v>
      </c>
      <c r="R102" s="30" t="n">
        <f aca="false">SUMIF($C$2:$F$2,EOMONTH(R$2,-1)+1,$C102:$F102)*VLOOKUP(R$2,Valores!$H$2:$P$154,8,0)</f>
        <v>0</v>
      </c>
      <c r="S102" s="30" t="n">
        <f aca="false">SUMIF($C$2:$F$2,EOMONTH(S$2,-1)+1,$C102:$F102)*VLOOKUP(S$2,Valores!$H$2:$P$154,8,0)</f>
        <v>0</v>
      </c>
      <c r="T102" s="30" t="n">
        <f aca="false">SUMIF($C$2:$F$2,EOMONTH(T$2,-1)+1,$C102:$F102)*VLOOKUP(T$2,Valores!$H$2:$P$154,8,0)</f>
        <v>0</v>
      </c>
      <c r="U102" s="30" t="n">
        <f aca="false">SUMIF($C$2:$F$2,EOMONTH(U$2,-1)+1,$C102:$F102)*VLOOKUP(U$2,Valores!$H$2:$P$154,8,0)</f>
        <v>0</v>
      </c>
      <c r="V102" s="30" t="n">
        <f aca="false">SUMIF($C$2:$F$2,EOMONTH(V$2,-1)+1,$C102:$F102)*VLOOKUP(V$2,Valores!$H$2:$P$154,8,0)</f>
        <v>0</v>
      </c>
      <c r="W102" s="30" t="n">
        <f aca="false">SUMIF($C$2:$F$2,EOMONTH(W$2,-1)+1,$C102:$F102)*VLOOKUP(W$2,Valores!$H$2:$P$154,8,0)</f>
        <v>0</v>
      </c>
      <c r="X102" s="30" t="n">
        <f aca="false">SUMIF($C$2:$F$2,EOMONTH(X$2,-1)+1,$C102:$F102)*VLOOKUP(X$2,Valores!$H$2:$P$154,8,0)</f>
        <v>0</v>
      </c>
      <c r="Y102" s="30" t="n">
        <f aca="false">SUMIF($C$2:$F$2,EOMONTH(Y$2,-1)+1,$C102:$F102)*VLOOKUP(Y$2,Valores!$H$2:$P$154,8,0)</f>
        <v>0</v>
      </c>
      <c r="Z102" s="30" t="n">
        <f aca="false">SUMIF($C$2:$F$2,EOMONTH(Z$2,-1)+1,$C102:$F102)*VLOOKUP(Z$2,Valores!$H$2:$P$154,8,0)</f>
        <v>0</v>
      </c>
      <c r="AA102" s="30" t="n">
        <f aca="false">SUMIF($C$2:$F$2,EOMONTH(AA$2,-1)+1,$C102:$F102)*VLOOKUP(AA$2,Valores!$H$2:$P$154,8,0)</f>
        <v>0</v>
      </c>
      <c r="AB102" s="30" t="n">
        <f aca="false">SUMIF($C$2:$F$2,EOMONTH(AB$2,-1)+1,$C102:$F102)*VLOOKUP(AB$2,Valores!$H$2:$P$154,8,0)</f>
        <v>0</v>
      </c>
      <c r="AC102" s="30" t="n">
        <f aca="false">SUMIF($C$2:$F$2,EOMONTH(AC$2,-1)+1,$C102:$F102)*VLOOKUP(AC$2,Valores!$H$2:$P$154,8,0)</f>
        <v>0</v>
      </c>
      <c r="AD102" s="30" t="n">
        <f aca="false">SUMIF($C$2:$F$2,EOMONTH(AD$2,-1)+1,$C102:$F102)*VLOOKUP(AD$2,Valores!$H$2:$P$154,8,0)</f>
        <v>0</v>
      </c>
      <c r="AE102" s="30" t="n">
        <f aca="false">SUMIF($C$2:$F$2,EOMONTH(AE$2,-1)+1,$C102:$F102)*VLOOKUP(AE$2,Valores!$H$2:$P$154,8,0)</f>
        <v>0</v>
      </c>
      <c r="AF102" s="30" t="n">
        <f aca="false">SUMIF($C$2:$F$2,EOMONTH(AF$2,-1)+1,$C102:$F102)*VLOOKUP(AF$2,Valores!$H$2:$P$154,8,0)</f>
        <v>0</v>
      </c>
      <c r="AG102" s="30" t="n">
        <f aca="false">SUMIF($C$2:$F$2,EOMONTH(AG$2,-1)+1,$C102:$F102)*VLOOKUP(AG$2,Valores!$H$2:$P$154,8,0)</f>
        <v>0</v>
      </c>
      <c r="AH102" s="30" t="n">
        <f aca="false">SUMIF($C$2:$F$2,EOMONTH(AH$2,-1)+1,$C102:$F102)*VLOOKUP(AH$2,Valores!$H$2:$P$154,8,0)</f>
        <v>0</v>
      </c>
      <c r="AI102" s="30" t="n">
        <f aca="false">SUMIF($C$2:$F$2,EOMONTH(AI$2,-1)+1,$C102:$F102)*VLOOKUP(AI$2,Valores!$H$2:$P$154,8,0)</f>
        <v>0</v>
      </c>
      <c r="AJ102" s="30" t="n">
        <f aca="false">SUMIF($C$2:$F$2,EOMONTH(AJ$2,-1)+1,$C102:$F102)*VLOOKUP(AJ$2,Valores!$H$2:$P$154,8,0)</f>
        <v>0</v>
      </c>
      <c r="AK102" s="30" t="n">
        <f aca="false">SUMIF($C$2:$F$2,EOMONTH(AK$2,-1)+1,$C102:$F102)*VLOOKUP(AK$2,Valores!$H$2:$P$154,8,0)</f>
        <v>0</v>
      </c>
      <c r="AL102" s="30" t="n">
        <f aca="false">SUMIF($C$2:$F$2,EOMONTH(AL$2,-1)+1,$C102:$F102)*VLOOKUP(AL$2,Valores!$H$2:$P$154,8,0)</f>
        <v>0</v>
      </c>
      <c r="AM102" s="30" t="n">
        <f aca="false">SUMIF($C$2:$F$2,EOMONTH(AM$2,-1)+1,$C102:$F102)*VLOOKUP(AM$2,Valores!$H$2:$P$154,8,0)</f>
        <v>0</v>
      </c>
      <c r="AN102" s="30" t="n">
        <f aca="false">SUMIF($C$2:$F$2,EOMONTH(AN$2,-1)+1,$C102:$F102)*VLOOKUP(AN$2,Valores!$H$2:$P$154,8,0)</f>
        <v>0</v>
      </c>
      <c r="AO102" s="30" t="n">
        <f aca="false">SUMIF($C$2:$F$2,EOMONTH(AO$2,-1)+1,$C102:$F102)*VLOOKUP(AO$2,Valores!$H$2:$P$154,8,0)</f>
        <v>0</v>
      </c>
      <c r="AP102" s="30" t="n">
        <f aca="false">SUMIF($C$2:$F$2,EOMONTH(AP$2,-1)+1,$C102:$F102)*VLOOKUP(AP$2,Valores!$H$2:$P$154,8,0)</f>
        <v>0</v>
      </c>
      <c r="AQ102" s="30" t="n">
        <f aca="false">SUMIF($C$2:$F$2,EOMONTH(AQ$2,-1)+1,$C102:$F102)*VLOOKUP(AQ$2,Valores!$H$2:$P$154,8,0)</f>
        <v>0</v>
      </c>
      <c r="AR102" s="30" t="n">
        <f aca="false">SUMIF($C$2:$F$2,EOMONTH(AR$2,-1)+1,$C102:$F102)*VLOOKUP(AR$2,Valores!$H$2:$P$154,8,0)</f>
        <v>0</v>
      </c>
      <c r="AS102" s="30" t="n">
        <f aca="false">SUMIF($C$2:$F$2,EOMONTH(AS$2,-1)+1,$C102:$F102)*VLOOKUP(AS$2,Valores!$H$2:$P$154,8,0)</f>
        <v>0</v>
      </c>
      <c r="AT102" s="30" t="n">
        <f aca="false">SUMIF($C$2:$F$2,EOMONTH(AT$2,-1)+1,$C102:$F102)*VLOOKUP(AT$2,Valores!$H$2:$P$154,8,0)</f>
        <v>0</v>
      </c>
      <c r="AU102" s="30" t="n">
        <f aca="false">SUMIF($C$2:$F$2,EOMONTH(AU$2,-1)+1,$C102:$F102)*VLOOKUP(AU$2,Valores!$H$2:$P$154,8,0)</f>
        <v>0</v>
      </c>
      <c r="AV102" s="30" t="n">
        <f aca="false">SUMIF($C$2:$F$2,EOMONTH(AV$2,-1)+1,$C102:$F102)*VLOOKUP(AV$2,Valores!$H$2:$P$154,8,0)</f>
        <v>0</v>
      </c>
      <c r="AW102" s="30" t="n">
        <f aca="false">SUMIF($C$2:$F$2,EOMONTH(AW$2,-1)+1,$C102:$F102)*VLOOKUP(AW$2,Valores!$H$2:$P$154,8,0)</f>
        <v>0</v>
      </c>
      <c r="AX102" s="30" t="n">
        <f aca="false">SUMIF($C$2:$F$2,EOMONTH(AX$2,-1)+1,$C102:$F102)*VLOOKUP(AX$2,Valores!$H$2:$P$154,8,0)</f>
        <v>0</v>
      </c>
      <c r="AY102" s="30" t="n">
        <f aca="false">SUMIF($C$2:$F$2,EOMONTH(AY$2,-1)+1,$C102:$F102)*VLOOKUP(AY$2,Valores!$H$2:$P$154,8,0)</f>
        <v>0</v>
      </c>
      <c r="AZ102" s="30" t="n">
        <f aca="false">SUMIF($C$2:$F$2,EOMONTH(AZ$2,-1)+1,$C102:$F102)*VLOOKUP(AZ$2,Valores!$H$2:$P$154,8,0)</f>
        <v>0</v>
      </c>
      <c r="BA102" s="30" t="n">
        <f aca="false">SUMIF($C$2:$F$2,EOMONTH(BA$2,-1)+1,$C102:$F102)*VLOOKUP(BA$2,Valores!$H$2:$P$154,8,0)</f>
        <v>0</v>
      </c>
      <c r="BB102" s="30" t="n">
        <f aca="false">SUMIF($C$2:$F$2,EOMONTH(BB$2,-1)+1,$C102:$F102)*VLOOKUP(BB$2,Valores!$H$2:$P$154,8,0)</f>
        <v>0</v>
      </c>
      <c r="BC102" s="30" t="n">
        <f aca="false">SUMIF($C$2:$F$2,EOMONTH(BC$2,-1)+1,$C102:$F102)*VLOOKUP(BC$2,Valores!$H$2:$P$154,8,0)</f>
        <v>0</v>
      </c>
      <c r="BD102" s="30" t="n">
        <f aca="false">SUMIF($C$2:$F$2,EOMONTH(BD$2,-1)+1,$C102:$F102)*VLOOKUP(BD$2,Valores!$H$2:$P$154,8,0)</f>
        <v>0</v>
      </c>
      <c r="BE102" s="30" t="n">
        <f aca="false">SUMIF($C$2:$F$2,EOMONTH(BE$2,-1)+1,$C102:$F102)*VLOOKUP(BE$2,Valores!$H$2:$P$154,8,0)</f>
        <v>0</v>
      </c>
      <c r="BF102" s="30" t="n">
        <f aca="false">SUMIF($C$2:$F$2,EOMONTH(BF$2,-1)+1,$C102:$F102)*VLOOKUP(BF$2,Valores!$H$2:$P$154,8,0)</f>
        <v>0</v>
      </c>
      <c r="BG102" s="30" t="n">
        <f aca="false">SUMIF($C$2:$F$2,EOMONTH(BG$2,-1)+1,$C102:$F102)*VLOOKUP(BG$2,Valores!$H$2:$P$154,8,0)</f>
        <v>0</v>
      </c>
      <c r="BH102" s="30" t="n">
        <f aca="false">SUMIF($C$2:$F$2,EOMONTH(BH$2,-1)+1,$C102:$F102)*VLOOKUP(BH$2,Valores!$H$2:$P$154,8,0)</f>
        <v>0</v>
      </c>
      <c r="BI102" s="30" t="n">
        <f aca="false">SUMIF($C$2:$F$2,EOMONTH(BI$2,-1)+1,$C102:$F102)*VLOOKUP(BI$2,Valores!$H$2:$P$154,8,0)</f>
        <v>0</v>
      </c>
      <c r="BJ102" s="30" t="n">
        <f aca="false">SUMIF($C$2:$F$2,EOMONTH(BJ$2,-1)+1,$C102:$F102)*VLOOKUP(BJ$2,Valores!$H$2:$P$154,8,0)</f>
        <v>0</v>
      </c>
      <c r="BK102" s="30" t="n">
        <f aca="false">SUMIF($C$2:$F$2,EOMONTH(BK$2,-1)+1,$C102:$F102)*VLOOKUP(BK$2,Valores!$H$2:$P$154,8,0)</f>
        <v>0</v>
      </c>
      <c r="BL102" s="30" t="n">
        <f aca="false">SUMIF($C$2:$F$2,EOMONTH(BL$2,-1)+1,$C102:$F102)*VLOOKUP(BL$2,Valores!$H$2:$P$154,8,0)</f>
        <v>0</v>
      </c>
      <c r="BM102" s="30" t="n">
        <f aca="false">SUMIF($C$2:$F$2,EOMONTH(BM$2,-1)+1,$C102:$F102)*VLOOKUP(BM$2,Valores!$H$2:$P$154,8,0)</f>
        <v>0</v>
      </c>
      <c r="BN102" s="30" t="n">
        <f aca="false">SUMIF($C$2:$F$2,EOMONTH(BN$2,-1)+1,$C102:$F102)*VLOOKUP(BN$2,Valores!$H$2:$P$154,8,0)</f>
        <v>0</v>
      </c>
      <c r="BO102" s="30" t="n">
        <f aca="false">SUMIF($C$2:$F$2,EOMONTH(BO$2,-1)+1,$C102:$F102)*VLOOKUP(BO$2,Valores!$H$2:$P$154,8,0)</f>
        <v>0</v>
      </c>
      <c r="BP102" s="30" t="n">
        <f aca="false">SUMIF($C$2:$F$2,EOMONTH(BP$2,-1)+1,$C102:$F102)*VLOOKUP(BP$2,Valores!$H$2:$P$154,8,0)</f>
        <v>0</v>
      </c>
      <c r="BQ102" s="30" t="n">
        <f aca="false">SUMIF($C$2:$F$2,EOMONTH(BQ$2,-1)+1,$C102:$F102)*VLOOKUP(BQ$2,Valores!$H$2:$P$154,8,0)</f>
        <v>0</v>
      </c>
      <c r="BR102" s="30" t="n">
        <f aca="false">SUMIF($C$2:$F$2,EOMONTH(BR$2,-1)+1,$C102:$F102)*VLOOKUP(BR$2,Valores!$H$2:$P$154,8,0)</f>
        <v>0</v>
      </c>
      <c r="BS102" s="30" t="n">
        <f aca="false">SUMIF($C$2:$F$2,EOMONTH(BS$2,-1)+1,$C102:$F102)*VLOOKUP(BS$2,Valores!$H$2:$P$154,8,0)</f>
        <v>0</v>
      </c>
      <c r="BT102" s="30" t="n">
        <f aca="false">SUMIF($C$2:$F$2,EOMONTH(BT$2,-1)+1,$C102:$F102)*VLOOKUP(BT$2,Valores!$H$2:$P$154,8,0)</f>
        <v>0</v>
      </c>
      <c r="BU102" s="30" t="n">
        <f aca="false">SUMIF($C$2:$F$2,EOMONTH(BU$2,-1)+1,$C102:$F102)*VLOOKUP(BU$2,Valores!$H$2:$P$154,8,0)</f>
        <v>0</v>
      </c>
      <c r="BV102" s="30" t="n">
        <f aca="false">SUMIF($C$2:$F$2,EOMONTH(BV$2,-1)+1,$C102:$F102)*VLOOKUP(BV$2,Valores!$H$2:$P$154,8,0)</f>
        <v>0</v>
      </c>
      <c r="BW102" s="30" t="n">
        <f aca="false">SUMIF($C$2:$F$2,EOMONTH(BW$2,-1)+1,$C102:$F102)*VLOOKUP(BW$2,Valores!$H$2:$P$154,8,0)</f>
        <v>0</v>
      </c>
      <c r="BX102" s="30" t="n">
        <f aca="false">SUMIF($C$2:$F$2,EOMONTH(BX$2,-1)+1,$C102:$F102)*VLOOKUP(BX$2,Valores!$H$2:$P$154,8,0)</f>
        <v>0</v>
      </c>
      <c r="BY102" s="30" t="n">
        <f aca="false">SUMIF($C$2:$F$2,EOMONTH(BY$2,-1)+1,$C102:$F102)*VLOOKUP(BY$2,Valores!$H$2:$P$154,8,0)</f>
        <v>0</v>
      </c>
      <c r="BZ102" s="30" t="n">
        <f aca="false">SUMIF($C$2:$F$2,EOMONTH(BZ$2,-1)+1,$C102:$F102)*VLOOKUP(BZ$2,Valores!$H$2:$P$154,8,0)</f>
        <v>0</v>
      </c>
      <c r="CA102" s="30" t="n">
        <f aca="false">SUMIF($C$2:$F$2,EOMONTH(CA$2,-1)+1,$C102:$F102)*VLOOKUP(CA$2,Valores!$H$2:$P$154,8,0)</f>
        <v>0</v>
      </c>
      <c r="CB102" s="30" t="n">
        <f aca="false">SUMIF($C$2:$F$2,EOMONTH(CB$2,-1)+1,$C102:$F102)*VLOOKUP(CB$2,Valores!$H$2:$P$154,8,0)</f>
        <v>0</v>
      </c>
      <c r="CC102" s="30" t="n">
        <f aca="false">SUMIF($C$2:$F$2,EOMONTH(CC$2,-1)+1,$C102:$F102)*VLOOKUP(CC$2,Valores!$H$2:$P$154,8,0)</f>
        <v>0</v>
      </c>
      <c r="CD102" s="30" t="n">
        <f aca="false">SUMIF($C$2:$F$2,EOMONTH(CD$2,-1)+1,$C102:$F102)*VLOOKUP(CD$2,Valores!$H$2:$P$154,8,0)</f>
        <v>0</v>
      </c>
      <c r="CE102" s="30" t="n">
        <f aca="false">SUMIF($C$2:$F$2,EOMONTH(CE$2,-1)+1,$C102:$F102)*VLOOKUP(CE$2,Valores!$H$2:$P$154,8,0)</f>
        <v>0</v>
      </c>
      <c r="CF102" s="30" t="n">
        <f aca="false">SUMIF($C$2:$F$2,EOMONTH(CF$2,-1)+1,$C102:$F102)*VLOOKUP(CF$2,Valores!$H$2:$P$154,8,0)</f>
        <v>0</v>
      </c>
      <c r="CG102" s="30" t="n">
        <f aca="false">SUMIF($C$2:$F$2,EOMONTH(CG$2,-1)+1,$C102:$F102)*VLOOKUP(CG$2,Valores!$H$2:$P$154,8,0)</f>
        <v>0</v>
      </c>
      <c r="CH102" s="30" t="n">
        <f aca="false">SUMIF($C$2:$F$2,EOMONTH(CH$2,-1)+1,$C102:$F102)*VLOOKUP(CH$2,Valores!$H$2:$P$154,8,0)</f>
        <v>0</v>
      </c>
      <c r="CI102" s="30" t="n">
        <f aca="false">SUMIF($C$2:$F$2,EOMONTH(CI$2,-1)+1,$C102:$F102)*VLOOKUP(CI$2,Valores!$H$2:$P$154,8,0)</f>
        <v>0</v>
      </c>
      <c r="CJ102" s="30" t="n">
        <f aca="false">SUMIF($C$2:$F$2,EOMONTH(CJ$2,-1)+1,$C102:$F102)*VLOOKUP(CJ$2,Valores!$H$2:$P$154,8,0)</f>
        <v>0</v>
      </c>
      <c r="CK102" s="30" t="n">
        <f aca="false">SUMIF($C$2:$F$2,EOMONTH(CK$2,-1)+1,$C102:$F102)*VLOOKUP(CK$2,Valores!$H$2:$P$154,8,0)</f>
        <v>0</v>
      </c>
      <c r="CL102" s="30" t="n">
        <f aca="false">SUMIF($C$2:$F$2,EOMONTH(CL$2,-1)+1,$C102:$F102)*VLOOKUP(CL$2,Valores!$H$2:$P$154,8,0)</f>
        <v>0</v>
      </c>
      <c r="CM102" s="30" t="n">
        <f aca="false">SUMIF($C$2:$F$2,EOMONTH(CM$2,-1)+1,$C102:$F102)*VLOOKUP(CM$2,Valores!$H$2:$P$154,8,0)</f>
        <v>0</v>
      </c>
      <c r="CN102" s="30" t="n">
        <f aca="false">SUMIF($C$2:$F$2,EOMONTH(CN$2,-1)+1,$C102:$F102)*VLOOKUP(CN$2,Valores!$H$2:$P$154,8,0)</f>
        <v>0</v>
      </c>
      <c r="CO102" s="30" t="n">
        <f aca="false">SUMIF($C$2:$F$2,EOMONTH(CO$2,-1)+1,$C102:$F102)*VLOOKUP(CO$2,Valores!$H$2:$P$154,8,0)</f>
        <v>0</v>
      </c>
      <c r="CP102" s="30" t="n">
        <f aca="false">SUMIF($C$2:$F$2,EOMONTH(CP$2,-1)+1,$C102:$F102)*VLOOKUP(CP$2,Valores!$H$2:$P$154,8,0)</f>
        <v>0</v>
      </c>
      <c r="CQ102" s="30" t="n">
        <f aca="false">SUMIF($C$2:$F$2,EOMONTH(CQ$2,-1)+1,$C102:$F102)*VLOOKUP(CQ$2,Valores!$H$2:$P$154,8,0)</f>
        <v>0</v>
      </c>
      <c r="CR102" s="30" t="n">
        <f aca="false">SUMIF($C$2:$F$2,EOMONTH(CR$2,-1)+1,$C102:$F102)*VLOOKUP(CR$2,Valores!$H$2:$P$154,8,0)</f>
        <v>0</v>
      </c>
      <c r="CS102" s="30" t="n">
        <f aca="false">SUMIF($C$2:$F$2,EOMONTH(CS$2,-1)+1,$C102:$F102)*VLOOKUP(CS$2,Valores!$H$2:$P$154,8,0)</f>
        <v>0</v>
      </c>
      <c r="CT102" s="30" t="e">
        <f aca="false">SUMIF($C$2:$F$2,EOMONTH(CT$2,-1)+1,$C102:$F102)*VLOOKUP(CT$2,Valores!$H$2:$P$154,8,0)</f>
        <v>#VALUE!</v>
      </c>
      <c r="CU102" s="30" t="e">
        <f aca="false">SUMIF($C$2:$F$2,EOMONTH(CU$2,-1)+1,$C102:$F102)*VLOOKUP(CU$2,Valores!$H$2:$P$154,8,0)</f>
        <v>#VALUE!</v>
      </c>
      <c r="CV102" s="30" t="e">
        <f aca="false">SUMIF($C$2:$F$2,EOMONTH(CV$2,-1)+1,$C102:$F102)*VLOOKUP(CV$2,Valores!$H$2:$P$154,8,0)</f>
        <v>#VALUE!</v>
      </c>
      <c r="CW102" s="30" t="e">
        <f aca="false">SUMIF($C$2:$F$2,EOMONTH(CW$2,-1)+1,$C102:$F102)*VLOOKUP(CW$2,Valores!$H$2:$P$154,8,0)</f>
        <v>#VALUE!</v>
      </c>
      <c r="CX102" s="30" t="e">
        <f aca="false">SUMIF($C$2:$F$2,EOMONTH(CX$2,-1)+1,$C102:$F102)*VLOOKUP(CX$2,Valores!$H$2:$P$154,8,0)</f>
        <v>#VALUE!</v>
      </c>
      <c r="CY102" s="30" t="e">
        <f aca="false">SUMIF($C$2:$F$2,EOMONTH(CY$2,-1)+1,$C102:$F102)*VLOOKUP(CY$2,Valores!$H$2:$P$154,8,0)</f>
        <v>#VALUE!</v>
      </c>
      <c r="CZ102" s="30" t="e">
        <f aca="false">SUMIF($C$2:$F$2,EOMONTH(CZ$2,-1)+1,$C102:$F102)*VLOOKUP(CZ$2,Valores!$H$2:$P$154,8,0)</f>
        <v>#VALUE!</v>
      </c>
      <c r="DA102" s="30" t="e">
        <f aca="false">SUMIF($C$2:$F$2,EOMONTH(DA$2,-1)+1,$C102:$F102)*VLOOKUP(DA$2,Valores!$H$2:$P$154,8,0)</f>
        <v>#VALUE!</v>
      </c>
      <c r="DB102" s="30" t="e">
        <f aca="false">SUMIF($C$2:$F$2,EOMONTH(DB$2,-1)+1,$C102:$F102)*VLOOKUP(DB$2,Valores!$H$2:$P$154,8,0)</f>
        <v>#VALUE!</v>
      </c>
      <c r="DC102" s="30" t="e">
        <f aca="false">SUMIF($C$2:$F$2,EOMONTH(DC$2,-1)+1,$C102:$F102)*VLOOKUP(DC$2,Valores!$H$2:$P$154,8,0)</f>
        <v>#VALUE!</v>
      </c>
      <c r="DD102" s="30" t="e">
        <f aca="false">SUMIF($C$2:$F$2,EOMONTH(DD$2,-1)+1,$C102:$F102)*VLOOKUP(DD$2,Valores!$H$2:$P$154,8,0)</f>
        <v>#VALUE!</v>
      </c>
      <c r="DE102" s="30" t="e">
        <f aca="false">SUMIF($C$2:$F$2,EOMONTH(DE$2,-1)+1,$C102:$F102)*VLOOKUP(DE$2,Valores!$H$2:$P$154,8,0)</f>
        <v>#VALUE!</v>
      </c>
      <c r="DF102" s="30" t="e">
        <f aca="false">SUMIF($C$2:$F$2,EOMONTH(DF$2,-1)+1,$C102:$F102)*VLOOKUP(DF$2,Valores!$H$2:$P$154,8,0)</f>
        <v>#VALUE!</v>
      </c>
      <c r="DG102" s="30" t="e">
        <f aca="false">SUMIF($C$2:$F$2,EOMONTH(DG$2,-1)+1,$C102:$F102)*VLOOKUP(DG$2,Valores!$H$2:$P$154,8,0)</f>
        <v>#VALUE!</v>
      </c>
      <c r="DH102" s="30" t="e">
        <f aca="false">SUMIF($C$2:$F$2,EOMONTH(DH$2,-1)+1,$C102:$F102)*VLOOKUP(DH$2,Valores!$H$2:$P$154,8,0)</f>
        <v>#VALUE!</v>
      </c>
      <c r="DI102" s="30" t="e">
        <f aca="false">SUMIF($C$2:$F$2,EOMONTH(DI$2,-1)+1,$C102:$F102)*VLOOKUP(DI$2,Valores!$H$2:$P$154,8,0)</f>
        <v>#VALUE!</v>
      </c>
      <c r="DJ102" s="30" t="e">
        <f aca="false">SUMIF($C$2:$F$2,EOMONTH(DJ$2,-1)+1,$C102:$F102)*VLOOKUP(DJ$2,Valores!$H$2:$P$154,8,0)</f>
        <v>#VALUE!</v>
      </c>
      <c r="DK102" s="30" t="e">
        <f aca="false">SUMIF($C$2:$F$2,EOMONTH(DK$2,-1)+1,$C102:$F102)*VLOOKUP(DK$2,Valores!$H$2:$P$154,8,0)</f>
        <v>#VALUE!</v>
      </c>
      <c r="DL102" s="30" t="e">
        <f aca="false">SUMIF($C$2:$F$2,EOMONTH(DL$2,-1)+1,$C102:$F102)*VLOOKUP(DL$2,Valores!$H$2:$P$154,8,0)</f>
        <v>#VALUE!</v>
      </c>
      <c r="DM102" s="30" t="e">
        <f aca="false">SUMIF($C$2:$F$2,EOMONTH(DM$2,-1)+1,$C102:$F102)*VLOOKUP(DM$2,Valores!$H$2:$P$154,8,0)</f>
        <v>#VALUE!</v>
      </c>
      <c r="DN102" s="30" t="e">
        <f aca="false">SUMIF($C$2:$F$2,EOMONTH(DN$2,-1)+1,$C102:$F102)*VLOOKUP(DN$2,Valores!$H$2:$P$154,8,0)</f>
        <v>#VALUE!</v>
      </c>
      <c r="DO102" s="30" t="e">
        <f aca="false">SUMIF($C$2:$F$2,EOMONTH(DO$2,-1)+1,$C102:$F102)*VLOOKUP(DO$2,Valores!$H$2:$P$154,8,0)</f>
        <v>#VALUE!</v>
      </c>
      <c r="DP102" s="30" t="e">
        <f aca="false">SUMIF($C$2:$F$2,EOMONTH(DP$2,-1)+1,$C102:$F102)*VLOOKUP(DP$2,Valores!$H$2:$P$154,8,0)</f>
        <v>#VALUE!</v>
      </c>
      <c r="DQ102" s="30" t="e">
        <f aca="false">SUMIF($C$2:$F$2,EOMONTH(DQ$2,-1)+1,$C102:$F102)*VLOOKUP(DQ$2,Valores!$H$2:$P$154,8,0)</f>
        <v>#VALUE!</v>
      </c>
      <c r="DR102" s="30" t="e">
        <f aca="false">SUMIF($C$2:$F$2,EOMONTH(DR$2,-1)+1,$C102:$F102)*VLOOKUP(DR$2,Valores!$H$2:$P$154,8,0)</f>
        <v>#VALUE!</v>
      </c>
      <c r="DS102" s="30" t="e">
        <f aca="false">SUMIF($C$2:$F$2,EOMONTH(DS$2,-1)+1,$C102:$F102)*VLOOKUP(DS$2,Valores!$H$2:$P$154,8,0)</f>
        <v>#VALUE!</v>
      </c>
      <c r="DT102" s="30" t="e">
        <f aca="false">SUMIF($C$2:$F$2,EOMONTH(DT$2,-1)+1,$C102:$F102)*VLOOKUP(DT$2,Valores!$H$2:$P$154,8,0)</f>
        <v>#VALUE!</v>
      </c>
      <c r="DU102" s="30" t="e">
        <f aca="false">SUMIF($C$2:$F$2,EOMONTH(DU$2,-1)+1,$C102:$F102)*VLOOKUP(DU$2,Valores!$H$2:$P$154,8,0)</f>
        <v>#VALUE!</v>
      </c>
      <c r="DV102" s="30" t="e">
        <f aca="false">SUMIF($C$2:$F$2,EOMONTH(DV$2,-1)+1,$C102:$F102)*VLOOKUP(DV$2,Valores!$H$2:$P$154,8,0)</f>
        <v>#VALUE!</v>
      </c>
      <c r="DW102" s="30" t="e">
        <f aca="false">SUMIF($C$2:$F$2,EOMONTH(DW$2,-1)+1,$C102:$F102)*VLOOKUP(DW$2,Valores!$H$2:$P$154,8,0)</f>
        <v>#VALUE!</v>
      </c>
      <c r="DX102" s="30" t="e">
        <f aca="false">SUMIF($C$2:$F$2,EOMONTH(DX$2,-1)+1,$C102:$F102)*VLOOKUP(DX$2,Valores!$H$2:$P$154,8,0)</f>
        <v>#VALUE!</v>
      </c>
    </row>
    <row r="103" customFormat="false" ht="13.8" hidden="false" customHeight="false" outlineLevel="0" collapsed="false">
      <c r="A103" s="31"/>
      <c r="B103" s="31"/>
      <c r="C103" s="31"/>
      <c r="D103" s="31"/>
      <c r="E103" s="31"/>
      <c r="F103" s="31"/>
      <c r="G103" s="27" t="n">
        <f aca="false">SUMIF($C$2:$F$2,EOMONTH(G$2,-1)+1,$C103:$F103)*VLOOKUP(G$2,Valores!$H$2:$P$154,8,0)</f>
        <v>0</v>
      </c>
      <c r="H103" s="27" t="n">
        <f aca="false">SUMIF($C$2:$F$2,EOMONTH(H$2,-1)+1,$C103:$F103)*VLOOKUP(H$2,Valores!$H$2:$P$154,8,0)</f>
        <v>0</v>
      </c>
      <c r="I103" s="27" t="n">
        <f aca="false">SUMIF($C$2:$F$2,EOMONTH(I$2,-1)+1,$C103:$F103)*VLOOKUP(I$2,Valores!$H$2:$P$154,8,0)</f>
        <v>0</v>
      </c>
      <c r="J103" s="27" t="n">
        <f aca="false">SUMIF($C$2:$F$2,EOMONTH(J$2,-1)+1,$C103:$F103)*VLOOKUP(J$2,Valores!$H$2:$P$154,8,0)</f>
        <v>0</v>
      </c>
      <c r="K103" s="27" t="n">
        <f aca="false">SUMIF($C$2:$F$2,EOMONTH(K$2,-1)+1,$C103:$F103)*VLOOKUP(K$2,Valores!$H$2:$P$154,8,0)</f>
        <v>0</v>
      </c>
      <c r="L103" s="27" t="n">
        <f aca="false">SUMIF($C$2:$F$2,EOMONTH(L$2,-1)+1,$C103:$F103)*VLOOKUP(L$2,Valores!$H$2:$P$154,8,0)</f>
        <v>0</v>
      </c>
      <c r="M103" s="27" t="n">
        <f aca="false">SUMIF($C$2:$F$2,EOMONTH(M$2,-1)+1,$C103:$F103)*VLOOKUP(M$2,Valores!$H$2:$P$154,8,0)</f>
        <v>0</v>
      </c>
      <c r="N103" s="27" t="n">
        <f aca="false">SUMIF($C$2:$F$2,EOMONTH(N$2,-1)+1,$C103:$F103)*VLOOKUP(N$2,Valores!$H$2:$P$154,8,0)</f>
        <v>0</v>
      </c>
      <c r="O103" s="27" t="n">
        <f aca="false">SUMIF($C$2:$F$2,EOMONTH(O$2,-1)+1,$C103:$F103)*VLOOKUP(O$2,Valores!$H$2:$P$154,8,0)</f>
        <v>0</v>
      </c>
      <c r="P103" s="27" t="n">
        <f aca="false">SUMIF($C$2:$F$2,EOMONTH(P$2,-1)+1,$C103:$F103)*VLOOKUP(P$2,Valores!$H$2:$P$154,8,0)</f>
        <v>0</v>
      </c>
      <c r="Q103" s="27" t="n">
        <f aca="false">SUMIF($C$2:$F$2,EOMONTH(Q$2,-1)+1,$C103:$F103)*VLOOKUP(Q$2,Valores!$H$2:$P$154,8,0)</f>
        <v>0</v>
      </c>
      <c r="R103" s="27" t="n">
        <f aca="false">SUMIF($C$2:$F$2,EOMONTH(R$2,-1)+1,$C103:$F103)*VLOOKUP(R$2,Valores!$H$2:$P$154,8,0)</f>
        <v>0</v>
      </c>
      <c r="S103" s="27" t="n">
        <f aca="false">SUMIF($C$2:$F$2,EOMONTH(S$2,-1)+1,$C103:$F103)*VLOOKUP(S$2,Valores!$H$2:$P$154,8,0)</f>
        <v>0</v>
      </c>
      <c r="T103" s="27" t="n">
        <f aca="false">SUMIF($C$2:$F$2,EOMONTH(T$2,-1)+1,$C103:$F103)*VLOOKUP(T$2,Valores!$H$2:$P$154,8,0)</f>
        <v>0</v>
      </c>
      <c r="U103" s="27" t="n">
        <f aca="false">SUMIF($C$2:$F$2,EOMONTH(U$2,-1)+1,$C103:$F103)*VLOOKUP(U$2,Valores!$H$2:$P$154,8,0)</f>
        <v>0</v>
      </c>
      <c r="V103" s="27" t="n">
        <f aca="false">SUMIF($C$2:$F$2,EOMONTH(V$2,-1)+1,$C103:$F103)*VLOOKUP(V$2,Valores!$H$2:$P$154,8,0)</f>
        <v>0</v>
      </c>
      <c r="W103" s="27" t="n">
        <f aca="false">SUMIF($C$2:$F$2,EOMONTH(W$2,-1)+1,$C103:$F103)*VLOOKUP(W$2,Valores!$H$2:$P$154,8,0)</f>
        <v>0</v>
      </c>
      <c r="X103" s="27" t="n">
        <f aca="false">SUMIF($C$2:$F$2,EOMONTH(X$2,-1)+1,$C103:$F103)*VLOOKUP(X$2,Valores!$H$2:$P$154,8,0)</f>
        <v>0</v>
      </c>
      <c r="Y103" s="27" t="n">
        <f aca="false">SUMIF($C$2:$F$2,EOMONTH(Y$2,-1)+1,$C103:$F103)*VLOOKUP(Y$2,Valores!$H$2:$P$154,8,0)</f>
        <v>0</v>
      </c>
      <c r="Z103" s="27" t="n">
        <f aca="false">SUMIF($C$2:$F$2,EOMONTH(Z$2,-1)+1,$C103:$F103)*VLOOKUP(Z$2,Valores!$H$2:$P$154,8,0)</f>
        <v>0</v>
      </c>
      <c r="AA103" s="27" t="n">
        <f aca="false">SUMIF($C$2:$F$2,EOMONTH(AA$2,-1)+1,$C103:$F103)*VLOOKUP(AA$2,Valores!$H$2:$P$154,8,0)</f>
        <v>0</v>
      </c>
      <c r="AB103" s="27" t="n">
        <f aca="false">SUMIF($C$2:$F$2,EOMONTH(AB$2,-1)+1,$C103:$F103)*VLOOKUP(AB$2,Valores!$H$2:$P$154,8,0)</f>
        <v>0</v>
      </c>
      <c r="AC103" s="27" t="n">
        <f aca="false">SUMIF($C$2:$F$2,EOMONTH(AC$2,-1)+1,$C103:$F103)*VLOOKUP(AC$2,Valores!$H$2:$P$154,8,0)</f>
        <v>0</v>
      </c>
      <c r="AD103" s="27" t="n">
        <f aca="false">SUMIF($C$2:$F$2,EOMONTH(AD$2,-1)+1,$C103:$F103)*VLOOKUP(AD$2,Valores!$H$2:$P$154,8,0)</f>
        <v>0</v>
      </c>
      <c r="AE103" s="27" t="n">
        <f aca="false">SUMIF($C$2:$F$2,EOMONTH(AE$2,-1)+1,$C103:$F103)*VLOOKUP(AE$2,Valores!$H$2:$P$154,8,0)</f>
        <v>0</v>
      </c>
      <c r="AF103" s="27" t="n">
        <f aca="false">SUMIF($C$2:$F$2,EOMONTH(AF$2,-1)+1,$C103:$F103)*VLOOKUP(AF$2,Valores!$H$2:$P$154,8,0)</f>
        <v>0</v>
      </c>
      <c r="AG103" s="27" t="n">
        <f aca="false">SUMIF($C$2:$F$2,EOMONTH(AG$2,-1)+1,$C103:$F103)*VLOOKUP(AG$2,Valores!$H$2:$P$154,8,0)</f>
        <v>0</v>
      </c>
      <c r="AH103" s="27" t="n">
        <f aca="false">SUMIF($C$2:$F$2,EOMONTH(AH$2,-1)+1,$C103:$F103)*VLOOKUP(AH$2,Valores!$H$2:$P$154,8,0)</f>
        <v>0</v>
      </c>
      <c r="AI103" s="27" t="n">
        <f aca="false">SUMIF($C$2:$F$2,EOMONTH(AI$2,-1)+1,$C103:$F103)*VLOOKUP(AI$2,Valores!$H$2:$P$154,8,0)</f>
        <v>0</v>
      </c>
      <c r="AJ103" s="27" t="n">
        <f aca="false">SUMIF($C$2:$F$2,EOMONTH(AJ$2,-1)+1,$C103:$F103)*VLOOKUP(AJ$2,Valores!$H$2:$P$154,8,0)</f>
        <v>0</v>
      </c>
      <c r="AK103" s="27" t="n">
        <f aca="false">SUMIF($C$2:$F$2,EOMONTH(AK$2,-1)+1,$C103:$F103)*VLOOKUP(AK$2,Valores!$H$2:$P$154,8,0)</f>
        <v>0</v>
      </c>
      <c r="AL103" s="27" t="n">
        <f aca="false">SUMIF($C$2:$F$2,EOMONTH(AL$2,-1)+1,$C103:$F103)*VLOOKUP(AL$2,Valores!$H$2:$P$154,8,0)</f>
        <v>0</v>
      </c>
      <c r="AM103" s="27" t="n">
        <f aca="false">SUMIF($C$2:$F$2,EOMONTH(AM$2,-1)+1,$C103:$F103)*VLOOKUP(AM$2,Valores!$H$2:$P$154,8,0)</f>
        <v>0</v>
      </c>
      <c r="AN103" s="27" t="n">
        <f aca="false">SUMIF($C$2:$F$2,EOMONTH(AN$2,-1)+1,$C103:$F103)*VLOOKUP(AN$2,Valores!$H$2:$P$154,8,0)</f>
        <v>0</v>
      </c>
      <c r="AO103" s="27" t="n">
        <f aca="false">SUMIF($C$2:$F$2,EOMONTH(AO$2,-1)+1,$C103:$F103)*VLOOKUP(AO$2,Valores!$H$2:$P$154,8,0)</f>
        <v>0</v>
      </c>
      <c r="AP103" s="27" t="n">
        <f aca="false">SUMIF($C$2:$F$2,EOMONTH(AP$2,-1)+1,$C103:$F103)*VLOOKUP(AP$2,Valores!$H$2:$P$154,8,0)</f>
        <v>0</v>
      </c>
      <c r="AQ103" s="27" t="n">
        <f aca="false">SUMIF($C$2:$F$2,EOMONTH(AQ$2,-1)+1,$C103:$F103)*VLOOKUP(AQ$2,Valores!$H$2:$P$154,8,0)</f>
        <v>0</v>
      </c>
      <c r="AR103" s="27" t="n">
        <f aca="false">SUMIF($C$2:$F$2,EOMONTH(AR$2,-1)+1,$C103:$F103)*VLOOKUP(AR$2,Valores!$H$2:$P$154,8,0)</f>
        <v>0</v>
      </c>
      <c r="AS103" s="27" t="n">
        <f aca="false">SUMIF($C$2:$F$2,EOMONTH(AS$2,-1)+1,$C103:$F103)*VLOOKUP(AS$2,Valores!$H$2:$P$154,8,0)</f>
        <v>0</v>
      </c>
      <c r="AT103" s="27" t="n">
        <f aca="false">SUMIF($C$2:$F$2,EOMONTH(AT$2,-1)+1,$C103:$F103)*VLOOKUP(AT$2,Valores!$H$2:$P$154,8,0)</f>
        <v>0</v>
      </c>
      <c r="AU103" s="27" t="n">
        <f aca="false">SUMIF($C$2:$F$2,EOMONTH(AU$2,-1)+1,$C103:$F103)*VLOOKUP(AU$2,Valores!$H$2:$P$154,8,0)</f>
        <v>0</v>
      </c>
      <c r="AV103" s="27" t="n">
        <f aca="false">SUMIF($C$2:$F$2,EOMONTH(AV$2,-1)+1,$C103:$F103)*VLOOKUP(AV$2,Valores!$H$2:$P$154,8,0)</f>
        <v>0</v>
      </c>
      <c r="AW103" s="27" t="n">
        <f aca="false">SUMIF($C$2:$F$2,EOMONTH(AW$2,-1)+1,$C103:$F103)*VLOOKUP(AW$2,Valores!$H$2:$P$154,8,0)</f>
        <v>0</v>
      </c>
      <c r="AX103" s="27" t="n">
        <f aca="false">SUMIF($C$2:$F$2,EOMONTH(AX$2,-1)+1,$C103:$F103)*VLOOKUP(AX$2,Valores!$H$2:$P$154,8,0)</f>
        <v>0</v>
      </c>
      <c r="AY103" s="27" t="n">
        <f aca="false">SUMIF($C$2:$F$2,EOMONTH(AY$2,-1)+1,$C103:$F103)*VLOOKUP(AY$2,Valores!$H$2:$P$154,8,0)</f>
        <v>0</v>
      </c>
      <c r="AZ103" s="27" t="n">
        <f aca="false">SUMIF($C$2:$F$2,EOMONTH(AZ$2,-1)+1,$C103:$F103)*VLOOKUP(AZ$2,Valores!$H$2:$P$154,8,0)</f>
        <v>0</v>
      </c>
      <c r="BA103" s="27" t="n">
        <f aca="false">SUMIF($C$2:$F$2,EOMONTH(BA$2,-1)+1,$C103:$F103)*VLOOKUP(BA$2,Valores!$H$2:$P$154,8,0)</f>
        <v>0</v>
      </c>
      <c r="BB103" s="27" t="n">
        <f aca="false">SUMIF($C$2:$F$2,EOMONTH(BB$2,-1)+1,$C103:$F103)*VLOOKUP(BB$2,Valores!$H$2:$P$154,8,0)</f>
        <v>0</v>
      </c>
      <c r="BC103" s="27" t="n">
        <f aca="false">SUMIF($C$2:$F$2,EOMONTH(BC$2,-1)+1,$C103:$F103)*VLOOKUP(BC$2,Valores!$H$2:$P$154,8,0)</f>
        <v>0</v>
      </c>
      <c r="BD103" s="27" t="n">
        <f aca="false">SUMIF($C$2:$F$2,EOMONTH(BD$2,-1)+1,$C103:$F103)*VLOOKUP(BD$2,Valores!$H$2:$P$154,8,0)</f>
        <v>0</v>
      </c>
      <c r="BE103" s="27" t="n">
        <f aca="false">SUMIF($C$2:$F$2,EOMONTH(BE$2,-1)+1,$C103:$F103)*VLOOKUP(BE$2,Valores!$H$2:$P$154,8,0)</f>
        <v>0</v>
      </c>
      <c r="BF103" s="27" t="n">
        <f aca="false">SUMIF($C$2:$F$2,EOMONTH(BF$2,-1)+1,$C103:$F103)*VLOOKUP(BF$2,Valores!$H$2:$P$154,8,0)</f>
        <v>0</v>
      </c>
      <c r="BG103" s="27" t="n">
        <f aca="false">SUMIF($C$2:$F$2,EOMONTH(BG$2,-1)+1,$C103:$F103)*VLOOKUP(BG$2,Valores!$H$2:$P$154,8,0)</f>
        <v>0</v>
      </c>
      <c r="BH103" s="27" t="n">
        <f aca="false">SUMIF($C$2:$F$2,EOMONTH(BH$2,-1)+1,$C103:$F103)*VLOOKUP(BH$2,Valores!$H$2:$P$154,8,0)</f>
        <v>0</v>
      </c>
      <c r="BI103" s="27" t="n">
        <f aca="false">SUMIF($C$2:$F$2,EOMONTH(BI$2,-1)+1,$C103:$F103)*VLOOKUP(BI$2,Valores!$H$2:$P$154,8,0)</f>
        <v>0</v>
      </c>
      <c r="BJ103" s="27" t="n">
        <f aca="false">SUMIF($C$2:$F$2,EOMONTH(BJ$2,-1)+1,$C103:$F103)*VLOOKUP(BJ$2,Valores!$H$2:$P$154,8,0)</f>
        <v>0</v>
      </c>
      <c r="BK103" s="27" t="n">
        <f aca="false">SUMIF($C$2:$F$2,EOMONTH(BK$2,-1)+1,$C103:$F103)*VLOOKUP(BK$2,Valores!$H$2:$P$154,8,0)</f>
        <v>0</v>
      </c>
      <c r="BL103" s="27" t="n">
        <f aca="false">SUMIF($C$2:$F$2,EOMONTH(BL$2,-1)+1,$C103:$F103)*VLOOKUP(BL$2,Valores!$H$2:$P$154,8,0)</f>
        <v>0</v>
      </c>
      <c r="BM103" s="27" t="n">
        <f aca="false">SUMIF($C$2:$F$2,EOMONTH(BM$2,-1)+1,$C103:$F103)*VLOOKUP(BM$2,Valores!$H$2:$P$154,8,0)</f>
        <v>0</v>
      </c>
      <c r="BN103" s="27" t="n">
        <f aca="false">SUMIF($C$2:$F$2,EOMONTH(BN$2,-1)+1,$C103:$F103)*VLOOKUP(BN$2,Valores!$H$2:$P$154,8,0)</f>
        <v>0</v>
      </c>
      <c r="BO103" s="27" t="n">
        <f aca="false">SUMIF($C$2:$F$2,EOMONTH(BO$2,-1)+1,$C103:$F103)*VLOOKUP(BO$2,Valores!$H$2:$P$154,8,0)</f>
        <v>0</v>
      </c>
      <c r="BP103" s="27" t="n">
        <f aca="false">SUMIF($C$2:$F$2,EOMONTH(BP$2,-1)+1,$C103:$F103)*VLOOKUP(BP$2,Valores!$H$2:$P$154,8,0)</f>
        <v>0</v>
      </c>
      <c r="BQ103" s="27" t="n">
        <f aca="false">SUMIF($C$2:$F$2,EOMONTH(BQ$2,-1)+1,$C103:$F103)*VLOOKUP(BQ$2,Valores!$H$2:$P$154,8,0)</f>
        <v>0</v>
      </c>
      <c r="BR103" s="27" t="n">
        <f aca="false">SUMIF($C$2:$F$2,EOMONTH(BR$2,-1)+1,$C103:$F103)*VLOOKUP(BR$2,Valores!$H$2:$P$154,8,0)</f>
        <v>0</v>
      </c>
      <c r="BS103" s="27" t="n">
        <f aca="false">SUMIF($C$2:$F$2,EOMONTH(BS$2,-1)+1,$C103:$F103)*VLOOKUP(BS$2,Valores!$H$2:$P$154,8,0)</f>
        <v>0</v>
      </c>
      <c r="BT103" s="27" t="n">
        <f aca="false">SUMIF($C$2:$F$2,EOMONTH(BT$2,-1)+1,$C103:$F103)*VLOOKUP(BT$2,Valores!$H$2:$P$154,8,0)</f>
        <v>0</v>
      </c>
      <c r="BU103" s="27" t="n">
        <f aca="false">SUMIF($C$2:$F$2,EOMONTH(BU$2,-1)+1,$C103:$F103)*VLOOKUP(BU$2,Valores!$H$2:$P$154,8,0)</f>
        <v>0</v>
      </c>
      <c r="BV103" s="27" t="n">
        <f aca="false">SUMIF($C$2:$F$2,EOMONTH(BV$2,-1)+1,$C103:$F103)*VLOOKUP(BV$2,Valores!$H$2:$P$154,8,0)</f>
        <v>0</v>
      </c>
      <c r="BW103" s="27" t="n">
        <f aca="false">SUMIF($C$2:$F$2,EOMONTH(BW$2,-1)+1,$C103:$F103)*VLOOKUP(BW$2,Valores!$H$2:$P$154,8,0)</f>
        <v>0</v>
      </c>
      <c r="BX103" s="27" t="n">
        <f aca="false">SUMIF($C$2:$F$2,EOMONTH(BX$2,-1)+1,$C103:$F103)*VLOOKUP(BX$2,Valores!$H$2:$P$154,8,0)</f>
        <v>0</v>
      </c>
      <c r="BY103" s="27" t="n">
        <f aca="false">SUMIF($C$2:$F$2,EOMONTH(BY$2,-1)+1,$C103:$F103)*VLOOKUP(BY$2,Valores!$H$2:$P$154,8,0)</f>
        <v>0</v>
      </c>
      <c r="BZ103" s="27" t="n">
        <f aca="false">SUMIF($C$2:$F$2,EOMONTH(BZ$2,-1)+1,$C103:$F103)*VLOOKUP(BZ$2,Valores!$H$2:$P$154,8,0)</f>
        <v>0</v>
      </c>
      <c r="CA103" s="27" t="n">
        <f aca="false">SUMIF($C$2:$F$2,EOMONTH(CA$2,-1)+1,$C103:$F103)*VLOOKUP(CA$2,Valores!$H$2:$P$154,8,0)</f>
        <v>0</v>
      </c>
      <c r="CB103" s="27" t="n">
        <f aca="false">SUMIF($C$2:$F$2,EOMONTH(CB$2,-1)+1,$C103:$F103)*VLOOKUP(CB$2,Valores!$H$2:$P$154,8,0)</f>
        <v>0</v>
      </c>
      <c r="CC103" s="27" t="n">
        <f aca="false">SUMIF($C$2:$F$2,EOMONTH(CC$2,-1)+1,$C103:$F103)*VLOOKUP(CC$2,Valores!$H$2:$P$154,8,0)</f>
        <v>0</v>
      </c>
      <c r="CD103" s="27" t="n">
        <f aca="false">SUMIF($C$2:$F$2,EOMONTH(CD$2,-1)+1,$C103:$F103)*VLOOKUP(CD$2,Valores!$H$2:$P$154,8,0)</f>
        <v>0</v>
      </c>
      <c r="CE103" s="27" t="n">
        <f aca="false">SUMIF($C$2:$F$2,EOMONTH(CE$2,-1)+1,$C103:$F103)*VLOOKUP(CE$2,Valores!$H$2:$P$154,8,0)</f>
        <v>0</v>
      </c>
      <c r="CF103" s="27" t="n">
        <f aca="false">SUMIF($C$2:$F$2,EOMONTH(CF$2,-1)+1,$C103:$F103)*VLOOKUP(CF$2,Valores!$H$2:$P$154,8,0)</f>
        <v>0</v>
      </c>
      <c r="CG103" s="27" t="n">
        <f aca="false">SUMIF($C$2:$F$2,EOMONTH(CG$2,-1)+1,$C103:$F103)*VLOOKUP(CG$2,Valores!$H$2:$P$154,8,0)</f>
        <v>0</v>
      </c>
      <c r="CH103" s="27" t="n">
        <f aca="false">SUMIF($C$2:$F$2,EOMONTH(CH$2,-1)+1,$C103:$F103)*VLOOKUP(CH$2,Valores!$H$2:$P$154,8,0)</f>
        <v>0</v>
      </c>
      <c r="CI103" s="27" t="n">
        <f aca="false">SUMIF($C$2:$F$2,EOMONTH(CI$2,-1)+1,$C103:$F103)*VLOOKUP(CI$2,Valores!$H$2:$P$154,8,0)</f>
        <v>0</v>
      </c>
      <c r="CJ103" s="27" t="n">
        <f aca="false">SUMIF($C$2:$F$2,EOMONTH(CJ$2,-1)+1,$C103:$F103)*VLOOKUP(CJ$2,Valores!$H$2:$P$154,8,0)</f>
        <v>0</v>
      </c>
      <c r="CK103" s="27" t="n">
        <f aca="false">SUMIF($C$2:$F$2,EOMONTH(CK$2,-1)+1,$C103:$F103)*VLOOKUP(CK$2,Valores!$H$2:$P$154,8,0)</f>
        <v>0</v>
      </c>
      <c r="CL103" s="27" t="n">
        <f aca="false">SUMIF($C$2:$F$2,EOMONTH(CL$2,-1)+1,$C103:$F103)*VLOOKUP(CL$2,Valores!$H$2:$P$154,8,0)</f>
        <v>0</v>
      </c>
      <c r="CM103" s="27" t="n">
        <f aca="false">SUMIF($C$2:$F$2,EOMONTH(CM$2,-1)+1,$C103:$F103)*VLOOKUP(CM$2,Valores!$H$2:$P$154,8,0)</f>
        <v>0</v>
      </c>
      <c r="CN103" s="27" t="n">
        <f aca="false">SUMIF($C$2:$F$2,EOMONTH(CN$2,-1)+1,$C103:$F103)*VLOOKUP(CN$2,Valores!$H$2:$P$154,8,0)</f>
        <v>0</v>
      </c>
      <c r="CO103" s="27" t="n">
        <f aca="false">SUMIF($C$2:$F$2,EOMONTH(CO$2,-1)+1,$C103:$F103)*VLOOKUP(CO$2,Valores!$H$2:$P$154,8,0)</f>
        <v>0</v>
      </c>
      <c r="CP103" s="27" t="n">
        <f aca="false">SUMIF($C$2:$F$2,EOMONTH(CP$2,-1)+1,$C103:$F103)*VLOOKUP(CP$2,Valores!$H$2:$P$154,8,0)</f>
        <v>0</v>
      </c>
      <c r="CQ103" s="27" t="n">
        <f aca="false">SUMIF($C$2:$F$2,EOMONTH(CQ$2,-1)+1,$C103:$F103)*VLOOKUP(CQ$2,Valores!$H$2:$P$154,8,0)</f>
        <v>0</v>
      </c>
      <c r="CR103" s="27" t="n">
        <f aca="false">SUMIF($C$2:$F$2,EOMONTH(CR$2,-1)+1,$C103:$F103)*VLOOKUP(CR$2,Valores!$H$2:$P$154,8,0)</f>
        <v>0</v>
      </c>
      <c r="CS103" s="27" t="n">
        <f aca="false">SUMIF($C$2:$F$2,EOMONTH(CS$2,-1)+1,$C103:$F103)*VLOOKUP(CS$2,Valores!$H$2:$P$154,8,0)</f>
        <v>0</v>
      </c>
      <c r="CT103" s="27" t="e">
        <f aca="false">SUMIF($C$2:$F$2,EOMONTH(CT$2,-1)+1,$C103:$F103)*VLOOKUP(CT$2,Valores!$H$2:$P$154,8,0)</f>
        <v>#VALUE!</v>
      </c>
      <c r="CU103" s="27" t="e">
        <f aca="false">SUMIF($C$2:$F$2,EOMONTH(CU$2,-1)+1,$C103:$F103)*VLOOKUP(CU$2,Valores!$H$2:$P$154,8,0)</f>
        <v>#VALUE!</v>
      </c>
      <c r="CV103" s="27" t="e">
        <f aca="false">SUMIF($C$2:$F$2,EOMONTH(CV$2,-1)+1,$C103:$F103)*VLOOKUP(CV$2,Valores!$H$2:$P$154,8,0)</f>
        <v>#VALUE!</v>
      </c>
      <c r="CW103" s="27" t="e">
        <f aca="false">SUMIF($C$2:$F$2,EOMONTH(CW$2,-1)+1,$C103:$F103)*VLOOKUP(CW$2,Valores!$H$2:$P$154,8,0)</f>
        <v>#VALUE!</v>
      </c>
      <c r="CX103" s="27" t="e">
        <f aca="false">SUMIF($C$2:$F$2,EOMONTH(CX$2,-1)+1,$C103:$F103)*VLOOKUP(CX$2,Valores!$H$2:$P$154,8,0)</f>
        <v>#VALUE!</v>
      </c>
      <c r="CY103" s="27" t="e">
        <f aca="false">SUMIF($C$2:$F$2,EOMONTH(CY$2,-1)+1,$C103:$F103)*VLOOKUP(CY$2,Valores!$H$2:$P$154,8,0)</f>
        <v>#VALUE!</v>
      </c>
      <c r="CZ103" s="27" t="e">
        <f aca="false">SUMIF($C$2:$F$2,EOMONTH(CZ$2,-1)+1,$C103:$F103)*VLOOKUP(CZ$2,Valores!$H$2:$P$154,8,0)</f>
        <v>#VALUE!</v>
      </c>
      <c r="DA103" s="27" t="e">
        <f aca="false">SUMIF($C$2:$F$2,EOMONTH(DA$2,-1)+1,$C103:$F103)*VLOOKUP(DA$2,Valores!$H$2:$P$154,8,0)</f>
        <v>#VALUE!</v>
      </c>
      <c r="DB103" s="27" t="e">
        <f aca="false">SUMIF($C$2:$F$2,EOMONTH(DB$2,-1)+1,$C103:$F103)*VLOOKUP(DB$2,Valores!$H$2:$P$154,8,0)</f>
        <v>#VALUE!</v>
      </c>
      <c r="DC103" s="27" t="e">
        <f aca="false">SUMIF($C$2:$F$2,EOMONTH(DC$2,-1)+1,$C103:$F103)*VLOOKUP(DC$2,Valores!$H$2:$P$154,8,0)</f>
        <v>#VALUE!</v>
      </c>
      <c r="DD103" s="27" t="e">
        <f aca="false">SUMIF($C$2:$F$2,EOMONTH(DD$2,-1)+1,$C103:$F103)*VLOOKUP(DD$2,Valores!$H$2:$P$154,8,0)</f>
        <v>#VALUE!</v>
      </c>
      <c r="DE103" s="27" t="e">
        <f aca="false">SUMIF($C$2:$F$2,EOMONTH(DE$2,-1)+1,$C103:$F103)*VLOOKUP(DE$2,Valores!$H$2:$P$154,8,0)</f>
        <v>#VALUE!</v>
      </c>
      <c r="DF103" s="27" t="e">
        <f aca="false">SUMIF($C$2:$F$2,EOMONTH(DF$2,-1)+1,$C103:$F103)*VLOOKUP(DF$2,Valores!$H$2:$P$154,8,0)</f>
        <v>#VALUE!</v>
      </c>
      <c r="DG103" s="27" t="e">
        <f aca="false">SUMIF($C$2:$F$2,EOMONTH(DG$2,-1)+1,$C103:$F103)*VLOOKUP(DG$2,Valores!$H$2:$P$154,8,0)</f>
        <v>#VALUE!</v>
      </c>
      <c r="DH103" s="27" t="e">
        <f aca="false">SUMIF($C$2:$F$2,EOMONTH(DH$2,-1)+1,$C103:$F103)*VLOOKUP(DH$2,Valores!$H$2:$P$154,8,0)</f>
        <v>#VALUE!</v>
      </c>
      <c r="DI103" s="27" t="e">
        <f aca="false">SUMIF($C$2:$F$2,EOMONTH(DI$2,-1)+1,$C103:$F103)*VLOOKUP(DI$2,Valores!$H$2:$P$154,8,0)</f>
        <v>#VALUE!</v>
      </c>
      <c r="DJ103" s="27" t="e">
        <f aca="false">SUMIF($C$2:$F$2,EOMONTH(DJ$2,-1)+1,$C103:$F103)*VLOOKUP(DJ$2,Valores!$H$2:$P$154,8,0)</f>
        <v>#VALUE!</v>
      </c>
      <c r="DK103" s="27" t="e">
        <f aca="false">SUMIF($C$2:$F$2,EOMONTH(DK$2,-1)+1,$C103:$F103)*VLOOKUP(DK$2,Valores!$H$2:$P$154,8,0)</f>
        <v>#VALUE!</v>
      </c>
      <c r="DL103" s="27" t="e">
        <f aca="false">SUMIF($C$2:$F$2,EOMONTH(DL$2,-1)+1,$C103:$F103)*VLOOKUP(DL$2,Valores!$H$2:$P$154,8,0)</f>
        <v>#VALUE!</v>
      </c>
      <c r="DM103" s="27" t="e">
        <f aca="false">SUMIF($C$2:$F$2,EOMONTH(DM$2,-1)+1,$C103:$F103)*VLOOKUP(DM$2,Valores!$H$2:$P$154,8,0)</f>
        <v>#VALUE!</v>
      </c>
      <c r="DN103" s="27" t="e">
        <f aca="false">SUMIF($C$2:$F$2,EOMONTH(DN$2,-1)+1,$C103:$F103)*VLOOKUP(DN$2,Valores!$H$2:$P$154,8,0)</f>
        <v>#VALUE!</v>
      </c>
      <c r="DO103" s="27" t="e">
        <f aca="false">SUMIF($C$2:$F$2,EOMONTH(DO$2,-1)+1,$C103:$F103)*VLOOKUP(DO$2,Valores!$H$2:$P$154,8,0)</f>
        <v>#VALUE!</v>
      </c>
      <c r="DP103" s="27" t="e">
        <f aca="false">SUMIF($C$2:$F$2,EOMONTH(DP$2,-1)+1,$C103:$F103)*VLOOKUP(DP$2,Valores!$H$2:$P$154,8,0)</f>
        <v>#VALUE!</v>
      </c>
      <c r="DQ103" s="27" t="e">
        <f aca="false">SUMIF($C$2:$F$2,EOMONTH(DQ$2,-1)+1,$C103:$F103)*VLOOKUP(DQ$2,Valores!$H$2:$P$154,8,0)</f>
        <v>#VALUE!</v>
      </c>
      <c r="DR103" s="27" t="e">
        <f aca="false">SUMIF($C$2:$F$2,EOMONTH(DR$2,-1)+1,$C103:$F103)*VLOOKUP(DR$2,Valores!$H$2:$P$154,8,0)</f>
        <v>#VALUE!</v>
      </c>
      <c r="DS103" s="27" t="e">
        <f aca="false">SUMIF($C$2:$F$2,EOMONTH(DS$2,-1)+1,$C103:$F103)*VLOOKUP(DS$2,Valores!$H$2:$P$154,8,0)</f>
        <v>#VALUE!</v>
      </c>
      <c r="DT103" s="27" t="e">
        <f aca="false">SUMIF($C$2:$F$2,EOMONTH(DT$2,-1)+1,$C103:$F103)*VLOOKUP(DT$2,Valores!$H$2:$P$154,8,0)</f>
        <v>#VALUE!</v>
      </c>
      <c r="DU103" s="27" t="e">
        <f aca="false">SUMIF($C$2:$F$2,EOMONTH(DU$2,-1)+1,$C103:$F103)*VLOOKUP(DU$2,Valores!$H$2:$P$154,8,0)</f>
        <v>#VALUE!</v>
      </c>
      <c r="DV103" s="27" t="e">
        <f aca="false">SUMIF($C$2:$F$2,EOMONTH(DV$2,-1)+1,$C103:$F103)*VLOOKUP(DV$2,Valores!$H$2:$P$154,8,0)</f>
        <v>#VALUE!</v>
      </c>
      <c r="DW103" s="27" t="e">
        <f aca="false">SUMIF($C$2:$F$2,EOMONTH(DW$2,-1)+1,$C103:$F103)*VLOOKUP(DW$2,Valores!$H$2:$P$154,8,0)</f>
        <v>#VALUE!</v>
      </c>
      <c r="DX103" s="27" t="e">
        <f aca="false">SUMIF($C$2:$F$2,EOMONTH(DX$2,-1)+1,$C103:$F103)*VLOOKUP(DX$2,Valores!$H$2:$P$154,8,0)</f>
        <v>#VALUE!</v>
      </c>
    </row>
    <row r="104" customFormat="false" ht="13.8" hidden="false" customHeight="false" outlineLevel="0" collapsed="false">
      <c r="A104" s="29"/>
      <c r="B104" s="29"/>
      <c r="C104" s="29"/>
      <c r="D104" s="29"/>
      <c r="E104" s="29"/>
      <c r="F104" s="29"/>
      <c r="G104" s="30" t="n">
        <f aca="false">SUMIF($C$2:$F$2,EOMONTH(G$2,-1)+1,$C104:$F104)*VLOOKUP(G$2,Valores!$H$2:$P$154,8,0)</f>
        <v>0</v>
      </c>
      <c r="H104" s="30" t="n">
        <f aca="false">SUMIF($C$2:$F$2,EOMONTH(H$2,-1)+1,$C104:$F104)*VLOOKUP(H$2,Valores!$H$2:$P$154,8,0)</f>
        <v>0</v>
      </c>
      <c r="I104" s="30" t="n">
        <f aca="false">SUMIF($C$2:$F$2,EOMONTH(I$2,-1)+1,$C104:$F104)*VLOOKUP(I$2,Valores!$H$2:$P$154,8,0)</f>
        <v>0</v>
      </c>
      <c r="J104" s="30" t="n">
        <f aca="false">SUMIF($C$2:$F$2,EOMONTH(J$2,-1)+1,$C104:$F104)*VLOOKUP(J$2,Valores!$H$2:$P$154,8,0)</f>
        <v>0</v>
      </c>
      <c r="K104" s="30" t="n">
        <f aca="false">SUMIF($C$2:$F$2,EOMONTH(K$2,-1)+1,$C104:$F104)*VLOOKUP(K$2,Valores!$H$2:$P$154,8,0)</f>
        <v>0</v>
      </c>
      <c r="L104" s="30" t="n">
        <f aca="false">SUMIF($C$2:$F$2,EOMONTH(L$2,-1)+1,$C104:$F104)*VLOOKUP(L$2,Valores!$H$2:$P$154,8,0)</f>
        <v>0</v>
      </c>
      <c r="M104" s="30" t="n">
        <f aca="false">SUMIF($C$2:$F$2,EOMONTH(M$2,-1)+1,$C104:$F104)*VLOOKUP(M$2,Valores!$H$2:$P$154,8,0)</f>
        <v>0</v>
      </c>
      <c r="N104" s="30" t="n">
        <f aca="false">SUMIF($C$2:$F$2,EOMONTH(N$2,-1)+1,$C104:$F104)*VLOOKUP(N$2,Valores!$H$2:$P$154,8,0)</f>
        <v>0</v>
      </c>
      <c r="O104" s="30" t="n">
        <f aca="false">SUMIF($C$2:$F$2,EOMONTH(O$2,-1)+1,$C104:$F104)*VLOOKUP(O$2,Valores!$H$2:$P$154,8,0)</f>
        <v>0</v>
      </c>
      <c r="P104" s="30" t="n">
        <f aca="false">SUMIF($C$2:$F$2,EOMONTH(P$2,-1)+1,$C104:$F104)*VLOOKUP(P$2,Valores!$H$2:$P$154,8,0)</f>
        <v>0</v>
      </c>
      <c r="Q104" s="30" t="n">
        <f aca="false">SUMIF($C$2:$F$2,EOMONTH(Q$2,-1)+1,$C104:$F104)*VLOOKUP(Q$2,Valores!$H$2:$P$154,8,0)</f>
        <v>0</v>
      </c>
      <c r="R104" s="30" t="n">
        <f aca="false">SUMIF($C$2:$F$2,EOMONTH(R$2,-1)+1,$C104:$F104)*VLOOKUP(R$2,Valores!$H$2:$P$154,8,0)</f>
        <v>0</v>
      </c>
      <c r="S104" s="30" t="n">
        <f aca="false">SUMIF($C$2:$F$2,EOMONTH(S$2,-1)+1,$C104:$F104)*VLOOKUP(S$2,Valores!$H$2:$P$154,8,0)</f>
        <v>0</v>
      </c>
      <c r="T104" s="30" t="n">
        <f aca="false">SUMIF($C$2:$F$2,EOMONTH(T$2,-1)+1,$C104:$F104)*VLOOKUP(T$2,Valores!$H$2:$P$154,8,0)</f>
        <v>0</v>
      </c>
      <c r="U104" s="30" t="n">
        <f aca="false">SUMIF($C$2:$F$2,EOMONTH(U$2,-1)+1,$C104:$F104)*VLOOKUP(U$2,Valores!$H$2:$P$154,8,0)</f>
        <v>0</v>
      </c>
      <c r="V104" s="30" t="n">
        <f aca="false">SUMIF($C$2:$F$2,EOMONTH(V$2,-1)+1,$C104:$F104)*VLOOKUP(V$2,Valores!$H$2:$P$154,8,0)</f>
        <v>0</v>
      </c>
      <c r="W104" s="30" t="n">
        <f aca="false">SUMIF($C$2:$F$2,EOMONTH(W$2,-1)+1,$C104:$F104)*VLOOKUP(W$2,Valores!$H$2:$P$154,8,0)</f>
        <v>0</v>
      </c>
      <c r="X104" s="30" t="n">
        <f aca="false">SUMIF($C$2:$F$2,EOMONTH(X$2,-1)+1,$C104:$F104)*VLOOKUP(X$2,Valores!$H$2:$P$154,8,0)</f>
        <v>0</v>
      </c>
      <c r="Y104" s="30" t="n">
        <f aca="false">SUMIF($C$2:$F$2,EOMONTH(Y$2,-1)+1,$C104:$F104)*VLOOKUP(Y$2,Valores!$H$2:$P$154,8,0)</f>
        <v>0</v>
      </c>
      <c r="Z104" s="30" t="n">
        <f aca="false">SUMIF($C$2:$F$2,EOMONTH(Z$2,-1)+1,$C104:$F104)*VLOOKUP(Z$2,Valores!$H$2:$P$154,8,0)</f>
        <v>0</v>
      </c>
      <c r="AA104" s="30" t="n">
        <f aca="false">SUMIF($C$2:$F$2,EOMONTH(AA$2,-1)+1,$C104:$F104)*VLOOKUP(AA$2,Valores!$H$2:$P$154,8,0)</f>
        <v>0</v>
      </c>
      <c r="AB104" s="30" t="n">
        <f aca="false">SUMIF($C$2:$F$2,EOMONTH(AB$2,-1)+1,$C104:$F104)*VLOOKUP(AB$2,Valores!$H$2:$P$154,8,0)</f>
        <v>0</v>
      </c>
      <c r="AC104" s="30" t="n">
        <f aca="false">SUMIF($C$2:$F$2,EOMONTH(AC$2,-1)+1,$C104:$F104)*VLOOKUP(AC$2,Valores!$H$2:$P$154,8,0)</f>
        <v>0</v>
      </c>
      <c r="AD104" s="30" t="n">
        <f aca="false">SUMIF($C$2:$F$2,EOMONTH(AD$2,-1)+1,$C104:$F104)*VLOOKUP(AD$2,Valores!$H$2:$P$154,8,0)</f>
        <v>0</v>
      </c>
      <c r="AE104" s="30" t="n">
        <f aca="false">SUMIF($C$2:$F$2,EOMONTH(AE$2,-1)+1,$C104:$F104)*VLOOKUP(AE$2,Valores!$H$2:$P$154,8,0)</f>
        <v>0</v>
      </c>
      <c r="AF104" s="30" t="n">
        <f aca="false">SUMIF($C$2:$F$2,EOMONTH(AF$2,-1)+1,$C104:$F104)*VLOOKUP(AF$2,Valores!$H$2:$P$154,8,0)</f>
        <v>0</v>
      </c>
      <c r="AG104" s="30" t="n">
        <f aca="false">SUMIF($C$2:$F$2,EOMONTH(AG$2,-1)+1,$C104:$F104)*VLOOKUP(AG$2,Valores!$H$2:$P$154,8,0)</f>
        <v>0</v>
      </c>
      <c r="AH104" s="30" t="n">
        <f aca="false">SUMIF($C$2:$F$2,EOMONTH(AH$2,-1)+1,$C104:$F104)*VLOOKUP(AH$2,Valores!$H$2:$P$154,8,0)</f>
        <v>0</v>
      </c>
      <c r="AI104" s="30" t="n">
        <f aca="false">SUMIF($C$2:$F$2,EOMONTH(AI$2,-1)+1,$C104:$F104)*VLOOKUP(AI$2,Valores!$H$2:$P$154,8,0)</f>
        <v>0</v>
      </c>
      <c r="AJ104" s="30" t="n">
        <f aca="false">SUMIF($C$2:$F$2,EOMONTH(AJ$2,-1)+1,$C104:$F104)*VLOOKUP(AJ$2,Valores!$H$2:$P$154,8,0)</f>
        <v>0</v>
      </c>
      <c r="AK104" s="30" t="n">
        <f aca="false">SUMIF($C$2:$F$2,EOMONTH(AK$2,-1)+1,$C104:$F104)*VLOOKUP(AK$2,Valores!$H$2:$P$154,8,0)</f>
        <v>0</v>
      </c>
      <c r="AL104" s="30" t="n">
        <f aca="false">SUMIF($C$2:$F$2,EOMONTH(AL$2,-1)+1,$C104:$F104)*VLOOKUP(AL$2,Valores!$H$2:$P$154,8,0)</f>
        <v>0</v>
      </c>
      <c r="AM104" s="30" t="n">
        <f aca="false">SUMIF($C$2:$F$2,EOMONTH(AM$2,-1)+1,$C104:$F104)*VLOOKUP(AM$2,Valores!$H$2:$P$154,8,0)</f>
        <v>0</v>
      </c>
      <c r="AN104" s="30" t="n">
        <f aca="false">SUMIF($C$2:$F$2,EOMONTH(AN$2,-1)+1,$C104:$F104)*VLOOKUP(AN$2,Valores!$H$2:$P$154,8,0)</f>
        <v>0</v>
      </c>
      <c r="AO104" s="30" t="n">
        <f aca="false">SUMIF($C$2:$F$2,EOMONTH(AO$2,-1)+1,$C104:$F104)*VLOOKUP(AO$2,Valores!$H$2:$P$154,8,0)</f>
        <v>0</v>
      </c>
      <c r="AP104" s="30" t="n">
        <f aca="false">SUMIF($C$2:$F$2,EOMONTH(AP$2,-1)+1,$C104:$F104)*VLOOKUP(AP$2,Valores!$H$2:$P$154,8,0)</f>
        <v>0</v>
      </c>
      <c r="AQ104" s="30" t="n">
        <f aca="false">SUMIF($C$2:$F$2,EOMONTH(AQ$2,-1)+1,$C104:$F104)*VLOOKUP(AQ$2,Valores!$H$2:$P$154,8,0)</f>
        <v>0</v>
      </c>
      <c r="AR104" s="30" t="n">
        <f aca="false">SUMIF($C$2:$F$2,EOMONTH(AR$2,-1)+1,$C104:$F104)*VLOOKUP(AR$2,Valores!$H$2:$P$154,8,0)</f>
        <v>0</v>
      </c>
      <c r="AS104" s="30" t="n">
        <f aca="false">SUMIF($C$2:$F$2,EOMONTH(AS$2,-1)+1,$C104:$F104)*VLOOKUP(AS$2,Valores!$H$2:$P$154,8,0)</f>
        <v>0</v>
      </c>
      <c r="AT104" s="30" t="n">
        <f aca="false">SUMIF($C$2:$F$2,EOMONTH(AT$2,-1)+1,$C104:$F104)*VLOOKUP(AT$2,Valores!$H$2:$P$154,8,0)</f>
        <v>0</v>
      </c>
      <c r="AU104" s="30" t="n">
        <f aca="false">SUMIF($C$2:$F$2,EOMONTH(AU$2,-1)+1,$C104:$F104)*VLOOKUP(AU$2,Valores!$H$2:$P$154,8,0)</f>
        <v>0</v>
      </c>
      <c r="AV104" s="30" t="n">
        <f aca="false">SUMIF($C$2:$F$2,EOMONTH(AV$2,-1)+1,$C104:$F104)*VLOOKUP(AV$2,Valores!$H$2:$P$154,8,0)</f>
        <v>0</v>
      </c>
      <c r="AW104" s="30" t="n">
        <f aca="false">SUMIF($C$2:$F$2,EOMONTH(AW$2,-1)+1,$C104:$F104)*VLOOKUP(AW$2,Valores!$H$2:$P$154,8,0)</f>
        <v>0</v>
      </c>
      <c r="AX104" s="30" t="n">
        <f aca="false">SUMIF($C$2:$F$2,EOMONTH(AX$2,-1)+1,$C104:$F104)*VLOOKUP(AX$2,Valores!$H$2:$P$154,8,0)</f>
        <v>0</v>
      </c>
      <c r="AY104" s="30" t="n">
        <f aca="false">SUMIF($C$2:$F$2,EOMONTH(AY$2,-1)+1,$C104:$F104)*VLOOKUP(AY$2,Valores!$H$2:$P$154,8,0)</f>
        <v>0</v>
      </c>
      <c r="AZ104" s="30" t="n">
        <f aca="false">SUMIF($C$2:$F$2,EOMONTH(AZ$2,-1)+1,$C104:$F104)*VLOOKUP(AZ$2,Valores!$H$2:$P$154,8,0)</f>
        <v>0</v>
      </c>
      <c r="BA104" s="30" t="n">
        <f aca="false">SUMIF($C$2:$F$2,EOMONTH(BA$2,-1)+1,$C104:$F104)*VLOOKUP(BA$2,Valores!$H$2:$P$154,8,0)</f>
        <v>0</v>
      </c>
      <c r="BB104" s="30" t="n">
        <f aca="false">SUMIF($C$2:$F$2,EOMONTH(BB$2,-1)+1,$C104:$F104)*VLOOKUP(BB$2,Valores!$H$2:$P$154,8,0)</f>
        <v>0</v>
      </c>
      <c r="BC104" s="30" t="n">
        <f aca="false">SUMIF($C$2:$F$2,EOMONTH(BC$2,-1)+1,$C104:$F104)*VLOOKUP(BC$2,Valores!$H$2:$P$154,8,0)</f>
        <v>0</v>
      </c>
      <c r="BD104" s="30" t="n">
        <f aca="false">SUMIF($C$2:$F$2,EOMONTH(BD$2,-1)+1,$C104:$F104)*VLOOKUP(BD$2,Valores!$H$2:$P$154,8,0)</f>
        <v>0</v>
      </c>
      <c r="BE104" s="30" t="n">
        <f aca="false">SUMIF($C$2:$F$2,EOMONTH(BE$2,-1)+1,$C104:$F104)*VLOOKUP(BE$2,Valores!$H$2:$P$154,8,0)</f>
        <v>0</v>
      </c>
      <c r="BF104" s="30" t="n">
        <f aca="false">SUMIF($C$2:$F$2,EOMONTH(BF$2,-1)+1,$C104:$F104)*VLOOKUP(BF$2,Valores!$H$2:$P$154,8,0)</f>
        <v>0</v>
      </c>
      <c r="BG104" s="30" t="n">
        <f aca="false">SUMIF($C$2:$F$2,EOMONTH(BG$2,-1)+1,$C104:$F104)*VLOOKUP(BG$2,Valores!$H$2:$P$154,8,0)</f>
        <v>0</v>
      </c>
      <c r="BH104" s="30" t="n">
        <f aca="false">SUMIF($C$2:$F$2,EOMONTH(BH$2,-1)+1,$C104:$F104)*VLOOKUP(BH$2,Valores!$H$2:$P$154,8,0)</f>
        <v>0</v>
      </c>
      <c r="BI104" s="30" t="n">
        <f aca="false">SUMIF($C$2:$F$2,EOMONTH(BI$2,-1)+1,$C104:$F104)*VLOOKUP(BI$2,Valores!$H$2:$P$154,8,0)</f>
        <v>0</v>
      </c>
      <c r="BJ104" s="30" t="n">
        <f aca="false">SUMIF($C$2:$F$2,EOMONTH(BJ$2,-1)+1,$C104:$F104)*VLOOKUP(BJ$2,Valores!$H$2:$P$154,8,0)</f>
        <v>0</v>
      </c>
      <c r="BK104" s="30" t="n">
        <f aca="false">SUMIF($C$2:$F$2,EOMONTH(BK$2,-1)+1,$C104:$F104)*VLOOKUP(BK$2,Valores!$H$2:$P$154,8,0)</f>
        <v>0</v>
      </c>
      <c r="BL104" s="30" t="n">
        <f aca="false">SUMIF($C$2:$F$2,EOMONTH(BL$2,-1)+1,$C104:$F104)*VLOOKUP(BL$2,Valores!$H$2:$P$154,8,0)</f>
        <v>0</v>
      </c>
      <c r="BM104" s="30" t="n">
        <f aca="false">SUMIF($C$2:$F$2,EOMONTH(BM$2,-1)+1,$C104:$F104)*VLOOKUP(BM$2,Valores!$H$2:$P$154,8,0)</f>
        <v>0</v>
      </c>
      <c r="BN104" s="30" t="n">
        <f aca="false">SUMIF($C$2:$F$2,EOMONTH(BN$2,-1)+1,$C104:$F104)*VLOOKUP(BN$2,Valores!$H$2:$P$154,8,0)</f>
        <v>0</v>
      </c>
      <c r="BO104" s="30" t="n">
        <f aca="false">SUMIF($C$2:$F$2,EOMONTH(BO$2,-1)+1,$C104:$F104)*VLOOKUP(BO$2,Valores!$H$2:$P$154,8,0)</f>
        <v>0</v>
      </c>
      <c r="BP104" s="30" t="n">
        <f aca="false">SUMIF($C$2:$F$2,EOMONTH(BP$2,-1)+1,$C104:$F104)*VLOOKUP(BP$2,Valores!$H$2:$P$154,8,0)</f>
        <v>0</v>
      </c>
      <c r="BQ104" s="30" t="n">
        <f aca="false">SUMIF($C$2:$F$2,EOMONTH(BQ$2,-1)+1,$C104:$F104)*VLOOKUP(BQ$2,Valores!$H$2:$P$154,8,0)</f>
        <v>0</v>
      </c>
      <c r="BR104" s="30" t="n">
        <f aca="false">SUMIF($C$2:$F$2,EOMONTH(BR$2,-1)+1,$C104:$F104)*VLOOKUP(BR$2,Valores!$H$2:$P$154,8,0)</f>
        <v>0</v>
      </c>
      <c r="BS104" s="30" t="n">
        <f aca="false">SUMIF($C$2:$F$2,EOMONTH(BS$2,-1)+1,$C104:$F104)*VLOOKUP(BS$2,Valores!$H$2:$P$154,8,0)</f>
        <v>0</v>
      </c>
      <c r="BT104" s="30" t="n">
        <f aca="false">SUMIF($C$2:$F$2,EOMONTH(BT$2,-1)+1,$C104:$F104)*VLOOKUP(BT$2,Valores!$H$2:$P$154,8,0)</f>
        <v>0</v>
      </c>
      <c r="BU104" s="30" t="n">
        <f aca="false">SUMIF($C$2:$F$2,EOMONTH(BU$2,-1)+1,$C104:$F104)*VLOOKUP(BU$2,Valores!$H$2:$P$154,8,0)</f>
        <v>0</v>
      </c>
      <c r="BV104" s="30" t="n">
        <f aca="false">SUMIF($C$2:$F$2,EOMONTH(BV$2,-1)+1,$C104:$F104)*VLOOKUP(BV$2,Valores!$H$2:$P$154,8,0)</f>
        <v>0</v>
      </c>
      <c r="BW104" s="30" t="n">
        <f aca="false">SUMIF($C$2:$F$2,EOMONTH(BW$2,-1)+1,$C104:$F104)*VLOOKUP(BW$2,Valores!$H$2:$P$154,8,0)</f>
        <v>0</v>
      </c>
      <c r="BX104" s="30" t="n">
        <f aca="false">SUMIF($C$2:$F$2,EOMONTH(BX$2,-1)+1,$C104:$F104)*VLOOKUP(BX$2,Valores!$H$2:$P$154,8,0)</f>
        <v>0</v>
      </c>
      <c r="BY104" s="30" t="n">
        <f aca="false">SUMIF($C$2:$F$2,EOMONTH(BY$2,-1)+1,$C104:$F104)*VLOOKUP(BY$2,Valores!$H$2:$P$154,8,0)</f>
        <v>0</v>
      </c>
      <c r="BZ104" s="30" t="n">
        <f aca="false">SUMIF($C$2:$F$2,EOMONTH(BZ$2,-1)+1,$C104:$F104)*VLOOKUP(BZ$2,Valores!$H$2:$P$154,8,0)</f>
        <v>0</v>
      </c>
      <c r="CA104" s="30" t="n">
        <f aca="false">SUMIF($C$2:$F$2,EOMONTH(CA$2,-1)+1,$C104:$F104)*VLOOKUP(CA$2,Valores!$H$2:$P$154,8,0)</f>
        <v>0</v>
      </c>
      <c r="CB104" s="30" t="n">
        <f aca="false">SUMIF($C$2:$F$2,EOMONTH(CB$2,-1)+1,$C104:$F104)*VLOOKUP(CB$2,Valores!$H$2:$P$154,8,0)</f>
        <v>0</v>
      </c>
      <c r="CC104" s="30" t="n">
        <f aca="false">SUMIF($C$2:$F$2,EOMONTH(CC$2,-1)+1,$C104:$F104)*VLOOKUP(CC$2,Valores!$H$2:$P$154,8,0)</f>
        <v>0</v>
      </c>
      <c r="CD104" s="30" t="n">
        <f aca="false">SUMIF($C$2:$F$2,EOMONTH(CD$2,-1)+1,$C104:$F104)*VLOOKUP(CD$2,Valores!$H$2:$P$154,8,0)</f>
        <v>0</v>
      </c>
      <c r="CE104" s="30" t="n">
        <f aca="false">SUMIF($C$2:$F$2,EOMONTH(CE$2,-1)+1,$C104:$F104)*VLOOKUP(CE$2,Valores!$H$2:$P$154,8,0)</f>
        <v>0</v>
      </c>
      <c r="CF104" s="30" t="n">
        <f aca="false">SUMIF($C$2:$F$2,EOMONTH(CF$2,-1)+1,$C104:$F104)*VLOOKUP(CF$2,Valores!$H$2:$P$154,8,0)</f>
        <v>0</v>
      </c>
      <c r="CG104" s="30" t="n">
        <f aca="false">SUMIF($C$2:$F$2,EOMONTH(CG$2,-1)+1,$C104:$F104)*VLOOKUP(CG$2,Valores!$H$2:$P$154,8,0)</f>
        <v>0</v>
      </c>
      <c r="CH104" s="30" t="n">
        <f aca="false">SUMIF($C$2:$F$2,EOMONTH(CH$2,-1)+1,$C104:$F104)*VLOOKUP(CH$2,Valores!$H$2:$P$154,8,0)</f>
        <v>0</v>
      </c>
      <c r="CI104" s="30" t="n">
        <f aca="false">SUMIF($C$2:$F$2,EOMONTH(CI$2,-1)+1,$C104:$F104)*VLOOKUP(CI$2,Valores!$H$2:$P$154,8,0)</f>
        <v>0</v>
      </c>
      <c r="CJ104" s="30" t="n">
        <f aca="false">SUMIF($C$2:$F$2,EOMONTH(CJ$2,-1)+1,$C104:$F104)*VLOOKUP(CJ$2,Valores!$H$2:$P$154,8,0)</f>
        <v>0</v>
      </c>
      <c r="CK104" s="30" t="n">
        <f aca="false">SUMIF($C$2:$F$2,EOMONTH(CK$2,-1)+1,$C104:$F104)*VLOOKUP(CK$2,Valores!$H$2:$P$154,8,0)</f>
        <v>0</v>
      </c>
      <c r="CL104" s="30" t="n">
        <f aca="false">SUMIF($C$2:$F$2,EOMONTH(CL$2,-1)+1,$C104:$F104)*VLOOKUP(CL$2,Valores!$H$2:$P$154,8,0)</f>
        <v>0</v>
      </c>
      <c r="CM104" s="30" t="n">
        <f aca="false">SUMIF($C$2:$F$2,EOMONTH(CM$2,-1)+1,$C104:$F104)*VLOOKUP(CM$2,Valores!$H$2:$P$154,8,0)</f>
        <v>0</v>
      </c>
      <c r="CN104" s="30" t="n">
        <f aca="false">SUMIF($C$2:$F$2,EOMONTH(CN$2,-1)+1,$C104:$F104)*VLOOKUP(CN$2,Valores!$H$2:$P$154,8,0)</f>
        <v>0</v>
      </c>
      <c r="CO104" s="30" t="n">
        <f aca="false">SUMIF($C$2:$F$2,EOMONTH(CO$2,-1)+1,$C104:$F104)*VLOOKUP(CO$2,Valores!$H$2:$P$154,8,0)</f>
        <v>0</v>
      </c>
      <c r="CP104" s="30" t="n">
        <f aca="false">SUMIF($C$2:$F$2,EOMONTH(CP$2,-1)+1,$C104:$F104)*VLOOKUP(CP$2,Valores!$H$2:$P$154,8,0)</f>
        <v>0</v>
      </c>
      <c r="CQ104" s="30" t="n">
        <f aca="false">SUMIF($C$2:$F$2,EOMONTH(CQ$2,-1)+1,$C104:$F104)*VLOOKUP(CQ$2,Valores!$H$2:$P$154,8,0)</f>
        <v>0</v>
      </c>
      <c r="CR104" s="30" t="n">
        <f aca="false">SUMIF($C$2:$F$2,EOMONTH(CR$2,-1)+1,$C104:$F104)*VLOOKUP(CR$2,Valores!$H$2:$P$154,8,0)</f>
        <v>0</v>
      </c>
      <c r="CS104" s="30" t="n">
        <f aca="false">SUMIF($C$2:$F$2,EOMONTH(CS$2,-1)+1,$C104:$F104)*VLOOKUP(CS$2,Valores!$H$2:$P$154,8,0)</f>
        <v>0</v>
      </c>
      <c r="CT104" s="30" t="e">
        <f aca="false">SUMIF($C$2:$F$2,EOMONTH(CT$2,-1)+1,$C104:$F104)*VLOOKUP(CT$2,Valores!$H$2:$P$154,8,0)</f>
        <v>#VALUE!</v>
      </c>
      <c r="CU104" s="30" t="e">
        <f aca="false">SUMIF($C$2:$F$2,EOMONTH(CU$2,-1)+1,$C104:$F104)*VLOOKUP(CU$2,Valores!$H$2:$P$154,8,0)</f>
        <v>#VALUE!</v>
      </c>
      <c r="CV104" s="30" t="e">
        <f aca="false">SUMIF($C$2:$F$2,EOMONTH(CV$2,-1)+1,$C104:$F104)*VLOOKUP(CV$2,Valores!$H$2:$P$154,8,0)</f>
        <v>#VALUE!</v>
      </c>
      <c r="CW104" s="30" t="e">
        <f aca="false">SUMIF($C$2:$F$2,EOMONTH(CW$2,-1)+1,$C104:$F104)*VLOOKUP(CW$2,Valores!$H$2:$P$154,8,0)</f>
        <v>#VALUE!</v>
      </c>
      <c r="CX104" s="30" t="e">
        <f aca="false">SUMIF($C$2:$F$2,EOMONTH(CX$2,-1)+1,$C104:$F104)*VLOOKUP(CX$2,Valores!$H$2:$P$154,8,0)</f>
        <v>#VALUE!</v>
      </c>
      <c r="CY104" s="30" t="e">
        <f aca="false">SUMIF($C$2:$F$2,EOMONTH(CY$2,-1)+1,$C104:$F104)*VLOOKUP(CY$2,Valores!$H$2:$P$154,8,0)</f>
        <v>#VALUE!</v>
      </c>
      <c r="CZ104" s="30" t="e">
        <f aca="false">SUMIF($C$2:$F$2,EOMONTH(CZ$2,-1)+1,$C104:$F104)*VLOOKUP(CZ$2,Valores!$H$2:$P$154,8,0)</f>
        <v>#VALUE!</v>
      </c>
      <c r="DA104" s="30" t="e">
        <f aca="false">SUMIF($C$2:$F$2,EOMONTH(DA$2,-1)+1,$C104:$F104)*VLOOKUP(DA$2,Valores!$H$2:$P$154,8,0)</f>
        <v>#VALUE!</v>
      </c>
      <c r="DB104" s="30" t="e">
        <f aca="false">SUMIF($C$2:$F$2,EOMONTH(DB$2,-1)+1,$C104:$F104)*VLOOKUP(DB$2,Valores!$H$2:$P$154,8,0)</f>
        <v>#VALUE!</v>
      </c>
      <c r="DC104" s="30" t="e">
        <f aca="false">SUMIF($C$2:$F$2,EOMONTH(DC$2,-1)+1,$C104:$F104)*VLOOKUP(DC$2,Valores!$H$2:$P$154,8,0)</f>
        <v>#VALUE!</v>
      </c>
      <c r="DD104" s="30" t="e">
        <f aca="false">SUMIF($C$2:$F$2,EOMONTH(DD$2,-1)+1,$C104:$F104)*VLOOKUP(DD$2,Valores!$H$2:$P$154,8,0)</f>
        <v>#VALUE!</v>
      </c>
      <c r="DE104" s="30" t="e">
        <f aca="false">SUMIF($C$2:$F$2,EOMONTH(DE$2,-1)+1,$C104:$F104)*VLOOKUP(DE$2,Valores!$H$2:$P$154,8,0)</f>
        <v>#VALUE!</v>
      </c>
      <c r="DF104" s="30" t="e">
        <f aca="false">SUMIF($C$2:$F$2,EOMONTH(DF$2,-1)+1,$C104:$F104)*VLOOKUP(DF$2,Valores!$H$2:$P$154,8,0)</f>
        <v>#VALUE!</v>
      </c>
      <c r="DG104" s="30" t="e">
        <f aca="false">SUMIF($C$2:$F$2,EOMONTH(DG$2,-1)+1,$C104:$F104)*VLOOKUP(DG$2,Valores!$H$2:$P$154,8,0)</f>
        <v>#VALUE!</v>
      </c>
      <c r="DH104" s="30" t="e">
        <f aca="false">SUMIF($C$2:$F$2,EOMONTH(DH$2,-1)+1,$C104:$F104)*VLOOKUP(DH$2,Valores!$H$2:$P$154,8,0)</f>
        <v>#VALUE!</v>
      </c>
      <c r="DI104" s="30" t="e">
        <f aca="false">SUMIF($C$2:$F$2,EOMONTH(DI$2,-1)+1,$C104:$F104)*VLOOKUP(DI$2,Valores!$H$2:$P$154,8,0)</f>
        <v>#VALUE!</v>
      </c>
      <c r="DJ104" s="30" t="e">
        <f aca="false">SUMIF($C$2:$F$2,EOMONTH(DJ$2,-1)+1,$C104:$F104)*VLOOKUP(DJ$2,Valores!$H$2:$P$154,8,0)</f>
        <v>#VALUE!</v>
      </c>
      <c r="DK104" s="30" t="e">
        <f aca="false">SUMIF($C$2:$F$2,EOMONTH(DK$2,-1)+1,$C104:$F104)*VLOOKUP(DK$2,Valores!$H$2:$P$154,8,0)</f>
        <v>#VALUE!</v>
      </c>
      <c r="DL104" s="30" t="e">
        <f aca="false">SUMIF($C$2:$F$2,EOMONTH(DL$2,-1)+1,$C104:$F104)*VLOOKUP(DL$2,Valores!$H$2:$P$154,8,0)</f>
        <v>#VALUE!</v>
      </c>
      <c r="DM104" s="30" t="e">
        <f aca="false">SUMIF($C$2:$F$2,EOMONTH(DM$2,-1)+1,$C104:$F104)*VLOOKUP(DM$2,Valores!$H$2:$P$154,8,0)</f>
        <v>#VALUE!</v>
      </c>
      <c r="DN104" s="30" t="e">
        <f aca="false">SUMIF($C$2:$F$2,EOMONTH(DN$2,-1)+1,$C104:$F104)*VLOOKUP(DN$2,Valores!$H$2:$P$154,8,0)</f>
        <v>#VALUE!</v>
      </c>
      <c r="DO104" s="30" t="e">
        <f aca="false">SUMIF($C$2:$F$2,EOMONTH(DO$2,-1)+1,$C104:$F104)*VLOOKUP(DO$2,Valores!$H$2:$P$154,8,0)</f>
        <v>#VALUE!</v>
      </c>
      <c r="DP104" s="30" t="e">
        <f aca="false">SUMIF($C$2:$F$2,EOMONTH(DP$2,-1)+1,$C104:$F104)*VLOOKUP(DP$2,Valores!$H$2:$P$154,8,0)</f>
        <v>#VALUE!</v>
      </c>
      <c r="DQ104" s="30" t="e">
        <f aca="false">SUMIF($C$2:$F$2,EOMONTH(DQ$2,-1)+1,$C104:$F104)*VLOOKUP(DQ$2,Valores!$H$2:$P$154,8,0)</f>
        <v>#VALUE!</v>
      </c>
      <c r="DR104" s="30" t="e">
        <f aca="false">SUMIF($C$2:$F$2,EOMONTH(DR$2,-1)+1,$C104:$F104)*VLOOKUP(DR$2,Valores!$H$2:$P$154,8,0)</f>
        <v>#VALUE!</v>
      </c>
      <c r="DS104" s="30" t="e">
        <f aca="false">SUMIF($C$2:$F$2,EOMONTH(DS$2,-1)+1,$C104:$F104)*VLOOKUP(DS$2,Valores!$H$2:$P$154,8,0)</f>
        <v>#VALUE!</v>
      </c>
      <c r="DT104" s="30" t="e">
        <f aca="false">SUMIF($C$2:$F$2,EOMONTH(DT$2,-1)+1,$C104:$F104)*VLOOKUP(DT$2,Valores!$H$2:$P$154,8,0)</f>
        <v>#VALUE!</v>
      </c>
      <c r="DU104" s="30" t="e">
        <f aca="false">SUMIF($C$2:$F$2,EOMONTH(DU$2,-1)+1,$C104:$F104)*VLOOKUP(DU$2,Valores!$H$2:$P$154,8,0)</f>
        <v>#VALUE!</v>
      </c>
      <c r="DV104" s="30" t="e">
        <f aca="false">SUMIF($C$2:$F$2,EOMONTH(DV$2,-1)+1,$C104:$F104)*VLOOKUP(DV$2,Valores!$H$2:$P$154,8,0)</f>
        <v>#VALUE!</v>
      </c>
      <c r="DW104" s="30" t="e">
        <f aca="false">SUMIF($C$2:$F$2,EOMONTH(DW$2,-1)+1,$C104:$F104)*VLOOKUP(DW$2,Valores!$H$2:$P$154,8,0)</f>
        <v>#VALUE!</v>
      </c>
      <c r="DX104" s="30" t="e">
        <f aca="false">SUMIF($C$2:$F$2,EOMONTH(DX$2,-1)+1,$C104:$F104)*VLOOKUP(DX$2,Valores!$H$2:$P$154,8,0)</f>
        <v>#VALUE!</v>
      </c>
    </row>
    <row r="105" customFormat="false" ht="13.8" hidden="false" customHeight="false" outlineLevel="0" collapsed="false">
      <c r="A105" s="31"/>
      <c r="B105" s="31"/>
      <c r="C105" s="31"/>
      <c r="D105" s="31"/>
      <c r="E105" s="31"/>
      <c r="F105" s="31"/>
      <c r="G105" s="27" t="n">
        <f aca="false">SUMIF($C$2:$F$2,EOMONTH(G$2,-1)+1,$C105:$F105)*VLOOKUP(G$2,Valores!$H$2:$P$154,8,0)</f>
        <v>0</v>
      </c>
      <c r="H105" s="27" t="n">
        <f aca="false">SUMIF($C$2:$F$2,EOMONTH(H$2,-1)+1,$C105:$F105)*VLOOKUP(H$2,Valores!$H$2:$P$154,8,0)</f>
        <v>0</v>
      </c>
      <c r="I105" s="27" t="n">
        <f aca="false">SUMIF($C$2:$F$2,EOMONTH(I$2,-1)+1,$C105:$F105)*VLOOKUP(I$2,Valores!$H$2:$P$154,8,0)</f>
        <v>0</v>
      </c>
      <c r="J105" s="27" t="n">
        <f aca="false">SUMIF($C$2:$F$2,EOMONTH(J$2,-1)+1,$C105:$F105)*VLOOKUP(J$2,Valores!$H$2:$P$154,8,0)</f>
        <v>0</v>
      </c>
      <c r="K105" s="27" t="n">
        <f aca="false">SUMIF($C$2:$F$2,EOMONTH(K$2,-1)+1,$C105:$F105)*VLOOKUP(K$2,Valores!$H$2:$P$154,8,0)</f>
        <v>0</v>
      </c>
      <c r="L105" s="27" t="n">
        <f aca="false">SUMIF($C$2:$F$2,EOMONTH(L$2,-1)+1,$C105:$F105)*VLOOKUP(L$2,Valores!$H$2:$P$154,8,0)</f>
        <v>0</v>
      </c>
      <c r="M105" s="27" t="n">
        <f aca="false">SUMIF($C$2:$F$2,EOMONTH(M$2,-1)+1,$C105:$F105)*VLOOKUP(M$2,Valores!$H$2:$P$154,8,0)</f>
        <v>0</v>
      </c>
      <c r="N105" s="27" t="n">
        <f aca="false">SUMIF($C$2:$F$2,EOMONTH(N$2,-1)+1,$C105:$F105)*VLOOKUP(N$2,Valores!$H$2:$P$154,8,0)</f>
        <v>0</v>
      </c>
      <c r="O105" s="27" t="n">
        <f aca="false">SUMIF($C$2:$F$2,EOMONTH(O$2,-1)+1,$C105:$F105)*VLOOKUP(O$2,Valores!$H$2:$P$154,8,0)</f>
        <v>0</v>
      </c>
      <c r="P105" s="27" t="n">
        <f aca="false">SUMIF($C$2:$F$2,EOMONTH(P$2,-1)+1,$C105:$F105)*VLOOKUP(P$2,Valores!$H$2:$P$154,8,0)</f>
        <v>0</v>
      </c>
      <c r="Q105" s="27" t="n">
        <f aca="false">SUMIF($C$2:$F$2,EOMONTH(Q$2,-1)+1,$C105:$F105)*VLOOKUP(Q$2,Valores!$H$2:$P$154,8,0)</f>
        <v>0</v>
      </c>
      <c r="R105" s="27" t="n">
        <f aca="false">SUMIF($C$2:$F$2,EOMONTH(R$2,-1)+1,$C105:$F105)*VLOOKUP(R$2,Valores!$H$2:$P$154,8,0)</f>
        <v>0</v>
      </c>
      <c r="S105" s="27" t="n">
        <f aca="false">SUMIF($C$2:$F$2,EOMONTH(S$2,-1)+1,$C105:$F105)*VLOOKUP(S$2,Valores!$H$2:$P$154,8,0)</f>
        <v>0</v>
      </c>
      <c r="T105" s="27" t="n">
        <f aca="false">SUMIF($C$2:$F$2,EOMONTH(T$2,-1)+1,$C105:$F105)*VLOOKUP(T$2,Valores!$H$2:$P$154,8,0)</f>
        <v>0</v>
      </c>
      <c r="U105" s="27" t="n">
        <f aca="false">SUMIF($C$2:$F$2,EOMONTH(U$2,-1)+1,$C105:$F105)*VLOOKUP(U$2,Valores!$H$2:$P$154,8,0)</f>
        <v>0</v>
      </c>
      <c r="V105" s="27" t="n">
        <f aca="false">SUMIF($C$2:$F$2,EOMONTH(V$2,-1)+1,$C105:$F105)*VLOOKUP(V$2,Valores!$H$2:$P$154,8,0)</f>
        <v>0</v>
      </c>
      <c r="W105" s="27" t="n">
        <f aca="false">SUMIF($C$2:$F$2,EOMONTH(W$2,-1)+1,$C105:$F105)*VLOOKUP(W$2,Valores!$H$2:$P$154,8,0)</f>
        <v>0</v>
      </c>
      <c r="X105" s="27" t="n">
        <f aca="false">SUMIF($C$2:$F$2,EOMONTH(X$2,-1)+1,$C105:$F105)*VLOOKUP(X$2,Valores!$H$2:$P$154,8,0)</f>
        <v>0</v>
      </c>
      <c r="Y105" s="27" t="n">
        <f aca="false">SUMIF($C$2:$F$2,EOMONTH(Y$2,-1)+1,$C105:$F105)*VLOOKUP(Y$2,Valores!$H$2:$P$154,8,0)</f>
        <v>0</v>
      </c>
      <c r="Z105" s="27" t="n">
        <f aca="false">SUMIF($C$2:$F$2,EOMONTH(Z$2,-1)+1,$C105:$F105)*VLOOKUP(Z$2,Valores!$H$2:$P$154,8,0)</f>
        <v>0</v>
      </c>
      <c r="AA105" s="27" t="n">
        <f aca="false">SUMIF($C$2:$F$2,EOMONTH(AA$2,-1)+1,$C105:$F105)*VLOOKUP(AA$2,Valores!$H$2:$P$154,8,0)</f>
        <v>0</v>
      </c>
      <c r="AB105" s="27" t="n">
        <f aca="false">SUMIF($C$2:$F$2,EOMONTH(AB$2,-1)+1,$C105:$F105)*VLOOKUP(AB$2,Valores!$H$2:$P$154,8,0)</f>
        <v>0</v>
      </c>
      <c r="AC105" s="27" t="n">
        <f aca="false">SUMIF($C$2:$F$2,EOMONTH(AC$2,-1)+1,$C105:$F105)*VLOOKUP(AC$2,Valores!$H$2:$P$154,8,0)</f>
        <v>0</v>
      </c>
      <c r="AD105" s="27" t="n">
        <f aca="false">SUMIF($C$2:$F$2,EOMONTH(AD$2,-1)+1,$C105:$F105)*VLOOKUP(AD$2,Valores!$H$2:$P$154,8,0)</f>
        <v>0</v>
      </c>
      <c r="AE105" s="27" t="n">
        <f aca="false">SUMIF($C$2:$F$2,EOMONTH(AE$2,-1)+1,$C105:$F105)*VLOOKUP(AE$2,Valores!$H$2:$P$154,8,0)</f>
        <v>0</v>
      </c>
      <c r="AF105" s="27" t="n">
        <f aca="false">SUMIF($C$2:$F$2,EOMONTH(AF$2,-1)+1,$C105:$F105)*VLOOKUP(AF$2,Valores!$H$2:$P$154,8,0)</f>
        <v>0</v>
      </c>
      <c r="AG105" s="27" t="n">
        <f aca="false">SUMIF($C$2:$F$2,EOMONTH(AG$2,-1)+1,$C105:$F105)*VLOOKUP(AG$2,Valores!$H$2:$P$154,8,0)</f>
        <v>0</v>
      </c>
      <c r="AH105" s="27" t="n">
        <f aca="false">SUMIF($C$2:$F$2,EOMONTH(AH$2,-1)+1,$C105:$F105)*VLOOKUP(AH$2,Valores!$H$2:$P$154,8,0)</f>
        <v>0</v>
      </c>
      <c r="AI105" s="27" t="n">
        <f aca="false">SUMIF($C$2:$F$2,EOMONTH(AI$2,-1)+1,$C105:$F105)*VLOOKUP(AI$2,Valores!$H$2:$P$154,8,0)</f>
        <v>0</v>
      </c>
      <c r="AJ105" s="27" t="n">
        <f aca="false">SUMIF($C$2:$F$2,EOMONTH(AJ$2,-1)+1,$C105:$F105)*VLOOKUP(AJ$2,Valores!$H$2:$P$154,8,0)</f>
        <v>0</v>
      </c>
      <c r="AK105" s="27" t="n">
        <f aca="false">SUMIF($C$2:$F$2,EOMONTH(AK$2,-1)+1,$C105:$F105)*VLOOKUP(AK$2,Valores!$H$2:$P$154,8,0)</f>
        <v>0</v>
      </c>
      <c r="AL105" s="27" t="n">
        <f aca="false">SUMIF($C$2:$F$2,EOMONTH(AL$2,-1)+1,$C105:$F105)*VLOOKUP(AL$2,Valores!$H$2:$P$154,8,0)</f>
        <v>0</v>
      </c>
      <c r="AM105" s="27" t="n">
        <f aca="false">SUMIF($C$2:$F$2,EOMONTH(AM$2,-1)+1,$C105:$F105)*VLOOKUP(AM$2,Valores!$H$2:$P$154,8,0)</f>
        <v>0</v>
      </c>
      <c r="AN105" s="27" t="n">
        <f aca="false">SUMIF($C$2:$F$2,EOMONTH(AN$2,-1)+1,$C105:$F105)*VLOOKUP(AN$2,Valores!$H$2:$P$154,8,0)</f>
        <v>0</v>
      </c>
      <c r="AO105" s="27" t="n">
        <f aca="false">SUMIF($C$2:$F$2,EOMONTH(AO$2,-1)+1,$C105:$F105)*VLOOKUP(AO$2,Valores!$H$2:$P$154,8,0)</f>
        <v>0</v>
      </c>
      <c r="AP105" s="27" t="n">
        <f aca="false">SUMIF($C$2:$F$2,EOMONTH(AP$2,-1)+1,$C105:$F105)*VLOOKUP(AP$2,Valores!$H$2:$P$154,8,0)</f>
        <v>0</v>
      </c>
      <c r="AQ105" s="27" t="n">
        <f aca="false">SUMIF($C$2:$F$2,EOMONTH(AQ$2,-1)+1,$C105:$F105)*VLOOKUP(AQ$2,Valores!$H$2:$P$154,8,0)</f>
        <v>0</v>
      </c>
      <c r="AR105" s="27" t="n">
        <f aca="false">SUMIF($C$2:$F$2,EOMONTH(AR$2,-1)+1,$C105:$F105)*VLOOKUP(AR$2,Valores!$H$2:$P$154,8,0)</f>
        <v>0</v>
      </c>
      <c r="AS105" s="27" t="n">
        <f aca="false">SUMIF($C$2:$F$2,EOMONTH(AS$2,-1)+1,$C105:$F105)*VLOOKUP(AS$2,Valores!$H$2:$P$154,8,0)</f>
        <v>0</v>
      </c>
      <c r="AT105" s="27" t="n">
        <f aca="false">SUMIF($C$2:$F$2,EOMONTH(AT$2,-1)+1,$C105:$F105)*VLOOKUP(AT$2,Valores!$H$2:$P$154,8,0)</f>
        <v>0</v>
      </c>
      <c r="AU105" s="27" t="n">
        <f aca="false">SUMIF($C$2:$F$2,EOMONTH(AU$2,-1)+1,$C105:$F105)*VLOOKUP(AU$2,Valores!$H$2:$P$154,8,0)</f>
        <v>0</v>
      </c>
      <c r="AV105" s="27" t="n">
        <f aca="false">SUMIF($C$2:$F$2,EOMONTH(AV$2,-1)+1,$C105:$F105)*VLOOKUP(AV$2,Valores!$H$2:$P$154,8,0)</f>
        <v>0</v>
      </c>
      <c r="AW105" s="27" t="n">
        <f aca="false">SUMIF($C$2:$F$2,EOMONTH(AW$2,-1)+1,$C105:$F105)*VLOOKUP(AW$2,Valores!$H$2:$P$154,8,0)</f>
        <v>0</v>
      </c>
      <c r="AX105" s="27" t="n">
        <f aca="false">SUMIF($C$2:$F$2,EOMONTH(AX$2,-1)+1,$C105:$F105)*VLOOKUP(AX$2,Valores!$H$2:$P$154,8,0)</f>
        <v>0</v>
      </c>
      <c r="AY105" s="27" t="n">
        <f aca="false">SUMIF($C$2:$F$2,EOMONTH(AY$2,-1)+1,$C105:$F105)*VLOOKUP(AY$2,Valores!$H$2:$P$154,8,0)</f>
        <v>0</v>
      </c>
      <c r="AZ105" s="27" t="n">
        <f aca="false">SUMIF($C$2:$F$2,EOMONTH(AZ$2,-1)+1,$C105:$F105)*VLOOKUP(AZ$2,Valores!$H$2:$P$154,8,0)</f>
        <v>0</v>
      </c>
      <c r="BA105" s="27" t="n">
        <f aca="false">SUMIF($C$2:$F$2,EOMONTH(BA$2,-1)+1,$C105:$F105)*VLOOKUP(BA$2,Valores!$H$2:$P$154,8,0)</f>
        <v>0</v>
      </c>
      <c r="BB105" s="27" t="n">
        <f aca="false">SUMIF($C$2:$F$2,EOMONTH(BB$2,-1)+1,$C105:$F105)*VLOOKUP(BB$2,Valores!$H$2:$P$154,8,0)</f>
        <v>0</v>
      </c>
      <c r="BC105" s="27" t="n">
        <f aca="false">SUMIF($C$2:$F$2,EOMONTH(BC$2,-1)+1,$C105:$F105)*VLOOKUP(BC$2,Valores!$H$2:$P$154,8,0)</f>
        <v>0</v>
      </c>
      <c r="BD105" s="27" t="n">
        <f aca="false">SUMIF($C$2:$F$2,EOMONTH(BD$2,-1)+1,$C105:$F105)*VLOOKUP(BD$2,Valores!$H$2:$P$154,8,0)</f>
        <v>0</v>
      </c>
      <c r="BE105" s="27" t="n">
        <f aca="false">SUMIF($C$2:$F$2,EOMONTH(BE$2,-1)+1,$C105:$F105)*VLOOKUP(BE$2,Valores!$H$2:$P$154,8,0)</f>
        <v>0</v>
      </c>
      <c r="BF105" s="27" t="n">
        <f aca="false">SUMIF($C$2:$F$2,EOMONTH(BF$2,-1)+1,$C105:$F105)*VLOOKUP(BF$2,Valores!$H$2:$P$154,8,0)</f>
        <v>0</v>
      </c>
      <c r="BG105" s="27" t="n">
        <f aca="false">SUMIF($C$2:$F$2,EOMONTH(BG$2,-1)+1,$C105:$F105)*VLOOKUP(BG$2,Valores!$H$2:$P$154,8,0)</f>
        <v>0</v>
      </c>
      <c r="BH105" s="27" t="n">
        <f aca="false">SUMIF($C$2:$F$2,EOMONTH(BH$2,-1)+1,$C105:$F105)*VLOOKUP(BH$2,Valores!$H$2:$P$154,8,0)</f>
        <v>0</v>
      </c>
      <c r="BI105" s="27" t="n">
        <f aca="false">SUMIF($C$2:$F$2,EOMONTH(BI$2,-1)+1,$C105:$F105)*VLOOKUP(BI$2,Valores!$H$2:$P$154,8,0)</f>
        <v>0</v>
      </c>
      <c r="BJ105" s="27" t="n">
        <f aca="false">SUMIF($C$2:$F$2,EOMONTH(BJ$2,-1)+1,$C105:$F105)*VLOOKUP(BJ$2,Valores!$H$2:$P$154,8,0)</f>
        <v>0</v>
      </c>
      <c r="BK105" s="27" t="n">
        <f aca="false">SUMIF($C$2:$F$2,EOMONTH(BK$2,-1)+1,$C105:$F105)*VLOOKUP(BK$2,Valores!$H$2:$P$154,8,0)</f>
        <v>0</v>
      </c>
      <c r="BL105" s="27" t="n">
        <f aca="false">SUMIF($C$2:$F$2,EOMONTH(BL$2,-1)+1,$C105:$F105)*VLOOKUP(BL$2,Valores!$H$2:$P$154,8,0)</f>
        <v>0</v>
      </c>
      <c r="BM105" s="27" t="n">
        <f aca="false">SUMIF($C$2:$F$2,EOMONTH(BM$2,-1)+1,$C105:$F105)*VLOOKUP(BM$2,Valores!$H$2:$P$154,8,0)</f>
        <v>0</v>
      </c>
      <c r="BN105" s="27" t="n">
        <f aca="false">SUMIF($C$2:$F$2,EOMONTH(BN$2,-1)+1,$C105:$F105)*VLOOKUP(BN$2,Valores!$H$2:$P$154,8,0)</f>
        <v>0</v>
      </c>
      <c r="BO105" s="27" t="n">
        <f aca="false">SUMIF($C$2:$F$2,EOMONTH(BO$2,-1)+1,$C105:$F105)*VLOOKUP(BO$2,Valores!$H$2:$P$154,8,0)</f>
        <v>0</v>
      </c>
      <c r="BP105" s="27" t="n">
        <f aca="false">SUMIF($C$2:$F$2,EOMONTH(BP$2,-1)+1,$C105:$F105)*VLOOKUP(BP$2,Valores!$H$2:$P$154,8,0)</f>
        <v>0</v>
      </c>
      <c r="BQ105" s="27" t="n">
        <f aca="false">SUMIF($C$2:$F$2,EOMONTH(BQ$2,-1)+1,$C105:$F105)*VLOOKUP(BQ$2,Valores!$H$2:$P$154,8,0)</f>
        <v>0</v>
      </c>
      <c r="BR105" s="27" t="n">
        <f aca="false">SUMIF($C$2:$F$2,EOMONTH(BR$2,-1)+1,$C105:$F105)*VLOOKUP(BR$2,Valores!$H$2:$P$154,8,0)</f>
        <v>0</v>
      </c>
      <c r="BS105" s="27" t="n">
        <f aca="false">SUMIF($C$2:$F$2,EOMONTH(BS$2,-1)+1,$C105:$F105)*VLOOKUP(BS$2,Valores!$H$2:$P$154,8,0)</f>
        <v>0</v>
      </c>
      <c r="BT105" s="27" t="n">
        <f aca="false">SUMIF($C$2:$F$2,EOMONTH(BT$2,-1)+1,$C105:$F105)*VLOOKUP(BT$2,Valores!$H$2:$P$154,8,0)</f>
        <v>0</v>
      </c>
      <c r="BU105" s="27" t="n">
        <f aca="false">SUMIF($C$2:$F$2,EOMONTH(BU$2,-1)+1,$C105:$F105)*VLOOKUP(BU$2,Valores!$H$2:$P$154,8,0)</f>
        <v>0</v>
      </c>
      <c r="BV105" s="27" t="n">
        <f aca="false">SUMIF($C$2:$F$2,EOMONTH(BV$2,-1)+1,$C105:$F105)*VLOOKUP(BV$2,Valores!$H$2:$P$154,8,0)</f>
        <v>0</v>
      </c>
      <c r="BW105" s="27" t="n">
        <f aca="false">SUMIF($C$2:$F$2,EOMONTH(BW$2,-1)+1,$C105:$F105)*VLOOKUP(BW$2,Valores!$H$2:$P$154,8,0)</f>
        <v>0</v>
      </c>
      <c r="BX105" s="27" t="n">
        <f aca="false">SUMIF($C$2:$F$2,EOMONTH(BX$2,-1)+1,$C105:$F105)*VLOOKUP(BX$2,Valores!$H$2:$P$154,8,0)</f>
        <v>0</v>
      </c>
      <c r="BY105" s="27" t="n">
        <f aca="false">SUMIF($C$2:$F$2,EOMONTH(BY$2,-1)+1,$C105:$F105)*VLOOKUP(BY$2,Valores!$H$2:$P$154,8,0)</f>
        <v>0</v>
      </c>
      <c r="BZ105" s="27" t="n">
        <f aca="false">SUMIF($C$2:$F$2,EOMONTH(BZ$2,-1)+1,$C105:$F105)*VLOOKUP(BZ$2,Valores!$H$2:$P$154,8,0)</f>
        <v>0</v>
      </c>
      <c r="CA105" s="27" t="n">
        <f aca="false">SUMIF($C$2:$F$2,EOMONTH(CA$2,-1)+1,$C105:$F105)*VLOOKUP(CA$2,Valores!$H$2:$P$154,8,0)</f>
        <v>0</v>
      </c>
      <c r="CB105" s="27" t="n">
        <f aca="false">SUMIF($C$2:$F$2,EOMONTH(CB$2,-1)+1,$C105:$F105)*VLOOKUP(CB$2,Valores!$H$2:$P$154,8,0)</f>
        <v>0</v>
      </c>
      <c r="CC105" s="27" t="n">
        <f aca="false">SUMIF($C$2:$F$2,EOMONTH(CC$2,-1)+1,$C105:$F105)*VLOOKUP(CC$2,Valores!$H$2:$P$154,8,0)</f>
        <v>0</v>
      </c>
      <c r="CD105" s="27" t="n">
        <f aca="false">SUMIF($C$2:$F$2,EOMONTH(CD$2,-1)+1,$C105:$F105)*VLOOKUP(CD$2,Valores!$H$2:$P$154,8,0)</f>
        <v>0</v>
      </c>
      <c r="CE105" s="27" t="n">
        <f aca="false">SUMIF($C$2:$F$2,EOMONTH(CE$2,-1)+1,$C105:$F105)*VLOOKUP(CE$2,Valores!$H$2:$P$154,8,0)</f>
        <v>0</v>
      </c>
      <c r="CF105" s="27" t="n">
        <f aca="false">SUMIF($C$2:$F$2,EOMONTH(CF$2,-1)+1,$C105:$F105)*VLOOKUP(CF$2,Valores!$H$2:$P$154,8,0)</f>
        <v>0</v>
      </c>
      <c r="CG105" s="27" t="n">
        <f aca="false">SUMIF($C$2:$F$2,EOMONTH(CG$2,-1)+1,$C105:$F105)*VLOOKUP(CG$2,Valores!$H$2:$P$154,8,0)</f>
        <v>0</v>
      </c>
      <c r="CH105" s="27" t="n">
        <f aca="false">SUMIF($C$2:$F$2,EOMONTH(CH$2,-1)+1,$C105:$F105)*VLOOKUP(CH$2,Valores!$H$2:$P$154,8,0)</f>
        <v>0</v>
      </c>
      <c r="CI105" s="27" t="n">
        <f aca="false">SUMIF($C$2:$F$2,EOMONTH(CI$2,-1)+1,$C105:$F105)*VLOOKUP(CI$2,Valores!$H$2:$P$154,8,0)</f>
        <v>0</v>
      </c>
      <c r="CJ105" s="27" t="n">
        <f aca="false">SUMIF($C$2:$F$2,EOMONTH(CJ$2,-1)+1,$C105:$F105)*VLOOKUP(CJ$2,Valores!$H$2:$P$154,8,0)</f>
        <v>0</v>
      </c>
      <c r="CK105" s="27" t="n">
        <f aca="false">SUMIF($C$2:$F$2,EOMONTH(CK$2,-1)+1,$C105:$F105)*VLOOKUP(CK$2,Valores!$H$2:$P$154,8,0)</f>
        <v>0</v>
      </c>
      <c r="CL105" s="27" t="n">
        <f aca="false">SUMIF($C$2:$F$2,EOMONTH(CL$2,-1)+1,$C105:$F105)*VLOOKUP(CL$2,Valores!$H$2:$P$154,8,0)</f>
        <v>0</v>
      </c>
      <c r="CM105" s="27" t="n">
        <f aca="false">SUMIF($C$2:$F$2,EOMONTH(CM$2,-1)+1,$C105:$F105)*VLOOKUP(CM$2,Valores!$H$2:$P$154,8,0)</f>
        <v>0</v>
      </c>
      <c r="CN105" s="27" t="n">
        <f aca="false">SUMIF($C$2:$F$2,EOMONTH(CN$2,-1)+1,$C105:$F105)*VLOOKUP(CN$2,Valores!$H$2:$P$154,8,0)</f>
        <v>0</v>
      </c>
      <c r="CO105" s="27" t="n">
        <f aca="false">SUMIF($C$2:$F$2,EOMONTH(CO$2,-1)+1,$C105:$F105)*VLOOKUP(CO$2,Valores!$H$2:$P$154,8,0)</f>
        <v>0</v>
      </c>
      <c r="CP105" s="27" t="n">
        <f aca="false">SUMIF($C$2:$F$2,EOMONTH(CP$2,-1)+1,$C105:$F105)*VLOOKUP(CP$2,Valores!$H$2:$P$154,8,0)</f>
        <v>0</v>
      </c>
      <c r="CQ105" s="27" t="n">
        <f aca="false">SUMIF($C$2:$F$2,EOMONTH(CQ$2,-1)+1,$C105:$F105)*VLOOKUP(CQ$2,Valores!$H$2:$P$154,8,0)</f>
        <v>0</v>
      </c>
      <c r="CR105" s="27" t="n">
        <f aca="false">SUMIF($C$2:$F$2,EOMONTH(CR$2,-1)+1,$C105:$F105)*VLOOKUP(CR$2,Valores!$H$2:$P$154,8,0)</f>
        <v>0</v>
      </c>
      <c r="CS105" s="27" t="n">
        <f aca="false">SUMIF($C$2:$F$2,EOMONTH(CS$2,-1)+1,$C105:$F105)*VLOOKUP(CS$2,Valores!$H$2:$P$154,8,0)</f>
        <v>0</v>
      </c>
      <c r="CT105" s="27" t="e">
        <f aca="false">SUMIF($C$2:$F$2,EOMONTH(CT$2,-1)+1,$C105:$F105)*VLOOKUP(CT$2,Valores!$H$2:$P$154,8,0)</f>
        <v>#VALUE!</v>
      </c>
      <c r="CU105" s="27" t="e">
        <f aca="false">SUMIF($C$2:$F$2,EOMONTH(CU$2,-1)+1,$C105:$F105)*VLOOKUP(CU$2,Valores!$H$2:$P$154,8,0)</f>
        <v>#VALUE!</v>
      </c>
      <c r="CV105" s="27" t="e">
        <f aca="false">SUMIF($C$2:$F$2,EOMONTH(CV$2,-1)+1,$C105:$F105)*VLOOKUP(CV$2,Valores!$H$2:$P$154,8,0)</f>
        <v>#VALUE!</v>
      </c>
      <c r="CW105" s="27" t="e">
        <f aca="false">SUMIF($C$2:$F$2,EOMONTH(CW$2,-1)+1,$C105:$F105)*VLOOKUP(CW$2,Valores!$H$2:$P$154,8,0)</f>
        <v>#VALUE!</v>
      </c>
      <c r="CX105" s="27" t="e">
        <f aca="false">SUMIF($C$2:$F$2,EOMONTH(CX$2,-1)+1,$C105:$F105)*VLOOKUP(CX$2,Valores!$H$2:$P$154,8,0)</f>
        <v>#VALUE!</v>
      </c>
      <c r="CY105" s="27" t="e">
        <f aca="false">SUMIF($C$2:$F$2,EOMONTH(CY$2,-1)+1,$C105:$F105)*VLOOKUP(CY$2,Valores!$H$2:$P$154,8,0)</f>
        <v>#VALUE!</v>
      </c>
      <c r="CZ105" s="27" t="e">
        <f aca="false">SUMIF($C$2:$F$2,EOMONTH(CZ$2,-1)+1,$C105:$F105)*VLOOKUP(CZ$2,Valores!$H$2:$P$154,8,0)</f>
        <v>#VALUE!</v>
      </c>
      <c r="DA105" s="27" t="e">
        <f aca="false">SUMIF($C$2:$F$2,EOMONTH(DA$2,-1)+1,$C105:$F105)*VLOOKUP(DA$2,Valores!$H$2:$P$154,8,0)</f>
        <v>#VALUE!</v>
      </c>
      <c r="DB105" s="27" t="e">
        <f aca="false">SUMIF($C$2:$F$2,EOMONTH(DB$2,-1)+1,$C105:$F105)*VLOOKUP(DB$2,Valores!$H$2:$P$154,8,0)</f>
        <v>#VALUE!</v>
      </c>
      <c r="DC105" s="27" t="e">
        <f aca="false">SUMIF($C$2:$F$2,EOMONTH(DC$2,-1)+1,$C105:$F105)*VLOOKUP(DC$2,Valores!$H$2:$P$154,8,0)</f>
        <v>#VALUE!</v>
      </c>
      <c r="DD105" s="27" t="e">
        <f aca="false">SUMIF($C$2:$F$2,EOMONTH(DD$2,-1)+1,$C105:$F105)*VLOOKUP(DD$2,Valores!$H$2:$P$154,8,0)</f>
        <v>#VALUE!</v>
      </c>
      <c r="DE105" s="27" t="e">
        <f aca="false">SUMIF($C$2:$F$2,EOMONTH(DE$2,-1)+1,$C105:$F105)*VLOOKUP(DE$2,Valores!$H$2:$P$154,8,0)</f>
        <v>#VALUE!</v>
      </c>
      <c r="DF105" s="27" t="e">
        <f aca="false">SUMIF($C$2:$F$2,EOMONTH(DF$2,-1)+1,$C105:$F105)*VLOOKUP(DF$2,Valores!$H$2:$P$154,8,0)</f>
        <v>#VALUE!</v>
      </c>
      <c r="DG105" s="27" t="e">
        <f aca="false">SUMIF($C$2:$F$2,EOMONTH(DG$2,-1)+1,$C105:$F105)*VLOOKUP(DG$2,Valores!$H$2:$P$154,8,0)</f>
        <v>#VALUE!</v>
      </c>
      <c r="DH105" s="27" t="e">
        <f aca="false">SUMIF($C$2:$F$2,EOMONTH(DH$2,-1)+1,$C105:$F105)*VLOOKUP(DH$2,Valores!$H$2:$P$154,8,0)</f>
        <v>#VALUE!</v>
      </c>
      <c r="DI105" s="27" t="e">
        <f aca="false">SUMIF($C$2:$F$2,EOMONTH(DI$2,-1)+1,$C105:$F105)*VLOOKUP(DI$2,Valores!$H$2:$P$154,8,0)</f>
        <v>#VALUE!</v>
      </c>
      <c r="DJ105" s="27" t="e">
        <f aca="false">SUMIF($C$2:$F$2,EOMONTH(DJ$2,-1)+1,$C105:$F105)*VLOOKUP(DJ$2,Valores!$H$2:$P$154,8,0)</f>
        <v>#VALUE!</v>
      </c>
      <c r="DK105" s="27" t="e">
        <f aca="false">SUMIF($C$2:$F$2,EOMONTH(DK$2,-1)+1,$C105:$F105)*VLOOKUP(DK$2,Valores!$H$2:$P$154,8,0)</f>
        <v>#VALUE!</v>
      </c>
      <c r="DL105" s="27" t="e">
        <f aca="false">SUMIF($C$2:$F$2,EOMONTH(DL$2,-1)+1,$C105:$F105)*VLOOKUP(DL$2,Valores!$H$2:$P$154,8,0)</f>
        <v>#VALUE!</v>
      </c>
      <c r="DM105" s="27" t="e">
        <f aca="false">SUMIF($C$2:$F$2,EOMONTH(DM$2,-1)+1,$C105:$F105)*VLOOKUP(DM$2,Valores!$H$2:$P$154,8,0)</f>
        <v>#VALUE!</v>
      </c>
      <c r="DN105" s="27" t="e">
        <f aca="false">SUMIF($C$2:$F$2,EOMONTH(DN$2,-1)+1,$C105:$F105)*VLOOKUP(DN$2,Valores!$H$2:$P$154,8,0)</f>
        <v>#VALUE!</v>
      </c>
      <c r="DO105" s="27" t="e">
        <f aca="false">SUMIF($C$2:$F$2,EOMONTH(DO$2,-1)+1,$C105:$F105)*VLOOKUP(DO$2,Valores!$H$2:$P$154,8,0)</f>
        <v>#VALUE!</v>
      </c>
      <c r="DP105" s="27" t="e">
        <f aca="false">SUMIF($C$2:$F$2,EOMONTH(DP$2,-1)+1,$C105:$F105)*VLOOKUP(DP$2,Valores!$H$2:$P$154,8,0)</f>
        <v>#VALUE!</v>
      </c>
      <c r="DQ105" s="27" t="e">
        <f aca="false">SUMIF($C$2:$F$2,EOMONTH(DQ$2,-1)+1,$C105:$F105)*VLOOKUP(DQ$2,Valores!$H$2:$P$154,8,0)</f>
        <v>#VALUE!</v>
      </c>
      <c r="DR105" s="27" t="e">
        <f aca="false">SUMIF($C$2:$F$2,EOMONTH(DR$2,-1)+1,$C105:$F105)*VLOOKUP(DR$2,Valores!$H$2:$P$154,8,0)</f>
        <v>#VALUE!</v>
      </c>
      <c r="DS105" s="27" t="e">
        <f aca="false">SUMIF($C$2:$F$2,EOMONTH(DS$2,-1)+1,$C105:$F105)*VLOOKUP(DS$2,Valores!$H$2:$P$154,8,0)</f>
        <v>#VALUE!</v>
      </c>
      <c r="DT105" s="27" t="e">
        <f aca="false">SUMIF($C$2:$F$2,EOMONTH(DT$2,-1)+1,$C105:$F105)*VLOOKUP(DT$2,Valores!$H$2:$P$154,8,0)</f>
        <v>#VALUE!</v>
      </c>
      <c r="DU105" s="27" t="e">
        <f aca="false">SUMIF($C$2:$F$2,EOMONTH(DU$2,-1)+1,$C105:$F105)*VLOOKUP(DU$2,Valores!$H$2:$P$154,8,0)</f>
        <v>#VALUE!</v>
      </c>
      <c r="DV105" s="27" t="e">
        <f aca="false">SUMIF($C$2:$F$2,EOMONTH(DV$2,-1)+1,$C105:$F105)*VLOOKUP(DV$2,Valores!$H$2:$P$154,8,0)</f>
        <v>#VALUE!</v>
      </c>
      <c r="DW105" s="27" t="e">
        <f aca="false">SUMIF($C$2:$F$2,EOMONTH(DW$2,-1)+1,$C105:$F105)*VLOOKUP(DW$2,Valores!$H$2:$P$154,8,0)</f>
        <v>#VALUE!</v>
      </c>
      <c r="DX105" s="27" t="e">
        <f aca="false">SUMIF($C$2:$F$2,EOMONTH(DX$2,-1)+1,$C105:$F105)*VLOOKUP(DX$2,Valores!$H$2:$P$154,8,0)</f>
        <v>#VALUE!</v>
      </c>
    </row>
    <row r="106" customFormat="false" ht="13.8" hidden="false" customHeight="false" outlineLevel="0" collapsed="false">
      <c r="A106" s="29"/>
      <c r="B106" s="29"/>
      <c r="C106" s="29"/>
      <c r="D106" s="29"/>
      <c r="E106" s="29"/>
      <c r="F106" s="29"/>
      <c r="G106" s="30" t="n">
        <f aca="false">SUMIF($C$2:$F$2,EOMONTH(G$2,-1)+1,$C106:$F106)*VLOOKUP(G$2,Valores!$H$2:$P$154,8,0)</f>
        <v>0</v>
      </c>
      <c r="H106" s="30" t="n">
        <f aca="false">SUMIF($C$2:$F$2,EOMONTH(H$2,-1)+1,$C106:$F106)*VLOOKUP(H$2,Valores!$H$2:$P$154,8,0)</f>
        <v>0</v>
      </c>
      <c r="I106" s="30" t="n">
        <f aca="false">SUMIF($C$2:$F$2,EOMONTH(I$2,-1)+1,$C106:$F106)*VLOOKUP(I$2,Valores!$H$2:$P$154,8,0)</f>
        <v>0</v>
      </c>
      <c r="J106" s="30" t="n">
        <f aca="false">SUMIF($C$2:$F$2,EOMONTH(J$2,-1)+1,$C106:$F106)*VLOOKUP(J$2,Valores!$H$2:$P$154,8,0)</f>
        <v>0</v>
      </c>
      <c r="K106" s="30" t="n">
        <f aca="false">SUMIF($C$2:$F$2,EOMONTH(K$2,-1)+1,$C106:$F106)*VLOOKUP(K$2,Valores!$H$2:$P$154,8,0)</f>
        <v>0</v>
      </c>
      <c r="L106" s="30" t="n">
        <f aca="false">SUMIF($C$2:$F$2,EOMONTH(L$2,-1)+1,$C106:$F106)*VLOOKUP(L$2,Valores!$H$2:$P$154,8,0)</f>
        <v>0</v>
      </c>
      <c r="M106" s="30" t="n">
        <f aca="false">SUMIF($C$2:$F$2,EOMONTH(M$2,-1)+1,$C106:$F106)*VLOOKUP(M$2,Valores!$H$2:$P$154,8,0)</f>
        <v>0</v>
      </c>
      <c r="N106" s="30" t="n">
        <f aca="false">SUMIF($C$2:$F$2,EOMONTH(N$2,-1)+1,$C106:$F106)*VLOOKUP(N$2,Valores!$H$2:$P$154,8,0)</f>
        <v>0</v>
      </c>
      <c r="O106" s="30" t="n">
        <f aca="false">SUMIF($C$2:$F$2,EOMONTH(O$2,-1)+1,$C106:$F106)*VLOOKUP(O$2,Valores!$H$2:$P$154,8,0)</f>
        <v>0</v>
      </c>
      <c r="P106" s="30" t="n">
        <f aca="false">SUMIF($C$2:$F$2,EOMONTH(P$2,-1)+1,$C106:$F106)*VLOOKUP(P$2,Valores!$H$2:$P$154,8,0)</f>
        <v>0</v>
      </c>
      <c r="Q106" s="30" t="n">
        <f aca="false">SUMIF($C$2:$F$2,EOMONTH(Q$2,-1)+1,$C106:$F106)*VLOOKUP(Q$2,Valores!$H$2:$P$154,8,0)</f>
        <v>0</v>
      </c>
      <c r="R106" s="30" t="n">
        <f aca="false">SUMIF($C$2:$F$2,EOMONTH(R$2,-1)+1,$C106:$F106)*VLOOKUP(R$2,Valores!$H$2:$P$154,8,0)</f>
        <v>0</v>
      </c>
      <c r="S106" s="30" t="n">
        <f aca="false">SUMIF($C$2:$F$2,EOMONTH(S$2,-1)+1,$C106:$F106)*VLOOKUP(S$2,Valores!$H$2:$P$154,8,0)</f>
        <v>0</v>
      </c>
      <c r="T106" s="30" t="n">
        <f aca="false">SUMIF($C$2:$F$2,EOMONTH(T$2,-1)+1,$C106:$F106)*VLOOKUP(T$2,Valores!$H$2:$P$154,8,0)</f>
        <v>0</v>
      </c>
      <c r="U106" s="30" t="n">
        <f aca="false">SUMIF($C$2:$F$2,EOMONTH(U$2,-1)+1,$C106:$F106)*VLOOKUP(U$2,Valores!$H$2:$P$154,8,0)</f>
        <v>0</v>
      </c>
      <c r="V106" s="30" t="n">
        <f aca="false">SUMIF($C$2:$F$2,EOMONTH(V$2,-1)+1,$C106:$F106)*VLOOKUP(V$2,Valores!$H$2:$P$154,8,0)</f>
        <v>0</v>
      </c>
      <c r="W106" s="30" t="n">
        <f aca="false">SUMIF($C$2:$F$2,EOMONTH(W$2,-1)+1,$C106:$F106)*VLOOKUP(W$2,Valores!$H$2:$P$154,8,0)</f>
        <v>0</v>
      </c>
      <c r="X106" s="30" t="n">
        <f aca="false">SUMIF($C$2:$F$2,EOMONTH(X$2,-1)+1,$C106:$F106)*VLOOKUP(X$2,Valores!$H$2:$P$154,8,0)</f>
        <v>0</v>
      </c>
      <c r="Y106" s="30" t="n">
        <f aca="false">SUMIF($C$2:$F$2,EOMONTH(Y$2,-1)+1,$C106:$F106)*VLOOKUP(Y$2,Valores!$H$2:$P$154,8,0)</f>
        <v>0</v>
      </c>
      <c r="Z106" s="30" t="n">
        <f aca="false">SUMIF($C$2:$F$2,EOMONTH(Z$2,-1)+1,$C106:$F106)*VLOOKUP(Z$2,Valores!$H$2:$P$154,8,0)</f>
        <v>0</v>
      </c>
      <c r="AA106" s="30" t="n">
        <f aca="false">SUMIF($C$2:$F$2,EOMONTH(AA$2,-1)+1,$C106:$F106)*VLOOKUP(AA$2,Valores!$H$2:$P$154,8,0)</f>
        <v>0</v>
      </c>
      <c r="AB106" s="30" t="n">
        <f aca="false">SUMIF($C$2:$F$2,EOMONTH(AB$2,-1)+1,$C106:$F106)*VLOOKUP(AB$2,Valores!$H$2:$P$154,8,0)</f>
        <v>0</v>
      </c>
      <c r="AC106" s="30" t="n">
        <f aca="false">SUMIF($C$2:$F$2,EOMONTH(AC$2,-1)+1,$C106:$F106)*VLOOKUP(AC$2,Valores!$H$2:$P$154,8,0)</f>
        <v>0</v>
      </c>
      <c r="AD106" s="30" t="n">
        <f aca="false">SUMIF($C$2:$F$2,EOMONTH(AD$2,-1)+1,$C106:$F106)*VLOOKUP(AD$2,Valores!$H$2:$P$154,8,0)</f>
        <v>0</v>
      </c>
      <c r="AE106" s="30" t="n">
        <f aca="false">SUMIF($C$2:$F$2,EOMONTH(AE$2,-1)+1,$C106:$F106)*VLOOKUP(AE$2,Valores!$H$2:$P$154,8,0)</f>
        <v>0</v>
      </c>
      <c r="AF106" s="30" t="n">
        <f aca="false">SUMIF($C$2:$F$2,EOMONTH(AF$2,-1)+1,$C106:$F106)*VLOOKUP(AF$2,Valores!$H$2:$P$154,8,0)</f>
        <v>0</v>
      </c>
      <c r="AG106" s="30" t="n">
        <f aca="false">SUMIF($C$2:$F$2,EOMONTH(AG$2,-1)+1,$C106:$F106)*VLOOKUP(AG$2,Valores!$H$2:$P$154,8,0)</f>
        <v>0</v>
      </c>
      <c r="AH106" s="30" t="n">
        <f aca="false">SUMIF($C$2:$F$2,EOMONTH(AH$2,-1)+1,$C106:$F106)*VLOOKUP(AH$2,Valores!$H$2:$P$154,8,0)</f>
        <v>0</v>
      </c>
      <c r="AI106" s="30" t="n">
        <f aca="false">SUMIF($C$2:$F$2,EOMONTH(AI$2,-1)+1,$C106:$F106)*VLOOKUP(AI$2,Valores!$H$2:$P$154,8,0)</f>
        <v>0</v>
      </c>
      <c r="AJ106" s="30" t="n">
        <f aca="false">SUMIF($C$2:$F$2,EOMONTH(AJ$2,-1)+1,$C106:$F106)*VLOOKUP(AJ$2,Valores!$H$2:$P$154,8,0)</f>
        <v>0</v>
      </c>
      <c r="AK106" s="30" t="n">
        <f aca="false">SUMIF($C$2:$F$2,EOMONTH(AK$2,-1)+1,$C106:$F106)*VLOOKUP(AK$2,Valores!$H$2:$P$154,8,0)</f>
        <v>0</v>
      </c>
      <c r="AL106" s="30" t="n">
        <f aca="false">SUMIF($C$2:$F$2,EOMONTH(AL$2,-1)+1,$C106:$F106)*VLOOKUP(AL$2,Valores!$H$2:$P$154,8,0)</f>
        <v>0</v>
      </c>
      <c r="AM106" s="30" t="n">
        <f aca="false">SUMIF($C$2:$F$2,EOMONTH(AM$2,-1)+1,$C106:$F106)*VLOOKUP(AM$2,Valores!$H$2:$P$154,8,0)</f>
        <v>0</v>
      </c>
      <c r="AN106" s="30" t="n">
        <f aca="false">SUMIF($C$2:$F$2,EOMONTH(AN$2,-1)+1,$C106:$F106)*VLOOKUP(AN$2,Valores!$H$2:$P$154,8,0)</f>
        <v>0</v>
      </c>
      <c r="AO106" s="30" t="n">
        <f aca="false">SUMIF($C$2:$F$2,EOMONTH(AO$2,-1)+1,$C106:$F106)*VLOOKUP(AO$2,Valores!$H$2:$P$154,8,0)</f>
        <v>0</v>
      </c>
      <c r="AP106" s="30" t="n">
        <f aca="false">SUMIF($C$2:$F$2,EOMONTH(AP$2,-1)+1,$C106:$F106)*VLOOKUP(AP$2,Valores!$H$2:$P$154,8,0)</f>
        <v>0</v>
      </c>
      <c r="AQ106" s="30" t="n">
        <f aca="false">SUMIF($C$2:$F$2,EOMONTH(AQ$2,-1)+1,$C106:$F106)*VLOOKUP(AQ$2,Valores!$H$2:$P$154,8,0)</f>
        <v>0</v>
      </c>
      <c r="AR106" s="30" t="n">
        <f aca="false">SUMIF($C$2:$F$2,EOMONTH(AR$2,-1)+1,$C106:$F106)*VLOOKUP(AR$2,Valores!$H$2:$P$154,8,0)</f>
        <v>0</v>
      </c>
      <c r="AS106" s="30" t="n">
        <f aca="false">SUMIF($C$2:$F$2,EOMONTH(AS$2,-1)+1,$C106:$F106)*VLOOKUP(AS$2,Valores!$H$2:$P$154,8,0)</f>
        <v>0</v>
      </c>
      <c r="AT106" s="30" t="n">
        <f aca="false">SUMIF($C$2:$F$2,EOMONTH(AT$2,-1)+1,$C106:$F106)*VLOOKUP(AT$2,Valores!$H$2:$P$154,8,0)</f>
        <v>0</v>
      </c>
      <c r="AU106" s="30" t="n">
        <f aca="false">SUMIF($C$2:$F$2,EOMONTH(AU$2,-1)+1,$C106:$F106)*VLOOKUP(AU$2,Valores!$H$2:$P$154,8,0)</f>
        <v>0</v>
      </c>
      <c r="AV106" s="30" t="n">
        <f aca="false">SUMIF($C$2:$F$2,EOMONTH(AV$2,-1)+1,$C106:$F106)*VLOOKUP(AV$2,Valores!$H$2:$P$154,8,0)</f>
        <v>0</v>
      </c>
      <c r="AW106" s="30" t="n">
        <f aca="false">SUMIF($C$2:$F$2,EOMONTH(AW$2,-1)+1,$C106:$F106)*VLOOKUP(AW$2,Valores!$H$2:$P$154,8,0)</f>
        <v>0</v>
      </c>
      <c r="AX106" s="30" t="n">
        <f aca="false">SUMIF($C$2:$F$2,EOMONTH(AX$2,-1)+1,$C106:$F106)*VLOOKUP(AX$2,Valores!$H$2:$P$154,8,0)</f>
        <v>0</v>
      </c>
      <c r="AY106" s="30" t="n">
        <f aca="false">SUMIF($C$2:$F$2,EOMONTH(AY$2,-1)+1,$C106:$F106)*VLOOKUP(AY$2,Valores!$H$2:$P$154,8,0)</f>
        <v>0</v>
      </c>
      <c r="AZ106" s="30" t="n">
        <f aca="false">SUMIF($C$2:$F$2,EOMONTH(AZ$2,-1)+1,$C106:$F106)*VLOOKUP(AZ$2,Valores!$H$2:$P$154,8,0)</f>
        <v>0</v>
      </c>
      <c r="BA106" s="30" t="n">
        <f aca="false">SUMIF($C$2:$F$2,EOMONTH(BA$2,-1)+1,$C106:$F106)*VLOOKUP(BA$2,Valores!$H$2:$P$154,8,0)</f>
        <v>0</v>
      </c>
      <c r="BB106" s="30" t="n">
        <f aca="false">SUMIF($C$2:$F$2,EOMONTH(BB$2,-1)+1,$C106:$F106)*VLOOKUP(BB$2,Valores!$H$2:$P$154,8,0)</f>
        <v>0</v>
      </c>
      <c r="BC106" s="30" t="n">
        <f aca="false">SUMIF($C$2:$F$2,EOMONTH(BC$2,-1)+1,$C106:$F106)*VLOOKUP(BC$2,Valores!$H$2:$P$154,8,0)</f>
        <v>0</v>
      </c>
      <c r="BD106" s="30" t="n">
        <f aca="false">SUMIF($C$2:$F$2,EOMONTH(BD$2,-1)+1,$C106:$F106)*VLOOKUP(BD$2,Valores!$H$2:$P$154,8,0)</f>
        <v>0</v>
      </c>
      <c r="BE106" s="30" t="n">
        <f aca="false">SUMIF($C$2:$F$2,EOMONTH(BE$2,-1)+1,$C106:$F106)*VLOOKUP(BE$2,Valores!$H$2:$P$154,8,0)</f>
        <v>0</v>
      </c>
      <c r="BF106" s="30" t="n">
        <f aca="false">SUMIF($C$2:$F$2,EOMONTH(BF$2,-1)+1,$C106:$F106)*VLOOKUP(BF$2,Valores!$H$2:$P$154,8,0)</f>
        <v>0</v>
      </c>
      <c r="BG106" s="30" t="n">
        <f aca="false">SUMIF($C$2:$F$2,EOMONTH(BG$2,-1)+1,$C106:$F106)*VLOOKUP(BG$2,Valores!$H$2:$P$154,8,0)</f>
        <v>0</v>
      </c>
      <c r="BH106" s="30" t="n">
        <f aca="false">SUMIF($C$2:$F$2,EOMONTH(BH$2,-1)+1,$C106:$F106)*VLOOKUP(BH$2,Valores!$H$2:$P$154,8,0)</f>
        <v>0</v>
      </c>
      <c r="BI106" s="30" t="n">
        <f aca="false">SUMIF($C$2:$F$2,EOMONTH(BI$2,-1)+1,$C106:$F106)*VLOOKUP(BI$2,Valores!$H$2:$P$154,8,0)</f>
        <v>0</v>
      </c>
      <c r="BJ106" s="30" t="n">
        <f aca="false">SUMIF($C$2:$F$2,EOMONTH(BJ$2,-1)+1,$C106:$F106)*VLOOKUP(BJ$2,Valores!$H$2:$P$154,8,0)</f>
        <v>0</v>
      </c>
      <c r="BK106" s="30" t="n">
        <f aca="false">SUMIF($C$2:$F$2,EOMONTH(BK$2,-1)+1,$C106:$F106)*VLOOKUP(BK$2,Valores!$H$2:$P$154,8,0)</f>
        <v>0</v>
      </c>
      <c r="BL106" s="30" t="n">
        <f aca="false">SUMIF($C$2:$F$2,EOMONTH(BL$2,-1)+1,$C106:$F106)*VLOOKUP(BL$2,Valores!$H$2:$P$154,8,0)</f>
        <v>0</v>
      </c>
      <c r="BM106" s="30" t="n">
        <f aca="false">SUMIF($C$2:$F$2,EOMONTH(BM$2,-1)+1,$C106:$F106)*VLOOKUP(BM$2,Valores!$H$2:$P$154,8,0)</f>
        <v>0</v>
      </c>
      <c r="BN106" s="30" t="n">
        <f aca="false">SUMIF($C$2:$F$2,EOMONTH(BN$2,-1)+1,$C106:$F106)*VLOOKUP(BN$2,Valores!$H$2:$P$154,8,0)</f>
        <v>0</v>
      </c>
      <c r="BO106" s="30" t="n">
        <f aca="false">SUMIF($C$2:$F$2,EOMONTH(BO$2,-1)+1,$C106:$F106)*VLOOKUP(BO$2,Valores!$H$2:$P$154,8,0)</f>
        <v>0</v>
      </c>
      <c r="BP106" s="30" t="n">
        <f aca="false">SUMIF($C$2:$F$2,EOMONTH(BP$2,-1)+1,$C106:$F106)*VLOOKUP(BP$2,Valores!$H$2:$P$154,8,0)</f>
        <v>0</v>
      </c>
      <c r="BQ106" s="30" t="n">
        <f aca="false">SUMIF($C$2:$F$2,EOMONTH(BQ$2,-1)+1,$C106:$F106)*VLOOKUP(BQ$2,Valores!$H$2:$P$154,8,0)</f>
        <v>0</v>
      </c>
      <c r="BR106" s="30" t="n">
        <f aca="false">SUMIF($C$2:$F$2,EOMONTH(BR$2,-1)+1,$C106:$F106)*VLOOKUP(BR$2,Valores!$H$2:$P$154,8,0)</f>
        <v>0</v>
      </c>
      <c r="BS106" s="30" t="n">
        <f aca="false">SUMIF($C$2:$F$2,EOMONTH(BS$2,-1)+1,$C106:$F106)*VLOOKUP(BS$2,Valores!$H$2:$P$154,8,0)</f>
        <v>0</v>
      </c>
      <c r="BT106" s="30" t="n">
        <f aca="false">SUMIF($C$2:$F$2,EOMONTH(BT$2,-1)+1,$C106:$F106)*VLOOKUP(BT$2,Valores!$H$2:$P$154,8,0)</f>
        <v>0</v>
      </c>
      <c r="BU106" s="30" t="n">
        <f aca="false">SUMIF($C$2:$F$2,EOMONTH(BU$2,-1)+1,$C106:$F106)*VLOOKUP(BU$2,Valores!$H$2:$P$154,8,0)</f>
        <v>0</v>
      </c>
      <c r="BV106" s="30" t="n">
        <f aca="false">SUMIF($C$2:$F$2,EOMONTH(BV$2,-1)+1,$C106:$F106)*VLOOKUP(BV$2,Valores!$H$2:$P$154,8,0)</f>
        <v>0</v>
      </c>
      <c r="BW106" s="30" t="n">
        <f aca="false">SUMIF($C$2:$F$2,EOMONTH(BW$2,-1)+1,$C106:$F106)*VLOOKUP(BW$2,Valores!$H$2:$P$154,8,0)</f>
        <v>0</v>
      </c>
      <c r="BX106" s="30" t="n">
        <f aca="false">SUMIF($C$2:$F$2,EOMONTH(BX$2,-1)+1,$C106:$F106)*VLOOKUP(BX$2,Valores!$H$2:$P$154,8,0)</f>
        <v>0</v>
      </c>
      <c r="BY106" s="30" t="n">
        <f aca="false">SUMIF($C$2:$F$2,EOMONTH(BY$2,-1)+1,$C106:$F106)*VLOOKUP(BY$2,Valores!$H$2:$P$154,8,0)</f>
        <v>0</v>
      </c>
      <c r="BZ106" s="30" t="n">
        <f aca="false">SUMIF($C$2:$F$2,EOMONTH(BZ$2,-1)+1,$C106:$F106)*VLOOKUP(BZ$2,Valores!$H$2:$P$154,8,0)</f>
        <v>0</v>
      </c>
      <c r="CA106" s="30" t="n">
        <f aca="false">SUMIF($C$2:$F$2,EOMONTH(CA$2,-1)+1,$C106:$F106)*VLOOKUP(CA$2,Valores!$H$2:$P$154,8,0)</f>
        <v>0</v>
      </c>
      <c r="CB106" s="30" t="n">
        <f aca="false">SUMIF($C$2:$F$2,EOMONTH(CB$2,-1)+1,$C106:$F106)*VLOOKUP(CB$2,Valores!$H$2:$P$154,8,0)</f>
        <v>0</v>
      </c>
      <c r="CC106" s="30" t="n">
        <f aca="false">SUMIF($C$2:$F$2,EOMONTH(CC$2,-1)+1,$C106:$F106)*VLOOKUP(CC$2,Valores!$H$2:$P$154,8,0)</f>
        <v>0</v>
      </c>
      <c r="CD106" s="30" t="n">
        <f aca="false">SUMIF($C$2:$F$2,EOMONTH(CD$2,-1)+1,$C106:$F106)*VLOOKUP(CD$2,Valores!$H$2:$P$154,8,0)</f>
        <v>0</v>
      </c>
      <c r="CE106" s="30" t="n">
        <f aca="false">SUMIF($C$2:$F$2,EOMONTH(CE$2,-1)+1,$C106:$F106)*VLOOKUP(CE$2,Valores!$H$2:$P$154,8,0)</f>
        <v>0</v>
      </c>
      <c r="CF106" s="30" t="n">
        <f aca="false">SUMIF($C$2:$F$2,EOMONTH(CF$2,-1)+1,$C106:$F106)*VLOOKUP(CF$2,Valores!$H$2:$P$154,8,0)</f>
        <v>0</v>
      </c>
      <c r="CG106" s="30" t="n">
        <f aca="false">SUMIF($C$2:$F$2,EOMONTH(CG$2,-1)+1,$C106:$F106)*VLOOKUP(CG$2,Valores!$H$2:$P$154,8,0)</f>
        <v>0</v>
      </c>
      <c r="CH106" s="30" t="n">
        <f aca="false">SUMIF($C$2:$F$2,EOMONTH(CH$2,-1)+1,$C106:$F106)*VLOOKUP(CH$2,Valores!$H$2:$P$154,8,0)</f>
        <v>0</v>
      </c>
      <c r="CI106" s="30" t="n">
        <f aca="false">SUMIF($C$2:$F$2,EOMONTH(CI$2,-1)+1,$C106:$F106)*VLOOKUP(CI$2,Valores!$H$2:$P$154,8,0)</f>
        <v>0</v>
      </c>
      <c r="CJ106" s="30" t="n">
        <f aca="false">SUMIF($C$2:$F$2,EOMONTH(CJ$2,-1)+1,$C106:$F106)*VLOOKUP(CJ$2,Valores!$H$2:$P$154,8,0)</f>
        <v>0</v>
      </c>
      <c r="CK106" s="30" t="n">
        <f aca="false">SUMIF($C$2:$F$2,EOMONTH(CK$2,-1)+1,$C106:$F106)*VLOOKUP(CK$2,Valores!$H$2:$P$154,8,0)</f>
        <v>0</v>
      </c>
      <c r="CL106" s="30" t="n">
        <f aca="false">SUMIF($C$2:$F$2,EOMONTH(CL$2,-1)+1,$C106:$F106)*VLOOKUP(CL$2,Valores!$H$2:$P$154,8,0)</f>
        <v>0</v>
      </c>
      <c r="CM106" s="30" t="n">
        <f aca="false">SUMIF($C$2:$F$2,EOMONTH(CM$2,-1)+1,$C106:$F106)*VLOOKUP(CM$2,Valores!$H$2:$P$154,8,0)</f>
        <v>0</v>
      </c>
      <c r="CN106" s="30" t="n">
        <f aca="false">SUMIF($C$2:$F$2,EOMONTH(CN$2,-1)+1,$C106:$F106)*VLOOKUP(CN$2,Valores!$H$2:$P$154,8,0)</f>
        <v>0</v>
      </c>
      <c r="CO106" s="30" t="n">
        <f aca="false">SUMIF($C$2:$F$2,EOMONTH(CO$2,-1)+1,$C106:$F106)*VLOOKUP(CO$2,Valores!$H$2:$P$154,8,0)</f>
        <v>0</v>
      </c>
      <c r="CP106" s="30" t="n">
        <f aca="false">SUMIF($C$2:$F$2,EOMONTH(CP$2,-1)+1,$C106:$F106)*VLOOKUP(CP$2,Valores!$H$2:$P$154,8,0)</f>
        <v>0</v>
      </c>
      <c r="CQ106" s="30" t="n">
        <f aca="false">SUMIF($C$2:$F$2,EOMONTH(CQ$2,-1)+1,$C106:$F106)*VLOOKUP(CQ$2,Valores!$H$2:$P$154,8,0)</f>
        <v>0</v>
      </c>
      <c r="CR106" s="30" t="n">
        <f aca="false">SUMIF($C$2:$F$2,EOMONTH(CR$2,-1)+1,$C106:$F106)*VLOOKUP(CR$2,Valores!$H$2:$P$154,8,0)</f>
        <v>0</v>
      </c>
      <c r="CS106" s="30" t="n">
        <f aca="false">SUMIF($C$2:$F$2,EOMONTH(CS$2,-1)+1,$C106:$F106)*VLOOKUP(CS$2,Valores!$H$2:$P$154,8,0)</f>
        <v>0</v>
      </c>
      <c r="CT106" s="30" t="e">
        <f aca="false">SUMIF($C$2:$F$2,EOMONTH(CT$2,-1)+1,$C106:$F106)*VLOOKUP(CT$2,Valores!$H$2:$P$154,8,0)</f>
        <v>#VALUE!</v>
      </c>
      <c r="CU106" s="30" t="e">
        <f aca="false">SUMIF($C$2:$F$2,EOMONTH(CU$2,-1)+1,$C106:$F106)*VLOOKUP(CU$2,Valores!$H$2:$P$154,8,0)</f>
        <v>#VALUE!</v>
      </c>
      <c r="CV106" s="30" t="e">
        <f aca="false">SUMIF($C$2:$F$2,EOMONTH(CV$2,-1)+1,$C106:$F106)*VLOOKUP(CV$2,Valores!$H$2:$P$154,8,0)</f>
        <v>#VALUE!</v>
      </c>
      <c r="CW106" s="30" t="e">
        <f aca="false">SUMIF($C$2:$F$2,EOMONTH(CW$2,-1)+1,$C106:$F106)*VLOOKUP(CW$2,Valores!$H$2:$P$154,8,0)</f>
        <v>#VALUE!</v>
      </c>
      <c r="CX106" s="30" t="e">
        <f aca="false">SUMIF($C$2:$F$2,EOMONTH(CX$2,-1)+1,$C106:$F106)*VLOOKUP(CX$2,Valores!$H$2:$P$154,8,0)</f>
        <v>#VALUE!</v>
      </c>
      <c r="CY106" s="30" t="e">
        <f aca="false">SUMIF($C$2:$F$2,EOMONTH(CY$2,-1)+1,$C106:$F106)*VLOOKUP(CY$2,Valores!$H$2:$P$154,8,0)</f>
        <v>#VALUE!</v>
      </c>
      <c r="CZ106" s="30" t="e">
        <f aca="false">SUMIF($C$2:$F$2,EOMONTH(CZ$2,-1)+1,$C106:$F106)*VLOOKUP(CZ$2,Valores!$H$2:$P$154,8,0)</f>
        <v>#VALUE!</v>
      </c>
      <c r="DA106" s="30" t="e">
        <f aca="false">SUMIF($C$2:$F$2,EOMONTH(DA$2,-1)+1,$C106:$F106)*VLOOKUP(DA$2,Valores!$H$2:$P$154,8,0)</f>
        <v>#VALUE!</v>
      </c>
      <c r="DB106" s="30" t="e">
        <f aca="false">SUMIF($C$2:$F$2,EOMONTH(DB$2,-1)+1,$C106:$F106)*VLOOKUP(DB$2,Valores!$H$2:$P$154,8,0)</f>
        <v>#VALUE!</v>
      </c>
      <c r="DC106" s="30" t="e">
        <f aca="false">SUMIF($C$2:$F$2,EOMONTH(DC$2,-1)+1,$C106:$F106)*VLOOKUP(DC$2,Valores!$H$2:$P$154,8,0)</f>
        <v>#VALUE!</v>
      </c>
      <c r="DD106" s="30" t="e">
        <f aca="false">SUMIF($C$2:$F$2,EOMONTH(DD$2,-1)+1,$C106:$F106)*VLOOKUP(DD$2,Valores!$H$2:$P$154,8,0)</f>
        <v>#VALUE!</v>
      </c>
      <c r="DE106" s="30" t="e">
        <f aca="false">SUMIF($C$2:$F$2,EOMONTH(DE$2,-1)+1,$C106:$F106)*VLOOKUP(DE$2,Valores!$H$2:$P$154,8,0)</f>
        <v>#VALUE!</v>
      </c>
      <c r="DF106" s="30" t="e">
        <f aca="false">SUMIF($C$2:$F$2,EOMONTH(DF$2,-1)+1,$C106:$F106)*VLOOKUP(DF$2,Valores!$H$2:$P$154,8,0)</f>
        <v>#VALUE!</v>
      </c>
      <c r="DG106" s="30" t="e">
        <f aca="false">SUMIF($C$2:$F$2,EOMONTH(DG$2,-1)+1,$C106:$F106)*VLOOKUP(DG$2,Valores!$H$2:$P$154,8,0)</f>
        <v>#VALUE!</v>
      </c>
      <c r="DH106" s="30" t="e">
        <f aca="false">SUMIF($C$2:$F$2,EOMONTH(DH$2,-1)+1,$C106:$F106)*VLOOKUP(DH$2,Valores!$H$2:$P$154,8,0)</f>
        <v>#VALUE!</v>
      </c>
      <c r="DI106" s="30" t="e">
        <f aca="false">SUMIF($C$2:$F$2,EOMONTH(DI$2,-1)+1,$C106:$F106)*VLOOKUP(DI$2,Valores!$H$2:$P$154,8,0)</f>
        <v>#VALUE!</v>
      </c>
      <c r="DJ106" s="30" t="e">
        <f aca="false">SUMIF($C$2:$F$2,EOMONTH(DJ$2,-1)+1,$C106:$F106)*VLOOKUP(DJ$2,Valores!$H$2:$P$154,8,0)</f>
        <v>#VALUE!</v>
      </c>
      <c r="DK106" s="30" t="e">
        <f aca="false">SUMIF($C$2:$F$2,EOMONTH(DK$2,-1)+1,$C106:$F106)*VLOOKUP(DK$2,Valores!$H$2:$P$154,8,0)</f>
        <v>#VALUE!</v>
      </c>
      <c r="DL106" s="30" t="e">
        <f aca="false">SUMIF($C$2:$F$2,EOMONTH(DL$2,-1)+1,$C106:$F106)*VLOOKUP(DL$2,Valores!$H$2:$P$154,8,0)</f>
        <v>#VALUE!</v>
      </c>
      <c r="DM106" s="30" t="e">
        <f aca="false">SUMIF($C$2:$F$2,EOMONTH(DM$2,-1)+1,$C106:$F106)*VLOOKUP(DM$2,Valores!$H$2:$P$154,8,0)</f>
        <v>#VALUE!</v>
      </c>
      <c r="DN106" s="30" t="e">
        <f aca="false">SUMIF($C$2:$F$2,EOMONTH(DN$2,-1)+1,$C106:$F106)*VLOOKUP(DN$2,Valores!$H$2:$P$154,8,0)</f>
        <v>#VALUE!</v>
      </c>
      <c r="DO106" s="30" t="e">
        <f aca="false">SUMIF($C$2:$F$2,EOMONTH(DO$2,-1)+1,$C106:$F106)*VLOOKUP(DO$2,Valores!$H$2:$P$154,8,0)</f>
        <v>#VALUE!</v>
      </c>
      <c r="DP106" s="30" t="e">
        <f aca="false">SUMIF($C$2:$F$2,EOMONTH(DP$2,-1)+1,$C106:$F106)*VLOOKUP(DP$2,Valores!$H$2:$P$154,8,0)</f>
        <v>#VALUE!</v>
      </c>
      <c r="DQ106" s="30" t="e">
        <f aca="false">SUMIF($C$2:$F$2,EOMONTH(DQ$2,-1)+1,$C106:$F106)*VLOOKUP(DQ$2,Valores!$H$2:$P$154,8,0)</f>
        <v>#VALUE!</v>
      </c>
      <c r="DR106" s="30" t="e">
        <f aca="false">SUMIF($C$2:$F$2,EOMONTH(DR$2,-1)+1,$C106:$F106)*VLOOKUP(DR$2,Valores!$H$2:$P$154,8,0)</f>
        <v>#VALUE!</v>
      </c>
      <c r="DS106" s="30" t="e">
        <f aca="false">SUMIF($C$2:$F$2,EOMONTH(DS$2,-1)+1,$C106:$F106)*VLOOKUP(DS$2,Valores!$H$2:$P$154,8,0)</f>
        <v>#VALUE!</v>
      </c>
      <c r="DT106" s="30" t="e">
        <f aca="false">SUMIF($C$2:$F$2,EOMONTH(DT$2,-1)+1,$C106:$F106)*VLOOKUP(DT$2,Valores!$H$2:$P$154,8,0)</f>
        <v>#VALUE!</v>
      </c>
      <c r="DU106" s="30" t="e">
        <f aca="false">SUMIF($C$2:$F$2,EOMONTH(DU$2,-1)+1,$C106:$F106)*VLOOKUP(DU$2,Valores!$H$2:$P$154,8,0)</f>
        <v>#VALUE!</v>
      </c>
      <c r="DV106" s="30" t="e">
        <f aca="false">SUMIF($C$2:$F$2,EOMONTH(DV$2,-1)+1,$C106:$F106)*VLOOKUP(DV$2,Valores!$H$2:$P$154,8,0)</f>
        <v>#VALUE!</v>
      </c>
      <c r="DW106" s="30" t="e">
        <f aca="false">SUMIF($C$2:$F$2,EOMONTH(DW$2,-1)+1,$C106:$F106)*VLOOKUP(DW$2,Valores!$H$2:$P$154,8,0)</f>
        <v>#VALUE!</v>
      </c>
      <c r="DX106" s="30" t="e">
        <f aca="false">SUMIF($C$2:$F$2,EOMONTH(DX$2,-1)+1,$C106:$F106)*VLOOKUP(DX$2,Valores!$H$2:$P$154,8,0)</f>
        <v>#VALUE!</v>
      </c>
    </row>
    <row r="107" customFormat="false" ht="13.8" hidden="false" customHeight="false" outlineLevel="0" collapsed="false">
      <c r="A107" s="31"/>
      <c r="B107" s="31"/>
      <c r="C107" s="31"/>
      <c r="D107" s="31"/>
      <c r="E107" s="31"/>
      <c r="F107" s="31"/>
      <c r="G107" s="27" t="n">
        <f aca="false">SUMIF($C$2:$F$2,EOMONTH(G$2,-1)+1,$C107:$F107)*VLOOKUP(G$2,Valores!$H$2:$P$154,8,0)</f>
        <v>0</v>
      </c>
      <c r="H107" s="27" t="n">
        <f aca="false">SUMIF($C$2:$F$2,EOMONTH(H$2,-1)+1,$C107:$F107)*VLOOKUP(H$2,Valores!$H$2:$P$154,8,0)</f>
        <v>0</v>
      </c>
      <c r="I107" s="27" t="n">
        <f aca="false">SUMIF($C$2:$F$2,EOMONTH(I$2,-1)+1,$C107:$F107)*VLOOKUP(I$2,Valores!$H$2:$P$154,8,0)</f>
        <v>0</v>
      </c>
      <c r="J107" s="27" t="n">
        <f aca="false">SUMIF($C$2:$F$2,EOMONTH(J$2,-1)+1,$C107:$F107)*VLOOKUP(J$2,Valores!$H$2:$P$154,8,0)</f>
        <v>0</v>
      </c>
      <c r="K107" s="27" t="n">
        <f aca="false">SUMIF($C$2:$F$2,EOMONTH(K$2,-1)+1,$C107:$F107)*VLOOKUP(K$2,Valores!$H$2:$P$154,8,0)</f>
        <v>0</v>
      </c>
      <c r="L107" s="27" t="n">
        <f aca="false">SUMIF($C$2:$F$2,EOMONTH(L$2,-1)+1,$C107:$F107)*VLOOKUP(L$2,Valores!$H$2:$P$154,8,0)</f>
        <v>0</v>
      </c>
      <c r="M107" s="27" t="n">
        <f aca="false">SUMIF($C$2:$F$2,EOMONTH(M$2,-1)+1,$C107:$F107)*VLOOKUP(M$2,Valores!$H$2:$P$154,8,0)</f>
        <v>0</v>
      </c>
      <c r="N107" s="27" t="n">
        <f aca="false">SUMIF($C$2:$F$2,EOMONTH(N$2,-1)+1,$C107:$F107)*VLOOKUP(N$2,Valores!$H$2:$P$154,8,0)</f>
        <v>0</v>
      </c>
      <c r="O107" s="27" t="n">
        <f aca="false">SUMIF($C$2:$F$2,EOMONTH(O$2,-1)+1,$C107:$F107)*VLOOKUP(O$2,Valores!$H$2:$P$154,8,0)</f>
        <v>0</v>
      </c>
      <c r="P107" s="27" t="n">
        <f aca="false">SUMIF($C$2:$F$2,EOMONTH(P$2,-1)+1,$C107:$F107)*VLOOKUP(P$2,Valores!$H$2:$P$154,8,0)</f>
        <v>0</v>
      </c>
      <c r="Q107" s="27" t="n">
        <f aca="false">SUMIF($C$2:$F$2,EOMONTH(Q$2,-1)+1,$C107:$F107)*VLOOKUP(Q$2,Valores!$H$2:$P$154,8,0)</f>
        <v>0</v>
      </c>
      <c r="R107" s="27" t="n">
        <f aca="false">SUMIF($C$2:$F$2,EOMONTH(R$2,-1)+1,$C107:$F107)*VLOOKUP(R$2,Valores!$H$2:$P$154,8,0)</f>
        <v>0</v>
      </c>
      <c r="S107" s="27" t="n">
        <f aca="false">SUMIF($C$2:$F$2,EOMONTH(S$2,-1)+1,$C107:$F107)*VLOOKUP(S$2,Valores!$H$2:$P$154,8,0)</f>
        <v>0</v>
      </c>
      <c r="T107" s="27" t="n">
        <f aca="false">SUMIF($C$2:$F$2,EOMONTH(T$2,-1)+1,$C107:$F107)*VLOOKUP(T$2,Valores!$H$2:$P$154,8,0)</f>
        <v>0</v>
      </c>
      <c r="U107" s="27" t="n">
        <f aca="false">SUMIF($C$2:$F$2,EOMONTH(U$2,-1)+1,$C107:$F107)*VLOOKUP(U$2,Valores!$H$2:$P$154,8,0)</f>
        <v>0</v>
      </c>
      <c r="V107" s="27" t="n">
        <f aca="false">SUMIF($C$2:$F$2,EOMONTH(V$2,-1)+1,$C107:$F107)*VLOOKUP(V$2,Valores!$H$2:$P$154,8,0)</f>
        <v>0</v>
      </c>
      <c r="W107" s="27" t="n">
        <f aca="false">SUMIF($C$2:$F$2,EOMONTH(W$2,-1)+1,$C107:$F107)*VLOOKUP(W$2,Valores!$H$2:$P$154,8,0)</f>
        <v>0</v>
      </c>
      <c r="X107" s="27" t="n">
        <f aca="false">SUMIF($C$2:$F$2,EOMONTH(X$2,-1)+1,$C107:$F107)*VLOOKUP(X$2,Valores!$H$2:$P$154,8,0)</f>
        <v>0</v>
      </c>
      <c r="Y107" s="27" t="n">
        <f aca="false">SUMIF($C$2:$F$2,EOMONTH(Y$2,-1)+1,$C107:$F107)*VLOOKUP(Y$2,Valores!$H$2:$P$154,8,0)</f>
        <v>0</v>
      </c>
      <c r="Z107" s="27" t="n">
        <f aca="false">SUMIF($C$2:$F$2,EOMONTH(Z$2,-1)+1,$C107:$F107)*VLOOKUP(Z$2,Valores!$H$2:$P$154,8,0)</f>
        <v>0</v>
      </c>
      <c r="AA107" s="27" t="n">
        <f aca="false">SUMIF($C$2:$F$2,EOMONTH(AA$2,-1)+1,$C107:$F107)*VLOOKUP(AA$2,Valores!$H$2:$P$154,8,0)</f>
        <v>0</v>
      </c>
      <c r="AB107" s="27" t="n">
        <f aca="false">SUMIF($C$2:$F$2,EOMONTH(AB$2,-1)+1,$C107:$F107)*VLOOKUP(AB$2,Valores!$H$2:$P$154,8,0)</f>
        <v>0</v>
      </c>
      <c r="AC107" s="27" t="n">
        <f aca="false">SUMIF($C$2:$F$2,EOMONTH(AC$2,-1)+1,$C107:$F107)*VLOOKUP(AC$2,Valores!$H$2:$P$154,8,0)</f>
        <v>0</v>
      </c>
      <c r="AD107" s="27" t="n">
        <f aca="false">SUMIF($C$2:$F$2,EOMONTH(AD$2,-1)+1,$C107:$F107)*VLOOKUP(AD$2,Valores!$H$2:$P$154,8,0)</f>
        <v>0</v>
      </c>
      <c r="AE107" s="27" t="n">
        <f aca="false">SUMIF($C$2:$F$2,EOMONTH(AE$2,-1)+1,$C107:$F107)*VLOOKUP(AE$2,Valores!$H$2:$P$154,8,0)</f>
        <v>0</v>
      </c>
      <c r="AF107" s="27" t="n">
        <f aca="false">SUMIF($C$2:$F$2,EOMONTH(AF$2,-1)+1,$C107:$F107)*VLOOKUP(AF$2,Valores!$H$2:$P$154,8,0)</f>
        <v>0</v>
      </c>
      <c r="AG107" s="27" t="n">
        <f aca="false">SUMIF($C$2:$F$2,EOMONTH(AG$2,-1)+1,$C107:$F107)*VLOOKUP(AG$2,Valores!$H$2:$P$154,8,0)</f>
        <v>0</v>
      </c>
      <c r="AH107" s="27" t="n">
        <f aca="false">SUMIF($C$2:$F$2,EOMONTH(AH$2,-1)+1,$C107:$F107)*VLOOKUP(AH$2,Valores!$H$2:$P$154,8,0)</f>
        <v>0</v>
      </c>
      <c r="AI107" s="27" t="n">
        <f aca="false">SUMIF($C$2:$F$2,EOMONTH(AI$2,-1)+1,$C107:$F107)*VLOOKUP(AI$2,Valores!$H$2:$P$154,8,0)</f>
        <v>0</v>
      </c>
      <c r="AJ107" s="27" t="n">
        <f aca="false">SUMIF($C$2:$F$2,EOMONTH(AJ$2,-1)+1,$C107:$F107)*VLOOKUP(AJ$2,Valores!$H$2:$P$154,8,0)</f>
        <v>0</v>
      </c>
      <c r="AK107" s="27" t="n">
        <f aca="false">SUMIF($C$2:$F$2,EOMONTH(AK$2,-1)+1,$C107:$F107)*VLOOKUP(AK$2,Valores!$H$2:$P$154,8,0)</f>
        <v>0</v>
      </c>
      <c r="AL107" s="27" t="n">
        <f aca="false">SUMIF($C$2:$F$2,EOMONTH(AL$2,-1)+1,$C107:$F107)*VLOOKUP(AL$2,Valores!$H$2:$P$154,8,0)</f>
        <v>0</v>
      </c>
      <c r="AM107" s="27" t="n">
        <f aca="false">SUMIF($C$2:$F$2,EOMONTH(AM$2,-1)+1,$C107:$F107)*VLOOKUP(AM$2,Valores!$H$2:$P$154,8,0)</f>
        <v>0</v>
      </c>
      <c r="AN107" s="27" t="n">
        <f aca="false">SUMIF($C$2:$F$2,EOMONTH(AN$2,-1)+1,$C107:$F107)*VLOOKUP(AN$2,Valores!$H$2:$P$154,8,0)</f>
        <v>0</v>
      </c>
      <c r="AO107" s="27" t="n">
        <f aca="false">SUMIF($C$2:$F$2,EOMONTH(AO$2,-1)+1,$C107:$F107)*VLOOKUP(AO$2,Valores!$H$2:$P$154,8,0)</f>
        <v>0</v>
      </c>
      <c r="AP107" s="27" t="n">
        <f aca="false">SUMIF($C$2:$F$2,EOMONTH(AP$2,-1)+1,$C107:$F107)*VLOOKUP(AP$2,Valores!$H$2:$P$154,8,0)</f>
        <v>0</v>
      </c>
      <c r="AQ107" s="27" t="n">
        <f aca="false">SUMIF($C$2:$F$2,EOMONTH(AQ$2,-1)+1,$C107:$F107)*VLOOKUP(AQ$2,Valores!$H$2:$P$154,8,0)</f>
        <v>0</v>
      </c>
      <c r="AR107" s="27" t="n">
        <f aca="false">SUMIF($C$2:$F$2,EOMONTH(AR$2,-1)+1,$C107:$F107)*VLOOKUP(AR$2,Valores!$H$2:$P$154,8,0)</f>
        <v>0</v>
      </c>
      <c r="AS107" s="27" t="n">
        <f aca="false">SUMIF($C$2:$F$2,EOMONTH(AS$2,-1)+1,$C107:$F107)*VLOOKUP(AS$2,Valores!$H$2:$P$154,8,0)</f>
        <v>0</v>
      </c>
      <c r="AT107" s="27" t="n">
        <f aca="false">SUMIF($C$2:$F$2,EOMONTH(AT$2,-1)+1,$C107:$F107)*VLOOKUP(AT$2,Valores!$H$2:$P$154,8,0)</f>
        <v>0</v>
      </c>
      <c r="AU107" s="27" t="n">
        <f aca="false">SUMIF($C$2:$F$2,EOMONTH(AU$2,-1)+1,$C107:$F107)*VLOOKUP(AU$2,Valores!$H$2:$P$154,8,0)</f>
        <v>0</v>
      </c>
      <c r="AV107" s="27" t="n">
        <f aca="false">SUMIF($C$2:$F$2,EOMONTH(AV$2,-1)+1,$C107:$F107)*VLOOKUP(AV$2,Valores!$H$2:$P$154,8,0)</f>
        <v>0</v>
      </c>
      <c r="AW107" s="27" t="n">
        <f aca="false">SUMIF($C$2:$F$2,EOMONTH(AW$2,-1)+1,$C107:$F107)*VLOOKUP(AW$2,Valores!$H$2:$P$154,8,0)</f>
        <v>0</v>
      </c>
      <c r="AX107" s="27" t="n">
        <f aca="false">SUMIF($C$2:$F$2,EOMONTH(AX$2,-1)+1,$C107:$F107)*VLOOKUP(AX$2,Valores!$H$2:$P$154,8,0)</f>
        <v>0</v>
      </c>
      <c r="AY107" s="27" t="n">
        <f aca="false">SUMIF($C$2:$F$2,EOMONTH(AY$2,-1)+1,$C107:$F107)*VLOOKUP(AY$2,Valores!$H$2:$P$154,8,0)</f>
        <v>0</v>
      </c>
      <c r="AZ107" s="27" t="n">
        <f aca="false">SUMIF($C$2:$F$2,EOMONTH(AZ$2,-1)+1,$C107:$F107)*VLOOKUP(AZ$2,Valores!$H$2:$P$154,8,0)</f>
        <v>0</v>
      </c>
      <c r="BA107" s="27" t="n">
        <f aca="false">SUMIF($C$2:$F$2,EOMONTH(BA$2,-1)+1,$C107:$F107)*VLOOKUP(BA$2,Valores!$H$2:$P$154,8,0)</f>
        <v>0</v>
      </c>
      <c r="BB107" s="27" t="n">
        <f aca="false">SUMIF($C$2:$F$2,EOMONTH(BB$2,-1)+1,$C107:$F107)*VLOOKUP(BB$2,Valores!$H$2:$P$154,8,0)</f>
        <v>0</v>
      </c>
      <c r="BC107" s="27" t="n">
        <f aca="false">SUMIF($C$2:$F$2,EOMONTH(BC$2,-1)+1,$C107:$F107)*VLOOKUP(BC$2,Valores!$H$2:$P$154,8,0)</f>
        <v>0</v>
      </c>
      <c r="BD107" s="27" t="n">
        <f aca="false">SUMIF($C$2:$F$2,EOMONTH(BD$2,-1)+1,$C107:$F107)*VLOOKUP(BD$2,Valores!$H$2:$P$154,8,0)</f>
        <v>0</v>
      </c>
      <c r="BE107" s="27" t="n">
        <f aca="false">SUMIF($C$2:$F$2,EOMONTH(BE$2,-1)+1,$C107:$F107)*VLOOKUP(BE$2,Valores!$H$2:$P$154,8,0)</f>
        <v>0</v>
      </c>
      <c r="BF107" s="27" t="n">
        <f aca="false">SUMIF($C$2:$F$2,EOMONTH(BF$2,-1)+1,$C107:$F107)*VLOOKUP(BF$2,Valores!$H$2:$P$154,8,0)</f>
        <v>0</v>
      </c>
      <c r="BG107" s="27" t="n">
        <f aca="false">SUMIF($C$2:$F$2,EOMONTH(BG$2,-1)+1,$C107:$F107)*VLOOKUP(BG$2,Valores!$H$2:$P$154,8,0)</f>
        <v>0</v>
      </c>
      <c r="BH107" s="27" t="n">
        <f aca="false">SUMIF($C$2:$F$2,EOMONTH(BH$2,-1)+1,$C107:$F107)*VLOOKUP(BH$2,Valores!$H$2:$P$154,8,0)</f>
        <v>0</v>
      </c>
      <c r="BI107" s="27" t="n">
        <f aca="false">SUMIF($C$2:$F$2,EOMONTH(BI$2,-1)+1,$C107:$F107)*VLOOKUP(BI$2,Valores!$H$2:$P$154,8,0)</f>
        <v>0</v>
      </c>
      <c r="BJ107" s="27" t="n">
        <f aca="false">SUMIF($C$2:$F$2,EOMONTH(BJ$2,-1)+1,$C107:$F107)*VLOOKUP(BJ$2,Valores!$H$2:$P$154,8,0)</f>
        <v>0</v>
      </c>
      <c r="BK107" s="27" t="n">
        <f aca="false">SUMIF($C$2:$F$2,EOMONTH(BK$2,-1)+1,$C107:$F107)*VLOOKUP(BK$2,Valores!$H$2:$P$154,8,0)</f>
        <v>0</v>
      </c>
      <c r="BL107" s="27" t="n">
        <f aca="false">SUMIF($C$2:$F$2,EOMONTH(BL$2,-1)+1,$C107:$F107)*VLOOKUP(BL$2,Valores!$H$2:$P$154,8,0)</f>
        <v>0</v>
      </c>
      <c r="BM107" s="27" t="n">
        <f aca="false">SUMIF($C$2:$F$2,EOMONTH(BM$2,-1)+1,$C107:$F107)*VLOOKUP(BM$2,Valores!$H$2:$P$154,8,0)</f>
        <v>0</v>
      </c>
      <c r="BN107" s="27" t="n">
        <f aca="false">SUMIF($C$2:$F$2,EOMONTH(BN$2,-1)+1,$C107:$F107)*VLOOKUP(BN$2,Valores!$H$2:$P$154,8,0)</f>
        <v>0</v>
      </c>
      <c r="BO107" s="27" t="n">
        <f aca="false">SUMIF($C$2:$F$2,EOMONTH(BO$2,-1)+1,$C107:$F107)*VLOOKUP(BO$2,Valores!$H$2:$P$154,8,0)</f>
        <v>0</v>
      </c>
      <c r="BP107" s="27" t="n">
        <f aca="false">SUMIF($C$2:$F$2,EOMONTH(BP$2,-1)+1,$C107:$F107)*VLOOKUP(BP$2,Valores!$H$2:$P$154,8,0)</f>
        <v>0</v>
      </c>
      <c r="BQ107" s="27" t="n">
        <f aca="false">SUMIF($C$2:$F$2,EOMONTH(BQ$2,-1)+1,$C107:$F107)*VLOOKUP(BQ$2,Valores!$H$2:$P$154,8,0)</f>
        <v>0</v>
      </c>
      <c r="BR107" s="27" t="n">
        <f aca="false">SUMIF($C$2:$F$2,EOMONTH(BR$2,-1)+1,$C107:$F107)*VLOOKUP(BR$2,Valores!$H$2:$P$154,8,0)</f>
        <v>0</v>
      </c>
      <c r="BS107" s="27" t="n">
        <f aca="false">SUMIF($C$2:$F$2,EOMONTH(BS$2,-1)+1,$C107:$F107)*VLOOKUP(BS$2,Valores!$H$2:$P$154,8,0)</f>
        <v>0</v>
      </c>
      <c r="BT107" s="27" t="n">
        <f aca="false">SUMIF($C$2:$F$2,EOMONTH(BT$2,-1)+1,$C107:$F107)*VLOOKUP(BT$2,Valores!$H$2:$P$154,8,0)</f>
        <v>0</v>
      </c>
      <c r="BU107" s="27" t="n">
        <f aca="false">SUMIF($C$2:$F$2,EOMONTH(BU$2,-1)+1,$C107:$F107)*VLOOKUP(BU$2,Valores!$H$2:$P$154,8,0)</f>
        <v>0</v>
      </c>
      <c r="BV107" s="27" t="n">
        <f aca="false">SUMIF($C$2:$F$2,EOMONTH(BV$2,-1)+1,$C107:$F107)*VLOOKUP(BV$2,Valores!$H$2:$P$154,8,0)</f>
        <v>0</v>
      </c>
      <c r="BW107" s="27" t="n">
        <f aca="false">SUMIF($C$2:$F$2,EOMONTH(BW$2,-1)+1,$C107:$F107)*VLOOKUP(BW$2,Valores!$H$2:$P$154,8,0)</f>
        <v>0</v>
      </c>
      <c r="BX107" s="27" t="n">
        <f aca="false">SUMIF($C$2:$F$2,EOMONTH(BX$2,-1)+1,$C107:$F107)*VLOOKUP(BX$2,Valores!$H$2:$P$154,8,0)</f>
        <v>0</v>
      </c>
      <c r="BY107" s="27" t="n">
        <f aca="false">SUMIF($C$2:$F$2,EOMONTH(BY$2,-1)+1,$C107:$F107)*VLOOKUP(BY$2,Valores!$H$2:$P$154,8,0)</f>
        <v>0</v>
      </c>
      <c r="BZ107" s="27" t="n">
        <f aca="false">SUMIF($C$2:$F$2,EOMONTH(BZ$2,-1)+1,$C107:$F107)*VLOOKUP(BZ$2,Valores!$H$2:$P$154,8,0)</f>
        <v>0</v>
      </c>
      <c r="CA107" s="27" t="n">
        <f aca="false">SUMIF($C$2:$F$2,EOMONTH(CA$2,-1)+1,$C107:$F107)*VLOOKUP(CA$2,Valores!$H$2:$P$154,8,0)</f>
        <v>0</v>
      </c>
      <c r="CB107" s="27" t="n">
        <f aca="false">SUMIF($C$2:$F$2,EOMONTH(CB$2,-1)+1,$C107:$F107)*VLOOKUP(CB$2,Valores!$H$2:$P$154,8,0)</f>
        <v>0</v>
      </c>
      <c r="CC107" s="27" t="n">
        <f aca="false">SUMIF($C$2:$F$2,EOMONTH(CC$2,-1)+1,$C107:$F107)*VLOOKUP(CC$2,Valores!$H$2:$P$154,8,0)</f>
        <v>0</v>
      </c>
      <c r="CD107" s="27" t="n">
        <f aca="false">SUMIF($C$2:$F$2,EOMONTH(CD$2,-1)+1,$C107:$F107)*VLOOKUP(CD$2,Valores!$H$2:$P$154,8,0)</f>
        <v>0</v>
      </c>
      <c r="CE107" s="27" t="n">
        <f aca="false">SUMIF($C$2:$F$2,EOMONTH(CE$2,-1)+1,$C107:$F107)*VLOOKUP(CE$2,Valores!$H$2:$P$154,8,0)</f>
        <v>0</v>
      </c>
      <c r="CF107" s="27" t="n">
        <f aca="false">SUMIF($C$2:$F$2,EOMONTH(CF$2,-1)+1,$C107:$F107)*VLOOKUP(CF$2,Valores!$H$2:$P$154,8,0)</f>
        <v>0</v>
      </c>
      <c r="CG107" s="27" t="n">
        <f aca="false">SUMIF($C$2:$F$2,EOMONTH(CG$2,-1)+1,$C107:$F107)*VLOOKUP(CG$2,Valores!$H$2:$P$154,8,0)</f>
        <v>0</v>
      </c>
      <c r="CH107" s="27" t="n">
        <f aca="false">SUMIF($C$2:$F$2,EOMONTH(CH$2,-1)+1,$C107:$F107)*VLOOKUP(CH$2,Valores!$H$2:$P$154,8,0)</f>
        <v>0</v>
      </c>
      <c r="CI107" s="27" t="n">
        <f aca="false">SUMIF($C$2:$F$2,EOMONTH(CI$2,-1)+1,$C107:$F107)*VLOOKUP(CI$2,Valores!$H$2:$P$154,8,0)</f>
        <v>0</v>
      </c>
      <c r="CJ107" s="27" t="n">
        <f aca="false">SUMIF($C$2:$F$2,EOMONTH(CJ$2,-1)+1,$C107:$F107)*VLOOKUP(CJ$2,Valores!$H$2:$P$154,8,0)</f>
        <v>0</v>
      </c>
      <c r="CK107" s="27" t="n">
        <f aca="false">SUMIF($C$2:$F$2,EOMONTH(CK$2,-1)+1,$C107:$F107)*VLOOKUP(CK$2,Valores!$H$2:$P$154,8,0)</f>
        <v>0</v>
      </c>
      <c r="CL107" s="27" t="n">
        <f aca="false">SUMIF($C$2:$F$2,EOMONTH(CL$2,-1)+1,$C107:$F107)*VLOOKUP(CL$2,Valores!$H$2:$P$154,8,0)</f>
        <v>0</v>
      </c>
      <c r="CM107" s="27" t="n">
        <f aca="false">SUMIF($C$2:$F$2,EOMONTH(CM$2,-1)+1,$C107:$F107)*VLOOKUP(CM$2,Valores!$H$2:$P$154,8,0)</f>
        <v>0</v>
      </c>
      <c r="CN107" s="27" t="n">
        <f aca="false">SUMIF($C$2:$F$2,EOMONTH(CN$2,-1)+1,$C107:$F107)*VLOOKUP(CN$2,Valores!$H$2:$P$154,8,0)</f>
        <v>0</v>
      </c>
      <c r="CO107" s="27" t="n">
        <f aca="false">SUMIF($C$2:$F$2,EOMONTH(CO$2,-1)+1,$C107:$F107)*VLOOKUP(CO$2,Valores!$H$2:$P$154,8,0)</f>
        <v>0</v>
      </c>
      <c r="CP107" s="27" t="n">
        <f aca="false">SUMIF($C$2:$F$2,EOMONTH(CP$2,-1)+1,$C107:$F107)*VLOOKUP(CP$2,Valores!$H$2:$P$154,8,0)</f>
        <v>0</v>
      </c>
      <c r="CQ107" s="27" t="n">
        <f aca="false">SUMIF($C$2:$F$2,EOMONTH(CQ$2,-1)+1,$C107:$F107)*VLOOKUP(CQ$2,Valores!$H$2:$P$154,8,0)</f>
        <v>0</v>
      </c>
      <c r="CR107" s="27" t="n">
        <f aca="false">SUMIF($C$2:$F$2,EOMONTH(CR$2,-1)+1,$C107:$F107)*VLOOKUP(CR$2,Valores!$H$2:$P$154,8,0)</f>
        <v>0</v>
      </c>
      <c r="CS107" s="27" t="n">
        <f aca="false">SUMIF($C$2:$F$2,EOMONTH(CS$2,-1)+1,$C107:$F107)*VLOOKUP(CS$2,Valores!$H$2:$P$154,8,0)</f>
        <v>0</v>
      </c>
      <c r="CT107" s="27" t="e">
        <f aca="false">SUMIF($C$2:$F$2,EOMONTH(CT$2,-1)+1,$C107:$F107)*VLOOKUP(CT$2,Valores!$H$2:$P$154,8,0)</f>
        <v>#VALUE!</v>
      </c>
      <c r="CU107" s="27" t="e">
        <f aca="false">SUMIF($C$2:$F$2,EOMONTH(CU$2,-1)+1,$C107:$F107)*VLOOKUP(CU$2,Valores!$H$2:$P$154,8,0)</f>
        <v>#VALUE!</v>
      </c>
      <c r="CV107" s="27" t="e">
        <f aca="false">SUMIF($C$2:$F$2,EOMONTH(CV$2,-1)+1,$C107:$F107)*VLOOKUP(CV$2,Valores!$H$2:$P$154,8,0)</f>
        <v>#VALUE!</v>
      </c>
      <c r="CW107" s="27" t="e">
        <f aca="false">SUMIF($C$2:$F$2,EOMONTH(CW$2,-1)+1,$C107:$F107)*VLOOKUP(CW$2,Valores!$H$2:$P$154,8,0)</f>
        <v>#VALUE!</v>
      </c>
      <c r="CX107" s="27" t="e">
        <f aca="false">SUMIF($C$2:$F$2,EOMONTH(CX$2,-1)+1,$C107:$F107)*VLOOKUP(CX$2,Valores!$H$2:$P$154,8,0)</f>
        <v>#VALUE!</v>
      </c>
      <c r="CY107" s="27" t="e">
        <f aca="false">SUMIF($C$2:$F$2,EOMONTH(CY$2,-1)+1,$C107:$F107)*VLOOKUP(CY$2,Valores!$H$2:$P$154,8,0)</f>
        <v>#VALUE!</v>
      </c>
      <c r="CZ107" s="27" t="e">
        <f aca="false">SUMIF($C$2:$F$2,EOMONTH(CZ$2,-1)+1,$C107:$F107)*VLOOKUP(CZ$2,Valores!$H$2:$P$154,8,0)</f>
        <v>#VALUE!</v>
      </c>
      <c r="DA107" s="27" t="e">
        <f aca="false">SUMIF($C$2:$F$2,EOMONTH(DA$2,-1)+1,$C107:$F107)*VLOOKUP(DA$2,Valores!$H$2:$P$154,8,0)</f>
        <v>#VALUE!</v>
      </c>
      <c r="DB107" s="27" t="e">
        <f aca="false">SUMIF($C$2:$F$2,EOMONTH(DB$2,-1)+1,$C107:$F107)*VLOOKUP(DB$2,Valores!$H$2:$P$154,8,0)</f>
        <v>#VALUE!</v>
      </c>
      <c r="DC107" s="27" t="e">
        <f aca="false">SUMIF($C$2:$F$2,EOMONTH(DC$2,-1)+1,$C107:$F107)*VLOOKUP(DC$2,Valores!$H$2:$P$154,8,0)</f>
        <v>#VALUE!</v>
      </c>
      <c r="DD107" s="27" t="e">
        <f aca="false">SUMIF($C$2:$F$2,EOMONTH(DD$2,-1)+1,$C107:$F107)*VLOOKUP(DD$2,Valores!$H$2:$P$154,8,0)</f>
        <v>#VALUE!</v>
      </c>
      <c r="DE107" s="27" t="e">
        <f aca="false">SUMIF($C$2:$F$2,EOMONTH(DE$2,-1)+1,$C107:$F107)*VLOOKUP(DE$2,Valores!$H$2:$P$154,8,0)</f>
        <v>#VALUE!</v>
      </c>
      <c r="DF107" s="27" t="e">
        <f aca="false">SUMIF($C$2:$F$2,EOMONTH(DF$2,-1)+1,$C107:$F107)*VLOOKUP(DF$2,Valores!$H$2:$P$154,8,0)</f>
        <v>#VALUE!</v>
      </c>
      <c r="DG107" s="27" t="e">
        <f aca="false">SUMIF($C$2:$F$2,EOMONTH(DG$2,-1)+1,$C107:$F107)*VLOOKUP(DG$2,Valores!$H$2:$P$154,8,0)</f>
        <v>#VALUE!</v>
      </c>
      <c r="DH107" s="27" t="e">
        <f aca="false">SUMIF($C$2:$F$2,EOMONTH(DH$2,-1)+1,$C107:$F107)*VLOOKUP(DH$2,Valores!$H$2:$P$154,8,0)</f>
        <v>#VALUE!</v>
      </c>
      <c r="DI107" s="27" t="e">
        <f aca="false">SUMIF($C$2:$F$2,EOMONTH(DI$2,-1)+1,$C107:$F107)*VLOOKUP(DI$2,Valores!$H$2:$P$154,8,0)</f>
        <v>#VALUE!</v>
      </c>
      <c r="DJ107" s="27" t="e">
        <f aca="false">SUMIF($C$2:$F$2,EOMONTH(DJ$2,-1)+1,$C107:$F107)*VLOOKUP(DJ$2,Valores!$H$2:$P$154,8,0)</f>
        <v>#VALUE!</v>
      </c>
      <c r="DK107" s="27" t="e">
        <f aca="false">SUMIF($C$2:$F$2,EOMONTH(DK$2,-1)+1,$C107:$F107)*VLOOKUP(DK$2,Valores!$H$2:$P$154,8,0)</f>
        <v>#VALUE!</v>
      </c>
      <c r="DL107" s="27" t="e">
        <f aca="false">SUMIF($C$2:$F$2,EOMONTH(DL$2,-1)+1,$C107:$F107)*VLOOKUP(DL$2,Valores!$H$2:$P$154,8,0)</f>
        <v>#VALUE!</v>
      </c>
      <c r="DM107" s="27" t="e">
        <f aca="false">SUMIF($C$2:$F$2,EOMONTH(DM$2,-1)+1,$C107:$F107)*VLOOKUP(DM$2,Valores!$H$2:$P$154,8,0)</f>
        <v>#VALUE!</v>
      </c>
      <c r="DN107" s="27" t="e">
        <f aca="false">SUMIF($C$2:$F$2,EOMONTH(DN$2,-1)+1,$C107:$F107)*VLOOKUP(DN$2,Valores!$H$2:$P$154,8,0)</f>
        <v>#VALUE!</v>
      </c>
      <c r="DO107" s="27" t="e">
        <f aca="false">SUMIF($C$2:$F$2,EOMONTH(DO$2,-1)+1,$C107:$F107)*VLOOKUP(DO$2,Valores!$H$2:$P$154,8,0)</f>
        <v>#VALUE!</v>
      </c>
      <c r="DP107" s="27" t="e">
        <f aca="false">SUMIF($C$2:$F$2,EOMONTH(DP$2,-1)+1,$C107:$F107)*VLOOKUP(DP$2,Valores!$H$2:$P$154,8,0)</f>
        <v>#VALUE!</v>
      </c>
      <c r="DQ107" s="27" t="e">
        <f aca="false">SUMIF($C$2:$F$2,EOMONTH(DQ$2,-1)+1,$C107:$F107)*VLOOKUP(DQ$2,Valores!$H$2:$P$154,8,0)</f>
        <v>#VALUE!</v>
      </c>
      <c r="DR107" s="27" t="e">
        <f aca="false">SUMIF($C$2:$F$2,EOMONTH(DR$2,-1)+1,$C107:$F107)*VLOOKUP(DR$2,Valores!$H$2:$P$154,8,0)</f>
        <v>#VALUE!</v>
      </c>
      <c r="DS107" s="27" t="e">
        <f aca="false">SUMIF($C$2:$F$2,EOMONTH(DS$2,-1)+1,$C107:$F107)*VLOOKUP(DS$2,Valores!$H$2:$P$154,8,0)</f>
        <v>#VALUE!</v>
      </c>
      <c r="DT107" s="27" t="e">
        <f aca="false">SUMIF($C$2:$F$2,EOMONTH(DT$2,-1)+1,$C107:$F107)*VLOOKUP(DT$2,Valores!$H$2:$P$154,8,0)</f>
        <v>#VALUE!</v>
      </c>
      <c r="DU107" s="27" t="e">
        <f aca="false">SUMIF($C$2:$F$2,EOMONTH(DU$2,-1)+1,$C107:$F107)*VLOOKUP(DU$2,Valores!$H$2:$P$154,8,0)</f>
        <v>#VALUE!</v>
      </c>
      <c r="DV107" s="27" t="e">
        <f aca="false">SUMIF($C$2:$F$2,EOMONTH(DV$2,-1)+1,$C107:$F107)*VLOOKUP(DV$2,Valores!$H$2:$P$154,8,0)</f>
        <v>#VALUE!</v>
      </c>
      <c r="DW107" s="27" t="e">
        <f aca="false">SUMIF($C$2:$F$2,EOMONTH(DW$2,-1)+1,$C107:$F107)*VLOOKUP(DW$2,Valores!$H$2:$P$154,8,0)</f>
        <v>#VALUE!</v>
      </c>
      <c r="DX107" s="27" t="e">
        <f aca="false">SUMIF($C$2:$F$2,EOMONTH(DX$2,-1)+1,$C107:$F107)*VLOOKUP(DX$2,Valores!$H$2:$P$154,8,0)</f>
        <v>#VALUE!</v>
      </c>
    </row>
    <row r="108" customFormat="false" ht="13.8" hidden="false" customHeight="false" outlineLevel="0" collapsed="false">
      <c r="A108" s="29"/>
      <c r="B108" s="29"/>
      <c r="C108" s="29"/>
      <c r="D108" s="29"/>
      <c r="E108" s="29"/>
      <c r="F108" s="29"/>
      <c r="G108" s="30" t="n">
        <f aca="false">SUMIF($C$2:$F$2,EOMONTH(G$2,-1)+1,$C108:$F108)*VLOOKUP(G$2,Valores!$H$2:$P$154,8,0)</f>
        <v>0</v>
      </c>
      <c r="H108" s="30" t="n">
        <f aca="false">SUMIF($C$2:$F$2,EOMONTH(H$2,-1)+1,$C108:$F108)*VLOOKUP(H$2,Valores!$H$2:$P$154,8,0)</f>
        <v>0</v>
      </c>
      <c r="I108" s="30" t="n">
        <f aca="false">SUMIF($C$2:$F$2,EOMONTH(I$2,-1)+1,$C108:$F108)*VLOOKUP(I$2,Valores!$H$2:$P$154,8,0)</f>
        <v>0</v>
      </c>
      <c r="J108" s="30" t="n">
        <f aca="false">SUMIF($C$2:$F$2,EOMONTH(J$2,-1)+1,$C108:$F108)*VLOOKUP(J$2,Valores!$H$2:$P$154,8,0)</f>
        <v>0</v>
      </c>
      <c r="K108" s="30" t="n">
        <f aca="false">SUMIF($C$2:$F$2,EOMONTH(K$2,-1)+1,$C108:$F108)*VLOOKUP(K$2,Valores!$H$2:$P$154,8,0)</f>
        <v>0</v>
      </c>
      <c r="L108" s="30" t="n">
        <f aca="false">SUMIF($C$2:$F$2,EOMONTH(L$2,-1)+1,$C108:$F108)*VLOOKUP(L$2,Valores!$H$2:$P$154,8,0)</f>
        <v>0</v>
      </c>
      <c r="M108" s="30" t="n">
        <f aca="false">SUMIF($C$2:$F$2,EOMONTH(M$2,-1)+1,$C108:$F108)*VLOOKUP(M$2,Valores!$H$2:$P$154,8,0)</f>
        <v>0</v>
      </c>
      <c r="N108" s="30" t="n">
        <f aca="false">SUMIF($C$2:$F$2,EOMONTH(N$2,-1)+1,$C108:$F108)*VLOOKUP(N$2,Valores!$H$2:$P$154,8,0)</f>
        <v>0</v>
      </c>
      <c r="O108" s="30" t="n">
        <f aca="false">SUMIF($C$2:$F$2,EOMONTH(O$2,-1)+1,$C108:$F108)*VLOOKUP(O$2,Valores!$H$2:$P$154,8,0)</f>
        <v>0</v>
      </c>
      <c r="P108" s="30" t="n">
        <f aca="false">SUMIF($C$2:$F$2,EOMONTH(P$2,-1)+1,$C108:$F108)*VLOOKUP(P$2,Valores!$H$2:$P$154,8,0)</f>
        <v>0</v>
      </c>
      <c r="Q108" s="30" t="n">
        <f aca="false">SUMIF($C$2:$F$2,EOMONTH(Q$2,-1)+1,$C108:$F108)*VLOOKUP(Q$2,Valores!$H$2:$P$154,8,0)</f>
        <v>0</v>
      </c>
      <c r="R108" s="30" t="n">
        <f aca="false">SUMIF($C$2:$F$2,EOMONTH(R$2,-1)+1,$C108:$F108)*VLOOKUP(R$2,Valores!$H$2:$P$154,8,0)</f>
        <v>0</v>
      </c>
      <c r="S108" s="30" t="n">
        <f aca="false">SUMIF($C$2:$F$2,EOMONTH(S$2,-1)+1,$C108:$F108)*VLOOKUP(S$2,Valores!$H$2:$P$154,8,0)</f>
        <v>0</v>
      </c>
      <c r="T108" s="30" t="n">
        <f aca="false">SUMIF($C$2:$F$2,EOMONTH(T$2,-1)+1,$C108:$F108)*VLOOKUP(T$2,Valores!$H$2:$P$154,8,0)</f>
        <v>0</v>
      </c>
      <c r="U108" s="30" t="n">
        <f aca="false">SUMIF($C$2:$F$2,EOMONTH(U$2,-1)+1,$C108:$F108)*VLOOKUP(U$2,Valores!$H$2:$P$154,8,0)</f>
        <v>0</v>
      </c>
      <c r="V108" s="30" t="n">
        <f aca="false">SUMIF($C$2:$F$2,EOMONTH(V$2,-1)+1,$C108:$F108)*VLOOKUP(V$2,Valores!$H$2:$P$154,8,0)</f>
        <v>0</v>
      </c>
      <c r="W108" s="30" t="n">
        <f aca="false">SUMIF($C$2:$F$2,EOMONTH(W$2,-1)+1,$C108:$F108)*VLOOKUP(W$2,Valores!$H$2:$P$154,8,0)</f>
        <v>0</v>
      </c>
      <c r="X108" s="30" t="n">
        <f aca="false">SUMIF($C$2:$F$2,EOMONTH(X$2,-1)+1,$C108:$F108)*VLOOKUP(X$2,Valores!$H$2:$P$154,8,0)</f>
        <v>0</v>
      </c>
      <c r="Y108" s="30" t="n">
        <f aca="false">SUMIF($C$2:$F$2,EOMONTH(Y$2,-1)+1,$C108:$F108)*VLOOKUP(Y$2,Valores!$H$2:$P$154,8,0)</f>
        <v>0</v>
      </c>
      <c r="Z108" s="30" t="n">
        <f aca="false">SUMIF($C$2:$F$2,EOMONTH(Z$2,-1)+1,$C108:$F108)*VLOOKUP(Z$2,Valores!$H$2:$P$154,8,0)</f>
        <v>0</v>
      </c>
      <c r="AA108" s="30" t="n">
        <f aca="false">SUMIF($C$2:$F$2,EOMONTH(AA$2,-1)+1,$C108:$F108)*VLOOKUP(AA$2,Valores!$H$2:$P$154,8,0)</f>
        <v>0</v>
      </c>
      <c r="AB108" s="30" t="n">
        <f aca="false">SUMIF($C$2:$F$2,EOMONTH(AB$2,-1)+1,$C108:$F108)*VLOOKUP(AB$2,Valores!$H$2:$P$154,8,0)</f>
        <v>0</v>
      </c>
      <c r="AC108" s="30" t="n">
        <f aca="false">SUMIF($C$2:$F$2,EOMONTH(AC$2,-1)+1,$C108:$F108)*VLOOKUP(AC$2,Valores!$H$2:$P$154,8,0)</f>
        <v>0</v>
      </c>
      <c r="AD108" s="30" t="n">
        <f aca="false">SUMIF($C$2:$F$2,EOMONTH(AD$2,-1)+1,$C108:$F108)*VLOOKUP(AD$2,Valores!$H$2:$P$154,8,0)</f>
        <v>0</v>
      </c>
      <c r="AE108" s="30" t="n">
        <f aca="false">SUMIF($C$2:$F$2,EOMONTH(AE$2,-1)+1,$C108:$F108)*VLOOKUP(AE$2,Valores!$H$2:$P$154,8,0)</f>
        <v>0</v>
      </c>
      <c r="AF108" s="30" t="n">
        <f aca="false">SUMIF($C$2:$F$2,EOMONTH(AF$2,-1)+1,$C108:$F108)*VLOOKUP(AF$2,Valores!$H$2:$P$154,8,0)</f>
        <v>0</v>
      </c>
      <c r="AG108" s="30" t="n">
        <f aca="false">SUMIF($C$2:$F$2,EOMONTH(AG$2,-1)+1,$C108:$F108)*VLOOKUP(AG$2,Valores!$H$2:$P$154,8,0)</f>
        <v>0</v>
      </c>
      <c r="AH108" s="30" t="n">
        <f aca="false">SUMIF($C$2:$F$2,EOMONTH(AH$2,-1)+1,$C108:$F108)*VLOOKUP(AH$2,Valores!$H$2:$P$154,8,0)</f>
        <v>0</v>
      </c>
      <c r="AI108" s="30" t="n">
        <f aca="false">SUMIF($C$2:$F$2,EOMONTH(AI$2,-1)+1,$C108:$F108)*VLOOKUP(AI$2,Valores!$H$2:$P$154,8,0)</f>
        <v>0</v>
      </c>
      <c r="AJ108" s="30" t="n">
        <f aca="false">SUMIF($C$2:$F$2,EOMONTH(AJ$2,-1)+1,$C108:$F108)*VLOOKUP(AJ$2,Valores!$H$2:$P$154,8,0)</f>
        <v>0</v>
      </c>
      <c r="AK108" s="30" t="n">
        <f aca="false">SUMIF($C$2:$F$2,EOMONTH(AK$2,-1)+1,$C108:$F108)*VLOOKUP(AK$2,Valores!$H$2:$P$154,8,0)</f>
        <v>0</v>
      </c>
      <c r="AL108" s="30" t="n">
        <f aca="false">SUMIF($C$2:$F$2,EOMONTH(AL$2,-1)+1,$C108:$F108)*VLOOKUP(AL$2,Valores!$H$2:$P$154,8,0)</f>
        <v>0</v>
      </c>
      <c r="AM108" s="30" t="n">
        <f aca="false">SUMIF($C$2:$F$2,EOMONTH(AM$2,-1)+1,$C108:$F108)*VLOOKUP(AM$2,Valores!$H$2:$P$154,8,0)</f>
        <v>0</v>
      </c>
      <c r="AN108" s="30" t="n">
        <f aca="false">SUMIF($C$2:$F$2,EOMONTH(AN$2,-1)+1,$C108:$F108)*VLOOKUP(AN$2,Valores!$H$2:$P$154,8,0)</f>
        <v>0</v>
      </c>
      <c r="AO108" s="30" t="n">
        <f aca="false">SUMIF($C$2:$F$2,EOMONTH(AO$2,-1)+1,$C108:$F108)*VLOOKUP(AO$2,Valores!$H$2:$P$154,8,0)</f>
        <v>0</v>
      </c>
      <c r="AP108" s="30" t="n">
        <f aca="false">SUMIF($C$2:$F$2,EOMONTH(AP$2,-1)+1,$C108:$F108)*VLOOKUP(AP$2,Valores!$H$2:$P$154,8,0)</f>
        <v>0</v>
      </c>
      <c r="AQ108" s="30" t="n">
        <f aca="false">SUMIF($C$2:$F$2,EOMONTH(AQ$2,-1)+1,$C108:$F108)*VLOOKUP(AQ$2,Valores!$H$2:$P$154,8,0)</f>
        <v>0</v>
      </c>
      <c r="AR108" s="30" t="n">
        <f aca="false">SUMIF($C$2:$F$2,EOMONTH(AR$2,-1)+1,$C108:$F108)*VLOOKUP(AR$2,Valores!$H$2:$P$154,8,0)</f>
        <v>0</v>
      </c>
      <c r="AS108" s="30" t="n">
        <f aca="false">SUMIF($C$2:$F$2,EOMONTH(AS$2,-1)+1,$C108:$F108)*VLOOKUP(AS$2,Valores!$H$2:$P$154,8,0)</f>
        <v>0</v>
      </c>
      <c r="AT108" s="30" t="n">
        <f aca="false">SUMIF($C$2:$F$2,EOMONTH(AT$2,-1)+1,$C108:$F108)*VLOOKUP(AT$2,Valores!$H$2:$P$154,8,0)</f>
        <v>0</v>
      </c>
      <c r="AU108" s="30" t="n">
        <f aca="false">SUMIF($C$2:$F$2,EOMONTH(AU$2,-1)+1,$C108:$F108)*VLOOKUP(AU$2,Valores!$H$2:$P$154,8,0)</f>
        <v>0</v>
      </c>
      <c r="AV108" s="30" t="n">
        <f aca="false">SUMIF($C$2:$F$2,EOMONTH(AV$2,-1)+1,$C108:$F108)*VLOOKUP(AV$2,Valores!$H$2:$P$154,8,0)</f>
        <v>0</v>
      </c>
      <c r="AW108" s="30" t="n">
        <f aca="false">SUMIF($C$2:$F$2,EOMONTH(AW$2,-1)+1,$C108:$F108)*VLOOKUP(AW$2,Valores!$H$2:$P$154,8,0)</f>
        <v>0</v>
      </c>
      <c r="AX108" s="30" t="n">
        <f aca="false">SUMIF($C$2:$F$2,EOMONTH(AX$2,-1)+1,$C108:$F108)*VLOOKUP(AX$2,Valores!$H$2:$P$154,8,0)</f>
        <v>0</v>
      </c>
      <c r="AY108" s="30" t="n">
        <f aca="false">SUMIF($C$2:$F$2,EOMONTH(AY$2,-1)+1,$C108:$F108)*VLOOKUP(AY$2,Valores!$H$2:$P$154,8,0)</f>
        <v>0</v>
      </c>
      <c r="AZ108" s="30" t="n">
        <f aca="false">SUMIF($C$2:$F$2,EOMONTH(AZ$2,-1)+1,$C108:$F108)*VLOOKUP(AZ$2,Valores!$H$2:$P$154,8,0)</f>
        <v>0</v>
      </c>
      <c r="BA108" s="30" t="n">
        <f aca="false">SUMIF($C$2:$F$2,EOMONTH(BA$2,-1)+1,$C108:$F108)*VLOOKUP(BA$2,Valores!$H$2:$P$154,8,0)</f>
        <v>0</v>
      </c>
      <c r="BB108" s="30" t="n">
        <f aca="false">SUMIF($C$2:$F$2,EOMONTH(BB$2,-1)+1,$C108:$F108)*VLOOKUP(BB$2,Valores!$H$2:$P$154,8,0)</f>
        <v>0</v>
      </c>
      <c r="BC108" s="30" t="n">
        <f aca="false">SUMIF($C$2:$F$2,EOMONTH(BC$2,-1)+1,$C108:$F108)*VLOOKUP(BC$2,Valores!$H$2:$P$154,8,0)</f>
        <v>0</v>
      </c>
      <c r="BD108" s="30" t="n">
        <f aca="false">SUMIF($C$2:$F$2,EOMONTH(BD$2,-1)+1,$C108:$F108)*VLOOKUP(BD$2,Valores!$H$2:$P$154,8,0)</f>
        <v>0</v>
      </c>
      <c r="BE108" s="30" t="n">
        <f aca="false">SUMIF($C$2:$F$2,EOMONTH(BE$2,-1)+1,$C108:$F108)*VLOOKUP(BE$2,Valores!$H$2:$P$154,8,0)</f>
        <v>0</v>
      </c>
      <c r="BF108" s="30" t="n">
        <f aca="false">SUMIF($C$2:$F$2,EOMONTH(BF$2,-1)+1,$C108:$F108)*VLOOKUP(BF$2,Valores!$H$2:$P$154,8,0)</f>
        <v>0</v>
      </c>
      <c r="BG108" s="30" t="n">
        <f aca="false">SUMIF($C$2:$F$2,EOMONTH(BG$2,-1)+1,$C108:$F108)*VLOOKUP(BG$2,Valores!$H$2:$P$154,8,0)</f>
        <v>0</v>
      </c>
      <c r="BH108" s="30" t="n">
        <f aca="false">SUMIF($C$2:$F$2,EOMONTH(BH$2,-1)+1,$C108:$F108)*VLOOKUP(BH$2,Valores!$H$2:$P$154,8,0)</f>
        <v>0</v>
      </c>
      <c r="BI108" s="30" t="n">
        <f aca="false">SUMIF($C$2:$F$2,EOMONTH(BI$2,-1)+1,$C108:$F108)*VLOOKUP(BI$2,Valores!$H$2:$P$154,8,0)</f>
        <v>0</v>
      </c>
      <c r="BJ108" s="30" t="n">
        <f aca="false">SUMIF($C$2:$F$2,EOMONTH(BJ$2,-1)+1,$C108:$F108)*VLOOKUP(BJ$2,Valores!$H$2:$P$154,8,0)</f>
        <v>0</v>
      </c>
      <c r="BK108" s="30" t="n">
        <f aca="false">SUMIF($C$2:$F$2,EOMONTH(BK$2,-1)+1,$C108:$F108)*VLOOKUP(BK$2,Valores!$H$2:$P$154,8,0)</f>
        <v>0</v>
      </c>
      <c r="BL108" s="30" t="n">
        <f aca="false">SUMIF($C$2:$F$2,EOMONTH(BL$2,-1)+1,$C108:$F108)*VLOOKUP(BL$2,Valores!$H$2:$P$154,8,0)</f>
        <v>0</v>
      </c>
      <c r="BM108" s="30" t="n">
        <f aca="false">SUMIF($C$2:$F$2,EOMONTH(BM$2,-1)+1,$C108:$F108)*VLOOKUP(BM$2,Valores!$H$2:$P$154,8,0)</f>
        <v>0</v>
      </c>
      <c r="BN108" s="30" t="n">
        <f aca="false">SUMIF($C$2:$F$2,EOMONTH(BN$2,-1)+1,$C108:$F108)*VLOOKUP(BN$2,Valores!$H$2:$P$154,8,0)</f>
        <v>0</v>
      </c>
      <c r="BO108" s="30" t="n">
        <f aca="false">SUMIF($C$2:$F$2,EOMONTH(BO$2,-1)+1,$C108:$F108)*VLOOKUP(BO$2,Valores!$H$2:$P$154,8,0)</f>
        <v>0</v>
      </c>
      <c r="BP108" s="30" t="n">
        <f aca="false">SUMIF($C$2:$F$2,EOMONTH(BP$2,-1)+1,$C108:$F108)*VLOOKUP(BP$2,Valores!$H$2:$P$154,8,0)</f>
        <v>0</v>
      </c>
      <c r="BQ108" s="30" t="n">
        <f aca="false">SUMIF($C$2:$F$2,EOMONTH(BQ$2,-1)+1,$C108:$F108)*VLOOKUP(BQ$2,Valores!$H$2:$P$154,8,0)</f>
        <v>0</v>
      </c>
      <c r="BR108" s="30" t="n">
        <f aca="false">SUMIF($C$2:$F$2,EOMONTH(BR$2,-1)+1,$C108:$F108)*VLOOKUP(BR$2,Valores!$H$2:$P$154,8,0)</f>
        <v>0</v>
      </c>
      <c r="BS108" s="30" t="n">
        <f aca="false">SUMIF($C$2:$F$2,EOMONTH(BS$2,-1)+1,$C108:$F108)*VLOOKUP(BS$2,Valores!$H$2:$P$154,8,0)</f>
        <v>0</v>
      </c>
      <c r="BT108" s="30" t="n">
        <f aca="false">SUMIF($C$2:$F$2,EOMONTH(BT$2,-1)+1,$C108:$F108)*VLOOKUP(BT$2,Valores!$H$2:$P$154,8,0)</f>
        <v>0</v>
      </c>
      <c r="BU108" s="30" t="n">
        <f aca="false">SUMIF($C$2:$F$2,EOMONTH(BU$2,-1)+1,$C108:$F108)*VLOOKUP(BU$2,Valores!$H$2:$P$154,8,0)</f>
        <v>0</v>
      </c>
      <c r="BV108" s="30" t="n">
        <f aca="false">SUMIF($C$2:$F$2,EOMONTH(BV$2,-1)+1,$C108:$F108)*VLOOKUP(BV$2,Valores!$H$2:$P$154,8,0)</f>
        <v>0</v>
      </c>
      <c r="BW108" s="30" t="n">
        <f aca="false">SUMIF($C$2:$F$2,EOMONTH(BW$2,-1)+1,$C108:$F108)*VLOOKUP(BW$2,Valores!$H$2:$P$154,8,0)</f>
        <v>0</v>
      </c>
      <c r="BX108" s="30" t="n">
        <f aca="false">SUMIF($C$2:$F$2,EOMONTH(BX$2,-1)+1,$C108:$F108)*VLOOKUP(BX$2,Valores!$H$2:$P$154,8,0)</f>
        <v>0</v>
      </c>
      <c r="BY108" s="30" t="n">
        <f aca="false">SUMIF($C$2:$F$2,EOMONTH(BY$2,-1)+1,$C108:$F108)*VLOOKUP(BY$2,Valores!$H$2:$P$154,8,0)</f>
        <v>0</v>
      </c>
      <c r="BZ108" s="30" t="n">
        <f aca="false">SUMIF($C$2:$F$2,EOMONTH(BZ$2,-1)+1,$C108:$F108)*VLOOKUP(BZ$2,Valores!$H$2:$P$154,8,0)</f>
        <v>0</v>
      </c>
      <c r="CA108" s="30" t="n">
        <f aca="false">SUMIF($C$2:$F$2,EOMONTH(CA$2,-1)+1,$C108:$F108)*VLOOKUP(CA$2,Valores!$H$2:$P$154,8,0)</f>
        <v>0</v>
      </c>
      <c r="CB108" s="30" t="n">
        <f aca="false">SUMIF($C$2:$F$2,EOMONTH(CB$2,-1)+1,$C108:$F108)*VLOOKUP(CB$2,Valores!$H$2:$P$154,8,0)</f>
        <v>0</v>
      </c>
      <c r="CC108" s="30" t="n">
        <f aca="false">SUMIF($C$2:$F$2,EOMONTH(CC$2,-1)+1,$C108:$F108)*VLOOKUP(CC$2,Valores!$H$2:$P$154,8,0)</f>
        <v>0</v>
      </c>
      <c r="CD108" s="30" t="n">
        <f aca="false">SUMIF($C$2:$F$2,EOMONTH(CD$2,-1)+1,$C108:$F108)*VLOOKUP(CD$2,Valores!$H$2:$P$154,8,0)</f>
        <v>0</v>
      </c>
      <c r="CE108" s="30" t="n">
        <f aca="false">SUMIF($C$2:$F$2,EOMONTH(CE$2,-1)+1,$C108:$F108)*VLOOKUP(CE$2,Valores!$H$2:$P$154,8,0)</f>
        <v>0</v>
      </c>
      <c r="CF108" s="30" t="n">
        <f aca="false">SUMIF($C$2:$F$2,EOMONTH(CF$2,-1)+1,$C108:$F108)*VLOOKUP(CF$2,Valores!$H$2:$P$154,8,0)</f>
        <v>0</v>
      </c>
      <c r="CG108" s="30" t="n">
        <f aca="false">SUMIF($C$2:$F$2,EOMONTH(CG$2,-1)+1,$C108:$F108)*VLOOKUP(CG$2,Valores!$H$2:$P$154,8,0)</f>
        <v>0</v>
      </c>
      <c r="CH108" s="30" t="n">
        <f aca="false">SUMIF($C$2:$F$2,EOMONTH(CH$2,-1)+1,$C108:$F108)*VLOOKUP(CH$2,Valores!$H$2:$P$154,8,0)</f>
        <v>0</v>
      </c>
      <c r="CI108" s="30" t="n">
        <f aca="false">SUMIF($C$2:$F$2,EOMONTH(CI$2,-1)+1,$C108:$F108)*VLOOKUP(CI$2,Valores!$H$2:$P$154,8,0)</f>
        <v>0</v>
      </c>
      <c r="CJ108" s="30" t="n">
        <f aca="false">SUMIF($C$2:$F$2,EOMONTH(CJ$2,-1)+1,$C108:$F108)*VLOOKUP(CJ$2,Valores!$H$2:$P$154,8,0)</f>
        <v>0</v>
      </c>
      <c r="CK108" s="30" t="n">
        <f aca="false">SUMIF($C$2:$F$2,EOMONTH(CK$2,-1)+1,$C108:$F108)*VLOOKUP(CK$2,Valores!$H$2:$P$154,8,0)</f>
        <v>0</v>
      </c>
      <c r="CL108" s="30" t="n">
        <f aca="false">SUMIF($C$2:$F$2,EOMONTH(CL$2,-1)+1,$C108:$F108)*VLOOKUP(CL$2,Valores!$H$2:$P$154,8,0)</f>
        <v>0</v>
      </c>
      <c r="CM108" s="30" t="n">
        <f aca="false">SUMIF($C$2:$F$2,EOMONTH(CM$2,-1)+1,$C108:$F108)*VLOOKUP(CM$2,Valores!$H$2:$P$154,8,0)</f>
        <v>0</v>
      </c>
      <c r="CN108" s="30" t="n">
        <f aca="false">SUMIF($C$2:$F$2,EOMONTH(CN$2,-1)+1,$C108:$F108)*VLOOKUP(CN$2,Valores!$H$2:$P$154,8,0)</f>
        <v>0</v>
      </c>
      <c r="CO108" s="30" t="n">
        <f aca="false">SUMIF($C$2:$F$2,EOMONTH(CO$2,-1)+1,$C108:$F108)*VLOOKUP(CO$2,Valores!$H$2:$P$154,8,0)</f>
        <v>0</v>
      </c>
      <c r="CP108" s="30" t="n">
        <f aca="false">SUMIF($C$2:$F$2,EOMONTH(CP$2,-1)+1,$C108:$F108)*VLOOKUP(CP$2,Valores!$H$2:$P$154,8,0)</f>
        <v>0</v>
      </c>
      <c r="CQ108" s="30" t="n">
        <f aca="false">SUMIF($C$2:$F$2,EOMONTH(CQ$2,-1)+1,$C108:$F108)*VLOOKUP(CQ$2,Valores!$H$2:$P$154,8,0)</f>
        <v>0</v>
      </c>
      <c r="CR108" s="30" t="n">
        <f aca="false">SUMIF($C$2:$F$2,EOMONTH(CR$2,-1)+1,$C108:$F108)*VLOOKUP(CR$2,Valores!$H$2:$P$154,8,0)</f>
        <v>0</v>
      </c>
      <c r="CS108" s="30" t="n">
        <f aca="false">SUMIF($C$2:$F$2,EOMONTH(CS$2,-1)+1,$C108:$F108)*VLOOKUP(CS$2,Valores!$H$2:$P$154,8,0)</f>
        <v>0</v>
      </c>
      <c r="CT108" s="30" t="e">
        <f aca="false">SUMIF($C$2:$F$2,EOMONTH(CT$2,-1)+1,$C108:$F108)*VLOOKUP(CT$2,Valores!$H$2:$P$154,8,0)</f>
        <v>#VALUE!</v>
      </c>
      <c r="CU108" s="30" t="e">
        <f aca="false">SUMIF($C$2:$F$2,EOMONTH(CU$2,-1)+1,$C108:$F108)*VLOOKUP(CU$2,Valores!$H$2:$P$154,8,0)</f>
        <v>#VALUE!</v>
      </c>
      <c r="CV108" s="30" t="e">
        <f aca="false">SUMIF($C$2:$F$2,EOMONTH(CV$2,-1)+1,$C108:$F108)*VLOOKUP(CV$2,Valores!$H$2:$P$154,8,0)</f>
        <v>#VALUE!</v>
      </c>
      <c r="CW108" s="30" t="e">
        <f aca="false">SUMIF($C$2:$F$2,EOMONTH(CW$2,-1)+1,$C108:$F108)*VLOOKUP(CW$2,Valores!$H$2:$P$154,8,0)</f>
        <v>#VALUE!</v>
      </c>
      <c r="CX108" s="30" t="e">
        <f aca="false">SUMIF($C$2:$F$2,EOMONTH(CX$2,-1)+1,$C108:$F108)*VLOOKUP(CX$2,Valores!$H$2:$P$154,8,0)</f>
        <v>#VALUE!</v>
      </c>
      <c r="CY108" s="30" t="e">
        <f aca="false">SUMIF($C$2:$F$2,EOMONTH(CY$2,-1)+1,$C108:$F108)*VLOOKUP(CY$2,Valores!$H$2:$P$154,8,0)</f>
        <v>#VALUE!</v>
      </c>
      <c r="CZ108" s="30" t="e">
        <f aca="false">SUMIF($C$2:$F$2,EOMONTH(CZ$2,-1)+1,$C108:$F108)*VLOOKUP(CZ$2,Valores!$H$2:$P$154,8,0)</f>
        <v>#VALUE!</v>
      </c>
      <c r="DA108" s="30" t="e">
        <f aca="false">SUMIF($C$2:$F$2,EOMONTH(DA$2,-1)+1,$C108:$F108)*VLOOKUP(DA$2,Valores!$H$2:$P$154,8,0)</f>
        <v>#VALUE!</v>
      </c>
      <c r="DB108" s="30" t="e">
        <f aca="false">SUMIF($C$2:$F$2,EOMONTH(DB$2,-1)+1,$C108:$F108)*VLOOKUP(DB$2,Valores!$H$2:$P$154,8,0)</f>
        <v>#VALUE!</v>
      </c>
      <c r="DC108" s="30" t="e">
        <f aca="false">SUMIF($C$2:$F$2,EOMONTH(DC$2,-1)+1,$C108:$F108)*VLOOKUP(DC$2,Valores!$H$2:$P$154,8,0)</f>
        <v>#VALUE!</v>
      </c>
      <c r="DD108" s="30" t="e">
        <f aca="false">SUMIF($C$2:$F$2,EOMONTH(DD$2,-1)+1,$C108:$F108)*VLOOKUP(DD$2,Valores!$H$2:$P$154,8,0)</f>
        <v>#VALUE!</v>
      </c>
      <c r="DE108" s="30" t="e">
        <f aca="false">SUMIF($C$2:$F$2,EOMONTH(DE$2,-1)+1,$C108:$F108)*VLOOKUP(DE$2,Valores!$H$2:$P$154,8,0)</f>
        <v>#VALUE!</v>
      </c>
      <c r="DF108" s="30" t="e">
        <f aca="false">SUMIF($C$2:$F$2,EOMONTH(DF$2,-1)+1,$C108:$F108)*VLOOKUP(DF$2,Valores!$H$2:$P$154,8,0)</f>
        <v>#VALUE!</v>
      </c>
      <c r="DG108" s="30" t="e">
        <f aca="false">SUMIF($C$2:$F$2,EOMONTH(DG$2,-1)+1,$C108:$F108)*VLOOKUP(DG$2,Valores!$H$2:$P$154,8,0)</f>
        <v>#VALUE!</v>
      </c>
      <c r="DH108" s="30" t="e">
        <f aca="false">SUMIF($C$2:$F$2,EOMONTH(DH$2,-1)+1,$C108:$F108)*VLOOKUP(DH$2,Valores!$H$2:$P$154,8,0)</f>
        <v>#VALUE!</v>
      </c>
      <c r="DI108" s="30" t="e">
        <f aca="false">SUMIF($C$2:$F$2,EOMONTH(DI$2,-1)+1,$C108:$F108)*VLOOKUP(DI$2,Valores!$H$2:$P$154,8,0)</f>
        <v>#VALUE!</v>
      </c>
      <c r="DJ108" s="30" t="e">
        <f aca="false">SUMIF($C$2:$F$2,EOMONTH(DJ$2,-1)+1,$C108:$F108)*VLOOKUP(DJ$2,Valores!$H$2:$P$154,8,0)</f>
        <v>#VALUE!</v>
      </c>
      <c r="DK108" s="30" t="e">
        <f aca="false">SUMIF($C$2:$F$2,EOMONTH(DK$2,-1)+1,$C108:$F108)*VLOOKUP(DK$2,Valores!$H$2:$P$154,8,0)</f>
        <v>#VALUE!</v>
      </c>
      <c r="DL108" s="30" t="e">
        <f aca="false">SUMIF($C$2:$F$2,EOMONTH(DL$2,-1)+1,$C108:$F108)*VLOOKUP(DL$2,Valores!$H$2:$P$154,8,0)</f>
        <v>#VALUE!</v>
      </c>
      <c r="DM108" s="30" t="e">
        <f aca="false">SUMIF($C$2:$F$2,EOMONTH(DM$2,-1)+1,$C108:$F108)*VLOOKUP(DM$2,Valores!$H$2:$P$154,8,0)</f>
        <v>#VALUE!</v>
      </c>
      <c r="DN108" s="30" t="e">
        <f aca="false">SUMIF($C$2:$F$2,EOMONTH(DN$2,-1)+1,$C108:$F108)*VLOOKUP(DN$2,Valores!$H$2:$P$154,8,0)</f>
        <v>#VALUE!</v>
      </c>
      <c r="DO108" s="30" t="e">
        <f aca="false">SUMIF($C$2:$F$2,EOMONTH(DO$2,-1)+1,$C108:$F108)*VLOOKUP(DO$2,Valores!$H$2:$P$154,8,0)</f>
        <v>#VALUE!</v>
      </c>
      <c r="DP108" s="30" t="e">
        <f aca="false">SUMIF($C$2:$F$2,EOMONTH(DP$2,-1)+1,$C108:$F108)*VLOOKUP(DP$2,Valores!$H$2:$P$154,8,0)</f>
        <v>#VALUE!</v>
      </c>
      <c r="DQ108" s="30" t="e">
        <f aca="false">SUMIF($C$2:$F$2,EOMONTH(DQ$2,-1)+1,$C108:$F108)*VLOOKUP(DQ$2,Valores!$H$2:$P$154,8,0)</f>
        <v>#VALUE!</v>
      </c>
      <c r="DR108" s="30" t="e">
        <f aca="false">SUMIF($C$2:$F$2,EOMONTH(DR$2,-1)+1,$C108:$F108)*VLOOKUP(DR$2,Valores!$H$2:$P$154,8,0)</f>
        <v>#VALUE!</v>
      </c>
      <c r="DS108" s="30" t="e">
        <f aca="false">SUMIF($C$2:$F$2,EOMONTH(DS$2,-1)+1,$C108:$F108)*VLOOKUP(DS$2,Valores!$H$2:$P$154,8,0)</f>
        <v>#VALUE!</v>
      </c>
      <c r="DT108" s="30" t="e">
        <f aca="false">SUMIF($C$2:$F$2,EOMONTH(DT$2,-1)+1,$C108:$F108)*VLOOKUP(DT$2,Valores!$H$2:$P$154,8,0)</f>
        <v>#VALUE!</v>
      </c>
      <c r="DU108" s="30" t="e">
        <f aca="false">SUMIF($C$2:$F$2,EOMONTH(DU$2,-1)+1,$C108:$F108)*VLOOKUP(DU$2,Valores!$H$2:$P$154,8,0)</f>
        <v>#VALUE!</v>
      </c>
      <c r="DV108" s="30" t="e">
        <f aca="false">SUMIF($C$2:$F$2,EOMONTH(DV$2,-1)+1,$C108:$F108)*VLOOKUP(DV$2,Valores!$H$2:$P$154,8,0)</f>
        <v>#VALUE!</v>
      </c>
      <c r="DW108" s="30" t="e">
        <f aca="false">SUMIF($C$2:$F$2,EOMONTH(DW$2,-1)+1,$C108:$F108)*VLOOKUP(DW$2,Valores!$H$2:$P$154,8,0)</f>
        <v>#VALUE!</v>
      </c>
      <c r="DX108" s="30" t="e">
        <f aca="false">SUMIF($C$2:$F$2,EOMONTH(DX$2,-1)+1,$C108:$F108)*VLOOKUP(DX$2,Valores!$H$2:$P$154,8,0)</f>
        <v>#VALUE!</v>
      </c>
    </row>
    <row r="109" customFormat="false" ht="13.8" hidden="false" customHeight="false" outlineLevel="0" collapsed="false">
      <c r="A109" s="31"/>
      <c r="B109" s="31"/>
      <c r="C109" s="31"/>
      <c r="D109" s="31"/>
      <c r="E109" s="31"/>
      <c r="F109" s="31"/>
      <c r="G109" s="27" t="n">
        <f aca="false">SUMIF($C$2:$F$2,EOMONTH(G$2,-1)+1,$C109:$F109)*VLOOKUP(G$2,Valores!$H$2:$P$154,8,0)</f>
        <v>0</v>
      </c>
      <c r="H109" s="27" t="n">
        <f aca="false">SUMIF($C$2:$F$2,EOMONTH(H$2,-1)+1,$C109:$F109)*VLOOKUP(H$2,Valores!$H$2:$P$154,8,0)</f>
        <v>0</v>
      </c>
      <c r="I109" s="27" t="n">
        <f aca="false">SUMIF($C$2:$F$2,EOMONTH(I$2,-1)+1,$C109:$F109)*VLOOKUP(I$2,Valores!$H$2:$P$154,8,0)</f>
        <v>0</v>
      </c>
      <c r="J109" s="27" t="n">
        <f aca="false">SUMIF($C$2:$F$2,EOMONTH(J$2,-1)+1,$C109:$F109)*VLOOKUP(J$2,Valores!$H$2:$P$154,8,0)</f>
        <v>0</v>
      </c>
      <c r="K109" s="27" t="n">
        <f aca="false">SUMIF($C$2:$F$2,EOMONTH(K$2,-1)+1,$C109:$F109)*VLOOKUP(K$2,Valores!$H$2:$P$154,8,0)</f>
        <v>0</v>
      </c>
      <c r="L109" s="27" t="n">
        <f aca="false">SUMIF($C$2:$F$2,EOMONTH(L$2,-1)+1,$C109:$F109)*VLOOKUP(L$2,Valores!$H$2:$P$154,8,0)</f>
        <v>0</v>
      </c>
      <c r="M109" s="27" t="n">
        <f aca="false">SUMIF($C$2:$F$2,EOMONTH(M$2,-1)+1,$C109:$F109)*VLOOKUP(M$2,Valores!$H$2:$P$154,8,0)</f>
        <v>0</v>
      </c>
      <c r="N109" s="27" t="n">
        <f aca="false">SUMIF($C$2:$F$2,EOMONTH(N$2,-1)+1,$C109:$F109)*VLOOKUP(N$2,Valores!$H$2:$P$154,8,0)</f>
        <v>0</v>
      </c>
      <c r="O109" s="27" t="n">
        <f aca="false">SUMIF($C$2:$F$2,EOMONTH(O$2,-1)+1,$C109:$F109)*VLOOKUP(O$2,Valores!$H$2:$P$154,8,0)</f>
        <v>0</v>
      </c>
      <c r="P109" s="27" t="n">
        <f aca="false">SUMIF($C$2:$F$2,EOMONTH(P$2,-1)+1,$C109:$F109)*VLOOKUP(P$2,Valores!$H$2:$P$154,8,0)</f>
        <v>0</v>
      </c>
      <c r="Q109" s="27" t="n">
        <f aca="false">SUMIF($C$2:$F$2,EOMONTH(Q$2,-1)+1,$C109:$F109)*VLOOKUP(Q$2,Valores!$H$2:$P$154,8,0)</f>
        <v>0</v>
      </c>
      <c r="R109" s="27" t="n">
        <f aca="false">SUMIF($C$2:$F$2,EOMONTH(R$2,-1)+1,$C109:$F109)*VLOOKUP(R$2,Valores!$H$2:$P$154,8,0)</f>
        <v>0</v>
      </c>
      <c r="S109" s="27" t="n">
        <f aca="false">SUMIF($C$2:$F$2,EOMONTH(S$2,-1)+1,$C109:$F109)*VLOOKUP(S$2,Valores!$H$2:$P$154,8,0)</f>
        <v>0</v>
      </c>
      <c r="T109" s="27" t="n">
        <f aca="false">SUMIF($C$2:$F$2,EOMONTH(T$2,-1)+1,$C109:$F109)*VLOOKUP(T$2,Valores!$H$2:$P$154,8,0)</f>
        <v>0</v>
      </c>
      <c r="U109" s="27" t="n">
        <f aca="false">SUMIF($C$2:$F$2,EOMONTH(U$2,-1)+1,$C109:$F109)*VLOOKUP(U$2,Valores!$H$2:$P$154,8,0)</f>
        <v>0</v>
      </c>
      <c r="V109" s="27" t="n">
        <f aca="false">SUMIF($C$2:$F$2,EOMONTH(V$2,-1)+1,$C109:$F109)*VLOOKUP(V$2,Valores!$H$2:$P$154,8,0)</f>
        <v>0</v>
      </c>
      <c r="W109" s="27" t="n">
        <f aca="false">SUMIF($C$2:$F$2,EOMONTH(W$2,-1)+1,$C109:$F109)*VLOOKUP(W$2,Valores!$H$2:$P$154,8,0)</f>
        <v>0</v>
      </c>
      <c r="X109" s="27" t="n">
        <f aca="false">SUMIF($C$2:$F$2,EOMONTH(X$2,-1)+1,$C109:$F109)*VLOOKUP(X$2,Valores!$H$2:$P$154,8,0)</f>
        <v>0</v>
      </c>
      <c r="Y109" s="27" t="n">
        <f aca="false">SUMIF($C$2:$F$2,EOMONTH(Y$2,-1)+1,$C109:$F109)*VLOOKUP(Y$2,Valores!$H$2:$P$154,8,0)</f>
        <v>0</v>
      </c>
      <c r="Z109" s="27" t="n">
        <f aca="false">SUMIF($C$2:$F$2,EOMONTH(Z$2,-1)+1,$C109:$F109)*VLOOKUP(Z$2,Valores!$H$2:$P$154,8,0)</f>
        <v>0</v>
      </c>
      <c r="AA109" s="27" t="n">
        <f aca="false">SUMIF($C$2:$F$2,EOMONTH(AA$2,-1)+1,$C109:$F109)*VLOOKUP(AA$2,Valores!$H$2:$P$154,8,0)</f>
        <v>0</v>
      </c>
      <c r="AB109" s="27" t="n">
        <f aca="false">SUMIF($C$2:$F$2,EOMONTH(AB$2,-1)+1,$C109:$F109)*VLOOKUP(AB$2,Valores!$H$2:$P$154,8,0)</f>
        <v>0</v>
      </c>
      <c r="AC109" s="27" t="n">
        <f aca="false">SUMIF($C$2:$F$2,EOMONTH(AC$2,-1)+1,$C109:$F109)*VLOOKUP(AC$2,Valores!$H$2:$P$154,8,0)</f>
        <v>0</v>
      </c>
      <c r="AD109" s="27" t="n">
        <f aca="false">SUMIF($C$2:$F$2,EOMONTH(AD$2,-1)+1,$C109:$F109)*VLOOKUP(AD$2,Valores!$H$2:$P$154,8,0)</f>
        <v>0</v>
      </c>
      <c r="AE109" s="27" t="n">
        <f aca="false">SUMIF($C$2:$F$2,EOMONTH(AE$2,-1)+1,$C109:$F109)*VLOOKUP(AE$2,Valores!$H$2:$P$154,8,0)</f>
        <v>0</v>
      </c>
      <c r="AF109" s="27" t="n">
        <f aca="false">SUMIF($C$2:$F$2,EOMONTH(AF$2,-1)+1,$C109:$F109)*VLOOKUP(AF$2,Valores!$H$2:$P$154,8,0)</f>
        <v>0</v>
      </c>
      <c r="AG109" s="27" t="n">
        <f aca="false">SUMIF($C$2:$F$2,EOMONTH(AG$2,-1)+1,$C109:$F109)*VLOOKUP(AG$2,Valores!$H$2:$P$154,8,0)</f>
        <v>0</v>
      </c>
      <c r="AH109" s="27" t="n">
        <f aca="false">SUMIF($C$2:$F$2,EOMONTH(AH$2,-1)+1,$C109:$F109)*VLOOKUP(AH$2,Valores!$H$2:$P$154,8,0)</f>
        <v>0</v>
      </c>
      <c r="AI109" s="27" t="n">
        <f aca="false">SUMIF($C$2:$F$2,EOMONTH(AI$2,-1)+1,$C109:$F109)*VLOOKUP(AI$2,Valores!$H$2:$P$154,8,0)</f>
        <v>0</v>
      </c>
      <c r="AJ109" s="27" t="n">
        <f aca="false">SUMIF($C$2:$F$2,EOMONTH(AJ$2,-1)+1,$C109:$F109)*VLOOKUP(AJ$2,Valores!$H$2:$P$154,8,0)</f>
        <v>0</v>
      </c>
      <c r="AK109" s="27" t="n">
        <f aca="false">SUMIF($C$2:$F$2,EOMONTH(AK$2,-1)+1,$C109:$F109)*VLOOKUP(AK$2,Valores!$H$2:$P$154,8,0)</f>
        <v>0</v>
      </c>
      <c r="AL109" s="27" t="n">
        <f aca="false">SUMIF($C$2:$F$2,EOMONTH(AL$2,-1)+1,$C109:$F109)*VLOOKUP(AL$2,Valores!$H$2:$P$154,8,0)</f>
        <v>0</v>
      </c>
      <c r="AM109" s="27" t="n">
        <f aca="false">SUMIF($C$2:$F$2,EOMONTH(AM$2,-1)+1,$C109:$F109)*VLOOKUP(AM$2,Valores!$H$2:$P$154,8,0)</f>
        <v>0</v>
      </c>
      <c r="AN109" s="27" t="n">
        <f aca="false">SUMIF($C$2:$F$2,EOMONTH(AN$2,-1)+1,$C109:$F109)*VLOOKUP(AN$2,Valores!$H$2:$P$154,8,0)</f>
        <v>0</v>
      </c>
      <c r="AO109" s="27" t="n">
        <f aca="false">SUMIF($C$2:$F$2,EOMONTH(AO$2,-1)+1,$C109:$F109)*VLOOKUP(AO$2,Valores!$H$2:$P$154,8,0)</f>
        <v>0</v>
      </c>
      <c r="AP109" s="27" t="n">
        <f aca="false">SUMIF($C$2:$F$2,EOMONTH(AP$2,-1)+1,$C109:$F109)*VLOOKUP(AP$2,Valores!$H$2:$P$154,8,0)</f>
        <v>0</v>
      </c>
      <c r="AQ109" s="27" t="n">
        <f aca="false">SUMIF($C$2:$F$2,EOMONTH(AQ$2,-1)+1,$C109:$F109)*VLOOKUP(AQ$2,Valores!$H$2:$P$154,8,0)</f>
        <v>0</v>
      </c>
      <c r="AR109" s="27" t="n">
        <f aca="false">SUMIF($C$2:$F$2,EOMONTH(AR$2,-1)+1,$C109:$F109)*VLOOKUP(AR$2,Valores!$H$2:$P$154,8,0)</f>
        <v>0</v>
      </c>
      <c r="AS109" s="27" t="n">
        <f aca="false">SUMIF($C$2:$F$2,EOMONTH(AS$2,-1)+1,$C109:$F109)*VLOOKUP(AS$2,Valores!$H$2:$P$154,8,0)</f>
        <v>0</v>
      </c>
      <c r="AT109" s="27" t="n">
        <f aca="false">SUMIF($C$2:$F$2,EOMONTH(AT$2,-1)+1,$C109:$F109)*VLOOKUP(AT$2,Valores!$H$2:$P$154,8,0)</f>
        <v>0</v>
      </c>
      <c r="AU109" s="27" t="n">
        <f aca="false">SUMIF($C$2:$F$2,EOMONTH(AU$2,-1)+1,$C109:$F109)*VLOOKUP(AU$2,Valores!$H$2:$P$154,8,0)</f>
        <v>0</v>
      </c>
      <c r="AV109" s="27" t="n">
        <f aca="false">SUMIF($C$2:$F$2,EOMONTH(AV$2,-1)+1,$C109:$F109)*VLOOKUP(AV$2,Valores!$H$2:$P$154,8,0)</f>
        <v>0</v>
      </c>
      <c r="AW109" s="27" t="n">
        <f aca="false">SUMIF($C$2:$F$2,EOMONTH(AW$2,-1)+1,$C109:$F109)*VLOOKUP(AW$2,Valores!$H$2:$P$154,8,0)</f>
        <v>0</v>
      </c>
      <c r="AX109" s="27" t="n">
        <f aca="false">SUMIF($C$2:$F$2,EOMONTH(AX$2,-1)+1,$C109:$F109)*VLOOKUP(AX$2,Valores!$H$2:$P$154,8,0)</f>
        <v>0</v>
      </c>
      <c r="AY109" s="27" t="n">
        <f aca="false">SUMIF($C$2:$F$2,EOMONTH(AY$2,-1)+1,$C109:$F109)*VLOOKUP(AY$2,Valores!$H$2:$P$154,8,0)</f>
        <v>0</v>
      </c>
      <c r="AZ109" s="27" t="n">
        <f aca="false">SUMIF($C$2:$F$2,EOMONTH(AZ$2,-1)+1,$C109:$F109)*VLOOKUP(AZ$2,Valores!$H$2:$P$154,8,0)</f>
        <v>0</v>
      </c>
      <c r="BA109" s="27" t="n">
        <f aca="false">SUMIF($C$2:$F$2,EOMONTH(BA$2,-1)+1,$C109:$F109)*VLOOKUP(BA$2,Valores!$H$2:$P$154,8,0)</f>
        <v>0</v>
      </c>
      <c r="BB109" s="27" t="n">
        <f aca="false">SUMIF($C$2:$F$2,EOMONTH(BB$2,-1)+1,$C109:$F109)*VLOOKUP(BB$2,Valores!$H$2:$P$154,8,0)</f>
        <v>0</v>
      </c>
      <c r="BC109" s="27" t="n">
        <f aca="false">SUMIF($C$2:$F$2,EOMONTH(BC$2,-1)+1,$C109:$F109)*VLOOKUP(BC$2,Valores!$H$2:$P$154,8,0)</f>
        <v>0</v>
      </c>
      <c r="BD109" s="27" t="n">
        <f aca="false">SUMIF($C$2:$F$2,EOMONTH(BD$2,-1)+1,$C109:$F109)*VLOOKUP(BD$2,Valores!$H$2:$P$154,8,0)</f>
        <v>0</v>
      </c>
      <c r="BE109" s="27" t="n">
        <f aca="false">SUMIF($C$2:$F$2,EOMONTH(BE$2,-1)+1,$C109:$F109)*VLOOKUP(BE$2,Valores!$H$2:$P$154,8,0)</f>
        <v>0</v>
      </c>
      <c r="BF109" s="27" t="n">
        <f aca="false">SUMIF($C$2:$F$2,EOMONTH(BF$2,-1)+1,$C109:$F109)*VLOOKUP(BF$2,Valores!$H$2:$P$154,8,0)</f>
        <v>0</v>
      </c>
      <c r="BG109" s="27" t="n">
        <f aca="false">SUMIF($C$2:$F$2,EOMONTH(BG$2,-1)+1,$C109:$F109)*VLOOKUP(BG$2,Valores!$H$2:$P$154,8,0)</f>
        <v>0</v>
      </c>
      <c r="BH109" s="27" t="n">
        <f aca="false">SUMIF($C$2:$F$2,EOMONTH(BH$2,-1)+1,$C109:$F109)*VLOOKUP(BH$2,Valores!$H$2:$P$154,8,0)</f>
        <v>0</v>
      </c>
      <c r="BI109" s="27" t="n">
        <f aca="false">SUMIF($C$2:$F$2,EOMONTH(BI$2,-1)+1,$C109:$F109)*VLOOKUP(BI$2,Valores!$H$2:$P$154,8,0)</f>
        <v>0</v>
      </c>
      <c r="BJ109" s="27" t="n">
        <f aca="false">SUMIF($C$2:$F$2,EOMONTH(BJ$2,-1)+1,$C109:$F109)*VLOOKUP(BJ$2,Valores!$H$2:$P$154,8,0)</f>
        <v>0</v>
      </c>
      <c r="BK109" s="27" t="n">
        <f aca="false">SUMIF($C$2:$F$2,EOMONTH(BK$2,-1)+1,$C109:$F109)*VLOOKUP(BK$2,Valores!$H$2:$P$154,8,0)</f>
        <v>0</v>
      </c>
      <c r="BL109" s="27" t="n">
        <f aca="false">SUMIF($C$2:$F$2,EOMONTH(BL$2,-1)+1,$C109:$F109)*VLOOKUP(BL$2,Valores!$H$2:$P$154,8,0)</f>
        <v>0</v>
      </c>
      <c r="BM109" s="27" t="n">
        <f aca="false">SUMIF($C$2:$F$2,EOMONTH(BM$2,-1)+1,$C109:$F109)*VLOOKUP(BM$2,Valores!$H$2:$P$154,8,0)</f>
        <v>0</v>
      </c>
      <c r="BN109" s="27" t="n">
        <f aca="false">SUMIF($C$2:$F$2,EOMONTH(BN$2,-1)+1,$C109:$F109)*VLOOKUP(BN$2,Valores!$H$2:$P$154,8,0)</f>
        <v>0</v>
      </c>
      <c r="BO109" s="27" t="n">
        <f aca="false">SUMIF($C$2:$F$2,EOMONTH(BO$2,-1)+1,$C109:$F109)*VLOOKUP(BO$2,Valores!$H$2:$P$154,8,0)</f>
        <v>0</v>
      </c>
      <c r="BP109" s="27" t="n">
        <f aca="false">SUMIF($C$2:$F$2,EOMONTH(BP$2,-1)+1,$C109:$F109)*VLOOKUP(BP$2,Valores!$H$2:$P$154,8,0)</f>
        <v>0</v>
      </c>
      <c r="BQ109" s="27" t="n">
        <f aca="false">SUMIF($C$2:$F$2,EOMONTH(BQ$2,-1)+1,$C109:$F109)*VLOOKUP(BQ$2,Valores!$H$2:$P$154,8,0)</f>
        <v>0</v>
      </c>
      <c r="BR109" s="27" t="n">
        <f aca="false">SUMIF($C$2:$F$2,EOMONTH(BR$2,-1)+1,$C109:$F109)*VLOOKUP(BR$2,Valores!$H$2:$P$154,8,0)</f>
        <v>0</v>
      </c>
      <c r="BS109" s="27" t="n">
        <f aca="false">SUMIF($C$2:$F$2,EOMONTH(BS$2,-1)+1,$C109:$F109)*VLOOKUP(BS$2,Valores!$H$2:$P$154,8,0)</f>
        <v>0</v>
      </c>
      <c r="BT109" s="27" t="n">
        <f aca="false">SUMIF($C$2:$F$2,EOMONTH(BT$2,-1)+1,$C109:$F109)*VLOOKUP(BT$2,Valores!$H$2:$P$154,8,0)</f>
        <v>0</v>
      </c>
      <c r="BU109" s="27" t="n">
        <f aca="false">SUMIF($C$2:$F$2,EOMONTH(BU$2,-1)+1,$C109:$F109)*VLOOKUP(BU$2,Valores!$H$2:$P$154,8,0)</f>
        <v>0</v>
      </c>
      <c r="BV109" s="27" t="n">
        <f aca="false">SUMIF($C$2:$F$2,EOMONTH(BV$2,-1)+1,$C109:$F109)*VLOOKUP(BV$2,Valores!$H$2:$P$154,8,0)</f>
        <v>0</v>
      </c>
      <c r="BW109" s="27" t="n">
        <f aca="false">SUMIF($C$2:$F$2,EOMONTH(BW$2,-1)+1,$C109:$F109)*VLOOKUP(BW$2,Valores!$H$2:$P$154,8,0)</f>
        <v>0</v>
      </c>
      <c r="BX109" s="27" t="n">
        <f aca="false">SUMIF($C$2:$F$2,EOMONTH(BX$2,-1)+1,$C109:$F109)*VLOOKUP(BX$2,Valores!$H$2:$P$154,8,0)</f>
        <v>0</v>
      </c>
      <c r="BY109" s="27" t="n">
        <f aca="false">SUMIF($C$2:$F$2,EOMONTH(BY$2,-1)+1,$C109:$F109)*VLOOKUP(BY$2,Valores!$H$2:$P$154,8,0)</f>
        <v>0</v>
      </c>
      <c r="BZ109" s="27" t="n">
        <f aca="false">SUMIF($C$2:$F$2,EOMONTH(BZ$2,-1)+1,$C109:$F109)*VLOOKUP(BZ$2,Valores!$H$2:$P$154,8,0)</f>
        <v>0</v>
      </c>
      <c r="CA109" s="27" t="n">
        <f aca="false">SUMIF($C$2:$F$2,EOMONTH(CA$2,-1)+1,$C109:$F109)*VLOOKUP(CA$2,Valores!$H$2:$P$154,8,0)</f>
        <v>0</v>
      </c>
      <c r="CB109" s="27" t="n">
        <f aca="false">SUMIF($C$2:$F$2,EOMONTH(CB$2,-1)+1,$C109:$F109)*VLOOKUP(CB$2,Valores!$H$2:$P$154,8,0)</f>
        <v>0</v>
      </c>
      <c r="CC109" s="27" t="n">
        <f aca="false">SUMIF($C$2:$F$2,EOMONTH(CC$2,-1)+1,$C109:$F109)*VLOOKUP(CC$2,Valores!$H$2:$P$154,8,0)</f>
        <v>0</v>
      </c>
      <c r="CD109" s="27" t="n">
        <f aca="false">SUMIF($C$2:$F$2,EOMONTH(CD$2,-1)+1,$C109:$F109)*VLOOKUP(CD$2,Valores!$H$2:$P$154,8,0)</f>
        <v>0</v>
      </c>
      <c r="CE109" s="27" t="n">
        <f aca="false">SUMIF($C$2:$F$2,EOMONTH(CE$2,-1)+1,$C109:$F109)*VLOOKUP(CE$2,Valores!$H$2:$P$154,8,0)</f>
        <v>0</v>
      </c>
      <c r="CF109" s="27" t="n">
        <f aca="false">SUMIF($C$2:$F$2,EOMONTH(CF$2,-1)+1,$C109:$F109)*VLOOKUP(CF$2,Valores!$H$2:$P$154,8,0)</f>
        <v>0</v>
      </c>
      <c r="CG109" s="27" t="n">
        <f aca="false">SUMIF($C$2:$F$2,EOMONTH(CG$2,-1)+1,$C109:$F109)*VLOOKUP(CG$2,Valores!$H$2:$P$154,8,0)</f>
        <v>0</v>
      </c>
      <c r="CH109" s="27" t="n">
        <f aca="false">SUMIF($C$2:$F$2,EOMONTH(CH$2,-1)+1,$C109:$F109)*VLOOKUP(CH$2,Valores!$H$2:$P$154,8,0)</f>
        <v>0</v>
      </c>
      <c r="CI109" s="27" t="n">
        <f aca="false">SUMIF($C$2:$F$2,EOMONTH(CI$2,-1)+1,$C109:$F109)*VLOOKUP(CI$2,Valores!$H$2:$P$154,8,0)</f>
        <v>0</v>
      </c>
      <c r="CJ109" s="27" t="n">
        <f aca="false">SUMIF($C$2:$F$2,EOMONTH(CJ$2,-1)+1,$C109:$F109)*VLOOKUP(CJ$2,Valores!$H$2:$P$154,8,0)</f>
        <v>0</v>
      </c>
      <c r="CK109" s="27" t="n">
        <f aca="false">SUMIF($C$2:$F$2,EOMONTH(CK$2,-1)+1,$C109:$F109)*VLOOKUP(CK$2,Valores!$H$2:$P$154,8,0)</f>
        <v>0</v>
      </c>
      <c r="CL109" s="27" t="n">
        <f aca="false">SUMIF($C$2:$F$2,EOMONTH(CL$2,-1)+1,$C109:$F109)*VLOOKUP(CL$2,Valores!$H$2:$P$154,8,0)</f>
        <v>0</v>
      </c>
      <c r="CM109" s="27" t="n">
        <f aca="false">SUMIF($C$2:$F$2,EOMONTH(CM$2,-1)+1,$C109:$F109)*VLOOKUP(CM$2,Valores!$H$2:$P$154,8,0)</f>
        <v>0</v>
      </c>
      <c r="CN109" s="27" t="n">
        <f aca="false">SUMIF($C$2:$F$2,EOMONTH(CN$2,-1)+1,$C109:$F109)*VLOOKUP(CN$2,Valores!$H$2:$P$154,8,0)</f>
        <v>0</v>
      </c>
      <c r="CO109" s="27" t="n">
        <f aca="false">SUMIF($C$2:$F$2,EOMONTH(CO$2,-1)+1,$C109:$F109)*VLOOKUP(CO$2,Valores!$H$2:$P$154,8,0)</f>
        <v>0</v>
      </c>
      <c r="CP109" s="27" t="n">
        <f aca="false">SUMIF($C$2:$F$2,EOMONTH(CP$2,-1)+1,$C109:$F109)*VLOOKUP(CP$2,Valores!$H$2:$P$154,8,0)</f>
        <v>0</v>
      </c>
      <c r="CQ109" s="27" t="n">
        <f aca="false">SUMIF($C$2:$F$2,EOMONTH(CQ$2,-1)+1,$C109:$F109)*VLOOKUP(CQ$2,Valores!$H$2:$P$154,8,0)</f>
        <v>0</v>
      </c>
      <c r="CR109" s="27" t="n">
        <f aca="false">SUMIF($C$2:$F$2,EOMONTH(CR$2,-1)+1,$C109:$F109)*VLOOKUP(CR$2,Valores!$H$2:$P$154,8,0)</f>
        <v>0</v>
      </c>
      <c r="CS109" s="27" t="n">
        <f aca="false">SUMIF($C$2:$F$2,EOMONTH(CS$2,-1)+1,$C109:$F109)*VLOOKUP(CS$2,Valores!$H$2:$P$154,8,0)</f>
        <v>0</v>
      </c>
      <c r="CT109" s="27" t="e">
        <f aca="false">SUMIF($C$2:$F$2,EOMONTH(CT$2,-1)+1,$C109:$F109)*VLOOKUP(CT$2,Valores!$H$2:$P$154,8,0)</f>
        <v>#VALUE!</v>
      </c>
      <c r="CU109" s="27" t="e">
        <f aca="false">SUMIF($C$2:$F$2,EOMONTH(CU$2,-1)+1,$C109:$F109)*VLOOKUP(CU$2,Valores!$H$2:$P$154,8,0)</f>
        <v>#VALUE!</v>
      </c>
      <c r="CV109" s="27" t="e">
        <f aca="false">SUMIF($C$2:$F$2,EOMONTH(CV$2,-1)+1,$C109:$F109)*VLOOKUP(CV$2,Valores!$H$2:$P$154,8,0)</f>
        <v>#VALUE!</v>
      </c>
      <c r="CW109" s="27" t="e">
        <f aca="false">SUMIF($C$2:$F$2,EOMONTH(CW$2,-1)+1,$C109:$F109)*VLOOKUP(CW$2,Valores!$H$2:$P$154,8,0)</f>
        <v>#VALUE!</v>
      </c>
      <c r="CX109" s="27" t="e">
        <f aca="false">SUMIF($C$2:$F$2,EOMONTH(CX$2,-1)+1,$C109:$F109)*VLOOKUP(CX$2,Valores!$H$2:$P$154,8,0)</f>
        <v>#VALUE!</v>
      </c>
      <c r="CY109" s="27" t="e">
        <f aca="false">SUMIF($C$2:$F$2,EOMONTH(CY$2,-1)+1,$C109:$F109)*VLOOKUP(CY$2,Valores!$H$2:$P$154,8,0)</f>
        <v>#VALUE!</v>
      </c>
      <c r="CZ109" s="27" t="e">
        <f aca="false">SUMIF($C$2:$F$2,EOMONTH(CZ$2,-1)+1,$C109:$F109)*VLOOKUP(CZ$2,Valores!$H$2:$P$154,8,0)</f>
        <v>#VALUE!</v>
      </c>
      <c r="DA109" s="27" t="e">
        <f aca="false">SUMIF($C$2:$F$2,EOMONTH(DA$2,-1)+1,$C109:$F109)*VLOOKUP(DA$2,Valores!$H$2:$P$154,8,0)</f>
        <v>#VALUE!</v>
      </c>
      <c r="DB109" s="27" t="e">
        <f aca="false">SUMIF($C$2:$F$2,EOMONTH(DB$2,-1)+1,$C109:$F109)*VLOOKUP(DB$2,Valores!$H$2:$P$154,8,0)</f>
        <v>#VALUE!</v>
      </c>
      <c r="DC109" s="27" t="e">
        <f aca="false">SUMIF($C$2:$F$2,EOMONTH(DC$2,-1)+1,$C109:$F109)*VLOOKUP(DC$2,Valores!$H$2:$P$154,8,0)</f>
        <v>#VALUE!</v>
      </c>
      <c r="DD109" s="27" t="e">
        <f aca="false">SUMIF($C$2:$F$2,EOMONTH(DD$2,-1)+1,$C109:$F109)*VLOOKUP(DD$2,Valores!$H$2:$P$154,8,0)</f>
        <v>#VALUE!</v>
      </c>
      <c r="DE109" s="27" t="e">
        <f aca="false">SUMIF($C$2:$F$2,EOMONTH(DE$2,-1)+1,$C109:$F109)*VLOOKUP(DE$2,Valores!$H$2:$P$154,8,0)</f>
        <v>#VALUE!</v>
      </c>
      <c r="DF109" s="27" t="e">
        <f aca="false">SUMIF($C$2:$F$2,EOMONTH(DF$2,-1)+1,$C109:$F109)*VLOOKUP(DF$2,Valores!$H$2:$P$154,8,0)</f>
        <v>#VALUE!</v>
      </c>
      <c r="DG109" s="27" t="e">
        <f aca="false">SUMIF($C$2:$F$2,EOMONTH(DG$2,-1)+1,$C109:$F109)*VLOOKUP(DG$2,Valores!$H$2:$P$154,8,0)</f>
        <v>#VALUE!</v>
      </c>
      <c r="DH109" s="27" t="e">
        <f aca="false">SUMIF($C$2:$F$2,EOMONTH(DH$2,-1)+1,$C109:$F109)*VLOOKUP(DH$2,Valores!$H$2:$P$154,8,0)</f>
        <v>#VALUE!</v>
      </c>
      <c r="DI109" s="27" t="e">
        <f aca="false">SUMIF($C$2:$F$2,EOMONTH(DI$2,-1)+1,$C109:$F109)*VLOOKUP(DI$2,Valores!$H$2:$P$154,8,0)</f>
        <v>#VALUE!</v>
      </c>
      <c r="DJ109" s="27" t="e">
        <f aca="false">SUMIF($C$2:$F$2,EOMONTH(DJ$2,-1)+1,$C109:$F109)*VLOOKUP(DJ$2,Valores!$H$2:$P$154,8,0)</f>
        <v>#VALUE!</v>
      </c>
      <c r="DK109" s="27" t="e">
        <f aca="false">SUMIF($C$2:$F$2,EOMONTH(DK$2,-1)+1,$C109:$F109)*VLOOKUP(DK$2,Valores!$H$2:$P$154,8,0)</f>
        <v>#VALUE!</v>
      </c>
      <c r="DL109" s="27" t="e">
        <f aca="false">SUMIF($C$2:$F$2,EOMONTH(DL$2,-1)+1,$C109:$F109)*VLOOKUP(DL$2,Valores!$H$2:$P$154,8,0)</f>
        <v>#VALUE!</v>
      </c>
      <c r="DM109" s="27" t="e">
        <f aca="false">SUMIF($C$2:$F$2,EOMONTH(DM$2,-1)+1,$C109:$F109)*VLOOKUP(DM$2,Valores!$H$2:$P$154,8,0)</f>
        <v>#VALUE!</v>
      </c>
      <c r="DN109" s="27" t="e">
        <f aca="false">SUMIF($C$2:$F$2,EOMONTH(DN$2,-1)+1,$C109:$F109)*VLOOKUP(DN$2,Valores!$H$2:$P$154,8,0)</f>
        <v>#VALUE!</v>
      </c>
      <c r="DO109" s="27" t="e">
        <f aca="false">SUMIF($C$2:$F$2,EOMONTH(DO$2,-1)+1,$C109:$F109)*VLOOKUP(DO$2,Valores!$H$2:$P$154,8,0)</f>
        <v>#VALUE!</v>
      </c>
      <c r="DP109" s="27" t="e">
        <f aca="false">SUMIF($C$2:$F$2,EOMONTH(DP$2,-1)+1,$C109:$F109)*VLOOKUP(DP$2,Valores!$H$2:$P$154,8,0)</f>
        <v>#VALUE!</v>
      </c>
      <c r="DQ109" s="27" t="e">
        <f aca="false">SUMIF($C$2:$F$2,EOMONTH(DQ$2,-1)+1,$C109:$F109)*VLOOKUP(DQ$2,Valores!$H$2:$P$154,8,0)</f>
        <v>#VALUE!</v>
      </c>
      <c r="DR109" s="27" t="e">
        <f aca="false">SUMIF($C$2:$F$2,EOMONTH(DR$2,-1)+1,$C109:$F109)*VLOOKUP(DR$2,Valores!$H$2:$P$154,8,0)</f>
        <v>#VALUE!</v>
      </c>
      <c r="DS109" s="27" t="e">
        <f aca="false">SUMIF($C$2:$F$2,EOMONTH(DS$2,-1)+1,$C109:$F109)*VLOOKUP(DS$2,Valores!$H$2:$P$154,8,0)</f>
        <v>#VALUE!</v>
      </c>
      <c r="DT109" s="27" t="e">
        <f aca="false">SUMIF($C$2:$F$2,EOMONTH(DT$2,-1)+1,$C109:$F109)*VLOOKUP(DT$2,Valores!$H$2:$P$154,8,0)</f>
        <v>#VALUE!</v>
      </c>
      <c r="DU109" s="27" t="e">
        <f aca="false">SUMIF($C$2:$F$2,EOMONTH(DU$2,-1)+1,$C109:$F109)*VLOOKUP(DU$2,Valores!$H$2:$P$154,8,0)</f>
        <v>#VALUE!</v>
      </c>
      <c r="DV109" s="27" t="e">
        <f aca="false">SUMIF($C$2:$F$2,EOMONTH(DV$2,-1)+1,$C109:$F109)*VLOOKUP(DV$2,Valores!$H$2:$P$154,8,0)</f>
        <v>#VALUE!</v>
      </c>
      <c r="DW109" s="27" t="e">
        <f aca="false">SUMIF($C$2:$F$2,EOMONTH(DW$2,-1)+1,$C109:$F109)*VLOOKUP(DW$2,Valores!$H$2:$P$154,8,0)</f>
        <v>#VALUE!</v>
      </c>
      <c r="DX109" s="27" t="e">
        <f aca="false">SUMIF($C$2:$F$2,EOMONTH(DX$2,-1)+1,$C109:$F109)*VLOOKUP(DX$2,Valores!$H$2:$P$154,8,0)</f>
        <v>#VALUE!</v>
      </c>
    </row>
    <row r="110" customFormat="false" ht="13.8" hidden="false" customHeight="false" outlineLevel="0" collapsed="false">
      <c r="A110" s="29"/>
      <c r="B110" s="29"/>
      <c r="C110" s="29"/>
      <c r="D110" s="29"/>
      <c r="E110" s="29"/>
      <c r="F110" s="29"/>
      <c r="G110" s="30" t="n">
        <f aca="false">SUMIF($C$2:$F$2,EOMONTH(G$2,-1)+1,$C110:$F110)*VLOOKUP(G$2,Valores!$H$2:$P$154,8,0)</f>
        <v>0</v>
      </c>
      <c r="H110" s="30" t="n">
        <f aca="false">SUMIF($C$2:$F$2,EOMONTH(H$2,-1)+1,$C110:$F110)*VLOOKUP(H$2,Valores!$H$2:$P$154,8,0)</f>
        <v>0</v>
      </c>
      <c r="I110" s="30" t="n">
        <f aca="false">SUMIF($C$2:$F$2,EOMONTH(I$2,-1)+1,$C110:$F110)*VLOOKUP(I$2,Valores!$H$2:$P$154,8,0)</f>
        <v>0</v>
      </c>
      <c r="J110" s="30" t="n">
        <f aca="false">SUMIF($C$2:$F$2,EOMONTH(J$2,-1)+1,$C110:$F110)*VLOOKUP(J$2,Valores!$H$2:$P$154,8,0)</f>
        <v>0</v>
      </c>
      <c r="K110" s="30" t="n">
        <f aca="false">SUMIF($C$2:$F$2,EOMONTH(K$2,-1)+1,$C110:$F110)*VLOOKUP(K$2,Valores!$H$2:$P$154,8,0)</f>
        <v>0</v>
      </c>
      <c r="L110" s="30" t="n">
        <f aca="false">SUMIF($C$2:$F$2,EOMONTH(L$2,-1)+1,$C110:$F110)*VLOOKUP(L$2,Valores!$H$2:$P$154,8,0)</f>
        <v>0</v>
      </c>
      <c r="M110" s="30" t="n">
        <f aca="false">SUMIF($C$2:$F$2,EOMONTH(M$2,-1)+1,$C110:$F110)*VLOOKUP(M$2,Valores!$H$2:$P$154,8,0)</f>
        <v>0</v>
      </c>
      <c r="N110" s="30" t="n">
        <f aca="false">SUMIF($C$2:$F$2,EOMONTH(N$2,-1)+1,$C110:$F110)*VLOOKUP(N$2,Valores!$H$2:$P$154,8,0)</f>
        <v>0</v>
      </c>
      <c r="O110" s="30" t="n">
        <f aca="false">SUMIF($C$2:$F$2,EOMONTH(O$2,-1)+1,$C110:$F110)*VLOOKUP(O$2,Valores!$H$2:$P$154,8,0)</f>
        <v>0</v>
      </c>
      <c r="P110" s="30" t="n">
        <f aca="false">SUMIF($C$2:$F$2,EOMONTH(P$2,-1)+1,$C110:$F110)*VLOOKUP(P$2,Valores!$H$2:$P$154,8,0)</f>
        <v>0</v>
      </c>
      <c r="Q110" s="30" t="n">
        <f aca="false">SUMIF($C$2:$F$2,EOMONTH(Q$2,-1)+1,$C110:$F110)*VLOOKUP(Q$2,Valores!$H$2:$P$154,8,0)</f>
        <v>0</v>
      </c>
      <c r="R110" s="30" t="n">
        <f aca="false">SUMIF($C$2:$F$2,EOMONTH(R$2,-1)+1,$C110:$F110)*VLOOKUP(R$2,Valores!$H$2:$P$154,8,0)</f>
        <v>0</v>
      </c>
      <c r="S110" s="30" t="n">
        <f aca="false">SUMIF($C$2:$F$2,EOMONTH(S$2,-1)+1,$C110:$F110)*VLOOKUP(S$2,Valores!$H$2:$P$154,8,0)</f>
        <v>0</v>
      </c>
      <c r="T110" s="30" t="n">
        <f aca="false">SUMIF($C$2:$F$2,EOMONTH(T$2,-1)+1,$C110:$F110)*VLOOKUP(T$2,Valores!$H$2:$P$154,8,0)</f>
        <v>0</v>
      </c>
      <c r="U110" s="30" t="n">
        <f aca="false">SUMIF($C$2:$F$2,EOMONTH(U$2,-1)+1,$C110:$F110)*VLOOKUP(U$2,Valores!$H$2:$P$154,8,0)</f>
        <v>0</v>
      </c>
      <c r="V110" s="30" t="n">
        <f aca="false">SUMIF($C$2:$F$2,EOMONTH(V$2,-1)+1,$C110:$F110)*VLOOKUP(V$2,Valores!$H$2:$P$154,8,0)</f>
        <v>0</v>
      </c>
      <c r="W110" s="30" t="n">
        <f aca="false">SUMIF($C$2:$F$2,EOMONTH(W$2,-1)+1,$C110:$F110)*VLOOKUP(W$2,Valores!$H$2:$P$154,8,0)</f>
        <v>0</v>
      </c>
      <c r="X110" s="30" t="n">
        <f aca="false">SUMIF($C$2:$F$2,EOMONTH(X$2,-1)+1,$C110:$F110)*VLOOKUP(X$2,Valores!$H$2:$P$154,8,0)</f>
        <v>0</v>
      </c>
      <c r="Y110" s="30" t="n">
        <f aca="false">SUMIF($C$2:$F$2,EOMONTH(Y$2,-1)+1,$C110:$F110)*VLOOKUP(Y$2,Valores!$H$2:$P$154,8,0)</f>
        <v>0</v>
      </c>
      <c r="Z110" s="30" t="n">
        <f aca="false">SUMIF($C$2:$F$2,EOMONTH(Z$2,-1)+1,$C110:$F110)*VLOOKUP(Z$2,Valores!$H$2:$P$154,8,0)</f>
        <v>0</v>
      </c>
      <c r="AA110" s="30" t="n">
        <f aca="false">SUMIF($C$2:$F$2,EOMONTH(AA$2,-1)+1,$C110:$F110)*VLOOKUP(AA$2,Valores!$H$2:$P$154,8,0)</f>
        <v>0</v>
      </c>
      <c r="AB110" s="30" t="n">
        <f aca="false">SUMIF($C$2:$F$2,EOMONTH(AB$2,-1)+1,$C110:$F110)*VLOOKUP(AB$2,Valores!$H$2:$P$154,8,0)</f>
        <v>0</v>
      </c>
      <c r="AC110" s="30" t="n">
        <f aca="false">SUMIF($C$2:$F$2,EOMONTH(AC$2,-1)+1,$C110:$F110)*VLOOKUP(AC$2,Valores!$H$2:$P$154,8,0)</f>
        <v>0</v>
      </c>
      <c r="AD110" s="30" t="n">
        <f aca="false">SUMIF($C$2:$F$2,EOMONTH(AD$2,-1)+1,$C110:$F110)*VLOOKUP(AD$2,Valores!$H$2:$P$154,8,0)</f>
        <v>0</v>
      </c>
      <c r="AE110" s="30" t="n">
        <f aca="false">SUMIF($C$2:$F$2,EOMONTH(AE$2,-1)+1,$C110:$F110)*VLOOKUP(AE$2,Valores!$H$2:$P$154,8,0)</f>
        <v>0</v>
      </c>
      <c r="AF110" s="30" t="n">
        <f aca="false">SUMIF($C$2:$F$2,EOMONTH(AF$2,-1)+1,$C110:$F110)*VLOOKUP(AF$2,Valores!$H$2:$P$154,8,0)</f>
        <v>0</v>
      </c>
      <c r="AG110" s="30" t="n">
        <f aca="false">SUMIF($C$2:$F$2,EOMONTH(AG$2,-1)+1,$C110:$F110)*VLOOKUP(AG$2,Valores!$H$2:$P$154,8,0)</f>
        <v>0</v>
      </c>
      <c r="AH110" s="30" t="n">
        <f aca="false">SUMIF($C$2:$F$2,EOMONTH(AH$2,-1)+1,$C110:$F110)*VLOOKUP(AH$2,Valores!$H$2:$P$154,8,0)</f>
        <v>0</v>
      </c>
      <c r="AI110" s="30" t="n">
        <f aca="false">SUMIF($C$2:$F$2,EOMONTH(AI$2,-1)+1,$C110:$F110)*VLOOKUP(AI$2,Valores!$H$2:$P$154,8,0)</f>
        <v>0</v>
      </c>
      <c r="AJ110" s="30" t="n">
        <f aca="false">SUMIF($C$2:$F$2,EOMONTH(AJ$2,-1)+1,$C110:$F110)*VLOOKUP(AJ$2,Valores!$H$2:$P$154,8,0)</f>
        <v>0</v>
      </c>
      <c r="AK110" s="30" t="n">
        <f aca="false">SUMIF($C$2:$F$2,EOMONTH(AK$2,-1)+1,$C110:$F110)*VLOOKUP(AK$2,Valores!$H$2:$P$154,8,0)</f>
        <v>0</v>
      </c>
      <c r="AL110" s="30" t="n">
        <f aca="false">SUMIF($C$2:$F$2,EOMONTH(AL$2,-1)+1,$C110:$F110)*VLOOKUP(AL$2,Valores!$H$2:$P$154,8,0)</f>
        <v>0</v>
      </c>
      <c r="AM110" s="30" t="n">
        <f aca="false">SUMIF($C$2:$F$2,EOMONTH(AM$2,-1)+1,$C110:$F110)*VLOOKUP(AM$2,Valores!$H$2:$P$154,8,0)</f>
        <v>0</v>
      </c>
      <c r="AN110" s="30" t="n">
        <f aca="false">SUMIF($C$2:$F$2,EOMONTH(AN$2,-1)+1,$C110:$F110)*VLOOKUP(AN$2,Valores!$H$2:$P$154,8,0)</f>
        <v>0</v>
      </c>
      <c r="AO110" s="30" t="n">
        <f aca="false">SUMIF($C$2:$F$2,EOMONTH(AO$2,-1)+1,$C110:$F110)*VLOOKUP(AO$2,Valores!$H$2:$P$154,8,0)</f>
        <v>0</v>
      </c>
      <c r="AP110" s="30" t="n">
        <f aca="false">SUMIF($C$2:$F$2,EOMONTH(AP$2,-1)+1,$C110:$F110)*VLOOKUP(AP$2,Valores!$H$2:$P$154,8,0)</f>
        <v>0</v>
      </c>
      <c r="AQ110" s="30" t="n">
        <f aca="false">SUMIF($C$2:$F$2,EOMONTH(AQ$2,-1)+1,$C110:$F110)*VLOOKUP(AQ$2,Valores!$H$2:$P$154,8,0)</f>
        <v>0</v>
      </c>
      <c r="AR110" s="30" t="n">
        <f aca="false">SUMIF($C$2:$F$2,EOMONTH(AR$2,-1)+1,$C110:$F110)*VLOOKUP(AR$2,Valores!$H$2:$P$154,8,0)</f>
        <v>0</v>
      </c>
      <c r="AS110" s="30" t="n">
        <f aca="false">SUMIF($C$2:$F$2,EOMONTH(AS$2,-1)+1,$C110:$F110)*VLOOKUP(AS$2,Valores!$H$2:$P$154,8,0)</f>
        <v>0</v>
      </c>
      <c r="AT110" s="30" t="n">
        <f aca="false">SUMIF($C$2:$F$2,EOMONTH(AT$2,-1)+1,$C110:$F110)*VLOOKUP(AT$2,Valores!$H$2:$P$154,8,0)</f>
        <v>0</v>
      </c>
      <c r="AU110" s="30" t="n">
        <f aca="false">SUMIF($C$2:$F$2,EOMONTH(AU$2,-1)+1,$C110:$F110)*VLOOKUP(AU$2,Valores!$H$2:$P$154,8,0)</f>
        <v>0</v>
      </c>
      <c r="AV110" s="30" t="n">
        <f aca="false">SUMIF($C$2:$F$2,EOMONTH(AV$2,-1)+1,$C110:$F110)*VLOOKUP(AV$2,Valores!$H$2:$P$154,8,0)</f>
        <v>0</v>
      </c>
      <c r="AW110" s="30" t="n">
        <f aca="false">SUMIF($C$2:$F$2,EOMONTH(AW$2,-1)+1,$C110:$F110)*VLOOKUP(AW$2,Valores!$H$2:$P$154,8,0)</f>
        <v>0</v>
      </c>
      <c r="AX110" s="30" t="n">
        <f aca="false">SUMIF($C$2:$F$2,EOMONTH(AX$2,-1)+1,$C110:$F110)*VLOOKUP(AX$2,Valores!$H$2:$P$154,8,0)</f>
        <v>0</v>
      </c>
      <c r="AY110" s="30" t="n">
        <f aca="false">SUMIF($C$2:$F$2,EOMONTH(AY$2,-1)+1,$C110:$F110)*VLOOKUP(AY$2,Valores!$H$2:$P$154,8,0)</f>
        <v>0</v>
      </c>
      <c r="AZ110" s="30" t="n">
        <f aca="false">SUMIF($C$2:$F$2,EOMONTH(AZ$2,-1)+1,$C110:$F110)*VLOOKUP(AZ$2,Valores!$H$2:$P$154,8,0)</f>
        <v>0</v>
      </c>
      <c r="BA110" s="30" t="n">
        <f aca="false">SUMIF($C$2:$F$2,EOMONTH(BA$2,-1)+1,$C110:$F110)*VLOOKUP(BA$2,Valores!$H$2:$P$154,8,0)</f>
        <v>0</v>
      </c>
      <c r="BB110" s="30" t="n">
        <f aca="false">SUMIF($C$2:$F$2,EOMONTH(BB$2,-1)+1,$C110:$F110)*VLOOKUP(BB$2,Valores!$H$2:$P$154,8,0)</f>
        <v>0</v>
      </c>
      <c r="BC110" s="30" t="n">
        <f aca="false">SUMIF($C$2:$F$2,EOMONTH(BC$2,-1)+1,$C110:$F110)*VLOOKUP(BC$2,Valores!$H$2:$P$154,8,0)</f>
        <v>0</v>
      </c>
      <c r="BD110" s="30" t="n">
        <f aca="false">SUMIF($C$2:$F$2,EOMONTH(BD$2,-1)+1,$C110:$F110)*VLOOKUP(BD$2,Valores!$H$2:$P$154,8,0)</f>
        <v>0</v>
      </c>
      <c r="BE110" s="30" t="n">
        <f aca="false">SUMIF($C$2:$F$2,EOMONTH(BE$2,-1)+1,$C110:$F110)*VLOOKUP(BE$2,Valores!$H$2:$P$154,8,0)</f>
        <v>0</v>
      </c>
      <c r="BF110" s="30" t="n">
        <f aca="false">SUMIF($C$2:$F$2,EOMONTH(BF$2,-1)+1,$C110:$F110)*VLOOKUP(BF$2,Valores!$H$2:$P$154,8,0)</f>
        <v>0</v>
      </c>
      <c r="BG110" s="30" t="n">
        <f aca="false">SUMIF($C$2:$F$2,EOMONTH(BG$2,-1)+1,$C110:$F110)*VLOOKUP(BG$2,Valores!$H$2:$P$154,8,0)</f>
        <v>0</v>
      </c>
      <c r="BH110" s="30" t="n">
        <f aca="false">SUMIF($C$2:$F$2,EOMONTH(BH$2,-1)+1,$C110:$F110)*VLOOKUP(BH$2,Valores!$H$2:$P$154,8,0)</f>
        <v>0</v>
      </c>
      <c r="BI110" s="30" t="n">
        <f aca="false">SUMIF($C$2:$F$2,EOMONTH(BI$2,-1)+1,$C110:$F110)*VLOOKUP(BI$2,Valores!$H$2:$P$154,8,0)</f>
        <v>0</v>
      </c>
      <c r="BJ110" s="30" t="n">
        <f aca="false">SUMIF($C$2:$F$2,EOMONTH(BJ$2,-1)+1,$C110:$F110)*VLOOKUP(BJ$2,Valores!$H$2:$P$154,8,0)</f>
        <v>0</v>
      </c>
      <c r="BK110" s="30" t="n">
        <f aca="false">SUMIF($C$2:$F$2,EOMONTH(BK$2,-1)+1,$C110:$F110)*VLOOKUP(BK$2,Valores!$H$2:$P$154,8,0)</f>
        <v>0</v>
      </c>
      <c r="BL110" s="30" t="n">
        <f aca="false">SUMIF($C$2:$F$2,EOMONTH(BL$2,-1)+1,$C110:$F110)*VLOOKUP(BL$2,Valores!$H$2:$P$154,8,0)</f>
        <v>0</v>
      </c>
      <c r="BM110" s="30" t="n">
        <f aca="false">SUMIF($C$2:$F$2,EOMONTH(BM$2,-1)+1,$C110:$F110)*VLOOKUP(BM$2,Valores!$H$2:$P$154,8,0)</f>
        <v>0</v>
      </c>
      <c r="BN110" s="30" t="n">
        <f aca="false">SUMIF($C$2:$F$2,EOMONTH(BN$2,-1)+1,$C110:$F110)*VLOOKUP(BN$2,Valores!$H$2:$P$154,8,0)</f>
        <v>0</v>
      </c>
      <c r="BO110" s="30" t="n">
        <f aca="false">SUMIF($C$2:$F$2,EOMONTH(BO$2,-1)+1,$C110:$F110)*VLOOKUP(BO$2,Valores!$H$2:$P$154,8,0)</f>
        <v>0</v>
      </c>
      <c r="BP110" s="30" t="n">
        <f aca="false">SUMIF($C$2:$F$2,EOMONTH(BP$2,-1)+1,$C110:$F110)*VLOOKUP(BP$2,Valores!$H$2:$P$154,8,0)</f>
        <v>0</v>
      </c>
      <c r="BQ110" s="30" t="n">
        <f aca="false">SUMIF($C$2:$F$2,EOMONTH(BQ$2,-1)+1,$C110:$F110)*VLOOKUP(BQ$2,Valores!$H$2:$P$154,8,0)</f>
        <v>0</v>
      </c>
      <c r="BR110" s="30" t="n">
        <f aca="false">SUMIF($C$2:$F$2,EOMONTH(BR$2,-1)+1,$C110:$F110)*VLOOKUP(BR$2,Valores!$H$2:$P$154,8,0)</f>
        <v>0</v>
      </c>
      <c r="BS110" s="30" t="n">
        <f aca="false">SUMIF($C$2:$F$2,EOMONTH(BS$2,-1)+1,$C110:$F110)*VLOOKUP(BS$2,Valores!$H$2:$P$154,8,0)</f>
        <v>0</v>
      </c>
      <c r="BT110" s="30" t="n">
        <f aca="false">SUMIF($C$2:$F$2,EOMONTH(BT$2,-1)+1,$C110:$F110)*VLOOKUP(BT$2,Valores!$H$2:$P$154,8,0)</f>
        <v>0</v>
      </c>
      <c r="BU110" s="30" t="n">
        <f aca="false">SUMIF($C$2:$F$2,EOMONTH(BU$2,-1)+1,$C110:$F110)*VLOOKUP(BU$2,Valores!$H$2:$P$154,8,0)</f>
        <v>0</v>
      </c>
      <c r="BV110" s="30" t="n">
        <f aca="false">SUMIF($C$2:$F$2,EOMONTH(BV$2,-1)+1,$C110:$F110)*VLOOKUP(BV$2,Valores!$H$2:$P$154,8,0)</f>
        <v>0</v>
      </c>
      <c r="BW110" s="30" t="n">
        <f aca="false">SUMIF($C$2:$F$2,EOMONTH(BW$2,-1)+1,$C110:$F110)*VLOOKUP(BW$2,Valores!$H$2:$P$154,8,0)</f>
        <v>0</v>
      </c>
      <c r="BX110" s="30" t="n">
        <f aca="false">SUMIF($C$2:$F$2,EOMONTH(BX$2,-1)+1,$C110:$F110)*VLOOKUP(BX$2,Valores!$H$2:$P$154,8,0)</f>
        <v>0</v>
      </c>
      <c r="BY110" s="30" t="n">
        <f aca="false">SUMIF($C$2:$F$2,EOMONTH(BY$2,-1)+1,$C110:$F110)*VLOOKUP(BY$2,Valores!$H$2:$P$154,8,0)</f>
        <v>0</v>
      </c>
      <c r="BZ110" s="30" t="n">
        <f aca="false">SUMIF($C$2:$F$2,EOMONTH(BZ$2,-1)+1,$C110:$F110)*VLOOKUP(BZ$2,Valores!$H$2:$P$154,8,0)</f>
        <v>0</v>
      </c>
      <c r="CA110" s="30" t="n">
        <f aca="false">SUMIF($C$2:$F$2,EOMONTH(CA$2,-1)+1,$C110:$F110)*VLOOKUP(CA$2,Valores!$H$2:$P$154,8,0)</f>
        <v>0</v>
      </c>
      <c r="CB110" s="30" t="n">
        <f aca="false">SUMIF($C$2:$F$2,EOMONTH(CB$2,-1)+1,$C110:$F110)*VLOOKUP(CB$2,Valores!$H$2:$P$154,8,0)</f>
        <v>0</v>
      </c>
      <c r="CC110" s="30" t="n">
        <f aca="false">SUMIF($C$2:$F$2,EOMONTH(CC$2,-1)+1,$C110:$F110)*VLOOKUP(CC$2,Valores!$H$2:$P$154,8,0)</f>
        <v>0</v>
      </c>
      <c r="CD110" s="30" t="n">
        <f aca="false">SUMIF($C$2:$F$2,EOMONTH(CD$2,-1)+1,$C110:$F110)*VLOOKUP(CD$2,Valores!$H$2:$P$154,8,0)</f>
        <v>0</v>
      </c>
      <c r="CE110" s="30" t="n">
        <f aca="false">SUMIF($C$2:$F$2,EOMONTH(CE$2,-1)+1,$C110:$F110)*VLOOKUP(CE$2,Valores!$H$2:$P$154,8,0)</f>
        <v>0</v>
      </c>
      <c r="CF110" s="30" t="n">
        <f aca="false">SUMIF($C$2:$F$2,EOMONTH(CF$2,-1)+1,$C110:$F110)*VLOOKUP(CF$2,Valores!$H$2:$P$154,8,0)</f>
        <v>0</v>
      </c>
      <c r="CG110" s="30" t="n">
        <f aca="false">SUMIF($C$2:$F$2,EOMONTH(CG$2,-1)+1,$C110:$F110)*VLOOKUP(CG$2,Valores!$H$2:$P$154,8,0)</f>
        <v>0</v>
      </c>
      <c r="CH110" s="30" t="n">
        <f aca="false">SUMIF($C$2:$F$2,EOMONTH(CH$2,-1)+1,$C110:$F110)*VLOOKUP(CH$2,Valores!$H$2:$P$154,8,0)</f>
        <v>0</v>
      </c>
      <c r="CI110" s="30" t="n">
        <f aca="false">SUMIF($C$2:$F$2,EOMONTH(CI$2,-1)+1,$C110:$F110)*VLOOKUP(CI$2,Valores!$H$2:$P$154,8,0)</f>
        <v>0</v>
      </c>
      <c r="CJ110" s="30" t="n">
        <f aca="false">SUMIF($C$2:$F$2,EOMONTH(CJ$2,-1)+1,$C110:$F110)*VLOOKUP(CJ$2,Valores!$H$2:$P$154,8,0)</f>
        <v>0</v>
      </c>
      <c r="CK110" s="30" t="n">
        <f aca="false">SUMIF($C$2:$F$2,EOMONTH(CK$2,-1)+1,$C110:$F110)*VLOOKUP(CK$2,Valores!$H$2:$P$154,8,0)</f>
        <v>0</v>
      </c>
      <c r="CL110" s="30" t="n">
        <f aca="false">SUMIF($C$2:$F$2,EOMONTH(CL$2,-1)+1,$C110:$F110)*VLOOKUP(CL$2,Valores!$H$2:$P$154,8,0)</f>
        <v>0</v>
      </c>
      <c r="CM110" s="30" t="n">
        <f aca="false">SUMIF($C$2:$F$2,EOMONTH(CM$2,-1)+1,$C110:$F110)*VLOOKUP(CM$2,Valores!$H$2:$P$154,8,0)</f>
        <v>0</v>
      </c>
      <c r="CN110" s="30" t="n">
        <f aca="false">SUMIF($C$2:$F$2,EOMONTH(CN$2,-1)+1,$C110:$F110)*VLOOKUP(CN$2,Valores!$H$2:$P$154,8,0)</f>
        <v>0</v>
      </c>
      <c r="CO110" s="30" t="n">
        <f aca="false">SUMIF($C$2:$F$2,EOMONTH(CO$2,-1)+1,$C110:$F110)*VLOOKUP(CO$2,Valores!$H$2:$P$154,8,0)</f>
        <v>0</v>
      </c>
      <c r="CP110" s="30" t="n">
        <f aca="false">SUMIF($C$2:$F$2,EOMONTH(CP$2,-1)+1,$C110:$F110)*VLOOKUP(CP$2,Valores!$H$2:$P$154,8,0)</f>
        <v>0</v>
      </c>
      <c r="CQ110" s="30" t="n">
        <f aca="false">SUMIF($C$2:$F$2,EOMONTH(CQ$2,-1)+1,$C110:$F110)*VLOOKUP(CQ$2,Valores!$H$2:$P$154,8,0)</f>
        <v>0</v>
      </c>
      <c r="CR110" s="30" t="n">
        <f aca="false">SUMIF($C$2:$F$2,EOMONTH(CR$2,-1)+1,$C110:$F110)*VLOOKUP(CR$2,Valores!$H$2:$P$154,8,0)</f>
        <v>0</v>
      </c>
      <c r="CS110" s="30" t="n">
        <f aca="false">SUMIF($C$2:$F$2,EOMONTH(CS$2,-1)+1,$C110:$F110)*VLOOKUP(CS$2,Valores!$H$2:$P$154,8,0)</f>
        <v>0</v>
      </c>
      <c r="CT110" s="30" t="e">
        <f aca="false">SUMIF($C$2:$F$2,EOMONTH(CT$2,-1)+1,$C110:$F110)*VLOOKUP(CT$2,Valores!$H$2:$P$154,8,0)</f>
        <v>#VALUE!</v>
      </c>
      <c r="CU110" s="30" t="e">
        <f aca="false">SUMIF($C$2:$F$2,EOMONTH(CU$2,-1)+1,$C110:$F110)*VLOOKUP(CU$2,Valores!$H$2:$P$154,8,0)</f>
        <v>#VALUE!</v>
      </c>
      <c r="CV110" s="30" t="e">
        <f aca="false">SUMIF($C$2:$F$2,EOMONTH(CV$2,-1)+1,$C110:$F110)*VLOOKUP(CV$2,Valores!$H$2:$P$154,8,0)</f>
        <v>#VALUE!</v>
      </c>
      <c r="CW110" s="30" t="e">
        <f aca="false">SUMIF($C$2:$F$2,EOMONTH(CW$2,-1)+1,$C110:$F110)*VLOOKUP(CW$2,Valores!$H$2:$P$154,8,0)</f>
        <v>#VALUE!</v>
      </c>
      <c r="CX110" s="30" t="e">
        <f aca="false">SUMIF($C$2:$F$2,EOMONTH(CX$2,-1)+1,$C110:$F110)*VLOOKUP(CX$2,Valores!$H$2:$P$154,8,0)</f>
        <v>#VALUE!</v>
      </c>
      <c r="CY110" s="30" t="e">
        <f aca="false">SUMIF($C$2:$F$2,EOMONTH(CY$2,-1)+1,$C110:$F110)*VLOOKUP(CY$2,Valores!$H$2:$P$154,8,0)</f>
        <v>#VALUE!</v>
      </c>
      <c r="CZ110" s="30" t="e">
        <f aca="false">SUMIF($C$2:$F$2,EOMONTH(CZ$2,-1)+1,$C110:$F110)*VLOOKUP(CZ$2,Valores!$H$2:$P$154,8,0)</f>
        <v>#VALUE!</v>
      </c>
      <c r="DA110" s="30" t="e">
        <f aca="false">SUMIF($C$2:$F$2,EOMONTH(DA$2,-1)+1,$C110:$F110)*VLOOKUP(DA$2,Valores!$H$2:$P$154,8,0)</f>
        <v>#VALUE!</v>
      </c>
      <c r="DB110" s="30" t="e">
        <f aca="false">SUMIF($C$2:$F$2,EOMONTH(DB$2,-1)+1,$C110:$F110)*VLOOKUP(DB$2,Valores!$H$2:$P$154,8,0)</f>
        <v>#VALUE!</v>
      </c>
      <c r="DC110" s="30" t="e">
        <f aca="false">SUMIF($C$2:$F$2,EOMONTH(DC$2,-1)+1,$C110:$F110)*VLOOKUP(DC$2,Valores!$H$2:$P$154,8,0)</f>
        <v>#VALUE!</v>
      </c>
      <c r="DD110" s="30" t="e">
        <f aca="false">SUMIF($C$2:$F$2,EOMONTH(DD$2,-1)+1,$C110:$F110)*VLOOKUP(DD$2,Valores!$H$2:$P$154,8,0)</f>
        <v>#VALUE!</v>
      </c>
      <c r="DE110" s="30" t="e">
        <f aca="false">SUMIF($C$2:$F$2,EOMONTH(DE$2,-1)+1,$C110:$F110)*VLOOKUP(DE$2,Valores!$H$2:$P$154,8,0)</f>
        <v>#VALUE!</v>
      </c>
      <c r="DF110" s="30" t="e">
        <f aca="false">SUMIF($C$2:$F$2,EOMONTH(DF$2,-1)+1,$C110:$F110)*VLOOKUP(DF$2,Valores!$H$2:$P$154,8,0)</f>
        <v>#VALUE!</v>
      </c>
      <c r="DG110" s="30" t="e">
        <f aca="false">SUMIF($C$2:$F$2,EOMONTH(DG$2,-1)+1,$C110:$F110)*VLOOKUP(DG$2,Valores!$H$2:$P$154,8,0)</f>
        <v>#VALUE!</v>
      </c>
      <c r="DH110" s="30" t="e">
        <f aca="false">SUMIF($C$2:$F$2,EOMONTH(DH$2,-1)+1,$C110:$F110)*VLOOKUP(DH$2,Valores!$H$2:$P$154,8,0)</f>
        <v>#VALUE!</v>
      </c>
      <c r="DI110" s="30" t="e">
        <f aca="false">SUMIF($C$2:$F$2,EOMONTH(DI$2,-1)+1,$C110:$F110)*VLOOKUP(DI$2,Valores!$H$2:$P$154,8,0)</f>
        <v>#VALUE!</v>
      </c>
      <c r="DJ110" s="30" t="e">
        <f aca="false">SUMIF($C$2:$F$2,EOMONTH(DJ$2,-1)+1,$C110:$F110)*VLOOKUP(DJ$2,Valores!$H$2:$P$154,8,0)</f>
        <v>#VALUE!</v>
      </c>
      <c r="DK110" s="30" t="e">
        <f aca="false">SUMIF($C$2:$F$2,EOMONTH(DK$2,-1)+1,$C110:$F110)*VLOOKUP(DK$2,Valores!$H$2:$P$154,8,0)</f>
        <v>#VALUE!</v>
      </c>
      <c r="DL110" s="30" t="e">
        <f aca="false">SUMIF($C$2:$F$2,EOMONTH(DL$2,-1)+1,$C110:$F110)*VLOOKUP(DL$2,Valores!$H$2:$P$154,8,0)</f>
        <v>#VALUE!</v>
      </c>
      <c r="DM110" s="30" t="e">
        <f aca="false">SUMIF($C$2:$F$2,EOMONTH(DM$2,-1)+1,$C110:$F110)*VLOOKUP(DM$2,Valores!$H$2:$P$154,8,0)</f>
        <v>#VALUE!</v>
      </c>
      <c r="DN110" s="30" t="e">
        <f aca="false">SUMIF($C$2:$F$2,EOMONTH(DN$2,-1)+1,$C110:$F110)*VLOOKUP(DN$2,Valores!$H$2:$P$154,8,0)</f>
        <v>#VALUE!</v>
      </c>
      <c r="DO110" s="30" t="e">
        <f aca="false">SUMIF($C$2:$F$2,EOMONTH(DO$2,-1)+1,$C110:$F110)*VLOOKUP(DO$2,Valores!$H$2:$P$154,8,0)</f>
        <v>#VALUE!</v>
      </c>
      <c r="DP110" s="30" t="e">
        <f aca="false">SUMIF($C$2:$F$2,EOMONTH(DP$2,-1)+1,$C110:$F110)*VLOOKUP(DP$2,Valores!$H$2:$P$154,8,0)</f>
        <v>#VALUE!</v>
      </c>
      <c r="DQ110" s="30" t="e">
        <f aca="false">SUMIF($C$2:$F$2,EOMONTH(DQ$2,-1)+1,$C110:$F110)*VLOOKUP(DQ$2,Valores!$H$2:$P$154,8,0)</f>
        <v>#VALUE!</v>
      </c>
      <c r="DR110" s="30" t="e">
        <f aca="false">SUMIF($C$2:$F$2,EOMONTH(DR$2,-1)+1,$C110:$F110)*VLOOKUP(DR$2,Valores!$H$2:$P$154,8,0)</f>
        <v>#VALUE!</v>
      </c>
      <c r="DS110" s="30" t="e">
        <f aca="false">SUMIF($C$2:$F$2,EOMONTH(DS$2,-1)+1,$C110:$F110)*VLOOKUP(DS$2,Valores!$H$2:$P$154,8,0)</f>
        <v>#VALUE!</v>
      </c>
      <c r="DT110" s="30" t="e">
        <f aca="false">SUMIF($C$2:$F$2,EOMONTH(DT$2,-1)+1,$C110:$F110)*VLOOKUP(DT$2,Valores!$H$2:$P$154,8,0)</f>
        <v>#VALUE!</v>
      </c>
      <c r="DU110" s="30" t="e">
        <f aca="false">SUMIF($C$2:$F$2,EOMONTH(DU$2,-1)+1,$C110:$F110)*VLOOKUP(DU$2,Valores!$H$2:$P$154,8,0)</f>
        <v>#VALUE!</v>
      </c>
      <c r="DV110" s="30" t="e">
        <f aca="false">SUMIF($C$2:$F$2,EOMONTH(DV$2,-1)+1,$C110:$F110)*VLOOKUP(DV$2,Valores!$H$2:$P$154,8,0)</f>
        <v>#VALUE!</v>
      </c>
      <c r="DW110" s="30" t="e">
        <f aca="false">SUMIF($C$2:$F$2,EOMONTH(DW$2,-1)+1,$C110:$F110)*VLOOKUP(DW$2,Valores!$H$2:$P$154,8,0)</f>
        <v>#VALUE!</v>
      </c>
      <c r="DX110" s="30" t="e">
        <f aca="false">SUMIF($C$2:$F$2,EOMONTH(DX$2,-1)+1,$C110:$F110)*VLOOKUP(DX$2,Valores!$H$2:$P$154,8,0)</f>
        <v>#VALUE!</v>
      </c>
    </row>
    <row r="111" customFormat="false" ht="13.8" hidden="false" customHeight="false" outlineLevel="0" collapsed="false">
      <c r="A111" s="31"/>
      <c r="B111" s="31"/>
      <c r="C111" s="31"/>
      <c r="D111" s="31"/>
      <c r="E111" s="31"/>
      <c r="F111" s="31"/>
      <c r="G111" s="27" t="n">
        <f aca="false">SUMIF($C$2:$F$2,EOMONTH(G$2,-1)+1,$C111:$F111)*VLOOKUP(G$2,Valores!$H$2:$P$154,8,0)</f>
        <v>0</v>
      </c>
      <c r="H111" s="27" t="n">
        <f aca="false">SUMIF($C$2:$F$2,EOMONTH(H$2,-1)+1,$C111:$F111)*VLOOKUP(H$2,Valores!$H$2:$P$154,8,0)</f>
        <v>0</v>
      </c>
      <c r="I111" s="27" t="n">
        <f aca="false">SUMIF($C$2:$F$2,EOMONTH(I$2,-1)+1,$C111:$F111)*VLOOKUP(I$2,Valores!$H$2:$P$154,8,0)</f>
        <v>0</v>
      </c>
      <c r="J111" s="27" t="n">
        <f aca="false">SUMIF($C$2:$F$2,EOMONTH(J$2,-1)+1,$C111:$F111)*VLOOKUP(J$2,Valores!$H$2:$P$154,8,0)</f>
        <v>0</v>
      </c>
      <c r="K111" s="27" t="n">
        <f aca="false">SUMIF($C$2:$F$2,EOMONTH(K$2,-1)+1,$C111:$F111)*VLOOKUP(K$2,Valores!$H$2:$P$154,8,0)</f>
        <v>0</v>
      </c>
      <c r="L111" s="27" t="n">
        <f aca="false">SUMIF($C$2:$F$2,EOMONTH(L$2,-1)+1,$C111:$F111)*VLOOKUP(L$2,Valores!$H$2:$P$154,8,0)</f>
        <v>0</v>
      </c>
      <c r="M111" s="27" t="n">
        <f aca="false">SUMIF($C$2:$F$2,EOMONTH(M$2,-1)+1,$C111:$F111)*VLOOKUP(M$2,Valores!$H$2:$P$154,8,0)</f>
        <v>0</v>
      </c>
      <c r="N111" s="27" t="n">
        <f aca="false">SUMIF($C$2:$F$2,EOMONTH(N$2,-1)+1,$C111:$F111)*VLOOKUP(N$2,Valores!$H$2:$P$154,8,0)</f>
        <v>0</v>
      </c>
      <c r="O111" s="27" t="n">
        <f aca="false">SUMIF($C$2:$F$2,EOMONTH(O$2,-1)+1,$C111:$F111)*VLOOKUP(O$2,Valores!$H$2:$P$154,8,0)</f>
        <v>0</v>
      </c>
      <c r="P111" s="27" t="n">
        <f aca="false">SUMIF($C$2:$F$2,EOMONTH(P$2,-1)+1,$C111:$F111)*VLOOKUP(P$2,Valores!$H$2:$P$154,8,0)</f>
        <v>0</v>
      </c>
      <c r="Q111" s="27" t="n">
        <f aca="false">SUMIF($C$2:$F$2,EOMONTH(Q$2,-1)+1,$C111:$F111)*VLOOKUP(Q$2,Valores!$H$2:$P$154,8,0)</f>
        <v>0</v>
      </c>
      <c r="R111" s="27" t="n">
        <f aca="false">SUMIF($C$2:$F$2,EOMONTH(R$2,-1)+1,$C111:$F111)*VLOOKUP(R$2,Valores!$H$2:$P$154,8,0)</f>
        <v>0</v>
      </c>
      <c r="S111" s="27" t="n">
        <f aca="false">SUMIF($C$2:$F$2,EOMONTH(S$2,-1)+1,$C111:$F111)*VLOOKUP(S$2,Valores!$H$2:$P$154,8,0)</f>
        <v>0</v>
      </c>
      <c r="T111" s="27" t="n">
        <f aca="false">SUMIF($C$2:$F$2,EOMONTH(T$2,-1)+1,$C111:$F111)*VLOOKUP(T$2,Valores!$H$2:$P$154,8,0)</f>
        <v>0</v>
      </c>
      <c r="U111" s="27" t="n">
        <f aca="false">SUMIF($C$2:$F$2,EOMONTH(U$2,-1)+1,$C111:$F111)*VLOOKUP(U$2,Valores!$H$2:$P$154,8,0)</f>
        <v>0</v>
      </c>
      <c r="V111" s="27" t="n">
        <f aca="false">SUMIF($C$2:$F$2,EOMONTH(V$2,-1)+1,$C111:$F111)*VLOOKUP(V$2,Valores!$H$2:$P$154,8,0)</f>
        <v>0</v>
      </c>
      <c r="W111" s="27" t="n">
        <f aca="false">SUMIF($C$2:$F$2,EOMONTH(W$2,-1)+1,$C111:$F111)*VLOOKUP(W$2,Valores!$H$2:$P$154,8,0)</f>
        <v>0</v>
      </c>
      <c r="X111" s="27" t="n">
        <f aca="false">SUMIF($C$2:$F$2,EOMONTH(X$2,-1)+1,$C111:$F111)*VLOOKUP(X$2,Valores!$H$2:$P$154,8,0)</f>
        <v>0</v>
      </c>
      <c r="Y111" s="27" t="n">
        <f aca="false">SUMIF($C$2:$F$2,EOMONTH(Y$2,-1)+1,$C111:$F111)*VLOOKUP(Y$2,Valores!$H$2:$P$154,8,0)</f>
        <v>0</v>
      </c>
      <c r="Z111" s="27" t="n">
        <f aca="false">SUMIF($C$2:$F$2,EOMONTH(Z$2,-1)+1,$C111:$F111)*VLOOKUP(Z$2,Valores!$H$2:$P$154,8,0)</f>
        <v>0</v>
      </c>
      <c r="AA111" s="27" t="n">
        <f aca="false">SUMIF($C$2:$F$2,EOMONTH(AA$2,-1)+1,$C111:$F111)*VLOOKUP(AA$2,Valores!$H$2:$P$154,8,0)</f>
        <v>0</v>
      </c>
      <c r="AB111" s="27" t="n">
        <f aca="false">SUMIF($C$2:$F$2,EOMONTH(AB$2,-1)+1,$C111:$F111)*VLOOKUP(AB$2,Valores!$H$2:$P$154,8,0)</f>
        <v>0</v>
      </c>
      <c r="AC111" s="27" t="n">
        <f aca="false">SUMIF($C$2:$F$2,EOMONTH(AC$2,-1)+1,$C111:$F111)*VLOOKUP(AC$2,Valores!$H$2:$P$154,8,0)</f>
        <v>0</v>
      </c>
      <c r="AD111" s="27" t="n">
        <f aca="false">SUMIF($C$2:$F$2,EOMONTH(AD$2,-1)+1,$C111:$F111)*VLOOKUP(AD$2,Valores!$H$2:$P$154,8,0)</f>
        <v>0</v>
      </c>
      <c r="AE111" s="27" t="n">
        <f aca="false">SUMIF($C$2:$F$2,EOMONTH(AE$2,-1)+1,$C111:$F111)*VLOOKUP(AE$2,Valores!$H$2:$P$154,8,0)</f>
        <v>0</v>
      </c>
      <c r="AF111" s="27" t="n">
        <f aca="false">SUMIF($C$2:$F$2,EOMONTH(AF$2,-1)+1,$C111:$F111)*VLOOKUP(AF$2,Valores!$H$2:$P$154,8,0)</f>
        <v>0</v>
      </c>
      <c r="AG111" s="27" t="n">
        <f aca="false">SUMIF($C$2:$F$2,EOMONTH(AG$2,-1)+1,$C111:$F111)*VLOOKUP(AG$2,Valores!$H$2:$P$154,8,0)</f>
        <v>0</v>
      </c>
      <c r="AH111" s="27" t="n">
        <f aca="false">SUMIF($C$2:$F$2,EOMONTH(AH$2,-1)+1,$C111:$F111)*VLOOKUP(AH$2,Valores!$H$2:$P$154,8,0)</f>
        <v>0</v>
      </c>
      <c r="AI111" s="27" t="n">
        <f aca="false">SUMIF($C$2:$F$2,EOMONTH(AI$2,-1)+1,$C111:$F111)*VLOOKUP(AI$2,Valores!$H$2:$P$154,8,0)</f>
        <v>0</v>
      </c>
      <c r="AJ111" s="27" t="n">
        <f aca="false">SUMIF($C$2:$F$2,EOMONTH(AJ$2,-1)+1,$C111:$F111)*VLOOKUP(AJ$2,Valores!$H$2:$P$154,8,0)</f>
        <v>0</v>
      </c>
      <c r="AK111" s="27" t="n">
        <f aca="false">SUMIF($C$2:$F$2,EOMONTH(AK$2,-1)+1,$C111:$F111)*VLOOKUP(AK$2,Valores!$H$2:$P$154,8,0)</f>
        <v>0</v>
      </c>
      <c r="AL111" s="27" t="n">
        <f aca="false">SUMIF($C$2:$F$2,EOMONTH(AL$2,-1)+1,$C111:$F111)*VLOOKUP(AL$2,Valores!$H$2:$P$154,8,0)</f>
        <v>0</v>
      </c>
      <c r="AM111" s="27" t="n">
        <f aca="false">SUMIF($C$2:$F$2,EOMONTH(AM$2,-1)+1,$C111:$F111)*VLOOKUP(AM$2,Valores!$H$2:$P$154,8,0)</f>
        <v>0</v>
      </c>
      <c r="AN111" s="27" t="n">
        <f aca="false">SUMIF($C$2:$F$2,EOMONTH(AN$2,-1)+1,$C111:$F111)*VLOOKUP(AN$2,Valores!$H$2:$P$154,8,0)</f>
        <v>0</v>
      </c>
      <c r="AO111" s="27" t="n">
        <f aca="false">SUMIF($C$2:$F$2,EOMONTH(AO$2,-1)+1,$C111:$F111)*VLOOKUP(AO$2,Valores!$H$2:$P$154,8,0)</f>
        <v>0</v>
      </c>
      <c r="AP111" s="27" t="n">
        <f aca="false">SUMIF($C$2:$F$2,EOMONTH(AP$2,-1)+1,$C111:$F111)*VLOOKUP(AP$2,Valores!$H$2:$P$154,8,0)</f>
        <v>0</v>
      </c>
      <c r="AQ111" s="27" t="n">
        <f aca="false">SUMIF($C$2:$F$2,EOMONTH(AQ$2,-1)+1,$C111:$F111)*VLOOKUP(AQ$2,Valores!$H$2:$P$154,8,0)</f>
        <v>0</v>
      </c>
      <c r="AR111" s="27" t="n">
        <f aca="false">SUMIF($C$2:$F$2,EOMONTH(AR$2,-1)+1,$C111:$F111)*VLOOKUP(AR$2,Valores!$H$2:$P$154,8,0)</f>
        <v>0</v>
      </c>
      <c r="AS111" s="27" t="n">
        <f aca="false">SUMIF($C$2:$F$2,EOMONTH(AS$2,-1)+1,$C111:$F111)*VLOOKUP(AS$2,Valores!$H$2:$P$154,8,0)</f>
        <v>0</v>
      </c>
      <c r="AT111" s="27" t="n">
        <f aca="false">SUMIF($C$2:$F$2,EOMONTH(AT$2,-1)+1,$C111:$F111)*VLOOKUP(AT$2,Valores!$H$2:$P$154,8,0)</f>
        <v>0</v>
      </c>
      <c r="AU111" s="27" t="n">
        <f aca="false">SUMIF($C$2:$F$2,EOMONTH(AU$2,-1)+1,$C111:$F111)*VLOOKUP(AU$2,Valores!$H$2:$P$154,8,0)</f>
        <v>0</v>
      </c>
      <c r="AV111" s="27" t="n">
        <f aca="false">SUMIF($C$2:$F$2,EOMONTH(AV$2,-1)+1,$C111:$F111)*VLOOKUP(AV$2,Valores!$H$2:$P$154,8,0)</f>
        <v>0</v>
      </c>
      <c r="AW111" s="27" t="n">
        <f aca="false">SUMIF($C$2:$F$2,EOMONTH(AW$2,-1)+1,$C111:$F111)*VLOOKUP(AW$2,Valores!$H$2:$P$154,8,0)</f>
        <v>0</v>
      </c>
      <c r="AX111" s="27" t="n">
        <f aca="false">SUMIF($C$2:$F$2,EOMONTH(AX$2,-1)+1,$C111:$F111)*VLOOKUP(AX$2,Valores!$H$2:$P$154,8,0)</f>
        <v>0</v>
      </c>
      <c r="AY111" s="27" t="n">
        <f aca="false">SUMIF($C$2:$F$2,EOMONTH(AY$2,-1)+1,$C111:$F111)*VLOOKUP(AY$2,Valores!$H$2:$P$154,8,0)</f>
        <v>0</v>
      </c>
      <c r="AZ111" s="27" t="n">
        <f aca="false">SUMIF($C$2:$F$2,EOMONTH(AZ$2,-1)+1,$C111:$F111)*VLOOKUP(AZ$2,Valores!$H$2:$P$154,8,0)</f>
        <v>0</v>
      </c>
      <c r="BA111" s="27" t="n">
        <f aca="false">SUMIF($C$2:$F$2,EOMONTH(BA$2,-1)+1,$C111:$F111)*VLOOKUP(BA$2,Valores!$H$2:$P$154,8,0)</f>
        <v>0</v>
      </c>
      <c r="BB111" s="27" t="n">
        <f aca="false">SUMIF($C$2:$F$2,EOMONTH(BB$2,-1)+1,$C111:$F111)*VLOOKUP(BB$2,Valores!$H$2:$P$154,8,0)</f>
        <v>0</v>
      </c>
      <c r="BC111" s="27" t="n">
        <f aca="false">SUMIF($C$2:$F$2,EOMONTH(BC$2,-1)+1,$C111:$F111)*VLOOKUP(BC$2,Valores!$H$2:$P$154,8,0)</f>
        <v>0</v>
      </c>
      <c r="BD111" s="27" t="n">
        <f aca="false">SUMIF($C$2:$F$2,EOMONTH(BD$2,-1)+1,$C111:$F111)*VLOOKUP(BD$2,Valores!$H$2:$P$154,8,0)</f>
        <v>0</v>
      </c>
      <c r="BE111" s="27" t="n">
        <f aca="false">SUMIF($C$2:$F$2,EOMONTH(BE$2,-1)+1,$C111:$F111)*VLOOKUP(BE$2,Valores!$H$2:$P$154,8,0)</f>
        <v>0</v>
      </c>
      <c r="BF111" s="27" t="n">
        <f aca="false">SUMIF($C$2:$F$2,EOMONTH(BF$2,-1)+1,$C111:$F111)*VLOOKUP(BF$2,Valores!$H$2:$P$154,8,0)</f>
        <v>0</v>
      </c>
      <c r="BG111" s="27" t="n">
        <f aca="false">SUMIF($C$2:$F$2,EOMONTH(BG$2,-1)+1,$C111:$F111)*VLOOKUP(BG$2,Valores!$H$2:$P$154,8,0)</f>
        <v>0</v>
      </c>
      <c r="BH111" s="27" t="n">
        <f aca="false">SUMIF($C$2:$F$2,EOMONTH(BH$2,-1)+1,$C111:$F111)*VLOOKUP(BH$2,Valores!$H$2:$P$154,8,0)</f>
        <v>0</v>
      </c>
      <c r="BI111" s="27" t="n">
        <f aca="false">SUMIF($C$2:$F$2,EOMONTH(BI$2,-1)+1,$C111:$F111)*VLOOKUP(BI$2,Valores!$H$2:$P$154,8,0)</f>
        <v>0</v>
      </c>
      <c r="BJ111" s="27" t="n">
        <f aca="false">SUMIF($C$2:$F$2,EOMONTH(BJ$2,-1)+1,$C111:$F111)*VLOOKUP(BJ$2,Valores!$H$2:$P$154,8,0)</f>
        <v>0</v>
      </c>
      <c r="BK111" s="27" t="n">
        <f aca="false">SUMIF($C$2:$F$2,EOMONTH(BK$2,-1)+1,$C111:$F111)*VLOOKUP(BK$2,Valores!$H$2:$P$154,8,0)</f>
        <v>0</v>
      </c>
      <c r="BL111" s="27" t="n">
        <f aca="false">SUMIF($C$2:$F$2,EOMONTH(BL$2,-1)+1,$C111:$F111)*VLOOKUP(BL$2,Valores!$H$2:$P$154,8,0)</f>
        <v>0</v>
      </c>
      <c r="BM111" s="27" t="n">
        <f aca="false">SUMIF($C$2:$F$2,EOMONTH(BM$2,-1)+1,$C111:$F111)*VLOOKUP(BM$2,Valores!$H$2:$P$154,8,0)</f>
        <v>0</v>
      </c>
      <c r="BN111" s="27" t="n">
        <f aca="false">SUMIF($C$2:$F$2,EOMONTH(BN$2,-1)+1,$C111:$F111)*VLOOKUP(BN$2,Valores!$H$2:$P$154,8,0)</f>
        <v>0</v>
      </c>
      <c r="BO111" s="27" t="n">
        <f aca="false">SUMIF($C$2:$F$2,EOMONTH(BO$2,-1)+1,$C111:$F111)*VLOOKUP(BO$2,Valores!$H$2:$P$154,8,0)</f>
        <v>0</v>
      </c>
      <c r="BP111" s="27" t="n">
        <f aca="false">SUMIF($C$2:$F$2,EOMONTH(BP$2,-1)+1,$C111:$F111)*VLOOKUP(BP$2,Valores!$H$2:$P$154,8,0)</f>
        <v>0</v>
      </c>
      <c r="BQ111" s="27" t="n">
        <f aca="false">SUMIF($C$2:$F$2,EOMONTH(BQ$2,-1)+1,$C111:$F111)*VLOOKUP(BQ$2,Valores!$H$2:$P$154,8,0)</f>
        <v>0</v>
      </c>
      <c r="BR111" s="27" t="n">
        <f aca="false">SUMIF($C$2:$F$2,EOMONTH(BR$2,-1)+1,$C111:$F111)*VLOOKUP(BR$2,Valores!$H$2:$P$154,8,0)</f>
        <v>0</v>
      </c>
      <c r="BS111" s="27" t="n">
        <f aca="false">SUMIF($C$2:$F$2,EOMONTH(BS$2,-1)+1,$C111:$F111)*VLOOKUP(BS$2,Valores!$H$2:$P$154,8,0)</f>
        <v>0</v>
      </c>
      <c r="BT111" s="27" t="n">
        <f aca="false">SUMIF($C$2:$F$2,EOMONTH(BT$2,-1)+1,$C111:$F111)*VLOOKUP(BT$2,Valores!$H$2:$P$154,8,0)</f>
        <v>0</v>
      </c>
      <c r="BU111" s="27" t="n">
        <f aca="false">SUMIF($C$2:$F$2,EOMONTH(BU$2,-1)+1,$C111:$F111)*VLOOKUP(BU$2,Valores!$H$2:$P$154,8,0)</f>
        <v>0</v>
      </c>
      <c r="BV111" s="27" t="n">
        <f aca="false">SUMIF($C$2:$F$2,EOMONTH(BV$2,-1)+1,$C111:$F111)*VLOOKUP(BV$2,Valores!$H$2:$P$154,8,0)</f>
        <v>0</v>
      </c>
      <c r="BW111" s="27" t="n">
        <f aca="false">SUMIF($C$2:$F$2,EOMONTH(BW$2,-1)+1,$C111:$F111)*VLOOKUP(BW$2,Valores!$H$2:$P$154,8,0)</f>
        <v>0</v>
      </c>
      <c r="BX111" s="27" t="n">
        <f aca="false">SUMIF($C$2:$F$2,EOMONTH(BX$2,-1)+1,$C111:$F111)*VLOOKUP(BX$2,Valores!$H$2:$P$154,8,0)</f>
        <v>0</v>
      </c>
      <c r="BY111" s="27" t="n">
        <f aca="false">SUMIF($C$2:$F$2,EOMONTH(BY$2,-1)+1,$C111:$F111)*VLOOKUP(BY$2,Valores!$H$2:$P$154,8,0)</f>
        <v>0</v>
      </c>
      <c r="BZ111" s="27" t="n">
        <f aca="false">SUMIF($C$2:$F$2,EOMONTH(BZ$2,-1)+1,$C111:$F111)*VLOOKUP(BZ$2,Valores!$H$2:$P$154,8,0)</f>
        <v>0</v>
      </c>
      <c r="CA111" s="27" t="n">
        <f aca="false">SUMIF($C$2:$F$2,EOMONTH(CA$2,-1)+1,$C111:$F111)*VLOOKUP(CA$2,Valores!$H$2:$P$154,8,0)</f>
        <v>0</v>
      </c>
      <c r="CB111" s="27" t="n">
        <f aca="false">SUMIF($C$2:$F$2,EOMONTH(CB$2,-1)+1,$C111:$F111)*VLOOKUP(CB$2,Valores!$H$2:$P$154,8,0)</f>
        <v>0</v>
      </c>
      <c r="CC111" s="27" t="n">
        <f aca="false">SUMIF($C$2:$F$2,EOMONTH(CC$2,-1)+1,$C111:$F111)*VLOOKUP(CC$2,Valores!$H$2:$P$154,8,0)</f>
        <v>0</v>
      </c>
      <c r="CD111" s="27" t="n">
        <f aca="false">SUMIF($C$2:$F$2,EOMONTH(CD$2,-1)+1,$C111:$F111)*VLOOKUP(CD$2,Valores!$H$2:$P$154,8,0)</f>
        <v>0</v>
      </c>
      <c r="CE111" s="27" t="n">
        <f aca="false">SUMIF($C$2:$F$2,EOMONTH(CE$2,-1)+1,$C111:$F111)*VLOOKUP(CE$2,Valores!$H$2:$P$154,8,0)</f>
        <v>0</v>
      </c>
      <c r="CF111" s="27" t="n">
        <f aca="false">SUMIF($C$2:$F$2,EOMONTH(CF$2,-1)+1,$C111:$F111)*VLOOKUP(CF$2,Valores!$H$2:$P$154,8,0)</f>
        <v>0</v>
      </c>
      <c r="CG111" s="27" t="n">
        <f aca="false">SUMIF($C$2:$F$2,EOMONTH(CG$2,-1)+1,$C111:$F111)*VLOOKUP(CG$2,Valores!$H$2:$P$154,8,0)</f>
        <v>0</v>
      </c>
      <c r="CH111" s="27" t="n">
        <f aca="false">SUMIF($C$2:$F$2,EOMONTH(CH$2,-1)+1,$C111:$F111)*VLOOKUP(CH$2,Valores!$H$2:$P$154,8,0)</f>
        <v>0</v>
      </c>
      <c r="CI111" s="27" t="n">
        <f aca="false">SUMIF($C$2:$F$2,EOMONTH(CI$2,-1)+1,$C111:$F111)*VLOOKUP(CI$2,Valores!$H$2:$P$154,8,0)</f>
        <v>0</v>
      </c>
      <c r="CJ111" s="27" t="n">
        <f aca="false">SUMIF($C$2:$F$2,EOMONTH(CJ$2,-1)+1,$C111:$F111)*VLOOKUP(CJ$2,Valores!$H$2:$P$154,8,0)</f>
        <v>0</v>
      </c>
      <c r="CK111" s="27" t="n">
        <f aca="false">SUMIF($C$2:$F$2,EOMONTH(CK$2,-1)+1,$C111:$F111)*VLOOKUP(CK$2,Valores!$H$2:$P$154,8,0)</f>
        <v>0</v>
      </c>
      <c r="CL111" s="27" t="n">
        <f aca="false">SUMIF($C$2:$F$2,EOMONTH(CL$2,-1)+1,$C111:$F111)*VLOOKUP(CL$2,Valores!$H$2:$P$154,8,0)</f>
        <v>0</v>
      </c>
      <c r="CM111" s="27" t="n">
        <f aca="false">SUMIF($C$2:$F$2,EOMONTH(CM$2,-1)+1,$C111:$F111)*VLOOKUP(CM$2,Valores!$H$2:$P$154,8,0)</f>
        <v>0</v>
      </c>
      <c r="CN111" s="27" t="n">
        <f aca="false">SUMIF($C$2:$F$2,EOMONTH(CN$2,-1)+1,$C111:$F111)*VLOOKUP(CN$2,Valores!$H$2:$P$154,8,0)</f>
        <v>0</v>
      </c>
      <c r="CO111" s="27" t="n">
        <f aca="false">SUMIF($C$2:$F$2,EOMONTH(CO$2,-1)+1,$C111:$F111)*VLOOKUP(CO$2,Valores!$H$2:$P$154,8,0)</f>
        <v>0</v>
      </c>
      <c r="CP111" s="27" t="n">
        <f aca="false">SUMIF($C$2:$F$2,EOMONTH(CP$2,-1)+1,$C111:$F111)*VLOOKUP(CP$2,Valores!$H$2:$P$154,8,0)</f>
        <v>0</v>
      </c>
      <c r="CQ111" s="27" t="n">
        <f aca="false">SUMIF($C$2:$F$2,EOMONTH(CQ$2,-1)+1,$C111:$F111)*VLOOKUP(CQ$2,Valores!$H$2:$P$154,8,0)</f>
        <v>0</v>
      </c>
      <c r="CR111" s="27" t="n">
        <f aca="false">SUMIF($C$2:$F$2,EOMONTH(CR$2,-1)+1,$C111:$F111)*VLOOKUP(CR$2,Valores!$H$2:$P$154,8,0)</f>
        <v>0</v>
      </c>
      <c r="CS111" s="27" t="n">
        <f aca="false">SUMIF($C$2:$F$2,EOMONTH(CS$2,-1)+1,$C111:$F111)*VLOOKUP(CS$2,Valores!$H$2:$P$154,8,0)</f>
        <v>0</v>
      </c>
      <c r="CT111" s="27" t="e">
        <f aca="false">SUMIF($C$2:$F$2,EOMONTH(CT$2,-1)+1,$C111:$F111)*VLOOKUP(CT$2,Valores!$H$2:$P$154,8,0)</f>
        <v>#VALUE!</v>
      </c>
      <c r="CU111" s="27" t="e">
        <f aca="false">SUMIF($C$2:$F$2,EOMONTH(CU$2,-1)+1,$C111:$F111)*VLOOKUP(CU$2,Valores!$H$2:$P$154,8,0)</f>
        <v>#VALUE!</v>
      </c>
      <c r="CV111" s="27" t="e">
        <f aca="false">SUMIF($C$2:$F$2,EOMONTH(CV$2,-1)+1,$C111:$F111)*VLOOKUP(CV$2,Valores!$H$2:$P$154,8,0)</f>
        <v>#VALUE!</v>
      </c>
      <c r="CW111" s="27" t="e">
        <f aca="false">SUMIF($C$2:$F$2,EOMONTH(CW$2,-1)+1,$C111:$F111)*VLOOKUP(CW$2,Valores!$H$2:$P$154,8,0)</f>
        <v>#VALUE!</v>
      </c>
      <c r="CX111" s="27" t="e">
        <f aca="false">SUMIF($C$2:$F$2,EOMONTH(CX$2,-1)+1,$C111:$F111)*VLOOKUP(CX$2,Valores!$H$2:$P$154,8,0)</f>
        <v>#VALUE!</v>
      </c>
      <c r="CY111" s="27" t="e">
        <f aca="false">SUMIF($C$2:$F$2,EOMONTH(CY$2,-1)+1,$C111:$F111)*VLOOKUP(CY$2,Valores!$H$2:$P$154,8,0)</f>
        <v>#VALUE!</v>
      </c>
      <c r="CZ111" s="27" t="e">
        <f aca="false">SUMIF($C$2:$F$2,EOMONTH(CZ$2,-1)+1,$C111:$F111)*VLOOKUP(CZ$2,Valores!$H$2:$P$154,8,0)</f>
        <v>#VALUE!</v>
      </c>
      <c r="DA111" s="27" t="e">
        <f aca="false">SUMIF($C$2:$F$2,EOMONTH(DA$2,-1)+1,$C111:$F111)*VLOOKUP(DA$2,Valores!$H$2:$P$154,8,0)</f>
        <v>#VALUE!</v>
      </c>
      <c r="DB111" s="27" t="e">
        <f aca="false">SUMIF($C$2:$F$2,EOMONTH(DB$2,-1)+1,$C111:$F111)*VLOOKUP(DB$2,Valores!$H$2:$P$154,8,0)</f>
        <v>#VALUE!</v>
      </c>
      <c r="DC111" s="27" t="e">
        <f aca="false">SUMIF($C$2:$F$2,EOMONTH(DC$2,-1)+1,$C111:$F111)*VLOOKUP(DC$2,Valores!$H$2:$P$154,8,0)</f>
        <v>#VALUE!</v>
      </c>
      <c r="DD111" s="27" t="e">
        <f aca="false">SUMIF($C$2:$F$2,EOMONTH(DD$2,-1)+1,$C111:$F111)*VLOOKUP(DD$2,Valores!$H$2:$P$154,8,0)</f>
        <v>#VALUE!</v>
      </c>
      <c r="DE111" s="27" t="e">
        <f aca="false">SUMIF($C$2:$F$2,EOMONTH(DE$2,-1)+1,$C111:$F111)*VLOOKUP(DE$2,Valores!$H$2:$P$154,8,0)</f>
        <v>#VALUE!</v>
      </c>
      <c r="DF111" s="27" t="e">
        <f aca="false">SUMIF($C$2:$F$2,EOMONTH(DF$2,-1)+1,$C111:$F111)*VLOOKUP(DF$2,Valores!$H$2:$P$154,8,0)</f>
        <v>#VALUE!</v>
      </c>
      <c r="DG111" s="27" t="e">
        <f aca="false">SUMIF($C$2:$F$2,EOMONTH(DG$2,-1)+1,$C111:$F111)*VLOOKUP(DG$2,Valores!$H$2:$P$154,8,0)</f>
        <v>#VALUE!</v>
      </c>
      <c r="DH111" s="27" t="e">
        <f aca="false">SUMIF($C$2:$F$2,EOMONTH(DH$2,-1)+1,$C111:$F111)*VLOOKUP(DH$2,Valores!$H$2:$P$154,8,0)</f>
        <v>#VALUE!</v>
      </c>
      <c r="DI111" s="27" t="e">
        <f aca="false">SUMIF($C$2:$F$2,EOMONTH(DI$2,-1)+1,$C111:$F111)*VLOOKUP(DI$2,Valores!$H$2:$P$154,8,0)</f>
        <v>#VALUE!</v>
      </c>
      <c r="DJ111" s="27" t="e">
        <f aca="false">SUMIF($C$2:$F$2,EOMONTH(DJ$2,-1)+1,$C111:$F111)*VLOOKUP(DJ$2,Valores!$H$2:$P$154,8,0)</f>
        <v>#VALUE!</v>
      </c>
      <c r="DK111" s="27" t="e">
        <f aca="false">SUMIF($C$2:$F$2,EOMONTH(DK$2,-1)+1,$C111:$F111)*VLOOKUP(DK$2,Valores!$H$2:$P$154,8,0)</f>
        <v>#VALUE!</v>
      </c>
      <c r="DL111" s="27" t="e">
        <f aca="false">SUMIF($C$2:$F$2,EOMONTH(DL$2,-1)+1,$C111:$F111)*VLOOKUP(DL$2,Valores!$H$2:$P$154,8,0)</f>
        <v>#VALUE!</v>
      </c>
      <c r="DM111" s="27" t="e">
        <f aca="false">SUMIF($C$2:$F$2,EOMONTH(DM$2,-1)+1,$C111:$F111)*VLOOKUP(DM$2,Valores!$H$2:$P$154,8,0)</f>
        <v>#VALUE!</v>
      </c>
      <c r="DN111" s="27" t="e">
        <f aca="false">SUMIF($C$2:$F$2,EOMONTH(DN$2,-1)+1,$C111:$F111)*VLOOKUP(DN$2,Valores!$H$2:$P$154,8,0)</f>
        <v>#VALUE!</v>
      </c>
      <c r="DO111" s="27" t="e">
        <f aca="false">SUMIF($C$2:$F$2,EOMONTH(DO$2,-1)+1,$C111:$F111)*VLOOKUP(DO$2,Valores!$H$2:$P$154,8,0)</f>
        <v>#VALUE!</v>
      </c>
      <c r="DP111" s="27" t="e">
        <f aca="false">SUMIF($C$2:$F$2,EOMONTH(DP$2,-1)+1,$C111:$F111)*VLOOKUP(DP$2,Valores!$H$2:$P$154,8,0)</f>
        <v>#VALUE!</v>
      </c>
      <c r="DQ111" s="27" t="e">
        <f aca="false">SUMIF($C$2:$F$2,EOMONTH(DQ$2,-1)+1,$C111:$F111)*VLOOKUP(DQ$2,Valores!$H$2:$P$154,8,0)</f>
        <v>#VALUE!</v>
      </c>
      <c r="DR111" s="27" t="e">
        <f aca="false">SUMIF($C$2:$F$2,EOMONTH(DR$2,-1)+1,$C111:$F111)*VLOOKUP(DR$2,Valores!$H$2:$P$154,8,0)</f>
        <v>#VALUE!</v>
      </c>
      <c r="DS111" s="27" t="e">
        <f aca="false">SUMIF($C$2:$F$2,EOMONTH(DS$2,-1)+1,$C111:$F111)*VLOOKUP(DS$2,Valores!$H$2:$P$154,8,0)</f>
        <v>#VALUE!</v>
      </c>
      <c r="DT111" s="27" t="e">
        <f aca="false">SUMIF($C$2:$F$2,EOMONTH(DT$2,-1)+1,$C111:$F111)*VLOOKUP(DT$2,Valores!$H$2:$P$154,8,0)</f>
        <v>#VALUE!</v>
      </c>
      <c r="DU111" s="27" t="e">
        <f aca="false">SUMIF($C$2:$F$2,EOMONTH(DU$2,-1)+1,$C111:$F111)*VLOOKUP(DU$2,Valores!$H$2:$P$154,8,0)</f>
        <v>#VALUE!</v>
      </c>
      <c r="DV111" s="27" t="e">
        <f aca="false">SUMIF($C$2:$F$2,EOMONTH(DV$2,-1)+1,$C111:$F111)*VLOOKUP(DV$2,Valores!$H$2:$P$154,8,0)</f>
        <v>#VALUE!</v>
      </c>
      <c r="DW111" s="27" t="e">
        <f aca="false">SUMIF($C$2:$F$2,EOMONTH(DW$2,-1)+1,$C111:$F111)*VLOOKUP(DW$2,Valores!$H$2:$P$154,8,0)</f>
        <v>#VALUE!</v>
      </c>
      <c r="DX111" s="27" t="e">
        <f aca="false">SUMIF($C$2:$F$2,EOMONTH(DX$2,-1)+1,$C111:$F111)*VLOOKUP(DX$2,Valores!$H$2:$P$154,8,0)</f>
        <v>#VALUE!</v>
      </c>
    </row>
    <row r="112" customFormat="false" ht="13.8" hidden="false" customHeight="false" outlineLevel="0" collapsed="false">
      <c r="A112" s="29"/>
      <c r="B112" s="29"/>
      <c r="C112" s="29"/>
      <c r="D112" s="29"/>
      <c r="E112" s="29"/>
      <c r="F112" s="29"/>
      <c r="G112" s="30" t="n">
        <f aca="false">SUMIF($C$2:$F$2,EOMONTH(G$2,-1)+1,$C112:$F112)*VLOOKUP(G$2,Valores!$H$2:$P$154,8,0)</f>
        <v>0</v>
      </c>
      <c r="H112" s="30" t="n">
        <f aca="false">SUMIF($C$2:$F$2,EOMONTH(H$2,-1)+1,$C112:$F112)*VLOOKUP(H$2,Valores!$H$2:$P$154,8,0)</f>
        <v>0</v>
      </c>
      <c r="I112" s="30" t="n">
        <f aca="false">SUMIF($C$2:$F$2,EOMONTH(I$2,-1)+1,$C112:$F112)*VLOOKUP(I$2,Valores!$H$2:$P$154,8,0)</f>
        <v>0</v>
      </c>
      <c r="J112" s="30" t="n">
        <f aca="false">SUMIF($C$2:$F$2,EOMONTH(J$2,-1)+1,$C112:$F112)*VLOOKUP(J$2,Valores!$H$2:$P$154,8,0)</f>
        <v>0</v>
      </c>
      <c r="K112" s="30" t="n">
        <f aca="false">SUMIF($C$2:$F$2,EOMONTH(K$2,-1)+1,$C112:$F112)*VLOOKUP(K$2,Valores!$H$2:$P$154,8,0)</f>
        <v>0</v>
      </c>
      <c r="L112" s="30" t="n">
        <f aca="false">SUMIF($C$2:$F$2,EOMONTH(L$2,-1)+1,$C112:$F112)*VLOOKUP(L$2,Valores!$H$2:$P$154,8,0)</f>
        <v>0</v>
      </c>
      <c r="M112" s="30" t="n">
        <f aca="false">SUMIF($C$2:$F$2,EOMONTH(M$2,-1)+1,$C112:$F112)*VLOOKUP(M$2,Valores!$H$2:$P$154,8,0)</f>
        <v>0</v>
      </c>
      <c r="N112" s="30" t="n">
        <f aca="false">SUMIF($C$2:$F$2,EOMONTH(N$2,-1)+1,$C112:$F112)*VLOOKUP(N$2,Valores!$H$2:$P$154,8,0)</f>
        <v>0</v>
      </c>
      <c r="O112" s="30" t="n">
        <f aca="false">SUMIF($C$2:$F$2,EOMONTH(O$2,-1)+1,$C112:$F112)*VLOOKUP(O$2,Valores!$H$2:$P$154,8,0)</f>
        <v>0</v>
      </c>
      <c r="P112" s="30" t="n">
        <f aca="false">SUMIF($C$2:$F$2,EOMONTH(P$2,-1)+1,$C112:$F112)*VLOOKUP(P$2,Valores!$H$2:$P$154,8,0)</f>
        <v>0</v>
      </c>
      <c r="Q112" s="30" t="n">
        <f aca="false">SUMIF($C$2:$F$2,EOMONTH(Q$2,-1)+1,$C112:$F112)*VLOOKUP(Q$2,Valores!$H$2:$P$154,8,0)</f>
        <v>0</v>
      </c>
      <c r="R112" s="30" t="n">
        <f aca="false">SUMIF($C$2:$F$2,EOMONTH(R$2,-1)+1,$C112:$F112)*VLOOKUP(R$2,Valores!$H$2:$P$154,8,0)</f>
        <v>0</v>
      </c>
      <c r="S112" s="30" t="n">
        <f aca="false">SUMIF($C$2:$F$2,EOMONTH(S$2,-1)+1,$C112:$F112)*VLOOKUP(S$2,Valores!$H$2:$P$154,8,0)</f>
        <v>0</v>
      </c>
      <c r="T112" s="30" t="n">
        <f aca="false">SUMIF($C$2:$F$2,EOMONTH(T$2,-1)+1,$C112:$F112)*VLOOKUP(T$2,Valores!$H$2:$P$154,8,0)</f>
        <v>0</v>
      </c>
      <c r="U112" s="30" t="n">
        <f aca="false">SUMIF($C$2:$F$2,EOMONTH(U$2,-1)+1,$C112:$F112)*VLOOKUP(U$2,Valores!$H$2:$P$154,8,0)</f>
        <v>0</v>
      </c>
      <c r="V112" s="30" t="n">
        <f aca="false">SUMIF($C$2:$F$2,EOMONTH(V$2,-1)+1,$C112:$F112)*VLOOKUP(V$2,Valores!$H$2:$P$154,8,0)</f>
        <v>0</v>
      </c>
      <c r="W112" s="30" t="n">
        <f aca="false">SUMIF($C$2:$F$2,EOMONTH(W$2,-1)+1,$C112:$F112)*VLOOKUP(W$2,Valores!$H$2:$P$154,8,0)</f>
        <v>0</v>
      </c>
      <c r="X112" s="30" t="n">
        <f aca="false">SUMIF($C$2:$F$2,EOMONTH(X$2,-1)+1,$C112:$F112)*VLOOKUP(X$2,Valores!$H$2:$P$154,8,0)</f>
        <v>0</v>
      </c>
      <c r="Y112" s="30" t="n">
        <f aca="false">SUMIF($C$2:$F$2,EOMONTH(Y$2,-1)+1,$C112:$F112)*VLOOKUP(Y$2,Valores!$H$2:$P$154,8,0)</f>
        <v>0</v>
      </c>
      <c r="Z112" s="30" t="n">
        <f aca="false">SUMIF($C$2:$F$2,EOMONTH(Z$2,-1)+1,$C112:$F112)*VLOOKUP(Z$2,Valores!$H$2:$P$154,8,0)</f>
        <v>0</v>
      </c>
      <c r="AA112" s="30" t="n">
        <f aca="false">SUMIF($C$2:$F$2,EOMONTH(AA$2,-1)+1,$C112:$F112)*VLOOKUP(AA$2,Valores!$H$2:$P$154,8,0)</f>
        <v>0</v>
      </c>
      <c r="AB112" s="30" t="n">
        <f aca="false">SUMIF($C$2:$F$2,EOMONTH(AB$2,-1)+1,$C112:$F112)*VLOOKUP(AB$2,Valores!$H$2:$P$154,8,0)</f>
        <v>0</v>
      </c>
      <c r="AC112" s="30" t="n">
        <f aca="false">SUMIF($C$2:$F$2,EOMONTH(AC$2,-1)+1,$C112:$F112)*VLOOKUP(AC$2,Valores!$H$2:$P$154,8,0)</f>
        <v>0</v>
      </c>
      <c r="AD112" s="30" t="n">
        <f aca="false">SUMIF($C$2:$F$2,EOMONTH(AD$2,-1)+1,$C112:$F112)*VLOOKUP(AD$2,Valores!$H$2:$P$154,8,0)</f>
        <v>0</v>
      </c>
      <c r="AE112" s="30" t="n">
        <f aca="false">SUMIF($C$2:$F$2,EOMONTH(AE$2,-1)+1,$C112:$F112)*VLOOKUP(AE$2,Valores!$H$2:$P$154,8,0)</f>
        <v>0</v>
      </c>
      <c r="AF112" s="30" t="n">
        <f aca="false">SUMIF($C$2:$F$2,EOMONTH(AF$2,-1)+1,$C112:$F112)*VLOOKUP(AF$2,Valores!$H$2:$P$154,8,0)</f>
        <v>0</v>
      </c>
      <c r="AG112" s="30" t="n">
        <f aca="false">SUMIF($C$2:$F$2,EOMONTH(AG$2,-1)+1,$C112:$F112)*VLOOKUP(AG$2,Valores!$H$2:$P$154,8,0)</f>
        <v>0</v>
      </c>
      <c r="AH112" s="30" t="n">
        <f aca="false">SUMIF($C$2:$F$2,EOMONTH(AH$2,-1)+1,$C112:$F112)*VLOOKUP(AH$2,Valores!$H$2:$P$154,8,0)</f>
        <v>0</v>
      </c>
      <c r="AI112" s="30" t="n">
        <f aca="false">SUMIF($C$2:$F$2,EOMONTH(AI$2,-1)+1,$C112:$F112)*VLOOKUP(AI$2,Valores!$H$2:$P$154,8,0)</f>
        <v>0</v>
      </c>
      <c r="AJ112" s="30" t="n">
        <f aca="false">SUMIF($C$2:$F$2,EOMONTH(AJ$2,-1)+1,$C112:$F112)*VLOOKUP(AJ$2,Valores!$H$2:$P$154,8,0)</f>
        <v>0</v>
      </c>
      <c r="AK112" s="30" t="n">
        <f aca="false">SUMIF($C$2:$F$2,EOMONTH(AK$2,-1)+1,$C112:$F112)*VLOOKUP(AK$2,Valores!$H$2:$P$154,8,0)</f>
        <v>0</v>
      </c>
      <c r="AL112" s="30" t="n">
        <f aca="false">SUMIF($C$2:$F$2,EOMONTH(AL$2,-1)+1,$C112:$F112)*VLOOKUP(AL$2,Valores!$H$2:$P$154,8,0)</f>
        <v>0</v>
      </c>
      <c r="AM112" s="30" t="n">
        <f aca="false">SUMIF($C$2:$F$2,EOMONTH(AM$2,-1)+1,$C112:$F112)*VLOOKUP(AM$2,Valores!$H$2:$P$154,8,0)</f>
        <v>0</v>
      </c>
      <c r="AN112" s="30" t="n">
        <f aca="false">SUMIF($C$2:$F$2,EOMONTH(AN$2,-1)+1,$C112:$F112)*VLOOKUP(AN$2,Valores!$H$2:$P$154,8,0)</f>
        <v>0</v>
      </c>
      <c r="AO112" s="30" t="n">
        <f aca="false">SUMIF($C$2:$F$2,EOMONTH(AO$2,-1)+1,$C112:$F112)*VLOOKUP(AO$2,Valores!$H$2:$P$154,8,0)</f>
        <v>0</v>
      </c>
      <c r="AP112" s="30" t="n">
        <f aca="false">SUMIF($C$2:$F$2,EOMONTH(AP$2,-1)+1,$C112:$F112)*VLOOKUP(AP$2,Valores!$H$2:$P$154,8,0)</f>
        <v>0</v>
      </c>
      <c r="AQ112" s="30" t="n">
        <f aca="false">SUMIF($C$2:$F$2,EOMONTH(AQ$2,-1)+1,$C112:$F112)*VLOOKUP(AQ$2,Valores!$H$2:$P$154,8,0)</f>
        <v>0</v>
      </c>
      <c r="AR112" s="30" t="n">
        <f aca="false">SUMIF($C$2:$F$2,EOMONTH(AR$2,-1)+1,$C112:$F112)*VLOOKUP(AR$2,Valores!$H$2:$P$154,8,0)</f>
        <v>0</v>
      </c>
      <c r="AS112" s="30" t="n">
        <f aca="false">SUMIF($C$2:$F$2,EOMONTH(AS$2,-1)+1,$C112:$F112)*VLOOKUP(AS$2,Valores!$H$2:$P$154,8,0)</f>
        <v>0</v>
      </c>
      <c r="AT112" s="30" t="n">
        <f aca="false">SUMIF($C$2:$F$2,EOMONTH(AT$2,-1)+1,$C112:$F112)*VLOOKUP(AT$2,Valores!$H$2:$P$154,8,0)</f>
        <v>0</v>
      </c>
      <c r="AU112" s="30" t="n">
        <f aca="false">SUMIF($C$2:$F$2,EOMONTH(AU$2,-1)+1,$C112:$F112)*VLOOKUP(AU$2,Valores!$H$2:$P$154,8,0)</f>
        <v>0</v>
      </c>
      <c r="AV112" s="30" t="n">
        <f aca="false">SUMIF($C$2:$F$2,EOMONTH(AV$2,-1)+1,$C112:$F112)*VLOOKUP(AV$2,Valores!$H$2:$P$154,8,0)</f>
        <v>0</v>
      </c>
      <c r="AW112" s="30" t="n">
        <f aca="false">SUMIF($C$2:$F$2,EOMONTH(AW$2,-1)+1,$C112:$F112)*VLOOKUP(AW$2,Valores!$H$2:$P$154,8,0)</f>
        <v>0</v>
      </c>
      <c r="AX112" s="30" t="n">
        <f aca="false">SUMIF($C$2:$F$2,EOMONTH(AX$2,-1)+1,$C112:$F112)*VLOOKUP(AX$2,Valores!$H$2:$P$154,8,0)</f>
        <v>0</v>
      </c>
      <c r="AY112" s="30" t="n">
        <f aca="false">SUMIF($C$2:$F$2,EOMONTH(AY$2,-1)+1,$C112:$F112)*VLOOKUP(AY$2,Valores!$H$2:$P$154,8,0)</f>
        <v>0</v>
      </c>
      <c r="AZ112" s="30" t="n">
        <f aca="false">SUMIF($C$2:$F$2,EOMONTH(AZ$2,-1)+1,$C112:$F112)*VLOOKUP(AZ$2,Valores!$H$2:$P$154,8,0)</f>
        <v>0</v>
      </c>
      <c r="BA112" s="30" t="n">
        <f aca="false">SUMIF($C$2:$F$2,EOMONTH(BA$2,-1)+1,$C112:$F112)*VLOOKUP(BA$2,Valores!$H$2:$P$154,8,0)</f>
        <v>0</v>
      </c>
      <c r="BB112" s="30" t="n">
        <f aca="false">SUMIF($C$2:$F$2,EOMONTH(BB$2,-1)+1,$C112:$F112)*VLOOKUP(BB$2,Valores!$H$2:$P$154,8,0)</f>
        <v>0</v>
      </c>
      <c r="BC112" s="30" t="n">
        <f aca="false">SUMIF($C$2:$F$2,EOMONTH(BC$2,-1)+1,$C112:$F112)*VLOOKUP(BC$2,Valores!$H$2:$P$154,8,0)</f>
        <v>0</v>
      </c>
      <c r="BD112" s="30" t="n">
        <f aca="false">SUMIF($C$2:$F$2,EOMONTH(BD$2,-1)+1,$C112:$F112)*VLOOKUP(BD$2,Valores!$H$2:$P$154,8,0)</f>
        <v>0</v>
      </c>
      <c r="BE112" s="30" t="n">
        <f aca="false">SUMIF($C$2:$F$2,EOMONTH(BE$2,-1)+1,$C112:$F112)*VLOOKUP(BE$2,Valores!$H$2:$P$154,8,0)</f>
        <v>0</v>
      </c>
      <c r="BF112" s="30" t="n">
        <f aca="false">SUMIF($C$2:$F$2,EOMONTH(BF$2,-1)+1,$C112:$F112)*VLOOKUP(BF$2,Valores!$H$2:$P$154,8,0)</f>
        <v>0</v>
      </c>
      <c r="BG112" s="30" t="n">
        <f aca="false">SUMIF($C$2:$F$2,EOMONTH(BG$2,-1)+1,$C112:$F112)*VLOOKUP(BG$2,Valores!$H$2:$P$154,8,0)</f>
        <v>0</v>
      </c>
      <c r="BH112" s="30" t="n">
        <f aca="false">SUMIF($C$2:$F$2,EOMONTH(BH$2,-1)+1,$C112:$F112)*VLOOKUP(BH$2,Valores!$H$2:$P$154,8,0)</f>
        <v>0</v>
      </c>
      <c r="BI112" s="30" t="n">
        <f aca="false">SUMIF($C$2:$F$2,EOMONTH(BI$2,-1)+1,$C112:$F112)*VLOOKUP(BI$2,Valores!$H$2:$P$154,8,0)</f>
        <v>0</v>
      </c>
      <c r="BJ112" s="30" t="n">
        <f aca="false">SUMIF($C$2:$F$2,EOMONTH(BJ$2,-1)+1,$C112:$F112)*VLOOKUP(BJ$2,Valores!$H$2:$P$154,8,0)</f>
        <v>0</v>
      </c>
      <c r="BK112" s="30" t="n">
        <f aca="false">SUMIF($C$2:$F$2,EOMONTH(BK$2,-1)+1,$C112:$F112)*VLOOKUP(BK$2,Valores!$H$2:$P$154,8,0)</f>
        <v>0</v>
      </c>
      <c r="BL112" s="30" t="n">
        <f aca="false">SUMIF($C$2:$F$2,EOMONTH(BL$2,-1)+1,$C112:$F112)*VLOOKUP(BL$2,Valores!$H$2:$P$154,8,0)</f>
        <v>0</v>
      </c>
      <c r="BM112" s="30" t="n">
        <f aca="false">SUMIF($C$2:$F$2,EOMONTH(BM$2,-1)+1,$C112:$F112)*VLOOKUP(BM$2,Valores!$H$2:$P$154,8,0)</f>
        <v>0</v>
      </c>
      <c r="BN112" s="30" t="n">
        <f aca="false">SUMIF($C$2:$F$2,EOMONTH(BN$2,-1)+1,$C112:$F112)*VLOOKUP(BN$2,Valores!$H$2:$P$154,8,0)</f>
        <v>0</v>
      </c>
      <c r="BO112" s="30" t="n">
        <f aca="false">SUMIF($C$2:$F$2,EOMONTH(BO$2,-1)+1,$C112:$F112)*VLOOKUP(BO$2,Valores!$H$2:$P$154,8,0)</f>
        <v>0</v>
      </c>
      <c r="BP112" s="30" t="n">
        <f aca="false">SUMIF($C$2:$F$2,EOMONTH(BP$2,-1)+1,$C112:$F112)*VLOOKUP(BP$2,Valores!$H$2:$P$154,8,0)</f>
        <v>0</v>
      </c>
      <c r="BQ112" s="30" t="n">
        <f aca="false">SUMIF($C$2:$F$2,EOMONTH(BQ$2,-1)+1,$C112:$F112)*VLOOKUP(BQ$2,Valores!$H$2:$P$154,8,0)</f>
        <v>0</v>
      </c>
      <c r="BR112" s="30" t="n">
        <f aca="false">SUMIF($C$2:$F$2,EOMONTH(BR$2,-1)+1,$C112:$F112)*VLOOKUP(BR$2,Valores!$H$2:$P$154,8,0)</f>
        <v>0</v>
      </c>
      <c r="BS112" s="30" t="n">
        <f aca="false">SUMIF($C$2:$F$2,EOMONTH(BS$2,-1)+1,$C112:$F112)*VLOOKUP(BS$2,Valores!$H$2:$P$154,8,0)</f>
        <v>0</v>
      </c>
      <c r="BT112" s="30" t="n">
        <f aca="false">SUMIF($C$2:$F$2,EOMONTH(BT$2,-1)+1,$C112:$F112)*VLOOKUP(BT$2,Valores!$H$2:$P$154,8,0)</f>
        <v>0</v>
      </c>
      <c r="BU112" s="30" t="n">
        <f aca="false">SUMIF($C$2:$F$2,EOMONTH(BU$2,-1)+1,$C112:$F112)*VLOOKUP(BU$2,Valores!$H$2:$P$154,8,0)</f>
        <v>0</v>
      </c>
      <c r="BV112" s="30" t="n">
        <f aca="false">SUMIF($C$2:$F$2,EOMONTH(BV$2,-1)+1,$C112:$F112)*VLOOKUP(BV$2,Valores!$H$2:$P$154,8,0)</f>
        <v>0</v>
      </c>
      <c r="BW112" s="30" t="n">
        <f aca="false">SUMIF($C$2:$F$2,EOMONTH(BW$2,-1)+1,$C112:$F112)*VLOOKUP(BW$2,Valores!$H$2:$P$154,8,0)</f>
        <v>0</v>
      </c>
      <c r="BX112" s="30" t="n">
        <f aca="false">SUMIF($C$2:$F$2,EOMONTH(BX$2,-1)+1,$C112:$F112)*VLOOKUP(BX$2,Valores!$H$2:$P$154,8,0)</f>
        <v>0</v>
      </c>
      <c r="BY112" s="30" t="n">
        <f aca="false">SUMIF($C$2:$F$2,EOMONTH(BY$2,-1)+1,$C112:$F112)*VLOOKUP(BY$2,Valores!$H$2:$P$154,8,0)</f>
        <v>0</v>
      </c>
      <c r="BZ112" s="30" t="n">
        <f aca="false">SUMIF($C$2:$F$2,EOMONTH(BZ$2,-1)+1,$C112:$F112)*VLOOKUP(BZ$2,Valores!$H$2:$P$154,8,0)</f>
        <v>0</v>
      </c>
      <c r="CA112" s="30" t="n">
        <f aca="false">SUMIF($C$2:$F$2,EOMONTH(CA$2,-1)+1,$C112:$F112)*VLOOKUP(CA$2,Valores!$H$2:$P$154,8,0)</f>
        <v>0</v>
      </c>
      <c r="CB112" s="30" t="n">
        <f aca="false">SUMIF($C$2:$F$2,EOMONTH(CB$2,-1)+1,$C112:$F112)*VLOOKUP(CB$2,Valores!$H$2:$P$154,8,0)</f>
        <v>0</v>
      </c>
      <c r="CC112" s="30" t="n">
        <f aca="false">SUMIF($C$2:$F$2,EOMONTH(CC$2,-1)+1,$C112:$F112)*VLOOKUP(CC$2,Valores!$H$2:$P$154,8,0)</f>
        <v>0</v>
      </c>
      <c r="CD112" s="30" t="n">
        <f aca="false">SUMIF($C$2:$F$2,EOMONTH(CD$2,-1)+1,$C112:$F112)*VLOOKUP(CD$2,Valores!$H$2:$P$154,8,0)</f>
        <v>0</v>
      </c>
      <c r="CE112" s="30" t="n">
        <f aca="false">SUMIF($C$2:$F$2,EOMONTH(CE$2,-1)+1,$C112:$F112)*VLOOKUP(CE$2,Valores!$H$2:$P$154,8,0)</f>
        <v>0</v>
      </c>
      <c r="CF112" s="30" t="n">
        <f aca="false">SUMIF($C$2:$F$2,EOMONTH(CF$2,-1)+1,$C112:$F112)*VLOOKUP(CF$2,Valores!$H$2:$P$154,8,0)</f>
        <v>0</v>
      </c>
      <c r="CG112" s="30" t="n">
        <f aca="false">SUMIF($C$2:$F$2,EOMONTH(CG$2,-1)+1,$C112:$F112)*VLOOKUP(CG$2,Valores!$H$2:$P$154,8,0)</f>
        <v>0</v>
      </c>
      <c r="CH112" s="30" t="n">
        <f aca="false">SUMIF($C$2:$F$2,EOMONTH(CH$2,-1)+1,$C112:$F112)*VLOOKUP(CH$2,Valores!$H$2:$P$154,8,0)</f>
        <v>0</v>
      </c>
      <c r="CI112" s="30" t="n">
        <f aca="false">SUMIF($C$2:$F$2,EOMONTH(CI$2,-1)+1,$C112:$F112)*VLOOKUP(CI$2,Valores!$H$2:$P$154,8,0)</f>
        <v>0</v>
      </c>
      <c r="CJ112" s="30" t="n">
        <f aca="false">SUMIF($C$2:$F$2,EOMONTH(CJ$2,-1)+1,$C112:$F112)*VLOOKUP(CJ$2,Valores!$H$2:$P$154,8,0)</f>
        <v>0</v>
      </c>
      <c r="CK112" s="30" t="n">
        <f aca="false">SUMIF($C$2:$F$2,EOMONTH(CK$2,-1)+1,$C112:$F112)*VLOOKUP(CK$2,Valores!$H$2:$P$154,8,0)</f>
        <v>0</v>
      </c>
      <c r="CL112" s="30" t="n">
        <f aca="false">SUMIF($C$2:$F$2,EOMONTH(CL$2,-1)+1,$C112:$F112)*VLOOKUP(CL$2,Valores!$H$2:$P$154,8,0)</f>
        <v>0</v>
      </c>
      <c r="CM112" s="30" t="n">
        <f aca="false">SUMIF($C$2:$F$2,EOMONTH(CM$2,-1)+1,$C112:$F112)*VLOOKUP(CM$2,Valores!$H$2:$P$154,8,0)</f>
        <v>0</v>
      </c>
      <c r="CN112" s="30" t="n">
        <f aca="false">SUMIF($C$2:$F$2,EOMONTH(CN$2,-1)+1,$C112:$F112)*VLOOKUP(CN$2,Valores!$H$2:$P$154,8,0)</f>
        <v>0</v>
      </c>
      <c r="CO112" s="30" t="n">
        <f aca="false">SUMIF($C$2:$F$2,EOMONTH(CO$2,-1)+1,$C112:$F112)*VLOOKUP(CO$2,Valores!$H$2:$P$154,8,0)</f>
        <v>0</v>
      </c>
      <c r="CP112" s="30" t="n">
        <f aca="false">SUMIF($C$2:$F$2,EOMONTH(CP$2,-1)+1,$C112:$F112)*VLOOKUP(CP$2,Valores!$H$2:$P$154,8,0)</f>
        <v>0</v>
      </c>
      <c r="CQ112" s="30" t="n">
        <f aca="false">SUMIF($C$2:$F$2,EOMONTH(CQ$2,-1)+1,$C112:$F112)*VLOOKUP(CQ$2,Valores!$H$2:$P$154,8,0)</f>
        <v>0</v>
      </c>
      <c r="CR112" s="30" t="n">
        <f aca="false">SUMIF($C$2:$F$2,EOMONTH(CR$2,-1)+1,$C112:$F112)*VLOOKUP(CR$2,Valores!$H$2:$P$154,8,0)</f>
        <v>0</v>
      </c>
      <c r="CS112" s="30" t="n">
        <f aca="false">SUMIF($C$2:$F$2,EOMONTH(CS$2,-1)+1,$C112:$F112)*VLOOKUP(CS$2,Valores!$H$2:$P$154,8,0)</f>
        <v>0</v>
      </c>
      <c r="CT112" s="30" t="e">
        <f aca="false">SUMIF($C$2:$F$2,EOMONTH(CT$2,-1)+1,$C112:$F112)*VLOOKUP(CT$2,Valores!$H$2:$P$154,8,0)</f>
        <v>#VALUE!</v>
      </c>
      <c r="CU112" s="30" t="e">
        <f aca="false">SUMIF($C$2:$F$2,EOMONTH(CU$2,-1)+1,$C112:$F112)*VLOOKUP(CU$2,Valores!$H$2:$P$154,8,0)</f>
        <v>#VALUE!</v>
      </c>
      <c r="CV112" s="30" t="e">
        <f aca="false">SUMIF($C$2:$F$2,EOMONTH(CV$2,-1)+1,$C112:$F112)*VLOOKUP(CV$2,Valores!$H$2:$P$154,8,0)</f>
        <v>#VALUE!</v>
      </c>
      <c r="CW112" s="30" t="e">
        <f aca="false">SUMIF($C$2:$F$2,EOMONTH(CW$2,-1)+1,$C112:$F112)*VLOOKUP(CW$2,Valores!$H$2:$P$154,8,0)</f>
        <v>#VALUE!</v>
      </c>
      <c r="CX112" s="30" t="e">
        <f aca="false">SUMIF($C$2:$F$2,EOMONTH(CX$2,-1)+1,$C112:$F112)*VLOOKUP(CX$2,Valores!$H$2:$P$154,8,0)</f>
        <v>#VALUE!</v>
      </c>
      <c r="CY112" s="30" t="e">
        <f aca="false">SUMIF($C$2:$F$2,EOMONTH(CY$2,-1)+1,$C112:$F112)*VLOOKUP(CY$2,Valores!$H$2:$P$154,8,0)</f>
        <v>#VALUE!</v>
      </c>
      <c r="CZ112" s="30" t="e">
        <f aca="false">SUMIF($C$2:$F$2,EOMONTH(CZ$2,-1)+1,$C112:$F112)*VLOOKUP(CZ$2,Valores!$H$2:$P$154,8,0)</f>
        <v>#VALUE!</v>
      </c>
      <c r="DA112" s="30" t="e">
        <f aca="false">SUMIF($C$2:$F$2,EOMONTH(DA$2,-1)+1,$C112:$F112)*VLOOKUP(DA$2,Valores!$H$2:$P$154,8,0)</f>
        <v>#VALUE!</v>
      </c>
      <c r="DB112" s="30" t="e">
        <f aca="false">SUMIF($C$2:$F$2,EOMONTH(DB$2,-1)+1,$C112:$F112)*VLOOKUP(DB$2,Valores!$H$2:$P$154,8,0)</f>
        <v>#VALUE!</v>
      </c>
      <c r="DC112" s="30" t="e">
        <f aca="false">SUMIF($C$2:$F$2,EOMONTH(DC$2,-1)+1,$C112:$F112)*VLOOKUP(DC$2,Valores!$H$2:$P$154,8,0)</f>
        <v>#VALUE!</v>
      </c>
      <c r="DD112" s="30" t="e">
        <f aca="false">SUMIF($C$2:$F$2,EOMONTH(DD$2,-1)+1,$C112:$F112)*VLOOKUP(DD$2,Valores!$H$2:$P$154,8,0)</f>
        <v>#VALUE!</v>
      </c>
      <c r="DE112" s="30" t="e">
        <f aca="false">SUMIF($C$2:$F$2,EOMONTH(DE$2,-1)+1,$C112:$F112)*VLOOKUP(DE$2,Valores!$H$2:$P$154,8,0)</f>
        <v>#VALUE!</v>
      </c>
      <c r="DF112" s="30" t="e">
        <f aca="false">SUMIF($C$2:$F$2,EOMONTH(DF$2,-1)+1,$C112:$F112)*VLOOKUP(DF$2,Valores!$H$2:$P$154,8,0)</f>
        <v>#VALUE!</v>
      </c>
      <c r="DG112" s="30" t="e">
        <f aca="false">SUMIF($C$2:$F$2,EOMONTH(DG$2,-1)+1,$C112:$F112)*VLOOKUP(DG$2,Valores!$H$2:$P$154,8,0)</f>
        <v>#VALUE!</v>
      </c>
      <c r="DH112" s="30" t="e">
        <f aca="false">SUMIF($C$2:$F$2,EOMONTH(DH$2,-1)+1,$C112:$F112)*VLOOKUP(DH$2,Valores!$H$2:$P$154,8,0)</f>
        <v>#VALUE!</v>
      </c>
      <c r="DI112" s="30" t="e">
        <f aca="false">SUMIF($C$2:$F$2,EOMONTH(DI$2,-1)+1,$C112:$F112)*VLOOKUP(DI$2,Valores!$H$2:$P$154,8,0)</f>
        <v>#VALUE!</v>
      </c>
      <c r="DJ112" s="30" t="e">
        <f aca="false">SUMIF($C$2:$F$2,EOMONTH(DJ$2,-1)+1,$C112:$F112)*VLOOKUP(DJ$2,Valores!$H$2:$P$154,8,0)</f>
        <v>#VALUE!</v>
      </c>
      <c r="DK112" s="30" t="e">
        <f aca="false">SUMIF($C$2:$F$2,EOMONTH(DK$2,-1)+1,$C112:$F112)*VLOOKUP(DK$2,Valores!$H$2:$P$154,8,0)</f>
        <v>#VALUE!</v>
      </c>
      <c r="DL112" s="30" t="e">
        <f aca="false">SUMIF($C$2:$F$2,EOMONTH(DL$2,-1)+1,$C112:$F112)*VLOOKUP(DL$2,Valores!$H$2:$P$154,8,0)</f>
        <v>#VALUE!</v>
      </c>
      <c r="DM112" s="30" t="e">
        <f aca="false">SUMIF($C$2:$F$2,EOMONTH(DM$2,-1)+1,$C112:$F112)*VLOOKUP(DM$2,Valores!$H$2:$P$154,8,0)</f>
        <v>#VALUE!</v>
      </c>
      <c r="DN112" s="30" t="e">
        <f aca="false">SUMIF($C$2:$F$2,EOMONTH(DN$2,-1)+1,$C112:$F112)*VLOOKUP(DN$2,Valores!$H$2:$P$154,8,0)</f>
        <v>#VALUE!</v>
      </c>
      <c r="DO112" s="30" t="e">
        <f aca="false">SUMIF($C$2:$F$2,EOMONTH(DO$2,-1)+1,$C112:$F112)*VLOOKUP(DO$2,Valores!$H$2:$P$154,8,0)</f>
        <v>#VALUE!</v>
      </c>
      <c r="DP112" s="30" t="e">
        <f aca="false">SUMIF($C$2:$F$2,EOMONTH(DP$2,-1)+1,$C112:$F112)*VLOOKUP(DP$2,Valores!$H$2:$P$154,8,0)</f>
        <v>#VALUE!</v>
      </c>
      <c r="DQ112" s="30" t="e">
        <f aca="false">SUMIF($C$2:$F$2,EOMONTH(DQ$2,-1)+1,$C112:$F112)*VLOOKUP(DQ$2,Valores!$H$2:$P$154,8,0)</f>
        <v>#VALUE!</v>
      </c>
      <c r="DR112" s="30" t="e">
        <f aca="false">SUMIF($C$2:$F$2,EOMONTH(DR$2,-1)+1,$C112:$F112)*VLOOKUP(DR$2,Valores!$H$2:$P$154,8,0)</f>
        <v>#VALUE!</v>
      </c>
      <c r="DS112" s="30" t="e">
        <f aca="false">SUMIF($C$2:$F$2,EOMONTH(DS$2,-1)+1,$C112:$F112)*VLOOKUP(DS$2,Valores!$H$2:$P$154,8,0)</f>
        <v>#VALUE!</v>
      </c>
      <c r="DT112" s="30" t="e">
        <f aca="false">SUMIF($C$2:$F$2,EOMONTH(DT$2,-1)+1,$C112:$F112)*VLOOKUP(DT$2,Valores!$H$2:$P$154,8,0)</f>
        <v>#VALUE!</v>
      </c>
      <c r="DU112" s="30" t="e">
        <f aca="false">SUMIF($C$2:$F$2,EOMONTH(DU$2,-1)+1,$C112:$F112)*VLOOKUP(DU$2,Valores!$H$2:$P$154,8,0)</f>
        <v>#VALUE!</v>
      </c>
      <c r="DV112" s="30" t="e">
        <f aca="false">SUMIF($C$2:$F$2,EOMONTH(DV$2,-1)+1,$C112:$F112)*VLOOKUP(DV$2,Valores!$H$2:$P$154,8,0)</f>
        <v>#VALUE!</v>
      </c>
      <c r="DW112" s="30" t="e">
        <f aca="false">SUMIF($C$2:$F$2,EOMONTH(DW$2,-1)+1,$C112:$F112)*VLOOKUP(DW$2,Valores!$H$2:$P$154,8,0)</f>
        <v>#VALUE!</v>
      </c>
      <c r="DX112" s="30" t="e">
        <f aca="false">SUMIF($C$2:$F$2,EOMONTH(DX$2,-1)+1,$C112:$F112)*VLOOKUP(DX$2,Valores!$H$2:$P$154,8,0)</f>
        <v>#VALUE!</v>
      </c>
    </row>
    <row r="113" customFormat="false" ht="13.8" hidden="false" customHeight="false" outlineLevel="0" collapsed="false">
      <c r="A113" s="31"/>
      <c r="B113" s="31"/>
      <c r="C113" s="31"/>
      <c r="D113" s="31"/>
      <c r="E113" s="31"/>
      <c r="F113" s="31"/>
      <c r="G113" s="27" t="n">
        <f aca="false">SUMIF($C$2:$F$2,EOMONTH(G$2,-1)+1,$C113:$F113)*VLOOKUP(G$2,Valores!$H$2:$P$154,8,0)</f>
        <v>0</v>
      </c>
      <c r="H113" s="27" t="n">
        <f aca="false">SUMIF($C$2:$F$2,EOMONTH(H$2,-1)+1,$C113:$F113)*VLOOKUP(H$2,Valores!$H$2:$P$154,8,0)</f>
        <v>0</v>
      </c>
      <c r="I113" s="27" t="n">
        <f aca="false">SUMIF($C$2:$F$2,EOMONTH(I$2,-1)+1,$C113:$F113)*VLOOKUP(I$2,Valores!$H$2:$P$154,8,0)</f>
        <v>0</v>
      </c>
      <c r="J113" s="27" t="n">
        <f aca="false">SUMIF($C$2:$F$2,EOMONTH(J$2,-1)+1,$C113:$F113)*VLOOKUP(J$2,Valores!$H$2:$P$154,8,0)</f>
        <v>0</v>
      </c>
      <c r="K113" s="27" t="n">
        <f aca="false">SUMIF($C$2:$F$2,EOMONTH(K$2,-1)+1,$C113:$F113)*VLOOKUP(K$2,Valores!$H$2:$P$154,8,0)</f>
        <v>0</v>
      </c>
      <c r="L113" s="27" t="n">
        <f aca="false">SUMIF($C$2:$F$2,EOMONTH(L$2,-1)+1,$C113:$F113)*VLOOKUP(L$2,Valores!$H$2:$P$154,8,0)</f>
        <v>0</v>
      </c>
      <c r="M113" s="27" t="n">
        <f aca="false">SUMIF($C$2:$F$2,EOMONTH(M$2,-1)+1,$C113:$F113)*VLOOKUP(M$2,Valores!$H$2:$P$154,8,0)</f>
        <v>0</v>
      </c>
      <c r="N113" s="27" t="n">
        <f aca="false">SUMIF($C$2:$F$2,EOMONTH(N$2,-1)+1,$C113:$F113)*VLOOKUP(N$2,Valores!$H$2:$P$154,8,0)</f>
        <v>0</v>
      </c>
      <c r="O113" s="27" t="n">
        <f aca="false">SUMIF($C$2:$F$2,EOMONTH(O$2,-1)+1,$C113:$F113)*VLOOKUP(O$2,Valores!$H$2:$P$154,8,0)</f>
        <v>0</v>
      </c>
      <c r="P113" s="27" t="n">
        <f aca="false">SUMIF($C$2:$F$2,EOMONTH(P$2,-1)+1,$C113:$F113)*VLOOKUP(P$2,Valores!$H$2:$P$154,8,0)</f>
        <v>0</v>
      </c>
      <c r="Q113" s="27" t="n">
        <f aca="false">SUMIF($C$2:$F$2,EOMONTH(Q$2,-1)+1,$C113:$F113)*VLOOKUP(Q$2,Valores!$H$2:$P$154,8,0)</f>
        <v>0</v>
      </c>
      <c r="R113" s="27" t="n">
        <f aca="false">SUMIF($C$2:$F$2,EOMONTH(R$2,-1)+1,$C113:$F113)*VLOOKUP(R$2,Valores!$H$2:$P$154,8,0)</f>
        <v>0</v>
      </c>
      <c r="S113" s="27" t="n">
        <f aca="false">SUMIF($C$2:$F$2,EOMONTH(S$2,-1)+1,$C113:$F113)*VLOOKUP(S$2,Valores!$H$2:$P$154,8,0)</f>
        <v>0</v>
      </c>
      <c r="T113" s="27" t="n">
        <f aca="false">SUMIF($C$2:$F$2,EOMONTH(T$2,-1)+1,$C113:$F113)*VLOOKUP(T$2,Valores!$H$2:$P$154,8,0)</f>
        <v>0</v>
      </c>
      <c r="U113" s="27" t="n">
        <f aca="false">SUMIF($C$2:$F$2,EOMONTH(U$2,-1)+1,$C113:$F113)*VLOOKUP(U$2,Valores!$H$2:$P$154,8,0)</f>
        <v>0</v>
      </c>
      <c r="V113" s="27" t="n">
        <f aca="false">SUMIF($C$2:$F$2,EOMONTH(V$2,-1)+1,$C113:$F113)*VLOOKUP(V$2,Valores!$H$2:$P$154,8,0)</f>
        <v>0</v>
      </c>
      <c r="W113" s="27" t="n">
        <f aca="false">SUMIF($C$2:$F$2,EOMONTH(W$2,-1)+1,$C113:$F113)*VLOOKUP(W$2,Valores!$H$2:$P$154,8,0)</f>
        <v>0</v>
      </c>
      <c r="X113" s="27" t="n">
        <f aca="false">SUMIF($C$2:$F$2,EOMONTH(X$2,-1)+1,$C113:$F113)*VLOOKUP(X$2,Valores!$H$2:$P$154,8,0)</f>
        <v>0</v>
      </c>
      <c r="Y113" s="27" t="n">
        <f aca="false">SUMIF($C$2:$F$2,EOMONTH(Y$2,-1)+1,$C113:$F113)*VLOOKUP(Y$2,Valores!$H$2:$P$154,8,0)</f>
        <v>0</v>
      </c>
      <c r="Z113" s="27" t="n">
        <f aca="false">SUMIF($C$2:$F$2,EOMONTH(Z$2,-1)+1,$C113:$F113)*VLOOKUP(Z$2,Valores!$H$2:$P$154,8,0)</f>
        <v>0</v>
      </c>
      <c r="AA113" s="27" t="n">
        <f aca="false">SUMIF($C$2:$F$2,EOMONTH(AA$2,-1)+1,$C113:$F113)*VLOOKUP(AA$2,Valores!$H$2:$P$154,8,0)</f>
        <v>0</v>
      </c>
      <c r="AB113" s="27" t="n">
        <f aca="false">SUMIF($C$2:$F$2,EOMONTH(AB$2,-1)+1,$C113:$F113)*VLOOKUP(AB$2,Valores!$H$2:$P$154,8,0)</f>
        <v>0</v>
      </c>
      <c r="AC113" s="27" t="n">
        <f aca="false">SUMIF($C$2:$F$2,EOMONTH(AC$2,-1)+1,$C113:$F113)*VLOOKUP(AC$2,Valores!$H$2:$P$154,8,0)</f>
        <v>0</v>
      </c>
      <c r="AD113" s="27" t="n">
        <f aca="false">SUMIF($C$2:$F$2,EOMONTH(AD$2,-1)+1,$C113:$F113)*VLOOKUP(AD$2,Valores!$H$2:$P$154,8,0)</f>
        <v>0</v>
      </c>
      <c r="AE113" s="27" t="n">
        <f aca="false">SUMIF($C$2:$F$2,EOMONTH(AE$2,-1)+1,$C113:$F113)*VLOOKUP(AE$2,Valores!$H$2:$P$154,8,0)</f>
        <v>0</v>
      </c>
      <c r="AF113" s="27" t="n">
        <f aca="false">SUMIF($C$2:$F$2,EOMONTH(AF$2,-1)+1,$C113:$F113)*VLOOKUP(AF$2,Valores!$H$2:$P$154,8,0)</f>
        <v>0</v>
      </c>
      <c r="AG113" s="27" t="n">
        <f aca="false">SUMIF($C$2:$F$2,EOMONTH(AG$2,-1)+1,$C113:$F113)*VLOOKUP(AG$2,Valores!$H$2:$P$154,8,0)</f>
        <v>0</v>
      </c>
      <c r="AH113" s="27" t="n">
        <f aca="false">SUMIF($C$2:$F$2,EOMONTH(AH$2,-1)+1,$C113:$F113)*VLOOKUP(AH$2,Valores!$H$2:$P$154,8,0)</f>
        <v>0</v>
      </c>
      <c r="AI113" s="27" t="n">
        <f aca="false">SUMIF($C$2:$F$2,EOMONTH(AI$2,-1)+1,$C113:$F113)*VLOOKUP(AI$2,Valores!$H$2:$P$154,8,0)</f>
        <v>0</v>
      </c>
      <c r="AJ113" s="27" t="n">
        <f aca="false">SUMIF($C$2:$F$2,EOMONTH(AJ$2,-1)+1,$C113:$F113)*VLOOKUP(AJ$2,Valores!$H$2:$P$154,8,0)</f>
        <v>0</v>
      </c>
      <c r="AK113" s="27" t="n">
        <f aca="false">SUMIF($C$2:$F$2,EOMONTH(AK$2,-1)+1,$C113:$F113)*VLOOKUP(AK$2,Valores!$H$2:$P$154,8,0)</f>
        <v>0</v>
      </c>
      <c r="AL113" s="27" t="n">
        <f aca="false">SUMIF($C$2:$F$2,EOMONTH(AL$2,-1)+1,$C113:$F113)*VLOOKUP(AL$2,Valores!$H$2:$P$154,8,0)</f>
        <v>0</v>
      </c>
      <c r="AM113" s="27" t="n">
        <f aca="false">SUMIF($C$2:$F$2,EOMONTH(AM$2,-1)+1,$C113:$F113)*VLOOKUP(AM$2,Valores!$H$2:$P$154,8,0)</f>
        <v>0</v>
      </c>
      <c r="AN113" s="27" t="n">
        <f aca="false">SUMIF($C$2:$F$2,EOMONTH(AN$2,-1)+1,$C113:$F113)*VLOOKUP(AN$2,Valores!$H$2:$P$154,8,0)</f>
        <v>0</v>
      </c>
      <c r="AO113" s="27" t="n">
        <f aca="false">SUMIF($C$2:$F$2,EOMONTH(AO$2,-1)+1,$C113:$F113)*VLOOKUP(AO$2,Valores!$H$2:$P$154,8,0)</f>
        <v>0</v>
      </c>
      <c r="AP113" s="27" t="n">
        <f aca="false">SUMIF($C$2:$F$2,EOMONTH(AP$2,-1)+1,$C113:$F113)*VLOOKUP(AP$2,Valores!$H$2:$P$154,8,0)</f>
        <v>0</v>
      </c>
      <c r="AQ113" s="27" t="n">
        <f aca="false">SUMIF($C$2:$F$2,EOMONTH(AQ$2,-1)+1,$C113:$F113)*VLOOKUP(AQ$2,Valores!$H$2:$P$154,8,0)</f>
        <v>0</v>
      </c>
      <c r="AR113" s="27" t="n">
        <f aca="false">SUMIF($C$2:$F$2,EOMONTH(AR$2,-1)+1,$C113:$F113)*VLOOKUP(AR$2,Valores!$H$2:$P$154,8,0)</f>
        <v>0</v>
      </c>
      <c r="AS113" s="27" t="n">
        <f aca="false">SUMIF($C$2:$F$2,EOMONTH(AS$2,-1)+1,$C113:$F113)*VLOOKUP(AS$2,Valores!$H$2:$P$154,8,0)</f>
        <v>0</v>
      </c>
      <c r="AT113" s="27" t="n">
        <f aca="false">SUMIF($C$2:$F$2,EOMONTH(AT$2,-1)+1,$C113:$F113)*VLOOKUP(AT$2,Valores!$H$2:$P$154,8,0)</f>
        <v>0</v>
      </c>
      <c r="AU113" s="27" t="n">
        <f aca="false">SUMIF($C$2:$F$2,EOMONTH(AU$2,-1)+1,$C113:$F113)*VLOOKUP(AU$2,Valores!$H$2:$P$154,8,0)</f>
        <v>0</v>
      </c>
      <c r="AV113" s="27" t="n">
        <f aca="false">SUMIF($C$2:$F$2,EOMONTH(AV$2,-1)+1,$C113:$F113)*VLOOKUP(AV$2,Valores!$H$2:$P$154,8,0)</f>
        <v>0</v>
      </c>
      <c r="AW113" s="27" t="n">
        <f aca="false">SUMIF($C$2:$F$2,EOMONTH(AW$2,-1)+1,$C113:$F113)*VLOOKUP(AW$2,Valores!$H$2:$P$154,8,0)</f>
        <v>0</v>
      </c>
      <c r="AX113" s="27" t="n">
        <f aca="false">SUMIF($C$2:$F$2,EOMONTH(AX$2,-1)+1,$C113:$F113)*VLOOKUP(AX$2,Valores!$H$2:$P$154,8,0)</f>
        <v>0</v>
      </c>
      <c r="AY113" s="27" t="n">
        <f aca="false">SUMIF($C$2:$F$2,EOMONTH(AY$2,-1)+1,$C113:$F113)*VLOOKUP(AY$2,Valores!$H$2:$P$154,8,0)</f>
        <v>0</v>
      </c>
      <c r="AZ113" s="27" t="n">
        <f aca="false">SUMIF($C$2:$F$2,EOMONTH(AZ$2,-1)+1,$C113:$F113)*VLOOKUP(AZ$2,Valores!$H$2:$P$154,8,0)</f>
        <v>0</v>
      </c>
      <c r="BA113" s="27" t="n">
        <f aca="false">SUMIF($C$2:$F$2,EOMONTH(BA$2,-1)+1,$C113:$F113)*VLOOKUP(BA$2,Valores!$H$2:$P$154,8,0)</f>
        <v>0</v>
      </c>
      <c r="BB113" s="27" t="n">
        <f aca="false">SUMIF($C$2:$F$2,EOMONTH(BB$2,-1)+1,$C113:$F113)*VLOOKUP(BB$2,Valores!$H$2:$P$154,8,0)</f>
        <v>0</v>
      </c>
      <c r="BC113" s="27" t="n">
        <f aca="false">SUMIF($C$2:$F$2,EOMONTH(BC$2,-1)+1,$C113:$F113)*VLOOKUP(BC$2,Valores!$H$2:$P$154,8,0)</f>
        <v>0</v>
      </c>
      <c r="BD113" s="27" t="n">
        <f aca="false">SUMIF($C$2:$F$2,EOMONTH(BD$2,-1)+1,$C113:$F113)*VLOOKUP(BD$2,Valores!$H$2:$P$154,8,0)</f>
        <v>0</v>
      </c>
      <c r="BE113" s="27" t="n">
        <f aca="false">SUMIF($C$2:$F$2,EOMONTH(BE$2,-1)+1,$C113:$F113)*VLOOKUP(BE$2,Valores!$H$2:$P$154,8,0)</f>
        <v>0</v>
      </c>
      <c r="BF113" s="27" t="n">
        <f aca="false">SUMIF($C$2:$F$2,EOMONTH(BF$2,-1)+1,$C113:$F113)*VLOOKUP(BF$2,Valores!$H$2:$P$154,8,0)</f>
        <v>0</v>
      </c>
      <c r="BG113" s="27" t="n">
        <f aca="false">SUMIF($C$2:$F$2,EOMONTH(BG$2,-1)+1,$C113:$F113)*VLOOKUP(BG$2,Valores!$H$2:$P$154,8,0)</f>
        <v>0</v>
      </c>
      <c r="BH113" s="27" t="n">
        <f aca="false">SUMIF($C$2:$F$2,EOMONTH(BH$2,-1)+1,$C113:$F113)*VLOOKUP(BH$2,Valores!$H$2:$P$154,8,0)</f>
        <v>0</v>
      </c>
      <c r="BI113" s="27" t="n">
        <f aca="false">SUMIF($C$2:$F$2,EOMONTH(BI$2,-1)+1,$C113:$F113)*VLOOKUP(BI$2,Valores!$H$2:$P$154,8,0)</f>
        <v>0</v>
      </c>
      <c r="BJ113" s="27" t="n">
        <f aca="false">SUMIF($C$2:$F$2,EOMONTH(BJ$2,-1)+1,$C113:$F113)*VLOOKUP(BJ$2,Valores!$H$2:$P$154,8,0)</f>
        <v>0</v>
      </c>
      <c r="BK113" s="27" t="n">
        <f aca="false">SUMIF($C$2:$F$2,EOMONTH(BK$2,-1)+1,$C113:$F113)*VLOOKUP(BK$2,Valores!$H$2:$P$154,8,0)</f>
        <v>0</v>
      </c>
      <c r="BL113" s="27" t="n">
        <f aca="false">SUMIF($C$2:$F$2,EOMONTH(BL$2,-1)+1,$C113:$F113)*VLOOKUP(BL$2,Valores!$H$2:$P$154,8,0)</f>
        <v>0</v>
      </c>
      <c r="BM113" s="27" t="n">
        <f aca="false">SUMIF($C$2:$F$2,EOMONTH(BM$2,-1)+1,$C113:$F113)*VLOOKUP(BM$2,Valores!$H$2:$P$154,8,0)</f>
        <v>0</v>
      </c>
      <c r="BN113" s="27" t="n">
        <f aca="false">SUMIF($C$2:$F$2,EOMONTH(BN$2,-1)+1,$C113:$F113)*VLOOKUP(BN$2,Valores!$H$2:$P$154,8,0)</f>
        <v>0</v>
      </c>
      <c r="BO113" s="27" t="n">
        <f aca="false">SUMIF($C$2:$F$2,EOMONTH(BO$2,-1)+1,$C113:$F113)*VLOOKUP(BO$2,Valores!$H$2:$P$154,8,0)</f>
        <v>0</v>
      </c>
      <c r="BP113" s="27" t="n">
        <f aca="false">SUMIF($C$2:$F$2,EOMONTH(BP$2,-1)+1,$C113:$F113)*VLOOKUP(BP$2,Valores!$H$2:$P$154,8,0)</f>
        <v>0</v>
      </c>
      <c r="BQ113" s="27" t="n">
        <f aca="false">SUMIF($C$2:$F$2,EOMONTH(BQ$2,-1)+1,$C113:$F113)*VLOOKUP(BQ$2,Valores!$H$2:$P$154,8,0)</f>
        <v>0</v>
      </c>
      <c r="BR113" s="27" t="n">
        <f aca="false">SUMIF($C$2:$F$2,EOMONTH(BR$2,-1)+1,$C113:$F113)*VLOOKUP(BR$2,Valores!$H$2:$P$154,8,0)</f>
        <v>0</v>
      </c>
      <c r="BS113" s="27" t="n">
        <f aca="false">SUMIF($C$2:$F$2,EOMONTH(BS$2,-1)+1,$C113:$F113)*VLOOKUP(BS$2,Valores!$H$2:$P$154,8,0)</f>
        <v>0</v>
      </c>
      <c r="BT113" s="27" t="n">
        <f aca="false">SUMIF($C$2:$F$2,EOMONTH(BT$2,-1)+1,$C113:$F113)*VLOOKUP(BT$2,Valores!$H$2:$P$154,8,0)</f>
        <v>0</v>
      </c>
      <c r="BU113" s="27" t="n">
        <f aca="false">SUMIF($C$2:$F$2,EOMONTH(BU$2,-1)+1,$C113:$F113)*VLOOKUP(BU$2,Valores!$H$2:$P$154,8,0)</f>
        <v>0</v>
      </c>
      <c r="BV113" s="27" t="n">
        <f aca="false">SUMIF($C$2:$F$2,EOMONTH(BV$2,-1)+1,$C113:$F113)*VLOOKUP(BV$2,Valores!$H$2:$P$154,8,0)</f>
        <v>0</v>
      </c>
      <c r="BW113" s="27" t="n">
        <f aca="false">SUMIF($C$2:$F$2,EOMONTH(BW$2,-1)+1,$C113:$F113)*VLOOKUP(BW$2,Valores!$H$2:$P$154,8,0)</f>
        <v>0</v>
      </c>
      <c r="BX113" s="27" t="n">
        <f aca="false">SUMIF($C$2:$F$2,EOMONTH(BX$2,-1)+1,$C113:$F113)*VLOOKUP(BX$2,Valores!$H$2:$P$154,8,0)</f>
        <v>0</v>
      </c>
      <c r="BY113" s="27" t="n">
        <f aca="false">SUMIF($C$2:$F$2,EOMONTH(BY$2,-1)+1,$C113:$F113)*VLOOKUP(BY$2,Valores!$H$2:$P$154,8,0)</f>
        <v>0</v>
      </c>
      <c r="BZ113" s="27" t="n">
        <f aca="false">SUMIF($C$2:$F$2,EOMONTH(BZ$2,-1)+1,$C113:$F113)*VLOOKUP(BZ$2,Valores!$H$2:$P$154,8,0)</f>
        <v>0</v>
      </c>
      <c r="CA113" s="27" t="n">
        <f aca="false">SUMIF($C$2:$F$2,EOMONTH(CA$2,-1)+1,$C113:$F113)*VLOOKUP(CA$2,Valores!$H$2:$P$154,8,0)</f>
        <v>0</v>
      </c>
      <c r="CB113" s="27" t="n">
        <f aca="false">SUMIF($C$2:$F$2,EOMONTH(CB$2,-1)+1,$C113:$F113)*VLOOKUP(CB$2,Valores!$H$2:$P$154,8,0)</f>
        <v>0</v>
      </c>
      <c r="CC113" s="27" t="n">
        <f aca="false">SUMIF($C$2:$F$2,EOMONTH(CC$2,-1)+1,$C113:$F113)*VLOOKUP(CC$2,Valores!$H$2:$P$154,8,0)</f>
        <v>0</v>
      </c>
      <c r="CD113" s="27" t="n">
        <f aca="false">SUMIF($C$2:$F$2,EOMONTH(CD$2,-1)+1,$C113:$F113)*VLOOKUP(CD$2,Valores!$H$2:$P$154,8,0)</f>
        <v>0</v>
      </c>
      <c r="CE113" s="27" t="n">
        <f aca="false">SUMIF($C$2:$F$2,EOMONTH(CE$2,-1)+1,$C113:$F113)*VLOOKUP(CE$2,Valores!$H$2:$P$154,8,0)</f>
        <v>0</v>
      </c>
      <c r="CF113" s="27" t="n">
        <f aca="false">SUMIF($C$2:$F$2,EOMONTH(CF$2,-1)+1,$C113:$F113)*VLOOKUP(CF$2,Valores!$H$2:$P$154,8,0)</f>
        <v>0</v>
      </c>
      <c r="CG113" s="27" t="n">
        <f aca="false">SUMIF($C$2:$F$2,EOMONTH(CG$2,-1)+1,$C113:$F113)*VLOOKUP(CG$2,Valores!$H$2:$P$154,8,0)</f>
        <v>0</v>
      </c>
      <c r="CH113" s="27" t="n">
        <f aca="false">SUMIF($C$2:$F$2,EOMONTH(CH$2,-1)+1,$C113:$F113)*VLOOKUP(CH$2,Valores!$H$2:$P$154,8,0)</f>
        <v>0</v>
      </c>
      <c r="CI113" s="27" t="n">
        <f aca="false">SUMIF($C$2:$F$2,EOMONTH(CI$2,-1)+1,$C113:$F113)*VLOOKUP(CI$2,Valores!$H$2:$P$154,8,0)</f>
        <v>0</v>
      </c>
      <c r="CJ113" s="27" t="n">
        <f aca="false">SUMIF($C$2:$F$2,EOMONTH(CJ$2,-1)+1,$C113:$F113)*VLOOKUP(CJ$2,Valores!$H$2:$P$154,8,0)</f>
        <v>0</v>
      </c>
      <c r="CK113" s="27" t="n">
        <f aca="false">SUMIF($C$2:$F$2,EOMONTH(CK$2,-1)+1,$C113:$F113)*VLOOKUP(CK$2,Valores!$H$2:$P$154,8,0)</f>
        <v>0</v>
      </c>
      <c r="CL113" s="27" t="n">
        <f aca="false">SUMIF($C$2:$F$2,EOMONTH(CL$2,-1)+1,$C113:$F113)*VLOOKUP(CL$2,Valores!$H$2:$P$154,8,0)</f>
        <v>0</v>
      </c>
      <c r="CM113" s="27" t="n">
        <f aca="false">SUMIF($C$2:$F$2,EOMONTH(CM$2,-1)+1,$C113:$F113)*VLOOKUP(CM$2,Valores!$H$2:$P$154,8,0)</f>
        <v>0</v>
      </c>
      <c r="CN113" s="27" t="n">
        <f aca="false">SUMIF($C$2:$F$2,EOMONTH(CN$2,-1)+1,$C113:$F113)*VLOOKUP(CN$2,Valores!$H$2:$P$154,8,0)</f>
        <v>0</v>
      </c>
      <c r="CO113" s="27" t="n">
        <f aca="false">SUMIF($C$2:$F$2,EOMONTH(CO$2,-1)+1,$C113:$F113)*VLOOKUP(CO$2,Valores!$H$2:$P$154,8,0)</f>
        <v>0</v>
      </c>
      <c r="CP113" s="27" t="n">
        <f aca="false">SUMIF($C$2:$F$2,EOMONTH(CP$2,-1)+1,$C113:$F113)*VLOOKUP(CP$2,Valores!$H$2:$P$154,8,0)</f>
        <v>0</v>
      </c>
      <c r="CQ113" s="27" t="n">
        <f aca="false">SUMIF($C$2:$F$2,EOMONTH(CQ$2,-1)+1,$C113:$F113)*VLOOKUP(CQ$2,Valores!$H$2:$P$154,8,0)</f>
        <v>0</v>
      </c>
      <c r="CR113" s="27" t="n">
        <f aca="false">SUMIF($C$2:$F$2,EOMONTH(CR$2,-1)+1,$C113:$F113)*VLOOKUP(CR$2,Valores!$H$2:$P$154,8,0)</f>
        <v>0</v>
      </c>
      <c r="CS113" s="27" t="n">
        <f aca="false">SUMIF($C$2:$F$2,EOMONTH(CS$2,-1)+1,$C113:$F113)*VLOOKUP(CS$2,Valores!$H$2:$P$154,8,0)</f>
        <v>0</v>
      </c>
      <c r="CT113" s="27" t="e">
        <f aca="false">SUMIF($C$2:$F$2,EOMONTH(CT$2,-1)+1,$C113:$F113)*VLOOKUP(CT$2,Valores!$H$2:$P$154,8,0)</f>
        <v>#VALUE!</v>
      </c>
      <c r="CU113" s="27" t="e">
        <f aca="false">SUMIF($C$2:$F$2,EOMONTH(CU$2,-1)+1,$C113:$F113)*VLOOKUP(CU$2,Valores!$H$2:$P$154,8,0)</f>
        <v>#VALUE!</v>
      </c>
      <c r="CV113" s="27" t="e">
        <f aca="false">SUMIF($C$2:$F$2,EOMONTH(CV$2,-1)+1,$C113:$F113)*VLOOKUP(CV$2,Valores!$H$2:$P$154,8,0)</f>
        <v>#VALUE!</v>
      </c>
      <c r="CW113" s="27" t="e">
        <f aca="false">SUMIF($C$2:$F$2,EOMONTH(CW$2,-1)+1,$C113:$F113)*VLOOKUP(CW$2,Valores!$H$2:$P$154,8,0)</f>
        <v>#VALUE!</v>
      </c>
      <c r="CX113" s="27" t="e">
        <f aca="false">SUMIF($C$2:$F$2,EOMONTH(CX$2,-1)+1,$C113:$F113)*VLOOKUP(CX$2,Valores!$H$2:$P$154,8,0)</f>
        <v>#VALUE!</v>
      </c>
      <c r="CY113" s="27" t="e">
        <f aca="false">SUMIF($C$2:$F$2,EOMONTH(CY$2,-1)+1,$C113:$F113)*VLOOKUP(CY$2,Valores!$H$2:$P$154,8,0)</f>
        <v>#VALUE!</v>
      </c>
      <c r="CZ113" s="27" t="e">
        <f aca="false">SUMIF($C$2:$F$2,EOMONTH(CZ$2,-1)+1,$C113:$F113)*VLOOKUP(CZ$2,Valores!$H$2:$P$154,8,0)</f>
        <v>#VALUE!</v>
      </c>
      <c r="DA113" s="27" t="e">
        <f aca="false">SUMIF($C$2:$F$2,EOMONTH(DA$2,-1)+1,$C113:$F113)*VLOOKUP(DA$2,Valores!$H$2:$P$154,8,0)</f>
        <v>#VALUE!</v>
      </c>
      <c r="DB113" s="27" t="e">
        <f aca="false">SUMIF($C$2:$F$2,EOMONTH(DB$2,-1)+1,$C113:$F113)*VLOOKUP(DB$2,Valores!$H$2:$P$154,8,0)</f>
        <v>#VALUE!</v>
      </c>
      <c r="DC113" s="27" t="e">
        <f aca="false">SUMIF($C$2:$F$2,EOMONTH(DC$2,-1)+1,$C113:$F113)*VLOOKUP(DC$2,Valores!$H$2:$P$154,8,0)</f>
        <v>#VALUE!</v>
      </c>
      <c r="DD113" s="27" t="e">
        <f aca="false">SUMIF($C$2:$F$2,EOMONTH(DD$2,-1)+1,$C113:$F113)*VLOOKUP(DD$2,Valores!$H$2:$P$154,8,0)</f>
        <v>#VALUE!</v>
      </c>
      <c r="DE113" s="27" t="e">
        <f aca="false">SUMIF($C$2:$F$2,EOMONTH(DE$2,-1)+1,$C113:$F113)*VLOOKUP(DE$2,Valores!$H$2:$P$154,8,0)</f>
        <v>#VALUE!</v>
      </c>
      <c r="DF113" s="27" t="e">
        <f aca="false">SUMIF($C$2:$F$2,EOMONTH(DF$2,-1)+1,$C113:$F113)*VLOOKUP(DF$2,Valores!$H$2:$P$154,8,0)</f>
        <v>#VALUE!</v>
      </c>
      <c r="DG113" s="27" t="e">
        <f aca="false">SUMIF($C$2:$F$2,EOMONTH(DG$2,-1)+1,$C113:$F113)*VLOOKUP(DG$2,Valores!$H$2:$P$154,8,0)</f>
        <v>#VALUE!</v>
      </c>
      <c r="DH113" s="27" t="e">
        <f aca="false">SUMIF($C$2:$F$2,EOMONTH(DH$2,-1)+1,$C113:$F113)*VLOOKUP(DH$2,Valores!$H$2:$P$154,8,0)</f>
        <v>#VALUE!</v>
      </c>
      <c r="DI113" s="27" t="e">
        <f aca="false">SUMIF($C$2:$F$2,EOMONTH(DI$2,-1)+1,$C113:$F113)*VLOOKUP(DI$2,Valores!$H$2:$P$154,8,0)</f>
        <v>#VALUE!</v>
      </c>
      <c r="DJ113" s="27" t="e">
        <f aca="false">SUMIF($C$2:$F$2,EOMONTH(DJ$2,-1)+1,$C113:$F113)*VLOOKUP(DJ$2,Valores!$H$2:$P$154,8,0)</f>
        <v>#VALUE!</v>
      </c>
      <c r="DK113" s="27" t="e">
        <f aca="false">SUMIF($C$2:$F$2,EOMONTH(DK$2,-1)+1,$C113:$F113)*VLOOKUP(DK$2,Valores!$H$2:$P$154,8,0)</f>
        <v>#VALUE!</v>
      </c>
      <c r="DL113" s="27" t="e">
        <f aca="false">SUMIF($C$2:$F$2,EOMONTH(DL$2,-1)+1,$C113:$F113)*VLOOKUP(DL$2,Valores!$H$2:$P$154,8,0)</f>
        <v>#VALUE!</v>
      </c>
      <c r="DM113" s="27" t="e">
        <f aca="false">SUMIF($C$2:$F$2,EOMONTH(DM$2,-1)+1,$C113:$F113)*VLOOKUP(DM$2,Valores!$H$2:$P$154,8,0)</f>
        <v>#VALUE!</v>
      </c>
      <c r="DN113" s="27" t="e">
        <f aca="false">SUMIF($C$2:$F$2,EOMONTH(DN$2,-1)+1,$C113:$F113)*VLOOKUP(DN$2,Valores!$H$2:$P$154,8,0)</f>
        <v>#VALUE!</v>
      </c>
      <c r="DO113" s="27" t="e">
        <f aca="false">SUMIF($C$2:$F$2,EOMONTH(DO$2,-1)+1,$C113:$F113)*VLOOKUP(DO$2,Valores!$H$2:$P$154,8,0)</f>
        <v>#VALUE!</v>
      </c>
      <c r="DP113" s="27" t="e">
        <f aca="false">SUMIF($C$2:$F$2,EOMONTH(DP$2,-1)+1,$C113:$F113)*VLOOKUP(DP$2,Valores!$H$2:$P$154,8,0)</f>
        <v>#VALUE!</v>
      </c>
      <c r="DQ113" s="27" t="e">
        <f aca="false">SUMIF($C$2:$F$2,EOMONTH(DQ$2,-1)+1,$C113:$F113)*VLOOKUP(DQ$2,Valores!$H$2:$P$154,8,0)</f>
        <v>#VALUE!</v>
      </c>
      <c r="DR113" s="27" t="e">
        <f aca="false">SUMIF($C$2:$F$2,EOMONTH(DR$2,-1)+1,$C113:$F113)*VLOOKUP(DR$2,Valores!$H$2:$P$154,8,0)</f>
        <v>#VALUE!</v>
      </c>
      <c r="DS113" s="27" t="e">
        <f aca="false">SUMIF($C$2:$F$2,EOMONTH(DS$2,-1)+1,$C113:$F113)*VLOOKUP(DS$2,Valores!$H$2:$P$154,8,0)</f>
        <v>#VALUE!</v>
      </c>
      <c r="DT113" s="27" t="e">
        <f aca="false">SUMIF($C$2:$F$2,EOMONTH(DT$2,-1)+1,$C113:$F113)*VLOOKUP(DT$2,Valores!$H$2:$P$154,8,0)</f>
        <v>#VALUE!</v>
      </c>
      <c r="DU113" s="27" t="e">
        <f aca="false">SUMIF($C$2:$F$2,EOMONTH(DU$2,-1)+1,$C113:$F113)*VLOOKUP(DU$2,Valores!$H$2:$P$154,8,0)</f>
        <v>#VALUE!</v>
      </c>
      <c r="DV113" s="27" t="e">
        <f aca="false">SUMIF($C$2:$F$2,EOMONTH(DV$2,-1)+1,$C113:$F113)*VLOOKUP(DV$2,Valores!$H$2:$P$154,8,0)</f>
        <v>#VALUE!</v>
      </c>
      <c r="DW113" s="27" t="e">
        <f aca="false">SUMIF($C$2:$F$2,EOMONTH(DW$2,-1)+1,$C113:$F113)*VLOOKUP(DW$2,Valores!$H$2:$P$154,8,0)</f>
        <v>#VALUE!</v>
      </c>
      <c r="DX113" s="27" t="e">
        <f aca="false">SUMIF($C$2:$F$2,EOMONTH(DX$2,-1)+1,$C113:$F113)*VLOOKUP(DX$2,Valores!$H$2:$P$154,8,0)</f>
        <v>#VALUE!</v>
      </c>
    </row>
    <row r="114" customFormat="false" ht="13.8" hidden="false" customHeight="false" outlineLevel="0" collapsed="false">
      <c r="A114" s="29"/>
      <c r="B114" s="29"/>
      <c r="C114" s="29"/>
      <c r="D114" s="29"/>
      <c r="E114" s="29"/>
      <c r="F114" s="29"/>
      <c r="G114" s="30" t="n">
        <f aca="false">SUMIF($C$2:$F$2,EOMONTH(G$2,-1)+1,$C114:$F114)*VLOOKUP(G$2,Valores!$H$2:$P$154,8,0)</f>
        <v>0</v>
      </c>
      <c r="H114" s="30" t="n">
        <f aca="false">SUMIF($C$2:$F$2,EOMONTH(H$2,-1)+1,$C114:$F114)*VLOOKUP(H$2,Valores!$H$2:$P$154,8,0)</f>
        <v>0</v>
      </c>
      <c r="I114" s="30" t="n">
        <f aca="false">SUMIF($C$2:$F$2,EOMONTH(I$2,-1)+1,$C114:$F114)*VLOOKUP(I$2,Valores!$H$2:$P$154,8,0)</f>
        <v>0</v>
      </c>
      <c r="J114" s="30" t="n">
        <f aca="false">SUMIF($C$2:$F$2,EOMONTH(J$2,-1)+1,$C114:$F114)*VLOOKUP(J$2,Valores!$H$2:$P$154,8,0)</f>
        <v>0</v>
      </c>
      <c r="K114" s="30" t="n">
        <f aca="false">SUMIF($C$2:$F$2,EOMONTH(K$2,-1)+1,$C114:$F114)*VLOOKUP(K$2,Valores!$H$2:$P$154,8,0)</f>
        <v>0</v>
      </c>
      <c r="L114" s="30" t="n">
        <f aca="false">SUMIF($C$2:$F$2,EOMONTH(L$2,-1)+1,$C114:$F114)*VLOOKUP(L$2,Valores!$H$2:$P$154,8,0)</f>
        <v>0</v>
      </c>
      <c r="M114" s="30" t="n">
        <f aca="false">SUMIF($C$2:$F$2,EOMONTH(M$2,-1)+1,$C114:$F114)*VLOOKUP(M$2,Valores!$H$2:$P$154,8,0)</f>
        <v>0</v>
      </c>
      <c r="N114" s="30" t="n">
        <f aca="false">SUMIF($C$2:$F$2,EOMONTH(N$2,-1)+1,$C114:$F114)*VLOOKUP(N$2,Valores!$H$2:$P$154,8,0)</f>
        <v>0</v>
      </c>
      <c r="O114" s="30" t="n">
        <f aca="false">SUMIF($C$2:$F$2,EOMONTH(O$2,-1)+1,$C114:$F114)*VLOOKUP(O$2,Valores!$H$2:$P$154,8,0)</f>
        <v>0</v>
      </c>
      <c r="P114" s="30" t="n">
        <f aca="false">SUMIF($C$2:$F$2,EOMONTH(P$2,-1)+1,$C114:$F114)*VLOOKUP(P$2,Valores!$H$2:$P$154,8,0)</f>
        <v>0</v>
      </c>
      <c r="Q114" s="30" t="n">
        <f aca="false">SUMIF($C$2:$F$2,EOMONTH(Q$2,-1)+1,$C114:$F114)*VLOOKUP(Q$2,Valores!$H$2:$P$154,8,0)</f>
        <v>0</v>
      </c>
      <c r="R114" s="30" t="n">
        <f aca="false">SUMIF($C$2:$F$2,EOMONTH(R$2,-1)+1,$C114:$F114)*VLOOKUP(R$2,Valores!$H$2:$P$154,8,0)</f>
        <v>0</v>
      </c>
      <c r="S114" s="30" t="n">
        <f aca="false">SUMIF($C$2:$F$2,EOMONTH(S$2,-1)+1,$C114:$F114)*VLOOKUP(S$2,Valores!$H$2:$P$154,8,0)</f>
        <v>0</v>
      </c>
      <c r="T114" s="30" t="n">
        <f aca="false">SUMIF($C$2:$F$2,EOMONTH(T$2,-1)+1,$C114:$F114)*VLOOKUP(T$2,Valores!$H$2:$P$154,8,0)</f>
        <v>0</v>
      </c>
      <c r="U114" s="30" t="n">
        <f aca="false">SUMIF($C$2:$F$2,EOMONTH(U$2,-1)+1,$C114:$F114)*VLOOKUP(U$2,Valores!$H$2:$P$154,8,0)</f>
        <v>0</v>
      </c>
      <c r="V114" s="30" t="n">
        <f aca="false">SUMIF($C$2:$F$2,EOMONTH(V$2,-1)+1,$C114:$F114)*VLOOKUP(V$2,Valores!$H$2:$P$154,8,0)</f>
        <v>0</v>
      </c>
      <c r="W114" s="30" t="n">
        <f aca="false">SUMIF($C$2:$F$2,EOMONTH(W$2,-1)+1,$C114:$F114)*VLOOKUP(W$2,Valores!$H$2:$P$154,8,0)</f>
        <v>0</v>
      </c>
      <c r="X114" s="30" t="n">
        <f aca="false">SUMIF($C$2:$F$2,EOMONTH(X$2,-1)+1,$C114:$F114)*VLOOKUP(X$2,Valores!$H$2:$P$154,8,0)</f>
        <v>0</v>
      </c>
      <c r="Y114" s="30" t="n">
        <f aca="false">SUMIF($C$2:$F$2,EOMONTH(Y$2,-1)+1,$C114:$F114)*VLOOKUP(Y$2,Valores!$H$2:$P$154,8,0)</f>
        <v>0</v>
      </c>
      <c r="Z114" s="30" t="n">
        <f aca="false">SUMIF($C$2:$F$2,EOMONTH(Z$2,-1)+1,$C114:$F114)*VLOOKUP(Z$2,Valores!$H$2:$P$154,8,0)</f>
        <v>0</v>
      </c>
      <c r="AA114" s="30" t="n">
        <f aca="false">SUMIF($C$2:$F$2,EOMONTH(AA$2,-1)+1,$C114:$F114)*VLOOKUP(AA$2,Valores!$H$2:$P$154,8,0)</f>
        <v>0</v>
      </c>
      <c r="AB114" s="30" t="n">
        <f aca="false">SUMIF($C$2:$F$2,EOMONTH(AB$2,-1)+1,$C114:$F114)*VLOOKUP(AB$2,Valores!$H$2:$P$154,8,0)</f>
        <v>0</v>
      </c>
      <c r="AC114" s="30" t="n">
        <f aca="false">SUMIF($C$2:$F$2,EOMONTH(AC$2,-1)+1,$C114:$F114)*VLOOKUP(AC$2,Valores!$H$2:$P$154,8,0)</f>
        <v>0</v>
      </c>
      <c r="AD114" s="30" t="n">
        <f aca="false">SUMIF($C$2:$F$2,EOMONTH(AD$2,-1)+1,$C114:$F114)*VLOOKUP(AD$2,Valores!$H$2:$P$154,8,0)</f>
        <v>0</v>
      </c>
      <c r="AE114" s="30" t="n">
        <f aca="false">SUMIF($C$2:$F$2,EOMONTH(AE$2,-1)+1,$C114:$F114)*VLOOKUP(AE$2,Valores!$H$2:$P$154,8,0)</f>
        <v>0</v>
      </c>
      <c r="AF114" s="30" t="n">
        <f aca="false">SUMIF($C$2:$F$2,EOMONTH(AF$2,-1)+1,$C114:$F114)*VLOOKUP(AF$2,Valores!$H$2:$P$154,8,0)</f>
        <v>0</v>
      </c>
      <c r="AG114" s="30" t="n">
        <f aca="false">SUMIF($C$2:$F$2,EOMONTH(AG$2,-1)+1,$C114:$F114)*VLOOKUP(AG$2,Valores!$H$2:$P$154,8,0)</f>
        <v>0</v>
      </c>
      <c r="AH114" s="30" t="n">
        <f aca="false">SUMIF($C$2:$F$2,EOMONTH(AH$2,-1)+1,$C114:$F114)*VLOOKUP(AH$2,Valores!$H$2:$P$154,8,0)</f>
        <v>0</v>
      </c>
      <c r="AI114" s="30" t="n">
        <f aca="false">SUMIF($C$2:$F$2,EOMONTH(AI$2,-1)+1,$C114:$F114)*VLOOKUP(AI$2,Valores!$H$2:$P$154,8,0)</f>
        <v>0</v>
      </c>
      <c r="AJ114" s="30" t="n">
        <f aca="false">SUMIF($C$2:$F$2,EOMONTH(AJ$2,-1)+1,$C114:$F114)*VLOOKUP(AJ$2,Valores!$H$2:$P$154,8,0)</f>
        <v>0</v>
      </c>
      <c r="AK114" s="30" t="n">
        <f aca="false">SUMIF($C$2:$F$2,EOMONTH(AK$2,-1)+1,$C114:$F114)*VLOOKUP(AK$2,Valores!$H$2:$P$154,8,0)</f>
        <v>0</v>
      </c>
      <c r="AL114" s="30" t="n">
        <f aca="false">SUMIF($C$2:$F$2,EOMONTH(AL$2,-1)+1,$C114:$F114)*VLOOKUP(AL$2,Valores!$H$2:$P$154,8,0)</f>
        <v>0</v>
      </c>
      <c r="AM114" s="30" t="n">
        <f aca="false">SUMIF($C$2:$F$2,EOMONTH(AM$2,-1)+1,$C114:$F114)*VLOOKUP(AM$2,Valores!$H$2:$P$154,8,0)</f>
        <v>0</v>
      </c>
      <c r="AN114" s="30" t="n">
        <f aca="false">SUMIF($C$2:$F$2,EOMONTH(AN$2,-1)+1,$C114:$F114)*VLOOKUP(AN$2,Valores!$H$2:$P$154,8,0)</f>
        <v>0</v>
      </c>
      <c r="AO114" s="30" t="n">
        <f aca="false">SUMIF($C$2:$F$2,EOMONTH(AO$2,-1)+1,$C114:$F114)*VLOOKUP(AO$2,Valores!$H$2:$P$154,8,0)</f>
        <v>0</v>
      </c>
      <c r="AP114" s="30" t="n">
        <f aca="false">SUMIF($C$2:$F$2,EOMONTH(AP$2,-1)+1,$C114:$F114)*VLOOKUP(AP$2,Valores!$H$2:$P$154,8,0)</f>
        <v>0</v>
      </c>
      <c r="AQ114" s="30" t="n">
        <f aca="false">SUMIF($C$2:$F$2,EOMONTH(AQ$2,-1)+1,$C114:$F114)*VLOOKUP(AQ$2,Valores!$H$2:$P$154,8,0)</f>
        <v>0</v>
      </c>
      <c r="AR114" s="30" t="n">
        <f aca="false">SUMIF($C$2:$F$2,EOMONTH(AR$2,-1)+1,$C114:$F114)*VLOOKUP(AR$2,Valores!$H$2:$P$154,8,0)</f>
        <v>0</v>
      </c>
      <c r="AS114" s="30" t="n">
        <f aca="false">SUMIF($C$2:$F$2,EOMONTH(AS$2,-1)+1,$C114:$F114)*VLOOKUP(AS$2,Valores!$H$2:$P$154,8,0)</f>
        <v>0</v>
      </c>
      <c r="AT114" s="30" t="n">
        <f aca="false">SUMIF($C$2:$F$2,EOMONTH(AT$2,-1)+1,$C114:$F114)*VLOOKUP(AT$2,Valores!$H$2:$P$154,8,0)</f>
        <v>0</v>
      </c>
      <c r="AU114" s="30" t="n">
        <f aca="false">SUMIF($C$2:$F$2,EOMONTH(AU$2,-1)+1,$C114:$F114)*VLOOKUP(AU$2,Valores!$H$2:$P$154,8,0)</f>
        <v>0</v>
      </c>
      <c r="AV114" s="30" t="n">
        <f aca="false">SUMIF($C$2:$F$2,EOMONTH(AV$2,-1)+1,$C114:$F114)*VLOOKUP(AV$2,Valores!$H$2:$P$154,8,0)</f>
        <v>0</v>
      </c>
      <c r="AW114" s="30" t="n">
        <f aca="false">SUMIF($C$2:$F$2,EOMONTH(AW$2,-1)+1,$C114:$F114)*VLOOKUP(AW$2,Valores!$H$2:$P$154,8,0)</f>
        <v>0</v>
      </c>
      <c r="AX114" s="30" t="n">
        <f aca="false">SUMIF($C$2:$F$2,EOMONTH(AX$2,-1)+1,$C114:$F114)*VLOOKUP(AX$2,Valores!$H$2:$P$154,8,0)</f>
        <v>0</v>
      </c>
      <c r="AY114" s="30" t="n">
        <f aca="false">SUMIF($C$2:$F$2,EOMONTH(AY$2,-1)+1,$C114:$F114)*VLOOKUP(AY$2,Valores!$H$2:$P$154,8,0)</f>
        <v>0</v>
      </c>
      <c r="AZ114" s="30" t="n">
        <f aca="false">SUMIF($C$2:$F$2,EOMONTH(AZ$2,-1)+1,$C114:$F114)*VLOOKUP(AZ$2,Valores!$H$2:$P$154,8,0)</f>
        <v>0</v>
      </c>
      <c r="BA114" s="30" t="n">
        <f aca="false">SUMIF($C$2:$F$2,EOMONTH(BA$2,-1)+1,$C114:$F114)*VLOOKUP(BA$2,Valores!$H$2:$P$154,8,0)</f>
        <v>0</v>
      </c>
      <c r="BB114" s="30" t="n">
        <f aca="false">SUMIF($C$2:$F$2,EOMONTH(BB$2,-1)+1,$C114:$F114)*VLOOKUP(BB$2,Valores!$H$2:$P$154,8,0)</f>
        <v>0</v>
      </c>
      <c r="BC114" s="30" t="n">
        <f aca="false">SUMIF($C$2:$F$2,EOMONTH(BC$2,-1)+1,$C114:$F114)*VLOOKUP(BC$2,Valores!$H$2:$P$154,8,0)</f>
        <v>0</v>
      </c>
      <c r="BD114" s="30" t="n">
        <f aca="false">SUMIF($C$2:$F$2,EOMONTH(BD$2,-1)+1,$C114:$F114)*VLOOKUP(BD$2,Valores!$H$2:$P$154,8,0)</f>
        <v>0</v>
      </c>
      <c r="BE114" s="30" t="n">
        <f aca="false">SUMIF($C$2:$F$2,EOMONTH(BE$2,-1)+1,$C114:$F114)*VLOOKUP(BE$2,Valores!$H$2:$P$154,8,0)</f>
        <v>0</v>
      </c>
      <c r="BF114" s="30" t="n">
        <f aca="false">SUMIF($C$2:$F$2,EOMONTH(BF$2,-1)+1,$C114:$F114)*VLOOKUP(BF$2,Valores!$H$2:$P$154,8,0)</f>
        <v>0</v>
      </c>
      <c r="BG114" s="30" t="n">
        <f aca="false">SUMIF($C$2:$F$2,EOMONTH(BG$2,-1)+1,$C114:$F114)*VLOOKUP(BG$2,Valores!$H$2:$P$154,8,0)</f>
        <v>0</v>
      </c>
      <c r="BH114" s="30" t="n">
        <f aca="false">SUMIF($C$2:$F$2,EOMONTH(BH$2,-1)+1,$C114:$F114)*VLOOKUP(BH$2,Valores!$H$2:$P$154,8,0)</f>
        <v>0</v>
      </c>
      <c r="BI114" s="30" t="n">
        <f aca="false">SUMIF($C$2:$F$2,EOMONTH(BI$2,-1)+1,$C114:$F114)*VLOOKUP(BI$2,Valores!$H$2:$P$154,8,0)</f>
        <v>0</v>
      </c>
      <c r="BJ114" s="30" t="n">
        <f aca="false">SUMIF($C$2:$F$2,EOMONTH(BJ$2,-1)+1,$C114:$F114)*VLOOKUP(BJ$2,Valores!$H$2:$P$154,8,0)</f>
        <v>0</v>
      </c>
      <c r="BK114" s="30" t="n">
        <f aca="false">SUMIF($C$2:$F$2,EOMONTH(BK$2,-1)+1,$C114:$F114)*VLOOKUP(BK$2,Valores!$H$2:$P$154,8,0)</f>
        <v>0</v>
      </c>
      <c r="BL114" s="30" t="n">
        <f aca="false">SUMIF($C$2:$F$2,EOMONTH(BL$2,-1)+1,$C114:$F114)*VLOOKUP(BL$2,Valores!$H$2:$P$154,8,0)</f>
        <v>0</v>
      </c>
      <c r="BM114" s="30" t="n">
        <f aca="false">SUMIF($C$2:$F$2,EOMONTH(BM$2,-1)+1,$C114:$F114)*VLOOKUP(BM$2,Valores!$H$2:$P$154,8,0)</f>
        <v>0</v>
      </c>
      <c r="BN114" s="30" t="n">
        <f aca="false">SUMIF($C$2:$F$2,EOMONTH(BN$2,-1)+1,$C114:$F114)*VLOOKUP(BN$2,Valores!$H$2:$P$154,8,0)</f>
        <v>0</v>
      </c>
      <c r="BO114" s="30" t="n">
        <f aca="false">SUMIF($C$2:$F$2,EOMONTH(BO$2,-1)+1,$C114:$F114)*VLOOKUP(BO$2,Valores!$H$2:$P$154,8,0)</f>
        <v>0</v>
      </c>
      <c r="BP114" s="30" t="n">
        <f aca="false">SUMIF($C$2:$F$2,EOMONTH(BP$2,-1)+1,$C114:$F114)*VLOOKUP(BP$2,Valores!$H$2:$P$154,8,0)</f>
        <v>0</v>
      </c>
      <c r="BQ114" s="30" t="n">
        <f aca="false">SUMIF($C$2:$F$2,EOMONTH(BQ$2,-1)+1,$C114:$F114)*VLOOKUP(BQ$2,Valores!$H$2:$P$154,8,0)</f>
        <v>0</v>
      </c>
      <c r="BR114" s="30" t="n">
        <f aca="false">SUMIF($C$2:$F$2,EOMONTH(BR$2,-1)+1,$C114:$F114)*VLOOKUP(BR$2,Valores!$H$2:$P$154,8,0)</f>
        <v>0</v>
      </c>
      <c r="BS114" s="30" t="n">
        <f aca="false">SUMIF($C$2:$F$2,EOMONTH(BS$2,-1)+1,$C114:$F114)*VLOOKUP(BS$2,Valores!$H$2:$P$154,8,0)</f>
        <v>0</v>
      </c>
      <c r="BT114" s="30" t="n">
        <f aca="false">SUMIF($C$2:$F$2,EOMONTH(BT$2,-1)+1,$C114:$F114)*VLOOKUP(BT$2,Valores!$H$2:$P$154,8,0)</f>
        <v>0</v>
      </c>
      <c r="BU114" s="30" t="n">
        <f aca="false">SUMIF($C$2:$F$2,EOMONTH(BU$2,-1)+1,$C114:$F114)*VLOOKUP(BU$2,Valores!$H$2:$P$154,8,0)</f>
        <v>0</v>
      </c>
      <c r="BV114" s="30" t="n">
        <f aca="false">SUMIF($C$2:$F$2,EOMONTH(BV$2,-1)+1,$C114:$F114)*VLOOKUP(BV$2,Valores!$H$2:$P$154,8,0)</f>
        <v>0</v>
      </c>
      <c r="BW114" s="30" t="n">
        <f aca="false">SUMIF($C$2:$F$2,EOMONTH(BW$2,-1)+1,$C114:$F114)*VLOOKUP(BW$2,Valores!$H$2:$P$154,8,0)</f>
        <v>0</v>
      </c>
      <c r="BX114" s="30" t="n">
        <f aca="false">SUMIF($C$2:$F$2,EOMONTH(BX$2,-1)+1,$C114:$F114)*VLOOKUP(BX$2,Valores!$H$2:$P$154,8,0)</f>
        <v>0</v>
      </c>
      <c r="BY114" s="30" t="n">
        <f aca="false">SUMIF($C$2:$F$2,EOMONTH(BY$2,-1)+1,$C114:$F114)*VLOOKUP(BY$2,Valores!$H$2:$P$154,8,0)</f>
        <v>0</v>
      </c>
      <c r="BZ114" s="30" t="n">
        <f aca="false">SUMIF($C$2:$F$2,EOMONTH(BZ$2,-1)+1,$C114:$F114)*VLOOKUP(BZ$2,Valores!$H$2:$P$154,8,0)</f>
        <v>0</v>
      </c>
      <c r="CA114" s="30" t="n">
        <f aca="false">SUMIF($C$2:$F$2,EOMONTH(CA$2,-1)+1,$C114:$F114)*VLOOKUP(CA$2,Valores!$H$2:$P$154,8,0)</f>
        <v>0</v>
      </c>
      <c r="CB114" s="30" t="n">
        <f aca="false">SUMIF($C$2:$F$2,EOMONTH(CB$2,-1)+1,$C114:$F114)*VLOOKUP(CB$2,Valores!$H$2:$P$154,8,0)</f>
        <v>0</v>
      </c>
      <c r="CC114" s="30" t="n">
        <f aca="false">SUMIF($C$2:$F$2,EOMONTH(CC$2,-1)+1,$C114:$F114)*VLOOKUP(CC$2,Valores!$H$2:$P$154,8,0)</f>
        <v>0</v>
      </c>
      <c r="CD114" s="30" t="n">
        <f aca="false">SUMIF($C$2:$F$2,EOMONTH(CD$2,-1)+1,$C114:$F114)*VLOOKUP(CD$2,Valores!$H$2:$P$154,8,0)</f>
        <v>0</v>
      </c>
      <c r="CE114" s="30" t="n">
        <f aca="false">SUMIF($C$2:$F$2,EOMONTH(CE$2,-1)+1,$C114:$F114)*VLOOKUP(CE$2,Valores!$H$2:$P$154,8,0)</f>
        <v>0</v>
      </c>
      <c r="CF114" s="30" t="n">
        <f aca="false">SUMIF($C$2:$F$2,EOMONTH(CF$2,-1)+1,$C114:$F114)*VLOOKUP(CF$2,Valores!$H$2:$P$154,8,0)</f>
        <v>0</v>
      </c>
      <c r="CG114" s="30" t="n">
        <f aca="false">SUMIF($C$2:$F$2,EOMONTH(CG$2,-1)+1,$C114:$F114)*VLOOKUP(CG$2,Valores!$H$2:$P$154,8,0)</f>
        <v>0</v>
      </c>
      <c r="CH114" s="30" t="n">
        <f aca="false">SUMIF($C$2:$F$2,EOMONTH(CH$2,-1)+1,$C114:$F114)*VLOOKUP(CH$2,Valores!$H$2:$P$154,8,0)</f>
        <v>0</v>
      </c>
      <c r="CI114" s="30" t="n">
        <f aca="false">SUMIF($C$2:$F$2,EOMONTH(CI$2,-1)+1,$C114:$F114)*VLOOKUP(CI$2,Valores!$H$2:$P$154,8,0)</f>
        <v>0</v>
      </c>
      <c r="CJ114" s="30" t="n">
        <f aca="false">SUMIF($C$2:$F$2,EOMONTH(CJ$2,-1)+1,$C114:$F114)*VLOOKUP(CJ$2,Valores!$H$2:$P$154,8,0)</f>
        <v>0</v>
      </c>
      <c r="CK114" s="30" t="n">
        <f aca="false">SUMIF($C$2:$F$2,EOMONTH(CK$2,-1)+1,$C114:$F114)*VLOOKUP(CK$2,Valores!$H$2:$P$154,8,0)</f>
        <v>0</v>
      </c>
      <c r="CL114" s="30" t="n">
        <f aca="false">SUMIF($C$2:$F$2,EOMONTH(CL$2,-1)+1,$C114:$F114)*VLOOKUP(CL$2,Valores!$H$2:$P$154,8,0)</f>
        <v>0</v>
      </c>
      <c r="CM114" s="30" t="n">
        <f aca="false">SUMIF($C$2:$F$2,EOMONTH(CM$2,-1)+1,$C114:$F114)*VLOOKUP(CM$2,Valores!$H$2:$P$154,8,0)</f>
        <v>0</v>
      </c>
      <c r="CN114" s="30" t="n">
        <f aca="false">SUMIF($C$2:$F$2,EOMONTH(CN$2,-1)+1,$C114:$F114)*VLOOKUP(CN$2,Valores!$H$2:$P$154,8,0)</f>
        <v>0</v>
      </c>
      <c r="CO114" s="30" t="n">
        <f aca="false">SUMIF($C$2:$F$2,EOMONTH(CO$2,-1)+1,$C114:$F114)*VLOOKUP(CO$2,Valores!$H$2:$P$154,8,0)</f>
        <v>0</v>
      </c>
      <c r="CP114" s="30" t="n">
        <f aca="false">SUMIF($C$2:$F$2,EOMONTH(CP$2,-1)+1,$C114:$F114)*VLOOKUP(CP$2,Valores!$H$2:$P$154,8,0)</f>
        <v>0</v>
      </c>
      <c r="CQ114" s="30" t="n">
        <f aca="false">SUMIF($C$2:$F$2,EOMONTH(CQ$2,-1)+1,$C114:$F114)*VLOOKUP(CQ$2,Valores!$H$2:$P$154,8,0)</f>
        <v>0</v>
      </c>
      <c r="CR114" s="30" t="n">
        <f aca="false">SUMIF($C$2:$F$2,EOMONTH(CR$2,-1)+1,$C114:$F114)*VLOOKUP(CR$2,Valores!$H$2:$P$154,8,0)</f>
        <v>0</v>
      </c>
      <c r="CS114" s="30" t="n">
        <f aca="false">SUMIF($C$2:$F$2,EOMONTH(CS$2,-1)+1,$C114:$F114)*VLOOKUP(CS$2,Valores!$H$2:$P$154,8,0)</f>
        <v>0</v>
      </c>
      <c r="CT114" s="30" t="e">
        <f aca="false">SUMIF($C$2:$F$2,EOMONTH(CT$2,-1)+1,$C114:$F114)*VLOOKUP(CT$2,Valores!$H$2:$P$154,8,0)</f>
        <v>#VALUE!</v>
      </c>
      <c r="CU114" s="30" t="e">
        <f aca="false">SUMIF($C$2:$F$2,EOMONTH(CU$2,-1)+1,$C114:$F114)*VLOOKUP(CU$2,Valores!$H$2:$P$154,8,0)</f>
        <v>#VALUE!</v>
      </c>
      <c r="CV114" s="30" t="e">
        <f aca="false">SUMIF($C$2:$F$2,EOMONTH(CV$2,-1)+1,$C114:$F114)*VLOOKUP(CV$2,Valores!$H$2:$P$154,8,0)</f>
        <v>#VALUE!</v>
      </c>
      <c r="CW114" s="30" t="e">
        <f aca="false">SUMIF($C$2:$F$2,EOMONTH(CW$2,-1)+1,$C114:$F114)*VLOOKUP(CW$2,Valores!$H$2:$P$154,8,0)</f>
        <v>#VALUE!</v>
      </c>
      <c r="CX114" s="30" t="e">
        <f aca="false">SUMIF($C$2:$F$2,EOMONTH(CX$2,-1)+1,$C114:$F114)*VLOOKUP(CX$2,Valores!$H$2:$P$154,8,0)</f>
        <v>#VALUE!</v>
      </c>
      <c r="CY114" s="30" t="e">
        <f aca="false">SUMIF($C$2:$F$2,EOMONTH(CY$2,-1)+1,$C114:$F114)*VLOOKUP(CY$2,Valores!$H$2:$P$154,8,0)</f>
        <v>#VALUE!</v>
      </c>
      <c r="CZ114" s="30" t="e">
        <f aca="false">SUMIF($C$2:$F$2,EOMONTH(CZ$2,-1)+1,$C114:$F114)*VLOOKUP(CZ$2,Valores!$H$2:$P$154,8,0)</f>
        <v>#VALUE!</v>
      </c>
      <c r="DA114" s="30" t="e">
        <f aca="false">SUMIF($C$2:$F$2,EOMONTH(DA$2,-1)+1,$C114:$F114)*VLOOKUP(DA$2,Valores!$H$2:$P$154,8,0)</f>
        <v>#VALUE!</v>
      </c>
      <c r="DB114" s="30" t="e">
        <f aca="false">SUMIF($C$2:$F$2,EOMONTH(DB$2,-1)+1,$C114:$F114)*VLOOKUP(DB$2,Valores!$H$2:$P$154,8,0)</f>
        <v>#VALUE!</v>
      </c>
      <c r="DC114" s="30" t="e">
        <f aca="false">SUMIF($C$2:$F$2,EOMONTH(DC$2,-1)+1,$C114:$F114)*VLOOKUP(DC$2,Valores!$H$2:$P$154,8,0)</f>
        <v>#VALUE!</v>
      </c>
      <c r="DD114" s="30" t="e">
        <f aca="false">SUMIF($C$2:$F$2,EOMONTH(DD$2,-1)+1,$C114:$F114)*VLOOKUP(DD$2,Valores!$H$2:$P$154,8,0)</f>
        <v>#VALUE!</v>
      </c>
      <c r="DE114" s="30" t="e">
        <f aca="false">SUMIF($C$2:$F$2,EOMONTH(DE$2,-1)+1,$C114:$F114)*VLOOKUP(DE$2,Valores!$H$2:$P$154,8,0)</f>
        <v>#VALUE!</v>
      </c>
      <c r="DF114" s="30" t="e">
        <f aca="false">SUMIF($C$2:$F$2,EOMONTH(DF$2,-1)+1,$C114:$F114)*VLOOKUP(DF$2,Valores!$H$2:$P$154,8,0)</f>
        <v>#VALUE!</v>
      </c>
      <c r="DG114" s="30" t="e">
        <f aca="false">SUMIF($C$2:$F$2,EOMONTH(DG$2,-1)+1,$C114:$F114)*VLOOKUP(DG$2,Valores!$H$2:$P$154,8,0)</f>
        <v>#VALUE!</v>
      </c>
      <c r="DH114" s="30" t="e">
        <f aca="false">SUMIF($C$2:$F$2,EOMONTH(DH$2,-1)+1,$C114:$F114)*VLOOKUP(DH$2,Valores!$H$2:$P$154,8,0)</f>
        <v>#VALUE!</v>
      </c>
      <c r="DI114" s="30" t="e">
        <f aca="false">SUMIF($C$2:$F$2,EOMONTH(DI$2,-1)+1,$C114:$F114)*VLOOKUP(DI$2,Valores!$H$2:$P$154,8,0)</f>
        <v>#VALUE!</v>
      </c>
      <c r="DJ114" s="30" t="e">
        <f aca="false">SUMIF($C$2:$F$2,EOMONTH(DJ$2,-1)+1,$C114:$F114)*VLOOKUP(DJ$2,Valores!$H$2:$P$154,8,0)</f>
        <v>#VALUE!</v>
      </c>
      <c r="DK114" s="30" t="e">
        <f aca="false">SUMIF($C$2:$F$2,EOMONTH(DK$2,-1)+1,$C114:$F114)*VLOOKUP(DK$2,Valores!$H$2:$P$154,8,0)</f>
        <v>#VALUE!</v>
      </c>
      <c r="DL114" s="30" t="e">
        <f aca="false">SUMIF($C$2:$F$2,EOMONTH(DL$2,-1)+1,$C114:$F114)*VLOOKUP(DL$2,Valores!$H$2:$P$154,8,0)</f>
        <v>#VALUE!</v>
      </c>
      <c r="DM114" s="30" t="e">
        <f aca="false">SUMIF($C$2:$F$2,EOMONTH(DM$2,-1)+1,$C114:$F114)*VLOOKUP(DM$2,Valores!$H$2:$P$154,8,0)</f>
        <v>#VALUE!</v>
      </c>
      <c r="DN114" s="30" t="e">
        <f aca="false">SUMIF($C$2:$F$2,EOMONTH(DN$2,-1)+1,$C114:$F114)*VLOOKUP(DN$2,Valores!$H$2:$P$154,8,0)</f>
        <v>#VALUE!</v>
      </c>
      <c r="DO114" s="30" t="e">
        <f aca="false">SUMIF($C$2:$F$2,EOMONTH(DO$2,-1)+1,$C114:$F114)*VLOOKUP(DO$2,Valores!$H$2:$P$154,8,0)</f>
        <v>#VALUE!</v>
      </c>
      <c r="DP114" s="30" t="e">
        <f aca="false">SUMIF($C$2:$F$2,EOMONTH(DP$2,-1)+1,$C114:$F114)*VLOOKUP(DP$2,Valores!$H$2:$P$154,8,0)</f>
        <v>#VALUE!</v>
      </c>
      <c r="DQ114" s="30" t="e">
        <f aca="false">SUMIF($C$2:$F$2,EOMONTH(DQ$2,-1)+1,$C114:$F114)*VLOOKUP(DQ$2,Valores!$H$2:$P$154,8,0)</f>
        <v>#VALUE!</v>
      </c>
      <c r="DR114" s="30" t="e">
        <f aca="false">SUMIF($C$2:$F$2,EOMONTH(DR$2,-1)+1,$C114:$F114)*VLOOKUP(DR$2,Valores!$H$2:$P$154,8,0)</f>
        <v>#VALUE!</v>
      </c>
      <c r="DS114" s="30" t="e">
        <f aca="false">SUMIF($C$2:$F$2,EOMONTH(DS$2,-1)+1,$C114:$F114)*VLOOKUP(DS$2,Valores!$H$2:$P$154,8,0)</f>
        <v>#VALUE!</v>
      </c>
      <c r="DT114" s="30" t="e">
        <f aca="false">SUMIF($C$2:$F$2,EOMONTH(DT$2,-1)+1,$C114:$F114)*VLOOKUP(DT$2,Valores!$H$2:$P$154,8,0)</f>
        <v>#VALUE!</v>
      </c>
      <c r="DU114" s="30" t="e">
        <f aca="false">SUMIF($C$2:$F$2,EOMONTH(DU$2,-1)+1,$C114:$F114)*VLOOKUP(DU$2,Valores!$H$2:$P$154,8,0)</f>
        <v>#VALUE!</v>
      </c>
      <c r="DV114" s="30" t="e">
        <f aca="false">SUMIF($C$2:$F$2,EOMONTH(DV$2,-1)+1,$C114:$F114)*VLOOKUP(DV$2,Valores!$H$2:$P$154,8,0)</f>
        <v>#VALUE!</v>
      </c>
      <c r="DW114" s="30" t="e">
        <f aca="false">SUMIF($C$2:$F$2,EOMONTH(DW$2,-1)+1,$C114:$F114)*VLOOKUP(DW$2,Valores!$H$2:$P$154,8,0)</f>
        <v>#VALUE!</v>
      </c>
      <c r="DX114" s="30" t="e">
        <f aca="false">SUMIF($C$2:$F$2,EOMONTH(DX$2,-1)+1,$C114:$F114)*VLOOKUP(DX$2,Valores!$H$2:$P$154,8,0)</f>
        <v>#VALUE!</v>
      </c>
    </row>
    <row r="115" customFormat="false" ht="13.8" hidden="false" customHeight="false" outlineLevel="0" collapsed="false">
      <c r="A115" s="31"/>
      <c r="B115" s="31"/>
      <c r="C115" s="31"/>
      <c r="D115" s="31"/>
      <c r="E115" s="31"/>
      <c r="F115" s="31"/>
      <c r="G115" s="27" t="n">
        <f aca="false">SUMIF($C$2:$F$2,EOMONTH(G$2,-1)+1,$C115:$F115)*VLOOKUP(G$2,Valores!$H$2:$P$154,8,0)</f>
        <v>0</v>
      </c>
      <c r="H115" s="27" t="n">
        <f aca="false">SUMIF($C$2:$F$2,EOMONTH(H$2,-1)+1,$C115:$F115)*VLOOKUP(H$2,Valores!$H$2:$P$154,8,0)</f>
        <v>0</v>
      </c>
      <c r="I115" s="27" t="n">
        <f aca="false">SUMIF($C$2:$F$2,EOMONTH(I$2,-1)+1,$C115:$F115)*VLOOKUP(I$2,Valores!$H$2:$P$154,8,0)</f>
        <v>0</v>
      </c>
      <c r="J115" s="27" t="n">
        <f aca="false">SUMIF($C$2:$F$2,EOMONTH(J$2,-1)+1,$C115:$F115)*VLOOKUP(J$2,Valores!$H$2:$P$154,8,0)</f>
        <v>0</v>
      </c>
      <c r="K115" s="27" t="n">
        <f aca="false">SUMIF($C$2:$F$2,EOMONTH(K$2,-1)+1,$C115:$F115)*VLOOKUP(K$2,Valores!$H$2:$P$154,8,0)</f>
        <v>0</v>
      </c>
      <c r="L115" s="27" t="n">
        <f aca="false">SUMIF($C$2:$F$2,EOMONTH(L$2,-1)+1,$C115:$F115)*VLOOKUP(L$2,Valores!$H$2:$P$154,8,0)</f>
        <v>0</v>
      </c>
      <c r="M115" s="27" t="n">
        <f aca="false">SUMIF($C$2:$F$2,EOMONTH(M$2,-1)+1,$C115:$F115)*VLOOKUP(M$2,Valores!$H$2:$P$154,8,0)</f>
        <v>0</v>
      </c>
      <c r="N115" s="27" t="n">
        <f aca="false">SUMIF($C$2:$F$2,EOMONTH(N$2,-1)+1,$C115:$F115)*VLOOKUP(N$2,Valores!$H$2:$P$154,8,0)</f>
        <v>0</v>
      </c>
      <c r="O115" s="27" t="n">
        <f aca="false">SUMIF($C$2:$F$2,EOMONTH(O$2,-1)+1,$C115:$F115)*VLOOKUP(O$2,Valores!$H$2:$P$154,8,0)</f>
        <v>0</v>
      </c>
      <c r="P115" s="27" t="n">
        <f aca="false">SUMIF($C$2:$F$2,EOMONTH(P$2,-1)+1,$C115:$F115)*VLOOKUP(P$2,Valores!$H$2:$P$154,8,0)</f>
        <v>0</v>
      </c>
      <c r="Q115" s="27" t="n">
        <f aca="false">SUMIF($C$2:$F$2,EOMONTH(Q$2,-1)+1,$C115:$F115)*VLOOKUP(Q$2,Valores!$H$2:$P$154,8,0)</f>
        <v>0</v>
      </c>
      <c r="R115" s="27" t="n">
        <f aca="false">SUMIF($C$2:$F$2,EOMONTH(R$2,-1)+1,$C115:$F115)*VLOOKUP(R$2,Valores!$H$2:$P$154,8,0)</f>
        <v>0</v>
      </c>
      <c r="S115" s="27" t="n">
        <f aca="false">SUMIF($C$2:$F$2,EOMONTH(S$2,-1)+1,$C115:$F115)*VLOOKUP(S$2,Valores!$H$2:$P$154,8,0)</f>
        <v>0</v>
      </c>
      <c r="T115" s="27" t="n">
        <f aca="false">SUMIF($C$2:$F$2,EOMONTH(T$2,-1)+1,$C115:$F115)*VLOOKUP(T$2,Valores!$H$2:$P$154,8,0)</f>
        <v>0</v>
      </c>
      <c r="U115" s="27" t="n">
        <f aca="false">SUMIF($C$2:$F$2,EOMONTH(U$2,-1)+1,$C115:$F115)*VLOOKUP(U$2,Valores!$H$2:$P$154,8,0)</f>
        <v>0</v>
      </c>
      <c r="V115" s="27" t="n">
        <f aca="false">SUMIF($C$2:$F$2,EOMONTH(V$2,-1)+1,$C115:$F115)*VLOOKUP(V$2,Valores!$H$2:$P$154,8,0)</f>
        <v>0</v>
      </c>
      <c r="W115" s="27" t="n">
        <f aca="false">SUMIF($C$2:$F$2,EOMONTH(W$2,-1)+1,$C115:$F115)*VLOOKUP(W$2,Valores!$H$2:$P$154,8,0)</f>
        <v>0</v>
      </c>
      <c r="X115" s="27" t="n">
        <f aca="false">SUMIF($C$2:$F$2,EOMONTH(X$2,-1)+1,$C115:$F115)*VLOOKUP(X$2,Valores!$H$2:$P$154,8,0)</f>
        <v>0</v>
      </c>
      <c r="Y115" s="27" t="n">
        <f aca="false">SUMIF($C$2:$F$2,EOMONTH(Y$2,-1)+1,$C115:$F115)*VLOOKUP(Y$2,Valores!$H$2:$P$154,8,0)</f>
        <v>0</v>
      </c>
      <c r="Z115" s="27" t="n">
        <f aca="false">SUMIF($C$2:$F$2,EOMONTH(Z$2,-1)+1,$C115:$F115)*VLOOKUP(Z$2,Valores!$H$2:$P$154,8,0)</f>
        <v>0</v>
      </c>
      <c r="AA115" s="27" t="n">
        <f aca="false">SUMIF($C$2:$F$2,EOMONTH(AA$2,-1)+1,$C115:$F115)*VLOOKUP(AA$2,Valores!$H$2:$P$154,8,0)</f>
        <v>0</v>
      </c>
      <c r="AB115" s="27" t="n">
        <f aca="false">SUMIF($C$2:$F$2,EOMONTH(AB$2,-1)+1,$C115:$F115)*VLOOKUP(AB$2,Valores!$H$2:$P$154,8,0)</f>
        <v>0</v>
      </c>
      <c r="AC115" s="27" t="n">
        <f aca="false">SUMIF($C$2:$F$2,EOMONTH(AC$2,-1)+1,$C115:$F115)*VLOOKUP(AC$2,Valores!$H$2:$P$154,8,0)</f>
        <v>0</v>
      </c>
      <c r="AD115" s="27" t="n">
        <f aca="false">SUMIF($C$2:$F$2,EOMONTH(AD$2,-1)+1,$C115:$F115)*VLOOKUP(AD$2,Valores!$H$2:$P$154,8,0)</f>
        <v>0</v>
      </c>
      <c r="AE115" s="27" t="n">
        <f aca="false">SUMIF($C$2:$F$2,EOMONTH(AE$2,-1)+1,$C115:$F115)*VLOOKUP(AE$2,Valores!$H$2:$P$154,8,0)</f>
        <v>0</v>
      </c>
      <c r="AF115" s="27" t="n">
        <f aca="false">SUMIF($C$2:$F$2,EOMONTH(AF$2,-1)+1,$C115:$F115)*VLOOKUP(AF$2,Valores!$H$2:$P$154,8,0)</f>
        <v>0</v>
      </c>
      <c r="AG115" s="27" t="n">
        <f aca="false">SUMIF($C$2:$F$2,EOMONTH(AG$2,-1)+1,$C115:$F115)*VLOOKUP(AG$2,Valores!$H$2:$P$154,8,0)</f>
        <v>0</v>
      </c>
      <c r="AH115" s="27" t="n">
        <f aca="false">SUMIF($C$2:$F$2,EOMONTH(AH$2,-1)+1,$C115:$F115)*VLOOKUP(AH$2,Valores!$H$2:$P$154,8,0)</f>
        <v>0</v>
      </c>
      <c r="AI115" s="27" t="n">
        <f aca="false">SUMIF($C$2:$F$2,EOMONTH(AI$2,-1)+1,$C115:$F115)*VLOOKUP(AI$2,Valores!$H$2:$P$154,8,0)</f>
        <v>0</v>
      </c>
      <c r="AJ115" s="27" t="n">
        <f aca="false">SUMIF($C$2:$F$2,EOMONTH(AJ$2,-1)+1,$C115:$F115)*VLOOKUP(AJ$2,Valores!$H$2:$P$154,8,0)</f>
        <v>0</v>
      </c>
      <c r="AK115" s="27" t="n">
        <f aca="false">SUMIF($C$2:$F$2,EOMONTH(AK$2,-1)+1,$C115:$F115)*VLOOKUP(AK$2,Valores!$H$2:$P$154,8,0)</f>
        <v>0</v>
      </c>
      <c r="AL115" s="27" t="n">
        <f aca="false">SUMIF($C$2:$F$2,EOMONTH(AL$2,-1)+1,$C115:$F115)*VLOOKUP(AL$2,Valores!$H$2:$P$154,8,0)</f>
        <v>0</v>
      </c>
      <c r="AM115" s="27" t="n">
        <f aca="false">SUMIF($C$2:$F$2,EOMONTH(AM$2,-1)+1,$C115:$F115)*VLOOKUP(AM$2,Valores!$H$2:$P$154,8,0)</f>
        <v>0</v>
      </c>
      <c r="AN115" s="27" t="n">
        <f aca="false">SUMIF($C$2:$F$2,EOMONTH(AN$2,-1)+1,$C115:$F115)*VLOOKUP(AN$2,Valores!$H$2:$P$154,8,0)</f>
        <v>0</v>
      </c>
      <c r="AO115" s="27" t="n">
        <f aca="false">SUMIF($C$2:$F$2,EOMONTH(AO$2,-1)+1,$C115:$F115)*VLOOKUP(AO$2,Valores!$H$2:$P$154,8,0)</f>
        <v>0</v>
      </c>
      <c r="AP115" s="27" t="n">
        <f aca="false">SUMIF($C$2:$F$2,EOMONTH(AP$2,-1)+1,$C115:$F115)*VLOOKUP(AP$2,Valores!$H$2:$P$154,8,0)</f>
        <v>0</v>
      </c>
      <c r="AQ115" s="27" t="n">
        <f aca="false">SUMIF($C$2:$F$2,EOMONTH(AQ$2,-1)+1,$C115:$F115)*VLOOKUP(AQ$2,Valores!$H$2:$P$154,8,0)</f>
        <v>0</v>
      </c>
      <c r="AR115" s="27" t="n">
        <f aca="false">SUMIF($C$2:$F$2,EOMONTH(AR$2,-1)+1,$C115:$F115)*VLOOKUP(AR$2,Valores!$H$2:$P$154,8,0)</f>
        <v>0</v>
      </c>
      <c r="AS115" s="27" t="n">
        <f aca="false">SUMIF($C$2:$F$2,EOMONTH(AS$2,-1)+1,$C115:$F115)*VLOOKUP(AS$2,Valores!$H$2:$P$154,8,0)</f>
        <v>0</v>
      </c>
      <c r="AT115" s="27" t="n">
        <f aca="false">SUMIF($C$2:$F$2,EOMONTH(AT$2,-1)+1,$C115:$F115)*VLOOKUP(AT$2,Valores!$H$2:$P$154,8,0)</f>
        <v>0</v>
      </c>
      <c r="AU115" s="27" t="n">
        <f aca="false">SUMIF($C$2:$F$2,EOMONTH(AU$2,-1)+1,$C115:$F115)*VLOOKUP(AU$2,Valores!$H$2:$P$154,8,0)</f>
        <v>0</v>
      </c>
      <c r="AV115" s="27" t="n">
        <f aca="false">SUMIF($C$2:$F$2,EOMONTH(AV$2,-1)+1,$C115:$F115)*VLOOKUP(AV$2,Valores!$H$2:$P$154,8,0)</f>
        <v>0</v>
      </c>
      <c r="AW115" s="27" t="n">
        <f aca="false">SUMIF($C$2:$F$2,EOMONTH(AW$2,-1)+1,$C115:$F115)*VLOOKUP(AW$2,Valores!$H$2:$P$154,8,0)</f>
        <v>0</v>
      </c>
      <c r="AX115" s="27" t="n">
        <f aca="false">SUMIF($C$2:$F$2,EOMONTH(AX$2,-1)+1,$C115:$F115)*VLOOKUP(AX$2,Valores!$H$2:$P$154,8,0)</f>
        <v>0</v>
      </c>
      <c r="AY115" s="27" t="n">
        <f aca="false">SUMIF($C$2:$F$2,EOMONTH(AY$2,-1)+1,$C115:$F115)*VLOOKUP(AY$2,Valores!$H$2:$P$154,8,0)</f>
        <v>0</v>
      </c>
      <c r="AZ115" s="27" t="n">
        <f aca="false">SUMIF($C$2:$F$2,EOMONTH(AZ$2,-1)+1,$C115:$F115)*VLOOKUP(AZ$2,Valores!$H$2:$P$154,8,0)</f>
        <v>0</v>
      </c>
      <c r="BA115" s="27" t="n">
        <f aca="false">SUMIF($C$2:$F$2,EOMONTH(BA$2,-1)+1,$C115:$F115)*VLOOKUP(BA$2,Valores!$H$2:$P$154,8,0)</f>
        <v>0</v>
      </c>
      <c r="BB115" s="27" t="n">
        <f aca="false">SUMIF($C$2:$F$2,EOMONTH(BB$2,-1)+1,$C115:$F115)*VLOOKUP(BB$2,Valores!$H$2:$P$154,8,0)</f>
        <v>0</v>
      </c>
      <c r="BC115" s="27" t="n">
        <f aca="false">SUMIF($C$2:$F$2,EOMONTH(BC$2,-1)+1,$C115:$F115)*VLOOKUP(BC$2,Valores!$H$2:$P$154,8,0)</f>
        <v>0</v>
      </c>
      <c r="BD115" s="27" t="n">
        <f aca="false">SUMIF($C$2:$F$2,EOMONTH(BD$2,-1)+1,$C115:$F115)*VLOOKUP(BD$2,Valores!$H$2:$P$154,8,0)</f>
        <v>0</v>
      </c>
      <c r="BE115" s="27" t="n">
        <f aca="false">SUMIF($C$2:$F$2,EOMONTH(BE$2,-1)+1,$C115:$F115)*VLOOKUP(BE$2,Valores!$H$2:$P$154,8,0)</f>
        <v>0</v>
      </c>
      <c r="BF115" s="27" t="n">
        <f aca="false">SUMIF($C$2:$F$2,EOMONTH(BF$2,-1)+1,$C115:$F115)*VLOOKUP(BF$2,Valores!$H$2:$P$154,8,0)</f>
        <v>0</v>
      </c>
      <c r="BG115" s="27" t="n">
        <f aca="false">SUMIF($C$2:$F$2,EOMONTH(BG$2,-1)+1,$C115:$F115)*VLOOKUP(BG$2,Valores!$H$2:$P$154,8,0)</f>
        <v>0</v>
      </c>
      <c r="BH115" s="27" t="n">
        <f aca="false">SUMIF($C$2:$F$2,EOMONTH(BH$2,-1)+1,$C115:$F115)*VLOOKUP(BH$2,Valores!$H$2:$P$154,8,0)</f>
        <v>0</v>
      </c>
      <c r="BI115" s="27" t="n">
        <f aca="false">SUMIF($C$2:$F$2,EOMONTH(BI$2,-1)+1,$C115:$F115)*VLOOKUP(BI$2,Valores!$H$2:$P$154,8,0)</f>
        <v>0</v>
      </c>
      <c r="BJ115" s="27" t="n">
        <f aca="false">SUMIF($C$2:$F$2,EOMONTH(BJ$2,-1)+1,$C115:$F115)*VLOOKUP(BJ$2,Valores!$H$2:$P$154,8,0)</f>
        <v>0</v>
      </c>
      <c r="BK115" s="27" t="n">
        <f aca="false">SUMIF($C$2:$F$2,EOMONTH(BK$2,-1)+1,$C115:$F115)*VLOOKUP(BK$2,Valores!$H$2:$P$154,8,0)</f>
        <v>0</v>
      </c>
      <c r="BL115" s="27" t="n">
        <f aca="false">SUMIF($C$2:$F$2,EOMONTH(BL$2,-1)+1,$C115:$F115)*VLOOKUP(BL$2,Valores!$H$2:$P$154,8,0)</f>
        <v>0</v>
      </c>
      <c r="BM115" s="27" t="n">
        <f aca="false">SUMIF($C$2:$F$2,EOMONTH(BM$2,-1)+1,$C115:$F115)*VLOOKUP(BM$2,Valores!$H$2:$P$154,8,0)</f>
        <v>0</v>
      </c>
      <c r="BN115" s="27" t="n">
        <f aca="false">SUMIF($C$2:$F$2,EOMONTH(BN$2,-1)+1,$C115:$F115)*VLOOKUP(BN$2,Valores!$H$2:$P$154,8,0)</f>
        <v>0</v>
      </c>
      <c r="BO115" s="27" t="n">
        <f aca="false">SUMIF($C$2:$F$2,EOMONTH(BO$2,-1)+1,$C115:$F115)*VLOOKUP(BO$2,Valores!$H$2:$P$154,8,0)</f>
        <v>0</v>
      </c>
      <c r="BP115" s="27" t="n">
        <f aca="false">SUMIF($C$2:$F$2,EOMONTH(BP$2,-1)+1,$C115:$F115)*VLOOKUP(BP$2,Valores!$H$2:$P$154,8,0)</f>
        <v>0</v>
      </c>
      <c r="BQ115" s="27" t="n">
        <f aca="false">SUMIF($C$2:$F$2,EOMONTH(BQ$2,-1)+1,$C115:$F115)*VLOOKUP(BQ$2,Valores!$H$2:$P$154,8,0)</f>
        <v>0</v>
      </c>
      <c r="BR115" s="27" t="n">
        <f aca="false">SUMIF($C$2:$F$2,EOMONTH(BR$2,-1)+1,$C115:$F115)*VLOOKUP(BR$2,Valores!$H$2:$P$154,8,0)</f>
        <v>0</v>
      </c>
      <c r="BS115" s="27" t="n">
        <f aca="false">SUMIF($C$2:$F$2,EOMONTH(BS$2,-1)+1,$C115:$F115)*VLOOKUP(BS$2,Valores!$H$2:$P$154,8,0)</f>
        <v>0</v>
      </c>
      <c r="BT115" s="27" t="n">
        <f aca="false">SUMIF($C$2:$F$2,EOMONTH(BT$2,-1)+1,$C115:$F115)*VLOOKUP(BT$2,Valores!$H$2:$P$154,8,0)</f>
        <v>0</v>
      </c>
      <c r="BU115" s="27" t="n">
        <f aca="false">SUMIF($C$2:$F$2,EOMONTH(BU$2,-1)+1,$C115:$F115)*VLOOKUP(BU$2,Valores!$H$2:$P$154,8,0)</f>
        <v>0</v>
      </c>
      <c r="BV115" s="27" t="n">
        <f aca="false">SUMIF($C$2:$F$2,EOMONTH(BV$2,-1)+1,$C115:$F115)*VLOOKUP(BV$2,Valores!$H$2:$P$154,8,0)</f>
        <v>0</v>
      </c>
      <c r="BW115" s="27" t="n">
        <f aca="false">SUMIF($C$2:$F$2,EOMONTH(BW$2,-1)+1,$C115:$F115)*VLOOKUP(BW$2,Valores!$H$2:$P$154,8,0)</f>
        <v>0</v>
      </c>
      <c r="BX115" s="27" t="n">
        <f aca="false">SUMIF($C$2:$F$2,EOMONTH(BX$2,-1)+1,$C115:$F115)*VLOOKUP(BX$2,Valores!$H$2:$P$154,8,0)</f>
        <v>0</v>
      </c>
      <c r="BY115" s="27" t="n">
        <f aca="false">SUMIF($C$2:$F$2,EOMONTH(BY$2,-1)+1,$C115:$F115)*VLOOKUP(BY$2,Valores!$H$2:$P$154,8,0)</f>
        <v>0</v>
      </c>
      <c r="BZ115" s="27" t="n">
        <f aca="false">SUMIF($C$2:$F$2,EOMONTH(BZ$2,-1)+1,$C115:$F115)*VLOOKUP(BZ$2,Valores!$H$2:$P$154,8,0)</f>
        <v>0</v>
      </c>
      <c r="CA115" s="27" t="n">
        <f aca="false">SUMIF($C$2:$F$2,EOMONTH(CA$2,-1)+1,$C115:$F115)*VLOOKUP(CA$2,Valores!$H$2:$P$154,8,0)</f>
        <v>0</v>
      </c>
      <c r="CB115" s="27" t="n">
        <f aca="false">SUMIF($C$2:$F$2,EOMONTH(CB$2,-1)+1,$C115:$F115)*VLOOKUP(CB$2,Valores!$H$2:$P$154,8,0)</f>
        <v>0</v>
      </c>
      <c r="CC115" s="27" t="n">
        <f aca="false">SUMIF($C$2:$F$2,EOMONTH(CC$2,-1)+1,$C115:$F115)*VLOOKUP(CC$2,Valores!$H$2:$P$154,8,0)</f>
        <v>0</v>
      </c>
      <c r="CD115" s="27" t="n">
        <f aca="false">SUMIF($C$2:$F$2,EOMONTH(CD$2,-1)+1,$C115:$F115)*VLOOKUP(CD$2,Valores!$H$2:$P$154,8,0)</f>
        <v>0</v>
      </c>
      <c r="CE115" s="27" t="n">
        <f aca="false">SUMIF($C$2:$F$2,EOMONTH(CE$2,-1)+1,$C115:$F115)*VLOOKUP(CE$2,Valores!$H$2:$P$154,8,0)</f>
        <v>0</v>
      </c>
      <c r="CF115" s="27" t="n">
        <f aca="false">SUMIF($C$2:$F$2,EOMONTH(CF$2,-1)+1,$C115:$F115)*VLOOKUP(CF$2,Valores!$H$2:$P$154,8,0)</f>
        <v>0</v>
      </c>
      <c r="CG115" s="27" t="n">
        <f aca="false">SUMIF($C$2:$F$2,EOMONTH(CG$2,-1)+1,$C115:$F115)*VLOOKUP(CG$2,Valores!$H$2:$P$154,8,0)</f>
        <v>0</v>
      </c>
      <c r="CH115" s="27" t="n">
        <f aca="false">SUMIF($C$2:$F$2,EOMONTH(CH$2,-1)+1,$C115:$F115)*VLOOKUP(CH$2,Valores!$H$2:$P$154,8,0)</f>
        <v>0</v>
      </c>
      <c r="CI115" s="27" t="n">
        <f aca="false">SUMIF($C$2:$F$2,EOMONTH(CI$2,-1)+1,$C115:$F115)*VLOOKUP(CI$2,Valores!$H$2:$P$154,8,0)</f>
        <v>0</v>
      </c>
      <c r="CJ115" s="27" t="n">
        <f aca="false">SUMIF($C$2:$F$2,EOMONTH(CJ$2,-1)+1,$C115:$F115)*VLOOKUP(CJ$2,Valores!$H$2:$P$154,8,0)</f>
        <v>0</v>
      </c>
      <c r="CK115" s="27" t="n">
        <f aca="false">SUMIF($C$2:$F$2,EOMONTH(CK$2,-1)+1,$C115:$F115)*VLOOKUP(CK$2,Valores!$H$2:$P$154,8,0)</f>
        <v>0</v>
      </c>
      <c r="CL115" s="27" t="n">
        <f aca="false">SUMIF($C$2:$F$2,EOMONTH(CL$2,-1)+1,$C115:$F115)*VLOOKUP(CL$2,Valores!$H$2:$P$154,8,0)</f>
        <v>0</v>
      </c>
      <c r="CM115" s="27" t="n">
        <f aca="false">SUMIF($C$2:$F$2,EOMONTH(CM$2,-1)+1,$C115:$F115)*VLOOKUP(CM$2,Valores!$H$2:$P$154,8,0)</f>
        <v>0</v>
      </c>
      <c r="CN115" s="27" t="n">
        <f aca="false">SUMIF($C$2:$F$2,EOMONTH(CN$2,-1)+1,$C115:$F115)*VLOOKUP(CN$2,Valores!$H$2:$P$154,8,0)</f>
        <v>0</v>
      </c>
      <c r="CO115" s="27" t="n">
        <f aca="false">SUMIF($C$2:$F$2,EOMONTH(CO$2,-1)+1,$C115:$F115)*VLOOKUP(CO$2,Valores!$H$2:$P$154,8,0)</f>
        <v>0</v>
      </c>
      <c r="CP115" s="27" t="n">
        <f aca="false">SUMIF($C$2:$F$2,EOMONTH(CP$2,-1)+1,$C115:$F115)*VLOOKUP(CP$2,Valores!$H$2:$P$154,8,0)</f>
        <v>0</v>
      </c>
      <c r="CQ115" s="27" t="n">
        <f aca="false">SUMIF($C$2:$F$2,EOMONTH(CQ$2,-1)+1,$C115:$F115)*VLOOKUP(CQ$2,Valores!$H$2:$P$154,8,0)</f>
        <v>0</v>
      </c>
      <c r="CR115" s="27" t="n">
        <f aca="false">SUMIF($C$2:$F$2,EOMONTH(CR$2,-1)+1,$C115:$F115)*VLOOKUP(CR$2,Valores!$H$2:$P$154,8,0)</f>
        <v>0</v>
      </c>
      <c r="CS115" s="27" t="n">
        <f aca="false">SUMIF($C$2:$F$2,EOMONTH(CS$2,-1)+1,$C115:$F115)*VLOOKUP(CS$2,Valores!$H$2:$P$154,8,0)</f>
        <v>0</v>
      </c>
      <c r="CT115" s="27" t="e">
        <f aca="false">SUMIF($C$2:$F$2,EOMONTH(CT$2,-1)+1,$C115:$F115)*VLOOKUP(CT$2,Valores!$H$2:$P$154,8,0)</f>
        <v>#VALUE!</v>
      </c>
      <c r="CU115" s="27" t="e">
        <f aca="false">SUMIF($C$2:$F$2,EOMONTH(CU$2,-1)+1,$C115:$F115)*VLOOKUP(CU$2,Valores!$H$2:$P$154,8,0)</f>
        <v>#VALUE!</v>
      </c>
      <c r="CV115" s="27" t="e">
        <f aca="false">SUMIF($C$2:$F$2,EOMONTH(CV$2,-1)+1,$C115:$F115)*VLOOKUP(CV$2,Valores!$H$2:$P$154,8,0)</f>
        <v>#VALUE!</v>
      </c>
      <c r="CW115" s="27" t="e">
        <f aca="false">SUMIF($C$2:$F$2,EOMONTH(CW$2,-1)+1,$C115:$F115)*VLOOKUP(CW$2,Valores!$H$2:$P$154,8,0)</f>
        <v>#VALUE!</v>
      </c>
      <c r="CX115" s="27" t="e">
        <f aca="false">SUMIF($C$2:$F$2,EOMONTH(CX$2,-1)+1,$C115:$F115)*VLOOKUP(CX$2,Valores!$H$2:$P$154,8,0)</f>
        <v>#VALUE!</v>
      </c>
      <c r="CY115" s="27" t="e">
        <f aca="false">SUMIF($C$2:$F$2,EOMONTH(CY$2,-1)+1,$C115:$F115)*VLOOKUP(CY$2,Valores!$H$2:$P$154,8,0)</f>
        <v>#VALUE!</v>
      </c>
      <c r="CZ115" s="27" t="e">
        <f aca="false">SUMIF($C$2:$F$2,EOMONTH(CZ$2,-1)+1,$C115:$F115)*VLOOKUP(CZ$2,Valores!$H$2:$P$154,8,0)</f>
        <v>#VALUE!</v>
      </c>
      <c r="DA115" s="27" t="e">
        <f aca="false">SUMIF($C$2:$F$2,EOMONTH(DA$2,-1)+1,$C115:$F115)*VLOOKUP(DA$2,Valores!$H$2:$P$154,8,0)</f>
        <v>#VALUE!</v>
      </c>
      <c r="DB115" s="27" t="e">
        <f aca="false">SUMIF($C$2:$F$2,EOMONTH(DB$2,-1)+1,$C115:$F115)*VLOOKUP(DB$2,Valores!$H$2:$P$154,8,0)</f>
        <v>#VALUE!</v>
      </c>
      <c r="DC115" s="27" t="e">
        <f aca="false">SUMIF($C$2:$F$2,EOMONTH(DC$2,-1)+1,$C115:$F115)*VLOOKUP(DC$2,Valores!$H$2:$P$154,8,0)</f>
        <v>#VALUE!</v>
      </c>
      <c r="DD115" s="27" t="e">
        <f aca="false">SUMIF($C$2:$F$2,EOMONTH(DD$2,-1)+1,$C115:$F115)*VLOOKUP(DD$2,Valores!$H$2:$P$154,8,0)</f>
        <v>#VALUE!</v>
      </c>
      <c r="DE115" s="27" t="e">
        <f aca="false">SUMIF($C$2:$F$2,EOMONTH(DE$2,-1)+1,$C115:$F115)*VLOOKUP(DE$2,Valores!$H$2:$P$154,8,0)</f>
        <v>#VALUE!</v>
      </c>
      <c r="DF115" s="27" t="e">
        <f aca="false">SUMIF($C$2:$F$2,EOMONTH(DF$2,-1)+1,$C115:$F115)*VLOOKUP(DF$2,Valores!$H$2:$P$154,8,0)</f>
        <v>#VALUE!</v>
      </c>
      <c r="DG115" s="27" t="e">
        <f aca="false">SUMIF($C$2:$F$2,EOMONTH(DG$2,-1)+1,$C115:$F115)*VLOOKUP(DG$2,Valores!$H$2:$P$154,8,0)</f>
        <v>#VALUE!</v>
      </c>
      <c r="DH115" s="27" t="e">
        <f aca="false">SUMIF($C$2:$F$2,EOMONTH(DH$2,-1)+1,$C115:$F115)*VLOOKUP(DH$2,Valores!$H$2:$P$154,8,0)</f>
        <v>#VALUE!</v>
      </c>
      <c r="DI115" s="27" t="e">
        <f aca="false">SUMIF($C$2:$F$2,EOMONTH(DI$2,-1)+1,$C115:$F115)*VLOOKUP(DI$2,Valores!$H$2:$P$154,8,0)</f>
        <v>#VALUE!</v>
      </c>
      <c r="DJ115" s="27" t="e">
        <f aca="false">SUMIF($C$2:$F$2,EOMONTH(DJ$2,-1)+1,$C115:$F115)*VLOOKUP(DJ$2,Valores!$H$2:$P$154,8,0)</f>
        <v>#VALUE!</v>
      </c>
      <c r="DK115" s="27" t="e">
        <f aca="false">SUMIF($C$2:$F$2,EOMONTH(DK$2,-1)+1,$C115:$F115)*VLOOKUP(DK$2,Valores!$H$2:$P$154,8,0)</f>
        <v>#VALUE!</v>
      </c>
      <c r="DL115" s="27" t="e">
        <f aca="false">SUMIF($C$2:$F$2,EOMONTH(DL$2,-1)+1,$C115:$F115)*VLOOKUP(DL$2,Valores!$H$2:$P$154,8,0)</f>
        <v>#VALUE!</v>
      </c>
      <c r="DM115" s="27" t="e">
        <f aca="false">SUMIF($C$2:$F$2,EOMONTH(DM$2,-1)+1,$C115:$F115)*VLOOKUP(DM$2,Valores!$H$2:$P$154,8,0)</f>
        <v>#VALUE!</v>
      </c>
      <c r="DN115" s="27" t="e">
        <f aca="false">SUMIF($C$2:$F$2,EOMONTH(DN$2,-1)+1,$C115:$F115)*VLOOKUP(DN$2,Valores!$H$2:$P$154,8,0)</f>
        <v>#VALUE!</v>
      </c>
      <c r="DO115" s="27" t="e">
        <f aca="false">SUMIF($C$2:$F$2,EOMONTH(DO$2,-1)+1,$C115:$F115)*VLOOKUP(DO$2,Valores!$H$2:$P$154,8,0)</f>
        <v>#VALUE!</v>
      </c>
      <c r="DP115" s="27" t="e">
        <f aca="false">SUMIF($C$2:$F$2,EOMONTH(DP$2,-1)+1,$C115:$F115)*VLOOKUP(DP$2,Valores!$H$2:$P$154,8,0)</f>
        <v>#VALUE!</v>
      </c>
      <c r="DQ115" s="27" t="e">
        <f aca="false">SUMIF($C$2:$F$2,EOMONTH(DQ$2,-1)+1,$C115:$F115)*VLOOKUP(DQ$2,Valores!$H$2:$P$154,8,0)</f>
        <v>#VALUE!</v>
      </c>
      <c r="DR115" s="27" t="e">
        <f aca="false">SUMIF($C$2:$F$2,EOMONTH(DR$2,-1)+1,$C115:$F115)*VLOOKUP(DR$2,Valores!$H$2:$P$154,8,0)</f>
        <v>#VALUE!</v>
      </c>
      <c r="DS115" s="27" t="e">
        <f aca="false">SUMIF($C$2:$F$2,EOMONTH(DS$2,-1)+1,$C115:$F115)*VLOOKUP(DS$2,Valores!$H$2:$P$154,8,0)</f>
        <v>#VALUE!</v>
      </c>
      <c r="DT115" s="27" t="e">
        <f aca="false">SUMIF($C$2:$F$2,EOMONTH(DT$2,-1)+1,$C115:$F115)*VLOOKUP(DT$2,Valores!$H$2:$P$154,8,0)</f>
        <v>#VALUE!</v>
      </c>
      <c r="DU115" s="27" t="e">
        <f aca="false">SUMIF($C$2:$F$2,EOMONTH(DU$2,-1)+1,$C115:$F115)*VLOOKUP(DU$2,Valores!$H$2:$P$154,8,0)</f>
        <v>#VALUE!</v>
      </c>
      <c r="DV115" s="27" t="e">
        <f aca="false">SUMIF($C$2:$F$2,EOMONTH(DV$2,-1)+1,$C115:$F115)*VLOOKUP(DV$2,Valores!$H$2:$P$154,8,0)</f>
        <v>#VALUE!</v>
      </c>
      <c r="DW115" s="27" t="e">
        <f aca="false">SUMIF($C$2:$F$2,EOMONTH(DW$2,-1)+1,$C115:$F115)*VLOOKUP(DW$2,Valores!$H$2:$P$154,8,0)</f>
        <v>#VALUE!</v>
      </c>
      <c r="DX115" s="27" t="e">
        <f aca="false">SUMIF($C$2:$F$2,EOMONTH(DX$2,-1)+1,$C115:$F115)*VLOOKUP(DX$2,Valores!$H$2:$P$154,8,0)</f>
        <v>#VALUE!</v>
      </c>
    </row>
    <row r="116" customFormat="false" ht="13.8" hidden="false" customHeight="false" outlineLevel="0" collapsed="false">
      <c r="A116" s="29"/>
      <c r="B116" s="29"/>
      <c r="C116" s="29"/>
      <c r="D116" s="29"/>
      <c r="E116" s="29"/>
      <c r="F116" s="29"/>
      <c r="G116" s="30" t="n">
        <f aca="false">SUMIF($C$2:$F$2,EOMONTH(G$2,-1)+1,$C116:$F116)*VLOOKUP(G$2,Valores!$H$2:$P$154,8,0)</f>
        <v>0</v>
      </c>
      <c r="H116" s="30" t="n">
        <f aca="false">SUMIF($C$2:$F$2,EOMONTH(H$2,-1)+1,$C116:$F116)*VLOOKUP(H$2,Valores!$H$2:$P$154,8,0)</f>
        <v>0</v>
      </c>
      <c r="I116" s="30" t="n">
        <f aca="false">SUMIF($C$2:$F$2,EOMONTH(I$2,-1)+1,$C116:$F116)*VLOOKUP(I$2,Valores!$H$2:$P$154,8,0)</f>
        <v>0</v>
      </c>
      <c r="J116" s="30" t="n">
        <f aca="false">SUMIF($C$2:$F$2,EOMONTH(J$2,-1)+1,$C116:$F116)*VLOOKUP(J$2,Valores!$H$2:$P$154,8,0)</f>
        <v>0</v>
      </c>
      <c r="K116" s="30" t="n">
        <f aca="false">SUMIF($C$2:$F$2,EOMONTH(K$2,-1)+1,$C116:$F116)*VLOOKUP(K$2,Valores!$H$2:$P$154,8,0)</f>
        <v>0</v>
      </c>
      <c r="L116" s="30" t="n">
        <f aca="false">SUMIF($C$2:$F$2,EOMONTH(L$2,-1)+1,$C116:$F116)*VLOOKUP(L$2,Valores!$H$2:$P$154,8,0)</f>
        <v>0</v>
      </c>
      <c r="M116" s="30" t="n">
        <f aca="false">SUMIF($C$2:$F$2,EOMONTH(M$2,-1)+1,$C116:$F116)*VLOOKUP(M$2,Valores!$H$2:$P$154,8,0)</f>
        <v>0</v>
      </c>
      <c r="N116" s="30" t="n">
        <f aca="false">SUMIF($C$2:$F$2,EOMONTH(N$2,-1)+1,$C116:$F116)*VLOOKUP(N$2,Valores!$H$2:$P$154,8,0)</f>
        <v>0</v>
      </c>
      <c r="O116" s="30" t="n">
        <f aca="false">SUMIF($C$2:$F$2,EOMONTH(O$2,-1)+1,$C116:$F116)*VLOOKUP(O$2,Valores!$H$2:$P$154,8,0)</f>
        <v>0</v>
      </c>
      <c r="P116" s="30" t="n">
        <f aca="false">SUMIF($C$2:$F$2,EOMONTH(P$2,-1)+1,$C116:$F116)*VLOOKUP(P$2,Valores!$H$2:$P$154,8,0)</f>
        <v>0</v>
      </c>
      <c r="Q116" s="30" t="n">
        <f aca="false">SUMIF($C$2:$F$2,EOMONTH(Q$2,-1)+1,$C116:$F116)*VLOOKUP(Q$2,Valores!$H$2:$P$154,8,0)</f>
        <v>0</v>
      </c>
      <c r="R116" s="30" t="n">
        <f aca="false">SUMIF($C$2:$F$2,EOMONTH(R$2,-1)+1,$C116:$F116)*VLOOKUP(R$2,Valores!$H$2:$P$154,8,0)</f>
        <v>0</v>
      </c>
      <c r="S116" s="30" t="n">
        <f aca="false">SUMIF($C$2:$F$2,EOMONTH(S$2,-1)+1,$C116:$F116)*VLOOKUP(S$2,Valores!$H$2:$P$154,8,0)</f>
        <v>0</v>
      </c>
      <c r="T116" s="30" t="n">
        <f aca="false">SUMIF($C$2:$F$2,EOMONTH(T$2,-1)+1,$C116:$F116)*VLOOKUP(T$2,Valores!$H$2:$P$154,8,0)</f>
        <v>0</v>
      </c>
      <c r="U116" s="30" t="n">
        <f aca="false">SUMIF($C$2:$F$2,EOMONTH(U$2,-1)+1,$C116:$F116)*VLOOKUP(U$2,Valores!$H$2:$P$154,8,0)</f>
        <v>0</v>
      </c>
      <c r="V116" s="30" t="n">
        <f aca="false">SUMIF($C$2:$F$2,EOMONTH(V$2,-1)+1,$C116:$F116)*VLOOKUP(V$2,Valores!$H$2:$P$154,8,0)</f>
        <v>0</v>
      </c>
      <c r="W116" s="30" t="n">
        <f aca="false">SUMIF($C$2:$F$2,EOMONTH(W$2,-1)+1,$C116:$F116)*VLOOKUP(W$2,Valores!$H$2:$P$154,8,0)</f>
        <v>0</v>
      </c>
      <c r="X116" s="30" t="n">
        <f aca="false">SUMIF($C$2:$F$2,EOMONTH(X$2,-1)+1,$C116:$F116)*VLOOKUP(X$2,Valores!$H$2:$P$154,8,0)</f>
        <v>0</v>
      </c>
      <c r="Y116" s="30" t="n">
        <f aca="false">SUMIF($C$2:$F$2,EOMONTH(Y$2,-1)+1,$C116:$F116)*VLOOKUP(Y$2,Valores!$H$2:$P$154,8,0)</f>
        <v>0</v>
      </c>
      <c r="Z116" s="30" t="n">
        <f aca="false">SUMIF($C$2:$F$2,EOMONTH(Z$2,-1)+1,$C116:$F116)*VLOOKUP(Z$2,Valores!$H$2:$P$154,8,0)</f>
        <v>0</v>
      </c>
      <c r="AA116" s="30" t="n">
        <f aca="false">SUMIF($C$2:$F$2,EOMONTH(AA$2,-1)+1,$C116:$F116)*VLOOKUP(AA$2,Valores!$H$2:$P$154,8,0)</f>
        <v>0</v>
      </c>
      <c r="AB116" s="30" t="n">
        <f aca="false">SUMIF($C$2:$F$2,EOMONTH(AB$2,-1)+1,$C116:$F116)*VLOOKUP(AB$2,Valores!$H$2:$P$154,8,0)</f>
        <v>0</v>
      </c>
      <c r="AC116" s="30" t="n">
        <f aca="false">SUMIF($C$2:$F$2,EOMONTH(AC$2,-1)+1,$C116:$F116)*VLOOKUP(AC$2,Valores!$H$2:$P$154,8,0)</f>
        <v>0</v>
      </c>
      <c r="AD116" s="30" t="n">
        <f aca="false">SUMIF($C$2:$F$2,EOMONTH(AD$2,-1)+1,$C116:$F116)*VLOOKUP(AD$2,Valores!$H$2:$P$154,8,0)</f>
        <v>0</v>
      </c>
      <c r="AE116" s="30" t="n">
        <f aca="false">SUMIF($C$2:$F$2,EOMONTH(AE$2,-1)+1,$C116:$F116)*VLOOKUP(AE$2,Valores!$H$2:$P$154,8,0)</f>
        <v>0</v>
      </c>
      <c r="AF116" s="30" t="n">
        <f aca="false">SUMIF($C$2:$F$2,EOMONTH(AF$2,-1)+1,$C116:$F116)*VLOOKUP(AF$2,Valores!$H$2:$P$154,8,0)</f>
        <v>0</v>
      </c>
      <c r="AG116" s="30" t="n">
        <f aca="false">SUMIF($C$2:$F$2,EOMONTH(AG$2,-1)+1,$C116:$F116)*VLOOKUP(AG$2,Valores!$H$2:$P$154,8,0)</f>
        <v>0</v>
      </c>
      <c r="AH116" s="30" t="n">
        <f aca="false">SUMIF($C$2:$F$2,EOMONTH(AH$2,-1)+1,$C116:$F116)*VLOOKUP(AH$2,Valores!$H$2:$P$154,8,0)</f>
        <v>0</v>
      </c>
      <c r="AI116" s="30" t="n">
        <f aca="false">SUMIF($C$2:$F$2,EOMONTH(AI$2,-1)+1,$C116:$F116)*VLOOKUP(AI$2,Valores!$H$2:$P$154,8,0)</f>
        <v>0</v>
      </c>
      <c r="AJ116" s="30" t="n">
        <f aca="false">SUMIF($C$2:$F$2,EOMONTH(AJ$2,-1)+1,$C116:$F116)*VLOOKUP(AJ$2,Valores!$H$2:$P$154,8,0)</f>
        <v>0</v>
      </c>
      <c r="AK116" s="30" t="n">
        <f aca="false">SUMIF($C$2:$F$2,EOMONTH(AK$2,-1)+1,$C116:$F116)*VLOOKUP(AK$2,Valores!$H$2:$P$154,8,0)</f>
        <v>0</v>
      </c>
      <c r="AL116" s="30" t="n">
        <f aca="false">SUMIF($C$2:$F$2,EOMONTH(AL$2,-1)+1,$C116:$F116)*VLOOKUP(AL$2,Valores!$H$2:$P$154,8,0)</f>
        <v>0</v>
      </c>
      <c r="AM116" s="30" t="n">
        <f aca="false">SUMIF($C$2:$F$2,EOMONTH(AM$2,-1)+1,$C116:$F116)*VLOOKUP(AM$2,Valores!$H$2:$P$154,8,0)</f>
        <v>0</v>
      </c>
      <c r="AN116" s="30" t="n">
        <f aca="false">SUMIF($C$2:$F$2,EOMONTH(AN$2,-1)+1,$C116:$F116)*VLOOKUP(AN$2,Valores!$H$2:$P$154,8,0)</f>
        <v>0</v>
      </c>
      <c r="AO116" s="30" t="n">
        <f aca="false">SUMIF($C$2:$F$2,EOMONTH(AO$2,-1)+1,$C116:$F116)*VLOOKUP(AO$2,Valores!$H$2:$P$154,8,0)</f>
        <v>0</v>
      </c>
      <c r="AP116" s="30" t="n">
        <f aca="false">SUMIF($C$2:$F$2,EOMONTH(AP$2,-1)+1,$C116:$F116)*VLOOKUP(AP$2,Valores!$H$2:$P$154,8,0)</f>
        <v>0</v>
      </c>
      <c r="AQ116" s="30" t="n">
        <f aca="false">SUMIF($C$2:$F$2,EOMONTH(AQ$2,-1)+1,$C116:$F116)*VLOOKUP(AQ$2,Valores!$H$2:$P$154,8,0)</f>
        <v>0</v>
      </c>
      <c r="AR116" s="30" t="n">
        <f aca="false">SUMIF($C$2:$F$2,EOMONTH(AR$2,-1)+1,$C116:$F116)*VLOOKUP(AR$2,Valores!$H$2:$P$154,8,0)</f>
        <v>0</v>
      </c>
      <c r="AS116" s="30" t="n">
        <f aca="false">SUMIF($C$2:$F$2,EOMONTH(AS$2,-1)+1,$C116:$F116)*VLOOKUP(AS$2,Valores!$H$2:$P$154,8,0)</f>
        <v>0</v>
      </c>
      <c r="AT116" s="30" t="n">
        <f aca="false">SUMIF($C$2:$F$2,EOMONTH(AT$2,-1)+1,$C116:$F116)*VLOOKUP(AT$2,Valores!$H$2:$P$154,8,0)</f>
        <v>0</v>
      </c>
      <c r="AU116" s="30" t="n">
        <f aca="false">SUMIF($C$2:$F$2,EOMONTH(AU$2,-1)+1,$C116:$F116)*VLOOKUP(AU$2,Valores!$H$2:$P$154,8,0)</f>
        <v>0</v>
      </c>
      <c r="AV116" s="30" t="n">
        <f aca="false">SUMIF($C$2:$F$2,EOMONTH(AV$2,-1)+1,$C116:$F116)*VLOOKUP(AV$2,Valores!$H$2:$P$154,8,0)</f>
        <v>0</v>
      </c>
      <c r="AW116" s="30" t="n">
        <f aca="false">SUMIF($C$2:$F$2,EOMONTH(AW$2,-1)+1,$C116:$F116)*VLOOKUP(AW$2,Valores!$H$2:$P$154,8,0)</f>
        <v>0</v>
      </c>
      <c r="AX116" s="30" t="n">
        <f aca="false">SUMIF($C$2:$F$2,EOMONTH(AX$2,-1)+1,$C116:$F116)*VLOOKUP(AX$2,Valores!$H$2:$P$154,8,0)</f>
        <v>0</v>
      </c>
      <c r="AY116" s="30" t="n">
        <f aca="false">SUMIF($C$2:$F$2,EOMONTH(AY$2,-1)+1,$C116:$F116)*VLOOKUP(AY$2,Valores!$H$2:$P$154,8,0)</f>
        <v>0</v>
      </c>
      <c r="AZ116" s="30" t="n">
        <f aca="false">SUMIF($C$2:$F$2,EOMONTH(AZ$2,-1)+1,$C116:$F116)*VLOOKUP(AZ$2,Valores!$H$2:$P$154,8,0)</f>
        <v>0</v>
      </c>
      <c r="BA116" s="30" t="n">
        <f aca="false">SUMIF($C$2:$F$2,EOMONTH(BA$2,-1)+1,$C116:$F116)*VLOOKUP(BA$2,Valores!$H$2:$P$154,8,0)</f>
        <v>0</v>
      </c>
      <c r="BB116" s="30" t="n">
        <f aca="false">SUMIF($C$2:$F$2,EOMONTH(BB$2,-1)+1,$C116:$F116)*VLOOKUP(BB$2,Valores!$H$2:$P$154,8,0)</f>
        <v>0</v>
      </c>
      <c r="BC116" s="30" t="n">
        <f aca="false">SUMIF($C$2:$F$2,EOMONTH(BC$2,-1)+1,$C116:$F116)*VLOOKUP(BC$2,Valores!$H$2:$P$154,8,0)</f>
        <v>0</v>
      </c>
      <c r="BD116" s="30" t="n">
        <f aca="false">SUMIF($C$2:$F$2,EOMONTH(BD$2,-1)+1,$C116:$F116)*VLOOKUP(BD$2,Valores!$H$2:$P$154,8,0)</f>
        <v>0</v>
      </c>
      <c r="BE116" s="30" t="n">
        <f aca="false">SUMIF($C$2:$F$2,EOMONTH(BE$2,-1)+1,$C116:$F116)*VLOOKUP(BE$2,Valores!$H$2:$P$154,8,0)</f>
        <v>0</v>
      </c>
      <c r="BF116" s="30" t="n">
        <f aca="false">SUMIF($C$2:$F$2,EOMONTH(BF$2,-1)+1,$C116:$F116)*VLOOKUP(BF$2,Valores!$H$2:$P$154,8,0)</f>
        <v>0</v>
      </c>
      <c r="BG116" s="30" t="n">
        <f aca="false">SUMIF($C$2:$F$2,EOMONTH(BG$2,-1)+1,$C116:$F116)*VLOOKUP(BG$2,Valores!$H$2:$P$154,8,0)</f>
        <v>0</v>
      </c>
      <c r="BH116" s="30" t="n">
        <f aca="false">SUMIF($C$2:$F$2,EOMONTH(BH$2,-1)+1,$C116:$F116)*VLOOKUP(BH$2,Valores!$H$2:$P$154,8,0)</f>
        <v>0</v>
      </c>
      <c r="BI116" s="30" t="n">
        <f aca="false">SUMIF($C$2:$F$2,EOMONTH(BI$2,-1)+1,$C116:$F116)*VLOOKUP(BI$2,Valores!$H$2:$P$154,8,0)</f>
        <v>0</v>
      </c>
      <c r="BJ116" s="30" t="n">
        <f aca="false">SUMIF($C$2:$F$2,EOMONTH(BJ$2,-1)+1,$C116:$F116)*VLOOKUP(BJ$2,Valores!$H$2:$P$154,8,0)</f>
        <v>0</v>
      </c>
      <c r="BK116" s="30" t="n">
        <f aca="false">SUMIF($C$2:$F$2,EOMONTH(BK$2,-1)+1,$C116:$F116)*VLOOKUP(BK$2,Valores!$H$2:$P$154,8,0)</f>
        <v>0</v>
      </c>
      <c r="BL116" s="30" t="n">
        <f aca="false">SUMIF($C$2:$F$2,EOMONTH(BL$2,-1)+1,$C116:$F116)*VLOOKUP(BL$2,Valores!$H$2:$P$154,8,0)</f>
        <v>0</v>
      </c>
      <c r="BM116" s="30" t="n">
        <f aca="false">SUMIF($C$2:$F$2,EOMONTH(BM$2,-1)+1,$C116:$F116)*VLOOKUP(BM$2,Valores!$H$2:$P$154,8,0)</f>
        <v>0</v>
      </c>
      <c r="BN116" s="30" t="n">
        <f aca="false">SUMIF($C$2:$F$2,EOMONTH(BN$2,-1)+1,$C116:$F116)*VLOOKUP(BN$2,Valores!$H$2:$P$154,8,0)</f>
        <v>0</v>
      </c>
      <c r="BO116" s="30" t="n">
        <f aca="false">SUMIF($C$2:$F$2,EOMONTH(BO$2,-1)+1,$C116:$F116)*VLOOKUP(BO$2,Valores!$H$2:$P$154,8,0)</f>
        <v>0</v>
      </c>
      <c r="BP116" s="30" t="n">
        <f aca="false">SUMIF($C$2:$F$2,EOMONTH(BP$2,-1)+1,$C116:$F116)*VLOOKUP(BP$2,Valores!$H$2:$P$154,8,0)</f>
        <v>0</v>
      </c>
      <c r="BQ116" s="30" t="n">
        <f aca="false">SUMIF($C$2:$F$2,EOMONTH(BQ$2,-1)+1,$C116:$F116)*VLOOKUP(BQ$2,Valores!$H$2:$P$154,8,0)</f>
        <v>0</v>
      </c>
      <c r="BR116" s="30" t="n">
        <f aca="false">SUMIF($C$2:$F$2,EOMONTH(BR$2,-1)+1,$C116:$F116)*VLOOKUP(BR$2,Valores!$H$2:$P$154,8,0)</f>
        <v>0</v>
      </c>
      <c r="BS116" s="30" t="n">
        <f aca="false">SUMIF($C$2:$F$2,EOMONTH(BS$2,-1)+1,$C116:$F116)*VLOOKUP(BS$2,Valores!$H$2:$P$154,8,0)</f>
        <v>0</v>
      </c>
      <c r="BT116" s="30" t="n">
        <f aca="false">SUMIF($C$2:$F$2,EOMONTH(BT$2,-1)+1,$C116:$F116)*VLOOKUP(BT$2,Valores!$H$2:$P$154,8,0)</f>
        <v>0</v>
      </c>
      <c r="BU116" s="30" t="n">
        <f aca="false">SUMIF($C$2:$F$2,EOMONTH(BU$2,-1)+1,$C116:$F116)*VLOOKUP(BU$2,Valores!$H$2:$P$154,8,0)</f>
        <v>0</v>
      </c>
      <c r="BV116" s="30" t="n">
        <f aca="false">SUMIF($C$2:$F$2,EOMONTH(BV$2,-1)+1,$C116:$F116)*VLOOKUP(BV$2,Valores!$H$2:$P$154,8,0)</f>
        <v>0</v>
      </c>
      <c r="BW116" s="30" t="n">
        <f aca="false">SUMIF($C$2:$F$2,EOMONTH(BW$2,-1)+1,$C116:$F116)*VLOOKUP(BW$2,Valores!$H$2:$P$154,8,0)</f>
        <v>0</v>
      </c>
      <c r="BX116" s="30" t="n">
        <f aca="false">SUMIF($C$2:$F$2,EOMONTH(BX$2,-1)+1,$C116:$F116)*VLOOKUP(BX$2,Valores!$H$2:$P$154,8,0)</f>
        <v>0</v>
      </c>
      <c r="BY116" s="30" t="n">
        <f aca="false">SUMIF($C$2:$F$2,EOMONTH(BY$2,-1)+1,$C116:$F116)*VLOOKUP(BY$2,Valores!$H$2:$P$154,8,0)</f>
        <v>0</v>
      </c>
      <c r="BZ116" s="30" t="n">
        <f aca="false">SUMIF($C$2:$F$2,EOMONTH(BZ$2,-1)+1,$C116:$F116)*VLOOKUP(BZ$2,Valores!$H$2:$P$154,8,0)</f>
        <v>0</v>
      </c>
      <c r="CA116" s="30" t="n">
        <f aca="false">SUMIF($C$2:$F$2,EOMONTH(CA$2,-1)+1,$C116:$F116)*VLOOKUP(CA$2,Valores!$H$2:$P$154,8,0)</f>
        <v>0</v>
      </c>
      <c r="CB116" s="30" t="n">
        <f aca="false">SUMIF($C$2:$F$2,EOMONTH(CB$2,-1)+1,$C116:$F116)*VLOOKUP(CB$2,Valores!$H$2:$P$154,8,0)</f>
        <v>0</v>
      </c>
      <c r="CC116" s="30" t="n">
        <f aca="false">SUMIF($C$2:$F$2,EOMONTH(CC$2,-1)+1,$C116:$F116)*VLOOKUP(CC$2,Valores!$H$2:$P$154,8,0)</f>
        <v>0</v>
      </c>
      <c r="CD116" s="30" t="n">
        <f aca="false">SUMIF($C$2:$F$2,EOMONTH(CD$2,-1)+1,$C116:$F116)*VLOOKUP(CD$2,Valores!$H$2:$P$154,8,0)</f>
        <v>0</v>
      </c>
      <c r="CE116" s="30" t="n">
        <f aca="false">SUMIF($C$2:$F$2,EOMONTH(CE$2,-1)+1,$C116:$F116)*VLOOKUP(CE$2,Valores!$H$2:$P$154,8,0)</f>
        <v>0</v>
      </c>
      <c r="CF116" s="30" t="n">
        <f aca="false">SUMIF($C$2:$F$2,EOMONTH(CF$2,-1)+1,$C116:$F116)*VLOOKUP(CF$2,Valores!$H$2:$P$154,8,0)</f>
        <v>0</v>
      </c>
      <c r="CG116" s="30" t="n">
        <f aca="false">SUMIF($C$2:$F$2,EOMONTH(CG$2,-1)+1,$C116:$F116)*VLOOKUP(CG$2,Valores!$H$2:$P$154,8,0)</f>
        <v>0</v>
      </c>
      <c r="CH116" s="30" t="n">
        <f aca="false">SUMIF($C$2:$F$2,EOMONTH(CH$2,-1)+1,$C116:$F116)*VLOOKUP(CH$2,Valores!$H$2:$P$154,8,0)</f>
        <v>0</v>
      </c>
      <c r="CI116" s="30" t="n">
        <f aca="false">SUMIF($C$2:$F$2,EOMONTH(CI$2,-1)+1,$C116:$F116)*VLOOKUP(CI$2,Valores!$H$2:$P$154,8,0)</f>
        <v>0</v>
      </c>
      <c r="CJ116" s="30" t="n">
        <f aca="false">SUMIF($C$2:$F$2,EOMONTH(CJ$2,-1)+1,$C116:$F116)*VLOOKUP(CJ$2,Valores!$H$2:$P$154,8,0)</f>
        <v>0</v>
      </c>
      <c r="CK116" s="30" t="n">
        <f aca="false">SUMIF($C$2:$F$2,EOMONTH(CK$2,-1)+1,$C116:$F116)*VLOOKUP(CK$2,Valores!$H$2:$P$154,8,0)</f>
        <v>0</v>
      </c>
      <c r="CL116" s="30" t="n">
        <f aca="false">SUMIF($C$2:$F$2,EOMONTH(CL$2,-1)+1,$C116:$F116)*VLOOKUP(CL$2,Valores!$H$2:$P$154,8,0)</f>
        <v>0</v>
      </c>
      <c r="CM116" s="30" t="n">
        <f aca="false">SUMIF($C$2:$F$2,EOMONTH(CM$2,-1)+1,$C116:$F116)*VLOOKUP(CM$2,Valores!$H$2:$P$154,8,0)</f>
        <v>0</v>
      </c>
      <c r="CN116" s="30" t="n">
        <f aca="false">SUMIF($C$2:$F$2,EOMONTH(CN$2,-1)+1,$C116:$F116)*VLOOKUP(CN$2,Valores!$H$2:$P$154,8,0)</f>
        <v>0</v>
      </c>
      <c r="CO116" s="30" t="n">
        <f aca="false">SUMIF($C$2:$F$2,EOMONTH(CO$2,-1)+1,$C116:$F116)*VLOOKUP(CO$2,Valores!$H$2:$P$154,8,0)</f>
        <v>0</v>
      </c>
      <c r="CP116" s="30" t="n">
        <f aca="false">SUMIF($C$2:$F$2,EOMONTH(CP$2,-1)+1,$C116:$F116)*VLOOKUP(CP$2,Valores!$H$2:$P$154,8,0)</f>
        <v>0</v>
      </c>
      <c r="CQ116" s="30" t="n">
        <f aca="false">SUMIF($C$2:$F$2,EOMONTH(CQ$2,-1)+1,$C116:$F116)*VLOOKUP(CQ$2,Valores!$H$2:$P$154,8,0)</f>
        <v>0</v>
      </c>
      <c r="CR116" s="30" t="n">
        <f aca="false">SUMIF($C$2:$F$2,EOMONTH(CR$2,-1)+1,$C116:$F116)*VLOOKUP(CR$2,Valores!$H$2:$P$154,8,0)</f>
        <v>0</v>
      </c>
      <c r="CS116" s="30" t="n">
        <f aca="false">SUMIF($C$2:$F$2,EOMONTH(CS$2,-1)+1,$C116:$F116)*VLOOKUP(CS$2,Valores!$H$2:$P$154,8,0)</f>
        <v>0</v>
      </c>
      <c r="CT116" s="30" t="e">
        <f aca="false">SUMIF($C$2:$F$2,EOMONTH(CT$2,-1)+1,$C116:$F116)*VLOOKUP(CT$2,Valores!$H$2:$P$154,8,0)</f>
        <v>#VALUE!</v>
      </c>
      <c r="CU116" s="30" t="e">
        <f aca="false">SUMIF($C$2:$F$2,EOMONTH(CU$2,-1)+1,$C116:$F116)*VLOOKUP(CU$2,Valores!$H$2:$P$154,8,0)</f>
        <v>#VALUE!</v>
      </c>
      <c r="CV116" s="30" t="e">
        <f aca="false">SUMIF($C$2:$F$2,EOMONTH(CV$2,-1)+1,$C116:$F116)*VLOOKUP(CV$2,Valores!$H$2:$P$154,8,0)</f>
        <v>#VALUE!</v>
      </c>
      <c r="CW116" s="30" t="e">
        <f aca="false">SUMIF($C$2:$F$2,EOMONTH(CW$2,-1)+1,$C116:$F116)*VLOOKUP(CW$2,Valores!$H$2:$P$154,8,0)</f>
        <v>#VALUE!</v>
      </c>
      <c r="CX116" s="30" t="e">
        <f aca="false">SUMIF($C$2:$F$2,EOMONTH(CX$2,-1)+1,$C116:$F116)*VLOOKUP(CX$2,Valores!$H$2:$P$154,8,0)</f>
        <v>#VALUE!</v>
      </c>
      <c r="CY116" s="30" t="e">
        <f aca="false">SUMIF($C$2:$F$2,EOMONTH(CY$2,-1)+1,$C116:$F116)*VLOOKUP(CY$2,Valores!$H$2:$P$154,8,0)</f>
        <v>#VALUE!</v>
      </c>
      <c r="CZ116" s="30" t="e">
        <f aca="false">SUMIF($C$2:$F$2,EOMONTH(CZ$2,-1)+1,$C116:$F116)*VLOOKUP(CZ$2,Valores!$H$2:$P$154,8,0)</f>
        <v>#VALUE!</v>
      </c>
      <c r="DA116" s="30" t="e">
        <f aca="false">SUMIF($C$2:$F$2,EOMONTH(DA$2,-1)+1,$C116:$F116)*VLOOKUP(DA$2,Valores!$H$2:$P$154,8,0)</f>
        <v>#VALUE!</v>
      </c>
      <c r="DB116" s="30" t="e">
        <f aca="false">SUMIF($C$2:$F$2,EOMONTH(DB$2,-1)+1,$C116:$F116)*VLOOKUP(DB$2,Valores!$H$2:$P$154,8,0)</f>
        <v>#VALUE!</v>
      </c>
      <c r="DC116" s="30" t="e">
        <f aca="false">SUMIF($C$2:$F$2,EOMONTH(DC$2,-1)+1,$C116:$F116)*VLOOKUP(DC$2,Valores!$H$2:$P$154,8,0)</f>
        <v>#VALUE!</v>
      </c>
      <c r="DD116" s="30" t="e">
        <f aca="false">SUMIF($C$2:$F$2,EOMONTH(DD$2,-1)+1,$C116:$F116)*VLOOKUP(DD$2,Valores!$H$2:$P$154,8,0)</f>
        <v>#VALUE!</v>
      </c>
      <c r="DE116" s="30" t="e">
        <f aca="false">SUMIF($C$2:$F$2,EOMONTH(DE$2,-1)+1,$C116:$F116)*VLOOKUP(DE$2,Valores!$H$2:$P$154,8,0)</f>
        <v>#VALUE!</v>
      </c>
      <c r="DF116" s="30" t="e">
        <f aca="false">SUMIF($C$2:$F$2,EOMONTH(DF$2,-1)+1,$C116:$F116)*VLOOKUP(DF$2,Valores!$H$2:$P$154,8,0)</f>
        <v>#VALUE!</v>
      </c>
      <c r="DG116" s="30" t="e">
        <f aca="false">SUMIF($C$2:$F$2,EOMONTH(DG$2,-1)+1,$C116:$F116)*VLOOKUP(DG$2,Valores!$H$2:$P$154,8,0)</f>
        <v>#VALUE!</v>
      </c>
      <c r="DH116" s="30" t="e">
        <f aca="false">SUMIF($C$2:$F$2,EOMONTH(DH$2,-1)+1,$C116:$F116)*VLOOKUP(DH$2,Valores!$H$2:$P$154,8,0)</f>
        <v>#VALUE!</v>
      </c>
      <c r="DI116" s="30" t="e">
        <f aca="false">SUMIF($C$2:$F$2,EOMONTH(DI$2,-1)+1,$C116:$F116)*VLOOKUP(DI$2,Valores!$H$2:$P$154,8,0)</f>
        <v>#VALUE!</v>
      </c>
      <c r="DJ116" s="30" t="e">
        <f aca="false">SUMIF($C$2:$F$2,EOMONTH(DJ$2,-1)+1,$C116:$F116)*VLOOKUP(DJ$2,Valores!$H$2:$P$154,8,0)</f>
        <v>#VALUE!</v>
      </c>
      <c r="DK116" s="30" t="e">
        <f aca="false">SUMIF($C$2:$F$2,EOMONTH(DK$2,-1)+1,$C116:$F116)*VLOOKUP(DK$2,Valores!$H$2:$P$154,8,0)</f>
        <v>#VALUE!</v>
      </c>
      <c r="DL116" s="30" t="e">
        <f aca="false">SUMIF($C$2:$F$2,EOMONTH(DL$2,-1)+1,$C116:$F116)*VLOOKUP(DL$2,Valores!$H$2:$P$154,8,0)</f>
        <v>#VALUE!</v>
      </c>
      <c r="DM116" s="30" t="e">
        <f aca="false">SUMIF($C$2:$F$2,EOMONTH(DM$2,-1)+1,$C116:$F116)*VLOOKUP(DM$2,Valores!$H$2:$P$154,8,0)</f>
        <v>#VALUE!</v>
      </c>
      <c r="DN116" s="30" t="e">
        <f aca="false">SUMIF($C$2:$F$2,EOMONTH(DN$2,-1)+1,$C116:$F116)*VLOOKUP(DN$2,Valores!$H$2:$P$154,8,0)</f>
        <v>#VALUE!</v>
      </c>
      <c r="DO116" s="30" t="e">
        <f aca="false">SUMIF($C$2:$F$2,EOMONTH(DO$2,-1)+1,$C116:$F116)*VLOOKUP(DO$2,Valores!$H$2:$P$154,8,0)</f>
        <v>#VALUE!</v>
      </c>
      <c r="DP116" s="30" t="e">
        <f aca="false">SUMIF($C$2:$F$2,EOMONTH(DP$2,-1)+1,$C116:$F116)*VLOOKUP(DP$2,Valores!$H$2:$P$154,8,0)</f>
        <v>#VALUE!</v>
      </c>
      <c r="DQ116" s="30" t="e">
        <f aca="false">SUMIF($C$2:$F$2,EOMONTH(DQ$2,-1)+1,$C116:$F116)*VLOOKUP(DQ$2,Valores!$H$2:$P$154,8,0)</f>
        <v>#VALUE!</v>
      </c>
      <c r="DR116" s="30" t="e">
        <f aca="false">SUMIF($C$2:$F$2,EOMONTH(DR$2,-1)+1,$C116:$F116)*VLOOKUP(DR$2,Valores!$H$2:$P$154,8,0)</f>
        <v>#VALUE!</v>
      </c>
      <c r="DS116" s="30" t="e">
        <f aca="false">SUMIF($C$2:$F$2,EOMONTH(DS$2,-1)+1,$C116:$F116)*VLOOKUP(DS$2,Valores!$H$2:$P$154,8,0)</f>
        <v>#VALUE!</v>
      </c>
      <c r="DT116" s="30" t="e">
        <f aca="false">SUMIF($C$2:$F$2,EOMONTH(DT$2,-1)+1,$C116:$F116)*VLOOKUP(DT$2,Valores!$H$2:$P$154,8,0)</f>
        <v>#VALUE!</v>
      </c>
      <c r="DU116" s="30" t="e">
        <f aca="false">SUMIF($C$2:$F$2,EOMONTH(DU$2,-1)+1,$C116:$F116)*VLOOKUP(DU$2,Valores!$H$2:$P$154,8,0)</f>
        <v>#VALUE!</v>
      </c>
      <c r="DV116" s="30" t="e">
        <f aca="false">SUMIF($C$2:$F$2,EOMONTH(DV$2,-1)+1,$C116:$F116)*VLOOKUP(DV$2,Valores!$H$2:$P$154,8,0)</f>
        <v>#VALUE!</v>
      </c>
      <c r="DW116" s="30" t="e">
        <f aca="false">SUMIF($C$2:$F$2,EOMONTH(DW$2,-1)+1,$C116:$F116)*VLOOKUP(DW$2,Valores!$H$2:$P$154,8,0)</f>
        <v>#VALUE!</v>
      </c>
      <c r="DX116" s="30" t="e">
        <f aca="false">SUMIF($C$2:$F$2,EOMONTH(DX$2,-1)+1,$C116:$F116)*VLOOKUP(DX$2,Valores!$H$2:$P$154,8,0)</f>
        <v>#VALUE!</v>
      </c>
    </row>
    <row r="117" customFormat="false" ht="13.8" hidden="false" customHeight="false" outlineLevel="0" collapsed="false">
      <c r="A117" s="31"/>
      <c r="B117" s="31"/>
      <c r="C117" s="31"/>
      <c r="D117" s="31"/>
      <c r="E117" s="31"/>
      <c r="F117" s="31"/>
      <c r="G117" s="27" t="n">
        <f aca="false">SUMIF($C$2:$F$2,EOMONTH(G$2,-1)+1,$C117:$F117)*VLOOKUP(G$2,Valores!$H$2:$P$154,8,0)</f>
        <v>0</v>
      </c>
      <c r="H117" s="27" t="n">
        <f aca="false">SUMIF($C$2:$F$2,EOMONTH(H$2,-1)+1,$C117:$F117)*VLOOKUP(H$2,Valores!$H$2:$P$154,8,0)</f>
        <v>0</v>
      </c>
      <c r="I117" s="27" t="n">
        <f aca="false">SUMIF($C$2:$F$2,EOMONTH(I$2,-1)+1,$C117:$F117)*VLOOKUP(I$2,Valores!$H$2:$P$154,8,0)</f>
        <v>0</v>
      </c>
      <c r="J117" s="27" t="n">
        <f aca="false">SUMIF($C$2:$F$2,EOMONTH(J$2,-1)+1,$C117:$F117)*VLOOKUP(J$2,Valores!$H$2:$P$154,8,0)</f>
        <v>0</v>
      </c>
      <c r="K117" s="27" t="n">
        <f aca="false">SUMIF($C$2:$F$2,EOMONTH(K$2,-1)+1,$C117:$F117)*VLOOKUP(K$2,Valores!$H$2:$P$154,8,0)</f>
        <v>0</v>
      </c>
      <c r="L117" s="27" t="n">
        <f aca="false">SUMIF($C$2:$F$2,EOMONTH(L$2,-1)+1,$C117:$F117)*VLOOKUP(L$2,Valores!$H$2:$P$154,8,0)</f>
        <v>0</v>
      </c>
      <c r="M117" s="27" t="n">
        <f aca="false">SUMIF($C$2:$F$2,EOMONTH(M$2,-1)+1,$C117:$F117)*VLOOKUP(M$2,Valores!$H$2:$P$154,8,0)</f>
        <v>0</v>
      </c>
      <c r="N117" s="27" t="n">
        <f aca="false">SUMIF($C$2:$F$2,EOMONTH(N$2,-1)+1,$C117:$F117)*VLOOKUP(N$2,Valores!$H$2:$P$154,8,0)</f>
        <v>0</v>
      </c>
      <c r="O117" s="27" t="n">
        <f aca="false">SUMIF($C$2:$F$2,EOMONTH(O$2,-1)+1,$C117:$F117)*VLOOKUP(O$2,Valores!$H$2:$P$154,8,0)</f>
        <v>0</v>
      </c>
      <c r="P117" s="27" t="n">
        <f aca="false">SUMIF($C$2:$F$2,EOMONTH(P$2,-1)+1,$C117:$F117)*VLOOKUP(P$2,Valores!$H$2:$P$154,8,0)</f>
        <v>0</v>
      </c>
      <c r="Q117" s="27" t="n">
        <f aca="false">SUMIF($C$2:$F$2,EOMONTH(Q$2,-1)+1,$C117:$F117)*VLOOKUP(Q$2,Valores!$H$2:$P$154,8,0)</f>
        <v>0</v>
      </c>
      <c r="R117" s="27" t="n">
        <f aca="false">SUMIF($C$2:$F$2,EOMONTH(R$2,-1)+1,$C117:$F117)*VLOOKUP(R$2,Valores!$H$2:$P$154,8,0)</f>
        <v>0</v>
      </c>
      <c r="S117" s="27" t="n">
        <f aca="false">SUMIF($C$2:$F$2,EOMONTH(S$2,-1)+1,$C117:$F117)*VLOOKUP(S$2,Valores!$H$2:$P$154,8,0)</f>
        <v>0</v>
      </c>
      <c r="T117" s="27" t="n">
        <f aca="false">SUMIF($C$2:$F$2,EOMONTH(T$2,-1)+1,$C117:$F117)*VLOOKUP(T$2,Valores!$H$2:$P$154,8,0)</f>
        <v>0</v>
      </c>
      <c r="U117" s="27" t="n">
        <f aca="false">SUMIF($C$2:$F$2,EOMONTH(U$2,-1)+1,$C117:$F117)*VLOOKUP(U$2,Valores!$H$2:$P$154,8,0)</f>
        <v>0</v>
      </c>
      <c r="V117" s="27" t="n">
        <f aca="false">SUMIF($C$2:$F$2,EOMONTH(V$2,-1)+1,$C117:$F117)*VLOOKUP(V$2,Valores!$H$2:$P$154,8,0)</f>
        <v>0</v>
      </c>
      <c r="W117" s="27" t="n">
        <f aca="false">SUMIF($C$2:$F$2,EOMONTH(W$2,-1)+1,$C117:$F117)*VLOOKUP(W$2,Valores!$H$2:$P$154,8,0)</f>
        <v>0</v>
      </c>
      <c r="X117" s="27" t="n">
        <f aca="false">SUMIF($C$2:$F$2,EOMONTH(X$2,-1)+1,$C117:$F117)*VLOOKUP(X$2,Valores!$H$2:$P$154,8,0)</f>
        <v>0</v>
      </c>
      <c r="Y117" s="27" t="n">
        <f aca="false">SUMIF($C$2:$F$2,EOMONTH(Y$2,-1)+1,$C117:$F117)*VLOOKUP(Y$2,Valores!$H$2:$P$154,8,0)</f>
        <v>0</v>
      </c>
      <c r="Z117" s="27" t="n">
        <f aca="false">SUMIF($C$2:$F$2,EOMONTH(Z$2,-1)+1,$C117:$F117)*VLOOKUP(Z$2,Valores!$H$2:$P$154,8,0)</f>
        <v>0</v>
      </c>
      <c r="AA117" s="27" t="n">
        <f aca="false">SUMIF($C$2:$F$2,EOMONTH(AA$2,-1)+1,$C117:$F117)*VLOOKUP(AA$2,Valores!$H$2:$P$154,8,0)</f>
        <v>0</v>
      </c>
      <c r="AB117" s="27" t="n">
        <f aca="false">SUMIF($C$2:$F$2,EOMONTH(AB$2,-1)+1,$C117:$F117)*VLOOKUP(AB$2,Valores!$H$2:$P$154,8,0)</f>
        <v>0</v>
      </c>
      <c r="AC117" s="27" t="n">
        <f aca="false">SUMIF($C$2:$F$2,EOMONTH(AC$2,-1)+1,$C117:$F117)*VLOOKUP(AC$2,Valores!$H$2:$P$154,8,0)</f>
        <v>0</v>
      </c>
      <c r="AD117" s="27" t="n">
        <f aca="false">SUMIF($C$2:$F$2,EOMONTH(AD$2,-1)+1,$C117:$F117)*VLOOKUP(AD$2,Valores!$H$2:$P$154,8,0)</f>
        <v>0</v>
      </c>
      <c r="AE117" s="27" t="n">
        <f aca="false">SUMIF($C$2:$F$2,EOMONTH(AE$2,-1)+1,$C117:$F117)*VLOOKUP(AE$2,Valores!$H$2:$P$154,8,0)</f>
        <v>0</v>
      </c>
      <c r="AF117" s="27" t="n">
        <f aca="false">SUMIF($C$2:$F$2,EOMONTH(AF$2,-1)+1,$C117:$F117)*VLOOKUP(AF$2,Valores!$H$2:$P$154,8,0)</f>
        <v>0</v>
      </c>
      <c r="AG117" s="27" t="n">
        <f aca="false">SUMIF($C$2:$F$2,EOMONTH(AG$2,-1)+1,$C117:$F117)*VLOOKUP(AG$2,Valores!$H$2:$P$154,8,0)</f>
        <v>0</v>
      </c>
      <c r="AH117" s="27" t="n">
        <f aca="false">SUMIF($C$2:$F$2,EOMONTH(AH$2,-1)+1,$C117:$F117)*VLOOKUP(AH$2,Valores!$H$2:$P$154,8,0)</f>
        <v>0</v>
      </c>
      <c r="AI117" s="27" t="n">
        <f aca="false">SUMIF($C$2:$F$2,EOMONTH(AI$2,-1)+1,$C117:$F117)*VLOOKUP(AI$2,Valores!$H$2:$P$154,8,0)</f>
        <v>0</v>
      </c>
      <c r="AJ117" s="27" t="n">
        <f aca="false">SUMIF($C$2:$F$2,EOMONTH(AJ$2,-1)+1,$C117:$F117)*VLOOKUP(AJ$2,Valores!$H$2:$P$154,8,0)</f>
        <v>0</v>
      </c>
      <c r="AK117" s="27" t="n">
        <f aca="false">SUMIF($C$2:$F$2,EOMONTH(AK$2,-1)+1,$C117:$F117)*VLOOKUP(AK$2,Valores!$H$2:$P$154,8,0)</f>
        <v>0</v>
      </c>
      <c r="AL117" s="27" t="n">
        <f aca="false">SUMIF($C$2:$F$2,EOMONTH(AL$2,-1)+1,$C117:$F117)*VLOOKUP(AL$2,Valores!$H$2:$P$154,8,0)</f>
        <v>0</v>
      </c>
      <c r="AM117" s="27" t="n">
        <f aca="false">SUMIF($C$2:$F$2,EOMONTH(AM$2,-1)+1,$C117:$F117)*VLOOKUP(AM$2,Valores!$H$2:$P$154,8,0)</f>
        <v>0</v>
      </c>
      <c r="AN117" s="27" t="n">
        <f aca="false">SUMIF($C$2:$F$2,EOMONTH(AN$2,-1)+1,$C117:$F117)*VLOOKUP(AN$2,Valores!$H$2:$P$154,8,0)</f>
        <v>0</v>
      </c>
      <c r="AO117" s="27" t="n">
        <f aca="false">SUMIF($C$2:$F$2,EOMONTH(AO$2,-1)+1,$C117:$F117)*VLOOKUP(AO$2,Valores!$H$2:$P$154,8,0)</f>
        <v>0</v>
      </c>
      <c r="AP117" s="27" t="n">
        <f aca="false">SUMIF($C$2:$F$2,EOMONTH(AP$2,-1)+1,$C117:$F117)*VLOOKUP(AP$2,Valores!$H$2:$P$154,8,0)</f>
        <v>0</v>
      </c>
      <c r="AQ117" s="27" t="n">
        <f aca="false">SUMIF($C$2:$F$2,EOMONTH(AQ$2,-1)+1,$C117:$F117)*VLOOKUP(AQ$2,Valores!$H$2:$P$154,8,0)</f>
        <v>0</v>
      </c>
      <c r="AR117" s="27" t="n">
        <f aca="false">SUMIF($C$2:$F$2,EOMONTH(AR$2,-1)+1,$C117:$F117)*VLOOKUP(AR$2,Valores!$H$2:$P$154,8,0)</f>
        <v>0</v>
      </c>
      <c r="AS117" s="27" t="n">
        <f aca="false">SUMIF($C$2:$F$2,EOMONTH(AS$2,-1)+1,$C117:$F117)*VLOOKUP(AS$2,Valores!$H$2:$P$154,8,0)</f>
        <v>0</v>
      </c>
      <c r="AT117" s="27" t="n">
        <f aca="false">SUMIF($C$2:$F$2,EOMONTH(AT$2,-1)+1,$C117:$F117)*VLOOKUP(AT$2,Valores!$H$2:$P$154,8,0)</f>
        <v>0</v>
      </c>
      <c r="AU117" s="27" t="n">
        <f aca="false">SUMIF($C$2:$F$2,EOMONTH(AU$2,-1)+1,$C117:$F117)*VLOOKUP(AU$2,Valores!$H$2:$P$154,8,0)</f>
        <v>0</v>
      </c>
      <c r="AV117" s="27" t="n">
        <f aca="false">SUMIF($C$2:$F$2,EOMONTH(AV$2,-1)+1,$C117:$F117)*VLOOKUP(AV$2,Valores!$H$2:$P$154,8,0)</f>
        <v>0</v>
      </c>
      <c r="AW117" s="27" t="n">
        <f aca="false">SUMIF($C$2:$F$2,EOMONTH(AW$2,-1)+1,$C117:$F117)*VLOOKUP(AW$2,Valores!$H$2:$P$154,8,0)</f>
        <v>0</v>
      </c>
      <c r="AX117" s="27" t="n">
        <f aca="false">SUMIF($C$2:$F$2,EOMONTH(AX$2,-1)+1,$C117:$F117)*VLOOKUP(AX$2,Valores!$H$2:$P$154,8,0)</f>
        <v>0</v>
      </c>
      <c r="AY117" s="27" t="n">
        <f aca="false">SUMIF($C$2:$F$2,EOMONTH(AY$2,-1)+1,$C117:$F117)*VLOOKUP(AY$2,Valores!$H$2:$P$154,8,0)</f>
        <v>0</v>
      </c>
      <c r="AZ117" s="27" t="n">
        <f aca="false">SUMIF($C$2:$F$2,EOMONTH(AZ$2,-1)+1,$C117:$F117)*VLOOKUP(AZ$2,Valores!$H$2:$P$154,8,0)</f>
        <v>0</v>
      </c>
      <c r="BA117" s="27" t="n">
        <f aca="false">SUMIF($C$2:$F$2,EOMONTH(BA$2,-1)+1,$C117:$F117)*VLOOKUP(BA$2,Valores!$H$2:$P$154,8,0)</f>
        <v>0</v>
      </c>
      <c r="BB117" s="27" t="n">
        <f aca="false">SUMIF($C$2:$F$2,EOMONTH(BB$2,-1)+1,$C117:$F117)*VLOOKUP(BB$2,Valores!$H$2:$P$154,8,0)</f>
        <v>0</v>
      </c>
      <c r="BC117" s="27" t="n">
        <f aca="false">SUMIF($C$2:$F$2,EOMONTH(BC$2,-1)+1,$C117:$F117)*VLOOKUP(BC$2,Valores!$H$2:$P$154,8,0)</f>
        <v>0</v>
      </c>
      <c r="BD117" s="27" t="n">
        <f aca="false">SUMIF($C$2:$F$2,EOMONTH(BD$2,-1)+1,$C117:$F117)*VLOOKUP(BD$2,Valores!$H$2:$P$154,8,0)</f>
        <v>0</v>
      </c>
      <c r="BE117" s="27" t="n">
        <f aca="false">SUMIF($C$2:$F$2,EOMONTH(BE$2,-1)+1,$C117:$F117)*VLOOKUP(BE$2,Valores!$H$2:$P$154,8,0)</f>
        <v>0</v>
      </c>
      <c r="BF117" s="27" t="n">
        <f aca="false">SUMIF($C$2:$F$2,EOMONTH(BF$2,-1)+1,$C117:$F117)*VLOOKUP(BF$2,Valores!$H$2:$P$154,8,0)</f>
        <v>0</v>
      </c>
      <c r="BG117" s="27" t="n">
        <f aca="false">SUMIF($C$2:$F$2,EOMONTH(BG$2,-1)+1,$C117:$F117)*VLOOKUP(BG$2,Valores!$H$2:$P$154,8,0)</f>
        <v>0</v>
      </c>
      <c r="BH117" s="27" t="n">
        <f aca="false">SUMIF($C$2:$F$2,EOMONTH(BH$2,-1)+1,$C117:$F117)*VLOOKUP(BH$2,Valores!$H$2:$P$154,8,0)</f>
        <v>0</v>
      </c>
      <c r="BI117" s="27" t="n">
        <f aca="false">SUMIF($C$2:$F$2,EOMONTH(BI$2,-1)+1,$C117:$F117)*VLOOKUP(BI$2,Valores!$H$2:$P$154,8,0)</f>
        <v>0</v>
      </c>
      <c r="BJ117" s="27" t="n">
        <f aca="false">SUMIF($C$2:$F$2,EOMONTH(BJ$2,-1)+1,$C117:$F117)*VLOOKUP(BJ$2,Valores!$H$2:$P$154,8,0)</f>
        <v>0</v>
      </c>
      <c r="BK117" s="27" t="n">
        <f aca="false">SUMIF($C$2:$F$2,EOMONTH(BK$2,-1)+1,$C117:$F117)*VLOOKUP(BK$2,Valores!$H$2:$P$154,8,0)</f>
        <v>0</v>
      </c>
      <c r="BL117" s="27" t="n">
        <f aca="false">SUMIF($C$2:$F$2,EOMONTH(BL$2,-1)+1,$C117:$F117)*VLOOKUP(BL$2,Valores!$H$2:$P$154,8,0)</f>
        <v>0</v>
      </c>
      <c r="BM117" s="27" t="n">
        <f aca="false">SUMIF($C$2:$F$2,EOMONTH(BM$2,-1)+1,$C117:$F117)*VLOOKUP(BM$2,Valores!$H$2:$P$154,8,0)</f>
        <v>0</v>
      </c>
      <c r="BN117" s="27" t="n">
        <f aca="false">SUMIF($C$2:$F$2,EOMONTH(BN$2,-1)+1,$C117:$F117)*VLOOKUP(BN$2,Valores!$H$2:$P$154,8,0)</f>
        <v>0</v>
      </c>
      <c r="BO117" s="27" t="n">
        <f aca="false">SUMIF($C$2:$F$2,EOMONTH(BO$2,-1)+1,$C117:$F117)*VLOOKUP(BO$2,Valores!$H$2:$P$154,8,0)</f>
        <v>0</v>
      </c>
      <c r="BP117" s="27" t="n">
        <f aca="false">SUMIF($C$2:$F$2,EOMONTH(BP$2,-1)+1,$C117:$F117)*VLOOKUP(BP$2,Valores!$H$2:$P$154,8,0)</f>
        <v>0</v>
      </c>
      <c r="BQ117" s="27" t="n">
        <f aca="false">SUMIF($C$2:$F$2,EOMONTH(BQ$2,-1)+1,$C117:$F117)*VLOOKUP(BQ$2,Valores!$H$2:$P$154,8,0)</f>
        <v>0</v>
      </c>
      <c r="BR117" s="27" t="n">
        <f aca="false">SUMIF($C$2:$F$2,EOMONTH(BR$2,-1)+1,$C117:$F117)*VLOOKUP(BR$2,Valores!$H$2:$P$154,8,0)</f>
        <v>0</v>
      </c>
      <c r="BS117" s="27" t="n">
        <f aca="false">SUMIF($C$2:$F$2,EOMONTH(BS$2,-1)+1,$C117:$F117)*VLOOKUP(BS$2,Valores!$H$2:$P$154,8,0)</f>
        <v>0</v>
      </c>
      <c r="BT117" s="27" t="n">
        <f aca="false">SUMIF($C$2:$F$2,EOMONTH(BT$2,-1)+1,$C117:$F117)*VLOOKUP(BT$2,Valores!$H$2:$P$154,8,0)</f>
        <v>0</v>
      </c>
      <c r="BU117" s="27" t="n">
        <f aca="false">SUMIF($C$2:$F$2,EOMONTH(BU$2,-1)+1,$C117:$F117)*VLOOKUP(BU$2,Valores!$H$2:$P$154,8,0)</f>
        <v>0</v>
      </c>
      <c r="BV117" s="27" t="n">
        <f aca="false">SUMIF($C$2:$F$2,EOMONTH(BV$2,-1)+1,$C117:$F117)*VLOOKUP(BV$2,Valores!$H$2:$P$154,8,0)</f>
        <v>0</v>
      </c>
      <c r="BW117" s="27" t="n">
        <f aca="false">SUMIF($C$2:$F$2,EOMONTH(BW$2,-1)+1,$C117:$F117)*VLOOKUP(BW$2,Valores!$H$2:$P$154,8,0)</f>
        <v>0</v>
      </c>
      <c r="BX117" s="27" t="n">
        <f aca="false">SUMIF($C$2:$F$2,EOMONTH(BX$2,-1)+1,$C117:$F117)*VLOOKUP(BX$2,Valores!$H$2:$P$154,8,0)</f>
        <v>0</v>
      </c>
      <c r="BY117" s="27" t="n">
        <f aca="false">SUMIF($C$2:$F$2,EOMONTH(BY$2,-1)+1,$C117:$F117)*VLOOKUP(BY$2,Valores!$H$2:$P$154,8,0)</f>
        <v>0</v>
      </c>
      <c r="BZ117" s="27" t="n">
        <f aca="false">SUMIF($C$2:$F$2,EOMONTH(BZ$2,-1)+1,$C117:$F117)*VLOOKUP(BZ$2,Valores!$H$2:$P$154,8,0)</f>
        <v>0</v>
      </c>
      <c r="CA117" s="27" t="n">
        <f aca="false">SUMIF($C$2:$F$2,EOMONTH(CA$2,-1)+1,$C117:$F117)*VLOOKUP(CA$2,Valores!$H$2:$P$154,8,0)</f>
        <v>0</v>
      </c>
      <c r="CB117" s="27" t="n">
        <f aca="false">SUMIF($C$2:$F$2,EOMONTH(CB$2,-1)+1,$C117:$F117)*VLOOKUP(CB$2,Valores!$H$2:$P$154,8,0)</f>
        <v>0</v>
      </c>
      <c r="CC117" s="27" t="n">
        <f aca="false">SUMIF($C$2:$F$2,EOMONTH(CC$2,-1)+1,$C117:$F117)*VLOOKUP(CC$2,Valores!$H$2:$P$154,8,0)</f>
        <v>0</v>
      </c>
      <c r="CD117" s="27" t="n">
        <f aca="false">SUMIF($C$2:$F$2,EOMONTH(CD$2,-1)+1,$C117:$F117)*VLOOKUP(CD$2,Valores!$H$2:$P$154,8,0)</f>
        <v>0</v>
      </c>
      <c r="CE117" s="27" t="n">
        <f aca="false">SUMIF($C$2:$F$2,EOMONTH(CE$2,-1)+1,$C117:$F117)*VLOOKUP(CE$2,Valores!$H$2:$P$154,8,0)</f>
        <v>0</v>
      </c>
      <c r="CF117" s="27" t="n">
        <f aca="false">SUMIF($C$2:$F$2,EOMONTH(CF$2,-1)+1,$C117:$F117)*VLOOKUP(CF$2,Valores!$H$2:$P$154,8,0)</f>
        <v>0</v>
      </c>
      <c r="CG117" s="27" t="n">
        <f aca="false">SUMIF($C$2:$F$2,EOMONTH(CG$2,-1)+1,$C117:$F117)*VLOOKUP(CG$2,Valores!$H$2:$P$154,8,0)</f>
        <v>0</v>
      </c>
      <c r="CH117" s="27" t="n">
        <f aca="false">SUMIF($C$2:$F$2,EOMONTH(CH$2,-1)+1,$C117:$F117)*VLOOKUP(CH$2,Valores!$H$2:$P$154,8,0)</f>
        <v>0</v>
      </c>
      <c r="CI117" s="27" t="n">
        <f aca="false">SUMIF($C$2:$F$2,EOMONTH(CI$2,-1)+1,$C117:$F117)*VLOOKUP(CI$2,Valores!$H$2:$P$154,8,0)</f>
        <v>0</v>
      </c>
      <c r="CJ117" s="27" t="n">
        <f aca="false">SUMIF($C$2:$F$2,EOMONTH(CJ$2,-1)+1,$C117:$F117)*VLOOKUP(CJ$2,Valores!$H$2:$P$154,8,0)</f>
        <v>0</v>
      </c>
      <c r="CK117" s="27" t="n">
        <f aca="false">SUMIF($C$2:$F$2,EOMONTH(CK$2,-1)+1,$C117:$F117)*VLOOKUP(CK$2,Valores!$H$2:$P$154,8,0)</f>
        <v>0</v>
      </c>
      <c r="CL117" s="27" t="n">
        <f aca="false">SUMIF($C$2:$F$2,EOMONTH(CL$2,-1)+1,$C117:$F117)*VLOOKUP(CL$2,Valores!$H$2:$P$154,8,0)</f>
        <v>0</v>
      </c>
      <c r="CM117" s="27" t="n">
        <f aca="false">SUMIF($C$2:$F$2,EOMONTH(CM$2,-1)+1,$C117:$F117)*VLOOKUP(CM$2,Valores!$H$2:$P$154,8,0)</f>
        <v>0</v>
      </c>
      <c r="CN117" s="27" t="n">
        <f aca="false">SUMIF($C$2:$F$2,EOMONTH(CN$2,-1)+1,$C117:$F117)*VLOOKUP(CN$2,Valores!$H$2:$P$154,8,0)</f>
        <v>0</v>
      </c>
      <c r="CO117" s="27" t="n">
        <f aca="false">SUMIF($C$2:$F$2,EOMONTH(CO$2,-1)+1,$C117:$F117)*VLOOKUP(CO$2,Valores!$H$2:$P$154,8,0)</f>
        <v>0</v>
      </c>
      <c r="CP117" s="27" t="n">
        <f aca="false">SUMIF($C$2:$F$2,EOMONTH(CP$2,-1)+1,$C117:$F117)*VLOOKUP(CP$2,Valores!$H$2:$P$154,8,0)</f>
        <v>0</v>
      </c>
      <c r="CQ117" s="27" t="n">
        <f aca="false">SUMIF($C$2:$F$2,EOMONTH(CQ$2,-1)+1,$C117:$F117)*VLOOKUP(CQ$2,Valores!$H$2:$P$154,8,0)</f>
        <v>0</v>
      </c>
      <c r="CR117" s="27" t="n">
        <f aca="false">SUMIF($C$2:$F$2,EOMONTH(CR$2,-1)+1,$C117:$F117)*VLOOKUP(CR$2,Valores!$H$2:$P$154,8,0)</f>
        <v>0</v>
      </c>
      <c r="CS117" s="27" t="n">
        <f aca="false">SUMIF($C$2:$F$2,EOMONTH(CS$2,-1)+1,$C117:$F117)*VLOOKUP(CS$2,Valores!$H$2:$P$154,8,0)</f>
        <v>0</v>
      </c>
      <c r="CT117" s="27" t="e">
        <f aca="false">SUMIF($C$2:$F$2,EOMONTH(CT$2,-1)+1,$C117:$F117)*VLOOKUP(CT$2,Valores!$H$2:$P$154,8,0)</f>
        <v>#VALUE!</v>
      </c>
      <c r="CU117" s="27" t="e">
        <f aca="false">SUMIF($C$2:$F$2,EOMONTH(CU$2,-1)+1,$C117:$F117)*VLOOKUP(CU$2,Valores!$H$2:$P$154,8,0)</f>
        <v>#VALUE!</v>
      </c>
      <c r="CV117" s="27" t="e">
        <f aca="false">SUMIF($C$2:$F$2,EOMONTH(CV$2,-1)+1,$C117:$F117)*VLOOKUP(CV$2,Valores!$H$2:$P$154,8,0)</f>
        <v>#VALUE!</v>
      </c>
      <c r="CW117" s="27" t="e">
        <f aca="false">SUMIF($C$2:$F$2,EOMONTH(CW$2,-1)+1,$C117:$F117)*VLOOKUP(CW$2,Valores!$H$2:$P$154,8,0)</f>
        <v>#VALUE!</v>
      </c>
      <c r="CX117" s="27" t="e">
        <f aca="false">SUMIF($C$2:$F$2,EOMONTH(CX$2,-1)+1,$C117:$F117)*VLOOKUP(CX$2,Valores!$H$2:$P$154,8,0)</f>
        <v>#VALUE!</v>
      </c>
      <c r="CY117" s="27" t="e">
        <f aca="false">SUMIF($C$2:$F$2,EOMONTH(CY$2,-1)+1,$C117:$F117)*VLOOKUP(CY$2,Valores!$H$2:$P$154,8,0)</f>
        <v>#VALUE!</v>
      </c>
      <c r="CZ117" s="27" t="e">
        <f aca="false">SUMIF($C$2:$F$2,EOMONTH(CZ$2,-1)+1,$C117:$F117)*VLOOKUP(CZ$2,Valores!$H$2:$P$154,8,0)</f>
        <v>#VALUE!</v>
      </c>
      <c r="DA117" s="27" t="e">
        <f aca="false">SUMIF($C$2:$F$2,EOMONTH(DA$2,-1)+1,$C117:$F117)*VLOOKUP(DA$2,Valores!$H$2:$P$154,8,0)</f>
        <v>#VALUE!</v>
      </c>
      <c r="DB117" s="27" t="e">
        <f aca="false">SUMIF($C$2:$F$2,EOMONTH(DB$2,-1)+1,$C117:$F117)*VLOOKUP(DB$2,Valores!$H$2:$P$154,8,0)</f>
        <v>#VALUE!</v>
      </c>
      <c r="DC117" s="27" t="e">
        <f aca="false">SUMIF($C$2:$F$2,EOMONTH(DC$2,-1)+1,$C117:$F117)*VLOOKUP(DC$2,Valores!$H$2:$P$154,8,0)</f>
        <v>#VALUE!</v>
      </c>
      <c r="DD117" s="27" t="e">
        <f aca="false">SUMIF($C$2:$F$2,EOMONTH(DD$2,-1)+1,$C117:$F117)*VLOOKUP(DD$2,Valores!$H$2:$P$154,8,0)</f>
        <v>#VALUE!</v>
      </c>
      <c r="DE117" s="27" t="e">
        <f aca="false">SUMIF($C$2:$F$2,EOMONTH(DE$2,-1)+1,$C117:$F117)*VLOOKUP(DE$2,Valores!$H$2:$P$154,8,0)</f>
        <v>#VALUE!</v>
      </c>
      <c r="DF117" s="27" t="e">
        <f aca="false">SUMIF($C$2:$F$2,EOMONTH(DF$2,-1)+1,$C117:$F117)*VLOOKUP(DF$2,Valores!$H$2:$P$154,8,0)</f>
        <v>#VALUE!</v>
      </c>
      <c r="DG117" s="27" t="e">
        <f aca="false">SUMIF($C$2:$F$2,EOMONTH(DG$2,-1)+1,$C117:$F117)*VLOOKUP(DG$2,Valores!$H$2:$P$154,8,0)</f>
        <v>#VALUE!</v>
      </c>
      <c r="DH117" s="27" t="e">
        <f aca="false">SUMIF($C$2:$F$2,EOMONTH(DH$2,-1)+1,$C117:$F117)*VLOOKUP(DH$2,Valores!$H$2:$P$154,8,0)</f>
        <v>#VALUE!</v>
      </c>
      <c r="DI117" s="27" t="e">
        <f aca="false">SUMIF($C$2:$F$2,EOMONTH(DI$2,-1)+1,$C117:$F117)*VLOOKUP(DI$2,Valores!$H$2:$P$154,8,0)</f>
        <v>#VALUE!</v>
      </c>
      <c r="DJ117" s="27" t="e">
        <f aca="false">SUMIF($C$2:$F$2,EOMONTH(DJ$2,-1)+1,$C117:$F117)*VLOOKUP(DJ$2,Valores!$H$2:$P$154,8,0)</f>
        <v>#VALUE!</v>
      </c>
      <c r="DK117" s="27" t="e">
        <f aca="false">SUMIF($C$2:$F$2,EOMONTH(DK$2,-1)+1,$C117:$F117)*VLOOKUP(DK$2,Valores!$H$2:$P$154,8,0)</f>
        <v>#VALUE!</v>
      </c>
      <c r="DL117" s="27" t="e">
        <f aca="false">SUMIF($C$2:$F$2,EOMONTH(DL$2,-1)+1,$C117:$F117)*VLOOKUP(DL$2,Valores!$H$2:$P$154,8,0)</f>
        <v>#VALUE!</v>
      </c>
      <c r="DM117" s="27" t="e">
        <f aca="false">SUMIF($C$2:$F$2,EOMONTH(DM$2,-1)+1,$C117:$F117)*VLOOKUP(DM$2,Valores!$H$2:$P$154,8,0)</f>
        <v>#VALUE!</v>
      </c>
      <c r="DN117" s="27" t="e">
        <f aca="false">SUMIF($C$2:$F$2,EOMONTH(DN$2,-1)+1,$C117:$F117)*VLOOKUP(DN$2,Valores!$H$2:$P$154,8,0)</f>
        <v>#VALUE!</v>
      </c>
      <c r="DO117" s="27" t="e">
        <f aca="false">SUMIF($C$2:$F$2,EOMONTH(DO$2,-1)+1,$C117:$F117)*VLOOKUP(DO$2,Valores!$H$2:$P$154,8,0)</f>
        <v>#VALUE!</v>
      </c>
      <c r="DP117" s="27" t="e">
        <f aca="false">SUMIF($C$2:$F$2,EOMONTH(DP$2,-1)+1,$C117:$F117)*VLOOKUP(DP$2,Valores!$H$2:$P$154,8,0)</f>
        <v>#VALUE!</v>
      </c>
      <c r="DQ117" s="27" t="e">
        <f aca="false">SUMIF($C$2:$F$2,EOMONTH(DQ$2,-1)+1,$C117:$F117)*VLOOKUP(DQ$2,Valores!$H$2:$P$154,8,0)</f>
        <v>#VALUE!</v>
      </c>
      <c r="DR117" s="27" t="e">
        <f aca="false">SUMIF($C$2:$F$2,EOMONTH(DR$2,-1)+1,$C117:$F117)*VLOOKUP(DR$2,Valores!$H$2:$P$154,8,0)</f>
        <v>#VALUE!</v>
      </c>
      <c r="DS117" s="27" t="e">
        <f aca="false">SUMIF($C$2:$F$2,EOMONTH(DS$2,-1)+1,$C117:$F117)*VLOOKUP(DS$2,Valores!$H$2:$P$154,8,0)</f>
        <v>#VALUE!</v>
      </c>
      <c r="DT117" s="27" t="e">
        <f aca="false">SUMIF($C$2:$F$2,EOMONTH(DT$2,-1)+1,$C117:$F117)*VLOOKUP(DT$2,Valores!$H$2:$P$154,8,0)</f>
        <v>#VALUE!</v>
      </c>
      <c r="DU117" s="27" t="e">
        <f aca="false">SUMIF($C$2:$F$2,EOMONTH(DU$2,-1)+1,$C117:$F117)*VLOOKUP(DU$2,Valores!$H$2:$P$154,8,0)</f>
        <v>#VALUE!</v>
      </c>
      <c r="DV117" s="27" t="e">
        <f aca="false">SUMIF($C$2:$F$2,EOMONTH(DV$2,-1)+1,$C117:$F117)*VLOOKUP(DV$2,Valores!$H$2:$P$154,8,0)</f>
        <v>#VALUE!</v>
      </c>
      <c r="DW117" s="27" t="e">
        <f aca="false">SUMIF($C$2:$F$2,EOMONTH(DW$2,-1)+1,$C117:$F117)*VLOOKUP(DW$2,Valores!$H$2:$P$154,8,0)</f>
        <v>#VALUE!</v>
      </c>
      <c r="DX117" s="27" t="e">
        <f aca="false">SUMIF($C$2:$F$2,EOMONTH(DX$2,-1)+1,$C117:$F117)*VLOOKUP(DX$2,Valores!$H$2:$P$154,8,0)</f>
        <v>#VALUE!</v>
      </c>
    </row>
    <row r="118" customFormat="false" ht="13.8" hidden="false" customHeight="false" outlineLevel="0" collapsed="false">
      <c r="A118" s="29"/>
      <c r="B118" s="29"/>
      <c r="C118" s="29"/>
      <c r="D118" s="29"/>
      <c r="E118" s="29"/>
      <c r="F118" s="29"/>
      <c r="G118" s="30" t="n">
        <f aca="false">SUMIF($C$2:$F$2,EOMONTH(G$2,-1)+1,$C118:$F118)*VLOOKUP(G$2,Valores!$H$2:$P$154,8,0)</f>
        <v>0</v>
      </c>
      <c r="H118" s="30" t="n">
        <f aca="false">SUMIF($C$2:$F$2,EOMONTH(H$2,-1)+1,$C118:$F118)*VLOOKUP(H$2,Valores!$H$2:$P$154,8,0)</f>
        <v>0</v>
      </c>
      <c r="I118" s="30" t="n">
        <f aca="false">SUMIF($C$2:$F$2,EOMONTH(I$2,-1)+1,$C118:$F118)*VLOOKUP(I$2,Valores!$H$2:$P$154,8,0)</f>
        <v>0</v>
      </c>
      <c r="J118" s="30" t="n">
        <f aca="false">SUMIF($C$2:$F$2,EOMONTH(J$2,-1)+1,$C118:$F118)*VLOOKUP(J$2,Valores!$H$2:$P$154,8,0)</f>
        <v>0</v>
      </c>
      <c r="K118" s="30" t="n">
        <f aca="false">SUMIF($C$2:$F$2,EOMONTH(K$2,-1)+1,$C118:$F118)*VLOOKUP(K$2,Valores!$H$2:$P$154,8,0)</f>
        <v>0</v>
      </c>
      <c r="L118" s="30" t="n">
        <f aca="false">SUMIF($C$2:$F$2,EOMONTH(L$2,-1)+1,$C118:$F118)*VLOOKUP(L$2,Valores!$H$2:$P$154,8,0)</f>
        <v>0</v>
      </c>
      <c r="M118" s="30" t="n">
        <f aca="false">SUMIF($C$2:$F$2,EOMONTH(M$2,-1)+1,$C118:$F118)*VLOOKUP(M$2,Valores!$H$2:$P$154,8,0)</f>
        <v>0</v>
      </c>
      <c r="N118" s="30" t="n">
        <f aca="false">SUMIF($C$2:$F$2,EOMONTH(N$2,-1)+1,$C118:$F118)*VLOOKUP(N$2,Valores!$H$2:$P$154,8,0)</f>
        <v>0</v>
      </c>
      <c r="O118" s="30" t="n">
        <f aca="false">SUMIF($C$2:$F$2,EOMONTH(O$2,-1)+1,$C118:$F118)*VLOOKUP(O$2,Valores!$H$2:$P$154,8,0)</f>
        <v>0</v>
      </c>
      <c r="P118" s="30" t="n">
        <f aca="false">SUMIF($C$2:$F$2,EOMONTH(P$2,-1)+1,$C118:$F118)*VLOOKUP(P$2,Valores!$H$2:$P$154,8,0)</f>
        <v>0</v>
      </c>
      <c r="Q118" s="30" t="n">
        <f aca="false">SUMIF($C$2:$F$2,EOMONTH(Q$2,-1)+1,$C118:$F118)*VLOOKUP(Q$2,Valores!$H$2:$P$154,8,0)</f>
        <v>0</v>
      </c>
      <c r="R118" s="30" t="n">
        <f aca="false">SUMIF($C$2:$F$2,EOMONTH(R$2,-1)+1,$C118:$F118)*VLOOKUP(R$2,Valores!$H$2:$P$154,8,0)</f>
        <v>0</v>
      </c>
      <c r="S118" s="30" t="n">
        <f aca="false">SUMIF($C$2:$F$2,EOMONTH(S$2,-1)+1,$C118:$F118)*VLOOKUP(S$2,Valores!$H$2:$P$154,8,0)</f>
        <v>0</v>
      </c>
      <c r="T118" s="30" t="n">
        <f aca="false">SUMIF($C$2:$F$2,EOMONTH(T$2,-1)+1,$C118:$F118)*VLOOKUP(T$2,Valores!$H$2:$P$154,8,0)</f>
        <v>0</v>
      </c>
      <c r="U118" s="30" t="n">
        <f aca="false">SUMIF($C$2:$F$2,EOMONTH(U$2,-1)+1,$C118:$F118)*VLOOKUP(U$2,Valores!$H$2:$P$154,8,0)</f>
        <v>0</v>
      </c>
      <c r="V118" s="30" t="n">
        <f aca="false">SUMIF($C$2:$F$2,EOMONTH(V$2,-1)+1,$C118:$F118)*VLOOKUP(V$2,Valores!$H$2:$P$154,8,0)</f>
        <v>0</v>
      </c>
      <c r="W118" s="30" t="n">
        <f aca="false">SUMIF($C$2:$F$2,EOMONTH(W$2,-1)+1,$C118:$F118)*VLOOKUP(W$2,Valores!$H$2:$P$154,8,0)</f>
        <v>0</v>
      </c>
      <c r="X118" s="30" t="n">
        <f aca="false">SUMIF($C$2:$F$2,EOMONTH(X$2,-1)+1,$C118:$F118)*VLOOKUP(X$2,Valores!$H$2:$P$154,8,0)</f>
        <v>0</v>
      </c>
      <c r="Y118" s="30" t="n">
        <f aca="false">SUMIF($C$2:$F$2,EOMONTH(Y$2,-1)+1,$C118:$F118)*VLOOKUP(Y$2,Valores!$H$2:$P$154,8,0)</f>
        <v>0</v>
      </c>
      <c r="Z118" s="30" t="n">
        <f aca="false">SUMIF($C$2:$F$2,EOMONTH(Z$2,-1)+1,$C118:$F118)*VLOOKUP(Z$2,Valores!$H$2:$P$154,8,0)</f>
        <v>0</v>
      </c>
      <c r="AA118" s="30" t="n">
        <f aca="false">SUMIF($C$2:$F$2,EOMONTH(AA$2,-1)+1,$C118:$F118)*VLOOKUP(AA$2,Valores!$H$2:$P$154,8,0)</f>
        <v>0</v>
      </c>
      <c r="AB118" s="30" t="n">
        <f aca="false">SUMIF($C$2:$F$2,EOMONTH(AB$2,-1)+1,$C118:$F118)*VLOOKUP(AB$2,Valores!$H$2:$P$154,8,0)</f>
        <v>0</v>
      </c>
      <c r="AC118" s="30" t="n">
        <f aca="false">SUMIF($C$2:$F$2,EOMONTH(AC$2,-1)+1,$C118:$F118)*VLOOKUP(AC$2,Valores!$H$2:$P$154,8,0)</f>
        <v>0</v>
      </c>
      <c r="AD118" s="30" t="n">
        <f aca="false">SUMIF($C$2:$F$2,EOMONTH(AD$2,-1)+1,$C118:$F118)*VLOOKUP(AD$2,Valores!$H$2:$P$154,8,0)</f>
        <v>0</v>
      </c>
      <c r="AE118" s="30" t="n">
        <f aca="false">SUMIF($C$2:$F$2,EOMONTH(AE$2,-1)+1,$C118:$F118)*VLOOKUP(AE$2,Valores!$H$2:$P$154,8,0)</f>
        <v>0</v>
      </c>
      <c r="AF118" s="30" t="n">
        <f aca="false">SUMIF($C$2:$F$2,EOMONTH(AF$2,-1)+1,$C118:$F118)*VLOOKUP(AF$2,Valores!$H$2:$P$154,8,0)</f>
        <v>0</v>
      </c>
      <c r="AG118" s="30" t="n">
        <f aca="false">SUMIF($C$2:$F$2,EOMONTH(AG$2,-1)+1,$C118:$F118)*VLOOKUP(AG$2,Valores!$H$2:$P$154,8,0)</f>
        <v>0</v>
      </c>
      <c r="AH118" s="30" t="n">
        <f aca="false">SUMIF($C$2:$F$2,EOMONTH(AH$2,-1)+1,$C118:$F118)*VLOOKUP(AH$2,Valores!$H$2:$P$154,8,0)</f>
        <v>0</v>
      </c>
      <c r="AI118" s="30" t="n">
        <f aca="false">SUMIF($C$2:$F$2,EOMONTH(AI$2,-1)+1,$C118:$F118)*VLOOKUP(AI$2,Valores!$H$2:$P$154,8,0)</f>
        <v>0</v>
      </c>
      <c r="AJ118" s="30" t="n">
        <f aca="false">SUMIF($C$2:$F$2,EOMONTH(AJ$2,-1)+1,$C118:$F118)*VLOOKUP(AJ$2,Valores!$H$2:$P$154,8,0)</f>
        <v>0</v>
      </c>
      <c r="AK118" s="30" t="n">
        <f aca="false">SUMIF($C$2:$F$2,EOMONTH(AK$2,-1)+1,$C118:$F118)*VLOOKUP(AK$2,Valores!$H$2:$P$154,8,0)</f>
        <v>0</v>
      </c>
      <c r="AL118" s="30" t="n">
        <f aca="false">SUMIF($C$2:$F$2,EOMONTH(AL$2,-1)+1,$C118:$F118)*VLOOKUP(AL$2,Valores!$H$2:$P$154,8,0)</f>
        <v>0</v>
      </c>
      <c r="AM118" s="30" t="n">
        <f aca="false">SUMIF($C$2:$F$2,EOMONTH(AM$2,-1)+1,$C118:$F118)*VLOOKUP(AM$2,Valores!$H$2:$P$154,8,0)</f>
        <v>0</v>
      </c>
      <c r="AN118" s="30" t="n">
        <f aca="false">SUMIF($C$2:$F$2,EOMONTH(AN$2,-1)+1,$C118:$F118)*VLOOKUP(AN$2,Valores!$H$2:$P$154,8,0)</f>
        <v>0</v>
      </c>
      <c r="AO118" s="30" t="n">
        <f aca="false">SUMIF($C$2:$F$2,EOMONTH(AO$2,-1)+1,$C118:$F118)*VLOOKUP(AO$2,Valores!$H$2:$P$154,8,0)</f>
        <v>0</v>
      </c>
      <c r="AP118" s="30" t="n">
        <f aca="false">SUMIF($C$2:$F$2,EOMONTH(AP$2,-1)+1,$C118:$F118)*VLOOKUP(AP$2,Valores!$H$2:$P$154,8,0)</f>
        <v>0</v>
      </c>
      <c r="AQ118" s="30" t="n">
        <f aca="false">SUMIF($C$2:$F$2,EOMONTH(AQ$2,-1)+1,$C118:$F118)*VLOOKUP(AQ$2,Valores!$H$2:$P$154,8,0)</f>
        <v>0</v>
      </c>
      <c r="AR118" s="30" t="n">
        <f aca="false">SUMIF($C$2:$F$2,EOMONTH(AR$2,-1)+1,$C118:$F118)*VLOOKUP(AR$2,Valores!$H$2:$P$154,8,0)</f>
        <v>0</v>
      </c>
      <c r="AS118" s="30" t="n">
        <f aca="false">SUMIF($C$2:$F$2,EOMONTH(AS$2,-1)+1,$C118:$F118)*VLOOKUP(AS$2,Valores!$H$2:$P$154,8,0)</f>
        <v>0</v>
      </c>
      <c r="AT118" s="30" t="n">
        <f aca="false">SUMIF($C$2:$F$2,EOMONTH(AT$2,-1)+1,$C118:$F118)*VLOOKUP(AT$2,Valores!$H$2:$P$154,8,0)</f>
        <v>0</v>
      </c>
      <c r="AU118" s="30" t="n">
        <f aca="false">SUMIF($C$2:$F$2,EOMONTH(AU$2,-1)+1,$C118:$F118)*VLOOKUP(AU$2,Valores!$H$2:$P$154,8,0)</f>
        <v>0</v>
      </c>
      <c r="AV118" s="30" t="n">
        <f aca="false">SUMIF($C$2:$F$2,EOMONTH(AV$2,-1)+1,$C118:$F118)*VLOOKUP(AV$2,Valores!$H$2:$P$154,8,0)</f>
        <v>0</v>
      </c>
      <c r="AW118" s="30" t="n">
        <f aca="false">SUMIF($C$2:$F$2,EOMONTH(AW$2,-1)+1,$C118:$F118)*VLOOKUP(AW$2,Valores!$H$2:$P$154,8,0)</f>
        <v>0</v>
      </c>
      <c r="AX118" s="30" t="n">
        <f aca="false">SUMIF($C$2:$F$2,EOMONTH(AX$2,-1)+1,$C118:$F118)*VLOOKUP(AX$2,Valores!$H$2:$P$154,8,0)</f>
        <v>0</v>
      </c>
      <c r="AY118" s="30" t="n">
        <f aca="false">SUMIF($C$2:$F$2,EOMONTH(AY$2,-1)+1,$C118:$F118)*VLOOKUP(AY$2,Valores!$H$2:$P$154,8,0)</f>
        <v>0</v>
      </c>
      <c r="AZ118" s="30" t="n">
        <f aca="false">SUMIF($C$2:$F$2,EOMONTH(AZ$2,-1)+1,$C118:$F118)*VLOOKUP(AZ$2,Valores!$H$2:$P$154,8,0)</f>
        <v>0</v>
      </c>
      <c r="BA118" s="30" t="n">
        <f aca="false">SUMIF($C$2:$F$2,EOMONTH(BA$2,-1)+1,$C118:$F118)*VLOOKUP(BA$2,Valores!$H$2:$P$154,8,0)</f>
        <v>0</v>
      </c>
      <c r="BB118" s="30" t="n">
        <f aca="false">SUMIF($C$2:$F$2,EOMONTH(BB$2,-1)+1,$C118:$F118)*VLOOKUP(BB$2,Valores!$H$2:$P$154,8,0)</f>
        <v>0</v>
      </c>
      <c r="BC118" s="30" t="n">
        <f aca="false">SUMIF($C$2:$F$2,EOMONTH(BC$2,-1)+1,$C118:$F118)*VLOOKUP(BC$2,Valores!$H$2:$P$154,8,0)</f>
        <v>0</v>
      </c>
      <c r="BD118" s="30" t="n">
        <f aca="false">SUMIF($C$2:$F$2,EOMONTH(BD$2,-1)+1,$C118:$F118)*VLOOKUP(BD$2,Valores!$H$2:$P$154,8,0)</f>
        <v>0</v>
      </c>
      <c r="BE118" s="30" t="n">
        <f aca="false">SUMIF($C$2:$F$2,EOMONTH(BE$2,-1)+1,$C118:$F118)*VLOOKUP(BE$2,Valores!$H$2:$P$154,8,0)</f>
        <v>0</v>
      </c>
      <c r="BF118" s="30" t="n">
        <f aca="false">SUMIF($C$2:$F$2,EOMONTH(BF$2,-1)+1,$C118:$F118)*VLOOKUP(BF$2,Valores!$H$2:$P$154,8,0)</f>
        <v>0</v>
      </c>
      <c r="BG118" s="30" t="n">
        <f aca="false">SUMIF($C$2:$F$2,EOMONTH(BG$2,-1)+1,$C118:$F118)*VLOOKUP(BG$2,Valores!$H$2:$P$154,8,0)</f>
        <v>0</v>
      </c>
      <c r="BH118" s="30" t="n">
        <f aca="false">SUMIF($C$2:$F$2,EOMONTH(BH$2,-1)+1,$C118:$F118)*VLOOKUP(BH$2,Valores!$H$2:$P$154,8,0)</f>
        <v>0</v>
      </c>
      <c r="BI118" s="30" t="n">
        <f aca="false">SUMIF($C$2:$F$2,EOMONTH(BI$2,-1)+1,$C118:$F118)*VLOOKUP(BI$2,Valores!$H$2:$P$154,8,0)</f>
        <v>0</v>
      </c>
      <c r="BJ118" s="30" t="n">
        <f aca="false">SUMIF($C$2:$F$2,EOMONTH(BJ$2,-1)+1,$C118:$F118)*VLOOKUP(BJ$2,Valores!$H$2:$P$154,8,0)</f>
        <v>0</v>
      </c>
      <c r="BK118" s="30" t="n">
        <f aca="false">SUMIF($C$2:$F$2,EOMONTH(BK$2,-1)+1,$C118:$F118)*VLOOKUP(BK$2,Valores!$H$2:$P$154,8,0)</f>
        <v>0</v>
      </c>
      <c r="BL118" s="30" t="n">
        <f aca="false">SUMIF($C$2:$F$2,EOMONTH(BL$2,-1)+1,$C118:$F118)*VLOOKUP(BL$2,Valores!$H$2:$P$154,8,0)</f>
        <v>0</v>
      </c>
      <c r="BM118" s="30" t="n">
        <f aca="false">SUMIF($C$2:$F$2,EOMONTH(BM$2,-1)+1,$C118:$F118)*VLOOKUP(BM$2,Valores!$H$2:$P$154,8,0)</f>
        <v>0</v>
      </c>
      <c r="BN118" s="30" t="n">
        <f aca="false">SUMIF($C$2:$F$2,EOMONTH(BN$2,-1)+1,$C118:$F118)*VLOOKUP(BN$2,Valores!$H$2:$P$154,8,0)</f>
        <v>0</v>
      </c>
      <c r="BO118" s="30" t="n">
        <f aca="false">SUMIF($C$2:$F$2,EOMONTH(BO$2,-1)+1,$C118:$F118)*VLOOKUP(BO$2,Valores!$H$2:$P$154,8,0)</f>
        <v>0</v>
      </c>
      <c r="BP118" s="30" t="n">
        <f aca="false">SUMIF($C$2:$F$2,EOMONTH(BP$2,-1)+1,$C118:$F118)*VLOOKUP(BP$2,Valores!$H$2:$P$154,8,0)</f>
        <v>0</v>
      </c>
      <c r="BQ118" s="30" t="n">
        <f aca="false">SUMIF($C$2:$F$2,EOMONTH(BQ$2,-1)+1,$C118:$F118)*VLOOKUP(BQ$2,Valores!$H$2:$P$154,8,0)</f>
        <v>0</v>
      </c>
      <c r="BR118" s="30" t="n">
        <f aca="false">SUMIF($C$2:$F$2,EOMONTH(BR$2,-1)+1,$C118:$F118)*VLOOKUP(BR$2,Valores!$H$2:$P$154,8,0)</f>
        <v>0</v>
      </c>
      <c r="BS118" s="30" t="n">
        <f aca="false">SUMIF($C$2:$F$2,EOMONTH(BS$2,-1)+1,$C118:$F118)*VLOOKUP(BS$2,Valores!$H$2:$P$154,8,0)</f>
        <v>0</v>
      </c>
      <c r="BT118" s="30" t="n">
        <f aca="false">SUMIF($C$2:$F$2,EOMONTH(BT$2,-1)+1,$C118:$F118)*VLOOKUP(BT$2,Valores!$H$2:$P$154,8,0)</f>
        <v>0</v>
      </c>
      <c r="BU118" s="30" t="n">
        <f aca="false">SUMIF($C$2:$F$2,EOMONTH(BU$2,-1)+1,$C118:$F118)*VLOOKUP(BU$2,Valores!$H$2:$P$154,8,0)</f>
        <v>0</v>
      </c>
      <c r="BV118" s="30" t="n">
        <f aca="false">SUMIF($C$2:$F$2,EOMONTH(BV$2,-1)+1,$C118:$F118)*VLOOKUP(BV$2,Valores!$H$2:$P$154,8,0)</f>
        <v>0</v>
      </c>
      <c r="BW118" s="30" t="n">
        <f aca="false">SUMIF($C$2:$F$2,EOMONTH(BW$2,-1)+1,$C118:$F118)*VLOOKUP(BW$2,Valores!$H$2:$P$154,8,0)</f>
        <v>0</v>
      </c>
      <c r="BX118" s="30" t="n">
        <f aca="false">SUMIF($C$2:$F$2,EOMONTH(BX$2,-1)+1,$C118:$F118)*VLOOKUP(BX$2,Valores!$H$2:$P$154,8,0)</f>
        <v>0</v>
      </c>
      <c r="BY118" s="30" t="n">
        <f aca="false">SUMIF($C$2:$F$2,EOMONTH(BY$2,-1)+1,$C118:$F118)*VLOOKUP(BY$2,Valores!$H$2:$P$154,8,0)</f>
        <v>0</v>
      </c>
      <c r="BZ118" s="30" t="n">
        <f aca="false">SUMIF($C$2:$F$2,EOMONTH(BZ$2,-1)+1,$C118:$F118)*VLOOKUP(BZ$2,Valores!$H$2:$P$154,8,0)</f>
        <v>0</v>
      </c>
      <c r="CA118" s="30" t="n">
        <f aca="false">SUMIF($C$2:$F$2,EOMONTH(CA$2,-1)+1,$C118:$F118)*VLOOKUP(CA$2,Valores!$H$2:$P$154,8,0)</f>
        <v>0</v>
      </c>
      <c r="CB118" s="30" t="n">
        <f aca="false">SUMIF($C$2:$F$2,EOMONTH(CB$2,-1)+1,$C118:$F118)*VLOOKUP(CB$2,Valores!$H$2:$P$154,8,0)</f>
        <v>0</v>
      </c>
      <c r="CC118" s="30" t="n">
        <f aca="false">SUMIF($C$2:$F$2,EOMONTH(CC$2,-1)+1,$C118:$F118)*VLOOKUP(CC$2,Valores!$H$2:$P$154,8,0)</f>
        <v>0</v>
      </c>
      <c r="CD118" s="30" t="n">
        <f aca="false">SUMIF($C$2:$F$2,EOMONTH(CD$2,-1)+1,$C118:$F118)*VLOOKUP(CD$2,Valores!$H$2:$P$154,8,0)</f>
        <v>0</v>
      </c>
      <c r="CE118" s="30" t="n">
        <f aca="false">SUMIF($C$2:$F$2,EOMONTH(CE$2,-1)+1,$C118:$F118)*VLOOKUP(CE$2,Valores!$H$2:$P$154,8,0)</f>
        <v>0</v>
      </c>
      <c r="CF118" s="30" t="n">
        <f aca="false">SUMIF($C$2:$F$2,EOMONTH(CF$2,-1)+1,$C118:$F118)*VLOOKUP(CF$2,Valores!$H$2:$P$154,8,0)</f>
        <v>0</v>
      </c>
      <c r="CG118" s="30" t="n">
        <f aca="false">SUMIF($C$2:$F$2,EOMONTH(CG$2,-1)+1,$C118:$F118)*VLOOKUP(CG$2,Valores!$H$2:$P$154,8,0)</f>
        <v>0</v>
      </c>
      <c r="CH118" s="30" t="n">
        <f aca="false">SUMIF($C$2:$F$2,EOMONTH(CH$2,-1)+1,$C118:$F118)*VLOOKUP(CH$2,Valores!$H$2:$P$154,8,0)</f>
        <v>0</v>
      </c>
      <c r="CI118" s="30" t="n">
        <f aca="false">SUMIF($C$2:$F$2,EOMONTH(CI$2,-1)+1,$C118:$F118)*VLOOKUP(CI$2,Valores!$H$2:$P$154,8,0)</f>
        <v>0</v>
      </c>
      <c r="CJ118" s="30" t="n">
        <f aca="false">SUMIF($C$2:$F$2,EOMONTH(CJ$2,-1)+1,$C118:$F118)*VLOOKUP(CJ$2,Valores!$H$2:$P$154,8,0)</f>
        <v>0</v>
      </c>
      <c r="CK118" s="30" t="n">
        <f aca="false">SUMIF($C$2:$F$2,EOMONTH(CK$2,-1)+1,$C118:$F118)*VLOOKUP(CK$2,Valores!$H$2:$P$154,8,0)</f>
        <v>0</v>
      </c>
      <c r="CL118" s="30" t="n">
        <f aca="false">SUMIF($C$2:$F$2,EOMONTH(CL$2,-1)+1,$C118:$F118)*VLOOKUP(CL$2,Valores!$H$2:$P$154,8,0)</f>
        <v>0</v>
      </c>
      <c r="CM118" s="30" t="n">
        <f aca="false">SUMIF($C$2:$F$2,EOMONTH(CM$2,-1)+1,$C118:$F118)*VLOOKUP(CM$2,Valores!$H$2:$P$154,8,0)</f>
        <v>0</v>
      </c>
      <c r="CN118" s="30" t="n">
        <f aca="false">SUMIF($C$2:$F$2,EOMONTH(CN$2,-1)+1,$C118:$F118)*VLOOKUP(CN$2,Valores!$H$2:$P$154,8,0)</f>
        <v>0</v>
      </c>
      <c r="CO118" s="30" t="n">
        <f aca="false">SUMIF($C$2:$F$2,EOMONTH(CO$2,-1)+1,$C118:$F118)*VLOOKUP(CO$2,Valores!$H$2:$P$154,8,0)</f>
        <v>0</v>
      </c>
      <c r="CP118" s="30" t="n">
        <f aca="false">SUMIF($C$2:$F$2,EOMONTH(CP$2,-1)+1,$C118:$F118)*VLOOKUP(CP$2,Valores!$H$2:$P$154,8,0)</f>
        <v>0</v>
      </c>
      <c r="CQ118" s="30" t="n">
        <f aca="false">SUMIF($C$2:$F$2,EOMONTH(CQ$2,-1)+1,$C118:$F118)*VLOOKUP(CQ$2,Valores!$H$2:$P$154,8,0)</f>
        <v>0</v>
      </c>
      <c r="CR118" s="30" t="n">
        <f aca="false">SUMIF($C$2:$F$2,EOMONTH(CR$2,-1)+1,$C118:$F118)*VLOOKUP(CR$2,Valores!$H$2:$P$154,8,0)</f>
        <v>0</v>
      </c>
      <c r="CS118" s="30" t="n">
        <f aca="false">SUMIF($C$2:$F$2,EOMONTH(CS$2,-1)+1,$C118:$F118)*VLOOKUP(CS$2,Valores!$H$2:$P$154,8,0)</f>
        <v>0</v>
      </c>
      <c r="CT118" s="30" t="e">
        <f aca="false">SUMIF($C$2:$F$2,EOMONTH(CT$2,-1)+1,$C118:$F118)*VLOOKUP(CT$2,Valores!$H$2:$P$154,8,0)</f>
        <v>#VALUE!</v>
      </c>
      <c r="CU118" s="30" t="e">
        <f aca="false">SUMIF($C$2:$F$2,EOMONTH(CU$2,-1)+1,$C118:$F118)*VLOOKUP(CU$2,Valores!$H$2:$P$154,8,0)</f>
        <v>#VALUE!</v>
      </c>
      <c r="CV118" s="30" t="e">
        <f aca="false">SUMIF($C$2:$F$2,EOMONTH(CV$2,-1)+1,$C118:$F118)*VLOOKUP(CV$2,Valores!$H$2:$P$154,8,0)</f>
        <v>#VALUE!</v>
      </c>
      <c r="CW118" s="30" t="e">
        <f aca="false">SUMIF($C$2:$F$2,EOMONTH(CW$2,-1)+1,$C118:$F118)*VLOOKUP(CW$2,Valores!$H$2:$P$154,8,0)</f>
        <v>#VALUE!</v>
      </c>
      <c r="CX118" s="30" t="e">
        <f aca="false">SUMIF($C$2:$F$2,EOMONTH(CX$2,-1)+1,$C118:$F118)*VLOOKUP(CX$2,Valores!$H$2:$P$154,8,0)</f>
        <v>#VALUE!</v>
      </c>
      <c r="CY118" s="30" t="e">
        <f aca="false">SUMIF($C$2:$F$2,EOMONTH(CY$2,-1)+1,$C118:$F118)*VLOOKUP(CY$2,Valores!$H$2:$P$154,8,0)</f>
        <v>#VALUE!</v>
      </c>
      <c r="CZ118" s="30" t="e">
        <f aca="false">SUMIF($C$2:$F$2,EOMONTH(CZ$2,-1)+1,$C118:$F118)*VLOOKUP(CZ$2,Valores!$H$2:$P$154,8,0)</f>
        <v>#VALUE!</v>
      </c>
      <c r="DA118" s="30" t="e">
        <f aca="false">SUMIF($C$2:$F$2,EOMONTH(DA$2,-1)+1,$C118:$F118)*VLOOKUP(DA$2,Valores!$H$2:$P$154,8,0)</f>
        <v>#VALUE!</v>
      </c>
      <c r="DB118" s="30" t="e">
        <f aca="false">SUMIF($C$2:$F$2,EOMONTH(DB$2,-1)+1,$C118:$F118)*VLOOKUP(DB$2,Valores!$H$2:$P$154,8,0)</f>
        <v>#VALUE!</v>
      </c>
      <c r="DC118" s="30" t="e">
        <f aca="false">SUMIF($C$2:$F$2,EOMONTH(DC$2,-1)+1,$C118:$F118)*VLOOKUP(DC$2,Valores!$H$2:$P$154,8,0)</f>
        <v>#VALUE!</v>
      </c>
      <c r="DD118" s="30" t="e">
        <f aca="false">SUMIF($C$2:$F$2,EOMONTH(DD$2,-1)+1,$C118:$F118)*VLOOKUP(DD$2,Valores!$H$2:$P$154,8,0)</f>
        <v>#VALUE!</v>
      </c>
      <c r="DE118" s="30" t="e">
        <f aca="false">SUMIF($C$2:$F$2,EOMONTH(DE$2,-1)+1,$C118:$F118)*VLOOKUP(DE$2,Valores!$H$2:$P$154,8,0)</f>
        <v>#VALUE!</v>
      </c>
      <c r="DF118" s="30" t="e">
        <f aca="false">SUMIF($C$2:$F$2,EOMONTH(DF$2,-1)+1,$C118:$F118)*VLOOKUP(DF$2,Valores!$H$2:$P$154,8,0)</f>
        <v>#VALUE!</v>
      </c>
      <c r="DG118" s="30" t="e">
        <f aca="false">SUMIF($C$2:$F$2,EOMONTH(DG$2,-1)+1,$C118:$F118)*VLOOKUP(DG$2,Valores!$H$2:$P$154,8,0)</f>
        <v>#VALUE!</v>
      </c>
      <c r="DH118" s="30" t="e">
        <f aca="false">SUMIF($C$2:$F$2,EOMONTH(DH$2,-1)+1,$C118:$F118)*VLOOKUP(DH$2,Valores!$H$2:$P$154,8,0)</f>
        <v>#VALUE!</v>
      </c>
      <c r="DI118" s="30" t="e">
        <f aca="false">SUMIF($C$2:$F$2,EOMONTH(DI$2,-1)+1,$C118:$F118)*VLOOKUP(DI$2,Valores!$H$2:$P$154,8,0)</f>
        <v>#VALUE!</v>
      </c>
      <c r="DJ118" s="30" t="e">
        <f aca="false">SUMIF($C$2:$F$2,EOMONTH(DJ$2,-1)+1,$C118:$F118)*VLOOKUP(DJ$2,Valores!$H$2:$P$154,8,0)</f>
        <v>#VALUE!</v>
      </c>
      <c r="DK118" s="30" t="e">
        <f aca="false">SUMIF($C$2:$F$2,EOMONTH(DK$2,-1)+1,$C118:$F118)*VLOOKUP(DK$2,Valores!$H$2:$P$154,8,0)</f>
        <v>#VALUE!</v>
      </c>
      <c r="DL118" s="30" t="e">
        <f aca="false">SUMIF($C$2:$F$2,EOMONTH(DL$2,-1)+1,$C118:$F118)*VLOOKUP(DL$2,Valores!$H$2:$P$154,8,0)</f>
        <v>#VALUE!</v>
      </c>
      <c r="DM118" s="30" t="e">
        <f aca="false">SUMIF($C$2:$F$2,EOMONTH(DM$2,-1)+1,$C118:$F118)*VLOOKUP(DM$2,Valores!$H$2:$P$154,8,0)</f>
        <v>#VALUE!</v>
      </c>
      <c r="DN118" s="30" t="e">
        <f aca="false">SUMIF($C$2:$F$2,EOMONTH(DN$2,-1)+1,$C118:$F118)*VLOOKUP(DN$2,Valores!$H$2:$P$154,8,0)</f>
        <v>#VALUE!</v>
      </c>
      <c r="DO118" s="30" t="e">
        <f aca="false">SUMIF($C$2:$F$2,EOMONTH(DO$2,-1)+1,$C118:$F118)*VLOOKUP(DO$2,Valores!$H$2:$P$154,8,0)</f>
        <v>#VALUE!</v>
      </c>
      <c r="DP118" s="30" t="e">
        <f aca="false">SUMIF($C$2:$F$2,EOMONTH(DP$2,-1)+1,$C118:$F118)*VLOOKUP(DP$2,Valores!$H$2:$P$154,8,0)</f>
        <v>#VALUE!</v>
      </c>
      <c r="DQ118" s="30" t="e">
        <f aca="false">SUMIF($C$2:$F$2,EOMONTH(DQ$2,-1)+1,$C118:$F118)*VLOOKUP(DQ$2,Valores!$H$2:$P$154,8,0)</f>
        <v>#VALUE!</v>
      </c>
      <c r="DR118" s="30" t="e">
        <f aca="false">SUMIF($C$2:$F$2,EOMONTH(DR$2,-1)+1,$C118:$F118)*VLOOKUP(DR$2,Valores!$H$2:$P$154,8,0)</f>
        <v>#VALUE!</v>
      </c>
      <c r="DS118" s="30" t="e">
        <f aca="false">SUMIF($C$2:$F$2,EOMONTH(DS$2,-1)+1,$C118:$F118)*VLOOKUP(DS$2,Valores!$H$2:$P$154,8,0)</f>
        <v>#VALUE!</v>
      </c>
      <c r="DT118" s="30" t="e">
        <f aca="false">SUMIF($C$2:$F$2,EOMONTH(DT$2,-1)+1,$C118:$F118)*VLOOKUP(DT$2,Valores!$H$2:$P$154,8,0)</f>
        <v>#VALUE!</v>
      </c>
      <c r="DU118" s="30" t="e">
        <f aca="false">SUMIF($C$2:$F$2,EOMONTH(DU$2,-1)+1,$C118:$F118)*VLOOKUP(DU$2,Valores!$H$2:$P$154,8,0)</f>
        <v>#VALUE!</v>
      </c>
      <c r="DV118" s="30" t="e">
        <f aca="false">SUMIF($C$2:$F$2,EOMONTH(DV$2,-1)+1,$C118:$F118)*VLOOKUP(DV$2,Valores!$H$2:$P$154,8,0)</f>
        <v>#VALUE!</v>
      </c>
      <c r="DW118" s="30" t="e">
        <f aca="false">SUMIF($C$2:$F$2,EOMONTH(DW$2,-1)+1,$C118:$F118)*VLOOKUP(DW$2,Valores!$H$2:$P$154,8,0)</f>
        <v>#VALUE!</v>
      </c>
      <c r="DX118" s="30" t="e">
        <f aca="false">SUMIF($C$2:$F$2,EOMONTH(DX$2,-1)+1,$C118:$F118)*VLOOKUP(DX$2,Valores!$H$2:$P$154,8,0)</f>
        <v>#VALUE!</v>
      </c>
    </row>
    <row r="119" customFormat="false" ht="13.8" hidden="false" customHeight="false" outlineLevel="0" collapsed="false">
      <c r="A119" s="31"/>
      <c r="B119" s="31"/>
      <c r="C119" s="31"/>
      <c r="D119" s="31"/>
      <c r="E119" s="31"/>
      <c r="F119" s="31"/>
      <c r="G119" s="27" t="n">
        <f aca="false">SUMIF($C$2:$F$2,EOMONTH(G$2,-1)+1,$C119:$F119)*VLOOKUP(G$2,Valores!$H$2:$P$154,8,0)</f>
        <v>0</v>
      </c>
      <c r="H119" s="27" t="n">
        <f aca="false">SUMIF($C$2:$F$2,EOMONTH(H$2,-1)+1,$C119:$F119)*VLOOKUP(H$2,Valores!$H$2:$P$154,8,0)</f>
        <v>0</v>
      </c>
      <c r="I119" s="27" t="n">
        <f aca="false">SUMIF($C$2:$F$2,EOMONTH(I$2,-1)+1,$C119:$F119)*VLOOKUP(I$2,Valores!$H$2:$P$154,8,0)</f>
        <v>0</v>
      </c>
      <c r="J119" s="27" t="n">
        <f aca="false">SUMIF($C$2:$F$2,EOMONTH(J$2,-1)+1,$C119:$F119)*VLOOKUP(J$2,Valores!$H$2:$P$154,8,0)</f>
        <v>0</v>
      </c>
      <c r="K119" s="27" t="n">
        <f aca="false">SUMIF($C$2:$F$2,EOMONTH(K$2,-1)+1,$C119:$F119)*VLOOKUP(K$2,Valores!$H$2:$P$154,8,0)</f>
        <v>0</v>
      </c>
      <c r="L119" s="27" t="n">
        <f aca="false">SUMIF($C$2:$F$2,EOMONTH(L$2,-1)+1,$C119:$F119)*VLOOKUP(L$2,Valores!$H$2:$P$154,8,0)</f>
        <v>0</v>
      </c>
      <c r="M119" s="27" t="n">
        <f aca="false">SUMIF($C$2:$F$2,EOMONTH(M$2,-1)+1,$C119:$F119)*VLOOKUP(M$2,Valores!$H$2:$P$154,8,0)</f>
        <v>0</v>
      </c>
      <c r="N119" s="27" t="n">
        <f aca="false">SUMIF($C$2:$F$2,EOMONTH(N$2,-1)+1,$C119:$F119)*VLOOKUP(N$2,Valores!$H$2:$P$154,8,0)</f>
        <v>0</v>
      </c>
      <c r="O119" s="27" t="n">
        <f aca="false">SUMIF($C$2:$F$2,EOMONTH(O$2,-1)+1,$C119:$F119)*VLOOKUP(O$2,Valores!$H$2:$P$154,8,0)</f>
        <v>0</v>
      </c>
      <c r="P119" s="27" t="n">
        <f aca="false">SUMIF($C$2:$F$2,EOMONTH(P$2,-1)+1,$C119:$F119)*VLOOKUP(P$2,Valores!$H$2:$P$154,8,0)</f>
        <v>0</v>
      </c>
      <c r="Q119" s="27" t="n">
        <f aca="false">SUMIF($C$2:$F$2,EOMONTH(Q$2,-1)+1,$C119:$F119)*VLOOKUP(Q$2,Valores!$H$2:$P$154,8,0)</f>
        <v>0</v>
      </c>
      <c r="R119" s="27" t="n">
        <f aca="false">SUMIF($C$2:$F$2,EOMONTH(R$2,-1)+1,$C119:$F119)*VLOOKUP(R$2,Valores!$H$2:$P$154,8,0)</f>
        <v>0</v>
      </c>
      <c r="S119" s="27" t="n">
        <f aca="false">SUMIF($C$2:$F$2,EOMONTH(S$2,-1)+1,$C119:$F119)*VLOOKUP(S$2,Valores!$H$2:$P$154,8,0)</f>
        <v>0</v>
      </c>
      <c r="T119" s="27" t="n">
        <f aca="false">SUMIF($C$2:$F$2,EOMONTH(T$2,-1)+1,$C119:$F119)*VLOOKUP(T$2,Valores!$H$2:$P$154,8,0)</f>
        <v>0</v>
      </c>
      <c r="U119" s="27" t="n">
        <f aca="false">SUMIF($C$2:$F$2,EOMONTH(U$2,-1)+1,$C119:$F119)*VLOOKUP(U$2,Valores!$H$2:$P$154,8,0)</f>
        <v>0</v>
      </c>
      <c r="V119" s="27" t="n">
        <f aca="false">SUMIF($C$2:$F$2,EOMONTH(V$2,-1)+1,$C119:$F119)*VLOOKUP(V$2,Valores!$H$2:$P$154,8,0)</f>
        <v>0</v>
      </c>
      <c r="W119" s="27" t="n">
        <f aca="false">SUMIF($C$2:$F$2,EOMONTH(W$2,-1)+1,$C119:$F119)*VLOOKUP(W$2,Valores!$H$2:$P$154,8,0)</f>
        <v>0</v>
      </c>
      <c r="X119" s="27" t="n">
        <f aca="false">SUMIF($C$2:$F$2,EOMONTH(X$2,-1)+1,$C119:$F119)*VLOOKUP(X$2,Valores!$H$2:$P$154,8,0)</f>
        <v>0</v>
      </c>
      <c r="Y119" s="27" t="n">
        <f aca="false">SUMIF($C$2:$F$2,EOMONTH(Y$2,-1)+1,$C119:$F119)*VLOOKUP(Y$2,Valores!$H$2:$P$154,8,0)</f>
        <v>0</v>
      </c>
      <c r="Z119" s="27" t="n">
        <f aca="false">SUMIF($C$2:$F$2,EOMONTH(Z$2,-1)+1,$C119:$F119)*VLOOKUP(Z$2,Valores!$H$2:$P$154,8,0)</f>
        <v>0</v>
      </c>
      <c r="AA119" s="27" t="n">
        <f aca="false">SUMIF($C$2:$F$2,EOMONTH(AA$2,-1)+1,$C119:$F119)*VLOOKUP(AA$2,Valores!$H$2:$P$154,8,0)</f>
        <v>0</v>
      </c>
      <c r="AB119" s="27" t="n">
        <f aca="false">SUMIF($C$2:$F$2,EOMONTH(AB$2,-1)+1,$C119:$F119)*VLOOKUP(AB$2,Valores!$H$2:$P$154,8,0)</f>
        <v>0</v>
      </c>
      <c r="AC119" s="27" t="n">
        <f aca="false">SUMIF($C$2:$F$2,EOMONTH(AC$2,-1)+1,$C119:$F119)*VLOOKUP(AC$2,Valores!$H$2:$P$154,8,0)</f>
        <v>0</v>
      </c>
      <c r="AD119" s="27" t="n">
        <f aca="false">SUMIF($C$2:$F$2,EOMONTH(AD$2,-1)+1,$C119:$F119)*VLOOKUP(AD$2,Valores!$H$2:$P$154,8,0)</f>
        <v>0</v>
      </c>
      <c r="AE119" s="27" t="n">
        <f aca="false">SUMIF($C$2:$F$2,EOMONTH(AE$2,-1)+1,$C119:$F119)*VLOOKUP(AE$2,Valores!$H$2:$P$154,8,0)</f>
        <v>0</v>
      </c>
      <c r="AF119" s="27" t="n">
        <f aca="false">SUMIF($C$2:$F$2,EOMONTH(AF$2,-1)+1,$C119:$F119)*VLOOKUP(AF$2,Valores!$H$2:$P$154,8,0)</f>
        <v>0</v>
      </c>
      <c r="AG119" s="27" t="n">
        <f aca="false">SUMIF($C$2:$F$2,EOMONTH(AG$2,-1)+1,$C119:$F119)*VLOOKUP(AG$2,Valores!$H$2:$P$154,8,0)</f>
        <v>0</v>
      </c>
      <c r="AH119" s="27" t="n">
        <f aca="false">SUMIF($C$2:$F$2,EOMONTH(AH$2,-1)+1,$C119:$F119)*VLOOKUP(AH$2,Valores!$H$2:$P$154,8,0)</f>
        <v>0</v>
      </c>
      <c r="AI119" s="27" t="n">
        <f aca="false">SUMIF($C$2:$F$2,EOMONTH(AI$2,-1)+1,$C119:$F119)*VLOOKUP(AI$2,Valores!$H$2:$P$154,8,0)</f>
        <v>0</v>
      </c>
      <c r="AJ119" s="27" t="n">
        <f aca="false">SUMIF($C$2:$F$2,EOMONTH(AJ$2,-1)+1,$C119:$F119)*VLOOKUP(AJ$2,Valores!$H$2:$P$154,8,0)</f>
        <v>0</v>
      </c>
      <c r="AK119" s="27" t="n">
        <f aca="false">SUMIF($C$2:$F$2,EOMONTH(AK$2,-1)+1,$C119:$F119)*VLOOKUP(AK$2,Valores!$H$2:$P$154,8,0)</f>
        <v>0</v>
      </c>
      <c r="AL119" s="27" t="n">
        <f aca="false">SUMIF($C$2:$F$2,EOMONTH(AL$2,-1)+1,$C119:$F119)*VLOOKUP(AL$2,Valores!$H$2:$P$154,8,0)</f>
        <v>0</v>
      </c>
      <c r="AM119" s="27" t="n">
        <f aca="false">SUMIF($C$2:$F$2,EOMONTH(AM$2,-1)+1,$C119:$F119)*VLOOKUP(AM$2,Valores!$H$2:$P$154,8,0)</f>
        <v>0</v>
      </c>
      <c r="AN119" s="27" t="n">
        <f aca="false">SUMIF($C$2:$F$2,EOMONTH(AN$2,-1)+1,$C119:$F119)*VLOOKUP(AN$2,Valores!$H$2:$P$154,8,0)</f>
        <v>0</v>
      </c>
      <c r="AO119" s="27" t="n">
        <f aca="false">SUMIF($C$2:$F$2,EOMONTH(AO$2,-1)+1,$C119:$F119)*VLOOKUP(AO$2,Valores!$H$2:$P$154,8,0)</f>
        <v>0</v>
      </c>
      <c r="AP119" s="27" t="n">
        <f aca="false">SUMIF($C$2:$F$2,EOMONTH(AP$2,-1)+1,$C119:$F119)*VLOOKUP(AP$2,Valores!$H$2:$P$154,8,0)</f>
        <v>0</v>
      </c>
      <c r="AQ119" s="27" t="n">
        <f aca="false">SUMIF($C$2:$F$2,EOMONTH(AQ$2,-1)+1,$C119:$F119)*VLOOKUP(AQ$2,Valores!$H$2:$P$154,8,0)</f>
        <v>0</v>
      </c>
      <c r="AR119" s="27" t="n">
        <f aca="false">SUMIF($C$2:$F$2,EOMONTH(AR$2,-1)+1,$C119:$F119)*VLOOKUP(AR$2,Valores!$H$2:$P$154,8,0)</f>
        <v>0</v>
      </c>
      <c r="AS119" s="27" t="n">
        <f aca="false">SUMIF($C$2:$F$2,EOMONTH(AS$2,-1)+1,$C119:$F119)*VLOOKUP(AS$2,Valores!$H$2:$P$154,8,0)</f>
        <v>0</v>
      </c>
      <c r="AT119" s="27" t="n">
        <f aca="false">SUMIF($C$2:$F$2,EOMONTH(AT$2,-1)+1,$C119:$F119)*VLOOKUP(AT$2,Valores!$H$2:$P$154,8,0)</f>
        <v>0</v>
      </c>
      <c r="AU119" s="27" t="n">
        <f aca="false">SUMIF($C$2:$F$2,EOMONTH(AU$2,-1)+1,$C119:$F119)*VLOOKUP(AU$2,Valores!$H$2:$P$154,8,0)</f>
        <v>0</v>
      </c>
      <c r="AV119" s="27" t="n">
        <f aca="false">SUMIF($C$2:$F$2,EOMONTH(AV$2,-1)+1,$C119:$F119)*VLOOKUP(AV$2,Valores!$H$2:$P$154,8,0)</f>
        <v>0</v>
      </c>
      <c r="AW119" s="27" t="n">
        <f aca="false">SUMIF($C$2:$F$2,EOMONTH(AW$2,-1)+1,$C119:$F119)*VLOOKUP(AW$2,Valores!$H$2:$P$154,8,0)</f>
        <v>0</v>
      </c>
      <c r="AX119" s="27" t="n">
        <f aca="false">SUMIF($C$2:$F$2,EOMONTH(AX$2,-1)+1,$C119:$F119)*VLOOKUP(AX$2,Valores!$H$2:$P$154,8,0)</f>
        <v>0</v>
      </c>
      <c r="AY119" s="27" t="n">
        <f aca="false">SUMIF($C$2:$F$2,EOMONTH(AY$2,-1)+1,$C119:$F119)*VLOOKUP(AY$2,Valores!$H$2:$P$154,8,0)</f>
        <v>0</v>
      </c>
      <c r="AZ119" s="27" t="n">
        <f aca="false">SUMIF($C$2:$F$2,EOMONTH(AZ$2,-1)+1,$C119:$F119)*VLOOKUP(AZ$2,Valores!$H$2:$P$154,8,0)</f>
        <v>0</v>
      </c>
      <c r="BA119" s="27" t="n">
        <f aca="false">SUMIF($C$2:$F$2,EOMONTH(BA$2,-1)+1,$C119:$F119)*VLOOKUP(BA$2,Valores!$H$2:$P$154,8,0)</f>
        <v>0</v>
      </c>
      <c r="BB119" s="27" t="n">
        <f aca="false">SUMIF($C$2:$F$2,EOMONTH(BB$2,-1)+1,$C119:$F119)*VLOOKUP(BB$2,Valores!$H$2:$P$154,8,0)</f>
        <v>0</v>
      </c>
      <c r="BC119" s="27" t="n">
        <f aca="false">SUMIF($C$2:$F$2,EOMONTH(BC$2,-1)+1,$C119:$F119)*VLOOKUP(BC$2,Valores!$H$2:$P$154,8,0)</f>
        <v>0</v>
      </c>
      <c r="BD119" s="27" t="n">
        <f aca="false">SUMIF($C$2:$F$2,EOMONTH(BD$2,-1)+1,$C119:$F119)*VLOOKUP(BD$2,Valores!$H$2:$P$154,8,0)</f>
        <v>0</v>
      </c>
      <c r="BE119" s="27" t="n">
        <f aca="false">SUMIF($C$2:$F$2,EOMONTH(BE$2,-1)+1,$C119:$F119)*VLOOKUP(BE$2,Valores!$H$2:$P$154,8,0)</f>
        <v>0</v>
      </c>
      <c r="BF119" s="27" t="n">
        <f aca="false">SUMIF($C$2:$F$2,EOMONTH(BF$2,-1)+1,$C119:$F119)*VLOOKUP(BF$2,Valores!$H$2:$P$154,8,0)</f>
        <v>0</v>
      </c>
      <c r="BG119" s="27" t="n">
        <f aca="false">SUMIF($C$2:$F$2,EOMONTH(BG$2,-1)+1,$C119:$F119)*VLOOKUP(BG$2,Valores!$H$2:$P$154,8,0)</f>
        <v>0</v>
      </c>
      <c r="BH119" s="27" t="n">
        <f aca="false">SUMIF($C$2:$F$2,EOMONTH(BH$2,-1)+1,$C119:$F119)*VLOOKUP(BH$2,Valores!$H$2:$P$154,8,0)</f>
        <v>0</v>
      </c>
      <c r="BI119" s="27" t="n">
        <f aca="false">SUMIF($C$2:$F$2,EOMONTH(BI$2,-1)+1,$C119:$F119)*VLOOKUP(BI$2,Valores!$H$2:$P$154,8,0)</f>
        <v>0</v>
      </c>
      <c r="BJ119" s="27" t="n">
        <f aca="false">SUMIF($C$2:$F$2,EOMONTH(BJ$2,-1)+1,$C119:$F119)*VLOOKUP(BJ$2,Valores!$H$2:$P$154,8,0)</f>
        <v>0</v>
      </c>
      <c r="BK119" s="27" t="n">
        <f aca="false">SUMIF($C$2:$F$2,EOMONTH(BK$2,-1)+1,$C119:$F119)*VLOOKUP(BK$2,Valores!$H$2:$P$154,8,0)</f>
        <v>0</v>
      </c>
      <c r="BL119" s="27" t="n">
        <f aca="false">SUMIF($C$2:$F$2,EOMONTH(BL$2,-1)+1,$C119:$F119)*VLOOKUP(BL$2,Valores!$H$2:$P$154,8,0)</f>
        <v>0</v>
      </c>
      <c r="BM119" s="27" t="n">
        <f aca="false">SUMIF($C$2:$F$2,EOMONTH(BM$2,-1)+1,$C119:$F119)*VLOOKUP(BM$2,Valores!$H$2:$P$154,8,0)</f>
        <v>0</v>
      </c>
      <c r="BN119" s="27" t="n">
        <f aca="false">SUMIF($C$2:$F$2,EOMONTH(BN$2,-1)+1,$C119:$F119)*VLOOKUP(BN$2,Valores!$H$2:$P$154,8,0)</f>
        <v>0</v>
      </c>
      <c r="BO119" s="27" t="n">
        <f aca="false">SUMIF($C$2:$F$2,EOMONTH(BO$2,-1)+1,$C119:$F119)*VLOOKUP(BO$2,Valores!$H$2:$P$154,8,0)</f>
        <v>0</v>
      </c>
      <c r="BP119" s="27" t="n">
        <f aca="false">SUMIF($C$2:$F$2,EOMONTH(BP$2,-1)+1,$C119:$F119)*VLOOKUP(BP$2,Valores!$H$2:$P$154,8,0)</f>
        <v>0</v>
      </c>
      <c r="BQ119" s="27" t="n">
        <f aca="false">SUMIF($C$2:$F$2,EOMONTH(BQ$2,-1)+1,$C119:$F119)*VLOOKUP(BQ$2,Valores!$H$2:$P$154,8,0)</f>
        <v>0</v>
      </c>
      <c r="BR119" s="27" t="n">
        <f aca="false">SUMIF($C$2:$F$2,EOMONTH(BR$2,-1)+1,$C119:$F119)*VLOOKUP(BR$2,Valores!$H$2:$P$154,8,0)</f>
        <v>0</v>
      </c>
      <c r="BS119" s="27" t="n">
        <f aca="false">SUMIF($C$2:$F$2,EOMONTH(BS$2,-1)+1,$C119:$F119)*VLOOKUP(BS$2,Valores!$H$2:$P$154,8,0)</f>
        <v>0</v>
      </c>
      <c r="BT119" s="27" t="n">
        <f aca="false">SUMIF($C$2:$F$2,EOMONTH(BT$2,-1)+1,$C119:$F119)*VLOOKUP(BT$2,Valores!$H$2:$P$154,8,0)</f>
        <v>0</v>
      </c>
      <c r="BU119" s="27" t="n">
        <f aca="false">SUMIF($C$2:$F$2,EOMONTH(BU$2,-1)+1,$C119:$F119)*VLOOKUP(BU$2,Valores!$H$2:$P$154,8,0)</f>
        <v>0</v>
      </c>
      <c r="BV119" s="27" t="n">
        <f aca="false">SUMIF($C$2:$F$2,EOMONTH(BV$2,-1)+1,$C119:$F119)*VLOOKUP(BV$2,Valores!$H$2:$P$154,8,0)</f>
        <v>0</v>
      </c>
      <c r="BW119" s="27" t="n">
        <f aca="false">SUMIF($C$2:$F$2,EOMONTH(BW$2,-1)+1,$C119:$F119)*VLOOKUP(BW$2,Valores!$H$2:$P$154,8,0)</f>
        <v>0</v>
      </c>
      <c r="BX119" s="27" t="n">
        <f aca="false">SUMIF($C$2:$F$2,EOMONTH(BX$2,-1)+1,$C119:$F119)*VLOOKUP(BX$2,Valores!$H$2:$P$154,8,0)</f>
        <v>0</v>
      </c>
      <c r="BY119" s="27" t="n">
        <f aca="false">SUMIF($C$2:$F$2,EOMONTH(BY$2,-1)+1,$C119:$F119)*VLOOKUP(BY$2,Valores!$H$2:$P$154,8,0)</f>
        <v>0</v>
      </c>
      <c r="BZ119" s="27" t="n">
        <f aca="false">SUMIF($C$2:$F$2,EOMONTH(BZ$2,-1)+1,$C119:$F119)*VLOOKUP(BZ$2,Valores!$H$2:$P$154,8,0)</f>
        <v>0</v>
      </c>
      <c r="CA119" s="27" t="n">
        <f aca="false">SUMIF($C$2:$F$2,EOMONTH(CA$2,-1)+1,$C119:$F119)*VLOOKUP(CA$2,Valores!$H$2:$P$154,8,0)</f>
        <v>0</v>
      </c>
      <c r="CB119" s="27" t="n">
        <f aca="false">SUMIF($C$2:$F$2,EOMONTH(CB$2,-1)+1,$C119:$F119)*VLOOKUP(CB$2,Valores!$H$2:$P$154,8,0)</f>
        <v>0</v>
      </c>
      <c r="CC119" s="27" t="n">
        <f aca="false">SUMIF($C$2:$F$2,EOMONTH(CC$2,-1)+1,$C119:$F119)*VLOOKUP(CC$2,Valores!$H$2:$P$154,8,0)</f>
        <v>0</v>
      </c>
      <c r="CD119" s="27" t="n">
        <f aca="false">SUMIF($C$2:$F$2,EOMONTH(CD$2,-1)+1,$C119:$F119)*VLOOKUP(CD$2,Valores!$H$2:$P$154,8,0)</f>
        <v>0</v>
      </c>
      <c r="CE119" s="27" t="n">
        <f aca="false">SUMIF($C$2:$F$2,EOMONTH(CE$2,-1)+1,$C119:$F119)*VLOOKUP(CE$2,Valores!$H$2:$P$154,8,0)</f>
        <v>0</v>
      </c>
      <c r="CF119" s="27" t="n">
        <f aca="false">SUMIF($C$2:$F$2,EOMONTH(CF$2,-1)+1,$C119:$F119)*VLOOKUP(CF$2,Valores!$H$2:$P$154,8,0)</f>
        <v>0</v>
      </c>
      <c r="CG119" s="27" t="n">
        <f aca="false">SUMIF($C$2:$F$2,EOMONTH(CG$2,-1)+1,$C119:$F119)*VLOOKUP(CG$2,Valores!$H$2:$P$154,8,0)</f>
        <v>0</v>
      </c>
      <c r="CH119" s="27" t="n">
        <f aca="false">SUMIF($C$2:$F$2,EOMONTH(CH$2,-1)+1,$C119:$F119)*VLOOKUP(CH$2,Valores!$H$2:$P$154,8,0)</f>
        <v>0</v>
      </c>
      <c r="CI119" s="27" t="n">
        <f aca="false">SUMIF($C$2:$F$2,EOMONTH(CI$2,-1)+1,$C119:$F119)*VLOOKUP(CI$2,Valores!$H$2:$P$154,8,0)</f>
        <v>0</v>
      </c>
      <c r="CJ119" s="27" t="n">
        <f aca="false">SUMIF($C$2:$F$2,EOMONTH(CJ$2,-1)+1,$C119:$F119)*VLOOKUP(CJ$2,Valores!$H$2:$P$154,8,0)</f>
        <v>0</v>
      </c>
      <c r="CK119" s="27" t="n">
        <f aca="false">SUMIF($C$2:$F$2,EOMONTH(CK$2,-1)+1,$C119:$F119)*VLOOKUP(CK$2,Valores!$H$2:$P$154,8,0)</f>
        <v>0</v>
      </c>
      <c r="CL119" s="27" t="n">
        <f aca="false">SUMIF($C$2:$F$2,EOMONTH(CL$2,-1)+1,$C119:$F119)*VLOOKUP(CL$2,Valores!$H$2:$P$154,8,0)</f>
        <v>0</v>
      </c>
      <c r="CM119" s="27" t="n">
        <f aca="false">SUMIF($C$2:$F$2,EOMONTH(CM$2,-1)+1,$C119:$F119)*VLOOKUP(CM$2,Valores!$H$2:$P$154,8,0)</f>
        <v>0</v>
      </c>
      <c r="CN119" s="27" t="n">
        <f aca="false">SUMIF($C$2:$F$2,EOMONTH(CN$2,-1)+1,$C119:$F119)*VLOOKUP(CN$2,Valores!$H$2:$P$154,8,0)</f>
        <v>0</v>
      </c>
      <c r="CO119" s="27" t="n">
        <f aca="false">SUMIF($C$2:$F$2,EOMONTH(CO$2,-1)+1,$C119:$F119)*VLOOKUP(CO$2,Valores!$H$2:$P$154,8,0)</f>
        <v>0</v>
      </c>
      <c r="CP119" s="27" t="n">
        <f aca="false">SUMIF($C$2:$F$2,EOMONTH(CP$2,-1)+1,$C119:$F119)*VLOOKUP(CP$2,Valores!$H$2:$P$154,8,0)</f>
        <v>0</v>
      </c>
      <c r="CQ119" s="27" t="n">
        <f aca="false">SUMIF($C$2:$F$2,EOMONTH(CQ$2,-1)+1,$C119:$F119)*VLOOKUP(CQ$2,Valores!$H$2:$P$154,8,0)</f>
        <v>0</v>
      </c>
      <c r="CR119" s="27" t="n">
        <f aca="false">SUMIF($C$2:$F$2,EOMONTH(CR$2,-1)+1,$C119:$F119)*VLOOKUP(CR$2,Valores!$H$2:$P$154,8,0)</f>
        <v>0</v>
      </c>
      <c r="CS119" s="27" t="n">
        <f aca="false">SUMIF($C$2:$F$2,EOMONTH(CS$2,-1)+1,$C119:$F119)*VLOOKUP(CS$2,Valores!$H$2:$P$154,8,0)</f>
        <v>0</v>
      </c>
      <c r="CT119" s="27" t="e">
        <f aca="false">SUMIF($C$2:$F$2,EOMONTH(CT$2,-1)+1,$C119:$F119)*VLOOKUP(CT$2,Valores!$H$2:$P$154,8,0)</f>
        <v>#VALUE!</v>
      </c>
      <c r="CU119" s="27" t="e">
        <f aca="false">SUMIF($C$2:$F$2,EOMONTH(CU$2,-1)+1,$C119:$F119)*VLOOKUP(CU$2,Valores!$H$2:$P$154,8,0)</f>
        <v>#VALUE!</v>
      </c>
      <c r="CV119" s="27" t="e">
        <f aca="false">SUMIF($C$2:$F$2,EOMONTH(CV$2,-1)+1,$C119:$F119)*VLOOKUP(CV$2,Valores!$H$2:$P$154,8,0)</f>
        <v>#VALUE!</v>
      </c>
      <c r="CW119" s="27" t="e">
        <f aca="false">SUMIF($C$2:$F$2,EOMONTH(CW$2,-1)+1,$C119:$F119)*VLOOKUP(CW$2,Valores!$H$2:$P$154,8,0)</f>
        <v>#VALUE!</v>
      </c>
      <c r="CX119" s="27" t="e">
        <f aca="false">SUMIF($C$2:$F$2,EOMONTH(CX$2,-1)+1,$C119:$F119)*VLOOKUP(CX$2,Valores!$H$2:$P$154,8,0)</f>
        <v>#VALUE!</v>
      </c>
      <c r="CY119" s="27" t="e">
        <f aca="false">SUMIF($C$2:$F$2,EOMONTH(CY$2,-1)+1,$C119:$F119)*VLOOKUP(CY$2,Valores!$H$2:$P$154,8,0)</f>
        <v>#VALUE!</v>
      </c>
      <c r="CZ119" s="27" t="e">
        <f aca="false">SUMIF($C$2:$F$2,EOMONTH(CZ$2,-1)+1,$C119:$F119)*VLOOKUP(CZ$2,Valores!$H$2:$P$154,8,0)</f>
        <v>#VALUE!</v>
      </c>
      <c r="DA119" s="27" t="e">
        <f aca="false">SUMIF($C$2:$F$2,EOMONTH(DA$2,-1)+1,$C119:$F119)*VLOOKUP(DA$2,Valores!$H$2:$P$154,8,0)</f>
        <v>#VALUE!</v>
      </c>
      <c r="DB119" s="27" t="e">
        <f aca="false">SUMIF($C$2:$F$2,EOMONTH(DB$2,-1)+1,$C119:$F119)*VLOOKUP(DB$2,Valores!$H$2:$P$154,8,0)</f>
        <v>#VALUE!</v>
      </c>
      <c r="DC119" s="27" t="e">
        <f aca="false">SUMIF($C$2:$F$2,EOMONTH(DC$2,-1)+1,$C119:$F119)*VLOOKUP(DC$2,Valores!$H$2:$P$154,8,0)</f>
        <v>#VALUE!</v>
      </c>
      <c r="DD119" s="27" t="e">
        <f aca="false">SUMIF($C$2:$F$2,EOMONTH(DD$2,-1)+1,$C119:$F119)*VLOOKUP(DD$2,Valores!$H$2:$P$154,8,0)</f>
        <v>#VALUE!</v>
      </c>
      <c r="DE119" s="27" t="e">
        <f aca="false">SUMIF($C$2:$F$2,EOMONTH(DE$2,-1)+1,$C119:$F119)*VLOOKUP(DE$2,Valores!$H$2:$P$154,8,0)</f>
        <v>#VALUE!</v>
      </c>
      <c r="DF119" s="27" t="e">
        <f aca="false">SUMIF($C$2:$F$2,EOMONTH(DF$2,-1)+1,$C119:$F119)*VLOOKUP(DF$2,Valores!$H$2:$P$154,8,0)</f>
        <v>#VALUE!</v>
      </c>
      <c r="DG119" s="27" t="e">
        <f aca="false">SUMIF($C$2:$F$2,EOMONTH(DG$2,-1)+1,$C119:$F119)*VLOOKUP(DG$2,Valores!$H$2:$P$154,8,0)</f>
        <v>#VALUE!</v>
      </c>
      <c r="DH119" s="27" t="e">
        <f aca="false">SUMIF($C$2:$F$2,EOMONTH(DH$2,-1)+1,$C119:$F119)*VLOOKUP(DH$2,Valores!$H$2:$P$154,8,0)</f>
        <v>#VALUE!</v>
      </c>
      <c r="DI119" s="27" t="e">
        <f aca="false">SUMIF($C$2:$F$2,EOMONTH(DI$2,-1)+1,$C119:$F119)*VLOOKUP(DI$2,Valores!$H$2:$P$154,8,0)</f>
        <v>#VALUE!</v>
      </c>
      <c r="DJ119" s="27" t="e">
        <f aca="false">SUMIF($C$2:$F$2,EOMONTH(DJ$2,-1)+1,$C119:$F119)*VLOOKUP(DJ$2,Valores!$H$2:$P$154,8,0)</f>
        <v>#VALUE!</v>
      </c>
      <c r="DK119" s="27" t="e">
        <f aca="false">SUMIF($C$2:$F$2,EOMONTH(DK$2,-1)+1,$C119:$F119)*VLOOKUP(DK$2,Valores!$H$2:$P$154,8,0)</f>
        <v>#VALUE!</v>
      </c>
      <c r="DL119" s="27" t="e">
        <f aca="false">SUMIF($C$2:$F$2,EOMONTH(DL$2,-1)+1,$C119:$F119)*VLOOKUP(DL$2,Valores!$H$2:$P$154,8,0)</f>
        <v>#VALUE!</v>
      </c>
      <c r="DM119" s="27" t="e">
        <f aca="false">SUMIF($C$2:$F$2,EOMONTH(DM$2,-1)+1,$C119:$F119)*VLOOKUP(DM$2,Valores!$H$2:$P$154,8,0)</f>
        <v>#VALUE!</v>
      </c>
      <c r="DN119" s="27" t="e">
        <f aca="false">SUMIF($C$2:$F$2,EOMONTH(DN$2,-1)+1,$C119:$F119)*VLOOKUP(DN$2,Valores!$H$2:$P$154,8,0)</f>
        <v>#VALUE!</v>
      </c>
      <c r="DO119" s="27" t="e">
        <f aca="false">SUMIF($C$2:$F$2,EOMONTH(DO$2,-1)+1,$C119:$F119)*VLOOKUP(DO$2,Valores!$H$2:$P$154,8,0)</f>
        <v>#VALUE!</v>
      </c>
      <c r="DP119" s="27" t="e">
        <f aca="false">SUMIF($C$2:$F$2,EOMONTH(DP$2,-1)+1,$C119:$F119)*VLOOKUP(DP$2,Valores!$H$2:$P$154,8,0)</f>
        <v>#VALUE!</v>
      </c>
      <c r="DQ119" s="27" t="e">
        <f aca="false">SUMIF($C$2:$F$2,EOMONTH(DQ$2,-1)+1,$C119:$F119)*VLOOKUP(DQ$2,Valores!$H$2:$P$154,8,0)</f>
        <v>#VALUE!</v>
      </c>
      <c r="DR119" s="27" t="e">
        <f aca="false">SUMIF($C$2:$F$2,EOMONTH(DR$2,-1)+1,$C119:$F119)*VLOOKUP(DR$2,Valores!$H$2:$P$154,8,0)</f>
        <v>#VALUE!</v>
      </c>
      <c r="DS119" s="27" t="e">
        <f aca="false">SUMIF($C$2:$F$2,EOMONTH(DS$2,-1)+1,$C119:$F119)*VLOOKUP(DS$2,Valores!$H$2:$P$154,8,0)</f>
        <v>#VALUE!</v>
      </c>
      <c r="DT119" s="27" t="e">
        <f aca="false">SUMIF($C$2:$F$2,EOMONTH(DT$2,-1)+1,$C119:$F119)*VLOOKUP(DT$2,Valores!$H$2:$P$154,8,0)</f>
        <v>#VALUE!</v>
      </c>
      <c r="DU119" s="27" t="e">
        <f aca="false">SUMIF($C$2:$F$2,EOMONTH(DU$2,-1)+1,$C119:$F119)*VLOOKUP(DU$2,Valores!$H$2:$P$154,8,0)</f>
        <v>#VALUE!</v>
      </c>
      <c r="DV119" s="27" t="e">
        <f aca="false">SUMIF($C$2:$F$2,EOMONTH(DV$2,-1)+1,$C119:$F119)*VLOOKUP(DV$2,Valores!$H$2:$P$154,8,0)</f>
        <v>#VALUE!</v>
      </c>
      <c r="DW119" s="27" t="e">
        <f aca="false">SUMIF($C$2:$F$2,EOMONTH(DW$2,-1)+1,$C119:$F119)*VLOOKUP(DW$2,Valores!$H$2:$P$154,8,0)</f>
        <v>#VALUE!</v>
      </c>
      <c r="DX119" s="27" t="e">
        <f aca="false">SUMIF($C$2:$F$2,EOMONTH(DX$2,-1)+1,$C119:$F119)*VLOOKUP(DX$2,Valores!$H$2:$P$154,8,0)</f>
        <v>#VALUE!</v>
      </c>
    </row>
    <row r="120" customFormat="false" ht="13.8" hidden="false" customHeight="false" outlineLevel="0" collapsed="false">
      <c r="A120" s="29"/>
      <c r="B120" s="29"/>
      <c r="C120" s="29"/>
      <c r="D120" s="29"/>
      <c r="E120" s="29"/>
      <c r="F120" s="29"/>
      <c r="G120" s="30" t="n">
        <f aca="false">SUMIF($C$2:$F$2,EOMONTH(G$2,-1)+1,$C120:$F120)*VLOOKUP(G$2,Valores!$H$2:$P$154,8,0)</f>
        <v>0</v>
      </c>
      <c r="H120" s="30" t="n">
        <f aca="false">SUMIF($C$2:$F$2,EOMONTH(H$2,-1)+1,$C120:$F120)*VLOOKUP(H$2,Valores!$H$2:$P$154,8,0)</f>
        <v>0</v>
      </c>
      <c r="I120" s="30" t="n">
        <f aca="false">SUMIF($C$2:$F$2,EOMONTH(I$2,-1)+1,$C120:$F120)*VLOOKUP(I$2,Valores!$H$2:$P$154,8,0)</f>
        <v>0</v>
      </c>
      <c r="J120" s="30" t="n">
        <f aca="false">SUMIF($C$2:$F$2,EOMONTH(J$2,-1)+1,$C120:$F120)*VLOOKUP(J$2,Valores!$H$2:$P$154,8,0)</f>
        <v>0</v>
      </c>
      <c r="K120" s="30" t="n">
        <f aca="false">SUMIF($C$2:$F$2,EOMONTH(K$2,-1)+1,$C120:$F120)*VLOOKUP(K$2,Valores!$H$2:$P$154,8,0)</f>
        <v>0</v>
      </c>
      <c r="L120" s="30" t="n">
        <f aca="false">SUMIF($C$2:$F$2,EOMONTH(L$2,-1)+1,$C120:$F120)*VLOOKUP(L$2,Valores!$H$2:$P$154,8,0)</f>
        <v>0</v>
      </c>
      <c r="M120" s="30" t="n">
        <f aca="false">SUMIF($C$2:$F$2,EOMONTH(M$2,-1)+1,$C120:$F120)*VLOOKUP(M$2,Valores!$H$2:$P$154,8,0)</f>
        <v>0</v>
      </c>
      <c r="N120" s="30" t="n">
        <f aca="false">SUMIF($C$2:$F$2,EOMONTH(N$2,-1)+1,$C120:$F120)*VLOOKUP(N$2,Valores!$H$2:$P$154,8,0)</f>
        <v>0</v>
      </c>
      <c r="O120" s="30" t="n">
        <f aca="false">SUMIF($C$2:$F$2,EOMONTH(O$2,-1)+1,$C120:$F120)*VLOOKUP(O$2,Valores!$H$2:$P$154,8,0)</f>
        <v>0</v>
      </c>
      <c r="P120" s="30" t="n">
        <f aca="false">SUMIF($C$2:$F$2,EOMONTH(P$2,-1)+1,$C120:$F120)*VLOOKUP(P$2,Valores!$H$2:$P$154,8,0)</f>
        <v>0</v>
      </c>
      <c r="Q120" s="30" t="n">
        <f aca="false">SUMIF($C$2:$F$2,EOMONTH(Q$2,-1)+1,$C120:$F120)*VLOOKUP(Q$2,Valores!$H$2:$P$154,8,0)</f>
        <v>0</v>
      </c>
      <c r="R120" s="30" t="n">
        <f aca="false">SUMIF($C$2:$F$2,EOMONTH(R$2,-1)+1,$C120:$F120)*VLOOKUP(R$2,Valores!$H$2:$P$154,8,0)</f>
        <v>0</v>
      </c>
      <c r="S120" s="30" t="n">
        <f aca="false">SUMIF($C$2:$F$2,EOMONTH(S$2,-1)+1,$C120:$F120)*VLOOKUP(S$2,Valores!$H$2:$P$154,8,0)</f>
        <v>0</v>
      </c>
      <c r="T120" s="30" t="n">
        <f aca="false">SUMIF($C$2:$F$2,EOMONTH(T$2,-1)+1,$C120:$F120)*VLOOKUP(T$2,Valores!$H$2:$P$154,8,0)</f>
        <v>0</v>
      </c>
      <c r="U120" s="30" t="n">
        <f aca="false">SUMIF($C$2:$F$2,EOMONTH(U$2,-1)+1,$C120:$F120)*VLOOKUP(U$2,Valores!$H$2:$P$154,8,0)</f>
        <v>0</v>
      </c>
      <c r="V120" s="30" t="n">
        <f aca="false">SUMIF($C$2:$F$2,EOMONTH(V$2,-1)+1,$C120:$F120)*VLOOKUP(V$2,Valores!$H$2:$P$154,8,0)</f>
        <v>0</v>
      </c>
      <c r="W120" s="30" t="n">
        <f aca="false">SUMIF($C$2:$F$2,EOMONTH(W$2,-1)+1,$C120:$F120)*VLOOKUP(W$2,Valores!$H$2:$P$154,8,0)</f>
        <v>0</v>
      </c>
      <c r="X120" s="30" t="n">
        <f aca="false">SUMIF($C$2:$F$2,EOMONTH(X$2,-1)+1,$C120:$F120)*VLOOKUP(X$2,Valores!$H$2:$P$154,8,0)</f>
        <v>0</v>
      </c>
      <c r="Y120" s="30" t="n">
        <f aca="false">SUMIF($C$2:$F$2,EOMONTH(Y$2,-1)+1,$C120:$F120)*VLOOKUP(Y$2,Valores!$H$2:$P$154,8,0)</f>
        <v>0</v>
      </c>
      <c r="Z120" s="30" t="n">
        <f aca="false">SUMIF($C$2:$F$2,EOMONTH(Z$2,-1)+1,$C120:$F120)*VLOOKUP(Z$2,Valores!$H$2:$P$154,8,0)</f>
        <v>0</v>
      </c>
      <c r="AA120" s="30" t="n">
        <f aca="false">SUMIF($C$2:$F$2,EOMONTH(AA$2,-1)+1,$C120:$F120)*VLOOKUP(AA$2,Valores!$H$2:$P$154,8,0)</f>
        <v>0</v>
      </c>
      <c r="AB120" s="30" t="n">
        <f aca="false">SUMIF($C$2:$F$2,EOMONTH(AB$2,-1)+1,$C120:$F120)*VLOOKUP(AB$2,Valores!$H$2:$P$154,8,0)</f>
        <v>0</v>
      </c>
      <c r="AC120" s="30" t="n">
        <f aca="false">SUMIF($C$2:$F$2,EOMONTH(AC$2,-1)+1,$C120:$F120)*VLOOKUP(AC$2,Valores!$H$2:$P$154,8,0)</f>
        <v>0</v>
      </c>
      <c r="AD120" s="30" t="n">
        <f aca="false">SUMIF($C$2:$F$2,EOMONTH(AD$2,-1)+1,$C120:$F120)*VLOOKUP(AD$2,Valores!$H$2:$P$154,8,0)</f>
        <v>0</v>
      </c>
      <c r="AE120" s="30" t="n">
        <f aca="false">SUMIF($C$2:$F$2,EOMONTH(AE$2,-1)+1,$C120:$F120)*VLOOKUP(AE$2,Valores!$H$2:$P$154,8,0)</f>
        <v>0</v>
      </c>
      <c r="AF120" s="30" t="n">
        <f aca="false">SUMIF($C$2:$F$2,EOMONTH(AF$2,-1)+1,$C120:$F120)*VLOOKUP(AF$2,Valores!$H$2:$P$154,8,0)</f>
        <v>0</v>
      </c>
      <c r="AG120" s="30" t="n">
        <f aca="false">SUMIF($C$2:$F$2,EOMONTH(AG$2,-1)+1,$C120:$F120)*VLOOKUP(AG$2,Valores!$H$2:$P$154,8,0)</f>
        <v>0</v>
      </c>
      <c r="AH120" s="30" t="n">
        <f aca="false">SUMIF($C$2:$F$2,EOMONTH(AH$2,-1)+1,$C120:$F120)*VLOOKUP(AH$2,Valores!$H$2:$P$154,8,0)</f>
        <v>0</v>
      </c>
      <c r="AI120" s="30" t="n">
        <f aca="false">SUMIF($C$2:$F$2,EOMONTH(AI$2,-1)+1,$C120:$F120)*VLOOKUP(AI$2,Valores!$H$2:$P$154,8,0)</f>
        <v>0</v>
      </c>
      <c r="AJ120" s="30" t="n">
        <f aca="false">SUMIF($C$2:$F$2,EOMONTH(AJ$2,-1)+1,$C120:$F120)*VLOOKUP(AJ$2,Valores!$H$2:$P$154,8,0)</f>
        <v>0</v>
      </c>
      <c r="AK120" s="30" t="n">
        <f aca="false">SUMIF($C$2:$F$2,EOMONTH(AK$2,-1)+1,$C120:$F120)*VLOOKUP(AK$2,Valores!$H$2:$P$154,8,0)</f>
        <v>0</v>
      </c>
      <c r="AL120" s="30" t="n">
        <f aca="false">SUMIF($C$2:$F$2,EOMONTH(AL$2,-1)+1,$C120:$F120)*VLOOKUP(AL$2,Valores!$H$2:$P$154,8,0)</f>
        <v>0</v>
      </c>
      <c r="AM120" s="30" t="n">
        <f aca="false">SUMIF($C$2:$F$2,EOMONTH(AM$2,-1)+1,$C120:$F120)*VLOOKUP(AM$2,Valores!$H$2:$P$154,8,0)</f>
        <v>0</v>
      </c>
      <c r="AN120" s="30" t="n">
        <f aca="false">SUMIF($C$2:$F$2,EOMONTH(AN$2,-1)+1,$C120:$F120)*VLOOKUP(AN$2,Valores!$H$2:$P$154,8,0)</f>
        <v>0</v>
      </c>
      <c r="AO120" s="30" t="n">
        <f aca="false">SUMIF($C$2:$F$2,EOMONTH(AO$2,-1)+1,$C120:$F120)*VLOOKUP(AO$2,Valores!$H$2:$P$154,8,0)</f>
        <v>0</v>
      </c>
      <c r="AP120" s="30" t="n">
        <f aca="false">SUMIF($C$2:$F$2,EOMONTH(AP$2,-1)+1,$C120:$F120)*VLOOKUP(AP$2,Valores!$H$2:$P$154,8,0)</f>
        <v>0</v>
      </c>
      <c r="AQ120" s="30" t="n">
        <f aca="false">SUMIF($C$2:$F$2,EOMONTH(AQ$2,-1)+1,$C120:$F120)*VLOOKUP(AQ$2,Valores!$H$2:$P$154,8,0)</f>
        <v>0</v>
      </c>
      <c r="AR120" s="30" t="n">
        <f aca="false">SUMIF($C$2:$F$2,EOMONTH(AR$2,-1)+1,$C120:$F120)*VLOOKUP(AR$2,Valores!$H$2:$P$154,8,0)</f>
        <v>0</v>
      </c>
      <c r="AS120" s="30" t="n">
        <f aca="false">SUMIF($C$2:$F$2,EOMONTH(AS$2,-1)+1,$C120:$F120)*VLOOKUP(AS$2,Valores!$H$2:$P$154,8,0)</f>
        <v>0</v>
      </c>
      <c r="AT120" s="30" t="n">
        <f aca="false">SUMIF($C$2:$F$2,EOMONTH(AT$2,-1)+1,$C120:$F120)*VLOOKUP(AT$2,Valores!$H$2:$P$154,8,0)</f>
        <v>0</v>
      </c>
      <c r="AU120" s="30" t="n">
        <f aca="false">SUMIF($C$2:$F$2,EOMONTH(AU$2,-1)+1,$C120:$F120)*VLOOKUP(AU$2,Valores!$H$2:$P$154,8,0)</f>
        <v>0</v>
      </c>
      <c r="AV120" s="30" t="n">
        <f aca="false">SUMIF($C$2:$F$2,EOMONTH(AV$2,-1)+1,$C120:$F120)*VLOOKUP(AV$2,Valores!$H$2:$P$154,8,0)</f>
        <v>0</v>
      </c>
      <c r="AW120" s="30" t="n">
        <f aca="false">SUMIF($C$2:$F$2,EOMONTH(AW$2,-1)+1,$C120:$F120)*VLOOKUP(AW$2,Valores!$H$2:$P$154,8,0)</f>
        <v>0</v>
      </c>
      <c r="AX120" s="30" t="n">
        <f aca="false">SUMIF($C$2:$F$2,EOMONTH(AX$2,-1)+1,$C120:$F120)*VLOOKUP(AX$2,Valores!$H$2:$P$154,8,0)</f>
        <v>0</v>
      </c>
      <c r="AY120" s="30" t="n">
        <f aca="false">SUMIF($C$2:$F$2,EOMONTH(AY$2,-1)+1,$C120:$F120)*VLOOKUP(AY$2,Valores!$H$2:$P$154,8,0)</f>
        <v>0</v>
      </c>
      <c r="AZ120" s="30" t="n">
        <f aca="false">SUMIF($C$2:$F$2,EOMONTH(AZ$2,-1)+1,$C120:$F120)*VLOOKUP(AZ$2,Valores!$H$2:$P$154,8,0)</f>
        <v>0</v>
      </c>
      <c r="BA120" s="30" t="n">
        <f aca="false">SUMIF($C$2:$F$2,EOMONTH(BA$2,-1)+1,$C120:$F120)*VLOOKUP(BA$2,Valores!$H$2:$P$154,8,0)</f>
        <v>0</v>
      </c>
      <c r="BB120" s="30" t="n">
        <f aca="false">SUMIF($C$2:$F$2,EOMONTH(BB$2,-1)+1,$C120:$F120)*VLOOKUP(BB$2,Valores!$H$2:$P$154,8,0)</f>
        <v>0</v>
      </c>
      <c r="BC120" s="30" t="n">
        <f aca="false">SUMIF($C$2:$F$2,EOMONTH(BC$2,-1)+1,$C120:$F120)*VLOOKUP(BC$2,Valores!$H$2:$P$154,8,0)</f>
        <v>0</v>
      </c>
      <c r="BD120" s="30" t="n">
        <f aca="false">SUMIF($C$2:$F$2,EOMONTH(BD$2,-1)+1,$C120:$F120)*VLOOKUP(BD$2,Valores!$H$2:$P$154,8,0)</f>
        <v>0</v>
      </c>
      <c r="BE120" s="30" t="n">
        <f aca="false">SUMIF($C$2:$F$2,EOMONTH(BE$2,-1)+1,$C120:$F120)*VLOOKUP(BE$2,Valores!$H$2:$P$154,8,0)</f>
        <v>0</v>
      </c>
      <c r="BF120" s="30" t="n">
        <f aca="false">SUMIF($C$2:$F$2,EOMONTH(BF$2,-1)+1,$C120:$F120)*VLOOKUP(BF$2,Valores!$H$2:$P$154,8,0)</f>
        <v>0</v>
      </c>
      <c r="BG120" s="30" t="n">
        <f aca="false">SUMIF($C$2:$F$2,EOMONTH(BG$2,-1)+1,$C120:$F120)*VLOOKUP(BG$2,Valores!$H$2:$P$154,8,0)</f>
        <v>0</v>
      </c>
      <c r="BH120" s="30" t="n">
        <f aca="false">SUMIF($C$2:$F$2,EOMONTH(BH$2,-1)+1,$C120:$F120)*VLOOKUP(BH$2,Valores!$H$2:$P$154,8,0)</f>
        <v>0</v>
      </c>
      <c r="BI120" s="30" t="n">
        <f aca="false">SUMIF($C$2:$F$2,EOMONTH(BI$2,-1)+1,$C120:$F120)*VLOOKUP(BI$2,Valores!$H$2:$P$154,8,0)</f>
        <v>0</v>
      </c>
      <c r="BJ120" s="30" t="n">
        <f aca="false">SUMIF($C$2:$F$2,EOMONTH(BJ$2,-1)+1,$C120:$F120)*VLOOKUP(BJ$2,Valores!$H$2:$P$154,8,0)</f>
        <v>0</v>
      </c>
      <c r="BK120" s="30" t="n">
        <f aca="false">SUMIF($C$2:$F$2,EOMONTH(BK$2,-1)+1,$C120:$F120)*VLOOKUP(BK$2,Valores!$H$2:$P$154,8,0)</f>
        <v>0</v>
      </c>
      <c r="BL120" s="30" t="n">
        <f aca="false">SUMIF($C$2:$F$2,EOMONTH(BL$2,-1)+1,$C120:$F120)*VLOOKUP(BL$2,Valores!$H$2:$P$154,8,0)</f>
        <v>0</v>
      </c>
      <c r="BM120" s="30" t="n">
        <f aca="false">SUMIF($C$2:$F$2,EOMONTH(BM$2,-1)+1,$C120:$F120)*VLOOKUP(BM$2,Valores!$H$2:$P$154,8,0)</f>
        <v>0</v>
      </c>
      <c r="BN120" s="30" t="n">
        <f aca="false">SUMIF($C$2:$F$2,EOMONTH(BN$2,-1)+1,$C120:$F120)*VLOOKUP(BN$2,Valores!$H$2:$P$154,8,0)</f>
        <v>0</v>
      </c>
      <c r="BO120" s="30" t="n">
        <f aca="false">SUMIF($C$2:$F$2,EOMONTH(BO$2,-1)+1,$C120:$F120)*VLOOKUP(BO$2,Valores!$H$2:$P$154,8,0)</f>
        <v>0</v>
      </c>
      <c r="BP120" s="30" t="n">
        <f aca="false">SUMIF($C$2:$F$2,EOMONTH(BP$2,-1)+1,$C120:$F120)*VLOOKUP(BP$2,Valores!$H$2:$P$154,8,0)</f>
        <v>0</v>
      </c>
      <c r="BQ120" s="30" t="n">
        <f aca="false">SUMIF($C$2:$F$2,EOMONTH(BQ$2,-1)+1,$C120:$F120)*VLOOKUP(BQ$2,Valores!$H$2:$P$154,8,0)</f>
        <v>0</v>
      </c>
      <c r="BR120" s="30" t="n">
        <f aca="false">SUMIF($C$2:$F$2,EOMONTH(BR$2,-1)+1,$C120:$F120)*VLOOKUP(BR$2,Valores!$H$2:$P$154,8,0)</f>
        <v>0</v>
      </c>
      <c r="BS120" s="30" t="n">
        <f aca="false">SUMIF($C$2:$F$2,EOMONTH(BS$2,-1)+1,$C120:$F120)*VLOOKUP(BS$2,Valores!$H$2:$P$154,8,0)</f>
        <v>0</v>
      </c>
      <c r="BT120" s="30" t="n">
        <f aca="false">SUMIF($C$2:$F$2,EOMONTH(BT$2,-1)+1,$C120:$F120)*VLOOKUP(BT$2,Valores!$H$2:$P$154,8,0)</f>
        <v>0</v>
      </c>
      <c r="BU120" s="30" t="n">
        <f aca="false">SUMIF($C$2:$F$2,EOMONTH(BU$2,-1)+1,$C120:$F120)*VLOOKUP(BU$2,Valores!$H$2:$P$154,8,0)</f>
        <v>0</v>
      </c>
      <c r="BV120" s="30" t="n">
        <f aca="false">SUMIF($C$2:$F$2,EOMONTH(BV$2,-1)+1,$C120:$F120)*VLOOKUP(BV$2,Valores!$H$2:$P$154,8,0)</f>
        <v>0</v>
      </c>
      <c r="BW120" s="30" t="n">
        <f aca="false">SUMIF($C$2:$F$2,EOMONTH(BW$2,-1)+1,$C120:$F120)*VLOOKUP(BW$2,Valores!$H$2:$P$154,8,0)</f>
        <v>0</v>
      </c>
      <c r="BX120" s="30" t="n">
        <f aca="false">SUMIF($C$2:$F$2,EOMONTH(BX$2,-1)+1,$C120:$F120)*VLOOKUP(BX$2,Valores!$H$2:$P$154,8,0)</f>
        <v>0</v>
      </c>
      <c r="BY120" s="30" t="n">
        <f aca="false">SUMIF($C$2:$F$2,EOMONTH(BY$2,-1)+1,$C120:$F120)*VLOOKUP(BY$2,Valores!$H$2:$P$154,8,0)</f>
        <v>0</v>
      </c>
      <c r="BZ120" s="30" t="n">
        <f aca="false">SUMIF($C$2:$F$2,EOMONTH(BZ$2,-1)+1,$C120:$F120)*VLOOKUP(BZ$2,Valores!$H$2:$P$154,8,0)</f>
        <v>0</v>
      </c>
      <c r="CA120" s="30" t="n">
        <f aca="false">SUMIF($C$2:$F$2,EOMONTH(CA$2,-1)+1,$C120:$F120)*VLOOKUP(CA$2,Valores!$H$2:$P$154,8,0)</f>
        <v>0</v>
      </c>
      <c r="CB120" s="30" t="n">
        <f aca="false">SUMIF($C$2:$F$2,EOMONTH(CB$2,-1)+1,$C120:$F120)*VLOOKUP(CB$2,Valores!$H$2:$P$154,8,0)</f>
        <v>0</v>
      </c>
      <c r="CC120" s="30" t="n">
        <f aca="false">SUMIF($C$2:$F$2,EOMONTH(CC$2,-1)+1,$C120:$F120)*VLOOKUP(CC$2,Valores!$H$2:$P$154,8,0)</f>
        <v>0</v>
      </c>
      <c r="CD120" s="30" t="n">
        <f aca="false">SUMIF($C$2:$F$2,EOMONTH(CD$2,-1)+1,$C120:$F120)*VLOOKUP(CD$2,Valores!$H$2:$P$154,8,0)</f>
        <v>0</v>
      </c>
      <c r="CE120" s="30" t="n">
        <f aca="false">SUMIF($C$2:$F$2,EOMONTH(CE$2,-1)+1,$C120:$F120)*VLOOKUP(CE$2,Valores!$H$2:$P$154,8,0)</f>
        <v>0</v>
      </c>
      <c r="CF120" s="30" t="n">
        <f aca="false">SUMIF($C$2:$F$2,EOMONTH(CF$2,-1)+1,$C120:$F120)*VLOOKUP(CF$2,Valores!$H$2:$P$154,8,0)</f>
        <v>0</v>
      </c>
      <c r="CG120" s="30" t="n">
        <f aca="false">SUMIF($C$2:$F$2,EOMONTH(CG$2,-1)+1,$C120:$F120)*VLOOKUP(CG$2,Valores!$H$2:$P$154,8,0)</f>
        <v>0</v>
      </c>
      <c r="CH120" s="30" t="n">
        <f aca="false">SUMIF($C$2:$F$2,EOMONTH(CH$2,-1)+1,$C120:$F120)*VLOOKUP(CH$2,Valores!$H$2:$P$154,8,0)</f>
        <v>0</v>
      </c>
      <c r="CI120" s="30" t="n">
        <f aca="false">SUMIF($C$2:$F$2,EOMONTH(CI$2,-1)+1,$C120:$F120)*VLOOKUP(CI$2,Valores!$H$2:$P$154,8,0)</f>
        <v>0</v>
      </c>
      <c r="CJ120" s="30" t="n">
        <f aca="false">SUMIF($C$2:$F$2,EOMONTH(CJ$2,-1)+1,$C120:$F120)*VLOOKUP(CJ$2,Valores!$H$2:$P$154,8,0)</f>
        <v>0</v>
      </c>
      <c r="CK120" s="30" t="n">
        <f aca="false">SUMIF($C$2:$F$2,EOMONTH(CK$2,-1)+1,$C120:$F120)*VLOOKUP(CK$2,Valores!$H$2:$P$154,8,0)</f>
        <v>0</v>
      </c>
      <c r="CL120" s="30" t="n">
        <f aca="false">SUMIF($C$2:$F$2,EOMONTH(CL$2,-1)+1,$C120:$F120)*VLOOKUP(CL$2,Valores!$H$2:$P$154,8,0)</f>
        <v>0</v>
      </c>
      <c r="CM120" s="30" t="n">
        <f aca="false">SUMIF($C$2:$F$2,EOMONTH(CM$2,-1)+1,$C120:$F120)*VLOOKUP(CM$2,Valores!$H$2:$P$154,8,0)</f>
        <v>0</v>
      </c>
      <c r="CN120" s="30" t="n">
        <f aca="false">SUMIF($C$2:$F$2,EOMONTH(CN$2,-1)+1,$C120:$F120)*VLOOKUP(CN$2,Valores!$H$2:$P$154,8,0)</f>
        <v>0</v>
      </c>
      <c r="CO120" s="30" t="n">
        <f aca="false">SUMIF($C$2:$F$2,EOMONTH(CO$2,-1)+1,$C120:$F120)*VLOOKUP(CO$2,Valores!$H$2:$P$154,8,0)</f>
        <v>0</v>
      </c>
      <c r="CP120" s="30" t="n">
        <f aca="false">SUMIF($C$2:$F$2,EOMONTH(CP$2,-1)+1,$C120:$F120)*VLOOKUP(CP$2,Valores!$H$2:$P$154,8,0)</f>
        <v>0</v>
      </c>
      <c r="CQ120" s="30" t="n">
        <f aca="false">SUMIF($C$2:$F$2,EOMONTH(CQ$2,-1)+1,$C120:$F120)*VLOOKUP(CQ$2,Valores!$H$2:$P$154,8,0)</f>
        <v>0</v>
      </c>
      <c r="CR120" s="30" t="n">
        <f aca="false">SUMIF($C$2:$F$2,EOMONTH(CR$2,-1)+1,$C120:$F120)*VLOOKUP(CR$2,Valores!$H$2:$P$154,8,0)</f>
        <v>0</v>
      </c>
      <c r="CS120" s="30" t="n">
        <f aca="false">SUMIF($C$2:$F$2,EOMONTH(CS$2,-1)+1,$C120:$F120)*VLOOKUP(CS$2,Valores!$H$2:$P$154,8,0)</f>
        <v>0</v>
      </c>
      <c r="CT120" s="30" t="e">
        <f aca="false">SUMIF($C$2:$F$2,EOMONTH(CT$2,-1)+1,$C120:$F120)*VLOOKUP(CT$2,Valores!$H$2:$P$154,8,0)</f>
        <v>#VALUE!</v>
      </c>
      <c r="CU120" s="30" t="e">
        <f aca="false">SUMIF($C$2:$F$2,EOMONTH(CU$2,-1)+1,$C120:$F120)*VLOOKUP(CU$2,Valores!$H$2:$P$154,8,0)</f>
        <v>#VALUE!</v>
      </c>
      <c r="CV120" s="30" t="e">
        <f aca="false">SUMIF($C$2:$F$2,EOMONTH(CV$2,-1)+1,$C120:$F120)*VLOOKUP(CV$2,Valores!$H$2:$P$154,8,0)</f>
        <v>#VALUE!</v>
      </c>
      <c r="CW120" s="30" t="e">
        <f aca="false">SUMIF($C$2:$F$2,EOMONTH(CW$2,-1)+1,$C120:$F120)*VLOOKUP(CW$2,Valores!$H$2:$P$154,8,0)</f>
        <v>#VALUE!</v>
      </c>
      <c r="CX120" s="30" t="e">
        <f aca="false">SUMIF($C$2:$F$2,EOMONTH(CX$2,-1)+1,$C120:$F120)*VLOOKUP(CX$2,Valores!$H$2:$P$154,8,0)</f>
        <v>#VALUE!</v>
      </c>
      <c r="CY120" s="30" t="e">
        <f aca="false">SUMIF($C$2:$F$2,EOMONTH(CY$2,-1)+1,$C120:$F120)*VLOOKUP(CY$2,Valores!$H$2:$P$154,8,0)</f>
        <v>#VALUE!</v>
      </c>
      <c r="CZ120" s="30" t="e">
        <f aca="false">SUMIF($C$2:$F$2,EOMONTH(CZ$2,-1)+1,$C120:$F120)*VLOOKUP(CZ$2,Valores!$H$2:$P$154,8,0)</f>
        <v>#VALUE!</v>
      </c>
      <c r="DA120" s="30" t="e">
        <f aca="false">SUMIF($C$2:$F$2,EOMONTH(DA$2,-1)+1,$C120:$F120)*VLOOKUP(DA$2,Valores!$H$2:$P$154,8,0)</f>
        <v>#VALUE!</v>
      </c>
      <c r="DB120" s="30" t="e">
        <f aca="false">SUMIF($C$2:$F$2,EOMONTH(DB$2,-1)+1,$C120:$F120)*VLOOKUP(DB$2,Valores!$H$2:$P$154,8,0)</f>
        <v>#VALUE!</v>
      </c>
      <c r="DC120" s="30" t="e">
        <f aca="false">SUMIF($C$2:$F$2,EOMONTH(DC$2,-1)+1,$C120:$F120)*VLOOKUP(DC$2,Valores!$H$2:$P$154,8,0)</f>
        <v>#VALUE!</v>
      </c>
      <c r="DD120" s="30" t="e">
        <f aca="false">SUMIF($C$2:$F$2,EOMONTH(DD$2,-1)+1,$C120:$F120)*VLOOKUP(DD$2,Valores!$H$2:$P$154,8,0)</f>
        <v>#VALUE!</v>
      </c>
      <c r="DE120" s="30" t="e">
        <f aca="false">SUMIF($C$2:$F$2,EOMONTH(DE$2,-1)+1,$C120:$F120)*VLOOKUP(DE$2,Valores!$H$2:$P$154,8,0)</f>
        <v>#VALUE!</v>
      </c>
      <c r="DF120" s="30" t="e">
        <f aca="false">SUMIF($C$2:$F$2,EOMONTH(DF$2,-1)+1,$C120:$F120)*VLOOKUP(DF$2,Valores!$H$2:$P$154,8,0)</f>
        <v>#VALUE!</v>
      </c>
      <c r="DG120" s="30" t="e">
        <f aca="false">SUMIF($C$2:$F$2,EOMONTH(DG$2,-1)+1,$C120:$F120)*VLOOKUP(DG$2,Valores!$H$2:$P$154,8,0)</f>
        <v>#VALUE!</v>
      </c>
      <c r="DH120" s="30" t="e">
        <f aca="false">SUMIF($C$2:$F$2,EOMONTH(DH$2,-1)+1,$C120:$F120)*VLOOKUP(DH$2,Valores!$H$2:$P$154,8,0)</f>
        <v>#VALUE!</v>
      </c>
      <c r="DI120" s="30" t="e">
        <f aca="false">SUMIF($C$2:$F$2,EOMONTH(DI$2,-1)+1,$C120:$F120)*VLOOKUP(DI$2,Valores!$H$2:$P$154,8,0)</f>
        <v>#VALUE!</v>
      </c>
      <c r="DJ120" s="30" t="e">
        <f aca="false">SUMIF($C$2:$F$2,EOMONTH(DJ$2,-1)+1,$C120:$F120)*VLOOKUP(DJ$2,Valores!$H$2:$P$154,8,0)</f>
        <v>#VALUE!</v>
      </c>
      <c r="DK120" s="30" t="e">
        <f aca="false">SUMIF($C$2:$F$2,EOMONTH(DK$2,-1)+1,$C120:$F120)*VLOOKUP(DK$2,Valores!$H$2:$P$154,8,0)</f>
        <v>#VALUE!</v>
      </c>
      <c r="DL120" s="30" t="e">
        <f aca="false">SUMIF($C$2:$F$2,EOMONTH(DL$2,-1)+1,$C120:$F120)*VLOOKUP(DL$2,Valores!$H$2:$P$154,8,0)</f>
        <v>#VALUE!</v>
      </c>
      <c r="DM120" s="30" t="e">
        <f aca="false">SUMIF($C$2:$F$2,EOMONTH(DM$2,-1)+1,$C120:$F120)*VLOOKUP(DM$2,Valores!$H$2:$P$154,8,0)</f>
        <v>#VALUE!</v>
      </c>
      <c r="DN120" s="30" t="e">
        <f aca="false">SUMIF($C$2:$F$2,EOMONTH(DN$2,-1)+1,$C120:$F120)*VLOOKUP(DN$2,Valores!$H$2:$P$154,8,0)</f>
        <v>#VALUE!</v>
      </c>
      <c r="DO120" s="30" t="e">
        <f aca="false">SUMIF($C$2:$F$2,EOMONTH(DO$2,-1)+1,$C120:$F120)*VLOOKUP(DO$2,Valores!$H$2:$P$154,8,0)</f>
        <v>#VALUE!</v>
      </c>
      <c r="DP120" s="30" t="e">
        <f aca="false">SUMIF($C$2:$F$2,EOMONTH(DP$2,-1)+1,$C120:$F120)*VLOOKUP(DP$2,Valores!$H$2:$P$154,8,0)</f>
        <v>#VALUE!</v>
      </c>
      <c r="DQ120" s="30" t="e">
        <f aca="false">SUMIF($C$2:$F$2,EOMONTH(DQ$2,-1)+1,$C120:$F120)*VLOOKUP(DQ$2,Valores!$H$2:$P$154,8,0)</f>
        <v>#VALUE!</v>
      </c>
      <c r="DR120" s="30" t="e">
        <f aca="false">SUMIF($C$2:$F$2,EOMONTH(DR$2,-1)+1,$C120:$F120)*VLOOKUP(DR$2,Valores!$H$2:$P$154,8,0)</f>
        <v>#VALUE!</v>
      </c>
      <c r="DS120" s="30" t="e">
        <f aca="false">SUMIF($C$2:$F$2,EOMONTH(DS$2,-1)+1,$C120:$F120)*VLOOKUP(DS$2,Valores!$H$2:$P$154,8,0)</f>
        <v>#VALUE!</v>
      </c>
      <c r="DT120" s="30" t="e">
        <f aca="false">SUMIF($C$2:$F$2,EOMONTH(DT$2,-1)+1,$C120:$F120)*VLOOKUP(DT$2,Valores!$H$2:$P$154,8,0)</f>
        <v>#VALUE!</v>
      </c>
      <c r="DU120" s="30" t="e">
        <f aca="false">SUMIF($C$2:$F$2,EOMONTH(DU$2,-1)+1,$C120:$F120)*VLOOKUP(DU$2,Valores!$H$2:$P$154,8,0)</f>
        <v>#VALUE!</v>
      </c>
      <c r="DV120" s="30" t="e">
        <f aca="false">SUMIF($C$2:$F$2,EOMONTH(DV$2,-1)+1,$C120:$F120)*VLOOKUP(DV$2,Valores!$H$2:$P$154,8,0)</f>
        <v>#VALUE!</v>
      </c>
      <c r="DW120" s="30" t="e">
        <f aca="false">SUMIF($C$2:$F$2,EOMONTH(DW$2,-1)+1,$C120:$F120)*VLOOKUP(DW$2,Valores!$H$2:$P$154,8,0)</f>
        <v>#VALUE!</v>
      </c>
      <c r="DX120" s="30" t="e">
        <f aca="false">SUMIF($C$2:$F$2,EOMONTH(DX$2,-1)+1,$C120:$F120)*VLOOKUP(DX$2,Valores!$H$2:$P$154,8,0)</f>
        <v>#VALUE!</v>
      </c>
    </row>
    <row r="121" customFormat="false" ht="13.8" hidden="false" customHeight="false" outlineLevel="0" collapsed="false">
      <c r="A121" s="31"/>
      <c r="B121" s="31"/>
      <c r="C121" s="31"/>
      <c r="D121" s="31"/>
      <c r="E121" s="31"/>
      <c r="F121" s="31"/>
      <c r="G121" s="27" t="n">
        <f aca="false">SUMIF($C$2:$F$2,EOMONTH(G$2,-1)+1,$C121:$F121)*VLOOKUP(G$2,Valores!$H$2:$P$154,8,0)</f>
        <v>0</v>
      </c>
      <c r="H121" s="27" t="n">
        <f aca="false">SUMIF($C$2:$F$2,EOMONTH(H$2,-1)+1,$C121:$F121)*VLOOKUP(H$2,Valores!$H$2:$P$154,8,0)</f>
        <v>0</v>
      </c>
      <c r="I121" s="27" t="n">
        <f aca="false">SUMIF($C$2:$F$2,EOMONTH(I$2,-1)+1,$C121:$F121)*VLOOKUP(I$2,Valores!$H$2:$P$154,8,0)</f>
        <v>0</v>
      </c>
      <c r="J121" s="27" t="n">
        <f aca="false">SUMIF($C$2:$F$2,EOMONTH(J$2,-1)+1,$C121:$F121)*VLOOKUP(J$2,Valores!$H$2:$P$154,8,0)</f>
        <v>0</v>
      </c>
      <c r="K121" s="27" t="n">
        <f aca="false">SUMIF($C$2:$F$2,EOMONTH(K$2,-1)+1,$C121:$F121)*VLOOKUP(K$2,Valores!$H$2:$P$154,8,0)</f>
        <v>0</v>
      </c>
      <c r="L121" s="27" t="n">
        <f aca="false">SUMIF($C$2:$F$2,EOMONTH(L$2,-1)+1,$C121:$F121)*VLOOKUP(L$2,Valores!$H$2:$P$154,8,0)</f>
        <v>0</v>
      </c>
      <c r="M121" s="27" t="n">
        <f aca="false">SUMIF($C$2:$F$2,EOMONTH(M$2,-1)+1,$C121:$F121)*VLOOKUP(M$2,Valores!$H$2:$P$154,8,0)</f>
        <v>0</v>
      </c>
      <c r="N121" s="27" t="n">
        <f aca="false">SUMIF($C$2:$F$2,EOMONTH(N$2,-1)+1,$C121:$F121)*VLOOKUP(N$2,Valores!$H$2:$P$154,8,0)</f>
        <v>0</v>
      </c>
      <c r="O121" s="27" t="n">
        <f aca="false">SUMIF($C$2:$F$2,EOMONTH(O$2,-1)+1,$C121:$F121)*VLOOKUP(O$2,Valores!$H$2:$P$154,8,0)</f>
        <v>0</v>
      </c>
      <c r="P121" s="27" t="n">
        <f aca="false">SUMIF($C$2:$F$2,EOMONTH(P$2,-1)+1,$C121:$F121)*VLOOKUP(P$2,Valores!$H$2:$P$154,8,0)</f>
        <v>0</v>
      </c>
      <c r="Q121" s="27" t="n">
        <f aca="false">SUMIF($C$2:$F$2,EOMONTH(Q$2,-1)+1,$C121:$F121)*VLOOKUP(Q$2,Valores!$H$2:$P$154,8,0)</f>
        <v>0</v>
      </c>
      <c r="R121" s="27" t="n">
        <f aca="false">SUMIF($C$2:$F$2,EOMONTH(R$2,-1)+1,$C121:$F121)*VLOOKUP(R$2,Valores!$H$2:$P$154,8,0)</f>
        <v>0</v>
      </c>
      <c r="S121" s="27" t="n">
        <f aca="false">SUMIF($C$2:$F$2,EOMONTH(S$2,-1)+1,$C121:$F121)*VLOOKUP(S$2,Valores!$H$2:$P$154,8,0)</f>
        <v>0</v>
      </c>
      <c r="T121" s="27" t="n">
        <f aca="false">SUMIF($C$2:$F$2,EOMONTH(T$2,-1)+1,$C121:$F121)*VLOOKUP(T$2,Valores!$H$2:$P$154,8,0)</f>
        <v>0</v>
      </c>
      <c r="U121" s="27" t="n">
        <f aca="false">SUMIF($C$2:$F$2,EOMONTH(U$2,-1)+1,$C121:$F121)*VLOOKUP(U$2,Valores!$H$2:$P$154,8,0)</f>
        <v>0</v>
      </c>
      <c r="V121" s="27" t="n">
        <f aca="false">SUMIF($C$2:$F$2,EOMONTH(V$2,-1)+1,$C121:$F121)*VLOOKUP(V$2,Valores!$H$2:$P$154,8,0)</f>
        <v>0</v>
      </c>
      <c r="W121" s="27" t="n">
        <f aca="false">SUMIF($C$2:$F$2,EOMONTH(W$2,-1)+1,$C121:$F121)*VLOOKUP(W$2,Valores!$H$2:$P$154,8,0)</f>
        <v>0</v>
      </c>
      <c r="X121" s="27" t="n">
        <f aca="false">SUMIF($C$2:$F$2,EOMONTH(X$2,-1)+1,$C121:$F121)*VLOOKUP(X$2,Valores!$H$2:$P$154,8,0)</f>
        <v>0</v>
      </c>
      <c r="Y121" s="27" t="n">
        <f aca="false">SUMIF($C$2:$F$2,EOMONTH(Y$2,-1)+1,$C121:$F121)*VLOOKUP(Y$2,Valores!$H$2:$P$154,8,0)</f>
        <v>0</v>
      </c>
      <c r="Z121" s="27" t="n">
        <f aca="false">SUMIF($C$2:$F$2,EOMONTH(Z$2,-1)+1,$C121:$F121)*VLOOKUP(Z$2,Valores!$H$2:$P$154,8,0)</f>
        <v>0</v>
      </c>
      <c r="AA121" s="27" t="n">
        <f aca="false">SUMIF($C$2:$F$2,EOMONTH(AA$2,-1)+1,$C121:$F121)*VLOOKUP(AA$2,Valores!$H$2:$P$154,8,0)</f>
        <v>0</v>
      </c>
      <c r="AB121" s="27" t="n">
        <f aca="false">SUMIF($C$2:$F$2,EOMONTH(AB$2,-1)+1,$C121:$F121)*VLOOKUP(AB$2,Valores!$H$2:$P$154,8,0)</f>
        <v>0</v>
      </c>
      <c r="AC121" s="27" t="n">
        <f aca="false">SUMIF($C$2:$F$2,EOMONTH(AC$2,-1)+1,$C121:$F121)*VLOOKUP(AC$2,Valores!$H$2:$P$154,8,0)</f>
        <v>0</v>
      </c>
      <c r="AD121" s="27" t="n">
        <f aca="false">SUMIF($C$2:$F$2,EOMONTH(AD$2,-1)+1,$C121:$F121)*VLOOKUP(AD$2,Valores!$H$2:$P$154,8,0)</f>
        <v>0</v>
      </c>
      <c r="AE121" s="27" t="n">
        <f aca="false">SUMIF($C$2:$F$2,EOMONTH(AE$2,-1)+1,$C121:$F121)*VLOOKUP(AE$2,Valores!$H$2:$P$154,8,0)</f>
        <v>0</v>
      </c>
      <c r="AF121" s="27" t="n">
        <f aca="false">SUMIF($C$2:$F$2,EOMONTH(AF$2,-1)+1,$C121:$F121)*VLOOKUP(AF$2,Valores!$H$2:$P$154,8,0)</f>
        <v>0</v>
      </c>
      <c r="AG121" s="27" t="n">
        <f aca="false">SUMIF($C$2:$F$2,EOMONTH(AG$2,-1)+1,$C121:$F121)*VLOOKUP(AG$2,Valores!$H$2:$P$154,8,0)</f>
        <v>0</v>
      </c>
      <c r="AH121" s="27" t="n">
        <f aca="false">SUMIF($C$2:$F$2,EOMONTH(AH$2,-1)+1,$C121:$F121)*VLOOKUP(AH$2,Valores!$H$2:$P$154,8,0)</f>
        <v>0</v>
      </c>
      <c r="AI121" s="27" t="n">
        <f aca="false">SUMIF($C$2:$F$2,EOMONTH(AI$2,-1)+1,$C121:$F121)*VLOOKUP(AI$2,Valores!$H$2:$P$154,8,0)</f>
        <v>0</v>
      </c>
      <c r="AJ121" s="27" t="n">
        <f aca="false">SUMIF($C$2:$F$2,EOMONTH(AJ$2,-1)+1,$C121:$F121)*VLOOKUP(AJ$2,Valores!$H$2:$P$154,8,0)</f>
        <v>0</v>
      </c>
      <c r="AK121" s="27" t="n">
        <f aca="false">SUMIF($C$2:$F$2,EOMONTH(AK$2,-1)+1,$C121:$F121)*VLOOKUP(AK$2,Valores!$H$2:$P$154,8,0)</f>
        <v>0</v>
      </c>
      <c r="AL121" s="27" t="n">
        <f aca="false">SUMIF($C$2:$F$2,EOMONTH(AL$2,-1)+1,$C121:$F121)*VLOOKUP(AL$2,Valores!$H$2:$P$154,8,0)</f>
        <v>0</v>
      </c>
      <c r="AM121" s="27" t="n">
        <f aca="false">SUMIF($C$2:$F$2,EOMONTH(AM$2,-1)+1,$C121:$F121)*VLOOKUP(AM$2,Valores!$H$2:$P$154,8,0)</f>
        <v>0</v>
      </c>
      <c r="AN121" s="27" t="n">
        <f aca="false">SUMIF($C$2:$F$2,EOMONTH(AN$2,-1)+1,$C121:$F121)*VLOOKUP(AN$2,Valores!$H$2:$P$154,8,0)</f>
        <v>0</v>
      </c>
      <c r="AO121" s="27" t="n">
        <f aca="false">SUMIF($C$2:$F$2,EOMONTH(AO$2,-1)+1,$C121:$F121)*VLOOKUP(AO$2,Valores!$H$2:$P$154,8,0)</f>
        <v>0</v>
      </c>
      <c r="AP121" s="27" t="n">
        <f aca="false">SUMIF($C$2:$F$2,EOMONTH(AP$2,-1)+1,$C121:$F121)*VLOOKUP(AP$2,Valores!$H$2:$P$154,8,0)</f>
        <v>0</v>
      </c>
      <c r="AQ121" s="27" t="n">
        <f aca="false">SUMIF($C$2:$F$2,EOMONTH(AQ$2,-1)+1,$C121:$F121)*VLOOKUP(AQ$2,Valores!$H$2:$P$154,8,0)</f>
        <v>0</v>
      </c>
      <c r="AR121" s="27" t="n">
        <f aca="false">SUMIF($C$2:$F$2,EOMONTH(AR$2,-1)+1,$C121:$F121)*VLOOKUP(AR$2,Valores!$H$2:$P$154,8,0)</f>
        <v>0</v>
      </c>
      <c r="AS121" s="27" t="n">
        <f aca="false">SUMIF($C$2:$F$2,EOMONTH(AS$2,-1)+1,$C121:$F121)*VLOOKUP(AS$2,Valores!$H$2:$P$154,8,0)</f>
        <v>0</v>
      </c>
      <c r="AT121" s="27" t="n">
        <f aca="false">SUMIF($C$2:$F$2,EOMONTH(AT$2,-1)+1,$C121:$F121)*VLOOKUP(AT$2,Valores!$H$2:$P$154,8,0)</f>
        <v>0</v>
      </c>
      <c r="AU121" s="27" t="n">
        <f aca="false">SUMIF($C$2:$F$2,EOMONTH(AU$2,-1)+1,$C121:$F121)*VLOOKUP(AU$2,Valores!$H$2:$P$154,8,0)</f>
        <v>0</v>
      </c>
      <c r="AV121" s="27" t="n">
        <f aca="false">SUMIF($C$2:$F$2,EOMONTH(AV$2,-1)+1,$C121:$F121)*VLOOKUP(AV$2,Valores!$H$2:$P$154,8,0)</f>
        <v>0</v>
      </c>
      <c r="AW121" s="27" t="n">
        <f aca="false">SUMIF($C$2:$F$2,EOMONTH(AW$2,-1)+1,$C121:$F121)*VLOOKUP(AW$2,Valores!$H$2:$P$154,8,0)</f>
        <v>0</v>
      </c>
      <c r="AX121" s="27" t="n">
        <f aca="false">SUMIF($C$2:$F$2,EOMONTH(AX$2,-1)+1,$C121:$F121)*VLOOKUP(AX$2,Valores!$H$2:$P$154,8,0)</f>
        <v>0</v>
      </c>
      <c r="AY121" s="27" t="n">
        <f aca="false">SUMIF($C$2:$F$2,EOMONTH(AY$2,-1)+1,$C121:$F121)*VLOOKUP(AY$2,Valores!$H$2:$P$154,8,0)</f>
        <v>0</v>
      </c>
      <c r="AZ121" s="27" t="n">
        <f aca="false">SUMIF($C$2:$F$2,EOMONTH(AZ$2,-1)+1,$C121:$F121)*VLOOKUP(AZ$2,Valores!$H$2:$P$154,8,0)</f>
        <v>0</v>
      </c>
      <c r="BA121" s="27" t="n">
        <f aca="false">SUMIF($C$2:$F$2,EOMONTH(BA$2,-1)+1,$C121:$F121)*VLOOKUP(BA$2,Valores!$H$2:$P$154,8,0)</f>
        <v>0</v>
      </c>
      <c r="BB121" s="27" t="n">
        <f aca="false">SUMIF($C$2:$F$2,EOMONTH(BB$2,-1)+1,$C121:$F121)*VLOOKUP(BB$2,Valores!$H$2:$P$154,8,0)</f>
        <v>0</v>
      </c>
      <c r="BC121" s="27" t="n">
        <f aca="false">SUMIF($C$2:$F$2,EOMONTH(BC$2,-1)+1,$C121:$F121)*VLOOKUP(BC$2,Valores!$H$2:$P$154,8,0)</f>
        <v>0</v>
      </c>
      <c r="BD121" s="27" t="n">
        <f aca="false">SUMIF($C$2:$F$2,EOMONTH(BD$2,-1)+1,$C121:$F121)*VLOOKUP(BD$2,Valores!$H$2:$P$154,8,0)</f>
        <v>0</v>
      </c>
      <c r="BE121" s="27" t="n">
        <f aca="false">SUMIF($C$2:$F$2,EOMONTH(BE$2,-1)+1,$C121:$F121)*VLOOKUP(BE$2,Valores!$H$2:$P$154,8,0)</f>
        <v>0</v>
      </c>
      <c r="BF121" s="27" t="n">
        <f aca="false">SUMIF($C$2:$F$2,EOMONTH(BF$2,-1)+1,$C121:$F121)*VLOOKUP(BF$2,Valores!$H$2:$P$154,8,0)</f>
        <v>0</v>
      </c>
      <c r="BG121" s="27" t="n">
        <f aca="false">SUMIF($C$2:$F$2,EOMONTH(BG$2,-1)+1,$C121:$F121)*VLOOKUP(BG$2,Valores!$H$2:$P$154,8,0)</f>
        <v>0</v>
      </c>
      <c r="BH121" s="27" t="n">
        <f aca="false">SUMIF($C$2:$F$2,EOMONTH(BH$2,-1)+1,$C121:$F121)*VLOOKUP(BH$2,Valores!$H$2:$P$154,8,0)</f>
        <v>0</v>
      </c>
      <c r="BI121" s="27" t="n">
        <f aca="false">SUMIF($C$2:$F$2,EOMONTH(BI$2,-1)+1,$C121:$F121)*VLOOKUP(BI$2,Valores!$H$2:$P$154,8,0)</f>
        <v>0</v>
      </c>
      <c r="BJ121" s="27" t="n">
        <f aca="false">SUMIF($C$2:$F$2,EOMONTH(BJ$2,-1)+1,$C121:$F121)*VLOOKUP(BJ$2,Valores!$H$2:$P$154,8,0)</f>
        <v>0</v>
      </c>
      <c r="BK121" s="27" t="n">
        <f aca="false">SUMIF($C$2:$F$2,EOMONTH(BK$2,-1)+1,$C121:$F121)*VLOOKUP(BK$2,Valores!$H$2:$P$154,8,0)</f>
        <v>0</v>
      </c>
      <c r="BL121" s="27" t="n">
        <f aca="false">SUMIF($C$2:$F$2,EOMONTH(BL$2,-1)+1,$C121:$F121)*VLOOKUP(BL$2,Valores!$H$2:$P$154,8,0)</f>
        <v>0</v>
      </c>
      <c r="BM121" s="27" t="n">
        <f aca="false">SUMIF($C$2:$F$2,EOMONTH(BM$2,-1)+1,$C121:$F121)*VLOOKUP(BM$2,Valores!$H$2:$P$154,8,0)</f>
        <v>0</v>
      </c>
      <c r="BN121" s="27" t="n">
        <f aca="false">SUMIF($C$2:$F$2,EOMONTH(BN$2,-1)+1,$C121:$F121)*VLOOKUP(BN$2,Valores!$H$2:$P$154,8,0)</f>
        <v>0</v>
      </c>
      <c r="BO121" s="27" t="n">
        <f aca="false">SUMIF($C$2:$F$2,EOMONTH(BO$2,-1)+1,$C121:$F121)*VLOOKUP(BO$2,Valores!$H$2:$P$154,8,0)</f>
        <v>0</v>
      </c>
      <c r="BP121" s="27" t="n">
        <f aca="false">SUMIF($C$2:$F$2,EOMONTH(BP$2,-1)+1,$C121:$F121)*VLOOKUP(BP$2,Valores!$H$2:$P$154,8,0)</f>
        <v>0</v>
      </c>
      <c r="BQ121" s="27" t="n">
        <f aca="false">SUMIF($C$2:$F$2,EOMONTH(BQ$2,-1)+1,$C121:$F121)*VLOOKUP(BQ$2,Valores!$H$2:$P$154,8,0)</f>
        <v>0</v>
      </c>
      <c r="BR121" s="27" t="n">
        <f aca="false">SUMIF($C$2:$F$2,EOMONTH(BR$2,-1)+1,$C121:$F121)*VLOOKUP(BR$2,Valores!$H$2:$P$154,8,0)</f>
        <v>0</v>
      </c>
      <c r="BS121" s="27" t="n">
        <f aca="false">SUMIF($C$2:$F$2,EOMONTH(BS$2,-1)+1,$C121:$F121)*VLOOKUP(BS$2,Valores!$H$2:$P$154,8,0)</f>
        <v>0</v>
      </c>
      <c r="BT121" s="27" t="n">
        <f aca="false">SUMIF($C$2:$F$2,EOMONTH(BT$2,-1)+1,$C121:$F121)*VLOOKUP(BT$2,Valores!$H$2:$P$154,8,0)</f>
        <v>0</v>
      </c>
      <c r="BU121" s="27" t="n">
        <f aca="false">SUMIF($C$2:$F$2,EOMONTH(BU$2,-1)+1,$C121:$F121)*VLOOKUP(BU$2,Valores!$H$2:$P$154,8,0)</f>
        <v>0</v>
      </c>
      <c r="BV121" s="27" t="n">
        <f aca="false">SUMIF($C$2:$F$2,EOMONTH(BV$2,-1)+1,$C121:$F121)*VLOOKUP(BV$2,Valores!$H$2:$P$154,8,0)</f>
        <v>0</v>
      </c>
      <c r="BW121" s="27" t="n">
        <f aca="false">SUMIF($C$2:$F$2,EOMONTH(BW$2,-1)+1,$C121:$F121)*VLOOKUP(BW$2,Valores!$H$2:$P$154,8,0)</f>
        <v>0</v>
      </c>
      <c r="BX121" s="27" t="n">
        <f aca="false">SUMIF($C$2:$F$2,EOMONTH(BX$2,-1)+1,$C121:$F121)*VLOOKUP(BX$2,Valores!$H$2:$P$154,8,0)</f>
        <v>0</v>
      </c>
      <c r="BY121" s="27" t="n">
        <f aca="false">SUMIF($C$2:$F$2,EOMONTH(BY$2,-1)+1,$C121:$F121)*VLOOKUP(BY$2,Valores!$H$2:$P$154,8,0)</f>
        <v>0</v>
      </c>
      <c r="BZ121" s="27" t="n">
        <f aca="false">SUMIF($C$2:$F$2,EOMONTH(BZ$2,-1)+1,$C121:$F121)*VLOOKUP(BZ$2,Valores!$H$2:$P$154,8,0)</f>
        <v>0</v>
      </c>
      <c r="CA121" s="27" t="n">
        <f aca="false">SUMIF($C$2:$F$2,EOMONTH(CA$2,-1)+1,$C121:$F121)*VLOOKUP(CA$2,Valores!$H$2:$P$154,8,0)</f>
        <v>0</v>
      </c>
      <c r="CB121" s="27" t="n">
        <f aca="false">SUMIF($C$2:$F$2,EOMONTH(CB$2,-1)+1,$C121:$F121)*VLOOKUP(CB$2,Valores!$H$2:$P$154,8,0)</f>
        <v>0</v>
      </c>
      <c r="CC121" s="27" t="n">
        <f aca="false">SUMIF($C$2:$F$2,EOMONTH(CC$2,-1)+1,$C121:$F121)*VLOOKUP(CC$2,Valores!$H$2:$P$154,8,0)</f>
        <v>0</v>
      </c>
      <c r="CD121" s="27" t="n">
        <f aca="false">SUMIF($C$2:$F$2,EOMONTH(CD$2,-1)+1,$C121:$F121)*VLOOKUP(CD$2,Valores!$H$2:$P$154,8,0)</f>
        <v>0</v>
      </c>
      <c r="CE121" s="27" t="n">
        <f aca="false">SUMIF($C$2:$F$2,EOMONTH(CE$2,-1)+1,$C121:$F121)*VLOOKUP(CE$2,Valores!$H$2:$P$154,8,0)</f>
        <v>0</v>
      </c>
      <c r="CF121" s="27" t="n">
        <f aca="false">SUMIF($C$2:$F$2,EOMONTH(CF$2,-1)+1,$C121:$F121)*VLOOKUP(CF$2,Valores!$H$2:$P$154,8,0)</f>
        <v>0</v>
      </c>
      <c r="CG121" s="27" t="n">
        <f aca="false">SUMIF($C$2:$F$2,EOMONTH(CG$2,-1)+1,$C121:$F121)*VLOOKUP(CG$2,Valores!$H$2:$P$154,8,0)</f>
        <v>0</v>
      </c>
      <c r="CH121" s="27" t="n">
        <f aca="false">SUMIF($C$2:$F$2,EOMONTH(CH$2,-1)+1,$C121:$F121)*VLOOKUP(CH$2,Valores!$H$2:$P$154,8,0)</f>
        <v>0</v>
      </c>
      <c r="CI121" s="27" t="n">
        <f aca="false">SUMIF($C$2:$F$2,EOMONTH(CI$2,-1)+1,$C121:$F121)*VLOOKUP(CI$2,Valores!$H$2:$P$154,8,0)</f>
        <v>0</v>
      </c>
      <c r="CJ121" s="27" t="n">
        <f aca="false">SUMIF($C$2:$F$2,EOMONTH(CJ$2,-1)+1,$C121:$F121)*VLOOKUP(CJ$2,Valores!$H$2:$P$154,8,0)</f>
        <v>0</v>
      </c>
      <c r="CK121" s="27" t="n">
        <f aca="false">SUMIF($C$2:$F$2,EOMONTH(CK$2,-1)+1,$C121:$F121)*VLOOKUP(CK$2,Valores!$H$2:$P$154,8,0)</f>
        <v>0</v>
      </c>
      <c r="CL121" s="27" t="n">
        <f aca="false">SUMIF($C$2:$F$2,EOMONTH(CL$2,-1)+1,$C121:$F121)*VLOOKUP(CL$2,Valores!$H$2:$P$154,8,0)</f>
        <v>0</v>
      </c>
      <c r="CM121" s="27" t="n">
        <f aca="false">SUMIF($C$2:$F$2,EOMONTH(CM$2,-1)+1,$C121:$F121)*VLOOKUP(CM$2,Valores!$H$2:$P$154,8,0)</f>
        <v>0</v>
      </c>
      <c r="CN121" s="27" t="n">
        <f aca="false">SUMIF($C$2:$F$2,EOMONTH(CN$2,-1)+1,$C121:$F121)*VLOOKUP(CN$2,Valores!$H$2:$P$154,8,0)</f>
        <v>0</v>
      </c>
      <c r="CO121" s="27" t="n">
        <f aca="false">SUMIF($C$2:$F$2,EOMONTH(CO$2,-1)+1,$C121:$F121)*VLOOKUP(CO$2,Valores!$H$2:$P$154,8,0)</f>
        <v>0</v>
      </c>
      <c r="CP121" s="27" t="n">
        <f aca="false">SUMIF($C$2:$F$2,EOMONTH(CP$2,-1)+1,$C121:$F121)*VLOOKUP(CP$2,Valores!$H$2:$P$154,8,0)</f>
        <v>0</v>
      </c>
      <c r="CQ121" s="27" t="n">
        <f aca="false">SUMIF($C$2:$F$2,EOMONTH(CQ$2,-1)+1,$C121:$F121)*VLOOKUP(CQ$2,Valores!$H$2:$P$154,8,0)</f>
        <v>0</v>
      </c>
      <c r="CR121" s="27" t="n">
        <f aca="false">SUMIF($C$2:$F$2,EOMONTH(CR$2,-1)+1,$C121:$F121)*VLOOKUP(CR$2,Valores!$H$2:$P$154,8,0)</f>
        <v>0</v>
      </c>
      <c r="CS121" s="27" t="n">
        <f aca="false">SUMIF($C$2:$F$2,EOMONTH(CS$2,-1)+1,$C121:$F121)*VLOOKUP(CS$2,Valores!$H$2:$P$154,8,0)</f>
        <v>0</v>
      </c>
      <c r="CT121" s="27" t="e">
        <f aca="false">SUMIF($C$2:$F$2,EOMONTH(CT$2,-1)+1,$C121:$F121)*VLOOKUP(CT$2,Valores!$H$2:$P$154,8,0)</f>
        <v>#VALUE!</v>
      </c>
      <c r="CU121" s="27" t="e">
        <f aca="false">SUMIF($C$2:$F$2,EOMONTH(CU$2,-1)+1,$C121:$F121)*VLOOKUP(CU$2,Valores!$H$2:$P$154,8,0)</f>
        <v>#VALUE!</v>
      </c>
      <c r="CV121" s="27" t="e">
        <f aca="false">SUMIF($C$2:$F$2,EOMONTH(CV$2,-1)+1,$C121:$F121)*VLOOKUP(CV$2,Valores!$H$2:$P$154,8,0)</f>
        <v>#VALUE!</v>
      </c>
      <c r="CW121" s="27" t="e">
        <f aca="false">SUMIF($C$2:$F$2,EOMONTH(CW$2,-1)+1,$C121:$F121)*VLOOKUP(CW$2,Valores!$H$2:$P$154,8,0)</f>
        <v>#VALUE!</v>
      </c>
      <c r="CX121" s="27" t="e">
        <f aca="false">SUMIF($C$2:$F$2,EOMONTH(CX$2,-1)+1,$C121:$F121)*VLOOKUP(CX$2,Valores!$H$2:$P$154,8,0)</f>
        <v>#VALUE!</v>
      </c>
      <c r="CY121" s="27" t="e">
        <f aca="false">SUMIF($C$2:$F$2,EOMONTH(CY$2,-1)+1,$C121:$F121)*VLOOKUP(CY$2,Valores!$H$2:$P$154,8,0)</f>
        <v>#VALUE!</v>
      </c>
      <c r="CZ121" s="27" t="e">
        <f aca="false">SUMIF($C$2:$F$2,EOMONTH(CZ$2,-1)+1,$C121:$F121)*VLOOKUP(CZ$2,Valores!$H$2:$P$154,8,0)</f>
        <v>#VALUE!</v>
      </c>
      <c r="DA121" s="27" t="e">
        <f aca="false">SUMIF($C$2:$F$2,EOMONTH(DA$2,-1)+1,$C121:$F121)*VLOOKUP(DA$2,Valores!$H$2:$P$154,8,0)</f>
        <v>#VALUE!</v>
      </c>
      <c r="DB121" s="27" t="e">
        <f aca="false">SUMIF($C$2:$F$2,EOMONTH(DB$2,-1)+1,$C121:$F121)*VLOOKUP(DB$2,Valores!$H$2:$P$154,8,0)</f>
        <v>#VALUE!</v>
      </c>
      <c r="DC121" s="27" t="e">
        <f aca="false">SUMIF($C$2:$F$2,EOMONTH(DC$2,-1)+1,$C121:$F121)*VLOOKUP(DC$2,Valores!$H$2:$P$154,8,0)</f>
        <v>#VALUE!</v>
      </c>
      <c r="DD121" s="27" t="e">
        <f aca="false">SUMIF($C$2:$F$2,EOMONTH(DD$2,-1)+1,$C121:$F121)*VLOOKUP(DD$2,Valores!$H$2:$P$154,8,0)</f>
        <v>#VALUE!</v>
      </c>
      <c r="DE121" s="27" t="e">
        <f aca="false">SUMIF($C$2:$F$2,EOMONTH(DE$2,-1)+1,$C121:$F121)*VLOOKUP(DE$2,Valores!$H$2:$P$154,8,0)</f>
        <v>#VALUE!</v>
      </c>
      <c r="DF121" s="27" t="e">
        <f aca="false">SUMIF($C$2:$F$2,EOMONTH(DF$2,-1)+1,$C121:$F121)*VLOOKUP(DF$2,Valores!$H$2:$P$154,8,0)</f>
        <v>#VALUE!</v>
      </c>
      <c r="DG121" s="27" t="e">
        <f aca="false">SUMIF($C$2:$F$2,EOMONTH(DG$2,-1)+1,$C121:$F121)*VLOOKUP(DG$2,Valores!$H$2:$P$154,8,0)</f>
        <v>#VALUE!</v>
      </c>
      <c r="DH121" s="27" t="e">
        <f aca="false">SUMIF($C$2:$F$2,EOMONTH(DH$2,-1)+1,$C121:$F121)*VLOOKUP(DH$2,Valores!$H$2:$P$154,8,0)</f>
        <v>#VALUE!</v>
      </c>
      <c r="DI121" s="27" t="e">
        <f aca="false">SUMIF($C$2:$F$2,EOMONTH(DI$2,-1)+1,$C121:$F121)*VLOOKUP(DI$2,Valores!$H$2:$P$154,8,0)</f>
        <v>#VALUE!</v>
      </c>
      <c r="DJ121" s="27" t="e">
        <f aca="false">SUMIF($C$2:$F$2,EOMONTH(DJ$2,-1)+1,$C121:$F121)*VLOOKUP(DJ$2,Valores!$H$2:$P$154,8,0)</f>
        <v>#VALUE!</v>
      </c>
      <c r="DK121" s="27" t="e">
        <f aca="false">SUMIF($C$2:$F$2,EOMONTH(DK$2,-1)+1,$C121:$F121)*VLOOKUP(DK$2,Valores!$H$2:$P$154,8,0)</f>
        <v>#VALUE!</v>
      </c>
      <c r="DL121" s="27" t="e">
        <f aca="false">SUMIF($C$2:$F$2,EOMONTH(DL$2,-1)+1,$C121:$F121)*VLOOKUP(DL$2,Valores!$H$2:$P$154,8,0)</f>
        <v>#VALUE!</v>
      </c>
      <c r="DM121" s="27" t="e">
        <f aca="false">SUMIF($C$2:$F$2,EOMONTH(DM$2,-1)+1,$C121:$F121)*VLOOKUP(DM$2,Valores!$H$2:$P$154,8,0)</f>
        <v>#VALUE!</v>
      </c>
      <c r="DN121" s="27" t="e">
        <f aca="false">SUMIF($C$2:$F$2,EOMONTH(DN$2,-1)+1,$C121:$F121)*VLOOKUP(DN$2,Valores!$H$2:$P$154,8,0)</f>
        <v>#VALUE!</v>
      </c>
      <c r="DO121" s="27" t="e">
        <f aca="false">SUMIF($C$2:$F$2,EOMONTH(DO$2,-1)+1,$C121:$F121)*VLOOKUP(DO$2,Valores!$H$2:$P$154,8,0)</f>
        <v>#VALUE!</v>
      </c>
      <c r="DP121" s="27" t="e">
        <f aca="false">SUMIF($C$2:$F$2,EOMONTH(DP$2,-1)+1,$C121:$F121)*VLOOKUP(DP$2,Valores!$H$2:$P$154,8,0)</f>
        <v>#VALUE!</v>
      </c>
      <c r="DQ121" s="27" t="e">
        <f aca="false">SUMIF($C$2:$F$2,EOMONTH(DQ$2,-1)+1,$C121:$F121)*VLOOKUP(DQ$2,Valores!$H$2:$P$154,8,0)</f>
        <v>#VALUE!</v>
      </c>
      <c r="DR121" s="27" t="e">
        <f aca="false">SUMIF($C$2:$F$2,EOMONTH(DR$2,-1)+1,$C121:$F121)*VLOOKUP(DR$2,Valores!$H$2:$P$154,8,0)</f>
        <v>#VALUE!</v>
      </c>
      <c r="DS121" s="27" t="e">
        <f aca="false">SUMIF($C$2:$F$2,EOMONTH(DS$2,-1)+1,$C121:$F121)*VLOOKUP(DS$2,Valores!$H$2:$P$154,8,0)</f>
        <v>#VALUE!</v>
      </c>
      <c r="DT121" s="27" t="e">
        <f aca="false">SUMIF($C$2:$F$2,EOMONTH(DT$2,-1)+1,$C121:$F121)*VLOOKUP(DT$2,Valores!$H$2:$P$154,8,0)</f>
        <v>#VALUE!</v>
      </c>
      <c r="DU121" s="27" t="e">
        <f aca="false">SUMIF($C$2:$F$2,EOMONTH(DU$2,-1)+1,$C121:$F121)*VLOOKUP(DU$2,Valores!$H$2:$P$154,8,0)</f>
        <v>#VALUE!</v>
      </c>
      <c r="DV121" s="27" t="e">
        <f aca="false">SUMIF($C$2:$F$2,EOMONTH(DV$2,-1)+1,$C121:$F121)*VLOOKUP(DV$2,Valores!$H$2:$P$154,8,0)</f>
        <v>#VALUE!</v>
      </c>
      <c r="DW121" s="27" t="e">
        <f aca="false">SUMIF($C$2:$F$2,EOMONTH(DW$2,-1)+1,$C121:$F121)*VLOOKUP(DW$2,Valores!$H$2:$P$154,8,0)</f>
        <v>#VALUE!</v>
      </c>
      <c r="DX121" s="27" t="e">
        <f aca="false">SUMIF($C$2:$F$2,EOMONTH(DX$2,-1)+1,$C121:$F121)*VLOOKUP(DX$2,Valores!$H$2:$P$154,8,0)</f>
        <v>#VALUE!</v>
      </c>
    </row>
    <row r="122" customFormat="false" ht="13.8" hidden="false" customHeight="false" outlineLevel="0" collapsed="false">
      <c r="A122" s="29"/>
      <c r="B122" s="29"/>
      <c r="C122" s="29"/>
      <c r="D122" s="29"/>
      <c r="E122" s="29"/>
      <c r="F122" s="29"/>
      <c r="G122" s="30" t="n">
        <f aca="false">SUMIF($C$2:$F$2,EOMONTH(G$2,-1)+1,$C122:$F122)*VLOOKUP(G$2,Valores!$H$2:$P$154,8,0)</f>
        <v>0</v>
      </c>
      <c r="H122" s="30" t="n">
        <f aca="false">SUMIF($C$2:$F$2,EOMONTH(H$2,-1)+1,$C122:$F122)*VLOOKUP(H$2,Valores!$H$2:$P$154,8,0)</f>
        <v>0</v>
      </c>
      <c r="I122" s="30" t="n">
        <f aca="false">SUMIF($C$2:$F$2,EOMONTH(I$2,-1)+1,$C122:$F122)*VLOOKUP(I$2,Valores!$H$2:$P$154,8,0)</f>
        <v>0</v>
      </c>
      <c r="J122" s="30" t="n">
        <f aca="false">SUMIF($C$2:$F$2,EOMONTH(J$2,-1)+1,$C122:$F122)*VLOOKUP(J$2,Valores!$H$2:$P$154,8,0)</f>
        <v>0</v>
      </c>
      <c r="K122" s="30" t="n">
        <f aca="false">SUMIF($C$2:$F$2,EOMONTH(K$2,-1)+1,$C122:$F122)*VLOOKUP(K$2,Valores!$H$2:$P$154,8,0)</f>
        <v>0</v>
      </c>
      <c r="L122" s="30" t="n">
        <f aca="false">SUMIF($C$2:$F$2,EOMONTH(L$2,-1)+1,$C122:$F122)*VLOOKUP(L$2,Valores!$H$2:$P$154,8,0)</f>
        <v>0</v>
      </c>
      <c r="M122" s="30" t="n">
        <f aca="false">SUMIF($C$2:$F$2,EOMONTH(M$2,-1)+1,$C122:$F122)*VLOOKUP(M$2,Valores!$H$2:$P$154,8,0)</f>
        <v>0</v>
      </c>
      <c r="N122" s="30" t="n">
        <f aca="false">SUMIF($C$2:$F$2,EOMONTH(N$2,-1)+1,$C122:$F122)*VLOOKUP(N$2,Valores!$H$2:$P$154,8,0)</f>
        <v>0</v>
      </c>
      <c r="O122" s="30" t="n">
        <f aca="false">SUMIF($C$2:$F$2,EOMONTH(O$2,-1)+1,$C122:$F122)*VLOOKUP(O$2,Valores!$H$2:$P$154,8,0)</f>
        <v>0</v>
      </c>
      <c r="P122" s="30" t="n">
        <f aca="false">SUMIF($C$2:$F$2,EOMONTH(P$2,-1)+1,$C122:$F122)*VLOOKUP(P$2,Valores!$H$2:$P$154,8,0)</f>
        <v>0</v>
      </c>
      <c r="Q122" s="30" t="n">
        <f aca="false">SUMIF($C$2:$F$2,EOMONTH(Q$2,-1)+1,$C122:$F122)*VLOOKUP(Q$2,Valores!$H$2:$P$154,8,0)</f>
        <v>0</v>
      </c>
      <c r="R122" s="30" t="n">
        <f aca="false">SUMIF($C$2:$F$2,EOMONTH(R$2,-1)+1,$C122:$F122)*VLOOKUP(R$2,Valores!$H$2:$P$154,8,0)</f>
        <v>0</v>
      </c>
      <c r="S122" s="30" t="n">
        <f aca="false">SUMIF($C$2:$F$2,EOMONTH(S$2,-1)+1,$C122:$F122)*VLOOKUP(S$2,Valores!$H$2:$P$154,8,0)</f>
        <v>0</v>
      </c>
      <c r="T122" s="30" t="n">
        <f aca="false">SUMIF($C$2:$F$2,EOMONTH(T$2,-1)+1,$C122:$F122)*VLOOKUP(T$2,Valores!$H$2:$P$154,8,0)</f>
        <v>0</v>
      </c>
      <c r="U122" s="30" t="n">
        <f aca="false">SUMIF($C$2:$F$2,EOMONTH(U$2,-1)+1,$C122:$F122)*VLOOKUP(U$2,Valores!$H$2:$P$154,8,0)</f>
        <v>0</v>
      </c>
      <c r="V122" s="30" t="n">
        <f aca="false">SUMIF($C$2:$F$2,EOMONTH(V$2,-1)+1,$C122:$F122)*VLOOKUP(V$2,Valores!$H$2:$P$154,8,0)</f>
        <v>0</v>
      </c>
      <c r="W122" s="30" t="n">
        <f aca="false">SUMIF($C$2:$F$2,EOMONTH(W$2,-1)+1,$C122:$F122)*VLOOKUP(W$2,Valores!$H$2:$P$154,8,0)</f>
        <v>0</v>
      </c>
      <c r="X122" s="30" t="n">
        <f aca="false">SUMIF($C$2:$F$2,EOMONTH(X$2,-1)+1,$C122:$F122)*VLOOKUP(X$2,Valores!$H$2:$P$154,8,0)</f>
        <v>0</v>
      </c>
      <c r="Y122" s="30" t="n">
        <f aca="false">SUMIF($C$2:$F$2,EOMONTH(Y$2,-1)+1,$C122:$F122)*VLOOKUP(Y$2,Valores!$H$2:$P$154,8,0)</f>
        <v>0</v>
      </c>
      <c r="Z122" s="30" t="n">
        <f aca="false">SUMIF($C$2:$F$2,EOMONTH(Z$2,-1)+1,$C122:$F122)*VLOOKUP(Z$2,Valores!$H$2:$P$154,8,0)</f>
        <v>0</v>
      </c>
      <c r="AA122" s="30" t="n">
        <f aca="false">SUMIF($C$2:$F$2,EOMONTH(AA$2,-1)+1,$C122:$F122)*VLOOKUP(AA$2,Valores!$H$2:$P$154,8,0)</f>
        <v>0</v>
      </c>
      <c r="AB122" s="30" t="n">
        <f aca="false">SUMIF($C$2:$F$2,EOMONTH(AB$2,-1)+1,$C122:$F122)*VLOOKUP(AB$2,Valores!$H$2:$P$154,8,0)</f>
        <v>0</v>
      </c>
      <c r="AC122" s="30" t="n">
        <f aca="false">SUMIF($C$2:$F$2,EOMONTH(AC$2,-1)+1,$C122:$F122)*VLOOKUP(AC$2,Valores!$H$2:$P$154,8,0)</f>
        <v>0</v>
      </c>
      <c r="AD122" s="30" t="n">
        <f aca="false">SUMIF($C$2:$F$2,EOMONTH(AD$2,-1)+1,$C122:$F122)*VLOOKUP(AD$2,Valores!$H$2:$P$154,8,0)</f>
        <v>0</v>
      </c>
      <c r="AE122" s="30" t="n">
        <f aca="false">SUMIF($C$2:$F$2,EOMONTH(AE$2,-1)+1,$C122:$F122)*VLOOKUP(AE$2,Valores!$H$2:$P$154,8,0)</f>
        <v>0</v>
      </c>
      <c r="AF122" s="30" t="n">
        <f aca="false">SUMIF($C$2:$F$2,EOMONTH(AF$2,-1)+1,$C122:$F122)*VLOOKUP(AF$2,Valores!$H$2:$P$154,8,0)</f>
        <v>0</v>
      </c>
      <c r="AG122" s="30" t="n">
        <f aca="false">SUMIF($C$2:$F$2,EOMONTH(AG$2,-1)+1,$C122:$F122)*VLOOKUP(AG$2,Valores!$H$2:$P$154,8,0)</f>
        <v>0</v>
      </c>
      <c r="AH122" s="30" t="n">
        <f aca="false">SUMIF($C$2:$F$2,EOMONTH(AH$2,-1)+1,$C122:$F122)*VLOOKUP(AH$2,Valores!$H$2:$P$154,8,0)</f>
        <v>0</v>
      </c>
      <c r="AI122" s="30" t="n">
        <f aca="false">SUMIF($C$2:$F$2,EOMONTH(AI$2,-1)+1,$C122:$F122)*VLOOKUP(AI$2,Valores!$H$2:$P$154,8,0)</f>
        <v>0</v>
      </c>
      <c r="AJ122" s="30" t="n">
        <f aca="false">SUMIF($C$2:$F$2,EOMONTH(AJ$2,-1)+1,$C122:$F122)*VLOOKUP(AJ$2,Valores!$H$2:$P$154,8,0)</f>
        <v>0</v>
      </c>
      <c r="AK122" s="30" t="n">
        <f aca="false">SUMIF($C$2:$F$2,EOMONTH(AK$2,-1)+1,$C122:$F122)*VLOOKUP(AK$2,Valores!$H$2:$P$154,8,0)</f>
        <v>0</v>
      </c>
      <c r="AL122" s="30" t="n">
        <f aca="false">SUMIF($C$2:$F$2,EOMONTH(AL$2,-1)+1,$C122:$F122)*VLOOKUP(AL$2,Valores!$H$2:$P$154,8,0)</f>
        <v>0</v>
      </c>
      <c r="AM122" s="30" t="n">
        <f aca="false">SUMIF($C$2:$F$2,EOMONTH(AM$2,-1)+1,$C122:$F122)*VLOOKUP(AM$2,Valores!$H$2:$P$154,8,0)</f>
        <v>0</v>
      </c>
      <c r="AN122" s="30" t="n">
        <f aca="false">SUMIF($C$2:$F$2,EOMONTH(AN$2,-1)+1,$C122:$F122)*VLOOKUP(AN$2,Valores!$H$2:$P$154,8,0)</f>
        <v>0</v>
      </c>
      <c r="AO122" s="30" t="n">
        <f aca="false">SUMIF($C$2:$F$2,EOMONTH(AO$2,-1)+1,$C122:$F122)*VLOOKUP(AO$2,Valores!$H$2:$P$154,8,0)</f>
        <v>0</v>
      </c>
      <c r="AP122" s="30" t="n">
        <f aca="false">SUMIF($C$2:$F$2,EOMONTH(AP$2,-1)+1,$C122:$F122)*VLOOKUP(AP$2,Valores!$H$2:$P$154,8,0)</f>
        <v>0</v>
      </c>
      <c r="AQ122" s="30" t="n">
        <f aca="false">SUMIF($C$2:$F$2,EOMONTH(AQ$2,-1)+1,$C122:$F122)*VLOOKUP(AQ$2,Valores!$H$2:$P$154,8,0)</f>
        <v>0</v>
      </c>
      <c r="AR122" s="30" t="n">
        <f aca="false">SUMIF($C$2:$F$2,EOMONTH(AR$2,-1)+1,$C122:$F122)*VLOOKUP(AR$2,Valores!$H$2:$P$154,8,0)</f>
        <v>0</v>
      </c>
      <c r="AS122" s="30" t="n">
        <f aca="false">SUMIF($C$2:$F$2,EOMONTH(AS$2,-1)+1,$C122:$F122)*VLOOKUP(AS$2,Valores!$H$2:$P$154,8,0)</f>
        <v>0</v>
      </c>
      <c r="AT122" s="30" t="n">
        <f aca="false">SUMIF($C$2:$F$2,EOMONTH(AT$2,-1)+1,$C122:$F122)*VLOOKUP(AT$2,Valores!$H$2:$P$154,8,0)</f>
        <v>0</v>
      </c>
      <c r="AU122" s="30" t="n">
        <f aca="false">SUMIF($C$2:$F$2,EOMONTH(AU$2,-1)+1,$C122:$F122)*VLOOKUP(AU$2,Valores!$H$2:$P$154,8,0)</f>
        <v>0</v>
      </c>
      <c r="AV122" s="30" t="n">
        <f aca="false">SUMIF($C$2:$F$2,EOMONTH(AV$2,-1)+1,$C122:$F122)*VLOOKUP(AV$2,Valores!$H$2:$P$154,8,0)</f>
        <v>0</v>
      </c>
      <c r="AW122" s="30" t="n">
        <f aca="false">SUMIF($C$2:$F$2,EOMONTH(AW$2,-1)+1,$C122:$F122)*VLOOKUP(AW$2,Valores!$H$2:$P$154,8,0)</f>
        <v>0</v>
      </c>
      <c r="AX122" s="30" t="n">
        <f aca="false">SUMIF($C$2:$F$2,EOMONTH(AX$2,-1)+1,$C122:$F122)*VLOOKUP(AX$2,Valores!$H$2:$P$154,8,0)</f>
        <v>0</v>
      </c>
      <c r="AY122" s="30" t="n">
        <f aca="false">SUMIF($C$2:$F$2,EOMONTH(AY$2,-1)+1,$C122:$F122)*VLOOKUP(AY$2,Valores!$H$2:$P$154,8,0)</f>
        <v>0</v>
      </c>
      <c r="AZ122" s="30" t="n">
        <f aca="false">SUMIF($C$2:$F$2,EOMONTH(AZ$2,-1)+1,$C122:$F122)*VLOOKUP(AZ$2,Valores!$H$2:$P$154,8,0)</f>
        <v>0</v>
      </c>
      <c r="BA122" s="30" t="n">
        <f aca="false">SUMIF($C$2:$F$2,EOMONTH(BA$2,-1)+1,$C122:$F122)*VLOOKUP(BA$2,Valores!$H$2:$P$154,8,0)</f>
        <v>0</v>
      </c>
      <c r="BB122" s="30" t="n">
        <f aca="false">SUMIF($C$2:$F$2,EOMONTH(BB$2,-1)+1,$C122:$F122)*VLOOKUP(BB$2,Valores!$H$2:$P$154,8,0)</f>
        <v>0</v>
      </c>
      <c r="BC122" s="30" t="n">
        <f aca="false">SUMIF($C$2:$F$2,EOMONTH(BC$2,-1)+1,$C122:$F122)*VLOOKUP(BC$2,Valores!$H$2:$P$154,8,0)</f>
        <v>0</v>
      </c>
      <c r="BD122" s="30" t="n">
        <f aca="false">SUMIF($C$2:$F$2,EOMONTH(BD$2,-1)+1,$C122:$F122)*VLOOKUP(BD$2,Valores!$H$2:$P$154,8,0)</f>
        <v>0</v>
      </c>
      <c r="BE122" s="30" t="n">
        <f aca="false">SUMIF($C$2:$F$2,EOMONTH(BE$2,-1)+1,$C122:$F122)*VLOOKUP(BE$2,Valores!$H$2:$P$154,8,0)</f>
        <v>0</v>
      </c>
      <c r="BF122" s="30" t="n">
        <f aca="false">SUMIF($C$2:$F$2,EOMONTH(BF$2,-1)+1,$C122:$F122)*VLOOKUP(BF$2,Valores!$H$2:$P$154,8,0)</f>
        <v>0</v>
      </c>
      <c r="BG122" s="30" t="n">
        <f aca="false">SUMIF($C$2:$F$2,EOMONTH(BG$2,-1)+1,$C122:$F122)*VLOOKUP(BG$2,Valores!$H$2:$P$154,8,0)</f>
        <v>0</v>
      </c>
      <c r="BH122" s="30" t="n">
        <f aca="false">SUMIF($C$2:$F$2,EOMONTH(BH$2,-1)+1,$C122:$F122)*VLOOKUP(BH$2,Valores!$H$2:$P$154,8,0)</f>
        <v>0</v>
      </c>
      <c r="BI122" s="30" t="n">
        <f aca="false">SUMIF($C$2:$F$2,EOMONTH(BI$2,-1)+1,$C122:$F122)*VLOOKUP(BI$2,Valores!$H$2:$P$154,8,0)</f>
        <v>0</v>
      </c>
      <c r="BJ122" s="30" t="n">
        <f aca="false">SUMIF($C$2:$F$2,EOMONTH(BJ$2,-1)+1,$C122:$F122)*VLOOKUP(BJ$2,Valores!$H$2:$P$154,8,0)</f>
        <v>0</v>
      </c>
      <c r="BK122" s="30" t="n">
        <f aca="false">SUMIF($C$2:$F$2,EOMONTH(BK$2,-1)+1,$C122:$F122)*VLOOKUP(BK$2,Valores!$H$2:$P$154,8,0)</f>
        <v>0</v>
      </c>
      <c r="BL122" s="30" t="n">
        <f aca="false">SUMIF($C$2:$F$2,EOMONTH(BL$2,-1)+1,$C122:$F122)*VLOOKUP(BL$2,Valores!$H$2:$P$154,8,0)</f>
        <v>0</v>
      </c>
      <c r="BM122" s="30" t="n">
        <f aca="false">SUMIF($C$2:$F$2,EOMONTH(BM$2,-1)+1,$C122:$F122)*VLOOKUP(BM$2,Valores!$H$2:$P$154,8,0)</f>
        <v>0</v>
      </c>
      <c r="BN122" s="30" t="n">
        <f aca="false">SUMIF($C$2:$F$2,EOMONTH(BN$2,-1)+1,$C122:$F122)*VLOOKUP(BN$2,Valores!$H$2:$P$154,8,0)</f>
        <v>0</v>
      </c>
      <c r="BO122" s="30" t="n">
        <f aca="false">SUMIF($C$2:$F$2,EOMONTH(BO$2,-1)+1,$C122:$F122)*VLOOKUP(BO$2,Valores!$H$2:$P$154,8,0)</f>
        <v>0</v>
      </c>
      <c r="BP122" s="30" t="n">
        <f aca="false">SUMIF($C$2:$F$2,EOMONTH(BP$2,-1)+1,$C122:$F122)*VLOOKUP(BP$2,Valores!$H$2:$P$154,8,0)</f>
        <v>0</v>
      </c>
      <c r="BQ122" s="30" t="n">
        <f aca="false">SUMIF($C$2:$F$2,EOMONTH(BQ$2,-1)+1,$C122:$F122)*VLOOKUP(BQ$2,Valores!$H$2:$P$154,8,0)</f>
        <v>0</v>
      </c>
      <c r="BR122" s="30" t="n">
        <f aca="false">SUMIF($C$2:$F$2,EOMONTH(BR$2,-1)+1,$C122:$F122)*VLOOKUP(BR$2,Valores!$H$2:$P$154,8,0)</f>
        <v>0</v>
      </c>
      <c r="BS122" s="30" t="n">
        <f aca="false">SUMIF($C$2:$F$2,EOMONTH(BS$2,-1)+1,$C122:$F122)*VLOOKUP(BS$2,Valores!$H$2:$P$154,8,0)</f>
        <v>0</v>
      </c>
      <c r="BT122" s="30" t="n">
        <f aca="false">SUMIF($C$2:$F$2,EOMONTH(BT$2,-1)+1,$C122:$F122)*VLOOKUP(BT$2,Valores!$H$2:$P$154,8,0)</f>
        <v>0</v>
      </c>
      <c r="BU122" s="30" t="n">
        <f aca="false">SUMIF($C$2:$F$2,EOMONTH(BU$2,-1)+1,$C122:$F122)*VLOOKUP(BU$2,Valores!$H$2:$P$154,8,0)</f>
        <v>0</v>
      </c>
      <c r="BV122" s="30" t="n">
        <f aca="false">SUMIF($C$2:$F$2,EOMONTH(BV$2,-1)+1,$C122:$F122)*VLOOKUP(BV$2,Valores!$H$2:$P$154,8,0)</f>
        <v>0</v>
      </c>
      <c r="BW122" s="30" t="n">
        <f aca="false">SUMIF($C$2:$F$2,EOMONTH(BW$2,-1)+1,$C122:$F122)*VLOOKUP(BW$2,Valores!$H$2:$P$154,8,0)</f>
        <v>0</v>
      </c>
      <c r="BX122" s="30" t="n">
        <f aca="false">SUMIF($C$2:$F$2,EOMONTH(BX$2,-1)+1,$C122:$F122)*VLOOKUP(BX$2,Valores!$H$2:$P$154,8,0)</f>
        <v>0</v>
      </c>
      <c r="BY122" s="30" t="n">
        <f aca="false">SUMIF($C$2:$F$2,EOMONTH(BY$2,-1)+1,$C122:$F122)*VLOOKUP(BY$2,Valores!$H$2:$P$154,8,0)</f>
        <v>0</v>
      </c>
      <c r="BZ122" s="30" t="n">
        <f aca="false">SUMIF($C$2:$F$2,EOMONTH(BZ$2,-1)+1,$C122:$F122)*VLOOKUP(BZ$2,Valores!$H$2:$P$154,8,0)</f>
        <v>0</v>
      </c>
      <c r="CA122" s="30" t="n">
        <f aca="false">SUMIF($C$2:$F$2,EOMONTH(CA$2,-1)+1,$C122:$F122)*VLOOKUP(CA$2,Valores!$H$2:$P$154,8,0)</f>
        <v>0</v>
      </c>
      <c r="CB122" s="30" t="n">
        <f aca="false">SUMIF($C$2:$F$2,EOMONTH(CB$2,-1)+1,$C122:$F122)*VLOOKUP(CB$2,Valores!$H$2:$P$154,8,0)</f>
        <v>0</v>
      </c>
      <c r="CC122" s="30" t="n">
        <f aca="false">SUMIF($C$2:$F$2,EOMONTH(CC$2,-1)+1,$C122:$F122)*VLOOKUP(CC$2,Valores!$H$2:$P$154,8,0)</f>
        <v>0</v>
      </c>
      <c r="CD122" s="30" t="n">
        <f aca="false">SUMIF($C$2:$F$2,EOMONTH(CD$2,-1)+1,$C122:$F122)*VLOOKUP(CD$2,Valores!$H$2:$P$154,8,0)</f>
        <v>0</v>
      </c>
      <c r="CE122" s="30" t="n">
        <f aca="false">SUMIF($C$2:$F$2,EOMONTH(CE$2,-1)+1,$C122:$F122)*VLOOKUP(CE$2,Valores!$H$2:$P$154,8,0)</f>
        <v>0</v>
      </c>
      <c r="CF122" s="30" t="n">
        <f aca="false">SUMIF($C$2:$F$2,EOMONTH(CF$2,-1)+1,$C122:$F122)*VLOOKUP(CF$2,Valores!$H$2:$P$154,8,0)</f>
        <v>0</v>
      </c>
      <c r="CG122" s="30" t="n">
        <f aca="false">SUMIF($C$2:$F$2,EOMONTH(CG$2,-1)+1,$C122:$F122)*VLOOKUP(CG$2,Valores!$H$2:$P$154,8,0)</f>
        <v>0</v>
      </c>
      <c r="CH122" s="30" t="n">
        <f aca="false">SUMIF($C$2:$F$2,EOMONTH(CH$2,-1)+1,$C122:$F122)*VLOOKUP(CH$2,Valores!$H$2:$P$154,8,0)</f>
        <v>0</v>
      </c>
      <c r="CI122" s="30" t="n">
        <f aca="false">SUMIF($C$2:$F$2,EOMONTH(CI$2,-1)+1,$C122:$F122)*VLOOKUP(CI$2,Valores!$H$2:$P$154,8,0)</f>
        <v>0</v>
      </c>
      <c r="CJ122" s="30" t="n">
        <f aca="false">SUMIF($C$2:$F$2,EOMONTH(CJ$2,-1)+1,$C122:$F122)*VLOOKUP(CJ$2,Valores!$H$2:$P$154,8,0)</f>
        <v>0</v>
      </c>
      <c r="CK122" s="30" t="n">
        <f aca="false">SUMIF($C$2:$F$2,EOMONTH(CK$2,-1)+1,$C122:$F122)*VLOOKUP(CK$2,Valores!$H$2:$P$154,8,0)</f>
        <v>0</v>
      </c>
      <c r="CL122" s="30" t="n">
        <f aca="false">SUMIF($C$2:$F$2,EOMONTH(CL$2,-1)+1,$C122:$F122)*VLOOKUP(CL$2,Valores!$H$2:$P$154,8,0)</f>
        <v>0</v>
      </c>
      <c r="CM122" s="30" t="n">
        <f aca="false">SUMIF($C$2:$F$2,EOMONTH(CM$2,-1)+1,$C122:$F122)*VLOOKUP(CM$2,Valores!$H$2:$P$154,8,0)</f>
        <v>0</v>
      </c>
      <c r="CN122" s="30" t="n">
        <f aca="false">SUMIF($C$2:$F$2,EOMONTH(CN$2,-1)+1,$C122:$F122)*VLOOKUP(CN$2,Valores!$H$2:$P$154,8,0)</f>
        <v>0</v>
      </c>
      <c r="CO122" s="30" t="n">
        <f aca="false">SUMIF($C$2:$F$2,EOMONTH(CO$2,-1)+1,$C122:$F122)*VLOOKUP(CO$2,Valores!$H$2:$P$154,8,0)</f>
        <v>0</v>
      </c>
      <c r="CP122" s="30" t="n">
        <f aca="false">SUMIF($C$2:$F$2,EOMONTH(CP$2,-1)+1,$C122:$F122)*VLOOKUP(CP$2,Valores!$H$2:$P$154,8,0)</f>
        <v>0</v>
      </c>
      <c r="CQ122" s="30" t="n">
        <f aca="false">SUMIF($C$2:$F$2,EOMONTH(CQ$2,-1)+1,$C122:$F122)*VLOOKUP(CQ$2,Valores!$H$2:$P$154,8,0)</f>
        <v>0</v>
      </c>
      <c r="CR122" s="30" t="n">
        <f aca="false">SUMIF($C$2:$F$2,EOMONTH(CR$2,-1)+1,$C122:$F122)*VLOOKUP(CR$2,Valores!$H$2:$P$154,8,0)</f>
        <v>0</v>
      </c>
      <c r="CS122" s="30" t="n">
        <f aca="false">SUMIF($C$2:$F$2,EOMONTH(CS$2,-1)+1,$C122:$F122)*VLOOKUP(CS$2,Valores!$H$2:$P$154,8,0)</f>
        <v>0</v>
      </c>
      <c r="CT122" s="30" t="e">
        <f aca="false">SUMIF($C$2:$F$2,EOMONTH(CT$2,-1)+1,$C122:$F122)*VLOOKUP(CT$2,Valores!$H$2:$P$154,8,0)</f>
        <v>#VALUE!</v>
      </c>
      <c r="CU122" s="30" t="e">
        <f aca="false">SUMIF($C$2:$F$2,EOMONTH(CU$2,-1)+1,$C122:$F122)*VLOOKUP(CU$2,Valores!$H$2:$P$154,8,0)</f>
        <v>#VALUE!</v>
      </c>
      <c r="CV122" s="30" t="e">
        <f aca="false">SUMIF($C$2:$F$2,EOMONTH(CV$2,-1)+1,$C122:$F122)*VLOOKUP(CV$2,Valores!$H$2:$P$154,8,0)</f>
        <v>#VALUE!</v>
      </c>
      <c r="CW122" s="30" t="e">
        <f aca="false">SUMIF($C$2:$F$2,EOMONTH(CW$2,-1)+1,$C122:$F122)*VLOOKUP(CW$2,Valores!$H$2:$P$154,8,0)</f>
        <v>#VALUE!</v>
      </c>
      <c r="CX122" s="30" t="e">
        <f aca="false">SUMIF($C$2:$F$2,EOMONTH(CX$2,-1)+1,$C122:$F122)*VLOOKUP(CX$2,Valores!$H$2:$P$154,8,0)</f>
        <v>#VALUE!</v>
      </c>
      <c r="CY122" s="30" t="e">
        <f aca="false">SUMIF($C$2:$F$2,EOMONTH(CY$2,-1)+1,$C122:$F122)*VLOOKUP(CY$2,Valores!$H$2:$P$154,8,0)</f>
        <v>#VALUE!</v>
      </c>
      <c r="CZ122" s="30" t="e">
        <f aca="false">SUMIF($C$2:$F$2,EOMONTH(CZ$2,-1)+1,$C122:$F122)*VLOOKUP(CZ$2,Valores!$H$2:$P$154,8,0)</f>
        <v>#VALUE!</v>
      </c>
      <c r="DA122" s="30" t="e">
        <f aca="false">SUMIF($C$2:$F$2,EOMONTH(DA$2,-1)+1,$C122:$F122)*VLOOKUP(DA$2,Valores!$H$2:$P$154,8,0)</f>
        <v>#VALUE!</v>
      </c>
      <c r="DB122" s="30" t="e">
        <f aca="false">SUMIF($C$2:$F$2,EOMONTH(DB$2,-1)+1,$C122:$F122)*VLOOKUP(DB$2,Valores!$H$2:$P$154,8,0)</f>
        <v>#VALUE!</v>
      </c>
      <c r="DC122" s="30" t="e">
        <f aca="false">SUMIF($C$2:$F$2,EOMONTH(DC$2,-1)+1,$C122:$F122)*VLOOKUP(DC$2,Valores!$H$2:$P$154,8,0)</f>
        <v>#VALUE!</v>
      </c>
      <c r="DD122" s="30" t="e">
        <f aca="false">SUMIF($C$2:$F$2,EOMONTH(DD$2,-1)+1,$C122:$F122)*VLOOKUP(DD$2,Valores!$H$2:$P$154,8,0)</f>
        <v>#VALUE!</v>
      </c>
      <c r="DE122" s="30" t="e">
        <f aca="false">SUMIF($C$2:$F$2,EOMONTH(DE$2,-1)+1,$C122:$F122)*VLOOKUP(DE$2,Valores!$H$2:$P$154,8,0)</f>
        <v>#VALUE!</v>
      </c>
      <c r="DF122" s="30" t="e">
        <f aca="false">SUMIF($C$2:$F$2,EOMONTH(DF$2,-1)+1,$C122:$F122)*VLOOKUP(DF$2,Valores!$H$2:$P$154,8,0)</f>
        <v>#VALUE!</v>
      </c>
      <c r="DG122" s="30" t="e">
        <f aca="false">SUMIF($C$2:$F$2,EOMONTH(DG$2,-1)+1,$C122:$F122)*VLOOKUP(DG$2,Valores!$H$2:$P$154,8,0)</f>
        <v>#VALUE!</v>
      </c>
      <c r="DH122" s="30" t="e">
        <f aca="false">SUMIF($C$2:$F$2,EOMONTH(DH$2,-1)+1,$C122:$F122)*VLOOKUP(DH$2,Valores!$H$2:$P$154,8,0)</f>
        <v>#VALUE!</v>
      </c>
      <c r="DI122" s="30" t="e">
        <f aca="false">SUMIF($C$2:$F$2,EOMONTH(DI$2,-1)+1,$C122:$F122)*VLOOKUP(DI$2,Valores!$H$2:$P$154,8,0)</f>
        <v>#VALUE!</v>
      </c>
      <c r="DJ122" s="30" t="e">
        <f aca="false">SUMIF($C$2:$F$2,EOMONTH(DJ$2,-1)+1,$C122:$F122)*VLOOKUP(DJ$2,Valores!$H$2:$P$154,8,0)</f>
        <v>#VALUE!</v>
      </c>
      <c r="DK122" s="30" t="e">
        <f aca="false">SUMIF($C$2:$F$2,EOMONTH(DK$2,-1)+1,$C122:$F122)*VLOOKUP(DK$2,Valores!$H$2:$P$154,8,0)</f>
        <v>#VALUE!</v>
      </c>
      <c r="DL122" s="30" t="e">
        <f aca="false">SUMIF($C$2:$F$2,EOMONTH(DL$2,-1)+1,$C122:$F122)*VLOOKUP(DL$2,Valores!$H$2:$P$154,8,0)</f>
        <v>#VALUE!</v>
      </c>
      <c r="DM122" s="30" t="e">
        <f aca="false">SUMIF($C$2:$F$2,EOMONTH(DM$2,-1)+1,$C122:$F122)*VLOOKUP(DM$2,Valores!$H$2:$P$154,8,0)</f>
        <v>#VALUE!</v>
      </c>
      <c r="DN122" s="30" t="e">
        <f aca="false">SUMIF($C$2:$F$2,EOMONTH(DN$2,-1)+1,$C122:$F122)*VLOOKUP(DN$2,Valores!$H$2:$P$154,8,0)</f>
        <v>#VALUE!</v>
      </c>
      <c r="DO122" s="30" t="e">
        <f aca="false">SUMIF($C$2:$F$2,EOMONTH(DO$2,-1)+1,$C122:$F122)*VLOOKUP(DO$2,Valores!$H$2:$P$154,8,0)</f>
        <v>#VALUE!</v>
      </c>
      <c r="DP122" s="30" t="e">
        <f aca="false">SUMIF($C$2:$F$2,EOMONTH(DP$2,-1)+1,$C122:$F122)*VLOOKUP(DP$2,Valores!$H$2:$P$154,8,0)</f>
        <v>#VALUE!</v>
      </c>
      <c r="DQ122" s="30" t="e">
        <f aca="false">SUMIF($C$2:$F$2,EOMONTH(DQ$2,-1)+1,$C122:$F122)*VLOOKUP(DQ$2,Valores!$H$2:$P$154,8,0)</f>
        <v>#VALUE!</v>
      </c>
      <c r="DR122" s="30" t="e">
        <f aca="false">SUMIF($C$2:$F$2,EOMONTH(DR$2,-1)+1,$C122:$F122)*VLOOKUP(DR$2,Valores!$H$2:$P$154,8,0)</f>
        <v>#VALUE!</v>
      </c>
      <c r="DS122" s="30" t="e">
        <f aca="false">SUMIF($C$2:$F$2,EOMONTH(DS$2,-1)+1,$C122:$F122)*VLOOKUP(DS$2,Valores!$H$2:$P$154,8,0)</f>
        <v>#VALUE!</v>
      </c>
      <c r="DT122" s="30" t="e">
        <f aca="false">SUMIF($C$2:$F$2,EOMONTH(DT$2,-1)+1,$C122:$F122)*VLOOKUP(DT$2,Valores!$H$2:$P$154,8,0)</f>
        <v>#VALUE!</v>
      </c>
      <c r="DU122" s="30" t="e">
        <f aca="false">SUMIF($C$2:$F$2,EOMONTH(DU$2,-1)+1,$C122:$F122)*VLOOKUP(DU$2,Valores!$H$2:$P$154,8,0)</f>
        <v>#VALUE!</v>
      </c>
      <c r="DV122" s="30" t="e">
        <f aca="false">SUMIF($C$2:$F$2,EOMONTH(DV$2,-1)+1,$C122:$F122)*VLOOKUP(DV$2,Valores!$H$2:$P$154,8,0)</f>
        <v>#VALUE!</v>
      </c>
      <c r="DW122" s="30" t="e">
        <f aca="false">SUMIF($C$2:$F$2,EOMONTH(DW$2,-1)+1,$C122:$F122)*VLOOKUP(DW$2,Valores!$H$2:$P$154,8,0)</f>
        <v>#VALUE!</v>
      </c>
      <c r="DX122" s="30" t="e">
        <f aca="false">SUMIF($C$2:$F$2,EOMONTH(DX$2,-1)+1,$C122:$F122)*VLOOKUP(DX$2,Valores!$H$2:$P$154,8,0)</f>
        <v>#VALUE!</v>
      </c>
    </row>
    <row r="123" customFormat="false" ht="13.8" hidden="false" customHeight="false" outlineLevel="0" collapsed="false">
      <c r="A123" s="31"/>
      <c r="B123" s="31"/>
      <c r="C123" s="31"/>
      <c r="D123" s="31"/>
      <c r="E123" s="31"/>
      <c r="F123" s="31"/>
      <c r="G123" s="27" t="n">
        <f aca="false">SUMIF($C$2:$F$2,EOMONTH(G$2,-1)+1,$C123:$F123)*VLOOKUP(G$2,Valores!$H$2:$P$154,8,0)</f>
        <v>0</v>
      </c>
      <c r="H123" s="27" t="n">
        <f aca="false">SUMIF($C$2:$F$2,EOMONTH(H$2,-1)+1,$C123:$F123)*VLOOKUP(H$2,Valores!$H$2:$P$154,8,0)</f>
        <v>0</v>
      </c>
      <c r="I123" s="27" t="n">
        <f aca="false">SUMIF($C$2:$F$2,EOMONTH(I$2,-1)+1,$C123:$F123)*VLOOKUP(I$2,Valores!$H$2:$P$154,8,0)</f>
        <v>0</v>
      </c>
      <c r="J123" s="27" t="n">
        <f aca="false">SUMIF($C$2:$F$2,EOMONTH(J$2,-1)+1,$C123:$F123)*VLOOKUP(J$2,Valores!$H$2:$P$154,8,0)</f>
        <v>0</v>
      </c>
      <c r="K123" s="27" t="n">
        <f aca="false">SUMIF($C$2:$F$2,EOMONTH(K$2,-1)+1,$C123:$F123)*VLOOKUP(K$2,Valores!$H$2:$P$154,8,0)</f>
        <v>0</v>
      </c>
      <c r="L123" s="27" t="n">
        <f aca="false">SUMIF($C$2:$F$2,EOMONTH(L$2,-1)+1,$C123:$F123)*VLOOKUP(L$2,Valores!$H$2:$P$154,8,0)</f>
        <v>0</v>
      </c>
      <c r="M123" s="27" t="n">
        <f aca="false">SUMIF($C$2:$F$2,EOMONTH(M$2,-1)+1,$C123:$F123)*VLOOKUP(M$2,Valores!$H$2:$P$154,8,0)</f>
        <v>0</v>
      </c>
      <c r="N123" s="27" t="n">
        <f aca="false">SUMIF($C$2:$F$2,EOMONTH(N$2,-1)+1,$C123:$F123)*VLOOKUP(N$2,Valores!$H$2:$P$154,8,0)</f>
        <v>0</v>
      </c>
      <c r="O123" s="27" t="n">
        <f aca="false">SUMIF($C$2:$F$2,EOMONTH(O$2,-1)+1,$C123:$F123)*VLOOKUP(O$2,Valores!$H$2:$P$154,8,0)</f>
        <v>0</v>
      </c>
      <c r="P123" s="27" t="n">
        <f aca="false">SUMIF($C$2:$F$2,EOMONTH(P$2,-1)+1,$C123:$F123)*VLOOKUP(P$2,Valores!$H$2:$P$154,8,0)</f>
        <v>0</v>
      </c>
      <c r="Q123" s="27" t="n">
        <f aca="false">SUMIF($C$2:$F$2,EOMONTH(Q$2,-1)+1,$C123:$F123)*VLOOKUP(Q$2,Valores!$H$2:$P$154,8,0)</f>
        <v>0</v>
      </c>
      <c r="R123" s="27" t="n">
        <f aca="false">SUMIF($C$2:$F$2,EOMONTH(R$2,-1)+1,$C123:$F123)*VLOOKUP(R$2,Valores!$H$2:$P$154,8,0)</f>
        <v>0</v>
      </c>
      <c r="S123" s="27" t="n">
        <f aca="false">SUMIF($C$2:$F$2,EOMONTH(S$2,-1)+1,$C123:$F123)*VLOOKUP(S$2,Valores!$H$2:$P$154,8,0)</f>
        <v>0</v>
      </c>
      <c r="T123" s="27" t="n">
        <f aca="false">SUMIF($C$2:$F$2,EOMONTH(T$2,-1)+1,$C123:$F123)*VLOOKUP(T$2,Valores!$H$2:$P$154,8,0)</f>
        <v>0</v>
      </c>
      <c r="U123" s="27" t="n">
        <f aca="false">SUMIF($C$2:$F$2,EOMONTH(U$2,-1)+1,$C123:$F123)*VLOOKUP(U$2,Valores!$H$2:$P$154,8,0)</f>
        <v>0</v>
      </c>
      <c r="V123" s="27" t="n">
        <f aca="false">SUMIF($C$2:$F$2,EOMONTH(V$2,-1)+1,$C123:$F123)*VLOOKUP(V$2,Valores!$H$2:$P$154,8,0)</f>
        <v>0</v>
      </c>
      <c r="W123" s="27" t="n">
        <f aca="false">SUMIF($C$2:$F$2,EOMONTH(W$2,-1)+1,$C123:$F123)*VLOOKUP(W$2,Valores!$H$2:$P$154,8,0)</f>
        <v>0</v>
      </c>
      <c r="X123" s="27" t="n">
        <f aca="false">SUMIF($C$2:$F$2,EOMONTH(X$2,-1)+1,$C123:$F123)*VLOOKUP(X$2,Valores!$H$2:$P$154,8,0)</f>
        <v>0</v>
      </c>
      <c r="Y123" s="27" t="n">
        <f aca="false">SUMIF($C$2:$F$2,EOMONTH(Y$2,-1)+1,$C123:$F123)*VLOOKUP(Y$2,Valores!$H$2:$P$154,8,0)</f>
        <v>0</v>
      </c>
      <c r="Z123" s="27" t="n">
        <f aca="false">SUMIF($C$2:$F$2,EOMONTH(Z$2,-1)+1,$C123:$F123)*VLOOKUP(Z$2,Valores!$H$2:$P$154,8,0)</f>
        <v>0</v>
      </c>
      <c r="AA123" s="27" t="n">
        <f aca="false">SUMIF($C$2:$F$2,EOMONTH(AA$2,-1)+1,$C123:$F123)*VLOOKUP(AA$2,Valores!$H$2:$P$154,8,0)</f>
        <v>0</v>
      </c>
      <c r="AB123" s="27" t="n">
        <f aca="false">SUMIF($C$2:$F$2,EOMONTH(AB$2,-1)+1,$C123:$F123)*VLOOKUP(AB$2,Valores!$H$2:$P$154,8,0)</f>
        <v>0</v>
      </c>
      <c r="AC123" s="27" t="n">
        <f aca="false">SUMIF($C$2:$F$2,EOMONTH(AC$2,-1)+1,$C123:$F123)*VLOOKUP(AC$2,Valores!$H$2:$P$154,8,0)</f>
        <v>0</v>
      </c>
      <c r="AD123" s="27" t="n">
        <f aca="false">SUMIF($C$2:$F$2,EOMONTH(AD$2,-1)+1,$C123:$F123)*VLOOKUP(AD$2,Valores!$H$2:$P$154,8,0)</f>
        <v>0</v>
      </c>
      <c r="AE123" s="27" t="n">
        <f aca="false">SUMIF($C$2:$F$2,EOMONTH(AE$2,-1)+1,$C123:$F123)*VLOOKUP(AE$2,Valores!$H$2:$P$154,8,0)</f>
        <v>0</v>
      </c>
      <c r="AF123" s="27" t="n">
        <f aca="false">SUMIF($C$2:$F$2,EOMONTH(AF$2,-1)+1,$C123:$F123)*VLOOKUP(AF$2,Valores!$H$2:$P$154,8,0)</f>
        <v>0</v>
      </c>
      <c r="AG123" s="27" t="n">
        <f aca="false">SUMIF($C$2:$F$2,EOMONTH(AG$2,-1)+1,$C123:$F123)*VLOOKUP(AG$2,Valores!$H$2:$P$154,8,0)</f>
        <v>0</v>
      </c>
      <c r="AH123" s="27" t="n">
        <f aca="false">SUMIF($C$2:$F$2,EOMONTH(AH$2,-1)+1,$C123:$F123)*VLOOKUP(AH$2,Valores!$H$2:$P$154,8,0)</f>
        <v>0</v>
      </c>
      <c r="AI123" s="27" t="n">
        <f aca="false">SUMIF($C$2:$F$2,EOMONTH(AI$2,-1)+1,$C123:$F123)*VLOOKUP(AI$2,Valores!$H$2:$P$154,8,0)</f>
        <v>0</v>
      </c>
      <c r="AJ123" s="27" t="n">
        <f aca="false">SUMIF($C$2:$F$2,EOMONTH(AJ$2,-1)+1,$C123:$F123)*VLOOKUP(AJ$2,Valores!$H$2:$P$154,8,0)</f>
        <v>0</v>
      </c>
      <c r="AK123" s="27" t="n">
        <f aca="false">SUMIF($C$2:$F$2,EOMONTH(AK$2,-1)+1,$C123:$F123)*VLOOKUP(AK$2,Valores!$H$2:$P$154,8,0)</f>
        <v>0</v>
      </c>
      <c r="AL123" s="27" t="n">
        <f aca="false">SUMIF($C$2:$F$2,EOMONTH(AL$2,-1)+1,$C123:$F123)*VLOOKUP(AL$2,Valores!$H$2:$P$154,8,0)</f>
        <v>0</v>
      </c>
      <c r="AM123" s="27" t="n">
        <f aca="false">SUMIF($C$2:$F$2,EOMONTH(AM$2,-1)+1,$C123:$F123)*VLOOKUP(AM$2,Valores!$H$2:$P$154,8,0)</f>
        <v>0</v>
      </c>
      <c r="AN123" s="27" t="n">
        <f aca="false">SUMIF($C$2:$F$2,EOMONTH(AN$2,-1)+1,$C123:$F123)*VLOOKUP(AN$2,Valores!$H$2:$P$154,8,0)</f>
        <v>0</v>
      </c>
      <c r="AO123" s="27" t="n">
        <f aca="false">SUMIF($C$2:$F$2,EOMONTH(AO$2,-1)+1,$C123:$F123)*VLOOKUP(AO$2,Valores!$H$2:$P$154,8,0)</f>
        <v>0</v>
      </c>
      <c r="AP123" s="27" t="n">
        <f aca="false">SUMIF($C$2:$F$2,EOMONTH(AP$2,-1)+1,$C123:$F123)*VLOOKUP(AP$2,Valores!$H$2:$P$154,8,0)</f>
        <v>0</v>
      </c>
      <c r="AQ123" s="27" t="n">
        <f aca="false">SUMIF($C$2:$F$2,EOMONTH(AQ$2,-1)+1,$C123:$F123)*VLOOKUP(AQ$2,Valores!$H$2:$P$154,8,0)</f>
        <v>0</v>
      </c>
      <c r="AR123" s="27" t="n">
        <f aca="false">SUMIF($C$2:$F$2,EOMONTH(AR$2,-1)+1,$C123:$F123)*VLOOKUP(AR$2,Valores!$H$2:$P$154,8,0)</f>
        <v>0</v>
      </c>
      <c r="AS123" s="27" t="n">
        <f aca="false">SUMIF($C$2:$F$2,EOMONTH(AS$2,-1)+1,$C123:$F123)*VLOOKUP(AS$2,Valores!$H$2:$P$154,8,0)</f>
        <v>0</v>
      </c>
      <c r="AT123" s="27" t="n">
        <f aca="false">SUMIF($C$2:$F$2,EOMONTH(AT$2,-1)+1,$C123:$F123)*VLOOKUP(AT$2,Valores!$H$2:$P$154,8,0)</f>
        <v>0</v>
      </c>
      <c r="AU123" s="27" t="n">
        <f aca="false">SUMIF($C$2:$F$2,EOMONTH(AU$2,-1)+1,$C123:$F123)*VLOOKUP(AU$2,Valores!$H$2:$P$154,8,0)</f>
        <v>0</v>
      </c>
      <c r="AV123" s="27" t="n">
        <f aca="false">SUMIF($C$2:$F$2,EOMONTH(AV$2,-1)+1,$C123:$F123)*VLOOKUP(AV$2,Valores!$H$2:$P$154,8,0)</f>
        <v>0</v>
      </c>
      <c r="AW123" s="27" t="n">
        <f aca="false">SUMIF($C$2:$F$2,EOMONTH(AW$2,-1)+1,$C123:$F123)*VLOOKUP(AW$2,Valores!$H$2:$P$154,8,0)</f>
        <v>0</v>
      </c>
      <c r="AX123" s="27" t="n">
        <f aca="false">SUMIF($C$2:$F$2,EOMONTH(AX$2,-1)+1,$C123:$F123)*VLOOKUP(AX$2,Valores!$H$2:$P$154,8,0)</f>
        <v>0</v>
      </c>
      <c r="AY123" s="27" t="n">
        <f aca="false">SUMIF($C$2:$F$2,EOMONTH(AY$2,-1)+1,$C123:$F123)*VLOOKUP(AY$2,Valores!$H$2:$P$154,8,0)</f>
        <v>0</v>
      </c>
      <c r="AZ123" s="27" t="n">
        <f aca="false">SUMIF($C$2:$F$2,EOMONTH(AZ$2,-1)+1,$C123:$F123)*VLOOKUP(AZ$2,Valores!$H$2:$P$154,8,0)</f>
        <v>0</v>
      </c>
      <c r="BA123" s="27" t="n">
        <f aca="false">SUMIF($C$2:$F$2,EOMONTH(BA$2,-1)+1,$C123:$F123)*VLOOKUP(BA$2,Valores!$H$2:$P$154,8,0)</f>
        <v>0</v>
      </c>
      <c r="BB123" s="27" t="n">
        <f aca="false">SUMIF($C$2:$F$2,EOMONTH(BB$2,-1)+1,$C123:$F123)*VLOOKUP(BB$2,Valores!$H$2:$P$154,8,0)</f>
        <v>0</v>
      </c>
      <c r="BC123" s="27" t="n">
        <f aca="false">SUMIF($C$2:$F$2,EOMONTH(BC$2,-1)+1,$C123:$F123)*VLOOKUP(BC$2,Valores!$H$2:$P$154,8,0)</f>
        <v>0</v>
      </c>
      <c r="BD123" s="27" t="n">
        <f aca="false">SUMIF($C$2:$F$2,EOMONTH(BD$2,-1)+1,$C123:$F123)*VLOOKUP(BD$2,Valores!$H$2:$P$154,8,0)</f>
        <v>0</v>
      </c>
      <c r="BE123" s="27" t="n">
        <f aca="false">SUMIF($C$2:$F$2,EOMONTH(BE$2,-1)+1,$C123:$F123)*VLOOKUP(BE$2,Valores!$H$2:$P$154,8,0)</f>
        <v>0</v>
      </c>
      <c r="BF123" s="27" t="n">
        <f aca="false">SUMIF($C$2:$F$2,EOMONTH(BF$2,-1)+1,$C123:$F123)*VLOOKUP(BF$2,Valores!$H$2:$P$154,8,0)</f>
        <v>0</v>
      </c>
      <c r="BG123" s="27" t="n">
        <f aca="false">SUMIF($C$2:$F$2,EOMONTH(BG$2,-1)+1,$C123:$F123)*VLOOKUP(BG$2,Valores!$H$2:$P$154,8,0)</f>
        <v>0</v>
      </c>
      <c r="BH123" s="27" t="n">
        <f aca="false">SUMIF($C$2:$F$2,EOMONTH(BH$2,-1)+1,$C123:$F123)*VLOOKUP(BH$2,Valores!$H$2:$P$154,8,0)</f>
        <v>0</v>
      </c>
      <c r="BI123" s="27" t="n">
        <f aca="false">SUMIF($C$2:$F$2,EOMONTH(BI$2,-1)+1,$C123:$F123)*VLOOKUP(BI$2,Valores!$H$2:$P$154,8,0)</f>
        <v>0</v>
      </c>
      <c r="BJ123" s="27" t="n">
        <f aca="false">SUMIF($C$2:$F$2,EOMONTH(BJ$2,-1)+1,$C123:$F123)*VLOOKUP(BJ$2,Valores!$H$2:$P$154,8,0)</f>
        <v>0</v>
      </c>
      <c r="BK123" s="27" t="n">
        <f aca="false">SUMIF($C$2:$F$2,EOMONTH(BK$2,-1)+1,$C123:$F123)*VLOOKUP(BK$2,Valores!$H$2:$P$154,8,0)</f>
        <v>0</v>
      </c>
      <c r="BL123" s="27" t="n">
        <f aca="false">SUMIF($C$2:$F$2,EOMONTH(BL$2,-1)+1,$C123:$F123)*VLOOKUP(BL$2,Valores!$H$2:$P$154,8,0)</f>
        <v>0</v>
      </c>
      <c r="BM123" s="27" t="n">
        <f aca="false">SUMIF($C$2:$F$2,EOMONTH(BM$2,-1)+1,$C123:$F123)*VLOOKUP(BM$2,Valores!$H$2:$P$154,8,0)</f>
        <v>0</v>
      </c>
      <c r="BN123" s="27" t="n">
        <f aca="false">SUMIF($C$2:$F$2,EOMONTH(BN$2,-1)+1,$C123:$F123)*VLOOKUP(BN$2,Valores!$H$2:$P$154,8,0)</f>
        <v>0</v>
      </c>
      <c r="BO123" s="27" t="n">
        <f aca="false">SUMIF($C$2:$F$2,EOMONTH(BO$2,-1)+1,$C123:$F123)*VLOOKUP(BO$2,Valores!$H$2:$P$154,8,0)</f>
        <v>0</v>
      </c>
      <c r="BP123" s="27" t="n">
        <f aca="false">SUMIF($C$2:$F$2,EOMONTH(BP$2,-1)+1,$C123:$F123)*VLOOKUP(BP$2,Valores!$H$2:$P$154,8,0)</f>
        <v>0</v>
      </c>
      <c r="BQ123" s="27" t="n">
        <f aca="false">SUMIF($C$2:$F$2,EOMONTH(BQ$2,-1)+1,$C123:$F123)*VLOOKUP(BQ$2,Valores!$H$2:$P$154,8,0)</f>
        <v>0</v>
      </c>
      <c r="BR123" s="27" t="n">
        <f aca="false">SUMIF($C$2:$F$2,EOMONTH(BR$2,-1)+1,$C123:$F123)*VLOOKUP(BR$2,Valores!$H$2:$P$154,8,0)</f>
        <v>0</v>
      </c>
      <c r="BS123" s="27" t="n">
        <f aca="false">SUMIF($C$2:$F$2,EOMONTH(BS$2,-1)+1,$C123:$F123)*VLOOKUP(BS$2,Valores!$H$2:$P$154,8,0)</f>
        <v>0</v>
      </c>
      <c r="BT123" s="27" t="n">
        <f aca="false">SUMIF($C$2:$F$2,EOMONTH(BT$2,-1)+1,$C123:$F123)*VLOOKUP(BT$2,Valores!$H$2:$P$154,8,0)</f>
        <v>0</v>
      </c>
      <c r="BU123" s="27" t="n">
        <f aca="false">SUMIF($C$2:$F$2,EOMONTH(BU$2,-1)+1,$C123:$F123)*VLOOKUP(BU$2,Valores!$H$2:$P$154,8,0)</f>
        <v>0</v>
      </c>
      <c r="BV123" s="27" t="n">
        <f aca="false">SUMIF($C$2:$F$2,EOMONTH(BV$2,-1)+1,$C123:$F123)*VLOOKUP(BV$2,Valores!$H$2:$P$154,8,0)</f>
        <v>0</v>
      </c>
      <c r="BW123" s="27" t="n">
        <f aca="false">SUMIF($C$2:$F$2,EOMONTH(BW$2,-1)+1,$C123:$F123)*VLOOKUP(BW$2,Valores!$H$2:$P$154,8,0)</f>
        <v>0</v>
      </c>
      <c r="BX123" s="27" t="n">
        <f aca="false">SUMIF($C$2:$F$2,EOMONTH(BX$2,-1)+1,$C123:$F123)*VLOOKUP(BX$2,Valores!$H$2:$P$154,8,0)</f>
        <v>0</v>
      </c>
      <c r="BY123" s="27" t="n">
        <f aca="false">SUMIF($C$2:$F$2,EOMONTH(BY$2,-1)+1,$C123:$F123)*VLOOKUP(BY$2,Valores!$H$2:$P$154,8,0)</f>
        <v>0</v>
      </c>
      <c r="BZ123" s="27" t="n">
        <f aca="false">SUMIF($C$2:$F$2,EOMONTH(BZ$2,-1)+1,$C123:$F123)*VLOOKUP(BZ$2,Valores!$H$2:$P$154,8,0)</f>
        <v>0</v>
      </c>
      <c r="CA123" s="27" t="n">
        <f aca="false">SUMIF($C$2:$F$2,EOMONTH(CA$2,-1)+1,$C123:$F123)*VLOOKUP(CA$2,Valores!$H$2:$P$154,8,0)</f>
        <v>0</v>
      </c>
      <c r="CB123" s="27" t="n">
        <f aca="false">SUMIF($C$2:$F$2,EOMONTH(CB$2,-1)+1,$C123:$F123)*VLOOKUP(CB$2,Valores!$H$2:$P$154,8,0)</f>
        <v>0</v>
      </c>
      <c r="CC123" s="27" t="n">
        <f aca="false">SUMIF($C$2:$F$2,EOMONTH(CC$2,-1)+1,$C123:$F123)*VLOOKUP(CC$2,Valores!$H$2:$P$154,8,0)</f>
        <v>0</v>
      </c>
      <c r="CD123" s="27" t="n">
        <f aca="false">SUMIF($C$2:$F$2,EOMONTH(CD$2,-1)+1,$C123:$F123)*VLOOKUP(CD$2,Valores!$H$2:$P$154,8,0)</f>
        <v>0</v>
      </c>
      <c r="CE123" s="27" t="n">
        <f aca="false">SUMIF($C$2:$F$2,EOMONTH(CE$2,-1)+1,$C123:$F123)*VLOOKUP(CE$2,Valores!$H$2:$P$154,8,0)</f>
        <v>0</v>
      </c>
      <c r="CF123" s="27" t="n">
        <f aca="false">SUMIF($C$2:$F$2,EOMONTH(CF$2,-1)+1,$C123:$F123)*VLOOKUP(CF$2,Valores!$H$2:$P$154,8,0)</f>
        <v>0</v>
      </c>
      <c r="CG123" s="27" t="n">
        <f aca="false">SUMIF($C$2:$F$2,EOMONTH(CG$2,-1)+1,$C123:$F123)*VLOOKUP(CG$2,Valores!$H$2:$P$154,8,0)</f>
        <v>0</v>
      </c>
      <c r="CH123" s="27" t="n">
        <f aca="false">SUMIF($C$2:$F$2,EOMONTH(CH$2,-1)+1,$C123:$F123)*VLOOKUP(CH$2,Valores!$H$2:$P$154,8,0)</f>
        <v>0</v>
      </c>
      <c r="CI123" s="27" t="n">
        <f aca="false">SUMIF($C$2:$F$2,EOMONTH(CI$2,-1)+1,$C123:$F123)*VLOOKUP(CI$2,Valores!$H$2:$P$154,8,0)</f>
        <v>0</v>
      </c>
      <c r="CJ123" s="27" t="n">
        <f aca="false">SUMIF($C$2:$F$2,EOMONTH(CJ$2,-1)+1,$C123:$F123)*VLOOKUP(CJ$2,Valores!$H$2:$P$154,8,0)</f>
        <v>0</v>
      </c>
      <c r="CK123" s="27" t="n">
        <f aca="false">SUMIF($C$2:$F$2,EOMONTH(CK$2,-1)+1,$C123:$F123)*VLOOKUP(CK$2,Valores!$H$2:$P$154,8,0)</f>
        <v>0</v>
      </c>
      <c r="CL123" s="27" t="n">
        <f aca="false">SUMIF($C$2:$F$2,EOMONTH(CL$2,-1)+1,$C123:$F123)*VLOOKUP(CL$2,Valores!$H$2:$P$154,8,0)</f>
        <v>0</v>
      </c>
      <c r="CM123" s="27" t="n">
        <f aca="false">SUMIF($C$2:$F$2,EOMONTH(CM$2,-1)+1,$C123:$F123)*VLOOKUP(CM$2,Valores!$H$2:$P$154,8,0)</f>
        <v>0</v>
      </c>
      <c r="CN123" s="27" t="n">
        <f aca="false">SUMIF($C$2:$F$2,EOMONTH(CN$2,-1)+1,$C123:$F123)*VLOOKUP(CN$2,Valores!$H$2:$P$154,8,0)</f>
        <v>0</v>
      </c>
      <c r="CO123" s="27" t="n">
        <f aca="false">SUMIF($C$2:$F$2,EOMONTH(CO$2,-1)+1,$C123:$F123)*VLOOKUP(CO$2,Valores!$H$2:$P$154,8,0)</f>
        <v>0</v>
      </c>
      <c r="CP123" s="27" t="n">
        <f aca="false">SUMIF($C$2:$F$2,EOMONTH(CP$2,-1)+1,$C123:$F123)*VLOOKUP(CP$2,Valores!$H$2:$P$154,8,0)</f>
        <v>0</v>
      </c>
      <c r="CQ123" s="27" t="n">
        <f aca="false">SUMIF($C$2:$F$2,EOMONTH(CQ$2,-1)+1,$C123:$F123)*VLOOKUP(CQ$2,Valores!$H$2:$P$154,8,0)</f>
        <v>0</v>
      </c>
      <c r="CR123" s="27" t="n">
        <f aca="false">SUMIF($C$2:$F$2,EOMONTH(CR$2,-1)+1,$C123:$F123)*VLOOKUP(CR$2,Valores!$H$2:$P$154,8,0)</f>
        <v>0</v>
      </c>
      <c r="CS123" s="27" t="n">
        <f aca="false">SUMIF($C$2:$F$2,EOMONTH(CS$2,-1)+1,$C123:$F123)*VLOOKUP(CS$2,Valores!$H$2:$P$154,8,0)</f>
        <v>0</v>
      </c>
      <c r="CT123" s="27" t="e">
        <f aca="false">SUMIF($C$2:$F$2,EOMONTH(CT$2,-1)+1,$C123:$F123)*VLOOKUP(CT$2,Valores!$H$2:$P$154,8,0)</f>
        <v>#VALUE!</v>
      </c>
      <c r="CU123" s="27" t="e">
        <f aca="false">SUMIF($C$2:$F$2,EOMONTH(CU$2,-1)+1,$C123:$F123)*VLOOKUP(CU$2,Valores!$H$2:$P$154,8,0)</f>
        <v>#VALUE!</v>
      </c>
      <c r="CV123" s="27" t="e">
        <f aca="false">SUMIF($C$2:$F$2,EOMONTH(CV$2,-1)+1,$C123:$F123)*VLOOKUP(CV$2,Valores!$H$2:$P$154,8,0)</f>
        <v>#VALUE!</v>
      </c>
      <c r="CW123" s="27" t="e">
        <f aca="false">SUMIF($C$2:$F$2,EOMONTH(CW$2,-1)+1,$C123:$F123)*VLOOKUP(CW$2,Valores!$H$2:$P$154,8,0)</f>
        <v>#VALUE!</v>
      </c>
      <c r="CX123" s="27" t="e">
        <f aca="false">SUMIF($C$2:$F$2,EOMONTH(CX$2,-1)+1,$C123:$F123)*VLOOKUP(CX$2,Valores!$H$2:$P$154,8,0)</f>
        <v>#VALUE!</v>
      </c>
      <c r="CY123" s="27" t="e">
        <f aca="false">SUMIF($C$2:$F$2,EOMONTH(CY$2,-1)+1,$C123:$F123)*VLOOKUP(CY$2,Valores!$H$2:$P$154,8,0)</f>
        <v>#VALUE!</v>
      </c>
      <c r="CZ123" s="27" t="e">
        <f aca="false">SUMIF($C$2:$F$2,EOMONTH(CZ$2,-1)+1,$C123:$F123)*VLOOKUP(CZ$2,Valores!$H$2:$P$154,8,0)</f>
        <v>#VALUE!</v>
      </c>
      <c r="DA123" s="27" t="e">
        <f aca="false">SUMIF($C$2:$F$2,EOMONTH(DA$2,-1)+1,$C123:$F123)*VLOOKUP(DA$2,Valores!$H$2:$P$154,8,0)</f>
        <v>#VALUE!</v>
      </c>
      <c r="DB123" s="27" t="e">
        <f aca="false">SUMIF($C$2:$F$2,EOMONTH(DB$2,-1)+1,$C123:$F123)*VLOOKUP(DB$2,Valores!$H$2:$P$154,8,0)</f>
        <v>#VALUE!</v>
      </c>
      <c r="DC123" s="27" t="e">
        <f aca="false">SUMIF($C$2:$F$2,EOMONTH(DC$2,-1)+1,$C123:$F123)*VLOOKUP(DC$2,Valores!$H$2:$P$154,8,0)</f>
        <v>#VALUE!</v>
      </c>
      <c r="DD123" s="27" t="e">
        <f aca="false">SUMIF($C$2:$F$2,EOMONTH(DD$2,-1)+1,$C123:$F123)*VLOOKUP(DD$2,Valores!$H$2:$P$154,8,0)</f>
        <v>#VALUE!</v>
      </c>
      <c r="DE123" s="27" t="e">
        <f aca="false">SUMIF($C$2:$F$2,EOMONTH(DE$2,-1)+1,$C123:$F123)*VLOOKUP(DE$2,Valores!$H$2:$P$154,8,0)</f>
        <v>#VALUE!</v>
      </c>
      <c r="DF123" s="27" t="e">
        <f aca="false">SUMIF($C$2:$F$2,EOMONTH(DF$2,-1)+1,$C123:$F123)*VLOOKUP(DF$2,Valores!$H$2:$P$154,8,0)</f>
        <v>#VALUE!</v>
      </c>
      <c r="DG123" s="27" t="e">
        <f aca="false">SUMIF($C$2:$F$2,EOMONTH(DG$2,-1)+1,$C123:$F123)*VLOOKUP(DG$2,Valores!$H$2:$P$154,8,0)</f>
        <v>#VALUE!</v>
      </c>
      <c r="DH123" s="27" t="e">
        <f aca="false">SUMIF($C$2:$F$2,EOMONTH(DH$2,-1)+1,$C123:$F123)*VLOOKUP(DH$2,Valores!$H$2:$P$154,8,0)</f>
        <v>#VALUE!</v>
      </c>
      <c r="DI123" s="27" t="e">
        <f aca="false">SUMIF($C$2:$F$2,EOMONTH(DI$2,-1)+1,$C123:$F123)*VLOOKUP(DI$2,Valores!$H$2:$P$154,8,0)</f>
        <v>#VALUE!</v>
      </c>
      <c r="DJ123" s="27" t="e">
        <f aca="false">SUMIF($C$2:$F$2,EOMONTH(DJ$2,-1)+1,$C123:$F123)*VLOOKUP(DJ$2,Valores!$H$2:$P$154,8,0)</f>
        <v>#VALUE!</v>
      </c>
      <c r="DK123" s="27" t="e">
        <f aca="false">SUMIF($C$2:$F$2,EOMONTH(DK$2,-1)+1,$C123:$F123)*VLOOKUP(DK$2,Valores!$H$2:$P$154,8,0)</f>
        <v>#VALUE!</v>
      </c>
      <c r="DL123" s="27" t="e">
        <f aca="false">SUMIF($C$2:$F$2,EOMONTH(DL$2,-1)+1,$C123:$F123)*VLOOKUP(DL$2,Valores!$H$2:$P$154,8,0)</f>
        <v>#VALUE!</v>
      </c>
      <c r="DM123" s="27" t="e">
        <f aca="false">SUMIF($C$2:$F$2,EOMONTH(DM$2,-1)+1,$C123:$F123)*VLOOKUP(DM$2,Valores!$H$2:$P$154,8,0)</f>
        <v>#VALUE!</v>
      </c>
      <c r="DN123" s="27" t="e">
        <f aca="false">SUMIF($C$2:$F$2,EOMONTH(DN$2,-1)+1,$C123:$F123)*VLOOKUP(DN$2,Valores!$H$2:$P$154,8,0)</f>
        <v>#VALUE!</v>
      </c>
      <c r="DO123" s="27" t="e">
        <f aca="false">SUMIF($C$2:$F$2,EOMONTH(DO$2,-1)+1,$C123:$F123)*VLOOKUP(DO$2,Valores!$H$2:$P$154,8,0)</f>
        <v>#VALUE!</v>
      </c>
      <c r="DP123" s="27" t="e">
        <f aca="false">SUMIF($C$2:$F$2,EOMONTH(DP$2,-1)+1,$C123:$F123)*VLOOKUP(DP$2,Valores!$H$2:$P$154,8,0)</f>
        <v>#VALUE!</v>
      </c>
      <c r="DQ123" s="27" t="e">
        <f aca="false">SUMIF($C$2:$F$2,EOMONTH(DQ$2,-1)+1,$C123:$F123)*VLOOKUP(DQ$2,Valores!$H$2:$P$154,8,0)</f>
        <v>#VALUE!</v>
      </c>
      <c r="DR123" s="27" t="e">
        <f aca="false">SUMIF($C$2:$F$2,EOMONTH(DR$2,-1)+1,$C123:$F123)*VLOOKUP(DR$2,Valores!$H$2:$P$154,8,0)</f>
        <v>#VALUE!</v>
      </c>
      <c r="DS123" s="27" t="e">
        <f aca="false">SUMIF($C$2:$F$2,EOMONTH(DS$2,-1)+1,$C123:$F123)*VLOOKUP(DS$2,Valores!$H$2:$P$154,8,0)</f>
        <v>#VALUE!</v>
      </c>
      <c r="DT123" s="27" t="e">
        <f aca="false">SUMIF($C$2:$F$2,EOMONTH(DT$2,-1)+1,$C123:$F123)*VLOOKUP(DT$2,Valores!$H$2:$P$154,8,0)</f>
        <v>#VALUE!</v>
      </c>
      <c r="DU123" s="27" t="e">
        <f aca="false">SUMIF($C$2:$F$2,EOMONTH(DU$2,-1)+1,$C123:$F123)*VLOOKUP(DU$2,Valores!$H$2:$P$154,8,0)</f>
        <v>#VALUE!</v>
      </c>
      <c r="DV123" s="27" t="e">
        <f aca="false">SUMIF($C$2:$F$2,EOMONTH(DV$2,-1)+1,$C123:$F123)*VLOOKUP(DV$2,Valores!$H$2:$P$154,8,0)</f>
        <v>#VALUE!</v>
      </c>
      <c r="DW123" s="27" t="e">
        <f aca="false">SUMIF($C$2:$F$2,EOMONTH(DW$2,-1)+1,$C123:$F123)*VLOOKUP(DW$2,Valores!$H$2:$P$154,8,0)</f>
        <v>#VALUE!</v>
      </c>
      <c r="DX123" s="27" t="e">
        <f aca="false">SUMIF($C$2:$F$2,EOMONTH(DX$2,-1)+1,$C123:$F123)*VLOOKUP(DX$2,Valores!$H$2:$P$154,8,0)</f>
        <v>#VALUE!</v>
      </c>
    </row>
    <row r="124" customFormat="false" ht="13.8" hidden="false" customHeight="false" outlineLevel="0" collapsed="false">
      <c r="A124" s="29"/>
      <c r="B124" s="29"/>
      <c r="C124" s="29"/>
      <c r="D124" s="29"/>
      <c r="E124" s="29"/>
      <c r="F124" s="29"/>
      <c r="G124" s="30" t="n">
        <f aca="false">SUMIF($C$2:$F$2,EOMONTH(G$2,-1)+1,$C124:$F124)*VLOOKUP(G$2,Valores!$H$2:$P$154,8,0)</f>
        <v>0</v>
      </c>
      <c r="H124" s="30" t="n">
        <f aca="false">SUMIF($C$2:$F$2,EOMONTH(H$2,-1)+1,$C124:$F124)*VLOOKUP(H$2,Valores!$H$2:$P$154,8,0)</f>
        <v>0</v>
      </c>
      <c r="I124" s="30" t="n">
        <f aca="false">SUMIF($C$2:$F$2,EOMONTH(I$2,-1)+1,$C124:$F124)*VLOOKUP(I$2,Valores!$H$2:$P$154,8,0)</f>
        <v>0</v>
      </c>
      <c r="J124" s="30" t="n">
        <f aca="false">SUMIF($C$2:$F$2,EOMONTH(J$2,-1)+1,$C124:$F124)*VLOOKUP(J$2,Valores!$H$2:$P$154,8,0)</f>
        <v>0</v>
      </c>
      <c r="K124" s="30" t="n">
        <f aca="false">SUMIF($C$2:$F$2,EOMONTH(K$2,-1)+1,$C124:$F124)*VLOOKUP(K$2,Valores!$H$2:$P$154,8,0)</f>
        <v>0</v>
      </c>
      <c r="L124" s="30" t="n">
        <f aca="false">SUMIF($C$2:$F$2,EOMONTH(L$2,-1)+1,$C124:$F124)*VLOOKUP(L$2,Valores!$H$2:$P$154,8,0)</f>
        <v>0</v>
      </c>
      <c r="M124" s="30" t="n">
        <f aca="false">SUMIF($C$2:$F$2,EOMONTH(M$2,-1)+1,$C124:$F124)*VLOOKUP(M$2,Valores!$H$2:$P$154,8,0)</f>
        <v>0</v>
      </c>
      <c r="N124" s="30" t="n">
        <f aca="false">SUMIF($C$2:$F$2,EOMONTH(N$2,-1)+1,$C124:$F124)*VLOOKUP(N$2,Valores!$H$2:$P$154,8,0)</f>
        <v>0</v>
      </c>
      <c r="O124" s="30" t="n">
        <f aca="false">SUMIF($C$2:$F$2,EOMONTH(O$2,-1)+1,$C124:$F124)*VLOOKUP(O$2,Valores!$H$2:$P$154,8,0)</f>
        <v>0</v>
      </c>
      <c r="P124" s="30" t="n">
        <f aca="false">SUMIF($C$2:$F$2,EOMONTH(P$2,-1)+1,$C124:$F124)*VLOOKUP(P$2,Valores!$H$2:$P$154,8,0)</f>
        <v>0</v>
      </c>
      <c r="Q124" s="30" t="n">
        <f aca="false">SUMIF($C$2:$F$2,EOMONTH(Q$2,-1)+1,$C124:$F124)*VLOOKUP(Q$2,Valores!$H$2:$P$154,8,0)</f>
        <v>0</v>
      </c>
      <c r="R124" s="30" t="n">
        <f aca="false">SUMIF($C$2:$F$2,EOMONTH(R$2,-1)+1,$C124:$F124)*VLOOKUP(R$2,Valores!$H$2:$P$154,8,0)</f>
        <v>0</v>
      </c>
      <c r="S124" s="30" t="n">
        <f aca="false">SUMIF($C$2:$F$2,EOMONTH(S$2,-1)+1,$C124:$F124)*VLOOKUP(S$2,Valores!$H$2:$P$154,8,0)</f>
        <v>0</v>
      </c>
      <c r="T124" s="30" t="n">
        <f aca="false">SUMIF($C$2:$F$2,EOMONTH(T$2,-1)+1,$C124:$F124)*VLOOKUP(T$2,Valores!$H$2:$P$154,8,0)</f>
        <v>0</v>
      </c>
      <c r="U124" s="30" t="n">
        <f aca="false">SUMIF($C$2:$F$2,EOMONTH(U$2,-1)+1,$C124:$F124)*VLOOKUP(U$2,Valores!$H$2:$P$154,8,0)</f>
        <v>0</v>
      </c>
      <c r="V124" s="30" t="n">
        <f aca="false">SUMIF($C$2:$F$2,EOMONTH(V$2,-1)+1,$C124:$F124)*VLOOKUP(V$2,Valores!$H$2:$P$154,8,0)</f>
        <v>0</v>
      </c>
      <c r="W124" s="30" t="n">
        <f aca="false">SUMIF($C$2:$F$2,EOMONTH(W$2,-1)+1,$C124:$F124)*VLOOKUP(W$2,Valores!$H$2:$P$154,8,0)</f>
        <v>0</v>
      </c>
      <c r="X124" s="30" t="n">
        <f aca="false">SUMIF($C$2:$F$2,EOMONTH(X$2,-1)+1,$C124:$F124)*VLOOKUP(X$2,Valores!$H$2:$P$154,8,0)</f>
        <v>0</v>
      </c>
      <c r="Y124" s="30" t="n">
        <f aca="false">SUMIF($C$2:$F$2,EOMONTH(Y$2,-1)+1,$C124:$F124)*VLOOKUP(Y$2,Valores!$H$2:$P$154,8,0)</f>
        <v>0</v>
      </c>
      <c r="Z124" s="30" t="n">
        <f aca="false">SUMIF($C$2:$F$2,EOMONTH(Z$2,-1)+1,$C124:$F124)*VLOOKUP(Z$2,Valores!$H$2:$P$154,8,0)</f>
        <v>0</v>
      </c>
      <c r="AA124" s="30" t="n">
        <f aca="false">SUMIF($C$2:$F$2,EOMONTH(AA$2,-1)+1,$C124:$F124)*VLOOKUP(AA$2,Valores!$H$2:$P$154,8,0)</f>
        <v>0</v>
      </c>
      <c r="AB124" s="30" t="n">
        <f aca="false">SUMIF($C$2:$F$2,EOMONTH(AB$2,-1)+1,$C124:$F124)*VLOOKUP(AB$2,Valores!$H$2:$P$154,8,0)</f>
        <v>0</v>
      </c>
      <c r="AC124" s="30" t="n">
        <f aca="false">SUMIF($C$2:$F$2,EOMONTH(AC$2,-1)+1,$C124:$F124)*VLOOKUP(AC$2,Valores!$H$2:$P$154,8,0)</f>
        <v>0</v>
      </c>
      <c r="AD124" s="30" t="n">
        <f aca="false">SUMIF($C$2:$F$2,EOMONTH(AD$2,-1)+1,$C124:$F124)*VLOOKUP(AD$2,Valores!$H$2:$P$154,8,0)</f>
        <v>0</v>
      </c>
      <c r="AE124" s="30" t="n">
        <f aca="false">SUMIF($C$2:$F$2,EOMONTH(AE$2,-1)+1,$C124:$F124)*VLOOKUP(AE$2,Valores!$H$2:$P$154,8,0)</f>
        <v>0</v>
      </c>
      <c r="AF124" s="30" t="n">
        <f aca="false">SUMIF($C$2:$F$2,EOMONTH(AF$2,-1)+1,$C124:$F124)*VLOOKUP(AF$2,Valores!$H$2:$P$154,8,0)</f>
        <v>0</v>
      </c>
      <c r="AG124" s="30" t="n">
        <f aca="false">SUMIF($C$2:$F$2,EOMONTH(AG$2,-1)+1,$C124:$F124)*VLOOKUP(AG$2,Valores!$H$2:$P$154,8,0)</f>
        <v>0</v>
      </c>
      <c r="AH124" s="30" t="n">
        <f aca="false">SUMIF($C$2:$F$2,EOMONTH(AH$2,-1)+1,$C124:$F124)*VLOOKUP(AH$2,Valores!$H$2:$P$154,8,0)</f>
        <v>0</v>
      </c>
      <c r="AI124" s="30" t="n">
        <f aca="false">SUMIF($C$2:$F$2,EOMONTH(AI$2,-1)+1,$C124:$F124)*VLOOKUP(AI$2,Valores!$H$2:$P$154,8,0)</f>
        <v>0</v>
      </c>
      <c r="AJ124" s="30" t="n">
        <f aca="false">SUMIF($C$2:$F$2,EOMONTH(AJ$2,-1)+1,$C124:$F124)*VLOOKUP(AJ$2,Valores!$H$2:$P$154,8,0)</f>
        <v>0</v>
      </c>
      <c r="AK124" s="30" t="n">
        <f aca="false">SUMIF($C$2:$F$2,EOMONTH(AK$2,-1)+1,$C124:$F124)*VLOOKUP(AK$2,Valores!$H$2:$P$154,8,0)</f>
        <v>0</v>
      </c>
      <c r="AL124" s="30" t="n">
        <f aca="false">SUMIF($C$2:$F$2,EOMONTH(AL$2,-1)+1,$C124:$F124)*VLOOKUP(AL$2,Valores!$H$2:$P$154,8,0)</f>
        <v>0</v>
      </c>
      <c r="AM124" s="30" t="n">
        <f aca="false">SUMIF($C$2:$F$2,EOMONTH(AM$2,-1)+1,$C124:$F124)*VLOOKUP(AM$2,Valores!$H$2:$P$154,8,0)</f>
        <v>0</v>
      </c>
      <c r="AN124" s="30" t="n">
        <f aca="false">SUMIF($C$2:$F$2,EOMONTH(AN$2,-1)+1,$C124:$F124)*VLOOKUP(AN$2,Valores!$H$2:$P$154,8,0)</f>
        <v>0</v>
      </c>
      <c r="AO124" s="30" t="n">
        <f aca="false">SUMIF($C$2:$F$2,EOMONTH(AO$2,-1)+1,$C124:$F124)*VLOOKUP(AO$2,Valores!$H$2:$P$154,8,0)</f>
        <v>0</v>
      </c>
      <c r="AP124" s="30" t="n">
        <f aca="false">SUMIF($C$2:$F$2,EOMONTH(AP$2,-1)+1,$C124:$F124)*VLOOKUP(AP$2,Valores!$H$2:$P$154,8,0)</f>
        <v>0</v>
      </c>
      <c r="AQ124" s="30" t="n">
        <f aca="false">SUMIF($C$2:$F$2,EOMONTH(AQ$2,-1)+1,$C124:$F124)*VLOOKUP(AQ$2,Valores!$H$2:$P$154,8,0)</f>
        <v>0</v>
      </c>
      <c r="AR124" s="30" t="n">
        <f aca="false">SUMIF($C$2:$F$2,EOMONTH(AR$2,-1)+1,$C124:$F124)*VLOOKUP(AR$2,Valores!$H$2:$P$154,8,0)</f>
        <v>0</v>
      </c>
      <c r="AS124" s="30" t="n">
        <f aca="false">SUMIF($C$2:$F$2,EOMONTH(AS$2,-1)+1,$C124:$F124)*VLOOKUP(AS$2,Valores!$H$2:$P$154,8,0)</f>
        <v>0</v>
      </c>
      <c r="AT124" s="30" t="n">
        <f aca="false">SUMIF($C$2:$F$2,EOMONTH(AT$2,-1)+1,$C124:$F124)*VLOOKUP(AT$2,Valores!$H$2:$P$154,8,0)</f>
        <v>0</v>
      </c>
      <c r="AU124" s="30" t="n">
        <f aca="false">SUMIF($C$2:$F$2,EOMONTH(AU$2,-1)+1,$C124:$F124)*VLOOKUP(AU$2,Valores!$H$2:$P$154,8,0)</f>
        <v>0</v>
      </c>
      <c r="AV124" s="30" t="n">
        <f aca="false">SUMIF($C$2:$F$2,EOMONTH(AV$2,-1)+1,$C124:$F124)*VLOOKUP(AV$2,Valores!$H$2:$P$154,8,0)</f>
        <v>0</v>
      </c>
      <c r="AW124" s="30" t="n">
        <f aca="false">SUMIF($C$2:$F$2,EOMONTH(AW$2,-1)+1,$C124:$F124)*VLOOKUP(AW$2,Valores!$H$2:$P$154,8,0)</f>
        <v>0</v>
      </c>
      <c r="AX124" s="30" t="n">
        <f aca="false">SUMIF($C$2:$F$2,EOMONTH(AX$2,-1)+1,$C124:$F124)*VLOOKUP(AX$2,Valores!$H$2:$P$154,8,0)</f>
        <v>0</v>
      </c>
      <c r="AY124" s="30" t="n">
        <f aca="false">SUMIF($C$2:$F$2,EOMONTH(AY$2,-1)+1,$C124:$F124)*VLOOKUP(AY$2,Valores!$H$2:$P$154,8,0)</f>
        <v>0</v>
      </c>
      <c r="AZ124" s="30" t="n">
        <f aca="false">SUMIF($C$2:$F$2,EOMONTH(AZ$2,-1)+1,$C124:$F124)*VLOOKUP(AZ$2,Valores!$H$2:$P$154,8,0)</f>
        <v>0</v>
      </c>
      <c r="BA124" s="30" t="n">
        <f aca="false">SUMIF($C$2:$F$2,EOMONTH(BA$2,-1)+1,$C124:$F124)*VLOOKUP(BA$2,Valores!$H$2:$P$154,8,0)</f>
        <v>0</v>
      </c>
      <c r="BB124" s="30" t="n">
        <f aca="false">SUMIF($C$2:$F$2,EOMONTH(BB$2,-1)+1,$C124:$F124)*VLOOKUP(BB$2,Valores!$H$2:$P$154,8,0)</f>
        <v>0</v>
      </c>
      <c r="BC124" s="30" t="n">
        <f aca="false">SUMIF($C$2:$F$2,EOMONTH(BC$2,-1)+1,$C124:$F124)*VLOOKUP(BC$2,Valores!$H$2:$P$154,8,0)</f>
        <v>0</v>
      </c>
      <c r="BD124" s="30" t="n">
        <f aca="false">SUMIF($C$2:$F$2,EOMONTH(BD$2,-1)+1,$C124:$F124)*VLOOKUP(BD$2,Valores!$H$2:$P$154,8,0)</f>
        <v>0</v>
      </c>
      <c r="BE124" s="30" t="n">
        <f aca="false">SUMIF($C$2:$F$2,EOMONTH(BE$2,-1)+1,$C124:$F124)*VLOOKUP(BE$2,Valores!$H$2:$P$154,8,0)</f>
        <v>0</v>
      </c>
      <c r="BF124" s="30" t="n">
        <f aca="false">SUMIF($C$2:$F$2,EOMONTH(BF$2,-1)+1,$C124:$F124)*VLOOKUP(BF$2,Valores!$H$2:$P$154,8,0)</f>
        <v>0</v>
      </c>
      <c r="BG124" s="30" t="n">
        <f aca="false">SUMIF($C$2:$F$2,EOMONTH(BG$2,-1)+1,$C124:$F124)*VLOOKUP(BG$2,Valores!$H$2:$P$154,8,0)</f>
        <v>0</v>
      </c>
      <c r="BH124" s="30" t="n">
        <f aca="false">SUMIF($C$2:$F$2,EOMONTH(BH$2,-1)+1,$C124:$F124)*VLOOKUP(BH$2,Valores!$H$2:$P$154,8,0)</f>
        <v>0</v>
      </c>
      <c r="BI124" s="30" t="n">
        <f aca="false">SUMIF($C$2:$F$2,EOMONTH(BI$2,-1)+1,$C124:$F124)*VLOOKUP(BI$2,Valores!$H$2:$P$154,8,0)</f>
        <v>0</v>
      </c>
      <c r="BJ124" s="30" t="n">
        <f aca="false">SUMIF($C$2:$F$2,EOMONTH(BJ$2,-1)+1,$C124:$F124)*VLOOKUP(BJ$2,Valores!$H$2:$P$154,8,0)</f>
        <v>0</v>
      </c>
      <c r="BK124" s="30" t="n">
        <f aca="false">SUMIF($C$2:$F$2,EOMONTH(BK$2,-1)+1,$C124:$F124)*VLOOKUP(BK$2,Valores!$H$2:$P$154,8,0)</f>
        <v>0</v>
      </c>
      <c r="BL124" s="30" t="n">
        <f aca="false">SUMIF($C$2:$F$2,EOMONTH(BL$2,-1)+1,$C124:$F124)*VLOOKUP(BL$2,Valores!$H$2:$P$154,8,0)</f>
        <v>0</v>
      </c>
      <c r="BM124" s="30" t="n">
        <f aca="false">SUMIF($C$2:$F$2,EOMONTH(BM$2,-1)+1,$C124:$F124)*VLOOKUP(BM$2,Valores!$H$2:$P$154,8,0)</f>
        <v>0</v>
      </c>
      <c r="BN124" s="30" t="n">
        <f aca="false">SUMIF($C$2:$F$2,EOMONTH(BN$2,-1)+1,$C124:$F124)*VLOOKUP(BN$2,Valores!$H$2:$P$154,8,0)</f>
        <v>0</v>
      </c>
      <c r="BO124" s="30" t="n">
        <f aca="false">SUMIF($C$2:$F$2,EOMONTH(BO$2,-1)+1,$C124:$F124)*VLOOKUP(BO$2,Valores!$H$2:$P$154,8,0)</f>
        <v>0</v>
      </c>
      <c r="BP124" s="30" t="n">
        <f aca="false">SUMIF($C$2:$F$2,EOMONTH(BP$2,-1)+1,$C124:$F124)*VLOOKUP(BP$2,Valores!$H$2:$P$154,8,0)</f>
        <v>0</v>
      </c>
      <c r="BQ124" s="30" t="n">
        <f aca="false">SUMIF($C$2:$F$2,EOMONTH(BQ$2,-1)+1,$C124:$F124)*VLOOKUP(BQ$2,Valores!$H$2:$P$154,8,0)</f>
        <v>0</v>
      </c>
      <c r="BR124" s="30" t="n">
        <f aca="false">SUMIF($C$2:$F$2,EOMONTH(BR$2,-1)+1,$C124:$F124)*VLOOKUP(BR$2,Valores!$H$2:$P$154,8,0)</f>
        <v>0</v>
      </c>
      <c r="BS124" s="30" t="n">
        <f aca="false">SUMIF($C$2:$F$2,EOMONTH(BS$2,-1)+1,$C124:$F124)*VLOOKUP(BS$2,Valores!$H$2:$P$154,8,0)</f>
        <v>0</v>
      </c>
      <c r="BT124" s="30" t="n">
        <f aca="false">SUMIF($C$2:$F$2,EOMONTH(BT$2,-1)+1,$C124:$F124)*VLOOKUP(BT$2,Valores!$H$2:$P$154,8,0)</f>
        <v>0</v>
      </c>
      <c r="BU124" s="30" t="n">
        <f aca="false">SUMIF($C$2:$F$2,EOMONTH(BU$2,-1)+1,$C124:$F124)*VLOOKUP(BU$2,Valores!$H$2:$P$154,8,0)</f>
        <v>0</v>
      </c>
      <c r="BV124" s="30" t="n">
        <f aca="false">SUMIF($C$2:$F$2,EOMONTH(BV$2,-1)+1,$C124:$F124)*VLOOKUP(BV$2,Valores!$H$2:$P$154,8,0)</f>
        <v>0</v>
      </c>
      <c r="BW124" s="30" t="n">
        <f aca="false">SUMIF($C$2:$F$2,EOMONTH(BW$2,-1)+1,$C124:$F124)*VLOOKUP(BW$2,Valores!$H$2:$P$154,8,0)</f>
        <v>0</v>
      </c>
      <c r="BX124" s="30" t="n">
        <f aca="false">SUMIF($C$2:$F$2,EOMONTH(BX$2,-1)+1,$C124:$F124)*VLOOKUP(BX$2,Valores!$H$2:$P$154,8,0)</f>
        <v>0</v>
      </c>
      <c r="BY124" s="30" t="n">
        <f aca="false">SUMIF($C$2:$F$2,EOMONTH(BY$2,-1)+1,$C124:$F124)*VLOOKUP(BY$2,Valores!$H$2:$P$154,8,0)</f>
        <v>0</v>
      </c>
      <c r="BZ124" s="30" t="n">
        <f aca="false">SUMIF($C$2:$F$2,EOMONTH(BZ$2,-1)+1,$C124:$F124)*VLOOKUP(BZ$2,Valores!$H$2:$P$154,8,0)</f>
        <v>0</v>
      </c>
      <c r="CA124" s="30" t="n">
        <f aca="false">SUMIF($C$2:$F$2,EOMONTH(CA$2,-1)+1,$C124:$F124)*VLOOKUP(CA$2,Valores!$H$2:$P$154,8,0)</f>
        <v>0</v>
      </c>
      <c r="CB124" s="30" t="n">
        <f aca="false">SUMIF($C$2:$F$2,EOMONTH(CB$2,-1)+1,$C124:$F124)*VLOOKUP(CB$2,Valores!$H$2:$P$154,8,0)</f>
        <v>0</v>
      </c>
      <c r="CC124" s="30" t="n">
        <f aca="false">SUMIF($C$2:$F$2,EOMONTH(CC$2,-1)+1,$C124:$F124)*VLOOKUP(CC$2,Valores!$H$2:$P$154,8,0)</f>
        <v>0</v>
      </c>
      <c r="CD124" s="30" t="n">
        <f aca="false">SUMIF($C$2:$F$2,EOMONTH(CD$2,-1)+1,$C124:$F124)*VLOOKUP(CD$2,Valores!$H$2:$P$154,8,0)</f>
        <v>0</v>
      </c>
      <c r="CE124" s="30" t="n">
        <f aca="false">SUMIF($C$2:$F$2,EOMONTH(CE$2,-1)+1,$C124:$F124)*VLOOKUP(CE$2,Valores!$H$2:$P$154,8,0)</f>
        <v>0</v>
      </c>
      <c r="CF124" s="30" t="n">
        <f aca="false">SUMIF($C$2:$F$2,EOMONTH(CF$2,-1)+1,$C124:$F124)*VLOOKUP(CF$2,Valores!$H$2:$P$154,8,0)</f>
        <v>0</v>
      </c>
      <c r="CG124" s="30" t="n">
        <f aca="false">SUMIF($C$2:$F$2,EOMONTH(CG$2,-1)+1,$C124:$F124)*VLOOKUP(CG$2,Valores!$H$2:$P$154,8,0)</f>
        <v>0</v>
      </c>
      <c r="CH124" s="30" t="n">
        <f aca="false">SUMIF($C$2:$F$2,EOMONTH(CH$2,-1)+1,$C124:$F124)*VLOOKUP(CH$2,Valores!$H$2:$P$154,8,0)</f>
        <v>0</v>
      </c>
      <c r="CI124" s="30" t="n">
        <f aca="false">SUMIF($C$2:$F$2,EOMONTH(CI$2,-1)+1,$C124:$F124)*VLOOKUP(CI$2,Valores!$H$2:$P$154,8,0)</f>
        <v>0</v>
      </c>
      <c r="CJ124" s="30" t="n">
        <f aca="false">SUMIF($C$2:$F$2,EOMONTH(CJ$2,-1)+1,$C124:$F124)*VLOOKUP(CJ$2,Valores!$H$2:$P$154,8,0)</f>
        <v>0</v>
      </c>
      <c r="CK124" s="30" t="n">
        <f aca="false">SUMIF($C$2:$F$2,EOMONTH(CK$2,-1)+1,$C124:$F124)*VLOOKUP(CK$2,Valores!$H$2:$P$154,8,0)</f>
        <v>0</v>
      </c>
      <c r="CL124" s="30" t="n">
        <f aca="false">SUMIF($C$2:$F$2,EOMONTH(CL$2,-1)+1,$C124:$F124)*VLOOKUP(CL$2,Valores!$H$2:$P$154,8,0)</f>
        <v>0</v>
      </c>
      <c r="CM124" s="30" t="n">
        <f aca="false">SUMIF($C$2:$F$2,EOMONTH(CM$2,-1)+1,$C124:$F124)*VLOOKUP(CM$2,Valores!$H$2:$P$154,8,0)</f>
        <v>0</v>
      </c>
      <c r="CN124" s="30" t="n">
        <f aca="false">SUMIF($C$2:$F$2,EOMONTH(CN$2,-1)+1,$C124:$F124)*VLOOKUP(CN$2,Valores!$H$2:$P$154,8,0)</f>
        <v>0</v>
      </c>
      <c r="CO124" s="30" t="n">
        <f aca="false">SUMIF($C$2:$F$2,EOMONTH(CO$2,-1)+1,$C124:$F124)*VLOOKUP(CO$2,Valores!$H$2:$P$154,8,0)</f>
        <v>0</v>
      </c>
      <c r="CP124" s="30" t="n">
        <f aca="false">SUMIF($C$2:$F$2,EOMONTH(CP$2,-1)+1,$C124:$F124)*VLOOKUP(CP$2,Valores!$H$2:$P$154,8,0)</f>
        <v>0</v>
      </c>
      <c r="CQ124" s="30" t="n">
        <f aca="false">SUMIF($C$2:$F$2,EOMONTH(CQ$2,-1)+1,$C124:$F124)*VLOOKUP(CQ$2,Valores!$H$2:$P$154,8,0)</f>
        <v>0</v>
      </c>
      <c r="CR124" s="30" t="n">
        <f aca="false">SUMIF($C$2:$F$2,EOMONTH(CR$2,-1)+1,$C124:$F124)*VLOOKUP(CR$2,Valores!$H$2:$P$154,8,0)</f>
        <v>0</v>
      </c>
      <c r="CS124" s="30" t="n">
        <f aca="false">SUMIF($C$2:$F$2,EOMONTH(CS$2,-1)+1,$C124:$F124)*VLOOKUP(CS$2,Valores!$H$2:$P$154,8,0)</f>
        <v>0</v>
      </c>
      <c r="CT124" s="30" t="e">
        <f aca="false">SUMIF($C$2:$F$2,EOMONTH(CT$2,-1)+1,$C124:$F124)*VLOOKUP(CT$2,Valores!$H$2:$P$154,8,0)</f>
        <v>#VALUE!</v>
      </c>
      <c r="CU124" s="30" t="e">
        <f aca="false">SUMIF($C$2:$F$2,EOMONTH(CU$2,-1)+1,$C124:$F124)*VLOOKUP(CU$2,Valores!$H$2:$P$154,8,0)</f>
        <v>#VALUE!</v>
      </c>
      <c r="CV124" s="30" t="e">
        <f aca="false">SUMIF($C$2:$F$2,EOMONTH(CV$2,-1)+1,$C124:$F124)*VLOOKUP(CV$2,Valores!$H$2:$P$154,8,0)</f>
        <v>#VALUE!</v>
      </c>
      <c r="CW124" s="30" t="e">
        <f aca="false">SUMIF($C$2:$F$2,EOMONTH(CW$2,-1)+1,$C124:$F124)*VLOOKUP(CW$2,Valores!$H$2:$P$154,8,0)</f>
        <v>#VALUE!</v>
      </c>
      <c r="CX124" s="30" t="e">
        <f aca="false">SUMIF($C$2:$F$2,EOMONTH(CX$2,-1)+1,$C124:$F124)*VLOOKUP(CX$2,Valores!$H$2:$P$154,8,0)</f>
        <v>#VALUE!</v>
      </c>
      <c r="CY124" s="30" t="e">
        <f aca="false">SUMIF($C$2:$F$2,EOMONTH(CY$2,-1)+1,$C124:$F124)*VLOOKUP(CY$2,Valores!$H$2:$P$154,8,0)</f>
        <v>#VALUE!</v>
      </c>
      <c r="CZ124" s="30" t="e">
        <f aca="false">SUMIF($C$2:$F$2,EOMONTH(CZ$2,-1)+1,$C124:$F124)*VLOOKUP(CZ$2,Valores!$H$2:$P$154,8,0)</f>
        <v>#VALUE!</v>
      </c>
      <c r="DA124" s="30" t="e">
        <f aca="false">SUMIF($C$2:$F$2,EOMONTH(DA$2,-1)+1,$C124:$F124)*VLOOKUP(DA$2,Valores!$H$2:$P$154,8,0)</f>
        <v>#VALUE!</v>
      </c>
      <c r="DB124" s="30" t="e">
        <f aca="false">SUMIF($C$2:$F$2,EOMONTH(DB$2,-1)+1,$C124:$F124)*VLOOKUP(DB$2,Valores!$H$2:$P$154,8,0)</f>
        <v>#VALUE!</v>
      </c>
      <c r="DC124" s="30" t="e">
        <f aca="false">SUMIF($C$2:$F$2,EOMONTH(DC$2,-1)+1,$C124:$F124)*VLOOKUP(DC$2,Valores!$H$2:$P$154,8,0)</f>
        <v>#VALUE!</v>
      </c>
      <c r="DD124" s="30" t="e">
        <f aca="false">SUMIF($C$2:$F$2,EOMONTH(DD$2,-1)+1,$C124:$F124)*VLOOKUP(DD$2,Valores!$H$2:$P$154,8,0)</f>
        <v>#VALUE!</v>
      </c>
      <c r="DE124" s="30" t="e">
        <f aca="false">SUMIF($C$2:$F$2,EOMONTH(DE$2,-1)+1,$C124:$F124)*VLOOKUP(DE$2,Valores!$H$2:$P$154,8,0)</f>
        <v>#VALUE!</v>
      </c>
      <c r="DF124" s="30" t="e">
        <f aca="false">SUMIF($C$2:$F$2,EOMONTH(DF$2,-1)+1,$C124:$F124)*VLOOKUP(DF$2,Valores!$H$2:$P$154,8,0)</f>
        <v>#VALUE!</v>
      </c>
      <c r="DG124" s="30" t="e">
        <f aca="false">SUMIF($C$2:$F$2,EOMONTH(DG$2,-1)+1,$C124:$F124)*VLOOKUP(DG$2,Valores!$H$2:$P$154,8,0)</f>
        <v>#VALUE!</v>
      </c>
      <c r="DH124" s="30" t="e">
        <f aca="false">SUMIF($C$2:$F$2,EOMONTH(DH$2,-1)+1,$C124:$F124)*VLOOKUP(DH$2,Valores!$H$2:$P$154,8,0)</f>
        <v>#VALUE!</v>
      </c>
      <c r="DI124" s="30" t="e">
        <f aca="false">SUMIF($C$2:$F$2,EOMONTH(DI$2,-1)+1,$C124:$F124)*VLOOKUP(DI$2,Valores!$H$2:$P$154,8,0)</f>
        <v>#VALUE!</v>
      </c>
      <c r="DJ124" s="30" t="e">
        <f aca="false">SUMIF($C$2:$F$2,EOMONTH(DJ$2,-1)+1,$C124:$F124)*VLOOKUP(DJ$2,Valores!$H$2:$P$154,8,0)</f>
        <v>#VALUE!</v>
      </c>
      <c r="DK124" s="30" t="e">
        <f aca="false">SUMIF($C$2:$F$2,EOMONTH(DK$2,-1)+1,$C124:$F124)*VLOOKUP(DK$2,Valores!$H$2:$P$154,8,0)</f>
        <v>#VALUE!</v>
      </c>
      <c r="DL124" s="30" t="e">
        <f aca="false">SUMIF($C$2:$F$2,EOMONTH(DL$2,-1)+1,$C124:$F124)*VLOOKUP(DL$2,Valores!$H$2:$P$154,8,0)</f>
        <v>#VALUE!</v>
      </c>
      <c r="DM124" s="30" t="e">
        <f aca="false">SUMIF($C$2:$F$2,EOMONTH(DM$2,-1)+1,$C124:$F124)*VLOOKUP(DM$2,Valores!$H$2:$P$154,8,0)</f>
        <v>#VALUE!</v>
      </c>
      <c r="DN124" s="30" t="e">
        <f aca="false">SUMIF($C$2:$F$2,EOMONTH(DN$2,-1)+1,$C124:$F124)*VLOOKUP(DN$2,Valores!$H$2:$P$154,8,0)</f>
        <v>#VALUE!</v>
      </c>
      <c r="DO124" s="30" t="e">
        <f aca="false">SUMIF($C$2:$F$2,EOMONTH(DO$2,-1)+1,$C124:$F124)*VLOOKUP(DO$2,Valores!$H$2:$P$154,8,0)</f>
        <v>#VALUE!</v>
      </c>
      <c r="DP124" s="30" t="e">
        <f aca="false">SUMIF($C$2:$F$2,EOMONTH(DP$2,-1)+1,$C124:$F124)*VLOOKUP(DP$2,Valores!$H$2:$P$154,8,0)</f>
        <v>#VALUE!</v>
      </c>
      <c r="DQ124" s="30" t="e">
        <f aca="false">SUMIF($C$2:$F$2,EOMONTH(DQ$2,-1)+1,$C124:$F124)*VLOOKUP(DQ$2,Valores!$H$2:$P$154,8,0)</f>
        <v>#VALUE!</v>
      </c>
      <c r="DR124" s="30" t="e">
        <f aca="false">SUMIF($C$2:$F$2,EOMONTH(DR$2,-1)+1,$C124:$F124)*VLOOKUP(DR$2,Valores!$H$2:$P$154,8,0)</f>
        <v>#VALUE!</v>
      </c>
      <c r="DS124" s="30" t="e">
        <f aca="false">SUMIF($C$2:$F$2,EOMONTH(DS$2,-1)+1,$C124:$F124)*VLOOKUP(DS$2,Valores!$H$2:$P$154,8,0)</f>
        <v>#VALUE!</v>
      </c>
      <c r="DT124" s="30" t="e">
        <f aca="false">SUMIF($C$2:$F$2,EOMONTH(DT$2,-1)+1,$C124:$F124)*VLOOKUP(DT$2,Valores!$H$2:$P$154,8,0)</f>
        <v>#VALUE!</v>
      </c>
      <c r="DU124" s="30" t="e">
        <f aca="false">SUMIF($C$2:$F$2,EOMONTH(DU$2,-1)+1,$C124:$F124)*VLOOKUP(DU$2,Valores!$H$2:$P$154,8,0)</f>
        <v>#VALUE!</v>
      </c>
      <c r="DV124" s="30" t="e">
        <f aca="false">SUMIF($C$2:$F$2,EOMONTH(DV$2,-1)+1,$C124:$F124)*VLOOKUP(DV$2,Valores!$H$2:$P$154,8,0)</f>
        <v>#VALUE!</v>
      </c>
      <c r="DW124" s="30" t="e">
        <f aca="false">SUMIF($C$2:$F$2,EOMONTH(DW$2,-1)+1,$C124:$F124)*VLOOKUP(DW$2,Valores!$H$2:$P$154,8,0)</f>
        <v>#VALUE!</v>
      </c>
      <c r="DX124" s="30" t="e">
        <f aca="false">SUMIF($C$2:$F$2,EOMONTH(DX$2,-1)+1,$C124:$F124)*VLOOKUP(DX$2,Valores!$H$2:$P$154,8,0)</f>
        <v>#VALUE!</v>
      </c>
    </row>
    <row r="125" customFormat="false" ht="13.8" hidden="false" customHeight="false" outlineLevel="0" collapsed="false">
      <c r="A125" s="31"/>
      <c r="B125" s="31"/>
      <c r="C125" s="31"/>
      <c r="D125" s="31"/>
      <c r="E125" s="31"/>
      <c r="F125" s="31"/>
      <c r="G125" s="27" t="n">
        <f aca="false">SUMIF($C$2:$F$2,EOMONTH(G$2,-1)+1,$C125:$F125)*VLOOKUP(G$2,Valores!$H$2:$P$154,8,0)</f>
        <v>0</v>
      </c>
      <c r="H125" s="27" t="n">
        <f aca="false">SUMIF($C$2:$F$2,EOMONTH(H$2,-1)+1,$C125:$F125)*VLOOKUP(H$2,Valores!$H$2:$P$154,8,0)</f>
        <v>0</v>
      </c>
      <c r="I125" s="27" t="n">
        <f aca="false">SUMIF($C$2:$F$2,EOMONTH(I$2,-1)+1,$C125:$F125)*VLOOKUP(I$2,Valores!$H$2:$P$154,8,0)</f>
        <v>0</v>
      </c>
      <c r="J125" s="27" t="n">
        <f aca="false">SUMIF($C$2:$F$2,EOMONTH(J$2,-1)+1,$C125:$F125)*VLOOKUP(J$2,Valores!$H$2:$P$154,8,0)</f>
        <v>0</v>
      </c>
      <c r="K125" s="27" t="n">
        <f aca="false">SUMIF($C$2:$F$2,EOMONTH(K$2,-1)+1,$C125:$F125)*VLOOKUP(K$2,Valores!$H$2:$P$154,8,0)</f>
        <v>0</v>
      </c>
      <c r="L125" s="27" t="n">
        <f aca="false">SUMIF($C$2:$F$2,EOMONTH(L$2,-1)+1,$C125:$F125)*VLOOKUP(L$2,Valores!$H$2:$P$154,8,0)</f>
        <v>0</v>
      </c>
      <c r="M125" s="27" t="n">
        <f aca="false">SUMIF($C$2:$F$2,EOMONTH(M$2,-1)+1,$C125:$F125)*VLOOKUP(M$2,Valores!$H$2:$P$154,8,0)</f>
        <v>0</v>
      </c>
      <c r="N125" s="27" t="n">
        <f aca="false">SUMIF($C$2:$F$2,EOMONTH(N$2,-1)+1,$C125:$F125)*VLOOKUP(N$2,Valores!$H$2:$P$154,8,0)</f>
        <v>0</v>
      </c>
      <c r="O125" s="27" t="n">
        <f aca="false">SUMIF($C$2:$F$2,EOMONTH(O$2,-1)+1,$C125:$F125)*VLOOKUP(O$2,Valores!$H$2:$P$154,8,0)</f>
        <v>0</v>
      </c>
      <c r="P125" s="27" t="n">
        <f aca="false">SUMIF($C$2:$F$2,EOMONTH(P$2,-1)+1,$C125:$F125)*VLOOKUP(P$2,Valores!$H$2:$P$154,8,0)</f>
        <v>0</v>
      </c>
      <c r="Q125" s="27" t="n">
        <f aca="false">SUMIF($C$2:$F$2,EOMONTH(Q$2,-1)+1,$C125:$F125)*VLOOKUP(Q$2,Valores!$H$2:$P$154,8,0)</f>
        <v>0</v>
      </c>
      <c r="R125" s="27" t="n">
        <f aca="false">SUMIF($C$2:$F$2,EOMONTH(R$2,-1)+1,$C125:$F125)*VLOOKUP(R$2,Valores!$H$2:$P$154,8,0)</f>
        <v>0</v>
      </c>
      <c r="S125" s="27" t="n">
        <f aca="false">SUMIF($C$2:$F$2,EOMONTH(S$2,-1)+1,$C125:$F125)*VLOOKUP(S$2,Valores!$H$2:$P$154,8,0)</f>
        <v>0</v>
      </c>
      <c r="T125" s="27" t="n">
        <f aca="false">SUMIF($C$2:$F$2,EOMONTH(T$2,-1)+1,$C125:$F125)*VLOOKUP(T$2,Valores!$H$2:$P$154,8,0)</f>
        <v>0</v>
      </c>
      <c r="U125" s="27" t="n">
        <f aca="false">SUMIF($C$2:$F$2,EOMONTH(U$2,-1)+1,$C125:$F125)*VLOOKUP(U$2,Valores!$H$2:$P$154,8,0)</f>
        <v>0</v>
      </c>
      <c r="V125" s="27" t="n">
        <f aca="false">SUMIF($C$2:$F$2,EOMONTH(V$2,-1)+1,$C125:$F125)*VLOOKUP(V$2,Valores!$H$2:$P$154,8,0)</f>
        <v>0</v>
      </c>
      <c r="W125" s="27" t="n">
        <f aca="false">SUMIF($C$2:$F$2,EOMONTH(W$2,-1)+1,$C125:$F125)*VLOOKUP(W$2,Valores!$H$2:$P$154,8,0)</f>
        <v>0</v>
      </c>
      <c r="X125" s="27" t="n">
        <f aca="false">SUMIF($C$2:$F$2,EOMONTH(X$2,-1)+1,$C125:$F125)*VLOOKUP(X$2,Valores!$H$2:$P$154,8,0)</f>
        <v>0</v>
      </c>
      <c r="Y125" s="27" t="n">
        <f aca="false">SUMIF($C$2:$F$2,EOMONTH(Y$2,-1)+1,$C125:$F125)*VLOOKUP(Y$2,Valores!$H$2:$P$154,8,0)</f>
        <v>0</v>
      </c>
      <c r="Z125" s="27" t="n">
        <f aca="false">SUMIF($C$2:$F$2,EOMONTH(Z$2,-1)+1,$C125:$F125)*VLOOKUP(Z$2,Valores!$H$2:$P$154,8,0)</f>
        <v>0</v>
      </c>
      <c r="AA125" s="27" t="n">
        <f aca="false">SUMIF($C$2:$F$2,EOMONTH(AA$2,-1)+1,$C125:$F125)*VLOOKUP(AA$2,Valores!$H$2:$P$154,8,0)</f>
        <v>0</v>
      </c>
      <c r="AB125" s="27" t="n">
        <f aca="false">SUMIF($C$2:$F$2,EOMONTH(AB$2,-1)+1,$C125:$F125)*VLOOKUP(AB$2,Valores!$H$2:$P$154,8,0)</f>
        <v>0</v>
      </c>
      <c r="AC125" s="27" t="n">
        <f aca="false">SUMIF($C$2:$F$2,EOMONTH(AC$2,-1)+1,$C125:$F125)*VLOOKUP(AC$2,Valores!$H$2:$P$154,8,0)</f>
        <v>0</v>
      </c>
      <c r="AD125" s="27" t="n">
        <f aca="false">SUMIF($C$2:$F$2,EOMONTH(AD$2,-1)+1,$C125:$F125)*VLOOKUP(AD$2,Valores!$H$2:$P$154,8,0)</f>
        <v>0</v>
      </c>
      <c r="AE125" s="27" t="n">
        <f aca="false">SUMIF($C$2:$F$2,EOMONTH(AE$2,-1)+1,$C125:$F125)*VLOOKUP(AE$2,Valores!$H$2:$P$154,8,0)</f>
        <v>0</v>
      </c>
      <c r="AF125" s="27" t="n">
        <f aca="false">SUMIF($C$2:$F$2,EOMONTH(AF$2,-1)+1,$C125:$F125)*VLOOKUP(AF$2,Valores!$H$2:$P$154,8,0)</f>
        <v>0</v>
      </c>
      <c r="AG125" s="27" t="n">
        <f aca="false">SUMIF($C$2:$F$2,EOMONTH(AG$2,-1)+1,$C125:$F125)*VLOOKUP(AG$2,Valores!$H$2:$P$154,8,0)</f>
        <v>0</v>
      </c>
      <c r="AH125" s="27" t="n">
        <f aca="false">SUMIF($C$2:$F$2,EOMONTH(AH$2,-1)+1,$C125:$F125)*VLOOKUP(AH$2,Valores!$H$2:$P$154,8,0)</f>
        <v>0</v>
      </c>
      <c r="AI125" s="27" t="n">
        <f aca="false">SUMIF($C$2:$F$2,EOMONTH(AI$2,-1)+1,$C125:$F125)*VLOOKUP(AI$2,Valores!$H$2:$P$154,8,0)</f>
        <v>0</v>
      </c>
      <c r="AJ125" s="27" t="n">
        <f aca="false">SUMIF($C$2:$F$2,EOMONTH(AJ$2,-1)+1,$C125:$F125)*VLOOKUP(AJ$2,Valores!$H$2:$P$154,8,0)</f>
        <v>0</v>
      </c>
      <c r="AK125" s="27" t="n">
        <f aca="false">SUMIF($C$2:$F$2,EOMONTH(AK$2,-1)+1,$C125:$F125)*VLOOKUP(AK$2,Valores!$H$2:$P$154,8,0)</f>
        <v>0</v>
      </c>
      <c r="AL125" s="27" t="n">
        <f aca="false">SUMIF($C$2:$F$2,EOMONTH(AL$2,-1)+1,$C125:$F125)*VLOOKUP(AL$2,Valores!$H$2:$P$154,8,0)</f>
        <v>0</v>
      </c>
      <c r="AM125" s="27" t="n">
        <f aca="false">SUMIF($C$2:$F$2,EOMONTH(AM$2,-1)+1,$C125:$F125)*VLOOKUP(AM$2,Valores!$H$2:$P$154,8,0)</f>
        <v>0</v>
      </c>
      <c r="AN125" s="27" t="n">
        <f aca="false">SUMIF($C$2:$F$2,EOMONTH(AN$2,-1)+1,$C125:$F125)*VLOOKUP(AN$2,Valores!$H$2:$P$154,8,0)</f>
        <v>0</v>
      </c>
      <c r="AO125" s="27" t="n">
        <f aca="false">SUMIF($C$2:$F$2,EOMONTH(AO$2,-1)+1,$C125:$F125)*VLOOKUP(AO$2,Valores!$H$2:$P$154,8,0)</f>
        <v>0</v>
      </c>
      <c r="AP125" s="27" t="n">
        <f aca="false">SUMIF($C$2:$F$2,EOMONTH(AP$2,-1)+1,$C125:$F125)*VLOOKUP(AP$2,Valores!$H$2:$P$154,8,0)</f>
        <v>0</v>
      </c>
      <c r="AQ125" s="27" t="n">
        <f aca="false">SUMIF($C$2:$F$2,EOMONTH(AQ$2,-1)+1,$C125:$F125)*VLOOKUP(AQ$2,Valores!$H$2:$P$154,8,0)</f>
        <v>0</v>
      </c>
      <c r="AR125" s="27" t="n">
        <f aca="false">SUMIF($C$2:$F$2,EOMONTH(AR$2,-1)+1,$C125:$F125)*VLOOKUP(AR$2,Valores!$H$2:$P$154,8,0)</f>
        <v>0</v>
      </c>
      <c r="AS125" s="27" t="n">
        <f aca="false">SUMIF($C$2:$F$2,EOMONTH(AS$2,-1)+1,$C125:$F125)*VLOOKUP(AS$2,Valores!$H$2:$P$154,8,0)</f>
        <v>0</v>
      </c>
      <c r="AT125" s="27" t="n">
        <f aca="false">SUMIF($C$2:$F$2,EOMONTH(AT$2,-1)+1,$C125:$F125)*VLOOKUP(AT$2,Valores!$H$2:$P$154,8,0)</f>
        <v>0</v>
      </c>
      <c r="AU125" s="27" t="n">
        <f aca="false">SUMIF($C$2:$F$2,EOMONTH(AU$2,-1)+1,$C125:$F125)*VLOOKUP(AU$2,Valores!$H$2:$P$154,8,0)</f>
        <v>0</v>
      </c>
      <c r="AV125" s="27" t="n">
        <f aca="false">SUMIF($C$2:$F$2,EOMONTH(AV$2,-1)+1,$C125:$F125)*VLOOKUP(AV$2,Valores!$H$2:$P$154,8,0)</f>
        <v>0</v>
      </c>
      <c r="AW125" s="27" t="n">
        <f aca="false">SUMIF($C$2:$F$2,EOMONTH(AW$2,-1)+1,$C125:$F125)*VLOOKUP(AW$2,Valores!$H$2:$P$154,8,0)</f>
        <v>0</v>
      </c>
      <c r="AX125" s="27" t="n">
        <f aca="false">SUMIF($C$2:$F$2,EOMONTH(AX$2,-1)+1,$C125:$F125)*VLOOKUP(AX$2,Valores!$H$2:$P$154,8,0)</f>
        <v>0</v>
      </c>
      <c r="AY125" s="27" t="n">
        <f aca="false">SUMIF($C$2:$F$2,EOMONTH(AY$2,-1)+1,$C125:$F125)*VLOOKUP(AY$2,Valores!$H$2:$P$154,8,0)</f>
        <v>0</v>
      </c>
      <c r="AZ125" s="27" t="n">
        <f aca="false">SUMIF($C$2:$F$2,EOMONTH(AZ$2,-1)+1,$C125:$F125)*VLOOKUP(AZ$2,Valores!$H$2:$P$154,8,0)</f>
        <v>0</v>
      </c>
      <c r="BA125" s="27" t="n">
        <f aca="false">SUMIF($C$2:$F$2,EOMONTH(BA$2,-1)+1,$C125:$F125)*VLOOKUP(BA$2,Valores!$H$2:$P$154,8,0)</f>
        <v>0</v>
      </c>
      <c r="BB125" s="27" t="n">
        <f aca="false">SUMIF($C$2:$F$2,EOMONTH(BB$2,-1)+1,$C125:$F125)*VLOOKUP(BB$2,Valores!$H$2:$P$154,8,0)</f>
        <v>0</v>
      </c>
      <c r="BC125" s="27" t="n">
        <f aca="false">SUMIF($C$2:$F$2,EOMONTH(BC$2,-1)+1,$C125:$F125)*VLOOKUP(BC$2,Valores!$H$2:$P$154,8,0)</f>
        <v>0</v>
      </c>
      <c r="BD125" s="27" t="n">
        <f aca="false">SUMIF($C$2:$F$2,EOMONTH(BD$2,-1)+1,$C125:$F125)*VLOOKUP(BD$2,Valores!$H$2:$P$154,8,0)</f>
        <v>0</v>
      </c>
      <c r="BE125" s="27" t="n">
        <f aca="false">SUMIF($C$2:$F$2,EOMONTH(BE$2,-1)+1,$C125:$F125)*VLOOKUP(BE$2,Valores!$H$2:$P$154,8,0)</f>
        <v>0</v>
      </c>
      <c r="BF125" s="27" t="n">
        <f aca="false">SUMIF($C$2:$F$2,EOMONTH(BF$2,-1)+1,$C125:$F125)*VLOOKUP(BF$2,Valores!$H$2:$P$154,8,0)</f>
        <v>0</v>
      </c>
      <c r="BG125" s="27" t="n">
        <f aca="false">SUMIF($C$2:$F$2,EOMONTH(BG$2,-1)+1,$C125:$F125)*VLOOKUP(BG$2,Valores!$H$2:$P$154,8,0)</f>
        <v>0</v>
      </c>
      <c r="BH125" s="27" t="n">
        <f aca="false">SUMIF($C$2:$F$2,EOMONTH(BH$2,-1)+1,$C125:$F125)*VLOOKUP(BH$2,Valores!$H$2:$P$154,8,0)</f>
        <v>0</v>
      </c>
      <c r="BI125" s="27" t="n">
        <f aca="false">SUMIF($C$2:$F$2,EOMONTH(BI$2,-1)+1,$C125:$F125)*VLOOKUP(BI$2,Valores!$H$2:$P$154,8,0)</f>
        <v>0</v>
      </c>
      <c r="BJ125" s="27" t="n">
        <f aca="false">SUMIF($C$2:$F$2,EOMONTH(BJ$2,-1)+1,$C125:$F125)*VLOOKUP(BJ$2,Valores!$H$2:$P$154,8,0)</f>
        <v>0</v>
      </c>
      <c r="BK125" s="27" t="n">
        <f aca="false">SUMIF($C$2:$F$2,EOMONTH(BK$2,-1)+1,$C125:$F125)*VLOOKUP(BK$2,Valores!$H$2:$P$154,8,0)</f>
        <v>0</v>
      </c>
      <c r="BL125" s="27" t="n">
        <f aca="false">SUMIF($C$2:$F$2,EOMONTH(BL$2,-1)+1,$C125:$F125)*VLOOKUP(BL$2,Valores!$H$2:$P$154,8,0)</f>
        <v>0</v>
      </c>
      <c r="BM125" s="27" t="n">
        <f aca="false">SUMIF($C$2:$F$2,EOMONTH(BM$2,-1)+1,$C125:$F125)*VLOOKUP(BM$2,Valores!$H$2:$P$154,8,0)</f>
        <v>0</v>
      </c>
      <c r="BN125" s="27" t="n">
        <f aca="false">SUMIF($C$2:$F$2,EOMONTH(BN$2,-1)+1,$C125:$F125)*VLOOKUP(BN$2,Valores!$H$2:$P$154,8,0)</f>
        <v>0</v>
      </c>
      <c r="BO125" s="27" t="n">
        <f aca="false">SUMIF($C$2:$F$2,EOMONTH(BO$2,-1)+1,$C125:$F125)*VLOOKUP(BO$2,Valores!$H$2:$P$154,8,0)</f>
        <v>0</v>
      </c>
      <c r="BP125" s="27" t="n">
        <f aca="false">SUMIF($C$2:$F$2,EOMONTH(BP$2,-1)+1,$C125:$F125)*VLOOKUP(BP$2,Valores!$H$2:$P$154,8,0)</f>
        <v>0</v>
      </c>
      <c r="BQ125" s="27" t="n">
        <f aca="false">SUMIF($C$2:$F$2,EOMONTH(BQ$2,-1)+1,$C125:$F125)*VLOOKUP(BQ$2,Valores!$H$2:$P$154,8,0)</f>
        <v>0</v>
      </c>
      <c r="BR125" s="27" t="n">
        <f aca="false">SUMIF($C$2:$F$2,EOMONTH(BR$2,-1)+1,$C125:$F125)*VLOOKUP(BR$2,Valores!$H$2:$P$154,8,0)</f>
        <v>0</v>
      </c>
      <c r="BS125" s="27" t="n">
        <f aca="false">SUMIF($C$2:$F$2,EOMONTH(BS$2,-1)+1,$C125:$F125)*VLOOKUP(BS$2,Valores!$H$2:$P$154,8,0)</f>
        <v>0</v>
      </c>
      <c r="BT125" s="27" t="n">
        <f aca="false">SUMIF($C$2:$F$2,EOMONTH(BT$2,-1)+1,$C125:$F125)*VLOOKUP(BT$2,Valores!$H$2:$P$154,8,0)</f>
        <v>0</v>
      </c>
      <c r="BU125" s="27" t="n">
        <f aca="false">SUMIF($C$2:$F$2,EOMONTH(BU$2,-1)+1,$C125:$F125)*VLOOKUP(BU$2,Valores!$H$2:$P$154,8,0)</f>
        <v>0</v>
      </c>
      <c r="BV125" s="27" t="n">
        <f aca="false">SUMIF($C$2:$F$2,EOMONTH(BV$2,-1)+1,$C125:$F125)*VLOOKUP(BV$2,Valores!$H$2:$P$154,8,0)</f>
        <v>0</v>
      </c>
      <c r="BW125" s="27" t="n">
        <f aca="false">SUMIF($C$2:$F$2,EOMONTH(BW$2,-1)+1,$C125:$F125)*VLOOKUP(BW$2,Valores!$H$2:$P$154,8,0)</f>
        <v>0</v>
      </c>
      <c r="BX125" s="27" t="n">
        <f aca="false">SUMIF($C$2:$F$2,EOMONTH(BX$2,-1)+1,$C125:$F125)*VLOOKUP(BX$2,Valores!$H$2:$P$154,8,0)</f>
        <v>0</v>
      </c>
      <c r="BY125" s="27" t="n">
        <f aca="false">SUMIF($C$2:$F$2,EOMONTH(BY$2,-1)+1,$C125:$F125)*VLOOKUP(BY$2,Valores!$H$2:$P$154,8,0)</f>
        <v>0</v>
      </c>
      <c r="BZ125" s="27" t="n">
        <f aca="false">SUMIF($C$2:$F$2,EOMONTH(BZ$2,-1)+1,$C125:$F125)*VLOOKUP(BZ$2,Valores!$H$2:$P$154,8,0)</f>
        <v>0</v>
      </c>
      <c r="CA125" s="27" t="n">
        <f aca="false">SUMIF($C$2:$F$2,EOMONTH(CA$2,-1)+1,$C125:$F125)*VLOOKUP(CA$2,Valores!$H$2:$P$154,8,0)</f>
        <v>0</v>
      </c>
      <c r="CB125" s="27" t="n">
        <f aca="false">SUMIF($C$2:$F$2,EOMONTH(CB$2,-1)+1,$C125:$F125)*VLOOKUP(CB$2,Valores!$H$2:$P$154,8,0)</f>
        <v>0</v>
      </c>
      <c r="CC125" s="27" t="n">
        <f aca="false">SUMIF($C$2:$F$2,EOMONTH(CC$2,-1)+1,$C125:$F125)*VLOOKUP(CC$2,Valores!$H$2:$P$154,8,0)</f>
        <v>0</v>
      </c>
      <c r="CD125" s="27" t="n">
        <f aca="false">SUMIF($C$2:$F$2,EOMONTH(CD$2,-1)+1,$C125:$F125)*VLOOKUP(CD$2,Valores!$H$2:$P$154,8,0)</f>
        <v>0</v>
      </c>
      <c r="CE125" s="27" t="n">
        <f aca="false">SUMIF($C$2:$F$2,EOMONTH(CE$2,-1)+1,$C125:$F125)*VLOOKUP(CE$2,Valores!$H$2:$P$154,8,0)</f>
        <v>0</v>
      </c>
      <c r="CF125" s="27" t="n">
        <f aca="false">SUMIF($C$2:$F$2,EOMONTH(CF$2,-1)+1,$C125:$F125)*VLOOKUP(CF$2,Valores!$H$2:$P$154,8,0)</f>
        <v>0</v>
      </c>
      <c r="CG125" s="27" t="n">
        <f aca="false">SUMIF($C$2:$F$2,EOMONTH(CG$2,-1)+1,$C125:$F125)*VLOOKUP(CG$2,Valores!$H$2:$P$154,8,0)</f>
        <v>0</v>
      </c>
      <c r="CH125" s="27" t="n">
        <f aca="false">SUMIF($C$2:$F$2,EOMONTH(CH$2,-1)+1,$C125:$F125)*VLOOKUP(CH$2,Valores!$H$2:$P$154,8,0)</f>
        <v>0</v>
      </c>
      <c r="CI125" s="27" t="n">
        <f aca="false">SUMIF($C$2:$F$2,EOMONTH(CI$2,-1)+1,$C125:$F125)*VLOOKUP(CI$2,Valores!$H$2:$P$154,8,0)</f>
        <v>0</v>
      </c>
      <c r="CJ125" s="27" t="n">
        <f aca="false">SUMIF($C$2:$F$2,EOMONTH(CJ$2,-1)+1,$C125:$F125)*VLOOKUP(CJ$2,Valores!$H$2:$P$154,8,0)</f>
        <v>0</v>
      </c>
      <c r="CK125" s="27" t="n">
        <f aca="false">SUMIF($C$2:$F$2,EOMONTH(CK$2,-1)+1,$C125:$F125)*VLOOKUP(CK$2,Valores!$H$2:$P$154,8,0)</f>
        <v>0</v>
      </c>
      <c r="CL125" s="27" t="n">
        <f aca="false">SUMIF($C$2:$F$2,EOMONTH(CL$2,-1)+1,$C125:$F125)*VLOOKUP(CL$2,Valores!$H$2:$P$154,8,0)</f>
        <v>0</v>
      </c>
      <c r="CM125" s="27" t="n">
        <f aca="false">SUMIF($C$2:$F$2,EOMONTH(CM$2,-1)+1,$C125:$F125)*VLOOKUP(CM$2,Valores!$H$2:$P$154,8,0)</f>
        <v>0</v>
      </c>
      <c r="CN125" s="27" t="n">
        <f aca="false">SUMIF($C$2:$F$2,EOMONTH(CN$2,-1)+1,$C125:$F125)*VLOOKUP(CN$2,Valores!$H$2:$P$154,8,0)</f>
        <v>0</v>
      </c>
      <c r="CO125" s="27" t="n">
        <f aca="false">SUMIF($C$2:$F$2,EOMONTH(CO$2,-1)+1,$C125:$F125)*VLOOKUP(CO$2,Valores!$H$2:$P$154,8,0)</f>
        <v>0</v>
      </c>
      <c r="CP125" s="27" t="n">
        <f aca="false">SUMIF($C$2:$F$2,EOMONTH(CP$2,-1)+1,$C125:$F125)*VLOOKUP(CP$2,Valores!$H$2:$P$154,8,0)</f>
        <v>0</v>
      </c>
      <c r="CQ125" s="27" t="n">
        <f aca="false">SUMIF($C$2:$F$2,EOMONTH(CQ$2,-1)+1,$C125:$F125)*VLOOKUP(CQ$2,Valores!$H$2:$P$154,8,0)</f>
        <v>0</v>
      </c>
      <c r="CR125" s="27" t="n">
        <f aca="false">SUMIF($C$2:$F$2,EOMONTH(CR$2,-1)+1,$C125:$F125)*VLOOKUP(CR$2,Valores!$H$2:$P$154,8,0)</f>
        <v>0</v>
      </c>
      <c r="CS125" s="27" t="n">
        <f aca="false">SUMIF($C$2:$F$2,EOMONTH(CS$2,-1)+1,$C125:$F125)*VLOOKUP(CS$2,Valores!$H$2:$P$154,8,0)</f>
        <v>0</v>
      </c>
      <c r="CT125" s="27" t="e">
        <f aca="false">SUMIF($C$2:$F$2,EOMONTH(CT$2,-1)+1,$C125:$F125)*VLOOKUP(CT$2,Valores!$H$2:$P$154,8,0)</f>
        <v>#VALUE!</v>
      </c>
      <c r="CU125" s="27" t="e">
        <f aca="false">SUMIF($C$2:$F$2,EOMONTH(CU$2,-1)+1,$C125:$F125)*VLOOKUP(CU$2,Valores!$H$2:$P$154,8,0)</f>
        <v>#VALUE!</v>
      </c>
      <c r="CV125" s="27" t="e">
        <f aca="false">SUMIF($C$2:$F$2,EOMONTH(CV$2,-1)+1,$C125:$F125)*VLOOKUP(CV$2,Valores!$H$2:$P$154,8,0)</f>
        <v>#VALUE!</v>
      </c>
      <c r="CW125" s="27" t="e">
        <f aca="false">SUMIF($C$2:$F$2,EOMONTH(CW$2,-1)+1,$C125:$F125)*VLOOKUP(CW$2,Valores!$H$2:$P$154,8,0)</f>
        <v>#VALUE!</v>
      </c>
      <c r="CX125" s="27" t="e">
        <f aca="false">SUMIF($C$2:$F$2,EOMONTH(CX$2,-1)+1,$C125:$F125)*VLOOKUP(CX$2,Valores!$H$2:$P$154,8,0)</f>
        <v>#VALUE!</v>
      </c>
      <c r="CY125" s="27" t="e">
        <f aca="false">SUMIF($C$2:$F$2,EOMONTH(CY$2,-1)+1,$C125:$F125)*VLOOKUP(CY$2,Valores!$H$2:$P$154,8,0)</f>
        <v>#VALUE!</v>
      </c>
      <c r="CZ125" s="27" t="e">
        <f aca="false">SUMIF($C$2:$F$2,EOMONTH(CZ$2,-1)+1,$C125:$F125)*VLOOKUP(CZ$2,Valores!$H$2:$P$154,8,0)</f>
        <v>#VALUE!</v>
      </c>
      <c r="DA125" s="27" t="e">
        <f aca="false">SUMIF($C$2:$F$2,EOMONTH(DA$2,-1)+1,$C125:$F125)*VLOOKUP(DA$2,Valores!$H$2:$P$154,8,0)</f>
        <v>#VALUE!</v>
      </c>
      <c r="DB125" s="27" t="e">
        <f aca="false">SUMIF($C$2:$F$2,EOMONTH(DB$2,-1)+1,$C125:$F125)*VLOOKUP(DB$2,Valores!$H$2:$P$154,8,0)</f>
        <v>#VALUE!</v>
      </c>
      <c r="DC125" s="27" t="e">
        <f aca="false">SUMIF($C$2:$F$2,EOMONTH(DC$2,-1)+1,$C125:$F125)*VLOOKUP(DC$2,Valores!$H$2:$P$154,8,0)</f>
        <v>#VALUE!</v>
      </c>
      <c r="DD125" s="27" t="e">
        <f aca="false">SUMIF($C$2:$F$2,EOMONTH(DD$2,-1)+1,$C125:$F125)*VLOOKUP(DD$2,Valores!$H$2:$P$154,8,0)</f>
        <v>#VALUE!</v>
      </c>
      <c r="DE125" s="27" t="e">
        <f aca="false">SUMIF($C$2:$F$2,EOMONTH(DE$2,-1)+1,$C125:$F125)*VLOOKUP(DE$2,Valores!$H$2:$P$154,8,0)</f>
        <v>#VALUE!</v>
      </c>
      <c r="DF125" s="27" t="e">
        <f aca="false">SUMIF($C$2:$F$2,EOMONTH(DF$2,-1)+1,$C125:$F125)*VLOOKUP(DF$2,Valores!$H$2:$P$154,8,0)</f>
        <v>#VALUE!</v>
      </c>
      <c r="DG125" s="27" t="e">
        <f aca="false">SUMIF($C$2:$F$2,EOMONTH(DG$2,-1)+1,$C125:$F125)*VLOOKUP(DG$2,Valores!$H$2:$P$154,8,0)</f>
        <v>#VALUE!</v>
      </c>
      <c r="DH125" s="27" t="e">
        <f aca="false">SUMIF($C$2:$F$2,EOMONTH(DH$2,-1)+1,$C125:$F125)*VLOOKUP(DH$2,Valores!$H$2:$P$154,8,0)</f>
        <v>#VALUE!</v>
      </c>
      <c r="DI125" s="27" t="e">
        <f aca="false">SUMIF($C$2:$F$2,EOMONTH(DI$2,-1)+1,$C125:$F125)*VLOOKUP(DI$2,Valores!$H$2:$P$154,8,0)</f>
        <v>#VALUE!</v>
      </c>
      <c r="DJ125" s="27" t="e">
        <f aca="false">SUMIF($C$2:$F$2,EOMONTH(DJ$2,-1)+1,$C125:$F125)*VLOOKUP(DJ$2,Valores!$H$2:$P$154,8,0)</f>
        <v>#VALUE!</v>
      </c>
      <c r="DK125" s="27" t="e">
        <f aca="false">SUMIF($C$2:$F$2,EOMONTH(DK$2,-1)+1,$C125:$F125)*VLOOKUP(DK$2,Valores!$H$2:$P$154,8,0)</f>
        <v>#VALUE!</v>
      </c>
      <c r="DL125" s="27" t="e">
        <f aca="false">SUMIF($C$2:$F$2,EOMONTH(DL$2,-1)+1,$C125:$F125)*VLOOKUP(DL$2,Valores!$H$2:$P$154,8,0)</f>
        <v>#VALUE!</v>
      </c>
      <c r="DM125" s="27" t="e">
        <f aca="false">SUMIF($C$2:$F$2,EOMONTH(DM$2,-1)+1,$C125:$F125)*VLOOKUP(DM$2,Valores!$H$2:$P$154,8,0)</f>
        <v>#VALUE!</v>
      </c>
      <c r="DN125" s="27" t="e">
        <f aca="false">SUMIF($C$2:$F$2,EOMONTH(DN$2,-1)+1,$C125:$F125)*VLOOKUP(DN$2,Valores!$H$2:$P$154,8,0)</f>
        <v>#VALUE!</v>
      </c>
      <c r="DO125" s="27" t="e">
        <f aca="false">SUMIF($C$2:$F$2,EOMONTH(DO$2,-1)+1,$C125:$F125)*VLOOKUP(DO$2,Valores!$H$2:$P$154,8,0)</f>
        <v>#VALUE!</v>
      </c>
      <c r="DP125" s="27" t="e">
        <f aca="false">SUMIF($C$2:$F$2,EOMONTH(DP$2,-1)+1,$C125:$F125)*VLOOKUP(DP$2,Valores!$H$2:$P$154,8,0)</f>
        <v>#VALUE!</v>
      </c>
      <c r="DQ125" s="27" t="e">
        <f aca="false">SUMIF($C$2:$F$2,EOMONTH(DQ$2,-1)+1,$C125:$F125)*VLOOKUP(DQ$2,Valores!$H$2:$P$154,8,0)</f>
        <v>#VALUE!</v>
      </c>
      <c r="DR125" s="27" t="e">
        <f aca="false">SUMIF($C$2:$F$2,EOMONTH(DR$2,-1)+1,$C125:$F125)*VLOOKUP(DR$2,Valores!$H$2:$P$154,8,0)</f>
        <v>#VALUE!</v>
      </c>
      <c r="DS125" s="27" t="e">
        <f aca="false">SUMIF($C$2:$F$2,EOMONTH(DS$2,-1)+1,$C125:$F125)*VLOOKUP(DS$2,Valores!$H$2:$P$154,8,0)</f>
        <v>#VALUE!</v>
      </c>
      <c r="DT125" s="27" t="e">
        <f aca="false">SUMIF($C$2:$F$2,EOMONTH(DT$2,-1)+1,$C125:$F125)*VLOOKUP(DT$2,Valores!$H$2:$P$154,8,0)</f>
        <v>#VALUE!</v>
      </c>
      <c r="DU125" s="27" t="e">
        <f aca="false">SUMIF($C$2:$F$2,EOMONTH(DU$2,-1)+1,$C125:$F125)*VLOOKUP(DU$2,Valores!$H$2:$P$154,8,0)</f>
        <v>#VALUE!</v>
      </c>
      <c r="DV125" s="27" t="e">
        <f aca="false">SUMIF($C$2:$F$2,EOMONTH(DV$2,-1)+1,$C125:$F125)*VLOOKUP(DV$2,Valores!$H$2:$P$154,8,0)</f>
        <v>#VALUE!</v>
      </c>
      <c r="DW125" s="27" t="e">
        <f aca="false">SUMIF($C$2:$F$2,EOMONTH(DW$2,-1)+1,$C125:$F125)*VLOOKUP(DW$2,Valores!$H$2:$P$154,8,0)</f>
        <v>#VALUE!</v>
      </c>
      <c r="DX125" s="27" t="e">
        <f aca="false">SUMIF($C$2:$F$2,EOMONTH(DX$2,-1)+1,$C125:$F125)*VLOOKUP(DX$2,Valores!$H$2:$P$154,8,0)</f>
        <v>#VALUE!</v>
      </c>
    </row>
    <row r="126" customFormat="false" ht="13.8" hidden="false" customHeight="false" outlineLevel="0" collapsed="false">
      <c r="A126" s="29"/>
      <c r="B126" s="29"/>
      <c r="C126" s="29"/>
      <c r="D126" s="29"/>
      <c r="E126" s="29"/>
      <c r="F126" s="29"/>
      <c r="G126" s="30" t="n">
        <f aca="false">SUMIF($C$2:$F$2,EOMONTH(G$2,-1)+1,$C126:$F126)*VLOOKUP(G$2,Valores!$H$2:$P$154,8,0)</f>
        <v>0</v>
      </c>
      <c r="H126" s="30" t="n">
        <f aca="false">SUMIF($C$2:$F$2,EOMONTH(H$2,-1)+1,$C126:$F126)*VLOOKUP(H$2,Valores!$H$2:$P$154,8,0)</f>
        <v>0</v>
      </c>
      <c r="I126" s="30" t="n">
        <f aca="false">SUMIF($C$2:$F$2,EOMONTH(I$2,-1)+1,$C126:$F126)*VLOOKUP(I$2,Valores!$H$2:$P$154,8,0)</f>
        <v>0</v>
      </c>
      <c r="J126" s="30" t="n">
        <f aca="false">SUMIF($C$2:$F$2,EOMONTH(J$2,-1)+1,$C126:$F126)*VLOOKUP(J$2,Valores!$H$2:$P$154,8,0)</f>
        <v>0</v>
      </c>
      <c r="K126" s="30" t="n">
        <f aca="false">SUMIF($C$2:$F$2,EOMONTH(K$2,-1)+1,$C126:$F126)*VLOOKUP(K$2,Valores!$H$2:$P$154,8,0)</f>
        <v>0</v>
      </c>
      <c r="L126" s="30" t="n">
        <f aca="false">SUMIF($C$2:$F$2,EOMONTH(L$2,-1)+1,$C126:$F126)*VLOOKUP(L$2,Valores!$H$2:$P$154,8,0)</f>
        <v>0</v>
      </c>
      <c r="M126" s="30" t="n">
        <f aca="false">SUMIF($C$2:$F$2,EOMONTH(M$2,-1)+1,$C126:$F126)*VLOOKUP(M$2,Valores!$H$2:$P$154,8,0)</f>
        <v>0</v>
      </c>
      <c r="N126" s="30" t="n">
        <f aca="false">SUMIF($C$2:$F$2,EOMONTH(N$2,-1)+1,$C126:$F126)*VLOOKUP(N$2,Valores!$H$2:$P$154,8,0)</f>
        <v>0</v>
      </c>
      <c r="O126" s="30" t="n">
        <f aca="false">SUMIF($C$2:$F$2,EOMONTH(O$2,-1)+1,$C126:$F126)*VLOOKUP(O$2,Valores!$H$2:$P$154,8,0)</f>
        <v>0</v>
      </c>
      <c r="P126" s="30" t="n">
        <f aca="false">SUMIF($C$2:$F$2,EOMONTH(P$2,-1)+1,$C126:$F126)*VLOOKUP(P$2,Valores!$H$2:$P$154,8,0)</f>
        <v>0</v>
      </c>
      <c r="Q126" s="30" t="n">
        <f aca="false">SUMIF($C$2:$F$2,EOMONTH(Q$2,-1)+1,$C126:$F126)*VLOOKUP(Q$2,Valores!$H$2:$P$154,8,0)</f>
        <v>0</v>
      </c>
      <c r="R126" s="30" t="n">
        <f aca="false">SUMIF($C$2:$F$2,EOMONTH(R$2,-1)+1,$C126:$F126)*VLOOKUP(R$2,Valores!$H$2:$P$154,8,0)</f>
        <v>0</v>
      </c>
      <c r="S126" s="30" t="n">
        <f aca="false">SUMIF($C$2:$F$2,EOMONTH(S$2,-1)+1,$C126:$F126)*VLOOKUP(S$2,Valores!$H$2:$P$154,8,0)</f>
        <v>0</v>
      </c>
      <c r="T126" s="30" t="n">
        <f aca="false">SUMIF($C$2:$F$2,EOMONTH(T$2,-1)+1,$C126:$F126)*VLOOKUP(T$2,Valores!$H$2:$P$154,8,0)</f>
        <v>0</v>
      </c>
      <c r="U126" s="30" t="n">
        <f aca="false">SUMIF($C$2:$F$2,EOMONTH(U$2,-1)+1,$C126:$F126)*VLOOKUP(U$2,Valores!$H$2:$P$154,8,0)</f>
        <v>0</v>
      </c>
      <c r="V126" s="30" t="n">
        <f aca="false">SUMIF($C$2:$F$2,EOMONTH(V$2,-1)+1,$C126:$F126)*VLOOKUP(V$2,Valores!$H$2:$P$154,8,0)</f>
        <v>0</v>
      </c>
      <c r="W126" s="30" t="n">
        <f aca="false">SUMIF($C$2:$F$2,EOMONTH(W$2,-1)+1,$C126:$F126)*VLOOKUP(W$2,Valores!$H$2:$P$154,8,0)</f>
        <v>0</v>
      </c>
      <c r="X126" s="30" t="n">
        <f aca="false">SUMIF($C$2:$F$2,EOMONTH(X$2,-1)+1,$C126:$F126)*VLOOKUP(X$2,Valores!$H$2:$P$154,8,0)</f>
        <v>0</v>
      </c>
      <c r="Y126" s="30" t="n">
        <f aca="false">SUMIF($C$2:$F$2,EOMONTH(Y$2,-1)+1,$C126:$F126)*VLOOKUP(Y$2,Valores!$H$2:$P$154,8,0)</f>
        <v>0</v>
      </c>
      <c r="Z126" s="30" t="n">
        <f aca="false">SUMIF($C$2:$F$2,EOMONTH(Z$2,-1)+1,$C126:$F126)*VLOOKUP(Z$2,Valores!$H$2:$P$154,8,0)</f>
        <v>0</v>
      </c>
      <c r="AA126" s="30" t="n">
        <f aca="false">SUMIF($C$2:$F$2,EOMONTH(AA$2,-1)+1,$C126:$F126)*VLOOKUP(AA$2,Valores!$H$2:$P$154,8,0)</f>
        <v>0</v>
      </c>
      <c r="AB126" s="30" t="n">
        <f aca="false">SUMIF($C$2:$F$2,EOMONTH(AB$2,-1)+1,$C126:$F126)*VLOOKUP(AB$2,Valores!$H$2:$P$154,8,0)</f>
        <v>0</v>
      </c>
      <c r="AC126" s="30" t="n">
        <f aca="false">SUMIF($C$2:$F$2,EOMONTH(AC$2,-1)+1,$C126:$F126)*VLOOKUP(AC$2,Valores!$H$2:$P$154,8,0)</f>
        <v>0</v>
      </c>
      <c r="AD126" s="30" t="n">
        <f aca="false">SUMIF($C$2:$F$2,EOMONTH(AD$2,-1)+1,$C126:$F126)*VLOOKUP(AD$2,Valores!$H$2:$P$154,8,0)</f>
        <v>0</v>
      </c>
      <c r="AE126" s="30" t="n">
        <f aca="false">SUMIF($C$2:$F$2,EOMONTH(AE$2,-1)+1,$C126:$F126)*VLOOKUP(AE$2,Valores!$H$2:$P$154,8,0)</f>
        <v>0</v>
      </c>
      <c r="AF126" s="30" t="n">
        <f aca="false">SUMIF($C$2:$F$2,EOMONTH(AF$2,-1)+1,$C126:$F126)*VLOOKUP(AF$2,Valores!$H$2:$P$154,8,0)</f>
        <v>0</v>
      </c>
      <c r="AG126" s="30" t="n">
        <f aca="false">SUMIF($C$2:$F$2,EOMONTH(AG$2,-1)+1,$C126:$F126)*VLOOKUP(AG$2,Valores!$H$2:$P$154,8,0)</f>
        <v>0</v>
      </c>
      <c r="AH126" s="30" t="n">
        <f aca="false">SUMIF($C$2:$F$2,EOMONTH(AH$2,-1)+1,$C126:$F126)*VLOOKUP(AH$2,Valores!$H$2:$P$154,8,0)</f>
        <v>0</v>
      </c>
      <c r="AI126" s="30" t="n">
        <f aca="false">SUMIF($C$2:$F$2,EOMONTH(AI$2,-1)+1,$C126:$F126)*VLOOKUP(AI$2,Valores!$H$2:$P$154,8,0)</f>
        <v>0</v>
      </c>
      <c r="AJ126" s="30" t="n">
        <f aca="false">SUMIF($C$2:$F$2,EOMONTH(AJ$2,-1)+1,$C126:$F126)*VLOOKUP(AJ$2,Valores!$H$2:$P$154,8,0)</f>
        <v>0</v>
      </c>
      <c r="AK126" s="30" t="n">
        <f aca="false">SUMIF($C$2:$F$2,EOMONTH(AK$2,-1)+1,$C126:$F126)*VLOOKUP(AK$2,Valores!$H$2:$P$154,8,0)</f>
        <v>0</v>
      </c>
      <c r="AL126" s="30" t="n">
        <f aca="false">SUMIF($C$2:$F$2,EOMONTH(AL$2,-1)+1,$C126:$F126)*VLOOKUP(AL$2,Valores!$H$2:$P$154,8,0)</f>
        <v>0</v>
      </c>
      <c r="AM126" s="30" t="n">
        <f aca="false">SUMIF($C$2:$F$2,EOMONTH(AM$2,-1)+1,$C126:$F126)*VLOOKUP(AM$2,Valores!$H$2:$P$154,8,0)</f>
        <v>0</v>
      </c>
      <c r="AN126" s="30" t="n">
        <f aca="false">SUMIF($C$2:$F$2,EOMONTH(AN$2,-1)+1,$C126:$F126)*VLOOKUP(AN$2,Valores!$H$2:$P$154,8,0)</f>
        <v>0</v>
      </c>
      <c r="AO126" s="30" t="n">
        <f aca="false">SUMIF($C$2:$F$2,EOMONTH(AO$2,-1)+1,$C126:$F126)*VLOOKUP(AO$2,Valores!$H$2:$P$154,8,0)</f>
        <v>0</v>
      </c>
      <c r="AP126" s="30" t="n">
        <f aca="false">SUMIF($C$2:$F$2,EOMONTH(AP$2,-1)+1,$C126:$F126)*VLOOKUP(AP$2,Valores!$H$2:$P$154,8,0)</f>
        <v>0</v>
      </c>
      <c r="AQ126" s="30" t="n">
        <f aca="false">SUMIF($C$2:$F$2,EOMONTH(AQ$2,-1)+1,$C126:$F126)*VLOOKUP(AQ$2,Valores!$H$2:$P$154,8,0)</f>
        <v>0</v>
      </c>
      <c r="AR126" s="30" t="n">
        <f aca="false">SUMIF($C$2:$F$2,EOMONTH(AR$2,-1)+1,$C126:$F126)*VLOOKUP(AR$2,Valores!$H$2:$P$154,8,0)</f>
        <v>0</v>
      </c>
      <c r="AS126" s="30" t="n">
        <f aca="false">SUMIF($C$2:$F$2,EOMONTH(AS$2,-1)+1,$C126:$F126)*VLOOKUP(AS$2,Valores!$H$2:$P$154,8,0)</f>
        <v>0</v>
      </c>
      <c r="AT126" s="30" t="n">
        <f aca="false">SUMIF($C$2:$F$2,EOMONTH(AT$2,-1)+1,$C126:$F126)*VLOOKUP(AT$2,Valores!$H$2:$P$154,8,0)</f>
        <v>0</v>
      </c>
      <c r="AU126" s="30" t="n">
        <f aca="false">SUMIF($C$2:$F$2,EOMONTH(AU$2,-1)+1,$C126:$F126)*VLOOKUP(AU$2,Valores!$H$2:$P$154,8,0)</f>
        <v>0</v>
      </c>
      <c r="AV126" s="30" t="n">
        <f aca="false">SUMIF($C$2:$F$2,EOMONTH(AV$2,-1)+1,$C126:$F126)*VLOOKUP(AV$2,Valores!$H$2:$P$154,8,0)</f>
        <v>0</v>
      </c>
      <c r="AW126" s="30" t="n">
        <f aca="false">SUMIF($C$2:$F$2,EOMONTH(AW$2,-1)+1,$C126:$F126)*VLOOKUP(AW$2,Valores!$H$2:$P$154,8,0)</f>
        <v>0</v>
      </c>
      <c r="AX126" s="30" t="n">
        <f aca="false">SUMIF($C$2:$F$2,EOMONTH(AX$2,-1)+1,$C126:$F126)*VLOOKUP(AX$2,Valores!$H$2:$P$154,8,0)</f>
        <v>0</v>
      </c>
      <c r="AY126" s="30" t="n">
        <f aca="false">SUMIF($C$2:$F$2,EOMONTH(AY$2,-1)+1,$C126:$F126)*VLOOKUP(AY$2,Valores!$H$2:$P$154,8,0)</f>
        <v>0</v>
      </c>
      <c r="AZ126" s="30" t="n">
        <f aca="false">SUMIF($C$2:$F$2,EOMONTH(AZ$2,-1)+1,$C126:$F126)*VLOOKUP(AZ$2,Valores!$H$2:$P$154,8,0)</f>
        <v>0</v>
      </c>
      <c r="BA126" s="30" t="n">
        <f aca="false">SUMIF($C$2:$F$2,EOMONTH(BA$2,-1)+1,$C126:$F126)*VLOOKUP(BA$2,Valores!$H$2:$P$154,8,0)</f>
        <v>0</v>
      </c>
      <c r="BB126" s="30" t="n">
        <f aca="false">SUMIF($C$2:$F$2,EOMONTH(BB$2,-1)+1,$C126:$F126)*VLOOKUP(BB$2,Valores!$H$2:$P$154,8,0)</f>
        <v>0</v>
      </c>
      <c r="BC126" s="30" t="n">
        <f aca="false">SUMIF($C$2:$F$2,EOMONTH(BC$2,-1)+1,$C126:$F126)*VLOOKUP(BC$2,Valores!$H$2:$P$154,8,0)</f>
        <v>0</v>
      </c>
      <c r="BD126" s="30" t="n">
        <f aca="false">SUMIF($C$2:$F$2,EOMONTH(BD$2,-1)+1,$C126:$F126)*VLOOKUP(BD$2,Valores!$H$2:$P$154,8,0)</f>
        <v>0</v>
      </c>
      <c r="BE126" s="30" t="n">
        <f aca="false">SUMIF($C$2:$F$2,EOMONTH(BE$2,-1)+1,$C126:$F126)*VLOOKUP(BE$2,Valores!$H$2:$P$154,8,0)</f>
        <v>0</v>
      </c>
      <c r="BF126" s="30" t="n">
        <f aca="false">SUMIF($C$2:$F$2,EOMONTH(BF$2,-1)+1,$C126:$F126)*VLOOKUP(BF$2,Valores!$H$2:$P$154,8,0)</f>
        <v>0</v>
      </c>
      <c r="BG126" s="30" t="n">
        <f aca="false">SUMIF($C$2:$F$2,EOMONTH(BG$2,-1)+1,$C126:$F126)*VLOOKUP(BG$2,Valores!$H$2:$P$154,8,0)</f>
        <v>0</v>
      </c>
      <c r="BH126" s="30" t="n">
        <f aca="false">SUMIF($C$2:$F$2,EOMONTH(BH$2,-1)+1,$C126:$F126)*VLOOKUP(BH$2,Valores!$H$2:$P$154,8,0)</f>
        <v>0</v>
      </c>
      <c r="BI126" s="30" t="n">
        <f aca="false">SUMIF($C$2:$F$2,EOMONTH(BI$2,-1)+1,$C126:$F126)*VLOOKUP(BI$2,Valores!$H$2:$P$154,8,0)</f>
        <v>0</v>
      </c>
      <c r="BJ126" s="30" t="n">
        <f aca="false">SUMIF($C$2:$F$2,EOMONTH(BJ$2,-1)+1,$C126:$F126)*VLOOKUP(BJ$2,Valores!$H$2:$P$154,8,0)</f>
        <v>0</v>
      </c>
      <c r="BK126" s="30" t="n">
        <f aca="false">SUMIF($C$2:$F$2,EOMONTH(BK$2,-1)+1,$C126:$F126)*VLOOKUP(BK$2,Valores!$H$2:$P$154,8,0)</f>
        <v>0</v>
      </c>
      <c r="BL126" s="30" t="n">
        <f aca="false">SUMIF($C$2:$F$2,EOMONTH(BL$2,-1)+1,$C126:$F126)*VLOOKUP(BL$2,Valores!$H$2:$P$154,8,0)</f>
        <v>0</v>
      </c>
      <c r="BM126" s="30" t="n">
        <f aca="false">SUMIF($C$2:$F$2,EOMONTH(BM$2,-1)+1,$C126:$F126)*VLOOKUP(BM$2,Valores!$H$2:$P$154,8,0)</f>
        <v>0</v>
      </c>
      <c r="BN126" s="30" t="n">
        <f aca="false">SUMIF($C$2:$F$2,EOMONTH(BN$2,-1)+1,$C126:$F126)*VLOOKUP(BN$2,Valores!$H$2:$P$154,8,0)</f>
        <v>0</v>
      </c>
      <c r="BO126" s="30" t="n">
        <f aca="false">SUMIF($C$2:$F$2,EOMONTH(BO$2,-1)+1,$C126:$F126)*VLOOKUP(BO$2,Valores!$H$2:$P$154,8,0)</f>
        <v>0</v>
      </c>
      <c r="BP126" s="30" t="n">
        <f aca="false">SUMIF($C$2:$F$2,EOMONTH(BP$2,-1)+1,$C126:$F126)*VLOOKUP(BP$2,Valores!$H$2:$P$154,8,0)</f>
        <v>0</v>
      </c>
      <c r="BQ126" s="30" t="n">
        <f aca="false">SUMIF($C$2:$F$2,EOMONTH(BQ$2,-1)+1,$C126:$F126)*VLOOKUP(BQ$2,Valores!$H$2:$P$154,8,0)</f>
        <v>0</v>
      </c>
      <c r="BR126" s="30" t="n">
        <f aca="false">SUMIF($C$2:$F$2,EOMONTH(BR$2,-1)+1,$C126:$F126)*VLOOKUP(BR$2,Valores!$H$2:$P$154,8,0)</f>
        <v>0</v>
      </c>
      <c r="BS126" s="30" t="n">
        <f aca="false">SUMIF($C$2:$F$2,EOMONTH(BS$2,-1)+1,$C126:$F126)*VLOOKUP(BS$2,Valores!$H$2:$P$154,8,0)</f>
        <v>0</v>
      </c>
      <c r="BT126" s="30" t="n">
        <f aca="false">SUMIF($C$2:$F$2,EOMONTH(BT$2,-1)+1,$C126:$F126)*VLOOKUP(BT$2,Valores!$H$2:$P$154,8,0)</f>
        <v>0</v>
      </c>
      <c r="BU126" s="30" t="n">
        <f aca="false">SUMIF($C$2:$F$2,EOMONTH(BU$2,-1)+1,$C126:$F126)*VLOOKUP(BU$2,Valores!$H$2:$P$154,8,0)</f>
        <v>0</v>
      </c>
      <c r="BV126" s="30" t="n">
        <f aca="false">SUMIF($C$2:$F$2,EOMONTH(BV$2,-1)+1,$C126:$F126)*VLOOKUP(BV$2,Valores!$H$2:$P$154,8,0)</f>
        <v>0</v>
      </c>
      <c r="BW126" s="30" t="n">
        <f aca="false">SUMIF($C$2:$F$2,EOMONTH(BW$2,-1)+1,$C126:$F126)*VLOOKUP(BW$2,Valores!$H$2:$P$154,8,0)</f>
        <v>0</v>
      </c>
      <c r="BX126" s="30" t="n">
        <f aca="false">SUMIF($C$2:$F$2,EOMONTH(BX$2,-1)+1,$C126:$F126)*VLOOKUP(BX$2,Valores!$H$2:$P$154,8,0)</f>
        <v>0</v>
      </c>
      <c r="BY126" s="30" t="n">
        <f aca="false">SUMIF($C$2:$F$2,EOMONTH(BY$2,-1)+1,$C126:$F126)*VLOOKUP(BY$2,Valores!$H$2:$P$154,8,0)</f>
        <v>0</v>
      </c>
      <c r="BZ126" s="30" t="n">
        <f aca="false">SUMIF($C$2:$F$2,EOMONTH(BZ$2,-1)+1,$C126:$F126)*VLOOKUP(BZ$2,Valores!$H$2:$P$154,8,0)</f>
        <v>0</v>
      </c>
      <c r="CA126" s="30" t="n">
        <f aca="false">SUMIF($C$2:$F$2,EOMONTH(CA$2,-1)+1,$C126:$F126)*VLOOKUP(CA$2,Valores!$H$2:$P$154,8,0)</f>
        <v>0</v>
      </c>
      <c r="CB126" s="30" t="n">
        <f aca="false">SUMIF($C$2:$F$2,EOMONTH(CB$2,-1)+1,$C126:$F126)*VLOOKUP(CB$2,Valores!$H$2:$P$154,8,0)</f>
        <v>0</v>
      </c>
      <c r="CC126" s="30" t="n">
        <f aca="false">SUMIF($C$2:$F$2,EOMONTH(CC$2,-1)+1,$C126:$F126)*VLOOKUP(CC$2,Valores!$H$2:$P$154,8,0)</f>
        <v>0</v>
      </c>
      <c r="CD126" s="30" t="n">
        <f aca="false">SUMIF($C$2:$F$2,EOMONTH(CD$2,-1)+1,$C126:$F126)*VLOOKUP(CD$2,Valores!$H$2:$P$154,8,0)</f>
        <v>0</v>
      </c>
      <c r="CE126" s="30" t="n">
        <f aca="false">SUMIF($C$2:$F$2,EOMONTH(CE$2,-1)+1,$C126:$F126)*VLOOKUP(CE$2,Valores!$H$2:$P$154,8,0)</f>
        <v>0</v>
      </c>
      <c r="CF126" s="30" t="n">
        <f aca="false">SUMIF($C$2:$F$2,EOMONTH(CF$2,-1)+1,$C126:$F126)*VLOOKUP(CF$2,Valores!$H$2:$P$154,8,0)</f>
        <v>0</v>
      </c>
      <c r="CG126" s="30" t="n">
        <f aca="false">SUMIF($C$2:$F$2,EOMONTH(CG$2,-1)+1,$C126:$F126)*VLOOKUP(CG$2,Valores!$H$2:$P$154,8,0)</f>
        <v>0</v>
      </c>
      <c r="CH126" s="30" t="n">
        <f aca="false">SUMIF($C$2:$F$2,EOMONTH(CH$2,-1)+1,$C126:$F126)*VLOOKUP(CH$2,Valores!$H$2:$P$154,8,0)</f>
        <v>0</v>
      </c>
      <c r="CI126" s="30" t="n">
        <f aca="false">SUMIF($C$2:$F$2,EOMONTH(CI$2,-1)+1,$C126:$F126)*VLOOKUP(CI$2,Valores!$H$2:$P$154,8,0)</f>
        <v>0</v>
      </c>
      <c r="CJ126" s="30" t="n">
        <f aca="false">SUMIF($C$2:$F$2,EOMONTH(CJ$2,-1)+1,$C126:$F126)*VLOOKUP(CJ$2,Valores!$H$2:$P$154,8,0)</f>
        <v>0</v>
      </c>
      <c r="CK126" s="30" t="n">
        <f aca="false">SUMIF($C$2:$F$2,EOMONTH(CK$2,-1)+1,$C126:$F126)*VLOOKUP(CK$2,Valores!$H$2:$P$154,8,0)</f>
        <v>0</v>
      </c>
      <c r="CL126" s="30" t="n">
        <f aca="false">SUMIF($C$2:$F$2,EOMONTH(CL$2,-1)+1,$C126:$F126)*VLOOKUP(CL$2,Valores!$H$2:$P$154,8,0)</f>
        <v>0</v>
      </c>
      <c r="CM126" s="30" t="n">
        <f aca="false">SUMIF($C$2:$F$2,EOMONTH(CM$2,-1)+1,$C126:$F126)*VLOOKUP(CM$2,Valores!$H$2:$P$154,8,0)</f>
        <v>0</v>
      </c>
      <c r="CN126" s="30" t="n">
        <f aca="false">SUMIF($C$2:$F$2,EOMONTH(CN$2,-1)+1,$C126:$F126)*VLOOKUP(CN$2,Valores!$H$2:$P$154,8,0)</f>
        <v>0</v>
      </c>
      <c r="CO126" s="30" t="n">
        <f aca="false">SUMIF($C$2:$F$2,EOMONTH(CO$2,-1)+1,$C126:$F126)*VLOOKUP(CO$2,Valores!$H$2:$P$154,8,0)</f>
        <v>0</v>
      </c>
      <c r="CP126" s="30" t="n">
        <f aca="false">SUMIF($C$2:$F$2,EOMONTH(CP$2,-1)+1,$C126:$F126)*VLOOKUP(CP$2,Valores!$H$2:$P$154,8,0)</f>
        <v>0</v>
      </c>
      <c r="CQ126" s="30" t="n">
        <f aca="false">SUMIF($C$2:$F$2,EOMONTH(CQ$2,-1)+1,$C126:$F126)*VLOOKUP(CQ$2,Valores!$H$2:$P$154,8,0)</f>
        <v>0</v>
      </c>
      <c r="CR126" s="30" t="n">
        <f aca="false">SUMIF($C$2:$F$2,EOMONTH(CR$2,-1)+1,$C126:$F126)*VLOOKUP(CR$2,Valores!$H$2:$P$154,8,0)</f>
        <v>0</v>
      </c>
      <c r="CS126" s="30" t="n">
        <f aca="false">SUMIF($C$2:$F$2,EOMONTH(CS$2,-1)+1,$C126:$F126)*VLOOKUP(CS$2,Valores!$H$2:$P$154,8,0)</f>
        <v>0</v>
      </c>
      <c r="CT126" s="30" t="e">
        <f aca="false">SUMIF($C$2:$F$2,EOMONTH(CT$2,-1)+1,$C126:$F126)*VLOOKUP(CT$2,Valores!$H$2:$P$154,8,0)</f>
        <v>#VALUE!</v>
      </c>
      <c r="CU126" s="30" t="e">
        <f aca="false">SUMIF($C$2:$F$2,EOMONTH(CU$2,-1)+1,$C126:$F126)*VLOOKUP(CU$2,Valores!$H$2:$P$154,8,0)</f>
        <v>#VALUE!</v>
      </c>
      <c r="CV126" s="30" t="e">
        <f aca="false">SUMIF($C$2:$F$2,EOMONTH(CV$2,-1)+1,$C126:$F126)*VLOOKUP(CV$2,Valores!$H$2:$P$154,8,0)</f>
        <v>#VALUE!</v>
      </c>
      <c r="CW126" s="30" t="e">
        <f aca="false">SUMIF($C$2:$F$2,EOMONTH(CW$2,-1)+1,$C126:$F126)*VLOOKUP(CW$2,Valores!$H$2:$P$154,8,0)</f>
        <v>#VALUE!</v>
      </c>
      <c r="CX126" s="30" t="e">
        <f aca="false">SUMIF($C$2:$F$2,EOMONTH(CX$2,-1)+1,$C126:$F126)*VLOOKUP(CX$2,Valores!$H$2:$P$154,8,0)</f>
        <v>#VALUE!</v>
      </c>
      <c r="CY126" s="30" t="e">
        <f aca="false">SUMIF($C$2:$F$2,EOMONTH(CY$2,-1)+1,$C126:$F126)*VLOOKUP(CY$2,Valores!$H$2:$P$154,8,0)</f>
        <v>#VALUE!</v>
      </c>
      <c r="CZ126" s="30" t="e">
        <f aca="false">SUMIF($C$2:$F$2,EOMONTH(CZ$2,-1)+1,$C126:$F126)*VLOOKUP(CZ$2,Valores!$H$2:$P$154,8,0)</f>
        <v>#VALUE!</v>
      </c>
      <c r="DA126" s="30" t="e">
        <f aca="false">SUMIF($C$2:$F$2,EOMONTH(DA$2,-1)+1,$C126:$F126)*VLOOKUP(DA$2,Valores!$H$2:$P$154,8,0)</f>
        <v>#VALUE!</v>
      </c>
      <c r="DB126" s="30" t="e">
        <f aca="false">SUMIF($C$2:$F$2,EOMONTH(DB$2,-1)+1,$C126:$F126)*VLOOKUP(DB$2,Valores!$H$2:$P$154,8,0)</f>
        <v>#VALUE!</v>
      </c>
      <c r="DC126" s="30" t="e">
        <f aca="false">SUMIF($C$2:$F$2,EOMONTH(DC$2,-1)+1,$C126:$F126)*VLOOKUP(DC$2,Valores!$H$2:$P$154,8,0)</f>
        <v>#VALUE!</v>
      </c>
      <c r="DD126" s="30" t="e">
        <f aca="false">SUMIF($C$2:$F$2,EOMONTH(DD$2,-1)+1,$C126:$F126)*VLOOKUP(DD$2,Valores!$H$2:$P$154,8,0)</f>
        <v>#VALUE!</v>
      </c>
      <c r="DE126" s="30" t="e">
        <f aca="false">SUMIF($C$2:$F$2,EOMONTH(DE$2,-1)+1,$C126:$F126)*VLOOKUP(DE$2,Valores!$H$2:$P$154,8,0)</f>
        <v>#VALUE!</v>
      </c>
      <c r="DF126" s="30" t="e">
        <f aca="false">SUMIF($C$2:$F$2,EOMONTH(DF$2,-1)+1,$C126:$F126)*VLOOKUP(DF$2,Valores!$H$2:$P$154,8,0)</f>
        <v>#VALUE!</v>
      </c>
      <c r="DG126" s="30" t="e">
        <f aca="false">SUMIF($C$2:$F$2,EOMONTH(DG$2,-1)+1,$C126:$F126)*VLOOKUP(DG$2,Valores!$H$2:$P$154,8,0)</f>
        <v>#VALUE!</v>
      </c>
      <c r="DH126" s="30" t="e">
        <f aca="false">SUMIF($C$2:$F$2,EOMONTH(DH$2,-1)+1,$C126:$F126)*VLOOKUP(DH$2,Valores!$H$2:$P$154,8,0)</f>
        <v>#VALUE!</v>
      </c>
      <c r="DI126" s="30" t="e">
        <f aca="false">SUMIF($C$2:$F$2,EOMONTH(DI$2,-1)+1,$C126:$F126)*VLOOKUP(DI$2,Valores!$H$2:$P$154,8,0)</f>
        <v>#VALUE!</v>
      </c>
      <c r="DJ126" s="30" t="e">
        <f aca="false">SUMIF($C$2:$F$2,EOMONTH(DJ$2,-1)+1,$C126:$F126)*VLOOKUP(DJ$2,Valores!$H$2:$P$154,8,0)</f>
        <v>#VALUE!</v>
      </c>
      <c r="DK126" s="30" t="e">
        <f aca="false">SUMIF($C$2:$F$2,EOMONTH(DK$2,-1)+1,$C126:$F126)*VLOOKUP(DK$2,Valores!$H$2:$P$154,8,0)</f>
        <v>#VALUE!</v>
      </c>
      <c r="DL126" s="30" t="e">
        <f aca="false">SUMIF($C$2:$F$2,EOMONTH(DL$2,-1)+1,$C126:$F126)*VLOOKUP(DL$2,Valores!$H$2:$P$154,8,0)</f>
        <v>#VALUE!</v>
      </c>
      <c r="DM126" s="30" t="e">
        <f aca="false">SUMIF($C$2:$F$2,EOMONTH(DM$2,-1)+1,$C126:$F126)*VLOOKUP(DM$2,Valores!$H$2:$P$154,8,0)</f>
        <v>#VALUE!</v>
      </c>
      <c r="DN126" s="30" t="e">
        <f aca="false">SUMIF($C$2:$F$2,EOMONTH(DN$2,-1)+1,$C126:$F126)*VLOOKUP(DN$2,Valores!$H$2:$P$154,8,0)</f>
        <v>#VALUE!</v>
      </c>
      <c r="DO126" s="30" t="e">
        <f aca="false">SUMIF($C$2:$F$2,EOMONTH(DO$2,-1)+1,$C126:$F126)*VLOOKUP(DO$2,Valores!$H$2:$P$154,8,0)</f>
        <v>#VALUE!</v>
      </c>
      <c r="DP126" s="30" t="e">
        <f aca="false">SUMIF($C$2:$F$2,EOMONTH(DP$2,-1)+1,$C126:$F126)*VLOOKUP(DP$2,Valores!$H$2:$P$154,8,0)</f>
        <v>#VALUE!</v>
      </c>
      <c r="DQ126" s="30" t="e">
        <f aca="false">SUMIF($C$2:$F$2,EOMONTH(DQ$2,-1)+1,$C126:$F126)*VLOOKUP(DQ$2,Valores!$H$2:$P$154,8,0)</f>
        <v>#VALUE!</v>
      </c>
      <c r="DR126" s="30" t="e">
        <f aca="false">SUMIF($C$2:$F$2,EOMONTH(DR$2,-1)+1,$C126:$F126)*VLOOKUP(DR$2,Valores!$H$2:$P$154,8,0)</f>
        <v>#VALUE!</v>
      </c>
      <c r="DS126" s="30" t="e">
        <f aca="false">SUMIF($C$2:$F$2,EOMONTH(DS$2,-1)+1,$C126:$F126)*VLOOKUP(DS$2,Valores!$H$2:$P$154,8,0)</f>
        <v>#VALUE!</v>
      </c>
      <c r="DT126" s="30" t="e">
        <f aca="false">SUMIF($C$2:$F$2,EOMONTH(DT$2,-1)+1,$C126:$F126)*VLOOKUP(DT$2,Valores!$H$2:$P$154,8,0)</f>
        <v>#VALUE!</v>
      </c>
      <c r="DU126" s="30" t="e">
        <f aca="false">SUMIF($C$2:$F$2,EOMONTH(DU$2,-1)+1,$C126:$F126)*VLOOKUP(DU$2,Valores!$H$2:$P$154,8,0)</f>
        <v>#VALUE!</v>
      </c>
      <c r="DV126" s="30" t="e">
        <f aca="false">SUMIF($C$2:$F$2,EOMONTH(DV$2,-1)+1,$C126:$F126)*VLOOKUP(DV$2,Valores!$H$2:$P$154,8,0)</f>
        <v>#VALUE!</v>
      </c>
      <c r="DW126" s="30" t="e">
        <f aca="false">SUMIF($C$2:$F$2,EOMONTH(DW$2,-1)+1,$C126:$F126)*VLOOKUP(DW$2,Valores!$H$2:$P$154,8,0)</f>
        <v>#VALUE!</v>
      </c>
      <c r="DX126" s="30" t="e">
        <f aca="false">SUMIF($C$2:$F$2,EOMONTH(DX$2,-1)+1,$C126:$F126)*VLOOKUP(DX$2,Valores!$H$2:$P$154,8,0)</f>
        <v>#VALUE!</v>
      </c>
    </row>
    <row r="127" customFormat="false" ht="13.8" hidden="false" customHeight="false" outlineLevel="0" collapsed="false">
      <c r="A127" s="31"/>
      <c r="B127" s="31"/>
      <c r="C127" s="31"/>
      <c r="D127" s="31"/>
      <c r="E127" s="31"/>
      <c r="F127" s="31"/>
      <c r="G127" s="27" t="n">
        <f aca="false">SUMIF($C$2:$F$2,EOMONTH(G$2,-1)+1,$C127:$F127)*VLOOKUP(G$2,Valores!$H$2:$P$154,8,0)</f>
        <v>0</v>
      </c>
      <c r="H127" s="27" t="n">
        <f aca="false">SUMIF($C$2:$F$2,EOMONTH(H$2,-1)+1,$C127:$F127)*VLOOKUP(H$2,Valores!$H$2:$P$154,8,0)</f>
        <v>0</v>
      </c>
      <c r="I127" s="27" t="n">
        <f aca="false">SUMIF($C$2:$F$2,EOMONTH(I$2,-1)+1,$C127:$F127)*VLOOKUP(I$2,Valores!$H$2:$P$154,8,0)</f>
        <v>0</v>
      </c>
      <c r="J127" s="27" t="n">
        <f aca="false">SUMIF($C$2:$F$2,EOMONTH(J$2,-1)+1,$C127:$F127)*VLOOKUP(J$2,Valores!$H$2:$P$154,8,0)</f>
        <v>0</v>
      </c>
      <c r="K127" s="27" t="n">
        <f aca="false">SUMIF($C$2:$F$2,EOMONTH(K$2,-1)+1,$C127:$F127)*VLOOKUP(K$2,Valores!$H$2:$P$154,8,0)</f>
        <v>0</v>
      </c>
      <c r="L127" s="27" t="n">
        <f aca="false">SUMIF($C$2:$F$2,EOMONTH(L$2,-1)+1,$C127:$F127)*VLOOKUP(L$2,Valores!$H$2:$P$154,8,0)</f>
        <v>0</v>
      </c>
      <c r="M127" s="27" t="n">
        <f aca="false">SUMIF($C$2:$F$2,EOMONTH(M$2,-1)+1,$C127:$F127)*VLOOKUP(M$2,Valores!$H$2:$P$154,8,0)</f>
        <v>0</v>
      </c>
      <c r="N127" s="27" t="n">
        <f aca="false">SUMIF($C$2:$F$2,EOMONTH(N$2,-1)+1,$C127:$F127)*VLOOKUP(N$2,Valores!$H$2:$P$154,8,0)</f>
        <v>0</v>
      </c>
      <c r="O127" s="27" t="n">
        <f aca="false">SUMIF($C$2:$F$2,EOMONTH(O$2,-1)+1,$C127:$F127)*VLOOKUP(O$2,Valores!$H$2:$P$154,8,0)</f>
        <v>0</v>
      </c>
      <c r="P127" s="27" t="n">
        <f aca="false">SUMIF($C$2:$F$2,EOMONTH(P$2,-1)+1,$C127:$F127)*VLOOKUP(P$2,Valores!$H$2:$P$154,8,0)</f>
        <v>0</v>
      </c>
      <c r="Q127" s="27" t="n">
        <f aca="false">SUMIF($C$2:$F$2,EOMONTH(Q$2,-1)+1,$C127:$F127)*VLOOKUP(Q$2,Valores!$H$2:$P$154,8,0)</f>
        <v>0</v>
      </c>
      <c r="R127" s="27" t="n">
        <f aca="false">SUMIF($C$2:$F$2,EOMONTH(R$2,-1)+1,$C127:$F127)*VLOOKUP(R$2,Valores!$H$2:$P$154,8,0)</f>
        <v>0</v>
      </c>
      <c r="S127" s="27" t="n">
        <f aca="false">SUMIF($C$2:$F$2,EOMONTH(S$2,-1)+1,$C127:$F127)*VLOOKUP(S$2,Valores!$H$2:$P$154,8,0)</f>
        <v>0</v>
      </c>
      <c r="T127" s="27" t="n">
        <f aca="false">SUMIF($C$2:$F$2,EOMONTH(T$2,-1)+1,$C127:$F127)*VLOOKUP(T$2,Valores!$H$2:$P$154,8,0)</f>
        <v>0</v>
      </c>
      <c r="U127" s="27" t="n">
        <f aca="false">SUMIF($C$2:$F$2,EOMONTH(U$2,-1)+1,$C127:$F127)*VLOOKUP(U$2,Valores!$H$2:$P$154,8,0)</f>
        <v>0</v>
      </c>
      <c r="V127" s="27" t="n">
        <f aca="false">SUMIF($C$2:$F$2,EOMONTH(V$2,-1)+1,$C127:$F127)*VLOOKUP(V$2,Valores!$H$2:$P$154,8,0)</f>
        <v>0</v>
      </c>
      <c r="W127" s="27" t="n">
        <f aca="false">SUMIF($C$2:$F$2,EOMONTH(W$2,-1)+1,$C127:$F127)*VLOOKUP(W$2,Valores!$H$2:$P$154,8,0)</f>
        <v>0</v>
      </c>
      <c r="X127" s="27" t="n">
        <f aca="false">SUMIF($C$2:$F$2,EOMONTH(X$2,-1)+1,$C127:$F127)*VLOOKUP(X$2,Valores!$H$2:$P$154,8,0)</f>
        <v>0</v>
      </c>
      <c r="Y127" s="27" t="n">
        <f aca="false">SUMIF($C$2:$F$2,EOMONTH(Y$2,-1)+1,$C127:$F127)*VLOOKUP(Y$2,Valores!$H$2:$P$154,8,0)</f>
        <v>0</v>
      </c>
      <c r="Z127" s="27" t="n">
        <f aca="false">SUMIF($C$2:$F$2,EOMONTH(Z$2,-1)+1,$C127:$F127)*VLOOKUP(Z$2,Valores!$H$2:$P$154,8,0)</f>
        <v>0</v>
      </c>
      <c r="AA127" s="27" t="n">
        <f aca="false">SUMIF($C$2:$F$2,EOMONTH(AA$2,-1)+1,$C127:$F127)*VLOOKUP(AA$2,Valores!$H$2:$P$154,8,0)</f>
        <v>0</v>
      </c>
      <c r="AB127" s="27" t="n">
        <f aca="false">SUMIF($C$2:$F$2,EOMONTH(AB$2,-1)+1,$C127:$F127)*VLOOKUP(AB$2,Valores!$H$2:$P$154,8,0)</f>
        <v>0</v>
      </c>
      <c r="AC127" s="27" t="n">
        <f aca="false">SUMIF($C$2:$F$2,EOMONTH(AC$2,-1)+1,$C127:$F127)*VLOOKUP(AC$2,Valores!$H$2:$P$154,8,0)</f>
        <v>0</v>
      </c>
      <c r="AD127" s="27" t="n">
        <f aca="false">SUMIF($C$2:$F$2,EOMONTH(AD$2,-1)+1,$C127:$F127)*VLOOKUP(AD$2,Valores!$H$2:$P$154,8,0)</f>
        <v>0</v>
      </c>
      <c r="AE127" s="27" t="n">
        <f aca="false">SUMIF($C$2:$F$2,EOMONTH(AE$2,-1)+1,$C127:$F127)*VLOOKUP(AE$2,Valores!$H$2:$P$154,8,0)</f>
        <v>0</v>
      </c>
      <c r="AF127" s="27" t="n">
        <f aca="false">SUMIF($C$2:$F$2,EOMONTH(AF$2,-1)+1,$C127:$F127)*VLOOKUP(AF$2,Valores!$H$2:$P$154,8,0)</f>
        <v>0</v>
      </c>
      <c r="AG127" s="27" t="n">
        <f aca="false">SUMIF($C$2:$F$2,EOMONTH(AG$2,-1)+1,$C127:$F127)*VLOOKUP(AG$2,Valores!$H$2:$P$154,8,0)</f>
        <v>0</v>
      </c>
      <c r="AH127" s="27" t="n">
        <f aca="false">SUMIF($C$2:$F$2,EOMONTH(AH$2,-1)+1,$C127:$F127)*VLOOKUP(AH$2,Valores!$H$2:$P$154,8,0)</f>
        <v>0</v>
      </c>
      <c r="AI127" s="27" t="n">
        <f aca="false">SUMIF($C$2:$F$2,EOMONTH(AI$2,-1)+1,$C127:$F127)*VLOOKUP(AI$2,Valores!$H$2:$P$154,8,0)</f>
        <v>0</v>
      </c>
      <c r="AJ127" s="27" t="n">
        <f aca="false">SUMIF($C$2:$F$2,EOMONTH(AJ$2,-1)+1,$C127:$F127)*VLOOKUP(AJ$2,Valores!$H$2:$P$154,8,0)</f>
        <v>0</v>
      </c>
      <c r="AK127" s="27" t="n">
        <f aca="false">SUMIF($C$2:$F$2,EOMONTH(AK$2,-1)+1,$C127:$F127)*VLOOKUP(AK$2,Valores!$H$2:$P$154,8,0)</f>
        <v>0</v>
      </c>
      <c r="AL127" s="27" t="n">
        <f aca="false">SUMIF($C$2:$F$2,EOMONTH(AL$2,-1)+1,$C127:$F127)*VLOOKUP(AL$2,Valores!$H$2:$P$154,8,0)</f>
        <v>0</v>
      </c>
      <c r="AM127" s="27" t="n">
        <f aca="false">SUMIF($C$2:$F$2,EOMONTH(AM$2,-1)+1,$C127:$F127)*VLOOKUP(AM$2,Valores!$H$2:$P$154,8,0)</f>
        <v>0</v>
      </c>
      <c r="AN127" s="27" t="n">
        <f aca="false">SUMIF($C$2:$F$2,EOMONTH(AN$2,-1)+1,$C127:$F127)*VLOOKUP(AN$2,Valores!$H$2:$P$154,8,0)</f>
        <v>0</v>
      </c>
      <c r="AO127" s="27" t="n">
        <f aca="false">SUMIF($C$2:$F$2,EOMONTH(AO$2,-1)+1,$C127:$F127)*VLOOKUP(AO$2,Valores!$H$2:$P$154,8,0)</f>
        <v>0</v>
      </c>
      <c r="AP127" s="27" t="n">
        <f aca="false">SUMIF($C$2:$F$2,EOMONTH(AP$2,-1)+1,$C127:$F127)*VLOOKUP(AP$2,Valores!$H$2:$P$154,8,0)</f>
        <v>0</v>
      </c>
      <c r="AQ127" s="27" t="n">
        <f aca="false">SUMIF($C$2:$F$2,EOMONTH(AQ$2,-1)+1,$C127:$F127)*VLOOKUP(AQ$2,Valores!$H$2:$P$154,8,0)</f>
        <v>0</v>
      </c>
      <c r="AR127" s="27" t="n">
        <f aca="false">SUMIF($C$2:$F$2,EOMONTH(AR$2,-1)+1,$C127:$F127)*VLOOKUP(AR$2,Valores!$H$2:$P$154,8,0)</f>
        <v>0</v>
      </c>
      <c r="AS127" s="27" t="n">
        <f aca="false">SUMIF($C$2:$F$2,EOMONTH(AS$2,-1)+1,$C127:$F127)*VLOOKUP(AS$2,Valores!$H$2:$P$154,8,0)</f>
        <v>0</v>
      </c>
      <c r="AT127" s="27" t="n">
        <f aca="false">SUMIF($C$2:$F$2,EOMONTH(AT$2,-1)+1,$C127:$F127)*VLOOKUP(AT$2,Valores!$H$2:$P$154,8,0)</f>
        <v>0</v>
      </c>
      <c r="AU127" s="27" t="n">
        <f aca="false">SUMIF($C$2:$F$2,EOMONTH(AU$2,-1)+1,$C127:$F127)*VLOOKUP(AU$2,Valores!$H$2:$P$154,8,0)</f>
        <v>0</v>
      </c>
      <c r="AV127" s="27" t="n">
        <f aca="false">SUMIF($C$2:$F$2,EOMONTH(AV$2,-1)+1,$C127:$F127)*VLOOKUP(AV$2,Valores!$H$2:$P$154,8,0)</f>
        <v>0</v>
      </c>
      <c r="AW127" s="27" t="n">
        <f aca="false">SUMIF($C$2:$F$2,EOMONTH(AW$2,-1)+1,$C127:$F127)*VLOOKUP(AW$2,Valores!$H$2:$P$154,8,0)</f>
        <v>0</v>
      </c>
      <c r="AX127" s="27" t="n">
        <f aca="false">SUMIF($C$2:$F$2,EOMONTH(AX$2,-1)+1,$C127:$F127)*VLOOKUP(AX$2,Valores!$H$2:$P$154,8,0)</f>
        <v>0</v>
      </c>
      <c r="AY127" s="27" t="n">
        <f aca="false">SUMIF($C$2:$F$2,EOMONTH(AY$2,-1)+1,$C127:$F127)*VLOOKUP(AY$2,Valores!$H$2:$P$154,8,0)</f>
        <v>0</v>
      </c>
      <c r="AZ127" s="27" t="n">
        <f aca="false">SUMIF($C$2:$F$2,EOMONTH(AZ$2,-1)+1,$C127:$F127)*VLOOKUP(AZ$2,Valores!$H$2:$P$154,8,0)</f>
        <v>0</v>
      </c>
      <c r="BA127" s="27" t="n">
        <f aca="false">SUMIF($C$2:$F$2,EOMONTH(BA$2,-1)+1,$C127:$F127)*VLOOKUP(BA$2,Valores!$H$2:$P$154,8,0)</f>
        <v>0</v>
      </c>
      <c r="BB127" s="27" t="n">
        <f aca="false">SUMIF($C$2:$F$2,EOMONTH(BB$2,-1)+1,$C127:$F127)*VLOOKUP(BB$2,Valores!$H$2:$P$154,8,0)</f>
        <v>0</v>
      </c>
      <c r="BC127" s="27" t="n">
        <f aca="false">SUMIF($C$2:$F$2,EOMONTH(BC$2,-1)+1,$C127:$F127)*VLOOKUP(BC$2,Valores!$H$2:$P$154,8,0)</f>
        <v>0</v>
      </c>
      <c r="BD127" s="27" t="n">
        <f aca="false">SUMIF($C$2:$F$2,EOMONTH(BD$2,-1)+1,$C127:$F127)*VLOOKUP(BD$2,Valores!$H$2:$P$154,8,0)</f>
        <v>0</v>
      </c>
      <c r="BE127" s="27" t="n">
        <f aca="false">SUMIF($C$2:$F$2,EOMONTH(BE$2,-1)+1,$C127:$F127)*VLOOKUP(BE$2,Valores!$H$2:$P$154,8,0)</f>
        <v>0</v>
      </c>
      <c r="BF127" s="27" t="n">
        <f aca="false">SUMIF($C$2:$F$2,EOMONTH(BF$2,-1)+1,$C127:$F127)*VLOOKUP(BF$2,Valores!$H$2:$P$154,8,0)</f>
        <v>0</v>
      </c>
      <c r="BG127" s="27" t="n">
        <f aca="false">SUMIF($C$2:$F$2,EOMONTH(BG$2,-1)+1,$C127:$F127)*VLOOKUP(BG$2,Valores!$H$2:$P$154,8,0)</f>
        <v>0</v>
      </c>
      <c r="BH127" s="27" t="n">
        <f aca="false">SUMIF($C$2:$F$2,EOMONTH(BH$2,-1)+1,$C127:$F127)*VLOOKUP(BH$2,Valores!$H$2:$P$154,8,0)</f>
        <v>0</v>
      </c>
      <c r="BI127" s="27" t="n">
        <f aca="false">SUMIF($C$2:$F$2,EOMONTH(BI$2,-1)+1,$C127:$F127)*VLOOKUP(BI$2,Valores!$H$2:$P$154,8,0)</f>
        <v>0</v>
      </c>
      <c r="BJ127" s="27" t="n">
        <f aca="false">SUMIF($C$2:$F$2,EOMONTH(BJ$2,-1)+1,$C127:$F127)*VLOOKUP(BJ$2,Valores!$H$2:$P$154,8,0)</f>
        <v>0</v>
      </c>
      <c r="BK127" s="27" t="n">
        <f aca="false">SUMIF($C$2:$F$2,EOMONTH(BK$2,-1)+1,$C127:$F127)*VLOOKUP(BK$2,Valores!$H$2:$P$154,8,0)</f>
        <v>0</v>
      </c>
      <c r="BL127" s="27" t="n">
        <f aca="false">SUMIF($C$2:$F$2,EOMONTH(BL$2,-1)+1,$C127:$F127)*VLOOKUP(BL$2,Valores!$H$2:$P$154,8,0)</f>
        <v>0</v>
      </c>
      <c r="BM127" s="27" t="n">
        <f aca="false">SUMIF($C$2:$F$2,EOMONTH(BM$2,-1)+1,$C127:$F127)*VLOOKUP(BM$2,Valores!$H$2:$P$154,8,0)</f>
        <v>0</v>
      </c>
      <c r="BN127" s="27" t="n">
        <f aca="false">SUMIF($C$2:$F$2,EOMONTH(BN$2,-1)+1,$C127:$F127)*VLOOKUP(BN$2,Valores!$H$2:$P$154,8,0)</f>
        <v>0</v>
      </c>
      <c r="BO127" s="27" t="n">
        <f aca="false">SUMIF($C$2:$F$2,EOMONTH(BO$2,-1)+1,$C127:$F127)*VLOOKUP(BO$2,Valores!$H$2:$P$154,8,0)</f>
        <v>0</v>
      </c>
      <c r="BP127" s="27" t="n">
        <f aca="false">SUMIF($C$2:$F$2,EOMONTH(BP$2,-1)+1,$C127:$F127)*VLOOKUP(BP$2,Valores!$H$2:$P$154,8,0)</f>
        <v>0</v>
      </c>
      <c r="BQ127" s="27" t="n">
        <f aca="false">SUMIF($C$2:$F$2,EOMONTH(BQ$2,-1)+1,$C127:$F127)*VLOOKUP(BQ$2,Valores!$H$2:$P$154,8,0)</f>
        <v>0</v>
      </c>
      <c r="BR127" s="27" t="n">
        <f aca="false">SUMIF($C$2:$F$2,EOMONTH(BR$2,-1)+1,$C127:$F127)*VLOOKUP(BR$2,Valores!$H$2:$P$154,8,0)</f>
        <v>0</v>
      </c>
      <c r="BS127" s="27" t="n">
        <f aca="false">SUMIF($C$2:$F$2,EOMONTH(BS$2,-1)+1,$C127:$F127)*VLOOKUP(BS$2,Valores!$H$2:$P$154,8,0)</f>
        <v>0</v>
      </c>
      <c r="BT127" s="27" t="n">
        <f aca="false">SUMIF($C$2:$F$2,EOMONTH(BT$2,-1)+1,$C127:$F127)*VLOOKUP(BT$2,Valores!$H$2:$P$154,8,0)</f>
        <v>0</v>
      </c>
      <c r="BU127" s="27" t="n">
        <f aca="false">SUMIF($C$2:$F$2,EOMONTH(BU$2,-1)+1,$C127:$F127)*VLOOKUP(BU$2,Valores!$H$2:$P$154,8,0)</f>
        <v>0</v>
      </c>
      <c r="BV127" s="27" t="n">
        <f aca="false">SUMIF($C$2:$F$2,EOMONTH(BV$2,-1)+1,$C127:$F127)*VLOOKUP(BV$2,Valores!$H$2:$P$154,8,0)</f>
        <v>0</v>
      </c>
      <c r="BW127" s="27" t="n">
        <f aca="false">SUMIF($C$2:$F$2,EOMONTH(BW$2,-1)+1,$C127:$F127)*VLOOKUP(BW$2,Valores!$H$2:$P$154,8,0)</f>
        <v>0</v>
      </c>
      <c r="BX127" s="27" t="n">
        <f aca="false">SUMIF($C$2:$F$2,EOMONTH(BX$2,-1)+1,$C127:$F127)*VLOOKUP(BX$2,Valores!$H$2:$P$154,8,0)</f>
        <v>0</v>
      </c>
      <c r="BY127" s="27" t="n">
        <f aca="false">SUMIF($C$2:$F$2,EOMONTH(BY$2,-1)+1,$C127:$F127)*VLOOKUP(BY$2,Valores!$H$2:$P$154,8,0)</f>
        <v>0</v>
      </c>
      <c r="BZ127" s="27" t="n">
        <f aca="false">SUMIF($C$2:$F$2,EOMONTH(BZ$2,-1)+1,$C127:$F127)*VLOOKUP(BZ$2,Valores!$H$2:$P$154,8,0)</f>
        <v>0</v>
      </c>
      <c r="CA127" s="27" t="n">
        <f aca="false">SUMIF($C$2:$F$2,EOMONTH(CA$2,-1)+1,$C127:$F127)*VLOOKUP(CA$2,Valores!$H$2:$P$154,8,0)</f>
        <v>0</v>
      </c>
      <c r="CB127" s="27" t="n">
        <f aca="false">SUMIF($C$2:$F$2,EOMONTH(CB$2,-1)+1,$C127:$F127)*VLOOKUP(CB$2,Valores!$H$2:$P$154,8,0)</f>
        <v>0</v>
      </c>
      <c r="CC127" s="27" t="n">
        <f aca="false">SUMIF($C$2:$F$2,EOMONTH(CC$2,-1)+1,$C127:$F127)*VLOOKUP(CC$2,Valores!$H$2:$P$154,8,0)</f>
        <v>0</v>
      </c>
      <c r="CD127" s="27" t="n">
        <f aca="false">SUMIF($C$2:$F$2,EOMONTH(CD$2,-1)+1,$C127:$F127)*VLOOKUP(CD$2,Valores!$H$2:$P$154,8,0)</f>
        <v>0</v>
      </c>
      <c r="CE127" s="27" t="n">
        <f aca="false">SUMIF($C$2:$F$2,EOMONTH(CE$2,-1)+1,$C127:$F127)*VLOOKUP(CE$2,Valores!$H$2:$P$154,8,0)</f>
        <v>0</v>
      </c>
      <c r="CF127" s="27" t="n">
        <f aca="false">SUMIF($C$2:$F$2,EOMONTH(CF$2,-1)+1,$C127:$F127)*VLOOKUP(CF$2,Valores!$H$2:$P$154,8,0)</f>
        <v>0</v>
      </c>
      <c r="CG127" s="27" t="n">
        <f aca="false">SUMIF($C$2:$F$2,EOMONTH(CG$2,-1)+1,$C127:$F127)*VLOOKUP(CG$2,Valores!$H$2:$P$154,8,0)</f>
        <v>0</v>
      </c>
      <c r="CH127" s="27" t="n">
        <f aca="false">SUMIF($C$2:$F$2,EOMONTH(CH$2,-1)+1,$C127:$F127)*VLOOKUP(CH$2,Valores!$H$2:$P$154,8,0)</f>
        <v>0</v>
      </c>
      <c r="CI127" s="27" t="n">
        <f aca="false">SUMIF($C$2:$F$2,EOMONTH(CI$2,-1)+1,$C127:$F127)*VLOOKUP(CI$2,Valores!$H$2:$P$154,8,0)</f>
        <v>0</v>
      </c>
      <c r="CJ127" s="27" t="n">
        <f aca="false">SUMIF($C$2:$F$2,EOMONTH(CJ$2,-1)+1,$C127:$F127)*VLOOKUP(CJ$2,Valores!$H$2:$P$154,8,0)</f>
        <v>0</v>
      </c>
      <c r="CK127" s="27" t="n">
        <f aca="false">SUMIF($C$2:$F$2,EOMONTH(CK$2,-1)+1,$C127:$F127)*VLOOKUP(CK$2,Valores!$H$2:$P$154,8,0)</f>
        <v>0</v>
      </c>
      <c r="CL127" s="27" t="n">
        <f aca="false">SUMIF($C$2:$F$2,EOMONTH(CL$2,-1)+1,$C127:$F127)*VLOOKUP(CL$2,Valores!$H$2:$P$154,8,0)</f>
        <v>0</v>
      </c>
      <c r="CM127" s="27" t="n">
        <f aca="false">SUMIF($C$2:$F$2,EOMONTH(CM$2,-1)+1,$C127:$F127)*VLOOKUP(CM$2,Valores!$H$2:$P$154,8,0)</f>
        <v>0</v>
      </c>
      <c r="CN127" s="27" t="n">
        <f aca="false">SUMIF($C$2:$F$2,EOMONTH(CN$2,-1)+1,$C127:$F127)*VLOOKUP(CN$2,Valores!$H$2:$P$154,8,0)</f>
        <v>0</v>
      </c>
      <c r="CO127" s="27" t="n">
        <f aca="false">SUMIF($C$2:$F$2,EOMONTH(CO$2,-1)+1,$C127:$F127)*VLOOKUP(CO$2,Valores!$H$2:$P$154,8,0)</f>
        <v>0</v>
      </c>
      <c r="CP127" s="27" t="n">
        <f aca="false">SUMIF($C$2:$F$2,EOMONTH(CP$2,-1)+1,$C127:$F127)*VLOOKUP(CP$2,Valores!$H$2:$P$154,8,0)</f>
        <v>0</v>
      </c>
      <c r="CQ127" s="27" t="n">
        <f aca="false">SUMIF($C$2:$F$2,EOMONTH(CQ$2,-1)+1,$C127:$F127)*VLOOKUP(CQ$2,Valores!$H$2:$P$154,8,0)</f>
        <v>0</v>
      </c>
      <c r="CR127" s="27" t="n">
        <f aca="false">SUMIF($C$2:$F$2,EOMONTH(CR$2,-1)+1,$C127:$F127)*VLOOKUP(CR$2,Valores!$H$2:$P$154,8,0)</f>
        <v>0</v>
      </c>
      <c r="CS127" s="27" t="n">
        <f aca="false">SUMIF($C$2:$F$2,EOMONTH(CS$2,-1)+1,$C127:$F127)*VLOOKUP(CS$2,Valores!$H$2:$P$154,8,0)</f>
        <v>0</v>
      </c>
      <c r="CT127" s="27" t="e">
        <f aca="false">SUMIF($C$2:$F$2,EOMONTH(CT$2,-1)+1,$C127:$F127)*VLOOKUP(CT$2,Valores!$H$2:$P$154,8,0)</f>
        <v>#VALUE!</v>
      </c>
      <c r="CU127" s="27" t="e">
        <f aca="false">SUMIF($C$2:$F$2,EOMONTH(CU$2,-1)+1,$C127:$F127)*VLOOKUP(CU$2,Valores!$H$2:$P$154,8,0)</f>
        <v>#VALUE!</v>
      </c>
      <c r="CV127" s="27" t="e">
        <f aca="false">SUMIF($C$2:$F$2,EOMONTH(CV$2,-1)+1,$C127:$F127)*VLOOKUP(CV$2,Valores!$H$2:$P$154,8,0)</f>
        <v>#VALUE!</v>
      </c>
      <c r="CW127" s="27" t="e">
        <f aca="false">SUMIF($C$2:$F$2,EOMONTH(CW$2,-1)+1,$C127:$F127)*VLOOKUP(CW$2,Valores!$H$2:$P$154,8,0)</f>
        <v>#VALUE!</v>
      </c>
      <c r="CX127" s="27" t="e">
        <f aca="false">SUMIF($C$2:$F$2,EOMONTH(CX$2,-1)+1,$C127:$F127)*VLOOKUP(CX$2,Valores!$H$2:$P$154,8,0)</f>
        <v>#VALUE!</v>
      </c>
      <c r="CY127" s="27" t="e">
        <f aca="false">SUMIF($C$2:$F$2,EOMONTH(CY$2,-1)+1,$C127:$F127)*VLOOKUP(CY$2,Valores!$H$2:$P$154,8,0)</f>
        <v>#VALUE!</v>
      </c>
      <c r="CZ127" s="27" t="e">
        <f aca="false">SUMIF($C$2:$F$2,EOMONTH(CZ$2,-1)+1,$C127:$F127)*VLOOKUP(CZ$2,Valores!$H$2:$P$154,8,0)</f>
        <v>#VALUE!</v>
      </c>
      <c r="DA127" s="27" t="e">
        <f aca="false">SUMIF($C$2:$F$2,EOMONTH(DA$2,-1)+1,$C127:$F127)*VLOOKUP(DA$2,Valores!$H$2:$P$154,8,0)</f>
        <v>#VALUE!</v>
      </c>
      <c r="DB127" s="27" t="e">
        <f aca="false">SUMIF($C$2:$F$2,EOMONTH(DB$2,-1)+1,$C127:$F127)*VLOOKUP(DB$2,Valores!$H$2:$P$154,8,0)</f>
        <v>#VALUE!</v>
      </c>
      <c r="DC127" s="27" t="e">
        <f aca="false">SUMIF($C$2:$F$2,EOMONTH(DC$2,-1)+1,$C127:$F127)*VLOOKUP(DC$2,Valores!$H$2:$P$154,8,0)</f>
        <v>#VALUE!</v>
      </c>
      <c r="DD127" s="27" t="e">
        <f aca="false">SUMIF($C$2:$F$2,EOMONTH(DD$2,-1)+1,$C127:$F127)*VLOOKUP(DD$2,Valores!$H$2:$P$154,8,0)</f>
        <v>#VALUE!</v>
      </c>
      <c r="DE127" s="27" t="e">
        <f aca="false">SUMIF($C$2:$F$2,EOMONTH(DE$2,-1)+1,$C127:$F127)*VLOOKUP(DE$2,Valores!$H$2:$P$154,8,0)</f>
        <v>#VALUE!</v>
      </c>
      <c r="DF127" s="27" t="e">
        <f aca="false">SUMIF($C$2:$F$2,EOMONTH(DF$2,-1)+1,$C127:$F127)*VLOOKUP(DF$2,Valores!$H$2:$P$154,8,0)</f>
        <v>#VALUE!</v>
      </c>
      <c r="DG127" s="27" t="e">
        <f aca="false">SUMIF($C$2:$F$2,EOMONTH(DG$2,-1)+1,$C127:$F127)*VLOOKUP(DG$2,Valores!$H$2:$P$154,8,0)</f>
        <v>#VALUE!</v>
      </c>
      <c r="DH127" s="27" t="e">
        <f aca="false">SUMIF($C$2:$F$2,EOMONTH(DH$2,-1)+1,$C127:$F127)*VLOOKUP(DH$2,Valores!$H$2:$P$154,8,0)</f>
        <v>#VALUE!</v>
      </c>
      <c r="DI127" s="27" t="e">
        <f aca="false">SUMIF($C$2:$F$2,EOMONTH(DI$2,-1)+1,$C127:$F127)*VLOOKUP(DI$2,Valores!$H$2:$P$154,8,0)</f>
        <v>#VALUE!</v>
      </c>
      <c r="DJ127" s="27" t="e">
        <f aca="false">SUMIF($C$2:$F$2,EOMONTH(DJ$2,-1)+1,$C127:$F127)*VLOOKUP(DJ$2,Valores!$H$2:$P$154,8,0)</f>
        <v>#VALUE!</v>
      </c>
      <c r="DK127" s="27" t="e">
        <f aca="false">SUMIF($C$2:$F$2,EOMONTH(DK$2,-1)+1,$C127:$F127)*VLOOKUP(DK$2,Valores!$H$2:$P$154,8,0)</f>
        <v>#VALUE!</v>
      </c>
      <c r="DL127" s="27" t="e">
        <f aca="false">SUMIF($C$2:$F$2,EOMONTH(DL$2,-1)+1,$C127:$F127)*VLOOKUP(DL$2,Valores!$H$2:$P$154,8,0)</f>
        <v>#VALUE!</v>
      </c>
      <c r="DM127" s="27" t="e">
        <f aca="false">SUMIF($C$2:$F$2,EOMONTH(DM$2,-1)+1,$C127:$F127)*VLOOKUP(DM$2,Valores!$H$2:$P$154,8,0)</f>
        <v>#VALUE!</v>
      </c>
      <c r="DN127" s="27" t="e">
        <f aca="false">SUMIF($C$2:$F$2,EOMONTH(DN$2,-1)+1,$C127:$F127)*VLOOKUP(DN$2,Valores!$H$2:$P$154,8,0)</f>
        <v>#VALUE!</v>
      </c>
      <c r="DO127" s="27" t="e">
        <f aca="false">SUMIF($C$2:$F$2,EOMONTH(DO$2,-1)+1,$C127:$F127)*VLOOKUP(DO$2,Valores!$H$2:$P$154,8,0)</f>
        <v>#VALUE!</v>
      </c>
      <c r="DP127" s="27" t="e">
        <f aca="false">SUMIF($C$2:$F$2,EOMONTH(DP$2,-1)+1,$C127:$F127)*VLOOKUP(DP$2,Valores!$H$2:$P$154,8,0)</f>
        <v>#VALUE!</v>
      </c>
      <c r="DQ127" s="27" t="e">
        <f aca="false">SUMIF($C$2:$F$2,EOMONTH(DQ$2,-1)+1,$C127:$F127)*VLOOKUP(DQ$2,Valores!$H$2:$P$154,8,0)</f>
        <v>#VALUE!</v>
      </c>
      <c r="DR127" s="27" t="e">
        <f aca="false">SUMIF($C$2:$F$2,EOMONTH(DR$2,-1)+1,$C127:$F127)*VLOOKUP(DR$2,Valores!$H$2:$P$154,8,0)</f>
        <v>#VALUE!</v>
      </c>
      <c r="DS127" s="27" t="e">
        <f aca="false">SUMIF($C$2:$F$2,EOMONTH(DS$2,-1)+1,$C127:$F127)*VLOOKUP(DS$2,Valores!$H$2:$P$154,8,0)</f>
        <v>#VALUE!</v>
      </c>
      <c r="DT127" s="27" t="e">
        <f aca="false">SUMIF($C$2:$F$2,EOMONTH(DT$2,-1)+1,$C127:$F127)*VLOOKUP(DT$2,Valores!$H$2:$P$154,8,0)</f>
        <v>#VALUE!</v>
      </c>
      <c r="DU127" s="27" t="e">
        <f aca="false">SUMIF($C$2:$F$2,EOMONTH(DU$2,-1)+1,$C127:$F127)*VLOOKUP(DU$2,Valores!$H$2:$P$154,8,0)</f>
        <v>#VALUE!</v>
      </c>
      <c r="DV127" s="27" t="e">
        <f aca="false">SUMIF($C$2:$F$2,EOMONTH(DV$2,-1)+1,$C127:$F127)*VLOOKUP(DV$2,Valores!$H$2:$P$154,8,0)</f>
        <v>#VALUE!</v>
      </c>
      <c r="DW127" s="27" t="e">
        <f aca="false">SUMIF($C$2:$F$2,EOMONTH(DW$2,-1)+1,$C127:$F127)*VLOOKUP(DW$2,Valores!$H$2:$P$154,8,0)</f>
        <v>#VALUE!</v>
      </c>
      <c r="DX127" s="27" t="e">
        <f aca="false">SUMIF($C$2:$F$2,EOMONTH(DX$2,-1)+1,$C127:$F127)*VLOOKUP(DX$2,Valores!$H$2:$P$154,8,0)</f>
        <v>#VALUE!</v>
      </c>
    </row>
    <row r="128" customFormat="false" ht="13.8" hidden="false" customHeight="false" outlineLevel="0" collapsed="false">
      <c r="A128" s="29"/>
      <c r="B128" s="29"/>
      <c r="C128" s="29"/>
      <c r="D128" s="29"/>
      <c r="E128" s="29"/>
      <c r="F128" s="29"/>
      <c r="G128" s="30" t="n">
        <f aca="false">SUMIF($C$2:$F$2,EOMONTH(G$2,-1)+1,$C128:$F128)*VLOOKUP(G$2,Valores!$H$2:$P$154,8,0)</f>
        <v>0</v>
      </c>
      <c r="H128" s="30" t="n">
        <f aca="false">SUMIF($C$2:$F$2,EOMONTH(H$2,-1)+1,$C128:$F128)*VLOOKUP(H$2,Valores!$H$2:$P$154,8,0)</f>
        <v>0</v>
      </c>
      <c r="I128" s="30" t="n">
        <f aca="false">SUMIF($C$2:$F$2,EOMONTH(I$2,-1)+1,$C128:$F128)*VLOOKUP(I$2,Valores!$H$2:$P$154,8,0)</f>
        <v>0</v>
      </c>
      <c r="J128" s="30" t="n">
        <f aca="false">SUMIF($C$2:$F$2,EOMONTH(J$2,-1)+1,$C128:$F128)*VLOOKUP(J$2,Valores!$H$2:$P$154,8,0)</f>
        <v>0</v>
      </c>
      <c r="K128" s="30" t="n">
        <f aca="false">SUMIF($C$2:$F$2,EOMONTH(K$2,-1)+1,$C128:$F128)*VLOOKUP(K$2,Valores!$H$2:$P$154,8,0)</f>
        <v>0</v>
      </c>
      <c r="L128" s="30" t="n">
        <f aca="false">SUMIF($C$2:$F$2,EOMONTH(L$2,-1)+1,$C128:$F128)*VLOOKUP(L$2,Valores!$H$2:$P$154,8,0)</f>
        <v>0</v>
      </c>
      <c r="M128" s="30" t="n">
        <f aca="false">SUMIF($C$2:$F$2,EOMONTH(M$2,-1)+1,$C128:$F128)*VLOOKUP(M$2,Valores!$H$2:$P$154,8,0)</f>
        <v>0</v>
      </c>
      <c r="N128" s="30" t="n">
        <f aca="false">SUMIF($C$2:$F$2,EOMONTH(N$2,-1)+1,$C128:$F128)*VLOOKUP(N$2,Valores!$H$2:$P$154,8,0)</f>
        <v>0</v>
      </c>
      <c r="O128" s="30" t="n">
        <f aca="false">SUMIF($C$2:$F$2,EOMONTH(O$2,-1)+1,$C128:$F128)*VLOOKUP(O$2,Valores!$H$2:$P$154,8,0)</f>
        <v>0</v>
      </c>
      <c r="P128" s="30" t="n">
        <f aca="false">SUMIF($C$2:$F$2,EOMONTH(P$2,-1)+1,$C128:$F128)*VLOOKUP(P$2,Valores!$H$2:$P$154,8,0)</f>
        <v>0</v>
      </c>
      <c r="Q128" s="30" t="n">
        <f aca="false">SUMIF($C$2:$F$2,EOMONTH(Q$2,-1)+1,$C128:$F128)*VLOOKUP(Q$2,Valores!$H$2:$P$154,8,0)</f>
        <v>0</v>
      </c>
      <c r="R128" s="30" t="n">
        <f aca="false">SUMIF($C$2:$F$2,EOMONTH(R$2,-1)+1,$C128:$F128)*VLOOKUP(R$2,Valores!$H$2:$P$154,8,0)</f>
        <v>0</v>
      </c>
      <c r="S128" s="30" t="n">
        <f aca="false">SUMIF($C$2:$F$2,EOMONTH(S$2,-1)+1,$C128:$F128)*VLOOKUP(S$2,Valores!$H$2:$P$154,8,0)</f>
        <v>0</v>
      </c>
      <c r="T128" s="30" t="n">
        <f aca="false">SUMIF($C$2:$F$2,EOMONTH(T$2,-1)+1,$C128:$F128)*VLOOKUP(T$2,Valores!$H$2:$P$154,8,0)</f>
        <v>0</v>
      </c>
      <c r="U128" s="30" t="n">
        <f aca="false">SUMIF($C$2:$F$2,EOMONTH(U$2,-1)+1,$C128:$F128)*VLOOKUP(U$2,Valores!$H$2:$P$154,8,0)</f>
        <v>0</v>
      </c>
      <c r="V128" s="30" t="n">
        <f aca="false">SUMIF($C$2:$F$2,EOMONTH(V$2,-1)+1,$C128:$F128)*VLOOKUP(V$2,Valores!$H$2:$P$154,8,0)</f>
        <v>0</v>
      </c>
      <c r="W128" s="30" t="n">
        <f aca="false">SUMIF($C$2:$F$2,EOMONTH(W$2,-1)+1,$C128:$F128)*VLOOKUP(W$2,Valores!$H$2:$P$154,8,0)</f>
        <v>0</v>
      </c>
      <c r="X128" s="30" t="n">
        <f aca="false">SUMIF($C$2:$F$2,EOMONTH(X$2,-1)+1,$C128:$F128)*VLOOKUP(X$2,Valores!$H$2:$P$154,8,0)</f>
        <v>0</v>
      </c>
      <c r="Y128" s="30" t="n">
        <f aca="false">SUMIF($C$2:$F$2,EOMONTH(Y$2,-1)+1,$C128:$F128)*VLOOKUP(Y$2,Valores!$H$2:$P$154,8,0)</f>
        <v>0</v>
      </c>
      <c r="Z128" s="30" t="n">
        <f aca="false">SUMIF($C$2:$F$2,EOMONTH(Z$2,-1)+1,$C128:$F128)*VLOOKUP(Z$2,Valores!$H$2:$P$154,8,0)</f>
        <v>0</v>
      </c>
      <c r="AA128" s="30" t="n">
        <f aca="false">SUMIF($C$2:$F$2,EOMONTH(AA$2,-1)+1,$C128:$F128)*VLOOKUP(AA$2,Valores!$H$2:$P$154,8,0)</f>
        <v>0</v>
      </c>
      <c r="AB128" s="30" t="n">
        <f aca="false">SUMIF($C$2:$F$2,EOMONTH(AB$2,-1)+1,$C128:$F128)*VLOOKUP(AB$2,Valores!$H$2:$P$154,8,0)</f>
        <v>0</v>
      </c>
      <c r="AC128" s="30" t="n">
        <f aca="false">SUMIF($C$2:$F$2,EOMONTH(AC$2,-1)+1,$C128:$F128)*VLOOKUP(AC$2,Valores!$H$2:$P$154,8,0)</f>
        <v>0</v>
      </c>
      <c r="AD128" s="30" t="n">
        <f aca="false">SUMIF($C$2:$F$2,EOMONTH(AD$2,-1)+1,$C128:$F128)*VLOOKUP(AD$2,Valores!$H$2:$P$154,8,0)</f>
        <v>0</v>
      </c>
      <c r="AE128" s="30" t="n">
        <f aca="false">SUMIF($C$2:$F$2,EOMONTH(AE$2,-1)+1,$C128:$F128)*VLOOKUP(AE$2,Valores!$H$2:$P$154,8,0)</f>
        <v>0</v>
      </c>
      <c r="AF128" s="30" t="n">
        <f aca="false">SUMIF($C$2:$F$2,EOMONTH(AF$2,-1)+1,$C128:$F128)*VLOOKUP(AF$2,Valores!$H$2:$P$154,8,0)</f>
        <v>0</v>
      </c>
      <c r="AG128" s="30" t="n">
        <f aca="false">SUMIF($C$2:$F$2,EOMONTH(AG$2,-1)+1,$C128:$F128)*VLOOKUP(AG$2,Valores!$H$2:$P$154,8,0)</f>
        <v>0</v>
      </c>
      <c r="AH128" s="30" t="n">
        <f aca="false">SUMIF($C$2:$F$2,EOMONTH(AH$2,-1)+1,$C128:$F128)*VLOOKUP(AH$2,Valores!$H$2:$P$154,8,0)</f>
        <v>0</v>
      </c>
      <c r="AI128" s="30" t="n">
        <f aca="false">SUMIF($C$2:$F$2,EOMONTH(AI$2,-1)+1,$C128:$F128)*VLOOKUP(AI$2,Valores!$H$2:$P$154,8,0)</f>
        <v>0</v>
      </c>
      <c r="AJ128" s="30" t="n">
        <f aca="false">SUMIF($C$2:$F$2,EOMONTH(AJ$2,-1)+1,$C128:$F128)*VLOOKUP(AJ$2,Valores!$H$2:$P$154,8,0)</f>
        <v>0</v>
      </c>
      <c r="AK128" s="30" t="n">
        <f aca="false">SUMIF($C$2:$F$2,EOMONTH(AK$2,-1)+1,$C128:$F128)*VLOOKUP(AK$2,Valores!$H$2:$P$154,8,0)</f>
        <v>0</v>
      </c>
      <c r="AL128" s="30" t="n">
        <f aca="false">SUMIF($C$2:$F$2,EOMONTH(AL$2,-1)+1,$C128:$F128)*VLOOKUP(AL$2,Valores!$H$2:$P$154,8,0)</f>
        <v>0</v>
      </c>
      <c r="AM128" s="30" t="n">
        <f aca="false">SUMIF($C$2:$F$2,EOMONTH(AM$2,-1)+1,$C128:$F128)*VLOOKUP(AM$2,Valores!$H$2:$P$154,8,0)</f>
        <v>0</v>
      </c>
      <c r="AN128" s="30" t="n">
        <f aca="false">SUMIF($C$2:$F$2,EOMONTH(AN$2,-1)+1,$C128:$F128)*VLOOKUP(AN$2,Valores!$H$2:$P$154,8,0)</f>
        <v>0</v>
      </c>
      <c r="AO128" s="30" t="n">
        <f aca="false">SUMIF($C$2:$F$2,EOMONTH(AO$2,-1)+1,$C128:$F128)*VLOOKUP(AO$2,Valores!$H$2:$P$154,8,0)</f>
        <v>0</v>
      </c>
      <c r="AP128" s="30" t="n">
        <f aca="false">SUMIF($C$2:$F$2,EOMONTH(AP$2,-1)+1,$C128:$F128)*VLOOKUP(AP$2,Valores!$H$2:$P$154,8,0)</f>
        <v>0</v>
      </c>
      <c r="AQ128" s="30" t="n">
        <f aca="false">SUMIF($C$2:$F$2,EOMONTH(AQ$2,-1)+1,$C128:$F128)*VLOOKUP(AQ$2,Valores!$H$2:$P$154,8,0)</f>
        <v>0</v>
      </c>
      <c r="AR128" s="30" t="n">
        <f aca="false">SUMIF($C$2:$F$2,EOMONTH(AR$2,-1)+1,$C128:$F128)*VLOOKUP(AR$2,Valores!$H$2:$P$154,8,0)</f>
        <v>0</v>
      </c>
      <c r="AS128" s="30" t="n">
        <f aca="false">SUMIF($C$2:$F$2,EOMONTH(AS$2,-1)+1,$C128:$F128)*VLOOKUP(AS$2,Valores!$H$2:$P$154,8,0)</f>
        <v>0</v>
      </c>
      <c r="AT128" s="30" t="n">
        <f aca="false">SUMIF($C$2:$F$2,EOMONTH(AT$2,-1)+1,$C128:$F128)*VLOOKUP(AT$2,Valores!$H$2:$P$154,8,0)</f>
        <v>0</v>
      </c>
      <c r="AU128" s="30" t="n">
        <f aca="false">SUMIF($C$2:$F$2,EOMONTH(AU$2,-1)+1,$C128:$F128)*VLOOKUP(AU$2,Valores!$H$2:$P$154,8,0)</f>
        <v>0</v>
      </c>
      <c r="AV128" s="30" t="n">
        <f aca="false">SUMIF($C$2:$F$2,EOMONTH(AV$2,-1)+1,$C128:$F128)*VLOOKUP(AV$2,Valores!$H$2:$P$154,8,0)</f>
        <v>0</v>
      </c>
      <c r="AW128" s="30" t="n">
        <f aca="false">SUMIF($C$2:$F$2,EOMONTH(AW$2,-1)+1,$C128:$F128)*VLOOKUP(AW$2,Valores!$H$2:$P$154,8,0)</f>
        <v>0</v>
      </c>
      <c r="AX128" s="30" t="n">
        <f aca="false">SUMIF($C$2:$F$2,EOMONTH(AX$2,-1)+1,$C128:$F128)*VLOOKUP(AX$2,Valores!$H$2:$P$154,8,0)</f>
        <v>0</v>
      </c>
      <c r="AY128" s="30" t="n">
        <f aca="false">SUMIF($C$2:$F$2,EOMONTH(AY$2,-1)+1,$C128:$F128)*VLOOKUP(AY$2,Valores!$H$2:$P$154,8,0)</f>
        <v>0</v>
      </c>
      <c r="AZ128" s="30" t="n">
        <f aca="false">SUMIF($C$2:$F$2,EOMONTH(AZ$2,-1)+1,$C128:$F128)*VLOOKUP(AZ$2,Valores!$H$2:$P$154,8,0)</f>
        <v>0</v>
      </c>
      <c r="BA128" s="30" t="n">
        <f aca="false">SUMIF($C$2:$F$2,EOMONTH(BA$2,-1)+1,$C128:$F128)*VLOOKUP(BA$2,Valores!$H$2:$P$154,8,0)</f>
        <v>0</v>
      </c>
      <c r="BB128" s="30" t="n">
        <f aca="false">SUMIF($C$2:$F$2,EOMONTH(BB$2,-1)+1,$C128:$F128)*VLOOKUP(BB$2,Valores!$H$2:$P$154,8,0)</f>
        <v>0</v>
      </c>
      <c r="BC128" s="30" t="n">
        <f aca="false">SUMIF($C$2:$F$2,EOMONTH(BC$2,-1)+1,$C128:$F128)*VLOOKUP(BC$2,Valores!$H$2:$P$154,8,0)</f>
        <v>0</v>
      </c>
      <c r="BD128" s="30" t="n">
        <f aca="false">SUMIF($C$2:$F$2,EOMONTH(BD$2,-1)+1,$C128:$F128)*VLOOKUP(BD$2,Valores!$H$2:$P$154,8,0)</f>
        <v>0</v>
      </c>
      <c r="BE128" s="30" t="n">
        <f aca="false">SUMIF($C$2:$F$2,EOMONTH(BE$2,-1)+1,$C128:$F128)*VLOOKUP(BE$2,Valores!$H$2:$P$154,8,0)</f>
        <v>0</v>
      </c>
      <c r="BF128" s="30" t="n">
        <f aca="false">SUMIF($C$2:$F$2,EOMONTH(BF$2,-1)+1,$C128:$F128)*VLOOKUP(BF$2,Valores!$H$2:$P$154,8,0)</f>
        <v>0</v>
      </c>
      <c r="BG128" s="30" t="n">
        <f aca="false">SUMIF($C$2:$F$2,EOMONTH(BG$2,-1)+1,$C128:$F128)*VLOOKUP(BG$2,Valores!$H$2:$P$154,8,0)</f>
        <v>0</v>
      </c>
      <c r="BH128" s="30" t="n">
        <f aca="false">SUMIF($C$2:$F$2,EOMONTH(BH$2,-1)+1,$C128:$F128)*VLOOKUP(BH$2,Valores!$H$2:$P$154,8,0)</f>
        <v>0</v>
      </c>
      <c r="BI128" s="30" t="n">
        <f aca="false">SUMIF($C$2:$F$2,EOMONTH(BI$2,-1)+1,$C128:$F128)*VLOOKUP(BI$2,Valores!$H$2:$P$154,8,0)</f>
        <v>0</v>
      </c>
      <c r="BJ128" s="30" t="n">
        <f aca="false">SUMIF($C$2:$F$2,EOMONTH(BJ$2,-1)+1,$C128:$F128)*VLOOKUP(BJ$2,Valores!$H$2:$P$154,8,0)</f>
        <v>0</v>
      </c>
      <c r="BK128" s="30" t="n">
        <f aca="false">SUMIF($C$2:$F$2,EOMONTH(BK$2,-1)+1,$C128:$F128)*VLOOKUP(BK$2,Valores!$H$2:$P$154,8,0)</f>
        <v>0</v>
      </c>
      <c r="BL128" s="30" t="n">
        <f aca="false">SUMIF($C$2:$F$2,EOMONTH(BL$2,-1)+1,$C128:$F128)*VLOOKUP(BL$2,Valores!$H$2:$P$154,8,0)</f>
        <v>0</v>
      </c>
      <c r="BM128" s="30" t="n">
        <f aca="false">SUMIF($C$2:$F$2,EOMONTH(BM$2,-1)+1,$C128:$F128)*VLOOKUP(BM$2,Valores!$H$2:$P$154,8,0)</f>
        <v>0</v>
      </c>
      <c r="BN128" s="30" t="n">
        <f aca="false">SUMIF($C$2:$F$2,EOMONTH(BN$2,-1)+1,$C128:$F128)*VLOOKUP(BN$2,Valores!$H$2:$P$154,8,0)</f>
        <v>0</v>
      </c>
      <c r="BO128" s="30" t="n">
        <f aca="false">SUMIF($C$2:$F$2,EOMONTH(BO$2,-1)+1,$C128:$F128)*VLOOKUP(BO$2,Valores!$H$2:$P$154,8,0)</f>
        <v>0</v>
      </c>
      <c r="BP128" s="30" t="n">
        <f aca="false">SUMIF($C$2:$F$2,EOMONTH(BP$2,-1)+1,$C128:$F128)*VLOOKUP(BP$2,Valores!$H$2:$P$154,8,0)</f>
        <v>0</v>
      </c>
      <c r="BQ128" s="30" t="n">
        <f aca="false">SUMIF($C$2:$F$2,EOMONTH(BQ$2,-1)+1,$C128:$F128)*VLOOKUP(BQ$2,Valores!$H$2:$P$154,8,0)</f>
        <v>0</v>
      </c>
      <c r="BR128" s="30" t="n">
        <f aca="false">SUMIF($C$2:$F$2,EOMONTH(BR$2,-1)+1,$C128:$F128)*VLOOKUP(BR$2,Valores!$H$2:$P$154,8,0)</f>
        <v>0</v>
      </c>
      <c r="BS128" s="30" t="n">
        <f aca="false">SUMIF($C$2:$F$2,EOMONTH(BS$2,-1)+1,$C128:$F128)*VLOOKUP(BS$2,Valores!$H$2:$P$154,8,0)</f>
        <v>0</v>
      </c>
      <c r="BT128" s="30" t="n">
        <f aca="false">SUMIF($C$2:$F$2,EOMONTH(BT$2,-1)+1,$C128:$F128)*VLOOKUP(BT$2,Valores!$H$2:$P$154,8,0)</f>
        <v>0</v>
      </c>
      <c r="BU128" s="30" t="n">
        <f aca="false">SUMIF($C$2:$F$2,EOMONTH(BU$2,-1)+1,$C128:$F128)*VLOOKUP(BU$2,Valores!$H$2:$P$154,8,0)</f>
        <v>0</v>
      </c>
      <c r="BV128" s="30" t="n">
        <f aca="false">SUMIF($C$2:$F$2,EOMONTH(BV$2,-1)+1,$C128:$F128)*VLOOKUP(BV$2,Valores!$H$2:$P$154,8,0)</f>
        <v>0</v>
      </c>
      <c r="BW128" s="30" t="n">
        <f aca="false">SUMIF($C$2:$F$2,EOMONTH(BW$2,-1)+1,$C128:$F128)*VLOOKUP(BW$2,Valores!$H$2:$P$154,8,0)</f>
        <v>0</v>
      </c>
      <c r="BX128" s="30" t="n">
        <f aca="false">SUMIF($C$2:$F$2,EOMONTH(BX$2,-1)+1,$C128:$F128)*VLOOKUP(BX$2,Valores!$H$2:$P$154,8,0)</f>
        <v>0</v>
      </c>
      <c r="BY128" s="30" t="n">
        <f aca="false">SUMIF($C$2:$F$2,EOMONTH(BY$2,-1)+1,$C128:$F128)*VLOOKUP(BY$2,Valores!$H$2:$P$154,8,0)</f>
        <v>0</v>
      </c>
      <c r="BZ128" s="30" t="n">
        <f aca="false">SUMIF($C$2:$F$2,EOMONTH(BZ$2,-1)+1,$C128:$F128)*VLOOKUP(BZ$2,Valores!$H$2:$P$154,8,0)</f>
        <v>0</v>
      </c>
      <c r="CA128" s="30" t="n">
        <f aca="false">SUMIF($C$2:$F$2,EOMONTH(CA$2,-1)+1,$C128:$F128)*VLOOKUP(CA$2,Valores!$H$2:$P$154,8,0)</f>
        <v>0</v>
      </c>
      <c r="CB128" s="30" t="n">
        <f aca="false">SUMIF($C$2:$F$2,EOMONTH(CB$2,-1)+1,$C128:$F128)*VLOOKUP(CB$2,Valores!$H$2:$P$154,8,0)</f>
        <v>0</v>
      </c>
      <c r="CC128" s="30" t="n">
        <f aca="false">SUMIF($C$2:$F$2,EOMONTH(CC$2,-1)+1,$C128:$F128)*VLOOKUP(CC$2,Valores!$H$2:$P$154,8,0)</f>
        <v>0</v>
      </c>
      <c r="CD128" s="30" t="n">
        <f aca="false">SUMIF($C$2:$F$2,EOMONTH(CD$2,-1)+1,$C128:$F128)*VLOOKUP(CD$2,Valores!$H$2:$P$154,8,0)</f>
        <v>0</v>
      </c>
      <c r="CE128" s="30" t="n">
        <f aca="false">SUMIF($C$2:$F$2,EOMONTH(CE$2,-1)+1,$C128:$F128)*VLOOKUP(CE$2,Valores!$H$2:$P$154,8,0)</f>
        <v>0</v>
      </c>
      <c r="CF128" s="30" t="n">
        <f aca="false">SUMIF($C$2:$F$2,EOMONTH(CF$2,-1)+1,$C128:$F128)*VLOOKUP(CF$2,Valores!$H$2:$P$154,8,0)</f>
        <v>0</v>
      </c>
      <c r="CG128" s="30" t="n">
        <f aca="false">SUMIF($C$2:$F$2,EOMONTH(CG$2,-1)+1,$C128:$F128)*VLOOKUP(CG$2,Valores!$H$2:$P$154,8,0)</f>
        <v>0</v>
      </c>
      <c r="CH128" s="30" t="n">
        <f aca="false">SUMIF($C$2:$F$2,EOMONTH(CH$2,-1)+1,$C128:$F128)*VLOOKUP(CH$2,Valores!$H$2:$P$154,8,0)</f>
        <v>0</v>
      </c>
      <c r="CI128" s="30" t="n">
        <f aca="false">SUMIF($C$2:$F$2,EOMONTH(CI$2,-1)+1,$C128:$F128)*VLOOKUP(CI$2,Valores!$H$2:$P$154,8,0)</f>
        <v>0</v>
      </c>
      <c r="CJ128" s="30" t="n">
        <f aca="false">SUMIF($C$2:$F$2,EOMONTH(CJ$2,-1)+1,$C128:$F128)*VLOOKUP(CJ$2,Valores!$H$2:$P$154,8,0)</f>
        <v>0</v>
      </c>
      <c r="CK128" s="30" t="n">
        <f aca="false">SUMIF($C$2:$F$2,EOMONTH(CK$2,-1)+1,$C128:$F128)*VLOOKUP(CK$2,Valores!$H$2:$P$154,8,0)</f>
        <v>0</v>
      </c>
      <c r="CL128" s="30" t="n">
        <f aca="false">SUMIF($C$2:$F$2,EOMONTH(CL$2,-1)+1,$C128:$F128)*VLOOKUP(CL$2,Valores!$H$2:$P$154,8,0)</f>
        <v>0</v>
      </c>
      <c r="CM128" s="30" t="n">
        <f aca="false">SUMIF($C$2:$F$2,EOMONTH(CM$2,-1)+1,$C128:$F128)*VLOOKUP(CM$2,Valores!$H$2:$P$154,8,0)</f>
        <v>0</v>
      </c>
      <c r="CN128" s="30" t="n">
        <f aca="false">SUMIF($C$2:$F$2,EOMONTH(CN$2,-1)+1,$C128:$F128)*VLOOKUP(CN$2,Valores!$H$2:$P$154,8,0)</f>
        <v>0</v>
      </c>
      <c r="CO128" s="30" t="n">
        <f aca="false">SUMIF($C$2:$F$2,EOMONTH(CO$2,-1)+1,$C128:$F128)*VLOOKUP(CO$2,Valores!$H$2:$P$154,8,0)</f>
        <v>0</v>
      </c>
      <c r="CP128" s="30" t="n">
        <f aca="false">SUMIF($C$2:$F$2,EOMONTH(CP$2,-1)+1,$C128:$F128)*VLOOKUP(CP$2,Valores!$H$2:$P$154,8,0)</f>
        <v>0</v>
      </c>
      <c r="CQ128" s="30" t="n">
        <f aca="false">SUMIF($C$2:$F$2,EOMONTH(CQ$2,-1)+1,$C128:$F128)*VLOOKUP(CQ$2,Valores!$H$2:$P$154,8,0)</f>
        <v>0</v>
      </c>
      <c r="CR128" s="30" t="n">
        <f aca="false">SUMIF($C$2:$F$2,EOMONTH(CR$2,-1)+1,$C128:$F128)*VLOOKUP(CR$2,Valores!$H$2:$P$154,8,0)</f>
        <v>0</v>
      </c>
      <c r="CS128" s="30" t="n">
        <f aca="false">SUMIF($C$2:$F$2,EOMONTH(CS$2,-1)+1,$C128:$F128)*VLOOKUP(CS$2,Valores!$H$2:$P$154,8,0)</f>
        <v>0</v>
      </c>
      <c r="CT128" s="30" t="e">
        <f aca="false">SUMIF($C$2:$F$2,EOMONTH(CT$2,-1)+1,$C128:$F128)*VLOOKUP(CT$2,Valores!$H$2:$P$154,8,0)</f>
        <v>#VALUE!</v>
      </c>
      <c r="CU128" s="30" t="e">
        <f aca="false">SUMIF($C$2:$F$2,EOMONTH(CU$2,-1)+1,$C128:$F128)*VLOOKUP(CU$2,Valores!$H$2:$P$154,8,0)</f>
        <v>#VALUE!</v>
      </c>
      <c r="CV128" s="30" t="e">
        <f aca="false">SUMIF($C$2:$F$2,EOMONTH(CV$2,-1)+1,$C128:$F128)*VLOOKUP(CV$2,Valores!$H$2:$P$154,8,0)</f>
        <v>#VALUE!</v>
      </c>
      <c r="CW128" s="30" t="e">
        <f aca="false">SUMIF($C$2:$F$2,EOMONTH(CW$2,-1)+1,$C128:$F128)*VLOOKUP(CW$2,Valores!$H$2:$P$154,8,0)</f>
        <v>#VALUE!</v>
      </c>
      <c r="CX128" s="30" t="e">
        <f aca="false">SUMIF($C$2:$F$2,EOMONTH(CX$2,-1)+1,$C128:$F128)*VLOOKUP(CX$2,Valores!$H$2:$P$154,8,0)</f>
        <v>#VALUE!</v>
      </c>
      <c r="CY128" s="30" t="e">
        <f aca="false">SUMIF($C$2:$F$2,EOMONTH(CY$2,-1)+1,$C128:$F128)*VLOOKUP(CY$2,Valores!$H$2:$P$154,8,0)</f>
        <v>#VALUE!</v>
      </c>
      <c r="CZ128" s="30" t="e">
        <f aca="false">SUMIF($C$2:$F$2,EOMONTH(CZ$2,-1)+1,$C128:$F128)*VLOOKUP(CZ$2,Valores!$H$2:$P$154,8,0)</f>
        <v>#VALUE!</v>
      </c>
      <c r="DA128" s="30" t="e">
        <f aca="false">SUMIF($C$2:$F$2,EOMONTH(DA$2,-1)+1,$C128:$F128)*VLOOKUP(DA$2,Valores!$H$2:$P$154,8,0)</f>
        <v>#VALUE!</v>
      </c>
      <c r="DB128" s="30" t="e">
        <f aca="false">SUMIF($C$2:$F$2,EOMONTH(DB$2,-1)+1,$C128:$F128)*VLOOKUP(DB$2,Valores!$H$2:$P$154,8,0)</f>
        <v>#VALUE!</v>
      </c>
      <c r="DC128" s="30" t="e">
        <f aca="false">SUMIF($C$2:$F$2,EOMONTH(DC$2,-1)+1,$C128:$F128)*VLOOKUP(DC$2,Valores!$H$2:$P$154,8,0)</f>
        <v>#VALUE!</v>
      </c>
      <c r="DD128" s="30" t="e">
        <f aca="false">SUMIF($C$2:$F$2,EOMONTH(DD$2,-1)+1,$C128:$F128)*VLOOKUP(DD$2,Valores!$H$2:$P$154,8,0)</f>
        <v>#VALUE!</v>
      </c>
      <c r="DE128" s="30" t="e">
        <f aca="false">SUMIF($C$2:$F$2,EOMONTH(DE$2,-1)+1,$C128:$F128)*VLOOKUP(DE$2,Valores!$H$2:$P$154,8,0)</f>
        <v>#VALUE!</v>
      </c>
      <c r="DF128" s="30" t="e">
        <f aca="false">SUMIF($C$2:$F$2,EOMONTH(DF$2,-1)+1,$C128:$F128)*VLOOKUP(DF$2,Valores!$H$2:$P$154,8,0)</f>
        <v>#VALUE!</v>
      </c>
      <c r="DG128" s="30" t="e">
        <f aca="false">SUMIF($C$2:$F$2,EOMONTH(DG$2,-1)+1,$C128:$F128)*VLOOKUP(DG$2,Valores!$H$2:$P$154,8,0)</f>
        <v>#VALUE!</v>
      </c>
      <c r="DH128" s="30" t="e">
        <f aca="false">SUMIF($C$2:$F$2,EOMONTH(DH$2,-1)+1,$C128:$F128)*VLOOKUP(DH$2,Valores!$H$2:$P$154,8,0)</f>
        <v>#VALUE!</v>
      </c>
      <c r="DI128" s="30" t="e">
        <f aca="false">SUMIF($C$2:$F$2,EOMONTH(DI$2,-1)+1,$C128:$F128)*VLOOKUP(DI$2,Valores!$H$2:$P$154,8,0)</f>
        <v>#VALUE!</v>
      </c>
      <c r="DJ128" s="30" t="e">
        <f aca="false">SUMIF($C$2:$F$2,EOMONTH(DJ$2,-1)+1,$C128:$F128)*VLOOKUP(DJ$2,Valores!$H$2:$P$154,8,0)</f>
        <v>#VALUE!</v>
      </c>
      <c r="DK128" s="30" t="e">
        <f aca="false">SUMIF($C$2:$F$2,EOMONTH(DK$2,-1)+1,$C128:$F128)*VLOOKUP(DK$2,Valores!$H$2:$P$154,8,0)</f>
        <v>#VALUE!</v>
      </c>
      <c r="DL128" s="30" t="e">
        <f aca="false">SUMIF($C$2:$F$2,EOMONTH(DL$2,-1)+1,$C128:$F128)*VLOOKUP(DL$2,Valores!$H$2:$P$154,8,0)</f>
        <v>#VALUE!</v>
      </c>
      <c r="DM128" s="30" t="e">
        <f aca="false">SUMIF($C$2:$F$2,EOMONTH(DM$2,-1)+1,$C128:$F128)*VLOOKUP(DM$2,Valores!$H$2:$P$154,8,0)</f>
        <v>#VALUE!</v>
      </c>
      <c r="DN128" s="30" t="e">
        <f aca="false">SUMIF($C$2:$F$2,EOMONTH(DN$2,-1)+1,$C128:$F128)*VLOOKUP(DN$2,Valores!$H$2:$P$154,8,0)</f>
        <v>#VALUE!</v>
      </c>
      <c r="DO128" s="30" t="e">
        <f aca="false">SUMIF($C$2:$F$2,EOMONTH(DO$2,-1)+1,$C128:$F128)*VLOOKUP(DO$2,Valores!$H$2:$P$154,8,0)</f>
        <v>#VALUE!</v>
      </c>
      <c r="DP128" s="30" t="e">
        <f aca="false">SUMIF($C$2:$F$2,EOMONTH(DP$2,-1)+1,$C128:$F128)*VLOOKUP(DP$2,Valores!$H$2:$P$154,8,0)</f>
        <v>#VALUE!</v>
      </c>
      <c r="DQ128" s="30" t="e">
        <f aca="false">SUMIF($C$2:$F$2,EOMONTH(DQ$2,-1)+1,$C128:$F128)*VLOOKUP(DQ$2,Valores!$H$2:$P$154,8,0)</f>
        <v>#VALUE!</v>
      </c>
      <c r="DR128" s="30" t="e">
        <f aca="false">SUMIF($C$2:$F$2,EOMONTH(DR$2,-1)+1,$C128:$F128)*VLOOKUP(DR$2,Valores!$H$2:$P$154,8,0)</f>
        <v>#VALUE!</v>
      </c>
      <c r="DS128" s="30" t="e">
        <f aca="false">SUMIF($C$2:$F$2,EOMONTH(DS$2,-1)+1,$C128:$F128)*VLOOKUP(DS$2,Valores!$H$2:$P$154,8,0)</f>
        <v>#VALUE!</v>
      </c>
      <c r="DT128" s="30" t="e">
        <f aca="false">SUMIF($C$2:$F$2,EOMONTH(DT$2,-1)+1,$C128:$F128)*VLOOKUP(DT$2,Valores!$H$2:$P$154,8,0)</f>
        <v>#VALUE!</v>
      </c>
      <c r="DU128" s="30" t="e">
        <f aca="false">SUMIF($C$2:$F$2,EOMONTH(DU$2,-1)+1,$C128:$F128)*VLOOKUP(DU$2,Valores!$H$2:$P$154,8,0)</f>
        <v>#VALUE!</v>
      </c>
      <c r="DV128" s="30" t="e">
        <f aca="false">SUMIF($C$2:$F$2,EOMONTH(DV$2,-1)+1,$C128:$F128)*VLOOKUP(DV$2,Valores!$H$2:$P$154,8,0)</f>
        <v>#VALUE!</v>
      </c>
      <c r="DW128" s="30" t="e">
        <f aca="false">SUMIF($C$2:$F$2,EOMONTH(DW$2,-1)+1,$C128:$F128)*VLOOKUP(DW$2,Valores!$H$2:$P$154,8,0)</f>
        <v>#VALUE!</v>
      </c>
      <c r="DX128" s="30" t="e">
        <f aca="false">SUMIF($C$2:$F$2,EOMONTH(DX$2,-1)+1,$C128:$F128)*VLOOKUP(DX$2,Valores!$H$2:$P$154,8,0)</f>
        <v>#VALUE!</v>
      </c>
    </row>
    <row r="129" customFormat="false" ht="13.8" hidden="false" customHeight="false" outlineLevel="0" collapsed="false">
      <c r="A129" s="31"/>
      <c r="B129" s="31"/>
      <c r="C129" s="31"/>
      <c r="D129" s="31"/>
      <c r="E129" s="31"/>
      <c r="F129" s="31"/>
      <c r="G129" s="27" t="n">
        <f aca="false">SUMIF($C$2:$F$2,EOMONTH(G$2,-1)+1,$C129:$F129)*VLOOKUP(G$2,Valores!$H$2:$P$154,8,0)</f>
        <v>0</v>
      </c>
      <c r="H129" s="27" t="n">
        <f aca="false">SUMIF($C$2:$F$2,EOMONTH(H$2,-1)+1,$C129:$F129)*VLOOKUP(H$2,Valores!$H$2:$P$154,8,0)</f>
        <v>0</v>
      </c>
      <c r="I129" s="27" t="n">
        <f aca="false">SUMIF($C$2:$F$2,EOMONTH(I$2,-1)+1,$C129:$F129)*VLOOKUP(I$2,Valores!$H$2:$P$154,8,0)</f>
        <v>0</v>
      </c>
      <c r="J129" s="27" t="n">
        <f aca="false">SUMIF($C$2:$F$2,EOMONTH(J$2,-1)+1,$C129:$F129)*VLOOKUP(J$2,Valores!$H$2:$P$154,8,0)</f>
        <v>0</v>
      </c>
      <c r="K129" s="27" t="n">
        <f aca="false">SUMIF($C$2:$F$2,EOMONTH(K$2,-1)+1,$C129:$F129)*VLOOKUP(K$2,Valores!$H$2:$P$154,8,0)</f>
        <v>0</v>
      </c>
      <c r="L129" s="27" t="n">
        <f aca="false">SUMIF($C$2:$F$2,EOMONTH(L$2,-1)+1,$C129:$F129)*VLOOKUP(L$2,Valores!$H$2:$P$154,8,0)</f>
        <v>0</v>
      </c>
      <c r="M129" s="27" t="n">
        <f aca="false">SUMIF($C$2:$F$2,EOMONTH(M$2,-1)+1,$C129:$F129)*VLOOKUP(M$2,Valores!$H$2:$P$154,8,0)</f>
        <v>0</v>
      </c>
      <c r="N129" s="27" t="n">
        <f aca="false">SUMIF($C$2:$F$2,EOMONTH(N$2,-1)+1,$C129:$F129)*VLOOKUP(N$2,Valores!$H$2:$P$154,8,0)</f>
        <v>0</v>
      </c>
      <c r="O129" s="27" t="n">
        <f aca="false">SUMIF($C$2:$F$2,EOMONTH(O$2,-1)+1,$C129:$F129)*VLOOKUP(O$2,Valores!$H$2:$P$154,8,0)</f>
        <v>0</v>
      </c>
      <c r="P129" s="27" t="n">
        <f aca="false">SUMIF($C$2:$F$2,EOMONTH(P$2,-1)+1,$C129:$F129)*VLOOKUP(P$2,Valores!$H$2:$P$154,8,0)</f>
        <v>0</v>
      </c>
      <c r="Q129" s="27" t="n">
        <f aca="false">SUMIF($C$2:$F$2,EOMONTH(Q$2,-1)+1,$C129:$F129)*VLOOKUP(Q$2,Valores!$H$2:$P$154,8,0)</f>
        <v>0</v>
      </c>
      <c r="R129" s="27" t="n">
        <f aca="false">SUMIF($C$2:$F$2,EOMONTH(R$2,-1)+1,$C129:$F129)*VLOOKUP(R$2,Valores!$H$2:$P$154,8,0)</f>
        <v>0</v>
      </c>
      <c r="S129" s="27" t="n">
        <f aca="false">SUMIF($C$2:$F$2,EOMONTH(S$2,-1)+1,$C129:$F129)*VLOOKUP(S$2,Valores!$H$2:$P$154,8,0)</f>
        <v>0</v>
      </c>
      <c r="T129" s="27" t="n">
        <f aca="false">SUMIF($C$2:$F$2,EOMONTH(T$2,-1)+1,$C129:$F129)*VLOOKUP(T$2,Valores!$H$2:$P$154,8,0)</f>
        <v>0</v>
      </c>
      <c r="U129" s="27" t="n">
        <f aca="false">SUMIF($C$2:$F$2,EOMONTH(U$2,-1)+1,$C129:$F129)*VLOOKUP(U$2,Valores!$H$2:$P$154,8,0)</f>
        <v>0</v>
      </c>
      <c r="V129" s="27" t="n">
        <f aca="false">SUMIF($C$2:$F$2,EOMONTH(V$2,-1)+1,$C129:$F129)*VLOOKUP(V$2,Valores!$H$2:$P$154,8,0)</f>
        <v>0</v>
      </c>
      <c r="W129" s="27" t="n">
        <f aca="false">SUMIF($C$2:$F$2,EOMONTH(W$2,-1)+1,$C129:$F129)*VLOOKUP(W$2,Valores!$H$2:$P$154,8,0)</f>
        <v>0</v>
      </c>
      <c r="X129" s="27" t="n">
        <f aca="false">SUMIF($C$2:$F$2,EOMONTH(X$2,-1)+1,$C129:$F129)*VLOOKUP(X$2,Valores!$H$2:$P$154,8,0)</f>
        <v>0</v>
      </c>
      <c r="Y129" s="27" t="n">
        <f aca="false">SUMIF($C$2:$F$2,EOMONTH(Y$2,-1)+1,$C129:$F129)*VLOOKUP(Y$2,Valores!$H$2:$P$154,8,0)</f>
        <v>0</v>
      </c>
      <c r="Z129" s="27" t="n">
        <f aca="false">SUMIF($C$2:$F$2,EOMONTH(Z$2,-1)+1,$C129:$F129)*VLOOKUP(Z$2,Valores!$H$2:$P$154,8,0)</f>
        <v>0</v>
      </c>
      <c r="AA129" s="27" t="n">
        <f aca="false">SUMIF($C$2:$F$2,EOMONTH(AA$2,-1)+1,$C129:$F129)*VLOOKUP(AA$2,Valores!$H$2:$P$154,8,0)</f>
        <v>0</v>
      </c>
      <c r="AB129" s="27" t="n">
        <f aca="false">SUMIF($C$2:$F$2,EOMONTH(AB$2,-1)+1,$C129:$F129)*VLOOKUP(AB$2,Valores!$H$2:$P$154,8,0)</f>
        <v>0</v>
      </c>
      <c r="AC129" s="27" t="n">
        <f aca="false">SUMIF($C$2:$F$2,EOMONTH(AC$2,-1)+1,$C129:$F129)*VLOOKUP(AC$2,Valores!$H$2:$P$154,8,0)</f>
        <v>0</v>
      </c>
      <c r="AD129" s="27" t="n">
        <f aca="false">SUMIF($C$2:$F$2,EOMONTH(AD$2,-1)+1,$C129:$F129)*VLOOKUP(AD$2,Valores!$H$2:$P$154,8,0)</f>
        <v>0</v>
      </c>
      <c r="AE129" s="27" t="n">
        <f aca="false">SUMIF($C$2:$F$2,EOMONTH(AE$2,-1)+1,$C129:$F129)*VLOOKUP(AE$2,Valores!$H$2:$P$154,8,0)</f>
        <v>0</v>
      </c>
      <c r="AF129" s="27" t="n">
        <f aca="false">SUMIF($C$2:$F$2,EOMONTH(AF$2,-1)+1,$C129:$F129)*VLOOKUP(AF$2,Valores!$H$2:$P$154,8,0)</f>
        <v>0</v>
      </c>
      <c r="AG129" s="27" t="n">
        <f aca="false">SUMIF($C$2:$F$2,EOMONTH(AG$2,-1)+1,$C129:$F129)*VLOOKUP(AG$2,Valores!$H$2:$P$154,8,0)</f>
        <v>0</v>
      </c>
      <c r="AH129" s="27" t="n">
        <f aca="false">SUMIF($C$2:$F$2,EOMONTH(AH$2,-1)+1,$C129:$F129)*VLOOKUP(AH$2,Valores!$H$2:$P$154,8,0)</f>
        <v>0</v>
      </c>
      <c r="AI129" s="27" t="n">
        <f aca="false">SUMIF($C$2:$F$2,EOMONTH(AI$2,-1)+1,$C129:$F129)*VLOOKUP(AI$2,Valores!$H$2:$P$154,8,0)</f>
        <v>0</v>
      </c>
      <c r="AJ129" s="27" t="n">
        <f aca="false">SUMIF($C$2:$F$2,EOMONTH(AJ$2,-1)+1,$C129:$F129)*VLOOKUP(AJ$2,Valores!$H$2:$P$154,8,0)</f>
        <v>0</v>
      </c>
      <c r="AK129" s="27" t="n">
        <f aca="false">SUMIF($C$2:$F$2,EOMONTH(AK$2,-1)+1,$C129:$F129)*VLOOKUP(AK$2,Valores!$H$2:$P$154,8,0)</f>
        <v>0</v>
      </c>
      <c r="AL129" s="27" t="n">
        <f aca="false">SUMIF($C$2:$F$2,EOMONTH(AL$2,-1)+1,$C129:$F129)*VLOOKUP(AL$2,Valores!$H$2:$P$154,8,0)</f>
        <v>0</v>
      </c>
      <c r="AM129" s="27" t="n">
        <f aca="false">SUMIF($C$2:$F$2,EOMONTH(AM$2,-1)+1,$C129:$F129)*VLOOKUP(AM$2,Valores!$H$2:$P$154,8,0)</f>
        <v>0</v>
      </c>
      <c r="AN129" s="27" t="n">
        <f aca="false">SUMIF($C$2:$F$2,EOMONTH(AN$2,-1)+1,$C129:$F129)*VLOOKUP(AN$2,Valores!$H$2:$P$154,8,0)</f>
        <v>0</v>
      </c>
      <c r="AO129" s="27" t="n">
        <f aca="false">SUMIF($C$2:$F$2,EOMONTH(AO$2,-1)+1,$C129:$F129)*VLOOKUP(AO$2,Valores!$H$2:$P$154,8,0)</f>
        <v>0</v>
      </c>
      <c r="AP129" s="27" t="n">
        <f aca="false">SUMIF($C$2:$F$2,EOMONTH(AP$2,-1)+1,$C129:$F129)*VLOOKUP(AP$2,Valores!$H$2:$P$154,8,0)</f>
        <v>0</v>
      </c>
      <c r="AQ129" s="27" t="n">
        <f aca="false">SUMIF($C$2:$F$2,EOMONTH(AQ$2,-1)+1,$C129:$F129)*VLOOKUP(AQ$2,Valores!$H$2:$P$154,8,0)</f>
        <v>0</v>
      </c>
      <c r="AR129" s="27" t="n">
        <f aca="false">SUMIF($C$2:$F$2,EOMONTH(AR$2,-1)+1,$C129:$F129)*VLOOKUP(AR$2,Valores!$H$2:$P$154,8,0)</f>
        <v>0</v>
      </c>
      <c r="AS129" s="27" t="n">
        <f aca="false">SUMIF($C$2:$F$2,EOMONTH(AS$2,-1)+1,$C129:$F129)*VLOOKUP(AS$2,Valores!$H$2:$P$154,8,0)</f>
        <v>0</v>
      </c>
      <c r="AT129" s="27" t="n">
        <f aca="false">SUMIF($C$2:$F$2,EOMONTH(AT$2,-1)+1,$C129:$F129)*VLOOKUP(AT$2,Valores!$H$2:$P$154,8,0)</f>
        <v>0</v>
      </c>
      <c r="AU129" s="27" t="n">
        <f aca="false">SUMIF($C$2:$F$2,EOMONTH(AU$2,-1)+1,$C129:$F129)*VLOOKUP(AU$2,Valores!$H$2:$P$154,8,0)</f>
        <v>0</v>
      </c>
      <c r="AV129" s="27" t="n">
        <f aca="false">SUMIF($C$2:$F$2,EOMONTH(AV$2,-1)+1,$C129:$F129)*VLOOKUP(AV$2,Valores!$H$2:$P$154,8,0)</f>
        <v>0</v>
      </c>
      <c r="AW129" s="27" t="n">
        <f aca="false">SUMIF($C$2:$F$2,EOMONTH(AW$2,-1)+1,$C129:$F129)*VLOOKUP(AW$2,Valores!$H$2:$P$154,8,0)</f>
        <v>0</v>
      </c>
      <c r="AX129" s="27" t="n">
        <f aca="false">SUMIF($C$2:$F$2,EOMONTH(AX$2,-1)+1,$C129:$F129)*VLOOKUP(AX$2,Valores!$H$2:$P$154,8,0)</f>
        <v>0</v>
      </c>
      <c r="AY129" s="27" t="n">
        <f aca="false">SUMIF($C$2:$F$2,EOMONTH(AY$2,-1)+1,$C129:$F129)*VLOOKUP(AY$2,Valores!$H$2:$P$154,8,0)</f>
        <v>0</v>
      </c>
      <c r="AZ129" s="27" t="n">
        <f aca="false">SUMIF($C$2:$F$2,EOMONTH(AZ$2,-1)+1,$C129:$F129)*VLOOKUP(AZ$2,Valores!$H$2:$P$154,8,0)</f>
        <v>0</v>
      </c>
      <c r="BA129" s="27" t="n">
        <f aca="false">SUMIF($C$2:$F$2,EOMONTH(BA$2,-1)+1,$C129:$F129)*VLOOKUP(BA$2,Valores!$H$2:$P$154,8,0)</f>
        <v>0</v>
      </c>
      <c r="BB129" s="27" t="n">
        <f aca="false">SUMIF($C$2:$F$2,EOMONTH(BB$2,-1)+1,$C129:$F129)*VLOOKUP(BB$2,Valores!$H$2:$P$154,8,0)</f>
        <v>0</v>
      </c>
      <c r="BC129" s="27" t="n">
        <f aca="false">SUMIF($C$2:$F$2,EOMONTH(BC$2,-1)+1,$C129:$F129)*VLOOKUP(BC$2,Valores!$H$2:$P$154,8,0)</f>
        <v>0</v>
      </c>
      <c r="BD129" s="27" t="n">
        <f aca="false">SUMIF($C$2:$F$2,EOMONTH(BD$2,-1)+1,$C129:$F129)*VLOOKUP(BD$2,Valores!$H$2:$P$154,8,0)</f>
        <v>0</v>
      </c>
      <c r="BE129" s="27" t="n">
        <f aca="false">SUMIF($C$2:$F$2,EOMONTH(BE$2,-1)+1,$C129:$F129)*VLOOKUP(BE$2,Valores!$H$2:$P$154,8,0)</f>
        <v>0</v>
      </c>
      <c r="BF129" s="27" t="n">
        <f aca="false">SUMIF($C$2:$F$2,EOMONTH(BF$2,-1)+1,$C129:$F129)*VLOOKUP(BF$2,Valores!$H$2:$P$154,8,0)</f>
        <v>0</v>
      </c>
      <c r="BG129" s="27" t="n">
        <f aca="false">SUMIF($C$2:$F$2,EOMONTH(BG$2,-1)+1,$C129:$F129)*VLOOKUP(BG$2,Valores!$H$2:$P$154,8,0)</f>
        <v>0</v>
      </c>
      <c r="BH129" s="27" t="n">
        <f aca="false">SUMIF($C$2:$F$2,EOMONTH(BH$2,-1)+1,$C129:$F129)*VLOOKUP(BH$2,Valores!$H$2:$P$154,8,0)</f>
        <v>0</v>
      </c>
      <c r="BI129" s="27" t="n">
        <f aca="false">SUMIF($C$2:$F$2,EOMONTH(BI$2,-1)+1,$C129:$F129)*VLOOKUP(BI$2,Valores!$H$2:$P$154,8,0)</f>
        <v>0</v>
      </c>
      <c r="BJ129" s="27" t="n">
        <f aca="false">SUMIF($C$2:$F$2,EOMONTH(BJ$2,-1)+1,$C129:$F129)*VLOOKUP(BJ$2,Valores!$H$2:$P$154,8,0)</f>
        <v>0</v>
      </c>
      <c r="BK129" s="27" t="n">
        <f aca="false">SUMIF($C$2:$F$2,EOMONTH(BK$2,-1)+1,$C129:$F129)*VLOOKUP(BK$2,Valores!$H$2:$P$154,8,0)</f>
        <v>0</v>
      </c>
      <c r="BL129" s="27" t="n">
        <f aca="false">SUMIF($C$2:$F$2,EOMONTH(BL$2,-1)+1,$C129:$F129)*VLOOKUP(BL$2,Valores!$H$2:$P$154,8,0)</f>
        <v>0</v>
      </c>
      <c r="BM129" s="27" t="n">
        <f aca="false">SUMIF($C$2:$F$2,EOMONTH(BM$2,-1)+1,$C129:$F129)*VLOOKUP(BM$2,Valores!$H$2:$P$154,8,0)</f>
        <v>0</v>
      </c>
      <c r="BN129" s="27" t="n">
        <f aca="false">SUMIF($C$2:$F$2,EOMONTH(BN$2,-1)+1,$C129:$F129)*VLOOKUP(BN$2,Valores!$H$2:$P$154,8,0)</f>
        <v>0</v>
      </c>
      <c r="BO129" s="27" t="n">
        <f aca="false">SUMIF($C$2:$F$2,EOMONTH(BO$2,-1)+1,$C129:$F129)*VLOOKUP(BO$2,Valores!$H$2:$P$154,8,0)</f>
        <v>0</v>
      </c>
      <c r="BP129" s="27" t="n">
        <f aca="false">SUMIF($C$2:$F$2,EOMONTH(BP$2,-1)+1,$C129:$F129)*VLOOKUP(BP$2,Valores!$H$2:$P$154,8,0)</f>
        <v>0</v>
      </c>
      <c r="BQ129" s="27" t="n">
        <f aca="false">SUMIF($C$2:$F$2,EOMONTH(BQ$2,-1)+1,$C129:$F129)*VLOOKUP(BQ$2,Valores!$H$2:$P$154,8,0)</f>
        <v>0</v>
      </c>
      <c r="BR129" s="27" t="n">
        <f aca="false">SUMIF($C$2:$F$2,EOMONTH(BR$2,-1)+1,$C129:$F129)*VLOOKUP(BR$2,Valores!$H$2:$P$154,8,0)</f>
        <v>0</v>
      </c>
      <c r="BS129" s="27" t="n">
        <f aca="false">SUMIF($C$2:$F$2,EOMONTH(BS$2,-1)+1,$C129:$F129)*VLOOKUP(BS$2,Valores!$H$2:$P$154,8,0)</f>
        <v>0</v>
      </c>
      <c r="BT129" s="27" t="n">
        <f aca="false">SUMIF($C$2:$F$2,EOMONTH(BT$2,-1)+1,$C129:$F129)*VLOOKUP(BT$2,Valores!$H$2:$P$154,8,0)</f>
        <v>0</v>
      </c>
      <c r="BU129" s="27" t="n">
        <f aca="false">SUMIF($C$2:$F$2,EOMONTH(BU$2,-1)+1,$C129:$F129)*VLOOKUP(BU$2,Valores!$H$2:$P$154,8,0)</f>
        <v>0</v>
      </c>
      <c r="BV129" s="27" t="n">
        <f aca="false">SUMIF($C$2:$F$2,EOMONTH(BV$2,-1)+1,$C129:$F129)*VLOOKUP(BV$2,Valores!$H$2:$P$154,8,0)</f>
        <v>0</v>
      </c>
      <c r="BW129" s="27" t="n">
        <f aca="false">SUMIF($C$2:$F$2,EOMONTH(BW$2,-1)+1,$C129:$F129)*VLOOKUP(BW$2,Valores!$H$2:$P$154,8,0)</f>
        <v>0</v>
      </c>
      <c r="BX129" s="27" t="n">
        <f aca="false">SUMIF($C$2:$F$2,EOMONTH(BX$2,-1)+1,$C129:$F129)*VLOOKUP(BX$2,Valores!$H$2:$P$154,8,0)</f>
        <v>0</v>
      </c>
      <c r="BY129" s="27" t="n">
        <f aca="false">SUMIF($C$2:$F$2,EOMONTH(BY$2,-1)+1,$C129:$F129)*VLOOKUP(BY$2,Valores!$H$2:$P$154,8,0)</f>
        <v>0</v>
      </c>
      <c r="BZ129" s="27" t="n">
        <f aca="false">SUMIF($C$2:$F$2,EOMONTH(BZ$2,-1)+1,$C129:$F129)*VLOOKUP(BZ$2,Valores!$H$2:$P$154,8,0)</f>
        <v>0</v>
      </c>
      <c r="CA129" s="27" t="n">
        <f aca="false">SUMIF($C$2:$F$2,EOMONTH(CA$2,-1)+1,$C129:$F129)*VLOOKUP(CA$2,Valores!$H$2:$P$154,8,0)</f>
        <v>0</v>
      </c>
      <c r="CB129" s="27" t="n">
        <f aca="false">SUMIF($C$2:$F$2,EOMONTH(CB$2,-1)+1,$C129:$F129)*VLOOKUP(CB$2,Valores!$H$2:$P$154,8,0)</f>
        <v>0</v>
      </c>
      <c r="CC129" s="27" t="n">
        <f aca="false">SUMIF($C$2:$F$2,EOMONTH(CC$2,-1)+1,$C129:$F129)*VLOOKUP(CC$2,Valores!$H$2:$P$154,8,0)</f>
        <v>0</v>
      </c>
      <c r="CD129" s="27" t="n">
        <f aca="false">SUMIF($C$2:$F$2,EOMONTH(CD$2,-1)+1,$C129:$F129)*VLOOKUP(CD$2,Valores!$H$2:$P$154,8,0)</f>
        <v>0</v>
      </c>
      <c r="CE129" s="27" t="n">
        <f aca="false">SUMIF($C$2:$F$2,EOMONTH(CE$2,-1)+1,$C129:$F129)*VLOOKUP(CE$2,Valores!$H$2:$P$154,8,0)</f>
        <v>0</v>
      </c>
      <c r="CF129" s="27" t="n">
        <f aca="false">SUMIF($C$2:$F$2,EOMONTH(CF$2,-1)+1,$C129:$F129)*VLOOKUP(CF$2,Valores!$H$2:$P$154,8,0)</f>
        <v>0</v>
      </c>
      <c r="CG129" s="27" t="n">
        <f aca="false">SUMIF($C$2:$F$2,EOMONTH(CG$2,-1)+1,$C129:$F129)*VLOOKUP(CG$2,Valores!$H$2:$P$154,8,0)</f>
        <v>0</v>
      </c>
      <c r="CH129" s="27" t="n">
        <f aca="false">SUMIF($C$2:$F$2,EOMONTH(CH$2,-1)+1,$C129:$F129)*VLOOKUP(CH$2,Valores!$H$2:$P$154,8,0)</f>
        <v>0</v>
      </c>
      <c r="CI129" s="27" t="n">
        <f aca="false">SUMIF($C$2:$F$2,EOMONTH(CI$2,-1)+1,$C129:$F129)*VLOOKUP(CI$2,Valores!$H$2:$P$154,8,0)</f>
        <v>0</v>
      </c>
      <c r="CJ129" s="27" t="n">
        <f aca="false">SUMIF($C$2:$F$2,EOMONTH(CJ$2,-1)+1,$C129:$F129)*VLOOKUP(CJ$2,Valores!$H$2:$P$154,8,0)</f>
        <v>0</v>
      </c>
      <c r="CK129" s="27" t="n">
        <f aca="false">SUMIF($C$2:$F$2,EOMONTH(CK$2,-1)+1,$C129:$F129)*VLOOKUP(CK$2,Valores!$H$2:$P$154,8,0)</f>
        <v>0</v>
      </c>
      <c r="CL129" s="27" t="n">
        <f aca="false">SUMIF($C$2:$F$2,EOMONTH(CL$2,-1)+1,$C129:$F129)*VLOOKUP(CL$2,Valores!$H$2:$P$154,8,0)</f>
        <v>0</v>
      </c>
      <c r="CM129" s="27" t="n">
        <f aca="false">SUMIF($C$2:$F$2,EOMONTH(CM$2,-1)+1,$C129:$F129)*VLOOKUP(CM$2,Valores!$H$2:$P$154,8,0)</f>
        <v>0</v>
      </c>
      <c r="CN129" s="27" t="n">
        <f aca="false">SUMIF($C$2:$F$2,EOMONTH(CN$2,-1)+1,$C129:$F129)*VLOOKUP(CN$2,Valores!$H$2:$P$154,8,0)</f>
        <v>0</v>
      </c>
      <c r="CO129" s="27" t="n">
        <f aca="false">SUMIF($C$2:$F$2,EOMONTH(CO$2,-1)+1,$C129:$F129)*VLOOKUP(CO$2,Valores!$H$2:$P$154,8,0)</f>
        <v>0</v>
      </c>
      <c r="CP129" s="27" t="n">
        <f aca="false">SUMIF($C$2:$F$2,EOMONTH(CP$2,-1)+1,$C129:$F129)*VLOOKUP(CP$2,Valores!$H$2:$P$154,8,0)</f>
        <v>0</v>
      </c>
      <c r="CQ129" s="27" t="n">
        <f aca="false">SUMIF($C$2:$F$2,EOMONTH(CQ$2,-1)+1,$C129:$F129)*VLOOKUP(CQ$2,Valores!$H$2:$P$154,8,0)</f>
        <v>0</v>
      </c>
      <c r="CR129" s="27" t="n">
        <f aca="false">SUMIF($C$2:$F$2,EOMONTH(CR$2,-1)+1,$C129:$F129)*VLOOKUP(CR$2,Valores!$H$2:$P$154,8,0)</f>
        <v>0</v>
      </c>
      <c r="CS129" s="27" t="n">
        <f aca="false">SUMIF($C$2:$F$2,EOMONTH(CS$2,-1)+1,$C129:$F129)*VLOOKUP(CS$2,Valores!$H$2:$P$154,8,0)</f>
        <v>0</v>
      </c>
      <c r="CT129" s="27" t="e">
        <f aca="false">SUMIF($C$2:$F$2,EOMONTH(CT$2,-1)+1,$C129:$F129)*VLOOKUP(CT$2,Valores!$H$2:$P$154,8,0)</f>
        <v>#VALUE!</v>
      </c>
      <c r="CU129" s="27" t="e">
        <f aca="false">SUMIF($C$2:$F$2,EOMONTH(CU$2,-1)+1,$C129:$F129)*VLOOKUP(CU$2,Valores!$H$2:$P$154,8,0)</f>
        <v>#VALUE!</v>
      </c>
      <c r="CV129" s="27" t="e">
        <f aca="false">SUMIF($C$2:$F$2,EOMONTH(CV$2,-1)+1,$C129:$F129)*VLOOKUP(CV$2,Valores!$H$2:$P$154,8,0)</f>
        <v>#VALUE!</v>
      </c>
      <c r="CW129" s="27" t="e">
        <f aca="false">SUMIF($C$2:$F$2,EOMONTH(CW$2,-1)+1,$C129:$F129)*VLOOKUP(CW$2,Valores!$H$2:$P$154,8,0)</f>
        <v>#VALUE!</v>
      </c>
      <c r="CX129" s="27" t="e">
        <f aca="false">SUMIF($C$2:$F$2,EOMONTH(CX$2,-1)+1,$C129:$F129)*VLOOKUP(CX$2,Valores!$H$2:$P$154,8,0)</f>
        <v>#VALUE!</v>
      </c>
      <c r="CY129" s="27" t="e">
        <f aca="false">SUMIF($C$2:$F$2,EOMONTH(CY$2,-1)+1,$C129:$F129)*VLOOKUP(CY$2,Valores!$H$2:$P$154,8,0)</f>
        <v>#VALUE!</v>
      </c>
      <c r="CZ129" s="27" t="e">
        <f aca="false">SUMIF($C$2:$F$2,EOMONTH(CZ$2,-1)+1,$C129:$F129)*VLOOKUP(CZ$2,Valores!$H$2:$P$154,8,0)</f>
        <v>#VALUE!</v>
      </c>
      <c r="DA129" s="27" t="e">
        <f aca="false">SUMIF($C$2:$F$2,EOMONTH(DA$2,-1)+1,$C129:$F129)*VLOOKUP(DA$2,Valores!$H$2:$P$154,8,0)</f>
        <v>#VALUE!</v>
      </c>
      <c r="DB129" s="27" t="e">
        <f aca="false">SUMIF($C$2:$F$2,EOMONTH(DB$2,-1)+1,$C129:$F129)*VLOOKUP(DB$2,Valores!$H$2:$P$154,8,0)</f>
        <v>#VALUE!</v>
      </c>
      <c r="DC129" s="27" t="e">
        <f aca="false">SUMIF($C$2:$F$2,EOMONTH(DC$2,-1)+1,$C129:$F129)*VLOOKUP(DC$2,Valores!$H$2:$P$154,8,0)</f>
        <v>#VALUE!</v>
      </c>
      <c r="DD129" s="27" t="e">
        <f aca="false">SUMIF($C$2:$F$2,EOMONTH(DD$2,-1)+1,$C129:$F129)*VLOOKUP(DD$2,Valores!$H$2:$P$154,8,0)</f>
        <v>#VALUE!</v>
      </c>
      <c r="DE129" s="27" t="e">
        <f aca="false">SUMIF($C$2:$F$2,EOMONTH(DE$2,-1)+1,$C129:$F129)*VLOOKUP(DE$2,Valores!$H$2:$P$154,8,0)</f>
        <v>#VALUE!</v>
      </c>
      <c r="DF129" s="27" t="e">
        <f aca="false">SUMIF($C$2:$F$2,EOMONTH(DF$2,-1)+1,$C129:$F129)*VLOOKUP(DF$2,Valores!$H$2:$P$154,8,0)</f>
        <v>#VALUE!</v>
      </c>
      <c r="DG129" s="27" t="e">
        <f aca="false">SUMIF($C$2:$F$2,EOMONTH(DG$2,-1)+1,$C129:$F129)*VLOOKUP(DG$2,Valores!$H$2:$P$154,8,0)</f>
        <v>#VALUE!</v>
      </c>
      <c r="DH129" s="27" t="e">
        <f aca="false">SUMIF($C$2:$F$2,EOMONTH(DH$2,-1)+1,$C129:$F129)*VLOOKUP(DH$2,Valores!$H$2:$P$154,8,0)</f>
        <v>#VALUE!</v>
      </c>
      <c r="DI129" s="27" t="e">
        <f aca="false">SUMIF($C$2:$F$2,EOMONTH(DI$2,-1)+1,$C129:$F129)*VLOOKUP(DI$2,Valores!$H$2:$P$154,8,0)</f>
        <v>#VALUE!</v>
      </c>
      <c r="DJ129" s="27" t="e">
        <f aca="false">SUMIF($C$2:$F$2,EOMONTH(DJ$2,-1)+1,$C129:$F129)*VLOOKUP(DJ$2,Valores!$H$2:$P$154,8,0)</f>
        <v>#VALUE!</v>
      </c>
      <c r="DK129" s="27" t="e">
        <f aca="false">SUMIF($C$2:$F$2,EOMONTH(DK$2,-1)+1,$C129:$F129)*VLOOKUP(DK$2,Valores!$H$2:$P$154,8,0)</f>
        <v>#VALUE!</v>
      </c>
      <c r="DL129" s="27" t="e">
        <f aca="false">SUMIF($C$2:$F$2,EOMONTH(DL$2,-1)+1,$C129:$F129)*VLOOKUP(DL$2,Valores!$H$2:$P$154,8,0)</f>
        <v>#VALUE!</v>
      </c>
      <c r="DM129" s="27" t="e">
        <f aca="false">SUMIF($C$2:$F$2,EOMONTH(DM$2,-1)+1,$C129:$F129)*VLOOKUP(DM$2,Valores!$H$2:$P$154,8,0)</f>
        <v>#VALUE!</v>
      </c>
      <c r="DN129" s="27" t="e">
        <f aca="false">SUMIF($C$2:$F$2,EOMONTH(DN$2,-1)+1,$C129:$F129)*VLOOKUP(DN$2,Valores!$H$2:$P$154,8,0)</f>
        <v>#VALUE!</v>
      </c>
      <c r="DO129" s="27" t="e">
        <f aca="false">SUMIF($C$2:$F$2,EOMONTH(DO$2,-1)+1,$C129:$F129)*VLOOKUP(DO$2,Valores!$H$2:$P$154,8,0)</f>
        <v>#VALUE!</v>
      </c>
      <c r="DP129" s="27" t="e">
        <f aca="false">SUMIF($C$2:$F$2,EOMONTH(DP$2,-1)+1,$C129:$F129)*VLOOKUP(DP$2,Valores!$H$2:$P$154,8,0)</f>
        <v>#VALUE!</v>
      </c>
      <c r="DQ129" s="27" t="e">
        <f aca="false">SUMIF($C$2:$F$2,EOMONTH(DQ$2,-1)+1,$C129:$F129)*VLOOKUP(DQ$2,Valores!$H$2:$P$154,8,0)</f>
        <v>#VALUE!</v>
      </c>
      <c r="DR129" s="27" t="e">
        <f aca="false">SUMIF($C$2:$F$2,EOMONTH(DR$2,-1)+1,$C129:$F129)*VLOOKUP(DR$2,Valores!$H$2:$P$154,8,0)</f>
        <v>#VALUE!</v>
      </c>
      <c r="DS129" s="27" t="e">
        <f aca="false">SUMIF($C$2:$F$2,EOMONTH(DS$2,-1)+1,$C129:$F129)*VLOOKUP(DS$2,Valores!$H$2:$P$154,8,0)</f>
        <v>#VALUE!</v>
      </c>
      <c r="DT129" s="27" t="e">
        <f aca="false">SUMIF($C$2:$F$2,EOMONTH(DT$2,-1)+1,$C129:$F129)*VLOOKUP(DT$2,Valores!$H$2:$P$154,8,0)</f>
        <v>#VALUE!</v>
      </c>
      <c r="DU129" s="27" t="e">
        <f aca="false">SUMIF($C$2:$F$2,EOMONTH(DU$2,-1)+1,$C129:$F129)*VLOOKUP(DU$2,Valores!$H$2:$P$154,8,0)</f>
        <v>#VALUE!</v>
      </c>
      <c r="DV129" s="27" t="e">
        <f aca="false">SUMIF($C$2:$F$2,EOMONTH(DV$2,-1)+1,$C129:$F129)*VLOOKUP(DV$2,Valores!$H$2:$P$154,8,0)</f>
        <v>#VALUE!</v>
      </c>
      <c r="DW129" s="27" t="e">
        <f aca="false">SUMIF($C$2:$F$2,EOMONTH(DW$2,-1)+1,$C129:$F129)*VLOOKUP(DW$2,Valores!$H$2:$P$154,8,0)</f>
        <v>#VALUE!</v>
      </c>
      <c r="DX129" s="27" t="e">
        <f aca="false">SUMIF($C$2:$F$2,EOMONTH(DX$2,-1)+1,$C129:$F129)*VLOOKUP(DX$2,Valores!$H$2:$P$154,8,0)</f>
        <v>#VALUE!</v>
      </c>
    </row>
    <row r="130" customFormat="false" ht="13.8" hidden="false" customHeight="false" outlineLevel="0" collapsed="false">
      <c r="A130" s="29"/>
      <c r="B130" s="29"/>
      <c r="C130" s="29"/>
      <c r="D130" s="29"/>
      <c r="E130" s="29"/>
      <c r="F130" s="29"/>
      <c r="G130" s="30" t="n">
        <f aca="false">SUMIF($C$2:$F$2,EOMONTH(G$2,-1)+1,$C130:$F130)*VLOOKUP(G$2,Valores!$H$2:$P$154,8,0)</f>
        <v>0</v>
      </c>
      <c r="H130" s="30" t="n">
        <f aca="false">SUMIF($C$2:$F$2,EOMONTH(H$2,-1)+1,$C130:$F130)*VLOOKUP(H$2,Valores!$H$2:$P$154,8,0)</f>
        <v>0</v>
      </c>
      <c r="I130" s="30" t="n">
        <f aca="false">SUMIF($C$2:$F$2,EOMONTH(I$2,-1)+1,$C130:$F130)*VLOOKUP(I$2,Valores!$H$2:$P$154,8,0)</f>
        <v>0</v>
      </c>
      <c r="J130" s="30" t="n">
        <f aca="false">SUMIF($C$2:$F$2,EOMONTH(J$2,-1)+1,$C130:$F130)*VLOOKUP(J$2,Valores!$H$2:$P$154,8,0)</f>
        <v>0</v>
      </c>
      <c r="K130" s="30" t="n">
        <f aca="false">SUMIF($C$2:$F$2,EOMONTH(K$2,-1)+1,$C130:$F130)*VLOOKUP(K$2,Valores!$H$2:$P$154,8,0)</f>
        <v>0</v>
      </c>
      <c r="L130" s="30" t="n">
        <f aca="false">SUMIF($C$2:$F$2,EOMONTH(L$2,-1)+1,$C130:$F130)*VLOOKUP(L$2,Valores!$H$2:$P$154,8,0)</f>
        <v>0</v>
      </c>
      <c r="M130" s="30" t="n">
        <f aca="false">SUMIF($C$2:$F$2,EOMONTH(M$2,-1)+1,$C130:$F130)*VLOOKUP(M$2,Valores!$H$2:$P$154,8,0)</f>
        <v>0</v>
      </c>
      <c r="N130" s="30" t="n">
        <f aca="false">SUMIF($C$2:$F$2,EOMONTH(N$2,-1)+1,$C130:$F130)*VLOOKUP(N$2,Valores!$H$2:$P$154,8,0)</f>
        <v>0</v>
      </c>
      <c r="O130" s="30" t="n">
        <f aca="false">SUMIF($C$2:$F$2,EOMONTH(O$2,-1)+1,$C130:$F130)*VLOOKUP(O$2,Valores!$H$2:$P$154,8,0)</f>
        <v>0</v>
      </c>
      <c r="P130" s="30" t="n">
        <f aca="false">SUMIF($C$2:$F$2,EOMONTH(P$2,-1)+1,$C130:$F130)*VLOOKUP(P$2,Valores!$H$2:$P$154,8,0)</f>
        <v>0</v>
      </c>
      <c r="Q130" s="30" t="n">
        <f aca="false">SUMIF($C$2:$F$2,EOMONTH(Q$2,-1)+1,$C130:$F130)*VLOOKUP(Q$2,Valores!$H$2:$P$154,8,0)</f>
        <v>0</v>
      </c>
      <c r="R130" s="30" t="n">
        <f aca="false">SUMIF($C$2:$F$2,EOMONTH(R$2,-1)+1,$C130:$F130)*VLOOKUP(R$2,Valores!$H$2:$P$154,8,0)</f>
        <v>0</v>
      </c>
      <c r="S130" s="30" t="n">
        <f aca="false">SUMIF($C$2:$F$2,EOMONTH(S$2,-1)+1,$C130:$F130)*VLOOKUP(S$2,Valores!$H$2:$P$154,8,0)</f>
        <v>0</v>
      </c>
      <c r="T130" s="30" t="n">
        <f aca="false">SUMIF($C$2:$F$2,EOMONTH(T$2,-1)+1,$C130:$F130)*VLOOKUP(T$2,Valores!$H$2:$P$154,8,0)</f>
        <v>0</v>
      </c>
      <c r="U130" s="30" t="n">
        <f aca="false">SUMIF($C$2:$F$2,EOMONTH(U$2,-1)+1,$C130:$F130)*VLOOKUP(U$2,Valores!$H$2:$P$154,8,0)</f>
        <v>0</v>
      </c>
      <c r="V130" s="30" t="n">
        <f aca="false">SUMIF($C$2:$F$2,EOMONTH(V$2,-1)+1,$C130:$F130)*VLOOKUP(V$2,Valores!$H$2:$P$154,8,0)</f>
        <v>0</v>
      </c>
      <c r="W130" s="30" t="n">
        <f aca="false">SUMIF($C$2:$F$2,EOMONTH(W$2,-1)+1,$C130:$F130)*VLOOKUP(W$2,Valores!$H$2:$P$154,8,0)</f>
        <v>0</v>
      </c>
      <c r="X130" s="30" t="n">
        <f aca="false">SUMIF($C$2:$F$2,EOMONTH(X$2,-1)+1,$C130:$F130)*VLOOKUP(X$2,Valores!$H$2:$P$154,8,0)</f>
        <v>0</v>
      </c>
      <c r="Y130" s="30" t="n">
        <f aca="false">SUMIF($C$2:$F$2,EOMONTH(Y$2,-1)+1,$C130:$F130)*VLOOKUP(Y$2,Valores!$H$2:$P$154,8,0)</f>
        <v>0</v>
      </c>
      <c r="Z130" s="30" t="n">
        <f aca="false">SUMIF($C$2:$F$2,EOMONTH(Z$2,-1)+1,$C130:$F130)*VLOOKUP(Z$2,Valores!$H$2:$P$154,8,0)</f>
        <v>0</v>
      </c>
      <c r="AA130" s="30" t="n">
        <f aca="false">SUMIF($C$2:$F$2,EOMONTH(AA$2,-1)+1,$C130:$F130)*VLOOKUP(AA$2,Valores!$H$2:$P$154,8,0)</f>
        <v>0</v>
      </c>
      <c r="AB130" s="30" t="n">
        <f aca="false">SUMIF($C$2:$F$2,EOMONTH(AB$2,-1)+1,$C130:$F130)*VLOOKUP(AB$2,Valores!$H$2:$P$154,8,0)</f>
        <v>0</v>
      </c>
      <c r="AC130" s="30" t="n">
        <f aca="false">SUMIF($C$2:$F$2,EOMONTH(AC$2,-1)+1,$C130:$F130)*VLOOKUP(AC$2,Valores!$H$2:$P$154,8,0)</f>
        <v>0</v>
      </c>
      <c r="AD130" s="30" t="n">
        <f aca="false">SUMIF($C$2:$F$2,EOMONTH(AD$2,-1)+1,$C130:$F130)*VLOOKUP(AD$2,Valores!$H$2:$P$154,8,0)</f>
        <v>0</v>
      </c>
      <c r="AE130" s="30" t="n">
        <f aca="false">SUMIF($C$2:$F$2,EOMONTH(AE$2,-1)+1,$C130:$F130)*VLOOKUP(AE$2,Valores!$H$2:$P$154,8,0)</f>
        <v>0</v>
      </c>
      <c r="AF130" s="30" t="n">
        <f aca="false">SUMIF($C$2:$F$2,EOMONTH(AF$2,-1)+1,$C130:$F130)*VLOOKUP(AF$2,Valores!$H$2:$P$154,8,0)</f>
        <v>0</v>
      </c>
      <c r="AG130" s="30" t="n">
        <f aca="false">SUMIF($C$2:$F$2,EOMONTH(AG$2,-1)+1,$C130:$F130)*VLOOKUP(AG$2,Valores!$H$2:$P$154,8,0)</f>
        <v>0</v>
      </c>
      <c r="AH130" s="30" t="n">
        <f aca="false">SUMIF($C$2:$F$2,EOMONTH(AH$2,-1)+1,$C130:$F130)*VLOOKUP(AH$2,Valores!$H$2:$P$154,8,0)</f>
        <v>0</v>
      </c>
      <c r="AI130" s="30" t="n">
        <f aca="false">SUMIF($C$2:$F$2,EOMONTH(AI$2,-1)+1,$C130:$F130)*VLOOKUP(AI$2,Valores!$H$2:$P$154,8,0)</f>
        <v>0</v>
      </c>
      <c r="AJ130" s="30" t="n">
        <f aca="false">SUMIF($C$2:$F$2,EOMONTH(AJ$2,-1)+1,$C130:$F130)*VLOOKUP(AJ$2,Valores!$H$2:$P$154,8,0)</f>
        <v>0</v>
      </c>
      <c r="AK130" s="30" t="n">
        <f aca="false">SUMIF($C$2:$F$2,EOMONTH(AK$2,-1)+1,$C130:$F130)*VLOOKUP(AK$2,Valores!$H$2:$P$154,8,0)</f>
        <v>0</v>
      </c>
      <c r="AL130" s="30" t="n">
        <f aca="false">SUMIF($C$2:$F$2,EOMONTH(AL$2,-1)+1,$C130:$F130)*VLOOKUP(AL$2,Valores!$H$2:$P$154,8,0)</f>
        <v>0</v>
      </c>
      <c r="AM130" s="30" t="n">
        <f aca="false">SUMIF($C$2:$F$2,EOMONTH(AM$2,-1)+1,$C130:$F130)*VLOOKUP(AM$2,Valores!$H$2:$P$154,8,0)</f>
        <v>0</v>
      </c>
      <c r="AN130" s="30" t="n">
        <f aca="false">SUMIF($C$2:$F$2,EOMONTH(AN$2,-1)+1,$C130:$F130)*VLOOKUP(AN$2,Valores!$H$2:$P$154,8,0)</f>
        <v>0</v>
      </c>
      <c r="AO130" s="30" t="n">
        <f aca="false">SUMIF($C$2:$F$2,EOMONTH(AO$2,-1)+1,$C130:$F130)*VLOOKUP(AO$2,Valores!$H$2:$P$154,8,0)</f>
        <v>0</v>
      </c>
      <c r="AP130" s="30" t="n">
        <f aca="false">SUMIF($C$2:$F$2,EOMONTH(AP$2,-1)+1,$C130:$F130)*VLOOKUP(AP$2,Valores!$H$2:$P$154,8,0)</f>
        <v>0</v>
      </c>
      <c r="AQ130" s="30" t="n">
        <f aca="false">SUMIF($C$2:$F$2,EOMONTH(AQ$2,-1)+1,$C130:$F130)*VLOOKUP(AQ$2,Valores!$H$2:$P$154,8,0)</f>
        <v>0</v>
      </c>
      <c r="AR130" s="30" t="n">
        <f aca="false">SUMIF($C$2:$F$2,EOMONTH(AR$2,-1)+1,$C130:$F130)*VLOOKUP(AR$2,Valores!$H$2:$P$154,8,0)</f>
        <v>0</v>
      </c>
      <c r="AS130" s="30" t="n">
        <f aca="false">SUMIF($C$2:$F$2,EOMONTH(AS$2,-1)+1,$C130:$F130)*VLOOKUP(AS$2,Valores!$H$2:$P$154,8,0)</f>
        <v>0</v>
      </c>
      <c r="AT130" s="30" t="n">
        <f aca="false">SUMIF($C$2:$F$2,EOMONTH(AT$2,-1)+1,$C130:$F130)*VLOOKUP(AT$2,Valores!$H$2:$P$154,8,0)</f>
        <v>0</v>
      </c>
      <c r="AU130" s="30" t="n">
        <f aca="false">SUMIF($C$2:$F$2,EOMONTH(AU$2,-1)+1,$C130:$F130)*VLOOKUP(AU$2,Valores!$H$2:$P$154,8,0)</f>
        <v>0</v>
      </c>
      <c r="AV130" s="30" t="n">
        <f aca="false">SUMIF($C$2:$F$2,EOMONTH(AV$2,-1)+1,$C130:$F130)*VLOOKUP(AV$2,Valores!$H$2:$P$154,8,0)</f>
        <v>0</v>
      </c>
      <c r="AW130" s="30" t="n">
        <f aca="false">SUMIF($C$2:$F$2,EOMONTH(AW$2,-1)+1,$C130:$F130)*VLOOKUP(AW$2,Valores!$H$2:$P$154,8,0)</f>
        <v>0</v>
      </c>
      <c r="AX130" s="30" t="n">
        <f aca="false">SUMIF($C$2:$F$2,EOMONTH(AX$2,-1)+1,$C130:$F130)*VLOOKUP(AX$2,Valores!$H$2:$P$154,8,0)</f>
        <v>0</v>
      </c>
      <c r="AY130" s="30" t="n">
        <f aca="false">SUMIF($C$2:$F$2,EOMONTH(AY$2,-1)+1,$C130:$F130)*VLOOKUP(AY$2,Valores!$H$2:$P$154,8,0)</f>
        <v>0</v>
      </c>
      <c r="AZ130" s="30" t="n">
        <f aca="false">SUMIF($C$2:$F$2,EOMONTH(AZ$2,-1)+1,$C130:$F130)*VLOOKUP(AZ$2,Valores!$H$2:$P$154,8,0)</f>
        <v>0</v>
      </c>
      <c r="BA130" s="30" t="n">
        <f aca="false">SUMIF($C$2:$F$2,EOMONTH(BA$2,-1)+1,$C130:$F130)*VLOOKUP(BA$2,Valores!$H$2:$P$154,8,0)</f>
        <v>0</v>
      </c>
      <c r="BB130" s="30" t="n">
        <f aca="false">SUMIF($C$2:$F$2,EOMONTH(BB$2,-1)+1,$C130:$F130)*VLOOKUP(BB$2,Valores!$H$2:$P$154,8,0)</f>
        <v>0</v>
      </c>
      <c r="BC130" s="30" t="n">
        <f aca="false">SUMIF($C$2:$F$2,EOMONTH(BC$2,-1)+1,$C130:$F130)*VLOOKUP(BC$2,Valores!$H$2:$P$154,8,0)</f>
        <v>0</v>
      </c>
      <c r="BD130" s="30" t="n">
        <f aca="false">SUMIF($C$2:$F$2,EOMONTH(BD$2,-1)+1,$C130:$F130)*VLOOKUP(BD$2,Valores!$H$2:$P$154,8,0)</f>
        <v>0</v>
      </c>
      <c r="BE130" s="30" t="n">
        <f aca="false">SUMIF($C$2:$F$2,EOMONTH(BE$2,-1)+1,$C130:$F130)*VLOOKUP(BE$2,Valores!$H$2:$P$154,8,0)</f>
        <v>0</v>
      </c>
      <c r="BF130" s="30" t="n">
        <f aca="false">SUMIF($C$2:$F$2,EOMONTH(BF$2,-1)+1,$C130:$F130)*VLOOKUP(BF$2,Valores!$H$2:$P$154,8,0)</f>
        <v>0</v>
      </c>
      <c r="BG130" s="30" t="n">
        <f aca="false">SUMIF($C$2:$F$2,EOMONTH(BG$2,-1)+1,$C130:$F130)*VLOOKUP(BG$2,Valores!$H$2:$P$154,8,0)</f>
        <v>0</v>
      </c>
      <c r="BH130" s="30" t="n">
        <f aca="false">SUMIF($C$2:$F$2,EOMONTH(BH$2,-1)+1,$C130:$F130)*VLOOKUP(BH$2,Valores!$H$2:$P$154,8,0)</f>
        <v>0</v>
      </c>
      <c r="BI130" s="30" t="n">
        <f aca="false">SUMIF($C$2:$F$2,EOMONTH(BI$2,-1)+1,$C130:$F130)*VLOOKUP(BI$2,Valores!$H$2:$P$154,8,0)</f>
        <v>0</v>
      </c>
      <c r="BJ130" s="30" t="n">
        <f aca="false">SUMIF($C$2:$F$2,EOMONTH(BJ$2,-1)+1,$C130:$F130)*VLOOKUP(BJ$2,Valores!$H$2:$P$154,8,0)</f>
        <v>0</v>
      </c>
      <c r="BK130" s="30" t="n">
        <f aca="false">SUMIF($C$2:$F$2,EOMONTH(BK$2,-1)+1,$C130:$F130)*VLOOKUP(BK$2,Valores!$H$2:$P$154,8,0)</f>
        <v>0</v>
      </c>
      <c r="BL130" s="30" t="n">
        <f aca="false">SUMIF($C$2:$F$2,EOMONTH(BL$2,-1)+1,$C130:$F130)*VLOOKUP(BL$2,Valores!$H$2:$P$154,8,0)</f>
        <v>0</v>
      </c>
      <c r="BM130" s="30" t="n">
        <f aca="false">SUMIF($C$2:$F$2,EOMONTH(BM$2,-1)+1,$C130:$F130)*VLOOKUP(BM$2,Valores!$H$2:$P$154,8,0)</f>
        <v>0</v>
      </c>
      <c r="BN130" s="30" t="n">
        <f aca="false">SUMIF($C$2:$F$2,EOMONTH(BN$2,-1)+1,$C130:$F130)*VLOOKUP(BN$2,Valores!$H$2:$P$154,8,0)</f>
        <v>0</v>
      </c>
      <c r="BO130" s="30" t="n">
        <f aca="false">SUMIF($C$2:$F$2,EOMONTH(BO$2,-1)+1,$C130:$F130)*VLOOKUP(BO$2,Valores!$H$2:$P$154,8,0)</f>
        <v>0</v>
      </c>
      <c r="BP130" s="30" t="n">
        <f aca="false">SUMIF($C$2:$F$2,EOMONTH(BP$2,-1)+1,$C130:$F130)*VLOOKUP(BP$2,Valores!$H$2:$P$154,8,0)</f>
        <v>0</v>
      </c>
      <c r="BQ130" s="30" t="n">
        <f aca="false">SUMIF($C$2:$F$2,EOMONTH(BQ$2,-1)+1,$C130:$F130)*VLOOKUP(BQ$2,Valores!$H$2:$P$154,8,0)</f>
        <v>0</v>
      </c>
      <c r="BR130" s="30" t="n">
        <f aca="false">SUMIF($C$2:$F$2,EOMONTH(BR$2,-1)+1,$C130:$F130)*VLOOKUP(BR$2,Valores!$H$2:$P$154,8,0)</f>
        <v>0</v>
      </c>
      <c r="BS130" s="30" t="n">
        <f aca="false">SUMIF($C$2:$F$2,EOMONTH(BS$2,-1)+1,$C130:$F130)*VLOOKUP(BS$2,Valores!$H$2:$P$154,8,0)</f>
        <v>0</v>
      </c>
      <c r="BT130" s="30" t="n">
        <f aca="false">SUMIF($C$2:$F$2,EOMONTH(BT$2,-1)+1,$C130:$F130)*VLOOKUP(BT$2,Valores!$H$2:$P$154,8,0)</f>
        <v>0</v>
      </c>
      <c r="BU130" s="30" t="n">
        <f aca="false">SUMIF($C$2:$F$2,EOMONTH(BU$2,-1)+1,$C130:$F130)*VLOOKUP(BU$2,Valores!$H$2:$P$154,8,0)</f>
        <v>0</v>
      </c>
      <c r="BV130" s="30" t="n">
        <f aca="false">SUMIF($C$2:$F$2,EOMONTH(BV$2,-1)+1,$C130:$F130)*VLOOKUP(BV$2,Valores!$H$2:$P$154,8,0)</f>
        <v>0</v>
      </c>
      <c r="BW130" s="30" t="n">
        <f aca="false">SUMIF($C$2:$F$2,EOMONTH(BW$2,-1)+1,$C130:$F130)*VLOOKUP(BW$2,Valores!$H$2:$P$154,8,0)</f>
        <v>0</v>
      </c>
      <c r="BX130" s="30" t="n">
        <f aca="false">SUMIF($C$2:$F$2,EOMONTH(BX$2,-1)+1,$C130:$F130)*VLOOKUP(BX$2,Valores!$H$2:$P$154,8,0)</f>
        <v>0</v>
      </c>
      <c r="BY130" s="30" t="n">
        <f aca="false">SUMIF($C$2:$F$2,EOMONTH(BY$2,-1)+1,$C130:$F130)*VLOOKUP(BY$2,Valores!$H$2:$P$154,8,0)</f>
        <v>0</v>
      </c>
      <c r="BZ130" s="30" t="n">
        <f aca="false">SUMIF($C$2:$F$2,EOMONTH(BZ$2,-1)+1,$C130:$F130)*VLOOKUP(BZ$2,Valores!$H$2:$P$154,8,0)</f>
        <v>0</v>
      </c>
      <c r="CA130" s="30" t="n">
        <f aca="false">SUMIF($C$2:$F$2,EOMONTH(CA$2,-1)+1,$C130:$F130)*VLOOKUP(CA$2,Valores!$H$2:$P$154,8,0)</f>
        <v>0</v>
      </c>
      <c r="CB130" s="30" t="n">
        <f aca="false">SUMIF($C$2:$F$2,EOMONTH(CB$2,-1)+1,$C130:$F130)*VLOOKUP(CB$2,Valores!$H$2:$P$154,8,0)</f>
        <v>0</v>
      </c>
      <c r="CC130" s="30" t="n">
        <f aca="false">SUMIF($C$2:$F$2,EOMONTH(CC$2,-1)+1,$C130:$F130)*VLOOKUP(CC$2,Valores!$H$2:$P$154,8,0)</f>
        <v>0</v>
      </c>
      <c r="CD130" s="30" t="n">
        <f aca="false">SUMIF($C$2:$F$2,EOMONTH(CD$2,-1)+1,$C130:$F130)*VLOOKUP(CD$2,Valores!$H$2:$P$154,8,0)</f>
        <v>0</v>
      </c>
      <c r="CE130" s="30" t="n">
        <f aca="false">SUMIF($C$2:$F$2,EOMONTH(CE$2,-1)+1,$C130:$F130)*VLOOKUP(CE$2,Valores!$H$2:$P$154,8,0)</f>
        <v>0</v>
      </c>
      <c r="CF130" s="30" t="n">
        <f aca="false">SUMIF($C$2:$F$2,EOMONTH(CF$2,-1)+1,$C130:$F130)*VLOOKUP(CF$2,Valores!$H$2:$P$154,8,0)</f>
        <v>0</v>
      </c>
      <c r="CG130" s="30" t="n">
        <f aca="false">SUMIF($C$2:$F$2,EOMONTH(CG$2,-1)+1,$C130:$F130)*VLOOKUP(CG$2,Valores!$H$2:$P$154,8,0)</f>
        <v>0</v>
      </c>
      <c r="CH130" s="30" t="n">
        <f aca="false">SUMIF($C$2:$F$2,EOMONTH(CH$2,-1)+1,$C130:$F130)*VLOOKUP(CH$2,Valores!$H$2:$P$154,8,0)</f>
        <v>0</v>
      </c>
      <c r="CI130" s="30" t="n">
        <f aca="false">SUMIF($C$2:$F$2,EOMONTH(CI$2,-1)+1,$C130:$F130)*VLOOKUP(CI$2,Valores!$H$2:$P$154,8,0)</f>
        <v>0</v>
      </c>
      <c r="CJ130" s="30" t="n">
        <f aca="false">SUMIF($C$2:$F$2,EOMONTH(CJ$2,-1)+1,$C130:$F130)*VLOOKUP(CJ$2,Valores!$H$2:$P$154,8,0)</f>
        <v>0</v>
      </c>
      <c r="CK130" s="30" t="n">
        <f aca="false">SUMIF($C$2:$F$2,EOMONTH(CK$2,-1)+1,$C130:$F130)*VLOOKUP(CK$2,Valores!$H$2:$P$154,8,0)</f>
        <v>0</v>
      </c>
      <c r="CL130" s="30" t="n">
        <f aca="false">SUMIF($C$2:$F$2,EOMONTH(CL$2,-1)+1,$C130:$F130)*VLOOKUP(CL$2,Valores!$H$2:$P$154,8,0)</f>
        <v>0</v>
      </c>
      <c r="CM130" s="30" t="n">
        <f aca="false">SUMIF($C$2:$F$2,EOMONTH(CM$2,-1)+1,$C130:$F130)*VLOOKUP(CM$2,Valores!$H$2:$P$154,8,0)</f>
        <v>0</v>
      </c>
      <c r="CN130" s="30" t="n">
        <f aca="false">SUMIF($C$2:$F$2,EOMONTH(CN$2,-1)+1,$C130:$F130)*VLOOKUP(CN$2,Valores!$H$2:$P$154,8,0)</f>
        <v>0</v>
      </c>
      <c r="CO130" s="30" t="n">
        <f aca="false">SUMIF($C$2:$F$2,EOMONTH(CO$2,-1)+1,$C130:$F130)*VLOOKUP(CO$2,Valores!$H$2:$P$154,8,0)</f>
        <v>0</v>
      </c>
      <c r="CP130" s="30" t="n">
        <f aca="false">SUMIF($C$2:$F$2,EOMONTH(CP$2,-1)+1,$C130:$F130)*VLOOKUP(CP$2,Valores!$H$2:$P$154,8,0)</f>
        <v>0</v>
      </c>
      <c r="CQ130" s="30" t="n">
        <f aca="false">SUMIF($C$2:$F$2,EOMONTH(CQ$2,-1)+1,$C130:$F130)*VLOOKUP(CQ$2,Valores!$H$2:$P$154,8,0)</f>
        <v>0</v>
      </c>
      <c r="CR130" s="30" t="n">
        <f aca="false">SUMIF($C$2:$F$2,EOMONTH(CR$2,-1)+1,$C130:$F130)*VLOOKUP(CR$2,Valores!$H$2:$P$154,8,0)</f>
        <v>0</v>
      </c>
      <c r="CS130" s="30" t="n">
        <f aca="false">SUMIF($C$2:$F$2,EOMONTH(CS$2,-1)+1,$C130:$F130)*VLOOKUP(CS$2,Valores!$H$2:$P$154,8,0)</f>
        <v>0</v>
      </c>
      <c r="CT130" s="30" t="e">
        <f aca="false">SUMIF($C$2:$F$2,EOMONTH(CT$2,-1)+1,$C130:$F130)*VLOOKUP(CT$2,Valores!$H$2:$P$154,8,0)</f>
        <v>#VALUE!</v>
      </c>
      <c r="CU130" s="30" t="e">
        <f aca="false">SUMIF($C$2:$F$2,EOMONTH(CU$2,-1)+1,$C130:$F130)*VLOOKUP(CU$2,Valores!$H$2:$P$154,8,0)</f>
        <v>#VALUE!</v>
      </c>
      <c r="CV130" s="30" t="e">
        <f aca="false">SUMIF($C$2:$F$2,EOMONTH(CV$2,-1)+1,$C130:$F130)*VLOOKUP(CV$2,Valores!$H$2:$P$154,8,0)</f>
        <v>#VALUE!</v>
      </c>
      <c r="CW130" s="30" t="e">
        <f aca="false">SUMIF($C$2:$F$2,EOMONTH(CW$2,-1)+1,$C130:$F130)*VLOOKUP(CW$2,Valores!$H$2:$P$154,8,0)</f>
        <v>#VALUE!</v>
      </c>
      <c r="CX130" s="30" t="e">
        <f aca="false">SUMIF($C$2:$F$2,EOMONTH(CX$2,-1)+1,$C130:$F130)*VLOOKUP(CX$2,Valores!$H$2:$P$154,8,0)</f>
        <v>#VALUE!</v>
      </c>
      <c r="CY130" s="30" t="e">
        <f aca="false">SUMIF($C$2:$F$2,EOMONTH(CY$2,-1)+1,$C130:$F130)*VLOOKUP(CY$2,Valores!$H$2:$P$154,8,0)</f>
        <v>#VALUE!</v>
      </c>
      <c r="CZ130" s="30" t="e">
        <f aca="false">SUMIF($C$2:$F$2,EOMONTH(CZ$2,-1)+1,$C130:$F130)*VLOOKUP(CZ$2,Valores!$H$2:$P$154,8,0)</f>
        <v>#VALUE!</v>
      </c>
      <c r="DA130" s="30" t="e">
        <f aca="false">SUMIF($C$2:$F$2,EOMONTH(DA$2,-1)+1,$C130:$F130)*VLOOKUP(DA$2,Valores!$H$2:$P$154,8,0)</f>
        <v>#VALUE!</v>
      </c>
      <c r="DB130" s="30" t="e">
        <f aca="false">SUMIF($C$2:$F$2,EOMONTH(DB$2,-1)+1,$C130:$F130)*VLOOKUP(DB$2,Valores!$H$2:$P$154,8,0)</f>
        <v>#VALUE!</v>
      </c>
      <c r="DC130" s="30" t="e">
        <f aca="false">SUMIF($C$2:$F$2,EOMONTH(DC$2,-1)+1,$C130:$F130)*VLOOKUP(DC$2,Valores!$H$2:$P$154,8,0)</f>
        <v>#VALUE!</v>
      </c>
      <c r="DD130" s="30" t="e">
        <f aca="false">SUMIF($C$2:$F$2,EOMONTH(DD$2,-1)+1,$C130:$F130)*VLOOKUP(DD$2,Valores!$H$2:$P$154,8,0)</f>
        <v>#VALUE!</v>
      </c>
      <c r="DE130" s="30" t="e">
        <f aca="false">SUMIF($C$2:$F$2,EOMONTH(DE$2,-1)+1,$C130:$F130)*VLOOKUP(DE$2,Valores!$H$2:$P$154,8,0)</f>
        <v>#VALUE!</v>
      </c>
      <c r="DF130" s="30" t="e">
        <f aca="false">SUMIF($C$2:$F$2,EOMONTH(DF$2,-1)+1,$C130:$F130)*VLOOKUP(DF$2,Valores!$H$2:$P$154,8,0)</f>
        <v>#VALUE!</v>
      </c>
      <c r="DG130" s="30" t="e">
        <f aca="false">SUMIF($C$2:$F$2,EOMONTH(DG$2,-1)+1,$C130:$F130)*VLOOKUP(DG$2,Valores!$H$2:$P$154,8,0)</f>
        <v>#VALUE!</v>
      </c>
      <c r="DH130" s="30" t="e">
        <f aca="false">SUMIF($C$2:$F$2,EOMONTH(DH$2,-1)+1,$C130:$F130)*VLOOKUP(DH$2,Valores!$H$2:$P$154,8,0)</f>
        <v>#VALUE!</v>
      </c>
      <c r="DI130" s="30" t="e">
        <f aca="false">SUMIF($C$2:$F$2,EOMONTH(DI$2,-1)+1,$C130:$F130)*VLOOKUP(DI$2,Valores!$H$2:$P$154,8,0)</f>
        <v>#VALUE!</v>
      </c>
      <c r="DJ130" s="30" t="e">
        <f aca="false">SUMIF($C$2:$F$2,EOMONTH(DJ$2,-1)+1,$C130:$F130)*VLOOKUP(DJ$2,Valores!$H$2:$P$154,8,0)</f>
        <v>#VALUE!</v>
      </c>
      <c r="DK130" s="30" t="e">
        <f aca="false">SUMIF($C$2:$F$2,EOMONTH(DK$2,-1)+1,$C130:$F130)*VLOOKUP(DK$2,Valores!$H$2:$P$154,8,0)</f>
        <v>#VALUE!</v>
      </c>
      <c r="DL130" s="30" t="e">
        <f aca="false">SUMIF($C$2:$F$2,EOMONTH(DL$2,-1)+1,$C130:$F130)*VLOOKUP(DL$2,Valores!$H$2:$P$154,8,0)</f>
        <v>#VALUE!</v>
      </c>
      <c r="DM130" s="30" t="e">
        <f aca="false">SUMIF($C$2:$F$2,EOMONTH(DM$2,-1)+1,$C130:$F130)*VLOOKUP(DM$2,Valores!$H$2:$P$154,8,0)</f>
        <v>#VALUE!</v>
      </c>
      <c r="DN130" s="30" t="e">
        <f aca="false">SUMIF($C$2:$F$2,EOMONTH(DN$2,-1)+1,$C130:$F130)*VLOOKUP(DN$2,Valores!$H$2:$P$154,8,0)</f>
        <v>#VALUE!</v>
      </c>
      <c r="DO130" s="30" t="e">
        <f aca="false">SUMIF($C$2:$F$2,EOMONTH(DO$2,-1)+1,$C130:$F130)*VLOOKUP(DO$2,Valores!$H$2:$P$154,8,0)</f>
        <v>#VALUE!</v>
      </c>
      <c r="DP130" s="30" t="e">
        <f aca="false">SUMIF($C$2:$F$2,EOMONTH(DP$2,-1)+1,$C130:$F130)*VLOOKUP(DP$2,Valores!$H$2:$P$154,8,0)</f>
        <v>#VALUE!</v>
      </c>
      <c r="DQ130" s="30" t="e">
        <f aca="false">SUMIF($C$2:$F$2,EOMONTH(DQ$2,-1)+1,$C130:$F130)*VLOOKUP(DQ$2,Valores!$H$2:$P$154,8,0)</f>
        <v>#VALUE!</v>
      </c>
      <c r="DR130" s="30" t="e">
        <f aca="false">SUMIF($C$2:$F$2,EOMONTH(DR$2,-1)+1,$C130:$F130)*VLOOKUP(DR$2,Valores!$H$2:$P$154,8,0)</f>
        <v>#VALUE!</v>
      </c>
      <c r="DS130" s="30" t="e">
        <f aca="false">SUMIF($C$2:$F$2,EOMONTH(DS$2,-1)+1,$C130:$F130)*VLOOKUP(DS$2,Valores!$H$2:$P$154,8,0)</f>
        <v>#VALUE!</v>
      </c>
      <c r="DT130" s="30" t="e">
        <f aca="false">SUMIF($C$2:$F$2,EOMONTH(DT$2,-1)+1,$C130:$F130)*VLOOKUP(DT$2,Valores!$H$2:$P$154,8,0)</f>
        <v>#VALUE!</v>
      </c>
      <c r="DU130" s="30" t="e">
        <f aca="false">SUMIF($C$2:$F$2,EOMONTH(DU$2,-1)+1,$C130:$F130)*VLOOKUP(DU$2,Valores!$H$2:$P$154,8,0)</f>
        <v>#VALUE!</v>
      </c>
      <c r="DV130" s="30" t="e">
        <f aca="false">SUMIF($C$2:$F$2,EOMONTH(DV$2,-1)+1,$C130:$F130)*VLOOKUP(DV$2,Valores!$H$2:$P$154,8,0)</f>
        <v>#VALUE!</v>
      </c>
      <c r="DW130" s="30" t="e">
        <f aca="false">SUMIF($C$2:$F$2,EOMONTH(DW$2,-1)+1,$C130:$F130)*VLOOKUP(DW$2,Valores!$H$2:$P$154,8,0)</f>
        <v>#VALUE!</v>
      </c>
      <c r="DX130" s="30" t="e">
        <f aca="false">SUMIF($C$2:$F$2,EOMONTH(DX$2,-1)+1,$C130:$F130)*VLOOKUP(DX$2,Valores!$H$2:$P$154,8,0)</f>
        <v>#VALUE!</v>
      </c>
    </row>
    <row r="131" customFormat="false" ht="13.8" hidden="false" customHeight="false" outlineLevel="0" collapsed="false">
      <c r="A131" s="31"/>
      <c r="B131" s="31"/>
      <c r="C131" s="31"/>
      <c r="D131" s="31"/>
      <c r="E131" s="31"/>
      <c r="F131" s="31"/>
      <c r="G131" s="27" t="n">
        <f aca="false">SUMIF($C$2:$F$2,EOMONTH(G$2,-1)+1,$C131:$F131)*VLOOKUP(G$2,Valores!$H$2:$P$154,8,0)</f>
        <v>0</v>
      </c>
      <c r="H131" s="27" t="n">
        <f aca="false">SUMIF($C$2:$F$2,EOMONTH(H$2,-1)+1,$C131:$F131)*VLOOKUP(H$2,Valores!$H$2:$P$154,8,0)</f>
        <v>0</v>
      </c>
      <c r="I131" s="27" t="n">
        <f aca="false">SUMIF($C$2:$F$2,EOMONTH(I$2,-1)+1,$C131:$F131)*VLOOKUP(I$2,Valores!$H$2:$P$154,8,0)</f>
        <v>0</v>
      </c>
      <c r="J131" s="27" t="n">
        <f aca="false">SUMIF($C$2:$F$2,EOMONTH(J$2,-1)+1,$C131:$F131)*VLOOKUP(J$2,Valores!$H$2:$P$154,8,0)</f>
        <v>0</v>
      </c>
      <c r="K131" s="27" t="n">
        <f aca="false">SUMIF($C$2:$F$2,EOMONTH(K$2,-1)+1,$C131:$F131)*VLOOKUP(K$2,Valores!$H$2:$P$154,8,0)</f>
        <v>0</v>
      </c>
      <c r="L131" s="27" t="n">
        <f aca="false">SUMIF($C$2:$F$2,EOMONTH(L$2,-1)+1,$C131:$F131)*VLOOKUP(L$2,Valores!$H$2:$P$154,8,0)</f>
        <v>0</v>
      </c>
      <c r="M131" s="27" t="n">
        <f aca="false">SUMIF($C$2:$F$2,EOMONTH(M$2,-1)+1,$C131:$F131)*VLOOKUP(M$2,Valores!$H$2:$P$154,8,0)</f>
        <v>0</v>
      </c>
      <c r="N131" s="27" t="n">
        <f aca="false">SUMIF($C$2:$F$2,EOMONTH(N$2,-1)+1,$C131:$F131)*VLOOKUP(N$2,Valores!$H$2:$P$154,8,0)</f>
        <v>0</v>
      </c>
      <c r="O131" s="27" t="n">
        <f aca="false">SUMIF($C$2:$F$2,EOMONTH(O$2,-1)+1,$C131:$F131)*VLOOKUP(O$2,Valores!$H$2:$P$154,8,0)</f>
        <v>0</v>
      </c>
      <c r="P131" s="27" t="n">
        <f aca="false">SUMIF($C$2:$F$2,EOMONTH(P$2,-1)+1,$C131:$F131)*VLOOKUP(P$2,Valores!$H$2:$P$154,8,0)</f>
        <v>0</v>
      </c>
      <c r="Q131" s="27" t="n">
        <f aca="false">SUMIF($C$2:$F$2,EOMONTH(Q$2,-1)+1,$C131:$F131)*VLOOKUP(Q$2,Valores!$H$2:$P$154,8,0)</f>
        <v>0</v>
      </c>
      <c r="R131" s="27" t="n">
        <f aca="false">SUMIF($C$2:$F$2,EOMONTH(R$2,-1)+1,$C131:$F131)*VLOOKUP(R$2,Valores!$H$2:$P$154,8,0)</f>
        <v>0</v>
      </c>
      <c r="S131" s="27" t="n">
        <f aca="false">SUMIF($C$2:$F$2,EOMONTH(S$2,-1)+1,$C131:$F131)*VLOOKUP(S$2,Valores!$H$2:$P$154,8,0)</f>
        <v>0</v>
      </c>
      <c r="T131" s="27" t="n">
        <f aca="false">SUMIF($C$2:$F$2,EOMONTH(T$2,-1)+1,$C131:$F131)*VLOOKUP(T$2,Valores!$H$2:$P$154,8,0)</f>
        <v>0</v>
      </c>
      <c r="U131" s="27" t="n">
        <f aca="false">SUMIF($C$2:$F$2,EOMONTH(U$2,-1)+1,$C131:$F131)*VLOOKUP(U$2,Valores!$H$2:$P$154,8,0)</f>
        <v>0</v>
      </c>
      <c r="V131" s="27" t="n">
        <f aca="false">SUMIF($C$2:$F$2,EOMONTH(V$2,-1)+1,$C131:$F131)*VLOOKUP(V$2,Valores!$H$2:$P$154,8,0)</f>
        <v>0</v>
      </c>
      <c r="W131" s="27" t="n">
        <f aca="false">SUMIF($C$2:$F$2,EOMONTH(W$2,-1)+1,$C131:$F131)*VLOOKUP(W$2,Valores!$H$2:$P$154,8,0)</f>
        <v>0</v>
      </c>
      <c r="X131" s="27" t="n">
        <f aca="false">SUMIF($C$2:$F$2,EOMONTH(X$2,-1)+1,$C131:$F131)*VLOOKUP(X$2,Valores!$H$2:$P$154,8,0)</f>
        <v>0</v>
      </c>
      <c r="Y131" s="27" t="n">
        <f aca="false">SUMIF($C$2:$F$2,EOMONTH(Y$2,-1)+1,$C131:$F131)*VLOOKUP(Y$2,Valores!$H$2:$P$154,8,0)</f>
        <v>0</v>
      </c>
      <c r="Z131" s="27" t="n">
        <f aca="false">SUMIF($C$2:$F$2,EOMONTH(Z$2,-1)+1,$C131:$F131)*VLOOKUP(Z$2,Valores!$H$2:$P$154,8,0)</f>
        <v>0</v>
      </c>
      <c r="AA131" s="27" t="n">
        <f aca="false">SUMIF($C$2:$F$2,EOMONTH(AA$2,-1)+1,$C131:$F131)*VLOOKUP(AA$2,Valores!$H$2:$P$154,8,0)</f>
        <v>0</v>
      </c>
      <c r="AB131" s="27" t="n">
        <f aca="false">SUMIF($C$2:$F$2,EOMONTH(AB$2,-1)+1,$C131:$F131)*VLOOKUP(AB$2,Valores!$H$2:$P$154,8,0)</f>
        <v>0</v>
      </c>
      <c r="AC131" s="27" t="n">
        <f aca="false">SUMIF($C$2:$F$2,EOMONTH(AC$2,-1)+1,$C131:$F131)*VLOOKUP(AC$2,Valores!$H$2:$P$154,8,0)</f>
        <v>0</v>
      </c>
      <c r="AD131" s="27" t="n">
        <f aca="false">SUMIF($C$2:$F$2,EOMONTH(AD$2,-1)+1,$C131:$F131)*VLOOKUP(AD$2,Valores!$H$2:$P$154,8,0)</f>
        <v>0</v>
      </c>
      <c r="AE131" s="27" t="n">
        <f aca="false">SUMIF($C$2:$F$2,EOMONTH(AE$2,-1)+1,$C131:$F131)*VLOOKUP(AE$2,Valores!$H$2:$P$154,8,0)</f>
        <v>0</v>
      </c>
      <c r="AF131" s="27" t="n">
        <f aca="false">SUMIF($C$2:$F$2,EOMONTH(AF$2,-1)+1,$C131:$F131)*VLOOKUP(AF$2,Valores!$H$2:$P$154,8,0)</f>
        <v>0</v>
      </c>
      <c r="AG131" s="27" t="n">
        <f aca="false">SUMIF($C$2:$F$2,EOMONTH(AG$2,-1)+1,$C131:$F131)*VLOOKUP(AG$2,Valores!$H$2:$P$154,8,0)</f>
        <v>0</v>
      </c>
      <c r="AH131" s="27" t="n">
        <f aca="false">SUMIF($C$2:$F$2,EOMONTH(AH$2,-1)+1,$C131:$F131)*VLOOKUP(AH$2,Valores!$H$2:$P$154,8,0)</f>
        <v>0</v>
      </c>
      <c r="AI131" s="27" t="n">
        <f aca="false">SUMIF($C$2:$F$2,EOMONTH(AI$2,-1)+1,$C131:$F131)*VLOOKUP(AI$2,Valores!$H$2:$P$154,8,0)</f>
        <v>0</v>
      </c>
      <c r="AJ131" s="27" t="n">
        <f aca="false">SUMIF($C$2:$F$2,EOMONTH(AJ$2,-1)+1,$C131:$F131)*VLOOKUP(AJ$2,Valores!$H$2:$P$154,8,0)</f>
        <v>0</v>
      </c>
      <c r="AK131" s="27" t="n">
        <f aca="false">SUMIF($C$2:$F$2,EOMONTH(AK$2,-1)+1,$C131:$F131)*VLOOKUP(AK$2,Valores!$H$2:$P$154,8,0)</f>
        <v>0</v>
      </c>
      <c r="AL131" s="27" t="n">
        <f aca="false">SUMIF($C$2:$F$2,EOMONTH(AL$2,-1)+1,$C131:$F131)*VLOOKUP(AL$2,Valores!$H$2:$P$154,8,0)</f>
        <v>0</v>
      </c>
      <c r="AM131" s="27" t="n">
        <f aca="false">SUMIF($C$2:$F$2,EOMONTH(AM$2,-1)+1,$C131:$F131)*VLOOKUP(AM$2,Valores!$H$2:$P$154,8,0)</f>
        <v>0</v>
      </c>
      <c r="AN131" s="27" t="n">
        <f aca="false">SUMIF($C$2:$F$2,EOMONTH(AN$2,-1)+1,$C131:$F131)*VLOOKUP(AN$2,Valores!$H$2:$P$154,8,0)</f>
        <v>0</v>
      </c>
      <c r="AO131" s="27" t="n">
        <f aca="false">SUMIF($C$2:$F$2,EOMONTH(AO$2,-1)+1,$C131:$F131)*VLOOKUP(AO$2,Valores!$H$2:$P$154,8,0)</f>
        <v>0</v>
      </c>
      <c r="AP131" s="27" t="n">
        <f aca="false">SUMIF($C$2:$F$2,EOMONTH(AP$2,-1)+1,$C131:$F131)*VLOOKUP(AP$2,Valores!$H$2:$P$154,8,0)</f>
        <v>0</v>
      </c>
      <c r="AQ131" s="27" t="n">
        <f aca="false">SUMIF($C$2:$F$2,EOMONTH(AQ$2,-1)+1,$C131:$F131)*VLOOKUP(AQ$2,Valores!$H$2:$P$154,8,0)</f>
        <v>0</v>
      </c>
      <c r="AR131" s="27" t="n">
        <f aca="false">SUMIF($C$2:$F$2,EOMONTH(AR$2,-1)+1,$C131:$F131)*VLOOKUP(AR$2,Valores!$H$2:$P$154,8,0)</f>
        <v>0</v>
      </c>
      <c r="AS131" s="27" t="n">
        <f aca="false">SUMIF($C$2:$F$2,EOMONTH(AS$2,-1)+1,$C131:$F131)*VLOOKUP(AS$2,Valores!$H$2:$P$154,8,0)</f>
        <v>0</v>
      </c>
      <c r="AT131" s="27" t="n">
        <f aca="false">SUMIF($C$2:$F$2,EOMONTH(AT$2,-1)+1,$C131:$F131)*VLOOKUP(AT$2,Valores!$H$2:$P$154,8,0)</f>
        <v>0</v>
      </c>
      <c r="AU131" s="27" t="n">
        <f aca="false">SUMIF($C$2:$F$2,EOMONTH(AU$2,-1)+1,$C131:$F131)*VLOOKUP(AU$2,Valores!$H$2:$P$154,8,0)</f>
        <v>0</v>
      </c>
      <c r="AV131" s="27" t="n">
        <f aca="false">SUMIF($C$2:$F$2,EOMONTH(AV$2,-1)+1,$C131:$F131)*VLOOKUP(AV$2,Valores!$H$2:$P$154,8,0)</f>
        <v>0</v>
      </c>
      <c r="AW131" s="27" t="n">
        <f aca="false">SUMIF($C$2:$F$2,EOMONTH(AW$2,-1)+1,$C131:$F131)*VLOOKUP(AW$2,Valores!$H$2:$P$154,8,0)</f>
        <v>0</v>
      </c>
      <c r="AX131" s="27" t="n">
        <f aca="false">SUMIF($C$2:$F$2,EOMONTH(AX$2,-1)+1,$C131:$F131)*VLOOKUP(AX$2,Valores!$H$2:$P$154,8,0)</f>
        <v>0</v>
      </c>
      <c r="AY131" s="27" t="n">
        <f aca="false">SUMIF($C$2:$F$2,EOMONTH(AY$2,-1)+1,$C131:$F131)*VLOOKUP(AY$2,Valores!$H$2:$P$154,8,0)</f>
        <v>0</v>
      </c>
      <c r="AZ131" s="27" t="n">
        <f aca="false">SUMIF($C$2:$F$2,EOMONTH(AZ$2,-1)+1,$C131:$F131)*VLOOKUP(AZ$2,Valores!$H$2:$P$154,8,0)</f>
        <v>0</v>
      </c>
      <c r="BA131" s="27" t="n">
        <f aca="false">SUMIF($C$2:$F$2,EOMONTH(BA$2,-1)+1,$C131:$F131)*VLOOKUP(BA$2,Valores!$H$2:$P$154,8,0)</f>
        <v>0</v>
      </c>
      <c r="BB131" s="27" t="n">
        <f aca="false">SUMIF($C$2:$F$2,EOMONTH(BB$2,-1)+1,$C131:$F131)*VLOOKUP(BB$2,Valores!$H$2:$P$154,8,0)</f>
        <v>0</v>
      </c>
      <c r="BC131" s="27" t="n">
        <f aca="false">SUMIF($C$2:$F$2,EOMONTH(BC$2,-1)+1,$C131:$F131)*VLOOKUP(BC$2,Valores!$H$2:$P$154,8,0)</f>
        <v>0</v>
      </c>
      <c r="BD131" s="27" t="n">
        <f aca="false">SUMIF($C$2:$F$2,EOMONTH(BD$2,-1)+1,$C131:$F131)*VLOOKUP(BD$2,Valores!$H$2:$P$154,8,0)</f>
        <v>0</v>
      </c>
      <c r="BE131" s="27" t="n">
        <f aca="false">SUMIF($C$2:$F$2,EOMONTH(BE$2,-1)+1,$C131:$F131)*VLOOKUP(BE$2,Valores!$H$2:$P$154,8,0)</f>
        <v>0</v>
      </c>
      <c r="BF131" s="27" t="n">
        <f aca="false">SUMIF($C$2:$F$2,EOMONTH(BF$2,-1)+1,$C131:$F131)*VLOOKUP(BF$2,Valores!$H$2:$P$154,8,0)</f>
        <v>0</v>
      </c>
      <c r="BG131" s="27" t="n">
        <f aca="false">SUMIF($C$2:$F$2,EOMONTH(BG$2,-1)+1,$C131:$F131)*VLOOKUP(BG$2,Valores!$H$2:$P$154,8,0)</f>
        <v>0</v>
      </c>
      <c r="BH131" s="27" t="n">
        <f aca="false">SUMIF($C$2:$F$2,EOMONTH(BH$2,-1)+1,$C131:$F131)*VLOOKUP(BH$2,Valores!$H$2:$P$154,8,0)</f>
        <v>0</v>
      </c>
      <c r="BI131" s="27" t="n">
        <f aca="false">SUMIF($C$2:$F$2,EOMONTH(BI$2,-1)+1,$C131:$F131)*VLOOKUP(BI$2,Valores!$H$2:$P$154,8,0)</f>
        <v>0</v>
      </c>
      <c r="BJ131" s="27" t="n">
        <f aca="false">SUMIF($C$2:$F$2,EOMONTH(BJ$2,-1)+1,$C131:$F131)*VLOOKUP(BJ$2,Valores!$H$2:$P$154,8,0)</f>
        <v>0</v>
      </c>
      <c r="BK131" s="27" t="n">
        <f aca="false">SUMIF($C$2:$F$2,EOMONTH(BK$2,-1)+1,$C131:$F131)*VLOOKUP(BK$2,Valores!$H$2:$P$154,8,0)</f>
        <v>0</v>
      </c>
      <c r="BL131" s="27" t="n">
        <f aca="false">SUMIF($C$2:$F$2,EOMONTH(BL$2,-1)+1,$C131:$F131)*VLOOKUP(BL$2,Valores!$H$2:$P$154,8,0)</f>
        <v>0</v>
      </c>
      <c r="BM131" s="27" t="n">
        <f aca="false">SUMIF($C$2:$F$2,EOMONTH(BM$2,-1)+1,$C131:$F131)*VLOOKUP(BM$2,Valores!$H$2:$P$154,8,0)</f>
        <v>0</v>
      </c>
      <c r="BN131" s="27" t="n">
        <f aca="false">SUMIF($C$2:$F$2,EOMONTH(BN$2,-1)+1,$C131:$F131)*VLOOKUP(BN$2,Valores!$H$2:$P$154,8,0)</f>
        <v>0</v>
      </c>
      <c r="BO131" s="27" t="n">
        <f aca="false">SUMIF($C$2:$F$2,EOMONTH(BO$2,-1)+1,$C131:$F131)*VLOOKUP(BO$2,Valores!$H$2:$P$154,8,0)</f>
        <v>0</v>
      </c>
      <c r="BP131" s="27" t="n">
        <f aca="false">SUMIF($C$2:$F$2,EOMONTH(BP$2,-1)+1,$C131:$F131)*VLOOKUP(BP$2,Valores!$H$2:$P$154,8,0)</f>
        <v>0</v>
      </c>
      <c r="BQ131" s="27" t="n">
        <f aca="false">SUMIF($C$2:$F$2,EOMONTH(BQ$2,-1)+1,$C131:$F131)*VLOOKUP(BQ$2,Valores!$H$2:$P$154,8,0)</f>
        <v>0</v>
      </c>
      <c r="BR131" s="27" t="n">
        <f aca="false">SUMIF($C$2:$F$2,EOMONTH(BR$2,-1)+1,$C131:$F131)*VLOOKUP(BR$2,Valores!$H$2:$P$154,8,0)</f>
        <v>0</v>
      </c>
      <c r="BS131" s="27" t="n">
        <f aca="false">SUMIF($C$2:$F$2,EOMONTH(BS$2,-1)+1,$C131:$F131)*VLOOKUP(BS$2,Valores!$H$2:$P$154,8,0)</f>
        <v>0</v>
      </c>
      <c r="BT131" s="27" t="n">
        <f aca="false">SUMIF($C$2:$F$2,EOMONTH(BT$2,-1)+1,$C131:$F131)*VLOOKUP(BT$2,Valores!$H$2:$P$154,8,0)</f>
        <v>0</v>
      </c>
      <c r="BU131" s="27" t="n">
        <f aca="false">SUMIF($C$2:$F$2,EOMONTH(BU$2,-1)+1,$C131:$F131)*VLOOKUP(BU$2,Valores!$H$2:$P$154,8,0)</f>
        <v>0</v>
      </c>
      <c r="BV131" s="27" t="n">
        <f aca="false">SUMIF($C$2:$F$2,EOMONTH(BV$2,-1)+1,$C131:$F131)*VLOOKUP(BV$2,Valores!$H$2:$P$154,8,0)</f>
        <v>0</v>
      </c>
      <c r="BW131" s="27" t="n">
        <f aca="false">SUMIF($C$2:$F$2,EOMONTH(BW$2,-1)+1,$C131:$F131)*VLOOKUP(BW$2,Valores!$H$2:$P$154,8,0)</f>
        <v>0</v>
      </c>
      <c r="BX131" s="27" t="n">
        <f aca="false">SUMIF($C$2:$F$2,EOMONTH(BX$2,-1)+1,$C131:$F131)*VLOOKUP(BX$2,Valores!$H$2:$P$154,8,0)</f>
        <v>0</v>
      </c>
      <c r="BY131" s="27" t="n">
        <f aca="false">SUMIF($C$2:$F$2,EOMONTH(BY$2,-1)+1,$C131:$F131)*VLOOKUP(BY$2,Valores!$H$2:$P$154,8,0)</f>
        <v>0</v>
      </c>
      <c r="BZ131" s="27" t="n">
        <f aca="false">SUMIF($C$2:$F$2,EOMONTH(BZ$2,-1)+1,$C131:$F131)*VLOOKUP(BZ$2,Valores!$H$2:$P$154,8,0)</f>
        <v>0</v>
      </c>
      <c r="CA131" s="27" t="n">
        <f aca="false">SUMIF($C$2:$F$2,EOMONTH(CA$2,-1)+1,$C131:$F131)*VLOOKUP(CA$2,Valores!$H$2:$P$154,8,0)</f>
        <v>0</v>
      </c>
      <c r="CB131" s="27" t="n">
        <f aca="false">SUMIF($C$2:$F$2,EOMONTH(CB$2,-1)+1,$C131:$F131)*VLOOKUP(CB$2,Valores!$H$2:$P$154,8,0)</f>
        <v>0</v>
      </c>
      <c r="CC131" s="27" t="n">
        <f aca="false">SUMIF($C$2:$F$2,EOMONTH(CC$2,-1)+1,$C131:$F131)*VLOOKUP(CC$2,Valores!$H$2:$P$154,8,0)</f>
        <v>0</v>
      </c>
      <c r="CD131" s="27" t="n">
        <f aca="false">SUMIF($C$2:$F$2,EOMONTH(CD$2,-1)+1,$C131:$F131)*VLOOKUP(CD$2,Valores!$H$2:$P$154,8,0)</f>
        <v>0</v>
      </c>
      <c r="CE131" s="27" t="n">
        <f aca="false">SUMIF($C$2:$F$2,EOMONTH(CE$2,-1)+1,$C131:$F131)*VLOOKUP(CE$2,Valores!$H$2:$P$154,8,0)</f>
        <v>0</v>
      </c>
      <c r="CF131" s="27" t="n">
        <f aca="false">SUMIF($C$2:$F$2,EOMONTH(CF$2,-1)+1,$C131:$F131)*VLOOKUP(CF$2,Valores!$H$2:$P$154,8,0)</f>
        <v>0</v>
      </c>
      <c r="CG131" s="27" t="n">
        <f aca="false">SUMIF($C$2:$F$2,EOMONTH(CG$2,-1)+1,$C131:$F131)*VLOOKUP(CG$2,Valores!$H$2:$P$154,8,0)</f>
        <v>0</v>
      </c>
      <c r="CH131" s="27" t="n">
        <f aca="false">SUMIF($C$2:$F$2,EOMONTH(CH$2,-1)+1,$C131:$F131)*VLOOKUP(CH$2,Valores!$H$2:$P$154,8,0)</f>
        <v>0</v>
      </c>
      <c r="CI131" s="27" t="n">
        <f aca="false">SUMIF($C$2:$F$2,EOMONTH(CI$2,-1)+1,$C131:$F131)*VLOOKUP(CI$2,Valores!$H$2:$P$154,8,0)</f>
        <v>0</v>
      </c>
      <c r="CJ131" s="27" t="n">
        <f aca="false">SUMIF($C$2:$F$2,EOMONTH(CJ$2,-1)+1,$C131:$F131)*VLOOKUP(CJ$2,Valores!$H$2:$P$154,8,0)</f>
        <v>0</v>
      </c>
      <c r="CK131" s="27" t="n">
        <f aca="false">SUMIF($C$2:$F$2,EOMONTH(CK$2,-1)+1,$C131:$F131)*VLOOKUP(CK$2,Valores!$H$2:$P$154,8,0)</f>
        <v>0</v>
      </c>
      <c r="CL131" s="27" t="n">
        <f aca="false">SUMIF($C$2:$F$2,EOMONTH(CL$2,-1)+1,$C131:$F131)*VLOOKUP(CL$2,Valores!$H$2:$P$154,8,0)</f>
        <v>0</v>
      </c>
      <c r="CM131" s="27" t="n">
        <f aca="false">SUMIF($C$2:$F$2,EOMONTH(CM$2,-1)+1,$C131:$F131)*VLOOKUP(CM$2,Valores!$H$2:$P$154,8,0)</f>
        <v>0</v>
      </c>
      <c r="CN131" s="27" t="n">
        <f aca="false">SUMIF($C$2:$F$2,EOMONTH(CN$2,-1)+1,$C131:$F131)*VLOOKUP(CN$2,Valores!$H$2:$P$154,8,0)</f>
        <v>0</v>
      </c>
      <c r="CO131" s="27" t="n">
        <f aca="false">SUMIF($C$2:$F$2,EOMONTH(CO$2,-1)+1,$C131:$F131)*VLOOKUP(CO$2,Valores!$H$2:$P$154,8,0)</f>
        <v>0</v>
      </c>
      <c r="CP131" s="27" t="n">
        <f aca="false">SUMIF($C$2:$F$2,EOMONTH(CP$2,-1)+1,$C131:$F131)*VLOOKUP(CP$2,Valores!$H$2:$P$154,8,0)</f>
        <v>0</v>
      </c>
      <c r="CQ131" s="27" t="n">
        <f aca="false">SUMIF($C$2:$F$2,EOMONTH(CQ$2,-1)+1,$C131:$F131)*VLOOKUP(CQ$2,Valores!$H$2:$P$154,8,0)</f>
        <v>0</v>
      </c>
      <c r="CR131" s="27" t="n">
        <f aca="false">SUMIF($C$2:$F$2,EOMONTH(CR$2,-1)+1,$C131:$F131)*VLOOKUP(CR$2,Valores!$H$2:$P$154,8,0)</f>
        <v>0</v>
      </c>
      <c r="CS131" s="27" t="n">
        <f aca="false">SUMIF($C$2:$F$2,EOMONTH(CS$2,-1)+1,$C131:$F131)*VLOOKUP(CS$2,Valores!$H$2:$P$154,8,0)</f>
        <v>0</v>
      </c>
      <c r="CT131" s="27" t="e">
        <f aca="false">SUMIF($C$2:$F$2,EOMONTH(CT$2,-1)+1,$C131:$F131)*VLOOKUP(CT$2,Valores!$H$2:$P$154,8,0)</f>
        <v>#VALUE!</v>
      </c>
      <c r="CU131" s="27" t="e">
        <f aca="false">SUMIF($C$2:$F$2,EOMONTH(CU$2,-1)+1,$C131:$F131)*VLOOKUP(CU$2,Valores!$H$2:$P$154,8,0)</f>
        <v>#VALUE!</v>
      </c>
      <c r="CV131" s="27" t="e">
        <f aca="false">SUMIF($C$2:$F$2,EOMONTH(CV$2,-1)+1,$C131:$F131)*VLOOKUP(CV$2,Valores!$H$2:$P$154,8,0)</f>
        <v>#VALUE!</v>
      </c>
      <c r="CW131" s="27" t="e">
        <f aca="false">SUMIF($C$2:$F$2,EOMONTH(CW$2,-1)+1,$C131:$F131)*VLOOKUP(CW$2,Valores!$H$2:$P$154,8,0)</f>
        <v>#VALUE!</v>
      </c>
      <c r="CX131" s="27" t="e">
        <f aca="false">SUMIF($C$2:$F$2,EOMONTH(CX$2,-1)+1,$C131:$F131)*VLOOKUP(CX$2,Valores!$H$2:$P$154,8,0)</f>
        <v>#VALUE!</v>
      </c>
      <c r="CY131" s="27" t="e">
        <f aca="false">SUMIF($C$2:$F$2,EOMONTH(CY$2,-1)+1,$C131:$F131)*VLOOKUP(CY$2,Valores!$H$2:$P$154,8,0)</f>
        <v>#VALUE!</v>
      </c>
      <c r="CZ131" s="27" t="e">
        <f aca="false">SUMIF($C$2:$F$2,EOMONTH(CZ$2,-1)+1,$C131:$F131)*VLOOKUP(CZ$2,Valores!$H$2:$P$154,8,0)</f>
        <v>#VALUE!</v>
      </c>
      <c r="DA131" s="27" t="e">
        <f aca="false">SUMIF($C$2:$F$2,EOMONTH(DA$2,-1)+1,$C131:$F131)*VLOOKUP(DA$2,Valores!$H$2:$P$154,8,0)</f>
        <v>#VALUE!</v>
      </c>
      <c r="DB131" s="27" t="e">
        <f aca="false">SUMIF($C$2:$F$2,EOMONTH(DB$2,-1)+1,$C131:$F131)*VLOOKUP(DB$2,Valores!$H$2:$P$154,8,0)</f>
        <v>#VALUE!</v>
      </c>
      <c r="DC131" s="27" t="e">
        <f aca="false">SUMIF($C$2:$F$2,EOMONTH(DC$2,-1)+1,$C131:$F131)*VLOOKUP(DC$2,Valores!$H$2:$P$154,8,0)</f>
        <v>#VALUE!</v>
      </c>
      <c r="DD131" s="27" t="e">
        <f aca="false">SUMIF($C$2:$F$2,EOMONTH(DD$2,-1)+1,$C131:$F131)*VLOOKUP(DD$2,Valores!$H$2:$P$154,8,0)</f>
        <v>#VALUE!</v>
      </c>
      <c r="DE131" s="27" t="e">
        <f aca="false">SUMIF($C$2:$F$2,EOMONTH(DE$2,-1)+1,$C131:$F131)*VLOOKUP(DE$2,Valores!$H$2:$P$154,8,0)</f>
        <v>#VALUE!</v>
      </c>
      <c r="DF131" s="27" t="e">
        <f aca="false">SUMIF($C$2:$F$2,EOMONTH(DF$2,-1)+1,$C131:$F131)*VLOOKUP(DF$2,Valores!$H$2:$P$154,8,0)</f>
        <v>#VALUE!</v>
      </c>
      <c r="DG131" s="27" t="e">
        <f aca="false">SUMIF($C$2:$F$2,EOMONTH(DG$2,-1)+1,$C131:$F131)*VLOOKUP(DG$2,Valores!$H$2:$P$154,8,0)</f>
        <v>#VALUE!</v>
      </c>
      <c r="DH131" s="27" t="e">
        <f aca="false">SUMIF($C$2:$F$2,EOMONTH(DH$2,-1)+1,$C131:$F131)*VLOOKUP(DH$2,Valores!$H$2:$P$154,8,0)</f>
        <v>#VALUE!</v>
      </c>
      <c r="DI131" s="27" t="e">
        <f aca="false">SUMIF($C$2:$F$2,EOMONTH(DI$2,-1)+1,$C131:$F131)*VLOOKUP(DI$2,Valores!$H$2:$P$154,8,0)</f>
        <v>#VALUE!</v>
      </c>
      <c r="DJ131" s="27" t="e">
        <f aca="false">SUMIF($C$2:$F$2,EOMONTH(DJ$2,-1)+1,$C131:$F131)*VLOOKUP(DJ$2,Valores!$H$2:$P$154,8,0)</f>
        <v>#VALUE!</v>
      </c>
      <c r="DK131" s="27" t="e">
        <f aca="false">SUMIF($C$2:$F$2,EOMONTH(DK$2,-1)+1,$C131:$F131)*VLOOKUP(DK$2,Valores!$H$2:$P$154,8,0)</f>
        <v>#VALUE!</v>
      </c>
      <c r="DL131" s="27" t="e">
        <f aca="false">SUMIF($C$2:$F$2,EOMONTH(DL$2,-1)+1,$C131:$F131)*VLOOKUP(DL$2,Valores!$H$2:$P$154,8,0)</f>
        <v>#VALUE!</v>
      </c>
      <c r="DM131" s="27" t="e">
        <f aca="false">SUMIF($C$2:$F$2,EOMONTH(DM$2,-1)+1,$C131:$F131)*VLOOKUP(DM$2,Valores!$H$2:$P$154,8,0)</f>
        <v>#VALUE!</v>
      </c>
      <c r="DN131" s="27" t="e">
        <f aca="false">SUMIF($C$2:$F$2,EOMONTH(DN$2,-1)+1,$C131:$F131)*VLOOKUP(DN$2,Valores!$H$2:$P$154,8,0)</f>
        <v>#VALUE!</v>
      </c>
      <c r="DO131" s="27" t="e">
        <f aca="false">SUMIF($C$2:$F$2,EOMONTH(DO$2,-1)+1,$C131:$F131)*VLOOKUP(DO$2,Valores!$H$2:$P$154,8,0)</f>
        <v>#VALUE!</v>
      </c>
      <c r="DP131" s="27" t="e">
        <f aca="false">SUMIF($C$2:$F$2,EOMONTH(DP$2,-1)+1,$C131:$F131)*VLOOKUP(DP$2,Valores!$H$2:$P$154,8,0)</f>
        <v>#VALUE!</v>
      </c>
      <c r="DQ131" s="27" t="e">
        <f aca="false">SUMIF($C$2:$F$2,EOMONTH(DQ$2,-1)+1,$C131:$F131)*VLOOKUP(DQ$2,Valores!$H$2:$P$154,8,0)</f>
        <v>#VALUE!</v>
      </c>
      <c r="DR131" s="27" t="e">
        <f aca="false">SUMIF($C$2:$F$2,EOMONTH(DR$2,-1)+1,$C131:$F131)*VLOOKUP(DR$2,Valores!$H$2:$P$154,8,0)</f>
        <v>#VALUE!</v>
      </c>
      <c r="DS131" s="27" t="e">
        <f aca="false">SUMIF($C$2:$F$2,EOMONTH(DS$2,-1)+1,$C131:$F131)*VLOOKUP(DS$2,Valores!$H$2:$P$154,8,0)</f>
        <v>#VALUE!</v>
      </c>
      <c r="DT131" s="27" t="e">
        <f aca="false">SUMIF($C$2:$F$2,EOMONTH(DT$2,-1)+1,$C131:$F131)*VLOOKUP(DT$2,Valores!$H$2:$P$154,8,0)</f>
        <v>#VALUE!</v>
      </c>
      <c r="DU131" s="27" t="e">
        <f aca="false">SUMIF($C$2:$F$2,EOMONTH(DU$2,-1)+1,$C131:$F131)*VLOOKUP(DU$2,Valores!$H$2:$P$154,8,0)</f>
        <v>#VALUE!</v>
      </c>
      <c r="DV131" s="27" t="e">
        <f aca="false">SUMIF($C$2:$F$2,EOMONTH(DV$2,-1)+1,$C131:$F131)*VLOOKUP(DV$2,Valores!$H$2:$P$154,8,0)</f>
        <v>#VALUE!</v>
      </c>
      <c r="DW131" s="27" t="e">
        <f aca="false">SUMIF($C$2:$F$2,EOMONTH(DW$2,-1)+1,$C131:$F131)*VLOOKUP(DW$2,Valores!$H$2:$P$154,8,0)</f>
        <v>#VALUE!</v>
      </c>
      <c r="DX131" s="27" t="e">
        <f aca="false">SUMIF($C$2:$F$2,EOMONTH(DX$2,-1)+1,$C131:$F131)*VLOOKUP(DX$2,Valores!$H$2:$P$154,8,0)</f>
        <v>#VALUE!</v>
      </c>
    </row>
    <row r="132" customFormat="false" ht="13.8" hidden="false" customHeight="false" outlineLevel="0" collapsed="false">
      <c r="A132" s="29"/>
      <c r="B132" s="29"/>
      <c r="C132" s="29"/>
      <c r="D132" s="29"/>
      <c r="E132" s="29"/>
      <c r="F132" s="29"/>
      <c r="G132" s="30" t="n">
        <f aca="false">SUMIF($C$2:$F$2,EOMONTH(G$2,-1)+1,$C132:$F132)*VLOOKUP(G$2,Valores!$H$2:$P$154,8,0)</f>
        <v>0</v>
      </c>
      <c r="H132" s="30" t="n">
        <f aca="false">SUMIF($C$2:$F$2,EOMONTH(H$2,-1)+1,$C132:$F132)*VLOOKUP(H$2,Valores!$H$2:$P$154,8,0)</f>
        <v>0</v>
      </c>
      <c r="I132" s="30" t="n">
        <f aca="false">SUMIF($C$2:$F$2,EOMONTH(I$2,-1)+1,$C132:$F132)*VLOOKUP(I$2,Valores!$H$2:$P$154,8,0)</f>
        <v>0</v>
      </c>
      <c r="J132" s="30" t="n">
        <f aca="false">SUMIF($C$2:$F$2,EOMONTH(J$2,-1)+1,$C132:$F132)*VLOOKUP(J$2,Valores!$H$2:$P$154,8,0)</f>
        <v>0</v>
      </c>
      <c r="K132" s="30" t="n">
        <f aca="false">SUMIF($C$2:$F$2,EOMONTH(K$2,-1)+1,$C132:$F132)*VLOOKUP(K$2,Valores!$H$2:$P$154,8,0)</f>
        <v>0</v>
      </c>
      <c r="L132" s="30" t="n">
        <f aca="false">SUMIF($C$2:$F$2,EOMONTH(L$2,-1)+1,$C132:$F132)*VLOOKUP(L$2,Valores!$H$2:$P$154,8,0)</f>
        <v>0</v>
      </c>
      <c r="M132" s="30" t="n">
        <f aca="false">SUMIF($C$2:$F$2,EOMONTH(M$2,-1)+1,$C132:$F132)*VLOOKUP(M$2,Valores!$H$2:$P$154,8,0)</f>
        <v>0</v>
      </c>
      <c r="N132" s="30" t="n">
        <f aca="false">SUMIF($C$2:$F$2,EOMONTH(N$2,-1)+1,$C132:$F132)*VLOOKUP(N$2,Valores!$H$2:$P$154,8,0)</f>
        <v>0</v>
      </c>
      <c r="O132" s="30" t="n">
        <f aca="false">SUMIF($C$2:$F$2,EOMONTH(O$2,-1)+1,$C132:$F132)*VLOOKUP(O$2,Valores!$H$2:$P$154,8,0)</f>
        <v>0</v>
      </c>
      <c r="P132" s="30" t="n">
        <f aca="false">SUMIF($C$2:$F$2,EOMONTH(P$2,-1)+1,$C132:$F132)*VLOOKUP(P$2,Valores!$H$2:$P$154,8,0)</f>
        <v>0</v>
      </c>
      <c r="Q132" s="30" t="n">
        <f aca="false">SUMIF($C$2:$F$2,EOMONTH(Q$2,-1)+1,$C132:$F132)*VLOOKUP(Q$2,Valores!$H$2:$P$154,8,0)</f>
        <v>0</v>
      </c>
      <c r="R132" s="30" t="n">
        <f aca="false">SUMIF($C$2:$F$2,EOMONTH(R$2,-1)+1,$C132:$F132)*VLOOKUP(R$2,Valores!$H$2:$P$154,8,0)</f>
        <v>0</v>
      </c>
      <c r="S132" s="30" t="n">
        <f aca="false">SUMIF($C$2:$F$2,EOMONTH(S$2,-1)+1,$C132:$F132)*VLOOKUP(S$2,Valores!$H$2:$P$154,8,0)</f>
        <v>0</v>
      </c>
      <c r="T132" s="30" t="n">
        <f aca="false">SUMIF($C$2:$F$2,EOMONTH(T$2,-1)+1,$C132:$F132)*VLOOKUP(T$2,Valores!$H$2:$P$154,8,0)</f>
        <v>0</v>
      </c>
      <c r="U132" s="30" t="n">
        <f aca="false">SUMIF($C$2:$F$2,EOMONTH(U$2,-1)+1,$C132:$F132)*VLOOKUP(U$2,Valores!$H$2:$P$154,8,0)</f>
        <v>0</v>
      </c>
      <c r="V132" s="30" t="n">
        <f aca="false">SUMIF($C$2:$F$2,EOMONTH(V$2,-1)+1,$C132:$F132)*VLOOKUP(V$2,Valores!$H$2:$P$154,8,0)</f>
        <v>0</v>
      </c>
      <c r="W132" s="30" t="n">
        <f aca="false">SUMIF($C$2:$F$2,EOMONTH(W$2,-1)+1,$C132:$F132)*VLOOKUP(W$2,Valores!$H$2:$P$154,8,0)</f>
        <v>0</v>
      </c>
      <c r="X132" s="30" t="n">
        <f aca="false">SUMIF($C$2:$F$2,EOMONTH(X$2,-1)+1,$C132:$F132)*VLOOKUP(X$2,Valores!$H$2:$P$154,8,0)</f>
        <v>0</v>
      </c>
      <c r="Y132" s="30" t="n">
        <f aca="false">SUMIF($C$2:$F$2,EOMONTH(Y$2,-1)+1,$C132:$F132)*VLOOKUP(Y$2,Valores!$H$2:$P$154,8,0)</f>
        <v>0</v>
      </c>
      <c r="Z132" s="30" t="n">
        <f aca="false">SUMIF($C$2:$F$2,EOMONTH(Z$2,-1)+1,$C132:$F132)*VLOOKUP(Z$2,Valores!$H$2:$P$154,8,0)</f>
        <v>0</v>
      </c>
      <c r="AA132" s="30" t="n">
        <f aca="false">SUMIF($C$2:$F$2,EOMONTH(AA$2,-1)+1,$C132:$F132)*VLOOKUP(AA$2,Valores!$H$2:$P$154,8,0)</f>
        <v>0</v>
      </c>
      <c r="AB132" s="30" t="n">
        <f aca="false">SUMIF($C$2:$F$2,EOMONTH(AB$2,-1)+1,$C132:$F132)*VLOOKUP(AB$2,Valores!$H$2:$P$154,8,0)</f>
        <v>0</v>
      </c>
      <c r="AC132" s="30" t="n">
        <f aca="false">SUMIF($C$2:$F$2,EOMONTH(AC$2,-1)+1,$C132:$F132)*VLOOKUP(AC$2,Valores!$H$2:$P$154,8,0)</f>
        <v>0</v>
      </c>
      <c r="AD132" s="30" t="n">
        <f aca="false">SUMIF($C$2:$F$2,EOMONTH(AD$2,-1)+1,$C132:$F132)*VLOOKUP(AD$2,Valores!$H$2:$P$154,8,0)</f>
        <v>0</v>
      </c>
      <c r="AE132" s="30" t="n">
        <f aca="false">SUMIF($C$2:$F$2,EOMONTH(AE$2,-1)+1,$C132:$F132)*VLOOKUP(AE$2,Valores!$H$2:$P$154,8,0)</f>
        <v>0</v>
      </c>
      <c r="AF132" s="30" t="n">
        <f aca="false">SUMIF($C$2:$F$2,EOMONTH(AF$2,-1)+1,$C132:$F132)*VLOOKUP(AF$2,Valores!$H$2:$P$154,8,0)</f>
        <v>0</v>
      </c>
      <c r="AG132" s="30" t="n">
        <f aca="false">SUMIF($C$2:$F$2,EOMONTH(AG$2,-1)+1,$C132:$F132)*VLOOKUP(AG$2,Valores!$H$2:$P$154,8,0)</f>
        <v>0</v>
      </c>
      <c r="AH132" s="30" t="n">
        <f aca="false">SUMIF($C$2:$F$2,EOMONTH(AH$2,-1)+1,$C132:$F132)*VLOOKUP(AH$2,Valores!$H$2:$P$154,8,0)</f>
        <v>0</v>
      </c>
      <c r="AI132" s="30" t="n">
        <f aca="false">SUMIF($C$2:$F$2,EOMONTH(AI$2,-1)+1,$C132:$F132)*VLOOKUP(AI$2,Valores!$H$2:$P$154,8,0)</f>
        <v>0</v>
      </c>
      <c r="AJ132" s="30" t="n">
        <f aca="false">SUMIF($C$2:$F$2,EOMONTH(AJ$2,-1)+1,$C132:$F132)*VLOOKUP(AJ$2,Valores!$H$2:$P$154,8,0)</f>
        <v>0</v>
      </c>
      <c r="AK132" s="30" t="n">
        <f aca="false">SUMIF($C$2:$F$2,EOMONTH(AK$2,-1)+1,$C132:$F132)*VLOOKUP(AK$2,Valores!$H$2:$P$154,8,0)</f>
        <v>0</v>
      </c>
      <c r="AL132" s="30" t="n">
        <f aca="false">SUMIF($C$2:$F$2,EOMONTH(AL$2,-1)+1,$C132:$F132)*VLOOKUP(AL$2,Valores!$H$2:$P$154,8,0)</f>
        <v>0</v>
      </c>
      <c r="AM132" s="30" t="n">
        <f aca="false">SUMIF($C$2:$F$2,EOMONTH(AM$2,-1)+1,$C132:$F132)*VLOOKUP(AM$2,Valores!$H$2:$P$154,8,0)</f>
        <v>0</v>
      </c>
      <c r="AN132" s="30" t="n">
        <f aca="false">SUMIF($C$2:$F$2,EOMONTH(AN$2,-1)+1,$C132:$F132)*VLOOKUP(AN$2,Valores!$H$2:$P$154,8,0)</f>
        <v>0</v>
      </c>
      <c r="AO132" s="30" t="n">
        <f aca="false">SUMIF($C$2:$F$2,EOMONTH(AO$2,-1)+1,$C132:$F132)*VLOOKUP(AO$2,Valores!$H$2:$P$154,8,0)</f>
        <v>0</v>
      </c>
      <c r="AP132" s="30" t="n">
        <f aca="false">SUMIF($C$2:$F$2,EOMONTH(AP$2,-1)+1,$C132:$F132)*VLOOKUP(AP$2,Valores!$H$2:$P$154,8,0)</f>
        <v>0</v>
      </c>
      <c r="AQ132" s="30" t="n">
        <f aca="false">SUMIF($C$2:$F$2,EOMONTH(AQ$2,-1)+1,$C132:$F132)*VLOOKUP(AQ$2,Valores!$H$2:$P$154,8,0)</f>
        <v>0</v>
      </c>
      <c r="AR132" s="30" t="n">
        <f aca="false">SUMIF($C$2:$F$2,EOMONTH(AR$2,-1)+1,$C132:$F132)*VLOOKUP(AR$2,Valores!$H$2:$P$154,8,0)</f>
        <v>0</v>
      </c>
      <c r="AS132" s="30" t="n">
        <f aca="false">SUMIF($C$2:$F$2,EOMONTH(AS$2,-1)+1,$C132:$F132)*VLOOKUP(AS$2,Valores!$H$2:$P$154,8,0)</f>
        <v>0</v>
      </c>
      <c r="AT132" s="30" t="n">
        <f aca="false">SUMIF($C$2:$F$2,EOMONTH(AT$2,-1)+1,$C132:$F132)*VLOOKUP(AT$2,Valores!$H$2:$P$154,8,0)</f>
        <v>0</v>
      </c>
      <c r="AU132" s="30" t="n">
        <f aca="false">SUMIF($C$2:$F$2,EOMONTH(AU$2,-1)+1,$C132:$F132)*VLOOKUP(AU$2,Valores!$H$2:$P$154,8,0)</f>
        <v>0</v>
      </c>
      <c r="AV132" s="30" t="n">
        <f aca="false">SUMIF($C$2:$F$2,EOMONTH(AV$2,-1)+1,$C132:$F132)*VLOOKUP(AV$2,Valores!$H$2:$P$154,8,0)</f>
        <v>0</v>
      </c>
      <c r="AW132" s="30" t="n">
        <f aca="false">SUMIF($C$2:$F$2,EOMONTH(AW$2,-1)+1,$C132:$F132)*VLOOKUP(AW$2,Valores!$H$2:$P$154,8,0)</f>
        <v>0</v>
      </c>
      <c r="AX132" s="30" t="n">
        <f aca="false">SUMIF($C$2:$F$2,EOMONTH(AX$2,-1)+1,$C132:$F132)*VLOOKUP(AX$2,Valores!$H$2:$P$154,8,0)</f>
        <v>0</v>
      </c>
      <c r="AY132" s="30" t="n">
        <f aca="false">SUMIF($C$2:$F$2,EOMONTH(AY$2,-1)+1,$C132:$F132)*VLOOKUP(AY$2,Valores!$H$2:$P$154,8,0)</f>
        <v>0</v>
      </c>
      <c r="AZ132" s="30" t="n">
        <f aca="false">SUMIF($C$2:$F$2,EOMONTH(AZ$2,-1)+1,$C132:$F132)*VLOOKUP(AZ$2,Valores!$H$2:$P$154,8,0)</f>
        <v>0</v>
      </c>
      <c r="BA132" s="30" t="n">
        <f aca="false">SUMIF($C$2:$F$2,EOMONTH(BA$2,-1)+1,$C132:$F132)*VLOOKUP(BA$2,Valores!$H$2:$P$154,8,0)</f>
        <v>0</v>
      </c>
      <c r="BB132" s="30" t="n">
        <f aca="false">SUMIF($C$2:$F$2,EOMONTH(BB$2,-1)+1,$C132:$F132)*VLOOKUP(BB$2,Valores!$H$2:$P$154,8,0)</f>
        <v>0</v>
      </c>
      <c r="BC132" s="30" t="n">
        <f aca="false">SUMIF($C$2:$F$2,EOMONTH(BC$2,-1)+1,$C132:$F132)*VLOOKUP(BC$2,Valores!$H$2:$P$154,8,0)</f>
        <v>0</v>
      </c>
      <c r="BD132" s="30" t="n">
        <f aca="false">SUMIF($C$2:$F$2,EOMONTH(BD$2,-1)+1,$C132:$F132)*VLOOKUP(BD$2,Valores!$H$2:$P$154,8,0)</f>
        <v>0</v>
      </c>
      <c r="BE132" s="30" t="n">
        <f aca="false">SUMIF($C$2:$F$2,EOMONTH(BE$2,-1)+1,$C132:$F132)*VLOOKUP(BE$2,Valores!$H$2:$P$154,8,0)</f>
        <v>0</v>
      </c>
      <c r="BF132" s="30" t="n">
        <f aca="false">SUMIF($C$2:$F$2,EOMONTH(BF$2,-1)+1,$C132:$F132)*VLOOKUP(BF$2,Valores!$H$2:$P$154,8,0)</f>
        <v>0</v>
      </c>
      <c r="BG132" s="30" t="n">
        <f aca="false">SUMIF($C$2:$F$2,EOMONTH(BG$2,-1)+1,$C132:$F132)*VLOOKUP(BG$2,Valores!$H$2:$P$154,8,0)</f>
        <v>0</v>
      </c>
      <c r="BH132" s="30" t="n">
        <f aca="false">SUMIF($C$2:$F$2,EOMONTH(BH$2,-1)+1,$C132:$F132)*VLOOKUP(BH$2,Valores!$H$2:$P$154,8,0)</f>
        <v>0</v>
      </c>
      <c r="BI132" s="30" t="n">
        <f aca="false">SUMIF($C$2:$F$2,EOMONTH(BI$2,-1)+1,$C132:$F132)*VLOOKUP(BI$2,Valores!$H$2:$P$154,8,0)</f>
        <v>0</v>
      </c>
      <c r="BJ132" s="30" t="n">
        <f aca="false">SUMIF($C$2:$F$2,EOMONTH(BJ$2,-1)+1,$C132:$F132)*VLOOKUP(BJ$2,Valores!$H$2:$P$154,8,0)</f>
        <v>0</v>
      </c>
      <c r="BK132" s="30" t="n">
        <f aca="false">SUMIF($C$2:$F$2,EOMONTH(BK$2,-1)+1,$C132:$F132)*VLOOKUP(BK$2,Valores!$H$2:$P$154,8,0)</f>
        <v>0</v>
      </c>
      <c r="BL132" s="30" t="n">
        <f aca="false">SUMIF($C$2:$F$2,EOMONTH(BL$2,-1)+1,$C132:$F132)*VLOOKUP(BL$2,Valores!$H$2:$P$154,8,0)</f>
        <v>0</v>
      </c>
      <c r="BM132" s="30" t="n">
        <f aca="false">SUMIF($C$2:$F$2,EOMONTH(BM$2,-1)+1,$C132:$F132)*VLOOKUP(BM$2,Valores!$H$2:$P$154,8,0)</f>
        <v>0</v>
      </c>
      <c r="BN132" s="30" t="n">
        <f aca="false">SUMIF($C$2:$F$2,EOMONTH(BN$2,-1)+1,$C132:$F132)*VLOOKUP(BN$2,Valores!$H$2:$P$154,8,0)</f>
        <v>0</v>
      </c>
      <c r="BO132" s="30" t="n">
        <f aca="false">SUMIF($C$2:$F$2,EOMONTH(BO$2,-1)+1,$C132:$F132)*VLOOKUP(BO$2,Valores!$H$2:$P$154,8,0)</f>
        <v>0</v>
      </c>
      <c r="BP132" s="30" t="n">
        <f aca="false">SUMIF($C$2:$F$2,EOMONTH(BP$2,-1)+1,$C132:$F132)*VLOOKUP(BP$2,Valores!$H$2:$P$154,8,0)</f>
        <v>0</v>
      </c>
      <c r="BQ132" s="30" t="n">
        <f aca="false">SUMIF($C$2:$F$2,EOMONTH(BQ$2,-1)+1,$C132:$F132)*VLOOKUP(BQ$2,Valores!$H$2:$P$154,8,0)</f>
        <v>0</v>
      </c>
      <c r="BR132" s="30" t="n">
        <f aca="false">SUMIF($C$2:$F$2,EOMONTH(BR$2,-1)+1,$C132:$F132)*VLOOKUP(BR$2,Valores!$H$2:$P$154,8,0)</f>
        <v>0</v>
      </c>
      <c r="BS132" s="30" t="n">
        <f aca="false">SUMIF($C$2:$F$2,EOMONTH(BS$2,-1)+1,$C132:$F132)*VLOOKUP(BS$2,Valores!$H$2:$P$154,8,0)</f>
        <v>0</v>
      </c>
      <c r="BT132" s="30" t="n">
        <f aca="false">SUMIF($C$2:$F$2,EOMONTH(BT$2,-1)+1,$C132:$F132)*VLOOKUP(BT$2,Valores!$H$2:$P$154,8,0)</f>
        <v>0</v>
      </c>
      <c r="BU132" s="30" t="n">
        <f aca="false">SUMIF($C$2:$F$2,EOMONTH(BU$2,-1)+1,$C132:$F132)*VLOOKUP(BU$2,Valores!$H$2:$P$154,8,0)</f>
        <v>0</v>
      </c>
      <c r="BV132" s="30" t="n">
        <f aca="false">SUMIF($C$2:$F$2,EOMONTH(BV$2,-1)+1,$C132:$F132)*VLOOKUP(BV$2,Valores!$H$2:$P$154,8,0)</f>
        <v>0</v>
      </c>
      <c r="BW132" s="30" t="n">
        <f aca="false">SUMIF($C$2:$F$2,EOMONTH(BW$2,-1)+1,$C132:$F132)*VLOOKUP(BW$2,Valores!$H$2:$P$154,8,0)</f>
        <v>0</v>
      </c>
      <c r="BX132" s="30" t="n">
        <f aca="false">SUMIF($C$2:$F$2,EOMONTH(BX$2,-1)+1,$C132:$F132)*VLOOKUP(BX$2,Valores!$H$2:$P$154,8,0)</f>
        <v>0</v>
      </c>
      <c r="BY132" s="30" t="n">
        <f aca="false">SUMIF($C$2:$F$2,EOMONTH(BY$2,-1)+1,$C132:$F132)*VLOOKUP(BY$2,Valores!$H$2:$P$154,8,0)</f>
        <v>0</v>
      </c>
      <c r="BZ132" s="30" t="n">
        <f aca="false">SUMIF($C$2:$F$2,EOMONTH(BZ$2,-1)+1,$C132:$F132)*VLOOKUP(BZ$2,Valores!$H$2:$P$154,8,0)</f>
        <v>0</v>
      </c>
      <c r="CA132" s="30" t="n">
        <f aca="false">SUMIF($C$2:$F$2,EOMONTH(CA$2,-1)+1,$C132:$F132)*VLOOKUP(CA$2,Valores!$H$2:$P$154,8,0)</f>
        <v>0</v>
      </c>
      <c r="CB132" s="30" t="n">
        <f aca="false">SUMIF($C$2:$F$2,EOMONTH(CB$2,-1)+1,$C132:$F132)*VLOOKUP(CB$2,Valores!$H$2:$P$154,8,0)</f>
        <v>0</v>
      </c>
      <c r="CC132" s="30" t="n">
        <f aca="false">SUMIF($C$2:$F$2,EOMONTH(CC$2,-1)+1,$C132:$F132)*VLOOKUP(CC$2,Valores!$H$2:$P$154,8,0)</f>
        <v>0</v>
      </c>
      <c r="CD132" s="30" t="n">
        <f aca="false">SUMIF($C$2:$F$2,EOMONTH(CD$2,-1)+1,$C132:$F132)*VLOOKUP(CD$2,Valores!$H$2:$P$154,8,0)</f>
        <v>0</v>
      </c>
      <c r="CE132" s="30" t="n">
        <f aca="false">SUMIF($C$2:$F$2,EOMONTH(CE$2,-1)+1,$C132:$F132)*VLOOKUP(CE$2,Valores!$H$2:$P$154,8,0)</f>
        <v>0</v>
      </c>
      <c r="CF132" s="30" t="n">
        <f aca="false">SUMIF($C$2:$F$2,EOMONTH(CF$2,-1)+1,$C132:$F132)*VLOOKUP(CF$2,Valores!$H$2:$P$154,8,0)</f>
        <v>0</v>
      </c>
      <c r="CG132" s="30" t="n">
        <f aca="false">SUMIF($C$2:$F$2,EOMONTH(CG$2,-1)+1,$C132:$F132)*VLOOKUP(CG$2,Valores!$H$2:$P$154,8,0)</f>
        <v>0</v>
      </c>
      <c r="CH132" s="30" t="n">
        <f aca="false">SUMIF($C$2:$F$2,EOMONTH(CH$2,-1)+1,$C132:$F132)*VLOOKUP(CH$2,Valores!$H$2:$P$154,8,0)</f>
        <v>0</v>
      </c>
      <c r="CI132" s="30" t="n">
        <f aca="false">SUMIF($C$2:$F$2,EOMONTH(CI$2,-1)+1,$C132:$F132)*VLOOKUP(CI$2,Valores!$H$2:$P$154,8,0)</f>
        <v>0</v>
      </c>
      <c r="CJ132" s="30" t="n">
        <f aca="false">SUMIF($C$2:$F$2,EOMONTH(CJ$2,-1)+1,$C132:$F132)*VLOOKUP(CJ$2,Valores!$H$2:$P$154,8,0)</f>
        <v>0</v>
      </c>
      <c r="CK132" s="30" t="n">
        <f aca="false">SUMIF($C$2:$F$2,EOMONTH(CK$2,-1)+1,$C132:$F132)*VLOOKUP(CK$2,Valores!$H$2:$P$154,8,0)</f>
        <v>0</v>
      </c>
      <c r="CL132" s="30" t="n">
        <f aca="false">SUMIF($C$2:$F$2,EOMONTH(CL$2,-1)+1,$C132:$F132)*VLOOKUP(CL$2,Valores!$H$2:$P$154,8,0)</f>
        <v>0</v>
      </c>
      <c r="CM132" s="30" t="n">
        <f aca="false">SUMIF($C$2:$F$2,EOMONTH(CM$2,-1)+1,$C132:$F132)*VLOOKUP(CM$2,Valores!$H$2:$P$154,8,0)</f>
        <v>0</v>
      </c>
      <c r="CN132" s="30" t="n">
        <f aca="false">SUMIF($C$2:$F$2,EOMONTH(CN$2,-1)+1,$C132:$F132)*VLOOKUP(CN$2,Valores!$H$2:$P$154,8,0)</f>
        <v>0</v>
      </c>
      <c r="CO132" s="30" t="n">
        <f aca="false">SUMIF($C$2:$F$2,EOMONTH(CO$2,-1)+1,$C132:$F132)*VLOOKUP(CO$2,Valores!$H$2:$P$154,8,0)</f>
        <v>0</v>
      </c>
      <c r="CP132" s="30" t="n">
        <f aca="false">SUMIF($C$2:$F$2,EOMONTH(CP$2,-1)+1,$C132:$F132)*VLOOKUP(CP$2,Valores!$H$2:$P$154,8,0)</f>
        <v>0</v>
      </c>
      <c r="CQ132" s="30" t="n">
        <f aca="false">SUMIF($C$2:$F$2,EOMONTH(CQ$2,-1)+1,$C132:$F132)*VLOOKUP(CQ$2,Valores!$H$2:$P$154,8,0)</f>
        <v>0</v>
      </c>
      <c r="CR132" s="30" t="n">
        <f aca="false">SUMIF($C$2:$F$2,EOMONTH(CR$2,-1)+1,$C132:$F132)*VLOOKUP(CR$2,Valores!$H$2:$P$154,8,0)</f>
        <v>0</v>
      </c>
      <c r="CS132" s="30" t="n">
        <f aca="false">SUMIF($C$2:$F$2,EOMONTH(CS$2,-1)+1,$C132:$F132)*VLOOKUP(CS$2,Valores!$H$2:$P$154,8,0)</f>
        <v>0</v>
      </c>
      <c r="CT132" s="30" t="e">
        <f aca="false">SUMIF($C$2:$F$2,EOMONTH(CT$2,-1)+1,$C132:$F132)*VLOOKUP(CT$2,Valores!$H$2:$P$154,8,0)</f>
        <v>#VALUE!</v>
      </c>
      <c r="CU132" s="30" t="e">
        <f aca="false">SUMIF($C$2:$F$2,EOMONTH(CU$2,-1)+1,$C132:$F132)*VLOOKUP(CU$2,Valores!$H$2:$P$154,8,0)</f>
        <v>#VALUE!</v>
      </c>
      <c r="CV132" s="30" t="e">
        <f aca="false">SUMIF($C$2:$F$2,EOMONTH(CV$2,-1)+1,$C132:$F132)*VLOOKUP(CV$2,Valores!$H$2:$P$154,8,0)</f>
        <v>#VALUE!</v>
      </c>
      <c r="CW132" s="30" t="e">
        <f aca="false">SUMIF($C$2:$F$2,EOMONTH(CW$2,-1)+1,$C132:$F132)*VLOOKUP(CW$2,Valores!$H$2:$P$154,8,0)</f>
        <v>#VALUE!</v>
      </c>
      <c r="CX132" s="30" t="e">
        <f aca="false">SUMIF($C$2:$F$2,EOMONTH(CX$2,-1)+1,$C132:$F132)*VLOOKUP(CX$2,Valores!$H$2:$P$154,8,0)</f>
        <v>#VALUE!</v>
      </c>
      <c r="CY132" s="30" t="e">
        <f aca="false">SUMIF($C$2:$F$2,EOMONTH(CY$2,-1)+1,$C132:$F132)*VLOOKUP(CY$2,Valores!$H$2:$P$154,8,0)</f>
        <v>#VALUE!</v>
      </c>
      <c r="CZ132" s="30" t="e">
        <f aca="false">SUMIF($C$2:$F$2,EOMONTH(CZ$2,-1)+1,$C132:$F132)*VLOOKUP(CZ$2,Valores!$H$2:$P$154,8,0)</f>
        <v>#VALUE!</v>
      </c>
      <c r="DA132" s="30" t="e">
        <f aca="false">SUMIF($C$2:$F$2,EOMONTH(DA$2,-1)+1,$C132:$F132)*VLOOKUP(DA$2,Valores!$H$2:$P$154,8,0)</f>
        <v>#VALUE!</v>
      </c>
      <c r="DB132" s="30" t="e">
        <f aca="false">SUMIF($C$2:$F$2,EOMONTH(DB$2,-1)+1,$C132:$F132)*VLOOKUP(DB$2,Valores!$H$2:$P$154,8,0)</f>
        <v>#VALUE!</v>
      </c>
      <c r="DC132" s="30" t="e">
        <f aca="false">SUMIF($C$2:$F$2,EOMONTH(DC$2,-1)+1,$C132:$F132)*VLOOKUP(DC$2,Valores!$H$2:$P$154,8,0)</f>
        <v>#VALUE!</v>
      </c>
      <c r="DD132" s="30" t="e">
        <f aca="false">SUMIF($C$2:$F$2,EOMONTH(DD$2,-1)+1,$C132:$F132)*VLOOKUP(DD$2,Valores!$H$2:$P$154,8,0)</f>
        <v>#VALUE!</v>
      </c>
      <c r="DE132" s="30" t="e">
        <f aca="false">SUMIF($C$2:$F$2,EOMONTH(DE$2,-1)+1,$C132:$F132)*VLOOKUP(DE$2,Valores!$H$2:$P$154,8,0)</f>
        <v>#VALUE!</v>
      </c>
      <c r="DF132" s="30" t="e">
        <f aca="false">SUMIF($C$2:$F$2,EOMONTH(DF$2,-1)+1,$C132:$F132)*VLOOKUP(DF$2,Valores!$H$2:$P$154,8,0)</f>
        <v>#VALUE!</v>
      </c>
      <c r="DG132" s="30" t="e">
        <f aca="false">SUMIF($C$2:$F$2,EOMONTH(DG$2,-1)+1,$C132:$F132)*VLOOKUP(DG$2,Valores!$H$2:$P$154,8,0)</f>
        <v>#VALUE!</v>
      </c>
      <c r="DH132" s="30" t="e">
        <f aca="false">SUMIF($C$2:$F$2,EOMONTH(DH$2,-1)+1,$C132:$F132)*VLOOKUP(DH$2,Valores!$H$2:$P$154,8,0)</f>
        <v>#VALUE!</v>
      </c>
      <c r="DI132" s="30" t="e">
        <f aca="false">SUMIF($C$2:$F$2,EOMONTH(DI$2,-1)+1,$C132:$F132)*VLOOKUP(DI$2,Valores!$H$2:$P$154,8,0)</f>
        <v>#VALUE!</v>
      </c>
      <c r="DJ132" s="30" t="e">
        <f aca="false">SUMIF($C$2:$F$2,EOMONTH(DJ$2,-1)+1,$C132:$F132)*VLOOKUP(DJ$2,Valores!$H$2:$P$154,8,0)</f>
        <v>#VALUE!</v>
      </c>
      <c r="DK132" s="30" t="e">
        <f aca="false">SUMIF($C$2:$F$2,EOMONTH(DK$2,-1)+1,$C132:$F132)*VLOOKUP(DK$2,Valores!$H$2:$P$154,8,0)</f>
        <v>#VALUE!</v>
      </c>
      <c r="DL132" s="30" t="e">
        <f aca="false">SUMIF($C$2:$F$2,EOMONTH(DL$2,-1)+1,$C132:$F132)*VLOOKUP(DL$2,Valores!$H$2:$P$154,8,0)</f>
        <v>#VALUE!</v>
      </c>
      <c r="DM132" s="30" t="e">
        <f aca="false">SUMIF($C$2:$F$2,EOMONTH(DM$2,-1)+1,$C132:$F132)*VLOOKUP(DM$2,Valores!$H$2:$P$154,8,0)</f>
        <v>#VALUE!</v>
      </c>
      <c r="DN132" s="30" t="e">
        <f aca="false">SUMIF($C$2:$F$2,EOMONTH(DN$2,-1)+1,$C132:$F132)*VLOOKUP(DN$2,Valores!$H$2:$P$154,8,0)</f>
        <v>#VALUE!</v>
      </c>
      <c r="DO132" s="30" t="e">
        <f aca="false">SUMIF($C$2:$F$2,EOMONTH(DO$2,-1)+1,$C132:$F132)*VLOOKUP(DO$2,Valores!$H$2:$P$154,8,0)</f>
        <v>#VALUE!</v>
      </c>
      <c r="DP132" s="30" t="e">
        <f aca="false">SUMIF($C$2:$F$2,EOMONTH(DP$2,-1)+1,$C132:$F132)*VLOOKUP(DP$2,Valores!$H$2:$P$154,8,0)</f>
        <v>#VALUE!</v>
      </c>
      <c r="DQ132" s="30" t="e">
        <f aca="false">SUMIF($C$2:$F$2,EOMONTH(DQ$2,-1)+1,$C132:$F132)*VLOOKUP(DQ$2,Valores!$H$2:$P$154,8,0)</f>
        <v>#VALUE!</v>
      </c>
      <c r="DR132" s="30" t="e">
        <f aca="false">SUMIF($C$2:$F$2,EOMONTH(DR$2,-1)+1,$C132:$F132)*VLOOKUP(DR$2,Valores!$H$2:$P$154,8,0)</f>
        <v>#VALUE!</v>
      </c>
      <c r="DS132" s="30" t="e">
        <f aca="false">SUMIF($C$2:$F$2,EOMONTH(DS$2,-1)+1,$C132:$F132)*VLOOKUP(DS$2,Valores!$H$2:$P$154,8,0)</f>
        <v>#VALUE!</v>
      </c>
      <c r="DT132" s="30" t="e">
        <f aca="false">SUMIF($C$2:$F$2,EOMONTH(DT$2,-1)+1,$C132:$F132)*VLOOKUP(DT$2,Valores!$H$2:$P$154,8,0)</f>
        <v>#VALUE!</v>
      </c>
      <c r="DU132" s="30" t="e">
        <f aca="false">SUMIF($C$2:$F$2,EOMONTH(DU$2,-1)+1,$C132:$F132)*VLOOKUP(DU$2,Valores!$H$2:$P$154,8,0)</f>
        <v>#VALUE!</v>
      </c>
      <c r="DV132" s="30" t="e">
        <f aca="false">SUMIF($C$2:$F$2,EOMONTH(DV$2,-1)+1,$C132:$F132)*VLOOKUP(DV$2,Valores!$H$2:$P$154,8,0)</f>
        <v>#VALUE!</v>
      </c>
      <c r="DW132" s="30" t="e">
        <f aca="false">SUMIF($C$2:$F$2,EOMONTH(DW$2,-1)+1,$C132:$F132)*VLOOKUP(DW$2,Valores!$H$2:$P$154,8,0)</f>
        <v>#VALUE!</v>
      </c>
      <c r="DX132" s="30" t="e">
        <f aca="false">SUMIF($C$2:$F$2,EOMONTH(DX$2,-1)+1,$C132:$F132)*VLOOKUP(DX$2,Valores!$H$2:$P$154,8,0)</f>
        <v>#VALUE!</v>
      </c>
    </row>
    <row r="133" customFormat="false" ht="13.8" hidden="false" customHeight="false" outlineLevel="0" collapsed="false">
      <c r="A133" s="31"/>
      <c r="B133" s="31"/>
      <c r="C133" s="31"/>
      <c r="D133" s="31"/>
      <c r="E133" s="31"/>
      <c r="F133" s="31"/>
      <c r="G133" s="27" t="n">
        <f aca="false">SUMIF($C$2:$F$2,EOMONTH(G$2,-1)+1,$C133:$F133)*VLOOKUP(G$2,Valores!$H$2:$P$154,8,0)</f>
        <v>0</v>
      </c>
      <c r="H133" s="27" t="n">
        <f aca="false">SUMIF($C$2:$F$2,EOMONTH(H$2,-1)+1,$C133:$F133)*VLOOKUP(H$2,Valores!$H$2:$P$154,8,0)</f>
        <v>0</v>
      </c>
      <c r="I133" s="27" t="n">
        <f aca="false">SUMIF($C$2:$F$2,EOMONTH(I$2,-1)+1,$C133:$F133)*VLOOKUP(I$2,Valores!$H$2:$P$154,8,0)</f>
        <v>0</v>
      </c>
      <c r="J133" s="27" t="n">
        <f aca="false">SUMIF($C$2:$F$2,EOMONTH(J$2,-1)+1,$C133:$F133)*VLOOKUP(J$2,Valores!$H$2:$P$154,8,0)</f>
        <v>0</v>
      </c>
      <c r="K133" s="27" t="n">
        <f aca="false">SUMIF($C$2:$F$2,EOMONTH(K$2,-1)+1,$C133:$F133)*VLOOKUP(K$2,Valores!$H$2:$P$154,8,0)</f>
        <v>0</v>
      </c>
      <c r="L133" s="27" t="n">
        <f aca="false">SUMIF($C$2:$F$2,EOMONTH(L$2,-1)+1,$C133:$F133)*VLOOKUP(L$2,Valores!$H$2:$P$154,8,0)</f>
        <v>0</v>
      </c>
      <c r="M133" s="27" t="n">
        <f aca="false">SUMIF($C$2:$F$2,EOMONTH(M$2,-1)+1,$C133:$F133)*VLOOKUP(M$2,Valores!$H$2:$P$154,8,0)</f>
        <v>0</v>
      </c>
      <c r="N133" s="27" t="n">
        <f aca="false">SUMIF($C$2:$F$2,EOMONTH(N$2,-1)+1,$C133:$F133)*VLOOKUP(N$2,Valores!$H$2:$P$154,8,0)</f>
        <v>0</v>
      </c>
      <c r="O133" s="27" t="n">
        <f aca="false">SUMIF($C$2:$F$2,EOMONTH(O$2,-1)+1,$C133:$F133)*VLOOKUP(O$2,Valores!$H$2:$P$154,8,0)</f>
        <v>0</v>
      </c>
      <c r="P133" s="27" t="n">
        <f aca="false">SUMIF($C$2:$F$2,EOMONTH(P$2,-1)+1,$C133:$F133)*VLOOKUP(P$2,Valores!$H$2:$P$154,8,0)</f>
        <v>0</v>
      </c>
      <c r="Q133" s="27" t="n">
        <f aca="false">SUMIF($C$2:$F$2,EOMONTH(Q$2,-1)+1,$C133:$F133)*VLOOKUP(Q$2,Valores!$H$2:$P$154,8,0)</f>
        <v>0</v>
      </c>
      <c r="R133" s="27" t="n">
        <f aca="false">SUMIF($C$2:$F$2,EOMONTH(R$2,-1)+1,$C133:$F133)*VLOOKUP(R$2,Valores!$H$2:$P$154,8,0)</f>
        <v>0</v>
      </c>
      <c r="S133" s="27" t="n">
        <f aca="false">SUMIF($C$2:$F$2,EOMONTH(S$2,-1)+1,$C133:$F133)*VLOOKUP(S$2,Valores!$H$2:$P$154,8,0)</f>
        <v>0</v>
      </c>
      <c r="T133" s="27" t="n">
        <f aca="false">SUMIF($C$2:$F$2,EOMONTH(T$2,-1)+1,$C133:$F133)*VLOOKUP(T$2,Valores!$H$2:$P$154,8,0)</f>
        <v>0</v>
      </c>
      <c r="U133" s="27" t="n">
        <f aca="false">SUMIF($C$2:$F$2,EOMONTH(U$2,-1)+1,$C133:$F133)*VLOOKUP(U$2,Valores!$H$2:$P$154,8,0)</f>
        <v>0</v>
      </c>
      <c r="V133" s="27" t="n">
        <f aca="false">SUMIF($C$2:$F$2,EOMONTH(V$2,-1)+1,$C133:$F133)*VLOOKUP(V$2,Valores!$H$2:$P$154,8,0)</f>
        <v>0</v>
      </c>
      <c r="W133" s="27" t="n">
        <f aca="false">SUMIF($C$2:$F$2,EOMONTH(W$2,-1)+1,$C133:$F133)*VLOOKUP(W$2,Valores!$H$2:$P$154,8,0)</f>
        <v>0</v>
      </c>
      <c r="X133" s="27" t="n">
        <f aca="false">SUMIF($C$2:$F$2,EOMONTH(X$2,-1)+1,$C133:$F133)*VLOOKUP(X$2,Valores!$H$2:$P$154,8,0)</f>
        <v>0</v>
      </c>
      <c r="Y133" s="27" t="n">
        <f aca="false">SUMIF($C$2:$F$2,EOMONTH(Y$2,-1)+1,$C133:$F133)*VLOOKUP(Y$2,Valores!$H$2:$P$154,8,0)</f>
        <v>0</v>
      </c>
      <c r="Z133" s="27" t="n">
        <f aca="false">SUMIF($C$2:$F$2,EOMONTH(Z$2,-1)+1,$C133:$F133)*VLOOKUP(Z$2,Valores!$H$2:$P$154,8,0)</f>
        <v>0</v>
      </c>
      <c r="AA133" s="27" t="n">
        <f aca="false">SUMIF($C$2:$F$2,EOMONTH(AA$2,-1)+1,$C133:$F133)*VLOOKUP(AA$2,Valores!$H$2:$P$154,8,0)</f>
        <v>0</v>
      </c>
      <c r="AB133" s="27" t="n">
        <f aca="false">SUMIF($C$2:$F$2,EOMONTH(AB$2,-1)+1,$C133:$F133)*VLOOKUP(AB$2,Valores!$H$2:$P$154,8,0)</f>
        <v>0</v>
      </c>
      <c r="AC133" s="27" t="n">
        <f aca="false">SUMIF($C$2:$F$2,EOMONTH(AC$2,-1)+1,$C133:$F133)*VLOOKUP(AC$2,Valores!$H$2:$P$154,8,0)</f>
        <v>0</v>
      </c>
      <c r="AD133" s="27" t="n">
        <f aca="false">SUMIF($C$2:$F$2,EOMONTH(AD$2,-1)+1,$C133:$F133)*VLOOKUP(AD$2,Valores!$H$2:$P$154,8,0)</f>
        <v>0</v>
      </c>
      <c r="AE133" s="27" t="n">
        <f aca="false">SUMIF($C$2:$F$2,EOMONTH(AE$2,-1)+1,$C133:$F133)*VLOOKUP(AE$2,Valores!$H$2:$P$154,8,0)</f>
        <v>0</v>
      </c>
      <c r="AF133" s="27" t="n">
        <f aca="false">SUMIF($C$2:$F$2,EOMONTH(AF$2,-1)+1,$C133:$F133)*VLOOKUP(AF$2,Valores!$H$2:$P$154,8,0)</f>
        <v>0</v>
      </c>
      <c r="AG133" s="27" t="n">
        <f aca="false">SUMIF($C$2:$F$2,EOMONTH(AG$2,-1)+1,$C133:$F133)*VLOOKUP(AG$2,Valores!$H$2:$P$154,8,0)</f>
        <v>0</v>
      </c>
      <c r="AH133" s="27" t="n">
        <f aca="false">SUMIF($C$2:$F$2,EOMONTH(AH$2,-1)+1,$C133:$F133)*VLOOKUP(AH$2,Valores!$H$2:$P$154,8,0)</f>
        <v>0</v>
      </c>
      <c r="AI133" s="27" t="n">
        <f aca="false">SUMIF($C$2:$F$2,EOMONTH(AI$2,-1)+1,$C133:$F133)*VLOOKUP(AI$2,Valores!$H$2:$P$154,8,0)</f>
        <v>0</v>
      </c>
      <c r="AJ133" s="27" t="n">
        <f aca="false">SUMIF($C$2:$F$2,EOMONTH(AJ$2,-1)+1,$C133:$F133)*VLOOKUP(AJ$2,Valores!$H$2:$P$154,8,0)</f>
        <v>0</v>
      </c>
      <c r="AK133" s="27" t="n">
        <f aca="false">SUMIF($C$2:$F$2,EOMONTH(AK$2,-1)+1,$C133:$F133)*VLOOKUP(AK$2,Valores!$H$2:$P$154,8,0)</f>
        <v>0</v>
      </c>
      <c r="AL133" s="27" t="n">
        <f aca="false">SUMIF($C$2:$F$2,EOMONTH(AL$2,-1)+1,$C133:$F133)*VLOOKUP(AL$2,Valores!$H$2:$P$154,8,0)</f>
        <v>0</v>
      </c>
      <c r="AM133" s="27" t="n">
        <f aca="false">SUMIF($C$2:$F$2,EOMONTH(AM$2,-1)+1,$C133:$F133)*VLOOKUP(AM$2,Valores!$H$2:$P$154,8,0)</f>
        <v>0</v>
      </c>
      <c r="AN133" s="27" t="n">
        <f aca="false">SUMIF($C$2:$F$2,EOMONTH(AN$2,-1)+1,$C133:$F133)*VLOOKUP(AN$2,Valores!$H$2:$P$154,8,0)</f>
        <v>0</v>
      </c>
      <c r="AO133" s="27" t="n">
        <f aca="false">SUMIF($C$2:$F$2,EOMONTH(AO$2,-1)+1,$C133:$F133)*VLOOKUP(AO$2,Valores!$H$2:$P$154,8,0)</f>
        <v>0</v>
      </c>
      <c r="AP133" s="27" t="n">
        <f aca="false">SUMIF($C$2:$F$2,EOMONTH(AP$2,-1)+1,$C133:$F133)*VLOOKUP(AP$2,Valores!$H$2:$P$154,8,0)</f>
        <v>0</v>
      </c>
      <c r="AQ133" s="27" t="n">
        <f aca="false">SUMIF($C$2:$F$2,EOMONTH(AQ$2,-1)+1,$C133:$F133)*VLOOKUP(AQ$2,Valores!$H$2:$P$154,8,0)</f>
        <v>0</v>
      </c>
      <c r="AR133" s="27" t="n">
        <f aca="false">SUMIF($C$2:$F$2,EOMONTH(AR$2,-1)+1,$C133:$F133)*VLOOKUP(AR$2,Valores!$H$2:$P$154,8,0)</f>
        <v>0</v>
      </c>
      <c r="AS133" s="27" t="n">
        <f aca="false">SUMIF($C$2:$F$2,EOMONTH(AS$2,-1)+1,$C133:$F133)*VLOOKUP(AS$2,Valores!$H$2:$P$154,8,0)</f>
        <v>0</v>
      </c>
      <c r="AT133" s="27" t="n">
        <f aca="false">SUMIF($C$2:$F$2,EOMONTH(AT$2,-1)+1,$C133:$F133)*VLOOKUP(AT$2,Valores!$H$2:$P$154,8,0)</f>
        <v>0</v>
      </c>
      <c r="AU133" s="27" t="n">
        <f aca="false">SUMIF($C$2:$F$2,EOMONTH(AU$2,-1)+1,$C133:$F133)*VLOOKUP(AU$2,Valores!$H$2:$P$154,8,0)</f>
        <v>0</v>
      </c>
      <c r="AV133" s="27" t="n">
        <f aca="false">SUMIF($C$2:$F$2,EOMONTH(AV$2,-1)+1,$C133:$F133)*VLOOKUP(AV$2,Valores!$H$2:$P$154,8,0)</f>
        <v>0</v>
      </c>
      <c r="AW133" s="27" t="n">
        <f aca="false">SUMIF($C$2:$F$2,EOMONTH(AW$2,-1)+1,$C133:$F133)*VLOOKUP(AW$2,Valores!$H$2:$P$154,8,0)</f>
        <v>0</v>
      </c>
      <c r="AX133" s="27" t="n">
        <f aca="false">SUMIF($C$2:$F$2,EOMONTH(AX$2,-1)+1,$C133:$F133)*VLOOKUP(AX$2,Valores!$H$2:$P$154,8,0)</f>
        <v>0</v>
      </c>
      <c r="AY133" s="27" t="n">
        <f aca="false">SUMIF($C$2:$F$2,EOMONTH(AY$2,-1)+1,$C133:$F133)*VLOOKUP(AY$2,Valores!$H$2:$P$154,8,0)</f>
        <v>0</v>
      </c>
      <c r="AZ133" s="27" t="n">
        <f aca="false">SUMIF($C$2:$F$2,EOMONTH(AZ$2,-1)+1,$C133:$F133)*VLOOKUP(AZ$2,Valores!$H$2:$P$154,8,0)</f>
        <v>0</v>
      </c>
      <c r="BA133" s="27" t="n">
        <f aca="false">SUMIF($C$2:$F$2,EOMONTH(BA$2,-1)+1,$C133:$F133)*VLOOKUP(BA$2,Valores!$H$2:$P$154,8,0)</f>
        <v>0</v>
      </c>
      <c r="BB133" s="27" t="n">
        <f aca="false">SUMIF($C$2:$F$2,EOMONTH(BB$2,-1)+1,$C133:$F133)*VLOOKUP(BB$2,Valores!$H$2:$P$154,8,0)</f>
        <v>0</v>
      </c>
      <c r="BC133" s="27" t="n">
        <f aca="false">SUMIF($C$2:$F$2,EOMONTH(BC$2,-1)+1,$C133:$F133)*VLOOKUP(BC$2,Valores!$H$2:$P$154,8,0)</f>
        <v>0</v>
      </c>
      <c r="BD133" s="27" t="n">
        <f aca="false">SUMIF($C$2:$F$2,EOMONTH(BD$2,-1)+1,$C133:$F133)*VLOOKUP(BD$2,Valores!$H$2:$P$154,8,0)</f>
        <v>0</v>
      </c>
      <c r="BE133" s="27" t="n">
        <f aca="false">SUMIF($C$2:$F$2,EOMONTH(BE$2,-1)+1,$C133:$F133)*VLOOKUP(BE$2,Valores!$H$2:$P$154,8,0)</f>
        <v>0</v>
      </c>
      <c r="BF133" s="27" t="n">
        <f aca="false">SUMIF($C$2:$F$2,EOMONTH(BF$2,-1)+1,$C133:$F133)*VLOOKUP(BF$2,Valores!$H$2:$P$154,8,0)</f>
        <v>0</v>
      </c>
      <c r="BG133" s="27" t="n">
        <f aca="false">SUMIF($C$2:$F$2,EOMONTH(BG$2,-1)+1,$C133:$F133)*VLOOKUP(BG$2,Valores!$H$2:$P$154,8,0)</f>
        <v>0</v>
      </c>
      <c r="BH133" s="27" t="n">
        <f aca="false">SUMIF($C$2:$F$2,EOMONTH(BH$2,-1)+1,$C133:$F133)*VLOOKUP(BH$2,Valores!$H$2:$P$154,8,0)</f>
        <v>0</v>
      </c>
      <c r="BI133" s="27" t="n">
        <f aca="false">SUMIF($C$2:$F$2,EOMONTH(BI$2,-1)+1,$C133:$F133)*VLOOKUP(BI$2,Valores!$H$2:$P$154,8,0)</f>
        <v>0</v>
      </c>
      <c r="BJ133" s="27" t="n">
        <f aca="false">SUMIF($C$2:$F$2,EOMONTH(BJ$2,-1)+1,$C133:$F133)*VLOOKUP(BJ$2,Valores!$H$2:$P$154,8,0)</f>
        <v>0</v>
      </c>
      <c r="BK133" s="27" t="n">
        <f aca="false">SUMIF($C$2:$F$2,EOMONTH(BK$2,-1)+1,$C133:$F133)*VLOOKUP(BK$2,Valores!$H$2:$P$154,8,0)</f>
        <v>0</v>
      </c>
      <c r="BL133" s="27" t="n">
        <f aca="false">SUMIF($C$2:$F$2,EOMONTH(BL$2,-1)+1,$C133:$F133)*VLOOKUP(BL$2,Valores!$H$2:$P$154,8,0)</f>
        <v>0</v>
      </c>
      <c r="BM133" s="27" t="n">
        <f aca="false">SUMIF($C$2:$F$2,EOMONTH(BM$2,-1)+1,$C133:$F133)*VLOOKUP(BM$2,Valores!$H$2:$P$154,8,0)</f>
        <v>0</v>
      </c>
      <c r="BN133" s="27" t="n">
        <f aca="false">SUMIF($C$2:$F$2,EOMONTH(BN$2,-1)+1,$C133:$F133)*VLOOKUP(BN$2,Valores!$H$2:$P$154,8,0)</f>
        <v>0</v>
      </c>
      <c r="BO133" s="27" t="n">
        <f aca="false">SUMIF($C$2:$F$2,EOMONTH(BO$2,-1)+1,$C133:$F133)*VLOOKUP(BO$2,Valores!$H$2:$P$154,8,0)</f>
        <v>0</v>
      </c>
      <c r="BP133" s="27" t="n">
        <f aca="false">SUMIF($C$2:$F$2,EOMONTH(BP$2,-1)+1,$C133:$F133)*VLOOKUP(BP$2,Valores!$H$2:$P$154,8,0)</f>
        <v>0</v>
      </c>
      <c r="BQ133" s="27" t="n">
        <f aca="false">SUMIF($C$2:$F$2,EOMONTH(BQ$2,-1)+1,$C133:$F133)*VLOOKUP(BQ$2,Valores!$H$2:$P$154,8,0)</f>
        <v>0</v>
      </c>
      <c r="BR133" s="27" t="n">
        <f aca="false">SUMIF($C$2:$F$2,EOMONTH(BR$2,-1)+1,$C133:$F133)*VLOOKUP(BR$2,Valores!$H$2:$P$154,8,0)</f>
        <v>0</v>
      </c>
      <c r="BS133" s="27" t="n">
        <f aca="false">SUMIF($C$2:$F$2,EOMONTH(BS$2,-1)+1,$C133:$F133)*VLOOKUP(BS$2,Valores!$H$2:$P$154,8,0)</f>
        <v>0</v>
      </c>
      <c r="BT133" s="27" t="n">
        <f aca="false">SUMIF($C$2:$F$2,EOMONTH(BT$2,-1)+1,$C133:$F133)*VLOOKUP(BT$2,Valores!$H$2:$P$154,8,0)</f>
        <v>0</v>
      </c>
      <c r="BU133" s="27" t="n">
        <f aca="false">SUMIF($C$2:$F$2,EOMONTH(BU$2,-1)+1,$C133:$F133)*VLOOKUP(BU$2,Valores!$H$2:$P$154,8,0)</f>
        <v>0</v>
      </c>
      <c r="BV133" s="27" t="n">
        <f aca="false">SUMIF($C$2:$F$2,EOMONTH(BV$2,-1)+1,$C133:$F133)*VLOOKUP(BV$2,Valores!$H$2:$P$154,8,0)</f>
        <v>0</v>
      </c>
      <c r="BW133" s="27" t="n">
        <f aca="false">SUMIF($C$2:$F$2,EOMONTH(BW$2,-1)+1,$C133:$F133)*VLOOKUP(BW$2,Valores!$H$2:$P$154,8,0)</f>
        <v>0</v>
      </c>
      <c r="BX133" s="27" t="n">
        <f aca="false">SUMIF($C$2:$F$2,EOMONTH(BX$2,-1)+1,$C133:$F133)*VLOOKUP(BX$2,Valores!$H$2:$P$154,8,0)</f>
        <v>0</v>
      </c>
      <c r="BY133" s="27" t="n">
        <f aca="false">SUMIF($C$2:$F$2,EOMONTH(BY$2,-1)+1,$C133:$F133)*VLOOKUP(BY$2,Valores!$H$2:$P$154,8,0)</f>
        <v>0</v>
      </c>
      <c r="BZ133" s="27" t="n">
        <f aca="false">SUMIF($C$2:$F$2,EOMONTH(BZ$2,-1)+1,$C133:$F133)*VLOOKUP(BZ$2,Valores!$H$2:$P$154,8,0)</f>
        <v>0</v>
      </c>
      <c r="CA133" s="27" t="n">
        <f aca="false">SUMIF($C$2:$F$2,EOMONTH(CA$2,-1)+1,$C133:$F133)*VLOOKUP(CA$2,Valores!$H$2:$P$154,8,0)</f>
        <v>0</v>
      </c>
      <c r="CB133" s="27" t="n">
        <f aca="false">SUMIF($C$2:$F$2,EOMONTH(CB$2,-1)+1,$C133:$F133)*VLOOKUP(CB$2,Valores!$H$2:$P$154,8,0)</f>
        <v>0</v>
      </c>
      <c r="CC133" s="27" t="n">
        <f aca="false">SUMIF($C$2:$F$2,EOMONTH(CC$2,-1)+1,$C133:$F133)*VLOOKUP(CC$2,Valores!$H$2:$P$154,8,0)</f>
        <v>0</v>
      </c>
      <c r="CD133" s="27" t="n">
        <f aca="false">SUMIF($C$2:$F$2,EOMONTH(CD$2,-1)+1,$C133:$F133)*VLOOKUP(CD$2,Valores!$H$2:$P$154,8,0)</f>
        <v>0</v>
      </c>
      <c r="CE133" s="27" t="n">
        <f aca="false">SUMIF($C$2:$F$2,EOMONTH(CE$2,-1)+1,$C133:$F133)*VLOOKUP(CE$2,Valores!$H$2:$P$154,8,0)</f>
        <v>0</v>
      </c>
      <c r="CF133" s="27" t="n">
        <f aca="false">SUMIF($C$2:$F$2,EOMONTH(CF$2,-1)+1,$C133:$F133)*VLOOKUP(CF$2,Valores!$H$2:$P$154,8,0)</f>
        <v>0</v>
      </c>
      <c r="CG133" s="27" t="n">
        <f aca="false">SUMIF($C$2:$F$2,EOMONTH(CG$2,-1)+1,$C133:$F133)*VLOOKUP(CG$2,Valores!$H$2:$P$154,8,0)</f>
        <v>0</v>
      </c>
      <c r="CH133" s="27" t="n">
        <f aca="false">SUMIF($C$2:$F$2,EOMONTH(CH$2,-1)+1,$C133:$F133)*VLOOKUP(CH$2,Valores!$H$2:$P$154,8,0)</f>
        <v>0</v>
      </c>
      <c r="CI133" s="27" t="n">
        <f aca="false">SUMIF($C$2:$F$2,EOMONTH(CI$2,-1)+1,$C133:$F133)*VLOOKUP(CI$2,Valores!$H$2:$P$154,8,0)</f>
        <v>0</v>
      </c>
      <c r="CJ133" s="27" t="n">
        <f aca="false">SUMIF($C$2:$F$2,EOMONTH(CJ$2,-1)+1,$C133:$F133)*VLOOKUP(CJ$2,Valores!$H$2:$P$154,8,0)</f>
        <v>0</v>
      </c>
      <c r="CK133" s="27" t="n">
        <f aca="false">SUMIF($C$2:$F$2,EOMONTH(CK$2,-1)+1,$C133:$F133)*VLOOKUP(CK$2,Valores!$H$2:$P$154,8,0)</f>
        <v>0</v>
      </c>
      <c r="CL133" s="27" t="n">
        <f aca="false">SUMIF($C$2:$F$2,EOMONTH(CL$2,-1)+1,$C133:$F133)*VLOOKUP(CL$2,Valores!$H$2:$P$154,8,0)</f>
        <v>0</v>
      </c>
      <c r="CM133" s="27" t="n">
        <f aca="false">SUMIF($C$2:$F$2,EOMONTH(CM$2,-1)+1,$C133:$F133)*VLOOKUP(CM$2,Valores!$H$2:$P$154,8,0)</f>
        <v>0</v>
      </c>
      <c r="CN133" s="27" t="n">
        <f aca="false">SUMIF($C$2:$F$2,EOMONTH(CN$2,-1)+1,$C133:$F133)*VLOOKUP(CN$2,Valores!$H$2:$P$154,8,0)</f>
        <v>0</v>
      </c>
      <c r="CO133" s="27" t="n">
        <f aca="false">SUMIF($C$2:$F$2,EOMONTH(CO$2,-1)+1,$C133:$F133)*VLOOKUP(CO$2,Valores!$H$2:$P$154,8,0)</f>
        <v>0</v>
      </c>
      <c r="CP133" s="27" t="n">
        <f aca="false">SUMIF($C$2:$F$2,EOMONTH(CP$2,-1)+1,$C133:$F133)*VLOOKUP(CP$2,Valores!$H$2:$P$154,8,0)</f>
        <v>0</v>
      </c>
      <c r="CQ133" s="27" t="n">
        <f aca="false">SUMIF($C$2:$F$2,EOMONTH(CQ$2,-1)+1,$C133:$F133)*VLOOKUP(CQ$2,Valores!$H$2:$P$154,8,0)</f>
        <v>0</v>
      </c>
      <c r="CR133" s="27" t="n">
        <f aca="false">SUMIF($C$2:$F$2,EOMONTH(CR$2,-1)+1,$C133:$F133)*VLOOKUP(CR$2,Valores!$H$2:$P$154,8,0)</f>
        <v>0</v>
      </c>
      <c r="CS133" s="27" t="n">
        <f aca="false">SUMIF($C$2:$F$2,EOMONTH(CS$2,-1)+1,$C133:$F133)*VLOOKUP(CS$2,Valores!$H$2:$P$154,8,0)</f>
        <v>0</v>
      </c>
      <c r="CT133" s="27" t="e">
        <f aca="false">SUMIF($C$2:$F$2,EOMONTH(CT$2,-1)+1,$C133:$F133)*VLOOKUP(CT$2,Valores!$H$2:$P$154,8,0)</f>
        <v>#VALUE!</v>
      </c>
      <c r="CU133" s="27" t="e">
        <f aca="false">SUMIF($C$2:$F$2,EOMONTH(CU$2,-1)+1,$C133:$F133)*VLOOKUP(CU$2,Valores!$H$2:$P$154,8,0)</f>
        <v>#VALUE!</v>
      </c>
      <c r="CV133" s="27" t="e">
        <f aca="false">SUMIF($C$2:$F$2,EOMONTH(CV$2,-1)+1,$C133:$F133)*VLOOKUP(CV$2,Valores!$H$2:$P$154,8,0)</f>
        <v>#VALUE!</v>
      </c>
      <c r="CW133" s="27" t="e">
        <f aca="false">SUMIF($C$2:$F$2,EOMONTH(CW$2,-1)+1,$C133:$F133)*VLOOKUP(CW$2,Valores!$H$2:$P$154,8,0)</f>
        <v>#VALUE!</v>
      </c>
      <c r="CX133" s="27" t="e">
        <f aca="false">SUMIF($C$2:$F$2,EOMONTH(CX$2,-1)+1,$C133:$F133)*VLOOKUP(CX$2,Valores!$H$2:$P$154,8,0)</f>
        <v>#VALUE!</v>
      </c>
      <c r="CY133" s="27" t="e">
        <f aca="false">SUMIF($C$2:$F$2,EOMONTH(CY$2,-1)+1,$C133:$F133)*VLOOKUP(CY$2,Valores!$H$2:$P$154,8,0)</f>
        <v>#VALUE!</v>
      </c>
      <c r="CZ133" s="27" t="e">
        <f aca="false">SUMIF($C$2:$F$2,EOMONTH(CZ$2,-1)+1,$C133:$F133)*VLOOKUP(CZ$2,Valores!$H$2:$P$154,8,0)</f>
        <v>#VALUE!</v>
      </c>
      <c r="DA133" s="27" t="e">
        <f aca="false">SUMIF($C$2:$F$2,EOMONTH(DA$2,-1)+1,$C133:$F133)*VLOOKUP(DA$2,Valores!$H$2:$P$154,8,0)</f>
        <v>#VALUE!</v>
      </c>
      <c r="DB133" s="27" t="e">
        <f aca="false">SUMIF($C$2:$F$2,EOMONTH(DB$2,-1)+1,$C133:$F133)*VLOOKUP(DB$2,Valores!$H$2:$P$154,8,0)</f>
        <v>#VALUE!</v>
      </c>
      <c r="DC133" s="27" t="e">
        <f aca="false">SUMIF($C$2:$F$2,EOMONTH(DC$2,-1)+1,$C133:$F133)*VLOOKUP(DC$2,Valores!$H$2:$P$154,8,0)</f>
        <v>#VALUE!</v>
      </c>
      <c r="DD133" s="27" t="e">
        <f aca="false">SUMIF($C$2:$F$2,EOMONTH(DD$2,-1)+1,$C133:$F133)*VLOOKUP(DD$2,Valores!$H$2:$P$154,8,0)</f>
        <v>#VALUE!</v>
      </c>
      <c r="DE133" s="27" t="e">
        <f aca="false">SUMIF($C$2:$F$2,EOMONTH(DE$2,-1)+1,$C133:$F133)*VLOOKUP(DE$2,Valores!$H$2:$P$154,8,0)</f>
        <v>#VALUE!</v>
      </c>
      <c r="DF133" s="27" t="e">
        <f aca="false">SUMIF($C$2:$F$2,EOMONTH(DF$2,-1)+1,$C133:$F133)*VLOOKUP(DF$2,Valores!$H$2:$P$154,8,0)</f>
        <v>#VALUE!</v>
      </c>
      <c r="DG133" s="27" t="e">
        <f aca="false">SUMIF($C$2:$F$2,EOMONTH(DG$2,-1)+1,$C133:$F133)*VLOOKUP(DG$2,Valores!$H$2:$P$154,8,0)</f>
        <v>#VALUE!</v>
      </c>
      <c r="DH133" s="27" t="e">
        <f aca="false">SUMIF($C$2:$F$2,EOMONTH(DH$2,-1)+1,$C133:$F133)*VLOOKUP(DH$2,Valores!$H$2:$P$154,8,0)</f>
        <v>#VALUE!</v>
      </c>
      <c r="DI133" s="27" t="e">
        <f aca="false">SUMIF($C$2:$F$2,EOMONTH(DI$2,-1)+1,$C133:$F133)*VLOOKUP(DI$2,Valores!$H$2:$P$154,8,0)</f>
        <v>#VALUE!</v>
      </c>
      <c r="DJ133" s="27" t="e">
        <f aca="false">SUMIF($C$2:$F$2,EOMONTH(DJ$2,-1)+1,$C133:$F133)*VLOOKUP(DJ$2,Valores!$H$2:$P$154,8,0)</f>
        <v>#VALUE!</v>
      </c>
      <c r="DK133" s="27" t="e">
        <f aca="false">SUMIF($C$2:$F$2,EOMONTH(DK$2,-1)+1,$C133:$F133)*VLOOKUP(DK$2,Valores!$H$2:$P$154,8,0)</f>
        <v>#VALUE!</v>
      </c>
      <c r="DL133" s="27" t="e">
        <f aca="false">SUMIF($C$2:$F$2,EOMONTH(DL$2,-1)+1,$C133:$F133)*VLOOKUP(DL$2,Valores!$H$2:$P$154,8,0)</f>
        <v>#VALUE!</v>
      </c>
      <c r="DM133" s="27" t="e">
        <f aca="false">SUMIF($C$2:$F$2,EOMONTH(DM$2,-1)+1,$C133:$F133)*VLOOKUP(DM$2,Valores!$H$2:$P$154,8,0)</f>
        <v>#VALUE!</v>
      </c>
      <c r="DN133" s="27" t="e">
        <f aca="false">SUMIF($C$2:$F$2,EOMONTH(DN$2,-1)+1,$C133:$F133)*VLOOKUP(DN$2,Valores!$H$2:$P$154,8,0)</f>
        <v>#VALUE!</v>
      </c>
      <c r="DO133" s="27" t="e">
        <f aca="false">SUMIF($C$2:$F$2,EOMONTH(DO$2,-1)+1,$C133:$F133)*VLOOKUP(DO$2,Valores!$H$2:$P$154,8,0)</f>
        <v>#VALUE!</v>
      </c>
      <c r="DP133" s="27" t="e">
        <f aca="false">SUMIF($C$2:$F$2,EOMONTH(DP$2,-1)+1,$C133:$F133)*VLOOKUP(DP$2,Valores!$H$2:$P$154,8,0)</f>
        <v>#VALUE!</v>
      </c>
      <c r="DQ133" s="27" t="e">
        <f aca="false">SUMIF($C$2:$F$2,EOMONTH(DQ$2,-1)+1,$C133:$F133)*VLOOKUP(DQ$2,Valores!$H$2:$P$154,8,0)</f>
        <v>#VALUE!</v>
      </c>
      <c r="DR133" s="27" t="e">
        <f aca="false">SUMIF($C$2:$F$2,EOMONTH(DR$2,-1)+1,$C133:$F133)*VLOOKUP(DR$2,Valores!$H$2:$P$154,8,0)</f>
        <v>#VALUE!</v>
      </c>
      <c r="DS133" s="27" t="e">
        <f aca="false">SUMIF($C$2:$F$2,EOMONTH(DS$2,-1)+1,$C133:$F133)*VLOOKUP(DS$2,Valores!$H$2:$P$154,8,0)</f>
        <v>#VALUE!</v>
      </c>
      <c r="DT133" s="27" t="e">
        <f aca="false">SUMIF($C$2:$F$2,EOMONTH(DT$2,-1)+1,$C133:$F133)*VLOOKUP(DT$2,Valores!$H$2:$P$154,8,0)</f>
        <v>#VALUE!</v>
      </c>
      <c r="DU133" s="27" t="e">
        <f aca="false">SUMIF($C$2:$F$2,EOMONTH(DU$2,-1)+1,$C133:$F133)*VLOOKUP(DU$2,Valores!$H$2:$P$154,8,0)</f>
        <v>#VALUE!</v>
      </c>
      <c r="DV133" s="27" t="e">
        <f aca="false">SUMIF($C$2:$F$2,EOMONTH(DV$2,-1)+1,$C133:$F133)*VLOOKUP(DV$2,Valores!$H$2:$P$154,8,0)</f>
        <v>#VALUE!</v>
      </c>
      <c r="DW133" s="27" t="e">
        <f aca="false">SUMIF($C$2:$F$2,EOMONTH(DW$2,-1)+1,$C133:$F133)*VLOOKUP(DW$2,Valores!$H$2:$P$154,8,0)</f>
        <v>#VALUE!</v>
      </c>
      <c r="DX133" s="27" t="e">
        <f aca="false">SUMIF($C$2:$F$2,EOMONTH(DX$2,-1)+1,$C133:$F133)*VLOOKUP(DX$2,Valores!$H$2:$P$154,8,0)</f>
        <v>#VALUE!</v>
      </c>
    </row>
    <row r="134" customFormat="false" ht="13.8" hidden="false" customHeight="false" outlineLevel="0" collapsed="false">
      <c r="A134" s="29"/>
      <c r="B134" s="29"/>
      <c r="C134" s="29"/>
      <c r="D134" s="29"/>
      <c r="E134" s="29"/>
      <c r="F134" s="29"/>
      <c r="G134" s="30" t="n">
        <f aca="false">SUMIF($C$2:$F$2,EOMONTH(G$2,-1)+1,$C134:$F134)*VLOOKUP(G$2,Valores!$H$2:$P$154,8,0)</f>
        <v>0</v>
      </c>
      <c r="H134" s="30" t="n">
        <f aca="false">SUMIF($C$2:$F$2,EOMONTH(H$2,-1)+1,$C134:$F134)*VLOOKUP(H$2,Valores!$H$2:$P$154,8,0)</f>
        <v>0</v>
      </c>
      <c r="I134" s="30" t="n">
        <f aca="false">SUMIF($C$2:$F$2,EOMONTH(I$2,-1)+1,$C134:$F134)*VLOOKUP(I$2,Valores!$H$2:$P$154,8,0)</f>
        <v>0</v>
      </c>
      <c r="J134" s="30" t="n">
        <f aca="false">SUMIF($C$2:$F$2,EOMONTH(J$2,-1)+1,$C134:$F134)*VLOOKUP(J$2,Valores!$H$2:$P$154,8,0)</f>
        <v>0</v>
      </c>
      <c r="K134" s="30" t="n">
        <f aca="false">SUMIF($C$2:$F$2,EOMONTH(K$2,-1)+1,$C134:$F134)*VLOOKUP(K$2,Valores!$H$2:$P$154,8,0)</f>
        <v>0</v>
      </c>
      <c r="L134" s="30" t="n">
        <f aca="false">SUMIF($C$2:$F$2,EOMONTH(L$2,-1)+1,$C134:$F134)*VLOOKUP(L$2,Valores!$H$2:$P$154,8,0)</f>
        <v>0</v>
      </c>
      <c r="M134" s="30" t="n">
        <f aca="false">SUMIF($C$2:$F$2,EOMONTH(M$2,-1)+1,$C134:$F134)*VLOOKUP(M$2,Valores!$H$2:$P$154,8,0)</f>
        <v>0</v>
      </c>
      <c r="N134" s="30" t="n">
        <f aca="false">SUMIF($C$2:$F$2,EOMONTH(N$2,-1)+1,$C134:$F134)*VLOOKUP(N$2,Valores!$H$2:$P$154,8,0)</f>
        <v>0</v>
      </c>
      <c r="O134" s="30" t="n">
        <f aca="false">SUMIF($C$2:$F$2,EOMONTH(O$2,-1)+1,$C134:$F134)*VLOOKUP(O$2,Valores!$H$2:$P$154,8,0)</f>
        <v>0</v>
      </c>
      <c r="P134" s="30" t="n">
        <f aca="false">SUMIF($C$2:$F$2,EOMONTH(P$2,-1)+1,$C134:$F134)*VLOOKUP(P$2,Valores!$H$2:$P$154,8,0)</f>
        <v>0</v>
      </c>
      <c r="Q134" s="30" t="n">
        <f aca="false">SUMIF($C$2:$F$2,EOMONTH(Q$2,-1)+1,$C134:$F134)*VLOOKUP(Q$2,Valores!$H$2:$P$154,8,0)</f>
        <v>0</v>
      </c>
      <c r="R134" s="30" t="n">
        <f aca="false">SUMIF($C$2:$F$2,EOMONTH(R$2,-1)+1,$C134:$F134)*VLOOKUP(R$2,Valores!$H$2:$P$154,8,0)</f>
        <v>0</v>
      </c>
      <c r="S134" s="30" t="n">
        <f aca="false">SUMIF($C$2:$F$2,EOMONTH(S$2,-1)+1,$C134:$F134)*VLOOKUP(S$2,Valores!$H$2:$P$154,8,0)</f>
        <v>0</v>
      </c>
      <c r="T134" s="30" t="n">
        <f aca="false">SUMIF($C$2:$F$2,EOMONTH(T$2,-1)+1,$C134:$F134)*VLOOKUP(T$2,Valores!$H$2:$P$154,8,0)</f>
        <v>0</v>
      </c>
      <c r="U134" s="30" t="n">
        <f aca="false">SUMIF($C$2:$F$2,EOMONTH(U$2,-1)+1,$C134:$F134)*VLOOKUP(U$2,Valores!$H$2:$P$154,8,0)</f>
        <v>0</v>
      </c>
      <c r="V134" s="30" t="n">
        <f aca="false">SUMIF($C$2:$F$2,EOMONTH(V$2,-1)+1,$C134:$F134)*VLOOKUP(V$2,Valores!$H$2:$P$154,8,0)</f>
        <v>0</v>
      </c>
      <c r="W134" s="30" t="n">
        <f aca="false">SUMIF($C$2:$F$2,EOMONTH(W$2,-1)+1,$C134:$F134)*VLOOKUP(W$2,Valores!$H$2:$P$154,8,0)</f>
        <v>0</v>
      </c>
      <c r="X134" s="30" t="n">
        <f aca="false">SUMIF($C$2:$F$2,EOMONTH(X$2,-1)+1,$C134:$F134)*VLOOKUP(X$2,Valores!$H$2:$P$154,8,0)</f>
        <v>0</v>
      </c>
      <c r="Y134" s="30" t="n">
        <f aca="false">SUMIF($C$2:$F$2,EOMONTH(Y$2,-1)+1,$C134:$F134)*VLOOKUP(Y$2,Valores!$H$2:$P$154,8,0)</f>
        <v>0</v>
      </c>
      <c r="Z134" s="30" t="n">
        <f aca="false">SUMIF($C$2:$F$2,EOMONTH(Z$2,-1)+1,$C134:$F134)*VLOOKUP(Z$2,Valores!$H$2:$P$154,8,0)</f>
        <v>0</v>
      </c>
      <c r="AA134" s="30" t="n">
        <f aca="false">SUMIF($C$2:$F$2,EOMONTH(AA$2,-1)+1,$C134:$F134)*VLOOKUP(AA$2,Valores!$H$2:$P$154,8,0)</f>
        <v>0</v>
      </c>
      <c r="AB134" s="30" t="n">
        <f aca="false">SUMIF($C$2:$F$2,EOMONTH(AB$2,-1)+1,$C134:$F134)*VLOOKUP(AB$2,Valores!$H$2:$P$154,8,0)</f>
        <v>0</v>
      </c>
      <c r="AC134" s="30" t="n">
        <f aca="false">SUMIF($C$2:$F$2,EOMONTH(AC$2,-1)+1,$C134:$F134)*VLOOKUP(AC$2,Valores!$H$2:$P$154,8,0)</f>
        <v>0</v>
      </c>
      <c r="AD134" s="30" t="n">
        <f aca="false">SUMIF($C$2:$F$2,EOMONTH(AD$2,-1)+1,$C134:$F134)*VLOOKUP(AD$2,Valores!$H$2:$P$154,8,0)</f>
        <v>0</v>
      </c>
      <c r="AE134" s="30" t="n">
        <f aca="false">SUMIF($C$2:$F$2,EOMONTH(AE$2,-1)+1,$C134:$F134)*VLOOKUP(AE$2,Valores!$H$2:$P$154,8,0)</f>
        <v>0</v>
      </c>
      <c r="AF134" s="30" t="n">
        <f aca="false">SUMIF($C$2:$F$2,EOMONTH(AF$2,-1)+1,$C134:$F134)*VLOOKUP(AF$2,Valores!$H$2:$P$154,8,0)</f>
        <v>0</v>
      </c>
      <c r="AG134" s="30" t="n">
        <f aca="false">SUMIF($C$2:$F$2,EOMONTH(AG$2,-1)+1,$C134:$F134)*VLOOKUP(AG$2,Valores!$H$2:$P$154,8,0)</f>
        <v>0</v>
      </c>
      <c r="AH134" s="30" t="n">
        <f aca="false">SUMIF($C$2:$F$2,EOMONTH(AH$2,-1)+1,$C134:$F134)*VLOOKUP(AH$2,Valores!$H$2:$P$154,8,0)</f>
        <v>0</v>
      </c>
      <c r="AI134" s="30" t="n">
        <f aca="false">SUMIF($C$2:$F$2,EOMONTH(AI$2,-1)+1,$C134:$F134)*VLOOKUP(AI$2,Valores!$H$2:$P$154,8,0)</f>
        <v>0</v>
      </c>
      <c r="AJ134" s="30" t="n">
        <f aca="false">SUMIF($C$2:$F$2,EOMONTH(AJ$2,-1)+1,$C134:$F134)*VLOOKUP(AJ$2,Valores!$H$2:$P$154,8,0)</f>
        <v>0</v>
      </c>
      <c r="AK134" s="30" t="n">
        <f aca="false">SUMIF($C$2:$F$2,EOMONTH(AK$2,-1)+1,$C134:$F134)*VLOOKUP(AK$2,Valores!$H$2:$P$154,8,0)</f>
        <v>0</v>
      </c>
      <c r="AL134" s="30" t="n">
        <f aca="false">SUMIF($C$2:$F$2,EOMONTH(AL$2,-1)+1,$C134:$F134)*VLOOKUP(AL$2,Valores!$H$2:$P$154,8,0)</f>
        <v>0</v>
      </c>
      <c r="AM134" s="30" t="n">
        <f aca="false">SUMIF($C$2:$F$2,EOMONTH(AM$2,-1)+1,$C134:$F134)*VLOOKUP(AM$2,Valores!$H$2:$P$154,8,0)</f>
        <v>0</v>
      </c>
      <c r="AN134" s="30" t="n">
        <f aca="false">SUMIF($C$2:$F$2,EOMONTH(AN$2,-1)+1,$C134:$F134)*VLOOKUP(AN$2,Valores!$H$2:$P$154,8,0)</f>
        <v>0</v>
      </c>
      <c r="AO134" s="30" t="n">
        <f aca="false">SUMIF($C$2:$F$2,EOMONTH(AO$2,-1)+1,$C134:$F134)*VLOOKUP(AO$2,Valores!$H$2:$P$154,8,0)</f>
        <v>0</v>
      </c>
      <c r="AP134" s="30" t="n">
        <f aca="false">SUMIF($C$2:$F$2,EOMONTH(AP$2,-1)+1,$C134:$F134)*VLOOKUP(AP$2,Valores!$H$2:$P$154,8,0)</f>
        <v>0</v>
      </c>
      <c r="AQ134" s="30" t="n">
        <f aca="false">SUMIF($C$2:$F$2,EOMONTH(AQ$2,-1)+1,$C134:$F134)*VLOOKUP(AQ$2,Valores!$H$2:$P$154,8,0)</f>
        <v>0</v>
      </c>
      <c r="AR134" s="30" t="n">
        <f aca="false">SUMIF($C$2:$F$2,EOMONTH(AR$2,-1)+1,$C134:$F134)*VLOOKUP(AR$2,Valores!$H$2:$P$154,8,0)</f>
        <v>0</v>
      </c>
      <c r="AS134" s="30" t="n">
        <f aca="false">SUMIF($C$2:$F$2,EOMONTH(AS$2,-1)+1,$C134:$F134)*VLOOKUP(AS$2,Valores!$H$2:$P$154,8,0)</f>
        <v>0</v>
      </c>
      <c r="AT134" s="30" t="n">
        <f aca="false">SUMIF($C$2:$F$2,EOMONTH(AT$2,-1)+1,$C134:$F134)*VLOOKUP(AT$2,Valores!$H$2:$P$154,8,0)</f>
        <v>0</v>
      </c>
      <c r="AU134" s="30" t="n">
        <f aca="false">SUMIF($C$2:$F$2,EOMONTH(AU$2,-1)+1,$C134:$F134)*VLOOKUP(AU$2,Valores!$H$2:$P$154,8,0)</f>
        <v>0</v>
      </c>
      <c r="AV134" s="30" t="n">
        <f aca="false">SUMIF($C$2:$F$2,EOMONTH(AV$2,-1)+1,$C134:$F134)*VLOOKUP(AV$2,Valores!$H$2:$P$154,8,0)</f>
        <v>0</v>
      </c>
      <c r="AW134" s="30" t="n">
        <f aca="false">SUMIF($C$2:$F$2,EOMONTH(AW$2,-1)+1,$C134:$F134)*VLOOKUP(AW$2,Valores!$H$2:$P$154,8,0)</f>
        <v>0</v>
      </c>
      <c r="AX134" s="30" t="n">
        <f aca="false">SUMIF($C$2:$F$2,EOMONTH(AX$2,-1)+1,$C134:$F134)*VLOOKUP(AX$2,Valores!$H$2:$P$154,8,0)</f>
        <v>0</v>
      </c>
      <c r="AY134" s="30" t="n">
        <f aca="false">SUMIF($C$2:$F$2,EOMONTH(AY$2,-1)+1,$C134:$F134)*VLOOKUP(AY$2,Valores!$H$2:$P$154,8,0)</f>
        <v>0</v>
      </c>
      <c r="AZ134" s="30" t="n">
        <f aca="false">SUMIF($C$2:$F$2,EOMONTH(AZ$2,-1)+1,$C134:$F134)*VLOOKUP(AZ$2,Valores!$H$2:$P$154,8,0)</f>
        <v>0</v>
      </c>
      <c r="BA134" s="30" t="n">
        <f aca="false">SUMIF($C$2:$F$2,EOMONTH(BA$2,-1)+1,$C134:$F134)*VLOOKUP(BA$2,Valores!$H$2:$P$154,8,0)</f>
        <v>0</v>
      </c>
      <c r="BB134" s="30" t="n">
        <f aca="false">SUMIF($C$2:$F$2,EOMONTH(BB$2,-1)+1,$C134:$F134)*VLOOKUP(BB$2,Valores!$H$2:$P$154,8,0)</f>
        <v>0</v>
      </c>
      <c r="BC134" s="30" t="n">
        <f aca="false">SUMIF($C$2:$F$2,EOMONTH(BC$2,-1)+1,$C134:$F134)*VLOOKUP(BC$2,Valores!$H$2:$P$154,8,0)</f>
        <v>0</v>
      </c>
      <c r="BD134" s="30" t="n">
        <f aca="false">SUMIF($C$2:$F$2,EOMONTH(BD$2,-1)+1,$C134:$F134)*VLOOKUP(BD$2,Valores!$H$2:$P$154,8,0)</f>
        <v>0</v>
      </c>
      <c r="BE134" s="30" t="n">
        <f aca="false">SUMIF($C$2:$F$2,EOMONTH(BE$2,-1)+1,$C134:$F134)*VLOOKUP(BE$2,Valores!$H$2:$P$154,8,0)</f>
        <v>0</v>
      </c>
      <c r="BF134" s="30" t="n">
        <f aca="false">SUMIF($C$2:$F$2,EOMONTH(BF$2,-1)+1,$C134:$F134)*VLOOKUP(BF$2,Valores!$H$2:$P$154,8,0)</f>
        <v>0</v>
      </c>
      <c r="BG134" s="30" t="n">
        <f aca="false">SUMIF($C$2:$F$2,EOMONTH(BG$2,-1)+1,$C134:$F134)*VLOOKUP(BG$2,Valores!$H$2:$P$154,8,0)</f>
        <v>0</v>
      </c>
      <c r="BH134" s="30" t="n">
        <f aca="false">SUMIF($C$2:$F$2,EOMONTH(BH$2,-1)+1,$C134:$F134)*VLOOKUP(BH$2,Valores!$H$2:$P$154,8,0)</f>
        <v>0</v>
      </c>
      <c r="BI134" s="30" t="n">
        <f aca="false">SUMIF($C$2:$F$2,EOMONTH(BI$2,-1)+1,$C134:$F134)*VLOOKUP(BI$2,Valores!$H$2:$P$154,8,0)</f>
        <v>0</v>
      </c>
      <c r="BJ134" s="30" t="n">
        <f aca="false">SUMIF($C$2:$F$2,EOMONTH(BJ$2,-1)+1,$C134:$F134)*VLOOKUP(BJ$2,Valores!$H$2:$P$154,8,0)</f>
        <v>0</v>
      </c>
      <c r="BK134" s="30" t="n">
        <f aca="false">SUMIF($C$2:$F$2,EOMONTH(BK$2,-1)+1,$C134:$F134)*VLOOKUP(BK$2,Valores!$H$2:$P$154,8,0)</f>
        <v>0</v>
      </c>
      <c r="BL134" s="30" t="n">
        <f aca="false">SUMIF($C$2:$F$2,EOMONTH(BL$2,-1)+1,$C134:$F134)*VLOOKUP(BL$2,Valores!$H$2:$P$154,8,0)</f>
        <v>0</v>
      </c>
      <c r="BM134" s="30" t="n">
        <f aca="false">SUMIF($C$2:$F$2,EOMONTH(BM$2,-1)+1,$C134:$F134)*VLOOKUP(BM$2,Valores!$H$2:$P$154,8,0)</f>
        <v>0</v>
      </c>
      <c r="BN134" s="30" t="n">
        <f aca="false">SUMIF($C$2:$F$2,EOMONTH(BN$2,-1)+1,$C134:$F134)*VLOOKUP(BN$2,Valores!$H$2:$P$154,8,0)</f>
        <v>0</v>
      </c>
      <c r="BO134" s="30" t="n">
        <f aca="false">SUMIF($C$2:$F$2,EOMONTH(BO$2,-1)+1,$C134:$F134)*VLOOKUP(BO$2,Valores!$H$2:$P$154,8,0)</f>
        <v>0</v>
      </c>
      <c r="BP134" s="30" t="n">
        <f aca="false">SUMIF($C$2:$F$2,EOMONTH(BP$2,-1)+1,$C134:$F134)*VLOOKUP(BP$2,Valores!$H$2:$P$154,8,0)</f>
        <v>0</v>
      </c>
      <c r="BQ134" s="30" t="n">
        <f aca="false">SUMIF($C$2:$F$2,EOMONTH(BQ$2,-1)+1,$C134:$F134)*VLOOKUP(BQ$2,Valores!$H$2:$P$154,8,0)</f>
        <v>0</v>
      </c>
      <c r="BR134" s="30" t="n">
        <f aca="false">SUMIF($C$2:$F$2,EOMONTH(BR$2,-1)+1,$C134:$F134)*VLOOKUP(BR$2,Valores!$H$2:$P$154,8,0)</f>
        <v>0</v>
      </c>
      <c r="BS134" s="30" t="n">
        <f aca="false">SUMIF($C$2:$F$2,EOMONTH(BS$2,-1)+1,$C134:$F134)*VLOOKUP(BS$2,Valores!$H$2:$P$154,8,0)</f>
        <v>0</v>
      </c>
      <c r="BT134" s="30" t="n">
        <f aca="false">SUMIF($C$2:$F$2,EOMONTH(BT$2,-1)+1,$C134:$F134)*VLOOKUP(BT$2,Valores!$H$2:$P$154,8,0)</f>
        <v>0</v>
      </c>
      <c r="BU134" s="30" t="n">
        <f aca="false">SUMIF($C$2:$F$2,EOMONTH(BU$2,-1)+1,$C134:$F134)*VLOOKUP(BU$2,Valores!$H$2:$P$154,8,0)</f>
        <v>0</v>
      </c>
      <c r="BV134" s="30" t="n">
        <f aca="false">SUMIF($C$2:$F$2,EOMONTH(BV$2,-1)+1,$C134:$F134)*VLOOKUP(BV$2,Valores!$H$2:$P$154,8,0)</f>
        <v>0</v>
      </c>
      <c r="BW134" s="30" t="n">
        <f aca="false">SUMIF($C$2:$F$2,EOMONTH(BW$2,-1)+1,$C134:$F134)*VLOOKUP(BW$2,Valores!$H$2:$P$154,8,0)</f>
        <v>0</v>
      </c>
      <c r="BX134" s="30" t="n">
        <f aca="false">SUMIF($C$2:$F$2,EOMONTH(BX$2,-1)+1,$C134:$F134)*VLOOKUP(BX$2,Valores!$H$2:$P$154,8,0)</f>
        <v>0</v>
      </c>
      <c r="BY134" s="30" t="n">
        <f aca="false">SUMIF($C$2:$F$2,EOMONTH(BY$2,-1)+1,$C134:$F134)*VLOOKUP(BY$2,Valores!$H$2:$P$154,8,0)</f>
        <v>0</v>
      </c>
      <c r="BZ134" s="30" t="n">
        <f aca="false">SUMIF($C$2:$F$2,EOMONTH(BZ$2,-1)+1,$C134:$F134)*VLOOKUP(BZ$2,Valores!$H$2:$P$154,8,0)</f>
        <v>0</v>
      </c>
      <c r="CA134" s="30" t="n">
        <f aca="false">SUMIF($C$2:$F$2,EOMONTH(CA$2,-1)+1,$C134:$F134)*VLOOKUP(CA$2,Valores!$H$2:$P$154,8,0)</f>
        <v>0</v>
      </c>
      <c r="CB134" s="30" t="n">
        <f aca="false">SUMIF($C$2:$F$2,EOMONTH(CB$2,-1)+1,$C134:$F134)*VLOOKUP(CB$2,Valores!$H$2:$P$154,8,0)</f>
        <v>0</v>
      </c>
      <c r="CC134" s="30" t="n">
        <f aca="false">SUMIF($C$2:$F$2,EOMONTH(CC$2,-1)+1,$C134:$F134)*VLOOKUP(CC$2,Valores!$H$2:$P$154,8,0)</f>
        <v>0</v>
      </c>
      <c r="CD134" s="30" t="n">
        <f aca="false">SUMIF($C$2:$F$2,EOMONTH(CD$2,-1)+1,$C134:$F134)*VLOOKUP(CD$2,Valores!$H$2:$P$154,8,0)</f>
        <v>0</v>
      </c>
      <c r="CE134" s="30" t="n">
        <f aca="false">SUMIF($C$2:$F$2,EOMONTH(CE$2,-1)+1,$C134:$F134)*VLOOKUP(CE$2,Valores!$H$2:$P$154,8,0)</f>
        <v>0</v>
      </c>
      <c r="CF134" s="30" t="n">
        <f aca="false">SUMIF($C$2:$F$2,EOMONTH(CF$2,-1)+1,$C134:$F134)*VLOOKUP(CF$2,Valores!$H$2:$P$154,8,0)</f>
        <v>0</v>
      </c>
      <c r="CG134" s="30" t="n">
        <f aca="false">SUMIF($C$2:$F$2,EOMONTH(CG$2,-1)+1,$C134:$F134)*VLOOKUP(CG$2,Valores!$H$2:$P$154,8,0)</f>
        <v>0</v>
      </c>
      <c r="CH134" s="30" t="n">
        <f aca="false">SUMIF($C$2:$F$2,EOMONTH(CH$2,-1)+1,$C134:$F134)*VLOOKUP(CH$2,Valores!$H$2:$P$154,8,0)</f>
        <v>0</v>
      </c>
      <c r="CI134" s="30" t="n">
        <f aca="false">SUMIF($C$2:$F$2,EOMONTH(CI$2,-1)+1,$C134:$F134)*VLOOKUP(CI$2,Valores!$H$2:$P$154,8,0)</f>
        <v>0</v>
      </c>
      <c r="CJ134" s="30" t="n">
        <f aca="false">SUMIF($C$2:$F$2,EOMONTH(CJ$2,-1)+1,$C134:$F134)*VLOOKUP(CJ$2,Valores!$H$2:$P$154,8,0)</f>
        <v>0</v>
      </c>
      <c r="CK134" s="30" t="n">
        <f aca="false">SUMIF($C$2:$F$2,EOMONTH(CK$2,-1)+1,$C134:$F134)*VLOOKUP(CK$2,Valores!$H$2:$P$154,8,0)</f>
        <v>0</v>
      </c>
      <c r="CL134" s="30" t="n">
        <f aca="false">SUMIF($C$2:$F$2,EOMONTH(CL$2,-1)+1,$C134:$F134)*VLOOKUP(CL$2,Valores!$H$2:$P$154,8,0)</f>
        <v>0</v>
      </c>
      <c r="CM134" s="30" t="n">
        <f aca="false">SUMIF($C$2:$F$2,EOMONTH(CM$2,-1)+1,$C134:$F134)*VLOOKUP(CM$2,Valores!$H$2:$P$154,8,0)</f>
        <v>0</v>
      </c>
      <c r="CN134" s="30" t="n">
        <f aca="false">SUMIF($C$2:$F$2,EOMONTH(CN$2,-1)+1,$C134:$F134)*VLOOKUP(CN$2,Valores!$H$2:$P$154,8,0)</f>
        <v>0</v>
      </c>
      <c r="CO134" s="30" t="n">
        <f aca="false">SUMIF($C$2:$F$2,EOMONTH(CO$2,-1)+1,$C134:$F134)*VLOOKUP(CO$2,Valores!$H$2:$P$154,8,0)</f>
        <v>0</v>
      </c>
      <c r="CP134" s="30" t="n">
        <f aca="false">SUMIF($C$2:$F$2,EOMONTH(CP$2,-1)+1,$C134:$F134)*VLOOKUP(CP$2,Valores!$H$2:$P$154,8,0)</f>
        <v>0</v>
      </c>
      <c r="CQ134" s="30" t="n">
        <f aca="false">SUMIF($C$2:$F$2,EOMONTH(CQ$2,-1)+1,$C134:$F134)*VLOOKUP(CQ$2,Valores!$H$2:$P$154,8,0)</f>
        <v>0</v>
      </c>
      <c r="CR134" s="30" t="n">
        <f aca="false">SUMIF($C$2:$F$2,EOMONTH(CR$2,-1)+1,$C134:$F134)*VLOOKUP(CR$2,Valores!$H$2:$P$154,8,0)</f>
        <v>0</v>
      </c>
      <c r="CS134" s="30" t="n">
        <f aca="false">SUMIF($C$2:$F$2,EOMONTH(CS$2,-1)+1,$C134:$F134)*VLOOKUP(CS$2,Valores!$H$2:$P$154,8,0)</f>
        <v>0</v>
      </c>
      <c r="CT134" s="30" t="e">
        <f aca="false">SUMIF($C$2:$F$2,EOMONTH(CT$2,-1)+1,$C134:$F134)*VLOOKUP(CT$2,Valores!$H$2:$P$154,8,0)</f>
        <v>#VALUE!</v>
      </c>
      <c r="CU134" s="30" t="e">
        <f aca="false">SUMIF($C$2:$F$2,EOMONTH(CU$2,-1)+1,$C134:$F134)*VLOOKUP(CU$2,Valores!$H$2:$P$154,8,0)</f>
        <v>#VALUE!</v>
      </c>
      <c r="CV134" s="30" t="e">
        <f aca="false">SUMIF($C$2:$F$2,EOMONTH(CV$2,-1)+1,$C134:$F134)*VLOOKUP(CV$2,Valores!$H$2:$P$154,8,0)</f>
        <v>#VALUE!</v>
      </c>
      <c r="CW134" s="30" t="e">
        <f aca="false">SUMIF($C$2:$F$2,EOMONTH(CW$2,-1)+1,$C134:$F134)*VLOOKUP(CW$2,Valores!$H$2:$P$154,8,0)</f>
        <v>#VALUE!</v>
      </c>
      <c r="CX134" s="30" t="e">
        <f aca="false">SUMIF($C$2:$F$2,EOMONTH(CX$2,-1)+1,$C134:$F134)*VLOOKUP(CX$2,Valores!$H$2:$P$154,8,0)</f>
        <v>#VALUE!</v>
      </c>
      <c r="CY134" s="30" t="e">
        <f aca="false">SUMIF($C$2:$F$2,EOMONTH(CY$2,-1)+1,$C134:$F134)*VLOOKUP(CY$2,Valores!$H$2:$P$154,8,0)</f>
        <v>#VALUE!</v>
      </c>
      <c r="CZ134" s="30" t="e">
        <f aca="false">SUMIF($C$2:$F$2,EOMONTH(CZ$2,-1)+1,$C134:$F134)*VLOOKUP(CZ$2,Valores!$H$2:$P$154,8,0)</f>
        <v>#VALUE!</v>
      </c>
      <c r="DA134" s="30" t="e">
        <f aca="false">SUMIF($C$2:$F$2,EOMONTH(DA$2,-1)+1,$C134:$F134)*VLOOKUP(DA$2,Valores!$H$2:$P$154,8,0)</f>
        <v>#VALUE!</v>
      </c>
      <c r="DB134" s="30" t="e">
        <f aca="false">SUMIF($C$2:$F$2,EOMONTH(DB$2,-1)+1,$C134:$F134)*VLOOKUP(DB$2,Valores!$H$2:$P$154,8,0)</f>
        <v>#VALUE!</v>
      </c>
      <c r="DC134" s="30" t="e">
        <f aca="false">SUMIF($C$2:$F$2,EOMONTH(DC$2,-1)+1,$C134:$F134)*VLOOKUP(DC$2,Valores!$H$2:$P$154,8,0)</f>
        <v>#VALUE!</v>
      </c>
      <c r="DD134" s="30" t="e">
        <f aca="false">SUMIF($C$2:$F$2,EOMONTH(DD$2,-1)+1,$C134:$F134)*VLOOKUP(DD$2,Valores!$H$2:$P$154,8,0)</f>
        <v>#VALUE!</v>
      </c>
      <c r="DE134" s="30" t="e">
        <f aca="false">SUMIF($C$2:$F$2,EOMONTH(DE$2,-1)+1,$C134:$F134)*VLOOKUP(DE$2,Valores!$H$2:$P$154,8,0)</f>
        <v>#VALUE!</v>
      </c>
      <c r="DF134" s="30" t="e">
        <f aca="false">SUMIF($C$2:$F$2,EOMONTH(DF$2,-1)+1,$C134:$F134)*VLOOKUP(DF$2,Valores!$H$2:$P$154,8,0)</f>
        <v>#VALUE!</v>
      </c>
      <c r="DG134" s="30" t="e">
        <f aca="false">SUMIF($C$2:$F$2,EOMONTH(DG$2,-1)+1,$C134:$F134)*VLOOKUP(DG$2,Valores!$H$2:$P$154,8,0)</f>
        <v>#VALUE!</v>
      </c>
      <c r="DH134" s="30" t="e">
        <f aca="false">SUMIF($C$2:$F$2,EOMONTH(DH$2,-1)+1,$C134:$F134)*VLOOKUP(DH$2,Valores!$H$2:$P$154,8,0)</f>
        <v>#VALUE!</v>
      </c>
      <c r="DI134" s="30" t="e">
        <f aca="false">SUMIF($C$2:$F$2,EOMONTH(DI$2,-1)+1,$C134:$F134)*VLOOKUP(DI$2,Valores!$H$2:$P$154,8,0)</f>
        <v>#VALUE!</v>
      </c>
      <c r="DJ134" s="30" t="e">
        <f aca="false">SUMIF($C$2:$F$2,EOMONTH(DJ$2,-1)+1,$C134:$F134)*VLOOKUP(DJ$2,Valores!$H$2:$P$154,8,0)</f>
        <v>#VALUE!</v>
      </c>
      <c r="DK134" s="30" t="e">
        <f aca="false">SUMIF($C$2:$F$2,EOMONTH(DK$2,-1)+1,$C134:$F134)*VLOOKUP(DK$2,Valores!$H$2:$P$154,8,0)</f>
        <v>#VALUE!</v>
      </c>
      <c r="DL134" s="30" t="e">
        <f aca="false">SUMIF($C$2:$F$2,EOMONTH(DL$2,-1)+1,$C134:$F134)*VLOOKUP(DL$2,Valores!$H$2:$P$154,8,0)</f>
        <v>#VALUE!</v>
      </c>
      <c r="DM134" s="30" t="e">
        <f aca="false">SUMIF($C$2:$F$2,EOMONTH(DM$2,-1)+1,$C134:$F134)*VLOOKUP(DM$2,Valores!$H$2:$P$154,8,0)</f>
        <v>#VALUE!</v>
      </c>
      <c r="DN134" s="30" t="e">
        <f aca="false">SUMIF($C$2:$F$2,EOMONTH(DN$2,-1)+1,$C134:$F134)*VLOOKUP(DN$2,Valores!$H$2:$P$154,8,0)</f>
        <v>#VALUE!</v>
      </c>
      <c r="DO134" s="30" t="e">
        <f aca="false">SUMIF($C$2:$F$2,EOMONTH(DO$2,-1)+1,$C134:$F134)*VLOOKUP(DO$2,Valores!$H$2:$P$154,8,0)</f>
        <v>#VALUE!</v>
      </c>
      <c r="DP134" s="30" t="e">
        <f aca="false">SUMIF($C$2:$F$2,EOMONTH(DP$2,-1)+1,$C134:$F134)*VLOOKUP(DP$2,Valores!$H$2:$P$154,8,0)</f>
        <v>#VALUE!</v>
      </c>
      <c r="DQ134" s="30" t="e">
        <f aca="false">SUMIF($C$2:$F$2,EOMONTH(DQ$2,-1)+1,$C134:$F134)*VLOOKUP(DQ$2,Valores!$H$2:$P$154,8,0)</f>
        <v>#VALUE!</v>
      </c>
      <c r="DR134" s="30" t="e">
        <f aca="false">SUMIF($C$2:$F$2,EOMONTH(DR$2,-1)+1,$C134:$F134)*VLOOKUP(DR$2,Valores!$H$2:$P$154,8,0)</f>
        <v>#VALUE!</v>
      </c>
      <c r="DS134" s="30" t="e">
        <f aca="false">SUMIF($C$2:$F$2,EOMONTH(DS$2,-1)+1,$C134:$F134)*VLOOKUP(DS$2,Valores!$H$2:$P$154,8,0)</f>
        <v>#VALUE!</v>
      </c>
      <c r="DT134" s="30" t="e">
        <f aca="false">SUMIF($C$2:$F$2,EOMONTH(DT$2,-1)+1,$C134:$F134)*VLOOKUP(DT$2,Valores!$H$2:$P$154,8,0)</f>
        <v>#VALUE!</v>
      </c>
      <c r="DU134" s="30" t="e">
        <f aca="false">SUMIF($C$2:$F$2,EOMONTH(DU$2,-1)+1,$C134:$F134)*VLOOKUP(DU$2,Valores!$H$2:$P$154,8,0)</f>
        <v>#VALUE!</v>
      </c>
      <c r="DV134" s="30" t="e">
        <f aca="false">SUMIF($C$2:$F$2,EOMONTH(DV$2,-1)+1,$C134:$F134)*VLOOKUP(DV$2,Valores!$H$2:$P$154,8,0)</f>
        <v>#VALUE!</v>
      </c>
      <c r="DW134" s="30" t="e">
        <f aca="false">SUMIF($C$2:$F$2,EOMONTH(DW$2,-1)+1,$C134:$F134)*VLOOKUP(DW$2,Valores!$H$2:$P$154,8,0)</f>
        <v>#VALUE!</v>
      </c>
      <c r="DX134" s="30" t="e">
        <f aca="false">SUMIF($C$2:$F$2,EOMONTH(DX$2,-1)+1,$C134:$F134)*VLOOKUP(DX$2,Valores!$H$2:$P$154,8,0)</f>
        <v>#VALUE!</v>
      </c>
    </row>
    <row r="135" customFormat="false" ht="13.8" hidden="false" customHeight="false" outlineLevel="0" collapsed="false">
      <c r="A135" s="31"/>
      <c r="B135" s="31"/>
      <c r="C135" s="31"/>
      <c r="D135" s="31"/>
      <c r="E135" s="31"/>
      <c r="F135" s="31"/>
      <c r="G135" s="27" t="n">
        <f aca="false">SUMIF($C$2:$F$2,EOMONTH(G$2,-1)+1,$C135:$F135)*VLOOKUP(G$2,Valores!$H$2:$P$154,8,0)</f>
        <v>0</v>
      </c>
      <c r="H135" s="27" t="n">
        <f aca="false">SUMIF($C$2:$F$2,EOMONTH(H$2,-1)+1,$C135:$F135)*VLOOKUP(H$2,Valores!$H$2:$P$154,8,0)</f>
        <v>0</v>
      </c>
      <c r="I135" s="27" t="n">
        <f aca="false">SUMIF($C$2:$F$2,EOMONTH(I$2,-1)+1,$C135:$F135)*VLOOKUP(I$2,Valores!$H$2:$P$154,8,0)</f>
        <v>0</v>
      </c>
      <c r="J135" s="27" t="n">
        <f aca="false">SUMIF($C$2:$F$2,EOMONTH(J$2,-1)+1,$C135:$F135)*VLOOKUP(J$2,Valores!$H$2:$P$154,8,0)</f>
        <v>0</v>
      </c>
      <c r="K135" s="27" t="n">
        <f aca="false">SUMIF($C$2:$F$2,EOMONTH(K$2,-1)+1,$C135:$F135)*VLOOKUP(K$2,Valores!$H$2:$P$154,8,0)</f>
        <v>0</v>
      </c>
      <c r="L135" s="27" t="n">
        <f aca="false">SUMIF($C$2:$F$2,EOMONTH(L$2,-1)+1,$C135:$F135)*VLOOKUP(L$2,Valores!$H$2:$P$154,8,0)</f>
        <v>0</v>
      </c>
      <c r="M135" s="27" t="n">
        <f aca="false">SUMIF($C$2:$F$2,EOMONTH(M$2,-1)+1,$C135:$F135)*VLOOKUP(M$2,Valores!$H$2:$P$154,8,0)</f>
        <v>0</v>
      </c>
      <c r="N135" s="27" t="n">
        <f aca="false">SUMIF($C$2:$F$2,EOMONTH(N$2,-1)+1,$C135:$F135)*VLOOKUP(N$2,Valores!$H$2:$P$154,8,0)</f>
        <v>0</v>
      </c>
      <c r="O135" s="27" t="n">
        <f aca="false">SUMIF($C$2:$F$2,EOMONTH(O$2,-1)+1,$C135:$F135)*VLOOKUP(O$2,Valores!$H$2:$P$154,8,0)</f>
        <v>0</v>
      </c>
      <c r="P135" s="27" t="n">
        <f aca="false">SUMIF($C$2:$F$2,EOMONTH(P$2,-1)+1,$C135:$F135)*VLOOKUP(P$2,Valores!$H$2:$P$154,8,0)</f>
        <v>0</v>
      </c>
      <c r="Q135" s="27" t="n">
        <f aca="false">SUMIF($C$2:$F$2,EOMONTH(Q$2,-1)+1,$C135:$F135)*VLOOKUP(Q$2,Valores!$H$2:$P$154,8,0)</f>
        <v>0</v>
      </c>
      <c r="R135" s="27" t="n">
        <f aca="false">SUMIF($C$2:$F$2,EOMONTH(R$2,-1)+1,$C135:$F135)*VLOOKUP(R$2,Valores!$H$2:$P$154,8,0)</f>
        <v>0</v>
      </c>
      <c r="S135" s="27" t="n">
        <f aca="false">SUMIF($C$2:$F$2,EOMONTH(S$2,-1)+1,$C135:$F135)*VLOOKUP(S$2,Valores!$H$2:$P$154,8,0)</f>
        <v>0</v>
      </c>
      <c r="T135" s="27" t="n">
        <f aca="false">SUMIF($C$2:$F$2,EOMONTH(T$2,-1)+1,$C135:$F135)*VLOOKUP(T$2,Valores!$H$2:$P$154,8,0)</f>
        <v>0</v>
      </c>
      <c r="U135" s="27" t="n">
        <f aca="false">SUMIF($C$2:$F$2,EOMONTH(U$2,-1)+1,$C135:$F135)*VLOOKUP(U$2,Valores!$H$2:$P$154,8,0)</f>
        <v>0</v>
      </c>
      <c r="V135" s="27" t="n">
        <f aca="false">SUMIF($C$2:$F$2,EOMONTH(V$2,-1)+1,$C135:$F135)*VLOOKUP(V$2,Valores!$H$2:$P$154,8,0)</f>
        <v>0</v>
      </c>
      <c r="W135" s="27" t="n">
        <f aca="false">SUMIF($C$2:$F$2,EOMONTH(W$2,-1)+1,$C135:$F135)*VLOOKUP(W$2,Valores!$H$2:$P$154,8,0)</f>
        <v>0</v>
      </c>
      <c r="X135" s="27" t="n">
        <f aca="false">SUMIF($C$2:$F$2,EOMONTH(X$2,-1)+1,$C135:$F135)*VLOOKUP(X$2,Valores!$H$2:$P$154,8,0)</f>
        <v>0</v>
      </c>
      <c r="Y135" s="27" t="n">
        <f aca="false">SUMIF($C$2:$F$2,EOMONTH(Y$2,-1)+1,$C135:$F135)*VLOOKUP(Y$2,Valores!$H$2:$P$154,8,0)</f>
        <v>0</v>
      </c>
      <c r="Z135" s="27" t="n">
        <f aca="false">SUMIF($C$2:$F$2,EOMONTH(Z$2,-1)+1,$C135:$F135)*VLOOKUP(Z$2,Valores!$H$2:$P$154,8,0)</f>
        <v>0</v>
      </c>
      <c r="AA135" s="27" t="n">
        <f aca="false">SUMIF($C$2:$F$2,EOMONTH(AA$2,-1)+1,$C135:$F135)*VLOOKUP(AA$2,Valores!$H$2:$P$154,8,0)</f>
        <v>0</v>
      </c>
      <c r="AB135" s="27" t="n">
        <f aca="false">SUMIF($C$2:$F$2,EOMONTH(AB$2,-1)+1,$C135:$F135)*VLOOKUP(AB$2,Valores!$H$2:$P$154,8,0)</f>
        <v>0</v>
      </c>
      <c r="AC135" s="27" t="n">
        <f aca="false">SUMIF($C$2:$F$2,EOMONTH(AC$2,-1)+1,$C135:$F135)*VLOOKUP(AC$2,Valores!$H$2:$P$154,8,0)</f>
        <v>0</v>
      </c>
      <c r="AD135" s="27" t="n">
        <f aca="false">SUMIF($C$2:$F$2,EOMONTH(AD$2,-1)+1,$C135:$F135)*VLOOKUP(AD$2,Valores!$H$2:$P$154,8,0)</f>
        <v>0</v>
      </c>
      <c r="AE135" s="27" t="n">
        <f aca="false">SUMIF($C$2:$F$2,EOMONTH(AE$2,-1)+1,$C135:$F135)*VLOOKUP(AE$2,Valores!$H$2:$P$154,8,0)</f>
        <v>0</v>
      </c>
      <c r="AF135" s="27" t="n">
        <f aca="false">SUMIF($C$2:$F$2,EOMONTH(AF$2,-1)+1,$C135:$F135)*VLOOKUP(AF$2,Valores!$H$2:$P$154,8,0)</f>
        <v>0</v>
      </c>
      <c r="AG135" s="27" t="n">
        <f aca="false">SUMIF($C$2:$F$2,EOMONTH(AG$2,-1)+1,$C135:$F135)*VLOOKUP(AG$2,Valores!$H$2:$P$154,8,0)</f>
        <v>0</v>
      </c>
      <c r="AH135" s="27" t="n">
        <f aca="false">SUMIF($C$2:$F$2,EOMONTH(AH$2,-1)+1,$C135:$F135)*VLOOKUP(AH$2,Valores!$H$2:$P$154,8,0)</f>
        <v>0</v>
      </c>
      <c r="AI135" s="27" t="n">
        <f aca="false">SUMIF($C$2:$F$2,EOMONTH(AI$2,-1)+1,$C135:$F135)*VLOOKUP(AI$2,Valores!$H$2:$P$154,8,0)</f>
        <v>0</v>
      </c>
      <c r="AJ135" s="27" t="n">
        <f aca="false">SUMIF($C$2:$F$2,EOMONTH(AJ$2,-1)+1,$C135:$F135)*VLOOKUP(AJ$2,Valores!$H$2:$P$154,8,0)</f>
        <v>0</v>
      </c>
      <c r="AK135" s="27" t="n">
        <f aca="false">SUMIF($C$2:$F$2,EOMONTH(AK$2,-1)+1,$C135:$F135)*VLOOKUP(AK$2,Valores!$H$2:$P$154,8,0)</f>
        <v>0</v>
      </c>
      <c r="AL135" s="27" t="n">
        <f aca="false">SUMIF($C$2:$F$2,EOMONTH(AL$2,-1)+1,$C135:$F135)*VLOOKUP(AL$2,Valores!$H$2:$P$154,8,0)</f>
        <v>0</v>
      </c>
      <c r="AM135" s="27" t="n">
        <f aca="false">SUMIF($C$2:$F$2,EOMONTH(AM$2,-1)+1,$C135:$F135)*VLOOKUP(AM$2,Valores!$H$2:$P$154,8,0)</f>
        <v>0</v>
      </c>
      <c r="AN135" s="27" t="n">
        <f aca="false">SUMIF($C$2:$F$2,EOMONTH(AN$2,-1)+1,$C135:$F135)*VLOOKUP(AN$2,Valores!$H$2:$P$154,8,0)</f>
        <v>0</v>
      </c>
      <c r="AO135" s="27" t="n">
        <f aca="false">SUMIF($C$2:$F$2,EOMONTH(AO$2,-1)+1,$C135:$F135)*VLOOKUP(AO$2,Valores!$H$2:$P$154,8,0)</f>
        <v>0</v>
      </c>
      <c r="AP135" s="27" t="n">
        <f aca="false">SUMIF($C$2:$F$2,EOMONTH(AP$2,-1)+1,$C135:$F135)*VLOOKUP(AP$2,Valores!$H$2:$P$154,8,0)</f>
        <v>0</v>
      </c>
      <c r="AQ135" s="27" t="n">
        <f aca="false">SUMIF($C$2:$F$2,EOMONTH(AQ$2,-1)+1,$C135:$F135)*VLOOKUP(AQ$2,Valores!$H$2:$P$154,8,0)</f>
        <v>0</v>
      </c>
      <c r="AR135" s="27" t="n">
        <f aca="false">SUMIF($C$2:$F$2,EOMONTH(AR$2,-1)+1,$C135:$F135)*VLOOKUP(AR$2,Valores!$H$2:$P$154,8,0)</f>
        <v>0</v>
      </c>
      <c r="AS135" s="27" t="n">
        <f aca="false">SUMIF($C$2:$F$2,EOMONTH(AS$2,-1)+1,$C135:$F135)*VLOOKUP(AS$2,Valores!$H$2:$P$154,8,0)</f>
        <v>0</v>
      </c>
      <c r="AT135" s="27" t="n">
        <f aca="false">SUMIF($C$2:$F$2,EOMONTH(AT$2,-1)+1,$C135:$F135)*VLOOKUP(AT$2,Valores!$H$2:$P$154,8,0)</f>
        <v>0</v>
      </c>
      <c r="AU135" s="27" t="n">
        <f aca="false">SUMIF($C$2:$F$2,EOMONTH(AU$2,-1)+1,$C135:$F135)*VLOOKUP(AU$2,Valores!$H$2:$P$154,8,0)</f>
        <v>0</v>
      </c>
      <c r="AV135" s="27" t="n">
        <f aca="false">SUMIF($C$2:$F$2,EOMONTH(AV$2,-1)+1,$C135:$F135)*VLOOKUP(AV$2,Valores!$H$2:$P$154,8,0)</f>
        <v>0</v>
      </c>
      <c r="AW135" s="27" t="n">
        <f aca="false">SUMIF($C$2:$F$2,EOMONTH(AW$2,-1)+1,$C135:$F135)*VLOOKUP(AW$2,Valores!$H$2:$P$154,8,0)</f>
        <v>0</v>
      </c>
      <c r="AX135" s="27" t="n">
        <f aca="false">SUMIF($C$2:$F$2,EOMONTH(AX$2,-1)+1,$C135:$F135)*VLOOKUP(AX$2,Valores!$H$2:$P$154,8,0)</f>
        <v>0</v>
      </c>
      <c r="AY135" s="27" t="n">
        <f aca="false">SUMIF($C$2:$F$2,EOMONTH(AY$2,-1)+1,$C135:$F135)*VLOOKUP(AY$2,Valores!$H$2:$P$154,8,0)</f>
        <v>0</v>
      </c>
      <c r="AZ135" s="27" t="n">
        <f aca="false">SUMIF($C$2:$F$2,EOMONTH(AZ$2,-1)+1,$C135:$F135)*VLOOKUP(AZ$2,Valores!$H$2:$P$154,8,0)</f>
        <v>0</v>
      </c>
      <c r="BA135" s="27" t="n">
        <f aca="false">SUMIF($C$2:$F$2,EOMONTH(BA$2,-1)+1,$C135:$F135)*VLOOKUP(BA$2,Valores!$H$2:$P$154,8,0)</f>
        <v>0</v>
      </c>
      <c r="BB135" s="27" t="n">
        <f aca="false">SUMIF($C$2:$F$2,EOMONTH(BB$2,-1)+1,$C135:$F135)*VLOOKUP(BB$2,Valores!$H$2:$P$154,8,0)</f>
        <v>0</v>
      </c>
      <c r="BC135" s="27" t="n">
        <f aca="false">SUMIF($C$2:$F$2,EOMONTH(BC$2,-1)+1,$C135:$F135)*VLOOKUP(BC$2,Valores!$H$2:$P$154,8,0)</f>
        <v>0</v>
      </c>
      <c r="BD135" s="27" t="n">
        <f aca="false">SUMIF($C$2:$F$2,EOMONTH(BD$2,-1)+1,$C135:$F135)*VLOOKUP(BD$2,Valores!$H$2:$P$154,8,0)</f>
        <v>0</v>
      </c>
      <c r="BE135" s="27" t="n">
        <f aca="false">SUMIF($C$2:$F$2,EOMONTH(BE$2,-1)+1,$C135:$F135)*VLOOKUP(BE$2,Valores!$H$2:$P$154,8,0)</f>
        <v>0</v>
      </c>
      <c r="BF135" s="27" t="n">
        <f aca="false">SUMIF($C$2:$F$2,EOMONTH(BF$2,-1)+1,$C135:$F135)*VLOOKUP(BF$2,Valores!$H$2:$P$154,8,0)</f>
        <v>0</v>
      </c>
      <c r="BG135" s="27" t="n">
        <f aca="false">SUMIF($C$2:$F$2,EOMONTH(BG$2,-1)+1,$C135:$F135)*VLOOKUP(BG$2,Valores!$H$2:$P$154,8,0)</f>
        <v>0</v>
      </c>
      <c r="BH135" s="27" t="n">
        <f aca="false">SUMIF($C$2:$F$2,EOMONTH(BH$2,-1)+1,$C135:$F135)*VLOOKUP(BH$2,Valores!$H$2:$P$154,8,0)</f>
        <v>0</v>
      </c>
      <c r="BI135" s="27" t="n">
        <f aca="false">SUMIF($C$2:$F$2,EOMONTH(BI$2,-1)+1,$C135:$F135)*VLOOKUP(BI$2,Valores!$H$2:$P$154,8,0)</f>
        <v>0</v>
      </c>
      <c r="BJ135" s="27" t="n">
        <f aca="false">SUMIF($C$2:$F$2,EOMONTH(BJ$2,-1)+1,$C135:$F135)*VLOOKUP(BJ$2,Valores!$H$2:$P$154,8,0)</f>
        <v>0</v>
      </c>
      <c r="BK135" s="27" t="n">
        <f aca="false">SUMIF($C$2:$F$2,EOMONTH(BK$2,-1)+1,$C135:$F135)*VLOOKUP(BK$2,Valores!$H$2:$P$154,8,0)</f>
        <v>0</v>
      </c>
      <c r="BL135" s="27" t="n">
        <f aca="false">SUMIF($C$2:$F$2,EOMONTH(BL$2,-1)+1,$C135:$F135)*VLOOKUP(BL$2,Valores!$H$2:$P$154,8,0)</f>
        <v>0</v>
      </c>
      <c r="BM135" s="27" t="n">
        <f aca="false">SUMIF($C$2:$F$2,EOMONTH(BM$2,-1)+1,$C135:$F135)*VLOOKUP(BM$2,Valores!$H$2:$P$154,8,0)</f>
        <v>0</v>
      </c>
      <c r="BN135" s="27" t="n">
        <f aca="false">SUMIF($C$2:$F$2,EOMONTH(BN$2,-1)+1,$C135:$F135)*VLOOKUP(BN$2,Valores!$H$2:$P$154,8,0)</f>
        <v>0</v>
      </c>
      <c r="BO135" s="27" t="n">
        <f aca="false">SUMIF($C$2:$F$2,EOMONTH(BO$2,-1)+1,$C135:$F135)*VLOOKUP(BO$2,Valores!$H$2:$P$154,8,0)</f>
        <v>0</v>
      </c>
      <c r="BP135" s="27" t="n">
        <f aca="false">SUMIF($C$2:$F$2,EOMONTH(BP$2,-1)+1,$C135:$F135)*VLOOKUP(BP$2,Valores!$H$2:$P$154,8,0)</f>
        <v>0</v>
      </c>
      <c r="BQ135" s="27" t="n">
        <f aca="false">SUMIF($C$2:$F$2,EOMONTH(BQ$2,-1)+1,$C135:$F135)*VLOOKUP(BQ$2,Valores!$H$2:$P$154,8,0)</f>
        <v>0</v>
      </c>
      <c r="BR135" s="27" t="n">
        <f aca="false">SUMIF($C$2:$F$2,EOMONTH(BR$2,-1)+1,$C135:$F135)*VLOOKUP(BR$2,Valores!$H$2:$P$154,8,0)</f>
        <v>0</v>
      </c>
      <c r="BS135" s="27" t="n">
        <f aca="false">SUMIF($C$2:$F$2,EOMONTH(BS$2,-1)+1,$C135:$F135)*VLOOKUP(BS$2,Valores!$H$2:$P$154,8,0)</f>
        <v>0</v>
      </c>
      <c r="BT135" s="27" t="n">
        <f aca="false">SUMIF($C$2:$F$2,EOMONTH(BT$2,-1)+1,$C135:$F135)*VLOOKUP(BT$2,Valores!$H$2:$P$154,8,0)</f>
        <v>0</v>
      </c>
      <c r="BU135" s="27" t="n">
        <f aca="false">SUMIF($C$2:$F$2,EOMONTH(BU$2,-1)+1,$C135:$F135)*VLOOKUP(BU$2,Valores!$H$2:$P$154,8,0)</f>
        <v>0</v>
      </c>
      <c r="BV135" s="27" t="n">
        <f aca="false">SUMIF($C$2:$F$2,EOMONTH(BV$2,-1)+1,$C135:$F135)*VLOOKUP(BV$2,Valores!$H$2:$P$154,8,0)</f>
        <v>0</v>
      </c>
      <c r="BW135" s="27" t="n">
        <f aca="false">SUMIF($C$2:$F$2,EOMONTH(BW$2,-1)+1,$C135:$F135)*VLOOKUP(BW$2,Valores!$H$2:$P$154,8,0)</f>
        <v>0</v>
      </c>
      <c r="BX135" s="27" t="n">
        <f aca="false">SUMIF($C$2:$F$2,EOMONTH(BX$2,-1)+1,$C135:$F135)*VLOOKUP(BX$2,Valores!$H$2:$P$154,8,0)</f>
        <v>0</v>
      </c>
      <c r="BY135" s="27" t="n">
        <f aca="false">SUMIF($C$2:$F$2,EOMONTH(BY$2,-1)+1,$C135:$F135)*VLOOKUP(BY$2,Valores!$H$2:$P$154,8,0)</f>
        <v>0</v>
      </c>
      <c r="BZ135" s="27" t="n">
        <f aca="false">SUMIF($C$2:$F$2,EOMONTH(BZ$2,-1)+1,$C135:$F135)*VLOOKUP(BZ$2,Valores!$H$2:$P$154,8,0)</f>
        <v>0</v>
      </c>
      <c r="CA135" s="27" t="n">
        <f aca="false">SUMIF($C$2:$F$2,EOMONTH(CA$2,-1)+1,$C135:$F135)*VLOOKUP(CA$2,Valores!$H$2:$P$154,8,0)</f>
        <v>0</v>
      </c>
      <c r="CB135" s="27" t="n">
        <f aca="false">SUMIF($C$2:$F$2,EOMONTH(CB$2,-1)+1,$C135:$F135)*VLOOKUP(CB$2,Valores!$H$2:$P$154,8,0)</f>
        <v>0</v>
      </c>
      <c r="CC135" s="27" t="n">
        <f aca="false">SUMIF($C$2:$F$2,EOMONTH(CC$2,-1)+1,$C135:$F135)*VLOOKUP(CC$2,Valores!$H$2:$P$154,8,0)</f>
        <v>0</v>
      </c>
      <c r="CD135" s="27" t="n">
        <f aca="false">SUMIF($C$2:$F$2,EOMONTH(CD$2,-1)+1,$C135:$F135)*VLOOKUP(CD$2,Valores!$H$2:$P$154,8,0)</f>
        <v>0</v>
      </c>
      <c r="CE135" s="27" t="n">
        <f aca="false">SUMIF($C$2:$F$2,EOMONTH(CE$2,-1)+1,$C135:$F135)*VLOOKUP(CE$2,Valores!$H$2:$P$154,8,0)</f>
        <v>0</v>
      </c>
      <c r="CF135" s="27" t="n">
        <f aca="false">SUMIF($C$2:$F$2,EOMONTH(CF$2,-1)+1,$C135:$F135)*VLOOKUP(CF$2,Valores!$H$2:$P$154,8,0)</f>
        <v>0</v>
      </c>
      <c r="CG135" s="27" t="n">
        <f aca="false">SUMIF($C$2:$F$2,EOMONTH(CG$2,-1)+1,$C135:$F135)*VLOOKUP(CG$2,Valores!$H$2:$P$154,8,0)</f>
        <v>0</v>
      </c>
      <c r="CH135" s="27" t="n">
        <f aca="false">SUMIF($C$2:$F$2,EOMONTH(CH$2,-1)+1,$C135:$F135)*VLOOKUP(CH$2,Valores!$H$2:$P$154,8,0)</f>
        <v>0</v>
      </c>
      <c r="CI135" s="27" t="n">
        <f aca="false">SUMIF($C$2:$F$2,EOMONTH(CI$2,-1)+1,$C135:$F135)*VLOOKUP(CI$2,Valores!$H$2:$P$154,8,0)</f>
        <v>0</v>
      </c>
      <c r="CJ135" s="27" t="n">
        <f aca="false">SUMIF($C$2:$F$2,EOMONTH(CJ$2,-1)+1,$C135:$F135)*VLOOKUP(CJ$2,Valores!$H$2:$P$154,8,0)</f>
        <v>0</v>
      </c>
      <c r="CK135" s="27" t="n">
        <f aca="false">SUMIF($C$2:$F$2,EOMONTH(CK$2,-1)+1,$C135:$F135)*VLOOKUP(CK$2,Valores!$H$2:$P$154,8,0)</f>
        <v>0</v>
      </c>
      <c r="CL135" s="27" t="n">
        <f aca="false">SUMIF($C$2:$F$2,EOMONTH(CL$2,-1)+1,$C135:$F135)*VLOOKUP(CL$2,Valores!$H$2:$P$154,8,0)</f>
        <v>0</v>
      </c>
      <c r="CM135" s="27" t="n">
        <f aca="false">SUMIF($C$2:$F$2,EOMONTH(CM$2,-1)+1,$C135:$F135)*VLOOKUP(CM$2,Valores!$H$2:$P$154,8,0)</f>
        <v>0</v>
      </c>
      <c r="CN135" s="27" t="n">
        <f aca="false">SUMIF($C$2:$F$2,EOMONTH(CN$2,-1)+1,$C135:$F135)*VLOOKUP(CN$2,Valores!$H$2:$P$154,8,0)</f>
        <v>0</v>
      </c>
      <c r="CO135" s="27" t="n">
        <f aca="false">SUMIF($C$2:$F$2,EOMONTH(CO$2,-1)+1,$C135:$F135)*VLOOKUP(CO$2,Valores!$H$2:$P$154,8,0)</f>
        <v>0</v>
      </c>
      <c r="CP135" s="27" t="n">
        <f aca="false">SUMIF($C$2:$F$2,EOMONTH(CP$2,-1)+1,$C135:$F135)*VLOOKUP(CP$2,Valores!$H$2:$P$154,8,0)</f>
        <v>0</v>
      </c>
      <c r="CQ135" s="27" t="n">
        <f aca="false">SUMIF($C$2:$F$2,EOMONTH(CQ$2,-1)+1,$C135:$F135)*VLOOKUP(CQ$2,Valores!$H$2:$P$154,8,0)</f>
        <v>0</v>
      </c>
      <c r="CR135" s="27" t="n">
        <f aca="false">SUMIF($C$2:$F$2,EOMONTH(CR$2,-1)+1,$C135:$F135)*VLOOKUP(CR$2,Valores!$H$2:$P$154,8,0)</f>
        <v>0</v>
      </c>
      <c r="CS135" s="27" t="n">
        <f aca="false">SUMIF($C$2:$F$2,EOMONTH(CS$2,-1)+1,$C135:$F135)*VLOOKUP(CS$2,Valores!$H$2:$P$154,8,0)</f>
        <v>0</v>
      </c>
      <c r="CT135" s="27" t="e">
        <f aca="false">SUMIF($C$2:$F$2,EOMONTH(CT$2,-1)+1,$C135:$F135)*VLOOKUP(CT$2,Valores!$H$2:$P$154,8,0)</f>
        <v>#VALUE!</v>
      </c>
      <c r="CU135" s="27" t="e">
        <f aca="false">SUMIF($C$2:$F$2,EOMONTH(CU$2,-1)+1,$C135:$F135)*VLOOKUP(CU$2,Valores!$H$2:$P$154,8,0)</f>
        <v>#VALUE!</v>
      </c>
      <c r="CV135" s="27" t="e">
        <f aca="false">SUMIF($C$2:$F$2,EOMONTH(CV$2,-1)+1,$C135:$F135)*VLOOKUP(CV$2,Valores!$H$2:$P$154,8,0)</f>
        <v>#VALUE!</v>
      </c>
      <c r="CW135" s="27" t="e">
        <f aca="false">SUMIF($C$2:$F$2,EOMONTH(CW$2,-1)+1,$C135:$F135)*VLOOKUP(CW$2,Valores!$H$2:$P$154,8,0)</f>
        <v>#VALUE!</v>
      </c>
      <c r="CX135" s="27" t="e">
        <f aca="false">SUMIF($C$2:$F$2,EOMONTH(CX$2,-1)+1,$C135:$F135)*VLOOKUP(CX$2,Valores!$H$2:$P$154,8,0)</f>
        <v>#VALUE!</v>
      </c>
      <c r="CY135" s="27" t="e">
        <f aca="false">SUMIF($C$2:$F$2,EOMONTH(CY$2,-1)+1,$C135:$F135)*VLOOKUP(CY$2,Valores!$H$2:$P$154,8,0)</f>
        <v>#VALUE!</v>
      </c>
      <c r="CZ135" s="27" t="e">
        <f aca="false">SUMIF($C$2:$F$2,EOMONTH(CZ$2,-1)+1,$C135:$F135)*VLOOKUP(CZ$2,Valores!$H$2:$P$154,8,0)</f>
        <v>#VALUE!</v>
      </c>
      <c r="DA135" s="27" t="e">
        <f aca="false">SUMIF($C$2:$F$2,EOMONTH(DA$2,-1)+1,$C135:$F135)*VLOOKUP(DA$2,Valores!$H$2:$P$154,8,0)</f>
        <v>#VALUE!</v>
      </c>
      <c r="DB135" s="27" t="e">
        <f aca="false">SUMIF($C$2:$F$2,EOMONTH(DB$2,-1)+1,$C135:$F135)*VLOOKUP(DB$2,Valores!$H$2:$P$154,8,0)</f>
        <v>#VALUE!</v>
      </c>
      <c r="DC135" s="27" t="e">
        <f aca="false">SUMIF($C$2:$F$2,EOMONTH(DC$2,-1)+1,$C135:$F135)*VLOOKUP(DC$2,Valores!$H$2:$P$154,8,0)</f>
        <v>#VALUE!</v>
      </c>
      <c r="DD135" s="27" t="e">
        <f aca="false">SUMIF($C$2:$F$2,EOMONTH(DD$2,-1)+1,$C135:$F135)*VLOOKUP(DD$2,Valores!$H$2:$P$154,8,0)</f>
        <v>#VALUE!</v>
      </c>
      <c r="DE135" s="27" t="e">
        <f aca="false">SUMIF($C$2:$F$2,EOMONTH(DE$2,-1)+1,$C135:$F135)*VLOOKUP(DE$2,Valores!$H$2:$P$154,8,0)</f>
        <v>#VALUE!</v>
      </c>
      <c r="DF135" s="27" t="e">
        <f aca="false">SUMIF($C$2:$F$2,EOMONTH(DF$2,-1)+1,$C135:$F135)*VLOOKUP(DF$2,Valores!$H$2:$P$154,8,0)</f>
        <v>#VALUE!</v>
      </c>
      <c r="DG135" s="27" t="e">
        <f aca="false">SUMIF($C$2:$F$2,EOMONTH(DG$2,-1)+1,$C135:$F135)*VLOOKUP(DG$2,Valores!$H$2:$P$154,8,0)</f>
        <v>#VALUE!</v>
      </c>
      <c r="DH135" s="27" t="e">
        <f aca="false">SUMIF($C$2:$F$2,EOMONTH(DH$2,-1)+1,$C135:$F135)*VLOOKUP(DH$2,Valores!$H$2:$P$154,8,0)</f>
        <v>#VALUE!</v>
      </c>
      <c r="DI135" s="27" t="e">
        <f aca="false">SUMIF($C$2:$F$2,EOMONTH(DI$2,-1)+1,$C135:$F135)*VLOOKUP(DI$2,Valores!$H$2:$P$154,8,0)</f>
        <v>#VALUE!</v>
      </c>
      <c r="DJ135" s="27" t="e">
        <f aca="false">SUMIF($C$2:$F$2,EOMONTH(DJ$2,-1)+1,$C135:$F135)*VLOOKUP(DJ$2,Valores!$H$2:$P$154,8,0)</f>
        <v>#VALUE!</v>
      </c>
      <c r="DK135" s="27" t="e">
        <f aca="false">SUMIF($C$2:$F$2,EOMONTH(DK$2,-1)+1,$C135:$F135)*VLOOKUP(DK$2,Valores!$H$2:$P$154,8,0)</f>
        <v>#VALUE!</v>
      </c>
      <c r="DL135" s="27" t="e">
        <f aca="false">SUMIF($C$2:$F$2,EOMONTH(DL$2,-1)+1,$C135:$F135)*VLOOKUP(DL$2,Valores!$H$2:$P$154,8,0)</f>
        <v>#VALUE!</v>
      </c>
      <c r="DM135" s="27" t="e">
        <f aca="false">SUMIF($C$2:$F$2,EOMONTH(DM$2,-1)+1,$C135:$F135)*VLOOKUP(DM$2,Valores!$H$2:$P$154,8,0)</f>
        <v>#VALUE!</v>
      </c>
      <c r="DN135" s="27" t="e">
        <f aca="false">SUMIF($C$2:$F$2,EOMONTH(DN$2,-1)+1,$C135:$F135)*VLOOKUP(DN$2,Valores!$H$2:$P$154,8,0)</f>
        <v>#VALUE!</v>
      </c>
      <c r="DO135" s="27" t="e">
        <f aca="false">SUMIF($C$2:$F$2,EOMONTH(DO$2,-1)+1,$C135:$F135)*VLOOKUP(DO$2,Valores!$H$2:$P$154,8,0)</f>
        <v>#VALUE!</v>
      </c>
      <c r="DP135" s="27" t="e">
        <f aca="false">SUMIF($C$2:$F$2,EOMONTH(DP$2,-1)+1,$C135:$F135)*VLOOKUP(DP$2,Valores!$H$2:$P$154,8,0)</f>
        <v>#VALUE!</v>
      </c>
      <c r="DQ135" s="27" t="e">
        <f aca="false">SUMIF($C$2:$F$2,EOMONTH(DQ$2,-1)+1,$C135:$F135)*VLOOKUP(DQ$2,Valores!$H$2:$P$154,8,0)</f>
        <v>#VALUE!</v>
      </c>
      <c r="DR135" s="27" t="e">
        <f aca="false">SUMIF($C$2:$F$2,EOMONTH(DR$2,-1)+1,$C135:$F135)*VLOOKUP(DR$2,Valores!$H$2:$P$154,8,0)</f>
        <v>#VALUE!</v>
      </c>
      <c r="DS135" s="27" t="e">
        <f aca="false">SUMIF($C$2:$F$2,EOMONTH(DS$2,-1)+1,$C135:$F135)*VLOOKUP(DS$2,Valores!$H$2:$P$154,8,0)</f>
        <v>#VALUE!</v>
      </c>
      <c r="DT135" s="27" t="e">
        <f aca="false">SUMIF($C$2:$F$2,EOMONTH(DT$2,-1)+1,$C135:$F135)*VLOOKUP(DT$2,Valores!$H$2:$P$154,8,0)</f>
        <v>#VALUE!</v>
      </c>
      <c r="DU135" s="27" t="e">
        <f aca="false">SUMIF($C$2:$F$2,EOMONTH(DU$2,-1)+1,$C135:$F135)*VLOOKUP(DU$2,Valores!$H$2:$P$154,8,0)</f>
        <v>#VALUE!</v>
      </c>
      <c r="DV135" s="27" t="e">
        <f aca="false">SUMIF($C$2:$F$2,EOMONTH(DV$2,-1)+1,$C135:$F135)*VLOOKUP(DV$2,Valores!$H$2:$P$154,8,0)</f>
        <v>#VALUE!</v>
      </c>
      <c r="DW135" s="27" t="e">
        <f aca="false">SUMIF($C$2:$F$2,EOMONTH(DW$2,-1)+1,$C135:$F135)*VLOOKUP(DW$2,Valores!$H$2:$P$154,8,0)</f>
        <v>#VALUE!</v>
      </c>
      <c r="DX135" s="27" t="e">
        <f aca="false">SUMIF($C$2:$F$2,EOMONTH(DX$2,-1)+1,$C135:$F135)*VLOOKUP(DX$2,Valores!$H$2:$P$154,8,0)</f>
        <v>#VALUE!</v>
      </c>
    </row>
    <row r="136" customFormat="false" ht="13.8" hidden="false" customHeight="false" outlineLevel="0" collapsed="false">
      <c r="A136" s="29"/>
      <c r="B136" s="29"/>
      <c r="C136" s="29"/>
      <c r="D136" s="29"/>
      <c r="E136" s="29"/>
      <c r="F136" s="29"/>
      <c r="G136" s="30" t="n">
        <f aca="false">SUMIF($C$2:$F$2,EOMONTH(G$2,-1)+1,$C136:$F136)*VLOOKUP(G$2,Valores!$H$2:$P$154,8,0)</f>
        <v>0</v>
      </c>
      <c r="H136" s="30" t="n">
        <f aca="false">SUMIF($C$2:$F$2,EOMONTH(H$2,-1)+1,$C136:$F136)*VLOOKUP(H$2,Valores!$H$2:$P$154,8,0)</f>
        <v>0</v>
      </c>
      <c r="I136" s="30" t="n">
        <f aca="false">SUMIF($C$2:$F$2,EOMONTH(I$2,-1)+1,$C136:$F136)*VLOOKUP(I$2,Valores!$H$2:$P$154,8,0)</f>
        <v>0</v>
      </c>
      <c r="J136" s="30" t="n">
        <f aca="false">SUMIF($C$2:$F$2,EOMONTH(J$2,-1)+1,$C136:$F136)*VLOOKUP(J$2,Valores!$H$2:$P$154,8,0)</f>
        <v>0</v>
      </c>
      <c r="K136" s="30" t="n">
        <f aca="false">SUMIF($C$2:$F$2,EOMONTH(K$2,-1)+1,$C136:$F136)*VLOOKUP(K$2,Valores!$H$2:$P$154,8,0)</f>
        <v>0</v>
      </c>
      <c r="L136" s="30" t="n">
        <f aca="false">SUMIF($C$2:$F$2,EOMONTH(L$2,-1)+1,$C136:$F136)*VLOOKUP(L$2,Valores!$H$2:$P$154,8,0)</f>
        <v>0</v>
      </c>
      <c r="M136" s="30" t="n">
        <f aca="false">SUMIF($C$2:$F$2,EOMONTH(M$2,-1)+1,$C136:$F136)*VLOOKUP(M$2,Valores!$H$2:$P$154,8,0)</f>
        <v>0</v>
      </c>
      <c r="N136" s="30" t="n">
        <f aca="false">SUMIF($C$2:$F$2,EOMONTH(N$2,-1)+1,$C136:$F136)*VLOOKUP(N$2,Valores!$H$2:$P$154,8,0)</f>
        <v>0</v>
      </c>
      <c r="O136" s="30" t="n">
        <f aca="false">SUMIF($C$2:$F$2,EOMONTH(O$2,-1)+1,$C136:$F136)*VLOOKUP(O$2,Valores!$H$2:$P$154,8,0)</f>
        <v>0</v>
      </c>
      <c r="P136" s="30" t="n">
        <f aca="false">SUMIF($C$2:$F$2,EOMONTH(P$2,-1)+1,$C136:$F136)*VLOOKUP(P$2,Valores!$H$2:$P$154,8,0)</f>
        <v>0</v>
      </c>
      <c r="Q136" s="30" t="n">
        <f aca="false">SUMIF($C$2:$F$2,EOMONTH(Q$2,-1)+1,$C136:$F136)*VLOOKUP(Q$2,Valores!$H$2:$P$154,8,0)</f>
        <v>0</v>
      </c>
      <c r="R136" s="30" t="n">
        <f aca="false">SUMIF($C$2:$F$2,EOMONTH(R$2,-1)+1,$C136:$F136)*VLOOKUP(R$2,Valores!$H$2:$P$154,8,0)</f>
        <v>0</v>
      </c>
      <c r="S136" s="30" t="n">
        <f aca="false">SUMIF($C$2:$F$2,EOMONTH(S$2,-1)+1,$C136:$F136)*VLOOKUP(S$2,Valores!$H$2:$P$154,8,0)</f>
        <v>0</v>
      </c>
      <c r="T136" s="30" t="n">
        <f aca="false">SUMIF($C$2:$F$2,EOMONTH(T$2,-1)+1,$C136:$F136)*VLOOKUP(T$2,Valores!$H$2:$P$154,8,0)</f>
        <v>0</v>
      </c>
      <c r="U136" s="30" t="n">
        <f aca="false">SUMIF($C$2:$F$2,EOMONTH(U$2,-1)+1,$C136:$F136)*VLOOKUP(U$2,Valores!$H$2:$P$154,8,0)</f>
        <v>0</v>
      </c>
      <c r="V136" s="30" t="n">
        <f aca="false">SUMIF($C$2:$F$2,EOMONTH(V$2,-1)+1,$C136:$F136)*VLOOKUP(V$2,Valores!$H$2:$P$154,8,0)</f>
        <v>0</v>
      </c>
      <c r="W136" s="30" t="n">
        <f aca="false">SUMIF($C$2:$F$2,EOMONTH(W$2,-1)+1,$C136:$F136)*VLOOKUP(W$2,Valores!$H$2:$P$154,8,0)</f>
        <v>0</v>
      </c>
      <c r="X136" s="30" t="n">
        <f aca="false">SUMIF($C$2:$F$2,EOMONTH(X$2,-1)+1,$C136:$F136)*VLOOKUP(X$2,Valores!$H$2:$P$154,8,0)</f>
        <v>0</v>
      </c>
      <c r="Y136" s="30" t="n">
        <f aca="false">SUMIF($C$2:$F$2,EOMONTH(Y$2,-1)+1,$C136:$F136)*VLOOKUP(Y$2,Valores!$H$2:$P$154,8,0)</f>
        <v>0</v>
      </c>
      <c r="Z136" s="30" t="n">
        <f aca="false">SUMIF($C$2:$F$2,EOMONTH(Z$2,-1)+1,$C136:$F136)*VLOOKUP(Z$2,Valores!$H$2:$P$154,8,0)</f>
        <v>0</v>
      </c>
      <c r="AA136" s="30" t="n">
        <f aca="false">SUMIF($C$2:$F$2,EOMONTH(AA$2,-1)+1,$C136:$F136)*VLOOKUP(AA$2,Valores!$H$2:$P$154,8,0)</f>
        <v>0</v>
      </c>
      <c r="AB136" s="30" t="n">
        <f aca="false">SUMIF($C$2:$F$2,EOMONTH(AB$2,-1)+1,$C136:$F136)*VLOOKUP(AB$2,Valores!$H$2:$P$154,8,0)</f>
        <v>0</v>
      </c>
      <c r="AC136" s="30" t="n">
        <f aca="false">SUMIF($C$2:$F$2,EOMONTH(AC$2,-1)+1,$C136:$F136)*VLOOKUP(AC$2,Valores!$H$2:$P$154,8,0)</f>
        <v>0</v>
      </c>
      <c r="AD136" s="30" t="n">
        <f aca="false">SUMIF($C$2:$F$2,EOMONTH(AD$2,-1)+1,$C136:$F136)*VLOOKUP(AD$2,Valores!$H$2:$P$154,8,0)</f>
        <v>0</v>
      </c>
      <c r="AE136" s="30" t="n">
        <f aca="false">SUMIF($C$2:$F$2,EOMONTH(AE$2,-1)+1,$C136:$F136)*VLOOKUP(AE$2,Valores!$H$2:$P$154,8,0)</f>
        <v>0</v>
      </c>
      <c r="AF136" s="30" t="n">
        <f aca="false">SUMIF($C$2:$F$2,EOMONTH(AF$2,-1)+1,$C136:$F136)*VLOOKUP(AF$2,Valores!$H$2:$P$154,8,0)</f>
        <v>0</v>
      </c>
      <c r="AG136" s="30" t="n">
        <f aca="false">SUMIF($C$2:$F$2,EOMONTH(AG$2,-1)+1,$C136:$F136)*VLOOKUP(AG$2,Valores!$H$2:$P$154,8,0)</f>
        <v>0</v>
      </c>
      <c r="AH136" s="30" t="n">
        <f aca="false">SUMIF($C$2:$F$2,EOMONTH(AH$2,-1)+1,$C136:$F136)*VLOOKUP(AH$2,Valores!$H$2:$P$154,8,0)</f>
        <v>0</v>
      </c>
      <c r="AI136" s="30" t="n">
        <f aca="false">SUMIF($C$2:$F$2,EOMONTH(AI$2,-1)+1,$C136:$F136)*VLOOKUP(AI$2,Valores!$H$2:$P$154,8,0)</f>
        <v>0</v>
      </c>
      <c r="AJ136" s="30" t="n">
        <f aca="false">SUMIF($C$2:$F$2,EOMONTH(AJ$2,-1)+1,$C136:$F136)*VLOOKUP(AJ$2,Valores!$H$2:$P$154,8,0)</f>
        <v>0</v>
      </c>
      <c r="AK136" s="30" t="n">
        <f aca="false">SUMIF($C$2:$F$2,EOMONTH(AK$2,-1)+1,$C136:$F136)*VLOOKUP(AK$2,Valores!$H$2:$P$154,8,0)</f>
        <v>0</v>
      </c>
      <c r="AL136" s="30" t="n">
        <f aca="false">SUMIF($C$2:$F$2,EOMONTH(AL$2,-1)+1,$C136:$F136)*VLOOKUP(AL$2,Valores!$H$2:$P$154,8,0)</f>
        <v>0</v>
      </c>
      <c r="AM136" s="30" t="n">
        <f aca="false">SUMIF($C$2:$F$2,EOMONTH(AM$2,-1)+1,$C136:$F136)*VLOOKUP(AM$2,Valores!$H$2:$P$154,8,0)</f>
        <v>0</v>
      </c>
      <c r="AN136" s="30" t="n">
        <f aca="false">SUMIF($C$2:$F$2,EOMONTH(AN$2,-1)+1,$C136:$F136)*VLOOKUP(AN$2,Valores!$H$2:$P$154,8,0)</f>
        <v>0</v>
      </c>
      <c r="AO136" s="30" t="n">
        <f aca="false">SUMIF($C$2:$F$2,EOMONTH(AO$2,-1)+1,$C136:$F136)*VLOOKUP(AO$2,Valores!$H$2:$P$154,8,0)</f>
        <v>0</v>
      </c>
      <c r="AP136" s="30" t="n">
        <f aca="false">SUMIF($C$2:$F$2,EOMONTH(AP$2,-1)+1,$C136:$F136)*VLOOKUP(AP$2,Valores!$H$2:$P$154,8,0)</f>
        <v>0</v>
      </c>
      <c r="AQ136" s="30" t="n">
        <f aca="false">SUMIF($C$2:$F$2,EOMONTH(AQ$2,-1)+1,$C136:$F136)*VLOOKUP(AQ$2,Valores!$H$2:$P$154,8,0)</f>
        <v>0</v>
      </c>
      <c r="AR136" s="30" t="n">
        <f aca="false">SUMIF($C$2:$F$2,EOMONTH(AR$2,-1)+1,$C136:$F136)*VLOOKUP(AR$2,Valores!$H$2:$P$154,8,0)</f>
        <v>0</v>
      </c>
      <c r="AS136" s="30" t="n">
        <f aca="false">SUMIF($C$2:$F$2,EOMONTH(AS$2,-1)+1,$C136:$F136)*VLOOKUP(AS$2,Valores!$H$2:$P$154,8,0)</f>
        <v>0</v>
      </c>
      <c r="AT136" s="30" t="n">
        <f aca="false">SUMIF($C$2:$F$2,EOMONTH(AT$2,-1)+1,$C136:$F136)*VLOOKUP(AT$2,Valores!$H$2:$P$154,8,0)</f>
        <v>0</v>
      </c>
      <c r="AU136" s="30" t="n">
        <f aca="false">SUMIF($C$2:$F$2,EOMONTH(AU$2,-1)+1,$C136:$F136)*VLOOKUP(AU$2,Valores!$H$2:$P$154,8,0)</f>
        <v>0</v>
      </c>
      <c r="AV136" s="30" t="n">
        <f aca="false">SUMIF($C$2:$F$2,EOMONTH(AV$2,-1)+1,$C136:$F136)*VLOOKUP(AV$2,Valores!$H$2:$P$154,8,0)</f>
        <v>0</v>
      </c>
      <c r="AW136" s="30" t="n">
        <f aca="false">SUMIF($C$2:$F$2,EOMONTH(AW$2,-1)+1,$C136:$F136)*VLOOKUP(AW$2,Valores!$H$2:$P$154,8,0)</f>
        <v>0</v>
      </c>
      <c r="AX136" s="30" t="n">
        <f aca="false">SUMIF($C$2:$F$2,EOMONTH(AX$2,-1)+1,$C136:$F136)*VLOOKUP(AX$2,Valores!$H$2:$P$154,8,0)</f>
        <v>0</v>
      </c>
      <c r="AY136" s="30" t="n">
        <f aca="false">SUMIF($C$2:$F$2,EOMONTH(AY$2,-1)+1,$C136:$F136)*VLOOKUP(AY$2,Valores!$H$2:$P$154,8,0)</f>
        <v>0</v>
      </c>
      <c r="AZ136" s="30" t="n">
        <f aca="false">SUMIF($C$2:$F$2,EOMONTH(AZ$2,-1)+1,$C136:$F136)*VLOOKUP(AZ$2,Valores!$H$2:$P$154,8,0)</f>
        <v>0</v>
      </c>
      <c r="BA136" s="30" t="n">
        <f aca="false">SUMIF($C$2:$F$2,EOMONTH(BA$2,-1)+1,$C136:$F136)*VLOOKUP(BA$2,Valores!$H$2:$P$154,8,0)</f>
        <v>0</v>
      </c>
      <c r="BB136" s="30" t="n">
        <f aca="false">SUMIF($C$2:$F$2,EOMONTH(BB$2,-1)+1,$C136:$F136)*VLOOKUP(BB$2,Valores!$H$2:$P$154,8,0)</f>
        <v>0</v>
      </c>
      <c r="BC136" s="30" t="n">
        <f aca="false">SUMIF($C$2:$F$2,EOMONTH(BC$2,-1)+1,$C136:$F136)*VLOOKUP(BC$2,Valores!$H$2:$P$154,8,0)</f>
        <v>0</v>
      </c>
      <c r="BD136" s="30" t="n">
        <f aca="false">SUMIF($C$2:$F$2,EOMONTH(BD$2,-1)+1,$C136:$F136)*VLOOKUP(BD$2,Valores!$H$2:$P$154,8,0)</f>
        <v>0</v>
      </c>
      <c r="BE136" s="30" t="n">
        <f aca="false">SUMIF($C$2:$F$2,EOMONTH(BE$2,-1)+1,$C136:$F136)*VLOOKUP(BE$2,Valores!$H$2:$P$154,8,0)</f>
        <v>0</v>
      </c>
      <c r="BF136" s="30" t="n">
        <f aca="false">SUMIF($C$2:$F$2,EOMONTH(BF$2,-1)+1,$C136:$F136)*VLOOKUP(BF$2,Valores!$H$2:$P$154,8,0)</f>
        <v>0</v>
      </c>
      <c r="BG136" s="30" t="n">
        <f aca="false">SUMIF($C$2:$F$2,EOMONTH(BG$2,-1)+1,$C136:$F136)*VLOOKUP(BG$2,Valores!$H$2:$P$154,8,0)</f>
        <v>0</v>
      </c>
      <c r="BH136" s="30" t="n">
        <f aca="false">SUMIF($C$2:$F$2,EOMONTH(BH$2,-1)+1,$C136:$F136)*VLOOKUP(BH$2,Valores!$H$2:$P$154,8,0)</f>
        <v>0</v>
      </c>
      <c r="BI136" s="30" t="n">
        <f aca="false">SUMIF($C$2:$F$2,EOMONTH(BI$2,-1)+1,$C136:$F136)*VLOOKUP(BI$2,Valores!$H$2:$P$154,8,0)</f>
        <v>0</v>
      </c>
      <c r="BJ136" s="30" t="n">
        <f aca="false">SUMIF($C$2:$F$2,EOMONTH(BJ$2,-1)+1,$C136:$F136)*VLOOKUP(BJ$2,Valores!$H$2:$P$154,8,0)</f>
        <v>0</v>
      </c>
      <c r="BK136" s="30" t="n">
        <f aca="false">SUMIF($C$2:$F$2,EOMONTH(BK$2,-1)+1,$C136:$F136)*VLOOKUP(BK$2,Valores!$H$2:$P$154,8,0)</f>
        <v>0</v>
      </c>
      <c r="BL136" s="30" t="n">
        <f aca="false">SUMIF($C$2:$F$2,EOMONTH(BL$2,-1)+1,$C136:$F136)*VLOOKUP(BL$2,Valores!$H$2:$P$154,8,0)</f>
        <v>0</v>
      </c>
      <c r="BM136" s="30" t="n">
        <f aca="false">SUMIF($C$2:$F$2,EOMONTH(BM$2,-1)+1,$C136:$F136)*VLOOKUP(BM$2,Valores!$H$2:$P$154,8,0)</f>
        <v>0</v>
      </c>
      <c r="BN136" s="30" t="n">
        <f aca="false">SUMIF($C$2:$F$2,EOMONTH(BN$2,-1)+1,$C136:$F136)*VLOOKUP(BN$2,Valores!$H$2:$P$154,8,0)</f>
        <v>0</v>
      </c>
      <c r="BO136" s="30" t="n">
        <f aca="false">SUMIF($C$2:$F$2,EOMONTH(BO$2,-1)+1,$C136:$F136)*VLOOKUP(BO$2,Valores!$H$2:$P$154,8,0)</f>
        <v>0</v>
      </c>
      <c r="BP136" s="30" t="n">
        <f aca="false">SUMIF($C$2:$F$2,EOMONTH(BP$2,-1)+1,$C136:$F136)*VLOOKUP(BP$2,Valores!$H$2:$P$154,8,0)</f>
        <v>0</v>
      </c>
      <c r="BQ136" s="30" t="n">
        <f aca="false">SUMIF($C$2:$F$2,EOMONTH(BQ$2,-1)+1,$C136:$F136)*VLOOKUP(BQ$2,Valores!$H$2:$P$154,8,0)</f>
        <v>0</v>
      </c>
      <c r="BR136" s="30" t="n">
        <f aca="false">SUMIF($C$2:$F$2,EOMONTH(BR$2,-1)+1,$C136:$F136)*VLOOKUP(BR$2,Valores!$H$2:$P$154,8,0)</f>
        <v>0</v>
      </c>
      <c r="BS136" s="30" t="n">
        <f aca="false">SUMIF($C$2:$F$2,EOMONTH(BS$2,-1)+1,$C136:$F136)*VLOOKUP(BS$2,Valores!$H$2:$P$154,8,0)</f>
        <v>0</v>
      </c>
      <c r="BT136" s="30" t="n">
        <f aca="false">SUMIF($C$2:$F$2,EOMONTH(BT$2,-1)+1,$C136:$F136)*VLOOKUP(BT$2,Valores!$H$2:$P$154,8,0)</f>
        <v>0</v>
      </c>
      <c r="BU136" s="30" t="n">
        <f aca="false">SUMIF($C$2:$F$2,EOMONTH(BU$2,-1)+1,$C136:$F136)*VLOOKUP(BU$2,Valores!$H$2:$P$154,8,0)</f>
        <v>0</v>
      </c>
      <c r="BV136" s="30" t="n">
        <f aca="false">SUMIF($C$2:$F$2,EOMONTH(BV$2,-1)+1,$C136:$F136)*VLOOKUP(BV$2,Valores!$H$2:$P$154,8,0)</f>
        <v>0</v>
      </c>
      <c r="BW136" s="30" t="n">
        <f aca="false">SUMIF($C$2:$F$2,EOMONTH(BW$2,-1)+1,$C136:$F136)*VLOOKUP(BW$2,Valores!$H$2:$P$154,8,0)</f>
        <v>0</v>
      </c>
      <c r="BX136" s="30" t="n">
        <f aca="false">SUMIF($C$2:$F$2,EOMONTH(BX$2,-1)+1,$C136:$F136)*VLOOKUP(BX$2,Valores!$H$2:$P$154,8,0)</f>
        <v>0</v>
      </c>
      <c r="BY136" s="30" t="n">
        <f aca="false">SUMIF($C$2:$F$2,EOMONTH(BY$2,-1)+1,$C136:$F136)*VLOOKUP(BY$2,Valores!$H$2:$P$154,8,0)</f>
        <v>0</v>
      </c>
      <c r="BZ136" s="30" t="n">
        <f aca="false">SUMIF($C$2:$F$2,EOMONTH(BZ$2,-1)+1,$C136:$F136)*VLOOKUP(BZ$2,Valores!$H$2:$P$154,8,0)</f>
        <v>0</v>
      </c>
      <c r="CA136" s="30" t="n">
        <f aca="false">SUMIF($C$2:$F$2,EOMONTH(CA$2,-1)+1,$C136:$F136)*VLOOKUP(CA$2,Valores!$H$2:$P$154,8,0)</f>
        <v>0</v>
      </c>
      <c r="CB136" s="30" t="n">
        <f aca="false">SUMIF($C$2:$F$2,EOMONTH(CB$2,-1)+1,$C136:$F136)*VLOOKUP(CB$2,Valores!$H$2:$P$154,8,0)</f>
        <v>0</v>
      </c>
      <c r="CC136" s="30" t="n">
        <f aca="false">SUMIF($C$2:$F$2,EOMONTH(CC$2,-1)+1,$C136:$F136)*VLOOKUP(CC$2,Valores!$H$2:$P$154,8,0)</f>
        <v>0</v>
      </c>
      <c r="CD136" s="30" t="n">
        <f aca="false">SUMIF($C$2:$F$2,EOMONTH(CD$2,-1)+1,$C136:$F136)*VLOOKUP(CD$2,Valores!$H$2:$P$154,8,0)</f>
        <v>0</v>
      </c>
      <c r="CE136" s="30" t="n">
        <f aca="false">SUMIF($C$2:$F$2,EOMONTH(CE$2,-1)+1,$C136:$F136)*VLOOKUP(CE$2,Valores!$H$2:$P$154,8,0)</f>
        <v>0</v>
      </c>
      <c r="CF136" s="30" t="n">
        <f aca="false">SUMIF($C$2:$F$2,EOMONTH(CF$2,-1)+1,$C136:$F136)*VLOOKUP(CF$2,Valores!$H$2:$P$154,8,0)</f>
        <v>0</v>
      </c>
      <c r="CG136" s="30" t="n">
        <f aca="false">SUMIF($C$2:$F$2,EOMONTH(CG$2,-1)+1,$C136:$F136)*VLOOKUP(CG$2,Valores!$H$2:$P$154,8,0)</f>
        <v>0</v>
      </c>
      <c r="CH136" s="30" t="n">
        <f aca="false">SUMIF($C$2:$F$2,EOMONTH(CH$2,-1)+1,$C136:$F136)*VLOOKUP(CH$2,Valores!$H$2:$P$154,8,0)</f>
        <v>0</v>
      </c>
      <c r="CI136" s="30" t="n">
        <f aca="false">SUMIF($C$2:$F$2,EOMONTH(CI$2,-1)+1,$C136:$F136)*VLOOKUP(CI$2,Valores!$H$2:$P$154,8,0)</f>
        <v>0</v>
      </c>
      <c r="CJ136" s="30" t="n">
        <f aca="false">SUMIF($C$2:$F$2,EOMONTH(CJ$2,-1)+1,$C136:$F136)*VLOOKUP(CJ$2,Valores!$H$2:$P$154,8,0)</f>
        <v>0</v>
      </c>
      <c r="CK136" s="30" t="n">
        <f aca="false">SUMIF($C$2:$F$2,EOMONTH(CK$2,-1)+1,$C136:$F136)*VLOOKUP(CK$2,Valores!$H$2:$P$154,8,0)</f>
        <v>0</v>
      </c>
      <c r="CL136" s="30" t="n">
        <f aca="false">SUMIF($C$2:$F$2,EOMONTH(CL$2,-1)+1,$C136:$F136)*VLOOKUP(CL$2,Valores!$H$2:$P$154,8,0)</f>
        <v>0</v>
      </c>
      <c r="CM136" s="30" t="n">
        <f aca="false">SUMIF($C$2:$F$2,EOMONTH(CM$2,-1)+1,$C136:$F136)*VLOOKUP(CM$2,Valores!$H$2:$P$154,8,0)</f>
        <v>0</v>
      </c>
      <c r="CN136" s="30" t="n">
        <f aca="false">SUMIF($C$2:$F$2,EOMONTH(CN$2,-1)+1,$C136:$F136)*VLOOKUP(CN$2,Valores!$H$2:$P$154,8,0)</f>
        <v>0</v>
      </c>
      <c r="CO136" s="30" t="n">
        <f aca="false">SUMIF($C$2:$F$2,EOMONTH(CO$2,-1)+1,$C136:$F136)*VLOOKUP(CO$2,Valores!$H$2:$P$154,8,0)</f>
        <v>0</v>
      </c>
      <c r="CP136" s="30" t="n">
        <f aca="false">SUMIF($C$2:$F$2,EOMONTH(CP$2,-1)+1,$C136:$F136)*VLOOKUP(CP$2,Valores!$H$2:$P$154,8,0)</f>
        <v>0</v>
      </c>
      <c r="CQ136" s="30" t="n">
        <f aca="false">SUMIF($C$2:$F$2,EOMONTH(CQ$2,-1)+1,$C136:$F136)*VLOOKUP(CQ$2,Valores!$H$2:$P$154,8,0)</f>
        <v>0</v>
      </c>
      <c r="CR136" s="30" t="n">
        <f aca="false">SUMIF($C$2:$F$2,EOMONTH(CR$2,-1)+1,$C136:$F136)*VLOOKUP(CR$2,Valores!$H$2:$P$154,8,0)</f>
        <v>0</v>
      </c>
      <c r="CS136" s="30" t="n">
        <f aca="false">SUMIF($C$2:$F$2,EOMONTH(CS$2,-1)+1,$C136:$F136)*VLOOKUP(CS$2,Valores!$H$2:$P$154,8,0)</f>
        <v>0</v>
      </c>
      <c r="CT136" s="30" t="e">
        <f aca="false">SUMIF($C$2:$F$2,EOMONTH(CT$2,-1)+1,$C136:$F136)*VLOOKUP(CT$2,Valores!$H$2:$P$154,8,0)</f>
        <v>#VALUE!</v>
      </c>
      <c r="CU136" s="30" t="e">
        <f aca="false">SUMIF($C$2:$F$2,EOMONTH(CU$2,-1)+1,$C136:$F136)*VLOOKUP(CU$2,Valores!$H$2:$P$154,8,0)</f>
        <v>#VALUE!</v>
      </c>
      <c r="CV136" s="30" t="e">
        <f aca="false">SUMIF($C$2:$F$2,EOMONTH(CV$2,-1)+1,$C136:$F136)*VLOOKUP(CV$2,Valores!$H$2:$P$154,8,0)</f>
        <v>#VALUE!</v>
      </c>
      <c r="CW136" s="30" t="e">
        <f aca="false">SUMIF($C$2:$F$2,EOMONTH(CW$2,-1)+1,$C136:$F136)*VLOOKUP(CW$2,Valores!$H$2:$P$154,8,0)</f>
        <v>#VALUE!</v>
      </c>
      <c r="CX136" s="30" t="e">
        <f aca="false">SUMIF($C$2:$F$2,EOMONTH(CX$2,-1)+1,$C136:$F136)*VLOOKUP(CX$2,Valores!$H$2:$P$154,8,0)</f>
        <v>#VALUE!</v>
      </c>
      <c r="CY136" s="30" t="e">
        <f aca="false">SUMIF($C$2:$F$2,EOMONTH(CY$2,-1)+1,$C136:$F136)*VLOOKUP(CY$2,Valores!$H$2:$P$154,8,0)</f>
        <v>#VALUE!</v>
      </c>
      <c r="CZ136" s="30" t="e">
        <f aca="false">SUMIF($C$2:$F$2,EOMONTH(CZ$2,-1)+1,$C136:$F136)*VLOOKUP(CZ$2,Valores!$H$2:$P$154,8,0)</f>
        <v>#VALUE!</v>
      </c>
      <c r="DA136" s="30" t="e">
        <f aca="false">SUMIF($C$2:$F$2,EOMONTH(DA$2,-1)+1,$C136:$F136)*VLOOKUP(DA$2,Valores!$H$2:$P$154,8,0)</f>
        <v>#VALUE!</v>
      </c>
      <c r="DB136" s="30" t="e">
        <f aca="false">SUMIF($C$2:$F$2,EOMONTH(DB$2,-1)+1,$C136:$F136)*VLOOKUP(DB$2,Valores!$H$2:$P$154,8,0)</f>
        <v>#VALUE!</v>
      </c>
      <c r="DC136" s="30" t="e">
        <f aca="false">SUMIF($C$2:$F$2,EOMONTH(DC$2,-1)+1,$C136:$F136)*VLOOKUP(DC$2,Valores!$H$2:$P$154,8,0)</f>
        <v>#VALUE!</v>
      </c>
      <c r="DD136" s="30" t="e">
        <f aca="false">SUMIF($C$2:$F$2,EOMONTH(DD$2,-1)+1,$C136:$F136)*VLOOKUP(DD$2,Valores!$H$2:$P$154,8,0)</f>
        <v>#VALUE!</v>
      </c>
      <c r="DE136" s="30" t="e">
        <f aca="false">SUMIF($C$2:$F$2,EOMONTH(DE$2,-1)+1,$C136:$F136)*VLOOKUP(DE$2,Valores!$H$2:$P$154,8,0)</f>
        <v>#VALUE!</v>
      </c>
      <c r="DF136" s="30" t="e">
        <f aca="false">SUMIF($C$2:$F$2,EOMONTH(DF$2,-1)+1,$C136:$F136)*VLOOKUP(DF$2,Valores!$H$2:$P$154,8,0)</f>
        <v>#VALUE!</v>
      </c>
      <c r="DG136" s="30" t="e">
        <f aca="false">SUMIF($C$2:$F$2,EOMONTH(DG$2,-1)+1,$C136:$F136)*VLOOKUP(DG$2,Valores!$H$2:$P$154,8,0)</f>
        <v>#VALUE!</v>
      </c>
      <c r="DH136" s="30" t="e">
        <f aca="false">SUMIF($C$2:$F$2,EOMONTH(DH$2,-1)+1,$C136:$F136)*VLOOKUP(DH$2,Valores!$H$2:$P$154,8,0)</f>
        <v>#VALUE!</v>
      </c>
      <c r="DI136" s="30" t="e">
        <f aca="false">SUMIF($C$2:$F$2,EOMONTH(DI$2,-1)+1,$C136:$F136)*VLOOKUP(DI$2,Valores!$H$2:$P$154,8,0)</f>
        <v>#VALUE!</v>
      </c>
      <c r="DJ136" s="30" t="e">
        <f aca="false">SUMIF($C$2:$F$2,EOMONTH(DJ$2,-1)+1,$C136:$F136)*VLOOKUP(DJ$2,Valores!$H$2:$P$154,8,0)</f>
        <v>#VALUE!</v>
      </c>
      <c r="DK136" s="30" t="e">
        <f aca="false">SUMIF($C$2:$F$2,EOMONTH(DK$2,-1)+1,$C136:$F136)*VLOOKUP(DK$2,Valores!$H$2:$P$154,8,0)</f>
        <v>#VALUE!</v>
      </c>
      <c r="DL136" s="30" t="e">
        <f aca="false">SUMIF($C$2:$F$2,EOMONTH(DL$2,-1)+1,$C136:$F136)*VLOOKUP(DL$2,Valores!$H$2:$P$154,8,0)</f>
        <v>#VALUE!</v>
      </c>
      <c r="DM136" s="30" t="e">
        <f aca="false">SUMIF($C$2:$F$2,EOMONTH(DM$2,-1)+1,$C136:$F136)*VLOOKUP(DM$2,Valores!$H$2:$P$154,8,0)</f>
        <v>#VALUE!</v>
      </c>
      <c r="DN136" s="30" t="e">
        <f aca="false">SUMIF($C$2:$F$2,EOMONTH(DN$2,-1)+1,$C136:$F136)*VLOOKUP(DN$2,Valores!$H$2:$P$154,8,0)</f>
        <v>#VALUE!</v>
      </c>
      <c r="DO136" s="30" t="e">
        <f aca="false">SUMIF($C$2:$F$2,EOMONTH(DO$2,-1)+1,$C136:$F136)*VLOOKUP(DO$2,Valores!$H$2:$P$154,8,0)</f>
        <v>#VALUE!</v>
      </c>
      <c r="DP136" s="30" t="e">
        <f aca="false">SUMIF($C$2:$F$2,EOMONTH(DP$2,-1)+1,$C136:$F136)*VLOOKUP(DP$2,Valores!$H$2:$P$154,8,0)</f>
        <v>#VALUE!</v>
      </c>
      <c r="DQ136" s="30" t="e">
        <f aca="false">SUMIF($C$2:$F$2,EOMONTH(DQ$2,-1)+1,$C136:$F136)*VLOOKUP(DQ$2,Valores!$H$2:$P$154,8,0)</f>
        <v>#VALUE!</v>
      </c>
      <c r="DR136" s="30" t="e">
        <f aca="false">SUMIF($C$2:$F$2,EOMONTH(DR$2,-1)+1,$C136:$F136)*VLOOKUP(DR$2,Valores!$H$2:$P$154,8,0)</f>
        <v>#VALUE!</v>
      </c>
      <c r="DS136" s="30" t="e">
        <f aca="false">SUMIF($C$2:$F$2,EOMONTH(DS$2,-1)+1,$C136:$F136)*VLOOKUP(DS$2,Valores!$H$2:$P$154,8,0)</f>
        <v>#VALUE!</v>
      </c>
      <c r="DT136" s="30" t="e">
        <f aca="false">SUMIF($C$2:$F$2,EOMONTH(DT$2,-1)+1,$C136:$F136)*VLOOKUP(DT$2,Valores!$H$2:$P$154,8,0)</f>
        <v>#VALUE!</v>
      </c>
      <c r="DU136" s="30" t="e">
        <f aca="false">SUMIF($C$2:$F$2,EOMONTH(DU$2,-1)+1,$C136:$F136)*VLOOKUP(DU$2,Valores!$H$2:$P$154,8,0)</f>
        <v>#VALUE!</v>
      </c>
      <c r="DV136" s="30" t="e">
        <f aca="false">SUMIF($C$2:$F$2,EOMONTH(DV$2,-1)+1,$C136:$F136)*VLOOKUP(DV$2,Valores!$H$2:$P$154,8,0)</f>
        <v>#VALUE!</v>
      </c>
      <c r="DW136" s="30" t="e">
        <f aca="false">SUMIF($C$2:$F$2,EOMONTH(DW$2,-1)+1,$C136:$F136)*VLOOKUP(DW$2,Valores!$H$2:$P$154,8,0)</f>
        <v>#VALUE!</v>
      </c>
      <c r="DX136" s="30" t="e">
        <f aca="false">SUMIF($C$2:$F$2,EOMONTH(DX$2,-1)+1,$C136:$F136)*VLOOKUP(DX$2,Valores!$H$2:$P$154,8,0)</f>
        <v>#VALUE!</v>
      </c>
    </row>
    <row r="137" customFormat="false" ht="13.8" hidden="false" customHeight="false" outlineLevel="0" collapsed="false">
      <c r="A137" s="31"/>
      <c r="B137" s="31"/>
      <c r="C137" s="31"/>
      <c r="D137" s="31"/>
      <c r="E137" s="31"/>
      <c r="F137" s="31"/>
      <c r="G137" s="27" t="n">
        <f aca="false">SUMIF($C$2:$F$2,EOMONTH(G$2,-1)+1,$C137:$F137)*VLOOKUP(G$2,Valores!$H$2:$P$154,8,0)</f>
        <v>0</v>
      </c>
      <c r="H137" s="27" t="n">
        <f aca="false">SUMIF($C$2:$F$2,EOMONTH(H$2,-1)+1,$C137:$F137)*VLOOKUP(H$2,Valores!$H$2:$P$154,8,0)</f>
        <v>0</v>
      </c>
      <c r="I137" s="27" t="n">
        <f aca="false">SUMIF($C$2:$F$2,EOMONTH(I$2,-1)+1,$C137:$F137)*VLOOKUP(I$2,Valores!$H$2:$P$154,8,0)</f>
        <v>0</v>
      </c>
      <c r="J137" s="27" t="n">
        <f aca="false">SUMIF($C$2:$F$2,EOMONTH(J$2,-1)+1,$C137:$F137)*VLOOKUP(J$2,Valores!$H$2:$P$154,8,0)</f>
        <v>0</v>
      </c>
      <c r="K137" s="27" t="n">
        <f aca="false">SUMIF($C$2:$F$2,EOMONTH(K$2,-1)+1,$C137:$F137)*VLOOKUP(K$2,Valores!$H$2:$P$154,8,0)</f>
        <v>0</v>
      </c>
      <c r="L137" s="27" t="n">
        <f aca="false">SUMIF($C$2:$F$2,EOMONTH(L$2,-1)+1,$C137:$F137)*VLOOKUP(L$2,Valores!$H$2:$P$154,8,0)</f>
        <v>0</v>
      </c>
      <c r="M137" s="27" t="n">
        <f aca="false">SUMIF($C$2:$F$2,EOMONTH(M$2,-1)+1,$C137:$F137)*VLOOKUP(M$2,Valores!$H$2:$P$154,8,0)</f>
        <v>0</v>
      </c>
      <c r="N137" s="27" t="n">
        <f aca="false">SUMIF($C$2:$F$2,EOMONTH(N$2,-1)+1,$C137:$F137)*VLOOKUP(N$2,Valores!$H$2:$P$154,8,0)</f>
        <v>0</v>
      </c>
      <c r="O137" s="27" t="n">
        <f aca="false">SUMIF($C$2:$F$2,EOMONTH(O$2,-1)+1,$C137:$F137)*VLOOKUP(O$2,Valores!$H$2:$P$154,8,0)</f>
        <v>0</v>
      </c>
      <c r="P137" s="27" t="n">
        <f aca="false">SUMIF($C$2:$F$2,EOMONTH(P$2,-1)+1,$C137:$F137)*VLOOKUP(P$2,Valores!$H$2:$P$154,8,0)</f>
        <v>0</v>
      </c>
      <c r="Q137" s="27" t="n">
        <f aca="false">SUMIF($C$2:$F$2,EOMONTH(Q$2,-1)+1,$C137:$F137)*VLOOKUP(Q$2,Valores!$H$2:$P$154,8,0)</f>
        <v>0</v>
      </c>
      <c r="R137" s="27" t="n">
        <f aca="false">SUMIF($C$2:$F$2,EOMONTH(R$2,-1)+1,$C137:$F137)*VLOOKUP(R$2,Valores!$H$2:$P$154,8,0)</f>
        <v>0</v>
      </c>
      <c r="S137" s="27" t="n">
        <f aca="false">SUMIF($C$2:$F$2,EOMONTH(S$2,-1)+1,$C137:$F137)*VLOOKUP(S$2,Valores!$H$2:$P$154,8,0)</f>
        <v>0</v>
      </c>
      <c r="T137" s="27" t="n">
        <f aca="false">SUMIF($C$2:$F$2,EOMONTH(T$2,-1)+1,$C137:$F137)*VLOOKUP(T$2,Valores!$H$2:$P$154,8,0)</f>
        <v>0</v>
      </c>
      <c r="U137" s="27" t="n">
        <f aca="false">SUMIF($C$2:$F$2,EOMONTH(U$2,-1)+1,$C137:$F137)*VLOOKUP(U$2,Valores!$H$2:$P$154,8,0)</f>
        <v>0</v>
      </c>
      <c r="V137" s="27" t="n">
        <f aca="false">SUMIF($C$2:$F$2,EOMONTH(V$2,-1)+1,$C137:$F137)*VLOOKUP(V$2,Valores!$H$2:$P$154,8,0)</f>
        <v>0</v>
      </c>
      <c r="W137" s="27" t="n">
        <f aca="false">SUMIF($C$2:$F$2,EOMONTH(W$2,-1)+1,$C137:$F137)*VLOOKUP(W$2,Valores!$H$2:$P$154,8,0)</f>
        <v>0</v>
      </c>
      <c r="X137" s="27" t="n">
        <f aca="false">SUMIF($C$2:$F$2,EOMONTH(X$2,-1)+1,$C137:$F137)*VLOOKUP(X$2,Valores!$H$2:$P$154,8,0)</f>
        <v>0</v>
      </c>
      <c r="Y137" s="27" t="n">
        <f aca="false">SUMIF($C$2:$F$2,EOMONTH(Y$2,-1)+1,$C137:$F137)*VLOOKUP(Y$2,Valores!$H$2:$P$154,8,0)</f>
        <v>0</v>
      </c>
      <c r="Z137" s="27" t="n">
        <f aca="false">SUMIF($C$2:$F$2,EOMONTH(Z$2,-1)+1,$C137:$F137)*VLOOKUP(Z$2,Valores!$H$2:$P$154,8,0)</f>
        <v>0</v>
      </c>
      <c r="AA137" s="27" t="n">
        <f aca="false">SUMIF($C$2:$F$2,EOMONTH(AA$2,-1)+1,$C137:$F137)*VLOOKUP(AA$2,Valores!$H$2:$P$154,8,0)</f>
        <v>0</v>
      </c>
      <c r="AB137" s="27" t="n">
        <f aca="false">SUMIF($C$2:$F$2,EOMONTH(AB$2,-1)+1,$C137:$F137)*VLOOKUP(AB$2,Valores!$H$2:$P$154,8,0)</f>
        <v>0</v>
      </c>
      <c r="AC137" s="27" t="n">
        <f aca="false">SUMIF($C$2:$F$2,EOMONTH(AC$2,-1)+1,$C137:$F137)*VLOOKUP(AC$2,Valores!$H$2:$P$154,8,0)</f>
        <v>0</v>
      </c>
      <c r="AD137" s="27" t="n">
        <f aca="false">SUMIF($C$2:$F$2,EOMONTH(AD$2,-1)+1,$C137:$F137)*VLOOKUP(AD$2,Valores!$H$2:$P$154,8,0)</f>
        <v>0</v>
      </c>
      <c r="AE137" s="27" t="n">
        <f aca="false">SUMIF($C$2:$F$2,EOMONTH(AE$2,-1)+1,$C137:$F137)*VLOOKUP(AE$2,Valores!$H$2:$P$154,8,0)</f>
        <v>0</v>
      </c>
      <c r="AF137" s="27" t="n">
        <f aca="false">SUMIF($C$2:$F$2,EOMONTH(AF$2,-1)+1,$C137:$F137)*VLOOKUP(AF$2,Valores!$H$2:$P$154,8,0)</f>
        <v>0</v>
      </c>
      <c r="AG137" s="27" t="n">
        <f aca="false">SUMIF($C$2:$F$2,EOMONTH(AG$2,-1)+1,$C137:$F137)*VLOOKUP(AG$2,Valores!$H$2:$P$154,8,0)</f>
        <v>0</v>
      </c>
      <c r="AH137" s="27" t="n">
        <f aca="false">SUMIF($C$2:$F$2,EOMONTH(AH$2,-1)+1,$C137:$F137)*VLOOKUP(AH$2,Valores!$H$2:$P$154,8,0)</f>
        <v>0</v>
      </c>
      <c r="AI137" s="27" t="n">
        <f aca="false">SUMIF($C$2:$F$2,EOMONTH(AI$2,-1)+1,$C137:$F137)*VLOOKUP(AI$2,Valores!$H$2:$P$154,8,0)</f>
        <v>0</v>
      </c>
      <c r="AJ137" s="27" t="n">
        <f aca="false">SUMIF($C$2:$F$2,EOMONTH(AJ$2,-1)+1,$C137:$F137)*VLOOKUP(AJ$2,Valores!$H$2:$P$154,8,0)</f>
        <v>0</v>
      </c>
      <c r="AK137" s="27" t="n">
        <f aca="false">SUMIF($C$2:$F$2,EOMONTH(AK$2,-1)+1,$C137:$F137)*VLOOKUP(AK$2,Valores!$H$2:$P$154,8,0)</f>
        <v>0</v>
      </c>
      <c r="AL137" s="27" t="n">
        <f aca="false">SUMIF($C$2:$F$2,EOMONTH(AL$2,-1)+1,$C137:$F137)*VLOOKUP(AL$2,Valores!$H$2:$P$154,8,0)</f>
        <v>0</v>
      </c>
      <c r="AM137" s="27" t="n">
        <f aca="false">SUMIF($C$2:$F$2,EOMONTH(AM$2,-1)+1,$C137:$F137)*VLOOKUP(AM$2,Valores!$H$2:$P$154,8,0)</f>
        <v>0</v>
      </c>
      <c r="AN137" s="27" t="n">
        <f aca="false">SUMIF($C$2:$F$2,EOMONTH(AN$2,-1)+1,$C137:$F137)*VLOOKUP(AN$2,Valores!$H$2:$P$154,8,0)</f>
        <v>0</v>
      </c>
      <c r="AO137" s="27" t="n">
        <f aca="false">SUMIF($C$2:$F$2,EOMONTH(AO$2,-1)+1,$C137:$F137)*VLOOKUP(AO$2,Valores!$H$2:$P$154,8,0)</f>
        <v>0</v>
      </c>
      <c r="AP137" s="27" t="n">
        <f aca="false">SUMIF($C$2:$F$2,EOMONTH(AP$2,-1)+1,$C137:$F137)*VLOOKUP(AP$2,Valores!$H$2:$P$154,8,0)</f>
        <v>0</v>
      </c>
      <c r="AQ137" s="27" t="n">
        <f aca="false">SUMIF($C$2:$F$2,EOMONTH(AQ$2,-1)+1,$C137:$F137)*VLOOKUP(AQ$2,Valores!$H$2:$P$154,8,0)</f>
        <v>0</v>
      </c>
      <c r="AR137" s="27" t="n">
        <f aca="false">SUMIF($C$2:$F$2,EOMONTH(AR$2,-1)+1,$C137:$F137)*VLOOKUP(AR$2,Valores!$H$2:$P$154,8,0)</f>
        <v>0</v>
      </c>
      <c r="AS137" s="27" t="n">
        <f aca="false">SUMIF($C$2:$F$2,EOMONTH(AS$2,-1)+1,$C137:$F137)*VLOOKUP(AS$2,Valores!$H$2:$P$154,8,0)</f>
        <v>0</v>
      </c>
      <c r="AT137" s="27" t="n">
        <f aca="false">SUMIF($C$2:$F$2,EOMONTH(AT$2,-1)+1,$C137:$F137)*VLOOKUP(AT$2,Valores!$H$2:$P$154,8,0)</f>
        <v>0</v>
      </c>
      <c r="AU137" s="27" t="n">
        <f aca="false">SUMIF($C$2:$F$2,EOMONTH(AU$2,-1)+1,$C137:$F137)*VLOOKUP(AU$2,Valores!$H$2:$P$154,8,0)</f>
        <v>0</v>
      </c>
      <c r="AV137" s="27" t="n">
        <f aca="false">SUMIF($C$2:$F$2,EOMONTH(AV$2,-1)+1,$C137:$F137)*VLOOKUP(AV$2,Valores!$H$2:$P$154,8,0)</f>
        <v>0</v>
      </c>
      <c r="AW137" s="27" t="n">
        <f aca="false">SUMIF($C$2:$F$2,EOMONTH(AW$2,-1)+1,$C137:$F137)*VLOOKUP(AW$2,Valores!$H$2:$P$154,8,0)</f>
        <v>0</v>
      </c>
      <c r="AX137" s="27" t="n">
        <f aca="false">SUMIF($C$2:$F$2,EOMONTH(AX$2,-1)+1,$C137:$F137)*VLOOKUP(AX$2,Valores!$H$2:$P$154,8,0)</f>
        <v>0</v>
      </c>
      <c r="AY137" s="27" t="n">
        <f aca="false">SUMIF($C$2:$F$2,EOMONTH(AY$2,-1)+1,$C137:$F137)*VLOOKUP(AY$2,Valores!$H$2:$P$154,8,0)</f>
        <v>0</v>
      </c>
      <c r="AZ137" s="27" t="n">
        <f aca="false">SUMIF($C$2:$F$2,EOMONTH(AZ$2,-1)+1,$C137:$F137)*VLOOKUP(AZ$2,Valores!$H$2:$P$154,8,0)</f>
        <v>0</v>
      </c>
      <c r="BA137" s="27" t="n">
        <f aca="false">SUMIF($C$2:$F$2,EOMONTH(BA$2,-1)+1,$C137:$F137)*VLOOKUP(BA$2,Valores!$H$2:$P$154,8,0)</f>
        <v>0</v>
      </c>
      <c r="BB137" s="27" t="n">
        <f aca="false">SUMIF($C$2:$F$2,EOMONTH(BB$2,-1)+1,$C137:$F137)*VLOOKUP(BB$2,Valores!$H$2:$P$154,8,0)</f>
        <v>0</v>
      </c>
      <c r="BC137" s="27" t="n">
        <f aca="false">SUMIF($C$2:$F$2,EOMONTH(BC$2,-1)+1,$C137:$F137)*VLOOKUP(BC$2,Valores!$H$2:$P$154,8,0)</f>
        <v>0</v>
      </c>
      <c r="BD137" s="27" t="n">
        <f aca="false">SUMIF($C$2:$F$2,EOMONTH(BD$2,-1)+1,$C137:$F137)*VLOOKUP(BD$2,Valores!$H$2:$P$154,8,0)</f>
        <v>0</v>
      </c>
      <c r="BE137" s="27" t="n">
        <f aca="false">SUMIF($C$2:$F$2,EOMONTH(BE$2,-1)+1,$C137:$F137)*VLOOKUP(BE$2,Valores!$H$2:$P$154,8,0)</f>
        <v>0</v>
      </c>
      <c r="BF137" s="27" t="n">
        <f aca="false">SUMIF($C$2:$F$2,EOMONTH(BF$2,-1)+1,$C137:$F137)*VLOOKUP(BF$2,Valores!$H$2:$P$154,8,0)</f>
        <v>0</v>
      </c>
      <c r="BG137" s="27" t="n">
        <f aca="false">SUMIF($C$2:$F$2,EOMONTH(BG$2,-1)+1,$C137:$F137)*VLOOKUP(BG$2,Valores!$H$2:$P$154,8,0)</f>
        <v>0</v>
      </c>
      <c r="BH137" s="27" t="n">
        <f aca="false">SUMIF($C$2:$F$2,EOMONTH(BH$2,-1)+1,$C137:$F137)*VLOOKUP(BH$2,Valores!$H$2:$P$154,8,0)</f>
        <v>0</v>
      </c>
      <c r="BI137" s="27" t="n">
        <f aca="false">SUMIF($C$2:$F$2,EOMONTH(BI$2,-1)+1,$C137:$F137)*VLOOKUP(BI$2,Valores!$H$2:$P$154,8,0)</f>
        <v>0</v>
      </c>
      <c r="BJ137" s="27" t="n">
        <f aca="false">SUMIF($C$2:$F$2,EOMONTH(BJ$2,-1)+1,$C137:$F137)*VLOOKUP(BJ$2,Valores!$H$2:$P$154,8,0)</f>
        <v>0</v>
      </c>
      <c r="BK137" s="27" t="n">
        <f aca="false">SUMIF($C$2:$F$2,EOMONTH(BK$2,-1)+1,$C137:$F137)*VLOOKUP(BK$2,Valores!$H$2:$P$154,8,0)</f>
        <v>0</v>
      </c>
      <c r="BL137" s="27" t="n">
        <f aca="false">SUMIF($C$2:$F$2,EOMONTH(BL$2,-1)+1,$C137:$F137)*VLOOKUP(BL$2,Valores!$H$2:$P$154,8,0)</f>
        <v>0</v>
      </c>
      <c r="BM137" s="27" t="n">
        <f aca="false">SUMIF($C$2:$F$2,EOMONTH(BM$2,-1)+1,$C137:$F137)*VLOOKUP(BM$2,Valores!$H$2:$P$154,8,0)</f>
        <v>0</v>
      </c>
      <c r="BN137" s="27" t="n">
        <f aca="false">SUMIF($C$2:$F$2,EOMONTH(BN$2,-1)+1,$C137:$F137)*VLOOKUP(BN$2,Valores!$H$2:$P$154,8,0)</f>
        <v>0</v>
      </c>
      <c r="BO137" s="27" t="n">
        <f aca="false">SUMIF($C$2:$F$2,EOMONTH(BO$2,-1)+1,$C137:$F137)*VLOOKUP(BO$2,Valores!$H$2:$P$154,8,0)</f>
        <v>0</v>
      </c>
      <c r="BP137" s="27" t="n">
        <f aca="false">SUMIF($C$2:$F$2,EOMONTH(BP$2,-1)+1,$C137:$F137)*VLOOKUP(BP$2,Valores!$H$2:$P$154,8,0)</f>
        <v>0</v>
      </c>
      <c r="BQ137" s="27" t="n">
        <f aca="false">SUMIF($C$2:$F$2,EOMONTH(BQ$2,-1)+1,$C137:$F137)*VLOOKUP(BQ$2,Valores!$H$2:$P$154,8,0)</f>
        <v>0</v>
      </c>
      <c r="BR137" s="27" t="n">
        <f aca="false">SUMIF($C$2:$F$2,EOMONTH(BR$2,-1)+1,$C137:$F137)*VLOOKUP(BR$2,Valores!$H$2:$P$154,8,0)</f>
        <v>0</v>
      </c>
      <c r="BS137" s="27" t="n">
        <f aca="false">SUMIF($C$2:$F$2,EOMONTH(BS$2,-1)+1,$C137:$F137)*VLOOKUP(BS$2,Valores!$H$2:$P$154,8,0)</f>
        <v>0</v>
      </c>
      <c r="BT137" s="27" t="n">
        <f aca="false">SUMIF($C$2:$F$2,EOMONTH(BT$2,-1)+1,$C137:$F137)*VLOOKUP(BT$2,Valores!$H$2:$P$154,8,0)</f>
        <v>0</v>
      </c>
      <c r="BU137" s="27" t="n">
        <f aca="false">SUMIF($C$2:$F$2,EOMONTH(BU$2,-1)+1,$C137:$F137)*VLOOKUP(BU$2,Valores!$H$2:$P$154,8,0)</f>
        <v>0</v>
      </c>
      <c r="BV137" s="27" t="n">
        <f aca="false">SUMIF($C$2:$F$2,EOMONTH(BV$2,-1)+1,$C137:$F137)*VLOOKUP(BV$2,Valores!$H$2:$P$154,8,0)</f>
        <v>0</v>
      </c>
      <c r="BW137" s="27" t="n">
        <f aca="false">SUMIF($C$2:$F$2,EOMONTH(BW$2,-1)+1,$C137:$F137)*VLOOKUP(BW$2,Valores!$H$2:$P$154,8,0)</f>
        <v>0</v>
      </c>
      <c r="BX137" s="27" t="n">
        <f aca="false">SUMIF($C$2:$F$2,EOMONTH(BX$2,-1)+1,$C137:$F137)*VLOOKUP(BX$2,Valores!$H$2:$P$154,8,0)</f>
        <v>0</v>
      </c>
      <c r="BY137" s="27" t="n">
        <f aca="false">SUMIF($C$2:$F$2,EOMONTH(BY$2,-1)+1,$C137:$F137)*VLOOKUP(BY$2,Valores!$H$2:$P$154,8,0)</f>
        <v>0</v>
      </c>
      <c r="BZ137" s="27" t="n">
        <f aca="false">SUMIF($C$2:$F$2,EOMONTH(BZ$2,-1)+1,$C137:$F137)*VLOOKUP(BZ$2,Valores!$H$2:$P$154,8,0)</f>
        <v>0</v>
      </c>
      <c r="CA137" s="27" t="n">
        <f aca="false">SUMIF($C$2:$F$2,EOMONTH(CA$2,-1)+1,$C137:$F137)*VLOOKUP(CA$2,Valores!$H$2:$P$154,8,0)</f>
        <v>0</v>
      </c>
      <c r="CB137" s="27" t="n">
        <f aca="false">SUMIF($C$2:$F$2,EOMONTH(CB$2,-1)+1,$C137:$F137)*VLOOKUP(CB$2,Valores!$H$2:$P$154,8,0)</f>
        <v>0</v>
      </c>
      <c r="CC137" s="27" t="n">
        <f aca="false">SUMIF($C$2:$F$2,EOMONTH(CC$2,-1)+1,$C137:$F137)*VLOOKUP(CC$2,Valores!$H$2:$P$154,8,0)</f>
        <v>0</v>
      </c>
      <c r="CD137" s="27" t="n">
        <f aca="false">SUMIF($C$2:$F$2,EOMONTH(CD$2,-1)+1,$C137:$F137)*VLOOKUP(CD$2,Valores!$H$2:$P$154,8,0)</f>
        <v>0</v>
      </c>
      <c r="CE137" s="27" t="n">
        <f aca="false">SUMIF($C$2:$F$2,EOMONTH(CE$2,-1)+1,$C137:$F137)*VLOOKUP(CE$2,Valores!$H$2:$P$154,8,0)</f>
        <v>0</v>
      </c>
      <c r="CF137" s="27" t="n">
        <f aca="false">SUMIF($C$2:$F$2,EOMONTH(CF$2,-1)+1,$C137:$F137)*VLOOKUP(CF$2,Valores!$H$2:$P$154,8,0)</f>
        <v>0</v>
      </c>
      <c r="CG137" s="27" t="n">
        <f aca="false">SUMIF($C$2:$F$2,EOMONTH(CG$2,-1)+1,$C137:$F137)*VLOOKUP(CG$2,Valores!$H$2:$P$154,8,0)</f>
        <v>0</v>
      </c>
      <c r="CH137" s="27" t="n">
        <f aca="false">SUMIF($C$2:$F$2,EOMONTH(CH$2,-1)+1,$C137:$F137)*VLOOKUP(CH$2,Valores!$H$2:$P$154,8,0)</f>
        <v>0</v>
      </c>
      <c r="CI137" s="27" t="n">
        <f aca="false">SUMIF($C$2:$F$2,EOMONTH(CI$2,-1)+1,$C137:$F137)*VLOOKUP(CI$2,Valores!$H$2:$P$154,8,0)</f>
        <v>0</v>
      </c>
      <c r="CJ137" s="27" t="n">
        <f aca="false">SUMIF($C$2:$F$2,EOMONTH(CJ$2,-1)+1,$C137:$F137)*VLOOKUP(CJ$2,Valores!$H$2:$P$154,8,0)</f>
        <v>0</v>
      </c>
      <c r="CK137" s="27" t="n">
        <f aca="false">SUMIF($C$2:$F$2,EOMONTH(CK$2,-1)+1,$C137:$F137)*VLOOKUP(CK$2,Valores!$H$2:$P$154,8,0)</f>
        <v>0</v>
      </c>
      <c r="CL137" s="27" t="n">
        <f aca="false">SUMIF($C$2:$F$2,EOMONTH(CL$2,-1)+1,$C137:$F137)*VLOOKUP(CL$2,Valores!$H$2:$P$154,8,0)</f>
        <v>0</v>
      </c>
      <c r="CM137" s="27" t="n">
        <f aca="false">SUMIF($C$2:$F$2,EOMONTH(CM$2,-1)+1,$C137:$F137)*VLOOKUP(CM$2,Valores!$H$2:$P$154,8,0)</f>
        <v>0</v>
      </c>
      <c r="CN137" s="27" t="n">
        <f aca="false">SUMIF($C$2:$F$2,EOMONTH(CN$2,-1)+1,$C137:$F137)*VLOOKUP(CN$2,Valores!$H$2:$P$154,8,0)</f>
        <v>0</v>
      </c>
      <c r="CO137" s="27" t="n">
        <f aca="false">SUMIF($C$2:$F$2,EOMONTH(CO$2,-1)+1,$C137:$F137)*VLOOKUP(CO$2,Valores!$H$2:$P$154,8,0)</f>
        <v>0</v>
      </c>
      <c r="CP137" s="27" t="n">
        <f aca="false">SUMIF($C$2:$F$2,EOMONTH(CP$2,-1)+1,$C137:$F137)*VLOOKUP(CP$2,Valores!$H$2:$P$154,8,0)</f>
        <v>0</v>
      </c>
      <c r="CQ137" s="27" t="n">
        <f aca="false">SUMIF($C$2:$F$2,EOMONTH(CQ$2,-1)+1,$C137:$F137)*VLOOKUP(CQ$2,Valores!$H$2:$P$154,8,0)</f>
        <v>0</v>
      </c>
      <c r="CR137" s="27" t="n">
        <f aca="false">SUMIF($C$2:$F$2,EOMONTH(CR$2,-1)+1,$C137:$F137)*VLOOKUP(CR$2,Valores!$H$2:$P$154,8,0)</f>
        <v>0</v>
      </c>
      <c r="CS137" s="27" t="n">
        <f aca="false">SUMIF($C$2:$F$2,EOMONTH(CS$2,-1)+1,$C137:$F137)*VLOOKUP(CS$2,Valores!$H$2:$P$154,8,0)</f>
        <v>0</v>
      </c>
      <c r="CT137" s="27" t="e">
        <f aca="false">SUMIF($C$2:$F$2,EOMONTH(CT$2,-1)+1,$C137:$F137)*VLOOKUP(CT$2,Valores!$H$2:$P$154,8,0)</f>
        <v>#VALUE!</v>
      </c>
      <c r="CU137" s="27" t="e">
        <f aca="false">SUMIF($C$2:$F$2,EOMONTH(CU$2,-1)+1,$C137:$F137)*VLOOKUP(CU$2,Valores!$H$2:$P$154,8,0)</f>
        <v>#VALUE!</v>
      </c>
      <c r="CV137" s="27" t="e">
        <f aca="false">SUMIF($C$2:$F$2,EOMONTH(CV$2,-1)+1,$C137:$F137)*VLOOKUP(CV$2,Valores!$H$2:$P$154,8,0)</f>
        <v>#VALUE!</v>
      </c>
      <c r="CW137" s="27" t="e">
        <f aca="false">SUMIF($C$2:$F$2,EOMONTH(CW$2,-1)+1,$C137:$F137)*VLOOKUP(CW$2,Valores!$H$2:$P$154,8,0)</f>
        <v>#VALUE!</v>
      </c>
      <c r="CX137" s="27" t="e">
        <f aca="false">SUMIF($C$2:$F$2,EOMONTH(CX$2,-1)+1,$C137:$F137)*VLOOKUP(CX$2,Valores!$H$2:$P$154,8,0)</f>
        <v>#VALUE!</v>
      </c>
      <c r="CY137" s="27" t="e">
        <f aca="false">SUMIF($C$2:$F$2,EOMONTH(CY$2,-1)+1,$C137:$F137)*VLOOKUP(CY$2,Valores!$H$2:$P$154,8,0)</f>
        <v>#VALUE!</v>
      </c>
      <c r="CZ137" s="27" t="e">
        <f aca="false">SUMIF($C$2:$F$2,EOMONTH(CZ$2,-1)+1,$C137:$F137)*VLOOKUP(CZ$2,Valores!$H$2:$P$154,8,0)</f>
        <v>#VALUE!</v>
      </c>
      <c r="DA137" s="27" t="e">
        <f aca="false">SUMIF($C$2:$F$2,EOMONTH(DA$2,-1)+1,$C137:$F137)*VLOOKUP(DA$2,Valores!$H$2:$P$154,8,0)</f>
        <v>#VALUE!</v>
      </c>
      <c r="DB137" s="27" t="e">
        <f aca="false">SUMIF($C$2:$F$2,EOMONTH(DB$2,-1)+1,$C137:$F137)*VLOOKUP(DB$2,Valores!$H$2:$P$154,8,0)</f>
        <v>#VALUE!</v>
      </c>
      <c r="DC137" s="27" t="e">
        <f aca="false">SUMIF($C$2:$F$2,EOMONTH(DC$2,-1)+1,$C137:$F137)*VLOOKUP(DC$2,Valores!$H$2:$P$154,8,0)</f>
        <v>#VALUE!</v>
      </c>
      <c r="DD137" s="27" t="e">
        <f aca="false">SUMIF($C$2:$F$2,EOMONTH(DD$2,-1)+1,$C137:$F137)*VLOOKUP(DD$2,Valores!$H$2:$P$154,8,0)</f>
        <v>#VALUE!</v>
      </c>
      <c r="DE137" s="27" t="e">
        <f aca="false">SUMIF($C$2:$F$2,EOMONTH(DE$2,-1)+1,$C137:$F137)*VLOOKUP(DE$2,Valores!$H$2:$P$154,8,0)</f>
        <v>#VALUE!</v>
      </c>
      <c r="DF137" s="27" t="e">
        <f aca="false">SUMIF($C$2:$F$2,EOMONTH(DF$2,-1)+1,$C137:$F137)*VLOOKUP(DF$2,Valores!$H$2:$P$154,8,0)</f>
        <v>#VALUE!</v>
      </c>
      <c r="DG137" s="27" t="e">
        <f aca="false">SUMIF($C$2:$F$2,EOMONTH(DG$2,-1)+1,$C137:$F137)*VLOOKUP(DG$2,Valores!$H$2:$P$154,8,0)</f>
        <v>#VALUE!</v>
      </c>
      <c r="DH137" s="27" t="e">
        <f aca="false">SUMIF($C$2:$F$2,EOMONTH(DH$2,-1)+1,$C137:$F137)*VLOOKUP(DH$2,Valores!$H$2:$P$154,8,0)</f>
        <v>#VALUE!</v>
      </c>
      <c r="DI137" s="27" t="e">
        <f aca="false">SUMIF($C$2:$F$2,EOMONTH(DI$2,-1)+1,$C137:$F137)*VLOOKUP(DI$2,Valores!$H$2:$P$154,8,0)</f>
        <v>#VALUE!</v>
      </c>
      <c r="DJ137" s="27" t="e">
        <f aca="false">SUMIF($C$2:$F$2,EOMONTH(DJ$2,-1)+1,$C137:$F137)*VLOOKUP(DJ$2,Valores!$H$2:$P$154,8,0)</f>
        <v>#VALUE!</v>
      </c>
      <c r="DK137" s="27" t="e">
        <f aca="false">SUMIF($C$2:$F$2,EOMONTH(DK$2,-1)+1,$C137:$F137)*VLOOKUP(DK$2,Valores!$H$2:$P$154,8,0)</f>
        <v>#VALUE!</v>
      </c>
      <c r="DL137" s="27" t="e">
        <f aca="false">SUMIF($C$2:$F$2,EOMONTH(DL$2,-1)+1,$C137:$F137)*VLOOKUP(DL$2,Valores!$H$2:$P$154,8,0)</f>
        <v>#VALUE!</v>
      </c>
      <c r="DM137" s="27" t="e">
        <f aca="false">SUMIF($C$2:$F$2,EOMONTH(DM$2,-1)+1,$C137:$F137)*VLOOKUP(DM$2,Valores!$H$2:$P$154,8,0)</f>
        <v>#VALUE!</v>
      </c>
      <c r="DN137" s="27" t="e">
        <f aca="false">SUMIF($C$2:$F$2,EOMONTH(DN$2,-1)+1,$C137:$F137)*VLOOKUP(DN$2,Valores!$H$2:$P$154,8,0)</f>
        <v>#VALUE!</v>
      </c>
      <c r="DO137" s="27" t="e">
        <f aca="false">SUMIF($C$2:$F$2,EOMONTH(DO$2,-1)+1,$C137:$F137)*VLOOKUP(DO$2,Valores!$H$2:$P$154,8,0)</f>
        <v>#VALUE!</v>
      </c>
      <c r="DP137" s="27" t="e">
        <f aca="false">SUMIF($C$2:$F$2,EOMONTH(DP$2,-1)+1,$C137:$F137)*VLOOKUP(DP$2,Valores!$H$2:$P$154,8,0)</f>
        <v>#VALUE!</v>
      </c>
      <c r="DQ137" s="27" t="e">
        <f aca="false">SUMIF($C$2:$F$2,EOMONTH(DQ$2,-1)+1,$C137:$F137)*VLOOKUP(DQ$2,Valores!$H$2:$P$154,8,0)</f>
        <v>#VALUE!</v>
      </c>
      <c r="DR137" s="27" t="e">
        <f aca="false">SUMIF($C$2:$F$2,EOMONTH(DR$2,-1)+1,$C137:$F137)*VLOOKUP(DR$2,Valores!$H$2:$P$154,8,0)</f>
        <v>#VALUE!</v>
      </c>
      <c r="DS137" s="27" t="e">
        <f aca="false">SUMIF($C$2:$F$2,EOMONTH(DS$2,-1)+1,$C137:$F137)*VLOOKUP(DS$2,Valores!$H$2:$P$154,8,0)</f>
        <v>#VALUE!</v>
      </c>
      <c r="DT137" s="27" t="e">
        <f aca="false">SUMIF($C$2:$F$2,EOMONTH(DT$2,-1)+1,$C137:$F137)*VLOOKUP(DT$2,Valores!$H$2:$P$154,8,0)</f>
        <v>#VALUE!</v>
      </c>
      <c r="DU137" s="27" t="e">
        <f aca="false">SUMIF($C$2:$F$2,EOMONTH(DU$2,-1)+1,$C137:$F137)*VLOOKUP(DU$2,Valores!$H$2:$P$154,8,0)</f>
        <v>#VALUE!</v>
      </c>
      <c r="DV137" s="27" t="e">
        <f aca="false">SUMIF($C$2:$F$2,EOMONTH(DV$2,-1)+1,$C137:$F137)*VLOOKUP(DV$2,Valores!$H$2:$P$154,8,0)</f>
        <v>#VALUE!</v>
      </c>
      <c r="DW137" s="27" t="e">
        <f aca="false">SUMIF($C$2:$F$2,EOMONTH(DW$2,-1)+1,$C137:$F137)*VLOOKUP(DW$2,Valores!$H$2:$P$154,8,0)</f>
        <v>#VALUE!</v>
      </c>
      <c r="DX137" s="27" t="e">
        <f aca="false">SUMIF($C$2:$F$2,EOMONTH(DX$2,-1)+1,$C137:$F137)*VLOOKUP(DX$2,Valores!$H$2:$P$154,8,0)</f>
        <v>#VALUE!</v>
      </c>
    </row>
    <row r="138" customFormat="false" ht="13.8" hidden="false" customHeight="false" outlineLevel="0" collapsed="false">
      <c r="A138" s="29"/>
      <c r="B138" s="29"/>
      <c r="C138" s="29"/>
      <c r="D138" s="29"/>
      <c r="E138" s="29"/>
      <c r="F138" s="29"/>
      <c r="G138" s="30" t="n">
        <f aca="false">SUMIF($C$2:$F$2,EOMONTH(G$2,-1)+1,$C138:$F138)*VLOOKUP(G$2,Valores!$H$2:$P$154,8,0)</f>
        <v>0</v>
      </c>
      <c r="H138" s="30" t="n">
        <f aca="false">SUMIF($C$2:$F$2,EOMONTH(H$2,-1)+1,$C138:$F138)*VLOOKUP(H$2,Valores!$H$2:$P$154,8,0)</f>
        <v>0</v>
      </c>
      <c r="I138" s="30" t="n">
        <f aca="false">SUMIF($C$2:$F$2,EOMONTH(I$2,-1)+1,$C138:$F138)*VLOOKUP(I$2,Valores!$H$2:$P$154,8,0)</f>
        <v>0</v>
      </c>
      <c r="J138" s="30" t="n">
        <f aca="false">SUMIF($C$2:$F$2,EOMONTH(J$2,-1)+1,$C138:$F138)*VLOOKUP(J$2,Valores!$H$2:$P$154,8,0)</f>
        <v>0</v>
      </c>
      <c r="K138" s="30" t="n">
        <f aca="false">SUMIF($C$2:$F$2,EOMONTH(K$2,-1)+1,$C138:$F138)*VLOOKUP(K$2,Valores!$H$2:$P$154,8,0)</f>
        <v>0</v>
      </c>
      <c r="L138" s="30" t="n">
        <f aca="false">SUMIF($C$2:$F$2,EOMONTH(L$2,-1)+1,$C138:$F138)*VLOOKUP(L$2,Valores!$H$2:$P$154,8,0)</f>
        <v>0</v>
      </c>
      <c r="M138" s="30" t="n">
        <f aca="false">SUMIF($C$2:$F$2,EOMONTH(M$2,-1)+1,$C138:$F138)*VLOOKUP(M$2,Valores!$H$2:$P$154,8,0)</f>
        <v>0</v>
      </c>
      <c r="N138" s="30" t="n">
        <f aca="false">SUMIF($C$2:$F$2,EOMONTH(N$2,-1)+1,$C138:$F138)*VLOOKUP(N$2,Valores!$H$2:$P$154,8,0)</f>
        <v>0</v>
      </c>
      <c r="O138" s="30" t="n">
        <f aca="false">SUMIF($C$2:$F$2,EOMONTH(O$2,-1)+1,$C138:$F138)*VLOOKUP(O$2,Valores!$H$2:$P$154,8,0)</f>
        <v>0</v>
      </c>
      <c r="P138" s="30" t="n">
        <f aca="false">SUMIF($C$2:$F$2,EOMONTH(P$2,-1)+1,$C138:$F138)*VLOOKUP(P$2,Valores!$H$2:$P$154,8,0)</f>
        <v>0</v>
      </c>
      <c r="Q138" s="30" t="n">
        <f aca="false">SUMIF($C$2:$F$2,EOMONTH(Q$2,-1)+1,$C138:$F138)*VLOOKUP(Q$2,Valores!$H$2:$P$154,8,0)</f>
        <v>0</v>
      </c>
      <c r="R138" s="30" t="n">
        <f aca="false">SUMIF($C$2:$F$2,EOMONTH(R$2,-1)+1,$C138:$F138)*VLOOKUP(R$2,Valores!$H$2:$P$154,8,0)</f>
        <v>0</v>
      </c>
      <c r="S138" s="30" t="n">
        <f aca="false">SUMIF($C$2:$F$2,EOMONTH(S$2,-1)+1,$C138:$F138)*VLOOKUP(S$2,Valores!$H$2:$P$154,8,0)</f>
        <v>0</v>
      </c>
      <c r="T138" s="30" t="n">
        <f aca="false">SUMIF($C$2:$F$2,EOMONTH(T$2,-1)+1,$C138:$F138)*VLOOKUP(T$2,Valores!$H$2:$P$154,8,0)</f>
        <v>0</v>
      </c>
      <c r="U138" s="30" t="n">
        <f aca="false">SUMIF($C$2:$F$2,EOMONTH(U$2,-1)+1,$C138:$F138)*VLOOKUP(U$2,Valores!$H$2:$P$154,8,0)</f>
        <v>0</v>
      </c>
      <c r="V138" s="30" t="n">
        <f aca="false">SUMIF($C$2:$F$2,EOMONTH(V$2,-1)+1,$C138:$F138)*VLOOKUP(V$2,Valores!$H$2:$P$154,8,0)</f>
        <v>0</v>
      </c>
      <c r="W138" s="30" t="n">
        <f aca="false">SUMIF($C$2:$F$2,EOMONTH(W$2,-1)+1,$C138:$F138)*VLOOKUP(W$2,Valores!$H$2:$P$154,8,0)</f>
        <v>0</v>
      </c>
      <c r="X138" s="30" t="n">
        <f aca="false">SUMIF($C$2:$F$2,EOMONTH(X$2,-1)+1,$C138:$F138)*VLOOKUP(X$2,Valores!$H$2:$P$154,8,0)</f>
        <v>0</v>
      </c>
      <c r="Y138" s="30" t="n">
        <f aca="false">SUMIF($C$2:$F$2,EOMONTH(Y$2,-1)+1,$C138:$F138)*VLOOKUP(Y$2,Valores!$H$2:$P$154,8,0)</f>
        <v>0</v>
      </c>
      <c r="Z138" s="30" t="n">
        <f aca="false">SUMIF($C$2:$F$2,EOMONTH(Z$2,-1)+1,$C138:$F138)*VLOOKUP(Z$2,Valores!$H$2:$P$154,8,0)</f>
        <v>0</v>
      </c>
      <c r="AA138" s="30" t="n">
        <f aca="false">SUMIF($C$2:$F$2,EOMONTH(AA$2,-1)+1,$C138:$F138)*VLOOKUP(AA$2,Valores!$H$2:$P$154,8,0)</f>
        <v>0</v>
      </c>
      <c r="AB138" s="30" t="n">
        <f aca="false">SUMIF($C$2:$F$2,EOMONTH(AB$2,-1)+1,$C138:$F138)*VLOOKUP(AB$2,Valores!$H$2:$P$154,8,0)</f>
        <v>0</v>
      </c>
      <c r="AC138" s="30" t="n">
        <f aca="false">SUMIF($C$2:$F$2,EOMONTH(AC$2,-1)+1,$C138:$F138)*VLOOKUP(AC$2,Valores!$H$2:$P$154,8,0)</f>
        <v>0</v>
      </c>
      <c r="AD138" s="30" t="n">
        <f aca="false">SUMIF($C$2:$F$2,EOMONTH(AD$2,-1)+1,$C138:$F138)*VLOOKUP(AD$2,Valores!$H$2:$P$154,8,0)</f>
        <v>0</v>
      </c>
      <c r="AE138" s="30" t="n">
        <f aca="false">SUMIF($C$2:$F$2,EOMONTH(AE$2,-1)+1,$C138:$F138)*VLOOKUP(AE$2,Valores!$H$2:$P$154,8,0)</f>
        <v>0</v>
      </c>
      <c r="AF138" s="30" t="n">
        <f aca="false">SUMIF($C$2:$F$2,EOMONTH(AF$2,-1)+1,$C138:$F138)*VLOOKUP(AF$2,Valores!$H$2:$P$154,8,0)</f>
        <v>0</v>
      </c>
      <c r="AG138" s="30" t="n">
        <f aca="false">SUMIF($C$2:$F$2,EOMONTH(AG$2,-1)+1,$C138:$F138)*VLOOKUP(AG$2,Valores!$H$2:$P$154,8,0)</f>
        <v>0</v>
      </c>
      <c r="AH138" s="30" t="n">
        <f aca="false">SUMIF($C$2:$F$2,EOMONTH(AH$2,-1)+1,$C138:$F138)*VLOOKUP(AH$2,Valores!$H$2:$P$154,8,0)</f>
        <v>0</v>
      </c>
      <c r="AI138" s="30" t="n">
        <f aca="false">SUMIF($C$2:$F$2,EOMONTH(AI$2,-1)+1,$C138:$F138)*VLOOKUP(AI$2,Valores!$H$2:$P$154,8,0)</f>
        <v>0</v>
      </c>
      <c r="AJ138" s="30" t="n">
        <f aca="false">SUMIF($C$2:$F$2,EOMONTH(AJ$2,-1)+1,$C138:$F138)*VLOOKUP(AJ$2,Valores!$H$2:$P$154,8,0)</f>
        <v>0</v>
      </c>
      <c r="AK138" s="30" t="n">
        <f aca="false">SUMIF($C$2:$F$2,EOMONTH(AK$2,-1)+1,$C138:$F138)*VLOOKUP(AK$2,Valores!$H$2:$P$154,8,0)</f>
        <v>0</v>
      </c>
      <c r="AL138" s="30" t="n">
        <f aca="false">SUMIF($C$2:$F$2,EOMONTH(AL$2,-1)+1,$C138:$F138)*VLOOKUP(AL$2,Valores!$H$2:$P$154,8,0)</f>
        <v>0</v>
      </c>
      <c r="AM138" s="30" t="n">
        <f aca="false">SUMIF($C$2:$F$2,EOMONTH(AM$2,-1)+1,$C138:$F138)*VLOOKUP(AM$2,Valores!$H$2:$P$154,8,0)</f>
        <v>0</v>
      </c>
      <c r="AN138" s="30" t="n">
        <f aca="false">SUMIF($C$2:$F$2,EOMONTH(AN$2,-1)+1,$C138:$F138)*VLOOKUP(AN$2,Valores!$H$2:$P$154,8,0)</f>
        <v>0</v>
      </c>
      <c r="AO138" s="30" t="n">
        <f aca="false">SUMIF($C$2:$F$2,EOMONTH(AO$2,-1)+1,$C138:$F138)*VLOOKUP(AO$2,Valores!$H$2:$P$154,8,0)</f>
        <v>0</v>
      </c>
      <c r="AP138" s="30" t="n">
        <f aca="false">SUMIF($C$2:$F$2,EOMONTH(AP$2,-1)+1,$C138:$F138)*VLOOKUP(AP$2,Valores!$H$2:$P$154,8,0)</f>
        <v>0</v>
      </c>
      <c r="AQ138" s="30" t="n">
        <f aca="false">SUMIF($C$2:$F$2,EOMONTH(AQ$2,-1)+1,$C138:$F138)*VLOOKUP(AQ$2,Valores!$H$2:$P$154,8,0)</f>
        <v>0</v>
      </c>
      <c r="AR138" s="30" t="n">
        <f aca="false">SUMIF($C$2:$F$2,EOMONTH(AR$2,-1)+1,$C138:$F138)*VLOOKUP(AR$2,Valores!$H$2:$P$154,8,0)</f>
        <v>0</v>
      </c>
      <c r="AS138" s="30" t="n">
        <f aca="false">SUMIF($C$2:$F$2,EOMONTH(AS$2,-1)+1,$C138:$F138)*VLOOKUP(AS$2,Valores!$H$2:$P$154,8,0)</f>
        <v>0</v>
      </c>
      <c r="AT138" s="30" t="n">
        <f aca="false">SUMIF($C$2:$F$2,EOMONTH(AT$2,-1)+1,$C138:$F138)*VLOOKUP(AT$2,Valores!$H$2:$P$154,8,0)</f>
        <v>0</v>
      </c>
      <c r="AU138" s="30" t="n">
        <f aca="false">SUMIF($C$2:$F$2,EOMONTH(AU$2,-1)+1,$C138:$F138)*VLOOKUP(AU$2,Valores!$H$2:$P$154,8,0)</f>
        <v>0</v>
      </c>
      <c r="AV138" s="30" t="n">
        <f aca="false">SUMIF($C$2:$F$2,EOMONTH(AV$2,-1)+1,$C138:$F138)*VLOOKUP(AV$2,Valores!$H$2:$P$154,8,0)</f>
        <v>0</v>
      </c>
      <c r="AW138" s="30" t="n">
        <f aca="false">SUMIF($C$2:$F$2,EOMONTH(AW$2,-1)+1,$C138:$F138)*VLOOKUP(AW$2,Valores!$H$2:$P$154,8,0)</f>
        <v>0</v>
      </c>
      <c r="AX138" s="30" t="n">
        <f aca="false">SUMIF($C$2:$F$2,EOMONTH(AX$2,-1)+1,$C138:$F138)*VLOOKUP(AX$2,Valores!$H$2:$P$154,8,0)</f>
        <v>0</v>
      </c>
      <c r="AY138" s="30" t="n">
        <f aca="false">SUMIF($C$2:$F$2,EOMONTH(AY$2,-1)+1,$C138:$F138)*VLOOKUP(AY$2,Valores!$H$2:$P$154,8,0)</f>
        <v>0</v>
      </c>
      <c r="AZ138" s="30" t="n">
        <f aca="false">SUMIF($C$2:$F$2,EOMONTH(AZ$2,-1)+1,$C138:$F138)*VLOOKUP(AZ$2,Valores!$H$2:$P$154,8,0)</f>
        <v>0</v>
      </c>
      <c r="BA138" s="30" t="n">
        <f aca="false">SUMIF($C$2:$F$2,EOMONTH(BA$2,-1)+1,$C138:$F138)*VLOOKUP(BA$2,Valores!$H$2:$P$154,8,0)</f>
        <v>0</v>
      </c>
      <c r="BB138" s="30" t="n">
        <f aca="false">SUMIF($C$2:$F$2,EOMONTH(BB$2,-1)+1,$C138:$F138)*VLOOKUP(BB$2,Valores!$H$2:$P$154,8,0)</f>
        <v>0</v>
      </c>
      <c r="BC138" s="30" t="n">
        <f aca="false">SUMIF($C$2:$F$2,EOMONTH(BC$2,-1)+1,$C138:$F138)*VLOOKUP(BC$2,Valores!$H$2:$P$154,8,0)</f>
        <v>0</v>
      </c>
      <c r="BD138" s="30" t="n">
        <f aca="false">SUMIF($C$2:$F$2,EOMONTH(BD$2,-1)+1,$C138:$F138)*VLOOKUP(BD$2,Valores!$H$2:$P$154,8,0)</f>
        <v>0</v>
      </c>
      <c r="BE138" s="30" t="n">
        <f aca="false">SUMIF($C$2:$F$2,EOMONTH(BE$2,-1)+1,$C138:$F138)*VLOOKUP(BE$2,Valores!$H$2:$P$154,8,0)</f>
        <v>0</v>
      </c>
      <c r="BF138" s="30" t="n">
        <f aca="false">SUMIF($C$2:$F$2,EOMONTH(BF$2,-1)+1,$C138:$F138)*VLOOKUP(BF$2,Valores!$H$2:$P$154,8,0)</f>
        <v>0</v>
      </c>
      <c r="BG138" s="30" t="n">
        <f aca="false">SUMIF($C$2:$F$2,EOMONTH(BG$2,-1)+1,$C138:$F138)*VLOOKUP(BG$2,Valores!$H$2:$P$154,8,0)</f>
        <v>0</v>
      </c>
      <c r="BH138" s="30" t="n">
        <f aca="false">SUMIF($C$2:$F$2,EOMONTH(BH$2,-1)+1,$C138:$F138)*VLOOKUP(BH$2,Valores!$H$2:$P$154,8,0)</f>
        <v>0</v>
      </c>
      <c r="BI138" s="30" t="n">
        <f aca="false">SUMIF($C$2:$F$2,EOMONTH(BI$2,-1)+1,$C138:$F138)*VLOOKUP(BI$2,Valores!$H$2:$P$154,8,0)</f>
        <v>0</v>
      </c>
      <c r="BJ138" s="30" t="n">
        <f aca="false">SUMIF($C$2:$F$2,EOMONTH(BJ$2,-1)+1,$C138:$F138)*VLOOKUP(BJ$2,Valores!$H$2:$P$154,8,0)</f>
        <v>0</v>
      </c>
      <c r="BK138" s="30" t="n">
        <f aca="false">SUMIF($C$2:$F$2,EOMONTH(BK$2,-1)+1,$C138:$F138)*VLOOKUP(BK$2,Valores!$H$2:$P$154,8,0)</f>
        <v>0</v>
      </c>
      <c r="BL138" s="30" t="n">
        <f aca="false">SUMIF($C$2:$F$2,EOMONTH(BL$2,-1)+1,$C138:$F138)*VLOOKUP(BL$2,Valores!$H$2:$P$154,8,0)</f>
        <v>0</v>
      </c>
      <c r="BM138" s="30" t="n">
        <f aca="false">SUMIF($C$2:$F$2,EOMONTH(BM$2,-1)+1,$C138:$F138)*VLOOKUP(BM$2,Valores!$H$2:$P$154,8,0)</f>
        <v>0</v>
      </c>
      <c r="BN138" s="30" t="n">
        <f aca="false">SUMIF($C$2:$F$2,EOMONTH(BN$2,-1)+1,$C138:$F138)*VLOOKUP(BN$2,Valores!$H$2:$P$154,8,0)</f>
        <v>0</v>
      </c>
      <c r="BO138" s="30" t="n">
        <f aca="false">SUMIF($C$2:$F$2,EOMONTH(BO$2,-1)+1,$C138:$F138)*VLOOKUP(BO$2,Valores!$H$2:$P$154,8,0)</f>
        <v>0</v>
      </c>
      <c r="BP138" s="30" t="n">
        <f aca="false">SUMIF($C$2:$F$2,EOMONTH(BP$2,-1)+1,$C138:$F138)*VLOOKUP(BP$2,Valores!$H$2:$P$154,8,0)</f>
        <v>0</v>
      </c>
      <c r="BQ138" s="30" t="n">
        <f aca="false">SUMIF($C$2:$F$2,EOMONTH(BQ$2,-1)+1,$C138:$F138)*VLOOKUP(BQ$2,Valores!$H$2:$P$154,8,0)</f>
        <v>0</v>
      </c>
      <c r="BR138" s="30" t="n">
        <f aca="false">SUMIF($C$2:$F$2,EOMONTH(BR$2,-1)+1,$C138:$F138)*VLOOKUP(BR$2,Valores!$H$2:$P$154,8,0)</f>
        <v>0</v>
      </c>
      <c r="BS138" s="30" t="n">
        <f aca="false">SUMIF($C$2:$F$2,EOMONTH(BS$2,-1)+1,$C138:$F138)*VLOOKUP(BS$2,Valores!$H$2:$P$154,8,0)</f>
        <v>0</v>
      </c>
      <c r="BT138" s="30" t="n">
        <f aca="false">SUMIF($C$2:$F$2,EOMONTH(BT$2,-1)+1,$C138:$F138)*VLOOKUP(BT$2,Valores!$H$2:$P$154,8,0)</f>
        <v>0</v>
      </c>
      <c r="BU138" s="30" t="n">
        <f aca="false">SUMIF($C$2:$F$2,EOMONTH(BU$2,-1)+1,$C138:$F138)*VLOOKUP(BU$2,Valores!$H$2:$P$154,8,0)</f>
        <v>0</v>
      </c>
      <c r="BV138" s="30" t="n">
        <f aca="false">SUMIF($C$2:$F$2,EOMONTH(BV$2,-1)+1,$C138:$F138)*VLOOKUP(BV$2,Valores!$H$2:$P$154,8,0)</f>
        <v>0</v>
      </c>
      <c r="BW138" s="30" t="n">
        <f aca="false">SUMIF($C$2:$F$2,EOMONTH(BW$2,-1)+1,$C138:$F138)*VLOOKUP(BW$2,Valores!$H$2:$P$154,8,0)</f>
        <v>0</v>
      </c>
      <c r="BX138" s="30" t="n">
        <f aca="false">SUMIF($C$2:$F$2,EOMONTH(BX$2,-1)+1,$C138:$F138)*VLOOKUP(BX$2,Valores!$H$2:$P$154,8,0)</f>
        <v>0</v>
      </c>
      <c r="BY138" s="30" t="n">
        <f aca="false">SUMIF($C$2:$F$2,EOMONTH(BY$2,-1)+1,$C138:$F138)*VLOOKUP(BY$2,Valores!$H$2:$P$154,8,0)</f>
        <v>0</v>
      </c>
      <c r="BZ138" s="30" t="n">
        <f aca="false">SUMIF($C$2:$F$2,EOMONTH(BZ$2,-1)+1,$C138:$F138)*VLOOKUP(BZ$2,Valores!$H$2:$P$154,8,0)</f>
        <v>0</v>
      </c>
      <c r="CA138" s="30" t="n">
        <f aca="false">SUMIF($C$2:$F$2,EOMONTH(CA$2,-1)+1,$C138:$F138)*VLOOKUP(CA$2,Valores!$H$2:$P$154,8,0)</f>
        <v>0</v>
      </c>
      <c r="CB138" s="30" t="n">
        <f aca="false">SUMIF($C$2:$F$2,EOMONTH(CB$2,-1)+1,$C138:$F138)*VLOOKUP(CB$2,Valores!$H$2:$P$154,8,0)</f>
        <v>0</v>
      </c>
      <c r="CC138" s="30" t="n">
        <f aca="false">SUMIF($C$2:$F$2,EOMONTH(CC$2,-1)+1,$C138:$F138)*VLOOKUP(CC$2,Valores!$H$2:$P$154,8,0)</f>
        <v>0</v>
      </c>
      <c r="CD138" s="30" t="n">
        <f aca="false">SUMIF($C$2:$F$2,EOMONTH(CD$2,-1)+1,$C138:$F138)*VLOOKUP(CD$2,Valores!$H$2:$P$154,8,0)</f>
        <v>0</v>
      </c>
      <c r="CE138" s="30" t="n">
        <f aca="false">SUMIF($C$2:$F$2,EOMONTH(CE$2,-1)+1,$C138:$F138)*VLOOKUP(CE$2,Valores!$H$2:$P$154,8,0)</f>
        <v>0</v>
      </c>
      <c r="CF138" s="30" t="n">
        <f aca="false">SUMIF($C$2:$F$2,EOMONTH(CF$2,-1)+1,$C138:$F138)*VLOOKUP(CF$2,Valores!$H$2:$P$154,8,0)</f>
        <v>0</v>
      </c>
      <c r="CG138" s="30" t="n">
        <f aca="false">SUMIF($C$2:$F$2,EOMONTH(CG$2,-1)+1,$C138:$F138)*VLOOKUP(CG$2,Valores!$H$2:$P$154,8,0)</f>
        <v>0</v>
      </c>
      <c r="CH138" s="30" t="n">
        <f aca="false">SUMIF($C$2:$F$2,EOMONTH(CH$2,-1)+1,$C138:$F138)*VLOOKUP(CH$2,Valores!$H$2:$P$154,8,0)</f>
        <v>0</v>
      </c>
      <c r="CI138" s="30" t="n">
        <f aca="false">SUMIF($C$2:$F$2,EOMONTH(CI$2,-1)+1,$C138:$F138)*VLOOKUP(CI$2,Valores!$H$2:$P$154,8,0)</f>
        <v>0</v>
      </c>
      <c r="CJ138" s="30" t="n">
        <f aca="false">SUMIF($C$2:$F$2,EOMONTH(CJ$2,-1)+1,$C138:$F138)*VLOOKUP(CJ$2,Valores!$H$2:$P$154,8,0)</f>
        <v>0</v>
      </c>
      <c r="CK138" s="30" t="n">
        <f aca="false">SUMIF($C$2:$F$2,EOMONTH(CK$2,-1)+1,$C138:$F138)*VLOOKUP(CK$2,Valores!$H$2:$P$154,8,0)</f>
        <v>0</v>
      </c>
      <c r="CL138" s="30" t="n">
        <f aca="false">SUMIF($C$2:$F$2,EOMONTH(CL$2,-1)+1,$C138:$F138)*VLOOKUP(CL$2,Valores!$H$2:$P$154,8,0)</f>
        <v>0</v>
      </c>
      <c r="CM138" s="30" t="n">
        <f aca="false">SUMIF($C$2:$F$2,EOMONTH(CM$2,-1)+1,$C138:$F138)*VLOOKUP(CM$2,Valores!$H$2:$P$154,8,0)</f>
        <v>0</v>
      </c>
      <c r="CN138" s="30" t="n">
        <f aca="false">SUMIF($C$2:$F$2,EOMONTH(CN$2,-1)+1,$C138:$F138)*VLOOKUP(CN$2,Valores!$H$2:$P$154,8,0)</f>
        <v>0</v>
      </c>
      <c r="CO138" s="30" t="n">
        <f aca="false">SUMIF($C$2:$F$2,EOMONTH(CO$2,-1)+1,$C138:$F138)*VLOOKUP(CO$2,Valores!$H$2:$P$154,8,0)</f>
        <v>0</v>
      </c>
      <c r="CP138" s="30" t="n">
        <f aca="false">SUMIF($C$2:$F$2,EOMONTH(CP$2,-1)+1,$C138:$F138)*VLOOKUP(CP$2,Valores!$H$2:$P$154,8,0)</f>
        <v>0</v>
      </c>
      <c r="CQ138" s="30" t="n">
        <f aca="false">SUMIF($C$2:$F$2,EOMONTH(CQ$2,-1)+1,$C138:$F138)*VLOOKUP(CQ$2,Valores!$H$2:$P$154,8,0)</f>
        <v>0</v>
      </c>
      <c r="CR138" s="30" t="n">
        <f aca="false">SUMIF($C$2:$F$2,EOMONTH(CR$2,-1)+1,$C138:$F138)*VLOOKUP(CR$2,Valores!$H$2:$P$154,8,0)</f>
        <v>0</v>
      </c>
      <c r="CS138" s="30" t="n">
        <f aca="false">SUMIF($C$2:$F$2,EOMONTH(CS$2,-1)+1,$C138:$F138)*VLOOKUP(CS$2,Valores!$H$2:$P$154,8,0)</f>
        <v>0</v>
      </c>
      <c r="CT138" s="30" t="e">
        <f aca="false">SUMIF($C$2:$F$2,EOMONTH(CT$2,-1)+1,$C138:$F138)*VLOOKUP(CT$2,Valores!$H$2:$P$154,8,0)</f>
        <v>#VALUE!</v>
      </c>
      <c r="CU138" s="30" t="e">
        <f aca="false">SUMIF($C$2:$F$2,EOMONTH(CU$2,-1)+1,$C138:$F138)*VLOOKUP(CU$2,Valores!$H$2:$P$154,8,0)</f>
        <v>#VALUE!</v>
      </c>
      <c r="CV138" s="30" t="e">
        <f aca="false">SUMIF($C$2:$F$2,EOMONTH(CV$2,-1)+1,$C138:$F138)*VLOOKUP(CV$2,Valores!$H$2:$P$154,8,0)</f>
        <v>#VALUE!</v>
      </c>
      <c r="CW138" s="30" t="e">
        <f aca="false">SUMIF($C$2:$F$2,EOMONTH(CW$2,-1)+1,$C138:$F138)*VLOOKUP(CW$2,Valores!$H$2:$P$154,8,0)</f>
        <v>#VALUE!</v>
      </c>
      <c r="CX138" s="30" t="e">
        <f aca="false">SUMIF($C$2:$F$2,EOMONTH(CX$2,-1)+1,$C138:$F138)*VLOOKUP(CX$2,Valores!$H$2:$P$154,8,0)</f>
        <v>#VALUE!</v>
      </c>
      <c r="CY138" s="30" t="e">
        <f aca="false">SUMIF($C$2:$F$2,EOMONTH(CY$2,-1)+1,$C138:$F138)*VLOOKUP(CY$2,Valores!$H$2:$P$154,8,0)</f>
        <v>#VALUE!</v>
      </c>
      <c r="CZ138" s="30" t="e">
        <f aca="false">SUMIF($C$2:$F$2,EOMONTH(CZ$2,-1)+1,$C138:$F138)*VLOOKUP(CZ$2,Valores!$H$2:$P$154,8,0)</f>
        <v>#VALUE!</v>
      </c>
      <c r="DA138" s="30" t="e">
        <f aca="false">SUMIF($C$2:$F$2,EOMONTH(DA$2,-1)+1,$C138:$F138)*VLOOKUP(DA$2,Valores!$H$2:$P$154,8,0)</f>
        <v>#VALUE!</v>
      </c>
      <c r="DB138" s="30" t="e">
        <f aca="false">SUMIF($C$2:$F$2,EOMONTH(DB$2,-1)+1,$C138:$F138)*VLOOKUP(DB$2,Valores!$H$2:$P$154,8,0)</f>
        <v>#VALUE!</v>
      </c>
      <c r="DC138" s="30" t="e">
        <f aca="false">SUMIF($C$2:$F$2,EOMONTH(DC$2,-1)+1,$C138:$F138)*VLOOKUP(DC$2,Valores!$H$2:$P$154,8,0)</f>
        <v>#VALUE!</v>
      </c>
      <c r="DD138" s="30" t="e">
        <f aca="false">SUMIF($C$2:$F$2,EOMONTH(DD$2,-1)+1,$C138:$F138)*VLOOKUP(DD$2,Valores!$H$2:$P$154,8,0)</f>
        <v>#VALUE!</v>
      </c>
      <c r="DE138" s="30" t="e">
        <f aca="false">SUMIF($C$2:$F$2,EOMONTH(DE$2,-1)+1,$C138:$F138)*VLOOKUP(DE$2,Valores!$H$2:$P$154,8,0)</f>
        <v>#VALUE!</v>
      </c>
      <c r="DF138" s="30" t="e">
        <f aca="false">SUMIF($C$2:$F$2,EOMONTH(DF$2,-1)+1,$C138:$F138)*VLOOKUP(DF$2,Valores!$H$2:$P$154,8,0)</f>
        <v>#VALUE!</v>
      </c>
      <c r="DG138" s="30" t="e">
        <f aca="false">SUMIF($C$2:$F$2,EOMONTH(DG$2,-1)+1,$C138:$F138)*VLOOKUP(DG$2,Valores!$H$2:$P$154,8,0)</f>
        <v>#VALUE!</v>
      </c>
      <c r="DH138" s="30" t="e">
        <f aca="false">SUMIF($C$2:$F$2,EOMONTH(DH$2,-1)+1,$C138:$F138)*VLOOKUP(DH$2,Valores!$H$2:$P$154,8,0)</f>
        <v>#VALUE!</v>
      </c>
      <c r="DI138" s="30" t="e">
        <f aca="false">SUMIF($C$2:$F$2,EOMONTH(DI$2,-1)+1,$C138:$F138)*VLOOKUP(DI$2,Valores!$H$2:$P$154,8,0)</f>
        <v>#VALUE!</v>
      </c>
      <c r="DJ138" s="30" t="e">
        <f aca="false">SUMIF($C$2:$F$2,EOMONTH(DJ$2,-1)+1,$C138:$F138)*VLOOKUP(DJ$2,Valores!$H$2:$P$154,8,0)</f>
        <v>#VALUE!</v>
      </c>
      <c r="DK138" s="30" t="e">
        <f aca="false">SUMIF($C$2:$F$2,EOMONTH(DK$2,-1)+1,$C138:$F138)*VLOOKUP(DK$2,Valores!$H$2:$P$154,8,0)</f>
        <v>#VALUE!</v>
      </c>
      <c r="DL138" s="30" t="e">
        <f aca="false">SUMIF($C$2:$F$2,EOMONTH(DL$2,-1)+1,$C138:$F138)*VLOOKUP(DL$2,Valores!$H$2:$P$154,8,0)</f>
        <v>#VALUE!</v>
      </c>
      <c r="DM138" s="30" t="e">
        <f aca="false">SUMIF($C$2:$F$2,EOMONTH(DM$2,-1)+1,$C138:$F138)*VLOOKUP(DM$2,Valores!$H$2:$P$154,8,0)</f>
        <v>#VALUE!</v>
      </c>
      <c r="DN138" s="30" t="e">
        <f aca="false">SUMIF($C$2:$F$2,EOMONTH(DN$2,-1)+1,$C138:$F138)*VLOOKUP(DN$2,Valores!$H$2:$P$154,8,0)</f>
        <v>#VALUE!</v>
      </c>
      <c r="DO138" s="30" t="e">
        <f aca="false">SUMIF($C$2:$F$2,EOMONTH(DO$2,-1)+1,$C138:$F138)*VLOOKUP(DO$2,Valores!$H$2:$P$154,8,0)</f>
        <v>#VALUE!</v>
      </c>
      <c r="DP138" s="30" t="e">
        <f aca="false">SUMIF($C$2:$F$2,EOMONTH(DP$2,-1)+1,$C138:$F138)*VLOOKUP(DP$2,Valores!$H$2:$P$154,8,0)</f>
        <v>#VALUE!</v>
      </c>
      <c r="DQ138" s="30" t="e">
        <f aca="false">SUMIF($C$2:$F$2,EOMONTH(DQ$2,-1)+1,$C138:$F138)*VLOOKUP(DQ$2,Valores!$H$2:$P$154,8,0)</f>
        <v>#VALUE!</v>
      </c>
      <c r="DR138" s="30" t="e">
        <f aca="false">SUMIF($C$2:$F$2,EOMONTH(DR$2,-1)+1,$C138:$F138)*VLOOKUP(DR$2,Valores!$H$2:$P$154,8,0)</f>
        <v>#VALUE!</v>
      </c>
      <c r="DS138" s="30" t="e">
        <f aca="false">SUMIF($C$2:$F$2,EOMONTH(DS$2,-1)+1,$C138:$F138)*VLOOKUP(DS$2,Valores!$H$2:$P$154,8,0)</f>
        <v>#VALUE!</v>
      </c>
      <c r="DT138" s="30" t="e">
        <f aca="false">SUMIF($C$2:$F$2,EOMONTH(DT$2,-1)+1,$C138:$F138)*VLOOKUP(DT$2,Valores!$H$2:$P$154,8,0)</f>
        <v>#VALUE!</v>
      </c>
      <c r="DU138" s="30" t="e">
        <f aca="false">SUMIF($C$2:$F$2,EOMONTH(DU$2,-1)+1,$C138:$F138)*VLOOKUP(DU$2,Valores!$H$2:$P$154,8,0)</f>
        <v>#VALUE!</v>
      </c>
      <c r="DV138" s="30" t="e">
        <f aca="false">SUMIF($C$2:$F$2,EOMONTH(DV$2,-1)+1,$C138:$F138)*VLOOKUP(DV$2,Valores!$H$2:$P$154,8,0)</f>
        <v>#VALUE!</v>
      </c>
      <c r="DW138" s="30" t="e">
        <f aca="false">SUMIF($C$2:$F$2,EOMONTH(DW$2,-1)+1,$C138:$F138)*VLOOKUP(DW$2,Valores!$H$2:$P$154,8,0)</f>
        <v>#VALUE!</v>
      </c>
      <c r="DX138" s="30" t="e">
        <f aca="false">SUMIF($C$2:$F$2,EOMONTH(DX$2,-1)+1,$C138:$F138)*VLOOKUP(DX$2,Valores!$H$2:$P$154,8,0)</f>
        <v>#VALUE!</v>
      </c>
    </row>
    <row r="139" customFormat="false" ht="13.8" hidden="false" customHeight="false" outlineLevel="0" collapsed="false">
      <c r="A139" s="31"/>
      <c r="B139" s="31"/>
      <c r="C139" s="31"/>
      <c r="D139" s="31"/>
      <c r="E139" s="31"/>
      <c r="F139" s="31"/>
      <c r="G139" s="27" t="n">
        <f aca="false">SUMIF($C$2:$F$2,EOMONTH(G$2,-1)+1,$C139:$F139)*VLOOKUP(G$2,Valores!$H$2:$P$154,8,0)</f>
        <v>0</v>
      </c>
      <c r="H139" s="27" t="n">
        <f aca="false">SUMIF($C$2:$F$2,EOMONTH(H$2,-1)+1,$C139:$F139)*VLOOKUP(H$2,Valores!$H$2:$P$154,8,0)</f>
        <v>0</v>
      </c>
      <c r="I139" s="27" t="n">
        <f aca="false">SUMIF($C$2:$F$2,EOMONTH(I$2,-1)+1,$C139:$F139)*VLOOKUP(I$2,Valores!$H$2:$P$154,8,0)</f>
        <v>0</v>
      </c>
      <c r="J139" s="27" t="n">
        <f aca="false">SUMIF($C$2:$F$2,EOMONTH(J$2,-1)+1,$C139:$F139)*VLOOKUP(J$2,Valores!$H$2:$P$154,8,0)</f>
        <v>0</v>
      </c>
      <c r="K139" s="27" t="n">
        <f aca="false">SUMIF($C$2:$F$2,EOMONTH(K$2,-1)+1,$C139:$F139)*VLOOKUP(K$2,Valores!$H$2:$P$154,8,0)</f>
        <v>0</v>
      </c>
      <c r="L139" s="27" t="n">
        <f aca="false">SUMIF($C$2:$F$2,EOMONTH(L$2,-1)+1,$C139:$F139)*VLOOKUP(L$2,Valores!$H$2:$P$154,8,0)</f>
        <v>0</v>
      </c>
      <c r="M139" s="27" t="n">
        <f aca="false">SUMIF($C$2:$F$2,EOMONTH(M$2,-1)+1,$C139:$F139)*VLOOKUP(M$2,Valores!$H$2:$P$154,8,0)</f>
        <v>0</v>
      </c>
      <c r="N139" s="27" t="n">
        <f aca="false">SUMIF($C$2:$F$2,EOMONTH(N$2,-1)+1,$C139:$F139)*VLOOKUP(N$2,Valores!$H$2:$P$154,8,0)</f>
        <v>0</v>
      </c>
      <c r="O139" s="27" t="n">
        <f aca="false">SUMIF($C$2:$F$2,EOMONTH(O$2,-1)+1,$C139:$F139)*VLOOKUP(O$2,Valores!$H$2:$P$154,8,0)</f>
        <v>0</v>
      </c>
      <c r="P139" s="27" t="n">
        <f aca="false">SUMIF($C$2:$F$2,EOMONTH(P$2,-1)+1,$C139:$F139)*VLOOKUP(P$2,Valores!$H$2:$P$154,8,0)</f>
        <v>0</v>
      </c>
      <c r="Q139" s="27" t="n">
        <f aca="false">SUMIF($C$2:$F$2,EOMONTH(Q$2,-1)+1,$C139:$F139)*VLOOKUP(Q$2,Valores!$H$2:$P$154,8,0)</f>
        <v>0</v>
      </c>
      <c r="R139" s="27" t="n">
        <f aca="false">SUMIF($C$2:$F$2,EOMONTH(R$2,-1)+1,$C139:$F139)*VLOOKUP(R$2,Valores!$H$2:$P$154,8,0)</f>
        <v>0</v>
      </c>
      <c r="S139" s="27" t="n">
        <f aca="false">SUMIF($C$2:$F$2,EOMONTH(S$2,-1)+1,$C139:$F139)*VLOOKUP(S$2,Valores!$H$2:$P$154,8,0)</f>
        <v>0</v>
      </c>
      <c r="T139" s="27" t="n">
        <f aca="false">SUMIF($C$2:$F$2,EOMONTH(T$2,-1)+1,$C139:$F139)*VLOOKUP(T$2,Valores!$H$2:$P$154,8,0)</f>
        <v>0</v>
      </c>
      <c r="U139" s="27" t="n">
        <f aca="false">SUMIF($C$2:$F$2,EOMONTH(U$2,-1)+1,$C139:$F139)*VLOOKUP(U$2,Valores!$H$2:$P$154,8,0)</f>
        <v>0</v>
      </c>
      <c r="V139" s="27" t="n">
        <f aca="false">SUMIF($C$2:$F$2,EOMONTH(V$2,-1)+1,$C139:$F139)*VLOOKUP(V$2,Valores!$H$2:$P$154,8,0)</f>
        <v>0</v>
      </c>
      <c r="W139" s="27" t="n">
        <f aca="false">SUMIF($C$2:$F$2,EOMONTH(W$2,-1)+1,$C139:$F139)*VLOOKUP(W$2,Valores!$H$2:$P$154,8,0)</f>
        <v>0</v>
      </c>
      <c r="X139" s="27" t="n">
        <f aca="false">SUMIF($C$2:$F$2,EOMONTH(X$2,-1)+1,$C139:$F139)*VLOOKUP(X$2,Valores!$H$2:$P$154,8,0)</f>
        <v>0</v>
      </c>
      <c r="Y139" s="27" t="n">
        <f aca="false">SUMIF($C$2:$F$2,EOMONTH(Y$2,-1)+1,$C139:$F139)*VLOOKUP(Y$2,Valores!$H$2:$P$154,8,0)</f>
        <v>0</v>
      </c>
      <c r="Z139" s="27" t="n">
        <f aca="false">SUMIF($C$2:$F$2,EOMONTH(Z$2,-1)+1,$C139:$F139)*VLOOKUP(Z$2,Valores!$H$2:$P$154,8,0)</f>
        <v>0</v>
      </c>
      <c r="AA139" s="27" t="n">
        <f aca="false">SUMIF($C$2:$F$2,EOMONTH(AA$2,-1)+1,$C139:$F139)*VLOOKUP(AA$2,Valores!$H$2:$P$154,8,0)</f>
        <v>0</v>
      </c>
      <c r="AB139" s="27" t="n">
        <f aca="false">SUMIF($C$2:$F$2,EOMONTH(AB$2,-1)+1,$C139:$F139)*VLOOKUP(AB$2,Valores!$H$2:$P$154,8,0)</f>
        <v>0</v>
      </c>
      <c r="AC139" s="27" t="n">
        <f aca="false">SUMIF($C$2:$F$2,EOMONTH(AC$2,-1)+1,$C139:$F139)*VLOOKUP(AC$2,Valores!$H$2:$P$154,8,0)</f>
        <v>0</v>
      </c>
      <c r="AD139" s="27" t="n">
        <f aca="false">SUMIF($C$2:$F$2,EOMONTH(AD$2,-1)+1,$C139:$F139)*VLOOKUP(AD$2,Valores!$H$2:$P$154,8,0)</f>
        <v>0</v>
      </c>
      <c r="AE139" s="27" t="n">
        <f aca="false">SUMIF($C$2:$F$2,EOMONTH(AE$2,-1)+1,$C139:$F139)*VLOOKUP(AE$2,Valores!$H$2:$P$154,8,0)</f>
        <v>0</v>
      </c>
      <c r="AF139" s="27" t="n">
        <f aca="false">SUMIF($C$2:$F$2,EOMONTH(AF$2,-1)+1,$C139:$F139)*VLOOKUP(AF$2,Valores!$H$2:$P$154,8,0)</f>
        <v>0</v>
      </c>
      <c r="AG139" s="27" t="n">
        <f aca="false">SUMIF($C$2:$F$2,EOMONTH(AG$2,-1)+1,$C139:$F139)*VLOOKUP(AG$2,Valores!$H$2:$P$154,8,0)</f>
        <v>0</v>
      </c>
      <c r="AH139" s="27" t="n">
        <f aca="false">SUMIF($C$2:$F$2,EOMONTH(AH$2,-1)+1,$C139:$F139)*VLOOKUP(AH$2,Valores!$H$2:$P$154,8,0)</f>
        <v>0</v>
      </c>
      <c r="AI139" s="27" t="n">
        <f aca="false">SUMIF($C$2:$F$2,EOMONTH(AI$2,-1)+1,$C139:$F139)*VLOOKUP(AI$2,Valores!$H$2:$P$154,8,0)</f>
        <v>0</v>
      </c>
      <c r="AJ139" s="27" t="n">
        <f aca="false">SUMIF($C$2:$F$2,EOMONTH(AJ$2,-1)+1,$C139:$F139)*VLOOKUP(AJ$2,Valores!$H$2:$P$154,8,0)</f>
        <v>0</v>
      </c>
      <c r="AK139" s="27" t="n">
        <f aca="false">SUMIF($C$2:$F$2,EOMONTH(AK$2,-1)+1,$C139:$F139)*VLOOKUP(AK$2,Valores!$H$2:$P$154,8,0)</f>
        <v>0</v>
      </c>
      <c r="AL139" s="27" t="n">
        <f aca="false">SUMIF($C$2:$F$2,EOMONTH(AL$2,-1)+1,$C139:$F139)*VLOOKUP(AL$2,Valores!$H$2:$P$154,8,0)</f>
        <v>0</v>
      </c>
      <c r="AM139" s="27" t="n">
        <f aca="false">SUMIF($C$2:$F$2,EOMONTH(AM$2,-1)+1,$C139:$F139)*VLOOKUP(AM$2,Valores!$H$2:$P$154,8,0)</f>
        <v>0</v>
      </c>
      <c r="AN139" s="27" t="n">
        <f aca="false">SUMIF($C$2:$F$2,EOMONTH(AN$2,-1)+1,$C139:$F139)*VLOOKUP(AN$2,Valores!$H$2:$P$154,8,0)</f>
        <v>0</v>
      </c>
      <c r="AO139" s="27" t="n">
        <f aca="false">SUMIF($C$2:$F$2,EOMONTH(AO$2,-1)+1,$C139:$F139)*VLOOKUP(AO$2,Valores!$H$2:$P$154,8,0)</f>
        <v>0</v>
      </c>
      <c r="AP139" s="27" t="n">
        <f aca="false">SUMIF($C$2:$F$2,EOMONTH(AP$2,-1)+1,$C139:$F139)*VLOOKUP(AP$2,Valores!$H$2:$P$154,8,0)</f>
        <v>0</v>
      </c>
      <c r="AQ139" s="27" t="n">
        <f aca="false">SUMIF($C$2:$F$2,EOMONTH(AQ$2,-1)+1,$C139:$F139)*VLOOKUP(AQ$2,Valores!$H$2:$P$154,8,0)</f>
        <v>0</v>
      </c>
      <c r="AR139" s="27" t="n">
        <f aca="false">SUMIF($C$2:$F$2,EOMONTH(AR$2,-1)+1,$C139:$F139)*VLOOKUP(AR$2,Valores!$H$2:$P$154,8,0)</f>
        <v>0</v>
      </c>
      <c r="AS139" s="27" t="n">
        <f aca="false">SUMIF($C$2:$F$2,EOMONTH(AS$2,-1)+1,$C139:$F139)*VLOOKUP(AS$2,Valores!$H$2:$P$154,8,0)</f>
        <v>0</v>
      </c>
      <c r="AT139" s="27" t="n">
        <f aca="false">SUMIF($C$2:$F$2,EOMONTH(AT$2,-1)+1,$C139:$F139)*VLOOKUP(AT$2,Valores!$H$2:$P$154,8,0)</f>
        <v>0</v>
      </c>
      <c r="AU139" s="27" t="n">
        <f aca="false">SUMIF($C$2:$F$2,EOMONTH(AU$2,-1)+1,$C139:$F139)*VLOOKUP(AU$2,Valores!$H$2:$P$154,8,0)</f>
        <v>0</v>
      </c>
      <c r="AV139" s="27" t="n">
        <f aca="false">SUMIF($C$2:$F$2,EOMONTH(AV$2,-1)+1,$C139:$F139)*VLOOKUP(AV$2,Valores!$H$2:$P$154,8,0)</f>
        <v>0</v>
      </c>
      <c r="AW139" s="27" t="n">
        <f aca="false">SUMIF($C$2:$F$2,EOMONTH(AW$2,-1)+1,$C139:$F139)*VLOOKUP(AW$2,Valores!$H$2:$P$154,8,0)</f>
        <v>0</v>
      </c>
      <c r="AX139" s="27" t="n">
        <f aca="false">SUMIF($C$2:$F$2,EOMONTH(AX$2,-1)+1,$C139:$F139)*VLOOKUP(AX$2,Valores!$H$2:$P$154,8,0)</f>
        <v>0</v>
      </c>
      <c r="AY139" s="27" t="n">
        <f aca="false">SUMIF($C$2:$F$2,EOMONTH(AY$2,-1)+1,$C139:$F139)*VLOOKUP(AY$2,Valores!$H$2:$P$154,8,0)</f>
        <v>0</v>
      </c>
      <c r="AZ139" s="27" t="n">
        <f aca="false">SUMIF($C$2:$F$2,EOMONTH(AZ$2,-1)+1,$C139:$F139)*VLOOKUP(AZ$2,Valores!$H$2:$P$154,8,0)</f>
        <v>0</v>
      </c>
      <c r="BA139" s="27" t="n">
        <f aca="false">SUMIF($C$2:$F$2,EOMONTH(BA$2,-1)+1,$C139:$F139)*VLOOKUP(BA$2,Valores!$H$2:$P$154,8,0)</f>
        <v>0</v>
      </c>
      <c r="BB139" s="27" t="n">
        <f aca="false">SUMIF($C$2:$F$2,EOMONTH(BB$2,-1)+1,$C139:$F139)*VLOOKUP(BB$2,Valores!$H$2:$P$154,8,0)</f>
        <v>0</v>
      </c>
      <c r="BC139" s="27" t="n">
        <f aca="false">SUMIF($C$2:$F$2,EOMONTH(BC$2,-1)+1,$C139:$F139)*VLOOKUP(BC$2,Valores!$H$2:$P$154,8,0)</f>
        <v>0</v>
      </c>
      <c r="BD139" s="27" t="n">
        <f aca="false">SUMIF($C$2:$F$2,EOMONTH(BD$2,-1)+1,$C139:$F139)*VLOOKUP(BD$2,Valores!$H$2:$P$154,8,0)</f>
        <v>0</v>
      </c>
      <c r="BE139" s="27" t="n">
        <f aca="false">SUMIF($C$2:$F$2,EOMONTH(BE$2,-1)+1,$C139:$F139)*VLOOKUP(BE$2,Valores!$H$2:$P$154,8,0)</f>
        <v>0</v>
      </c>
      <c r="BF139" s="27" t="n">
        <f aca="false">SUMIF($C$2:$F$2,EOMONTH(BF$2,-1)+1,$C139:$F139)*VLOOKUP(BF$2,Valores!$H$2:$P$154,8,0)</f>
        <v>0</v>
      </c>
      <c r="BG139" s="27" t="n">
        <f aca="false">SUMIF($C$2:$F$2,EOMONTH(BG$2,-1)+1,$C139:$F139)*VLOOKUP(BG$2,Valores!$H$2:$P$154,8,0)</f>
        <v>0</v>
      </c>
      <c r="BH139" s="27" t="n">
        <f aca="false">SUMIF($C$2:$F$2,EOMONTH(BH$2,-1)+1,$C139:$F139)*VLOOKUP(BH$2,Valores!$H$2:$P$154,8,0)</f>
        <v>0</v>
      </c>
      <c r="BI139" s="27" t="n">
        <f aca="false">SUMIF($C$2:$F$2,EOMONTH(BI$2,-1)+1,$C139:$F139)*VLOOKUP(BI$2,Valores!$H$2:$P$154,8,0)</f>
        <v>0</v>
      </c>
      <c r="BJ139" s="27" t="n">
        <f aca="false">SUMIF($C$2:$F$2,EOMONTH(BJ$2,-1)+1,$C139:$F139)*VLOOKUP(BJ$2,Valores!$H$2:$P$154,8,0)</f>
        <v>0</v>
      </c>
      <c r="BK139" s="27" t="n">
        <f aca="false">SUMIF($C$2:$F$2,EOMONTH(BK$2,-1)+1,$C139:$F139)*VLOOKUP(BK$2,Valores!$H$2:$P$154,8,0)</f>
        <v>0</v>
      </c>
      <c r="BL139" s="27" t="n">
        <f aca="false">SUMIF($C$2:$F$2,EOMONTH(BL$2,-1)+1,$C139:$F139)*VLOOKUP(BL$2,Valores!$H$2:$P$154,8,0)</f>
        <v>0</v>
      </c>
      <c r="BM139" s="27" t="n">
        <f aca="false">SUMIF($C$2:$F$2,EOMONTH(BM$2,-1)+1,$C139:$F139)*VLOOKUP(BM$2,Valores!$H$2:$P$154,8,0)</f>
        <v>0</v>
      </c>
      <c r="BN139" s="27" t="n">
        <f aca="false">SUMIF($C$2:$F$2,EOMONTH(BN$2,-1)+1,$C139:$F139)*VLOOKUP(BN$2,Valores!$H$2:$P$154,8,0)</f>
        <v>0</v>
      </c>
      <c r="BO139" s="27" t="n">
        <f aca="false">SUMIF($C$2:$F$2,EOMONTH(BO$2,-1)+1,$C139:$F139)*VLOOKUP(BO$2,Valores!$H$2:$P$154,8,0)</f>
        <v>0</v>
      </c>
      <c r="BP139" s="27" t="n">
        <f aca="false">SUMIF($C$2:$F$2,EOMONTH(BP$2,-1)+1,$C139:$F139)*VLOOKUP(BP$2,Valores!$H$2:$P$154,8,0)</f>
        <v>0</v>
      </c>
      <c r="BQ139" s="27" t="n">
        <f aca="false">SUMIF($C$2:$F$2,EOMONTH(BQ$2,-1)+1,$C139:$F139)*VLOOKUP(BQ$2,Valores!$H$2:$P$154,8,0)</f>
        <v>0</v>
      </c>
      <c r="BR139" s="27" t="n">
        <f aca="false">SUMIF($C$2:$F$2,EOMONTH(BR$2,-1)+1,$C139:$F139)*VLOOKUP(BR$2,Valores!$H$2:$P$154,8,0)</f>
        <v>0</v>
      </c>
      <c r="BS139" s="27" t="n">
        <f aca="false">SUMIF($C$2:$F$2,EOMONTH(BS$2,-1)+1,$C139:$F139)*VLOOKUP(BS$2,Valores!$H$2:$P$154,8,0)</f>
        <v>0</v>
      </c>
      <c r="BT139" s="27" t="n">
        <f aca="false">SUMIF($C$2:$F$2,EOMONTH(BT$2,-1)+1,$C139:$F139)*VLOOKUP(BT$2,Valores!$H$2:$P$154,8,0)</f>
        <v>0</v>
      </c>
      <c r="BU139" s="27" t="n">
        <f aca="false">SUMIF($C$2:$F$2,EOMONTH(BU$2,-1)+1,$C139:$F139)*VLOOKUP(BU$2,Valores!$H$2:$P$154,8,0)</f>
        <v>0</v>
      </c>
      <c r="BV139" s="27" t="n">
        <f aca="false">SUMIF($C$2:$F$2,EOMONTH(BV$2,-1)+1,$C139:$F139)*VLOOKUP(BV$2,Valores!$H$2:$P$154,8,0)</f>
        <v>0</v>
      </c>
      <c r="BW139" s="27" t="n">
        <f aca="false">SUMIF($C$2:$F$2,EOMONTH(BW$2,-1)+1,$C139:$F139)*VLOOKUP(BW$2,Valores!$H$2:$P$154,8,0)</f>
        <v>0</v>
      </c>
      <c r="BX139" s="27" t="n">
        <f aca="false">SUMIF($C$2:$F$2,EOMONTH(BX$2,-1)+1,$C139:$F139)*VLOOKUP(BX$2,Valores!$H$2:$P$154,8,0)</f>
        <v>0</v>
      </c>
      <c r="BY139" s="27" t="n">
        <f aca="false">SUMIF($C$2:$F$2,EOMONTH(BY$2,-1)+1,$C139:$F139)*VLOOKUP(BY$2,Valores!$H$2:$P$154,8,0)</f>
        <v>0</v>
      </c>
      <c r="BZ139" s="27" t="n">
        <f aca="false">SUMIF($C$2:$F$2,EOMONTH(BZ$2,-1)+1,$C139:$F139)*VLOOKUP(BZ$2,Valores!$H$2:$P$154,8,0)</f>
        <v>0</v>
      </c>
      <c r="CA139" s="27" t="n">
        <f aca="false">SUMIF($C$2:$F$2,EOMONTH(CA$2,-1)+1,$C139:$F139)*VLOOKUP(CA$2,Valores!$H$2:$P$154,8,0)</f>
        <v>0</v>
      </c>
      <c r="CB139" s="27" t="n">
        <f aca="false">SUMIF($C$2:$F$2,EOMONTH(CB$2,-1)+1,$C139:$F139)*VLOOKUP(CB$2,Valores!$H$2:$P$154,8,0)</f>
        <v>0</v>
      </c>
      <c r="CC139" s="27" t="n">
        <f aca="false">SUMIF($C$2:$F$2,EOMONTH(CC$2,-1)+1,$C139:$F139)*VLOOKUP(CC$2,Valores!$H$2:$P$154,8,0)</f>
        <v>0</v>
      </c>
      <c r="CD139" s="27" t="n">
        <f aca="false">SUMIF($C$2:$F$2,EOMONTH(CD$2,-1)+1,$C139:$F139)*VLOOKUP(CD$2,Valores!$H$2:$P$154,8,0)</f>
        <v>0</v>
      </c>
      <c r="CE139" s="27" t="n">
        <f aca="false">SUMIF($C$2:$F$2,EOMONTH(CE$2,-1)+1,$C139:$F139)*VLOOKUP(CE$2,Valores!$H$2:$P$154,8,0)</f>
        <v>0</v>
      </c>
      <c r="CF139" s="27" t="n">
        <f aca="false">SUMIF($C$2:$F$2,EOMONTH(CF$2,-1)+1,$C139:$F139)*VLOOKUP(CF$2,Valores!$H$2:$P$154,8,0)</f>
        <v>0</v>
      </c>
      <c r="CG139" s="27" t="n">
        <f aca="false">SUMIF($C$2:$F$2,EOMONTH(CG$2,-1)+1,$C139:$F139)*VLOOKUP(CG$2,Valores!$H$2:$P$154,8,0)</f>
        <v>0</v>
      </c>
      <c r="CH139" s="27" t="n">
        <f aca="false">SUMIF($C$2:$F$2,EOMONTH(CH$2,-1)+1,$C139:$F139)*VLOOKUP(CH$2,Valores!$H$2:$P$154,8,0)</f>
        <v>0</v>
      </c>
      <c r="CI139" s="27" t="n">
        <f aca="false">SUMIF($C$2:$F$2,EOMONTH(CI$2,-1)+1,$C139:$F139)*VLOOKUP(CI$2,Valores!$H$2:$P$154,8,0)</f>
        <v>0</v>
      </c>
      <c r="CJ139" s="27" t="n">
        <f aca="false">SUMIF($C$2:$F$2,EOMONTH(CJ$2,-1)+1,$C139:$F139)*VLOOKUP(CJ$2,Valores!$H$2:$P$154,8,0)</f>
        <v>0</v>
      </c>
      <c r="CK139" s="27" t="n">
        <f aca="false">SUMIF($C$2:$F$2,EOMONTH(CK$2,-1)+1,$C139:$F139)*VLOOKUP(CK$2,Valores!$H$2:$P$154,8,0)</f>
        <v>0</v>
      </c>
      <c r="CL139" s="27" t="n">
        <f aca="false">SUMIF($C$2:$F$2,EOMONTH(CL$2,-1)+1,$C139:$F139)*VLOOKUP(CL$2,Valores!$H$2:$P$154,8,0)</f>
        <v>0</v>
      </c>
      <c r="CM139" s="27" t="n">
        <f aca="false">SUMIF($C$2:$F$2,EOMONTH(CM$2,-1)+1,$C139:$F139)*VLOOKUP(CM$2,Valores!$H$2:$P$154,8,0)</f>
        <v>0</v>
      </c>
      <c r="CN139" s="27" t="n">
        <f aca="false">SUMIF($C$2:$F$2,EOMONTH(CN$2,-1)+1,$C139:$F139)*VLOOKUP(CN$2,Valores!$H$2:$P$154,8,0)</f>
        <v>0</v>
      </c>
      <c r="CO139" s="27" t="n">
        <f aca="false">SUMIF($C$2:$F$2,EOMONTH(CO$2,-1)+1,$C139:$F139)*VLOOKUP(CO$2,Valores!$H$2:$P$154,8,0)</f>
        <v>0</v>
      </c>
      <c r="CP139" s="27" t="n">
        <f aca="false">SUMIF($C$2:$F$2,EOMONTH(CP$2,-1)+1,$C139:$F139)*VLOOKUP(CP$2,Valores!$H$2:$P$154,8,0)</f>
        <v>0</v>
      </c>
      <c r="CQ139" s="27" t="n">
        <f aca="false">SUMIF($C$2:$F$2,EOMONTH(CQ$2,-1)+1,$C139:$F139)*VLOOKUP(CQ$2,Valores!$H$2:$P$154,8,0)</f>
        <v>0</v>
      </c>
      <c r="CR139" s="27" t="n">
        <f aca="false">SUMIF($C$2:$F$2,EOMONTH(CR$2,-1)+1,$C139:$F139)*VLOOKUP(CR$2,Valores!$H$2:$P$154,8,0)</f>
        <v>0</v>
      </c>
      <c r="CS139" s="27" t="n">
        <f aca="false">SUMIF($C$2:$F$2,EOMONTH(CS$2,-1)+1,$C139:$F139)*VLOOKUP(CS$2,Valores!$H$2:$P$154,8,0)</f>
        <v>0</v>
      </c>
      <c r="CT139" s="27" t="e">
        <f aca="false">SUMIF($C$2:$F$2,EOMONTH(CT$2,-1)+1,$C139:$F139)*VLOOKUP(CT$2,Valores!$H$2:$P$154,8,0)</f>
        <v>#VALUE!</v>
      </c>
      <c r="CU139" s="27" t="e">
        <f aca="false">SUMIF($C$2:$F$2,EOMONTH(CU$2,-1)+1,$C139:$F139)*VLOOKUP(CU$2,Valores!$H$2:$P$154,8,0)</f>
        <v>#VALUE!</v>
      </c>
      <c r="CV139" s="27" t="e">
        <f aca="false">SUMIF($C$2:$F$2,EOMONTH(CV$2,-1)+1,$C139:$F139)*VLOOKUP(CV$2,Valores!$H$2:$P$154,8,0)</f>
        <v>#VALUE!</v>
      </c>
      <c r="CW139" s="27" t="e">
        <f aca="false">SUMIF($C$2:$F$2,EOMONTH(CW$2,-1)+1,$C139:$F139)*VLOOKUP(CW$2,Valores!$H$2:$P$154,8,0)</f>
        <v>#VALUE!</v>
      </c>
      <c r="CX139" s="27" t="e">
        <f aca="false">SUMIF($C$2:$F$2,EOMONTH(CX$2,-1)+1,$C139:$F139)*VLOOKUP(CX$2,Valores!$H$2:$P$154,8,0)</f>
        <v>#VALUE!</v>
      </c>
      <c r="CY139" s="27" t="e">
        <f aca="false">SUMIF($C$2:$F$2,EOMONTH(CY$2,-1)+1,$C139:$F139)*VLOOKUP(CY$2,Valores!$H$2:$P$154,8,0)</f>
        <v>#VALUE!</v>
      </c>
      <c r="CZ139" s="27" t="e">
        <f aca="false">SUMIF($C$2:$F$2,EOMONTH(CZ$2,-1)+1,$C139:$F139)*VLOOKUP(CZ$2,Valores!$H$2:$P$154,8,0)</f>
        <v>#VALUE!</v>
      </c>
      <c r="DA139" s="27" t="e">
        <f aca="false">SUMIF($C$2:$F$2,EOMONTH(DA$2,-1)+1,$C139:$F139)*VLOOKUP(DA$2,Valores!$H$2:$P$154,8,0)</f>
        <v>#VALUE!</v>
      </c>
      <c r="DB139" s="27" t="e">
        <f aca="false">SUMIF($C$2:$F$2,EOMONTH(DB$2,-1)+1,$C139:$F139)*VLOOKUP(DB$2,Valores!$H$2:$P$154,8,0)</f>
        <v>#VALUE!</v>
      </c>
      <c r="DC139" s="27" t="e">
        <f aca="false">SUMIF($C$2:$F$2,EOMONTH(DC$2,-1)+1,$C139:$F139)*VLOOKUP(DC$2,Valores!$H$2:$P$154,8,0)</f>
        <v>#VALUE!</v>
      </c>
      <c r="DD139" s="27" t="e">
        <f aca="false">SUMIF($C$2:$F$2,EOMONTH(DD$2,-1)+1,$C139:$F139)*VLOOKUP(DD$2,Valores!$H$2:$P$154,8,0)</f>
        <v>#VALUE!</v>
      </c>
      <c r="DE139" s="27" t="e">
        <f aca="false">SUMIF($C$2:$F$2,EOMONTH(DE$2,-1)+1,$C139:$F139)*VLOOKUP(DE$2,Valores!$H$2:$P$154,8,0)</f>
        <v>#VALUE!</v>
      </c>
      <c r="DF139" s="27" t="e">
        <f aca="false">SUMIF($C$2:$F$2,EOMONTH(DF$2,-1)+1,$C139:$F139)*VLOOKUP(DF$2,Valores!$H$2:$P$154,8,0)</f>
        <v>#VALUE!</v>
      </c>
      <c r="DG139" s="27" t="e">
        <f aca="false">SUMIF($C$2:$F$2,EOMONTH(DG$2,-1)+1,$C139:$F139)*VLOOKUP(DG$2,Valores!$H$2:$P$154,8,0)</f>
        <v>#VALUE!</v>
      </c>
      <c r="DH139" s="27" t="e">
        <f aca="false">SUMIF($C$2:$F$2,EOMONTH(DH$2,-1)+1,$C139:$F139)*VLOOKUP(DH$2,Valores!$H$2:$P$154,8,0)</f>
        <v>#VALUE!</v>
      </c>
      <c r="DI139" s="27" t="e">
        <f aca="false">SUMIF($C$2:$F$2,EOMONTH(DI$2,-1)+1,$C139:$F139)*VLOOKUP(DI$2,Valores!$H$2:$P$154,8,0)</f>
        <v>#VALUE!</v>
      </c>
      <c r="DJ139" s="27" t="e">
        <f aca="false">SUMIF($C$2:$F$2,EOMONTH(DJ$2,-1)+1,$C139:$F139)*VLOOKUP(DJ$2,Valores!$H$2:$P$154,8,0)</f>
        <v>#VALUE!</v>
      </c>
      <c r="DK139" s="27" t="e">
        <f aca="false">SUMIF($C$2:$F$2,EOMONTH(DK$2,-1)+1,$C139:$F139)*VLOOKUP(DK$2,Valores!$H$2:$P$154,8,0)</f>
        <v>#VALUE!</v>
      </c>
      <c r="DL139" s="27" t="e">
        <f aca="false">SUMIF($C$2:$F$2,EOMONTH(DL$2,-1)+1,$C139:$F139)*VLOOKUP(DL$2,Valores!$H$2:$P$154,8,0)</f>
        <v>#VALUE!</v>
      </c>
      <c r="DM139" s="27" t="e">
        <f aca="false">SUMIF($C$2:$F$2,EOMONTH(DM$2,-1)+1,$C139:$F139)*VLOOKUP(DM$2,Valores!$H$2:$P$154,8,0)</f>
        <v>#VALUE!</v>
      </c>
      <c r="DN139" s="27" t="e">
        <f aca="false">SUMIF($C$2:$F$2,EOMONTH(DN$2,-1)+1,$C139:$F139)*VLOOKUP(DN$2,Valores!$H$2:$P$154,8,0)</f>
        <v>#VALUE!</v>
      </c>
      <c r="DO139" s="27" t="e">
        <f aca="false">SUMIF($C$2:$F$2,EOMONTH(DO$2,-1)+1,$C139:$F139)*VLOOKUP(DO$2,Valores!$H$2:$P$154,8,0)</f>
        <v>#VALUE!</v>
      </c>
      <c r="DP139" s="27" t="e">
        <f aca="false">SUMIF($C$2:$F$2,EOMONTH(DP$2,-1)+1,$C139:$F139)*VLOOKUP(DP$2,Valores!$H$2:$P$154,8,0)</f>
        <v>#VALUE!</v>
      </c>
      <c r="DQ139" s="27" t="e">
        <f aca="false">SUMIF($C$2:$F$2,EOMONTH(DQ$2,-1)+1,$C139:$F139)*VLOOKUP(DQ$2,Valores!$H$2:$P$154,8,0)</f>
        <v>#VALUE!</v>
      </c>
      <c r="DR139" s="27" t="e">
        <f aca="false">SUMIF($C$2:$F$2,EOMONTH(DR$2,-1)+1,$C139:$F139)*VLOOKUP(DR$2,Valores!$H$2:$P$154,8,0)</f>
        <v>#VALUE!</v>
      </c>
      <c r="DS139" s="27" t="e">
        <f aca="false">SUMIF($C$2:$F$2,EOMONTH(DS$2,-1)+1,$C139:$F139)*VLOOKUP(DS$2,Valores!$H$2:$P$154,8,0)</f>
        <v>#VALUE!</v>
      </c>
      <c r="DT139" s="27" t="e">
        <f aca="false">SUMIF($C$2:$F$2,EOMONTH(DT$2,-1)+1,$C139:$F139)*VLOOKUP(DT$2,Valores!$H$2:$P$154,8,0)</f>
        <v>#VALUE!</v>
      </c>
      <c r="DU139" s="27" t="e">
        <f aca="false">SUMIF($C$2:$F$2,EOMONTH(DU$2,-1)+1,$C139:$F139)*VLOOKUP(DU$2,Valores!$H$2:$P$154,8,0)</f>
        <v>#VALUE!</v>
      </c>
      <c r="DV139" s="27" t="e">
        <f aca="false">SUMIF($C$2:$F$2,EOMONTH(DV$2,-1)+1,$C139:$F139)*VLOOKUP(DV$2,Valores!$H$2:$P$154,8,0)</f>
        <v>#VALUE!</v>
      </c>
      <c r="DW139" s="27" t="e">
        <f aca="false">SUMIF($C$2:$F$2,EOMONTH(DW$2,-1)+1,$C139:$F139)*VLOOKUP(DW$2,Valores!$H$2:$P$154,8,0)</f>
        <v>#VALUE!</v>
      </c>
      <c r="DX139" s="27" t="e">
        <f aca="false">SUMIF($C$2:$F$2,EOMONTH(DX$2,-1)+1,$C139:$F139)*VLOOKUP(DX$2,Valores!$H$2:$P$154,8,0)</f>
        <v>#VALUE!</v>
      </c>
    </row>
    <row r="140" customFormat="false" ht="13.8" hidden="false" customHeight="false" outlineLevel="0" collapsed="false">
      <c r="A140" s="29"/>
      <c r="B140" s="29"/>
      <c r="C140" s="29"/>
      <c r="D140" s="29"/>
      <c r="E140" s="29"/>
      <c r="F140" s="29"/>
      <c r="G140" s="30" t="n">
        <f aca="false">SUMIF($C$2:$F$2,EOMONTH(G$2,-1)+1,$C140:$F140)*VLOOKUP(G$2,Valores!$H$2:$P$154,8,0)</f>
        <v>0</v>
      </c>
      <c r="H140" s="30" t="n">
        <f aca="false">SUMIF($C$2:$F$2,EOMONTH(H$2,-1)+1,$C140:$F140)*VLOOKUP(H$2,Valores!$H$2:$P$154,8,0)</f>
        <v>0</v>
      </c>
      <c r="I140" s="30" t="n">
        <f aca="false">SUMIF($C$2:$F$2,EOMONTH(I$2,-1)+1,$C140:$F140)*VLOOKUP(I$2,Valores!$H$2:$P$154,8,0)</f>
        <v>0</v>
      </c>
      <c r="J140" s="30" t="n">
        <f aca="false">SUMIF($C$2:$F$2,EOMONTH(J$2,-1)+1,$C140:$F140)*VLOOKUP(J$2,Valores!$H$2:$P$154,8,0)</f>
        <v>0</v>
      </c>
      <c r="K140" s="30" t="n">
        <f aca="false">SUMIF($C$2:$F$2,EOMONTH(K$2,-1)+1,$C140:$F140)*VLOOKUP(K$2,Valores!$H$2:$P$154,8,0)</f>
        <v>0</v>
      </c>
      <c r="L140" s="30" t="n">
        <f aca="false">SUMIF($C$2:$F$2,EOMONTH(L$2,-1)+1,$C140:$F140)*VLOOKUP(L$2,Valores!$H$2:$P$154,8,0)</f>
        <v>0</v>
      </c>
      <c r="M140" s="30" t="n">
        <f aca="false">SUMIF($C$2:$F$2,EOMONTH(M$2,-1)+1,$C140:$F140)*VLOOKUP(M$2,Valores!$H$2:$P$154,8,0)</f>
        <v>0</v>
      </c>
      <c r="N140" s="30" t="n">
        <f aca="false">SUMIF($C$2:$F$2,EOMONTH(N$2,-1)+1,$C140:$F140)*VLOOKUP(N$2,Valores!$H$2:$P$154,8,0)</f>
        <v>0</v>
      </c>
      <c r="O140" s="30" t="n">
        <f aca="false">SUMIF($C$2:$F$2,EOMONTH(O$2,-1)+1,$C140:$F140)*VLOOKUP(O$2,Valores!$H$2:$P$154,8,0)</f>
        <v>0</v>
      </c>
      <c r="P140" s="30" t="n">
        <f aca="false">SUMIF($C$2:$F$2,EOMONTH(P$2,-1)+1,$C140:$F140)*VLOOKUP(P$2,Valores!$H$2:$P$154,8,0)</f>
        <v>0</v>
      </c>
      <c r="Q140" s="30" t="n">
        <f aca="false">SUMIF($C$2:$F$2,EOMONTH(Q$2,-1)+1,$C140:$F140)*VLOOKUP(Q$2,Valores!$H$2:$P$154,8,0)</f>
        <v>0</v>
      </c>
      <c r="R140" s="30" t="n">
        <f aca="false">SUMIF($C$2:$F$2,EOMONTH(R$2,-1)+1,$C140:$F140)*VLOOKUP(R$2,Valores!$H$2:$P$154,8,0)</f>
        <v>0</v>
      </c>
      <c r="S140" s="30" t="n">
        <f aca="false">SUMIF($C$2:$F$2,EOMONTH(S$2,-1)+1,$C140:$F140)*VLOOKUP(S$2,Valores!$H$2:$P$154,8,0)</f>
        <v>0</v>
      </c>
      <c r="T140" s="30" t="n">
        <f aca="false">SUMIF($C$2:$F$2,EOMONTH(T$2,-1)+1,$C140:$F140)*VLOOKUP(T$2,Valores!$H$2:$P$154,8,0)</f>
        <v>0</v>
      </c>
      <c r="U140" s="30" t="n">
        <f aca="false">SUMIF($C$2:$F$2,EOMONTH(U$2,-1)+1,$C140:$F140)*VLOOKUP(U$2,Valores!$H$2:$P$154,8,0)</f>
        <v>0</v>
      </c>
      <c r="V140" s="30" t="n">
        <f aca="false">SUMIF($C$2:$F$2,EOMONTH(V$2,-1)+1,$C140:$F140)*VLOOKUP(V$2,Valores!$H$2:$P$154,8,0)</f>
        <v>0</v>
      </c>
      <c r="W140" s="30" t="n">
        <f aca="false">SUMIF($C$2:$F$2,EOMONTH(W$2,-1)+1,$C140:$F140)*VLOOKUP(W$2,Valores!$H$2:$P$154,8,0)</f>
        <v>0</v>
      </c>
      <c r="X140" s="30" t="n">
        <f aca="false">SUMIF($C$2:$F$2,EOMONTH(X$2,-1)+1,$C140:$F140)*VLOOKUP(X$2,Valores!$H$2:$P$154,8,0)</f>
        <v>0</v>
      </c>
      <c r="Y140" s="30" t="n">
        <f aca="false">SUMIF($C$2:$F$2,EOMONTH(Y$2,-1)+1,$C140:$F140)*VLOOKUP(Y$2,Valores!$H$2:$P$154,8,0)</f>
        <v>0</v>
      </c>
      <c r="Z140" s="30" t="n">
        <f aca="false">SUMIF($C$2:$F$2,EOMONTH(Z$2,-1)+1,$C140:$F140)*VLOOKUP(Z$2,Valores!$H$2:$P$154,8,0)</f>
        <v>0</v>
      </c>
      <c r="AA140" s="30" t="n">
        <f aca="false">SUMIF($C$2:$F$2,EOMONTH(AA$2,-1)+1,$C140:$F140)*VLOOKUP(AA$2,Valores!$H$2:$P$154,8,0)</f>
        <v>0</v>
      </c>
      <c r="AB140" s="30" t="n">
        <f aca="false">SUMIF($C$2:$F$2,EOMONTH(AB$2,-1)+1,$C140:$F140)*VLOOKUP(AB$2,Valores!$H$2:$P$154,8,0)</f>
        <v>0</v>
      </c>
      <c r="AC140" s="30" t="n">
        <f aca="false">SUMIF($C$2:$F$2,EOMONTH(AC$2,-1)+1,$C140:$F140)*VLOOKUP(AC$2,Valores!$H$2:$P$154,8,0)</f>
        <v>0</v>
      </c>
      <c r="AD140" s="30" t="n">
        <f aca="false">SUMIF($C$2:$F$2,EOMONTH(AD$2,-1)+1,$C140:$F140)*VLOOKUP(AD$2,Valores!$H$2:$P$154,8,0)</f>
        <v>0</v>
      </c>
      <c r="AE140" s="30" t="n">
        <f aca="false">SUMIF($C$2:$F$2,EOMONTH(AE$2,-1)+1,$C140:$F140)*VLOOKUP(AE$2,Valores!$H$2:$P$154,8,0)</f>
        <v>0</v>
      </c>
      <c r="AF140" s="30" t="n">
        <f aca="false">SUMIF($C$2:$F$2,EOMONTH(AF$2,-1)+1,$C140:$F140)*VLOOKUP(AF$2,Valores!$H$2:$P$154,8,0)</f>
        <v>0</v>
      </c>
      <c r="AG140" s="30" t="n">
        <f aca="false">SUMIF($C$2:$F$2,EOMONTH(AG$2,-1)+1,$C140:$F140)*VLOOKUP(AG$2,Valores!$H$2:$P$154,8,0)</f>
        <v>0</v>
      </c>
      <c r="AH140" s="30" t="n">
        <f aca="false">SUMIF($C$2:$F$2,EOMONTH(AH$2,-1)+1,$C140:$F140)*VLOOKUP(AH$2,Valores!$H$2:$P$154,8,0)</f>
        <v>0</v>
      </c>
      <c r="AI140" s="30" t="n">
        <f aca="false">SUMIF($C$2:$F$2,EOMONTH(AI$2,-1)+1,$C140:$F140)*VLOOKUP(AI$2,Valores!$H$2:$P$154,8,0)</f>
        <v>0</v>
      </c>
      <c r="AJ140" s="30" t="n">
        <f aca="false">SUMIF($C$2:$F$2,EOMONTH(AJ$2,-1)+1,$C140:$F140)*VLOOKUP(AJ$2,Valores!$H$2:$P$154,8,0)</f>
        <v>0</v>
      </c>
      <c r="AK140" s="30" t="n">
        <f aca="false">SUMIF($C$2:$F$2,EOMONTH(AK$2,-1)+1,$C140:$F140)*VLOOKUP(AK$2,Valores!$H$2:$P$154,8,0)</f>
        <v>0</v>
      </c>
      <c r="AL140" s="30" t="n">
        <f aca="false">SUMIF($C$2:$F$2,EOMONTH(AL$2,-1)+1,$C140:$F140)*VLOOKUP(AL$2,Valores!$H$2:$P$154,8,0)</f>
        <v>0</v>
      </c>
      <c r="AM140" s="30" t="n">
        <f aca="false">SUMIF($C$2:$F$2,EOMONTH(AM$2,-1)+1,$C140:$F140)*VLOOKUP(AM$2,Valores!$H$2:$P$154,8,0)</f>
        <v>0</v>
      </c>
      <c r="AN140" s="30" t="n">
        <f aca="false">SUMIF($C$2:$F$2,EOMONTH(AN$2,-1)+1,$C140:$F140)*VLOOKUP(AN$2,Valores!$H$2:$P$154,8,0)</f>
        <v>0</v>
      </c>
      <c r="AO140" s="30" t="n">
        <f aca="false">SUMIF($C$2:$F$2,EOMONTH(AO$2,-1)+1,$C140:$F140)*VLOOKUP(AO$2,Valores!$H$2:$P$154,8,0)</f>
        <v>0</v>
      </c>
      <c r="AP140" s="30" t="n">
        <f aca="false">SUMIF($C$2:$F$2,EOMONTH(AP$2,-1)+1,$C140:$F140)*VLOOKUP(AP$2,Valores!$H$2:$P$154,8,0)</f>
        <v>0</v>
      </c>
      <c r="AQ140" s="30" t="n">
        <f aca="false">SUMIF($C$2:$F$2,EOMONTH(AQ$2,-1)+1,$C140:$F140)*VLOOKUP(AQ$2,Valores!$H$2:$P$154,8,0)</f>
        <v>0</v>
      </c>
      <c r="AR140" s="30" t="n">
        <f aca="false">SUMIF($C$2:$F$2,EOMONTH(AR$2,-1)+1,$C140:$F140)*VLOOKUP(AR$2,Valores!$H$2:$P$154,8,0)</f>
        <v>0</v>
      </c>
      <c r="AS140" s="30" t="n">
        <f aca="false">SUMIF($C$2:$F$2,EOMONTH(AS$2,-1)+1,$C140:$F140)*VLOOKUP(AS$2,Valores!$H$2:$P$154,8,0)</f>
        <v>0</v>
      </c>
      <c r="AT140" s="30" t="n">
        <f aca="false">SUMIF($C$2:$F$2,EOMONTH(AT$2,-1)+1,$C140:$F140)*VLOOKUP(AT$2,Valores!$H$2:$P$154,8,0)</f>
        <v>0</v>
      </c>
      <c r="AU140" s="30" t="n">
        <f aca="false">SUMIF($C$2:$F$2,EOMONTH(AU$2,-1)+1,$C140:$F140)*VLOOKUP(AU$2,Valores!$H$2:$P$154,8,0)</f>
        <v>0</v>
      </c>
      <c r="AV140" s="30" t="n">
        <f aca="false">SUMIF($C$2:$F$2,EOMONTH(AV$2,-1)+1,$C140:$F140)*VLOOKUP(AV$2,Valores!$H$2:$P$154,8,0)</f>
        <v>0</v>
      </c>
      <c r="AW140" s="30" t="n">
        <f aca="false">SUMIF($C$2:$F$2,EOMONTH(AW$2,-1)+1,$C140:$F140)*VLOOKUP(AW$2,Valores!$H$2:$P$154,8,0)</f>
        <v>0</v>
      </c>
      <c r="AX140" s="30" t="n">
        <f aca="false">SUMIF($C$2:$F$2,EOMONTH(AX$2,-1)+1,$C140:$F140)*VLOOKUP(AX$2,Valores!$H$2:$P$154,8,0)</f>
        <v>0</v>
      </c>
      <c r="AY140" s="30" t="n">
        <f aca="false">SUMIF($C$2:$F$2,EOMONTH(AY$2,-1)+1,$C140:$F140)*VLOOKUP(AY$2,Valores!$H$2:$P$154,8,0)</f>
        <v>0</v>
      </c>
      <c r="AZ140" s="30" t="n">
        <f aca="false">SUMIF($C$2:$F$2,EOMONTH(AZ$2,-1)+1,$C140:$F140)*VLOOKUP(AZ$2,Valores!$H$2:$P$154,8,0)</f>
        <v>0</v>
      </c>
      <c r="BA140" s="30" t="n">
        <f aca="false">SUMIF($C$2:$F$2,EOMONTH(BA$2,-1)+1,$C140:$F140)*VLOOKUP(BA$2,Valores!$H$2:$P$154,8,0)</f>
        <v>0</v>
      </c>
      <c r="BB140" s="30" t="n">
        <f aca="false">SUMIF($C$2:$F$2,EOMONTH(BB$2,-1)+1,$C140:$F140)*VLOOKUP(BB$2,Valores!$H$2:$P$154,8,0)</f>
        <v>0</v>
      </c>
      <c r="BC140" s="30" t="n">
        <f aca="false">SUMIF($C$2:$F$2,EOMONTH(BC$2,-1)+1,$C140:$F140)*VLOOKUP(BC$2,Valores!$H$2:$P$154,8,0)</f>
        <v>0</v>
      </c>
      <c r="BD140" s="30" t="n">
        <f aca="false">SUMIF($C$2:$F$2,EOMONTH(BD$2,-1)+1,$C140:$F140)*VLOOKUP(BD$2,Valores!$H$2:$P$154,8,0)</f>
        <v>0</v>
      </c>
      <c r="BE140" s="30" t="n">
        <f aca="false">SUMIF($C$2:$F$2,EOMONTH(BE$2,-1)+1,$C140:$F140)*VLOOKUP(BE$2,Valores!$H$2:$P$154,8,0)</f>
        <v>0</v>
      </c>
      <c r="BF140" s="30" t="n">
        <f aca="false">SUMIF($C$2:$F$2,EOMONTH(BF$2,-1)+1,$C140:$F140)*VLOOKUP(BF$2,Valores!$H$2:$P$154,8,0)</f>
        <v>0</v>
      </c>
      <c r="BG140" s="30" t="n">
        <f aca="false">SUMIF($C$2:$F$2,EOMONTH(BG$2,-1)+1,$C140:$F140)*VLOOKUP(BG$2,Valores!$H$2:$P$154,8,0)</f>
        <v>0</v>
      </c>
      <c r="BH140" s="30" t="n">
        <f aca="false">SUMIF($C$2:$F$2,EOMONTH(BH$2,-1)+1,$C140:$F140)*VLOOKUP(BH$2,Valores!$H$2:$P$154,8,0)</f>
        <v>0</v>
      </c>
      <c r="BI140" s="30" t="n">
        <f aca="false">SUMIF($C$2:$F$2,EOMONTH(BI$2,-1)+1,$C140:$F140)*VLOOKUP(BI$2,Valores!$H$2:$P$154,8,0)</f>
        <v>0</v>
      </c>
      <c r="BJ140" s="30" t="n">
        <f aca="false">SUMIF($C$2:$F$2,EOMONTH(BJ$2,-1)+1,$C140:$F140)*VLOOKUP(BJ$2,Valores!$H$2:$P$154,8,0)</f>
        <v>0</v>
      </c>
      <c r="BK140" s="30" t="n">
        <f aca="false">SUMIF($C$2:$F$2,EOMONTH(BK$2,-1)+1,$C140:$F140)*VLOOKUP(BK$2,Valores!$H$2:$P$154,8,0)</f>
        <v>0</v>
      </c>
      <c r="BL140" s="30" t="n">
        <f aca="false">SUMIF($C$2:$F$2,EOMONTH(BL$2,-1)+1,$C140:$F140)*VLOOKUP(BL$2,Valores!$H$2:$P$154,8,0)</f>
        <v>0</v>
      </c>
      <c r="BM140" s="30" t="n">
        <f aca="false">SUMIF($C$2:$F$2,EOMONTH(BM$2,-1)+1,$C140:$F140)*VLOOKUP(BM$2,Valores!$H$2:$P$154,8,0)</f>
        <v>0</v>
      </c>
      <c r="BN140" s="30" t="n">
        <f aca="false">SUMIF($C$2:$F$2,EOMONTH(BN$2,-1)+1,$C140:$F140)*VLOOKUP(BN$2,Valores!$H$2:$P$154,8,0)</f>
        <v>0</v>
      </c>
      <c r="BO140" s="30" t="n">
        <f aca="false">SUMIF($C$2:$F$2,EOMONTH(BO$2,-1)+1,$C140:$F140)*VLOOKUP(BO$2,Valores!$H$2:$P$154,8,0)</f>
        <v>0</v>
      </c>
      <c r="BP140" s="30" t="n">
        <f aca="false">SUMIF($C$2:$F$2,EOMONTH(BP$2,-1)+1,$C140:$F140)*VLOOKUP(BP$2,Valores!$H$2:$P$154,8,0)</f>
        <v>0</v>
      </c>
      <c r="BQ140" s="30" t="n">
        <f aca="false">SUMIF($C$2:$F$2,EOMONTH(BQ$2,-1)+1,$C140:$F140)*VLOOKUP(BQ$2,Valores!$H$2:$P$154,8,0)</f>
        <v>0</v>
      </c>
      <c r="BR140" s="30" t="n">
        <f aca="false">SUMIF($C$2:$F$2,EOMONTH(BR$2,-1)+1,$C140:$F140)*VLOOKUP(BR$2,Valores!$H$2:$P$154,8,0)</f>
        <v>0</v>
      </c>
      <c r="BS140" s="30" t="n">
        <f aca="false">SUMIF($C$2:$F$2,EOMONTH(BS$2,-1)+1,$C140:$F140)*VLOOKUP(BS$2,Valores!$H$2:$P$154,8,0)</f>
        <v>0</v>
      </c>
      <c r="BT140" s="30" t="n">
        <f aca="false">SUMIF($C$2:$F$2,EOMONTH(BT$2,-1)+1,$C140:$F140)*VLOOKUP(BT$2,Valores!$H$2:$P$154,8,0)</f>
        <v>0</v>
      </c>
      <c r="BU140" s="30" t="n">
        <f aca="false">SUMIF($C$2:$F$2,EOMONTH(BU$2,-1)+1,$C140:$F140)*VLOOKUP(BU$2,Valores!$H$2:$P$154,8,0)</f>
        <v>0</v>
      </c>
      <c r="BV140" s="30" t="n">
        <f aca="false">SUMIF($C$2:$F$2,EOMONTH(BV$2,-1)+1,$C140:$F140)*VLOOKUP(BV$2,Valores!$H$2:$P$154,8,0)</f>
        <v>0</v>
      </c>
      <c r="BW140" s="30" t="n">
        <f aca="false">SUMIF($C$2:$F$2,EOMONTH(BW$2,-1)+1,$C140:$F140)*VLOOKUP(BW$2,Valores!$H$2:$P$154,8,0)</f>
        <v>0</v>
      </c>
      <c r="BX140" s="30" t="n">
        <f aca="false">SUMIF($C$2:$F$2,EOMONTH(BX$2,-1)+1,$C140:$F140)*VLOOKUP(BX$2,Valores!$H$2:$P$154,8,0)</f>
        <v>0</v>
      </c>
      <c r="BY140" s="30" t="n">
        <f aca="false">SUMIF($C$2:$F$2,EOMONTH(BY$2,-1)+1,$C140:$F140)*VLOOKUP(BY$2,Valores!$H$2:$P$154,8,0)</f>
        <v>0</v>
      </c>
      <c r="BZ140" s="30" t="n">
        <f aca="false">SUMIF($C$2:$F$2,EOMONTH(BZ$2,-1)+1,$C140:$F140)*VLOOKUP(BZ$2,Valores!$H$2:$P$154,8,0)</f>
        <v>0</v>
      </c>
      <c r="CA140" s="30" t="n">
        <f aca="false">SUMIF($C$2:$F$2,EOMONTH(CA$2,-1)+1,$C140:$F140)*VLOOKUP(CA$2,Valores!$H$2:$P$154,8,0)</f>
        <v>0</v>
      </c>
      <c r="CB140" s="30" t="n">
        <f aca="false">SUMIF($C$2:$F$2,EOMONTH(CB$2,-1)+1,$C140:$F140)*VLOOKUP(CB$2,Valores!$H$2:$P$154,8,0)</f>
        <v>0</v>
      </c>
      <c r="CC140" s="30" t="n">
        <f aca="false">SUMIF($C$2:$F$2,EOMONTH(CC$2,-1)+1,$C140:$F140)*VLOOKUP(CC$2,Valores!$H$2:$P$154,8,0)</f>
        <v>0</v>
      </c>
      <c r="CD140" s="30" t="n">
        <f aca="false">SUMIF($C$2:$F$2,EOMONTH(CD$2,-1)+1,$C140:$F140)*VLOOKUP(CD$2,Valores!$H$2:$P$154,8,0)</f>
        <v>0</v>
      </c>
      <c r="CE140" s="30" t="n">
        <f aca="false">SUMIF($C$2:$F$2,EOMONTH(CE$2,-1)+1,$C140:$F140)*VLOOKUP(CE$2,Valores!$H$2:$P$154,8,0)</f>
        <v>0</v>
      </c>
      <c r="CF140" s="30" t="n">
        <f aca="false">SUMIF($C$2:$F$2,EOMONTH(CF$2,-1)+1,$C140:$F140)*VLOOKUP(CF$2,Valores!$H$2:$P$154,8,0)</f>
        <v>0</v>
      </c>
      <c r="CG140" s="30" t="n">
        <f aca="false">SUMIF($C$2:$F$2,EOMONTH(CG$2,-1)+1,$C140:$F140)*VLOOKUP(CG$2,Valores!$H$2:$P$154,8,0)</f>
        <v>0</v>
      </c>
      <c r="CH140" s="30" t="n">
        <f aca="false">SUMIF($C$2:$F$2,EOMONTH(CH$2,-1)+1,$C140:$F140)*VLOOKUP(CH$2,Valores!$H$2:$P$154,8,0)</f>
        <v>0</v>
      </c>
      <c r="CI140" s="30" t="n">
        <f aca="false">SUMIF($C$2:$F$2,EOMONTH(CI$2,-1)+1,$C140:$F140)*VLOOKUP(CI$2,Valores!$H$2:$P$154,8,0)</f>
        <v>0</v>
      </c>
      <c r="CJ140" s="30" t="n">
        <f aca="false">SUMIF($C$2:$F$2,EOMONTH(CJ$2,-1)+1,$C140:$F140)*VLOOKUP(CJ$2,Valores!$H$2:$P$154,8,0)</f>
        <v>0</v>
      </c>
      <c r="CK140" s="30" t="n">
        <f aca="false">SUMIF($C$2:$F$2,EOMONTH(CK$2,-1)+1,$C140:$F140)*VLOOKUP(CK$2,Valores!$H$2:$P$154,8,0)</f>
        <v>0</v>
      </c>
      <c r="CL140" s="30" t="n">
        <f aca="false">SUMIF($C$2:$F$2,EOMONTH(CL$2,-1)+1,$C140:$F140)*VLOOKUP(CL$2,Valores!$H$2:$P$154,8,0)</f>
        <v>0</v>
      </c>
      <c r="CM140" s="30" t="n">
        <f aca="false">SUMIF($C$2:$F$2,EOMONTH(CM$2,-1)+1,$C140:$F140)*VLOOKUP(CM$2,Valores!$H$2:$P$154,8,0)</f>
        <v>0</v>
      </c>
      <c r="CN140" s="30" t="n">
        <f aca="false">SUMIF($C$2:$F$2,EOMONTH(CN$2,-1)+1,$C140:$F140)*VLOOKUP(CN$2,Valores!$H$2:$P$154,8,0)</f>
        <v>0</v>
      </c>
      <c r="CO140" s="30" t="n">
        <f aca="false">SUMIF($C$2:$F$2,EOMONTH(CO$2,-1)+1,$C140:$F140)*VLOOKUP(CO$2,Valores!$H$2:$P$154,8,0)</f>
        <v>0</v>
      </c>
      <c r="CP140" s="30" t="n">
        <f aca="false">SUMIF($C$2:$F$2,EOMONTH(CP$2,-1)+1,$C140:$F140)*VLOOKUP(CP$2,Valores!$H$2:$P$154,8,0)</f>
        <v>0</v>
      </c>
      <c r="CQ140" s="30" t="n">
        <f aca="false">SUMIF($C$2:$F$2,EOMONTH(CQ$2,-1)+1,$C140:$F140)*VLOOKUP(CQ$2,Valores!$H$2:$P$154,8,0)</f>
        <v>0</v>
      </c>
      <c r="CR140" s="30" t="n">
        <f aca="false">SUMIF($C$2:$F$2,EOMONTH(CR$2,-1)+1,$C140:$F140)*VLOOKUP(CR$2,Valores!$H$2:$P$154,8,0)</f>
        <v>0</v>
      </c>
      <c r="CS140" s="30" t="n">
        <f aca="false">SUMIF($C$2:$F$2,EOMONTH(CS$2,-1)+1,$C140:$F140)*VLOOKUP(CS$2,Valores!$H$2:$P$154,8,0)</f>
        <v>0</v>
      </c>
      <c r="CT140" s="30" t="e">
        <f aca="false">SUMIF($C$2:$F$2,EOMONTH(CT$2,-1)+1,$C140:$F140)*VLOOKUP(CT$2,Valores!$H$2:$P$154,8,0)</f>
        <v>#VALUE!</v>
      </c>
      <c r="CU140" s="30" t="e">
        <f aca="false">SUMIF($C$2:$F$2,EOMONTH(CU$2,-1)+1,$C140:$F140)*VLOOKUP(CU$2,Valores!$H$2:$P$154,8,0)</f>
        <v>#VALUE!</v>
      </c>
      <c r="CV140" s="30" t="e">
        <f aca="false">SUMIF($C$2:$F$2,EOMONTH(CV$2,-1)+1,$C140:$F140)*VLOOKUP(CV$2,Valores!$H$2:$P$154,8,0)</f>
        <v>#VALUE!</v>
      </c>
      <c r="CW140" s="30" t="e">
        <f aca="false">SUMIF($C$2:$F$2,EOMONTH(CW$2,-1)+1,$C140:$F140)*VLOOKUP(CW$2,Valores!$H$2:$P$154,8,0)</f>
        <v>#VALUE!</v>
      </c>
      <c r="CX140" s="30" t="e">
        <f aca="false">SUMIF($C$2:$F$2,EOMONTH(CX$2,-1)+1,$C140:$F140)*VLOOKUP(CX$2,Valores!$H$2:$P$154,8,0)</f>
        <v>#VALUE!</v>
      </c>
      <c r="CY140" s="30" t="e">
        <f aca="false">SUMIF($C$2:$F$2,EOMONTH(CY$2,-1)+1,$C140:$F140)*VLOOKUP(CY$2,Valores!$H$2:$P$154,8,0)</f>
        <v>#VALUE!</v>
      </c>
      <c r="CZ140" s="30" t="e">
        <f aca="false">SUMIF($C$2:$F$2,EOMONTH(CZ$2,-1)+1,$C140:$F140)*VLOOKUP(CZ$2,Valores!$H$2:$P$154,8,0)</f>
        <v>#VALUE!</v>
      </c>
      <c r="DA140" s="30" t="e">
        <f aca="false">SUMIF($C$2:$F$2,EOMONTH(DA$2,-1)+1,$C140:$F140)*VLOOKUP(DA$2,Valores!$H$2:$P$154,8,0)</f>
        <v>#VALUE!</v>
      </c>
      <c r="DB140" s="30" t="e">
        <f aca="false">SUMIF($C$2:$F$2,EOMONTH(DB$2,-1)+1,$C140:$F140)*VLOOKUP(DB$2,Valores!$H$2:$P$154,8,0)</f>
        <v>#VALUE!</v>
      </c>
      <c r="DC140" s="30" t="e">
        <f aca="false">SUMIF($C$2:$F$2,EOMONTH(DC$2,-1)+1,$C140:$F140)*VLOOKUP(DC$2,Valores!$H$2:$P$154,8,0)</f>
        <v>#VALUE!</v>
      </c>
      <c r="DD140" s="30" t="e">
        <f aca="false">SUMIF($C$2:$F$2,EOMONTH(DD$2,-1)+1,$C140:$F140)*VLOOKUP(DD$2,Valores!$H$2:$P$154,8,0)</f>
        <v>#VALUE!</v>
      </c>
      <c r="DE140" s="30" t="e">
        <f aca="false">SUMIF($C$2:$F$2,EOMONTH(DE$2,-1)+1,$C140:$F140)*VLOOKUP(DE$2,Valores!$H$2:$P$154,8,0)</f>
        <v>#VALUE!</v>
      </c>
      <c r="DF140" s="30" t="e">
        <f aca="false">SUMIF($C$2:$F$2,EOMONTH(DF$2,-1)+1,$C140:$F140)*VLOOKUP(DF$2,Valores!$H$2:$P$154,8,0)</f>
        <v>#VALUE!</v>
      </c>
      <c r="DG140" s="30" t="e">
        <f aca="false">SUMIF($C$2:$F$2,EOMONTH(DG$2,-1)+1,$C140:$F140)*VLOOKUP(DG$2,Valores!$H$2:$P$154,8,0)</f>
        <v>#VALUE!</v>
      </c>
      <c r="DH140" s="30" t="e">
        <f aca="false">SUMIF($C$2:$F$2,EOMONTH(DH$2,-1)+1,$C140:$F140)*VLOOKUP(DH$2,Valores!$H$2:$P$154,8,0)</f>
        <v>#VALUE!</v>
      </c>
      <c r="DI140" s="30" t="e">
        <f aca="false">SUMIF($C$2:$F$2,EOMONTH(DI$2,-1)+1,$C140:$F140)*VLOOKUP(DI$2,Valores!$H$2:$P$154,8,0)</f>
        <v>#VALUE!</v>
      </c>
      <c r="DJ140" s="30" t="e">
        <f aca="false">SUMIF($C$2:$F$2,EOMONTH(DJ$2,-1)+1,$C140:$F140)*VLOOKUP(DJ$2,Valores!$H$2:$P$154,8,0)</f>
        <v>#VALUE!</v>
      </c>
      <c r="DK140" s="30" t="e">
        <f aca="false">SUMIF($C$2:$F$2,EOMONTH(DK$2,-1)+1,$C140:$F140)*VLOOKUP(DK$2,Valores!$H$2:$P$154,8,0)</f>
        <v>#VALUE!</v>
      </c>
      <c r="DL140" s="30" t="e">
        <f aca="false">SUMIF($C$2:$F$2,EOMONTH(DL$2,-1)+1,$C140:$F140)*VLOOKUP(DL$2,Valores!$H$2:$P$154,8,0)</f>
        <v>#VALUE!</v>
      </c>
      <c r="DM140" s="30" t="e">
        <f aca="false">SUMIF($C$2:$F$2,EOMONTH(DM$2,-1)+1,$C140:$F140)*VLOOKUP(DM$2,Valores!$H$2:$P$154,8,0)</f>
        <v>#VALUE!</v>
      </c>
      <c r="DN140" s="30" t="e">
        <f aca="false">SUMIF($C$2:$F$2,EOMONTH(DN$2,-1)+1,$C140:$F140)*VLOOKUP(DN$2,Valores!$H$2:$P$154,8,0)</f>
        <v>#VALUE!</v>
      </c>
      <c r="DO140" s="30" t="e">
        <f aca="false">SUMIF($C$2:$F$2,EOMONTH(DO$2,-1)+1,$C140:$F140)*VLOOKUP(DO$2,Valores!$H$2:$P$154,8,0)</f>
        <v>#VALUE!</v>
      </c>
      <c r="DP140" s="30" t="e">
        <f aca="false">SUMIF($C$2:$F$2,EOMONTH(DP$2,-1)+1,$C140:$F140)*VLOOKUP(DP$2,Valores!$H$2:$P$154,8,0)</f>
        <v>#VALUE!</v>
      </c>
      <c r="DQ140" s="30" t="e">
        <f aca="false">SUMIF($C$2:$F$2,EOMONTH(DQ$2,-1)+1,$C140:$F140)*VLOOKUP(DQ$2,Valores!$H$2:$P$154,8,0)</f>
        <v>#VALUE!</v>
      </c>
      <c r="DR140" s="30" t="e">
        <f aca="false">SUMIF($C$2:$F$2,EOMONTH(DR$2,-1)+1,$C140:$F140)*VLOOKUP(DR$2,Valores!$H$2:$P$154,8,0)</f>
        <v>#VALUE!</v>
      </c>
      <c r="DS140" s="30" t="e">
        <f aca="false">SUMIF($C$2:$F$2,EOMONTH(DS$2,-1)+1,$C140:$F140)*VLOOKUP(DS$2,Valores!$H$2:$P$154,8,0)</f>
        <v>#VALUE!</v>
      </c>
      <c r="DT140" s="30" t="e">
        <f aca="false">SUMIF($C$2:$F$2,EOMONTH(DT$2,-1)+1,$C140:$F140)*VLOOKUP(DT$2,Valores!$H$2:$P$154,8,0)</f>
        <v>#VALUE!</v>
      </c>
      <c r="DU140" s="30" t="e">
        <f aca="false">SUMIF($C$2:$F$2,EOMONTH(DU$2,-1)+1,$C140:$F140)*VLOOKUP(DU$2,Valores!$H$2:$P$154,8,0)</f>
        <v>#VALUE!</v>
      </c>
      <c r="DV140" s="30" t="e">
        <f aca="false">SUMIF($C$2:$F$2,EOMONTH(DV$2,-1)+1,$C140:$F140)*VLOOKUP(DV$2,Valores!$H$2:$P$154,8,0)</f>
        <v>#VALUE!</v>
      </c>
      <c r="DW140" s="30" t="e">
        <f aca="false">SUMIF($C$2:$F$2,EOMONTH(DW$2,-1)+1,$C140:$F140)*VLOOKUP(DW$2,Valores!$H$2:$P$154,8,0)</f>
        <v>#VALUE!</v>
      </c>
      <c r="DX140" s="30" t="e">
        <f aca="false">SUMIF($C$2:$F$2,EOMONTH(DX$2,-1)+1,$C140:$F140)*VLOOKUP(DX$2,Valores!$H$2:$P$154,8,0)</f>
        <v>#VALUE!</v>
      </c>
    </row>
    <row r="141" customFormat="false" ht="13.8" hidden="false" customHeight="false" outlineLevel="0" collapsed="false">
      <c r="A141" s="31"/>
      <c r="B141" s="31"/>
      <c r="C141" s="31"/>
      <c r="D141" s="31"/>
      <c r="E141" s="31"/>
      <c r="F141" s="31"/>
      <c r="G141" s="27" t="n">
        <f aca="false">SUMIF($C$2:$F$2,EOMONTH(G$2,-1)+1,$C141:$F141)*VLOOKUP(G$2,Valores!$H$2:$P$154,8,0)</f>
        <v>0</v>
      </c>
      <c r="H141" s="27" t="n">
        <f aca="false">SUMIF($C$2:$F$2,EOMONTH(H$2,-1)+1,$C141:$F141)*VLOOKUP(H$2,Valores!$H$2:$P$154,8,0)</f>
        <v>0</v>
      </c>
      <c r="I141" s="27" t="n">
        <f aca="false">SUMIF($C$2:$F$2,EOMONTH(I$2,-1)+1,$C141:$F141)*VLOOKUP(I$2,Valores!$H$2:$P$154,8,0)</f>
        <v>0</v>
      </c>
      <c r="J141" s="27" t="n">
        <f aca="false">SUMIF($C$2:$F$2,EOMONTH(J$2,-1)+1,$C141:$F141)*VLOOKUP(J$2,Valores!$H$2:$P$154,8,0)</f>
        <v>0</v>
      </c>
      <c r="K141" s="27" t="n">
        <f aca="false">SUMIF($C$2:$F$2,EOMONTH(K$2,-1)+1,$C141:$F141)*VLOOKUP(K$2,Valores!$H$2:$P$154,8,0)</f>
        <v>0</v>
      </c>
      <c r="L141" s="27" t="n">
        <f aca="false">SUMIF($C$2:$F$2,EOMONTH(L$2,-1)+1,$C141:$F141)*VLOOKUP(L$2,Valores!$H$2:$P$154,8,0)</f>
        <v>0</v>
      </c>
      <c r="M141" s="27" t="n">
        <f aca="false">SUMIF($C$2:$F$2,EOMONTH(M$2,-1)+1,$C141:$F141)*VLOOKUP(M$2,Valores!$H$2:$P$154,8,0)</f>
        <v>0</v>
      </c>
      <c r="N141" s="27" t="n">
        <f aca="false">SUMIF($C$2:$F$2,EOMONTH(N$2,-1)+1,$C141:$F141)*VLOOKUP(N$2,Valores!$H$2:$P$154,8,0)</f>
        <v>0</v>
      </c>
      <c r="O141" s="27" t="n">
        <f aca="false">SUMIF($C$2:$F$2,EOMONTH(O$2,-1)+1,$C141:$F141)*VLOOKUP(O$2,Valores!$H$2:$P$154,8,0)</f>
        <v>0</v>
      </c>
      <c r="P141" s="27" t="n">
        <f aca="false">SUMIF($C$2:$F$2,EOMONTH(P$2,-1)+1,$C141:$F141)*VLOOKUP(P$2,Valores!$H$2:$P$154,8,0)</f>
        <v>0</v>
      </c>
      <c r="Q141" s="27" t="n">
        <f aca="false">SUMIF($C$2:$F$2,EOMONTH(Q$2,-1)+1,$C141:$F141)*VLOOKUP(Q$2,Valores!$H$2:$P$154,8,0)</f>
        <v>0</v>
      </c>
      <c r="R141" s="27" t="n">
        <f aca="false">SUMIF($C$2:$F$2,EOMONTH(R$2,-1)+1,$C141:$F141)*VLOOKUP(R$2,Valores!$H$2:$P$154,8,0)</f>
        <v>0</v>
      </c>
      <c r="S141" s="27" t="n">
        <f aca="false">SUMIF($C$2:$F$2,EOMONTH(S$2,-1)+1,$C141:$F141)*VLOOKUP(S$2,Valores!$H$2:$P$154,8,0)</f>
        <v>0</v>
      </c>
      <c r="T141" s="27" t="n">
        <f aca="false">SUMIF($C$2:$F$2,EOMONTH(T$2,-1)+1,$C141:$F141)*VLOOKUP(T$2,Valores!$H$2:$P$154,8,0)</f>
        <v>0</v>
      </c>
      <c r="U141" s="27" t="n">
        <f aca="false">SUMIF($C$2:$F$2,EOMONTH(U$2,-1)+1,$C141:$F141)*VLOOKUP(U$2,Valores!$H$2:$P$154,8,0)</f>
        <v>0</v>
      </c>
      <c r="V141" s="27" t="n">
        <f aca="false">SUMIF($C$2:$F$2,EOMONTH(V$2,-1)+1,$C141:$F141)*VLOOKUP(V$2,Valores!$H$2:$P$154,8,0)</f>
        <v>0</v>
      </c>
      <c r="W141" s="27" t="n">
        <f aca="false">SUMIF($C$2:$F$2,EOMONTH(W$2,-1)+1,$C141:$F141)*VLOOKUP(W$2,Valores!$H$2:$P$154,8,0)</f>
        <v>0</v>
      </c>
      <c r="X141" s="27" t="n">
        <f aca="false">SUMIF($C$2:$F$2,EOMONTH(X$2,-1)+1,$C141:$F141)*VLOOKUP(X$2,Valores!$H$2:$P$154,8,0)</f>
        <v>0</v>
      </c>
      <c r="Y141" s="27" t="n">
        <f aca="false">SUMIF($C$2:$F$2,EOMONTH(Y$2,-1)+1,$C141:$F141)*VLOOKUP(Y$2,Valores!$H$2:$P$154,8,0)</f>
        <v>0</v>
      </c>
      <c r="Z141" s="27" t="n">
        <f aca="false">SUMIF($C$2:$F$2,EOMONTH(Z$2,-1)+1,$C141:$F141)*VLOOKUP(Z$2,Valores!$H$2:$P$154,8,0)</f>
        <v>0</v>
      </c>
      <c r="AA141" s="27" t="n">
        <f aca="false">SUMIF($C$2:$F$2,EOMONTH(AA$2,-1)+1,$C141:$F141)*VLOOKUP(AA$2,Valores!$H$2:$P$154,8,0)</f>
        <v>0</v>
      </c>
      <c r="AB141" s="27" t="n">
        <f aca="false">SUMIF($C$2:$F$2,EOMONTH(AB$2,-1)+1,$C141:$F141)*VLOOKUP(AB$2,Valores!$H$2:$P$154,8,0)</f>
        <v>0</v>
      </c>
      <c r="AC141" s="27" t="n">
        <f aca="false">SUMIF($C$2:$F$2,EOMONTH(AC$2,-1)+1,$C141:$F141)*VLOOKUP(AC$2,Valores!$H$2:$P$154,8,0)</f>
        <v>0</v>
      </c>
      <c r="AD141" s="27" t="n">
        <f aca="false">SUMIF($C$2:$F$2,EOMONTH(AD$2,-1)+1,$C141:$F141)*VLOOKUP(AD$2,Valores!$H$2:$P$154,8,0)</f>
        <v>0</v>
      </c>
      <c r="AE141" s="27" t="n">
        <f aca="false">SUMIF($C$2:$F$2,EOMONTH(AE$2,-1)+1,$C141:$F141)*VLOOKUP(AE$2,Valores!$H$2:$P$154,8,0)</f>
        <v>0</v>
      </c>
      <c r="AF141" s="27" t="n">
        <f aca="false">SUMIF($C$2:$F$2,EOMONTH(AF$2,-1)+1,$C141:$F141)*VLOOKUP(AF$2,Valores!$H$2:$P$154,8,0)</f>
        <v>0</v>
      </c>
      <c r="AG141" s="27" t="n">
        <f aca="false">SUMIF($C$2:$F$2,EOMONTH(AG$2,-1)+1,$C141:$F141)*VLOOKUP(AG$2,Valores!$H$2:$P$154,8,0)</f>
        <v>0</v>
      </c>
      <c r="AH141" s="27" t="n">
        <f aca="false">SUMIF($C$2:$F$2,EOMONTH(AH$2,-1)+1,$C141:$F141)*VLOOKUP(AH$2,Valores!$H$2:$P$154,8,0)</f>
        <v>0</v>
      </c>
      <c r="AI141" s="27" t="n">
        <f aca="false">SUMIF($C$2:$F$2,EOMONTH(AI$2,-1)+1,$C141:$F141)*VLOOKUP(AI$2,Valores!$H$2:$P$154,8,0)</f>
        <v>0</v>
      </c>
      <c r="AJ141" s="27" t="n">
        <f aca="false">SUMIF($C$2:$F$2,EOMONTH(AJ$2,-1)+1,$C141:$F141)*VLOOKUP(AJ$2,Valores!$H$2:$P$154,8,0)</f>
        <v>0</v>
      </c>
      <c r="AK141" s="27" t="n">
        <f aca="false">SUMIF($C$2:$F$2,EOMONTH(AK$2,-1)+1,$C141:$F141)*VLOOKUP(AK$2,Valores!$H$2:$P$154,8,0)</f>
        <v>0</v>
      </c>
      <c r="AL141" s="27" t="n">
        <f aca="false">SUMIF($C$2:$F$2,EOMONTH(AL$2,-1)+1,$C141:$F141)*VLOOKUP(AL$2,Valores!$H$2:$P$154,8,0)</f>
        <v>0</v>
      </c>
      <c r="AM141" s="27" t="n">
        <f aca="false">SUMIF($C$2:$F$2,EOMONTH(AM$2,-1)+1,$C141:$F141)*VLOOKUP(AM$2,Valores!$H$2:$P$154,8,0)</f>
        <v>0</v>
      </c>
      <c r="AN141" s="27" t="n">
        <f aca="false">SUMIF($C$2:$F$2,EOMONTH(AN$2,-1)+1,$C141:$F141)*VLOOKUP(AN$2,Valores!$H$2:$P$154,8,0)</f>
        <v>0</v>
      </c>
      <c r="AO141" s="27" t="n">
        <f aca="false">SUMIF($C$2:$F$2,EOMONTH(AO$2,-1)+1,$C141:$F141)*VLOOKUP(AO$2,Valores!$H$2:$P$154,8,0)</f>
        <v>0</v>
      </c>
      <c r="AP141" s="27" t="n">
        <f aca="false">SUMIF($C$2:$F$2,EOMONTH(AP$2,-1)+1,$C141:$F141)*VLOOKUP(AP$2,Valores!$H$2:$P$154,8,0)</f>
        <v>0</v>
      </c>
      <c r="AQ141" s="27" t="n">
        <f aca="false">SUMIF($C$2:$F$2,EOMONTH(AQ$2,-1)+1,$C141:$F141)*VLOOKUP(AQ$2,Valores!$H$2:$P$154,8,0)</f>
        <v>0</v>
      </c>
      <c r="AR141" s="27" t="n">
        <f aca="false">SUMIF($C$2:$F$2,EOMONTH(AR$2,-1)+1,$C141:$F141)*VLOOKUP(AR$2,Valores!$H$2:$P$154,8,0)</f>
        <v>0</v>
      </c>
      <c r="AS141" s="27" t="n">
        <f aca="false">SUMIF($C$2:$F$2,EOMONTH(AS$2,-1)+1,$C141:$F141)*VLOOKUP(AS$2,Valores!$H$2:$P$154,8,0)</f>
        <v>0</v>
      </c>
      <c r="AT141" s="27" t="n">
        <f aca="false">SUMIF($C$2:$F$2,EOMONTH(AT$2,-1)+1,$C141:$F141)*VLOOKUP(AT$2,Valores!$H$2:$P$154,8,0)</f>
        <v>0</v>
      </c>
      <c r="AU141" s="27" t="n">
        <f aca="false">SUMIF($C$2:$F$2,EOMONTH(AU$2,-1)+1,$C141:$F141)*VLOOKUP(AU$2,Valores!$H$2:$P$154,8,0)</f>
        <v>0</v>
      </c>
      <c r="AV141" s="27" t="n">
        <f aca="false">SUMIF($C$2:$F$2,EOMONTH(AV$2,-1)+1,$C141:$F141)*VLOOKUP(AV$2,Valores!$H$2:$P$154,8,0)</f>
        <v>0</v>
      </c>
      <c r="AW141" s="27" t="n">
        <f aca="false">SUMIF($C$2:$F$2,EOMONTH(AW$2,-1)+1,$C141:$F141)*VLOOKUP(AW$2,Valores!$H$2:$P$154,8,0)</f>
        <v>0</v>
      </c>
      <c r="AX141" s="27" t="n">
        <f aca="false">SUMIF($C$2:$F$2,EOMONTH(AX$2,-1)+1,$C141:$F141)*VLOOKUP(AX$2,Valores!$H$2:$P$154,8,0)</f>
        <v>0</v>
      </c>
      <c r="AY141" s="27" t="n">
        <f aca="false">SUMIF($C$2:$F$2,EOMONTH(AY$2,-1)+1,$C141:$F141)*VLOOKUP(AY$2,Valores!$H$2:$P$154,8,0)</f>
        <v>0</v>
      </c>
      <c r="AZ141" s="27" t="n">
        <f aca="false">SUMIF($C$2:$F$2,EOMONTH(AZ$2,-1)+1,$C141:$F141)*VLOOKUP(AZ$2,Valores!$H$2:$P$154,8,0)</f>
        <v>0</v>
      </c>
      <c r="BA141" s="27" t="n">
        <f aca="false">SUMIF($C$2:$F$2,EOMONTH(BA$2,-1)+1,$C141:$F141)*VLOOKUP(BA$2,Valores!$H$2:$P$154,8,0)</f>
        <v>0</v>
      </c>
      <c r="BB141" s="27" t="n">
        <f aca="false">SUMIF($C$2:$F$2,EOMONTH(BB$2,-1)+1,$C141:$F141)*VLOOKUP(BB$2,Valores!$H$2:$P$154,8,0)</f>
        <v>0</v>
      </c>
      <c r="BC141" s="27" t="n">
        <f aca="false">SUMIF($C$2:$F$2,EOMONTH(BC$2,-1)+1,$C141:$F141)*VLOOKUP(BC$2,Valores!$H$2:$P$154,8,0)</f>
        <v>0</v>
      </c>
      <c r="BD141" s="27" t="n">
        <f aca="false">SUMIF($C$2:$F$2,EOMONTH(BD$2,-1)+1,$C141:$F141)*VLOOKUP(BD$2,Valores!$H$2:$P$154,8,0)</f>
        <v>0</v>
      </c>
      <c r="BE141" s="27" t="n">
        <f aca="false">SUMIF($C$2:$F$2,EOMONTH(BE$2,-1)+1,$C141:$F141)*VLOOKUP(BE$2,Valores!$H$2:$P$154,8,0)</f>
        <v>0</v>
      </c>
      <c r="BF141" s="27" t="n">
        <f aca="false">SUMIF($C$2:$F$2,EOMONTH(BF$2,-1)+1,$C141:$F141)*VLOOKUP(BF$2,Valores!$H$2:$P$154,8,0)</f>
        <v>0</v>
      </c>
      <c r="BG141" s="27" t="n">
        <f aca="false">SUMIF($C$2:$F$2,EOMONTH(BG$2,-1)+1,$C141:$F141)*VLOOKUP(BG$2,Valores!$H$2:$P$154,8,0)</f>
        <v>0</v>
      </c>
      <c r="BH141" s="27" t="n">
        <f aca="false">SUMIF($C$2:$F$2,EOMONTH(BH$2,-1)+1,$C141:$F141)*VLOOKUP(BH$2,Valores!$H$2:$P$154,8,0)</f>
        <v>0</v>
      </c>
      <c r="BI141" s="27" t="n">
        <f aca="false">SUMIF($C$2:$F$2,EOMONTH(BI$2,-1)+1,$C141:$F141)*VLOOKUP(BI$2,Valores!$H$2:$P$154,8,0)</f>
        <v>0</v>
      </c>
      <c r="BJ141" s="27" t="n">
        <f aca="false">SUMIF($C$2:$F$2,EOMONTH(BJ$2,-1)+1,$C141:$F141)*VLOOKUP(BJ$2,Valores!$H$2:$P$154,8,0)</f>
        <v>0</v>
      </c>
      <c r="BK141" s="27" t="n">
        <f aca="false">SUMIF($C$2:$F$2,EOMONTH(BK$2,-1)+1,$C141:$F141)*VLOOKUP(BK$2,Valores!$H$2:$P$154,8,0)</f>
        <v>0</v>
      </c>
      <c r="BL141" s="27" t="n">
        <f aca="false">SUMIF($C$2:$F$2,EOMONTH(BL$2,-1)+1,$C141:$F141)*VLOOKUP(BL$2,Valores!$H$2:$P$154,8,0)</f>
        <v>0</v>
      </c>
      <c r="BM141" s="27" t="n">
        <f aca="false">SUMIF($C$2:$F$2,EOMONTH(BM$2,-1)+1,$C141:$F141)*VLOOKUP(BM$2,Valores!$H$2:$P$154,8,0)</f>
        <v>0</v>
      </c>
      <c r="BN141" s="27" t="n">
        <f aca="false">SUMIF($C$2:$F$2,EOMONTH(BN$2,-1)+1,$C141:$F141)*VLOOKUP(BN$2,Valores!$H$2:$P$154,8,0)</f>
        <v>0</v>
      </c>
      <c r="BO141" s="27" t="n">
        <f aca="false">SUMIF($C$2:$F$2,EOMONTH(BO$2,-1)+1,$C141:$F141)*VLOOKUP(BO$2,Valores!$H$2:$P$154,8,0)</f>
        <v>0</v>
      </c>
      <c r="BP141" s="27" t="n">
        <f aca="false">SUMIF($C$2:$F$2,EOMONTH(BP$2,-1)+1,$C141:$F141)*VLOOKUP(BP$2,Valores!$H$2:$P$154,8,0)</f>
        <v>0</v>
      </c>
      <c r="BQ141" s="27" t="n">
        <f aca="false">SUMIF($C$2:$F$2,EOMONTH(BQ$2,-1)+1,$C141:$F141)*VLOOKUP(BQ$2,Valores!$H$2:$P$154,8,0)</f>
        <v>0</v>
      </c>
      <c r="BR141" s="27" t="n">
        <f aca="false">SUMIF($C$2:$F$2,EOMONTH(BR$2,-1)+1,$C141:$F141)*VLOOKUP(BR$2,Valores!$H$2:$P$154,8,0)</f>
        <v>0</v>
      </c>
      <c r="BS141" s="27" t="n">
        <f aca="false">SUMIF($C$2:$F$2,EOMONTH(BS$2,-1)+1,$C141:$F141)*VLOOKUP(BS$2,Valores!$H$2:$P$154,8,0)</f>
        <v>0</v>
      </c>
      <c r="BT141" s="27" t="n">
        <f aca="false">SUMIF($C$2:$F$2,EOMONTH(BT$2,-1)+1,$C141:$F141)*VLOOKUP(BT$2,Valores!$H$2:$P$154,8,0)</f>
        <v>0</v>
      </c>
      <c r="BU141" s="27" t="n">
        <f aca="false">SUMIF($C$2:$F$2,EOMONTH(BU$2,-1)+1,$C141:$F141)*VLOOKUP(BU$2,Valores!$H$2:$P$154,8,0)</f>
        <v>0</v>
      </c>
      <c r="BV141" s="27" t="n">
        <f aca="false">SUMIF($C$2:$F$2,EOMONTH(BV$2,-1)+1,$C141:$F141)*VLOOKUP(BV$2,Valores!$H$2:$P$154,8,0)</f>
        <v>0</v>
      </c>
      <c r="BW141" s="27" t="n">
        <f aca="false">SUMIF($C$2:$F$2,EOMONTH(BW$2,-1)+1,$C141:$F141)*VLOOKUP(BW$2,Valores!$H$2:$P$154,8,0)</f>
        <v>0</v>
      </c>
      <c r="BX141" s="27" t="n">
        <f aca="false">SUMIF($C$2:$F$2,EOMONTH(BX$2,-1)+1,$C141:$F141)*VLOOKUP(BX$2,Valores!$H$2:$P$154,8,0)</f>
        <v>0</v>
      </c>
      <c r="BY141" s="27" t="n">
        <f aca="false">SUMIF($C$2:$F$2,EOMONTH(BY$2,-1)+1,$C141:$F141)*VLOOKUP(BY$2,Valores!$H$2:$P$154,8,0)</f>
        <v>0</v>
      </c>
      <c r="BZ141" s="27" t="n">
        <f aca="false">SUMIF($C$2:$F$2,EOMONTH(BZ$2,-1)+1,$C141:$F141)*VLOOKUP(BZ$2,Valores!$H$2:$P$154,8,0)</f>
        <v>0</v>
      </c>
      <c r="CA141" s="27" t="n">
        <f aca="false">SUMIF($C$2:$F$2,EOMONTH(CA$2,-1)+1,$C141:$F141)*VLOOKUP(CA$2,Valores!$H$2:$P$154,8,0)</f>
        <v>0</v>
      </c>
      <c r="CB141" s="27" t="n">
        <f aca="false">SUMIF($C$2:$F$2,EOMONTH(CB$2,-1)+1,$C141:$F141)*VLOOKUP(CB$2,Valores!$H$2:$P$154,8,0)</f>
        <v>0</v>
      </c>
      <c r="CC141" s="27" t="n">
        <f aca="false">SUMIF($C$2:$F$2,EOMONTH(CC$2,-1)+1,$C141:$F141)*VLOOKUP(CC$2,Valores!$H$2:$P$154,8,0)</f>
        <v>0</v>
      </c>
      <c r="CD141" s="27" t="n">
        <f aca="false">SUMIF($C$2:$F$2,EOMONTH(CD$2,-1)+1,$C141:$F141)*VLOOKUP(CD$2,Valores!$H$2:$P$154,8,0)</f>
        <v>0</v>
      </c>
      <c r="CE141" s="27" t="n">
        <f aca="false">SUMIF($C$2:$F$2,EOMONTH(CE$2,-1)+1,$C141:$F141)*VLOOKUP(CE$2,Valores!$H$2:$P$154,8,0)</f>
        <v>0</v>
      </c>
      <c r="CF141" s="27" t="n">
        <f aca="false">SUMIF($C$2:$F$2,EOMONTH(CF$2,-1)+1,$C141:$F141)*VLOOKUP(CF$2,Valores!$H$2:$P$154,8,0)</f>
        <v>0</v>
      </c>
      <c r="CG141" s="27" t="n">
        <f aca="false">SUMIF($C$2:$F$2,EOMONTH(CG$2,-1)+1,$C141:$F141)*VLOOKUP(CG$2,Valores!$H$2:$P$154,8,0)</f>
        <v>0</v>
      </c>
      <c r="CH141" s="27" t="n">
        <f aca="false">SUMIF($C$2:$F$2,EOMONTH(CH$2,-1)+1,$C141:$F141)*VLOOKUP(CH$2,Valores!$H$2:$P$154,8,0)</f>
        <v>0</v>
      </c>
      <c r="CI141" s="27" t="n">
        <f aca="false">SUMIF($C$2:$F$2,EOMONTH(CI$2,-1)+1,$C141:$F141)*VLOOKUP(CI$2,Valores!$H$2:$P$154,8,0)</f>
        <v>0</v>
      </c>
      <c r="CJ141" s="27" t="n">
        <f aca="false">SUMIF($C$2:$F$2,EOMONTH(CJ$2,-1)+1,$C141:$F141)*VLOOKUP(CJ$2,Valores!$H$2:$P$154,8,0)</f>
        <v>0</v>
      </c>
      <c r="CK141" s="27" t="n">
        <f aca="false">SUMIF($C$2:$F$2,EOMONTH(CK$2,-1)+1,$C141:$F141)*VLOOKUP(CK$2,Valores!$H$2:$P$154,8,0)</f>
        <v>0</v>
      </c>
      <c r="CL141" s="27" t="n">
        <f aca="false">SUMIF($C$2:$F$2,EOMONTH(CL$2,-1)+1,$C141:$F141)*VLOOKUP(CL$2,Valores!$H$2:$P$154,8,0)</f>
        <v>0</v>
      </c>
      <c r="CM141" s="27" t="n">
        <f aca="false">SUMIF($C$2:$F$2,EOMONTH(CM$2,-1)+1,$C141:$F141)*VLOOKUP(CM$2,Valores!$H$2:$P$154,8,0)</f>
        <v>0</v>
      </c>
      <c r="CN141" s="27" t="n">
        <f aca="false">SUMIF($C$2:$F$2,EOMONTH(CN$2,-1)+1,$C141:$F141)*VLOOKUP(CN$2,Valores!$H$2:$P$154,8,0)</f>
        <v>0</v>
      </c>
      <c r="CO141" s="27" t="n">
        <f aca="false">SUMIF($C$2:$F$2,EOMONTH(CO$2,-1)+1,$C141:$F141)*VLOOKUP(CO$2,Valores!$H$2:$P$154,8,0)</f>
        <v>0</v>
      </c>
      <c r="CP141" s="27" t="n">
        <f aca="false">SUMIF($C$2:$F$2,EOMONTH(CP$2,-1)+1,$C141:$F141)*VLOOKUP(CP$2,Valores!$H$2:$P$154,8,0)</f>
        <v>0</v>
      </c>
      <c r="CQ141" s="27" t="n">
        <f aca="false">SUMIF($C$2:$F$2,EOMONTH(CQ$2,-1)+1,$C141:$F141)*VLOOKUP(CQ$2,Valores!$H$2:$P$154,8,0)</f>
        <v>0</v>
      </c>
      <c r="CR141" s="27" t="n">
        <f aca="false">SUMIF($C$2:$F$2,EOMONTH(CR$2,-1)+1,$C141:$F141)*VLOOKUP(CR$2,Valores!$H$2:$P$154,8,0)</f>
        <v>0</v>
      </c>
      <c r="CS141" s="27" t="n">
        <f aca="false">SUMIF($C$2:$F$2,EOMONTH(CS$2,-1)+1,$C141:$F141)*VLOOKUP(CS$2,Valores!$H$2:$P$154,8,0)</f>
        <v>0</v>
      </c>
      <c r="CT141" s="27" t="e">
        <f aca="false">SUMIF($C$2:$F$2,EOMONTH(CT$2,-1)+1,$C141:$F141)*VLOOKUP(CT$2,Valores!$H$2:$P$154,8,0)</f>
        <v>#VALUE!</v>
      </c>
      <c r="CU141" s="27" t="e">
        <f aca="false">SUMIF($C$2:$F$2,EOMONTH(CU$2,-1)+1,$C141:$F141)*VLOOKUP(CU$2,Valores!$H$2:$P$154,8,0)</f>
        <v>#VALUE!</v>
      </c>
      <c r="CV141" s="27" t="e">
        <f aca="false">SUMIF($C$2:$F$2,EOMONTH(CV$2,-1)+1,$C141:$F141)*VLOOKUP(CV$2,Valores!$H$2:$P$154,8,0)</f>
        <v>#VALUE!</v>
      </c>
      <c r="CW141" s="27" t="e">
        <f aca="false">SUMIF($C$2:$F$2,EOMONTH(CW$2,-1)+1,$C141:$F141)*VLOOKUP(CW$2,Valores!$H$2:$P$154,8,0)</f>
        <v>#VALUE!</v>
      </c>
      <c r="CX141" s="27" t="e">
        <f aca="false">SUMIF($C$2:$F$2,EOMONTH(CX$2,-1)+1,$C141:$F141)*VLOOKUP(CX$2,Valores!$H$2:$P$154,8,0)</f>
        <v>#VALUE!</v>
      </c>
      <c r="CY141" s="27" t="e">
        <f aca="false">SUMIF($C$2:$F$2,EOMONTH(CY$2,-1)+1,$C141:$F141)*VLOOKUP(CY$2,Valores!$H$2:$P$154,8,0)</f>
        <v>#VALUE!</v>
      </c>
      <c r="CZ141" s="27" t="e">
        <f aca="false">SUMIF($C$2:$F$2,EOMONTH(CZ$2,-1)+1,$C141:$F141)*VLOOKUP(CZ$2,Valores!$H$2:$P$154,8,0)</f>
        <v>#VALUE!</v>
      </c>
      <c r="DA141" s="27" t="e">
        <f aca="false">SUMIF($C$2:$F$2,EOMONTH(DA$2,-1)+1,$C141:$F141)*VLOOKUP(DA$2,Valores!$H$2:$P$154,8,0)</f>
        <v>#VALUE!</v>
      </c>
      <c r="DB141" s="27" t="e">
        <f aca="false">SUMIF($C$2:$F$2,EOMONTH(DB$2,-1)+1,$C141:$F141)*VLOOKUP(DB$2,Valores!$H$2:$P$154,8,0)</f>
        <v>#VALUE!</v>
      </c>
      <c r="DC141" s="27" t="e">
        <f aca="false">SUMIF($C$2:$F$2,EOMONTH(DC$2,-1)+1,$C141:$F141)*VLOOKUP(DC$2,Valores!$H$2:$P$154,8,0)</f>
        <v>#VALUE!</v>
      </c>
      <c r="DD141" s="27" t="e">
        <f aca="false">SUMIF($C$2:$F$2,EOMONTH(DD$2,-1)+1,$C141:$F141)*VLOOKUP(DD$2,Valores!$H$2:$P$154,8,0)</f>
        <v>#VALUE!</v>
      </c>
      <c r="DE141" s="27" t="e">
        <f aca="false">SUMIF($C$2:$F$2,EOMONTH(DE$2,-1)+1,$C141:$F141)*VLOOKUP(DE$2,Valores!$H$2:$P$154,8,0)</f>
        <v>#VALUE!</v>
      </c>
      <c r="DF141" s="27" t="e">
        <f aca="false">SUMIF($C$2:$F$2,EOMONTH(DF$2,-1)+1,$C141:$F141)*VLOOKUP(DF$2,Valores!$H$2:$P$154,8,0)</f>
        <v>#VALUE!</v>
      </c>
      <c r="DG141" s="27" t="e">
        <f aca="false">SUMIF($C$2:$F$2,EOMONTH(DG$2,-1)+1,$C141:$F141)*VLOOKUP(DG$2,Valores!$H$2:$P$154,8,0)</f>
        <v>#VALUE!</v>
      </c>
      <c r="DH141" s="27" t="e">
        <f aca="false">SUMIF($C$2:$F$2,EOMONTH(DH$2,-1)+1,$C141:$F141)*VLOOKUP(DH$2,Valores!$H$2:$P$154,8,0)</f>
        <v>#VALUE!</v>
      </c>
      <c r="DI141" s="27" t="e">
        <f aca="false">SUMIF($C$2:$F$2,EOMONTH(DI$2,-1)+1,$C141:$F141)*VLOOKUP(DI$2,Valores!$H$2:$P$154,8,0)</f>
        <v>#VALUE!</v>
      </c>
      <c r="DJ141" s="27" t="e">
        <f aca="false">SUMIF($C$2:$F$2,EOMONTH(DJ$2,-1)+1,$C141:$F141)*VLOOKUP(DJ$2,Valores!$H$2:$P$154,8,0)</f>
        <v>#VALUE!</v>
      </c>
      <c r="DK141" s="27" t="e">
        <f aca="false">SUMIF($C$2:$F$2,EOMONTH(DK$2,-1)+1,$C141:$F141)*VLOOKUP(DK$2,Valores!$H$2:$P$154,8,0)</f>
        <v>#VALUE!</v>
      </c>
      <c r="DL141" s="27" t="e">
        <f aca="false">SUMIF($C$2:$F$2,EOMONTH(DL$2,-1)+1,$C141:$F141)*VLOOKUP(DL$2,Valores!$H$2:$P$154,8,0)</f>
        <v>#VALUE!</v>
      </c>
      <c r="DM141" s="27" t="e">
        <f aca="false">SUMIF($C$2:$F$2,EOMONTH(DM$2,-1)+1,$C141:$F141)*VLOOKUP(DM$2,Valores!$H$2:$P$154,8,0)</f>
        <v>#VALUE!</v>
      </c>
      <c r="DN141" s="27" t="e">
        <f aca="false">SUMIF($C$2:$F$2,EOMONTH(DN$2,-1)+1,$C141:$F141)*VLOOKUP(DN$2,Valores!$H$2:$P$154,8,0)</f>
        <v>#VALUE!</v>
      </c>
      <c r="DO141" s="27" t="e">
        <f aca="false">SUMIF($C$2:$F$2,EOMONTH(DO$2,-1)+1,$C141:$F141)*VLOOKUP(DO$2,Valores!$H$2:$P$154,8,0)</f>
        <v>#VALUE!</v>
      </c>
      <c r="DP141" s="27" t="e">
        <f aca="false">SUMIF($C$2:$F$2,EOMONTH(DP$2,-1)+1,$C141:$F141)*VLOOKUP(DP$2,Valores!$H$2:$P$154,8,0)</f>
        <v>#VALUE!</v>
      </c>
      <c r="DQ141" s="27" t="e">
        <f aca="false">SUMIF($C$2:$F$2,EOMONTH(DQ$2,-1)+1,$C141:$F141)*VLOOKUP(DQ$2,Valores!$H$2:$P$154,8,0)</f>
        <v>#VALUE!</v>
      </c>
      <c r="DR141" s="27" t="e">
        <f aca="false">SUMIF($C$2:$F$2,EOMONTH(DR$2,-1)+1,$C141:$F141)*VLOOKUP(DR$2,Valores!$H$2:$P$154,8,0)</f>
        <v>#VALUE!</v>
      </c>
      <c r="DS141" s="27" t="e">
        <f aca="false">SUMIF($C$2:$F$2,EOMONTH(DS$2,-1)+1,$C141:$F141)*VLOOKUP(DS$2,Valores!$H$2:$P$154,8,0)</f>
        <v>#VALUE!</v>
      </c>
      <c r="DT141" s="27" t="e">
        <f aca="false">SUMIF($C$2:$F$2,EOMONTH(DT$2,-1)+1,$C141:$F141)*VLOOKUP(DT$2,Valores!$H$2:$P$154,8,0)</f>
        <v>#VALUE!</v>
      </c>
      <c r="DU141" s="27" t="e">
        <f aca="false">SUMIF($C$2:$F$2,EOMONTH(DU$2,-1)+1,$C141:$F141)*VLOOKUP(DU$2,Valores!$H$2:$P$154,8,0)</f>
        <v>#VALUE!</v>
      </c>
      <c r="DV141" s="27" t="e">
        <f aca="false">SUMIF($C$2:$F$2,EOMONTH(DV$2,-1)+1,$C141:$F141)*VLOOKUP(DV$2,Valores!$H$2:$P$154,8,0)</f>
        <v>#VALUE!</v>
      </c>
      <c r="DW141" s="27" t="e">
        <f aca="false">SUMIF($C$2:$F$2,EOMONTH(DW$2,-1)+1,$C141:$F141)*VLOOKUP(DW$2,Valores!$H$2:$P$154,8,0)</f>
        <v>#VALUE!</v>
      </c>
      <c r="DX141" s="27" t="e">
        <f aca="false">SUMIF($C$2:$F$2,EOMONTH(DX$2,-1)+1,$C141:$F141)*VLOOKUP(DX$2,Valores!$H$2:$P$154,8,0)</f>
        <v>#VALUE!</v>
      </c>
    </row>
    <row r="142" customFormat="false" ht="13.8" hidden="false" customHeight="false" outlineLevel="0" collapsed="false">
      <c r="A142" s="29"/>
      <c r="B142" s="29"/>
      <c r="C142" s="29"/>
      <c r="D142" s="29"/>
      <c r="E142" s="29"/>
      <c r="F142" s="29"/>
      <c r="G142" s="30" t="n">
        <f aca="false">SUMIF($C$2:$F$2,EOMONTH(G$2,-1)+1,$C142:$F142)*VLOOKUP(G$2,Valores!$H$2:$P$154,8,0)</f>
        <v>0</v>
      </c>
      <c r="H142" s="30" t="n">
        <f aca="false">SUMIF($C$2:$F$2,EOMONTH(H$2,-1)+1,$C142:$F142)*VLOOKUP(H$2,Valores!$H$2:$P$154,8,0)</f>
        <v>0</v>
      </c>
      <c r="I142" s="30" t="n">
        <f aca="false">SUMIF($C$2:$F$2,EOMONTH(I$2,-1)+1,$C142:$F142)*VLOOKUP(I$2,Valores!$H$2:$P$154,8,0)</f>
        <v>0</v>
      </c>
      <c r="J142" s="30" t="n">
        <f aca="false">SUMIF($C$2:$F$2,EOMONTH(J$2,-1)+1,$C142:$F142)*VLOOKUP(J$2,Valores!$H$2:$P$154,8,0)</f>
        <v>0</v>
      </c>
      <c r="K142" s="30" t="n">
        <f aca="false">SUMIF($C$2:$F$2,EOMONTH(K$2,-1)+1,$C142:$F142)*VLOOKUP(K$2,Valores!$H$2:$P$154,8,0)</f>
        <v>0</v>
      </c>
      <c r="L142" s="30" t="n">
        <f aca="false">SUMIF($C$2:$F$2,EOMONTH(L$2,-1)+1,$C142:$F142)*VLOOKUP(L$2,Valores!$H$2:$P$154,8,0)</f>
        <v>0</v>
      </c>
      <c r="M142" s="30" t="n">
        <f aca="false">SUMIF($C$2:$F$2,EOMONTH(M$2,-1)+1,$C142:$F142)*VLOOKUP(M$2,Valores!$H$2:$P$154,8,0)</f>
        <v>0</v>
      </c>
      <c r="N142" s="30" t="n">
        <f aca="false">SUMIF($C$2:$F$2,EOMONTH(N$2,-1)+1,$C142:$F142)*VLOOKUP(N$2,Valores!$H$2:$P$154,8,0)</f>
        <v>0</v>
      </c>
      <c r="O142" s="30" t="n">
        <f aca="false">SUMIF($C$2:$F$2,EOMONTH(O$2,-1)+1,$C142:$F142)*VLOOKUP(O$2,Valores!$H$2:$P$154,8,0)</f>
        <v>0</v>
      </c>
      <c r="P142" s="30" t="n">
        <f aca="false">SUMIF($C$2:$F$2,EOMONTH(P$2,-1)+1,$C142:$F142)*VLOOKUP(P$2,Valores!$H$2:$P$154,8,0)</f>
        <v>0</v>
      </c>
      <c r="Q142" s="30" t="n">
        <f aca="false">SUMIF($C$2:$F$2,EOMONTH(Q$2,-1)+1,$C142:$F142)*VLOOKUP(Q$2,Valores!$H$2:$P$154,8,0)</f>
        <v>0</v>
      </c>
      <c r="R142" s="30" t="n">
        <f aca="false">SUMIF($C$2:$F$2,EOMONTH(R$2,-1)+1,$C142:$F142)*VLOOKUP(R$2,Valores!$H$2:$P$154,8,0)</f>
        <v>0</v>
      </c>
      <c r="S142" s="30" t="n">
        <f aca="false">SUMIF($C$2:$F$2,EOMONTH(S$2,-1)+1,$C142:$F142)*VLOOKUP(S$2,Valores!$H$2:$P$154,8,0)</f>
        <v>0</v>
      </c>
      <c r="T142" s="30" t="n">
        <f aca="false">SUMIF($C$2:$F$2,EOMONTH(T$2,-1)+1,$C142:$F142)*VLOOKUP(T$2,Valores!$H$2:$P$154,8,0)</f>
        <v>0</v>
      </c>
      <c r="U142" s="30" t="n">
        <f aca="false">SUMIF($C$2:$F$2,EOMONTH(U$2,-1)+1,$C142:$F142)*VLOOKUP(U$2,Valores!$H$2:$P$154,8,0)</f>
        <v>0</v>
      </c>
      <c r="V142" s="30" t="n">
        <f aca="false">SUMIF($C$2:$F$2,EOMONTH(V$2,-1)+1,$C142:$F142)*VLOOKUP(V$2,Valores!$H$2:$P$154,8,0)</f>
        <v>0</v>
      </c>
      <c r="W142" s="30" t="n">
        <f aca="false">SUMIF($C$2:$F$2,EOMONTH(W$2,-1)+1,$C142:$F142)*VLOOKUP(W$2,Valores!$H$2:$P$154,8,0)</f>
        <v>0</v>
      </c>
      <c r="X142" s="30" t="n">
        <f aca="false">SUMIF($C$2:$F$2,EOMONTH(X$2,-1)+1,$C142:$F142)*VLOOKUP(X$2,Valores!$H$2:$P$154,8,0)</f>
        <v>0</v>
      </c>
      <c r="Y142" s="30" t="n">
        <f aca="false">SUMIF($C$2:$F$2,EOMONTH(Y$2,-1)+1,$C142:$F142)*VLOOKUP(Y$2,Valores!$H$2:$P$154,8,0)</f>
        <v>0</v>
      </c>
      <c r="Z142" s="30" t="n">
        <f aca="false">SUMIF($C$2:$F$2,EOMONTH(Z$2,-1)+1,$C142:$F142)*VLOOKUP(Z$2,Valores!$H$2:$P$154,8,0)</f>
        <v>0</v>
      </c>
      <c r="AA142" s="30" t="n">
        <f aca="false">SUMIF($C$2:$F$2,EOMONTH(AA$2,-1)+1,$C142:$F142)*VLOOKUP(AA$2,Valores!$H$2:$P$154,8,0)</f>
        <v>0</v>
      </c>
      <c r="AB142" s="30" t="n">
        <f aca="false">SUMIF($C$2:$F$2,EOMONTH(AB$2,-1)+1,$C142:$F142)*VLOOKUP(AB$2,Valores!$H$2:$P$154,8,0)</f>
        <v>0</v>
      </c>
      <c r="AC142" s="30" t="n">
        <f aca="false">SUMIF($C$2:$F$2,EOMONTH(AC$2,-1)+1,$C142:$F142)*VLOOKUP(AC$2,Valores!$H$2:$P$154,8,0)</f>
        <v>0</v>
      </c>
      <c r="AD142" s="30" t="n">
        <f aca="false">SUMIF($C$2:$F$2,EOMONTH(AD$2,-1)+1,$C142:$F142)*VLOOKUP(AD$2,Valores!$H$2:$P$154,8,0)</f>
        <v>0</v>
      </c>
      <c r="AE142" s="30" t="n">
        <f aca="false">SUMIF($C$2:$F$2,EOMONTH(AE$2,-1)+1,$C142:$F142)*VLOOKUP(AE$2,Valores!$H$2:$P$154,8,0)</f>
        <v>0</v>
      </c>
      <c r="AF142" s="30" t="n">
        <f aca="false">SUMIF($C$2:$F$2,EOMONTH(AF$2,-1)+1,$C142:$F142)*VLOOKUP(AF$2,Valores!$H$2:$P$154,8,0)</f>
        <v>0</v>
      </c>
      <c r="AG142" s="30" t="n">
        <f aca="false">SUMIF($C$2:$F$2,EOMONTH(AG$2,-1)+1,$C142:$F142)*VLOOKUP(AG$2,Valores!$H$2:$P$154,8,0)</f>
        <v>0</v>
      </c>
      <c r="AH142" s="30" t="n">
        <f aca="false">SUMIF($C$2:$F$2,EOMONTH(AH$2,-1)+1,$C142:$F142)*VLOOKUP(AH$2,Valores!$H$2:$P$154,8,0)</f>
        <v>0</v>
      </c>
      <c r="AI142" s="30" t="n">
        <f aca="false">SUMIF($C$2:$F$2,EOMONTH(AI$2,-1)+1,$C142:$F142)*VLOOKUP(AI$2,Valores!$H$2:$P$154,8,0)</f>
        <v>0</v>
      </c>
      <c r="AJ142" s="30" t="n">
        <f aca="false">SUMIF($C$2:$F$2,EOMONTH(AJ$2,-1)+1,$C142:$F142)*VLOOKUP(AJ$2,Valores!$H$2:$P$154,8,0)</f>
        <v>0</v>
      </c>
      <c r="AK142" s="30" t="n">
        <f aca="false">SUMIF($C$2:$F$2,EOMONTH(AK$2,-1)+1,$C142:$F142)*VLOOKUP(AK$2,Valores!$H$2:$P$154,8,0)</f>
        <v>0</v>
      </c>
      <c r="AL142" s="30" t="n">
        <f aca="false">SUMIF($C$2:$F$2,EOMONTH(AL$2,-1)+1,$C142:$F142)*VLOOKUP(AL$2,Valores!$H$2:$P$154,8,0)</f>
        <v>0</v>
      </c>
      <c r="AM142" s="30" t="n">
        <f aca="false">SUMIF($C$2:$F$2,EOMONTH(AM$2,-1)+1,$C142:$F142)*VLOOKUP(AM$2,Valores!$H$2:$P$154,8,0)</f>
        <v>0</v>
      </c>
      <c r="AN142" s="30" t="n">
        <f aca="false">SUMIF($C$2:$F$2,EOMONTH(AN$2,-1)+1,$C142:$F142)*VLOOKUP(AN$2,Valores!$H$2:$P$154,8,0)</f>
        <v>0</v>
      </c>
      <c r="AO142" s="30" t="n">
        <f aca="false">SUMIF($C$2:$F$2,EOMONTH(AO$2,-1)+1,$C142:$F142)*VLOOKUP(AO$2,Valores!$H$2:$P$154,8,0)</f>
        <v>0</v>
      </c>
      <c r="AP142" s="30" t="n">
        <f aca="false">SUMIF($C$2:$F$2,EOMONTH(AP$2,-1)+1,$C142:$F142)*VLOOKUP(AP$2,Valores!$H$2:$P$154,8,0)</f>
        <v>0</v>
      </c>
      <c r="AQ142" s="30" t="n">
        <f aca="false">SUMIF($C$2:$F$2,EOMONTH(AQ$2,-1)+1,$C142:$F142)*VLOOKUP(AQ$2,Valores!$H$2:$P$154,8,0)</f>
        <v>0</v>
      </c>
      <c r="AR142" s="30" t="n">
        <f aca="false">SUMIF($C$2:$F$2,EOMONTH(AR$2,-1)+1,$C142:$F142)*VLOOKUP(AR$2,Valores!$H$2:$P$154,8,0)</f>
        <v>0</v>
      </c>
      <c r="AS142" s="30" t="n">
        <f aca="false">SUMIF($C$2:$F$2,EOMONTH(AS$2,-1)+1,$C142:$F142)*VLOOKUP(AS$2,Valores!$H$2:$P$154,8,0)</f>
        <v>0</v>
      </c>
      <c r="AT142" s="30" t="n">
        <f aca="false">SUMIF($C$2:$F$2,EOMONTH(AT$2,-1)+1,$C142:$F142)*VLOOKUP(AT$2,Valores!$H$2:$P$154,8,0)</f>
        <v>0</v>
      </c>
      <c r="AU142" s="30" t="n">
        <f aca="false">SUMIF($C$2:$F$2,EOMONTH(AU$2,-1)+1,$C142:$F142)*VLOOKUP(AU$2,Valores!$H$2:$P$154,8,0)</f>
        <v>0</v>
      </c>
      <c r="AV142" s="30" t="n">
        <f aca="false">SUMIF($C$2:$F$2,EOMONTH(AV$2,-1)+1,$C142:$F142)*VLOOKUP(AV$2,Valores!$H$2:$P$154,8,0)</f>
        <v>0</v>
      </c>
      <c r="AW142" s="30" t="n">
        <f aca="false">SUMIF($C$2:$F$2,EOMONTH(AW$2,-1)+1,$C142:$F142)*VLOOKUP(AW$2,Valores!$H$2:$P$154,8,0)</f>
        <v>0</v>
      </c>
      <c r="AX142" s="30" t="n">
        <f aca="false">SUMIF($C$2:$F$2,EOMONTH(AX$2,-1)+1,$C142:$F142)*VLOOKUP(AX$2,Valores!$H$2:$P$154,8,0)</f>
        <v>0</v>
      </c>
      <c r="AY142" s="30" t="n">
        <f aca="false">SUMIF($C$2:$F$2,EOMONTH(AY$2,-1)+1,$C142:$F142)*VLOOKUP(AY$2,Valores!$H$2:$P$154,8,0)</f>
        <v>0</v>
      </c>
      <c r="AZ142" s="30" t="n">
        <f aca="false">SUMIF($C$2:$F$2,EOMONTH(AZ$2,-1)+1,$C142:$F142)*VLOOKUP(AZ$2,Valores!$H$2:$P$154,8,0)</f>
        <v>0</v>
      </c>
      <c r="BA142" s="30" t="n">
        <f aca="false">SUMIF($C$2:$F$2,EOMONTH(BA$2,-1)+1,$C142:$F142)*VLOOKUP(BA$2,Valores!$H$2:$P$154,8,0)</f>
        <v>0</v>
      </c>
      <c r="BB142" s="30" t="n">
        <f aca="false">SUMIF($C$2:$F$2,EOMONTH(BB$2,-1)+1,$C142:$F142)*VLOOKUP(BB$2,Valores!$H$2:$P$154,8,0)</f>
        <v>0</v>
      </c>
      <c r="BC142" s="30" t="n">
        <f aca="false">SUMIF($C$2:$F$2,EOMONTH(BC$2,-1)+1,$C142:$F142)*VLOOKUP(BC$2,Valores!$H$2:$P$154,8,0)</f>
        <v>0</v>
      </c>
      <c r="BD142" s="30" t="n">
        <f aca="false">SUMIF($C$2:$F$2,EOMONTH(BD$2,-1)+1,$C142:$F142)*VLOOKUP(BD$2,Valores!$H$2:$P$154,8,0)</f>
        <v>0</v>
      </c>
      <c r="BE142" s="30" t="n">
        <f aca="false">SUMIF($C$2:$F$2,EOMONTH(BE$2,-1)+1,$C142:$F142)*VLOOKUP(BE$2,Valores!$H$2:$P$154,8,0)</f>
        <v>0</v>
      </c>
      <c r="BF142" s="30" t="n">
        <f aca="false">SUMIF($C$2:$F$2,EOMONTH(BF$2,-1)+1,$C142:$F142)*VLOOKUP(BF$2,Valores!$H$2:$P$154,8,0)</f>
        <v>0</v>
      </c>
      <c r="BG142" s="30" t="n">
        <f aca="false">SUMIF($C$2:$F$2,EOMONTH(BG$2,-1)+1,$C142:$F142)*VLOOKUP(BG$2,Valores!$H$2:$P$154,8,0)</f>
        <v>0</v>
      </c>
      <c r="BH142" s="30" t="n">
        <f aca="false">SUMIF($C$2:$F$2,EOMONTH(BH$2,-1)+1,$C142:$F142)*VLOOKUP(BH$2,Valores!$H$2:$P$154,8,0)</f>
        <v>0</v>
      </c>
      <c r="BI142" s="30" t="n">
        <f aca="false">SUMIF($C$2:$F$2,EOMONTH(BI$2,-1)+1,$C142:$F142)*VLOOKUP(BI$2,Valores!$H$2:$P$154,8,0)</f>
        <v>0</v>
      </c>
      <c r="BJ142" s="30" t="n">
        <f aca="false">SUMIF($C$2:$F$2,EOMONTH(BJ$2,-1)+1,$C142:$F142)*VLOOKUP(BJ$2,Valores!$H$2:$P$154,8,0)</f>
        <v>0</v>
      </c>
      <c r="BK142" s="30" t="n">
        <f aca="false">SUMIF($C$2:$F$2,EOMONTH(BK$2,-1)+1,$C142:$F142)*VLOOKUP(BK$2,Valores!$H$2:$P$154,8,0)</f>
        <v>0</v>
      </c>
      <c r="BL142" s="30" t="n">
        <f aca="false">SUMIF($C$2:$F$2,EOMONTH(BL$2,-1)+1,$C142:$F142)*VLOOKUP(BL$2,Valores!$H$2:$P$154,8,0)</f>
        <v>0</v>
      </c>
      <c r="BM142" s="30" t="n">
        <f aca="false">SUMIF($C$2:$F$2,EOMONTH(BM$2,-1)+1,$C142:$F142)*VLOOKUP(BM$2,Valores!$H$2:$P$154,8,0)</f>
        <v>0</v>
      </c>
      <c r="BN142" s="30" t="n">
        <f aca="false">SUMIF($C$2:$F$2,EOMONTH(BN$2,-1)+1,$C142:$F142)*VLOOKUP(BN$2,Valores!$H$2:$P$154,8,0)</f>
        <v>0</v>
      </c>
      <c r="BO142" s="30" t="n">
        <f aca="false">SUMIF($C$2:$F$2,EOMONTH(BO$2,-1)+1,$C142:$F142)*VLOOKUP(BO$2,Valores!$H$2:$P$154,8,0)</f>
        <v>0</v>
      </c>
      <c r="BP142" s="30" t="n">
        <f aca="false">SUMIF($C$2:$F$2,EOMONTH(BP$2,-1)+1,$C142:$F142)*VLOOKUP(BP$2,Valores!$H$2:$P$154,8,0)</f>
        <v>0</v>
      </c>
      <c r="BQ142" s="30" t="n">
        <f aca="false">SUMIF($C$2:$F$2,EOMONTH(BQ$2,-1)+1,$C142:$F142)*VLOOKUP(BQ$2,Valores!$H$2:$P$154,8,0)</f>
        <v>0</v>
      </c>
      <c r="BR142" s="30" t="n">
        <f aca="false">SUMIF($C$2:$F$2,EOMONTH(BR$2,-1)+1,$C142:$F142)*VLOOKUP(BR$2,Valores!$H$2:$P$154,8,0)</f>
        <v>0</v>
      </c>
      <c r="BS142" s="30" t="n">
        <f aca="false">SUMIF($C$2:$F$2,EOMONTH(BS$2,-1)+1,$C142:$F142)*VLOOKUP(BS$2,Valores!$H$2:$P$154,8,0)</f>
        <v>0</v>
      </c>
      <c r="BT142" s="30" t="n">
        <f aca="false">SUMIF($C$2:$F$2,EOMONTH(BT$2,-1)+1,$C142:$F142)*VLOOKUP(BT$2,Valores!$H$2:$P$154,8,0)</f>
        <v>0</v>
      </c>
      <c r="BU142" s="30" t="n">
        <f aca="false">SUMIF($C$2:$F$2,EOMONTH(BU$2,-1)+1,$C142:$F142)*VLOOKUP(BU$2,Valores!$H$2:$P$154,8,0)</f>
        <v>0</v>
      </c>
      <c r="BV142" s="30" t="n">
        <f aca="false">SUMIF($C$2:$F$2,EOMONTH(BV$2,-1)+1,$C142:$F142)*VLOOKUP(BV$2,Valores!$H$2:$P$154,8,0)</f>
        <v>0</v>
      </c>
      <c r="BW142" s="30" t="n">
        <f aca="false">SUMIF($C$2:$F$2,EOMONTH(BW$2,-1)+1,$C142:$F142)*VLOOKUP(BW$2,Valores!$H$2:$P$154,8,0)</f>
        <v>0</v>
      </c>
      <c r="BX142" s="30" t="n">
        <f aca="false">SUMIF($C$2:$F$2,EOMONTH(BX$2,-1)+1,$C142:$F142)*VLOOKUP(BX$2,Valores!$H$2:$P$154,8,0)</f>
        <v>0</v>
      </c>
      <c r="BY142" s="30" t="n">
        <f aca="false">SUMIF($C$2:$F$2,EOMONTH(BY$2,-1)+1,$C142:$F142)*VLOOKUP(BY$2,Valores!$H$2:$P$154,8,0)</f>
        <v>0</v>
      </c>
      <c r="BZ142" s="30" t="n">
        <f aca="false">SUMIF($C$2:$F$2,EOMONTH(BZ$2,-1)+1,$C142:$F142)*VLOOKUP(BZ$2,Valores!$H$2:$P$154,8,0)</f>
        <v>0</v>
      </c>
      <c r="CA142" s="30" t="n">
        <f aca="false">SUMIF($C$2:$F$2,EOMONTH(CA$2,-1)+1,$C142:$F142)*VLOOKUP(CA$2,Valores!$H$2:$P$154,8,0)</f>
        <v>0</v>
      </c>
      <c r="CB142" s="30" t="n">
        <f aca="false">SUMIF($C$2:$F$2,EOMONTH(CB$2,-1)+1,$C142:$F142)*VLOOKUP(CB$2,Valores!$H$2:$P$154,8,0)</f>
        <v>0</v>
      </c>
      <c r="CC142" s="30" t="n">
        <f aca="false">SUMIF($C$2:$F$2,EOMONTH(CC$2,-1)+1,$C142:$F142)*VLOOKUP(CC$2,Valores!$H$2:$P$154,8,0)</f>
        <v>0</v>
      </c>
      <c r="CD142" s="30" t="n">
        <f aca="false">SUMIF($C$2:$F$2,EOMONTH(CD$2,-1)+1,$C142:$F142)*VLOOKUP(CD$2,Valores!$H$2:$P$154,8,0)</f>
        <v>0</v>
      </c>
      <c r="CE142" s="30" t="n">
        <f aca="false">SUMIF($C$2:$F$2,EOMONTH(CE$2,-1)+1,$C142:$F142)*VLOOKUP(CE$2,Valores!$H$2:$P$154,8,0)</f>
        <v>0</v>
      </c>
      <c r="CF142" s="30" t="n">
        <f aca="false">SUMIF($C$2:$F$2,EOMONTH(CF$2,-1)+1,$C142:$F142)*VLOOKUP(CF$2,Valores!$H$2:$P$154,8,0)</f>
        <v>0</v>
      </c>
      <c r="CG142" s="30" t="n">
        <f aca="false">SUMIF($C$2:$F$2,EOMONTH(CG$2,-1)+1,$C142:$F142)*VLOOKUP(CG$2,Valores!$H$2:$P$154,8,0)</f>
        <v>0</v>
      </c>
      <c r="CH142" s="30" t="n">
        <f aca="false">SUMIF($C$2:$F$2,EOMONTH(CH$2,-1)+1,$C142:$F142)*VLOOKUP(CH$2,Valores!$H$2:$P$154,8,0)</f>
        <v>0</v>
      </c>
      <c r="CI142" s="30" t="n">
        <f aca="false">SUMIF($C$2:$F$2,EOMONTH(CI$2,-1)+1,$C142:$F142)*VLOOKUP(CI$2,Valores!$H$2:$P$154,8,0)</f>
        <v>0</v>
      </c>
      <c r="CJ142" s="30" t="n">
        <f aca="false">SUMIF($C$2:$F$2,EOMONTH(CJ$2,-1)+1,$C142:$F142)*VLOOKUP(CJ$2,Valores!$H$2:$P$154,8,0)</f>
        <v>0</v>
      </c>
      <c r="CK142" s="30" t="n">
        <f aca="false">SUMIF($C$2:$F$2,EOMONTH(CK$2,-1)+1,$C142:$F142)*VLOOKUP(CK$2,Valores!$H$2:$P$154,8,0)</f>
        <v>0</v>
      </c>
      <c r="CL142" s="30" t="n">
        <f aca="false">SUMIF($C$2:$F$2,EOMONTH(CL$2,-1)+1,$C142:$F142)*VLOOKUP(CL$2,Valores!$H$2:$P$154,8,0)</f>
        <v>0</v>
      </c>
      <c r="CM142" s="30" t="n">
        <f aca="false">SUMIF($C$2:$F$2,EOMONTH(CM$2,-1)+1,$C142:$F142)*VLOOKUP(CM$2,Valores!$H$2:$P$154,8,0)</f>
        <v>0</v>
      </c>
      <c r="CN142" s="30" t="n">
        <f aca="false">SUMIF($C$2:$F$2,EOMONTH(CN$2,-1)+1,$C142:$F142)*VLOOKUP(CN$2,Valores!$H$2:$P$154,8,0)</f>
        <v>0</v>
      </c>
      <c r="CO142" s="30" t="n">
        <f aca="false">SUMIF($C$2:$F$2,EOMONTH(CO$2,-1)+1,$C142:$F142)*VLOOKUP(CO$2,Valores!$H$2:$P$154,8,0)</f>
        <v>0</v>
      </c>
      <c r="CP142" s="30" t="n">
        <f aca="false">SUMIF($C$2:$F$2,EOMONTH(CP$2,-1)+1,$C142:$F142)*VLOOKUP(CP$2,Valores!$H$2:$P$154,8,0)</f>
        <v>0</v>
      </c>
      <c r="CQ142" s="30" t="n">
        <f aca="false">SUMIF($C$2:$F$2,EOMONTH(CQ$2,-1)+1,$C142:$F142)*VLOOKUP(CQ$2,Valores!$H$2:$P$154,8,0)</f>
        <v>0</v>
      </c>
      <c r="CR142" s="30" t="n">
        <f aca="false">SUMIF($C$2:$F$2,EOMONTH(CR$2,-1)+1,$C142:$F142)*VLOOKUP(CR$2,Valores!$H$2:$P$154,8,0)</f>
        <v>0</v>
      </c>
      <c r="CS142" s="30" t="n">
        <f aca="false">SUMIF($C$2:$F$2,EOMONTH(CS$2,-1)+1,$C142:$F142)*VLOOKUP(CS$2,Valores!$H$2:$P$154,8,0)</f>
        <v>0</v>
      </c>
      <c r="CT142" s="30" t="e">
        <f aca="false">SUMIF($C$2:$F$2,EOMONTH(CT$2,-1)+1,$C142:$F142)*VLOOKUP(CT$2,Valores!$H$2:$P$154,8,0)</f>
        <v>#VALUE!</v>
      </c>
      <c r="CU142" s="30" t="e">
        <f aca="false">SUMIF($C$2:$F$2,EOMONTH(CU$2,-1)+1,$C142:$F142)*VLOOKUP(CU$2,Valores!$H$2:$P$154,8,0)</f>
        <v>#VALUE!</v>
      </c>
      <c r="CV142" s="30" t="e">
        <f aca="false">SUMIF($C$2:$F$2,EOMONTH(CV$2,-1)+1,$C142:$F142)*VLOOKUP(CV$2,Valores!$H$2:$P$154,8,0)</f>
        <v>#VALUE!</v>
      </c>
      <c r="CW142" s="30" t="e">
        <f aca="false">SUMIF($C$2:$F$2,EOMONTH(CW$2,-1)+1,$C142:$F142)*VLOOKUP(CW$2,Valores!$H$2:$P$154,8,0)</f>
        <v>#VALUE!</v>
      </c>
      <c r="CX142" s="30" t="e">
        <f aca="false">SUMIF($C$2:$F$2,EOMONTH(CX$2,-1)+1,$C142:$F142)*VLOOKUP(CX$2,Valores!$H$2:$P$154,8,0)</f>
        <v>#VALUE!</v>
      </c>
      <c r="CY142" s="30" t="e">
        <f aca="false">SUMIF($C$2:$F$2,EOMONTH(CY$2,-1)+1,$C142:$F142)*VLOOKUP(CY$2,Valores!$H$2:$P$154,8,0)</f>
        <v>#VALUE!</v>
      </c>
      <c r="CZ142" s="30" t="e">
        <f aca="false">SUMIF($C$2:$F$2,EOMONTH(CZ$2,-1)+1,$C142:$F142)*VLOOKUP(CZ$2,Valores!$H$2:$P$154,8,0)</f>
        <v>#VALUE!</v>
      </c>
      <c r="DA142" s="30" t="e">
        <f aca="false">SUMIF($C$2:$F$2,EOMONTH(DA$2,-1)+1,$C142:$F142)*VLOOKUP(DA$2,Valores!$H$2:$P$154,8,0)</f>
        <v>#VALUE!</v>
      </c>
      <c r="DB142" s="30" t="e">
        <f aca="false">SUMIF($C$2:$F$2,EOMONTH(DB$2,-1)+1,$C142:$F142)*VLOOKUP(DB$2,Valores!$H$2:$P$154,8,0)</f>
        <v>#VALUE!</v>
      </c>
      <c r="DC142" s="30" t="e">
        <f aca="false">SUMIF($C$2:$F$2,EOMONTH(DC$2,-1)+1,$C142:$F142)*VLOOKUP(DC$2,Valores!$H$2:$P$154,8,0)</f>
        <v>#VALUE!</v>
      </c>
      <c r="DD142" s="30" t="e">
        <f aca="false">SUMIF($C$2:$F$2,EOMONTH(DD$2,-1)+1,$C142:$F142)*VLOOKUP(DD$2,Valores!$H$2:$P$154,8,0)</f>
        <v>#VALUE!</v>
      </c>
      <c r="DE142" s="30" t="e">
        <f aca="false">SUMIF($C$2:$F$2,EOMONTH(DE$2,-1)+1,$C142:$F142)*VLOOKUP(DE$2,Valores!$H$2:$P$154,8,0)</f>
        <v>#VALUE!</v>
      </c>
      <c r="DF142" s="30" t="e">
        <f aca="false">SUMIF($C$2:$F$2,EOMONTH(DF$2,-1)+1,$C142:$F142)*VLOOKUP(DF$2,Valores!$H$2:$P$154,8,0)</f>
        <v>#VALUE!</v>
      </c>
      <c r="DG142" s="30" t="e">
        <f aca="false">SUMIF($C$2:$F$2,EOMONTH(DG$2,-1)+1,$C142:$F142)*VLOOKUP(DG$2,Valores!$H$2:$P$154,8,0)</f>
        <v>#VALUE!</v>
      </c>
      <c r="DH142" s="30" t="e">
        <f aca="false">SUMIF($C$2:$F$2,EOMONTH(DH$2,-1)+1,$C142:$F142)*VLOOKUP(DH$2,Valores!$H$2:$P$154,8,0)</f>
        <v>#VALUE!</v>
      </c>
      <c r="DI142" s="30" t="e">
        <f aca="false">SUMIF($C$2:$F$2,EOMONTH(DI$2,-1)+1,$C142:$F142)*VLOOKUP(DI$2,Valores!$H$2:$P$154,8,0)</f>
        <v>#VALUE!</v>
      </c>
      <c r="DJ142" s="30" t="e">
        <f aca="false">SUMIF($C$2:$F$2,EOMONTH(DJ$2,-1)+1,$C142:$F142)*VLOOKUP(DJ$2,Valores!$H$2:$P$154,8,0)</f>
        <v>#VALUE!</v>
      </c>
      <c r="DK142" s="30" t="e">
        <f aca="false">SUMIF($C$2:$F$2,EOMONTH(DK$2,-1)+1,$C142:$F142)*VLOOKUP(DK$2,Valores!$H$2:$P$154,8,0)</f>
        <v>#VALUE!</v>
      </c>
      <c r="DL142" s="30" t="e">
        <f aca="false">SUMIF($C$2:$F$2,EOMONTH(DL$2,-1)+1,$C142:$F142)*VLOOKUP(DL$2,Valores!$H$2:$P$154,8,0)</f>
        <v>#VALUE!</v>
      </c>
      <c r="DM142" s="30" t="e">
        <f aca="false">SUMIF($C$2:$F$2,EOMONTH(DM$2,-1)+1,$C142:$F142)*VLOOKUP(DM$2,Valores!$H$2:$P$154,8,0)</f>
        <v>#VALUE!</v>
      </c>
      <c r="DN142" s="30" t="e">
        <f aca="false">SUMIF($C$2:$F$2,EOMONTH(DN$2,-1)+1,$C142:$F142)*VLOOKUP(DN$2,Valores!$H$2:$P$154,8,0)</f>
        <v>#VALUE!</v>
      </c>
      <c r="DO142" s="30" t="e">
        <f aca="false">SUMIF($C$2:$F$2,EOMONTH(DO$2,-1)+1,$C142:$F142)*VLOOKUP(DO$2,Valores!$H$2:$P$154,8,0)</f>
        <v>#VALUE!</v>
      </c>
      <c r="DP142" s="30" t="e">
        <f aca="false">SUMIF($C$2:$F$2,EOMONTH(DP$2,-1)+1,$C142:$F142)*VLOOKUP(DP$2,Valores!$H$2:$P$154,8,0)</f>
        <v>#VALUE!</v>
      </c>
      <c r="DQ142" s="30" t="e">
        <f aca="false">SUMIF($C$2:$F$2,EOMONTH(DQ$2,-1)+1,$C142:$F142)*VLOOKUP(DQ$2,Valores!$H$2:$P$154,8,0)</f>
        <v>#VALUE!</v>
      </c>
      <c r="DR142" s="30" t="e">
        <f aca="false">SUMIF($C$2:$F$2,EOMONTH(DR$2,-1)+1,$C142:$F142)*VLOOKUP(DR$2,Valores!$H$2:$P$154,8,0)</f>
        <v>#VALUE!</v>
      </c>
      <c r="DS142" s="30" t="e">
        <f aca="false">SUMIF($C$2:$F$2,EOMONTH(DS$2,-1)+1,$C142:$F142)*VLOOKUP(DS$2,Valores!$H$2:$P$154,8,0)</f>
        <v>#VALUE!</v>
      </c>
      <c r="DT142" s="30" t="e">
        <f aca="false">SUMIF($C$2:$F$2,EOMONTH(DT$2,-1)+1,$C142:$F142)*VLOOKUP(DT$2,Valores!$H$2:$P$154,8,0)</f>
        <v>#VALUE!</v>
      </c>
      <c r="DU142" s="30" t="e">
        <f aca="false">SUMIF($C$2:$F$2,EOMONTH(DU$2,-1)+1,$C142:$F142)*VLOOKUP(DU$2,Valores!$H$2:$P$154,8,0)</f>
        <v>#VALUE!</v>
      </c>
      <c r="DV142" s="30" t="e">
        <f aca="false">SUMIF($C$2:$F$2,EOMONTH(DV$2,-1)+1,$C142:$F142)*VLOOKUP(DV$2,Valores!$H$2:$P$154,8,0)</f>
        <v>#VALUE!</v>
      </c>
      <c r="DW142" s="30" t="e">
        <f aca="false">SUMIF($C$2:$F$2,EOMONTH(DW$2,-1)+1,$C142:$F142)*VLOOKUP(DW$2,Valores!$H$2:$P$154,8,0)</f>
        <v>#VALUE!</v>
      </c>
      <c r="DX142" s="30" t="e">
        <f aca="false">SUMIF($C$2:$F$2,EOMONTH(DX$2,-1)+1,$C142:$F142)*VLOOKUP(DX$2,Valores!$H$2:$P$154,8,0)</f>
        <v>#VALUE!</v>
      </c>
    </row>
    <row r="143" customFormat="false" ht="13.8" hidden="false" customHeight="false" outlineLevel="0" collapsed="false">
      <c r="A143" s="31"/>
      <c r="B143" s="31"/>
      <c r="C143" s="31"/>
      <c r="D143" s="31"/>
      <c r="E143" s="31"/>
      <c r="F143" s="31"/>
      <c r="G143" s="27" t="n">
        <f aca="false">SUMIF($C$2:$F$2,EOMONTH(G$2,-1)+1,$C143:$F143)*VLOOKUP(G$2,Valores!$H$2:$P$154,8,0)</f>
        <v>0</v>
      </c>
      <c r="H143" s="27" t="n">
        <f aca="false">SUMIF($C$2:$F$2,EOMONTH(H$2,-1)+1,$C143:$F143)*VLOOKUP(H$2,Valores!$H$2:$P$154,8,0)</f>
        <v>0</v>
      </c>
      <c r="I143" s="27" t="n">
        <f aca="false">SUMIF($C$2:$F$2,EOMONTH(I$2,-1)+1,$C143:$F143)*VLOOKUP(I$2,Valores!$H$2:$P$154,8,0)</f>
        <v>0</v>
      </c>
      <c r="J143" s="27" t="n">
        <f aca="false">SUMIF($C$2:$F$2,EOMONTH(J$2,-1)+1,$C143:$F143)*VLOOKUP(J$2,Valores!$H$2:$P$154,8,0)</f>
        <v>0</v>
      </c>
      <c r="K143" s="27" t="n">
        <f aca="false">SUMIF($C$2:$F$2,EOMONTH(K$2,-1)+1,$C143:$F143)*VLOOKUP(K$2,Valores!$H$2:$P$154,8,0)</f>
        <v>0</v>
      </c>
      <c r="L143" s="27" t="n">
        <f aca="false">SUMIF($C$2:$F$2,EOMONTH(L$2,-1)+1,$C143:$F143)*VLOOKUP(L$2,Valores!$H$2:$P$154,8,0)</f>
        <v>0</v>
      </c>
      <c r="M143" s="27" t="n">
        <f aca="false">SUMIF($C$2:$F$2,EOMONTH(M$2,-1)+1,$C143:$F143)*VLOOKUP(M$2,Valores!$H$2:$P$154,8,0)</f>
        <v>0</v>
      </c>
      <c r="N143" s="27" t="n">
        <f aca="false">SUMIF($C$2:$F$2,EOMONTH(N$2,-1)+1,$C143:$F143)*VLOOKUP(N$2,Valores!$H$2:$P$154,8,0)</f>
        <v>0</v>
      </c>
      <c r="O143" s="27" t="n">
        <f aca="false">SUMIF($C$2:$F$2,EOMONTH(O$2,-1)+1,$C143:$F143)*VLOOKUP(O$2,Valores!$H$2:$P$154,8,0)</f>
        <v>0</v>
      </c>
      <c r="P143" s="27" t="n">
        <f aca="false">SUMIF($C$2:$F$2,EOMONTH(P$2,-1)+1,$C143:$F143)*VLOOKUP(P$2,Valores!$H$2:$P$154,8,0)</f>
        <v>0</v>
      </c>
      <c r="Q143" s="27" t="n">
        <f aca="false">SUMIF($C$2:$F$2,EOMONTH(Q$2,-1)+1,$C143:$F143)*VLOOKUP(Q$2,Valores!$H$2:$P$154,8,0)</f>
        <v>0</v>
      </c>
      <c r="R143" s="27" t="n">
        <f aca="false">SUMIF($C$2:$F$2,EOMONTH(R$2,-1)+1,$C143:$F143)*VLOOKUP(R$2,Valores!$H$2:$P$154,8,0)</f>
        <v>0</v>
      </c>
      <c r="S143" s="27" t="n">
        <f aca="false">SUMIF($C$2:$F$2,EOMONTH(S$2,-1)+1,$C143:$F143)*VLOOKUP(S$2,Valores!$H$2:$P$154,8,0)</f>
        <v>0</v>
      </c>
      <c r="T143" s="27" t="n">
        <f aca="false">SUMIF($C$2:$F$2,EOMONTH(T$2,-1)+1,$C143:$F143)*VLOOKUP(T$2,Valores!$H$2:$P$154,8,0)</f>
        <v>0</v>
      </c>
      <c r="U143" s="27" t="n">
        <f aca="false">SUMIF($C$2:$F$2,EOMONTH(U$2,-1)+1,$C143:$F143)*VLOOKUP(U$2,Valores!$H$2:$P$154,8,0)</f>
        <v>0</v>
      </c>
      <c r="V143" s="27" t="n">
        <f aca="false">SUMIF($C$2:$F$2,EOMONTH(V$2,-1)+1,$C143:$F143)*VLOOKUP(V$2,Valores!$H$2:$P$154,8,0)</f>
        <v>0</v>
      </c>
      <c r="W143" s="27" t="n">
        <f aca="false">SUMIF($C$2:$F$2,EOMONTH(W$2,-1)+1,$C143:$F143)*VLOOKUP(W$2,Valores!$H$2:$P$154,8,0)</f>
        <v>0</v>
      </c>
      <c r="X143" s="27" t="n">
        <f aca="false">SUMIF($C$2:$F$2,EOMONTH(X$2,-1)+1,$C143:$F143)*VLOOKUP(X$2,Valores!$H$2:$P$154,8,0)</f>
        <v>0</v>
      </c>
      <c r="Y143" s="27" t="n">
        <f aca="false">SUMIF($C$2:$F$2,EOMONTH(Y$2,-1)+1,$C143:$F143)*VLOOKUP(Y$2,Valores!$H$2:$P$154,8,0)</f>
        <v>0</v>
      </c>
      <c r="Z143" s="27" t="n">
        <f aca="false">SUMIF($C$2:$F$2,EOMONTH(Z$2,-1)+1,$C143:$F143)*VLOOKUP(Z$2,Valores!$H$2:$P$154,8,0)</f>
        <v>0</v>
      </c>
      <c r="AA143" s="27" t="n">
        <f aca="false">SUMIF($C$2:$F$2,EOMONTH(AA$2,-1)+1,$C143:$F143)*VLOOKUP(AA$2,Valores!$H$2:$P$154,8,0)</f>
        <v>0</v>
      </c>
      <c r="AB143" s="27" t="n">
        <f aca="false">SUMIF($C$2:$F$2,EOMONTH(AB$2,-1)+1,$C143:$F143)*VLOOKUP(AB$2,Valores!$H$2:$P$154,8,0)</f>
        <v>0</v>
      </c>
      <c r="AC143" s="27" t="n">
        <f aca="false">SUMIF($C$2:$F$2,EOMONTH(AC$2,-1)+1,$C143:$F143)*VLOOKUP(AC$2,Valores!$H$2:$P$154,8,0)</f>
        <v>0</v>
      </c>
      <c r="AD143" s="27" t="n">
        <f aca="false">SUMIF($C$2:$F$2,EOMONTH(AD$2,-1)+1,$C143:$F143)*VLOOKUP(AD$2,Valores!$H$2:$P$154,8,0)</f>
        <v>0</v>
      </c>
      <c r="AE143" s="27" t="n">
        <f aca="false">SUMIF($C$2:$F$2,EOMONTH(AE$2,-1)+1,$C143:$F143)*VLOOKUP(AE$2,Valores!$H$2:$P$154,8,0)</f>
        <v>0</v>
      </c>
      <c r="AF143" s="27" t="n">
        <f aca="false">SUMIF($C$2:$F$2,EOMONTH(AF$2,-1)+1,$C143:$F143)*VLOOKUP(AF$2,Valores!$H$2:$P$154,8,0)</f>
        <v>0</v>
      </c>
      <c r="AG143" s="27" t="n">
        <f aca="false">SUMIF($C$2:$F$2,EOMONTH(AG$2,-1)+1,$C143:$F143)*VLOOKUP(AG$2,Valores!$H$2:$P$154,8,0)</f>
        <v>0</v>
      </c>
      <c r="AH143" s="27" t="n">
        <f aca="false">SUMIF($C$2:$F$2,EOMONTH(AH$2,-1)+1,$C143:$F143)*VLOOKUP(AH$2,Valores!$H$2:$P$154,8,0)</f>
        <v>0</v>
      </c>
      <c r="AI143" s="27" t="n">
        <f aca="false">SUMIF($C$2:$F$2,EOMONTH(AI$2,-1)+1,$C143:$F143)*VLOOKUP(AI$2,Valores!$H$2:$P$154,8,0)</f>
        <v>0</v>
      </c>
      <c r="AJ143" s="27" t="n">
        <f aca="false">SUMIF($C$2:$F$2,EOMONTH(AJ$2,-1)+1,$C143:$F143)*VLOOKUP(AJ$2,Valores!$H$2:$P$154,8,0)</f>
        <v>0</v>
      </c>
      <c r="AK143" s="27" t="n">
        <f aca="false">SUMIF($C$2:$F$2,EOMONTH(AK$2,-1)+1,$C143:$F143)*VLOOKUP(AK$2,Valores!$H$2:$P$154,8,0)</f>
        <v>0</v>
      </c>
      <c r="AL143" s="27" t="n">
        <f aca="false">SUMIF($C$2:$F$2,EOMONTH(AL$2,-1)+1,$C143:$F143)*VLOOKUP(AL$2,Valores!$H$2:$P$154,8,0)</f>
        <v>0</v>
      </c>
      <c r="AM143" s="27" t="n">
        <f aca="false">SUMIF($C$2:$F$2,EOMONTH(AM$2,-1)+1,$C143:$F143)*VLOOKUP(AM$2,Valores!$H$2:$P$154,8,0)</f>
        <v>0</v>
      </c>
      <c r="AN143" s="27" t="n">
        <f aca="false">SUMIF($C$2:$F$2,EOMONTH(AN$2,-1)+1,$C143:$F143)*VLOOKUP(AN$2,Valores!$H$2:$P$154,8,0)</f>
        <v>0</v>
      </c>
      <c r="AO143" s="27" t="n">
        <f aca="false">SUMIF($C$2:$F$2,EOMONTH(AO$2,-1)+1,$C143:$F143)*VLOOKUP(AO$2,Valores!$H$2:$P$154,8,0)</f>
        <v>0</v>
      </c>
      <c r="AP143" s="27" t="n">
        <f aca="false">SUMIF($C$2:$F$2,EOMONTH(AP$2,-1)+1,$C143:$F143)*VLOOKUP(AP$2,Valores!$H$2:$P$154,8,0)</f>
        <v>0</v>
      </c>
      <c r="AQ143" s="27" t="n">
        <f aca="false">SUMIF($C$2:$F$2,EOMONTH(AQ$2,-1)+1,$C143:$F143)*VLOOKUP(AQ$2,Valores!$H$2:$P$154,8,0)</f>
        <v>0</v>
      </c>
      <c r="AR143" s="27" t="n">
        <f aca="false">SUMIF($C$2:$F$2,EOMONTH(AR$2,-1)+1,$C143:$F143)*VLOOKUP(AR$2,Valores!$H$2:$P$154,8,0)</f>
        <v>0</v>
      </c>
      <c r="AS143" s="27" t="n">
        <f aca="false">SUMIF($C$2:$F$2,EOMONTH(AS$2,-1)+1,$C143:$F143)*VLOOKUP(AS$2,Valores!$H$2:$P$154,8,0)</f>
        <v>0</v>
      </c>
      <c r="AT143" s="27" t="n">
        <f aca="false">SUMIF($C$2:$F$2,EOMONTH(AT$2,-1)+1,$C143:$F143)*VLOOKUP(AT$2,Valores!$H$2:$P$154,8,0)</f>
        <v>0</v>
      </c>
      <c r="AU143" s="27" t="n">
        <f aca="false">SUMIF($C$2:$F$2,EOMONTH(AU$2,-1)+1,$C143:$F143)*VLOOKUP(AU$2,Valores!$H$2:$P$154,8,0)</f>
        <v>0</v>
      </c>
      <c r="AV143" s="27" t="n">
        <f aca="false">SUMIF($C$2:$F$2,EOMONTH(AV$2,-1)+1,$C143:$F143)*VLOOKUP(AV$2,Valores!$H$2:$P$154,8,0)</f>
        <v>0</v>
      </c>
      <c r="AW143" s="27" t="n">
        <f aca="false">SUMIF($C$2:$F$2,EOMONTH(AW$2,-1)+1,$C143:$F143)*VLOOKUP(AW$2,Valores!$H$2:$P$154,8,0)</f>
        <v>0</v>
      </c>
      <c r="AX143" s="27" t="n">
        <f aca="false">SUMIF($C$2:$F$2,EOMONTH(AX$2,-1)+1,$C143:$F143)*VLOOKUP(AX$2,Valores!$H$2:$P$154,8,0)</f>
        <v>0</v>
      </c>
      <c r="AY143" s="27" t="n">
        <f aca="false">SUMIF($C$2:$F$2,EOMONTH(AY$2,-1)+1,$C143:$F143)*VLOOKUP(AY$2,Valores!$H$2:$P$154,8,0)</f>
        <v>0</v>
      </c>
      <c r="AZ143" s="27" t="n">
        <f aca="false">SUMIF($C$2:$F$2,EOMONTH(AZ$2,-1)+1,$C143:$F143)*VLOOKUP(AZ$2,Valores!$H$2:$P$154,8,0)</f>
        <v>0</v>
      </c>
      <c r="BA143" s="27" t="n">
        <f aca="false">SUMIF($C$2:$F$2,EOMONTH(BA$2,-1)+1,$C143:$F143)*VLOOKUP(BA$2,Valores!$H$2:$P$154,8,0)</f>
        <v>0</v>
      </c>
      <c r="BB143" s="27" t="n">
        <f aca="false">SUMIF($C$2:$F$2,EOMONTH(BB$2,-1)+1,$C143:$F143)*VLOOKUP(BB$2,Valores!$H$2:$P$154,8,0)</f>
        <v>0</v>
      </c>
      <c r="BC143" s="27" t="n">
        <f aca="false">SUMIF($C$2:$F$2,EOMONTH(BC$2,-1)+1,$C143:$F143)*VLOOKUP(BC$2,Valores!$H$2:$P$154,8,0)</f>
        <v>0</v>
      </c>
      <c r="BD143" s="27" t="n">
        <f aca="false">SUMIF($C$2:$F$2,EOMONTH(BD$2,-1)+1,$C143:$F143)*VLOOKUP(BD$2,Valores!$H$2:$P$154,8,0)</f>
        <v>0</v>
      </c>
      <c r="BE143" s="27" t="n">
        <f aca="false">SUMIF($C$2:$F$2,EOMONTH(BE$2,-1)+1,$C143:$F143)*VLOOKUP(BE$2,Valores!$H$2:$P$154,8,0)</f>
        <v>0</v>
      </c>
      <c r="BF143" s="27" t="n">
        <f aca="false">SUMIF($C$2:$F$2,EOMONTH(BF$2,-1)+1,$C143:$F143)*VLOOKUP(BF$2,Valores!$H$2:$P$154,8,0)</f>
        <v>0</v>
      </c>
      <c r="BG143" s="27" t="n">
        <f aca="false">SUMIF($C$2:$F$2,EOMONTH(BG$2,-1)+1,$C143:$F143)*VLOOKUP(BG$2,Valores!$H$2:$P$154,8,0)</f>
        <v>0</v>
      </c>
      <c r="BH143" s="27" t="n">
        <f aca="false">SUMIF($C$2:$F$2,EOMONTH(BH$2,-1)+1,$C143:$F143)*VLOOKUP(BH$2,Valores!$H$2:$P$154,8,0)</f>
        <v>0</v>
      </c>
      <c r="BI143" s="27" t="n">
        <f aca="false">SUMIF($C$2:$F$2,EOMONTH(BI$2,-1)+1,$C143:$F143)*VLOOKUP(BI$2,Valores!$H$2:$P$154,8,0)</f>
        <v>0</v>
      </c>
      <c r="BJ143" s="27" t="n">
        <f aca="false">SUMIF($C$2:$F$2,EOMONTH(BJ$2,-1)+1,$C143:$F143)*VLOOKUP(BJ$2,Valores!$H$2:$P$154,8,0)</f>
        <v>0</v>
      </c>
      <c r="BK143" s="27" t="n">
        <f aca="false">SUMIF($C$2:$F$2,EOMONTH(BK$2,-1)+1,$C143:$F143)*VLOOKUP(BK$2,Valores!$H$2:$P$154,8,0)</f>
        <v>0</v>
      </c>
      <c r="BL143" s="27" t="n">
        <f aca="false">SUMIF($C$2:$F$2,EOMONTH(BL$2,-1)+1,$C143:$F143)*VLOOKUP(BL$2,Valores!$H$2:$P$154,8,0)</f>
        <v>0</v>
      </c>
      <c r="BM143" s="27" t="n">
        <f aca="false">SUMIF($C$2:$F$2,EOMONTH(BM$2,-1)+1,$C143:$F143)*VLOOKUP(BM$2,Valores!$H$2:$P$154,8,0)</f>
        <v>0</v>
      </c>
      <c r="BN143" s="27" t="n">
        <f aca="false">SUMIF($C$2:$F$2,EOMONTH(BN$2,-1)+1,$C143:$F143)*VLOOKUP(BN$2,Valores!$H$2:$P$154,8,0)</f>
        <v>0</v>
      </c>
      <c r="BO143" s="27" t="n">
        <f aca="false">SUMIF($C$2:$F$2,EOMONTH(BO$2,-1)+1,$C143:$F143)*VLOOKUP(BO$2,Valores!$H$2:$P$154,8,0)</f>
        <v>0</v>
      </c>
      <c r="BP143" s="27" t="n">
        <f aca="false">SUMIF($C$2:$F$2,EOMONTH(BP$2,-1)+1,$C143:$F143)*VLOOKUP(BP$2,Valores!$H$2:$P$154,8,0)</f>
        <v>0</v>
      </c>
      <c r="BQ143" s="27" t="n">
        <f aca="false">SUMIF($C$2:$F$2,EOMONTH(BQ$2,-1)+1,$C143:$F143)*VLOOKUP(BQ$2,Valores!$H$2:$P$154,8,0)</f>
        <v>0</v>
      </c>
      <c r="BR143" s="27" t="n">
        <f aca="false">SUMIF($C$2:$F$2,EOMONTH(BR$2,-1)+1,$C143:$F143)*VLOOKUP(BR$2,Valores!$H$2:$P$154,8,0)</f>
        <v>0</v>
      </c>
      <c r="BS143" s="27" t="n">
        <f aca="false">SUMIF($C$2:$F$2,EOMONTH(BS$2,-1)+1,$C143:$F143)*VLOOKUP(BS$2,Valores!$H$2:$P$154,8,0)</f>
        <v>0</v>
      </c>
      <c r="BT143" s="27" t="n">
        <f aca="false">SUMIF($C$2:$F$2,EOMONTH(BT$2,-1)+1,$C143:$F143)*VLOOKUP(BT$2,Valores!$H$2:$P$154,8,0)</f>
        <v>0</v>
      </c>
      <c r="BU143" s="27" t="n">
        <f aca="false">SUMIF($C$2:$F$2,EOMONTH(BU$2,-1)+1,$C143:$F143)*VLOOKUP(BU$2,Valores!$H$2:$P$154,8,0)</f>
        <v>0</v>
      </c>
      <c r="BV143" s="27" t="n">
        <f aca="false">SUMIF($C$2:$F$2,EOMONTH(BV$2,-1)+1,$C143:$F143)*VLOOKUP(BV$2,Valores!$H$2:$P$154,8,0)</f>
        <v>0</v>
      </c>
      <c r="BW143" s="27" t="n">
        <f aca="false">SUMIF($C$2:$F$2,EOMONTH(BW$2,-1)+1,$C143:$F143)*VLOOKUP(BW$2,Valores!$H$2:$P$154,8,0)</f>
        <v>0</v>
      </c>
      <c r="BX143" s="27" t="n">
        <f aca="false">SUMIF($C$2:$F$2,EOMONTH(BX$2,-1)+1,$C143:$F143)*VLOOKUP(BX$2,Valores!$H$2:$P$154,8,0)</f>
        <v>0</v>
      </c>
      <c r="BY143" s="27" t="n">
        <f aca="false">SUMIF($C$2:$F$2,EOMONTH(BY$2,-1)+1,$C143:$F143)*VLOOKUP(BY$2,Valores!$H$2:$P$154,8,0)</f>
        <v>0</v>
      </c>
      <c r="BZ143" s="27" t="n">
        <f aca="false">SUMIF($C$2:$F$2,EOMONTH(BZ$2,-1)+1,$C143:$F143)*VLOOKUP(BZ$2,Valores!$H$2:$P$154,8,0)</f>
        <v>0</v>
      </c>
      <c r="CA143" s="27" t="n">
        <f aca="false">SUMIF($C$2:$F$2,EOMONTH(CA$2,-1)+1,$C143:$F143)*VLOOKUP(CA$2,Valores!$H$2:$P$154,8,0)</f>
        <v>0</v>
      </c>
      <c r="CB143" s="27" t="n">
        <f aca="false">SUMIF($C$2:$F$2,EOMONTH(CB$2,-1)+1,$C143:$F143)*VLOOKUP(CB$2,Valores!$H$2:$P$154,8,0)</f>
        <v>0</v>
      </c>
      <c r="CC143" s="27" t="n">
        <f aca="false">SUMIF($C$2:$F$2,EOMONTH(CC$2,-1)+1,$C143:$F143)*VLOOKUP(CC$2,Valores!$H$2:$P$154,8,0)</f>
        <v>0</v>
      </c>
      <c r="CD143" s="27" t="n">
        <f aca="false">SUMIF($C$2:$F$2,EOMONTH(CD$2,-1)+1,$C143:$F143)*VLOOKUP(CD$2,Valores!$H$2:$P$154,8,0)</f>
        <v>0</v>
      </c>
      <c r="CE143" s="27" t="n">
        <f aca="false">SUMIF($C$2:$F$2,EOMONTH(CE$2,-1)+1,$C143:$F143)*VLOOKUP(CE$2,Valores!$H$2:$P$154,8,0)</f>
        <v>0</v>
      </c>
      <c r="CF143" s="27" t="n">
        <f aca="false">SUMIF($C$2:$F$2,EOMONTH(CF$2,-1)+1,$C143:$F143)*VLOOKUP(CF$2,Valores!$H$2:$P$154,8,0)</f>
        <v>0</v>
      </c>
      <c r="CG143" s="27" t="n">
        <f aca="false">SUMIF($C$2:$F$2,EOMONTH(CG$2,-1)+1,$C143:$F143)*VLOOKUP(CG$2,Valores!$H$2:$P$154,8,0)</f>
        <v>0</v>
      </c>
      <c r="CH143" s="27" t="n">
        <f aca="false">SUMIF($C$2:$F$2,EOMONTH(CH$2,-1)+1,$C143:$F143)*VLOOKUP(CH$2,Valores!$H$2:$P$154,8,0)</f>
        <v>0</v>
      </c>
      <c r="CI143" s="27" t="n">
        <f aca="false">SUMIF($C$2:$F$2,EOMONTH(CI$2,-1)+1,$C143:$F143)*VLOOKUP(CI$2,Valores!$H$2:$P$154,8,0)</f>
        <v>0</v>
      </c>
      <c r="CJ143" s="27" t="n">
        <f aca="false">SUMIF($C$2:$F$2,EOMONTH(CJ$2,-1)+1,$C143:$F143)*VLOOKUP(CJ$2,Valores!$H$2:$P$154,8,0)</f>
        <v>0</v>
      </c>
      <c r="CK143" s="27" t="n">
        <f aca="false">SUMIF($C$2:$F$2,EOMONTH(CK$2,-1)+1,$C143:$F143)*VLOOKUP(CK$2,Valores!$H$2:$P$154,8,0)</f>
        <v>0</v>
      </c>
      <c r="CL143" s="27" t="n">
        <f aca="false">SUMIF($C$2:$F$2,EOMONTH(CL$2,-1)+1,$C143:$F143)*VLOOKUP(CL$2,Valores!$H$2:$P$154,8,0)</f>
        <v>0</v>
      </c>
      <c r="CM143" s="27" t="n">
        <f aca="false">SUMIF($C$2:$F$2,EOMONTH(CM$2,-1)+1,$C143:$F143)*VLOOKUP(CM$2,Valores!$H$2:$P$154,8,0)</f>
        <v>0</v>
      </c>
      <c r="CN143" s="27" t="n">
        <f aca="false">SUMIF($C$2:$F$2,EOMONTH(CN$2,-1)+1,$C143:$F143)*VLOOKUP(CN$2,Valores!$H$2:$P$154,8,0)</f>
        <v>0</v>
      </c>
      <c r="CO143" s="27" t="n">
        <f aca="false">SUMIF($C$2:$F$2,EOMONTH(CO$2,-1)+1,$C143:$F143)*VLOOKUP(CO$2,Valores!$H$2:$P$154,8,0)</f>
        <v>0</v>
      </c>
      <c r="CP143" s="27" t="n">
        <f aca="false">SUMIF($C$2:$F$2,EOMONTH(CP$2,-1)+1,$C143:$F143)*VLOOKUP(CP$2,Valores!$H$2:$P$154,8,0)</f>
        <v>0</v>
      </c>
      <c r="CQ143" s="27" t="n">
        <f aca="false">SUMIF($C$2:$F$2,EOMONTH(CQ$2,-1)+1,$C143:$F143)*VLOOKUP(CQ$2,Valores!$H$2:$P$154,8,0)</f>
        <v>0</v>
      </c>
      <c r="CR143" s="27" t="n">
        <f aca="false">SUMIF($C$2:$F$2,EOMONTH(CR$2,-1)+1,$C143:$F143)*VLOOKUP(CR$2,Valores!$H$2:$P$154,8,0)</f>
        <v>0</v>
      </c>
      <c r="CS143" s="27" t="n">
        <f aca="false">SUMIF($C$2:$F$2,EOMONTH(CS$2,-1)+1,$C143:$F143)*VLOOKUP(CS$2,Valores!$H$2:$P$154,8,0)</f>
        <v>0</v>
      </c>
      <c r="CT143" s="27" t="e">
        <f aca="false">SUMIF($C$2:$F$2,EOMONTH(CT$2,-1)+1,$C143:$F143)*VLOOKUP(CT$2,Valores!$H$2:$P$154,8,0)</f>
        <v>#VALUE!</v>
      </c>
      <c r="CU143" s="27" t="e">
        <f aca="false">SUMIF($C$2:$F$2,EOMONTH(CU$2,-1)+1,$C143:$F143)*VLOOKUP(CU$2,Valores!$H$2:$P$154,8,0)</f>
        <v>#VALUE!</v>
      </c>
      <c r="CV143" s="27" t="e">
        <f aca="false">SUMIF($C$2:$F$2,EOMONTH(CV$2,-1)+1,$C143:$F143)*VLOOKUP(CV$2,Valores!$H$2:$P$154,8,0)</f>
        <v>#VALUE!</v>
      </c>
      <c r="CW143" s="27" t="e">
        <f aca="false">SUMIF($C$2:$F$2,EOMONTH(CW$2,-1)+1,$C143:$F143)*VLOOKUP(CW$2,Valores!$H$2:$P$154,8,0)</f>
        <v>#VALUE!</v>
      </c>
      <c r="CX143" s="27" t="e">
        <f aca="false">SUMIF($C$2:$F$2,EOMONTH(CX$2,-1)+1,$C143:$F143)*VLOOKUP(CX$2,Valores!$H$2:$P$154,8,0)</f>
        <v>#VALUE!</v>
      </c>
      <c r="CY143" s="27" t="e">
        <f aca="false">SUMIF($C$2:$F$2,EOMONTH(CY$2,-1)+1,$C143:$F143)*VLOOKUP(CY$2,Valores!$H$2:$P$154,8,0)</f>
        <v>#VALUE!</v>
      </c>
      <c r="CZ143" s="27" t="e">
        <f aca="false">SUMIF($C$2:$F$2,EOMONTH(CZ$2,-1)+1,$C143:$F143)*VLOOKUP(CZ$2,Valores!$H$2:$P$154,8,0)</f>
        <v>#VALUE!</v>
      </c>
      <c r="DA143" s="27" t="e">
        <f aca="false">SUMIF($C$2:$F$2,EOMONTH(DA$2,-1)+1,$C143:$F143)*VLOOKUP(DA$2,Valores!$H$2:$P$154,8,0)</f>
        <v>#VALUE!</v>
      </c>
      <c r="DB143" s="27" t="e">
        <f aca="false">SUMIF($C$2:$F$2,EOMONTH(DB$2,-1)+1,$C143:$F143)*VLOOKUP(DB$2,Valores!$H$2:$P$154,8,0)</f>
        <v>#VALUE!</v>
      </c>
      <c r="DC143" s="27" t="e">
        <f aca="false">SUMIF($C$2:$F$2,EOMONTH(DC$2,-1)+1,$C143:$F143)*VLOOKUP(DC$2,Valores!$H$2:$P$154,8,0)</f>
        <v>#VALUE!</v>
      </c>
      <c r="DD143" s="27" t="e">
        <f aca="false">SUMIF($C$2:$F$2,EOMONTH(DD$2,-1)+1,$C143:$F143)*VLOOKUP(DD$2,Valores!$H$2:$P$154,8,0)</f>
        <v>#VALUE!</v>
      </c>
      <c r="DE143" s="27" t="e">
        <f aca="false">SUMIF($C$2:$F$2,EOMONTH(DE$2,-1)+1,$C143:$F143)*VLOOKUP(DE$2,Valores!$H$2:$P$154,8,0)</f>
        <v>#VALUE!</v>
      </c>
      <c r="DF143" s="27" t="e">
        <f aca="false">SUMIF($C$2:$F$2,EOMONTH(DF$2,-1)+1,$C143:$F143)*VLOOKUP(DF$2,Valores!$H$2:$P$154,8,0)</f>
        <v>#VALUE!</v>
      </c>
      <c r="DG143" s="27" t="e">
        <f aca="false">SUMIF($C$2:$F$2,EOMONTH(DG$2,-1)+1,$C143:$F143)*VLOOKUP(DG$2,Valores!$H$2:$P$154,8,0)</f>
        <v>#VALUE!</v>
      </c>
      <c r="DH143" s="27" t="e">
        <f aca="false">SUMIF($C$2:$F$2,EOMONTH(DH$2,-1)+1,$C143:$F143)*VLOOKUP(DH$2,Valores!$H$2:$P$154,8,0)</f>
        <v>#VALUE!</v>
      </c>
      <c r="DI143" s="27" t="e">
        <f aca="false">SUMIF($C$2:$F$2,EOMONTH(DI$2,-1)+1,$C143:$F143)*VLOOKUP(DI$2,Valores!$H$2:$P$154,8,0)</f>
        <v>#VALUE!</v>
      </c>
      <c r="DJ143" s="27" t="e">
        <f aca="false">SUMIF($C$2:$F$2,EOMONTH(DJ$2,-1)+1,$C143:$F143)*VLOOKUP(DJ$2,Valores!$H$2:$P$154,8,0)</f>
        <v>#VALUE!</v>
      </c>
      <c r="DK143" s="27" t="e">
        <f aca="false">SUMIF($C$2:$F$2,EOMONTH(DK$2,-1)+1,$C143:$F143)*VLOOKUP(DK$2,Valores!$H$2:$P$154,8,0)</f>
        <v>#VALUE!</v>
      </c>
      <c r="DL143" s="27" t="e">
        <f aca="false">SUMIF($C$2:$F$2,EOMONTH(DL$2,-1)+1,$C143:$F143)*VLOOKUP(DL$2,Valores!$H$2:$P$154,8,0)</f>
        <v>#VALUE!</v>
      </c>
      <c r="DM143" s="27" t="e">
        <f aca="false">SUMIF($C$2:$F$2,EOMONTH(DM$2,-1)+1,$C143:$F143)*VLOOKUP(DM$2,Valores!$H$2:$P$154,8,0)</f>
        <v>#VALUE!</v>
      </c>
      <c r="DN143" s="27" t="e">
        <f aca="false">SUMIF($C$2:$F$2,EOMONTH(DN$2,-1)+1,$C143:$F143)*VLOOKUP(DN$2,Valores!$H$2:$P$154,8,0)</f>
        <v>#VALUE!</v>
      </c>
      <c r="DO143" s="27" t="e">
        <f aca="false">SUMIF($C$2:$F$2,EOMONTH(DO$2,-1)+1,$C143:$F143)*VLOOKUP(DO$2,Valores!$H$2:$P$154,8,0)</f>
        <v>#VALUE!</v>
      </c>
      <c r="DP143" s="27" t="e">
        <f aca="false">SUMIF($C$2:$F$2,EOMONTH(DP$2,-1)+1,$C143:$F143)*VLOOKUP(DP$2,Valores!$H$2:$P$154,8,0)</f>
        <v>#VALUE!</v>
      </c>
      <c r="DQ143" s="27" t="e">
        <f aca="false">SUMIF($C$2:$F$2,EOMONTH(DQ$2,-1)+1,$C143:$F143)*VLOOKUP(DQ$2,Valores!$H$2:$P$154,8,0)</f>
        <v>#VALUE!</v>
      </c>
      <c r="DR143" s="27" t="e">
        <f aca="false">SUMIF($C$2:$F$2,EOMONTH(DR$2,-1)+1,$C143:$F143)*VLOOKUP(DR$2,Valores!$H$2:$P$154,8,0)</f>
        <v>#VALUE!</v>
      </c>
      <c r="DS143" s="27" t="e">
        <f aca="false">SUMIF($C$2:$F$2,EOMONTH(DS$2,-1)+1,$C143:$F143)*VLOOKUP(DS$2,Valores!$H$2:$P$154,8,0)</f>
        <v>#VALUE!</v>
      </c>
      <c r="DT143" s="27" t="e">
        <f aca="false">SUMIF($C$2:$F$2,EOMONTH(DT$2,-1)+1,$C143:$F143)*VLOOKUP(DT$2,Valores!$H$2:$P$154,8,0)</f>
        <v>#VALUE!</v>
      </c>
      <c r="DU143" s="27" t="e">
        <f aca="false">SUMIF($C$2:$F$2,EOMONTH(DU$2,-1)+1,$C143:$F143)*VLOOKUP(DU$2,Valores!$H$2:$P$154,8,0)</f>
        <v>#VALUE!</v>
      </c>
      <c r="DV143" s="27" t="e">
        <f aca="false">SUMIF($C$2:$F$2,EOMONTH(DV$2,-1)+1,$C143:$F143)*VLOOKUP(DV$2,Valores!$H$2:$P$154,8,0)</f>
        <v>#VALUE!</v>
      </c>
      <c r="DW143" s="27" t="e">
        <f aca="false">SUMIF($C$2:$F$2,EOMONTH(DW$2,-1)+1,$C143:$F143)*VLOOKUP(DW$2,Valores!$H$2:$P$154,8,0)</f>
        <v>#VALUE!</v>
      </c>
      <c r="DX143" s="27" t="e">
        <f aca="false">SUMIF($C$2:$F$2,EOMONTH(DX$2,-1)+1,$C143:$F143)*VLOOKUP(DX$2,Valores!$H$2:$P$154,8,0)</f>
        <v>#VALUE!</v>
      </c>
    </row>
    <row r="144" customFormat="false" ht="13.8" hidden="false" customHeight="false" outlineLevel="0" collapsed="false">
      <c r="A144" s="29"/>
      <c r="B144" s="29"/>
      <c r="C144" s="29"/>
      <c r="D144" s="29"/>
      <c r="E144" s="29"/>
      <c r="F144" s="29"/>
      <c r="G144" s="30" t="n">
        <f aca="false">SUMIF($C$2:$F$2,EOMONTH(G$2,-1)+1,$C144:$F144)*VLOOKUP(G$2,Valores!$H$2:$P$154,8,0)</f>
        <v>0</v>
      </c>
      <c r="H144" s="30" t="n">
        <f aca="false">SUMIF($C$2:$F$2,EOMONTH(H$2,-1)+1,$C144:$F144)*VLOOKUP(H$2,Valores!$H$2:$P$154,8,0)</f>
        <v>0</v>
      </c>
      <c r="I144" s="30" t="n">
        <f aca="false">SUMIF($C$2:$F$2,EOMONTH(I$2,-1)+1,$C144:$F144)*VLOOKUP(I$2,Valores!$H$2:$P$154,8,0)</f>
        <v>0</v>
      </c>
      <c r="J144" s="30" t="n">
        <f aca="false">SUMIF($C$2:$F$2,EOMONTH(J$2,-1)+1,$C144:$F144)*VLOOKUP(J$2,Valores!$H$2:$P$154,8,0)</f>
        <v>0</v>
      </c>
      <c r="K144" s="30" t="n">
        <f aca="false">SUMIF($C$2:$F$2,EOMONTH(K$2,-1)+1,$C144:$F144)*VLOOKUP(K$2,Valores!$H$2:$P$154,8,0)</f>
        <v>0</v>
      </c>
      <c r="L144" s="30" t="n">
        <f aca="false">SUMIF($C$2:$F$2,EOMONTH(L$2,-1)+1,$C144:$F144)*VLOOKUP(L$2,Valores!$H$2:$P$154,8,0)</f>
        <v>0</v>
      </c>
      <c r="M144" s="30" t="n">
        <f aca="false">SUMIF($C$2:$F$2,EOMONTH(M$2,-1)+1,$C144:$F144)*VLOOKUP(M$2,Valores!$H$2:$P$154,8,0)</f>
        <v>0</v>
      </c>
      <c r="N144" s="30" t="n">
        <f aca="false">SUMIF($C$2:$F$2,EOMONTH(N$2,-1)+1,$C144:$F144)*VLOOKUP(N$2,Valores!$H$2:$P$154,8,0)</f>
        <v>0</v>
      </c>
      <c r="O144" s="30" t="n">
        <f aca="false">SUMIF($C$2:$F$2,EOMONTH(O$2,-1)+1,$C144:$F144)*VLOOKUP(O$2,Valores!$H$2:$P$154,8,0)</f>
        <v>0</v>
      </c>
      <c r="P144" s="30" t="n">
        <f aca="false">SUMIF($C$2:$F$2,EOMONTH(P$2,-1)+1,$C144:$F144)*VLOOKUP(P$2,Valores!$H$2:$P$154,8,0)</f>
        <v>0</v>
      </c>
      <c r="Q144" s="30" t="n">
        <f aca="false">SUMIF($C$2:$F$2,EOMONTH(Q$2,-1)+1,$C144:$F144)*VLOOKUP(Q$2,Valores!$H$2:$P$154,8,0)</f>
        <v>0</v>
      </c>
      <c r="R144" s="30" t="n">
        <f aca="false">SUMIF($C$2:$F$2,EOMONTH(R$2,-1)+1,$C144:$F144)*VLOOKUP(R$2,Valores!$H$2:$P$154,8,0)</f>
        <v>0</v>
      </c>
      <c r="S144" s="30" t="n">
        <f aca="false">SUMIF($C$2:$F$2,EOMONTH(S$2,-1)+1,$C144:$F144)*VLOOKUP(S$2,Valores!$H$2:$P$154,8,0)</f>
        <v>0</v>
      </c>
      <c r="T144" s="30" t="n">
        <f aca="false">SUMIF($C$2:$F$2,EOMONTH(T$2,-1)+1,$C144:$F144)*VLOOKUP(T$2,Valores!$H$2:$P$154,8,0)</f>
        <v>0</v>
      </c>
      <c r="U144" s="30" t="n">
        <f aca="false">SUMIF($C$2:$F$2,EOMONTH(U$2,-1)+1,$C144:$F144)*VLOOKUP(U$2,Valores!$H$2:$P$154,8,0)</f>
        <v>0</v>
      </c>
      <c r="V144" s="30" t="n">
        <f aca="false">SUMIF($C$2:$F$2,EOMONTH(V$2,-1)+1,$C144:$F144)*VLOOKUP(V$2,Valores!$H$2:$P$154,8,0)</f>
        <v>0</v>
      </c>
      <c r="W144" s="30" t="n">
        <f aca="false">SUMIF($C$2:$F$2,EOMONTH(W$2,-1)+1,$C144:$F144)*VLOOKUP(W$2,Valores!$H$2:$P$154,8,0)</f>
        <v>0</v>
      </c>
      <c r="X144" s="30" t="n">
        <f aca="false">SUMIF($C$2:$F$2,EOMONTH(X$2,-1)+1,$C144:$F144)*VLOOKUP(X$2,Valores!$H$2:$P$154,8,0)</f>
        <v>0</v>
      </c>
      <c r="Y144" s="30" t="n">
        <f aca="false">SUMIF($C$2:$F$2,EOMONTH(Y$2,-1)+1,$C144:$F144)*VLOOKUP(Y$2,Valores!$H$2:$P$154,8,0)</f>
        <v>0</v>
      </c>
      <c r="Z144" s="30" t="n">
        <f aca="false">SUMIF($C$2:$F$2,EOMONTH(Z$2,-1)+1,$C144:$F144)*VLOOKUP(Z$2,Valores!$H$2:$P$154,8,0)</f>
        <v>0</v>
      </c>
      <c r="AA144" s="30" t="n">
        <f aca="false">SUMIF($C$2:$F$2,EOMONTH(AA$2,-1)+1,$C144:$F144)*VLOOKUP(AA$2,Valores!$H$2:$P$154,8,0)</f>
        <v>0</v>
      </c>
      <c r="AB144" s="30" t="n">
        <f aca="false">SUMIF($C$2:$F$2,EOMONTH(AB$2,-1)+1,$C144:$F144)*VLOOKUP(AB$2,Valores!$H$2:$P$154,8,0)</f>
        <v>0</v>
      </c>
      <c r="AC144" s="30" t="n">
        <f aca="false">SUMIF($C$2:$F$2,EOMONTH(AC$2,-1)+1,$C144:$F144)*VLOOKUP(AC$2,Valores!$H$2:$P$154,8,0)</f>
        <v>0</v>
      </c>
      <c r="AD144" s="30" t="n">
        <f aca="false">SUMIF($C$2:$F$2,EOMONTH(AD$2,-1)+1,$C144:$F144)*VLOOKUP(AD$2,Valores!$H$2:$P$154,8,0)</f>
        <v>0</v>
      </c>
      <c r="AE144" s="30" t="n">
        <f aca="false">SUMIF($C$2:$F$2,EOMONTH(AE$2,-1)+1,$C144:$F144)*VLOOKUP(AE$2,Valores!$H$2:$P$154,8,0)</f>
        <v>0</v>
      </c>
      <c r="AF144" s="30" t="n">
        <f aca="false">SUMIF($C$2:$F$2,EOMONTH(AF$2,-1)+1,$C144:$F144)*VLOOKUP(AF$2,Valores!$H$2:$P$154,8,0)</f>
        <v>0</v>
      </c>
      <c r="AG144" s="30" t="n">
        <f aca="false">SUMIF($C$2:$F$2,EOMONTH(AG$2,-1)+1,$C144:$F144)*VLOOKUP(AG$2,Valores!$H$2:$P$154,8,0)</f>
        <v>0</v>
      </c>
      <c r="AH144" s="30" t="n">
        <f aca="false">SUMIF($C$2:$F$2,EOMONTH(AH$2,-1)+1,$C144:$F144)*VLOOKUP(AH$2,Valores!$H$2:$P$154,8,0)</f>
        <v>0</v>
      </c>
      <c r="AI144" s="30" t="n">
        <f aca="false">SUMIF($C$2:$F$2,EOMONTH(AI$2,-1)+1,$C144:$F144)*VLOOKUP(AI$2,Valores!$H$2:$P$154,8,0)</f>
        <v>0</v>
      </c>
      <c r="AJ144" s="30" t="n">
        <f aca="false">SUMIF($C$2:$F$2,EOMONTH(AJ$2,-1)+1,$C144:$F144)*VLOOKUP(AJ$2,Valores!$H$2:$P$154,8,0)</f>
        <v>0</v>
      </c>
      <c r="AK144" s="30" t="n">
        <f aca="false">SUMIF($C$2:$F$2,EOMONTH(AK$2,-1)+1,$C144:$F144)*VLOOKUP(AK$2,Valores!$H$2:$P$154,8,0)</f>
        <v>0</v>
      </c>
      <c r="AL144" s="30" t="n">
        <f aca="false">SUMIF($C$2:$F$2,EOMONTH(AL$2,-1)+1,$C144:$F144)*VLOOKUP(AL$2,Valores!$H$2:$P$154,8,0)</f>
        <v>0</v>
      </c>
      <c r="AM144" s="30" t="n">
        <f aca="false">SUMIF($C$2:$F$2,EOMONTH(AM$2,-1)+1,$C144:$F144)*VLOOKUP(AM$2,Valores!$H$2:$P$154,8,0)</f>
        <v>0</v>
      </c>
      <c r="AN144" s="30" t="n">
        <f aca="false">SUMIF($C$2:$F$2,EOMONTH(AN$2,-1)+1,$C144:$F144)*VLOOKUP(AN$2,Valores!$H$2:$P$154,8,0)</f>
        <v>0</v>
      </c>
      <c r="AO144" s="30" t="n">
        <f aca="false">SUMIF($C$2:$F$2,EOMONTH(AO$2,-1)+1,$C144:$F144)*VLOOKUP(AO$2,Valores!$H$2:$P$154,8,0)</f>
        <v>0</v>
      </c>
      <c r="AP144" s="30" t="n">
        <f aca="false">SUMIF($C$2:$F$2,EOMONTH(AP$2,-1)+1,$C144:$F144)*VLOOKUP(AP$2,Valores!$H$2:$P$154,8,0)</f>
        <v>0</v>
      </c>
      <c r="AQ144" s="30" t="n">
        <f aca="false">SUMIF($C$2:$F$2,EOMONTH(AQ$2,-1)+1,$C144:$F144)*VLOOKUP(AQ$2,Valores!$H$2:$P$154,8,0)</f>
        <v>0</v>
      </c>
      <c r="AR144" s="30" t="n">
        <f aca="false">SUMIF($C$2:$F$2,EOMONTH(AR$2,-1)+1,$C144:$F144)*VLOOKUP(AR$2,Valores!$H$2:$P$154,8,0)</f>
        <v>0</v>
      </c>
      <c r="AS144" s="30" t="n">
        <f aca="false">SUMIF($C$2:$F$2,EOMONTH(AS$2,-1)+1,$C144:$F144)*VLOOKUP(AS$2,Valores!$H$2:$P$154,8,0)</f>
        <v>0</v>
      </c>
      <c r="AT144" s="30" t="n">
        <f aca="false">SUMIF($C$2:$F$2,EOMONTH(AT$2,-1)+1,$C144:$F144)*VLOOKUP(AT$2,Valores!$H$2:$P$154,8,0)</f>
        <v>0</v>
      </c>
      <c r="AU144" s="30" t="n">
        <f aca="false">SUMIF($C$2:$F$2,EOMONTH(AU$2,-1)+1,$C144:$F144)*VLOOKUP(AU$2,Valores!$H$2:$P$154,8,0)</f>
        <v>0</v>
      </c>
      <c r="AV144" s="30" t="n">
        <f aca="false">SUMIF($C$2:$F$2,EOMONTH(AV$2,-1)+1,$C144:$F144)*VLOOKUP(AV$2,Valores!$H$2:$P$154,8,0)</f>
        <v>0</v>
      </c>
      <c r="AW144" s="30" t="n">
        <f aca="false">SUMIF($C$2:$F$2,EOMONTH(AW$2,-1)+1,$C144:$F144)*VLOOKUP(AW$2,Valores!$H$2:$P$154,8,0)</f>
        <v>0</v>
      </c>
      <c r="AX144" s="30" t="n">
        <f aca="false">SUMIF($C$2:$F$2,EOMONTH(AX$2,-1)+1,$C144:$F144)*VLOOKUP(AX$2,Valores!$H$2:$P$154,8,0)</f>
        <v>0</v>
      </c>
      <c r="AY144" s="30" t="n">
        <f aca="false">SUMIF($C$2:$F$2,EOMONTH(AY$2,-1)+1,$C144:$F144)*VLOOKUP(AY$2,Valores!$H$2:$P$154,8,0)</f>
        <v>0</v>
      </c>
      <c r="AZ144" s="30" t="n">
        <f aca="false">SUMIF($C$2:$F$2,EOMONTH(AZ$2,-1)+1,$C144:$F144)*VLOOKUP(AZ$2,Valores!$H$2:$P$154,8,0)</f>
        <v>0</v>
      </c>
      <c r="BA144" s="30" t="n">
        <f aca="false">SUMIF($C$2:$F$2,EOMONTH(BA$2,-1)+1,$C144:$F144)*VLOOKUP(BA$2,Valores!$H$2:$P$154,8,0)</f>
        <v>0</v>
      </c>
      <c r="BB144" s="30" t="n">
        <f aca="false">SUMIF($C$2:$F$2,EOMONTH(BB$2,-1)+1,$C144:$F144)*VLOOKUP(BB$2,Valores!$H$2:$P$154,8,0)</f>
        <v>0</v>
      </c>
      <c r="BC144" s="30" t="n">
        <f aca="false">SUMIF($C$2:$F$2,EOMONTH(BC$2,-1)+1,$C144:$F144)*VLOOKUP(BC$2,Valores!$H$2:$P$154,8,0)</f>
        <v>0</v>
      </c>
      <c r="BD144" s="30" t="n">
        <f aca="false">SUMIF($C$2:$F$2,EOMONTH(BD$2,-1)+1,$C144:$F144)*VLOOKUP(BD$2,Valores!$H$2:$P$154,8,0)</f>
        <v>0</v>
      </c>
      <c r="BE144" s="30" t="n">
        <f aca="false">SUMIF($C$2:$F$2,EOMONTH(BE$2,-1)+1,$C144:$F144)*VLOOKUP(BE$2,Valores!$H$2:$P$154,8,0)</f>
        <v>0</v>
      </c>
      <c r="BF144" s="30" t="n">
        <f aca="false">SUMIF($C$2:$F$2,EOMONTH(BF$2,-1)+1,$C144:$F144)*VLOOKUP(BF$2,Valores!$H$2:$P$154,8,0)</f>
        <v>0</v>
      </c>
      <c r="BG144" s="30" t="n">
        <f aca="false">SUMIF($C$2:$F$2,EOMONTH(BG$2,-1)+1,$C144:$F144)*VLOOKUP(BG$2,Valores!$H$2:$P$154,8,0)</f>
        <v>0</v>
      </c>
      <c r="BH144" s="30" t="n">
        <f aca="false">SUMIF($C$2:$F$2,EOMONTH(BH$2,-1)+1,$C144:$F144)*VLOOKUP(BH$2,Valores!$H$2:$P$154,8,0)</f>
        <v>0</v>
      </c>
      <c r="BI144" s="30" t="n">
        <f aca="false">SUMIF($C$2:$F$2,EOMONTH(BI$2,-1)+1,$C144:$F144)*VLOOKUP(BI$2,Valores!$H$2:$P$154,8,0)</f>
        <v>0</v>
      </c>
      <c r="BJ144" s="30" t="n">
        <f aca="false">SUMIF($C$2:$F$2,EOMONTH(BJ$2,-1)+1,$C144:$F144)*VLOOKUP(BJ$2,Valores!$H$2:$P$154,8,0)</f>
        <v>0</v>
      </c>
      <c r="BK144" s="30" t="n">
        <f aca="false">SUMIF($C$2:$F$2,EOMONTH(BK$2,-1)+1,$C144:$F144)*VLOOKUP(BK$2,Valores!$H$2:$P$154,8,0)</f>
        <v>0</v>
      </c>
      <c r="BL144" s="30" t="n">
        <f aca="false">SUMIF($C$2:$F$2,EOMONTH(BL$2,-1)+1,$C144:$F144)*VLOOKUP(BL$2,Valores!$H$2:$P$154,8,0)</f>
        <v>0</v>
      </c>
      <c r="BM144" s="30" t="n">
        <f aca="false">SUMIF($C$2:$F$2,EOMONTH(BM$2,-1)+1,$C144:$F144)*VLOOKUP(BM$2,Valores!$H$2:$P$154,8,0)</f>
        <v>0</v>
      </c>
      <c r="BN144" s="30" t="n">
        <f aca="false">SUMIF($C$2:$F$2,EOMONTH(BN$2,-1)+1,$C144:$F144)*VLOOKUP(BN$2,Valores!$H$2:$P$154,8,0)</f>
        <v>0</v>
      </c>
      <c r="BO144" s="30" t="n">
        <f aca="false">SUMIF($C$2:$F$2,EOMONTH(BO$2,-1)+1,$C144:$F144)*VLOOKUP(BO$2,Valores!$H$2:$P$154,8,0)</f>
        <v>0</v>
      </c>
      <c r="BP144" s="30" t="n">
        <f aca="false">SUMIF($C$2:$F$2,EOMONTH(BP$2,-1)+1,$C144:$F144)*VLOOKUP(BP$2,Valores!$H$2:$P$154,8,0)</f>
        <v>0</v>
      </c>
      <c r="BQ144" s="30" t="n">
        <f aca="false">SUMIF($C$2:$F$2,EOMONTH(BQ$2,-1)+1,$C144:$F144)*VLOOKUP(BQ$2,Valores!$H$2:$P$154,8,0)</f>
        <v>0</v>
      </c>
      <c r="BR144" s="30" t="n">
        <f aca="false">SUMIF($C$2:$F$2,EOMONTH(BR$2,-1)+1,$C144:$F144)*VLOOKUP(BR$2,Valores!$H$2:$P$154,8,0)</f>
        <v>0</v>
      </c>
      <c r="BS144" s="30" t="n">
        <f aca="false">SUMIF($C$2:$F$2,EOMONTH(BS$2,-1)+1,$C144:$F144)*VLOOKUP(BS$2,Valores!$H$2:$P$154,8,0)</f>
        <v>0</v>
      </c>
      <c r="BT144" s="30" t="n">
        <f aca="false">SUMIF($C$2:$F$2,EOMONTH(BT$2,-1)+1,$C144:$F144)*VLOOKUP(BT$2,Valores!$H$2:$P$154,8,0)</f>
        <v>0</v>
      </c>
      <c r="BU144" s="30" t="n">
        <f aca="false">SUMIF($C$2:$F$2,EOMONTH(BU$2,-1)+1,$C144:$F144)*VLOOKUP(BU$2,Valores!$H$2:$P$154,8,0)</f>
        <v>0</v>
      </c>
      <c r="BV144" s="30" t="n">
        <f aca="false">SUMIF($C$2:$F$2,EOMONTH(BV$2,-1)+1,$C144:$F144)*VLOOKUP(BV$2,Valores!$H$2:$P$154,8,0)</f>
        <v>0</v>
      </c>
      <c r="BW144" s="30" t="n">
        <f aca="false">SUMIF($C$2:$F$2,EOMONTH(BW$2,-1)+1,$C144:$F144)*VLOOKUP(BW$2,Valores!$H$2:$P$154,8,0)</f>
        <v>0</v>
      </c>
      <c r="BX144" s="30" t="n">
        <f aca="false">SUMIF($C$2:$F$2,EOMONTH(BX$2,-1)+1,$C144:$F144)*VLOOKUP(BX$2,Valores!$H$2:$P$154,8,0)</f>
        <v>0</v>
      </c>
      <c r="BY144" s="30" t="n">
        <f aca="false">SUMIF($C$2:$F$2,EOMONTH(BY$2,-1)+1,$C144:$F144)*VLOOKUP(BY$2,Valores!$H$2:$P$154,8,0)</f>
        <v>0</v>
      </c>
      <c r="BZ144" s="30" t="n">
        <f aca="false">SUMIF($C$2:$F$2,EOMONTH(BZ$2,-1)+1,$C144:$F144)*VLOOKUP(BZ$2,Valores!$H$2:$P$154,8,0)</f>
        <v>0</v>
      </c>
      <c r="CA144" s="30" t="n">
        <f aca="false">SUMIF($C$2:$F$2,EOMONTH(CA$2,-1)+1,$C144:$F144)*VLOOKUP(CA$2,Valores!$H$2:$P$154,8,0)</f>
        <v>0</v>
      </c>
      <c r="CB144" s="30" t="n">
        <f aca="false">SUMIF($C$2:$F$2,EOMONTH(CB$2,-1)+1,$C144:$F144)*VLOOKUP(CB$2,Valores!$H$2:$P$154,8,0)</f>
        <v>0</v>
      </c>
      <c r="CC144" s="30" t="n">
        <f aca="false">SUMIF($C$2:$F$2,EOMONTH(CC$2,-1)+1,$C144:$F144)*VLOOKUP(CC$2,Valores!$H$2:$P$154,8,0)</f>
        <v>0</v>
      </c>
      <c r="CD144" s="30" t="n">
        <f aca="false">SUMIF($C$2:$F$2,EOMONTH(CD$2,-1)+1,$C144:$F144)*VLOOKUP(CD$2,Valores!$H$2:$P$154,8,0)</f>
        <v>0</v>
      </c>
      <c r="CE144" s="30" t="n">
        <f aca="false">SUMIF($C$2:$F$2,EOMONTH(CE$2,-1)+1,$C144:$F144)*VLOOKUP(CE$2,Valores!$H$2:$P$154,8,0)</f>
        <v>0</v>
      </c>
      <c r="CF144" s="30" t="n">
        <f aca="false">SUMIF($C$2:$F$2,EOMONTH(CF$2,-1)+1,$C144:$F144)*VLOOKUP(CF$2,Valores!$H$2:$P$154,8,0)</f>
        <v>0</v>
      </c>
      <c r="CG144" s="30" t="n">
        <f aca="false">SUMIF($C$2:$F$2,EOMONTH(CG$2,-1)+1,$C144:$F144)*VLOOKUP(CG$2,Valores!$H$2:$P$154,8,0)</f>
        <v>0</v>
      </c>
      <c r="CH144" s="30" t="n">
        <f aca="false">SUMIF($C$2:$F$2,EOMONTH(CH$2,-1)+1,$C144:$F144)*VLOOKUP(CH$2,Valores!$H$2:$P$154,8,0)</f>
        <v>0</v>
      </c>
      <c r="CI144" s="30" t="n">
        <f aca="false">SUMIF($C$2:$F$2,EOMONTH(CI$2,-1)+1,$C144:$F144)*VLOOKUP(CI$2,Valores!$H$2:$P$154,8,0)</f>
        <v>0</v>
      </c>
      <c r="CJ144" s="30" t="n">
        <f aca="false">SUMIF($C$2:$F$2,EOMONTH(CJ$2,-1)+1,$C144:$F144)*VLOOKUP(CJ$2,Valores!$H$2:$P$154,8,0)</f>
        <v>0</v>
      </c>
      <c r="CK144" s="30" t="n">
        <f aca="false">SUMIF($C$2:$F$2,EOMONTH(CK$2,-1)+1,$C144:$F144)*VLOOKUP(CK$2,Valores!$H$2:$P$154,8,0)</f>
        <v>0</v>
      </c>
      <c r="CL144" s="30" t="n">
        <f aca="false">SUMIF($C$2:$F$2,EOMONTH(CL$2,-1)+1,$C144:$F144)*VLOOKUP(CL$2,Valores!$H$2:$P$154,8,0)</f>
        <v>0</v>
      </c>
      <c r="CM144" s="30" t="n">
        <f aca="false">SUMIF($C$2:$F$2,EOMONTH(CM$2,-1)+1,$C144:$F144)*VLOOKUP(CM$2,Valores!$H$2:$P$154,8,0)</f>
        <v>0</v>
      </c>
      <c r="CN144" s="30" t="n">
        <f aca="false">SUMIF($C$2:$F$2,EOMONTH(CN$2,-1)+1,$C144:$F144)*VLOOKUP(CN$2,Valores!$H$2:$P$154,8,0)</f>
        <v>0</v>
      </c>
      <c r="CO144" s="30" t="n">
        <f aca="false">SUMIF($C$2:$F$2,EOMONTH(CO$2,-1)+1,$C144:$F144)*VLOOKUP(CO$2,Valores!$H$2:$P$154,8,0)</f>
        <v>0</v>
      </c>
      <c r="CP144" s="30" t="n">
        <f aca="false">SUMIF($C$2:$F$2,EOMONTH(CP$2,-1)+1,$C144:$F144)*VLOOKUP(CP$2,Valores!$H$2:$P$154,8,0)</f>
        <v>0</v>
      </c>
      <c r="CQ144" s="30" t="n">
        <f aca="false">SUMIF($C$2:$F$2,EOMONTH(CQ$2,-1)+1,$C144:$F144)*VLOOKUP(CQ$2,Valores!$H$2:$P$154,8,0)</f>
        <v>0</v>
      </c>
      <c r="CR144" s="30" t="n">
        <f aca="false">SUMIF($C$2:$F$2,EOMONTH(CR$2,-1)+1,$C144:$F144)*VLOOKUP(CR$2,Valores!$H$2:$P$154,8,0)</f>
        <v>0</v>
      </c>
      <c r="CS144" s="30" t="n">
        <f aca="false">SUMIF($C$2:$F$2,EOMONTH(CS$2,-1)+1,$C144:$F144)*VLOOKUP(CS$2,Valores!$H$2:$P$154,8,0)</f>
        <v>0</v>
      </c>
      <c r="CT144" s="30" t="e">
        <f aca="false">SUMIF($C$2:$F$2,EOMONTH(CT$2,-1)+1,$C144:$F144)*VLOOKUP(CT$2,Valores!$H$2:$P$154,8,0)</f>
        <v>#VALUE!</v>
      </c>
      <c r="CU144" s="30" t="e">
        <f aca="false">SUMIF($C$2:$F$2,EOMONTH(CU$2,-1)+1,$C144:$F144)*VLOOKUP(CU$2,Valores!$H$2:$P$154,8,0)</f>
        <v>#VALUE!</v>
      </c>
      <c r="CV144" s="30" t="e">
        <f aca="false">SUMIF($C$2:$F$2,EOMONTH(CV$2,-1)+1,$C144:$F144)*VLOOKUP(CV$2,Valores!$H$2:$P$154,8,0)</f>
        <v>#VALUE!</v>
      </c>
      <c r="CW144" s="30" t="e">
        <f aca="false">SUMIF($C$2:$F$2,EOMONTH(CW$2,-1)+1,$C144:$F144)*VLOOKUP(CW$2,Valores!$H$2:$P$154,8,0)</f>
        <v>#VALUE!</v>
      </c>
      <c r="CX144" s="30" t="e">
        <f aca="false">SUMIF($C$2:$F$2,EOMONTH(CX$2,-1)+1,$C144:$F144)*VLOOKUP(CX$2,Valores!$H$2:$P$154,8,0)</f>
        <v>#VALUE!</v>
      </c>
      <c r="CY144" s="30" t="e">
        <f aca="false">SUMIF($C$2:$F$2,EOMONTH(CY$2,-1)+1,$C144:$F144)*VLOOKUP(CY$2,Valores!$H$2:$P$154,8,0)</f>
        <v>#VALUE!</v>
      </c>
      <c r="CZ144" s="30" t="e">
        <f aca="false">SUMIF($C$2:$F$2,EOMONTH(CZ$2,-1)+1,$C144:$F144)*VLOOKUP(CZ$2,Valores!$H$2:$P$154,8,0)</f>
        <v>#VALUE!</v>
      </c>
      <c r="DA144" s="30" t="e">
        <f aca="false">SUMIF($C$2:$F$2,EOMONTH(DA$2,-1)+1,$C144:$F144)*VLOOKUP(DA$2,Valores!$H$2:$P$154,8,0)</f>
        <v>#VALUE!</v>
      </c>
      <c r="DB144" s="30" t="e">
        <f aca="false">SUMIF($C$2:$F$2,EOMONTH(DB$2,-1)+1,$C144:$F144)*VLOOKUP(DB$2,Valores!$H$2:$P$154,8,0)</f>
        <v>#VALUE!</v>
      </c>
      <c r="DC144" s="30" t="e">
        <f aca="false">SUMIF($C$2:$F$2,EOMONTH(DC$2,-1)+1,$C144:$F144)*VLOOKUP(DC$2,Valores!$H$2:$P$154,8,0)</f>
        <v>#VALUE!</v>
      </c>
      <c r="DD144" s="30" t="e">
        <f aca="false">SUMIF($C$2:$F$2,EOMONTH(DD$2,-1)+1,$C144:$F144)*VLOOKUP(DD$2,Valores!$H$2:$P$154,8,0)</f>
        <v>#VALUE!</v>
      </c>
      <c r="DE144" s="30" t="e">
        <f aca="false">SUMIF($C$2:$F$2,EOMONTH(DE$2,-1)+1,$C144:$F144)*VLOOKUP(DE$2,Valores!$H$2:$P$154,8,0)</f>
        <v>#VALUE!</v>
      </c>
      <c r="DF144" s="30" t="e">
        <f aca="false">SUMIF($C$2:$F$2,EOMONTH(DF$2,-1)+1,$C144:$F144)*VLOOKUP(DF$2,Valores!$H$2:$P$154,8,0)</f>
        <v>#VALUE!</v>
      </c>
      <c r="DG144" s="30" t="e">
        <f aca="false">SUMIF($C$2:$F$2,EOMONTH(DG$2,-1)+1,$C144:$F144)*VLOOKUP(DG$2,Valores!$H$2:$P$154,8,0)</f>
        <v>#VALUE!</v>
      </c>
      <c r="DH144" s="30" t="e">
        <f aca="false">SUMIF($C$2:$F$2,EOMONTH(DH$2,-1)+1,$C144:$F144)*VLOOKUP(DH$2,Valores!$H$2:$P$154,8,0)</f>
        <v>#VALUE!</v>
      </c>
      <c r="DI144" s="30" t="e">
        <f aca="false">SUMIF($C$2:$F$2,EOMONTH(DI$2,-1)+1,$C144:$F144)*VLOOKUP(DI$2,Valores!$H$2:$P$154,8,0)</f>
        <v>#VALUE!</v>
      </c>
      <c r="DJ144" s="30" t="e">
        <f aca="false">SUMIF($C$2:$F$2,EOMONTH(DJ$2,-1)+1,$C144:$F144)*VLOOKUP(DJ$2,Valores!$H$2:$P$154,8,0)</f>
        <v>#VALUE!</v>
      </c>
      <c r="DK144" s="30" t="e">
        <f aca="false">SUMIF($C$2:$F$2,EOMONTH(DK$2,-1)+1,$C144:$F144)*VLOOKUP(DK$2,Valores!$H$2:$P$154,8,0)</f>
        <v>#VALUE!</v>
      </c>
      <c r="DL144" s="30" t="e">
        <f aca="false">SUMIF($C$2:$F$2,EOMONTH(DL$2,-1)+1,$C144:$F144)*VLOOKUP(DL$2,Valores!$H$2:$P$154,8,0)</f>
        <v>#VALUE!</v>
      </c>
      <c r="DM144" s="30" t="e">
        <f aca="false">SUMIF($C$2:$F$2,EOMONTH(DM$2,-1)+1,$C144:$F144)*VLOOKUP(DM$2,Valores!$H$2:$P$154,8,0)</f>
        <v>#VALUE!</v>
      </c>
      <c r="DN144" s="30" t="e">
        <f aca="false">SUMIF($C$2:$F$2,EOMONTH(DN$2,-1)+1,$C144:$F144)*VLOOKUP(DN$2,Valores!$H$2:$P$154,8,0)</f>
        <v>#VALUE!</v>
      </c>
      <c r="DO144" s="30" t="e">
        <f aca="false">SUMIF($C$2:$F$2,EOMONTH(DO$2,-1)+1,$C144:$F144)*VLOOKUP(DO$2,Valores!$H$2:$P$154,8,0)</f>
        <v>#VALUE!</v>
      </c>
      <c r="DP144" s="30" t="e">
        <f aca="false">SUMIF($C$2:$F$2,EOMONTH(DP$2,-1)+1,$C144:$F144)*VLOOKUP(DP$2,Valores!$H$2:$P$154,8,0)</f>
        <v>#VALUE!</v>
      </c>
      <c r="DQ144" s="30" t="e">
        <f aca="false">SUMIF($C$2:$F$2,EOMONTH(DQ$2,-1)+1,$C144:$F144)*VLOOKUP(DQ$2,Valores!$H$2:$P$154,8,0)</f>
        <v>#VALUE!</v>
      </c>
      <c r="DR144" s="30" t="e">
        <f aca="false">SUMIF($C$2:$F$2,EOMONTH(DR$2,-1)+1,$C144:$F144)*VLOOKUP(DR$2,Valores!$H$2:$P$154,8,0)</f>
        <v>#VALUE!</v>
      </c>
      <c r="DS144" s="30" t="e">
        <f aca="false">SUMIF($C$2:$F$2,EOMONTH(DS$2,-1)+1,$C144:$F144)*VLOOKUP(DS$2,Valores!$H$2:$P$154,8,0)</f>
        <v>#VALUE!</v>
      </c>
      <c r="DT144" s="30" t="e">
        <f aca="false">SUMIF($C$2:$F$2,EOMONTH(DT$2,-1)+1,$C144:$F144)*VLOOKUP(DT$2,Valores!$H$2:$P$154,8,0)</f>
        <v>#VALUE!</v>
      </c>
      <c r="DU144" s="30" t="e">
        <f aca="false">SUMIF($C$2:$F$2,EOMONTH(DU$2,-1)+1,$C144:$F144)*VLOOKUP(DU$2,Valores!$H$2:$P$154,8,0)</f>
        <v>#VALUE!</v>
      </c>
      <c r="DV144" s="30" t="e">
        <f aca="false">SUMIF($C$2:$F$2,EOMONTH(DV$2,-1)+1,$C144:$F144)*VLOOKUP(DV$2,Valores!$H$2:$P$154,8,0)</f>
        <v>#VALUE!</v>
      </c>
      <c r="DW144" s="30" t="e">
        <f aca="false">SUMIF($C$2:$F$2,EOMONTH(DW$2,-1)+1,$C144:$F144)*VLOOKUP(DW$2,Valores!$H$2:$P$154,8,0)</f>
        <v>#VALUE!</v>
      </c>
      <c r="DX144" s="30" t="e">
        <f aca="false">SUMIF($C$2:$F$2,EOMONTH(DX$2,-1)+1,$C144:$F144)*VLOOKUP(DX$2,Valores!$H$2:$P$154,8,0)</f>
        <v>#VALUE!</v>
      </c>
    </row>
    <row r="145" customFormat="false" ht="13.8" hidden="false" customHeight="false" outlineLevel="0" collapsed="false">
      <c r="A145" s="31"/>
      <c r="B145" s="31"/>
      <c r="C145" s="31"/>
      <c r="D145" s="31"/>
      <c r="E145" s="31"/>
      <c r="F145" s="31"/>
      <c r="G145" s="27" t="n">
        <f aca="false">SUMIF($C$2:$F$2,EOMONTH(G$2,-1)+1,$C145:$F145)*VLOOKUP(G$2,Valores!$H$2:$P$154,8,0)</f>
        <v>0</v>
      </c>
      <c r="H145" s="27" t="n">
        <f aca="false">SUMIF($C$2:$F$2,EOMONTH(H$2,-1)+1,$C145:$F145)*VLOOKUP(H$2,Valores!$H$2:$P$154,8,0)</f>
        <v>0</v>
      </c>
      <c r="I145" s="27" t="n">
        <f aca="false">SUMIF($C$2:$F$2,EOMONTH(I$2,-1)+1,$C145:$F145)*VLOOKUP(I$2,Valores!$H$2:$P$154,8,0)</f>
        <v>0</v>
      </c>
      <c r="J145" s="27" t="n">
        <f aca="false">SUMIF($C$2:$F$2,EOMONTH(J$2,-1)+1,$C145:$F145)*VLOOKUP(J$2,Valores!$H$2:$P$154,8,0)</f>
        <v>0</v>
      </c>
      <c r="K145" s="27" t="n">
        <f aca="false">SUMIF($C$2:$F$2,EOMONTH(K$2,-1)+1,$C145:$F145)*VLOOKUP(K$2,Valores!$H$2:$P$154,8,0)</f>
        <v>0</v>
      </c>
      <c r="L145" s="27" t="n">
        <f aca="false">SUMIF($C$2:$F$2,EOMONTH(L$2,-1)+1,$C145:$F145)*VLOOKUP(L$2,Valores!$H$2:$P$154,8,0)</f>
        <v>0</v>
      </c>
      <c r="M145" s="27" t="n">
        <f aca="false">SUMIF($C$2:$F$2,EOMONTH(M$2,-1)+1,$C145:$F145)*VLOOKUP(M$2,Valores!$H$2:$P$154,8,0)</f>
        <v>0</v>
      </c>
      <c r="N145" s="27" t="n">
        <f aca="false">SUMIF($C$2:$F$2,EOMONTH(N$2,-1)+1,$C145:$F145)*VLOOKUP(N$2,Valores!$H$2:$P$154,8,0)</f>
        <v>0</v>
      </c>
      <c r="O145" s="27" t="n">
        <f aca="false">SUMIF($C$2:$F$2,EOMONTH(O$2,-1)+1,$C145:$F145)*VLOOKUP(O$2,Valores!$H$2:$P$154,8,0)</f>
        <v>0</v>
      </c>
      <c r="P145" s="27" t="n">
        <f aca="false">SUMIF($C$2:$F$2,EOMONTH(P$2,-1)+1,$C145:$F145)*VLOOKUP(P$2,Valores!$H$2:$P$154,8,0)</f>
        <v>0</v>
      </c>
      <c r="Q145" s="27" t="n">
        <f aca="false">SUMIF($C$2:$F$2,EOMONTH(Q$2,-1)+1,$C145:$F145)*VLOOKUP(Q$2,Valores!$H$2:$P$154,8,0)</f>
        <v>0</v>
      </c>
      <c r="R145" s="27" t="n">
        <f aca="false">SUMIF($C$2:$F$2,EOMONTH(R$2,-1)+1,$C145:$F145)*VLOOKUP(R$2,Valores!$H$2:$P$154,8,0)</f>
        <v>0</v>
      </c>
      <c r="S145" s="27" t="n">
        <f aca="false">SUMIF($C$2:$F$2,EOMONTH(S$2,-1)+1,$C145:$F145)*VLOOKUP(S$2,Valores!$H$2:$P$154,8,0)</f>
        <v>0</v>
      </c>
      <c r="T145" s="27" t="n">
        <f aca="false">SUMIF($C$2:$F$2,EOMONTH(T$2,-1)+1,$C145:$F145)*VLOOKUP(T$2,Valores!$H$2:$P$154,8,0)</f>
        <v>0</v>
      </c>
      <c r="U145" s="27" t="n">
        <f aca="false">SUMIF($C$2:$F$2,EOMONTH(U$2,-1)+1,$C145:$F145)*VLOOKUP(U$2,Valores!$H$2:$P$154,8,0)</f>
        <v>0</v>
      </c>
      <c r="V145" s="27" t="n">
        <f aca="false">SUMIF($C$2:$F$2,EOMONTH(V$2,-1)+1,$C145:$F145)*VLOOKUP(V$2,Valores!$H$2:$P$154,8,0)</f>
        <v>0</v>
      </c>
      <c r="W145" s="27" t="n">
        <f aca="false">SUMIF($C$2:$F$2,EOMONTH(W$2,-1)+1,$C145:$F145)*VLOOKUP(W$2,Valores!$H$2:$P$154,8,0)</f>
        <v>0</v>
      </c>
      <c r="X145" s="27" t="n">
        <f aca="false">SUMIF($C$2:$F$2,EOMONTH(X$2,-1)+1,$C145:$F145)*VLOOKUP(X$2,Valores!$H$2:$P$154,8,0)</f>
        <v>0</v>
      </c>
      <c r="Y145" s="27" t="n">
        <f aca="false">SUMIF($C$2:$F$2,EOMONTH(Y$2,-1)+1,$C145:$F145)*VLOOKUP(Y$2,Valores!$H$2:$P$154,8,0)</f>
        <v>0</v>
      </c>
      <c r="Z145" s="27" t="n">
        <f aca="false">SUMIF($C$2:$F$2,EOMONTH(Z$2,-1)+1,$C145:$F145)*VLOOKUP(Z$2,Valores!$H$2:$P$154,8,0)</f>
        <v>0</v>
      </c>
      <c r="AA145" s="27" t="n">
        <f aca="false">SUMIF($C$2:$F$2,EOMONTH(AA$2,-1)+1,$C145:$F145)*VLOOKUP(AA$2,Valores!$H$2:$P$154,8,0)</f>
        <v>0</v>
      </c>
      <c r="AB145" s="27" t="n">
        <f aca="false">SUMIF($C$2:$F$2,EOMONTH(AB$2,-1)+1,$C145:$F145)*VLOOKUP(AB$2,Valores!$H$2:$P$154,8,0)</f>
        <v>0</v>
      </c>
      <c r="AC145" s="27" t="n">
        <f aca="false">SUMIF($C$2:$F$2,EOMONTH(AC$2,-1)+1,$C145:$F145)*VLOOKUP(AC$2,Valores!$H$2:$P$154,8,0)</f>
        <v>0</v>
      </c>
      <c r="AD145" s="27" t="n">
        <f aca="false">SUMIF($C$2:$F$2,EOMONTH(AD$2,-1)+1,$C145:$F145)*VLOOKUP(AD$2,Valores!$H$2:$P$154,8,0)</f>
        <v>0</v>
      </c>
      <c r="AE145" s="27" t="n">
        <f aca="false">SUMIF($C$2:$F$2,EOMONTH(AE$2,-1)+1,$C145:$F145)*VLOOKUP(AE$2,Valores!$H$2:$P$154,8,0)</f>
        <v>0</v>
      </c>
      <c r="AF145" s="27" t="n">
        <f aca="false">SUMIF($C$2:$F$2,EOMONTH(AF$2,-1)+1,$C145:$F145)*VLOOKUP(AF$2,Valores!$H$2:$P$154,8,0)</f>
        <v>0</v>
      </c>
      <c r="AG145" s="27" t="n">
        <f aca="false">SUMIF($C$2:$F$2,EOMONTH(AG$2,-1)+1,$C145:$F145)*VLOOKUP(AG$2,Valores!$H$2:$P$154,8,0)</f>
        <v>0</v>
      </c>
      <c r="AH145" s="27" t="n">
        <f aca="false">SUMIF($C$2:$F$2,EOMONTH(AH$2,-1)+1,$C145:$F145)*VLOOKUP(AH$2,Valores!$H$2:$P$154,8,0)</f>
        <v>0</v>
      </c>
      <c r="AI145" s="27" t="n">
        <f aca="false">SUMIF($C$2:$F$2,EOMONTH(AI$2,-1)+1,$C145:$F145)*VLOOKUP(AI$2,Valores!$H$2:$P$154,8,0)</f>
        <v>0</v>
      </c>
      <c r="AJ145" s="27" t="n">
        <f aca="false">SUMIF($C$2:$F$2,EOMONTH(AJ$2,-1)+1,$C145:$F145)*VLOOKUP(AJ$2,Valores!$H$2:$P$154,8,0)</f>
        <v>0</v>
      </c>
      <c r="AK145" s="27" t="n">
        <f aca="false">SUMIF($C$2:$F$2,EOMONTH(AK$2,-1)+1,$C145:$F145)*VLOOKUP(AK$2,Valores!$H$2:$P$154,8,0)</f>
        <v>0</v>
      </c>
      <c r="AL145" s="27" t="n">
        <f aca="false">SUMIF($C$2:$F$2,EOMONTH(AL$2,-1)+1,$C145:$F145)*VLOOKUP(AL$2,Valores!$H$2:$P$154,8,0)</f>
        <v>0</v>
      </c>
      <c r="AM145" s="27" t="n">
        <f aca="false">SUMIF($C$2:$F$2,EOMONTH(AM$2,-1)+1,$C145:$F145)*VLOOKUP(AM$2,Valores!$H$2:$P$154,8,0)</f>
        <v>0</v>
      </c>
      <c r="AN145" s="27" t="n">
        <f aca="false">SUMIF($C$2:$F$2,EOMONTH(AN$2,-1)+1,$C145:$F145)*VLOOKUP(AN$2,Valores!$H$2:$P$154,8,0)</f>
        <v>0</v>
      </c>
      <c r="AO145" s="27" t="n">
        <f aca="false">SUMIF($C$2:$F$2,EOMONTH(AO$2,-1)+1,$C145:$F145)*VLOOKUP(AO$2,Valores!$H$2:$P$154,8,0)</f>
        <v>0</v>
      </c>
      <c r="AP145" s="27" t="n">
        <f aca="false">SUMIF($C$2:$F$2,EOMONTH(AP$2,-1)+1,$C145:$F145)*VLOOKUP(AP$2,Valores!$H$2:$P$154,8,0)</f>
        <v>0</v>
      </c>
      <c r="AQ145" s="27" t="n">
        <f aca="false">SUMIF($C$2:$F$2,EOMONTH(AQ$2,-1)+1,$C145:$F145)*VLOOKUP(AQ$2,Valores!$H$2:$P$154,8,0)</f>
        <v>0</v>
      </c>
      <c r="AR145" s="27" t="n">
        <f aca="false">SUMIF($C$2:$F$2,EOMONTH(AR$2,-1)+1,$C145:$F145)*VLOOKUP(AR$2,Valores!$H$2:$P$154,8,0)</f>
        <v>0</v>
      </c>
      <c r="AS145" s="27" t="n">
        <f aca="false">SUMIF($C$2:$F$2,EOMONTH(AS$2,-1)+1,$C145:$F145)*VLOOKUP(AS$2,Valores!$H$2:$P$154,8,0)</f>
        <v>0</v>
      </c>
      <c r="AT145" s="27" t="n">
        <f aca="false">SUMIF($C$2:$F$2,EOMONTH(AT$2,-1)+1,$C145:$F145)*VLOOKUP(AT$2,Valores!$H$2:$P$154,8,0)</f>
        <v>0</v>
      </c>
      <c r="AU145" s="27" t="n">
        <f aca="false">SUMIF($C$2:$F$2,EOMONTH(AU$2,-1)+1,$C145:$F145)*VLOOKUP(AU$2,Valores!$H$2:$P$154,8,0)</f>
        <v>0</v>
      </c>
      <c r="AV145" s="27" t="n">
        <f aca="false">SUMIF($C$2:$F$2,EOMONTH(AV$2,-1)+1,$C145:$F145)*VLOOKUP(AV$2,Valores!$H$2:$P$154,8,0)</f>
        <v>0</v>
      </c>
      <c r="AW145" s="27" t="n">
        <f aca="false">SUMIF($C$2:$F$2,EOMONTH(AW$2,-1)+1,$C145:$F145)*VLOOKUP(AW$2,Valores!$H$2:$P$154,8,0)</f>
        <v>0</v>
      </c>
      <c r="AX145" s="27" t="n">
        <f aca="false">SUMIF($C$2:$F$2,EOMONTH(AX$2,-1)+1,$C145:$F145)*VLOOKUP(AX$2,Valores!$H$2:$P$154,8,0)</f>
        <v>0</v>
      </c>
      <c r="AY145" s="27" t="n">
        <f aca="false">SUMIF($C$2:$F$2,EOMONTH(AY$2,-1)+1,$C145:$F145)*VLOOKUP(AY$2,Valores!$H$2:$P$154,8,0)</f>
        <v>0</v>
      </c>
      <c r="AZ145" s="27" t="n">
        <f aca="false">SUMIF($C$2:$F$2,EOMONTH(AZ$2,-1)+1,$C145:$F145)*VLOOKUP(AZ$2,Valores!$H$2:$P$154,8,0)</f>
        <v>0</v>
      </c>
      <c r="BA145" s="27" t="n">
        <f aca="false">SUMIF($C$2:$F$2,EOMONTH(BA$2,-1)+1,$C145:$F145)*VLOOKUP(BA$2,Valores!$H$2:$P$154,8,0)</f>
        <v>0</v>
      </c>
      <c r="BB145" s="27" t="n">
        <f aca="false">SUMIF($C$2:$F$2,EOMONTH(BB$2,-1)+1,$C145:$F145)*VLOOKUP(BB$2,Valores!$H$2:$P$154,8,0)</f>
        <v>0</v>
      </c>
      <c r="BC145" s="27" t="n">
        <f aca="false">SUMIF($C$2:$F$2,EOMONTH(BC$2,-1)+1,$C145:$F145)*VLOOKUP(BC$2,Valores!$H$2:$P$154,8,0)</f>
        <v>0</v>
      </c>
      <c r="BD145" s="27" t="n">
        <f aca="false">SUMIF($C$2:$F$2,EOMONTH(BD$2,-1)+1,$C145:$F145)*VLOOKUP(BD$2,Valores!$H$2:$P$154,8,0)</f>
        <v>0</v>
      </c>
      <c r="BE145" s="27" t="n">
        <f aca="false">SUMIF($C$2:$F$2,EOMONTH(BE$2,-1)+1,$C145:$F145)*VLOOKUP(BE$2,Valores!$H$2:$P$154,8,0)</f>
        <v>0</v>
      </c>
      <c r="BF145" s="27" t="n">
        <f aca="false">SUMIF($C$2:$F$2,EOMONTH(BF$2,-1)+1,$C145:$F145)*VLOOKUP(BF$2,Valores!$H$2:$P$154,8,0)</f>
        <v>0</v>
      </c>
      <c r="BG145" s="27" t="n">
        <f aca="false">SUMIF($C$2:$F$2,EOMONTH(BG$2,-1)+1,$C145:$F145)*VLOOKUP(BG$2,Valores!$H$2:$P$154,8,0)</f>
        <v>0</v>
      </c>
      <c r="BH145" s="27" t="n">
        <f aca="false">SUMIF($C$2:$F$2,EOMONTH(BH$2,-1)+1,$C145:$F145)*VLOOKUP(BH$2,Valores!$H$2:$P$154,8,0)</f>
        <v>0</v>
      </c>
      <c r="BI145" s="27" t="n">
        <f aca="false">SUMIF($C$2:$F$2,EOMONTH(BI$2,-1)+1,$C145:$F145)*VLOOKUP(BI$2,Valores!$H$2:$P$154,8,0)</f>
        <v>0</v>
      </c>
      <c r="BJ145" s="27" t="n">
        <f aca="false">SUMIF($C$2:$F$2,EOMONTH(BJ$2,-1)+1,$C145:$F145)*VLOOKUP(BJ$2,Valores!$H$2:$P$154,8,0)</f>
        <v>0</v>
      </c>
      <c r="BK145" s="27" t="n">
        <f aca="false">SUMIF($C$2:$F$2,EOMONTH(BK$2,-1)+1,$C145:$F145)*VLOOKUP(BK$2,Valores!$H$2:$P$154,8,0)</f>
        <v>0</v>
      </c>
      <c r="BL145" s="27" t="n">
        <f aca="false">SUMIF($C$2:$F$2,EOMONTH(BL$2,-1)+1,$C145:$F145)*VLOOKUP(BL$2,Valores!$H$2:$P$154,8,0)</f>
        <v>0</v>
      </c>
      <c r="BM145" s="27" t="n">
        <f aca="false">SUMIF($C$2:$F$2,EOMONTH(BM$2,-1)+1,$C145:$F145)*VLOOKUP(BM$2,Valores!$H$2:$P$154,8,0)</f>
        <v>0</v>
      </c>
      <c r="BN145" s="27" t="n">
        <f aca="false">SUMIF($C$2:$F$2,EOMONTH(BN$2,-1)+1,$C145:$F145)*VLOOKUP(BN$2,Valores!$H$2:$P$154,8,0)</f>
        <v>0</v>
      </c>
      <c r="BO145" s="27" t="n">
        <f aca="false">SUMIF($C$2:$F$2,EOMONTH(BO$2,-1)+1,$C145:$F145)*VLOOKUP(BO$2,Valores!$H$2:$P$154,8,0)</f>
        <v>0</v>
      </c>
      <c r="BP145" s="27" t="n">
        <f aca="false">SUMIF($C$2:$F$2,EOMONTH(BP$2,-1)+1,$C145:$F145)*VLOOKUP(BP$2,Valores!$H$2:$P$154,8,0)</f>
        <v>0</v>
      </c>
      <c r="BQ145" s="27" t="n">
        <f aca="false">SUMIF($C$2:$F$2,EOMONTH(BQ$2,-1)+1,$C145:$F145)*VLOOKUP(BQ$2,Valores!$H$2:$P$154,8,0)</f>
        <v>0</v>
      </c>
      <c r="BR145" s="27" t="n">
        <f aca="false">SUMIF($C$2:$F$2,EOMONTH(BR$2,-1)+1,$C145:$F145)*VLOOKUP(BR$2,Valores!$H$2:$P$154,8,0)</f>
        <v>0</v>
      </c>
      <c r="BS145" s="27" t="n">
        <f aca="false">SUMIF($C$2:$F$2,EOMONTH(BS$2,-1)+1,$C145:$F145)*VLOOKUP(BS$2,Valores!$H$2:$P$154,8,0)</f>
        <v>0</v>
      </c>
      <c r="BT145" s="27" t="n">
        <f aca="false">SUMIF($C$2:$F$2,EOMONTH(BT$2,-1)+1,$C145:$F145)*VLOOKUP(BT$2,Valores!$H$2:$P$154,8,0)</f>
        <v>0</v>
      </c>
      <c r="BU145" s="27" t="n">
        <f aca="false">SUMIF($C$2:$F$2,EOMONTH(BU$2,-1)+1,$C145:$F145)*VLOOKUP(BU$2,Valores!$H$2:$P$154,8,0)</f>
        <v>0</v>
      </c>
      <c r="BV145" s="27" t="n">
        <f aca="false">SUMIF($C$2:$F$2,EOMONTH(BV$2,-1)+1,$C145:$F145)*VLOOKUP(BV$2,Valores!$H$2:$P$154,8,0)</f>
        <v>0</v>
      </c>
      <c r="BW145" s="27" t="n">
        <f aca="false">SUMIF($C$2:$F$2,EOMONTH(BW$2,-1)+1,$C145:$F145)*VLOOKUP(BW$2,Valores!$H$2:$P$154,8,0)</f>
        <v>0</v>
      </c>
      <c r="BX145" s="27" t="n">
        <f aca="false">SUMIF($C$2:$F$2,EOMONTH(BX$2,-1)+1,$C145:$F145)*VLOOKUP(BX$2,Valores!$H$2:$P$154,8,0)</f>
        <v>0</v>
      </c>
      <c r="BY145" s="27" t="n">
        <f aca="false">SUMIF($C$2:$F$2,EOMONTH(BY$2,-1)+1,$C145:$F145)*VLOOKUP(BY$2,Valores!$H$2:$P$154,8,0)</f>
        <v>0</v>
      </c>
      <c r="BZ145" s="27" t="n">
        <f aca="false">SUMIF($C$2:$F$2,EOMONTH(BZ$2,-1)+1,$C145:$F145)*VLOOKUP(BZ$2,Valores!$H$2:$P$154,8,0)</f>
        <v>0</v>
      </c>
      <c r="CA145" s="27" t="n">
        <f aca="false">SUMIF($C$2:$F$2,EOMONTH(CA$2,-1)+1,$C145:$F145)*VLOOKUP(CA$2,Valores!$H$2:$P$154,8,0)</f>
        <v>0</v>
      </c>
      <c r="CB145" s="27" t="n">
        <f aca="false">SUMIF($C$2:$F$2,EOMONTH(CB$2,-1)+1,$C145:$F145)*VLOOKUP(CB$2,Valores!$H$2:$P$154,8,0)</f>
        <v>0</v>
      </c>
      <c r="CC145" s="27" t="n">
        <f aca="false">SUMIF($C$2:$F$2,EOMONTH(CC$2,-1)+1,$C145:$F145)*VLOOKUP(CC$2,Valores!$H$2:$P$154,8,0)</f>
        <v>0</v>
      </c>
      <c r="CD145" s="27" t="n">
        <f aca="false">SUMIF($C$2:$F$2,EOMONTH(CD$2,-1)+1,$C145:$F145)*VLOOKUP(CD$2,Valores!$H$2:$P$154,8,0)</f>
        <v>0</v>
      </c>
      <c r="CE145" s="27" t="n">
        <f aca="false">SUMIF($C$2:$F$2,EOMONTH(CE$2,-1)+1,$C145:$F145)*VLOOKUP(CE$2,Valores!$H$2:$P$154,8,0)</f>
        <v>0</v>
      </c>
      <c r="CF145" s="27" t="n">
        <f aca="false">SUMIF($C$2:$F$2,EOMONTH(CF$2,-1)+1,$C145:$F145)*VLOOKUP(CF$2,Valores!$H$2:$P$154,8,0)</f>
        <v>0</v>
      </c>
      <c r="CG145" s="27" t="n">
        <f aca="false">SUMIF($C$2:$F$2,EOMONTH(CG$2,-1)+1,$C145:$F145)*VLOOKUP(CG$2,Valores!$H$2:$P$154,8,0)</f>
        <v>0</v>
      </c>
      <c r="CH145" s="27" t="n">
        <f aca="false">SUMIF($C$2:$F$2,EOMONTH(CH$2,-1)+1,$C145:$F145)*VLOOKUP(CH$2,Valores!$H$2:$P$154,8,0)</f>
        <v>0</v>
      </c>
      <c r="CI145" s="27" t="n">
        <f aca="false">SUMIF($C$2:$F$2,EOMONTH(CI$2,-1)+1,$C145:$F145)*VLOOKUP(CI$2,Valores!$H$2:$P$154,8,0)</f>
        <v>0</v>
      </c>
      <c r="CJ145" s="27" t="n">
        <f aca="false">SUMIF($C$2:$F$2,EOMONTH(CJ$2,-1)+1,$C145:$F145)*VLOOKUP(CJ$2,Valores!$H$2:$P$154,8,0)</f>
        <v>0</v>
      </c>
      <c r="CK145" s="27" t="n">
        <f aca="false">SUMIF($C$2:$F$2,EOMONTH(CK$2,-1)+1,$C145:$F145)*VLOOKUP(CK$2,Valores!$H$2:$P$154,8,0)</f>
        <v>0</v>
      </c>
      <c r="CL145" s="27" t="n">
        <f aca="false">SUMIF($C$2:$F$2,EOMONTH(CL$2,-1)+1,$C145:$F145)*VLOOKUP(CL$2,Valores!$H$2:$P$154,8,0)</f>
        <v>0</v>
      </c>
      <c r="CM145" s="27" t="n">
        <f aca="false">SUMIF($C$2:$F$2,EOMONTH(CM$2,-1)+1,$C145:$F145)*VLOOKUP(CM$2,Valores!$H$2:$P$154,8,0)</f>
        <v>0</v>
      </c>
      <c r="CN145" s="27" t="n">
        <f aca="false">SUMIF($C$2:$F$2,EOMONTH(CN$2,-1)+1,$C145:$F145)*VLOOKUP(CN$2,Valores!$H$2:$P$154,8,0)</f>
        <v>0</v>
      </c>
      <c r="CO145" s="27" t="n">
        <f aca="false">SUMIF($C$2:$F$2,EOMONTH(CO$2,-1)+1,$C145:$F145)*VLOOKUP(CO$2,Valores!$H$2:$P$154,8,0)</f>
        <v>0</v>
      </c>
      <c r="CP145" s="27" t="n">
        <f aca="false">SUMIF($C$2:$F$2,EOMONTH(CP$2,-1)+1,$C145:$F145)*VLOOKUP(CP$2,Valores!$H$2:$P$154,8,0)</f>
        <v>0</v>
      </c>
      <c r="CQ145" s="27" t="n">
        <f aca="false">SUMIF($C$2:$F$2,EOMONTH(CQ$2,-1)+1,$C145:$F145)*VLOOKUP(CQ$2,Valores!$H$2:$P$154,8,0)</f>
        <v>0</v>
      </c>
      <c r="CR145" s="27" t="n">
        <f aca="false">SUMIF($C$2:$F$2,EOMONTH(CR$2,-1)+1,$C145:$F145)*VLOOKUP(CR$2,Valores!$H$2:$P$154,8,0)</f>
        <v>0</v>
      </c>
      <c r="CS145" s="27" t="n">
        <f aca="false">SUMIF($C$2:$F$2,EOMONTH(CS$2,-1)+1,$C145:$F145)*VLOOKUP(CS$2,Valores!$H$2:$P$154,8,0)</f>
        <v>0</v>
      </c>
      <c r="CT145" s="27" t="e">
        <f aca="false">SUMIF($C$2:$F$2,EOMONTH(CT$2,-1)+1,$C145:$F145)*VLOOKUP(CT$2,Valores!$H$2:$P$154,8,0)</f>
        <v>#VALUE!</v>
      </c>
      <c r="CU145" s="27" t="e">
        <f aca="false">SUMIF($C$2:$F$2,EOMONTH(CU$2,-1)+1,$C145:$F145)*VLOOKUP(CU$2,Valores!$H$2:$P$154,8,0)</f>
        <v>#VALUE!</v>
      </c>
      <c r="CV145" s="27" t="e">
        <f aca="false">SUMIF($C$2:$F$2,EOMONTH(CV$2,-1)+1,$C145:$F145)*VLOOKUP(CV$2,Valores!$H$2:$P$154,8,0)</f>
        <v>#VALUE!</v>
      </c>
      <c r="CW145" s="27" t="e">
        <f aca="false">SUMIF($C$2:$F$2,EOMONTH(CW$2,-1)+1,$C145:$F145)*VLOOKUP(CW$2,Valores!$H$2:$P$154,8,0)</f>
        <v>#VALUE!</v>
      </c>
      <c r="CX145" s="27" t="e">
        <f aca="false">SUMIF($C$2:$F$2,EOMONTH(CX$2,-1)+1,$C145:$F145)*VLOOKUP(CX$2,Valores!$H$2:$P$154,8,0)</f>
        <v>#VALUE!</v>
      </c>
      <c r="CY145" s="27" t="e">
        <f aca="false">SUMIF($C$2:$F$2,EOMONTH(CY$2,-1)+1,$C145:$F145)*VLOOKUP(CY$2,Valores!$H$2:$P$154,8,0)</f>
        <v>#VALUE!</v>
      </c>
      <c r="CZ145" s="27" t="e">
        <f aca="false">SUMIF($C$2:$F$2,EOMONTH(CZ$2,-1)+1,$C145:$F145)*VLOOKUP(CZ$2,Valores!$H$2:$P$154,8,0)</f>
        <v>#VALUE!</v>
      </c>
      <c r="DA145" s="27" t="e">
        <f aca="false">SUMIF($C$2:$F$2,EOMONTH(DA$2,-1)+1,$C145:$F145)*VLOOKUP(DA$2,Valores!$H$2:$P$154,8,0)</f>
        <v>#VALUE!</v>
      </c>
      <c r="DB145" s="27" t="e">
        <f aca="false">SUMIF($C$2:$F$2,EOMONTH(DB$2,-1)+1,$C145:$F145)*VLOOKUP(DB$2,Valores!$H$2:$P$154,8,0)</f>
        <v>#VALUE!</v>
      </c>
      <c r="DC145" s="27" t="e">
        <f aca="false">SUMIF($C$2:$F$2,EOMONTH(DC$2,-1)+1,$C145:$F145)*VLOOKUP(DC$2,Valores!$H$2:$P$154,8,0)</f>
        <v>#VALUE!</v>
      </c>
      <c r="DD145" s="27" t="e">
        <f aca="false">SUMIF($C$2:$F$2,EOMONTH(DD$2,-1)+1,$C145:$F145)*VLOOKUP(DD$2,Valores!$H$2:$P$154,8,0)</f>
        <v>#VALUE!</v>
      </c>
      <c r="DE145" s="27" t="e">
        <f aca="false">SUMIF($C$2:$F$2,EOMONTH(DE$2,-1)+1,$C145:$F145)*VLOOKUP(DE$2,Valores!$H$2:$P$154,8,0)</f>
        <v>#VALUE!</v>
      </c>
      <c r="DF145" s="27" t="e">
        <f aca="false">SUMIF($C$2:$F$2,EOMONTH(DF$2,-1)+1,$C145:$F145)*VLOOKUP(DF$2,Valores!$H$2:$P$154,8,0)</f>
        <v>#VALUE!</v>
      </c>
      <c r="DG145" s="27" t="e">
        <f aca="false">SUMIF($C$2:$F$2,EOMONTH(DG$2,-1)+1,$C145:$F145)*VLOOKUP(DG$2,Valores!$H$2:$P$154,8,0)</f>
        <v>#VALUE!</v>
      </c>
      <c r="DH145" s="27" t="e">
        <f aca="false">SUMIF($C$2:$F$2,EOMONTH(DH$2,-1)+1,$C145:$F145)*VLOOKUP(DH$2,Valores!$H$2:$P$154,8,0)</f>
        <v>#VALUE!</v>
      </c>
      <c r="DI145" s="27" t="e">
        <f aca="false">SUMIF($C$2:$F$2,EOMONTH(DI$2,-1)+1,$C145:$F145)*VLOOKUP(DI$2,Valores!$H$2:$P$154,8,0)</f>
        <v>#VALUE!</v>
      </c>
      <c r="DJ145" s="27" t="e">
        <f aca="false">SUMIF($C$2:$F$2,EOMONTH(DJ$2,-1)+1,$C145:$F145)*VLOOKUP(DJ$2,Valores!$H$2:$P$154,8,0)</f>
        <v>#VALUE!</v>
      </c>
      <c r="DK145" s="27" t="e">
        <f aca="false">SUMIF($C$2:$F$2,EOMONTH(DK$2,-1)+1,$C145:$F145)*VLOOKUP(DK$2,Valores!$H$2:$P$154,8,0)</f>
        <v>#VALUE!</v>
      </c>
      <c r="DL145" s="27" t="e">
        <f aca="false">SUMIF($C$2:$F$2,EOMONTH(DL$2,-1)+1,$C145:$F145)*VLOOKUP(DL$2,Valores!$H$2:$P$154,8,0)</f>
        <v>#VALUE!</v>
      </c>
      <c r="DM145" s="27" t="e">
        <f aca="false">SUMIF($C$2:$F$2,EOMONTH(DM$2,-1)+1,$C145:$F145)*VLOOKUP(DM$2,Valores!$H$2:$P$154,8,0)</f>
        <v>#VALUE!</v>
      </c>
      <c r="DN145" s="27" t="e">
        <f aca="false">SUMIF($C$2:$F$2,EOMONTH(DN$2,-1)+1,$C145:$F145)*VLOOKUP(DN$2,Valores!$H$2:$P$154,8,0)</f>
        <v>#VALUE!</v>
      </c>
      <c r="DO145" s="27" t="e">
        <f aca="false">SUMIF($C$2:$F$2,EOMONTH(DO$2,-1)+1,$C145:$F145)*VLOOKUP(DO$2,Valores!$H$2:$P$154,8,0)</f>
        <v>#VALUE!</v>
      </c>
      <c r="DP145" s="27" t="e">
        <f aca="false">SUMIF($C$2:$F$2,EOMONTH(DP$2,-1)+1,$C145:$F145)*VLOOKUP(DP$2,Valores!$H$2:$P$154,8,0)</f>
        <v>#VALUE!</v>
      </c>
      <c r="DQ145" s="27" t="e">
        <f aca="false">SUMIF($C$2:$F$2,EOMONTH(DQ$2,-1)+1,$C145:$F145)*VLOOKUP(DQ$2,Valores!$H$2:$P$154,8,0)</f>
        <v>#VALUE!</v>
      </c>
      <c r="DR145" s="27" t="e">
        <f aca="false">SUMIF($C$2:$F$2,EOMONTH(DR$2,-1)+1,$C145:$F145)*VLOOKUP(DR$2,Valores!$H$2:$P$154,8,0)</f>
        <v>#VALUE!</v>
      </c>
      <c r="DS145" s="27" t="e">
        <f aca="false">SUMIF($C$2:$F$2,EOMONTH(DS$2,-1)+1,$C145:$F145)*VLOOKUP(DS$2,Valores!$H$2:$P$154,8,0)</f>
        <v>#VALUE!</v>
      </c>
      <c r="DT145" s="27" t="e">
        <f aca="false">SUMIF($C$2:$F$2,EOMONTH(DT$2,-1)+1,$C145:$F145)*VLOOKUP(DT$2,Valores!$H$2:$P$154,8,0)</f>
        <v>#VALUE!</v>
      </c>
      <c r="DU145" s="27" t="e">
        <f aca="false">SUMIF($C$2:$F$2,EOMONTH(DU$2,-1)+1,$C145:$F145)*VLOOKUP(DU$2,Valores!$H$2:$P$154,8,0)</f>
        <v>#VALUE!</v>
      </c>
      <c r="DV145" s="27" t="e">
        <f aca="false">SUMIF($C$2:$F$2,EOMONTH(DV$2,-1)+1,$C145:$F145)*VLOOKUP(DV$2,Valores!$H$2:$P$154,8,0)</f>
        <v>#VALUE!</v>
      </c>
      <c r="DW145" s="27" t="e">
        <f aca="false">SUMIF($C$2:$F$2,EOMONTH(DW$2,-1)+1,$C145:$F145)*VLOOKUP(DW$2,Valores!$H$2:$P$154,8,0)</f>
        <v>#VALUE!</v>
      </c>
      <c r="DX145" s="27" t="e">
        <f aca="false">SUMIF($C$2:$F$2,EOMONTH(DX$2,-1)+1,$C145:$F145)*VLOOKUP(DX$2,Valores!$H$2:$P$154,8,0)</f>
        <v>#VALUE!</v>
      </c>
    </row>
    <row r="146" customFormat="false" ht="13.8" hidden="false" customHeight="false" outlineLevel="0" collapsed="false">
      <c r="A146" s="29"/>
      <c r="B146" s="29"/>
      <c r="C146" s="29"/>
      <c r="D146" s="29"/>
      <c r="E146" s="29"/>
      <c r="F146" s="29"/>
      <c r="G146" s="30" t="n">
        <f aca="false">SUMIF($C$2:$F$2,EOMONTH(G$2,-1)+1,$C146:$F146)*VLOOKUP(G$2,Valores!$H$2:$P$154,8,0)</f>
        <v>0</v>
      </c>
      <c r="H146" s="30" t="n">
        <f aca="false">SUMIF($C$2:$F$2,EOMONTH(H$2,-1)+1,$C146:$F146)*VLOOKUP(H$2,Valores!$H$2:$P$154,8,0)</f>
        <v>0</v>
      </c>
      <c r="I146" s="30" t="n">
        <f aca="false">SUMIF($C$2:$F$2,EOMONTH(I$2,-1)+1,$C146:$F146)*VLOOKUP(I$2,Valores!$H$2:$P$154,8,0)</f>
        <v>0</v>
      </c>
      <c r="J146" s="30" t="n">
        <f aca="false">SUMIF($C$2:$F$2,EOMONTH(J$2,-1)+1,$C146:$F146)*VLOOKUP(J$2,Valores!$H$2:$P$154,8,0)</f>
        <v>0</v>
      </c>
      <c r="K146" s="30" t="n">
        <f aca="false">SUMIF($C$2:$F$2,EOMONTH(K$2,-1)+1,$C146:$F146)*VLOOKUP(K$2,Valores!$H$2:$P$154,8,0)</f>
        <v>0</v>
      </c>
      <c r="L146" s="30" t="n">
        <f aca="false">SUMIF($C$2:$F$2,EOMONTH(L$2,-1)+1,$C146:$F146)*VLOOKUP(L$2,Valores!$H$2:$P$154,8,0)</f>
        <v>0</v>
      </c>
      <c r="M146" s="30" t="n">
        <f aca="false">SUMIF($C$2:$F$2,EOMONTH(M$2,-1)+1,$C146:$F146)*VLOOKUP(M$2,Valores!$H$2:$P$154,8,0)</f>
        <v>0</v>
      </c>
      <c r="N146" s="30" t="n">
        <f aca="false">SUMIF($C$2:$F$2,EOMONTH(N$2,-1)+1,$C146:$F146)*VLOOKUP(N$2,Valores!$H$2:$P$154,8,0)</f>
        <v>0</v>
      </c>
      <c r="O146" s="30" t="n">
        <f aca="false">SUMIF($C$2:$F$2,EOMONTH(O$2,-1)+1,$C146:$F146)*VLOOKUP(O$2,Valores!$H$2:$P$154,8,0)</f>
        <v>0</v>
      </c>
      <c r="P146" s="30" t="n">
        <f aca="false">SUMIF($C$2:$F$2,EOMONTH(P$2,-1)+1,$C146:$F146)*VLOOKUP(P$2,Valores!$H$2:$P$154,8,0)</f>
        <v>0</v>
      </c>
      <c r="Q146" s="30" t="n">
        <f aca="false">SUMIF($C$2:$F$2,EOMONTH(Q$2,-1)+1,$C146:$F146)*VLOOKUP(Q$2,Valores!$H$2:$P$154,8,0)</f>
        <v>0</v>
      </c>
      <c r="R146" s="30" t="n">
        <f aca="false">SUMIF($C$2:$F$2,EOMONTH(R$2,-1)+1,$C146:$F146)*VLOOKUP(R$2,Valores!$H$2:$P$154,8,0)</f>
        <v>0</v>
      </c>
      <c r="S146" s="30" t="n">
        <f aca="false">SUMIF($C$2:$F$2,EOMONTH(S$2,-1)+1,$C146:$F146)*VLOOKUP(S$2,Valores!$H$2:$P$154,8,0)</f>
        <v>0</v>
      </c>
      <c r="T146" s="30" t="n">
        <f aca="false">SUMIF($C$2:$F$2,EOMONTH(T$2,-1)+1,$C146:$F146)*VLOOKUP(T$2,Valores!$H$2:$P$154,8,0)</f>
        <v>0</v>
      </c>
      <c r="U146" s="30" t="n">
        <f aca="false">SUMIF($C$2:$F$2,EOMONTH(U$2,-1)+1,$C146:$F146)*VLOOKUP(U$2,Valores!$H$2:$P$154,8,0)</f>
        <v>0</v>
      </c>
      <c r="V146" s="30" t="n">
        <f aca="false">SUMIF($C$2:$F$2,EOMONTH(V$2,-1)+1,$C146:$F146)*VLOOKUP(V$2,Valores!$H$2:$P$154,8,0)</f>
        <v>0</v>
      </c>
      <c r="W146" s="30" t="n">
        <f aca="false">SUMIF($C$2:$F$2,EOMONTH(W$2,-1)+1,$C146:$F146)*VLOOKUP(W$2,Valores!$H$2:$P$154,8,0)</f>
        <v>0</v>
      </c>
      <c r="X146" s="30" t="n">
        <f aca="false">SUMIF($C$2:$F$2,EOMONTH(X$2,-1)+1,$C146:$F146)*VLOOKUP(X$2,Valores!$H$2:$P$154,8,0)</f>
        <v>0</v>
      </c>
      <c r="Y146" s="30" t="n">
        <f aca="false">SUMIF($C$2:$F$2,EOMONTH(Y$2,-1)+1,$C146:$F146)*VLOOKUP(Y$2,Valores!$H$2:$P$154,8,0)</f>
        <v>0</v>
      </c>
      <c r="Z146" s="30" t="n">
        <f aca="false">SUMIF($C$2:$F$2,EOMONTH(Z$2,-1)+1,$C146:$F146)*VLOOKUP(Z$2,Valores!$H$2:$P$154,8,0)</f>
        <v>0</v>
      </c>
      <c r="AA146" s="30" t="n">
        <f aca="false">SUMIF($C$2:$F$2,EOMONTH(AA$2,-1)+1,$C146:$F146)*VLOOKUP(AA$2,Valores!$H$2:$P$154,8,0)</f>
        <v>0</v>
      </c>
      <c r="AB146" s="30" t="n">
        <f aca="false">SUMIF($C$2:$F$2,EOMONTH(AB$2,-1)+1,$C146:$F146)*VLOOKUP(AB$2,Valores!$H$2:$P$154,8,0)</f>
        <v>0</v>
      </c>
      <c r="AC146" s="30" t="n">
        <f aca="false">SUMIF($C$2:$F$2,EOMONTH(AC$2,-1)+1,$C146:$F146)*VLOOKUP(AC$2,Valores!$H$2:$P$154,8,0)</f>
        <v>0</v>
      </c>
      <c r="AD146" s="30" t="n">
        <f aca="false">SUMIF($C$2:$F$2,EOMONTH(AD$2,-1)+1,$C146:$F146)*VLOOKUP(AD$2,Valores!$H$2:$P$154,8,0)</f>
        <v>0</v>
      </c>
      <c r="AE146" s="30" t="n">
        <f aca="false">SUMIF($C$2:$F$2,EOMONTH(AE$2,-1)+1,$C146:$F146)*VLOOKUP(AE$2,Valores!$H$2:$P$154,8,0)</f>
        <v>0</v>
      </c>
      <c r="AF146" s="30" t="n">
        <f aca="false">SUMIF($C$2:$F$2,EOMONTH(AF$2,-1)+1,$C146:$F146)*VLOOKUP(AF$2,Valores!$H$2:$P$154,8,0)</f>
        <v>0</v>
      </c>
      <c r="AG146" s="30" t="n">
        <f aca="false">SUMIF($C$2:$F$2,EOMONTH(AG$2,-1)+1,$C146:$F146)*VLOOKUP(AG$2,Valores!$H$2:$P$154,8,0)</f>
        <v>0</v>
      </c>
      <c r="AH146" s="30" t="n">
        <f aca="false">SUMIF($C$2:$F$2,EOMONTH(AH$2,-1)+1,$C146:$F146)*VLOOKUP(AH$2,Valores!$H$2:$P$154,8,0)</f>
        <v>0</v>
      </c>
      <c r="AI146" s="30" t="n">
        <f aca="false">SUMIF($C$2:$F$2,EOMONTH(AI$2,-1)+1,$C146:$F146)*VLOOKUP(AI$2,Valores!$H$2:$P$154,8,0)</f>
        <v>0</v>
      </c>
      <c r="AJ146" s="30" t="n">
        <f aca="false">SUMIF($C$2:$F$2,EOMONTH(AJ$2,-1)+1,$C146:$F146)*VLOOKUP(AJ$2,Valores!$H$2:$P$154,8,0)</f>
        <v>0</v>
      </c>
      <c r="AK146" s="30" t="n">
        <f aca="false">SUMIF($C$2:$F$2,EOMONTH(AK$2,-1)+1,$C146:$F146)*VLOOKUP(AK$2,Valores!$H$2:$P$154,8,0)</f>
        <v>0</v>
      </c>
      <c r="AL146" s="30" t="n">
        <f aca="false">SUMIF($C$2:$F$2,EOMONTH(AL$2,-1)+1,$C146:$F146)*VLOOKUP(AL$2,Valores!$H$2:$P$154,8,0)</f>
        <v>0</v>
      </c>
      <c r="AM146" s="30" t="n">
        <f aca="false">SUMIF($C$2:$F$2,EOMONTH(AM$2,-1)+1,$C146:$F146)*VLOOKUP(AM$2,Valores!$H$2:$P$154,8,0)</f>
        <v>0</v>
      </c>
      <c r="AN146" s="30" t="n">
        <f aca="false">SUMIF($C$2:$F$2,EOMONTH(AN$2,-1)+1,$C146:$F146)*VLOOKUP(AN$2,Valores!$H$2:$P$154,8,0)</f>
        <v>0</v>
      </c>
      <c r="AO146" s="30" t="n">
        <f aca="false">SUMIF($C$2:$F$2,EOMONTH(AO$2,-1)+1,$C146:$F146)*VLOOKUP(AO$2,Valores!$H$2:$P$154,8,0)</f>
        <v>0</v>
      </c>
      <c r="AP146" s="30" t="n">
        <f aca="false">SUMIF($C$2:$F$2,EOMONTH(AP$2,-1)+1,$C146:$F146)*VLOOKUP(AP$2,Valores!$H$2:$P$154,8,0)</f>
        <v>0</v>
      </c>
      <c r="AQ146" s="30" t="n">
        <f aca="false">SUMIF($C$2:$F$2,EOMONTH(AQ$2,-1)+1,$C146:$F146)*VLOOKUP(AQ$2,Valores!$H$2:$P$154,8,0)</f>
        <v>0</v>
      </c>
      <c r="AR146" s="30" t="n">
        <f aca="false">SUMIF($C$2:$F$2,EOMONTH(AR$2,-1)+1,$C146:$F146)*VLOOKUP(AR$2,Valores!$H$2:$P$154,8,0)</f>
        <v>0</v>
      </c>
      <c r="AS146" s="30" t="n">
        <f aca="false">SUMIF($C$2:$F$2,EOMONTH(AS$2,-1)+1,$C146:$F146)*VLOOKUP(AS$2,Valores!$H$2:$P$154,8,0)</f>
        <v>0</v>
      </c>
      <c r="AT146" s="30" t="n">
        <f aca="false">SUMIF($C$2:$F$2,EOMONTH(AT$2,-1)+1,$C146:$F146)*VLOOKUP(AT$2,Valores!$H$2:$P$154,8,0)</f>
        <v>0</v>
      </c>
      <c r="AU146" s="30" t="n">
        <f aca="false">SUMIF($C$2:$F$2,EOMONTH(AU$2,-1)+1,$C146:$F146)*VLOOKUP(AU$2,Valores!$H$2:$P$154,8,0)</f>
        <v>0</v>
      </c>
      <c r="AV146" s="30" t="n">
        <f aca="false">SUMIF($C$2:$F$2,EOMONTH(AV$2,-1)+1,$C146:$F146)*VLOOKUP(AV$2,Valores!$H$2:$P$154,8,0)</f>
        <v>0</v>
      </c>
      <c r="AW146" s="30" t="n">
        <f aca="false">SUMIF($C$2:$F$2,EOMONTH(AW$2,-1)+1,$C146:$F146)*VLOOKUP(AW$2,Valores!$H$2:$P$154,8,0)</f>
        <v>0</v>
      </c>
      <c r="AX146" s="30" t="n">
        <f aca="false">SUMIF($C$2:$F$2,EOMONTH(AX$2,-1)+1,$C146:$F146)*VLOOKUP(AX$2,Valores!$H$2:$P$154,8,0)</f>
        <v>0</v>
      </c>
      <c r="AY146" s="30" t="n">
        <f aca="false">SUMIF($C$2:$F$2,EOMONTH(AY$2,-1)+1,$C146:$F146)*VLOOKUP(AY$2,Valores!$H$2:$P$154,8,0)</f>
        <v>0</v>
      </c>
      <c r="AZ146" s="30" t="n">
        <f aca="false">SUMIF($C$2:$F$2,EOMONTH(AZ$2,-1)+1,$C146:$F146)*VLOOKUP(AZ$2,Valores!$H$2:$P$154,8,0)</f>
        <v>0</v>
      </c>
      <c r="BA146" s="30" t="n">
        <f aca="false">SUMIF($C$2:$F$2,EOMONTH(BA$2,-1)+1,$C146:$F146)*VLOOKUP(BA$2,Valores!$H$2:$P$154,8,0)</f>
        <v>0</v>
      </c>
      <c r="BB146" s="30" t="n">
        <f aca="false">SUMIF($C$2:$F$2,EOMONTH(BB$2,-1)+1,$C146:$F146)*VLOOKUP(BB$2,Valores!$H$2:$P$154,8,0)</f>
        <v>0</v>
      </c>
      <c r="BC146" s="30" t="n">
        <f aca="false">SUMIF($C$2:$F$2,EOMONTH(BC$2,-1)+1,$C146:$F146)*VLOOKUP(BC$2,Valores!$H$2:$P$154,8,0)</f>
        <v>0</v>
      </c>
      <c r="BD146" s="30" t="n">
        <f aca="false">SUMIF($C$2:$F$2,EOMONTH(BD$2,-1)+1,$C146:$F146)*VLOOKUP(BD$2,Valores!$H$2:$P$154,8,0)</f>
        <v>0</v>
      </c>
      <c r="BE146" s="30" t="n">
        <f aca="false">SUMIF($C$2:$F$2,EOMONTH(BE$2,-1)+1,$C146:$F146)*VLOOKUP(BE$2,Valores!$H$2:$P$154,8,0)</f>
        <v>0</v>
      </c>
      <c r="BF146" s="30" t="n">
        <f aca="false">SUMIF($C$2:$F$2,EOMONTH(BF$2,-1)+1,$C146:$F146)*VLOOKUP(BF$2,Valores!$H$2:$P$154,8,0)</f>
        <v>0</v>
      </c>
      <c r="BG146" s="30" t="n">
        <f aca="false">SUMIF($C$2:$F$2,EOMONTH(BG$2,-1)+1,$C146:$F146)*VLOOKUP(BG$2,Valores!$H$2:$P$154,8,0)</f>
        <v>0</v>
      </c>
      <c r="BH146" s="30" t="n">
        <f aca="false">SUMIF($C$2:$F$2,EOMONTH(BH$2,-1)+1,$C146:$F146)*VLOOKUP(BH$2,Valores!$H$2:$P$154,8,0)</f>
        <v>0</v>
      </c>
      <c r="BI146" s="30" t="n">
        <f aca="false">SUMIF($C$2:$F$2,EOMONTH(BI$2,-1)+1,$C146:$F146)*VLOOKUP(BI$2,Valores!$H$2:$P$154,8,0)</f>
        <v>0</v>
      </c>
      <c r="BJ146" s="30" t="n">
        <f aca="false">SUMIF($C$2:$F$2,EOMONTH(BJ$2,-1)+1,$C146:$F146)*VLOOKUP(BJ$2,Valores!$H$2:$P$154,8,0)</f>
        <v>0</v>
      </c>
      <c r="BK146" s="30" t="n">
        <f aca="false">SUMIF($C$2:$F$2,EOMONTH(BK$2,-1)+1,$C146:$F146)*VLOOKUP(BK$2,Valores!$H$2:$P$154,8,0)</f>
        <v>0</v>
      </c>
      <c r="BL146" s="30" t="n">
        <f aca="false">SUMIF($C$2:$F$2,EOMONTH(BL$2,-1)+1,$C146:$F146)*VLOOKUP(BL$2,Valores!$H$2:$P$154,8,0)</f>
        <v>0</v>
      </c>
      <c r="BM146" s="30" t="n">
        <f aca="false">SUMIF($C$2:$F$2,EOMONTH(BM$2,-1)+1,$C146:$F146)*VLOOKUP(BM$2,Valores!$H$2:$P$154,8,0)</f>
        <v>0</v>
      </c>
      <c r="BN146" s="30" t="n">
        <f aca="false">SUMIF($C$2:$F$2,EOMONTH(BN$2,-1)+1,$C146:$F146)*VLOOKUP(BN$2,Valores!$H$2:$P$154,8,0)</f>
        <v>0</v>
      </c>
      <c r="BO146" s="30" t="n">
        <f aca="false">SUMIF($C$2:$F$2,EOMONTH(BO$2,-1)+1,$C146:$F146)*VLOOKUP(BO$2,Valores!$H$2:$P$154,8,0)</f>
        <v>0</v>
      </c>
      <c r="BP146" s="30" t="n">
        <f aca="false">SUMIF($C$2:$F$2,EOMONTH(BP$2,-1)+1,$C146:$F146)*VLOOKUP(BP$2,Valores!$H$2:$P$154,8,0)</f>
        <v>0</v>
      </c>
      <c r="BQ146" s="30" t="n">
        <f aca="false">SUMIF($C$2:$F$2,EOMONTH(BQ$2,-1)+1,$C146:$F146)*VLOOKUP(BQ$2,Valores!$H$2:$P$154,8,0)</f>
        <v>0</v>
      </c>
      <c r="BR146" s="30" t="n">
        <f aca="false">SUMIF($C$2:$F$2,EOMONTH(BR$2,-1)+1,$C146:$F146)*VLOOKUP(BR$2,Valores!$H$2:$P$154,8,0)</f>
        <v>0</v>
      </c>
      <c r="BS146" s="30" t="n">
        <f aca="false">SUMIF($C$2:$F$2,EOMONTH(BS$2,-1)+1,$C146:$F146)*VLOOKUP(BS$2,Valores!$H$2:$P$154,8,0)</f>
        <v>0</v>
      </c>
      <c r="BT146" s="30" t="n">
        <f aca="false">SUMIF($C$2:$F$2,EOMONTH(BT$2,-1)+1,$C146:$F146)*VLOOKUP(BT$2,Valores!$H$2:$P$154,8,0)</f>
        <v>0</v>
      </c>
      <c r="BU146" s="30" t="n">
        <f aca="false">SUMIF($C$2:$F$2,EOMONTH(BU$2,-1)+1,$C146:$F146)*VLOOKUP(BU$2,Valores!$H$2:$P$154,8,0)</f>
        <v>0</v>
      </c>
      <c r="BV146" s="30" t="n">
        <f aca="false">SUMIF($C$2:$F$2,EOMONTH(BV$2,-1)+1,$C146:$F146)*VLOOKUP(BV$2,Valores!$H$2:$P$154,8,0)</f>
        <v>0</v>
      </c>
      <c r="BW146" s="30" t="n">
        <f aca="false">SUMIF($C$2:$F$2,EOMONTH(BW$2,-1)+1,$C146:$F146)*VLOOKUP(BW$2,Valores!$H$2:$P$154,8,0)</f>
        <v>0</v>
      </c>
      <c r="BX146" s="30" t="n">
        <f aca="false">SUMIF($C$2:$F$2,EOMONTH(BX$2,-1)+1,$C146:$F146)*VLOOKUP(BX$2,Valores!$H$2:$P$154,8,0)</f>
        <v>0</v>
      </c>
      <c r="BY146" s="30" t="n">
        <f aca="false">SUMIF($C$2:$F$2,EOMONTH(BY$2,-1)+1,$C146:$F146)*VLOOKUP(BY$2,Valores!$H$2:$P$154,8,0)</f>
        <v>0</v>
      </c>
      <c r="BZ146" s="30" t="n">
        <f aca="false">SUMIF($C$2:$F$2,EOMONTH(BZ$2,-1)+1,$C146:$F146)*VLOOKUP(BZ$2,Valores!$H$2:$P$154,8,0)</f>
        <v>0</v>
      </c>
      <c r="CA146" s="30" t="n">
        <f aca="false">SUMIF($C$2:$F$2,EOMONTH(CA$2,-1)+1,$C146:$F146)*VLOOKUP(CA$2,Valores!$H$2:$P$154,8,0)</f>
        <v>0</v>
      </c>
      <c r="CB146" s="30" t="n">
        <f aca="false">SUMIF($C$2:$F$2,EOMONTH(CB$2,-1)+1,$C146:$F146)*VLOOKUP(CB$2,Valores!$H$2:$P$154,8,0)</f>
        <v>0</v>
      </c>
      <c r="CC146" s="30" t="n">
        <f aca="false">SUMIF($C$2:$F$2,EOMONTH(CC$2,-1)+1,$C146:$F146)*VLOOKUP(CC$2,Valores!$H$2:$P$154,8,0)</f>
        <v>0</v>
      </c>
      <c r="CD146" s="30" t="n">
        <f aca="false">SUMIF($C$2:$F$2,EOMONTH(CD$2,-1)+1,$C146:$F146)*VLOOKUP(CD$2,Valores!$H$2:$P$154,8,0)</f>
        <v>0</v>
      </c>
      <c r="CE146" s="30" t="n">
        <f aca="false">SUMIF($C$2:$F$2,EOMONTH(CE$2,-1)+1,$C146:$F146)*VLOOKUP(CE$2,Valores!$H$2:$P$154,8,0)</f>
        <v>0</v>
      </c>
      <c r="CF146" s="30" t="n">
        <f aca="false">SUMIF($C$2:$F$2,EOMONTH(CF$2,-1)+1,$C146:$F146)*VLOOKUP(CF$2,Valores!$H$2:$P$154,8,0)</f>
        <v>0</v>
      </c>
      <c r="CG146" s="30" t="n">
        <f aca="false">SUMIF($C$2:$F$2,EOMONTH(CG$2,-1)+1,$C146:$F146)*VLOOKUP(CG$2,Valores!$H$2:$P$154,8,0)</f>
        <v>0</v>
      </c>
      <c r="CH146" s="30" t="n">
        <f aca="false">SUMIF($C$2:$F$2,EOMONTH(CH$2,-1)+1,$C146:$F146)*VLOOKUP(CH$2,Valores!$H$2:$P$154,8,0)</f>
        <v>0</v>
      </c>
      <c r="CI146" s="30" t="n">
        <f aca="false">SUMIF($C$2:$F$2,EOMONTH(CI$2,-1)+1,$C146:$F146)*VLOOKUP(CI$2,Valores!$H$2:$P$154,8,0)</f>
        <v>0</v>
      </c>
      <c r="CJ146" s="30" t="n">
        <f aca="false">SUMIF($C$2:$F$2,EOMONTH(CJ$2,-1)+1,$C146:$F146)*VLOOKUP(CJ$2,Valores!$H$2:$P$154,8,0)</f>
        <v>0</v>
      </c>
      <c r="CK146" s="30" t="n">
        <f aca="false">SUMIF($C$2:$F$2,EOMONTH(CK$2,-1)+1,$C146:$F146)*VLOOKUP(CK$2,Valores!$H$2:$P$154,8,0)</f>
        <v>0</v>
      </c>
      <c r="CL146" s="30" t="n">
        <f aca="false">SUMIF($C$2:$F$2,EOMONTH(CL$2,-1)+1,$C146:$F146)*VLOOKUP(CL$2,Valores!$H$2:$P$154,8,0)</f>
        <v>0</v>
      </c>
      <c r="CM146" s="30" t="n">
        <f aca="false">SUMIF($C$2:$F$2,EOMONTH(CM$2,-1)+1,$C146:$F146)*VLOOKUP(CM$2,Valores!$H$2:$P$154,8,0)</f>
        <v>0</v>
      </c>
      <c r="CN146" s="30" t="n">
        <f aca="false">SUMIF($C$2:$F$2,EOMONTH(CN$2,-1)+1,$C146:$F146)*VLOOKUP(CN$2,Valores!$H$2:$P$154,8,0)</f>
        <v>0</v>
      </c>
      <c r="CO146" s="30" t="n">
        <f aca="false">SUMIF($C$2:$F$2,EOMONTH(CO$2,-1)+1,$C146:$F146)*VLOOKUP(CO$2,Valores!$H$2:$P$154,8,0)</f>
        <v>0</v>
      </c>
      <c r="CP146" s="30" t="n">
        <f aca="false">SUMIF($C$2:$F$2,EOMONTH(CP$2,-1)+1,$C146:$F146)*VLOOKUP(CP$2,Valores!$H$2:$P$154,8,0)</f>
        <v>0</v>
      </c>
      <c r="CQ146" s="30" t="n">
        <f aca="false">SUMIF($C$2:$F$2,EOMONTH(CQ$2,-1)+1,$C146:$F146)*VLOOKUP(CQ$2,Valores!$H$2:$P$154,8,0)</f>
        <v>0</v>
      </c>
      <c r="CR146" s="30" t="n">
        <f aca="false">SUMIF($C$2:$F$2,EOMONTH(CR$2,-1)+1,$C146:$F146)*VLOOKUP(CR$2,Valores!$H$2:$P$154,8,0)</f>
        <v>0</v>
      </c>
      <c r="CS146" s="30" t="n">
        <f aca="false">SUMIF($C$2:$F$2,EOMONTH(CS$2,-1)+1,$C146:$F146)*VLOOKUP(CS$2,Valores!$H$2:$P$154,8,0)</f>
        <v>0</v>
      </c>
      <c r="CT146" s="30" t="e">
        <f aca="false">SUMIF($C$2:$F$2,EOMONTH(CT$2,-1)+1,$C146:$F146)*VLOOKUP(CT$2,Valores!$H$2:$P$154,8,0)</f>
        <v>#VALUE!</v>
      </c>
      <c r="CU146" s="30" t="e">
        <f aca="false">SUMIF($C$2:$F$2,EOMONTH(CU$2,-1)+1,$C146:$F146)*VLOOKUP(CU$2,Valores!$H$2:$P$154,8,0)</f>
        <v>#VALUE!</v>
      </c>
      <c r="CV146" s="30" t="e">
        <f aca="false">SUMIF($C$2:$F$2,EOMONTH(CV$2,-1)+1,$C146:$F146)*VLOOKUP(CV$2,Valores!$H$2:$P$154,8,0)</f>
        <v>#VALUE!</v>
      </c>
      <c r="CW146" s="30" t="e">
        <f aca="false">SUMIF($C$2:$F$2,EOMONTH(CW$2,-1)+1,$C146:$F146)*VLOOKUP(CW$2,Valores!$H$2:$P$154,8,0)</f>
        <v>#VALUE!</v>
      </c>
      <c r="CX146" s="30" t="e">
        <f aca="false">SUMIF($C$2:$F$2,EOMONTH(CX$2,-1)+1,$C146:$F146)*VLOOKUP(CX$2,Valores!$H$2:$P$154,8,0)</f>
        <v>#VALUE!</v>
      </c>
      <c r="CY146" s="30" t="e">
        <f aca="false">SUMIF($C$2:$F$2,EOMONTH(CY$2,-1)+1,$C146:$F146)*VLOOKUP(CY$2,Valores!$H$2:$P$154,8,0)</f>
        <v>#VALUE!</v>
      </c>
      <c r="CZ146" s="30" t="e">
        <f aca="false">SUMIF($C$2:$F$2,EOMONTH(CZ$2,-1)+1,$C146:$F146)*VLOOKUP(CZ$2,Valores!$H$2:$P$154,8,0)</f>
        <v>#VALUE!</v>
      </c>
      <c r="DA146" s="30" t="e">
        <f aca="false">SUMIF($C$2:$F$2,EOMONTH(DA$2,-1)+1,$C146:$F146)*VLOOKUP(DA$2,Valores!$H$2:$P$154,8,0)</f>
        <v>#VALUE!</v>
      </c>
      <c r="DB146" s="30" t="e">
        <f aca="false">SUMIF($C$2:$F$2,EOMONTH(DB$2,-1)+1,$C146:$F146)*VLOOKUP(DB$2,Valores!$H$2:$P$154,8,0)</f>
        <v>#VALUE!</v>
      </c>
      <c r="DC146" s="30" t="e">
        <f aca="false">SUMIF($C$2:$F$2,EOMONTH(DC$2,-1)+1,$C146:$F146)*VLOOKUP(DC$2,Valores!$H$2:$P$154,8,0)</f>
        <v>#VALUE!</v>
      </c>
      <c r="DD146" s="30" t="e">
        <f aca="false">SUMIF($C$2:$F$2,EOMONTH(DD$2,-1)+1,$C146:$F146)*VLOOKUP(DD$2,Valores!$H$2:$P$154,8,0)</f>
        <v>#VALUE!</v>
      </c>
      <c r="DE146" s="30" t="e">
        <f aca="false">SUMIF($C$2:$F$2,EOMONTH(DE$2,-1)+1,$C146:$F146)*VLOOKUP(DE$2,Valores!$H$2:$P$154,8,0)</f>
        <v>#VALUE!</v>
      </c>
      <c r="DF146" s="30" t="e">
        <f aca="false">SUMIF($C$2:$F$2,EOMONTH(DF$2,-1)+1,$C146:$F146)*VLOOKUP(DF$2,Valores!$H$2:$P$154,8,0)</f>
        <v>#VALUE!</v>
      </c>
      <c r="DG146" s="30" t="e">
        <f aca="false">SUMIF($C$2:$F$2,EOMONTH(DG$2,-1)+1,$C146:$F146)*VLOOKUP(DG$2,Valores!$H$2:$P$154,8,0)</f>
        <v>#VALUE!</v>
      </c>
      <c r="DH146" s="30" t="e">
        <f aca="false">SUMIF($C$2:$F$2,EOMONTH(DH$2,-1)+1,$C146:$F146)*VLOOKUP(DH$2,Valores!$H$2:$P$154,8,0)</f>
        <v>#VALUE!</v>
      </c>
      <c r="DI146" s="30" t="e">
        <f aca="false">SUMIF($C$2:$F$2,EOMONTH(DI$2,-1)+1,$C146:$F146)*VLOOKUP(DI$2,Valores!$H$2:$P$154,8,0)</f>
        <v>#VALUE!</v>
      </c>
      <c r="DJ146" s="30" t="e">
        <f aca="false">SUMIF($C$2:$F$2,EOMONTH(DJ$2,-1)+1,$C146:$F146)*VLOOKUP(DJ$2,Valores!$H$2:$P$154,8,0)</f>
        <v>#VALUE!</v>
      </c>
      <c r="DK146" s="30" t="e">
        <f aca="false">SUMIF($C$2:$F$2,EOMONTH(DK$2,-1)+1,$C146:$F146)*VLOOKUP(DK$2,Valores!$H$2:$P$154,8,0)</f>
        <v>#VALUE!</v>
      </c>
      <c r="DL146" s="30" t="e">
        <f aca="false">SUMIF($C$2:$F$2,EOMONTH(DL$2,-1)+1,$C146:$F146)*VLOOKUP(DL$2,Valores!$H$2:$P$154,8,0)</f>
        <v>#VALUE!</v>
      </c>
      <c r="DM146" s="30" t="e">
        <f aca="false">SUMIF($C$2:$F$2,EOMONTH(DM$2,-1)+1,$C146:$F146)*VLOOKUP(DM$2,Valores!$H$2:$P$154,8,0)</f>
        <v>#VALUE!</v>
      </c>
      <c r="DN146" s="30" t="e">
        <f aca="false">SUMIF($C$2:$F$2,EOMONTH(DN$2,-1)+1,$C146:$F146)*VLOOKUP(DN$2,Valores!$H$2:$P$154,8,0)</f>
        <v>#VALUE!</v>
      </c>
      <c r="DO146" s="30" t="e">
        <f aca="false">SUMIF($C$2:$F$2,EOMONTH(DO$2,-1)+1,$C146:$F146)*VLOOKUP(DO$2,Valores!$H$2:$P$154,8,0)</f>
        <v>#VALUE!</v>
      </c>
      <c r="DP146" s="30" t="e">
        <f aca="false">SUMIF($C$2:$F$2,EOMONTH(DP$2,-1)+1,$C146:$F146)*VLOOKUP(DP$2,Valores!$H$2:$P$154,8,0)</f>
        <v>#VALUE!</v>
      </c>
      <c r="DQ146" s="30" t="e">
        <f aca="false">SUMIF($C$2:$F$2,EOMONTH(DQ$2,-1)+1,$C146:$F146)*VLOOKUP(DQ$2,Valores!$H$2:$P$154,8,0)</f>
        <v>#VALUE!</v>
      </c>
      <c r="DR146" s="30" t="e">
        <f aca="false">SUMIF($C$2:$F$2,EOMONTH(DR$2,-1)+1,$C146:$F146)*VLOOKUP(DR$2,Valores!$H$2:$P$154,8,0)</f>
        <v>#VALUE!</v>
      </c>
      <c r="DS146" s="30" t="e">
        <f aca="false">SUMIF($C$2:$F$2,EOMONTH(DS$2,-1)+1,$C146:$F146)*VLOOKUP(DS$2,Valores!$H$2:$P$154,8,0)</f>
        <v>#VALUE!</v>
      </c>
      <c r="DT146" s="30" t="e">
        <f aca="false">SUMIF($C$2:$F$2,EOMONTH(DT$2,-1)+1,$C146:$F146)*VLOOKUP(DT$2,Valores!$H$2:$P$154,8,0)</f>
        <v>#VALUE!</v>
      </c>
      <c r="DU146" s="30" t="e">
        <f aca="false">SUMIF($C$2:$F$2,EOMONTH(DU$2,-1)+1,$C146:$F146)*VLOOKUP(DU$2,Valores!$H$2:$P$154,8,0)</f>
        <v>#VALUE!</v>
      </c>
      <c r="DV146" s="30" t="e">
        <f aca="false">SUMIF($C$2:$F$2,EOMONTH(DV$2,-1)+1,$C146:$F146)*VLOOKUP(DV$2,Valores!$H$2:$P$154,8,0)</f>
        <v>#VALUE!</v>
      </c>
      <c r="DW146" s="30" t="e">
        <f aca="false">SUMIF($C$2:$F$2,EOMONTH(DW$2,-1)+1,$C146:$F146)*VLOOKUP(DW$2,Valores!$H$2:$P$154,8,0)</f>
        <v>#VALUE!</v>
      </c>
      <c r="DX146" s="30" t="e">
        <f aca="false">SUMIF($C$2:$F$2,EOMONTH(DX$2,-1)+1,$C146:$F146)*VLOOKUP(DX$2,Valores!$H$2:$P$154,8,0)</f>
        <v>#VALUE!</v>
      </c>
    </row>
    <row r="147" customFormat="false" ht="13.8" hidden="false" customHeight="false" outlineLevel="0" collapsed="false">
      <c r="A147" s="31"/>
      <c r="B147" s="31"/>
      <c r="C147" s="31"/>
      <c r="D147" s="31"/>
      <c r="E147" s="31"/>
      <c r="F147" s="31"/>
      <c r="G147" s="27" t="n">
        <f aca="false">SUMIF($C$2:$F$2,EOMONTH(G$2,-1)+1,$C147:$F147)*VLOOKUP(G$2,Valores!$H$2:$P$154,8,0)</f>
        <v>0</v>
      </c>
      <c r="H147" s="27" t="n">
        <f aca="false">SUMIF($C$2:$F$2,EOMONTH(H$2,-1)+1,$C147:$F147)*VLOOKUP(H$2,Valores!$H$2:$P$154,8,0)</f>
        <v>0</v>
      </c>
      <c r="I147" s="27" t="n">
        <f aca="false">SUMIF($C$2:$F$2,EOMONTH(I$2,-1)+1,$C147:$F147)*VLOOKUP(I$2,Valores!$H$2:$P$154,8,0)</f>
        <v>0</v>
      </c>
      <c r="J147" s="27" t="n">
        <f aca="false">SUMIF($C$2:$F$2,EOMONTH(J$2,-1)+1,$C147:$F147)*VLOOKUP(J$2,Valores!$H$2:$P$154,8,0)</f>
        <v>0</v>
      </c>
      <c r="K147" s="27" t="n">
        <f aca="false">SUMIF($C$2:$F$2,EOMONTH(K$2,-1)+1,$C147:$F147)*VLOOKUP(K$2,Valores!$H$2:$P$154,8,0)</f>
        <v>0</v>
      </c>
      <c r="L147" s="27" t="n">
        <f aca="false">SUMIF($C$2:$F$2,EOMONTH(L$2,-1)+1,$C147:$F147)*VLOOKUP(L$2,Valores!$H$2:$P$154,8,0)</f>
        <v>0</v>
      </c>
      <c r="M147" s="27" t="n">
        <f aca="false">SUMIF($C$2:$F$2,EOMONTH(M$2,-1)+1,$C147:$F147)*VLOOKUP(M$2,Valores!$H$2:$P$154,8,0)</f>
        <v>0</v>
      </c>
      <c r="N147" s="27" t="n">
        <f aca="false">SUMIF($C$2:$F$2,EOMONTH(N$2,-1)+1,$C147:$F147)*VLOOKUP(N$2,Valores!$H$2:$P$154,8,0)</f>
        <v>0</v>
      </c>
      <c r="O147" s="27" t="n">
        <f aca="false">SUMIF($C$2:$F$2,EOMONTH(O$2,-1)+1,$C147:$F147)*VLOOKUP(O$2,Valores!$H$2:$P$154,8,0)</f>
        <v>0</v>
      </c>
      <c r="P147" s="27" t="n">
        <f aca="false">SUMIF($C$2:$F$2,EOMONTH(P$2,-1)+1,$C147:$F147)*VLOOKUP(P$2,Valores!$H$2:$P$154,8,0)</f>
        <v>0</v>
      </c>
      <c r="Q147" s="27" t="n">
        <f aca="false">SUMIF($C$2:$F$2,EOMONTH(Q$2,-1)+1,$C147:$F147)*VLOOKUP(Q$2,Valores!$H$2:$P$154,8,0)</f>
        <v>0</v>
      </c>
      <c r="R147" s="27" t="n">
        <f aca="false">SUMIF($C$2:$F$2,EOMONTH(R$2,-1)+1,$C147:$F147)*VLOOKUP(R$2,Valores!$H$2:$P$154,8,0)</f>
        <v>0</v>
      </c>
      <c r="S147" s="27" t="n">
        <f aca="false">SUMIF($C$2:$F$2,EOMONTH(S$2,-1)+1,$C147:$F147)*VLOOKUP(S$2,Valores!$H$2:$P$154,8,0)</f>
        <v>0</v>
      </c>
      <c r="T147" s="27" t="n">
        <f aca="false">SUMIF($C$2:$F$2,EOMONTH(T$2,-1)+1,$C147:$F147)*VLOOKUP(T$2,Valores!$H$2:$P$154,8,0)</f>
        <v>0</v>
      </c>
      <c r="U147" s="27" t="n">
        <f aca="false">SUMIF($C$2:$F$2,EOMONTH(U$2,-1)+1,$C147:$F147)*VLOOKUP(U$2,Valores!$H$2:$P$154,8,0)</f>
        <v>0</v>
      </c>
      <c r="V147" s="27" t="n">
        <f aca="false">SUMIF($C$2:$F$2,EOMONTH(V$2,-1)+1,$C147:$F147)*VLOOKUP(V$2,Valores!$H$2:$P$154,8,0)</f>
        <v>0</v>
      </c>
      <c r="W147" s="27" t="n">
        <f aca="false">SUMIF($C$2:$F$2,EOMONTH(W$2,-1)+1,$C147:$F147)*VLOOKUP(W$2,Valores!$H$2:$P$154,8,0)</f>
        <v>0</v>
      </c>
      <c r="X147" s="27" t="n">
        <f aca="false">SUMIF($C$2:$F$2,EOMONTH(X$2,-1)+1,$C147:$F147)*VLOOKUP(X$2,Valores!$H$2:$P$154,8,0)</f>
        <v>0</v>
      </c>
      <c r="Y147" s="27" t="n">
        <f aca="false">SUMIF($C$2:$F$2,EOMONTH(Y$2,-1)+1,$C147:$F147)*VLOOKUP(Y$2,Valores!$H$2:$P$154,8,0)</f>
        <v>0</v>
      </c>
      <c r="Z147" s="27" t="n">
        <f aca="false">SUMIF($C$2:$F$2,EOMONTH(Z$2,-1)+1,$C147:$F147)*VLOOKUP(Z$2,Valores!$H$2:$P$154,8,0)</f>
        <v>0</v>
      </c>
      <c r="AA147" s="27" t="n">
        <f aca="false">SUMIF($C$2:$F$2,EOMONTH(AA$2,-1)+1,$C147:$F147)*VLOOKUP(AA$2,Valores!$H$2:$P$154,8,0)</f>
        <v>0</v>
      </c>
      <c r="AB147" s="27" t="n">
        <f aca="false">SUMIF($C$2:$F$2,EOMONTH(AB$2,-1)+1,$C147:$F147)*VLOOKUP(AB$2,Valores!$H$2:$P$154,8,0)</f>
        <v>0</v>
      </c>
      <c r="AC147" s="27" t="n">
        <f aca="false">SUMIF($C$2:$F$2,EOMONTH(AC$2,-1)+1,$C147:$F147)*VLOOKUP(AC$2,Valores!$H$2:$P$154,8,0)</f>
        <v>0</v>
      </c>
      <c r="AD147" s="27" t="n">
        <f aca="false">SUMIF($C$2:$F$2,EOMONTH(AD$2,-1)+1,$C147:$F147)*VLOOKUP(AD$2,Valores!$H$2:$P$154,8,0)</f>
        <v>0</v>
      </c>
      <c r="AE147" s="27" t="n">
        <f aca="false">SUMIF($C$2:$F$2,EOMONTH(AE$2,-1)+1,$C147:$F147)*VLOOKUP(AE$2,Valores!$H$2:$P$154,8,0)</f>
        <v>0</v>
      </c>
      <c r="AF147" s="27" t="n">
        <f aca="false">SUMIF($C$2:$F$2,EOMONTH(AF$2,-1)+1,$C147:$F147)*VLOOKUP(AF$2,Valores!$H$2:$P$154,8,0)</f>
        <v>0</v>
      </c>
      <c r="AG147" s="27" t="n">
        <f aca="false">SUMIF($C$2:$F$2,EOMONTH(AG$2,-1)+1,$C147:$F147)*VLOOKUP(AG$2,Valores!$H$2:$P$154,8,0)</f>
        <v>0</v>
      </c>
      <c r="AH147" s="27" t="n">
        <f aca="false">SUMIF($C$2:$F$2,EOMONTH(AH$2,-1)+1,$C147:$F147)*VLOOKUP(AH$2,Valores!$H$2:$P$154,8,0)</f>
        <v>0</v>
      </c>
      <c r="AI147" s="27" t="n">
        <f aca="false">SUMIF($C$2:$F$2,EOMONTH(AI$2,-1)+1,$C147:$F147)*VLOOKUP(AI$2,Valores!$H$2:$P$154,8,0)</f>
        <v>0</v>
      </c>
      <c r="AJ147" s="27" t="n">
        <f aca="false">SUMIF($C$2:$F$2,EOMONTH(AJ$2,-1)+1,$C147:$F147)*VLOOKUP(AJ$2,Valores!$H$2:$P$154,8,0)</f>
        <v>0</v>
      </c>
      <c r="AK147" s="27" t="n">
        <f aca="false">SUMIF($C$2:$F$2,EOMONTH(AK$2,-1)+1,$C147:$F147)*VLOOKUP(AK$2,Valores!$H$2:$P$154,8,0)</f>
        <v>0</v>
      </c>
      <c r="AL147" s="27" t="n">
        <f aca="false">SUMIF($C$2:$F$2,EOMONTH(AL$2,-1)+1,$C147:$F147)*VLOOKUP(AL$2,Valores!$H$2:$P$154,8,0)</f>
        <v>0</v>
      </c>
      <c r="AM147" s="27" t="n">
        <f aca="false">SUMIF($C$2:$F$2,EOMONTH(AM$2,-1)+1,$C147:$F147)*VLOOKUP(AM$2,Valores!$H$2:$P$154,8,0)</f>
        <v>0</v>
      </c>
      <c r="AN147" s="27" t="n">
        <f aca="false">SUMIF($C$2:$F$2,EOMONTH(AN$2,-1)+1,$C147:$F147)*VLOOKUP(AN$2,Valores!$H$2:$P$154,8,0)</f>
        <v>0</v>
      </c>
      <c r="AO147" s="27" t="n">
        <f aca="false">SUMIF($C$2:$F$2,EOMONTH(AO$2,-1)+1,$C147:$F147)*VLOOKUP(AO$2,Valores!$H$2:$P$154,8,0)</f>
        <v>0</v>
      </c>
      <c r="AP147" s="27" t="n">
        <f aca="false">SUMIF($C$2:$F$2,EOMONTH(AP$2,-1)+1,$C147:$F147)*VLOOKUP(AP$2,Valores!$H$2:$P$154,8,0)</f>
        <v>0</v>
      </c>
      <c r="AQ147" s="27" t="n">
        <f aca="false">SUMIF($C$2:$F$2,EOMONTH(AQ$2,-1)+1,$C147:$F147)*VLOOKUP(AQ$2,Valores!$H$2:$P$154,8,0)</f>
        <v>0</v>
      </c>
      <c r="AR147" s="27" t="n">
        <f aca="false">SUMIF($C$2:$F$2,EOMONTH(AR$2,-1)+1,$C147:$F147)*VLOOKUP(AR$2,Valores!$H$2:$P$154,8,0)</f>
        <v>0</v>
      </c>
      <c r="AS147" s="27" t="n">
        <f aca="false">SUMIF($C$2:$F$2,EOMONTH(AS$2,-1)+1,$C147:$F147)*VLOOKUP(AS$2,Valores!$H$2:$P$154,8,0)</f>
        <v>0</v>
      </c>
      <c r="AT147" s="27" t="n">
        <f aca="false">SUMIF($C$2:$F$2,EOMONTH(AT$2,-1)+1,$C147:$F147)*VLOOKUP(AT$2,Valores!$H$2:$P$154,8,0)</f>
        <v>0</v>
      </c>
      <c r="AU147" s="27" t="n">
        <f aca="false">SUMIF($C$2:$F$2,EOMONTH(AU$2,-1)+1,$C147:$F147)*VLOOKUP(AU$2,Valores!$H$2:$P$154,8,0)</f>
        <v>0</v>
      </c>
      <c r="AV147" s="27" t="n">
        <f aca="false">SUMIF($C$2:$F$2,EOMONTH(AV$2,-1)+1,$C147:$F147)*VLOOKUP(AV$2,Valores!$H$2:$P$154,8,0)</f>
        <v>0</v>
      </c>
      <c r="AW147" s="27" t="n">
        <f aca="false">SUMIF($C$2:$F$2,EOMONTH(AW$2,-1)+1,$C147:$F147)*VLOOKUP(AW$2,Valores!$H$2:$P$154,8,0)</f>
        <v>0</v>
      </c>
      <c r="AX147" s="27" t="n">
        <f aca="false">SUMIF($C$2:$F$2,EOMONTH(AX$2,-1)+1,$C147:$F147)*VLOOKUP(AX$2,Valores!$H$2:$P$154,8,0)</f>
        <v>0</v>
      </c>
      <c r="AY147" s="27" t="n">
        <f aca="false">SUMIF($C$2:$F$2,EOMONTH(AY$2,-1)+1,$C147:$F147)*VLOOKUP(AY$2,Valores!$H$2:$P$154,8,0)</f>
        <v>0</v>
      </c>
      <c r="AZ147" s="27" t="n">
        <f aca="false">SUMIF($C$2:$F$2,EOMONTH(AZ$2,-1)+1,$C147:$F147)*VLOOKUP(AZ$2,Valores!$H$2:$P$154,8,0)</f>
        <v>0</v>
      </c>
      <c r="BA147" s="27" t="n">
        <f aca="false">SUMIF($C$2:$F$2,EOMONTH(BA$2,-1)+1,$C147:$F147)*VLOOKUP(BA$2,Valores!$H$2:$P$154,8,0)</f>
        <v>0</v>
      </c>
      <c r="BB147" s="27" t="n">
        <f aca="false">SUMIF($C$2:$F$2,EOMONTH(BB$2,-1)+1,$C147:$F147)*VLOOKUP(BB$2,Valores!$H$2:$P$154,8,0)</f>
        <v>0</v>
      </c>
      <c r="BC147" s="27" t="n">
        <f aca="false">SUMIF($C$2:$F$2,EOMONTH(BC$2,-1)+1,$C147:$F147)*VLOOKUP(BC$2,Valores!$H$2:$P$154,8,0)</f>
        <v>0</v>
      </c>
      <c r="BD147" s="27" t="n">
        <f aca="false">SUMIF($C$2:$F$2,EOMONTH(BD$2,-1)+1,$C147:$F147)*VLOOKUP(BD$2,Valores!$H$2:$P$154,8,0)</f>
        <v>0</v>
      </c>
      <c r="BE147" s="27" t="n">
        <f aca="false">SUMIF($C$2:$F$2,EOMONTH(BE$2,-1)+1,$C147:$F147)*VLOOKUP(BE$2,Valores!$H$2:$P$154,8,0)</f>
        <v>0</v>
      </c>
      <c r="BF147" s="27" t="n">
        <f aca="false">SUMIF($C$2:$F$2,EOMONTH(BF$2,-1)+1,$C147:$F147)*VLOOKUP(BF$2,Valores!$H$2:$P$154,8,0)</f>
        <v>0</v>
      </c>
      <c r="BG147" s="27" t="n">
        <f aca="false">SUMIF($C$2:$F$2,EOMONTH(BG$2,-1)+1,$C147:$F147)*VLOOKUP(BG$2,Valores!$H$2:$P$154,8,0)</f>
        <v>0</v>
      </c>
      <c r="BH147" s="27" t="n">
        <f aca="false">SUMIF($C$2:$F$2,EOMONTH(BH$2,-1)+1,$C147:$F147)*VLOOKUP(BH$2,Valores!$H$2:$P$154,8,0)</f>
        <v>0</v>
      </c>
      <c r="BI147" s="27" t="n">
        <f aca="false">SUMIF($C$2:$F$2,EOMONTH(BI$2,-1)+1,$C147:$F147)*VLOOKUP(BI$2,Valores!$H$2:$P$154,8,0)</f>
        <v>0</v>
      </c>
      <c r="BJ147" s="27" t="n">
        <f aca="false">SUMIF($C$2:$F$2,EOMONTH(BJ$2,-1)+1,$C147:$F147)*VLOOKUP(BJ$2,Valores!$H$2:$P$154,8,0)</f>
        <v>0</v>
      </c>
      <c r="BK147" s="27" t="n">
        <f aca="false">SUMIF($C$2:$F$2,EOMONTH(BK$2,-1)+1,$C147:$F147)*VLOOKUP(BK$2,Valores!$H$2:$P$154,8,0)</f>
        <v>0</v>
      </c>
      <c r="BL147" s="27" t="n">
        <f aca="false">SUMIF($C$2:$F$2,EOMONTH(BL$2,-1)+1,$C147:$F147)*VLOOKUP(BL$2,Valores!$H$2:$P$154,8,0)</f>
        <v>0</v>
      </c>
      <c r="BM147" s="27" t="n">
        <f aca="false">SUMIF($C$2:$F$2,EOMONTH(BM$2,-1)+1,$C147:$F147)*VLOOKUP(BM$2,Valores!$H$2:$P$154,8,0)</f>
        <v>0</v>
      </c>
      <c r="BN147" s="27" t="n">
        <f aca="false">SUMIF($C$2:$F$2,EOMONTH(BN$2,-1)+1,$C147:$F147)*VLOOKUP(BN$2,Valores!$H$2:$P$154,8,0)</f>
        <v>0</v>
      </c>
      <c r="BO147" s="27" t="n">
        <f aca="false">SUMIF($C$2:$F$2,EOMONTH(BO$2,-1)+1,$C147:$F147)*VLOOKUP(BO$2,Valores!$H$2:$P$154,8,0)</f>
        <v>0</v>
      </c>
      <c r="BP147" s="27" t="n">
        <f aca="false">SUMIF($C$2:$F$2,EOMONTH(BP$2,-1)+1,$C147:$F147)*VLOOKUP(BP$2,Valores!$H$2:$P$154,8,0)</f>
        <v>0</v>
      </c>
      <c r="BQ147" s="27" t="n">
        <f aca="false">SUMIF($C$2:$F$2,EOMONTH(BQ$2,-1)+1,$C147:$F147)*VLOOKUP(BQ$2,Valores!$H$2:$P$154,8,0)</f>
        <v>0</v>
      </c>
      <c r="BR147" s="27" t="n">
        <f aca="false">SUMIF($C$2:$F$2,EOMONTH(BR$2,-1)+1,$C147:$F147)*VLOOKUP(BR$2,Valores!$H$2:$P$154,8,0)</f>
        <v>0</v>
      </c>
      <c r="BS147" s="27" t="n">
        <f aca="false">SUMIF($C$2:$F$2,EOMONTH(BS$2,-1)+1,$C147:$F147)*VLOOKUP(BS$2,Valores!$H$2:$P$154,8,0)</f>
        <v>0</v>
      </c>
      <c r="BT147" s="27" t="n">
        <f aca="false">SUMIF($C$2:$F$2,EOMONTH(BT$2,-1)+1,$C147:$F147)*VLOOKUP(BT$2,Valores!$H$2:$P$154,8,0)</f>
        <v>0</v>
      </c>
      <c r="BU147" s="27" t="n">
        <f aca="false">SUMIF($C$2:$F$2,EOMONTH(BU$2,-1)+1,$C147:$F147)*VLOOKUP(BU$2,Valores!$H$2:$P$154,8,0)</f>
        <v>0</v>
      </c>
      <c r="BV147" s="27" t="n">
        <f aca="false">SUMIF($C$2:$F$2,EOMONTH(BV$2,-1)+1,$C147:$F147)*VLOOKUP(BV$2,Valores!$H$2:$P$154,8,0)</f>
        <v>0</v>
      </c>
      <c r="BW147" s="27" t="n">
        <f aca="false">SUMIF($C$2:$F$2,EOMONTH(BW$2,-1)+1,$C147:$F147)*VLOOKUP(BW$2,Valores!$H$2:$P$154,8,0)</f>
        <v>0</v>
      </c>
      <c r="BX147" s="27" t="n">
        <f aca="false">SUMIF($C$2:$F$2,EOMONTH(BX$2,-1)+1,$C147:$F147)*VLOOKUP(BX$2,Valores!$H$2:$P$154,8,0)</f>
        <v>0</v>
      </c>
      <c r="BY147" s="27" t="n">
        <f aca="false">SUMIF($C$2:$F$2,EOMONTH(BY$2,-1)+1,$C147:$F147)*VLOOKUP(BY$2,Valores!$H$2:$P$154,8,0)</f>
        <v>0</v>
      </c>
      <c r="BZ147" s="27" t="n">
        <f aca="false">SUMIF($C$2:$F$2,EOMONTH(BZ$2,-1)+1,$C147:$F147)*VLOOKUP(BZ$2,Valores!$H$2:$P$154,8,0)</f>
        <v>0</v>
      </c>
      <c r="CA147" s="27" t="n">
        <f aca="false">SUMIF($C$2:$F$2,EOMONTH(CA$2,-1)+1,$C147:$F147)*VLOOKUP(CA$2,Valores!$H$2:$P$154,8,0)</f>
        <v>0</v>
      </c>
      <c r="CB147" s="27" t="n">
        <f aca="false">SUMIF($C$2:$F$2,EOMONTH(CB$2,-1)+1,$C147:$F147)*VLOOKUP(CB$2,Valores!$H$2:$P$154,8,0)</f>
        <v>0</v>
      </c>
      <c r="CC147" s="27" t="n">
        <f aca="false">SUMIF($C$2:$F$2,EOMONTH(CC$2,-1)+1,$C147:$F147)*VLOOKUP(CC$2,Valores!$H$2:$P$154,8,0)</f>
        <v>0</v>
      </c>
      <c r="CD147" s="27" t="n">
        <f aca="false">SUMIF($C$2:$F$2,EOMONTH(CD$2,-1)+1,$C147:$F147)*VLOOKUP(CD$2,Valores!$H$2:$P$154,8,0)</f>
        <v>0</v>
      </c>
      <c r="CE147" s="27" t="n">
        <f aca="false">SUMIF($C$2:$F$2,EOMONTH(CE$2,-1)+1,$C147:$F147)*VLOOKUP(CE$2,Valores!$H$2:$P$154,8,0)</f>
        <v>0</v>
      </c>
      <c r="CF147" s="27" t="n">
        <f aca="false">SUMIF($C$2:$F$2,EOMONTH(CF$2,-1)+1,$C147:$F147)*VLOOKUP(CF$2,Valores!$H$2:$P$154,8,0)</f>
        <v>0</v>
      </c>
      <c r="CG147" s="27" t="n">
        <f aca="false">SUMIF($C$2:$F$2,EOMONTH(CG$2,-1)+1,$C147:$F147)*VLOOKUP(CG$2,Valores!$H$2:$P$154,8,0)</f>
        <v>0</v>
      </c>
      <c r="CH147" s="27" t="n">
        <f aca="false">SUMIF($C$2:$F$2,EOMONTH(CH$2,-1)+1,$C147:$F147)*VLOOKUP(CH$2,Valores!$H$2:$P$154,8,0)</f>
        <v>0</v>
      </c>
      <c r="CI147" s="27" t="n">
        <f aca="false">SUMIF($C$2:$F$2,EOMONTH(CI$2,-1)+1,$C147:$F147)*VLOOKUP(CI$2,Valores!$H$2:$P$154,8,0)</f>
        <v>0</v>
      </c>
      <c r="CJ147" s="27" t="n">
        <f aca="false">SUMIF($C$2:$F$2,EOMONTH(CJ$2,-1)+1,$C147:$F147)*VLOOKUP(CJ$2,Valores!$H$2:$P$154,8,0)</f>
        <v>0</v>
      </c>
      <c r="CK147" s="27" t="n">
        <f aca="false">SUMIF($C$2:$F$2,EOMONTH(CK$2,-1)+1,$C147:$F147)*VLOOKUP(CK$2,Valores!$H$2:$P$154,8,0)</f>
        <v>0</v>
      </c>
      <c r="CL147" s="27" t="n">
        <f aca="false">SUMIF($C$2:$F$2,EOMONTH(CL$2,-1)+1,$C147:$F147)*VLOOKUP(CL$2,Valores!$H$2:$P$154,8,0)</f>
        <v>0</v>
      </c>
      <c r="CM147" s="27" t="n">
        <f aca="false">SUMIF($C$2:$F$2,EOMONTH(CM$2,-1)+1,$C147:$F147)*VLOOKUP(CM$2,Valores!$H$2:$P$154,8,0)</f>
        <v>0</v>
      </c>
      <c r="CN147" s="27" t="n">
        <f aca="false">SUMIF($C$2:$F$2,EOMONTH(CN$2,-1)+1,$C147:$F147)*VLOOKUP(CN$2,Valores!$H$2:$P$154,8,0)</f>
        <v>0</v>
      </c>
      <c r="CO147" s="27" t="n">
        <f aca="false">SUMIF($C$2:$F$2,EOMONTH(CO$2,-1)+1,$C147:$F147)*VLOOKUP(CO$2,Valores!$H$2:$P$154,8,0)</f>
        <v>0</v>
      </c>
      <c r="CP147" s="27" t="n">
        <f aca="false">SUMIF($C$2:$F$2,EOMONTH(CP$2,-1)+1,$C147:$F147)*VLOOKUP(CP$2,Valores!$H$2:$P$154,8,0)</f>
        <v>0</v>
      </c>
      <c r="CQ147" s="27" t="n">
        <f aca="false">SUMIF($C$2:$F$2,EOMONTH(CQ$2,-1)+1,$C147:$F147)*VLOOKUP(CQ$2,Valores!$H$2:$P$154,8,0)</f>
        <v>0</v>
      </c>
      <c r="CR147" s="27" t="n">
        <f aca="false">SUMIF($C$2:$F$2,EOMONTH(CR$2,-1)+1,$C147:$F147)*VLOOKUP(CR$2,Valores!$H$2:$P$154,8,0)</f>
        <v>0</v>
      </c>
      <c r="CS147" s="27" t="n">
        <f aca="false">SUMIF($C$2:$F$2,EOMONTH(CS$2,-1)+1,$C147:$F147)*VLOOKUP(CS$2,Valores!$H$2:$P$154,8,0)</f>
        <v>0</v>
      </c>
      <c r="CT147" s="27" t="e">
        <f aca="false">SUMIF($C$2:$F$2,EOMONTH(CT$2,-1)+1,$C147:$F147)*VLOOKUP(CT$2,Valores!$H$2:$P$154,8,0)</f>
        <v>#VALUE!</v>
      </c>
      <c r="CU147" s="27" t="e">
        <f aca="false">SUMIF($C$2:$F$2,EOMONTH(CU$2,-1)+1,$C147:$F147)*VLOOKUP(CU$2,Valores!$H$2:$P$154,8,0)</f>
        <v>#VALUE!</v>
      </c>
      <c r="CV147" s="27" t="e">
        <f aca="false">SUMIF($C$2:$F$2,EOMONTH(CV$2,-1)+1,$C147:$F147)*VLOOKUP(CV$2,Valores!$H$2:$P$154,8,0)</f>
        <v>#VALUE!</v>
      </c>
      <c r="CW147" s="27" t="e">
        <f aca="false">SUMIF($C$2:$F$2,EOMONTH(CW$2,-1)+1,$C147:$F147)*VLOOKUP(CW$2,Valores!$H$2:$P$154,8,0)</f>
        <v>#VALUE!</v>
      </c>
      <c r="CX147" s="27" t="e">
        <f aca="false">SUMIF($C$2:$F$2,EOMONTH(CX$2,-1)+1,$C147:$F147)*VLOOKUP(CX$2,Valores!$H$2:$P$154,8,0)</f>
        <v>#VALUE!</v>
      </c>
      <c r="CY147" s="27" t="e">
        <f aca="false">SUMIF($C$2:$F$2,EOMONTH(CY$2,-1)+1,$C147:$F147)*VLOOKUP(CY$2,Valores!$H$2:$P$154,8,0)</f>
        <v>#VALUE!</v>
      </c>
      <c r="CZ147" s="27" t="e">
        <f aca="false">SUMIF($C$2:$F$2,EOMONTH(CZ$2,-1)+1,$C147:$F147)*VLOOKUP(CZ$2,Valores!$H$2:$P$154,8,0)</f>
        <v>#VALUE!</v>
      </c>
      <c r="DA147" s="27" t="e">
        <f aca="false">SUMIF($C$2:$F$2,EOMONTH(DA$2,-1)+1,$C147:$F147)*VLOOKUP(DA$2,Valores!$H$2:$P$154,8,0)</f>
        <v>#VALUE!</v>
      </c>
      <c r="DB147" s="27" t="e">
        <f aca="false">SUMIF($C$2:$F$2,EOMONTH(DB$2,-1)+1,$C147:$F147)*VLOOKUP(DB$2,Valores!$H$2:$P$154,8,0)</f>
        <v>#VALUE!</v>
      </c>
      <c r="DC147" s="27" t="e">
        <f aca="false">SUMIF($C$2:$F$2,EOMONTH(DC$2,-1)+1,$C147:$F147)*VLOOKUP(DC$2,Valores!$H$2:$P$154,8,0)</f>
        <v>#VALUE!</v>
      </c>
      <c r="DD147" s="27" t="e">
        <f aca="false">SUMIF($C$2:$F$2,EOMONTH(DD$2,-1)+1,$C147:$F147)*VLOOKUP(DD$2,Valores!$H$2:$P$154,8,0)</f>
        <v>#VALUE!</v>
      </c>
      <c r="DE147" s="27" t="e">
        <f aca="false">SUMIF($C$2:$F$2,EOMONTH(DE$2,-1)+1,$C147:$F147)*VLOOKUP(DE$2,Valores!$H$2:$P$154,8,0)</f>
        <v>#VALUE!</v>
      </c>
      <c r="DF147" s="27" t="e">
        <f aca="false">SUMIF($C$2:$F$2,EOMONTH(DF$2,-1)+1,$C147:$F147)*VLOOKUP(DF$2,Valores!$H$2:$P$154,8,0)</f>
        <v>#VALUE!</v>
      </c>
      <c r="DG147" s="27" t="e">
        <f aca="false">SUMIF($C$2:$F$2,EOMONTH(DG$2,-1)+1,$C147:$F147)*VLOOKUP(DG$2,Valores!$H$2:$P$154,8,0)</f>
        <v>#VALUE!</v>
      </c>
      <c r="DH147" s="27" t="e">
        <f aca="false">SUMIF($C$2:$F$2,EOMONTH(DH$2,-1)+1,$C147:$F147)*VLOOKUP(DH$2,Valores!$H$2:$P$154,8,0)</f>
        <v>#VALUE!</v>
      </c>
      <c r="DI147" s="27" t="e">
        <f aca="false">SUMIF($C$2:$F$2,EOMONTH(DI$2,-1)+1,$C147:$F147)*VLOOKUP(DI$2,Valores!$H$2:$P$154,8,0)</f>
        <v>#VALUE!</v>
      </c>
      <c r="DJ147" s="27" t="e">
        <f aca="false">SUMIF($C$2:$F$2,EOMONTH(DJ$2,-1)+1,$C147:$F147)*VLOOKUP(DJ$2,Valores!$H$2:$P$154,8,0)</f>
        <v>#VALUE!</v>
      </c>
      <c r="DK147" s="27" t="e">
        <f aca="false">SUMIF($C$2:$F$2,EOMONTH(DK$2,-1)+1,$C147:$F147)*VLOOKUP(DK$2,Valores!$H$2:$P$154,8,0)</f>
        <v>#VALUE!</v>
      </c>
      <c r="DL147" s="27" t="e">
        <f aca="false">SUMIF($C$2:$F$2,EOMONTH(DL$2,-1)+1,$C147:$F147)*VLOOKUP(DL$2,Valores!$H$2:$P$154,8,0)</f>
        <v>#VALUE!</v>
      </c>
      <c r="DM147" s="27" t="e">
        <f aca="false">SUMIF($C$2:$F$2,EOMONTH(DM$2,-1)+1,$C147:$F147)*VLOOKUP(DM$2,Valores!$H$2:$P$154,8,0)</f>
        <v>#VALUE!</v>
      </c>
      <c r="DN147" s="27" t="e">
        <f aca="false">SUMIF($C$2:$F$2,EOMONTH(DN$2,-1)+1,$C147:$F147)*VLOOKUP(DN$2,Valores!$H$2:$P$154,8,0)</f>
        <v>#VALUE!</v>
      </c>
      <c r="DO147" s="27" t="e">
        <f aca="false">SUMIF($C$2:$F$2,EOMONTH(DO$2,-1)+1,$C147:$F147)*VLOOKUP(DO$2,Valores!$H$2:$P$154,8,0)</f>
        <v>#VALUE!</v>
      </c>
      <c r="DP147" s="27" t="e">
        <f aca="false">SUMIF($C$2:$F$2,EOMONTH(DP$2,-1)+1,$C147:$F147)*VLOOKUP(DP$2,Valores!$H$2:$P$154,8,0)</f>
        <v>#VALUE!</v>
      </c>
      <c r="DQ147" s="27" t="e">
        <f aca="false">SUMIF($C$2:$F$2,EOMONTH(DQ$2,-1)+1,$C147:$F147)*VLOOKUP(DQ$2,Valores!$H$2:$P$154,8,0)</f>
        <v>#VALUE!</v>
      </c>
      <c r="DR147" s="27" t="e">
        <f aca="false">SUMIF($C$2:$F$2,EOMONTH(DR$2,-1)+1,$C147:$F147)*VLOOKUP(DR$2,Valores!$H$2:$P$154,8,0)</f>
        <v>#VALUE!</v>
      </c>
      <c r="DS147" s="27" t="e">
        <f aca="false">SUMIF($C$2:$F$2,EOMONTH(DS$2,-1)+1,$C147:$F147)*VLOOKUP(DS$2,Valores!$H$2:$P$154,8,0)</f>
        <v>#VALUE!</v>
      </c>
      <c r="DT147" s="27" t="e">
        <f aca="false">SUMIF($C$2:$F$2,EOMONTH(DT$2,-1)+1,$C147:$F147)*VLOOKUP(DT$2,Valores!$H$2:$P$154,8,0)</f>
        <v>#VALUE!</v>
      </c>
      <c r="DU147" s="27" t="e">
        <f aca="false">SUMIF($C$2:$F$2,EOMONTH(DU$2,-1)+1,$C147:$F147)*VLOOKUP(DU$2,Valores!$H$2:$P$154,8,0)</f>
        <v>#VALUE!</v>
      </c>
      <c r="DV147" s="27" t="e">
        <f aca="false">SUMIF($C$2:$F$2,EOMONTH(DV$2,-1)+1,$C147:$F147)*VLOOKUP(DV$2,Valores!$H$2:$P$154,8,0)</f>
        <v>#VALUE!</v>
      </c>
      <c r="DW147" s="27" t="e">
        <f aca="false">SUMIF($C$2:$F$2,EOMONTH(DW$2,-1)+1,$C147:$F147)*VLOOKUP(DW$2,Valores!$H$2:$P$154,8,0)</f>
        <v>#VALUE!</v>
      </c>
      <c r="DX147" s="27" t="e">
        <f aca="false">SUMIF($C$2:$F$2,EOMONTH(DX$2,-1)+1,$C147:$F147)*VLOOKUP(DX$2,Valores!$H$2:$P$154,8,0)</f>
        <v>#VALUE!</v>
      </c>
    </row>
    <row r="148" customFormat="false" ht="13.8" hidden="false" customHeight="false" outlineLevel="0" collapsed="false">
      <c r="A148" s="29"/>
      <c r="B148" s="29"/>
      <c r="C148" s="29"/>
      <c r="D148" s="29"/>
      <c r="E148" s="29"/>
      <c r="F148" s="29"/>
      <c r="G148" s="30" t="n">
        <f aca="false">SUMIF($C$2:$F$2,EOMONTH(G$2,-1)+1,$C148:$F148)*VLOOKUP(G$2,Valores!$H$2:$P$154,8,0)</f>
        <v>0</v>
      </c>
      <c r="H148" s="30" t="n">
        <f aca="false">SUMIF($C$2:$F$2,EOMONTH(H$2,-1)+1,$C148:$F148)*VLOOKUP(H$2,Valores!$H$2:$P$154,8,0)</f>
        <v>0</v>
      </c>
      <c r="I148" s="30" t="n">
        <f aca="false">SUMIF($C$2:$F$2,EOMONTH(I$2,-1)+1,$C148:$F148)*VLOOKUP(I$2,Valores!$H$2:$P$154,8,0)</f>
        <v>0</v>
      </c>
      <c r="J148" s="30" t="n">
        <f aca="false">SUMIF($C$2:$F$2,EOMONTH(J$2,-1)+1,$C148:$F148)*VLOOKUP(J$2,Valores!$H$2:$P$154,8,0)</f>
        <v>0</v>
      </c>
      <c r="K148" s="30" t="n">
        <f aca="false">SUMIF($C$2:$F$2,EOMONTH(K$2,-1)+1,$C148:$F148)*VLOOKUP(K$2,Valores!$H$2:$P$154,8,0)</f>
        <v>0</v>
      </c>
      <c r="L148" s="30" t="n">
        <f aca="false">SUMIF($C$2:$F$2,EOMONTH(L$2,-1)+1,$C148:$F148)*VLOOKUP(L$2,Valores!$H$2:$P$154,8,0)</f>
        <v>0</v>
      </c>
      <c r="M148" s="30" t="n">
        <f aca="false">SUMIF($C$2:$F$2,EOMONTH(M$2,-1)+1,$C148:$F148)*VLOOKUP(M$2,Valores!$H$2:$P$154,8,0)</f>
        <v>0</v>
      </c>
      <c r="N148" s="30" t="n">
        <f aca="false">SUMIF($C$2:$F$2,EOMONTH(N$2,-1)+1,$C148:$F148)*VLOOKUP(N$2,Valores!$H$2:$P$154,8,0)</f>
        <v>0</v>
      </c>
      <c r="O148" s="30" t="n">
        <f aca="false">SUMIF($C$2:$F$2,EOMONTH(O$2,-1)+1,$C148:$F148)*VLOOKUP(O$2,Valores!$H$2:$P$154,8,0)</f>
        <v>0</v>
      </c>
      <c r="P148" s="30" t="n">
        <f aca="false">SUMIF($C$2:$F$2,EOMONTH(P$2,-1)+1,$C148:$F148)*VLOOKUP(P$2,Valores!$H$2:$P$154,8,0)</f>
        <v>0</v>
      </c>
      <c r="Q148" s="30" t="n">
        <f aca="false">SUMIF($C$2:$F$2,EOMONTH(Q$2,-1)+1,$C148:$F148)*VLOOKUP(Q$2,Valores!$H$2:$P$154,8,0)</f>
        <v>0</v>
      </c>
      <c r="R148" s="30" t="n">
        <f aca="false">SUMIF($C$2:$F$2,EOMONTH(R$2,-1)+1,$C148:$F148)*VLOOKUP(R$2,Valores!$H$2:$P$154,8,0)</f>
        <v>0</v>
      </c>
      <c r="S148" s="30" t="n">
        <f aca="false">SUMIF($C$2:$F$2,EOMONTH(S$2,-1)+1,$C148:$F148)*VLOOKUP(S$2,Valores!$H$2:$P$154,8,0)</f>
        <v>0</v>
      </c>
      <c r="T148" s="30" t="n">
        <f aca="false">SUMIF($C$2:$F$2,EOMONTH(T$2,-1)+1,$C148:$F148)*VLOOKUP(T$2,Valores!$H$2:$P$154,8,0)</f>
        <v>0</v>
      </c>
      <c r="U148" s="30" t="n">
        <f aca="false">SUMIF($C$2:$F$2,EOMONTH(U$2,-1)+1,$C148:$F148)*VLOOKUP(U$2,Valores!$H$2:$P$154,8,0)</f>
        <v>0</v>
      </c>
      <c r="V148" s="30" t="n">
        <f aca="false">SUMIF($C$2:$F$2,EOMONTH(V$2,-1)+1,$C148:$F148)*VLOOKUP(V$2,Valores!$H$2:$P$154,8,0)</f>
        <v>0</v>
      </c>
      <c r="W148" s="30" t="n">
        <f aca="false">SUMIF($C$2:$F$2,EOMONTH(W$2,-1)+1,$C148:$F148)*VLOOKUP(W$2,Valores!$H$2:$P$154,8,0)</f>
        <v>0</v>
      </c>
      <c r="X148" s="30" t="n">
        <f aca="false">SUMIF($C$2:$F$2,EOMONTH(X$2,-1)+1,$C148:$F148)*VLOOKUP(X$2,Valores!$H$2:$P$154,8,0)</f>
        <v>0</v>
      </c>
      <c r="Y148" s="30" t="n">
        <f aca="false">SUMIF($C$2:$F$2,EOMONTH(Y$2,-1)+1,$C148:$F148)*VLOOKUP(Y$2,Valores!$H$2:$P$154,8,0)</f>
        <v>0</v>
      </c>
      <c r="Z148" s="30" t="n">
        <f aca="false">SUMIF($C$2:$F$2,EOMONTH(Z$2,-1)+1,$C148:$F148)*VLOOKUP(Z$2,Valores!$H$2:$P$154,8,0)</f>
        <v>0</v>
      </c>
      <c r="AA148" s="30" t="n">
        <f aca="false">SUMIF($C$2:$F$2,EOMONTH(AA$2,-1)+1,$C148:$F148)*VLOOKUP(AA$2,Valores!$H$2:$P$154,8,0)</f>
        <v>0</v>
      </c>
      <c r="AB148" s="30" t="n">
        <f aca="false">SUMIF($C$2:$F$2,EOMONTH(AB$2,-1)+1,$C148:$F148)*VLOOKUP(AB$2,Valores!$H$2:$P$154,8,0)</f>
        <v>0</v>
      </c>
      <c r="AC148" s="30" t="n">
        <f aca="false">SUMIF($C$2:$F$2,EOMONTH(AC$2,-1)+1,$C148:$F148)*VLOOKUP(AC$2,Valores!$H$2:$P$154,8,0)</f>
        <v>0</v>
      </c>
      <c r="AD148" s="30" t="n">
        <f aca="false">SUMIF($C$2:$F$2,EOMONTH(AD$2,-1)+1,$C148:$F148)*VLOOKUP(AD$2,Valores!$H$2:$P$154,8,0)</f>
        <v>0</v>
      </c>
      <c r="AE148" s="30" t="n">
        <f aca="false">SUMIF($C$2:$F$2,EOMONTH(AE$2,-1)+1,$C148:$F148)*VLOOKUP(AE$2,Valores!$H$2:$P$154,8,0)</f>
        <v>0</v>
      </c>
      <c r="AF148" s="30" t="n">
        <f aca="false">SUMIF($C$2:$F$2,EOMONTH(AF$2,-1)+1,$C148:$F148)*VLOOKUP(AF$2,Valores!$H$2:$P$154,8,0)</f>
        <v>0</v>
      </c>
      <c r="AG148" s="30" t="n">
        <f aca="false">SUMIF($C$2:$F$2,EOMONTH(AG$2,-1)+1,$C148:$F148)*VLOOKUP(AG$2,Valores!$H$2:$P$154,8,0)</f>
        <v>0</v>
      </c>
      <c r="AH148" s="30" t="n">
        <f aca="false">SUMIF($C$2:$F$2,EOMONTH(AH$2,-1)+1,$C148:$F148)*VLOOKUP(AH$2,Valores!$H$2:$P$154,8,0)</f>
        <v>0</v>
      </c>
      <c r="AI148" s="30" t="n">
        <f aca="false">SUMIF($C$2:$F$2,EOMONTH(AI$2,-1)+1,$C148:$F148)*VLOOKUP(AI$2,Valores!$H$2:$P$154,8,0)</f>
        <v>0</v>
      </c>
      <c r="AJ148" s="30" t="n">
        <f aca="false">SUMIF($C$2:$F$2,EOMONTH(AJ$2,-1)+1,$C148:$F148)*VLOOKUP(AJ$2,Valores!$H$2:$P$154,8,0)</f>
        <v>0</v>
      </c>
      <c r="AK148" s="30" t="n">
        <f aca="false">SUMIF($C$2:$F$2,EOMONTH(AK$2,-1)+1,$C148:$F148)*VLOOKUP(AK$2,Valores!$H$2:$P$154,8,0)</f>
        <v>0</v>
      </c>
      <c r="AL148" s="30" t="n">
        <f aca="false">SUMIF($C$2:$F$2,EOMONTH(AL$2,-1)+1,$C148:$F148)*VLOOKUP(AL$2,Valores!$H$2:$P$154,8,0)</f>
        <v>0</v>
      </c>
      <c r="AM148" s="30" t="n">
        <f aca="false">SUMIF($C$2:$F$2,EOMONTH(AM$2,-1)+1,$C148:$F148)*VLOOKUP(AM$2,Valores!$H$2:$P$154,8,0)</f>
        <v>0</v>
      </c>
      <c r="AN148" s="30" t="n">
        <f aca="false">SUMIF($C$2:$F$2,EOMONTH(AN$2,-1)+1,$C148:$F148)*VLOOKUP(AN$2,Valores!$H$2:$P$154,8,0)</f>
        <v>0</v>
      </c>
      <c r="AO148" s="30" t="n">
        <f aca="false">SUMIF($C$2:$F$2,EOMONTH(AO$2,-1)+1,$C148:$F148)*VLOOKUP(AO$2,Valores!$H$2:$P$154,8,0)</f>
        <v>0</v>
      </c>
      <c r="AP148" s="30" t="n">
        <f aca="false">SUMIF($C$2:$F$2,EOMONTH(AP$2,-1)+1,$C148:$F148)*VLOOKUP(AP$2,Valores!$H$2:$P$154,8,0)</f>
        <v>0</v>
      </c>
      <c r="AQ148" s="30" t="n">
        <f aca="false">SUMIF($C$2:$F$2,EOMONTH(AQ$2,-1)+1,$C148:$F148)*VLOOKUP(AQ$2,Valores!$H$2:$P$154,8,0)</f>
        <v>0</v>
      </c>
      <c r="AR148" s="30" t="n">
        <f aca="false">SUMIF($C$2:$F$2,EOMONTH(AR$2,-1)+1,$C148:$F148)*VLOOKUP(AR$2,Valores!$H$2:$P$154,8,0)</f>
        <v>0</v>
      </c>
      <c r="AS148" s="30" t="n">
        <f aca="false">SUMIF($C$2:$F$2,EOMONTH(AS$2,-1)+1,$C148:$F148)*VLOOKUP(AS$2,Valores!$H$2:$P$154,8,0)</f>
        <v>0</v>
      </c>
      <c r="AT148" s="30" t="n">
        <f aca="false">SUMIF($C$2:$F$2,EOMONTH(AT$2,-1)+1,$C148:$F148)*VLOOKUP(AT$2,Valores!$H$2:$P$154,8,0)</f>
        <v>0</v>
      </c>
      <c r="AU148" s="30" t="n">
        <f aca="false">SUMIF($C$2:$F$2,EOMONTH(AU$2,-1)+1,$C148:$F148)*VLOOKUP(AU$2,Valores!$H$2:$P$154,8,0)</f>
        <v>0</v>
      </c>
      <c r="AV148" s="30" t="n">
        <f aca="false">SUMIF($C$2:$F$2,EOMONTH(AV$2,-1)+1,$C148:$F148)*VLOOKUP(AV$2,Valores!$H$2:$P$154,8,0)</f>
        <v>0</v>
      </c>
      <c r="AW148" s="30" t="n">
        <f aca="false">SUMIF($C$2:$F$2,EOMONTH(AW$2,-1)+1,$C148:$F148)*VLOOKUP(AW$2,Valores!$H$2:$P$154,8,0)</f>
        <v>0</v>
      </c>
      <c r="AX148" s="30" t="n">
        <f aca="false">SUMIF($C$2:$F$2,EOMONTH(AX$2,-1)+1,$C148:$F148)*VLOOKUP(AX$2,Valores!$H$2:$P$154,8,0)</f>
        <v>0</v>
      </c>
      <c r="AY148" s="30" t="n">
        <f aca="false">SUMIF($C$2:$F$2,EOMONTH(AY$2,-1)+1,$C148:$F148)*VLOOKUP(AY$2,Valores!$H$2:$P$154,8,0)</f>
        <v>0</v>
      </c>
      <c r="AZ148" s="30" t="n">
        <f aca="false">SUMIF($C$2:$F$2,EOMONTH(AZ$2,-1)+1,$C148:$F148)*VLOOKUP(AZ$2,Valores!$H$2:$P$154,8,0)</f>
        <v>0</v>
      </c>
      <c r="BA148" s="30" t="n">
        <f aca="false">SUMIF($C$2:$F$2,EOMONTH(BA$2,-1)+1,$C148:$F148)*VLOOKUP(BA$2,Valores!$H$2:$P$154,8,0)</f>
        <v>0</v>
      </c>
      <c r="BB148" s="30" t="n">
        <f aca="false">SUMIF($C$2:$F$2,EOMONTH(BB$2,-1)+1,$C148:$F148)*VLOOKUP(BB$2,Valores!$H$2:$P$154,8,0)</f>
        <v>0</v>
      </c>
      <c r="BC148" s="30" t="n">
        <f aca="false">SUMIF($C$2:$F$2,EOMONTH(BC$2,-1)+1,$C148:$F148)*VLOOKUP(BC$2,Valores!$H$2:$P$154,8,0)</f>
        <v>0</v>
      </c>
      <c r="BD148" s="30" t="n">
        <f aca="false">SUMIF($C$2:$F$2,EOMONTH(BD$2,-1)+1,$C148:$F148)*VLOOKUP(BD$2,Valores!$H$2:$P$154,8,0)</f>
        <v>0</v>
      </c>
      <c r="BE148" s="30" t="n">
        <f aca="false">SUMIF($C$2:$F$2,EOMONTH(BE$2,-1)+1,$C148:$F148)*VLOOKUP(BE$2,Valores!$H$2:$P$154,8,0)</f>
        <v>0</v>
      </c>
      <c r="BF148" s="30" t="n">
        <f aca="false">SUMIF($C$2:$F$2,EOMONTH(BF$2,-1)+1,$C148:$F148)*VLOOKUP(BF$2,Valores!$H$2:$P$154,8,0)</f>
        <v>0</v>
      </c>
      <c r="BG148" s="30" t="n">
        <f aca="false">SUMIF($C$2:$F$2,EOMONTH(BG$2,-1)+1,$C148:$F148)*VLOOKUP(BG$2,Valores!$H$2:$P$154,8,0)</f>
        <v>0</v>
      </c>
      <c r="BH148" s="30" t="n">
        <f aca="false">SUMIF($C$2:$F$2,EOMONTH(BH$2,-1)+1,$C148:$F148)*VLOOKUP(BH$2,Valores!$H$2:$P$154,8,0)</f>
        <v>0</v>
      </c>
      <c r="BI148" s="30" t="n">
        <f aca="false">SUMIF($C$2:$F$2,EOMONTH(BI$2,-1)+1,$C148:$F148)*VLOOKUP(BI$2,Valores!$H$2:$P$154,8,0)</f>
        <v>0</v>
      </c>
      <c r="BJ148" s="30" t="n">
        <f aca="false">SUMIF($C$2:$F$2,EOMONTH(BJ$2,-1)+1,$C148:$F148)*VLOOKUP(BJ$2,Valores!$H$2:$P$154,8,0)</f>
        <v>0</v>
      </c>
      <c r="BK148" s="30" t="n">
        <f aca="false">SUMIF($C$2:$F$2,EOMONTH(BK$2,-1)+1,$C148:$F148)*VLOOKUP(BK$2,Valores!$H$2:$P$154,8,0)</f>
        <v>0</v>
      </c>
      <c r="BL148" s="30" t="n">
        <f aca="false">SUMIF($C$2:$F$2,EOMONTH(BL$2,-1)+1,$C148:$F148)*VLOOKUP(BL$2,Valores!$H$2:$P$154,8,0)</f>
        <v>0</v>
      </c>
      <c r="BM148" s="30" t="n">
        <f aca="false">SUMIF($C$2:$F$2,EOMONTH(BM$2,-1)+1,$C148:$F148)*VLOOKUP(BM$2,Valores!$H$2:$P$154,8,0)</f>
        <v>0</v>
      </c>
      <c r="BN148" s="30" t="n">
        <f aca="false">SUMIF($C$2:$F$2,EOMONTH(BN$2,-1)+1,$C148:$F148)*VLOOKUP(BN$2,Valores!$H$2:$P$154,8,0)</f>
        <v>0</v>
      </c>
      <c r="BO148" s="30" t="n">
        <f aca="false">SUMIF($C$2:$F$2,EOMONTH(BO$2,-1)+1,$C148:$F148)*VLOOKUP(BO$2,Valores!$H$2:$P$154,8,0)</f>
        <v>0</v>
      </c>
      <c r="BP148" s="30" t="n">
        <f aca="false">SUMIF($C$2:$F$2,EOMONTH(BP$2,-1)+1,$C148:$F148)*VLOOKUP(BP$2,Valores!$H$2:$P$154,8,0)</f>
        <v>0</v>
      </c>
      <c r="BQ148" s="30" t="n">
        <f aca="false">SUMIF($C$2:$F$2,EOMONTH(BQ$2,-1)+1,$C148:$F148)*VLOOKUP(BQ$2,Valores!$H$2:$P$154,8,0)</f>
        <v>0</v>
      </c>
      <c r="BR148" s="30" t="n">
        <f aca="false">SUMIF($C$2:$F$2,EOMONTH(BR$2,-1)+1,$C148:$F148)*VLOOKUP(BR$2,Valores!$H$2:$P$154,8,0)</f>
        <v>0</v>
      </c>
      <c r="BS148" s="30" t="n">
        <f aca="false">SUMIF($C$2:$F$2,EOMONTH(BS$2,-1)+1,$C148:$F148)*VLOOKUP(BS$2,Valores!$H$2:$P$154,8,0)</f>
        <v>0</v>
      </c>
      <c r="BT148" s="30" t="n">
        <f aca="false">SUMIF($C$2:$F$2,EOMONTH(BT$2,-1)+1,$C148:$F148)*VLOOKUP(BT$2,Valores!$H$2:$P$154,8,0)</f>
        <v>0</v>
      </c>
      <c r="BU148" s="30" t="n">
        <f aca="false">SUMIF($C$2:$F$2,EOMONTH(BU$2,-1)+1,$C148:$F148)*VLOOKUP(BU$2,Valores!$H$2:$P$154,8,0)</f>
        <v>0</v>
      </c>
      <c r="BV148" s="30" t="n">
        <f aca="false">SUMIF($C$2:$F$2,EOMONTH(BV$2,-1)+1,$C148:$F148)*VLOOKUP(BV$2,Valores!$H$2:$P$154,8,0)</f>
        <v>0</v>
      </c>
      <c r="BW148" s="30" t="n">
        <f aca="false">SUMIF($C$2:$F$2,EOMONTH(BW$2,-1)+1,$C148:$F148)*VLOOKUP(BW$2,Valores!$H$2:$P$154,8,0)</f>
        <v>0</v>
      </c>
      <c r="BX148" s="30" t="n">
        <f aca="false">SUMIF($C$2:$F$2,EOMONTH(BX$2,-1)+1,$C148:$F148)*VLOOKUP(BX$2,Valores!$H$2:$P$154,8,0)</f>
        <v>0</v>
      </c>
      <c r="BY148" s="30" t="n">
        <f aca="false">SUMIF($C$2:$F$2,EOMONTH(BY$2,-1)+1,$C148:$F148)*VLOOKUP(BY$2,Valores!$H$2:$P$154,8,0)</f>
        <v>0</v>
      </c>
      <c r="BZ148" s="30" t="n">
        <f aca="false">SUMIF($C$2:$F$2,EOMONTH(BZ$2,-1)+1,$C148:$F148)*VLOOKUP(BZ$2,Valores!$H$2:$P$154,8,0)</f>
        <v>0</v>
      </c>
      <c r="CA148" s="30" t="n">
        <f aca="false">SUMIF($C$2:$F$2,EOMONTH(CA$2,-1)+1,$C148:$F148)*VLOOKUP(CA$2,Valores!$H$2:$P$154,8,0)</f>
        <v>0</v>
      </c>
      <c r="CB148" s="30" t="n">
        <f aca="false">SUMIF($C$2:$F$2,EOMONTH(CB$2,-1)+1,$C148:$F148)*VLOOKUP(CB$2,Valores!$H$2:$P$154,8,0)</f>
        <v>0</v>
      </c>
      <c r="CC148" s="30" t="n">
        <f aca="false">SUMIF($C$2:$F$2,EOMONTH(CC$2,-1)+1,$C148:$F148)*VLOOKUP(CC$2,Valores!$H$2:$P$154,8,0)</f>
        <v>0</v>
      </c>
      <c r="CD148" s="30" t="n">
        <f aca="false">SUMIF($C$2:$F$2,EOMONTH(CD$2,-1)+1,$C148:$F148)*VLOOKUP(CD$2,Valores!$H$2:$P$154,8,0)</f>
        <v>0</v>
      </c>
      <c r="CE148" s="30" t="n">
        <f aca="false">SUMIF($C$2:$F$2,EOMONTH(CE$2,-1)+1,$C148:$F148)*VLOOKUP(CE$2,Valores!$H$2:$P$154,8,0)</f>
        <v>0</v>
      </c>
      <c r="CF148" s="30" t="n">
        <f aca="false">SUMIF($C$2:$F$2,EOMONTH(CF$2,-1)+1,$C148:$F148)*VLOOKUP(CF$2,Valores!$H$2:$P$154,8,0)</f>
        <v>0</v>
      </c>
      <c r="CG148" s="30" t="n">
        <f aca="false">SUMIF($C$2:$F$2,EOMONTH(CG$2,-1)+1,$C148:$F148)*VLOOKUP(CG$2,Valores!$H$2:$P$154,8,0)</f>
        <v>0</v>
      </c>
      <c r="CH148" s="30" t="n">
        <f aca="false">SUMIF($C$2:$F$2,EOMONTH(CH$2,-1)+1,$C148:$F148)*VLOOKUP(CH$2,Valores!$H$2:$P$154,8,0)</f>
        <v>0</v>
      </c>
      <c r="CI148" s="30" t="n">
        <f aca="false">SUMIF($C$2:$F$2,EOMONTH(CI$2,-1)+1,$C148:$F148)*VLOOKUP(CI$2,Valores!$H$2:$P$154,8,0)</f>
        <v>0</v>
      </c>
      <c r="CJ148" s="30" t="n">
        <f aca="false">SUMIF($C$2:$F$2,EOMONTH(CJ$2,-1)+1,$C148:$F148)*VLOOKUP(CJ$2,Valores!$H$2:$P$154,8,0)</f>
        <v>0</v>
      </c>
      <c r="CK148" s="30" t="n">
        <f aca="false">SUMIF($C$2:$F$2,EOMONTH(CK$2,-1)+1,$C148:$F148)*VLOOKUP(CK$2,Valores!$H$2:$P$154,8,0)</f>
        <v>0</v>
      </c>
      <c r="CL148" s="30" t="n">
        <f aca="false">SUMIF($C$2:$F$2,EOMONTH(CL$2,-1)+1,$C148:$F148)*VLOOKUP(CL$2,Valores!$H$2:$P$154,8,0)</f>
        <v>0</v>
      </c>
      <c r="CM148" s="30" t="n">
        <f aca="false">SUMIF($C$2:$F$2,EOMONTH(CM$2,-1)+1,$C148:$F148)*VLOOKUP(CM$2,Valores!$H$2:$P$154,8,0)</f>
        <v>0</v>
      </c>
      <c r="CN148" s="30" t="n">
        <f aca="false">SUMIF($C$2:$F$2,EOMONTH(CN$2,-1)+1,$C148:$F148)*VLOOKUP(CN$2,Valores!$H$2:$P$154,8,0)</f>
        <v>0</v>
      </c>
      <c r="CO148" s="30" t="n">
        <f aca="false">SUMIF($C$2:$F$2,EOMONTH(CO$2,-1)+1,$C148:$F148)*VLOOKUP(CO$2,Valores!$H$2:$P$154,8,0)</f>
        <v>0</v>
      </c>
      <c r="CP148" s="30" t="n">
        <f aca="false">SUMIF($C$2:$F$2,EOMONTH(CP$2,-1)+1,$C148:$F148)*VLOOKUP(CP$2,Valores!$H$2:$P$154,8,0)</f>
        <v>0</v>
      </c>
      <c r="CQ148" s="30" t="n">
        <f aca="false">SUMIF($C$2:$F$2,EOMONTH(CQ$2,-1)+1,$C148:$F148)*VLOOKUP(CQ$2,Valores!$H$2:$P$154,8,0)</f>
        <v>0</v>
      </c>
      <c r="CR148" s="30" t="n">
        <f aca="false">SUMIF($C$2:$F$2,EOMONTH(CR$2,-1)+1,$C148:$F148)*VLOOKUP(CR$2,Valores!$H$2:$P$154,8,0)</f>
        <v>0</v>
      </c>
      <c r="CS148" s="30" t="n">
        <f aca="false">SUMIF($C$2:$F$2,EOMONTH(CS$2,-1)+1,$C148:$F148)*VLOOKUP(CS$2,Valores!$H$2:$P$154,8,0)</f>
        <v>0</v>
      </c>
      <c r="CT148" s="30" t="e">
        <f aca="false">SUMIF($C$2:$F$2,EOMONTH(CT$2,-1)+1,$C148:$F148)*VLOOKUP(CT$2,Valores!$H$2:$P$154,8,0)</f>
        <v>#VALUE!</v>
      </c>
      <c r="CU148" s="30" t="e">
        <f aca="false">SUMIF($C$2:$F$2,EOMONTH(CU$2,-1)+1,$C148:$F148)*VLOOKUP(CU$2,Valores!$H$2:$P$154,8,0)</f>
        <v>#VALUE!</v>
      </c>
      <c r="CV148" s="30" t="e">
        <f aca="false">SUMIF($C$2:$F$2,EOMONTH(CV$2,-1)+1,$C148:$F148)*VLOOKUP(CV$2,Valores!$H$2:$P$154,8,0)</f>
        <v>#VALUE!</v>
      </c>
      <c r="CW148" s="30" t="e">
        <f aca="false">SUMIF($C$2:$F$2,EOMONTH(CW$2,-1)+1,$C148:$F148)*VLOOKUP(CW$2,Valores!$H$2:$P$154,8,0)</f>
        <v>#VALUE!</v>
      </c>
      <c r="CX148" s="30" t="e">
        <f aca="false">SUMIF($C$2:$F$2,EOMONTH(CX$2,-1)+1,$C148:$F148)*VLOOKUP(CX$2,Valores!$H$2:$P$154,8,0)</f>
        <v>#VALUE!</v>
      </c>
      <c r="CY148" s="30" t="e">
        <f aca="false">SUMIF($C$2:$F$2,EOMONTH(CY$2,-1)+1,$C148:$F148)*VLOOKUP(CY$2,Valores!$H$2:$P$154,8,0)</f>
        <v>#VALUE!</v>
      </c>
      <c r="CZ148" s="30" t="e">
        <f aca="false">SUMIF($C$2:$F$2,EOMONTH(CZ$2,-1)+1,$C148:$F148)*VLOOKUP(CZ$2,Valores!$H$2:$P$154,8,0)</f>
        <v>#VALUE!</v>
      </c>
      <c r="DA148" s="30" t="e">
        <f aca="false">SUMIF($C$2:$F$2,EOMONTH(DA$2,-1)+1,$C148:$F148)*VLOOKUP(DA$2,Valores!$H$2:$P$154,8,0)</f>
        <v>#VALUE!</v>
      </c>
      <c r="DB148" s="30" t="e">
        <f aca="false">SUMIF($C$2:$F$2,EOMONTH(DB$2,-1)+1,$C148:$F148)*VLOOKUP(DB$2,Valores!$H$2:$P$154,8,0)</f>
        <v>#VALUE!</v>
      </c>
      <c r="DC148" s="30" t="e">
        <f aca="false">SUMIF($C$2:$F$2,EOMONTH(DC$2,-1)+1,$C148:$F148)*VLOOKUP(DC$2,Valores!$H$2:$P$154,8,0)</f>
        <v>#VALUE!</v>
      </c>
      <c r="DD148" s="30" t="e">
        <f aca="false">SUMIF($C$2:$F$2,EOMONTH(DD$2,-1)+1,$C148:$F148)*VLOOKUP(DD$2,Valores!$H$2:$P$154,8,0)</f>
        <v>#VALUE!</v>
      </c>
      <c r="DE148" s="30" t="e">
        <f aca="false">SUMIF($C$2:$F$2,EOMONTH(DE$2,-1)+1,$C148:$F148)*VLOOKUP(DE$2,Valores!$H$2:$P$154,8,0)</f>
        <v>#VALUE!</v>
      </c>
      <c r="DF148" s="30" t="e">
        <f aca="false">SUMIF($C$2:$F$2,EOMONTH(DF$2,-1)+1,$C148:$F148)*VLOOKUP(DF$2,Valores!$H$2:$P$154,8,0)</f>
        <v>#VALUE!</v>
      </c>
      <c r="DG148" s="30" t="e">
        <f aca="false">SUMIF($C$2:$F$2,EOMONTH(DG$2,-1)+1,$C148:$F148)*VLOOKUP(DG$2,Valores!$H$2:$P$154,8,0)</f>
        <v>#VALUE!</v>
      </c>
      <c r="DH148" s="30" t="e">
        <f aca="false">SUMIF($C$2:$F$2,EOMONTH(DH$2,-1)+1,$C148:$F148)*VLOOKUP(DH$2,Valores!$H$2:$P$154,8,0)</f>
        <v>#VALUE!</v>
      </c>
      <c r="DI148" s="30" t="e">
        <f aca="false">SUMIF($C$2:$F$2,EOMONTH(DI$2,-1)+1,$C148:$F148)*VLOOKUP(DI$2,Valores!$H$2:$P$154,8,0)</f>
        <v>#VALUE!</v>
      </c>
      <c r="DJ148" s="30" t="e">
        <f aca="false">SUMIF($C$2:$F$2,EOMONTH(DJ$2,-1)+1,$C148:$F148)*VLOOKUP(DJ$2,Valores!$H$2:$P$154,8,0)</f>
        <v>#VALUE!</v>
      </c>
      <c r="DK148" s="30" t="e">
        <f aca="false">SUMIF($C$2:$F$2,EOMONTH(DK$2,-1)+1,$C148:$F148)*VLOOKUP(DK$2,Valores!$H$2:$P$154,8,0)</f>
        <v>#VALUE!</v>
      </c>
      <c r="DL148" s="30" t="e">
        <f aca="false">SUMIF($C$2:$F$2,EOMONTH(DL$2,-1)+1,$C148:$F148)*VLOOKUP(DL$2,Valores!$H$2:$P$154,8,0)</f>
        <v>#VALUE!</v>
      </c>
      <c r="DM148" s="30" t="e">
        <f aca="false">SUMIF($C$2:$F$2,EOMONTH(DM$2,-1)+1,$C148:$F148)*VLOOKUP(DM$2,Valores!$H$2:$P$154,8,0)</f>
        <v>#VALUE!</v>
      </c>
      <c r="DN148" s="30" t="e">
        <f aca="false">SUMIF($C$2:$F$2,EOMONTH(DN$2,-1)+1,$C148:$F148)*VLOOKUP(DN$2,Valores!$H$2:$P$154,8,0)</f>
        <v>#VALUE!</v>
      </c>
      <c r="DO148" s="30" t="e">
        <f aca="false">SUMIF($C$2:$F$2,EOMONTH(DO$2,-1)+1,$C148:$F148)*VLOOKUP(DO$2,Valores!$H$2:$P$154,8,0)</f>
        <v>#VALUE!</v>
      </c>
      <c r="DP148" s="30" t="e">
        <f aca="false">SUMIF($C$2:$F$2,EOMONTH(DP$2,-1)+1,$C148:$F148)*VLOOKUP(DP$2,Valores!$H$2:$P$154,8,0)</f>
        <v>#VALUE!</v>
      </c>
      <c r="DQ148" s="30" t="e">
        <f aca="false">SUMIF($C$2:$F$2,EOMONTH(DQ$2,-1)+1,$C148:$F148)*VLOOKUP(DQ$2,Valores!$H$2:$P$154,8,0)</f>
        <v>#VALUE!</v>
      </c>
      <c r="DR148" s="30" t="e">
        <f aca="false">SUMIF($C$2:$F$2,EOMONTH(DR$2,-1)+1,$C148:$F148)*VLOOKUP(DR$2,Valores!$H$2:$P$154,8,0)</f>
        <v>#VALUE!</v>
      </c>
      <c r="DS148" s="30" t="e">
        <f aca="false">SUMIF($C$2:$F$2,EOMONTH(DS$2,-1)+1,$C148:$F148)*VLOOKUP(DS$2,Valores!$H$2:$P$154,8,0)</f>
        <v>#VALUE!</v>
      </c>
      <c r="DT148" s="30" t="e">
        <f aca="false">SUMIF($C$2:$F$2,EOMONTH(DT$2,-1)+1,$C148:$F148)*VLOOKUP(DT$2,Valores!$H$2:$P$154,8,0)</f>
        <v>#VALUE!</v>
      </c>
      <c r="DU148" s="30" t="e">
        <f aca="false">SUMIF($C$2:$F$2,EOMONTH(DU$2,-1)+1,$C148:$F148)*VLOOKUP(DU$2,Valores!$H$2:$P$154,8,0)</f>
        <v>#VALUE!</v>
      </c>
      <c r="DV148" s="30" t="e">
        <f aca="false">SUMIF($C$2:$F$2,EOMONTH(DV$2,-1)+1,$C148:$F148)*VLOOKUP(DV$2,Valores!$H$2:$P$154,8,0)</f>
        <v>#VALUE!</v>
      </c>
      <c r="DW148" s="30" t="e">
        <f aca="false">SUMIF($C$2:$F$2,EOMONTH(DW$2,-1)+1,$C148:$F148)*VLOOKUP(DW$2,Valores!$H$2:$P$154,8,0)</f>
        <v>#VALUE!</v>
      </c>
      <c r="DX148" s="30" t="e">
        <f aca="false">SUMIF($C$2:$F$2,EOMONTH(DX$2,-1)+1,$C148:$F148)*VLOOKUP(DX$2,Valores!$H$2:$P$154,8,0)</f>
        <v>#VALUE!</v>
      </c>
    </row>
    <row r="149" customFormat="false" ht="13.8" hidden="false" customHeight="false" outlineLevel="0" collapsed="false">
      <c r="A149" s="31"/>
      <c r="B149" s="31"/>
      <c r="C149" s="31"/>
      <c r="D149" s="31"/>
      <c r="E149" s="31"/>
      <c r="F149" s="31"/>
      <c r="G149" s="27" t="n">
        <f aca="false">SUMIF($C$2:$F$2,EOMONTH(G$2,-1)+1,$C149:$F149)*VLOOKUP(G$2,Valores!$H$2:$P$154,8,0)</f>
        <v>0</v>
      </c>
      <c r="H149" s="27" t="n">
        <f aca="false">SUMIF($C$2:$F$2,EOMONTH(H$2,-1)+1,$C149:$F149)*VLOOKUP(H$2,Valores!$H$2:$P$154,8,0)</f>
        <v>0</v>
      </c>
      <c r="I149" s="27" t="n">
        <f aca="false">SUMIF($C$2:$F$2,EOMONTH(I$2,-1)+1,$C149:$F149)*VLOOKUP(I$2,Valores!$H$2:$P$154,8,0)</f>
        <v>0</v>
      </c>
      <c r="J149" s="27" t="n">
        <f aca="false">SUMIF($C$2:$F$2,EOMONTH(J$2,-1)+1,$C149:$F149)*VLOOKUP(J$2,Valores!$H$2:$P$154,8,0)</f>
        <v>0</v>
      </c>
      <c r="K149" s="27" t="n">
        <f aca="false">SUMIF($C$2:$F$2,EOMONTH(K$2,-1)+1,$C149:$F149)*VLOOKUP(K$2,Valores!$H$2:$P$154,8,0)</f>
        <v>0</v>
      </c>
      <c r="L149" s="27" t="n">
        <f aca="false">SUMIF($C$2:$F$2,EOMONTH(L$2,-1)+1,$C149:$F149)*VLOOKUP(L$2,Valores!$H$2:$P$154,8,0)</f>
        <v>0</v>
      </c>
      <c r="M149" s="27" t="n">
        <f aca="false">SUMIF($C$2:$F$2,EOMONTH(M$2,-1)+1,$C149:$F149)*VLOOKUP(M$2,Valores!$H$2:$P$154,8,0)</f>
        <v>0</v>
      </c>
      <c r="N149" s="27" t="n">
        <f aca="false">SUMIF($C$2:$F$2,EOMONTH(N$2,-1)+1,$C149:$F149)*VLOOKUP(N$2,Valores!$H$2:$P$154,8,0)</f>
        <v>0</v>
      </c>
      <c r="O149" s="27" t="n">
        <f aca="false">SUMIF($C$2:$F$2,EOMONTH(O$2,-1)+1,$C149:$F149)*VLOOKUP(O$2,Valores!$H$2:$P$154,8,0)</f>
        <v>0</v>
      </c>
      <c r="P149" s="27" t="n">
        <f aca="false">SUMIF($C$2:$F$2,EOMONTH(P$2,-1)+1,$C149:$F149)*VLOOKUP(P$2,Valores!$H$2:$P$154,8,0)</f>
        <v>0</v>
      </c>
      <c r="Q149" s="27" t="n">
        <f aca="false">SUMIF($C$2:$F$2,EOMONTH(Q$2,-1)+1,$C149:$F149)*VLOOKUP(Q$2,Valores!$H$2:$P$154,8,0)</f>
        <v>0</v>
      </c>
      <c r="R149" s="27" t="n">
        <f aca="false">SUMIF($C$2:$F$2,EOMONTH(R$2,-1)+1,$C149:$F149)*VLOOKUP(R$2,Valores!$H$2:$P$154,8,0)</f>
        <v>0</v>
      </c>
      <c r="S149" s="27" t="n">
        <f aca="false">SUMIF($C$2:$F$2,EOMONTH(S$2,-1)+1,$C149:$F149)*VLOOKUP(S$2,Valores!$H$2:$P$154,8,0)</f>
        <v>0</v>
      </c>
      <c r="T149" s="27" t="n">
        <f aca="false">SUMIF($C$2:$F$2,EOMONTH(T$2,-1)+1,$C149:$F149)*VLOOKUP(T$2,Valores!$H$2:$P$154,8,0)</f>
        <v>0</v>
      </c>
      <c r="U149" s="27" t="n">
        <f aca="false">SUMIF($C$2:$F$2,EOMONTH(U$2,-1)+1,$C149:$F149)*VLOOKUP(U$2,Valores!$H$2:$P$154,8,0)</f>
        <v>0</v>
      </c>
      <c r="V149" s="27" t="n">
        <f aca="false">SUMIF($C$2:$F$2,EOMONTH(V$2,-1)+1,$C149:$F149)*VLOOKUP(V$2,Valores!$H$2:$P$154,8,0)</f>
        <v>0</v>
      </c>
      <c r="W149" s="27" t="n">
        <f aca="false">SUMIF($C$2:$F$2,EOMONTH(W$2,-1)+1,$C149:$F149)*VLOOKUP(W$2,Valores!$H$2:$P$154,8,0)</f>
        <v>0</v>
      </c>
      <c r="X149" s="27" t="n">
        <f aca="false">SUMIF($C$2:$F$2,EOMONTH(X$2,-1)+1,$C149:$F149)*VLOOKUP(X$2,Valores!$H$2:$P$154,8,0)</f>
        <v>0</v>
      </c>
      <c r="Y149" s="27" t="n">
        <f aca="false">SUMIF($C$2:$F$2,EOMONTH(Y$2,-1)+1,$C149:$F149)*VLOOKUP(Y$2,Valores!$H$2:$P$154,8,0)</f>
        <v>0</v>
      </c>
      <c r="Z149" s="27" t="n">
        <f aca="false">SUMIF($C$2:$F$2,EOMONTH(Z$2,-1)+1,$C149:$F149)*VLOOKUP(Z$2,Valores!$H$2:$P$154,8,0)</f>
        <v>0</v>
      </c>
      <c r="AA149" s="27" t="n">
        <f aca="false">SUMIF($C$2:$F$2,EOMONTH(AA$2,-1)+1,$C149:$F149)*VLOOKUP(AA$2,Valores!$H$2:$P$154,8,0)</f>
        <v>0</v>
      </c>
      <c r="AB149" s="27" t="n">
        <f aca="false">SUMIF($C$2:$F$2,EOMONTH(AB$2,-1)+1,$C149:$F149)*VLOOKUP(AB$2,Valores!$H$2:$P$154,8,0)</f>
        <v>0</v>
      </c>
      <c r="AC149" s="27" t="n">
        <f aca="false">SUMIF($C$2:$F$2,EOMONTH(AC$2,-1)+1,$C149:$F149)*VLOOKUP(AC$2,Valores!$H$2:$P$154,8,0)</f>
        <v>0</v>
      </c>
      <c r="AD149" s="27" t="n">
        <f aca="false">SUMIF($C$2:$F$2,EOMONTH(AD$2,-1)+1,$C149:$F149)*VLOOKUP(AD$2,Valores!$H$2:$P$154,8,0)</f>
        <v>0</v>
      </c>
      <c r="AE149" s="27" t="n">
        <f aca="false">SUMIF($C$2:$F$2,EOMONTH(AE$2,-1)+1,$C149:$F149)*VLOOKUP(AE$2,Valores!$H$2:$P$154,8,0)</f>
        <v>0</v>
      </c>
      <c r="AF149" s="27" t="n">
        <f aca="false">SUMIF($C$2:$F$2,EOMONTH(AF$2,-1)+1,$C149:$F149)*VLOOKUP(AF$2,Valores!$H$2:$P$154,8,0)</f>
        <v>0</v>
      </c>
      <c r="AG149" s="27" t="n">
        <f aca="false">SUMIF($C$2:$F$2,EOMONTH(AG$2,-1)+1,$C149:$F149)*VLOOKUP(AG$2,Valores!$H$2:$P$154,8,0)</f>
        <v>0</v>
      </c>
      <c r="AH149" s="27" t="n">
        <f aca="false">SUMIF($C$2:$F$2,EOMONTH(AH$2,-1)+1,$C149:$F149)*VLOOKUP(AH$2,Valores!$H$2:$P$154,8,0)</f>
        <v>0</v>
      </c>
      <c r="AI149" s="27" t="n">
        <f aca="false">SUMIF($C$2:$F$2,EOMONTH(AI$2,-1)+1,$C149:$F149)*VLOOKUP(AI$2,Valores!$H$2:$P$154,8,0)</f>
        <v>0</v>
      </c>
      <c r="AJ149" s="27" t="n">
        <f aca="false">SUMIF($C$2:$F$2,EOMONTH(AJ$2,-1)+1,$C149:$F149)*VLOOKUP(AJ$2,Valores!$H$2:$P$154,8,0)</f>
        <v>0</v>
      </c>
      <c r="AK149" s="27" t="n">
        <f aca="false">SUMIF($C$2:$F$2,EOMONTH(AK$2,-1)+1,$C149:$F149)*VLOOKUP(AK$2,Valores!$H$2:$P$154,8,0)</f>
        <v>0</v>
      </c>
      <c r="AL149" s="27" t="n">
        <f aca="false">SUMIF($C$2:$F$2,EOMONTH(AL$2,-1)+1,$C149:$F149)*VLOOKUP(AL$2,Valores!$H$2:$P$154,8,0)</f>
        <v>0</v>
      </c>
      <c r="AM149" s="27" t="n">
        <f aca="false">SUMIF($C$2:$F$2,EOMONTH(AM$2,-1)+1,$C149:$F149)*VLOOKUP(AM$2,Valores!$H$2:$P$154,8,0)</f>
        <v>0</v>
      </c>
      <c r="AN149" s="27" t="n">
        <f aca="false">SUMIF($C$2:$F$2,EOMONTH(AN$2,-1)+1,$C149:$F149)*VLOOKUP(AN$2,Valores!$H$2:$P$154,8,0)</f>
        <v>0</v>
      </c>
      <c r="AO149" s="27" t="n">
        <f aca="false">SUMIF($C$2:$F$2,EOMONTH(AO$2,-1)+1,$C149:$F149)*VLOOKUP(AO$2,Valores!$H$2:$P$154,8,0)</f>
        <v>0</v>
      </c>
      <c r="AP149" s="27" t="n">
        <f aca="false">SUMIF($C$2:$F$2,EOMONTH(AP$2,-1)+1,$C149:$F149)*VLOOKUP(AP$2,Valores!$H$2:$P$154,8,0)</f>
        <v>0</v>
      </c>
      <c r="AQ149" s="27" t="n">
        <f aca="false">SUMIF($C$2:$F$2,EOMONTH(AQ$2,-1)+1,$C149:$F149)*VLOOKUP(AQ$2,Valores!$H$2:$P$154,8,0)</f>
        <v>0</v>
      </c>
      <c r="AR149" s="27" t="n">
        <f aca="false">SUMIF($C$2:$F$2,EOMONTH(AR$2,-1)+1,$C149:$F149)*VLOOKUP(AR$2,Valores!$H$2:$P$154,8,0)</f>
        <v>0</v>
      </c>
      <c r="AS149" s="27" t="n">
        <f aca="false">SUMIF($C$2:$F$2,EOMONTH(AS$2,-1)+1,$C149:$F149)*VLOOKUP(AS$2,Valores!$H$2:$P$154,8,0)</f>
        <v>0</v>
      </c>
      <c r="AT149" s="27" t="n">
        <f aca="false">SUMIF($C$2:$F$2,EOMONTH(AT$2,-1)+1,$C149:$F149)*VLOOKUP(AT$2,Valores!$H$2:$P$154,8,0)</f>
        <v>0</v>
      </c>
      <c r="AU149" s="27" t="n">
        <f aca="false">SUMIF($C$2:$F$2,EOMONTH(AU$2,-1)+1,$C149:$F149)*VLOOKUP(AU$2,Valores!$H$2:$P$154,8,0)</f>
        <v>0</v>
      </c>
      <c r="AV149" s="27" t="n">
        <f aca="false">SUMIF($C$2:$F$2,EOMONTH(AV$2,-1)+1,$C149:$F149)*VLOOKUP(AV$2,Valores!$H$2:$P$154,8,0)</f>
        <v>0</v>
      </c>
      <c r="AW149" s="27" t="n">
        <f aca="false">SUMIF($C$2:$F$2,EOMONTH(AW$2,-1)+1,$C149:$F149)*VLOOKUP(AW$2,Valores!$H$2:$P$154,8,0)</f>
        <v>0</v>
      </c>
      <c r="AX149" s="27" t="n">
        <f aca="false">SUMIF($C$2:$F$2,EOMONTH(AX$2,-1)+1,$C149:$F149)*VLOOKUP(AX$2,Valores!$H$2:$P$154,8,0)</f>
        <v>0</v>
      </c>
      <c r="AY149" s="27" t="n">
        <f aca="false">SUMIF($C$2:$F$2,EOMONTH(AY$2,-1)+1,$C149:$F149)*VLOOKUP(AY$2,Valores!$H$2:$P$154,8,0)</f>
        <v>0</v>
      </c>
      <c r="AZ149" s="27" t="n">
        <f aca="false">SUMIF($C$2:$F$2,EOMONTH(AZ$2,-1)+1,$C149:$F149)*VLOOKUP(AZ$2,Valores!$H$2:$P$154,8,0)</f>
        <v>0</v>
      </c>
      <c r="BA149" s="27" t="n">
        <f aca="false">SUMIF($C$2:$F$2,EOMONTH(BA$2,-1)+1,$C149:$F149)*VLOOKUP(BA$2,Valores!$H$2:$P$154,8,0)</f>
        <v>0</v>
      </c>
      <c r="BB149" s="27" t="n">
        <f aca="false">SUMIF($C$2:$F$2,EOMONTH(BB$2,-1)+1,$C149:$F149)*VLOOKUP(BB$2,Valores!$H$2:$P$154,8,0)</f>
        <v>0</v>
      </c>
      <c r="BC149" s="27" t="n">
        <f aca="false">SUMIF($C$2:$F$2,EOMONTH(BC$2,-1)+1,$C149:$F149)*VLOOKUP(BC$2,Valores!$H$2:$P$154,8,0)</f>
        <v>0</v>
      </c>
      <c r="BD149" s="27" t="n">
        <f aca="false">SUMIF($C$2:$F$2,EOMONTH(BD$2,-1)+1,$C149:$F149)*VLOOKUP(BD$2,Valores!$H$2:$P$154,8,0)</f>
        <v>0</v>
      </c>
      <c r="BE149" s="27" t="n">
        <f aca="false">SUMIF($C$2:$F$2,EOMONTH(BE$2,-1)+1,$C149:$F149)*VLOOKUP(BE$2,Valores!$H$2:$P$154,8,0)</f>
        <v>0</v>
      </c>
      <c r="BF149" s="27" t="n">
        <f aca="false">SUMIF($C$2:$F$2,EOMONTH(BF$2,-1)+1,$C149:$F149)*VLOOKUP(BF$2,Valores!$H$2:$P$154,8,0)</f>
        <v>0</v>
      </c>
      <c r="BG149" s="27" t="n">
        <f aca="false">SUMIF($C$2:$F$2,EOMONTH(BG$2,-1)+1,$C149:$F149)*VLOOKUP(BG$2,Valores!$H$2:$P$154,8,0)</f>
        <v>0</v>
      </c>
      <c r="BH149" s="27" t="n">
        <f aca="false">SUMIF($C$2:$F$2,EOMONTH(BH$2,-1)+1,$C149:$F149)*VLOOKUP(BH$2,Valores!$H$2:$P$154,8,0)</f>
        <v>0</v>
      </c>
      <c r="BI149" s="27" t="n">
        <f aca="false">SUMIF($C$2:$F$2,EOMONTH(BI$2,-1)+1,$C149:$F149)*VLOOKUP(BI$2,Valores!$H$2:$P$154,8,0)</f>
        <v>0</v>
      </c>
      <c r="BJ149" s="27" t="n">
        <f aca="false">SUMIF($C$2:$F$2,EOMONTH(BJ$2,-1)+1,$C149:$F149)*VLOOKUP(BJ$2,Valores!$H$2:$P$154,8,0)</f>
        <v>0</v>
      </c>
      <c r="BK149" s="27" t="n">
        <f aca="false">SUMIF($C$2:$F$2,EOMONTH(BK$2,-1)+1,$C149:$F149)*VLOOKUP(BK$2,Valores!$H$2:$P$154,8,0)</f>
        <v>0</v>
      </c>
      <c r="BL149" s="27" t="n">
        <f aca="false">SUMIF($C$2:$F$2,EOMONTH(BL$2,-1)+1,$C149:$F149)*VLOOKUP(BL$2,Valores!$H$2:$P$154,8,0)</f>
        <v>0</v>
      </c>
      <c r="BM149" s="27" t="n">
        <f aca="false">SUMIF($C$2:$F$2,EOMONTH(BM$2,-1)+1,$C149:$F149)*VLOOKUP(BM$2,Valores!$H$2:$P$154,8,0)</f>
        <v>0</v>
      </c>
      <c r="BN149" s="27" t="n">
        <f aca="false">SUMIF($C$2:$F$2,EOMONTH(BN$2,-1)+1,$C149:$F149)*VLOOKUP(BN$2,Valores!$H$2:$P$154,8,0)</f>
        <v>0</v>
      </c>
      <c r="BO149" s="27" t="n">
        <f aca="false">SUMIF($C$2:$F$2,EOMONTH(BO$2,-1)+1,$C149:$F149)*VLOOKUP(BO$2,Valores!$H$2:$P$154,8,0)</f>
        <v>0</v>
      </c>
      <c r="BP149" s="27" t="n">
        <f aca="false">SUMIF($C$2:$F$2,EOMONTH(BP$2,-1)+1,$C149:$F149)*VLOOKUP(BP$2,Valores!$H$2:$P$154,8,0)</f>
        <v>0</v>
      </c>
      <c r="BQ149" s="27" t="n">
        <f aca="false">SUMIF($C$2:$F$2,EOMONTH(BQ$2,-1)+1,$C149:$F149)*VLOOKUP(BQ$2,Valores!$H$2:$P$154,8,0)</f>
        <v>0</v>
      </c>
      <c r="BR149" s="27" t="n">
        <f aca="false">SUMIF($C$2:$F$2,EOMONTH(BR$2,-1)+1,$C149:$F149)*VLOOKUP(BR$2,Valores!$H$2:$P$154,8,0)</f>
        <v>0</v>
      </c>
      <c r="BS149" s="27" t="n">
        <f aca="false">SUMIF($C$2:$F$2,EOMONTH(BS$2,-1)+1,$C149:$F149)*VLOOKUP(BS$2,Valores!$H$2:$P$154,8,0)</f>
        <v>0</v>
      </c>
      <c r="BT149" s="27" t="n">
        <f aca="false">SUMIF($C$2:$F$2,EOMONTH(BT$2,-1)+1,$C149:$F149)*VLOOKUP(BT$2,Valores!$H$2:$P$154,8,0)</f>
        <v>0</v>
      </c>
      <c r="BU149" s="27" t="n">
        <f aca="false">SUMIF($C$2:$F$2,EOMONTH(BU$2,-1)+1,$C149:$F149)*VLOOKUP(BU$2,Valores!$H$2:$P$154,8,0)</f>
        <v>0</v>
      </c>
      <c r="BV149" s="27" t="n">
        <f aca="false">SUMIF($C$2:$F$2,EOMONTH(BV$2,-1)+1,$C149:$F149)*VLOOKUP(BV$2,Valores!$H$2:$P$154,8,0)</f>
        <v>0</v>
      </c>
      <c r="BW149" s="27" t="n">
        <f aca="false">SUMIF($C$2:$F$2,EOMONTH(BW$2,-1)+1,$C149:$F149)*VLOOKUP(BW$2,Valores!$H$2:$P$154,8,0)</f>
        <v>0</v>
      </c>
      <c r="BX149" s="27" t="n">
        <f aca="false">SUMIF($C$2:$F$2,EOMONTH(BX$2,-1)+1,$C149:$F149)*VLOOKUP(BX$2,Valores!$H$2:$P$154,8,0)</f>
        <v>0</v>
      </c>
      <c r="BY149" s="27" t="n">
        <f aca="false">SUMIF($C$2:$F$2,EOMONTH(BY$2,-1)+1,$C149:$F149)*VLOOKUP(BY$2,Valores!$H$2:$P$154,8,0)</f>
        <v>0</v>
      </c>
      <c r="BZ149" s="27" t="n">
        <f aca="false">SUMIF($C$2:$F$2,EOMONTH(BZ$2,-1)+1,$C149:$F149)*VLOOKUP(BZ$2,Valores!$H$2:$P$154,8,0)</f>
        <v>0</v>
      </c>
      <c r="CA149" s="27" t="n">
        <f aca="false">SUMIF($C$2:$F$2,EOMONTH(CA$2,-1)+1,$C149:$F149)*VLOOKUP(CA$2,Valores!$H$2:$P$154,8,0)</f>
        <v>0</v>
      </c>
      <c r="CB149" s="27" t="n">
        <f aca="false">SUMIF($C$2:$F$2,EOMONTH(CB$2,-1)+1,$C149:$F149)*VLOOKUP(CB$2,Valores!$H$2:$P$154,8,0)</f>
        <v>0</v>
      </c>
      <c r="CC149" s="27" t="n">
        <f aca="false">SUMIF($C$2:$F$2,EOMONTH(CC$2,-1)+1,$C149:$F149)*VLOOKUP(CC$2,Valores!$H$2:$P$154,8,0)</f>
        <v>0</v>
      </c>
      <c r="CD149" s="27" t="n">
        <f aca="false">SUMIF($C$2:$F$2,EOMONTH(CD$2,-1)+1,$C149:$F149)*VLOOKUP(CD$2,Valores!$H$2:$P$154,8,0)</f>
        <v>0</v>
      </c>
      <c r="CE149" s="27" t="n">
        <f aca="false">SUMIF($C$2:$F$2,EOMONTH(CE$2,-1)+1,$C149:$F149)*VLOOKUP(CE$2,Valores!$H$2:$P$154,8,0)</f>
        <v>0</v>
      </c>
      <c r="CF149" s="27" t="n">
        <f aca="false">SUMIF($C$2:$F$2,EOMONTH(CF$2,-1)+1,$C149:$F149)*VLOOKUP(CF$2,Valores!$H$2:$P$154,8,0)</f>
        <v>0</v>
      </c>
      <c r="CG149" s="27" t="n">
        <f aca="false">SUMIF($C$2:$F$2,EOMONTH(CG$2,-1)+1,$C149:$F149)*VLOOKUP(CG$2,Valores!$H$2:$P$154,8,0)</f>
        <v>0</v>
      </c>
      <c r="CH149" s="27" t="n">
        <f aca="false">SUMIF($C$2:$F$2,EOMONTH(CH$2,-1)+1,$C149:$F149)*VLOOKUP(CH$2,Valores!$H$2:$P$154,8,0)</f>
        <v>0</v>
      </c>
      <c r="CI149" s="27" t="n">
        <f aca="false">SUMIF($C$2:$F$2,EOMONTH(CI$2,-1)+1,$C149:$F149)*VLOOKUP(CI$2,Valores!$H$2:$P$154,8,0)</f>
        <v>0</v>
      </c>
      <c r="CJ149" s="27" t="n">
        <f aca="false">SUMIF($C$2:$F$2,EOMONTH(CJ$2,-1)+1,$C149:$F149)*VLOOKUP(CJ$2,Valores!$H$2:$P$154,8,0)</f>
        <v>0</v>
      </c>
      <c r="CK149" s="27" t="n">
        <f aca="false">SUMIF($C$2:$F$2,EOMONTH(CK$2,-1)+1,$C149:$F149)*VLOOKUP(CK$2,Valores!$H$2:$P$154,8,0)</f>
        <v>0</v>
      </c>
      <c r="CL149" s="27" t="n">
        <f aca="false">SUMIF($C$2:$F$2,EOMONTH(CL$2,-1)+1,$C149:$F149)*VLOOKUP(CL$2,Valores!$H$2:$P$154,8,0)</f>
        <v>0</v>
      </c>
      <c r="CM149" s="27" t="n">
        <f aca="false">SUMIF($C$2:$F$2,EOMONTH(CM$2,-1)+1,$C149:$F149)*VLOOKUP(CM$2,Valores!$H$2:$P$154,8,0)</f>
        <v>0</v>
      </c>
      <c r="CN149" s="27" t="n">
        <f aca="false">SUMIF($C$2:$F$2,EOMONTH(CN$2,-1)+1,$C149:$F149)*VLOOKUP(CN$2,Valores!$H$2:$P$154,8,0)</f>
        <v>0</v>
      </c>
      <c r="CO149" s="27" t="n">
        <f aca="false">SUMIF($C$2:$F$2,EOMONTH(CO$2,-1)+1,$C149:$F149)*VLOOKUP(CO$2,Valores!$H$2:$P$154,8,0)</f>
        <v>0</v>
      </c>
      <c r="CP149" s="27" t="n">
        <f aca="false">SUMIF($C$2:$F$2,EOMONTH(CP$2,-1)+1,$C149:$F149)*VLOOKUP(CP$2,Valores!$H$2:$P$154,8,0)</f>
        <v>0</v>
      </c>
      <c r="CQ149" s="27" t="n">
        <f aca="false">SUMIF($C$2:$F$2,EOMONTH(CQ$2,-1)+1,$C149:$F149)*VLOOKUP(CQ$2,Valores!$H$2:$P$154,8,0)</f>
        <v>0</v>
      </c>
      <c r="CR149" s="27" t="n">
        <f aca="false">SUMIF($C$2:$F$2,EOMONTH(CR$2,-1)+1,$C149:$F149)*VLOOKUP(CR$2,Valores!$H$2:$P$154,8,0)</f>
        <v>0</v>
      </c>
      <c r="CS149" s="27" t="n">
        <f aca="false">SUMIF($C$2:$F$2,EOMONTH(CS$2,-1)+1,$C149:$F149)*VLOOKUP(CS$2,Valores!$H$2:$P$154,8,0)</f>
        <v>0</v>
      </c>
      <c r="CT149" s="27" t="e">
        <f aca="false">SUMIF($C$2:$F$2,EOMONTH(CT$2,-1)+1,$C149:$F149)*VLOOKUP(CT$2,Valores!$H$2:$P$154,8,0)</f>
        <v>#VALUE!</v>
      </c>
      <c r="CU149" s="27" t="e">
        <f aca="false">SUMIF($C$2:$F$2,EOMONTH(CU$2,-1)+1,$C149:$F149)*VLOOKUP(CU$2,Valores!$H$2:$P$154,8,0)</f>
        <v>#VALUE!</v>
      </c>
      <c r="CV149" s="27" t="e">
        <f aca="false">SUMIF($C$2:$F$2,EOMONTH(CV$2,-1)+1,$C149:$F149)*VLOOKUP(CV$2,Valores!$H$2:$P$154,8,0)</f>
        <v>#VALUE!</v>
      </c>
      <c r="CW149" s="27" t="e">
        <f aca="false">SUMIF($C$2:$F$2,EOMONTH(CW$2,-1)+1,$C149:$F149)*VLOOKUP(CW$2,Valores!$H$2:$P$154,8,0)</f>
        <v>#VALUE!</v>
      </c>
      <c r="CX149" s="27" t="e">
        <f aca="false">SUMIF($C$2:$F$2,EOMONTH(CX$2,-1)+1,$C149:$F149)*VLOOKUP(CX$2,Valores!$H$2:$P$154,8,0)</f>
        <v>#VALUE!</v>
      </c>
      <c r="CY149" s="27" t="e">
        <f aca="false">SUMIF($C$2:$F$2,EOMONTH(CY$2,-1)+1,$C149:$F149)*VLOOKUP(CY$2,Valores!$H$2:$P$154,8,0)</f>
        <v>#VALUE!</v>
      </c>
      <c r="CZ149" s="27" t="e">
        <f aca="false">SUMIF($C$2:$F$2,EOMONTH(CZ$2,-1)+1,$C149:$F149)*VLOOKUP(CZ$2,Valores!$H$2:$P$154,8,0)</f>
        <v>#VALUE!</v>
      </c>
      <c r="DA149" s="27" t="e">
        <f aca="false">SUMIF($C$2:$F$2,EOMONTH(DA$2,-1)+1,$C149:$F149)*VLOOKUP(DA$2,Valores!$H$2:$P$154,8,0)</f>
        <v>#VALUE!</v>
      </c>
      <c r="DB149" s="27" t="e">
        <f aca="false">SUMIF($C$2:$F$2,EOMONTH(DB$2,-1)+1,$C149:$F149)*VLOOKUP(DB$2,Valores!$H$2:$P$154,8,0)</f>
        <v>#VALUE!</v>
      </c>
      <c r="DC149" s="27" t="e">
        <f aca="false">SUMIF($C$2:$F$2,EOMONTH(DC$2,-1)+1,$C149:$F149)*VLOOKUP(DC$2,Valores!$H$2:$P$154,8,0)</f>
        <v>#VALUE!</v>
      </c>
      <c r="DD149" s="27" t="e">
        <f aca="false">SUMIF($C$2:$F$2,EOMONTH(DD$2,-1)+1,$C149:$F149)*VLOOKUP(DD$2,Valores!$H$2:$P$154,8,0)</f>
        <v>#VALUE!</v>
      </c>
      <c r="DE149" s="27" t="e">
        <f aca="false">SUMIF($C$2:$F$2,EOMONTH(DE$2,-1)+1,$C149:$F149)*VLOOKUP(DE$2,Valores!$H$2:$P$154,8,0)</f>
        <v>#VALUE!</v>
      </c>
      <c r="DF149" s="27" t="e">
        <f aca="false">SUMIF($C$2:$F$2,EOMONTH(DF$2,-1)+1,$C149:$F149)*VLOOKUP(DF$2,Valores!$H$2:$P$154,8,0)</f>
        <v>#VALUE!</v>
      </c>
      <c r="DG149" s="27" t="e">
        <f aca="false">SUMIF($C$2:$F$2,EOMONTH(DG$2,-1)+1,$C149:$F149)*VLOOKUP(DG$2,Valores!$H$2:$P$154,8,0)</f>
        <v>#VALUE!</v>
      </c>
      <c r="DH149" s="27" t="e">
        <f aca="false">SUMIF($C$2:$F$2,EOMONTH(DH$2,-1)+1,$C149:$F149)*VLOOKUP(DH$2,Valores!$H$2:$P$154,8,0)</f>
        <v>#VALUE!</v>
      </c>
      <c r="DI149" s="27" t="e">
        <f aca="false">SUMIF($C$2:$F$2,EOMONTH(DI$2,-1)+1,$C149:$F149)*VLOOKUP(DI$2,Valores!$H$2:$P$154,8,0)</f>
        <v>#VALUE!</v>
      </c>
      <c r="DJ149" s="27" t="e">
        <f aca="false">SUMIF($C$2:$F$2,EOMONTH(DJ$2,-1)+1,$C149:$F149)*VLOOKUP(DJ$2,Valores!$H$2:$P$154,8,0)</f>
        <v>#VALUE!</v>
      </c>
      <c r="DK149" s="27" t="e">
        <f aca="false">SUMIF($C$2:$F$2,EOMONTH(DK$2,-1)+1,$C149:$F149)*VLOOKUP(DK$2,Valores!$H$2:$P$154,8,0)</f>
        <v>#VALUE!</v>
      </c>
      <c r="DL149" s="27" t="e">
        <f aca="false">SUMIF($C$2:$F$2,EOMONTH(DL$2,-1)+1,$C149:$F149)*VLOOKUP(DL$2,Valores!$H$2:$P$154,8,0)</f>
        <v>#VALUE!</v>
      </c>
      <c r="DM149" s="27" t="e">
        <f aca="false">SUMIF($C$2:$F$2,EOMONTH(DM$2,-1)+1,$C149:$F149)*VLOOKUP(DM$2,Valores!$H$2:$P$154,8,0)</f>
        <v>#VALUE!</v>
      </c>
      <c r="DN149" s="27" t="e">
        <f aca="false">SUMIF($C$2:$F$2,EOMONTH(DN$2,-1)+1,$C149:$F149)*VLOOKUP(DN$2,Valores!$H$2:$P$154,8,0)</f>
        <v>#VALUE!</v>
      </c>
      <c r="DO149" s="27" t="e">
        <f aca="false">SUMIF($C$2:$F$2,EOMONTH(DO$2,-1)+1,$C149:$F149)*VLOOKUP(DO$2,Valores!$H$2:$P$154,8,0)</f>
        <v>#VALUE!</v>
      </c>
      <c r="DP149" s="27" t="e">
        <f aca="false">SUMIF($C$2:$F$2,EOMONTH(DP$2,-1)+1,$C149:$F149)*VLOOKUP(DP$2,Valores!$H$2:$P$154,8,0)</f>
        <v>#VALUE!</v>
      </c>
      <c r="DQ149" s="27" t="e">
        <f aca="false">SUMIF($C$2:$F$2,EOMONTH(DQ$2,-1)+1,$C149:$F149)*VLOOKUP(DQ$2,Valores!$H$2:$P$154,8,0)</f>
        <v>#VALUE!</v>
      </c>
      <c r="DR149" s="27" t="e">
        <f aca="false">SUMIF($C$2:$F$2,EOMONTH(DR$2,-1)+1,$C149:$F149)*VLOOKUP(DR$2,Valores!$H$2:$P$154,8,0)</f>
        <v>#VALUE!</v>
      </c>
      <c r="DS149" s="27" t="e">
        <f aca="false">SUMIF($C$2:$F$2,EOMONTH(DS$2,-1)+1,$C149:$F149)*VLOOKUP(DS$2,Valores!$H$2:$P$154,8,0)</f>
        <v>#VALUE!</v>
      </c>
      <c r="DT149" s="27" t="e">
        <f aca="false">SUMIF($C$2:$F$2,EOMONTH(DT$2,-1)+1,$C149:$F149)*VLOOKUP(DT$2,Valores!$H$2:$P$154,8,0)</f>
        <v>#VALUE!</v>
      </c>
      <c r="DU149" s="27" t="e">
        <f aca="false">SUMIF($C$2:$F$2,EOMONTH(DU$2,-1)+1,$C149:$F149)*VLOOKUP(DU$2,Valores!$H$2:$P$154,8,0)</f>
        <v>#VALUE!</v>
      </c>
      <c r="DV149" s="27" t="e">
        <f aca="false">SUMIF($C$2:$F$2,EOMONTH(DV$2,-1)+1,$C149:$F149)*VLOOKUP(DV$2,Valores!$H$2:$P$154,8,0)</f>
        <v>#VALUE!</v>
      </c>
      <c r="DW149" s="27" t="e">
        <f aca="false">SUMIF($C$2:$F$2,EOMONTH(DW$2,-1)+1,$C149:$F149)*VLOOKUP(DW$2,Valores!$H$2:$P$154,8,0)</f>
        <v>#VALUE!</v>
      </c>
      <c r="DX149" s="27" t="e">
        <f aca="false">SUMIF($C$2:$F$2,EOMONTH(DX$2,-1)+1,$C149:$F149)*VLOOKUP(DX$2,Valores!$H$2:$P$154,8,0)</f>
        <v>#VALUE!</v>
      </c>
    </row>
    <row r="150" customFormat="false" ht="13.8" hidden="false" customHeight="false" outlineLevel="0" collapsed="false">
      <c r="A150" s="29"/>
      <c r="B150" s="29"/>
      <c r="C150" s="29"/>
      <c r="D150" s="29"/>
      <c r="E150" s="29"/>
      <c r="F150" s="29"/>
      <c r="G150" s="30" t="n">
        <f aca="false">SUMIF($C$2:$F$2,EOMONTH(G$2,-1)+1,$C150:$F150)*VLOOKUP(G$2,Valores!$H$2:$P$154,8,0)</f>
        <v>0</v>
      </c>
      <c r="H150" s="30" t="n">
        <f aca="false">SUMIF($C$2:$F$2,EOMONTH(H$2,-1)+1,$C150:$F150)*VLOOKUP(H$2,Valores!$H$2:$P$154,8,0)</f>
        <v>0</v>
      </c>
      <c r="I150" s="30" t="n">
        <f aca="false">SUMIF($C$2:$F$2,EOMONTH(I$2,-1)+1,$C150:$F150)*VLOOKUP(I$2,Valores!$H$2:$P$154,8,0)</f>
        <v>0</v>
      </c>
      <c r="J150" s="30" t="n">
        <f aca="false">SUMIF($C$2:$F$2,EOMONTH(J$2,-1)+1,$C150:$F150)*VLOOKUP(J$2,Valores!$H$2:$P$154,8,0)</f>
        <v>0</v>
      </c>
      <c r="K150" s="30" t="n">
        <f aca="false">SUMIF($C$2:$F$2,EOMONTH(K$2,-1)+1,$C150:$F150)*VLOOKUP(K$2,Valores!$H$2:$P$154,8,0)</f>
        <v>0</v>
      </c>
      <c r="L150" s="30" t="n">
        <f aca="false">SUMIF($C$2:$F$2,EOMONTH(L$2,-1)+1,$C150:$F150)*VLOOKUP(L$2,Valores!$H$2:$P$154,8,0)</f>
        <v>0</v>
      </c>
      <c r="M150" s="30" t="n">
        <f aca="false">SUMIF($C$2:$F$2,EOMONTH(M$2,-1)+1,$C150:$F150)*VLOOKUP(M$2,Valores!$H$2:$P$154,8,0)</f>
        <v>0</v>
      </c>
      <c r="N150" s="30" t="n">
        <f aca="false">SUMIF($C$2:$F$2,EOMONTH(N$2,-1)+1,$C150:$F150)*VLOOKUP(N$2,Valores!$H$2:$P$154,8,0)</f>
        <v>0</v>
      </c>
      <c r="O150" s="30" t="n">
        <f aca="false">SUMIF($C$2:$F$2,EOMONTH(O$2,-1)+1,$C150:$F150)*VLOOKUP(O$2,Valores!$H$2:$P$154,8,0)</f>
        <v>0</v>
      </c>
      <c r="P150" s="30" t="n">
        <f aca="false">SUMIF($C$2:$F$2,EOMONTH(P$2,-1)+1,$C150:$F150)*VLOOKUP(P$2,Valores!$H$2:$P$154,8,0)</f>
        <v>0</v>
      </c>
      <c r="Q150" s="30" t="n">
        <f aca="false">SUMIF($C$2:$F$2,EOMONTH(Q$2,-1)+1,$C150:$F150)*VLOOKUP(Q$2,Valores!$H$2:$P$154,8,0)</f>
        <v>0</v>
      </c>
      <c r="R150" s="30" t="n">
        <f aca="false">SUMIF($C$2:$F$2,EOMONTH(R$2,-1)+1,$C150:$F150)*VLOOKUP(R$2,Valores!$H$2:$P$154,8,0)</f>
        <v>0</v>
      </c>
      <c r="S150" s="30" t="n">
        <f aca="false">SUMIF($C$2:$F$2,EOMONTH(S$2,-1)+1,$C150:$F150)*VLOOKUP(S$2,Valores!$H$2:$P$154,8,0)</f>
        <v>0</v>
      </c>
      <c r="T150" s="30" t="n">
        <f aca="false">SUMIF($C$2:$F$2,EOMONTH(T$2,-1)+1,$C150:$F150)*VLOOKUP(T$2,Valores!$H$2:$P$154,8,0)</f>
        <v>0</v>
      </c>
      <c r="U150" s="30" t="n">
        <f aca="false">SUMIF($C$2:$F$2,EOMONTH(U$2,-1)+1,$C150:$F150)*VLOOKUP(U$2,Valores!$H$2:$P$154,8,0)</f>
        <v>0</v>
      </c>
      <c r="V150" s="30" t="n">
        <f aca="false">SUMIF($C$2:$F$2,EOMONTH(V$2,-1)+1,$C150:$F150)*VLOOKUP(V$2,Valores!$H$2:$P$154,8,0)</f>
        <v>0</v>
      </c>
      <c r="W150" s="30" t="n">
        <f aca="false">SUMIF($C$2:$F$2,EOMONTH(W$2,-1)+1,$C150:$F150)*VLOOKUP(W$2,Valores!$H$2:$P$154,8,0)</f>
        <v>0</v>
      </c>
      <c r="X150" s="30" t="n">
        <f aca="false">SUMIF($C$2:$F$2,EOMONTH(X$2,-1)+1,$C150:$F150)*VLOOKUP(X$2,Valores!$H$2:$P$154,8,0)</f>
        <v>0</v>
      </c>
      <c r="Y150" s="30" t="n">
        <f aca="false">SUMIF($C$2:$F$2,EOMONTH(Y$2,-1)+1,$C150:$F150)*VLOOKUP(Y$2,Valores!$H$2:$P$154,8,0)</f>
        <v>0</v>
      </c>
      <c r="Z150" s="30" t="n">
        <f aca="false">SUMIF($C$2:$F$2,EOMONTH(Z$2,-1)+1,$C150:$F150)*VLOOKUP(Z$2,Valores!$H$2:$P$154,8,0)</f>
        <v>0</v>
      </c>
      <c r="AA150" s="30" t="n">
        <f aca="false">SUMIF($C$2:$F$2,EOMONTH(AA$2,-1)+1,$C150:$F150)*VLOOKUP(AA$2,Valores!$H$2:$P$154,8,0)</f>
        <v>0</v>
      </c>
      <c r="AB150" s="30" t="n">
        <f aca="false">SUMIF($C$2:$F$2,EOMONTH(AB$2,-1)+1,$C150:$F150)*VLOOKUP(AB$2,Valores!$H$2:$P$154,8,0)</f>
        <v>0</v>
      </c>
      <c r="AC150" s="30" t="n">
        <f aca="false">SUMIF($C$2:$F$2,EOMONTH(AC$2,-1)+1,$C150:$F150)*VLOOKUP(AC$2,Valores!$H$2:$P$154,8,0)</f>
        <v>0</v>
      </c>
      <c r="AD150" s="30" t="n">
        <f aca="false">SUMIF($C$2:$F$2,EOMONTH(AD$2,-1)+1,$C150:$F150)*VLOOKUP(AD$2,Valores!$H$2:$P$154,8,0)</f>
        <v>0</v>
      </c>
      <c r="AE150" s="30" t="n">
        <f aca="false">SUMIF($C$2:$F$2,EOMONTH(AE$2,-1)+1,$C150:$F150)*VLOOKUP(AE$2,Valores!$H$2:$P$154,8,0)</f>
        <v>0</v>
      </c>
      <c r="AF150" s="30" t="n">
        <f aca="false">SUMIF($C$2:$F$2,EOMONTH(AF$2,-1)+1,$C150:$F150)*VLOOKUP(AF$2,Valores!$H$2:$P$154,8,0)</f>
        <v>0</v>
      </c>
      <c r="AG150" s="30" t="n">
        <f aca="false">SUMIF($C$2:$F$2,EOMONTH(AG$2,-1)+1,$C150:$F150)*VLOOKUP(AG$2,Valores!$H$2:$P$154,8,0)</f>
        <v>0</v>
      </c>
      <c r="AH150" s="30" t="n">
        <f aca="false">SUMIF($C$2:$F$2,EOMONTH(AH$2,-1)+1,$C150:$F150)*VLOOKUP(AH$2,Valores!$H$2:$P$154,8,0)</f>
        <v>0</v>
      </c>
      <c r="AI150" s="30" t="n">
        <f aca="false">SUMIF($C$2:$F$2,EOMONTH(AI$2,-1)+1,$C150:$F150)*VLOOKUP(AI$2,Valores!$H$2:$P$154,8,0)</f>
        <v>0</v>
      </c>
      <c r="AJ150" s="30" t="n">
        <f aca="false">SUMIF($C$2:$F$2,EOMONTH(AJ$2,-1)+1,$C150:$F150)*VLOOKUP(AJ$2,Valores!$H$2:$P$154,8,0)</f>
        <v>0</v>
      </c>
      <c r="AK150" s="30" t="n">
        <f aca="false">SUMIF($C$2:$F$2,EOMONTH(AK$2,-1)+1,$C150:$F150)*VLOOKUP(AK$2,Valores!$H$2:$P$154,8,0)</f>
        <v>0</v>
      </c>
      <c r="AL150" s="30" t="n">
        <f aca="false">SUMIF($C$2:$F$2,EOMONTH(AL$2,-1)+1,$C150:$F150)*VLOOKUP(AL$2,Valores!$H$2:$P$154,8,0)</f>
        <v>0</v>
      </c>
      <c r="AM150" s="30" t="n">
        <f aca="false">SUMIF($C$2:$F$2,EOMONTH(AM$2,-1)+1,$C150:$F150)*VLOOKUP(AM$2,Valores!$H$2:$P$154,8,0)</f>
        <v>0</v>
      </c>
      <c r="AN150" s="30" t="n">
        <f aca="false">SUMIF($C$2:$F$2,EOMONTH(AN$2,-1)+1,$C150:$F150)*VLOOKUP(AN$2,Valores!$H$2:$P$154,8,0)</f>
        <v>0</v>
      </c>
      <c r="AO150" s="30" t="n">
        <f aca="false">SUMIF($C$2:$F$2,EOMONTH(AO$2,-1)+1,$C150:$F150)*VLOOKUP(AO$2,Valores!$H$2:$P$154,8,0)</f>
        <v>0</v>
      </c>
      <c r="AP150" s="30" t="n">
        <f aca="false">SUMIF($C$2:$F$2,EOMONTH(AP$2,-1)+1,$C150:$F150)*VLOOKUP(AP$2,Valores!$H$2:$P$154,8,0)</f>
        <v>0</v>
      </c>
      <c r="AQ150" s="30" t="n">
        <f aca="false">SUMIF($C$2:$F$2,EOMONTH(AQ$2,-1)+1,$C150:$F150)*VLOOKUP(AQ$2,Valores!$H$2:$P$154,8,0)</f>
        <v>0</v>
      </c>
      <c r="AR150" s="30" t="n">
        <f aca="false">SUMIF($C$2:$F$2,EOMONTH(AR$2,-1)+1,$C150:$F150)*VLOOKUP(AR$2,Valores!$H$2:$P$154,8,0)</f>
        <v>0</v>
      </c>
      <c r="AS150" s="30" t="n">
        <f aca="false">SUMIF($C$2:$F$2,EOMONTH(AS$2,-1)+1,$C150:$F150)*VLOOKUP(AS$2,Valores!$H$2:$P$154,8,0)</f>
        <v>0</v>
      </c>
      <c r="AT150" s="30" t="n">
        <f aca="false">SUMIF($C$2:$F$2,EOMONTH(AT$2,-1)+1,$C150:$F150)*VLOOKUP(AT$2,Valores!$H$2:$P$154,8,0)</f>
        <v>0</v>
      </c>
      <c r="AU150" s="30" t="n">
        <f aca="false">SUMIF($C$2:$F$2,EOMONTH(AU$2,-1)+1,$C150:$F150)*VLOOKUP(AU$2,Valores!$H$2:$P$154,8,0)</f>
        <v>0</v>
      </c>
      <c r="AV150" s="30" t="n">
        <f aca="false">SUMIF($C$2:$F$2,EOMONTH(AV$2,-1)+1,$C150:$F150)*VLOOKUP(AV$2,Valores!$H$2:$P$154,8,0)</f>
        <v>0</v>
      </c>
      <c r="AW150" s="30" t="n">
        <f aca="false">SUMIF($C$2:$F$2,EOMONTH(AW$2,-1)+1,$C150:$F150)*VLOOKUP(AW$2,Valores!$H$2:$P$154,8,0)</f>
        <v>0</v>
      </c>
      <c r="AX150" s="30" t="n">
        <f aca="false">SUMIF($C$2:$F$2,EOMONTH(AX$2,-1)+1,$C150:$F150)*VLOOKUP(AX$2,Valores!$H$2:$P$154,8,0)</f>
        <v>0</v>
      </c>
      <c r="AY150" s="30" t="n">
        <f aca="false">SUMIF($C$2:$F$2,EOMONTH(AY$2,-1)+1,$C150:$F150)*VLOOKUP(AY$2,Valores!$H$2:$P$154,8,0)</f>
        <v>0</v>
      </c>
      <c r="AZ150" s="30" t="n">
        <f aca="false">SUMIF($C$2:$F$2,EOMONTH(AZ$2,-1)+1,$C150:$F150)*VLOOKUP(AZ$2,Valores!$H$2:$P$154,8,0)</f>
        <v>0</v>
      </c>
      <c r="BA150" s="30" t="n">
        <f aca="false">SUMIF($C$2:$F$2,EOMONTH(BA$2,-1)+1,$C150:$F150)*VLOOKUP(BA$2,Valores!$H$2:$P$154,8,0)</f>
        <v>0</v>
      </c>
      <c r="BB150" s="30" t="n">
        <f aca="false">SUMIF($C$2:$F$2,EOMONTH(BB$2,-1)+1,$C150:$F150)*VLOOKUP(BB$2,Valores!$H$2:$P$154,8,0)</f>
        <v>0</v>
      </c>
      <c r="BC150" s="30" t="n">
        <f aca="false">SUMIF($C$2:$F$2,EOMONTH(BC$2,-1)+1,$C150:$F150)*VLOOKUP(BC$2,Valores!$H$2:$P$154,8,0)</f>
        <v>0</v>
      </c>
      <c r="BD150" s="30" t="n">
        <f aca="false">SUMIF($C$2:$F$2,EOMONTH(BD$2,-1)+1,$C150:$F150)*VLOOKUP(BD$2,Valores!$H$2:$P$154,8,0)</f>
        <v>0</v>
      </c>
      <c r="BE150" s="30" t="n">
        <f aca="false">SUMIF($C$2:$F$2,EOMONTH(BE$2,-1)+1,$C150:$F150)*VLOOKUP(BE$2,Valores!$H$2:$P$154,8,0)</f>
        <v>0</v>
      </c>
      <c r="BF150" s="30" t="n">
        <f aca="false">SUMIF($C$2:$F$2,EOMONTH(BF$2,-1)+1,$C150:$F150)*VLOOKUP(BF$2,Valores!$H$2:$P$154,8,0)</f>
        <v>0</v>
      </c>
      <c r="BG150" s="30" t="n">
        <f aca="false">SUMIF($C$2:$F$2,EOMONTH(BG$2,-1)+1,$C150:$F150)*VLOOKUP(BG$2,Valores!$H$2:$P$154,8,0)</f>
        <v>0</v>
      </c>
      <c r="BH150" s="30" t="n">
        <f aca="false">SUMIF($C$2:$F$2,EOMONTH(BH$2,-1)+1,$C150:$F150)*VLOOKUP(BH$2,Valores!$H$2:$P$154,8,0)</f>
        <v>0</v>
      </c>
      <c r="BI150" s="30" t="n">
        <f aca="false">SUMIF($C$2:$F$2,EOMONTH(BI$2,-1)+1,$C150:$F150)*VLOOKUP(BI$2,Valores!$H$2:$P$154,8,0)</f>
        <v>0</v>
      </c>
      <c r="BJ150" s="30" t="n">
        <f aca="false">SUMIF($C$2:$F$2,EOMONTH(BJ$2,-1)+1,$C150:$F150)*VLOOKUP(BJ$2,Valores!$H$2:$P$154,8,0)</f>
        <v>0</v>
      </c>
      <c r="BK150" s="30" t="n">
        <f aca="false">SUMIF($C$2:$F$2,EOMONTH(BK$2,-1)+1,$C150:$F150)*VLOOKUP(BK$2,Valores!$H$2:$P$154,8,0)</f>
        <v>0</v>
      </c>
      <c r="BL150" s="30" t="n">
        <f aca="false">SUMIF($C$2:$F$2,EOMONTH(BL$2,-1)+1,$C150:$F150)*VLOOKUP(BL$2,Valores!$H$2:$P$154,8,0)</f>
        <v>0</v>
      </c>
      <c r="BM150" s="30" t="n">
        <f aca="false">SUMIF($C$2:$F$2,EOMONTH(BM$2,-1)+1,$C150:$F150)*VLOOKUP(BM$2,Valores!$H$2:$P$154,8,0)</f>
        <v>0</v>
      </c>
      <c r="BN150" s="30" t="n">
        <f aca="false">SUMIF($C$2:$F$2,EOMONTH(BN$2,-1)+1,$C150:$F150)*VLOOKUP(BN$2,Valores!$H$2:$P$154,8,0)</f>
        <v>0</v>
      </c>
      <c r="BO150" s="30" t="n">
        <f aca="false">SUMIF($C$2:$F$2,EOMONTH(BO$2,-1)+1,$C150:$F150)*VLOOKUP(BO$2,Valores!$H$2:$P$154,8,0)</f>
        <v>0</v>
      </c>
      <c r="BP150" s="30" t="n">
        <f aca="false">SUMIF($C$2:$F$2,EOMONTH(BP$2,-1)+1,$C150:$F150)*VLOOKUP(BP$2,Valores!$H$2:$P$154,8,0)</f>
        <v>0</v>
      </c>
      <c r="BQ150" s="30" t="n">
        <f aca="false">SUMIF($C$2:$F$2,EOMONTH(BQ$2,-1)+1,$C150:$F150)*VLOOKUP(BQ$2,Valores!$H$2:$P$154,8,0)</f>
        <v>0</v>
      </c>
      <c r="BR150" s="30" t="n">
        <f aca="false">SUMIF($C$2:$F$2,EOMONTH(BR$2,-1)+1,$C150:$F150)*VLOOKUP(BR$2,Valores!$H$2:$P$154,8,0)</f>
        <v>0</v>
      </c>
      <c r="BS150" s="30" t="n">
        <f aca="false">SUMIF($C$2:$F$2,EOMONTH(BS$2,-1)+1,$C150:$F150)*VLOOKUP(BS$2,Valores!$H$2:$P$154,8,0)</f>
        <v>0</v>
      </c>
      <c r="BT150" s="30" t="n">
        <f aca="false">SUMIF($C$2:$F$2,EOMONTH(BT$2,-1)+1,$C150:$F150)*VLOOKUP(BT$2,Valores!$H$2:$P$154,8,0)</f>
        <v>0</v>
      </c>
      <c r="BU150" s="30" t="n">
        <f aca="false">SUMIF($C$2:$F$2,EOMONTH(BU$2,-1)+1,$C150:$F150)*VLOOKUP(BU$2,Valores!$H$2:$P$154,8,0)</f>
        <v>0</v>
      </c>
      <c r="BV150" s="30" t="n">
        <f aca="false">SUMIF($C$2:$F$2,EOMONTH(BV$2,-1)+1,$C150:$F150)*VLOOKUP(BV$2,Valores!$H$2:$P$154,8,0)</f>
        <v>0</v>
      </c>
      <c r="BW150" s="30" t="n">
        <f aca="false">SUMIF($C$2:$F$2,EOMONTH(BW$2,-1)+1,$C150:$F150)*VLOOKUP(BW$2,Valores!$H$2:$P$154,8,0)</f>
        <v>0</v>
      </c>
      <c r="BX150" s="30" t="n">
        <f aca="false">SUMIF($C$2:$F$2,EOMONTH(BX$2,-1)+1,$C150:$F150)*VLOOKUP(BX$2,Valores!$H$2:$P$154,8,0)</f>
        <v>0</v>
      </c>
      <c r="BY150" s="30" t="n">
        <f aca="false">SUMIF($C$2:$F$2,EOMONTH(BY$2,-1)+1,$C150:$F150)*VLOOKUP(BY$2,Valores!$H$2:$P$154,8,0)</f>
        <v>0</v>
      </c>
      <c r="BZ150" s="30" t="n">
        <f aca="false">SUMIF($C$2:$F$2,EOMONTH(BZ$2,-1)+1,$C150:$F150)*VLOOKUP(BZ$2,Valores!$H$2:$P$154,8,0)</f>
        <v>0</v>
      </c>
      <c r="CA150" s="30" t="n">
        <f aca="false">SUMIF($C$2:$F$2,EOMONTH(CA$2,-1)+1,$C150:$F150)*VLOOKUP(CA$2,Valores!$H$2:$P$154,8,0)</f>
        <v>0</v>
      </c>
      <c r="CB150" s="30" t="n">
        <f aca="false">SUMIF($C$2:$F$2,EOMONTH(CB$2,-1)+1,$C150:$F150)*VLOOKUP(CB$2,Valores!$H$2:$P$154,8,0)</f>
        <v>0</v>
      </c>
      <c r="CC150" s="30" t="n">
        <f aca="false">SUMIF($C$2:$F$2,EOMONTH(CC$2,-1)+1,$C150:$F150)*VLOOKUP(CC$2,Valores!$H$2:$P$154,8,0)</f>
        <v>0</v>
      </c>
      <c r="CD150" s="30" t="n">
        <f aca="false">SUMIF($C$2:$F$2,EOMONTH(CD$2,-1)+1,$C150:$F150)*VLOOKUP(CD$2,Valores!$H$2:$P$154,8,0)</f>
        <v>0</v>
      </c>
      <c r="CE150" s="30" t="n">
        <f aca="false">SUMIF($C$2:$F$2,EOMONTH(CE$2,-1)+1,$C150:$F150)*VLOOKUP(CE$2,Valores!$H$2:$P$154,8,0)</f>
        <v>0</v>
      </c>
      <c r="CF150" s="30" t="n">
        <f aca="false">SUMIF($C$2:$F$2,EOMONTH(CF$2,-1)+1,$C150:$F150)*VLOOKUP(CF$2,Valores!$H$2:$P$154,8,0)</f>
        <v>0</v>
      </c>
      <c r="CG150" s="30" t="n">
        <f aca="false">SUMIF($C$2:$F$2,EOMONTH(CG$2,-1)+1,$C150:$F150)*VLOOKUP(CG$2,Valores!$H$2:$P$154,8,0)</f>
        <v>0</v>
      </c>
      <c r="CH150" s="30" t="n">
        <f aca="false">SUMIF($C$2:$F$2,EOMONTH(CH$2,-1)+1,$C150:$F150)*VLOOKUP(CH$2,Valores!$H$2:$P$154,8,0)</f>
        <v>0</v>
      </c>
      <c r="CI150" s="30" t="n">
        <f aca="false">SUMIF($C$2:$F$2,EOMONTH(CI$2,-1)+1,$C150:$F150)*VLOOKUP(CI$2,Valores!$H$2:$P$154,8,0)</f>
        <v>0</v>
      </c>
      <c r="CJ150" s="30" t="n">
        <f aca="false">SUMIF($C$2:$F$2,EOMONTH(CJ$2,-1)+1,$C150:$F150)*VLOOKUP(CJ$2,Valores!$H$2:$P$154,8,0)</f>
        <v>0</v>
      </c>
      <c r="CK150" s="30" t="n">
        <f aca="false">SUMIF($C$2:$F$2,EOMONTH(CK$2,-1)+1,$C150:$F150)*VLOOKUP(CK$2,Valores!$H$2:$P$154,8,0)</f>
        <v>0</v>
      </c>
      <c r="CL150" s="30" t="n">
        <f aca="false">SUMIF($C$2:$F$2,EOMONTH(CL$2,-1)+1,$C150:$F150)*VLOOKUP(CL$2,Valores!$H$2:$P$154,8,0)</f>
        <v>0</v>
      </c>
      <c r="CM150" s="30" t="n">
        <f aca="false">SUMIF($C$2:$F$2,EOMONTH(CM$2,-1)+1,$C150:$F150)*VLOOKUP(CM$2,Valores!$H$2:$P$154,8,0)</f>
        <v>0</v>
      </c>
      <c r="CN150" s="30" t="n">
        <f aca="false">SUMIF($C$2:$F$2,EOMONTH(CN$2,-1)+1,$C150:$F150)*VLOOKUP(CN$2,Valores!$H$2:$P$154,8,0)</f>
        <v>0</v>
      </c>
      <c r="CO150" s="30" t="n">
        <f aca="false">SUMIF($C$2:$F$2,EOMONTH(CO$2,-1)+1,$C150:$F150)*VLOOKUP(CO$2,Valores!$H$2:$P$154,8,0)</f>
        <v>0</v>
      </c>
      <c r="CP150" s="30" t="n">
        <f aca="false">SUMIF($C$2:$F$2,EOMONTH(CP$2,-1)+1,$C150:$F150)*VLOOKUP(CP$2,Valores!$H$2:$P$154,8,0)</f>
        <v>0</v>
      </c>
      <c r="CQ150" s="30" t="n">
        <f aca="false">SUMIF($C$2:$F$2,EOMONTH(CQ$2,-1)+1,$C150:$F150)*VLOOKUP(CQ$2,Valores!$H$2:$P$154,8,0)</f>
        <v>0</v>
      </c>
      <c r="CR150" s="30" t="n">
        <f aca="false">SUMIF($C$2:$F$2,EOMONTH(CR$2,-1)+1,$C150:$F150)*VLOOKUP(CR$2,Valores!$H$2:$P$154,8,0)</f>
        <v>0</v>
      </c>
      <c r="CS150" s="30" t="n">
        <f aca="false">SUMIF($C$2:$F$2,EOMONTH(CS$2,-1)+1,$C150:$F150)*VLOOKUP(CS$2,Valores!$H$2:$P$154,8,0)</f>
        <v>0</v>
      </c>
      <c r="CT150" s="30" t="e">
        <f aca="false">SUMIF($C$2:$F$2,EOMONTH(CT$2,-1)+1,$C150:$F150)*VLOOKUP(CT$2,Valores!$H$2:$P$154,8,0)</f>
        <v>#VALUE!</v>
      </c>
      <c r="CU150" s="30" t="e">
        <f aca="false">SUMIF($C$2:$F$2,EOMONTH(CU$2,-1)+1,$C150:$F150)*VLOOKUP(CU$2,Valores!$H$2:$P$154,8,0)</f>
        <v>#VALUE!</v>
      </c>
      <c r="CV150" s="30" t="e">
        <f aca="false">SUMIF($C$2:$F$2,EOMONTH(CV$2,-1)+1,$C150:$F150)*VLOOKUP(CV$2,Valores!$H$2:$P$154,8,0)</f>
        <v>#VALUE!</v>
      </c>
      <c r="CW150" s="30" t="e">
        <f aca="false">SUMIF($C$2:$F$2,EOMONTH(CW$2,-1)+1,$C150:$F150)*VLOOKUP(CW$2,Valores!$H$2:$P$154,8,0)</f>
        <v>#VALUE!</v>
      </c>
      <c r="CX150" s="30" t="e">
        <f aca="false">SUMIF($C$2:$F$2,EOMONTH(CX$2,-1)+1,$C150:$F150)*VLOOKUP(CX$2,Valores!$H$2:$P$154,8,0)</f>
        <v>#VALUE!</v>
      </c>
      <c r="CY150" s="30" t="e">
        <f aca="false">SUMIF($C$2:$F$2,EOMONTH(CY$2,-1)+1,$C150:$F150)*VLOOKUP(CY$2,Valores!$H$2:$P$154,8,0)</f>
        <v>#VALUE!</v>
      </c>
      <c r="CZ150" s="30" t="e">
        <f aca="false">SUMIF($C$2:$F$2,EOMONTH(CZ$2,-1)+1,$C150:$F150)*VLOOKUP(CZ$2,Valores!$H$2:$P$154,8,0)</f>
        <v>#VALUE!</v>
      </c>
      <c r="DA150" s="30" t="e">
        <f aca="false">SUMIF($C$2:$F$2,EOMONTH(DA$2,-1)+1,$C150:$F150)*VLOOKUP(DA$2,Valores!$H$2:$P$154,8,0)</f>
        <v>#VALUE!</v>
      </c>
      <c r="DB150" s="30" t="e">
        <f aca="false">SUMIF($C$2:$F$2,EOMONTH(DB$2,-1)+1,$C150:$F150)*VLOOKUP(DB$2,Valores!$H$2:$P$154,8,0)</f>
        <v>#VALUE!</v>
      </c>
      <c r="DC150" s="30" t="e">
        <f aca="false">SUMIF($C$2:$F$2,EOMONTH(DC$2,-1)+1,$C150:$F150)*VLOOKUP(DC$2,Valores!$H$2:$P$154,8,0)</f>
        <v>#VALUE!</v>
      </c>
      <c r="DD150" s="30" t="e">
        <f aca="false">SUMIF($C$2:$F$2,EOMONTH(DD$2,-1)+1,$C150:$F150)*VLOOKUP(DD$2,Valores!$H$2:$P$154,8,0)</f>
        <v>#VALUE!</v>
      </c>
      <c r="DE150" s="30" t="e">
        <f aca="false">SUMIF($C$2:$F$2,EOMONTH(DE$2,-1)+1,$C150:$F150)*VLOOKUP(DE$2,Valores!$H$2:$P$154,8,0)</f>
        <v>#VALUE!</v>
      </c>
      <c r="DF150" s="30" t="e">
        <f aca="false">SUMIF($C$2:$F$2,EOMONTH(DF$2,-1)+1,$C150:$F150)*VLOOKUP(DF$2,Valores!$H$2:$P$154,8,0)</f>
        <v>#VALUE!</v>
      </c>
      <c r="DG150" s="30" t="e">
        <f aca="false">SUMIF($C$2:$F$2,EOMONTH(DG$2,-1)+1,$C150:$F150)*VLOOKUP(DG$2,Valores!$H$2:$P$154,8,0)</f>
        <v>#VALUE!</v>
      </c>
      <c r="DH150" s="30" t="e">
        <f aca="false">SUMIF($C$2:$F$2,EOMONTH(DH$2,-1)+1,$C150:$F150)*VLOOKUP(DH$2,Valores!$H$2:$P$154,8,0)</f>
        <v>#VALUE!</v>
      </c>
      <c r="DI150" s="30" t="e">
        <f aca="false">SUMIF($C$2:$F$2,EOMONTH(DI$2,-1)+1,$C150:$F150)*VLOOKUP(DI$2,Valores!$H$2:$P$154,8,0)</f>
        <v>#VALUE!</v>
      </c>
      <c r="DJ150" s="30" t="e">
        <f aca="false">SUMIF($C$2:$F$2,EOMONTH(DJ$2,-1)+1,$C150:$F150)*VLOOKUP(DJ$2,Valores!$H$2:$P$154,8,0)</f>
        <v>#VALUE!</v>
      </c>
      <c r="DK150" s="30" t="e">
        <f aca="false">SUMIF($C$2:$F$2,EOMONTH(DK$2,-1)+1,$C150:$F150)*VLOOKUP(DK$2,Valores!$H$2:$P$154,8,0)</f>
        <v>#VALUE!</v>
      </c>
      <c r="DL150" s="30" t="e">
        <f aca="false">SUMIF($C$2:$F$2,EOMONTH(DL$2,-1)+1,$C150:$F150)*VLOOKUP(DL$2,Valores!$H$2:$P$154,8,0)</f>
        <v>#VALUE!</v>
      </c>
      <c r="DM150" s="30" t="e">
        <f aca="false">SUMIF($C$2:$F$2,EOMONTH(DM$2,-1)+1,$C150:$F150)*VLOOKUP(DM$2,Valores!$H$2:$P$154,8,0)</f>
        <v>#VALUE!</v>
      </c>
      <c r="DN150" s="30" t="e">
        <f aca="false">SUMIF($C$2:$F$2,EOMONTH(DN$2,-1)+1,$C150:$F150)*VLOOKUP(DN$2,Valores!$H$2:$P$154,8,0)</f>
        <v>#VALUE!</v>
      </c>
      <c r="DO150" s="30" t="e">
        <f aca="false">SUMIF($C$2:$F$2,EOMONTH(DO$2,-1)+1,$C150:$F150)*VLOOKUP(DO$2,Valores!$H$2:$P$154,8,0)</f>
        <v>#VALUE!</v>
      </c>
      <c r="DP150" s="30" t="e">
        <f aca="false">SUMIF($C$2:$F$2,EOMONTH(DP$2,-1)+1,$C150:$F150)*VLOOKUP(DP$2,Valores!$H$2:$P$154,8,0)</f>
        <v>#VALUE!</v>
      </c>
      <c r="DQ150" s="30" t="e">
        <f aca="false">SUMIF($C$2:$F$2,EOMONTH(DQ$2,-1)+1,$C150:$F150)*VLOOKUP(DQ$2,Valores!$H$2:$P$154,8,0)</f>
        <v>#VALUE!</v>
      </c>
      <c r="DR150" s="30" t="e">
        <f aca="false">SUMIF($C$2:$F$2,EOMONTH(DR$2,-1)+1,$C150:$F150)*VLOOKUP(DR$2,Valores!$H$2:$P$154,8,0)</f>
        <v>#VALUE!</v>
      </c>
      <c r="DS150" s="30" t="e">
        <f aca="false">SUMIF($C$2:$F$2,EOMONTH(DS$2,-1)+1,$C150:$F150)*VLOOKUP(DS$2,Valores!$H$2:$P$154,8,0)</f>
        <v>#VALUE!</v>
      </c>
      <c r="DT150" s="30" t="e">
        <f aca="false">SUMIF($C$2:$F$2,EOMONTH(DT$2,-1)+1,$C150:$F150)*VLOOKUP(DT$2,Valores!$H$2:$P$154,8,0)</f>
        <v>#VALUE!</v>
      </c>
      <c r="DU150" s="30" t="e">
        <f aca="false">SUMIF($C$2:$F$2,EOMONTH(DU$2,-1)+1,$C150:$F150)*VLOOKUP(DU$2,Valores!$H$2:$P$154,8,0)</f>
        <v>#VALUE!</v>
      </c>
      <c r="DV150" s="30" t="e">
        <f aca="false">SUMIF($C$2:$F$2,EOMONTH(DV$2,-1)+1,$C150:$F150)*VLOOKUP(DV$2,Valores!$H$2:$P$154,8,0)</f>
        <v>#VALUE!</v>
      </c>
      <c r="DW150" s="30" t="e">
        <f aca="false">SUMIF($C$2:$F$2,EOMONTH(DW$2,-1)+1,$C150:$F150)*VLOOKUP(DW$2,Valores!$H$2:$P$154,8,0)</f>
        <v>#VALUE!</v>
      </c>
      <c r="DX150" s="30" t="e">
        <f aca="false">SUMIF($C$2:$F$2,EOMONTH(DX$2,-1)+1,$C150:$F150)*VLOOKUP(DX$2,Valores!$H$2:$P$154,8,0)</f>
        <v>#VALUE!</v>
      </c>
    </row>
    <row r="151" customFormat="false" ht="13.8" hidden="false" customHeight="false" outlineLevel="0" collapsed="false">
      <c r="A151" s="31"/>
      <c r="B151" s="31"/>
      <c r="C151" s="31"/>
      <c r="D151" s="31"/>
      <c r="E151" s="31"/>
      <c r="F151" s="31"/>
      <c r="G151" s="27" t="n">
        <f aca="false">SUMIF($C$2:$F$2,EOMONTH(G$2,-1)+1,$C151:$F151)*VLOOKUP(G$2,Valores!$H$2:$P$154,8,0)</f>
        <v>0</v>
      </c>
      <c r="H151" s="27" t="n">
        <f aca="false">SUMIF($C$2:$F$2,EOMONTH(H$2,-1)+1,$C151:$F151)*VLOOKUP(H$2,Valores!$H$2:$P$154,8,0)</f>
        <v>0</v>
      </c>
      <c r="I151" s="27" t="n">
        <f aca="false">SUMIF($C$2:$F$2,EOMONTH(I$2,-1)+1,$C151:$F151)*VLOOKUP(I$2,Valores!$H$2:$P$154,8,0)</f>
        <v>0</v>
      </c>
      <c r="J151" s="27" t="n">
        <f aca="false">SUMIF($C$2:$F$2,EOMONTH(J$2,-1)+1,$C151:$F151)*VLOOKUP(J$2,Valores!$H$2:$P$154,8,0)</f>
        <v>0</v>
      </c>
      <c r="K151" s="27" t="n">
        <f aca="false">SUMIF($C$2:$F$2,EOMONTH(K$2,-1)+1,$C151:$F151)*VLOOKUP(K$2,Valores!$H$2:$P$154,8,0)</f>
        <v>0</v>
      </c>
      <c r="L151" s="27" t="n">
        <f aca="false">SUMIF($C$2:$F$2,EOMONTH(L$2,-1)+1,$C151:$F151)*VLOOKUP(L$2,Valores!$H$2:$P$154,8,0)</f>
        <v>0</v>
      </c>
      <c r="M151" s="27" t="n">
        <f aca="false">SUMIF($C$2:$F$2,EOMONTH(M$2,-1)+1,$C151:$F151)*VLOOKUP(M$2,Valores!$H$2:$P$154,8,0)</f>
        <v>0</v>
      </c>
      <c r="N151" s="27" t="n">
        <f aca="false">SUMIF($C$2:$F$2,EOMONTH(N$2,-1)+1,$C151:$F151)*VLOOKUP(N$2,Valores!$H$2:$P$154,8,0)</f>
        <v>0</v>
      </c>
      <c r="O151" s="27" t="n">
        <f aca="false">SUMIF($C$2:$F$2,EOMONTH(O$2,-1)+1,$C151:$F151)*VLOOKUP(O$2,Valores!$H$2:$P$154,8,0)</f>
        <v>0</v>
      </c>
      <c r="P151" s="27" t="n">
        <f aca="false">SUMIF($C$2:$F$2,EOMONTH(P$2,-1)+1,$C151:$F151)*VLOOKUP(P$2,Valores!$H$2:$P$154,8,0)</f>
        <v>0</v>
      </c>
      <c r="Q151" s="27" t="n">
        <f aca="false">SUMIF($C$2:$F$2,EOMONTH(Q$2,-1)+1,$C151:$F151)*VLOOKUP(Q$2,Valores!$H$2:$P$154,8,0)</f>
        <v>0</v>
      </c>
      <c r="R151" s="27" t="n">
        <f aca="false">SUMIF($C$2:$F$2,EOMONTH(R$2,-1)+1,$C151:$F151)*VLOOKUP(R$2,Valores!$H$2:$P$154,8,0)</f>
        <v>0</v>
      </c>
      <c r="S151" s="27" t="n">
        <f aca="false">SUMIF($C$2:$F$2,EOMONTH(S$2,-1)+1,$C151:$F151)*VLOOKUP(S$2,Valores!$H$2:$P$154,8,0)</f>
        <v>0</v>
      </c>
      <c r="T151" s="27" t="n">
        <f aca="false">SUMIF($C$2:$F$2,EOMONTH(T$2,-1)+1,$C151:$F151)*VLOOKUP(T$2,Valores!$H$2:$P$154,8,0)</f>
        <v>0</v>
      </c>
      <c r="U151" s="27" t="n">
        <f aca="false">SUMIF($C$2:$F$2,EOMONTH(U$2,-1)+1,$C151:$F151)*VLOOKUP(U$2,Valores!$H$2:$P$154,8,0)</f>
        <v>0</v>
      </c>
      <c r="V151" s="27" t="n">
        <f aca="false">SUMIF($C$2:$F$2,EOMONTH(V$2,-1)+1,$C151:$F151)*VLOOKUP(V$2,Valores!$H$2:$P$154,8,0)</f>
        <v>0</v>
      </c>
      <c r="W151" s="27" t="n">
        <f aca="false">SUMIF($C$2:$F$2,EOMONTH(W$2,-1)+1,$C151:$F151)*VLOOKUP(W$2,Valores!$H$2:$P$154,8,0)</f>
        <v>0</v>
      </c>
      <c r="X151" s="27" t="n">
        <f aca="false">SUMIF($C$2:$F$2,EOMONTH(X$2,-1)+1,$C151:$F151)*VLOOKUP(X$2,Valores!$H$2:$P$154,8,0)</f>
        <v>0</v>
      </c>
      <c r="Y151" s="27" t="n">
        <f aca="false">SUMIF($C$2:$F$2,EOMONTH(Y$2,-1)+1,$C151:$F151)*VLOOKUP(Y$2,Valores!$H$2:$P$154,8,0)</f>
        <v>0</v>
      </c>
      <c r="Z151" s="27" t="n">
        <f aca="false">SUMIF($C$2:$F$2,EOMONTH(Z$2,-1)+1,$C151:$F151)*VLOOKUP(Z$2,Valores!$H$2:$P$154,8,0)</f>
        <v>0</v>
      </c>
      <c r="AA151" s="27" t="n">
        <f aca="false">SUMIF($C$2:$F$2,EOMONTH(AA$2,-1)+1,$C151:$F151)*VLOOKUP(AA$2,Valores!$H$2:$P$154,8,0)</f>
        <v>0</v>
      </c>
      <c r="AB151" s="27" t="n">
        <f aca="false">SUMIF($C$2:$F$2,EOMONTH(AB$2,-1)+1,$C151:$F151)*VLOOKUP(AB$2,Valores!$H$2:$P$154,8,0)</f>
        <v>0</v>
      </c>
      <c r="AC151" s="27" t="n">
        <f aca="false">SUMIF($C$2:$F$2,EOMONTH(AC$2,-1)+1,$C151:$F151)*VLOOKUP(AC$2,Valores!$H$2:$P$154,8,0)</f>
        <v>0</v>
      </c>
      <c r="AD151" s="27" t="n">
        <f aca="false">SUMIF($C$2:$F$2,EOMONTH(AD$2,-1)+1,$C151:$F151)*VLOOKUP(AD$2,Valores!$H$2:$P$154,8,0)</f>
        <v>0</v>
      </c>
      <c r="AE151" s="27" t="n">
        <f aca="false">SUMIF($C$2:$F$2,EOMONTH(AE$2,-1)+1,$C151:$F151)*VLOOKUP(AE$2,Valores!$H$2:$P$154,8,0)</f>
        <v>0</v>
      </c>
      <c r="AF151" s="27" t="n">
        <f aca="false">SUMIF($C$2:$F$2,EOMONTH(AF$2,-1)+1,$C151:$F151)*VLOOKUP(AF$2,Valores!$H$2:$P$154,8,0)</f>
        <v>0</v>
      </c>
      <c r="AG151" s="27" t="n">
        <f aca="false">SUMIF($C$2:$F$2,EOMONTH(AG$2,-1)+1,$C151:$F151)*VLOOKUP(AG$2,Valores!$H$2:$P$154,8,0)</f>
        <v>0</v>
      </c>
      <c r="AH151" s="27" t="n">
        <f aca="false">SUMIF($C$2:$F$2,EOMONTH(AH$2,-1)+1,$C151:$F151)*VLOOKUP(AH$2,Valores!$H$2:$P$154,8,0)</f>
        <v>0</v>
      </c>
      <c r="AI151" s="27" t="n">
        <f aca="false">SUMIF($C$2:$F$2,EOMONTH(AI$2,-1)+1,$C151:$F151)*VLOOKUP(AI$2,Valores!$H$2:$P$154,8,0)</f>
        <v>0</v>
      </c>
      <c r="AJ151" s="27" t="n">
        <f aca="false">SUMIF($C$2:$F$2,EOMONTH(AJ$2,-1)+1,$C151:$F151)*VLOOKUP(AJ$2,Valores!$H$2:$P$154,8,0)</f>
        <v>0</v>
      </c>
      <c r="AK151" s="27" t="n">
        <f aca="false">SUMIF($C$2:$F$2,EOMONTH(AK$2,-1)+1,$C151:$F151)*VLOOKUP(AK$2,Valores!$H$2:$P$154,8,0)</f>
        <v>0</v>
      </c>
      <c r="AL151" s="27" t="n">
        <f aca="false">SUMIF($C$2:$F$2,EOMONTH(AL$2,-1)+1,$C151:$F151)*VLOOKUP(AL$2,Valores!$H$2:$P$154,8,0)</f>
        <v>0</v>
      </c>
      <c r="AM151" s="27" t="n">
        <f aca="false">SUMIF($C$2:$F$2,EOMONTH(AM$2,-1)+1,$C151:$F151)*VLOOKUP(AM$2,Valores!$H$2:$P$154,8,0)</f>
        <v>0</v>
      </c>
      <c r="AN151" s="27" t="n">
        <f aca="false">SUMIF($C$2:$F$2,EOMONTH(AN$2,-1)+1,$C151:$F151)*VLOOKUP(AN$2,Valores!$H$2:$P$154,8,0)</f>
        <v>0</v>
      </c>
      <c r="AO151" s="27" t="n">
        <f aca="false">SUMIF($C$2:$F$2,EOMONTH(AO$2,-1)+1,$C151:$F151)*VLOOKUP(AO$2,Valores!$H$2:$P$154,8,0)</f>
        <v>0</v>
      </c>
      <c r="AP151" s="27" t="n">
        <f aca="false">SUMIF($C$2:$F$2,EOMONTH(AP$2,-1)+1,$C151:$F151)*VLOOKUP(AP$2,Valores!$H$2:$P$154,8,0)</f>
        <v>0</v>
      </c>
      <c r="AQ151" s="27" t="n">
        <f aca="false">SUMIF($C$2:$F$2,EOMONTH(AQ$2,-1)+1,$C151:$F151)*VLOOKUP(AQ$2,Valores!$H$2:$P$154,8,0)</f>
        <v>0</v>
      </c>
      <c r="AR151" s="27" t="n">
        <f aca="false">SUMIF($C$2:$F$2,EOMONTH(AR$2,-1)+1,$C151:$F151)*VLOOKUP(AR$2,Valores!$H$2:$P$154,8,0)</f>
        <v>0</v>
      </c>
      <c r="AS151" s="27" t="n">
        <f aca="false">SUMIF($C$2:$F$2,EOMONTH(AS$2,-1)+1,$C151:$F151)*VLOOKUP(AS$2,Valores!$H$2:$P$154,8,0)</f>
        <v>0</v>
      </c>
      <c r="AT151" s="27" t="n">
        <f aca="false">SUMIF($C$2:$F$2,EOMONTH(AT$2,-1)+1,$C151:$F151)*VLOOKUP(AT$2,Valores!$H$2:$P$154,8,0)</f>
        <v>0</v>
      </c>
      <c r="AU151" s="27" t="n">
        <f aca="false">SUMIF($C$2:$F$2,EOMONTH(AU$2,-1)+1,$C151:$F151)*VLOOKUP(AU$2,Valores!$H$2:$P$154,8,0)</f>
        <v>0</v>
      </c>
      <c r="AV151" s="27" t="n">
        <f aca="false">SUMIF($C$2:$F$2,EOMONTH(AV$2,-1)+1,$C151:$F151)*VLOOKUP(AV$2,Valores!$H$2:$P$154,8,0)</f>
        <v>0</v>
      </c>
      <c r="AW151" s="27" t="n">
        <f aca="false">SUMIF($C$2:$F$2,EOMONTH(AW$2,-1)+1,$C151:$F151)*VLOOKUP(AW$2,Valores!$H$2:$P$154,8,0)</f>
        <v>0</v>
      </c>
      <c r="AX151" s="27" t="n">
        <f aca="false">SUMIF($C$2:$F$2,EOMONTH(AX$2,-1)+1,$C151:$F151)*VLOOKUP(AX$2,Valores!$H$2:$P$154,8,0)</f>
        <v>0</v>
      </c>
      <c r="AY151" s="27" t="n">
        <f aca="false">SUMIF($C$2:$F$2,EOMONTH(AY$2,-1)+1,$C151:$F151)*VLOOKUP(AY$2,Valores!$H$2:$P$154,8,0)</f>
        <v>0</v>
      </c>
      <c r="AZ151" s="27" t="n">
        <f aca="false">SUMIF($C$2:$F$2,EOMONTH(AZ$2,-1)+1,$C151:$F151)*VLOOKUP(AZ$2,Valores!$H$2:$P$154,8,0)</f>
        <v>0</v>
      </c>
      <c r="BA151" s="27" t="n">
        <f aca="false">SUMIF($C$2:$F$2,EOMONTH(BA$2,-1)+1,$C151:$F151)*VLOOKUP(BA$2,Valores!$H$2:$P$154,8,0)</f>
        <v>0</v>
      </c>
      <c r="BB151" s="27" t="n">
        <f aca="false">SUMIF($C$2:$F$2,EOMONTH(BB$2,-1)+1,$C151:$F151)*VLOOKUP(BB$2,Valores!$H$2:$P$154,8,0)</f>
        <v>0</v>
      </c>
      <c r="BC151" s="27" t="n">
        <f aca="false">SUMIF($C$2:$F$2,EOMONTH(BC$2,-1)+1,$C151:$F151)*VLOOKUP(BC$2,Valores!$H$2:$P$154,8,0)</f>
        <v>0</v>
      </c>
      <c r="BD151" s="27" t="n">
        <f aca="false">SUMIF($C$2:$F$2,EOMONTH(BD$2,-1)+1,$C151:$F151)*VLOOKUP(BD$2,Valores!$H$2:$P$154,8,0)</f>
        <v>0</v>
      </c>
      <c r="BE151" s="27" t="n">
        <f aca="false">SUMIF($C$2:$F$2,EOMONTH(BE$2,-1)+1,$C151:$F151)*VLOOKUP(BE$2,Valores!$H$2:$P$154,8,0)</f>
        <v>0</v>
      </c>
      <c r="BF151" s="27" t="n">
        <f aca="false">SUMIF($C$2:$F$2,EOMONTH(BF$2,-1)+1,$C151:$F151)*VLOOKUP(BF$2,Valores!$H$2:$P$154,8,0)</f>
        <v>0</v>
      </c>
      <c r="BG151" s="27" t="n">
        <f aca="false">SUMIF($C$2:$F$2,EOMONTH(BG$2,-1)+1,$C151:$F151)*VLOOKUP(BG$2,Valores!$H$2:$P$154,8,0)</f>
        <v>0</v>
      </c>
      <c r="BH151" s="27" t="n">
        <f aca="false">SUMIF($C$2:$F$2,EOMONTH(BH$2,-1)+1,$C151:$F151)*VLOOKUP(BH$2,Valores!$H$2:$P$154,8,0)</f>
        <v>0</v>
      </c>
      <c r="BI151" s="27" t="n">
        <f aca="false">SUMIF($C$2:$F$2,EOMONTH(BI$2,-1)+1,$C151:$F151)*VLOOKUP(BI$2,Valores!$H$2:$P$154,8,0)</f>
        <v>0</v>
      </c>
      <c r="BJ151" s="27" t="n">
        <f aca="false">SUMIF($C$2:$F$2,EOMONTH(BJ$2,-1)+1,$C151:$F151)*VLOOKUP(BJ$2,Valores!$H$2:$P$154,8,0)</f>
        <v>0</v>
      </c>
      <c r="BK151" s="27" t="n">
        <f aca="false">SUMIF($C$2:$F$2,EOMONTH(BK$2,-1)+1,$C151:$F151)*VLOOKUP(BK$2,Valores!$H$2:$P$154,8,0)</f>
        <v>0</v>
      </c>
      <c r="BL151" s="27" t="n">
        <f aca="false">SUMIF($C$2:$F$2,EOMONTH(BL$2,-1)+1,$C151:$F151)*VLOOKUP(BL$2,Valores!$H$2:$P$154,8,0)</f>
        <v>0</v>
      </c>
      <c r="BM151" s="27" t="n">
        <f aca="false">SUMIF($C$2:$F$2,EOMONTH(BM$2,-1)+1,$C151:$F151)*VLOOKUP(BM$2,Valores!$H$2:$P$154,8,0)</f>
        <v>0</v>
      </c>
      <c r="BN151" s="27" t="n">
        <f aca="false">SUMIF($C$2:$F$2,EOMONTH(BN$2,-1)+1,$C151:$F151)*VLOOKUP(BN$2,Valores!$H$2:$P$154,8,0)</f>
        <v>0</v>
      </c>
      <c r="BO151" s="27" t="n">
        <f aca="false">SUMIF($C$2:$F$2,EOMONTH(BO$2,-1)+1,$C151:$F151)*VLOOKUP(BO$2,Valores!$H$2:$P$154,8,0)</f>
        <v>0</v>
      </c>
      <c r="BP151" s="27" t="n">
        <f aca="false">SUMIF($C$2:$F$2,EOMONTH(BP$2,-1)+1,$C151:$F151)*VLOOKUP(BP$2,Valores!$H$2:$P$154,8,0)</f>
        <v>0</v>
      </c>
      <c r="BQ151" s="27" t="n">
        <f aca="false">SUMIF($C$2:$F$2,EOMONTH(BQ$2,-1)+1,$C151:$F151)*VLOOKUP(BQ$2,Valores!$H$2:$P$154,8,0)</f>
        <v>0</v>
      </c>
      <c r="BR151" s="27" t="n">
        <f aca="false">SUMIF($C$2:$F$2,EOMONTH(BR$2,-1)+1,$C151:$F151)*VLOOKUP(BR$2,Valores!$H$2:$P$154,8,0)</f>
        <v>0</v>
      </c>
      <c r="BS151" s="27" t="n">
        <f aca="false">SUMIF($C$2:$F$2,EOMONTH(BS$2,-1)+1,$C151:$F151)*VLOOKUP(BS$2,Valores!$H$2:$P$154,8,0)</f>
        <v>0</v>
      </c>
      <c r="BT151" s="27" t="n">
        <f aca="false">SUMIF($C$2:$F$2,EOMONTH(BT$2,-1)+1,$C151:$F151)*VLOOKUP(BT$2,Valores!$H$2:$P$154,8,0)</f>
        <v>0</v>
      </c>
      <c r="BU151" s="27" t="n">
        <f aca="false">SUMIF($C$2:$F$2,EOMONTH(BU$2,-1)+1,$C151:$F151)*VLOOKUP(BU$2,Valores!$H$2:$P$154,8,0)</f>
        <v>0</v>
      </c>
      <c r="BV151" s="27" t="n">
        <f aca="false">SUMIF($C$2:$F$2,EOMONTH(BV$2,-1)+1,$C151:$F151)*VLOOKUP(BV$2,Valores!$H$2:$P$154,8,0)</f>
        <v>0</v>
      </c>
      <c r="BW151" s="27" t="n">
        <f aca="false">SUMIF($C$2:$F$2,EOMONTH(BW$2,-1)+1,$C151:$F151)*VLOOKUP(BW$2,Valores!$H$2:$P$154,8,0)</f>
        <v>0</v>
      </c>
      <c r="BX151" s="27" t="n">
        <f aca="false">SUMIF($C$2:$F$2,EOMONTH(BX$2,-1)+1,$C151:$F151)*VLOOKUP(BX$2,Valores!$H$2:$P$154,8,0)</f>
        <v>0</v>
      </c>
      <c r="BY151" s="27" t="n">
        <f aca="false">SUMIF($C$2:$F$2,EOMONTH(BY$2,-1)+1,$C151:$F151)*VLOOKUP(BY$2,Valores!$H$2:$P$154,8,0)</f>
        <v>0</v>
      </c>
      <c r="BZ151" s="27" t="n">
        <f aca="false">SUMIF($C$2:$F$2,EOMONTH(BZ$2,-1)+1,$C151:$F151)*VLOOKUP(BZ$2,Valores!$H$2:$P$154,8,0)</f>
        <v>0</v>
      </c>
      <c r="CA151" s="27" t="n">
        <f aca="false">SUMIF($C$2:$F$2,EOMONTH(CA$2,-1)+1,$C151:$F151)*VLOOKUP(CA$2,Valores!$H$2:$P$154,8,0)</f>
        <v>0</v>
      </c>
      <c r="CB151" s="27" t="n">
        <f aca="false">SUMIF($C$2:$F$2,EOMONTH(CB$2,-1)+1,$C151:$F151)*VLOOKUP(CB$2,Valores!$H$2:$P$154,8,0)</f>
        <v>0</v>
      </c>
      <c r="CC151" s="27" t="n">
        <f aca="false">SUMIF($C$2:$F$2,EOMONTH(CC$2,-1)+1,$C151:$F151)*VLOOKUP(CC$2,Valores!$H$2:$P$154,8,0)</f>
        <v>0</v>
      </c>
      <c r="CD151" s="27" t="n">
        <f aca="false">SUMIF($C$2:$F$2,EOMONTH(CD$2,-1)+1,$C151:$F151)*VLOOKUP(CD$2,Valores!$H$2:$P$154,8,0)</f>
        <v>0</v>
      </c>
      <c r="CE151" s="27" t="n">
        <f aca="false">SUMIF($C$2:$F$2,EOMONTH(CE$2,-1)+1,$C151:$F151)*VLOOKUP(CE$2,Valores!$H$2:$P$154,8,0)</f>
        <v>0</v>
      </c>
      <c r="CF151" s="27" t="n">
        <f aca="false">SUMIF($C$2:$F$2,EOMONTH(CF$2,-1)+1,$C151:$F151)*VLOOKUP(CF$2,Valores!$H$2:$P$154,8,0)</f>
        <v>0</v>
      </c>
      <c r="CG151" s="27" t="n">
        <f aca="false">SUMIF($C$2:$F$2,EOMONTH(CG$2,-1)+1,$C151:$F151)*VLOOKUP(CG$2,Valores!$H$2:$P$154,8,0)</f>
        <v>0</v>
      </c>
      <c r="CH151" s="27" t="n">
        <f aca="false">SUMIF($C$2:$F$2,EOMONTH(CH$2,-1)+1,$C151:$F151)*VLOOKUP(CH$2,Valores!$H$2:$P$154,8,0)</f>
        <v>0</v>
      </c>
      <c r="CI151" s="27" t="n">
        <f aca="false">SUMIF($C$2:$F$2,EOMONTH(CI$2,-1)+1,$C151:$F151)*VLOOKUP(CI$2,Valores!$H$2:$P$154,8,0)</f>
        <v>0</v>
      </c>
      <c r="CJ151" s="27" t="n">
        <f aca="false">SUMIF($C$2:$F$2,EOMONTH(CJ$2,-1)+1,$C151:$F151)*VLOOKUP(CJ$2,Valores!$H$2:$P$154,8,0)</f>
        <v>0</v>
      </c>
      <c r="CK151" s="27" t="n">
        <f aca="false">SUMIF($C$2:$F$2,EOMONTH(CK$2,-1)+1,$C151:$F151)*VLOOKUP(CK$2,Valores!$H$2:$P$154,8,0)</f>
        <v>0</v>
      </c>
      <c r="CL151" s="27" t="n">
        <f aca="false">SUMIF($C$2:$F$2,EOMONTH(CL$2,-1)+1,$C151:$F151)*VLOOKUP(CL$2,Valores!$H$2:$P$154,8,0)</f>
        <v>0</v>
      </c>
      <c r="CM151" s="27" t="n">
        <f aca="false">SUMIF($C$2:$F$2,EOMONTH(CM$2,-1)+1,$C151:$F151)*VLOOKUP(CM$2,Valores!$H$2:$P$154,8,0)</f>
        <v>0</v>
      </c>
      <c r="CN151" s="27" t="n">
        <f aca="false">SUMIF($C$2:$F$2,EOMONTH(CN$2,-1)+1,$C151:$F151)*VLOOKUP(CN$2,Valores!$H$2:$P$154,8,0)</f>
        <v>0</v>
      </c>
      <c r="CO151" s="27" t="n">
        <f aca="false">SUMIF($C$2:$F$2,EOMONTH(CO$2,-1)+1,$C151:$F151)*VLOOKUP(CO$2,Valores!$H$2:$P$154,8,0)</f>
        <v>0</v>
      </c>
      <c r="CP151" s="27" t="n">
        <f aca="false">SUMIF($C$2:$F$2,EOMONTH(CP$2,-1)+1,$C151:$F151)*VLOOKUP(CP$2,Valores!$H$2:$P$154,8,0)</f>
        <v>0</v>
      </c>
      <c r="CQ151" s="27" t="n">
        <f aca="false">SUMIF($C$2:$F$2,EOMONTH(CQ$2,-1)+1,$C151:$F151)*VLOOKUP(CQ$2,Valores!$H$2:$P$154,8,0)</f>
        <v>0</v>
      </c>
      <c r="CR151" s="27" t="n">
        <f aca="false">SUMIF($C$2:$F$2,EOMONTH(CR$2,-1)+1,$C151:$F151)*VLOOKUP(CR$2,Valores!$H$2:$P$154,8,0)</f>
        <v>0</v>
      </c>
      <c r="CS151" s="27" t="n">
        <f aca="false">SUMIF($C$2:$F$2,EOMONTH(CS$2,-1)+1,$C151:$F151)*VLOOKUP(CS$2,Valores!$H$2:$P$154,8,0)</f>
        <v>0</v>
      </c>
      <c r="CT151" s="27" t="e">
        <f aca="false">SUMIF($C$2:$F$2,EOMONTH(CT$2,-1)+1,$C151:$F151)*VLOOKUP(CT$2,Valores!$H$2:$P$154,8,0)</f>
        <v>#VALUE!</v>
      </c>
      <c r="CU151" s="27" t="e">
        <f aca="false">SUMIF($C$2:$F$2,EOMONTH(CU$2,-1)+1,$C151:$F151)*VLOOKUP(CU$2,Valores!$H$2:$P$154,8,0)</f>
        <v>#VALUE!</v>
      </c>
      <c r="CV151" s="27" t="e">
        <f aca="false">SUMIF($C$2:$F$2,EOMONTH(CV$2,-1)+1,$C151:$F151)*VLOOKUP(CV$2,Valores!$H$2:$P$154,8,0)</f>
        <v>#VALUE!</v>
      </c>
      <c r="CW151" s="27" t="e">
        <f aca="false">SUMIF($C$2:$F$2,EOMONTH(CW$2,-1)+1,$C151:$F151)*VLOOKUP(CW$2,Valores!$H$2:$P$154,8,0)</f>
        <v>#VALUE!</v>
      </c>
      <c r="CX151" s="27" t="e">
        <f aca="false">SUMIF($C$2:$F$2,EOMONTH(CX$2,-1)+1,$C151:$F151)*VLOOKUP(CX$2,Valores!$H$2:$P$154,8,0)</f>
        <v>#VALUE!</v>
      </c>
      <c r="CY151" s="27" t="e">
        <f aca="false">SUMIF($C$2:$F$2,EOMONTH(CY$2,-1)+1,$C151:$F151)*VLOOKUP(CY$2,Valores!$H$2:$P$154,8,0)</f>
        <v>#VALUE!</v>
      </c>
      <c r="CZ151" s="27" t="e">
        <f aca="false">SUMIF($C$2:$F$2,EOMONTH(CZ$2,-1)+1,$C151:$F151)*VLOOKUP(CZ$2,Valores!$H$2:$P$154,8,0)</f>
        <v>#VALUE!</v>
      </c>
      <c r="DA151" s="27" t="e">
        <f aca="false">SUMIF($C$2:$F$2,EOMONTH(DA$2,-1)+1,$C151:$F151)*VLOOKUP(DA$2,Valores!$H$2:$P$154,8,0)</f>
        <v>#VALUE!</v>
      </c>
      <c r="DB151" s="27" t="e">
        <f aca="false">SUMIF($C$2:$F$2,EOMONTH(DB$2,-1)+1,$C151:$F151)*VLOOKUP(DB$2,Valores!$H$2:$P$154,8,0)</f>
        <v>#VALUE!</v>
      </c>
      <c r="DC151" s="27" t="e">
        <f aca="false">SUMIF($C$2:$F$2,EOMONTH(DC$2,-1)+1,$C151:$F151)*VLOOKUP(DC$2,Valores!$H$2:$P$154,8,0)</f>
        <v>#VALUE!</v>
      </c>
      <c r="DD151" s="27" t="e">
        <f aca="false">SUMIF($C$2:$F$2,EOMONTH(DD$2,-1)+1,$C151:$F151)*VLOOKUP(DD$2,Valores!$H$2:$P$154,8,0)</f>
        <v>#VALUE!</v>
      </c>
      <c r="DE151" s="27" t="e">
        <f aca="false">SUMIF($C$2:$F$2,EOMONTH(DE$2,-1)+1,$C151:$F151)*VLOOKUP(DE$2,Valores!$H$2:$P$154,8,0)</f>
        <v>#VALUE!</v>
      </c>
      <c r="DF151" s="27" t="e">
        <f aca="false">SUMIF($C$2:$F$2,EOMONTH(DF$2,-1)+1,$C151:$F151)*VLOOKUP(DF$2,Valores!$H$2:$P$154,8,0)</f>
        <v>#VALUE!</v>
      </c>
      <c r="DG151" s="27" t="e">
        <f aca="false">SUMIF($C$2:$F$2,EOMONTH(DG$2,-1)+1,$C151:$F151)*VLOOKUP(DG$2,Valores!$H$2:$P$154,8,0)</f>
        <v>#VALUE!</v>
      </c>
      <c r="DH151" s="27" t="e">
        <f aca="false">SUMIF($C$2:$F$2,EOMONTH(DH$2,-1)+1,$C151:$F151)*VLOOKUP(DH$2,Valores!$H$2:$P$154,8,0)</f>
        <v>#VALUE!</v>
      </c>
      <c r="DI151" s="27" t="e">
        <f aca="false">SUMIF($C$2:$F$2,EOMONTH(DI$2,-1)+1,$C151:$F151)*VLOOKUP(DI$2,Valores!$H$2:$P$154,8,0)</f>
        <v>#VALUE!</v>
      </c>
      <c r="DJ151" s="27" t="e">
        <f aca="false">SUMIF($C$2:$F$2,EOMONTH(DJ$2,-1)+1,$C151:$F151)*VLOOKUP(DJ$2,Valores!$H$2:$P$154,8,0)</f>
        <v>#VALUE!</v>
      </c>
      <c r="DK151" s="27" t="e">
        <f aca="false">SUMIF($C$2:$F$2,EOMONTH(DK$2,-1)+1,$C151:$F151)*VLOOKUP(DK$2,Valores!$H$2:$P$154,8,0)</f>
        <v>#VALUE!</v>
      </c>
      <c r="DL151" s="27" t="e">
        <f aca="false">SUMIF($C$2:$F$2,EOMONTH(DL$2,-1)+1,$C151:$F151)*VLOOKUP(DL$2,Valores!$H$2:$P$154,8,0)</f>
        <v>#VALUE!</v>
      </c>
      <c r="DM151" s="27" t="e">
        <f aca="false">SUMIF($C$2:$F$2,EOMONTH(DM$2,-1)+1,$C151:$F151)*VLOOKUP(DM$2,Valores!$H$2:$P$154,8,0)</f>
        <v>#VALUE!</v>
      </c>
      <c r="DN151" s="27" t="e">
        <f aca="false">SUMIF($C$2:$F$2,EOMONTH(DN$2,-1)+1,$C151:$F151)*VLOOKUP(DN$2,Valores!$H$2:$P$154,8,0)</f>
        <v>#VALUE!</v>
      </c>
      <c r="DO151" s="27" t="e">
        <f aca="false">SUMIF($C$2:$F$2,EOMONTH(DO$2,-1)+1,$C151:$F151)*VLOOKUP(DO$2,Valores!$H$2:$P$154,8,0)</f>
        <v>#VALUE!</v>
      </c>
      <c r="DP151" s="27" t="e">
        <f aca="false">SUMIF($C$2:$F$2,EOMONTH(DP$2,-1)+1,$C151:$F151)*VLOOKUP(DP$2,Valores!$H$2:$P$154,8,0)</f>
        <v>#VALUE!</v>
      </c>
      <c r="DQ151" s="27" t="e">
        <f aca="false">SUMIF($C$2:$F$2,EOMONTH(DQ$2,-1)+1,$C151:$F151)*VLOOKUP(DQ$2,Valores!$H$2:$P$154,8,0)</f>
        <v>#VALUE!</v>
      </c>
      <c r="DR151" s="27" t="e">
        <f aca="false">SUMIF($C$2:$F$2,EOMONTH(DR$2,-1)+1,$C151:$F151)*VLOOKUP(DR$2,Valores!$H$2:$P$154,8,0)</f>
        <v>#VALUE!</v>
      </c>
      <c r="DS151" s="27" t="e">
        <f aca="false">SUMIF($C$2:$F$2,EOMONTH(DS$2,-1)+1,$C151:$F151)*VLOOKUP(DS$2,Valores!$H$2:$P$154,8,0)</f>
        <v>#VALUE!</v>
      </c>
      <c r="DT151" s="27" t="e">
        <f aca="false">SUMIF($C$2:$F$2,EOMONTH(DT$2,-1)+1,$C151:$F151)*VLOOKUP(DT$2,Valores!$H$2:$P$154,8,0)</f>
        <v>#VALUE!</v>
      </c>
      <c r="DU151" s="27" t="e">
        <f aca="false">SUMIF($C$2:$F$2,EOMONTH(DU$2,-1)+1,$C151:$F151)*VLOOKUP(DU$2,Valores!$H$2:$P$154,8,0)</f>
        <v>#VALUE!</v>
      </c>
      <c r="DV151" s="27" t="e">
        <f aca="false">SUMIF($C$2:$F$2,EOMONTH(DV$2,-1)+1,$C151:$F151)*VLOOKUP(DV$2,Valores!$H$2:$P$154,8,0)</f>
        <v>#VALUE!</v>
      </c>
      <c r="DW151" s="27" t="e">
        <f aca="false">SUMIF($C$2:$F$2,EOMONTH(DW$2,-1)+1,$C151:$F151)*VLOOKUP(DW$2,Valores!$H$2:$P$154,8,0)</f>
        <v>#VALUE!</v>
      </c>
      <c r="DX151" s="27" t="e">
        <f aca="false">SUMIF($C$2:$F$2,EOMONTH(DX$2,-1)+1,$C151:$F151)*VLOOKUP(DX$2,Valores!$H$2:$P$154,8,0)</f>
        <v>#VALUE!</v>
      </c>
    </row>
    <row r="152" customFormat="false" ht="13.8" hidden="false" customHeight="false" outlineLevel="0" collapsed="false">
      <c r="A152" s="29"/>
      <c r="B152" s="29"/>
      <c r="C152" s="29"/>
      <c r="D152" s="29"/>
      <c r="E152" s="29"/>
      <c r="F152" s="29"/>
      <c r="G152" s="30" t="n">
        <f aca="false">SUMIF($C$2:$F$2,EOMONTH(G$2,-1)+1,$C152:$F152)*VLOOKUP(G$2,Valores!$H$2:$P$154,8,0)</f>
        <v>0</v>
      </c>
      <c r="H152" s="30" t="n">
        <f aca="false">SUMIF($C$2:$F$2,EOMONTH(H$2,-1)+1,$C152:$F152)*VLOOKUP(H$2,Valores!$H$2:$P$154,8,0)</f>
        <v>0</v>
      </c>
      <c r="I152" s="30" t="n">
        <f aca="false">SUMIF($C$2:$F$2,EOMONTH(I$2,-1)+1,$C152:$F152)*VLOOKUP(I$2,Valores!$H$2:$P$154,8,0)</f>
        <v>0</v>
      </c>
      <c r="J152" s="30" t="n">
        <f aca="false">SUMIF($C$2:$F$2,EOMONTH(J$2,-1)+1,$C152:$F152)*VLOOKUP(J$2,Valores!$H$2:$P$154,8,0)</f>
        <v>0</v>
      </c>
      <c r="K152" s="30" t="n">
        <f aca="false">SUMIF($C$2:$F$2,EOMONTH(K$2,-1)+1,$C152:$F152)*VLOOKUP(K$2,Valores!$H$2:$P$154,8,0)</f>
        <v>0</v>
      </c>
      <c r="L152" s="30" t="n">
        <f aca="false">SUMIF($C$2:$F$2,EOMONTH(L$2,-1)+1,$C152:$F152)*VLOOKUP(L$2,Valores!$H$2:$P$154,8,0)</f>
        <v>0</v>
      </c>
      <c r="M152" s="30" t="n">
        <f aca="false">SUMIF($C$2:$F$2,EOMONTH(M$2,-1)+1,$C152:$F152)*VLOOKUP(M$2,Valores!$H$2:$P$154,8,0)</f>
        <v>0</v>
      </c>
      <c r="N152" s="30" t="n">
        <f aca="false">SUMIF($C$2:$F$2,EOMONTH(N$2,-1)+1,$C152:$F152)*VLOOKUP(N$2,Valores!$H$2:$P$154,8,0)</f>
        <v>0</v>
      </c>
      <c r="O152" s="30" t="n">
        <f aca="false">SUMIF($C$2:$F$2,EOMONTH(O$2,-1)+1,$C152:$F152)*VLOOKUP(O$2,Valores!$H$2:$P$154,8,0)</f>
        <v>0</v>
      </c>
      <c r="P152" s="30" t="n">
        <f aca="false">SUMIF($C$2:$F$2,EOMONTH(P$2,-1)+1,$C152:$F152)*VLOOKUP(P$2,Valores!$H$2:$P$154,8,0)</f>
        <v>0</v>
      </c>
      <c r="Q152" s="30" t="n">
        <f aca="false">SUMIF($C$2:$F$2,EOMONTH(Q$2,-1)+1,$C152:$F152)*VLOOKUP(Q$2,Valores!$H$2:$P$154,8,0)</f>
        <v>0</v>
      </c>
      <c r="R152" s="30" t="n">
        <f aca="false">SUMIF($C$2:$F$2,EOMONTH(R$2,-1)+1,$C152:$F152)*VLOOKUP(R$2,Valores!$H$2:$P$154,8,0)</f>
        <v>0</v>
      </c>
      <c r="S152" s="30" t="n">
        <f aca="false">SUMIF($C$2:$F$2,EOMONTH(S$2,-1)+1,$C152:$F152)*VLOOKUP(S$2,Valores!$H$2:$P$154,8,0)</f>
        <v>0</v>
      </c>
      <c r="T152" s="30" t="n">
        <f aca="false">SUMIF($C$2:$F$2,EOMONTH(T$2,-1)+1,$C152:$F152)*VLOOKUP(T$2,Valores!$H$2:$P$154,8,0)</f>
        <v>0</v>
      </c>
      <c r="U152" s="30" t="n">
        <f aca="false">SUMIF($C$2:$F$2,EOMONTH(U$2,-1)+1,$C152:$F152)*VLOOKUP(U$2,Valores!$H$2:$P$154,8,0)</f>
        <v>0</v>
      </c>
      <c r="V152" s="30" t="n">
        <f aca="false">SUMIF($C$2:$F$2,EOMONTH(V$2,-1)+1,$C152:$F152)*VLOOKUP(V$2,Valores!$H$2:$P$154,8,0)</f>
        <v>0</v>
      </c>
      <c r="W152" s="30" t="n">
        <f aca="false">SUMIF($C$2:$F$2,EOMONTH(W$2,-1)+1,$C152:$F152)*VLOOKUP(W$2,Valores!$H$2:$P$154,8,0)</f>
        <v>0</v>
      </c>
      <c r="X152" s="30" t="n">
        <f aca="false">SUMIF($C$2:$F$2,EOMONTH(X$2,-1)+1,$C152:$F152)*VLOOKUP(X$2,Valores!$H$2:$P$154,8,0)</f>
        <v>0</v>
      </c>
      <c r="Y152" s="30" t="n">
        <f aca="false">SUMIF($C$2:$F$2,EOMONTH(Y$2,-1)+1,$C152:$F152)*VLOOKUP(Y$2,Valores!$H$2:$P$154,8,0)</f>
        <v>0</v>
      </c>
      <c r="Z152" s="30" t="n">
        <f aca="false">SUMIF($C$2:$F$2,EOMONTH(Z$2,-1)+1,$C152:$F152)*VLOOKUP(Z$2,Valores!$H$2:$P$154,8,0)</f>
        <v>0</v>
      </c>
      <c r="AA152" s="30" t="n">
        <f aca="false">SUMIF($C$2:$F$2,EOMONTH(AA$2,-1)+1,$C152:$F152)*VLOOKUP(AA$2,Valores!$H$2:$P$154,8,0)</f>
        <v>0</v>
      </c>
      <c r="AB152" s="30" t="n">
        <f aca="false">SUMIF($C$2:$F$2,EOMONTH(AB$2,-1)+1,$C152:$F152)*VLOOKUP(AB$2,Valores!$H$2:$P$154,8,0)</f>
        <v>0</v>
      </c>
      <c r="AC152" s="30" t="n">
        <f aca="false">SUMIF($C$2:$F$2,EOMONTH(AC$2,-1)+1,$C152:$F152)*VLOOKUP(AC$2,Valores!$H$2:$P$154,8,0)</f>
        <v>0</v>
      </c>
      <c r="AD152" s="30" t="n">
        <f aca="false">SUMIF($C$2:$F$2,EOMONTH(AD$2,-1)+1,$C152:$F152)*VLOOKUP(AD$2,Valores!$H$2:$P$154,8,0)</f>
        <v>0</v>
      </c>
      <c r="AE152" s="30" t="n">
        <f aca="false">SUMIF($C$2:$F$2,EOMONTH(AE$2,-1)+1,$C152:$F152)*VLOOKUP(AE$2,Valores!$H$2:$P$154,8,0)</f>
        <v>0</v>
      </c>
      <c r="AF152" s="30" t="n">
        <f aca="false">SUMIF($C$2:$F$2,EOMONTH(AF$2,-1)+1,$C152:$F152)*VLOOKUP(AF$2,Valores!$H$2:$P$154,8,0)</f>
        <v>0</v>
      </c>
      <c r="AG152" s="30" t="n">
        <f aca="false">SUMIF($C$2:$F$2,EOMONTH(AG$2,-1)+1,$C152:$F152)*VLOOKUP(AG$2,Valores!$H$2:$P$154,8,0)</f>
        <v>0</v>
      </c>
      <c r="AH152" s="30" t="n">
        <f aca="false">SUMIF($C$2:$F$2,EOMONTH(AH$2,-1)+1,$C152:$F152)*VLOOKUP(AH$2,Valores!$H$2:$P$154,8,0)</f>
        <v>0</v>
      </c>
      <c r="AI152" s="30" t="n">
        <f aca="false">SUMIF($C$2:$F$2,EOMONTH(AI$2,-1)+1,$C152:$F152)*VLOOKUP(AI$2,Valores!$H$2:$P$154,8,0)</f>
        <v>0</v>
      </c>
      <c r="AJ152" s="30" t="n">
        <f aca="false">SUMIF($C$2:$F$2,EOMONTH(AJ$2,-1)+1,$C152:$F152)*VLOOKUP(AJ$2,Valores!$H$2:$P$154,8,0)</f>
        <v>0</v>
      </c>
      <c r="AK152" s="30" t="n">
        <f aca="false">SUMIF($C$2:$F$2,EOMONTH(AK$2,-1)+1,$C152:$F152)*VLOOKUP(AK$2,Valores!$H$2:$P$154,8,0)</f>
        <v>0</v>
      </c>
      <c r="AL152" s="30" t="n">
        <f aca="false">SUMIF($C$2:$F$2,EOMONTH(AL$2,-1)+1,$C152:$F152)*VLOOKUP(AL$2,Valores!$H$2:$P$154,8,0)</f>
        <v>0</v>
      </c>
      <c r="AM152" s="30" t="n">
        <f aca="false">SUMIF($C$2:$F$2,EOMONTH(AM$2,-1)+1,$C152:$F152)*VLOOKUP(AM$2,Valores!$H$2:$P$154,8,0)</f>
        <v>0</v>
      </c>
      <c r="AN152" s="30" t="n">
        <f aca="false">SUMIF($C$2:$F$2,EOMONTH(AN$2,-1)+1,$C152:$F152)*VLOOKUP(AN$2,Valores!$H$2:$P$154,8,0)</f>
        <v>0</v>
      </c>
      <c r="AO152" s="30" t="n">
        <f aca="false">SUMIF($C$2:$F$2,EOMONTH(AO$2,-1)+1,$C152:$F152)*VLOOKUP(AO$2,Valores!$H$2:$P$154,8,0)</f>
        <v>0</v>
      </c>
      <c r="AP152" s="30" t="n">
        <f aca="false">SUMIF($C$2:$F$2,EOMONTH(AP$2,-1)+1,$C152:$F152)*VLOOKUP(AP$2,Valores!$H$2:$P$154,8,0)</f>
        <v>0</v>
      </c>
      <c r="AQ152" s="30" t="n">
        <f aca="false">SUMIF($C$2:$F$2,EOMONTH(AQ$2,-1)+1,$C152:$F152)*VLOOKUP(AQ$2,Valores!$H$2:$P$154,8,0)</f>
        <v>0</v>
      </c>
      <c r="AR152" s="30" t="n">
        <f aca="false">SUMIF($C$2:$F$2,EOMONTH(AR$2,-1)+1,$C152:$F152)*VLOOKUP(AR$2,Valores!$H$2:$P$154,8,0)</f>
        <v>0</v>
      </c>
      <c r="AS152" s="30" t="n">
        <f aca="false">SUMIF($C$2:$F$2,EOMONTH(AS$2,-1)+1,$C152:$F152)*VLOOKUP(AS$2,Valores!$H$2:$P$154,8,0)</f>
        <v>0</v>
      </c>
      <c r="AT152" s="30" t="n">
        <f aca="false">SUMIF($C$2:$F$2,EOMONTH(AT$2,-1)+1,$C152:$F152)*VLOOKUP(AT$2,Valores!$H$2:$P$154,8,0)</f>
        <v>0</v>
      </c>
      <c r="AU152" s="30" t="n">
        <f aca="false">SUMIF($C$2:$F$2,EOMONTH(AU$2,-1)+1,$C152:$F152)*VLOOKUP(AU$2,Valores!$H$2:$P$154,8,0)</f>
        <v>0</v>
      </c>
      <c r="AV152" s="30" t="n">
        <f aca="false">SUMIF($C$2:$F$2,EOMONTH(AV$2,-1)+1,$C152:$F152)*VLOOKUP(AV$2,Valores!$H$2:$P$154,8,0)</f>
        <v>0</v>
      </c>
      <c r="AW152" s="30" t="n">
        <f aca="false">SUMIF($C$2:$F$2,EOMONTH(AW$2,-1)+1,$C152:$F152)*VLOOKUP(AW$2,Valores!$H$2:$P$154,8,0)</f>
        <v>0</v>
      </c>
      <c r="AX152" s="30" t="n">
        <f aca="false">SUMIF($C$2:$F$2,EOMONTH(AX$2,-1)+1,$C152:$F152)*VLOOKUP(AX$2,Valores!$H$2:$P$154,8,0)</f>
        <v>0</v>
      </c>
      <c r="AY152" s="30" t="n">
        <f aca="false">SUMIF($C$2:$F$2,EOMONTH(AY$2,-1)+1,$C152:$F152)*VLOOKUP(AY$2,Valores!$H$2:$P$154,8,0)</f>
        <v>0</v>
      </c>
      <c r="AZ152" s="30" t="n">
        <f aca="false">SUMIF($C$2:$F$2,EOMONTH(AZ$2,-1)+1,$C152:$F152)*VLOOKUP(AZ$2,Valores!$H$2:$P$154,8,0)</f>
        <v>0</v>
      </c>
      <c r="BA152" s="30" t="n">
        <f aca="false">SUMIF($C$2:$F$2,EOMONTH(BA$2,-1)+1,$C152:$F152)*VLOOKUP(BA$2,Valores!$H$2:$P$154,8,0)</f>
        <v>0</v>
      </c>
      <c r="BB152" s="30" t="n">
        <f aca="false">SUMIF($C$2:$F$2,EOMONTH(BB$2,-1)+1,$C152:$F152)*VLOOKUP(BB$2,Valores!$H$2:$P$154,8,0)</f>
        <v>0</v>
      </c>
      <c r="BC152" s="30" t="n">
        <f aca="false">SUMIF($C$2:$F$2,EOMONTH(BC$2,-1)+1,$C152:$F152)*VLOOKUP(BC$2,Valores!$H$2:$P$154,8,0)</f>
        <v>0</v>
      </c>
      <c r="BD152" s="30" t="n">
        <f aca="false">SUMIF($C$2:$F$2,EOMONTH(BD$2,-1)+1,$C152:$F152)*VLOOKUP(BD$2,Valores!$H$2:$P$154,8,0)</f>
        <v>0</v>
      </c>
      <c r="BE152" s="30" t="n">
        <f aca="false">SUMIF($C$2:$F$2,EOMONTH(BE$2,-1)+1,$C152:$F152)*VLOOKUP(BE$2,Valores!$H$2:$P$154,8,0)</f>
        <v>0</v>
      </c>
      <c r="BF152" s="30" t="n">
        <f aca="false">SUMIF($C$2:$F$2,EOMONTH(BF$2,-1)+1,$C152:$F152)*VLOOKUP(BF$2,Valores!$H$2:$P$154,8,0)</f>
        <v>0</v>
      </c>
      <c r="BG152" s="30" t="n">
        <f aca="false">SUMIF($C$2:$F$2,EOMONTH(BG$2,-1)+1,$C152:$F152)*VLOOKUP(BG$2,Valores!$H$2:$P$154,8,0)</f>
        <v>0</v>
      </c>
      <c r="BH152" s="30" t="n">
        <f aca="false">SUMIF($C$2:$F$2,EOMONTH(BH$2,-1)+1,$C152:$F152)*VLOOKUP(BH$2,Valores!$H$2:$P$154,8,0)</f>
        <v>0</v>
      </c>
      <c r="BI152" s="30" t="n">
        <f aca="false">SUMIF($C$2:$F$2,EOMONTH(BI$2,-1)+1,$C152:$F152)*VLOOKUP(BI$2,Valores!$H$2:$P$154,8,0)</f>
        <v>0</v>
      </c>
      <c r="BJ152" s="30" t="n">
        <f aca="false">SUMIF($C$2:$F$2,EOMONTH(BJ$2,-1)+1,$C152:$F152)*VLOOKUP(BJ$2,Valores!$H$2:$P$154,8,0)</f>
        <v>0</v>
      </c>
      <c r="BK152" s="30" t="n">
        <f aca="false">SUMIF($C$2:$F$2,EOMONTH(BK$2,-1)+1,$C152:$F152)*VLOOKUP(BK$2,Valores!$H$2:$P$154,8,0)</f>
        <v>0</v>
      </c>
      <c r="BL152" s="30" t="n">
        <f aca="false">SUMIF($C$2:$F$2,EOMONTH(BL$2,-1)+1,$C152:$F152)*VLOOKUP(BL$2,Valores!$H$2:$P$154,8,0)</f>
        <v>0</v>
      </c>
      <c r="BM152" s="30" t="n">
        <f aca="false">SUMIF($C$2:$F$2,EOMONTH(BM$2,-1)+1,$C152:$F152)*VLOOKUP(BM$2,Valores!$H$2:$P$154,8,0)</f>
        <v>0</v>
      </c>
      <c r="BN152" s="30" t="n">
        <f aca="false">SUMIF($C$2:$F$2,EOMONTH(BN$2,-1)+1,$C152:$F152)*VLOOKUP(BN$2,Valores!$H$2:$P$154,8,0)</f>
        <v>0</v>
      </c>
      <c r="BO152" s="30" t="n">
        <f aca="false">SUMIF($C$2:$F$2,EOMONTH(BO$2,-1)+1,$C152:$F152)*VLOOKUP(BO$2,Valores!$H$2:$P$154,8,0)</f>
        <v>0</v>
      </c>
      <c r="BP152" s="30" t="n">
        <f aca="false">SUMIF($C$2:$F$2,EOMONTH(BP$2,-1)+1,$C152:$F152)*VLOOKUP(BP$2,Valores!$H$2:$P$154,8,0)</f>
        <v>0</v>
      </c>
      <c r="BQ152" s="30" t="n">
        <f aca="false">SUMIF($C$2:$F$2,EOMONTH(BQ$2,-1)+1,$C152:$F152)*VLOOKUP(BQ$2,Valores!$H$2:$P$154,8,0)</f>
        <v>0</v>
      </c>
      <c r="BR152" s="30" t="n">
        <f aca="false">SUMIF($C$2:$F$2,EOMONTH(BR$2,-1)+1,$C152:$F152)*VLOOKUP(BR$2,Valores!$H$2:$P$154,8,0)</f>
        <v>0</v>
      </c>
      <c r="BS152" s="30" t="n">
        <f aca="false">SUMIF($C$2:$F$2,EOMONTH(BS$2,-1)+1,$C152:$F152)*VLOOKUP(BS$2,Valores!$H$2:$P$154,8,0)</f>
        <v>0</v>
      </c>
      <c r="BT152" s="30" t="n">
        <f aca="false">SUMIF($C$2:$F$2,EOMONTH(BT$2,-1)+1,$C152:$F152)*VLOOKUP(BT$2,Valores!$H$2:$P$154,8,0)</f>
        <v>0</v>
      </c>
      <c r="BU152" s="30" t="n">
        <f aca="false">SUMIF($C$2:$F$2,EOMONTH(BU$2,-1)+1,$C152:$F152)*VLOOKUP(BU$2,Valores!$H$2:$P$154,8,0)</f>
        <v>0</v>
      </c>
      <c r="BV152" s="30" t="n">
        <f aca="false">SUMIF($C$2:$F$2,EOMONTH(BV$2,-1)+1,$C152:$F152)*VLOOKUP(BV$2,Valores!$H$2:$P$154,8,0)</f>
        <v>0</v>
      </c>
      <c r="BW152" s="30" t="n">
        <f aca="false">SUMIF($C$2:$F$2,EOMONTH(BW$2,-1)+1,$C152:$F152)*VLOOKUP(BW$2,Valores!$H$2:$P$154,8,0)</f>
        <v>0</v>
      </c>
      <c r="BX152" s="30" t="n">
        <f aca="false">SUMIF($C$2:$F$2,EOMONTH(BX$2,-1)+1,$C152:$F152)*VLOOKUP(BX$2,Valores!$H$2:$P$154,8,0)</f>
        <v>0</v>
      </c>
      <c r="BY152" s="30" t="n">
        <f aca="false">SUMIF($C$2:$F$2,EOMONTH(BY$2,-1)+1,$C152:$F152)*VLOOKUP(BY$2,Valores!$H$2:$P$154,8,0)</f>
        <v>0</v>
      </c>
      <c r="BZ152" s="30" t="n">
        <f aca="false">SUMIF($C$2:$F$2,EOMONTH(BZ$2,-1)+1,$C152:$F152)*VLOOKUP(BZ$2,Valores!$H$2:$P$154,8,0)</f>
        <v>0</v>
      </c>
      <c r="CA152" s="30" t="n">
        <f aca="false">SUMIF($C$2:$F$2,EOMONTH(CA$2,-1)+1,$C152:$F152)*VLOOKUP(CA$2,Valores!$H$2:$P$154,8,0)</f>
        <v>0</v>
      </c>
      <c r="CB152" s="30" t="n">
        <f aca="false">SUMIF($C$2:$F$2,EOMONTH(CB$2,-1)+1,$C152:$F152)*VLOOKUP(CB$2,Valores!$H$2:$P$154,8,0)</f>
        <v>0</v>
      </c>
      <c r="CC152" s="30" t="n">
        <f aca="false">SUMIF($C$2:$F$2,EOMONTH(CC$2,-1)+1,$C152:$F152)*VLOOKUP(CC$2,Valores!$H$2:$P$154,8,0)</f>
        <v>0</v>
      </c>
      <c r="CD152" s="30" t="n">
        <f aca="false">SUMIF($C$2:$F$2,EOMONTH(CD$2,-1)+1,$C152:$F152)*VLOOKUP(CD$2,Valores!$H$2:$P$154,8,0)</f>
        <v>0</v>
      </c>
      <c r="CE152" s="30" t="n">
        <f aca="false">SUMIF($C$2:$F$2,EOMONTH(CE$2,-1)+1,$C152:$F152)*VLOOKUP(CE$2,Valores!$H$2:$P$154,8,0)</f>
        <v>0</v>
      </c>
      <c r="CF152" s="30" t="n">
        <f aca="false">SUMIF($C$2:$F$2,EOMONTH(CF$2,-1)+1,$C152:$F152)*VLOOKUP(CF$2,Valores!$H$2:$P$154,8,0)</f>
        <v>0</v>
      </c>
      <c r="CG152" s="30" t="n">
        <f aca="false">SUMIF($C$2:$F$2,EOMONTH(CG$2,-1)+1,$C152:$F152)*VLOOKUP(CG$2,Valores!$H$2:$P$154,8,0)</f>
        <v>0</v>
      </c>
      <c r="CH152" s="30" t="n">
        <f aca="false">SUMIF($C$2:$F$2,EOMONTH(CH$2,-1)+1,$C152:$F152)*VLOOKUP(CH$2,Valores!$H$2:$P$154,8,0)</f>
        <v>0</v>
      </c>
      <c r="CI152" s="30" t="n">
        <f aca="false">SUMIF($C$2:$F$2,EOMONTH(CI$2,-1)+1,$C152:$F152)*VLOOKUP(CI$2,Valores!$H$2:$P$154,8,0)</f>
        <v>0</v>
      </c>
      <c r="CJ152" s="30" t="n">
        <f aca="false">SUMIF($C$2:$F$2,EOMONTH(CJ$2,-1)+1,$C152:$F152)*VLOOKUP(CJ$2,Valores!$H$2:$P$154,8,0)</f>
        <v>0</v>
      </c>
      <c r="CK152" s="30" t="n">
        <f aca="false">SUMIF($C$2:$F$2,EOMONTH(CK$2,-1)+1,$C152:$F152)*VLOOKUP(CK$2,Valores!$H$2:$P$154,8,0)</f>
        <v>0</v>
      </c>
      <c r="CL152" s="30" t="n">
        <f aca="false">SUMIF($C$2:$F$2,EOMONTH(CL$2,-1)+1,$C152:$F152)*VLOOKUP(CL$2,Valores!$H$2:$P$154,8,0)</f>
        <v>0</v>
      </c>
      <c r="CM152" s="30" t="n">
        <f aca="false">SUMIF($C$2:$F$2,EOMONTH(CM$2,-1)+1,$C152:$F152)*VLOOKUP(CM$2,Valores!$H$2:$P$154,8,0)</f>
        <v>0</v>
      </c>
      <c r="CN152" s="30" t="n">
        <f aca="false">SUMIF($C$2:$F$2,EOMONTH(CN$2,-1)+1,$C152:$F152)*VLOOKUP(CN$2,Valores!$H$2:$P$154,8,0)</f>
        <v>0</v>
      </c>
      <c r="CO152" s="30" t="n">
        <f aca="false">SUMIF($C$2:$F$2,EOMONTH(CO$2,-1)+1,$C152:$F152)*VLOOKUP(CO$2,Valores!$H$2:$P$154,8,0)</f>
        <v>0</v>
      </c>
      <c r="CP152" s="30" t="n">
        <f aca="false">SUMIF($C$2:$F$2,EOMONTH(CP$2,-1)+1,$C152:$F152)*VLOOKUP(CP$2,Valores!$H$2:$P$154,8,0)</f>
        <v>0</v>
      </c>
      <c r="CQ152" s="30" t="n">
        <f aca="false">SUMIF($C$2:$F$2,EOMONTH(CQ$2,-1)+1,$C152:$F152)*VLOOKUP(CQ$2,Valores!$H$2:$P$154,8,0)</f>
        <v>0</v>
      </c>
      <c r="CR152" s="30" t="n">
        <f aca="false">SUMIF($C$2:$F$2,EOMONTH(CR$2,-1)+1,$C152:$F152)*VLOOKUP(CR$2,Valores!$H$2:$P$154,8,0)</f>
        <v>0</v>
      </c>
      <c r="CS152" s="30" t="n">
        <f aca="false">SUMIF($C$2:$F$2,EOMONTH(CS$2,-1)+1,$C152:$F152)*VLOOKUP(CS$2,Valores!$H$2:$P$154,8,0)</f>
        <v>0</v>
      </c>
      <c r="CT152" s="30" t="e">
        <f aca="false">SUMIF($C$2:$F$2,EOMONTH(CT$2,-1)+1,$C152:$F152)*VLOOKUP(CT$2,Valores!$H$2:$P$154,8,0)</f>
        <v>#VALUE!</v>
      </c>
      <c r="CU152" s="30" t="e">
        <f aca="false">SUMIF($C$2:$F$2,EOMONTH(CU$2,-1)+1,$C152:$F152)*VLOOKUP(CU$2,Valores!$H$2:$P$154,8,0)</f>
        <v>#VALUE!</v>
      </c>
      <c r="CV152" s="30" t="e">
        <f aca="false">SUMIF($C$2:$F$2,EOMONTH(CV$2,-1)+1,$C152:$F152)*VLOOKUP(CV$2,Valores!$H$2:$P$154,8,0)</f>
        <v>#VALUE!</v>
      </c>
      <c r="CW152" s="30" t="e">
        <f aca="false">SUMIF($C$2:$F$2,EOMONTH(CW$2,-1)+1,$C152:$F152)*VLOOKUP(CW$2,Valores!$H$2:$P$154,8,0)</f>
        <v>#VALUE!</v>
      </c>
      <c r="CX152" s="30" t="e">
        <f aca="false">SUMIF($C$2:$F$2,EOMONTH(CX$2,-1)+1,$C152:$F152)*VLOOKUP(CX$2,Valores!$H$2:$P$154,8,0)</f>
        <v>#VALUE!</v>
      </c>
      <c r="CY152" s="30" t="e">
        <f aca="false">SUMIF($C$2:$F$2,EOMONTH(CY$2,-1)+1,$C152:$F152)*VLOOKUP(CY$2,Valores!$H$2:$P$154,8,0)</f>
        <v>#VALUE!</v>
      </c>
      <c r="CZ152" s="30" t="e">
        <f aca="false">SUMIF($C$2:$F$2,EOMONTH(CZ$2,-1)+1,$C152:$F152)*VLOOKUP(CZ$2,Valores!$H$2:$P$154,8,0)</f>
        <v>#VALUE!</v>
      </c>
      <c r="DA152" s="30" t="e">
        <f aca="false">SUMIF($C$2:$F$2,EOMONTH(DA$2,-1)+1,$C152:$F152)*VLOOKUP(DA$2,Valores!$H$2:$P$154,8,0)</f>
        <v>#VALUE!</v>
      </c>
      <c r="DB152" s="30" t="e">
        <f aca="false">SUMIF($C$2:$F$2,EOMONTH(DB$2,-1)+1,$C152:$F152)*VLOOKUP(DB$2,Valores!$H$2:$P$154,8,0)</f>
        <v>#VALUE!</v>
      </c>
      <c r="DC152" s="30" t="e">
        <f aca="false">SUMIF($C$2:$F$2,EOMONTH(DC$2,-1)+1,$C152:$F152)*VLOOKUP(DC$2,Valores!$H$2:$P$154,8,0)</f>
        <v>#VALUE!</v>
      </c>
      <c r="DD152" s="30" t="e">
        <f aca="false">SUMIF($C$2:$F$2,EOMONTH(DD$2,-1)+1,$C152:$F152)*VLOOKUP(DD$2,Valores!$H$2:$P$154,8,0)</f>
        <v>#VALUE!</v>
      </c>
      <c r="DE152" s="30" t="e">
        <f aca="false">SUMIF($C$2:$F$2,EOMONTH(DE$2,-1)+1,$C152:$F152)*VLOOKUP(DE$2,Valores!$H$2:$P$154,8,0)</f>
        <v>#VALUE!</v>
      </c>
      <c r="DF152" s="30" t="e">
        <f aca="false">SUMIF($C$2:$F$2,EOMONTH(DF$2,-1)+1,$C152:$F152)*VLOOKUP(DF$2,Valores!$H$2:$P$154,8,0)</f>
        <v>#VALUE!</v>
      </c>
      <c r="DG152" s="30" t="e">
        <f aca="false">SUMIF($C$2:$F$2,EOMONTH(DG$2,-1)+1,$C152:$F152)*VLOOKUP(DG$2,Valores!$H$2:$P$154,8,0)</f>
        <v>#VALUE!</v>
      </c>
      <c r="DH152" s="30" t="e">
        <f aca="false">SUMIF($C$2:$F$2,EOMONTH(DH$2,-1)+1,$C152:$F152)*VLOOKUP(DH$2,Valores!$H$2:$P$154,8,0)</f>
        <v>#VALUE!</v>
      </c>
      <c r="DI152" s="30" t="e">
        <f aca="false">SUMIF($C$2:$F$2,EOMONTH(DI$2,-1)+1,$C152:$F152)*VLOOKUP(DI$2,Valores!$H$2:$P$154,8,0)</f>
        <v>#VALUE!</v>
      </c>
      <c r="DJ152" s="30" t="e">
        <f aca="false">SUMIF($C$2:$F$2,EOMONTH(DJ$2,-1)+1,$C152:$F152)*VLOOKUP(DJ$2,Valores!$H$2:$P$154,8,0)</f>
        <v>#VALUE!</v>
      </c>
      <c r="DK152" s="30" t="e">
        <f aca="false">SUMIF($C$2:$F$2,EOMONTH(DK$2,-1)+1,$C152:$F152)*VLOOKUP(DK$2,Valores!$H$2:$P$154,8,0)</f>
        <v>#VALUE!</v>
      </c>
      <c r="DL152" s="30" t="e">
        <f aca="false">SUMIF($C$2:$F$2,EOMONTH(DL$2,-1)+1,$C152:$F152)*VLOOKUP(DL$2,Valores!$H$2:$P$154,8,0)</f>
        <v>#VALUE!</v>
      </c>
      <c r="DM152" s="30" t="e">
        <f aca="false">SUMIF($C$2:$F$2,EOMONTH(DM$2,-1)+1,$C152:$F152)*VLOOKUP(DM$2,Valores!$H$2:$P$154,8,0)</f>
        <v>#VALUE!</v>
      </c>
      <c r="DN152" s="30" t="e">
        <f aca="false">SUMIF($C$2:$F$2,EOMONTH(DN$2,-1)+1,$C152:$F152)*VLOOKUP(DN$2,Valores!$H$2:$P$154,8,0)</f>
        <v>#VALUE!</v>
      </c>
      <c r="DO152" s="30" t="e">
        <f aca="false">SUMIF($C$2:$F$2,EOMONTH(DO$2,-1)+1,$C152:$F152)*VLOOKUP(DO$2,Valores!$H$2:$P$154,8,0)</f>
        <v>#VALUE!</v>
      </c>
      <c r="DP152" s="30" t="e">
        <f aca="false">SUMIF($C$2:$F$2,EOMONTH(DP$2,-1)+1,$C152:$F152)*VLOOKUP(DP$2,Valores!$H$2:$P$154,8,0)</f>
        <v>#VALUE!</v>
      </c>
      <c r="DQ152" s="30" t="e">
        <f aca="false">SUMIF($C$2:$F$2,EOMONTH(DQ$2,-1)+1,$C152:$F152)*VLOOKUP(DQ$2,Valores!$H$2:$P$154,8,0)</f>
        <v>#VALUE!</v>
      </c>
      <c r="DR152" s="30" t="e">
        <f aca="false">SUMIF($C$2:$F$2,EOMONTH(DR$2,-1)+1,$C152:$F152)*VLOOKUP(DR$2,Valores!$H$2:$P$154,8,0)</f>
        <v>#VALUE!</v>
      </c>
      <c r="DS152" s="30" t="e">
        <f aca="false">SUMIF($C$2:$F$2,EOMONTH(DS$2,-1)+1,$C152:$F152)*VLOOKUP(DS$2,Valores!$H$2:$P$154,8,0)</f>
        <v>#VALUE!</v>
      </c>
      <c r="DT152" s="30" t="e">
        <f aca="false">SUMIF($C$2:$F$2,EOMONTH(DT$2,-1)+1,$C152:$F152)*VLOOKUP(DT$2,Valores!$H$2:$P$154,8,0)</f>
        <v>#VALUE!</v>
      </c>
      <c r="DU152" s="30" t="e">
        <f aca="false">SUMIF($C$2:$F$2,EOMONTH(DU$2,-1)+1,$C152:$F152)*VLOOKUP(DU$2,Valores!$H$2:$P$154,8,0)</f>
        <v>#VALUE!</v>
      </c>
      <c r="DV152" s="30" t="e">
        <f aca="false">SUMIF($C$2:$F$2,EOMONTH(DV$2,-1)+1,$C152:$F152)*VLOOKUP(DV$2,Valores!$H$2:$P$154,8,0)</f>
        <v>#VALUE!</v>
      </c>
      <c r="DW152" s="30" t="e">
        <f aca="false">SUMIF($C$2:$F$2,EOMONTH(DW$2,-1)+1,$C152:$F152)*VLOOKUP(DW$2,Valores!$H$2:$P$154,8,0)</f>
        <v>#VALUE!</v>
      </c>
      <c r="DX152" s="30" t="e">
        <f aca="false">SUMIF($C$2:$F$2,EOMONTH(DX$2,-1)+1,$C152:$F152)*VLOOKUP(DX$2,Valores!$H$2:$P$154,8,0)</f>
        <v>#VALUE!</v>
      </c>
    </row>
    <row r="153" customFormat="false" ht="13.8" hidden="false" customHeight="false" outlineLevel="0" collapsed="false">
      <c r="A153" s="31"/>
      <c r="B153" s="31"/>
      <c r="C153" s="31"/>
      <c r="D153" s="31"/>
      <c r="E153" s="31"/>
      <c r="F153" s="31"/>
      <c r="G153" s="27" t="n">
        <f aca="false">SUMIF($C$2:$F$2,EOMONTH(G$2,-1)+1,$C153:$F153)*VLOOKUP(G$2,Valores!$H$2:$P$154,8,0)</f>
        <v>0</v>
      </c>
      <c r="H153" s="27" t="n">
        <f aca="false">SUMIF($C$2:$F$2,EOMONTH(H$2,-1)+1,$C153:$F153)*VLOOKUP(H$2,Valores!$H$2:$P$154,8,0)</f>
        <v>0</v>
      </c>
      <c r="I153" s="27" t="n">
        <f aca="false">SUMIF($C$2:$F$2,EOMONTH(I$2,-1)+1,$C153:$F153)*VLOOKUP(I$2,Valores!$H$2:$P$154,8,0)</f>
        <v>0</v>
      </c>
      <c r="J153" s="27" t="n">
        <f aca="false">SUMIF($C$2:$F$2,EOMONTH(J$2,-1)+1,$C153:$F153)*VLOOKUP(J$2,Valores!$H$2:$P$154,8,0)</f>
        <v>0</v>
      </c>
      <c r="K153" s="27" t="n">
        <f aca="false">SUMIF($C$2:$F$2,EOMONTH(K$2,-1)+1,$C153:$F153)*VLOOKUP(K$2,Valores!$H$2:$P$154,8,0)</f>
        <v>0</v>
      </c>
      <c r="L153" s="27" t="n">
        <f aca="false">SUMIF($C$2:$F$2,EOMONTH(L$2,-1)+1,$C153:$F153)*VLOOKUP(L$2,Valores!$H$2:$P$154,8,0)</f>
        <v>0</v>
      </c>
      <c r="M153" s="27" t="n">
        <f aca="false">SUMIF($C$2:$F$2,EOMONTH(M$2,-1)+1,$C153:$F153)*VLOOKUP(M$2,Valores!$H$2:$P$154,8,0)</f>
        <v>0</v>
      </c>
      <c r="N153" s="27" t="n">
        <f aca="false">SUMIF($C$2:$F$2,EOMONTH(N$2,-1)+1,$C153:$F153)*VLOOKUP(N$2,Valores!$H$2:$P$154,8,0)</f>
        <v>0</v>
      </c>
      <c r="O153" s="27" t="n">
        <f aca="false">SUMIF($C$2:$F$2,EOMONTH(O$2,-1)+1,$C153:$F153)*VLOOKUP(O$2,Valores!$H$2:$P$154,8,0)</f>
        <v>0</v>
      </c>
      <c r="P153" s="27" t="n">
        <f aca="false">SUMIF($C$2:$F$2,EOMONTH(P$2,-1)+1,$C153:$F153)*VLOOKUP(P$2,Valores!$H$2:$P$154,8,0)</f>
        <v>0</v>
      </c>
      <c r="Q153" s="27" t="n">
        <f aca="false">SUMIF($C$2:$F$2,EOMONTH(Q$2,-1)+1,$C153:$F153)*VLOOKUP(Q$2,Valores!$H$2:$P$154,8,0)</f>
        <v>0</v>
      </c>
      <c r="R153" s="27" t="n">
        <f aca="false">SUMIF($C$2:$F$2,EOMONTH(R$2,-1)+1,$C153:$F153)*VLOOKUP(R$2,Valores!$H$2:$P$154,8,0)</f>
        <v>0</v>
      </c>
      <c r="S153" s="27" t="n">
        <f aca="false">SUMIF($C$2:$F$2,EOMONTH(S$2,-1)+1,$C153:$F153)*VLOOKUP(S$2,Valores!$H$2:$P$154,8,0)</f>
        <v>0</v>
      </c>
      <c r="T153" s="27" t="n">
        <f aca="false">SUMIF($C$2:$F$2,EOMONTH(T$2,-1)+1,$C153:$F153)*VLOOKUP(T$2,Valores!$H$2:$P$154,8,0)</f>
        <v>0</v>
      </c>
      <c r="U153" s="27" t="n">
        <f aca="false">SUMIF($C$2:$F$2,EOMONTH(U$2,-1)+1,$C153:$F153)*VLOOKUP(U$2,Valores!$H$2:$P$154,8,0)</f>
        <v>0</v>
      </c>
      <c r="V153" s="27" t="n">
        <f aca="false">SUMIF($C$2:$F$2,EOMONTH(V$2,-1)+1,$C153:$F153)*VLOOKUP(V$2,Valores!$H$2:$P$154,8,0)</f>
        <v>0</v>
      </c>
      <c r="W153" s="27" t="n">
        <f aca="false">SUMIF($C$2:$F$2,EOMONTH(W$2,-1)+1,$C153:$F153)*VLOOKUP(W$2,Valores!$H$2:$P$154,8,0)</f>
        <v>0</v>
      </c>
      <c r="X153" s="27" t="n">
        <f aca="false">SUMIF($C$2:$F$2,EOMONTH(X$2,-1)+1,$C153:$F153)*VLOOKUP(X$2,Valores!$H$2:$P$154,8,0)</f>
        <v>0</v>
      </c>
      <c r="Y153" s="27" t="n">
        <f aca="false">SUMIF($C$2:$F$2,EOMONTH(Y$2,-1)+1,$C153:$F153)*VLOOKUP(Y$2,Valores!$H$2:$P$154,8,0)</f>
        <v>0</v>
      </c>
      <c r="Z153" s="27" t="n">
        <f aca="false">SUMIF($C$2:$F$2,EOMONTH(Z$2,-1)+1,$C153:$F153)*VLOOKUP(Z$2,Valores!$H$2:$P$154,8,0)</f>
        <v>0</v>
      </c>
      <c r="AA153" s="27" t="n">
        <f aca="false">SUMIF($C$2:$F$2,EOMONTH(AA$2,-1)+1,$C153:$F153)*VLOOKUP(AA$2,Valores!$H$2:$P$154,8,0)</f>
        <v>0</v>
      </c>
      <c r="AB153" s="27" t="n">
        <f aca="false">SUMIF($C$2:$F$2,EOMONTH(AB$2,-1)+1,$C153:$F153)*VLOOKUP(AB$2,Valores!$H$2:$P$154,8,0)</f>
        <v>0</v>
      </c>
      <c r="AC153" s="27" t="n">
        <f aca="false">SUMIF($C$2:$F$2,EOMONTH(AC$2,-1)+1,$C153:$F153)*VLOOKUP(AC$2,Valores!$H$2:$P$154,8,0)</f>
        <v>0</v>
      </c>
      <c r="AD153" s="27" t="n">
        <f aca="false">SUMIF($C$2:$F$2,EOMONTH(AD$2,-1)+1,$C153:$F153)*VLOOKUP(AD$2,Valores!$H$2:$P$154,8,0)</f>
        <v>0</v>
      </c>
      <c r="AE153" s="27" t="n">
        <f aca="false">SUMIF($C$2:$F$2,EOMONTH(AE$2,-1)+1,$C153:$F153)*VLOOKUP(AE$2,Valores!$H$2:$P$154,8,0)</f>
        <v>0</v>
      </c>
      <c r="AF153" s="27" t="n">
        <f aca="false">SUMIF($C$2:$F$2,EOMONTH(AF$2,-1)+1,$C153:$F153)*VLOOKUP(AF$2,Valores!$H$2:$P$154,8,0)</f>
        <v>0</v>
      </c>
      <c r="AG153" s="27" t="n">
        <f aca="false">SUMIF($C$2:$F$2,EOMONTH(AG$2,-1)+1,$C153:$F153)*VLOOKUP(AG$2,Valores!$H$2:$P$154,8,0)</f>
        <v>0</v>
      </c>
      <c r="AH153" s="27" t="n">
        <f aca="false">SUMIF($C$2:$F$2,EOMONTH(AH$2,-1)+1,$C153:$F153)*VLOOKUP(AH$2,Valores!$H$2:$P$154,8,0)</f>
        <v>0</v>
      </c>
      <c r="AI153" s="27" t="n">
        <f aca="false">SUMIF($C$2:$F$2,EOMONTH(AI$2,-1)+1,$C153:$F153)*VLOOKUP(AI$2,Valores!$H$2:$P$154,8,0)</f>
        <v>0</v>
      </c>
      <c r="AJ153" s="27" t="n">
        <f aca="false">SUMIF($C$2:$F$2,EOMONTH(AJ$2,-1)+1,$C153:$F153)*VLOOKUP(AJ$2,Valores!$H$2:$P$154,8,0)</f>
        <v>0</v>
      </c>
      <c r="AK153" s="27" t="n">
        <f aca="false">SUMIF($C$2:$F$2,EOMONTH(AK$2,-1)+1,$C153:$F153)*VLOOKUP(AK$2,Valores!$H$2:$P$154,8,0)</f>
        <v>0</v>
      </c>
      <c r="AL153" s="27" t="n">
        <f aca="false">SUMIF($C$2:$F$2,EOMONTH(AL$2,-1)+1,$C153:$F153)*VLOOKUP(AL$2,Valores!$H$2:$P$154,8,0)</f>
        <v>0</v>
      </c>
      <c r="AM153" s="27" t="n">
        <f aca="false">SUMIF($C$2:$F$2,EOMONTH(AM$2,-1)+1,$C153:$F153)*VLOOKUP(AM$2,Valores!$H$2:$P$154,8,0)</f>
        <v>0</v>
      </c>
      <c r="AN153" s="27" t="n">
        <f aca="false">SUMIF($C$2:$F$2,EOMONTH(AN$2,-1)+1,$C153:$F153)*VLOOKUP(AN$2,Valores!$H$2:$P$154,8,0)</f>
        <v>0</v>
      </c>
      <c r="AO153" s="27" t="n">
        <f aca="false">SUMIF($C$2:$F$2,EOMONTH(AO$2,-1)+1,$C153:$F153)*VLOOKUP(AO$2,Valores!$H$2:$P$154,8,0)</f>
        <v>0</v>
      </c>
      <c r="AP153" s="27" t="n">
        <f aca="false">SUMIF($C$2:$F$2,EOMONTH(AP$2,-1)+1,$C153:$F153)*VLOOKUP(AP$2,Valores!$H$2:$P$154,8,0)</f>
        <v>0</v>
      </c>
      <c r="AQ153" s="27" t="n">
        <f aca="false">SUMIF($C$2:$F$2,EOMONTH(AQ$2,-1)+1,$C153:$F153)*VLOOKUP(AQ$2,Valores!$H$2:$P$154,8,0)</f>
        <v>0</v>
      </c>
      <c r="AR153" s="27" t="n">
        <f aca="false">SUMIF($C$2:$F$2,EOMONTH(AR$2,-1)+1,$C153:$F153)*VLOOKUP(AR$2,Valores!$H$2:$P$154,8,0)</f>
        <v>0</v>
      </c>
      <c r="AS153" s="27" t="n">
        <f aca="false">SUMIF($C$2:$F$2,EOMONTH(AS$2,-1)+1,$C153:$F153)*VLOOKUP(AS$2,Valores!$H$2:$P$154,8,0)</f>
        <v>0</v>
      </c>
      <c r="AT153" s="27" t="n">
        <f aca="false">SUMIF($C$2:$F$2,EOMONTH(AT$2,-1)+1,$C153:$F153)*VLOOKUP(AT$2,Valores!$H$2:$P$154,8,0)</f>
        <v>0</v>
      </c>
      <c r="AU153" s="27" t="n">
        <f aca="false">SUMIF($C$2:$F$2,EOMONTH(AU$2,-1)+1,$C153:$F153)*VLOOKUP(AU$2,Valores!$H$2:$P$154,8,0)</f>
        <v>0</v>
      </c>
      <c r="AV153" s="27" t="n">
        <f aca="false">SUMIF($C$2:$F$2,EOMONTH(AV$2,-1)+1,$C153:$F153)*VLOOKUP(AV$2,Valores!$H$2:$P$154,8,0)</f>
        <v>0</v>
      </c>
      <c r="AW153" s="27" t="n">
        <f aca="false">SUMIF($C$2:$F$2,EOMONTH(AW$2,-1)+1,$C153:$F153)*VLOOKUP(AW$2,Valores!$H$2:$P$154,8,0)</f>
        <v>0</v>
      </c>
      <c r="AX153" s="27" t="n">
        <f aca="false">SUMIF($C$2:$F$2,EOMONTH(AX$2,-1)+1,$C153:$F153)*VLOOKUP(AX$2,Valores!$H$2:$P$154,8,0)</f>
        <v>0</v>
      </c>
      <c r="AY153" s="27" t="n">
        <f aca="false">SUMIF($C$2:$F$2,EOMONTH(AY$2,-1)+1,$C153:$F153)*VLOOKUP(AY$2,Valores!$H$2:$P$154,8,0)</f>
        <v>0</v>
      </c>
      <c r="AZ153" s="27" t="n">
        <f aca="false">SUMIF($C$2:$F$2,EOMONTH(AZ$2,-1)+1,$C153:$F153)*VLOOKUP(AZ$2,Valores!$H$2:$P$154,8,0)</f>
        <v>0</v>
      </c>
      <c r="BA153" s="27" t="n">
        <f aca="false">SUMIF($C$2:$F$2,EOMONTH(BA$2,-1)+1,$C153:$F153)*VLOOKUP(BA$2,Valores!$H$2:$P$154,8,0)</f>
        <v>0</v>
      </c>
      <c r="BB153" s="27" t="n">
        <f aca="false">SUMIF($C$2:$F$2,EOMONTH(BB$2,-1)+1,$C153:$F153)*VLOOKUP(BB$2,Valores!$H$2:$P$154,8,0)</f>
        <v>0</v>
      </c>
      <c r="BC153" s="27" t="n">
        <f aca="false">SUMIF($C$2:$F$2,EOMONTH(BC$2,-1)+1,$C153:$F153)*VLOOKUP(BC$2,Valores!$H$2:$P$154,8,0)</f>
        <v>0</v>
      </c>
      <c r="BD153" s="27" t="n">
        <f aca="false">SUMIF($C$2:$F$2,EOMONTH(BD$2,-1)+1,$C153:$F153)*VLOOKUP(BD$2,Valores!$H$2:$P$154,8,0)</f>
        <v>0</v>
      </c>
      <c r="BE153" s="27" t="n">
        <f aca="false">SUMIF($C$2:$F$2,EOMONTH(BE$2,-1)+1,$C153:$F153)*VLOOKUP(BE$2,Valores!$H$2:$P$154,8,0)</f>
        <v>0</v>
      </c>
      <c r="BF153" s="27" t="n">
        <f aca="false">SUMIF($C$2:$F$2,EOMONTH(BF$2,-1)+1,$C153:$F153)*VLOOKUP(BF$2,Valores!$H$2:$P$154,8,0)</f>
        <v>0</v>
      </c>
      <c r="BG153" s="27" t="n">
        <f aca="false">SUMIF($C$2:$F$2,EOMONTH(BG$2,-1)+1,$C153:$F153)*VLOOKUP(BG$2,Valores!$H$2:$P$154,8,0)</f>
        <v>0</v>
      </c>
      <c r="BH153" s="27" t="n">
        <f aca="false">SUMIF($C$2:$F$2,EOMONTH(BH$2,-1)+1,$C153:$F153)*VLOOKUP(BH$2,Valores!$H$2:$P$154,8,0)</f>
        <v>0</v>
      </c>
      <c r="BI153" s="27" t="n">
        <f aca="false">SUMIF($C$2:$F$2,EOMONTH(BI$2,-1)+1,$C153:$F153)*VLOOKUP(BI$2,Valores!$H$2:$P$154,8,0)</f>
        <v>0</v>
      </c>
      <c r="BJ153" s="27" t="n">
        <f aca="false">SUMIF($C$2:$F$2,EOMONTH(BJ$2,-1)+1,$C153:$F153)*VLOOKUP(BJ$2,Valores!$H$2:$P$154,8,0)</f>
        <v>0</v>
      </c>
      <c r="BK153" s="27" t="n">
        <f aca="false">SUMIF($C$2:$F$2,EOMONTH(BK$2,-1)+1,$C153:$F153)*VLOOKUP(BK$2,Valores!$H$2:$P$154,8,0)</f>
        <v>0</v>
      </c>
      <c r="BL153" s="27" t="n">
        <f aca="false">SUMIF($C$2:$F$2,EOMONTH(BL$2,-1)+1,$C153:$F153)*VLOOKUP(BL$2,Valores!$H$2:$P$154,8,0)</f>
        <v>0</v>
      </c>
      <c r="BM153" s="27" t="n">
        <f aca="false">SUMIF($C$2:$F$2,EOMONTH(BM$2,-1)+1,$C153:$F153)*VLOOKUP(BM$2,Valores!$H$2:$P$154,8,0)</f>
        <v>0</v>
      </c>
      <c r="BN153" s="27" t="n">
        <f aca="false">SUMIF($C$2:$F$2,EOMONTH(BN$2,-1)+1,$C153:$F153)*VLOOKUP(BN$2,Valores!$H$2:$P$154,8,0)</f>
        <v>0</v>
      </c>
      <c r="BO153" s="27" t="n">
        <f aca="false">SUMIF($C$2:$F$2,EOMONTH(BO$2,-1)+1,$C153:$F153)*VLOOKUP(BO$2,Valores!$H$2:$P$154,8,0)</f>
        <v>0</v>
      </c>
      <c r="BP153" s="27" t="n">
        <f aca="false">SUMIF($C$2:$F$2,EOMONTH(BP$2,-1)+1,$C153:$F153)*VLOOKUP(BP$2,Valores!$H$2:$P$154,8,0)</f>
        <v>0</v>
      </c>
      <c r="BQ153" s="27" t="n">
        <f aca="false">SUMIF($C$2:$F$2,EOMONTH(BQ$2,-1)+1,$C153:$F153)*VLOOKUP(BQ$2,Valores!$H$2:$P$154,8,0)</f>
        <v>0</v>
      </c>
      <c r="BR153" s="27" t="n">
        <f aca="false">SUMIF($C$2:$F$2,EOMONTH(BR$2,-1)+1,$C153:$F153)*VLOOKUP(BR$2,Valores!$H$2:$P$154,8,0)</f>
        <v>0</v>
      </c>
      <c r="BS153" s="27" t="n">
        <f aca="false">SUMIF($C$2:$F$2,EOMONTH(BS$2,-1)+1,$C153:$F153)*VLOOKUP(BS$2,Valores!$H$2:$P$154,8,0)</f>
        <v>0</v>
      </c>
      <c r="BT153" s="27" t="n">
        <f aca="false">SUMIF($C$2:$F$2,EOMONTH(BT$2,-1)+1,$C153:$F153)*VLOOKUP(BT$2,Valores!$H$2:$P$154,8,0)</f>
        <v>0</v>
      </c>
      <c r="BU153" s="27" t="n">
        <f aca="false">SUMIF($C$2:$F$2,EOMONTH(BU$2,-1)+1,$C153:$F153)*VLOOKUP(BU$2,Valores!$H$2:$P$154,8,0)</f>
        <v>0</v>
      </c>
      <c r="BV153" s="27" t="n">
        <f aca="false">SUMIF($C$2:$F$2,EOMONTH(BV$2,-1)+1,$C153:$F153)*VLOOKUP(BV$2,Valores!$H$2:$P$154,8,0)</f>
        <v>0</v>
      </c>
      <c r="BW153" s="27" t="n">
        <f aca="false">SUMIF($C$2:$F$2,EOMONTH(BW$2,-1)+1,$C153:$F153)*VLOOKUP(BW$2,Valores!$H$2:$P$154,8,0)</f>
        <v>0</v>
      </c>
      <c r="BX153" s="27" t="n">
        <f aca="false">SUMIF($C$2:$F$2,EOMONTH(BX$2,-1)+1,$C153:$F153)*VLOOKUP(BX$2,Valores!$H$2:$P$154,8,0)</f>
        <v>0</v>
      </c>
      <c r="BY153" s="27" t="n">
        <f aca="false">SUMIF($C$2:$F$2,EOMONTH(BY$2,-1)+1,$C153:$F153)*VLOOKUP(BY$2,Valores!$H$2:$P$154,8,0)</f>
        <v>0</v>
      </c>
      <c r="BZ153" s="27" t="n">
        <f aca="false">SUMIF($C$2:$F$2,EOMONTH(BZ$2,-1)+1,$C153:$F153)*VLOOKUP(BZ$2,Valores!$H$2:$P$154,8,0)</f>
        <v>0</v>
      </c>
      <c r="CA153" s="27" t="n">
        <f aca="false">SUMIF($C$2:$F$2,EOMONTH(CA$2,-1)+1,$C153:$F153)*VLOOKUP(CA$2,Valores!$H$2:$P$154,8,0)</f>
        <v>0</v>
      </c>
      <c r="CB153" s="27" t="n">
        <f aca="false">SUMIF($C$2:$F$2,EOMONTH(CB$2,-1)+1,$C153:$F153)*VLOOKUP(CB$2,Valores!$H$2:$P$154,8,0)</f>
        <v>0</v>
      </c>
      <c r="CC153" s="27" t="n">
        <f aca="false">SUMIF($C$2:$F$2,EOMONTH(CC$2,-1)+1,$C153:$F153)*VLOOKUP(CC$2,Valores!$H$2:$P$154,8,0)</f>
        <v>0</v>
      </c>
      <c r="CD153" s="27" t="n">
        <f aca="false">SUMIF($C$2:$F$2,EOMONTH(CD$2,-1)+1,$C153:$F153)*VLOOKUP(CD$2,Valores!$H$2:$P$154,8,0)</f>
        <v>0</v>
      </c>
      <c r="CE153" s="27" t="n">
        <f aca="false">SUMIF($C$2:$F$2,EOMONTH(CE$2,-1)+1,$C153:$F153)*VLOOKUP(CE$2,Valores!$H$2:$P$154,8,0)</f>
        <v>0</v>
      </c>
      <c r="CF153" s="27" t="n">
        <f aca="false">SUMIF($C$2:$F$2,EOMONTH(CF$2,-1)+1,$C153:$F153)*VLOOKUP(CF$2,Valores!$H$2:$P$154,8,0)</f>
        <v>0</v>
      </c>
      <c r="CG153" s="27" t="n">
        <f aca="false">SUMIF($C$2:$F$2,EOMONTH(CG$2,-1)+1,$C153:$F153)*VLOOKUP(CG$2,Valores!$H$2:$P$154,8,0)</f>
        <v>0</v>
      </c>
      <c r="CH153" s="27" t="n">
        <f aca="false">SUMIF($C$2:$F$2,EOMONTH(CH$2,-1)+1,$C153:$F153)*VLOOKUP(CH$2,Valores!$H$2:$P$154,8,0)</f>
        <v>0</v>
      </c>
      <c r="CI153" s="27" t="n">
        <f aca="false">SUMIF($C$2:$F$2,EOMONTH(CI$2,-1)+1,$C153:$F153)*VLOOKUP(CI$2,Valores!$H$2:$P$154,8,0)</f>
        <v>0</v>
      </c>
      <c r="CJ153" s="27" t="n">
        <f aca="false">SUMIF($C$2:$F$2,EOMONTH(CJ$2,-1)+1,$C153:$F153)*VLOOKUP(CJ$2,Valores!$H$2:$P$154,8,0)</f>
        <v>0</v>
      </c>
      <c r="CK153" s="27" t="n">
        <f aca="false">SUMIF($C$2:$F$2,EOMONTH(CK$2,-1)+1,$C153:$F153)*VLOOKUP(CK$2,Valores!$H$2:$P$154,8,0)</f>
        <v>0</v>
      </c>
      <c r="CL153" s="27" t="n">
        <f aca="false">SUMIF($C$2:$F$2,EOMONTH(CL$2,-1)+1,$C153:$F153)*VLOOKUP(CL$2,Valores!$H$2:$P$154,8,0)</f>
        <v>0</v>
      </c>
      <c r="CM153" s="27" t="n">
        <f aca="false">SUMIF($C$2:$F$2,EOMONTH(CM$2,-1)+1,$C153:$F153)*VLOOKUP(CM$2,Valores!$H$2:$P$154,8,0)</f>
        <v>0</v>
      </c>
      <c r="CN153" s="27" t="n">
        <f aca="false">SUMIF($C$2:$F$2,EOMONTH(CN$2,-1)+1,$C153:$F153)*VLOOKUP(CN$2,Valores!$H$2:$P$154,8,0)</f>
        <v>0</v>
      </c>
      <c r="CO153" s="27" t="n">
        <f aca="false">SUMIF($C$2:$F$2,EOMONTH(CO$2,-1)+1,$C153:$F153)*VLOOKUP(CO$2,Valores!$H$2:$P$154,8,0)</f>
        <v>0</v>
      </c>
      <c r="CP153" s="27" t="n">
        <f aca="false">SUMIF($C$2:$F$2,EOMONTH(CP$2,-1)+1,$C153:$F153)*VLOOKUP(CP$2,Valores!$H$2:$P$154,8,0)</f>
        <v>0</v>
      </c>
      <c r="CQ153" s="27" t="n">
        <f aca="false">SUMIF($C$2:$F$2,EOMONTH(CQ$2,-1)+1,$C153:$F153)*VLOOKUP(CQ$2,Valores!$H$2:$P$154,8,0)</f>
        <v>0</v>
      </c>
      <c r="CR153" s="27" t="n">
        <f aca="false">SUMIF($C$2:$F$2,EOMONTH(CR$2,-1)+1,$C153:$F153)*VLOOKUP(CR$2,Valores!$H$2:$P$154,8,0)</f>
        <v>0</v>
      </c>
      <c r="CS153" s="27" t="n">
        <f aca="false">SUMIF($C$2:$F$2,EOMONTH(CS$2,-1)+1,$C153:$F153)*VLOOKUP(CS$2,Valores!$H$2:$P$154,8,0)</f>
        <v>0</v>
      </c>
      <c r="CT153" s="27" t="e">
        <f aca="false">SUMIF($C$2:$F$2,EOMONTH(CT$2,-1)+1,$C153:$F153)*VLOOKUP(CT$2,Valores!$H$2:$P$154,8,0)</f>
        <v>#VALUE!</v>
      </c>
      <c r="CU153" s="27" t="e">
        <f aca="false">SUMIF($C$2:$F$2,EOMONTH(CU$2,-1)+1,$C153:$F153)*VLOOKUP(CU$2,Valores!$H$2:$P$154,8,0)</f>
        <v>#VALUE!</v>
      </c>
      <c r="CV153" s="27" t="e">
        <f aca="false">SUMIF($C$2:$F$2,EOMONTH(CV$2,-1)+1,$C153:$F153)*VLOOKUP(CV$2,Valores!$H$2:$P$154,8,0)</f>
        <v>#VALUE!</v>
      </c>
      <c r="CW153" s="27" t="e">
        <f aca="false">SUMIF($C$2:$F$2,EOMONTH(CW$2,-1)+1,$C153:$F153)*VLOOKUP(CW$2,Valores!$H$2:$P$154,8,0)</f>
        <v>#VALUE!</v>
      </c>
      <c r="CX153" s="27" t="e">
        <f aca="false">SUMIF($C$2:$F$2,EOMONTH(CX$2,-1)+1,$C153:$F153)*VLOOKUP(CX$2,Valores!$H$2:$P$154,8,0)</f>
        <v>#VALUE!</v>
      </c>
      <c r="CY153" s="27" t="e">
        <f aca="false">SUMIF($C$2:$F$2,EOMONTH(CY$2,-1)+1,$C153:$F153)*VLOOKUP(CY$2,Valores!$H$2:$P$154,8,0)</f>
        <v>#VALUE!</v>
      </c>
      <c r="CZ153" s="27" t="e">
        <f aca="false">SUMIF($C$2:$F$2,EOMONTH(CZ$2,-1)+1,$C153:$F153)*VLOOKUP(CZ$2,Valores!$H$2:$P$154,8,0)</f>
        <v>#VALUE!</v>
      </c>
      <c r="DA153" s="27" t="e">
        <f aca="false">SUMIF($C$2:$F$2,EOMONTH(DA$2,-1)+1,$C153:$F153)*VLOOKUP(DA$2,Valores!$H$2:$P$154,8,0)</f>
        <v>#VALUE!</v>
      </c>
      <c r="DB153" s="27" t="e">
        <f aca="false">SUMIF($C$2:$F$2,EOMONTH(DB$2,-1)+1,$C153:$F153)*VLOOKUP(DB$2,Valores!$H$2:$P$154,8,0)</f>
        <v>#VALUE!</v>
      </c>
      <c r="DC153" s="27" t="e">
        <f aca="false">SUMIF($C$2:$F$2,EOMONTH(DC$2,-1)+1,$C153:$F153)*VLOOKUP(DC$2,Valores!$H$2:$P$154,8,0)</f>
        <v>#VALUE!</v>
      </c>
      <c r="DD153" s="27" t="e">
        <f aca="false">SUMIF($C$2:$F$2,EOMONTH(DD$2,-1)+1,$C153:$F153)*VLOOKUP(DD$2,Valores!$H$2:$P$154,8,0)</f>
        <v>#VALUE!</v>
      </c>
      <c r="DE153" s="27" t="e">
        <f aca="false">SUMIF($C$2:$F$2,EOMONTH(DE$2,-1)+1,$C153:$F153)*VLOOKUP(DE$2,Valores!$H$2:$P$154,8,0)</f>
        <v>#VALUE!</v>
      </c>
      <c r="DF153" s="27" t="e">
        <f aca="false">SUMIF($C$2:$F$2,EOMONTH(DF$2,-1)+1,$C153:$F153)*VLOOKUP(DF$2,Valores!$H$2:$P$154,8,0)</f>
        <v>#VALUE!</v>
      </c>
      <c r="DG153" s="27" t="e">
        <f aca="false">SUMIF($C$2:$F$2,EOMONTH(DG$2,-1)+1,$C153:$F153)*VLOOKUP(DG$2,Valores!$H$2:$P$154,8,0)</f>
        <v>#VALUE!</v>
      </c>
      <c r="DH153" s="27" t="e">
        <f aca="false">SUMIF($C$2:$F$2,EOMONTH(DH$2,-1)+1,$C153:$F153)*VLOOKUP(DH$2,Valores!$H$2:$P$154,8,0)</f>
        <v>#VALUE!</v>
      </c>
      <c r="DI153" s="27" t="e">
        <f aca="false">SUMIF($C$2:$F$2,EOMONTH(DI$2,-1)+1,$C153:$F153)*VLOOKUP(DI$2,Valores!$H$2:$P$154,8,0)</f>
        <v>#VALUE!</v>
      </c>
      <c r="DJ153" s="27" t="e">
        <f aca="false">SUMIF($C$2:$F$2,EOMONTH(DJ$2,-1)+1,$C153:$F153)*VLOOKUP(DJ$2,Valores!$H$2:$P$154,8,0)</f>
        <v>#VALUE!</v>
      </c>
      <c r="DK153" s="27" t="e">
        <f aca="false">SUMIF($C$2:$F$2,EOMONTH(DK$2,-1)+1,$C153:$F153)*VLOOKUP(DK$2,Valores!$H$2:$P$154,8,0)</f>
        <v>#VALUE!</v>
      </c>
      <c r="DL153" s="27" t="e">
        <f aca="false">SUMIF($C$2:$F$2,EOMONTH(DL$2,-1)+1,$C153:$F153)*VLOOKUP(DL$2,Valores!$H$2:$P$154,8,0)</f>
        <v>#VALUE!</v>
      </c>
      <c r="DM153" s="27" t="e">
        <f aca="false">SUMIF($C$2:$F$2,EOMONTH(DM$2,-1)+1,$C153:$F153)*VLOOKUP(DM$2,Valores!$H$2:$P$154,8,0)</f>
        <v>#VALUE!</v>
      </c>
      <c r="DN153" s="27" t="e">
        <f aca="false">SUMIF($C$2:$F$2,EOMONTH(DN$2,-1)+1,$C153:$F153)*VLOOKUP(DN$2,Valores!$H$2:$P$154,8,0)</f>
        <v>#VALUE!</v>
      </c>
      <c r="DO153" s="27" t="e">
        <f aca="false">SUMIF($C$2:$F$2,EOMONTH(DO$2,-1)+1,$C153:$F153)*VLOOKUP(DO$2,Valores!$H$2:$P$154,8,0)</f>
        <v>#VALUE!</v>
      </c>
      <c r="DP153" s="27" t="e">
        <f aca="false">SUMIF($C$2:$F$2,EOMONTH(DP$2,-1)+1,$C153:$F153)*VLOOKUP(DP$2,Valores!$H$2:$P$154,8,0)</f>
        <v>#VALUE!</v>
      </c>
      <c r="DQ153" s="27" t="e">
        <f aca="false">SUMIF($C$2:$F$2,EOMONTH(DQ$2,-1)+1,$C153:$F153)*VLOOKUP(DQ$2,Valores!$H$2:$P$154,8,0)</f>
        <v>#VALUE!</v>
      </c>
      <c r="DR153" s="27" t="e">
        <f aca="false">SUMIF($C$2:$F$2,EOMONTH(DR$2,-1)+1,$C153:$F153)*VLOOKUP(DR$2,Valores!$H$2:$P$154,8,0)</f>
        <v>#VALUE!</v>
      </c>
      <c r="DS153" s="27" t="e">
        <f aca="false">SUMIF($C$2:$F$2,EOMONTH(DS$2,-1)+1,$C153:$F153)*VLOOKUP(DS$2,Valores!$H$2:$P$154,8,0)</f>
        <v>#VALUE!</v>
      </c>
      <c r="DT153" s="27" t="e">
        <f aca="false">SUMIF($C$2:$F$2,EOMONTH(DT$2,-1)+1,$C153:$F153)*VLOOKUP(DT$2,Valores!$H$2:$P$154,8,0)</f>
        <v>#VALUE!</v>
      </c>
      <c r="DU153" s="27" t="e">
        <f aca="false">SUMIF($C$2:$F$2,EOMONTH(DU$2,-1)+1,$C153:$F153)*VLOOKUP(DU$2,Valores!$H$2:$P$154,8,0)</f>
        <v>#VALUE!</v>
      </c>
      <c r="DV153" s="27" t="e">
        <f aca="false">SUMIF($C$2:$F$2,EOMONTH(DV$2,-1)+1,$C153:$F153)*VLOOKUP(DV$2,Valores!$H$2:$P$154,8,0)</f>
        <v>#VALUE!</v>
      </c>
      <c r="DW153" s="27" t="e">
        <f aca="false">SUMIF($C$2:$F$2,EOMONTH(DW$2,-1)+1,$C153:$F153)*VLOOKUP(DW$2,Valores!$H$2:$P$154,8,0)</f>
        <v>#VALUE!</v>
      </c>
      <c r="DX153" s="27" t="e">
        <f aca="false">SUMIF($C$2:$F$2,EOMONTH(DX$2,-1)+1,$C153:$F153)*VLOOKUP(DX$2,Valores!$H$2:$P$154,8,0)</f>
        <v>#VALUE!</v>
      </c>
    </row>
    <row r="154" customFormat="false" ht="13.8" hidden="false" customHeight="false" outlineLevel="0" collapsed="false">
      <c r="A154" s="29"/>
      <c r="B154" s="29"/>
      <c r="C154" s="29"/>
      <c r="D154" s="29"/>
      <c r="E154" s="29"/>
      <c r="F154" s="29"/>
      <c r="G154" s="30" t="n">
        <f aca="false">SUMIF($C$2:$F$2,EOMONTH(G$2,-1)+1,$C154:$F154)*VLOOKUP(G$2,Valores!$H$2:$P$154,8,0)</f>
        <v>0</v>
      </c>
      <c r="H154" s="30" t="n">
        <f aca="false">SUMIF($C$2:$F$2,EOMONTH(H$2,-1)+1,$C154:$F154)*VLOOKUP(H$2,Valores!$H$2:$P$154,8,0)</f>
        <v>0</v>
      </c>
      <c r="I154" s="30" t="n">
        <f aca="false">SUMIF($C$2:$F$2,EOMONTH(I$2,-1)+1,$C154:$F154)*VLOOKUP(I$2,Valores!$H$2:$P$154,8,0)</f>
        <v>0</v>
      </c>
      <c r="J154" s="30" t="n">
        <f aca="false">SUMIF($C$2:$F$2,EOMONTH(J$2,-1)+1,$C154:$F154)*VLOOKUP(J$2,Valores!$H$2:$P$154,8,0)</f>
        <v>0</v>
      </c>
      <c r="K154" s="30" t="n">
        <f aca="false">SUMIF($C$2:$F$2,EOMONTH(K$2,-1)+1,$C154:$F154)*VLOOKUP(K$2,Valores!$H$2:$P$154,8,0)</f>
        <v>0</v>
      </c>
      <c r="L154" s="30" t="n">
        <f aca="false">SUMIF($C$2:$F$2,EOMONTH(L$2,-1)+1,$C154:$F154)*VLOOKUP(L$2,Valores!$H$2:$P$154,8,0)</f>
        <v>0</v>
      </c>
      <c r="M154" s="30" t="n">
        <f aca="false">SUMIF($C$2:$F$2,EOMONTH(M$2,-1)+1,$C154:$F154)*VLOOKUP(M$2,Valores!$H$2:$P$154,8,0)</f>
        <v>0</v>
      </c>
      <c r="N154" s="30" t="n">
        <f aca="false">SUMIF($C$2:$F$2,EOMONTH(N$2,-1)+1,$C154:$F154)*VLOOKUP(N$2,Valores!$H$2:$P$154,8,0)</f>
        <v>0</v>
      </c>
      <c r="O154" s="30" t="n">
        <f aca="false">SUMIF($C$2:$F$2,EOMONTH(O$2,-1)+1,$C154:$F154)*VLOOKUP(O$2,Valores!$H$2:$P$154,8,0)</f>
        <v>0</v>
      </c>
      <c r="P154" s="30" t="n">
        <f aca="false">SUMIF($C$2:$F$2,EOMONTH(P$2,-1)+1,$C154:$F154)*VLOOKUP(P$2,Valores!$H$2:$P$154,8,0)</f>
        <v>0</v>
      </c>
      <c r="Q154" s="30" t="n">
        <f aca="false">SUMIF($C$2:$F$2,EOMONTH(Q$2,-1)+1,$C154:$F154)*VLOOKUP(Q$2,Valores!$H$2:$P$154,8,0)</f>
        <v>0</v>
      </c>
      <c r="R154" s="30" t="n">
        <f aca="false">SUMIF($C$2:$F$2,EOMONTH(R$2,-1)+1,$C154:$F154)*VLOOKUP(R$2,Valores!$H$2:$P$154,8,0)</f>
        <v>0</v>
      </c>
      <c r="S154" s="30" t="n">
        <f aca="false">SUMIF($C$2:$F$2,EOMONTH(S$2,-1)+1,$C154:$F154)*VLOOKUP(S$2,Valores!$H$2:$P$154,8,0)</f>
        <v>0</v>
      </c>
      <c r="T154" s="30" t="n">
        <f aca="false">SUMIF($C$2:$F$2,EOMONTH(T$2,-1)+1,$C154:$F154)*VLOOKUP(T$2,Valores!$H$2:$P$154,8,0)</f>
        <v>0</v>
      </c>
      <c r="U154" s="30" t="n">
        <f aca="false">SUMIF($C$2:$F$2,EOMONTH(U$2,-1)+1,$C154:$F154)*VLOOKUP(U$2,Valores!$H$2:$P$154,8,0)</f>
        <v>0</v>
      </c>
      <c r="V154" s="30" t="n">
        <f aca="false">SUMIF($C$2:$F$2,EOMONTH(V$2,-1)+1,$C154:$F154)*VLOOKUP(V$2,Valores!$H$2:$P$154,8,0)</f>
        <v>0</v>
      </c>
      <c r="W154" s="30" t="n">
        <f aca="false">SUMIF($C$2:$F$2,EOMONTH(W$2,-1)+1,$C154:$F154)*VLOOKUP(W$2,Valores!$H$2:$P$154,8,0)</f>
        <v>0</v>
      </c>
      <c r="X154" s="30" t="n">
        <f aca="false">SUMIF($C$2:$F$2,EOMONTH(X$2,-1)+1,$C154:$F154)*VLOOKUP(X$2,Valores!$H$2:$P$154,8,0)</f>
        <v>0</v>
      </c>
      <c r="Y154" s="30" t="n">
        <f aca="false">SUMIF($C$2:$F$2,EOMONTH(Y$2,-1)+1,$C154:$F154)*VLOOKUP(Y$2,Valores!$H$2:$P$154,8,0)</f>
        <v>0</v>
      </c>
      <c r="Z154" s="30" t="n">
        <f aca="false">SUMIF($C$2:$F$2,EOMONTH(Z$2,-1)+1,$C154:$F154)*VLOOKUP(Z$2,Valores!$H$2:$P$154,8,0)</f>
        <v>0</v>
      </c>
      <c r="AA154" s="30" t="n">
        <f aca="false">SUMIF($C$2:$F$2,EOMONTH(AA$2,-1)+1,$C154:$F154)*VLOOKUP(AA$2,Valores!$H$2:$P$154,8,0)</f>
        <v>0</v>
      </c>
      <c r="AB154" s="30" t="n">
        <f aca="false">SUMIF($C$2:$F$2,EOMONTH(AB$2,-1)+1,$C154:$F154)*VLOOKUP(AB$2,Valores!$H$2:$P$154,8,0)</f>
        <v>0</v>
      </c>
      <c r="AC154" s="30" t="n">
        <f aca="false">SUMIF($C$2:$F$2,EOMONTH(AC$2,-1)+1,$C154:$F154)*VLOOKUP(AC$2,Valores!$H$2:$P$154,8,0)</f>
        <v>0</v>
      </c>
      <c r="AD154" s="30" t="n">
        <f aca="false">SUMIF($C$2:$F$2,EOMONTH(AD$2,-1)+1,$C154:$F154)*VLOOKUP(AD$2,Valores!$H$2:$P$154,8,0)</f>
        <v>0</v>
      </c>
      <c r="AE154" s="30" t="n">
        <f aca="false">SUMIF($C$2:$F$2,EOMONTH(AE$2,-1)+1,$C154:$F154)*VLOOKUP(AE$2,Valores!$H$2:$P$154,8,0)</f>
        <v>0</v>
      </c>
      <c r="AF154" s="30" t="n">
        <f aca="false">SUMIF($C$2:$F$2,EOMONTH(AF$2,-1)+1,$C154:$F154)*VLOOKUP(AF$2,Valores!$H$2:$P$154,8,0)</f>
        <v>0</v>
      </c>
      <c r="AG154" s="30" t="n">
        <f aca="false">SUMIF($C$2:$F$2,EOMONTH(AG$2,-1)+1,$C154:$F154)*VLOOKUP(AG$2,Valores!$H$2:$P$154,8,0)</f>
        <v>0</v>
      </c>
      <c r="AH154" s="30" t="n">
        <f aca="false">SUMIF($C$2:$F$2,EOMONTH(AH$2,-1)+1,$C154:$F154)*VLOOKUP(AH$2,Valores!$H$2:$P$154,8,0)</f>
        <v>0</v>
      </c>
      <c r="AI154" s="30" t="n">
        <f aca="false">SUMIF($C$2:$F$2,EOMONTH(AI$2,-1)+1,$C154:$F154)*VLOOKUP(AI$2,Valores!$H$2:$P$154,8,0)</f>
        <v>0</v>
      </c>
      <c r="AJ154" s="30" t="n">
        <f aca="false">SUMIF($C$2:$F$2,EOMONTH(AJ$2,-1)+1,$C154:$F154)*VLOOKUP(AJ$2,Valores!$H$2:$P$154,8,0)</f>
        <v>0</v>
      </c>
      <c r="AK154" s="30" t="n">
        <f aca="false">SUMIF($C$2:$F$2,EOMONTH(AK$2,-1)+1,$C154:$F154)*VLOOKUP(AK$2,Valores!$H$2:$P$154,8,0)</f>
        <v>0</v>
      </c>
      <c r="AL154" s="30" t="n">
        <f aca="false">SUMIF($C$2:$F$2,EOMONTH(AL$2,-1)+1,$C154:$F154)*VLOOKUP(AL$2,Valores!$H$2:$P$154,8,0)</f>
        <v>0</v>
      </c>
      <c r="AM154" s="30" t="n">
        <f aca="false">SUMIF($C$2:$F$2,EOMONTH(AM$2,-1)+1,$C154:$F154)*VLOOKUP(AM$2,Valores!$H$2:$P$154,8,0)</f>
        <v>0</v>
      </c>
      <c r="AN154" s="30" t="n">
        <f aca="false">SUMIF($C$2:$F$2,EOMONTH(AN$2,-1)+1,$C154:$F154)*VLOOKUP(AN$2,Valores!$H$2:$P$154,8,0)</f>
        <v>0</v>
      </c>
      <c r="AO154" s="30" t="n">
        <f aca="false">SUMIF($C$2:$F$2,EOMONTH(AO$2,-1)+1,$C154:$F154)*VLOOKUP(AO$2,Valores!$H$2:$P$154,8,0)</f>
        <v>0</v>
      </c>
      <c r="AP154" s="30" t="n">
        <f aca="false">SUMIF($C$2:$F$2,EOMONTH(AP$2,-1)+1,$C154:$F154)*VLOOKUP(AP$2,Valores!$H$2:$P$154,8,0)</f>
        <v>0</v>
      </c>
      <c r="AQ154" s="30" t="n">
        <f aca="false">SUMIF($C$2:$F$2,EOMONTH(AQ$2,-1)+1,$C154:$F154)*VLOOKUP(AQ$2,Valores!$H$2:$P$154,8,0)</f>
        <v>0</v>
      </c>
      <c r="AR154" s="30" t="n">
        <f aca="false">SUMIF($C$2:$F$2,EOMONTH(AR$2,-1)+1,$C154:$F154)*VLOOKUP(AR$2,Valores!$H$2:$P$154,8,0)</f>
        <v>0</v>
      </c>
      <c r="AS154" s="30" t="n">
        <f aca="false">SUMIF($C$2:$F$2,EOMONTH(AS$2,-1)+1,$C154:$F154)*VLOOKUP(AS$2,Valores!$H$2:$P$154,8,0)</f>
        <v>0</v>
      </c>
      <c r="AT154" s="30" t="n">
        <f aca="false">SUMIF($C$2:$F$2,EOMONTH(AT$2,-1)+1,$C154:$F154)*VLOOKUP(AT$2,Valores!$H$2:$P$154,8,0)</f>
        <v>0</v>
      </c>
      <c r="AU154" s="30" t="n">
        <f aca="false">SUMIF($C$2:$F$2,EOMONTH(AU$2,-1)+1,$C154:$F154)*VLOOKUP(AU$2,Valores!$H$2:$P$154,8,0)</f>
        <v>0</v>
      </c>
      <c r="AV154" s="30" t="n">
        <f aca="false">SUMIF($C$2:$F$2,EOMONTH(AV$2,-1)+1,$C154:$F154)*VLOOKUP(AV$2,Valores!$H$2:$P$154,8,0)</f>
        <v>0</v>
      </c>
      <c r="AW154" s="30" t="n">
        <f aca="false">SUMIF($C$2:$F$2,EOMONTH(AW$2,-1)+1,$C154:$F154)*VLOOKUP(AW$2,Valores!$H$2:$P$154,8,0)</f>
        <v>0</v>
      </c>
      <c r="AX154" s="30" t="n">
        <f aca="false">SUMIF($C$2:$F$2,EOMONTH(AX$2,-1)+1,$C154:$F154)*VLOOKUP(AX$2,Valores!$H$2:$P$154,8,0)</f>
        <v>0</v>
      </c>
      <c r="AY154" s="30" t="n">
        <f aca="false">SUMIF($C$2:$F$2,EOMONTH(AY$2,-1)+1,$C154:$F154)*VLOOKUP(AY$2,Valores!$H$2:$P$154,8,0)</f>
        <v>0</v>
      </c>
      <c r="AZ154" s="30" t="n">
        <f aca="false">SUMIF($C$2:$F$2,EOMONTH(AZ$2,-1)+1,$C154:$F154)*VLOOKUP(AZ$2,Valores!$H$2:$P$154,8,0)</f>
        <v>0</v>
      </c>
      <c r="BA154" s="30" t="n">
        <f aca="false">SUMIF($C$2:$F$2,EOMONTH(BA$2,-1)+1,$C154:$F154)*VLOOKUP(BA$2,Valores!$H$2:$P$154,8,0)</f>
        <v>0</v>
      </c>
      <c r="BB154" s="30" t="n">
        <f aca="false">SUMIF($C$2:$F$2,EOMONTH(BB$2,-1)+1,$C154:$F154)*VLOOKUP(BB$2,Valores!$H$2:$P$154,8,0)</f>
        <v>0</v>
      </c>
      <c r="BC154" s="30" t="n">
        <f aca="false">SUMIF($C$2:$F$2,EOMONTH(BC$2,-1)+1,$C154:$F154)*VLOOKUP(BC$2,Valores!$H$2:$P$154,8,0)</f>
        <v>0</v>
      </c>
      <c r="BD154" s="30" t="n">
        <f aca="false">SUMIF($C$2:$F$2,EOMONTH(BD$2,-1)+1,$C154:$F154)*VLOOKUP(BD$2,Valores!$H$2:$P$154,8,0)</f>
        <v>0</v>
      </c>
      <c r="BE154" s="30" t="n">
        <f aca="false">SUMIF($C$2:$F$2,EOMONTH(BE$2,-1)+1,$C154:$F154)*VLOOKUP(BE$2,Valores!$H$2:$P$154,8,0)</f>
        <v>0</v>
      </c>
      <c r="BF154" s="30" t="n">
        <f aca="false">SUMIF($C$2:$F$2,EOMONTH(BF$2,-1)+1,$C154:$F154)*VLOOKUP(BF$2,Valores!$H$2:$P$154,8,0)</f>
        <v>0</v>
      </c>
      <c r="BG154" s="30" t="n">
        <f aca="false">SUMIF($C$2:$F$2,EOMONTH(BG$2,-1)+1,$C154:$F154)*VLOOKUP(BG$2,Valores!$H$2:$P$154,8,0)</f>
        <v>0</v>
      </c>
      <c r="BH154" s="30" t="n">
        <f aca="false">SUMIF($C$2:$F$2,EOMONTH(BH$2,-1)+1,$C154:$F154)*VLOOKUP(BH$2,Valores!$H$2:$P$154,8,0)</f>
        <v>0</v>
      </c>
      <c r="BI154" s="30" t="n">
        <f aca="false">SUMIF($C$2:$F$2,EOMONTH(BI$2,-1)+1,$C154:$F154)*VLOOKUP(BI$2,Valores!$H$2:$P$154,8,0)</f>
        <v>0</v>
      </c>
      <c r="BJ154" s="30" t="n">
        <f aca="false">SUMIF($C$2:$F$2,EOMONTH(BJ$2,-1)+1,$C154:$F154)*VLOOKUP(BJ$2,Valores!$H$2:$P$154,8,0)</f>
        <v>0</v>
      </c>
      <c r="BK154" s="30" t="n">
        <f aca="false">SUMIF($C$2:$F$2,EOMONTH(BK$2,-1)+1,$C154:$F154)*VLOOKUP(BK$2,Valores!$H$2:$P$154,8,0)</f>
        <v>0</v>
      </c>
      <c r="BL154" s="30" t="n">
        <f aca="false">SUMIF($C$2:$F$2,EOMONTH(BL$2,-1)+1,$C154:$F154)*VLOOKUP(BL$2,Valores!$H$2:$P$154,8,0)</f>
        <v>0</v>
      </c>
      <c r="BM154" s="30" t="n">
        <f aca="false">SUMIF($C$2:$F$2,EOMONTH(BM$2,-1)+1,$C154:$F154)*VLOOKUP(BM$2,Valores!$H$2:$P$154,8,0)</f>
        <v>0</v>
      </c>
      <c r="BN154" s="30" t="n">
        <f aca="false">SUMIF($C$2:$F$2,EOMONTH(BN$2,-1)+1,$C154:$F154)*VLOOKUP(BN$2,Valores!$H$2:$P$154,8,0)</f>
        <v>0</v>
      </c>
      <c r="BO154" s="30" t="n">
        <f aca="false">SUMIF($C$2:$F$2,EOMONTH(BO$2,-1)+1,$C154:$F154)*VLOOKUP(BO$2,Valores!$H$2:$P$154,8,0)</f>
        <v>0</v>
      </c>
      <c r="BP154" s="30" t="n">
        <f aca="false">SUMIF($C$2:$F$2,EOMONTH(BP$2,-1)+1,$C154:$F154)*VLOOKUP(BP$2,Valores!$H$2:$P$154,8,0)</f>
        <v>0</v>
      </c>
      <c r="BQ154" s="30" t="n">
        <f aca="false">SUMIF($C$2:$F$2,EOMONTH(BQ$2,-1)+1,$C154:$F154)*VLOOKUP(BQ$2,Valores!$H$2:$P$154,8,0)</f>
        <v>0</v>
      </c>
      <c r="BR154" s="30" t="n">
        <f aca="false">SUMIF($C$2:$F$2,EOMONTH(BR$2,-1)+1,$C154:$F154)*VLOOKUP(BR$2,Valores!$H$2:$P$154,8,0)</f>
        <v>0</v>
      </c>
      <c r="BS154" s="30" t="n">
        <f aca="false">SUMIF($C$2:$F$2,EOMONTH(BS$2,-1)+1,$C154:$F154)*VLOOKUP(BS$2,Valores!$H$2:$P$154,8,0)</f>
        <v>0</v>
      </c>
      <c r="BT154" s="30" t="n">
        <f aca="false">SUMIF($C$2:$F$2,EOMONTH(BT$2,-1)+1,$C154:$F154)*VLOOKUP(BT$2,Valores!$H$2:$P$154,8,0)</f>
        <v>0</v>
      </c>
      <c r="BU154" s="30" t="n">
        <f aca="false">SUMIF($C$2:$F$2,EOMONTH(BU$2,-1)+1,$C154:$F154)*VLOOKUP(BU$2,Valores!$H$2:$P$154,8,0)</f>
        <v>0</v>
      </c>
      <c r="BV154" s="30" t="n">
        <f aca="false">SUMIF($C$2:$F$2,EOMONTH(BV$2,-1)+1,$C154:$F154)*VLOOKUP(BV$2,Valores!$H$2:$P$154,8,0)</f>
        <v>0</v>
      </c>
      <c r="BW154" s="30" t="n">
        <f aca="false">SUMIF($C$2:$F$2,EOMONTH(BW$2,-1)+1,$C154:$F154)*VLOOKUP(BW$2,Valores!$H$2:$P$154,8,0)</f>
        <v>0</v>
      </c>
      <c r="BX154" s="30" t="n">
        <f aca="false">SUMIF($C$2:$F$2,EOMONTH(BX$2,-1)+1,$C154:$F154)*VLOOKUP(BX$2,Valores!$H$2:$P$154,8,0)</f>
        <v>0</v>
      </c>
      <c r="BY154" s="30" t="n">
        <f aca="false">SUMIF($C$2:$F$2,EOMONTH(BY$2,-1)+1,$C154:$F154)*VLOOKUP(BY$2,Valores!$H$2:$P$154,8,0)</f>
        <v>0</v>
      </c>
      <c r="BZ154" s="30" t="n">
        <f aca="false">SUMIF($C$2:$F$2,EOMONTH(BZ$2,-1)+1,$C154:$F154)*VLOOKUP(BZ$2,Valores!$H$2:$P$154,8,0)</f>
        <v>0</v>
      </c>
      <c r="CA154" s="30" t="n">
        <f aca="false">SUMIF($C$2:$F$2,EOMONTH(CA$2,-1)+1,$C154:$F154)*VLOOKUP(CA$2,Valores!$H$2:$P$154,8,0)</f>
        <v>0</v>
      </c>
      <c r="CB154" s="30" t="n">
        <f aca="false">SUMIF($C$2:$F$2,EOMONTH(CB$2,-1)+1,$C154:$F154)*VLOOKUP(CB$2,Valores!$H$2:$P$154,8,0)</f>
        <v>0</v>
      </c>
      <c r="CC154" s="30" t="n">
        <f aca="false">SUMIF($C$2:$F$2,EOMONTH(CC$2,-1)+1,$C154:$F154)*VLOOKUP(CC$2,Valores!$H$2:$P$154,8,0)</f>
        <v>0</v>
      </c>
      <c r="CD154" s="30" t="n">
        <f aca="false">SUMIF($C$2:$F$2,EOMONTH(CD$2,-1)+1,$C154:$F154)*VLOOKUP(CD$2,Valores!$H$2:$P$154,8,0)</f>
        <v>0</v>
      </c>
      <c r="CE154" s="30" t="n">
        <f aca="false">SUMIF($C$2:$F$2,EOMONTH(CE$2,-1)+1,$C154:$F154)*VLOOKUP(CE$2,Valores!$H$2:$P$154,8,0)</f>
        <v>0</v>
      </c>
      <c r="CF154" s="30" t="n">
        <f aca="false">SUMIF($C$2:$F$2,EOMONTH(CF$2,-1)+1,$C154:$F154)*VLOOKUP(CF$2,Valores!$H$2:$P$154,8,0)</f>
        <v>0</v>
      </c>
      <c r="CG154" s="30" t="n">
        <f aca="false">SUMIF($C$2:$F$2,EOMONTH(CG$2,-1)+1,$C154:$F154)*VLOOKUP(CG$2,Valores!$H$2:$P$154,8,0)</f>
        <v>0</v>
      </c>
      <c r="CH154" s="30" t="n">
        <f aca="false">SUMIF($C$2:$F$2,EOMONTH(CH$2,-1)+1,$C154:$F154)*VLOOKUP(CH$2,Valores!$H$2:$P$154,8,0)</f>
        <v>0</v>
      </c>
      <c r="CI154" s="30" t="n">
        <f aca="false">SUMIF($C$2:$F$2,EOMONTH(CI$2,-1)+1,$C154:$F154)*VLOOKUP(CI$2,Valores!$H$2:$P$154,8,0)</f>
        <v>0</v>
      </c>
      <c r="CJ154" s="30" t="n">
        <f aca="false">SUMIF($C$2:$F$2,EOMONTH(CJ$2,-1)+1,$C154:$F154)*VLOOKUP(CJ$2,Valores!$H$2:$P$154,8,0)</f>
        <v>0</v>
      </c>
      <c r="CK154" s="30" t="n">
        <f aca="false">SUMIF($C$2:$F$2,EOMONTH(CK$2,-1)+1,$C154:$F154)*VLOOKUP(CK$2,Valores!$H$2:$P$154,8,0)</f>
        <v>0</v>
      </c>
      <c r="CL154" s="30" t="n">
        <f aca="false">SUMIF($C$2:$F$2,EOMONTH(CL$2,-1)+1,$C154:$F154)*VLOOKUP(CL$2,Valores!$H$2:$P$154,8,0)</f>
        <v>0</v>
      </c>
      <c r="CM154" s="30" t="n">
        <f aca="false">SUMIF($C$2:$F$2,EOMONTH(CM$2,-1)+1,$C154:$F154)*VLOOKUP(CM$2,Valores!$H$2:$P$154,8,0)</f>
        <v>0</v>
      </c>
      <c r="CN154" s="30" t="n">
        <f aca="false">SUMIF($C$2:$F$2,EOMONTH(CN$2,-1)+1,$C154:$F154)*VLOOKUP(CN$2,Valores!$H$2:$P$154,8,0)</f>
        <v>0</v>
      </c>
      <c r="CO154" s="30" t="n">
        <f aca="false">SUMIF($C$2:$F$2,EOMONTH(CO$2,-1)+1,$C154:$F154)*VLOOKUP(CO$2,Valores!$H$2:$P$154,8,0)</f>
        <v>0</v>
      </c>
      <c r="CP154" s="30" t="n">
        <f aca="false">SUMIF($C$2:$F$2,EOMONTH(CP$2,-1)+1,$C154:$F154)*VLOOKUP(CP$2,Valores!$H$2:$P$154,8,0)</f>
        <v>0</v>
      </c>
      <c r="CQ154" s="30" t="n">
        <f aca="false">SUMIF($C$2:$F$2,EOMONTH(CQ$2,-1)+1,$C154:$F154)*VLOOKUP(CQ$2,Valores!$H$2:$P$154,8,0)</f>
        <v>0</v>
      </c>
      <c r="CR154" s="30" t="n">
        <f aca="false">SUMIF($C$2:$F$2,EOMONTH(CR$2,-1)+1,$C154:$F154)*VLOOKUP(CR$2,Valores!$H$2:$P$154,8,0)</f>
        <v>0</v>
      </c>
      <c r="CS154" s="30" t="n">
        <f aca="false">SUMIF($C$2:$F$2,EOMONTH(CS$2,-1)+1,$C154:$F154)*VLOOKUP(CS$2,Valores!$H$2:$P$154,8,0)</f>
        <v>0</v>
      </c>
      <c r="CT154" s="30" t="e">
        <f aca="false">SUMIF($C$2:$F$2,EOMONTH(CT$2,-1)+1,$C154:$F154)*VLOOKUP(CT$2,Valores!$H$2:$P$154,8,0)</f>
        <v>#VALUE!</v>
      </c>
      <c r="CU154" s="30" t="e">
        <f aca="false">SUMIF($C$2:$F$2,EOMONTH(CU$2,-1)+1,$C154:$F154)*VLOOKUP(CU$2,Valores!$H$2:$P$154,8,0)</f>
        <v>#VALUE!</v>
      </c>
      <c r="CV154" s="30" t="e">
        <f aca="false">SUMIF($C$2:$F$2,EOMONTH(CV$2,-1)+1,$C154:$F154)*VLOOKUP(CV$2,Valores!$H$2:$P$154,8,0)</f>
        <v>#VALUE!</v>
      </c>
      <c r="CW154" s="30" t="e">
        <f aca="false">SUMIF($C$2:$F$2,EOMONTH(CW$2,-1)+1,$C154:$F154)*VLOOKUP(CW$2,Valores!$H$2:$P$154,8,0)</f>
        <v>#VALUE!</v>
      </c>
      <c r="CX154" s="30" t="e">
        <f aca="false">SUMIF($C$2:$F$2,EOMONTH(CX$2,-1)+1,$C154:$F154)*VLOOKUP(CX$2,Valores!$H$2:$P$154,8,0)</f>
        <v>#VALUE!</v>
      </c>
      <c r="CY154" s="30" t="e">
        <f aca="false">SUMIF($C$2:$F$2,EOMONTH(CY$2,-1)+1,$C154:$F154)*VLOOKUP(CY$2,Valores!$H$2:$P$154,8,0)</f>
        <v>#VALUE!</v>
      </c>
      <c r="CZ154" s="30" t="e">
        <f aca="false">SUMIF($C$2:$F$2,EOMONTH(CZ$2,-1)+1,$C154:$F154)*VLOOKUP(CZ$2,Valores!$H$2:$P$154,8,0)</f>
        <v>#VALUE!</v>
      </c>
      <c r="DA154" s="30" t="e">
        <f aca="false">SUMIF($C$2:$F$2,EOMONTH(DA$2,-1)+1,$C154:$F154)*VLOOKUP(DA$2,Valores!$H$2:$P$154,8,0)</f>
        <v>#VALUE!</v>
      </c>
      <c r="DB154" s="30" t="e">
        <f aca="false">SUMIF($C$2:$F$2,EOMONTH(DB$2,-1)+1,$C154:$F154)*VLOOKUP(DB$2,Valores!$H$2:$P$154,8,0)</f>
        <v>#VALUE!</v>
      </c>
      <c r="DC154" s="30" t="e">
        <f aca="false">SUMIF($C$2:$F$2,EOMONTH(DC$2,-1)+1,$C154:$F154)*VLOOKUP(DC$2,Valores!$H$2:$P$154,8,0)</f>
        <v>#VALUE!</v>
      </c>
      <c r="DD154" s="30" t="e">
        <f aca="false">SUMIF($C$2:$F$2,EOMONTH(DD$2,-1)+1,$C154:$F154)*VLOOKUP(DD$2,Valores!$H$2:$P$154,8,0)</f>
        <v>#VALUE!</v>
      </c>
      <c r="DE154" s="30" t="e">
        <f aca="false">SUMIF($C$2:$F$2,EOMONTH(DE$2,-1)+1,$C154:$F154)*VLOOKUP(DE$2,Valores!$H$2:$P$154,8,0)</f>
        <v>#VALUE!</v>
      </c>
      <c r="DF154" s="30" t="e">
        <f aca="false">SUMIF($C$2:$F$2,EOMONTH(DF$2,-1)+1,$C154:$F154)*VLOOKUP(DF$2,Valores!$H$2:$P$154,8,0)</f>
        <v>#VALUE!</v>
      </c>
      <c r="DG154" s="30" t="e">
        <f aca="false">SUMIF($C$2:$F$2,EOMONTH(DG$2,-1)+1,$C154:$F154)*VLOOKUP(DG$2,Valores!$H$2:$P$154,8,0)</f>
        <v>#VALUE!</v>
      </c>
      <c r="DH154" s="30" t="e">
        <f aca="false">SUMIF($C$2:$F$2,EOMONTH(DH$2,-1)+1,$C154:$F154)*VLOOKUP(DH$2,Valores!$H$2:$P$154,8,0)</f>
        <v>#VALUE!</v>
      </c>
      <c r="DI154" s="30" t="e">
        <f aca="false">SUMIF($C$2:$F$2,EOMONTH(DI$2,-1)+1,$C154:$F154)*VLOOKUP(DI$2,Valores!$H$2:$P$154,8,0)</f>
        <v>#VALUE!</v>
      </c>
      <c r="DJ154" s="30" t="e">
        <f aca="false">SUMIF($C$2:$F$2,EOMONTH(DJ$2,-1)+1,$C154:$F154)*VLOOKUP(DJ$2,Valores!$H$2:$P$154,8,0)</f>
        <v>#VALUE!</v>
      </c>
      <c r="DK154" s="30" t="e">
        <f aca="false">SUMIF($C$2:$F$2,EOMONTH(DK$2,-1)+1,$C154:$F154)*VLOOKUP(DK$2,Valores!$H$2:$P$154,8,0)</f>
        <v>#VALUE!</v>
      </c>
      <c r="DL154" s="30" t="e">
        <f aca="false">SUMIF($C$2:$F$2,EOMONTH(DL$2,-1)+1,$C154:$F154)*VLOOKUP(DL$2,Valores!$H$2:$P$154,8,0)</f>
        <v>#VALUE!</v>
      </c>
      <c r="DM154" s="30" t="e">
        <f aca="false">SUMIF($C$2:$F$2,EOMONTH(DM$2,-1)+1,$C154:$F154)*VLOOKUP(DM$2,Valores!$H$2:$P$154,8,0)</f>
        <v>#VALUE!</v>
      </c>
      <c r="DN154" s="30" t="e">
        <f aca="false">SUMIF($C$2:$F$2,EOMONTH(DN$2,-1)+1,$C154:$F154)*VLOOKUP(DN$2,Valores!$H$2:$P$154,8,0)</f>
        <v>#VALUE!</v>
      </c>
      <c r="DO154" s="30" t="e">
        <f aca="false">SUMIF($C$2:$F$2,EOMONTH(DO$2,-1)+1,$C154:$F154)*VLOOKUP(DO$2,Valores!$H$2:$P$154,8,0)</f>
        <v>#VALUE!</v>
      </c>
      <c r="DP154" s="30" t="e">
        <f aca="false">SUMIF($C$2:$F$2,EOMONTH(DP$2,-1)+1,$C154:$F154)*VLOOKUP(DP$2,Valores!$H$2:$P$154,8,0)</f>
        <v>#VALUE!</v>
      </c>
      <c r="DQ154" s="30" t="e">
        <f aca="false">SUMIF($C$2:$F$2,EOMONTH(DQ$2,-1)+1,$C154:$F154)*VLOOKUP(DQ$2,Valores!$H$2:$P$154,8,0)</f>
        <v>#VALUE!</v>
      </c>
      <c r="DR154" s="30" t="e">
        <f aca="false">SUMIF($C$2:$F$2,EOMONTH(DR$2,-1)+1,$C154:$F154)*VLOOKUP(DR$2,Valores!$H$2:$P$154,8,0)</f>
        <v>#VALUE!</v>
      </c>
      <c r="DS154" s="30" t="e">
        <f aca="false">SUMIF($C$2:$F$2,EOMONTH(DS$2,-1)+1,$C154:$F154)*VLOOKUP(DS$2,Valores!$H$2:$P$154,8,0)</f>
        <v>#VALUE!</v>
      </c>
      <c r="DT154" s="30" t="e">
        <f aca="false">SUMIF($C$2:$F$2,EOMONTH(DT$2,-1)+1,$C154:$F154)*VLOOKUP(DT$2,Valores!$H$2:$P$154,8,0)</f>
        <v>#VALUE!</v>
      </c>
      <c r="DU154" s="30" t="e">
        <f aca="false">SUMIF($C$2:$F$2,EOMONTH(DU$2,-1)+1,$C154:$F154)*VLOOKUP(DU$2,Valores!$H$2:$P$154,8,0)</f>
        <v>#VALUE!</v>
      </c>
      <c r="DV154" s="30" t="e">
        <f aca="false">SUMIF($C$2:$F$2,EOMONTH(DV$2,-1)+1,$C154:$F154)*VLOOKUP(DV$2,Valores!$H$2:$P$154,8,0)</f>
        <v>#VALUE!</v>
      </c>
      <c r="DW154" s="30" t="e">
        <f aca="false">SUMIF($C$2:$F$2,EOMONTH(DW$2,-1)+1,$C154:$F154)*VLOOKUP(DW$2,Valores!$H$2:$P$154,8,0)</f>
        <v>#VALUE!</v>
      </c>
      <c r="DX154" s="30" t="e">
        <f aca="false">SUMIF($C$2:$F$2,EOMONTH(DX$2,-1)+1,$C154:$F154)*VLOOKUP(DX$2,Valores!$H$2:$P$154,8,0)</f>
        <v>#VALUE!</v>
      </c>
    </row>
    <row r="155" customFormat="false" ht="13.8" hidden="false" customHeight="false" outlineLevel="0" collapsed="false">
      <c r="A155" s="31"/>
      <c r="B155" s="31"/>
      <c r="C155" s="31"/>
      <c r="D155" s="31"/>
      <c r="E155" s="31"/>
      <c r="F155" s="31"/>
      <c r="G155" s="27" t="n">
        <f aca="false">SUMIF($C$2:$F$2,EOMONTH(G$2,-1)+1,$C155:$F155)*VLOOKUP(G$2,Valores!$H$2:$P$154,8,0)</f>
        <v>0</v>
      </c>
      <c r="H155" s="27" t="n">
        <f aca="false">SUMIF($C$2:$F$2,EOMONTH(H$2,-1)+1,$C155:$F155)*VLOOKUP(H$2,Valores!$H$2:$P$154,8,0)</f>
        <v>0</v>
      </c>
      <c r="I155" s="27" t="n">
        <f aca="false">SUMIF($C$2:$F$2,EOMONTH(I$2,-1)+1,$C155:$F155)*VLOOKUP(I$2,Valores!$H$2:$P$154,8,0)</f>
        <v>0</v>
      </c>
      <c r="J155" s="27" t="n">
        <f aca="false">SUMIF($C$2:$F$2,EOMONTH(J$2,-1)+1,$C155:$F155)*VLOOKUP(J$2,Valores!$H$2:$P$154,8,0)</f>
        <v>0</v>
      </c>
      <c r="K155" s="27" t="n">
        <f aca="false">SUMIF($C$2:$F$2,EOMONTH(K$2,-1)+1,$C155:$F155)*VLOOKUP(K$2,Valores!$H$2:$P$154,8,0)</f>
        <v>0</v>
      </c>
      <c r="L155" s="27" t="n">
        <f aca="false">SUMIF($C$2:$F$2,EOMONTH(L$2,-1)+1,$C155:$F155)*VLOOKUP(L$2,Valores!$H$2:$P$154,8,0)</f>
        <v>0</v>
      </c>
      <c r="M155" s="27" t="n">
        <f aca="false">SUMIF($C$2:$F$2,EOMONTH(M$2,-1)+1,$C155:$F155)*VLOOKUP(M$2,Valores!$H$2:$P$154,8,0)</f>
        <v>0</v>
      </c>
      <c r="N155" s="27" t="n">
        <f aca="false">SUMIF($C$2:$F$2,EOMONTH(N$2,-1)+1,$C155:$F155)*VLOOKUP(N$2,Valores!$H$2:$P$154,8,0)</f>
        <v>0</v>
      </c>
      <c r="O155" s="27" t="n">
        <f aca="false">SUMIF($C$2:$F$2,EOMONTH(O$2,-1)+1,$C155:$F155)*VLOOKUP(O$2,Valores!$H$2:$P$154,8,0)</f>
        <v>0</v>
      </c>
      <c r="P155" s="27" t="n">
        <f aca="false">SUMIF($C$2:$F$2,EOMONTH(P$2,-1)+1,$C155:$F155)*VLOOKUP(P$2,Valores!$H$2:$P$154,8,0)</f>
        <v>0</v>
      </c>
      <c r="Q155" s="27" t="n">
        <f aca="false">SUMIF($C$2:$F$2,EOMONTH(Q$2,-1)+1,$C155:$F155)*VLOOKUP(Q$2,Valores!$H$2:$P$154,8,0)</f>
        <v>0</v>
      </c>
      <c r="R155" s="27" t="n">
        <f aca="false">SUMIF($C$2:$F$2,EOMONTH(R$2,-1)+1,$C155:$F155)*VLOOKUP(R$2,Valores!$H$2:$P$154,8,0)</f>
        <v>0</v>
      </c>
      <c r="S155" s="27" t="n">
        <f aca="false">SUMIF($C$2:$F$2,EOMONTH(S$2,-1)+1,$C155:$F155)*VLOOKUP(S$2,Valores!$H$2:$P$154,8,0)</f>
        <v>0</v>
      </c>
      <c r="T155" s="27" t="n">
        <f aca="false">SUMIF($C$2:$F$2,EOMONTH(T$2,-1)+1,$C155:$F155)*VLOOKUP(T$2,Valores!$H$2:$P$154,8,0)</f>
        <v>0</v>
      </c>
      <c r="U155" s="27" t="n">
        <f aca="false">SUMIF($C$2:$F$2,EOMONTH(U$2,-1)+1,$C155:$F155)*VLOOKUP(U$2,Valores!$H$2:$P$154,8,0)</f>
        <v>0</v>
      </c>
      <c r="V155" s="27" t="n">
        <f aca="false">SUMIF($C$2:$F$2,EOMONTH(V$2,-1)+1,$C155:$F155)*VLOOKUP(V$2,Valores!$H$2:$P$154,8,0)</f>
        <v>0</v>
      </c>
      <c r="W155" s="27" t="n">
        <f aca="false">SUMIF($C$2:$F$2,EOMONTH(W$2,-1)+1,$C155:$F155)*VLOOKUP(W$2,Valores!$H$2:$P$154,8,0)</f>
        <v>0</v>
      </c>
      <c r="X155" s="27" t="n">
        <f aca="false">SUMIF($C$2:$F$2,EOMONTH(X$2,-1)+1,$C155:$F155)*VLOOKUP(X$2,Valores!$H$2:$P$154,8,0)</f>
        <v>0</v>
      </c>
      <c r="Y155" s="27" t="n">
        <f aca="false">SUMIF($C$2:$F$2,EOMONTH(Y$2,-1)+1,$C155:$F155)*VLOOKUP(Y$2,Valores!$H$2:$P$154,8,0)</f>
        <v>0</v>
      </c>
      <c r="Z155" s="27" t="n">
        <f aca="false">SUMIF($C$2:$F$2,EOMONTH(Z$2,-1)+1,$C155:$F155)*VLOOKUP(Z$2,Valores!$H$2:$P$154,8,0)</f>
        <v>0</v>
      </c>
      <c r="AA155" s="27" t="n">
        <f aca="false">SUMIF($C$2:$F$2,EOMONTH(AA$2,-1)+1,$C155:$F155)*VLOOKUP(AA$2,Valores!$H$2:$P$154,8,0)</f>
        <v>0</v>
      </c>
      <c r="AB155" s="27" t="n">
        <f aca="false">SUMIF($C$2:$F$2,EOMONTH(AB$2,-1)+1,$C155:$F155)*VLOOKUP(AB$2,Valores!$H$2:$P$154,8,0)</f>
        <v>0</v>
      </c>
      <c r="AC155" s="27" t="n">
        <f aca="false">SUMIF($C$2:$F$2,EOMONTH(AC$2,-1)+1,$C155:$F155)*VLOOKUP(AC$2,Valores!$H$2:$P$154,8,0)</f>
        <v>0</v>
      </c>
      <c r="AD155" s="27" t="n">
        <f aca="false">SUMIF($C$2:$F$2,EOMONTH(AD$2,-1)+1,$C155:$F155)*VLOOKUP(AD$2,Valores!$H$2:$P$154,8,0)</f>
        <v>0</v>
      </c>
      <c r="AE155" s="27" t="n">
        <f aca="false">SUMIF($C$2:$F$2,EOMONTH(AE$2,-1)+1,$C155:$F155)*VLOOKUP(AE$2,Valores!$H$2:$P$154,8,0)</f>
        <v>0</v>
      </c>
      <c r="AF155" s="27" t="n">
        <f aca="false">SUMIF($C$2:$F$2,EOMONTH(AF$2,-1)+1,$C155:$F155)*VLOOKUP(AF$2,Valores!$H$2:$P$154,8,0)</f>
        <v>0</v>
      </c>
      <c r="AG155" s="27" t="n">
        <f aca="false">SUMIF($C$2:$F$2,EOMONTH(AG$2,-1)+1,$C155:$F155)*VLOOKUP(AG$2,Valores!$H$2:$P$154,8,0)</f>
        <v>0</v>
      </c>
      <c r="AH155" s="27" t="n">
        <f aca="false">SUMIF($C$2:$F$2,EOMONTH(AH$2,-1)+1,$C155:$F155)*VLOOKUP(AH$2,Valores!$H$2:$P$154,8,0)</f>
        <v>0</v>
      </c>
      <c r="AI155" s="27" t="n">
        <f aca="false">SUMIF($C$2:$F$2,EOMONTH(AI$2,-1)+1,$C155:$F155)*VLOOKUP(AI$2,Valores!$H$2:$P$154,8,0)</f>
        <v>0</v>
      </c>
      <c r="AJ155" s="27" t="n">
        <f aca="false">SUMIF($C$2:$F$2,EOMONTH(AJ$2,-1)+1,$C155:$F155)*VLOOKUP(AJ$2,Valores!$H$2:$P$154,8,0)</f>
        <v>0</v>
      </c>
      <c r="AK155" s="27" t="n">
        <f aca="false">SUMIF($C$2:$F$2,EOMONTH(AK$2,-1)+1,$C155:$F155)*VLOOKUP(AK$2,Valores!$H$2:$P$154,8,0)</f>
        <v>0</v>
      </c>
      <c r="AL155" s="27" t="n">
        <f aca="false">SUMIF($C$2:$F$2,EOMONTH(AL$2,-1)+1,$C155:$F155)*VLOOKUP(AL$2,Valores!$H$2:$P$154,8,0)</f>
        <v>0</v>
      </c>
      <c r="AM155" s="27" t="n">
        <f aca="false">SUMIF($C$2:$F$2,EOMONTH(AM$2,-1)+1,$C155:$F155)*VLOOKUP(AM$2,Valores!$H$2:$P$154,8,0)</f>
        <v>0</v>
      </c>
      <c r="AN155" s="27" t="n">
        <f aca="false">SUMIF($C$2:$F$2,EOMONTH(AN$2,-1)+1,$C155:$F155)*VLOOKUP(AN$2,Valores!$H$2:$P$154,8,0)</f>
        <v>0</v>
      </c>
      <c r="AO155" s="27" t="n">
        <f aca="false">SUMIF($C$2:$F$2,EOMONTH(AO$2,-1)+1,$C155:$F155)*VLOOKUP(AO$2,Valores!$H$2:$P$154,8,0)</f>
        <v>0</v>
      </c>
      <c r="AP155" s="27" t="n">
        <f aca="false">SUMIF($C$2:$F$2,EOMONTH(AP$2,-1)+1,$C155:$F155)*VLOOKUP(AP$2,Valores!$H$2:$P$154,8,0)</f>
        <v>0</v>
      </c>
      <c r="AQ155" s="27" t="n">
        <f aca="false">SUMIF($C$2:$F$2,EOMONTH(AQ$2,-1)+1,$C155:$F155)*VLOOKUP(AQ$2,Valores!$H$2:$P$154,8,0)</f>
        <v>0</v>
      </c>
      <c r="AR155" s="27" t="n">
        <f aca="false">SUMIF($C$2:$F$2,EOMONTH(AR$2,-1)+1,$C155:$F155)*VLOOKUP(AR$2,Valores!$H$2:$P$154,8,0)</f>
        <v>0</v>
      </c>
      <c r="AS155" s="27" t="n">
        <f aca="false">SUMIF($C$2:$F$2,EOMONTH(AS$2,-1)+1,$C155:$F155)*VLOOKUP(AS$2,Valores!$H$2:$P$154,8,0)</f>
        <v>0</v>
      </c>
      <c r="AT155" s="27" t="n">
        <f aca="false">SUMIF($C$2:$F$2,EOMONTH(AT$2,-1)+1,$C155:$F155)*VLOOKUP(AT$2,Valores!$H$2:$P$154,8,0)</f>
        <v>0</v>
      </c>
      <c r="AU155" s="27" t="n">
        <f aca="false">SUMIF($C$2:$F$2,EOMONTH(AU$2,-1)+1,$C155:$F155)*VLOOKUP(AU$2,Valores!$H$2:$P$154,8,0)</f>
        <v>0</v>
      </c>
      <c r="AV155" s="27" t="n">
        <f aca="false">SUMIF($C$2:$F$2,EOMONTH(AV$2,-1)+1,$C155:$F155)*VLOOKUP(AV$2,Valores!$H$2:$P$154,8,0)</f>
        <v>0</v>
      </c>
      <c r="AW155" s="27" t="n">
        <f aca="false">SUMIF($C$2:$F$2,EOMONTH(AW$2,-1)+1,$C155:$F155)*VLOOKUP(AW$2,Valores!$H$2:$P$154,8,0)</f>
        <v>0</v>
      </c>
      <c r="AX155" s="27" t="n">
        <f aca="false">SUMIF($C$2:$F$2,EOMONTH(AX$2,-1)+1,$C155:$F155)*VLOOKUP(AX$2,Valores!$H$2:$P$154,8,0)</f>
        <v>0</v>
      </c>
      <c r="AY155" s="27" t="n">
        <f aca="false">SUMIF($C$2:$F$2,EOMONTH(AY$2,-1)+1,$C155:$F155)*VLOOKUP(AY$2,Valores!$H$2:$P$154,8,0)</f>
        <v>0</v>
      </c>
      <c r="AZ155" s="27" t="n">
        <f aca="false">SUMIF($C$2:$F$2,EOMONTH(AZ$2,-1)+1,$C155:$F155)*VLOOKUP(AZ$2,Valores!$H$2:$P$154,8,0)</f>
        <v>0</v>
      </c>
      <c r="BA155" s="27" t="n">
        <f aca="false">SUMIF($C$2:$F$2,EOMONTH(BA$2,-1)+1,$C155:$F155)*VLOOKUP(BA$2,Valores!$H$2:$P$154,8,0)</f>
        <v>0</v>
      </c>
      <c r="BB155" s="27" t="n">
        <f aca="false">SUMIF($C$2:$F$2,EOMONTH(BB$2,-1)+1,$C155:$F155)*VLOOKUP(BB$2,Valores!$H$2:$P$154,8,0)</f>
        <v>0</v>
      </c>
      <c r="BC155" s="27" t="n">
        <f aca="false">SUMIF($C$2:$F$2,EOMONTH(BC$2,-1)+1,$C155:$F155)*VLOOKUP(BC$2,Valores!$H$2:$P$154,8,0)</f>
        <v>0</v>
      </c>
      <c r="BD155" s="27" t="n">
        <f aca="false">SUMIF($C$2:$F$2,EOMONTH(BD$2,-1)+1,$C155:$F155)*VLOOKUP(BD$2,Valores!$H$2:$P$154,8,0)</f>
        <v>0</v>
      </c>
      <c r="BE155" s="27" t="n">
        <f aca="false">SUMIF($C$2:$F$2,EOMONTH(BE$2,-1)+1,$C155:$F155)*VLOOKUP(BE$2,Valores!$H$2:$P$154,8,0)</f>
        <v>0</v>
      </c>
      <c r="BF155" s="27" t="n">
        <f aca="false">SUMIF($C$2:$F$2,EOMONTH(BF$2,-1)+1,$C155:$F155)*VLOOKUP(BF$2,Valores!$H$2:$P$154,8,0)</f>
        <v>0</v>
      </c>
      <c r="BG155" s="27" t="n">
        <f aca="false">SUMIF($C$2:$F$2,EOMONTH(BG$2,-1)+1,$C155:$F155)*VLOOKUP(BG$2,Valores!$H$2:$P$154,8,0)</f>
        <v>0</v>
      </c>
      <c r="BH155" s="27" t="n">
        <f aca="false">SUMIF($C$2:$F$2,EOMONTH(BH$2,-1)+1,$C155:$F155)*VLOOKUP(BH$2,Valores!$H$2:$P$154,8,0)</f>
        <v>0</v>
      </c>
      <c r="BI155" s="27" t="n">
        <f aca="false">SUMIF($C$2:$F$2,EOMONTH(BI$2,-1)+1,$C155:$F155)*VLOOKUP(BI$2,Valores!$H$2:$P$154,8,0)</f>
        <v>0</v>
      </c>
      <c r="BJ155" s="27" t="n">
        <f aca="false">SUMIF($C$2:$F$2,EOMONTH(BJ$2,-1)+1,$C155:$F155)*VLOOKUP(BJ$2,Valores!$H$2:$P$154,8,0)</f>
        <v>0</v>
      </c>
      <c r="BK155" s="27" t="n">
        <f aca="false">SUMIF($C$2:$F$2,EOMONTH(BK$2,-1)+1,$C155:$F155)*VLOOKUP(BK$2,Valores!$H$2:$P$154,8,0)</f>
        <v>0</v>
      </c>
      <c r="BL155" s="27" t="n">
        <f aca="false">SUMIF($C$2:$F$2,EOMONTH(BL$2,-1)+1,$C155:$F155)*VLOOKUP(BL$2,Valores!$H$2:$P$154,8,0)</f>
        <v>0</v>
      </c>
      <c r="BM155" s="27" t="n">
        <f aca="false">SUMIF($C$2:$F$2,EOMONTH(BM$2,-1)+1,$C155:$F155)*VLOOKUP(BM$2,Valores!$H$2:$P$154,8,0)</f>
        <v>0</v>
      </c>
      <c r="BN155" s="27" t="n">
        <f aca="false">SUMIF($C$2:$F$2,EOMONTH(BN$2,-1)+1,$C155:$F155)*VLOOKUP(BN$2,Valores!$H$2:$P$154,8,0)</f>
        <v>0</v>
      </c>
      <c r="BO155" s="27" t="n">
        <f aca="false">SUMIF($C$2:$F$2,EOMONTH(BO$2,-1)+1,$C155:$F155)*VLOOKUP(BO$2,Valores!$H$2:$P$154,8,0)</f>
        <v>0</v>
      </c>
      <c r="BP155" s="27" t="n">
        <f aca="false">SUMIF($C$2:$F$2,EOMONTH(BP$2,-1)+1,$C155:$F155)*VLOOKUP(BP$2,Valores!$H$2:$P$154,8,0)</f>
        <v>0</v>
      </c>
      <c r="BQ155" s="27" t="n">
        <f aca="false">SUMIF($C$2:$F$2,EOMONTH(BQ$2,-1)+1,$C155:$F155)*VLOOKUP(BQ$2,Valores!$H$2:$P$154,8,0)</f>
        <v>0</v>
      </c>
      <c r="BR155" s="27" t="n">
        <f aca="false">SUMIF($C$2:$F$2,EOMONTH(BR$2,-1)+1,$C155:$F155)*VLOOKUP(BR$2,Valores!$H$2:$P$154,8,0)</f>
        <v>0</v>
      </c>
      <c r="BS155" s="27" t="n">
        <f aca="false">SUMIF($C$2:$F$2,EOMONTH(BS$2,-1)+1,$C155:$F155)*VLOOKUP(BS$2,Valores!$H$2:$P$154,8,0)</f>
        <v>0</v>
      </c>
      <c r="BT155" s="27" t="n">
        <f aca="false">SUMIF($C$2:$F$2,EOMONTH(BT$2,-1)+1,$C155:$F155)*VLOOKUP(BT$2,Valores!$H$2:$P$154,8,0)</f>
        <v>0</v>
      </c>
      <c r="BU155" s="27" t="n">
        <f aca="false">SUMIF($C$2:$F$2,EOMONTH(BU$2,-1)+1,$C155:$F155)*VLOOKUP(BU$2,Valores!$H$2:$P$154,8,0)</f>
        <v>0</v>
      </c>
      <c r="BV155" s="27" t="n">
        <f aca="false">SUMIF($C$2:$F$2,EOMONTH(BV$2,-1)+1,$C155:$F155)*VLOOKUP(BV$2,Valores!$H$2:$P$154,8,0)</f>
        <v>0</v>
      </c>
      <c r="BW155" s="27" t="n">
        <f aca="false">SUMIF($C$2:$F$2,EOMONTH(BW$2,-1)+1,$C155:$F155)*VLOOKUP(BW$2,Valores!$H$2:$P$154,8,0)</f>
        <v>0</v>
      </c>
      <c r="BX155" s="27" t="n">
        <f aca="false">SUMIF($C$2:$F$2,EOMONTH(BX$2,-1)+1,$C155:$F155)*VLOOKUP(BX$2,Valores!$H$2:$P$154,8,0)</f>
        <v>0</v>
      </c>
      <c r="BY155" s="27" t="n">
        <f aca="false">SUMIF($C$2:$F$2,EOMONTH(BY$2,-1)+1,$C155:$F155)*VLOOKUP(BY$2,Valores!$H$2:$P$154,8,0)</f>
        <v>0</v>
      </c>
      <c r="BZ155" s="27" t="n">
        <f aca="false">SUMIF($C$2:$F$2,EOMONTH(BZ$2,-1)+1,$C155:$F155)*VLOOKUP(BZ$2,Valores!$H$2:$P$154,8,0)</f>
        <v>0</v>
      </c>
      <c r="CA155" s="27" t="n">
        <f aca="false">SUMIF($C$2:$F$2,EOMONTH(CA$2,-1)+1,$C155:$F155)*VLOOKUP(CA$2,Valores!$H$2:$P$154,8,0)</f>
        <v>0</v>
      </c>
      <c r="CB155" s="27" t="n">
        <f aca="false">SUMIF($C$2:$F$2,EOMONTH(CB$2,-1)+1,$C155:$F155)*VLOOKUP(CB$2,Valores!$H$2:$P$154,8,0)</f>
        <v>0</v>
      </c>
      <c r="CC155" s="27" t="n">
        <f aca="false">SUMIF($C$2:$F$2,EOMONTH(CC$2,-1)+1,$C155:$F155)*VLOOKUP(CC$2,Valores!$H$2:$P$154,8,0)</f>
        <v>0</v>
      </c>
      <c r="CD155" s="27" t="n">
        <f aca="false">SUMIF($C$2:$F$2,EOMONTH(CD$2,-1)+1,$C155:$F155)*VLOOKUP(CD$2,Valores!$H$2:$P$154,8,0)</f>
        <v>0</v>
      </c>
      <c r="CE155" s="27" t="n">
        <f aca="false">SUMIF($C$2:$F$2,EOMONTH(CE$2,-1)+1,$C155:$F155)*VLOOKUP(CE$2,Valores!$H$2:$P$154,8,0)</f>
        <v>0</v>
      </c>
      <c r="CF155" s="27" t="n">
        <f aca="false">SUMIF($C$2:$F$2,EOMONTH(CF$2,-1)+1,$C155:$F155)*VLOOKUP(CF$2,Valores!$H$2:$P$154,8,0)</f>
        <v>0</v>
      </c>
      <c r="CG155" s="27" t="n">
        <f aca="false">SUMIF($C$2:$F$2,EOMONTH(CG$2,-1)+1,$C155:$F155)*VLOOKUP(CG$2,Valores!$H$2:$P$154,8,0)</f>
        <v>0</v>
      </c>
      <c r="CH155" s="27" t="n">
        <f aca="false">SUMIF($C$2:$F$2,EOMONTH(CH$2,-1)+1,$C155:$F155)*VLOOKUP(CH$2,Valores!$H$2:$P$154,8,0)</f>
        <v>0</v>
      </c>
      <c r="CI155" s="27" t="n">
        <f aca="false">SUMIF($C$2:$F$2,EOMONTH(CI$2,-1)+1,$C155:$F155)*VLOOKUP(CI$2,Valores!$H$2:$P$154,8,0)</f>
        <v>0</v>
      </c>
      <c r="CJ155" s="27" t="n">
        <f aca="false">SUMIF($C$2:$F$2,EOMONTH(CJ$2,-1)+1,$C155:$F155)*VLOOKUP(CJ$2,Valores!$H$2:$P$154,8,0)</f>
        <v>0</v>
      </c>
      <c r="CK155" s="27" t="n">
        <f aca="false">SUMIF($C$2:$F$2,EOMONTH(CK$2,-1)+1,$C155:$F155)*VLOOKUP(CK$2,Valores!$H$2:$P$154,8,0)</f>
        <v>0</v>
      </c>
      <c r="CL155" s="27" t="n">
        <f aca="false">SUMIF($C$2:$F$2,EOMONTH(CL$2,-1)+1,$C155:$F155)*VLOOKUP(CL$2,Valores!$H$2:$P$154,8,0)</f>
        <v>0</v>
      </c>
      <c r="CM155" s="27" t="n">
        <f aca="false">SUMIF($C$2:$F$2,EOMONTH(CM$2,-1)+1,$C155:$F155)*VLOOKUP(CM$2,Valores!$H$2:$P$154,8,0)</f>
        <v>0</v>
      </c>
      <c r="CN155" s="27" t="n">
        <f aca="false">SUMIF($C$2:$F$2,EOMONTH(CN$2,-1)+1,$C155:$F155)*VLOOKUP(CN$2,Valores!$H$2:$P$154,8,0)</f>
        <v>0</v>
      </c>
      <c r="CO155" s="27" t="n">
        <f aca="false">SUMIF($C$2:$F$2,EOMONTH(CO$2,-1)+1,$C155:$F155)*VLOOKUP(CO$2,Valores!$H$2:$P$154,8,0)</f>
        <v>0</v>
      </c>
      <c r="CP155" s="27" t="n">
        <f aca="false">SUMIF($C$2:$F$2,EOMONTH(CP$2,-1)+1,$C155:$F155)*VLOOKUP(CP$2,Valores!$H$2:$P$154,8,0)</f>
        <v>0</v>
      </c>
      <c r="CQ155" s="27" t="n">
        <f aca="false">SUMIF($C$2:$F$2,EOMONTH(CQ$2,-1)+1,$C155:$F155)*VLOOKUP(CQ$2,Valores!$H$2:$P$154,8,0)</f>
        <v>0</v>
      </c>
      <c r="CR155" s="27" t="n">
        <f aca="false">SUMIF($C$2:$F$2,EOMONTH(CR$2,-1)+1,$C155:$F155)*VLOOKUP(CR$2,Valores!$H$2:$P$154,8,0)</f>
        <v>0</v>
      </c>
      <c r="CS155" s="27" t="n">
        <f aca="false">SUMIF($C$2:$F$2,EOMONTH(CS$2,-1)+1,$C155:$F155)*VLOOKUP(CS$2,Valores!$H$2:$P$154,8,0)</f>
        <v>0</v>
      </c>
      <c r="CT155" s="27" t="e">
        <f aca="false">SUMIF($C$2:$F$2,EOMONTH(CT$2,-1)+1,$C155:$F155)*VLOOKUP(CT$2,Valores!$H$2:$P$154,8,0)</f>
        <v>#VALUE!</v>
      </c>
      <c r="CU155" s="27" t="e">
        <f aca="false">SUMIF($C$2:$F$2,EOMONTH(CU$2,-1)+1,$C155:$F155)*VLOOKUP(CU$2,Valores!$H$2:$P$154,8,0)</f>
        <v>#VALUE!</v>
      </c>
      <c r="CV155" s="27" t="e">
        <f aca="false">SUMIF($C$2:$F$2,EOMONTH(CV$2,-1)+1,$C155:$F155)*VLOOKUP(CV$2,Valores!$H$2:$P$154,8,0)</f>
        <v>#VALUE!</v>
      </c>
      <c r="CW155" s="27" t="e">
        <f aca="false">SUMIF($C$2:$F$2,EOMONTH(CW$2,-1)+1,$C155:$F155)*VLOOKUP(CW$2,Valores!$H$2:$P$154,8,0)</f>
        <v>#VALUE!</v>
      </c>
      <c r="CX155" s="27" t="e">
        <f aca="false">SUMIF($C$2:$F$2,EOMONTH(CX$2,-1)+1,$C155:$F155)*VLOOKUP(CX$2,Valores!$H$2:$P$154,8,0)</f>
        <v>#VALUE!</v>
      </c>
      <c r="CY155" s="27" t="e">
        <f aca="false">SUMIF($C$2:$F$2,EOMONTH(CY$2,-1)+1,$C155:$F155)*VLOOKUP(CY$2,Valores!$H$2:$P$154,8,0)</f>
        <v>#VALUE!</v>
      </c>
      <c r="CZ155" s="27" t="e">
        <f aca="false">SUMIF($C$2:$F$2,EOMONTH(CZ$2,-1)+1,$C155:$F155)*VLOOKUP(CZ$2,Valores!$H$2:$P$154,8,0)</f>
        <v>#VALUE!</v>
      </c>
      <c r="DA155" s="27" t="e">
        <f aca="false">SUMIF($C$2:$F$2,EOMONTH(DA$2,-1)+1,$C155:$F155)*VLOOKUP(DA$2,Valores!$H$2:$P$154,8,0)</f>
        <v>#VALUE!</v>
      </c>
      <c r="DB155" s="27" t="e">
        <f aca="false">SUMIF($C$2:$F$2,EOMONTH(DB$2,-1)+1,$C155:$F155)*VLOOKUP(DB$2,Valores!$H$2:$P$154,8,0)</f>
        <v>#VALUE!</v>
      </c>
      <c r="DC155" s="27" t="e">
        <f aca="false">SUMIF($C$2:$F$2,EOMONTH(DC$2,-1)+1,$C155:$F155)*VLOOKUP(DC$2,Valores!$H$2:$P$154,8,0)</f>
        <v>#VALUE!</v>
      </c>
      <c r="DD155" s="27" t="e">
        <f aca="false">SUMIF($C$2:$F$2,EOMONTH(DD$2,-1)+1,$C155:$F155)*VLOOKUP(DD$2,Valores!$H$2:$P$154,8,0)</f>
        <v>#VALUE!</v>
      </c>
      <c r="DE155" s="27" t="e">
        <f aca="false">SUMIF($C$2:$F$2,EOMONTH(DE$2,-1)+1,$C155:$F155)*VLOOKUP(DE$2,Valores!$H$2:$P$154,8,0)</f>
        <v>#VALUE!</v>
      </c>
      <c r="DF155" s="27" t="e">
        <f aca="false">SUMIF($C$2:$F$2,EOMONTH(DF$2,-1)+1,$C155:$F155)*VLOOKUP(DF$2,Valores!$H$2:$P$154,8,0)</f>
        <v>#VALUE!</v>
      </c>
      <c r="DG155" s="27" t="e">
        <f aca="false">SUMIF($C$2:$F$2,EOMONTH(DG$2,-1)+1,$C155:$F155)*VLOOKUP(DG$2,Valores!$H$2:$P$154,8,0)</f>
        <v>#VALUE!</v>
      </c>
      <c r="DH155" s="27" t="e">
        <f aca="false">SUMIF($C$2:$F$2,EOMONTH(DH$2,-1)+1,$C155:$F155)*VLOOKUP(DH$2,Valores!$H$2:$P$154,8,0)</f>
        <v>#VALUE!</v>
      </c>
      <c r="DI155" s="27" t="e">
        <f aca="false">SUMIF($C$2:$F$2,EOMONTH(DI$2,-1)+1,$C155:$F155)*VLOOKUP(DI$2,Valores!$H$2:$P$154,8,0)</f>
        <v>#VALUE!</v>
      </c>
      <c r="DJ155" s="27" t="e">
        <f aca="false">SUMIF($C$2:$F$2,EOMONTH(DJ$2,-1)+1,$C155:$F155)*VLOOKUP(DJ$2,Valores!$H$2:$P$154,8,0)</f>
        <v>#VALUE!</v>
      </c>
      <c r="DK155" s="27" t="e">
        <f aca="false">SUMIF($C$2:$F$2,EOMONTH(DK$2,-1)+1,$C155:$F155)*VLOOKUP(DK$2,Valores!$H$2:$P$154,8,0)</f>
        <v>#VALUE!</v>
      </c>
      <c r="DL155" s="27" t="e">
        <f aca="false">SUMIF($C$2:$F$2,EOMONTH(DL$2,-1)+1,$C155:$F155)*VLOOKUP(DL$2,Valores!$H$2:$P$154,8,0)</f>
        <v>#VALUE!</v>
      </c>
      <c r="DM155" s="27" t="e">
        <f aca="false">SUMIF($C$2:$F$2,EOMONTH(DM$2,-1)+1,$C155:$F155)*VLOOKUP(DM$2,Valores!$H$2:$P$154,8,0)</f>
        <v>#VALUE!</v>
      </c>
      <c r="DN155" s="27" t="e">
        <f aca="false">SUMIF($C$2:$F$2,EOMONTH(DN$2,-1)+1,$C155:$F155)*VLOOKUP(DN$2,Valores!$H$2:$P$154,8,0)</f>
        <v>#VALUE!</v>
      </c>
      <c r="DO155" s="27" t="e">
        <f aca="false">SUMIF($C$2:$F$2,EOMONTH(DO$2,-1)+1,$C155:$F155)*VLOOKUP(DO$2,Valores!$H$2:$P$154,8,0)</f>
        <v>#VALUE!</v>
      </c>
      <c r="DP155" s="27" t="e">
        <f aca="false">SUMIF($C$2:$F$2,EOMONTH(DP$2,-1)+1,$C155:$F155)*VLOOKUP(DP$2,Valores!$H$2:$P$154,8,0)</f>
        <v>#VALUE!</v>
      </c>
      <c r="DQ155" s="27" t="e">
        <f aca="false">SUMIF($C$2:$F$2,EOMONTH(DQ$2,-1)+1,$C155:$F155)*VLOOKUP(DQ$2,Valores!$H$2:$P$154,8,0)</f>
        <v>#VALUE!</v>
      </c>
      <c r="DR155" s="27" t="e">
        <f aca="false">SUMIF($C$2:$F$2,EOMONTH(DR$2,-1)+1,$C155:$F155)*VLOOKUP(DR$2,Valores!$H$2:$P$154,8,0)</f>
        <v>#VALUE!</v>
      </c>
      <c r="DS155" s="27" t="e">
        <f aca="false">SUMIF($C$2:$F$2,EOMONTH(DS$2,-1)+1,$C155:$F155)*VLOOKUP(DS$2,Valores!$H$2:$P$154,8,0)</f>
        <v>#VALUE!</v>
      </c>
      <c r="DT155" s="27" t="e">
        <f aca="false">SUMIF($C$2:$F$2,EOMONTH(DT$2,-1)+1,$C155:$F155)*VLOOKUP(DT$2,Valores!$H$2:$P$154,8,0)</f>
        <v>#VALUE!</v>
      </c>
      <c r="DU155" s="27" t="e">
        <f aca="false">SUMIF($C$2:$F$2,EOMONTH(DU$2,-1)+1,$C155:$F155)*VLOOKUP(DU$2,Valores!$H$2:$P$154,8,0)</f>
        <v>#VALUE!</v>
      </c>
      <c r="DV155" s="27" t="e">
        <f aca="false">SUMIF($C$2:$F$2,EOMONTH(DV$2,-1)+1,$C155:$F155)*VLOOKUP(DV$2,Valores!$H$2:$P$154,8,0)</f>
        <v>#VALUE!</v>
      </c>
      <c r="DW155" s="27" t="e">
        <f aca="false">SUMIF($C$2:$F$2,EOMONTH(DW$2,-1)+1,$C155:$F155)*VLOOKUP(DW$2,Valores!$H$2:$P$154,8,0)</f>
        <v>#VALUE!</v>
      </c>
      <c r="DX155" s="27" t="e">
        <f aca="false">SUMIF($C$2:$F$2,EOMONTH(DX$2,-1)+1,$C155:$F155)*VLOOKUP(DX$2,Valores!$H$2:$P$154,8,0)</f>
        <v>#VALUE!</v>
      </c>
    </row>
    <row r="156" customFormat="false" ht="13.8" hidden="false" customHeight="false" outlineLevel="0" collapsed="false">
      <c r="A156" s="29"/>
      <c r="B156" s="29"/>
      <c r="C156" s="29"/>
      <c r="D156" s="29"/>
      <c r="E156" s="29"/>
      <c r="F156" s="29"/>
      <c r="G156" s="30" t="n">
        <f aca="false">SUMIF($C$2:$F$2,EOMONTH(G$2,-1)+1,$C156:$F156)*VLOOKUP(G$2,Valores!$H$2:$P$154,8,0)</f>
        <v>0</v>
      </c>
      <c r="H156" s="30" t="n">
        <f aca="false">SUMIF($C$2:$F$2,EOMONTH(H$2,-1)+1,$C156:$F156)*VLOOKUP(H$2,Valores!$H$2:$P$154,8,0)</f>
        <v>0</v>
      </c>
      <c r="I156" s="30" t="n">
        <f aca="false">SUMIF($C$2:$F$2,EOMONTH(I$2,-1)+1,$C156:$F156)*VLOOKUP(I$2,Valores!$H$2:$P$154,8,0)</f>
        <v>0</v>
      </c>
      <c r="J156" s="30" t="n">
        <f aca="false">SUMIF($C$2:$F$2,EOMONTH(J$2,-1)+1,$C156:$F156)*VLOOKUP(J$2,Valores!$H$2:$P$154,8,0)</f>
        <v>0</v>
      </c>
      <c r="K156" s="30" t="n">
        <f aca="false">SUMIF($C$2:$F$2,EOMONTH(K$2,-1)+1,$C156:$F156)*VLOOKUP(K$2,Valores!$H$2:$P$154,8,0)</f>
        <v>0</v>
      </c>
      <c r="L156" s="30" t="n">
        <f aca="false">SUMIF($C$2:$F$2,EOMONTH(L$2,-1)+1,$C156:$F156)*VLOOKUP(L$2,Valores!$H$2:$P$154,8,0)</f>
        <v>0</v>
      </c>
      <c r="M156" s="30" t="n">
        <f aca="false">SUMIF($C$2:$F$2,EOMONTH(M$2,-1)+1,$C156:$F156)*VLOOKUP(M$2,Valores!$H$2:$P$154,8,0)</f>
        <v>0</v>
      </c>
      <c r="N156" s="30" t="n">
        <f aca="false">SUMIF($C$2:$F$2,EOMONTH(N$2,-1)+1,$C156:$F156)*VLOOKUP(N$2,Valores!$H$2:$P$154,8,0)</f>
        <v>0</v>
      </c>
      <c r="O156" s="30" t="n">
        <f aca="false">SUMIF($C$2:$F$2,EOMONTH(O$2,-1)+1,$C156:$F156)*VLOOKUP(O$2,Valores!$H$2:$P$154,8,0)</f>
        <v>0</v>
      </c>
      <c r="P156" s="30" t="n">
        <f aca="false">SUMIF($C$2:$F$2,EOMONTH(P$2,-1)+1,$C156:$F156)*VLOOKUP(P$2,Valores!$H$2:$P$154,8,0)</f>
        <v>0</v>
      </c>
      <c r="Q156" s="30" t="n">
        <f aca="false">SUMIF($C$2:$F$2,EOMONTH(Q$2,-1)+1,$C156:$F156)*VLOOKUP(Q$2,Valores!$H$2:$P$154,8,0)</f>
        <v>0</v>
      </c>
      <c r="R156" s="30" t="n">
        <f aca="false">SUMIF($C$2:$F$2,EOMONTH(R$2,-1)+1,$C156:$F156)*VLOOKUP(R$2,Valores!$H$2:$P$154,8,0)</f>
        <v>0</v>
      </c>
      <c r="S156" s="30" t="n">
        <f aca="false">SUMIF($C$2:$F$2,EOMONTH(S$2,-1)+1,$C156:$F156)*VLOOKUP(S$2,Valores!$H$2:$P$154,8,0)</f>
        <v>0</v>
      </c>
      <c r="T156" s="30" t="n">
        <f aca="false">SUMIF($C$2:$F$2,EOMONTH(T$2,-1)+1,$C156:$F156)*VLOOKUP(T$2,Valores!$H$2:$P$154,8,0)</f>
        <v>0</v>
      </c>
      <c r="U156" s="30" t="n">
        <f aca="false">SUMIF($C$2:$F$2,EOMONTH(U$2,-1)+1,$C156:$F156)*VLOOKUP(U$2,Valores!$H$2:$P$154,8,0)</f>
        <v>0</v>
      </c>
      <c r="V156" s="30" t="n">
        <f aca="false">SUMIF($C$2:$F$2,EOMONTH(V$2,-1)+1,$C156:$F156)*VLOOKUP(V$2,Valores!$H$2:$P$154,8,0)</f>
        <v>0</v>
      </c>
      <c r="W156" s="30" t="n">
        <f aca="false">SUMIF($C$2:$F$2,EOMONTH(W$2,-1)+1,$C156:$F156)*VLOOKUP(W$2,Valores!$H$2:$P$154,8,0)</f>
        <v>0</v>
      </c>
      <c r="X156" s="30" t="n">
        <f aca="false">SUMIF($C$2:$F$2,EOMONTH(X$2,-1)+1,$C156:$F156)*VLOOKUP(X$2,Valores!$H$2:$P$154,8,0)</f>
        <v>0</v>
      </c>
      <c r="Y156" s="30" t="n">
        <f aca="false">SUMIF($C$2:$F$2,EOMONTH(Y$2,-1)+1,$C156:$F156)*VLOOKUP(Y$2,Valores!$H$2:$P$154,8,0)</f>
        <v>0</v>
      </c>
      <c r="Z156" s="30" t="n">
        <f aca="false">SUMIF($C$2:$F$2,EOMONTH(Z$2,-1)+1,$C156:$F156)*VLOOKUP(Z$2,Valores!$H$2:$P$154,8,0)</f>
        <v>0</v>
      </c>
      <c r="AA156" s="30" t="n">
        <f aca="false">SUMIF($C$2:$F$2,EOMONTH(AA$2,-1)+1,$C156:$F156)*VLOOKUP(AA$2,Valores!$H$2:$P$154,8,0)</f>
        <v>0</v>
      </c>
      <c r="AB156" s="30" t="n">
        <f aca="false">SUMIF($C$2:$F$2,EOMONTH(AB$2,-1)+1,$C156:$F156)*VLOOKUP(AB$2,Valores!$H$2:$P$154,8,0)</f>
        <v>0</v>
      </c>
      <c r="AC156" s="30" t="n">
        <f aca="false">SUMIF($C$2:$F$2,EOMONTH(AC$2,-1)+1,$C156:$F156)*VLOOKUP(AC$2,Valores!$H$2:$P$154,8,0)</f>
        <v>0</v>
      </c>
      <c r="AD156" s="30" t="n">
        <f aca="false">SUMIF($C$2:$F$2,EOMONTH(AD$2,-1)+1,$C156:$F156)*VLOOKUP(AD$2,Valores!$H$2:$P$154,8,0)</f>
        <v>0</v>
      </c>
      <c r="AE156" s="30" t="n">
        <f aca="false">SUMIF($C$2:$F$2,EOMONTH(AE$2,-1)+1,$C156:$F156)*VLOOKUP(AE$2,Valores!$H$2:$P$154,8,0)</f>
        <v>0</v>
      </c>
      <c r="AF156" s="30" t="n">
        <f aca="false">SUMIF($C$2:$F$2,EOMONTH(AF$2,-1)+1,$C156:$F156)*VLOOKUP(AF$2,Valores!$H$2:$P$154,8,0)</f>
        <v>0</v>
      </c>
      <c r="AG156" s="30" t="n">
        <f aca="false">SUMIF($C$2:$F$2,EOMONTH(AG$2,-1)+1,$C156:$F156)*VLOOKUP(AG$2,Valores!$H$2:$P$154,8,0)</f>
        <v>0</v>
      </c>
      <c r="AH156" s="30" t="n">
        <f aca="false">SUMIF($C$2:$F$2,EOMONTH(AH$2,-1)+1,$C156:$F156)*VLOOKUP(AH$2,Valores!$H$2:$P$154,8,0)</f>
        <v>0</v>
      </c>
      <c r="AI156" s="30" t="n">
        <f aca="false">SUMIF($C$2:$F$2,EOMONTH(AI$2,-1)+1,$C156:$F156)*VLOOKUP(AI$2,Valores!$H$2:$P$154,8,0)</f>
        <v>0</v>
      </c>
      <c r="AJ156" s="30" t="n">
        <f aca="false">SUMIF($C$2:$F$2,EOMONTH(AJ$2,-1)+1,$C156:$F156)*VLOOKUP(AJ$2,Valores!$H$2:$P$154,8,0)</f>
        <v>0</v>
      </c>
      <c r="AK156" s="30" t="n">
        <f aca="false">SUMIF($C$2:$F$2,EOMONTH(AK$2,-1)+1,$C156:$F156)*VLOOKUP(AK$2,Valores!$H$2:$P$154,8,0)</f>
        <v>0</v>
      </c>
      <c r="AL156" s="30" t="n">
        <f aca="false">SUMIF($C$2:$F$2,EOMONTH(AL$2,-1)+1,$C156:$F156)*VLOOKUP(AL$2,Valores!$H$2:$P$154,8,0)</f>
        <v>0</v>
      </c>
      <c r="AM156" s="30" t="n">
        <f aca="false">SUMIF($C$2:$F$2,EOMONTH(AM$2,-1)+1,$C156:$F156)*VLOOKUP(AM$2,Valores!$H$2:$P$154,8,0)</f>
        <v>0</v>
      </c>
      <c r="AN156" s="30" t="n">
        <f aca="false">SUMIF($C$2:$F$2,EOMONTH(AN$2,-1)+1,$C156:$F156)*VLOOKUP(AN$2,Valores!$H$2:$P$154,8,0)</f>
        <v>0</v>
      </c>
      <c r="AO156" s="30" t="n">
        <f aca="false">SUMIF($C$2:$F$2,EOMONTH(AO$2,-1)+1,$C156:$F156)*VLOOKUP(AO$2,Valores!$H$2:$P$154,8,0)</f>
        <v>0</v>
      </c>
      <c r="AP156" s="30" t="n">
        <f aca="false">SUMIF($C$2:$F$2,EOMONTH(AP$2,-1)+1,$C156:$F156)*VLOOKUP(AP$2,Valores!$H$2:$P$154,8,0)</f>
        <v>0</v>
      </c>
      <c r="AQ156" s="30" t="n">
        <f aca="false">SUMIF($C$2:$F$2,EOMONTH(AQ$2,-1)+1,$C156:$F156)*VLOOKUP(AQ$2,Valores!$H$2:$P$154,8,0)</f>
        <v>0</v>
      </c>
      <c r="AR156" s="30" t="n">
        <f aca="false">SUMIF($C$2:$F$2,EOMONTH(AR$2,-1)+1,$C156:$F156)*VLOOKUP(AR$2,Valores!$H$2:$P$154,8,0)</f>
        <v>0</v>
      </c>
      <c r="AS156" s="30" t="n">
        <f aca="false">SUMIF($C$2:$F$2,EOMONTH(AS$2,-1)+1,$C156:$F156)*VLOOKUP(AS$2,Valores!$H$2:$P$154,8,0)</f>
        <v>0</v>
      </c>
      <c r="AT156" s="30" t="n">
        <f aca="false">SUMIF($C$2:$F$2,EOMONTH(AT$2,-1)+1,$C156:$F156)*VLOOKUP(AT$2,Valores!$H$2:$P$154,8,0)</f>
        <v>0</v>
      </c>
      <c r="AU156" s="30" t="n">
        <f aca="false">SUMIF($C$2:$F$2,EOMONTH(AU$2,-1)+1,$C156:$F156)*VLOOKUP(AU$2,Valores!$H$2:$P$154,8,0)</f>
        <v>0</v>
      </c>
      <c r="AV156" s="30" t="n">
        <f aca="false">SUMIF($C$2:$F$2,EOMONTH(AV$2,-1)+1,$C156:$F156)*VLOOKUP(AV$2,Valores!$H$2:$P$154,8,0)</f>
        <v>0</v>
      </c>
      <c r="AW156" s="30" t="n">
        <f aca="false">SUMIF($C$2:$F$2,EOMONTH(AW$2,-1)+1,$C156:$F156)*VLOOKUP(AW$2,Valores!$H$2:$P$154,8,0)</f>
        <v>0</v>
      </c>
      <c r="AX156" s="30" t="n">
        <f aca="false">SUMIF($C$2:$F$2,EOMONTH(AX$2,-1)+1,$C156:$F156)*VLOOKUP(AX$2,Valores!$H$2:$P$154,8,0)</f>
        <v>0</v>
      </c>
      <c r="AY156" s="30" t="n">
        <f aca="false">SUMIF($C$2:$F$2,EOMONTH(AY$2,-1)+1,$C156:$F156)*VLOOKUP(AY$2,Valores!$H$2:$P$154,8,0)</f>
        <v>0</v>
      </c>
      <c r="AZ156" s="30" t="n">
        <f aca="false">SUMIF($C$2:$F$2,EOMONTH(AZ$2,-1)+1,$C156:$F156)*VLOOKUP(AZ$2,Valores!$H$2:$P$154,8,0)</f>
        <v>0</v>
      </c>
      <c r="BA156" s="30" t="n">
        <f aca="false">SUMIF($C$2:$F$2,EOMONTH(BA$2,-1)+1,$C156:$F156)*VLOOKUP(BA$2,Valores!$H$2:$P$154,8,0)</f>
        <v>0</v>
      </c>
      <c r="BB156" s="30" t="n">
        <f aca="false">SUMIF($C$2:$F$2,EOMONTH(BB$2,-1)+1,$C156:$F156)*VLOOKUP(BB$2,Valores!$H$2:$P$154,8,0)</f>
        <v>0</v>
      </c>
      <c r="BC156" s="30" t="n">
        <f aca="false">SUMIF($C$2:$F$2,EOMONTH(BC$2,-1)+1,$C156:$F156)*VLOOKUP(BC$2,Valores!$H$2:$P$154,8,0)</f>
        <v>0</v>
      </c>
      <c r="BD156" s="30" t="n">
        <f aca="false">SUMIF($C$2:$F$2,EOMONTH(BD$2,-1)+1,$C156:$F156)*VLOOKUP(BD$2,Valores!$H$2:$P$154,8,0)</f>
        <v>0</v>
      </c>
      <c r="BE156" s="30" t="n">
        <f aca="false">SUMIF($C$2:$F$2,EOMONTH(BE$2,-1)+1,$C156:$F156)*VLOOKUP(BE$2,Valores!$H$2:$P$154,8,0)</f>
        <v>0</v>
      </c>
      <c r="BF156" s="30" t="n">
        <f aca="false">SUMIF($C$2:$F$2,EOMONTH(BF$2,-1)+1,$C156:$F156)*VLOOKUP(BF$2,Valores!$H$2:$P$154,8,0)</f>
        <v>0</v>
      </c>
      <c r="BG156" s="30" t="n">
        <f aca="false">SUMIF($C$2:$F$2,EOMONTH(BG$2,-1)+1,$C156:$F156)*VLOOKUP(BG$2,Valores!$H$2:$P$154,8,0)</f>
        <v>0</v>
      </c>
      <c r="BH156" s="30" t="n">
        <f aca="false">SUMIF($C$2:$F$2,EOMONTH(BH$2,-1)+1,$C156:$F156)*VLOOKUP(BH$2,Valores!$H$2:$P$154,8,0)</f>
        <v>0</v>
      </c>
      <c r="BI156" s="30" t="n">
        <f aca="false">SUMIF($C$2:$F$2,EOMONTH(BI$2,-1)+1,$C156:$F156)*VLOOKUP(BI$2,Valores!$H$2:$P$154,8,0)</f>
        <v>0</v>
      </c>
      <c r="BJ156" s="30" t="n">
        <f aca="false">SUMIF($C$2:$F$2,EOMONTH(BJ$2,-1)+1,$C156:$F156)*VLOOKUP(BJ$2,Valores!$H$2:$P$154,8,0)</f>
        <v>0</v>
      </c>
      <c r="BK156" s="30" t="n">
        <f aca="false">SUMIF($C$2:$F$2,EOMONTH(BK$2,-1)+1,$C156:$F156)*VLOOKUP(BK$2,Valores!$H$2:$P$154,8,0)</f>
        <v>0</v>
      </c>
      <c r="BL156" s="30" t="n">
        <f aca="false">SUMIF($C$2:$F$2,EOMONTH(BL$2,-1)+1,$C156:$F156)*VLOOKUP(BL$2,Valores!$H$2:$P$154,8,0)</f>
        <v>0</v>
      </c>
      <c r="BM156" s="30" t="n">
        <f aca="false">SUMIF($C$2:$F$2,EOMONTH(BM$2,-1)+1,$C156:$F156)*VLOOKUP(BM$2,Valores!$H$2:$P$154,8,0)</f>
        <v>0</v>
      </c>
      <c r="BN156" s="30" t="n">
        <f aca="false">SUMIF($C$2:$F$2,EOMONTH(BN$2,-1)+1,$C156:$F156)*VLOOKUP(BN$2,Valores!$H$2:$P$154,8,0)</f>
        <v>0</v>
      </c>
      <c r="BO156" s="30" t="n">
        <f aca="false">SUMIF($C$2:$F$2,EOMONTH(BO$2,-1)+1,$C156:$F156)*VLOOKUP(BO$2,Valores!$H$2:$P$154,8,0)</f>
        <v>0</v>
      </c>
      <c r="BP156" s="30" t="n">
        <f aca="false">SUMIF($C$2:$F$2,EOMONTH(BP$2,-1)+1,$C156:$F156)*VLOOKUP(BP$2,Valores!$H$2:$P$154,8,0)</f>
        <v>0</v>
      </c>
      <c r="BQ156" s="30" t="n">
        <f aca="false">SUMIF($C$2:$F$2,EOMONTH(BQ$2,-1)+1,$C156:$F156)*VLOOKUP(BQ$2,Valores!$H$2:$P$154,8,0)</f>
        <v>0</v>
      </c>
      <c r="BR156" s="30" t="n">
        <f aca="false">SUMIF($C$2:$F$2,EOMONTH(BR$2,-1)+1,$C156:$F156)*VLOOKUP(BR$2,Valores!$H$2:$P$154,8,0)</f>
        <v>0</v>
      </c>
      <c r="BS156" s="30" t="n">
        <f aca="false">SUMIF($C$2:$F$2,EOMONTH(BS$2,-1)+1,$C156:$F156)*VLOOKUP(BS$2,Valores!$H$2:$P$154,8,0)</f>
        <v>0</v>
      </c>
      <c r="BT156" s="30" t="n">
        <f aca="false">SUMIF($C$2:$F$2,EOMONTH(BT$2,-1)+1,$C156:$F156)*VLOOKUP(BT$2,Valores!$H$2:$P$154,8,0)</f>
        <v>0</v>
      </c>
      <c r="BU156" s="30" t="n">
        <f aca="false">SUMIF($C$2:$F$2,EOMONTH(BU$2,-1)+1,$C156:$F156)*VLOOKUP(BU$2,Valores!$H$2:$P$154,8,0)</f>
        <v>0</v>
      </c>
      <c r="BV156" s="30" t="n">
        <f aca="false">SUMIF($C$2:$F$2,EOMONTH(BV$2,-1)+1,$C156:$F156)*VLOOKUP(BV$2,Valores!$H$2:$P$154,8,0)</f>
        <v>0</v>
      </c>
      <c r="BW156" s="30" t="n">
        <f aca="false">SUMIF($C$2:$F$2,EOMONTH(BW$2,-1)+1,$C156:$F156)*VLOOKUP(BW$2,Valores!$H$2:$P$154,8,0)</f>
        <v>0</v>
      </c>
      <c r="BX156" s="30" t="n">
        <f aca="false">SUMIF($C$2:$F$2,EOMONTH(BX$2,-1)+1,$C156:$F156)*VLOOKUP(BX$2,Valores!$H$2:$P$154,8,0)</f>
        <v>0</v>
      </c>
      <c r="BY156" s="30" t="n">
        <f aca="false">SUMIF($C$2:$F$2,EOMONTH(BY$2,-1)+1,$C156:$F156)*VLOOKUP(BY$2,Valores!$H$2:$P$154,8,0)</f>
        <v>0</v>
      </c>
      <c r="BZ156" s="30" t="n">
        <f aca="false">SUMIF($C$2:$F$2,EOMONTH(BZ$2,-1)+1,$C156:$F156)*VLOOKUP(BZ$2,Valores!$H$2:$P$154,8,0)</f>
        <v>0</v>
      </c>
      <c r="CA156" s="30" t="n">
        <f aca="false">SUMIF($C$2:$F$2,EOMONTH(CA$2,-1)+1,$C156:$F156)*VLOOKUP(CA$2,Valores!$H$2:$P$154,8,0)</f>
        <v>0</v>
      </c>
      <c r="CB156" s="30" t="n">
        <f aca="false">SUMIF($C$2:$F$2,EOMONTH(CB$2,-1)+1,$C156:$F156)*VLOOKUP(CB$2,Valores!$H$2:$P$154,8,0)</f>
        <v>0</v>
      </c>
      <c r="CC156" s="30" t="n">
        <f aca="false">SUMIF($C$2:$F$2,EOMONTH(CC$2,-1)+1,$C156:$F156)*VLOOKUP(CC$2,Valores!$H$2:$P$154,8,0)</f>
        <v>0</v>
      </c>
      <c r="CD156" s="30" t="n">
        <f aca="false">SUMIF($C$2:$F$2,EOMONTH(CD$2,-1)+1,$C156:$F156)*VLOOKUP(CD$2,Valores!$H$2:$P$154,8,0)</f>
        <v>0</v>
      </c>
      <c r="CE156" s="30" t="n">
        <f aca="false">SUMIF($C$2:$F$2,EOMONTH(CE$2,-1)+1,$C156:$F156)*VLOOKUP(CE$2,Valores!$H$2:$P$154,8,0)</f>
        <v>0</v>
      </c>
      <c r="CF156" s="30" t="n">
        <f aca="false">SUMIF($C$2:$F$2,EOMONTH(CF$2,-1)+1,$C156:$F156)*VLOOKUP(CF$2,Valores!$H$2:$P$154,8,0)</f>
        <v>0</v>
      </c>
      <c r="CG156" s="30" t="n">
        <f aca="false">SUMIF($C$2:$F$2,EOMONTH(CG$2,-1)+1,$C156:$F156)*VLOOKUP(CG$2,Valores!$H$2:$P$154,8,0)</f>
        <v>0</v>
      </c>
      <c r="CH156" s="30" t="n">
        <f aca="false">SUMIF($C$2:$F$2,EOMONTH(CH$2,-1)+1,$C156:$F156)*VLOOKUP(CH$2,Valores!$H$2:$P$154,8,0)</f>
        <v>0</v>
      </c>
      <c r="CI156" s="30" t="n">
        <f aca="false">SUMIF($C$2:$F$2,EOMONTH(CI$2,-1)+1,$C156:$F156)*VLOOKUP(CI$2,Valores!$H$2:$P$154,8,0)</f>
        <v>0</v>
      </c>
      <c r="CJ156" s="30" t="n">
        <f aca="false">SUMIF($C$2:$F$2,EOMONTH(CJ$2,-1)+1,$C156:$F156)*VLOOKUP(CJ$2,Valores!$H$2:$P$154,8,0)</f>
        <v>0</v>
      </c>
      <c r="CK156" s="30" t="n">
        <f aca="false">SUMIF($C$2:$F$2,EOMONTH(CK$2,-1)+1,$C156:$F156)*VLOOKUP(CK$2,Valores!$H$2:$P$154,8,0)</f>
        <v>0</v>
      </c>
      <c r="CL156" s="30" t="n">
        <f aca="false">SUMIF($C$2:$F$2,EOMONTH(CL$2,-1)+1,$C156:$F156)*VLOOKUP(CL$2,Valores!$H$2:$P$154,8,0)</f>
        <v>0</v>
      </c>
      <c r="CM156" s="30" t="n">
        <f aca="false">SUMIF($C$2:$F$2,EOMONTH(CM$2,-1)+1,$C156:$F156)*VLOOKUP(CM$2,Valores!$H$2:$P$154,8,0)</f>
        <v>0</v>
      </c>
      <c r="CN156" s="30" t="n">
        <f aca="false">SUMIF($C$2:$F$2,EOMONTH(CN$2,-1)+1,$C156:$F156)*VLOOKUP(CN$2,Valores!$H$2:$P$154,8,0)</f>
        <v>0</v>
      </c>
      <c r="CO156" s="30" t="n">
        <f aca="false">SUMIF($C$2:$F$2,EOMONTH(CO$2,-1)+1,$C156:$F156)*VLOOKUP(CO$2,Valores!$H$2:$P$154,8,0)</f>
        <v>0</v>
      </c>
      <c r="CP156" s="30" t="n">
        <f aca="false">SUMIF($C$2:$F$2,EOMONTH(CP$2,-1)+1,$C156:$F156)*VLOOKUP(CP$2,Valores!$H$2:$P$154,8,0)</f>
        <v>0</v>
      </c>
      <c r="CQ156" s="30" t="n">
        <f aca="false">SUMIF($C$2:$F$2,EOMONTH(CQ$2,-1)+1,$C156:$F156)*VLOOKUP(CQ$2,Valores!$H$2:$P$154,8,0)</f>
        <v>0</v>
      </c>
      <c r="CR156" s="30" t="n">
        <f aca="false">SUMIF($C$2:$F$2,EOMONTH(CR$2,-1)+1,$C156:$F156)*VLOOKUP(CR$2,Valores!$H$2:$P$154,8,0)</f>
        <v>0</v>
      </c>
      <c r="CS156" s="30" t="n">
        <f aca="false">SUMIF($C$2:$F$2,EOMONTH(CS$2,-1)+1,$C156:$F156)*VLOOKUP(CS$2,Valores!$H$2:$P$154,8,0)</f>
        <v>0</v>
      </c>
      <c r="CT156" s="30" t="e">
        <f aca="false">SUMIF($C$2:$F$2,EOMONTH(CT$2,-1)+1,$C156:$F156)*VLOOKUP(CT$2,Valores!$H$2:$P$154,8,0)</f>
        <v>#VALUE!</v>
      </c>
      <c r="CU156" s="30" t="e">
        <f aca="false">SUMIF($C$2:$F$2,EOMONTH(CU$2,-1)+1,$C156:$F156)*VLOOKUP(CU$2,Valores!$H$2:$P$154,8,0)</f>
        <v>#VALUE!</v>
      </c>
      <c r="CV156" s="30" t="e">
        <f aca="false">SUMIF($C$2:$F$2,EOMONTH(CV$2,-1)+1,$C156:$F156)*VLOOKUP(CV$2,Valores!$H$2:$P$154,8,0)</f>
        <v>#VALUE!</v>
      </c>
      <c r="CW156" s="30" t="e">
        <f aca="false">SUMIF($C$2:$F$2,EOMONTH(CW$2,-1)+1,$C156:$F156)*VLOOKUP(CW$2,Valores!$H$2:$P$154,8,0)</f>
        <v>#VALUE!</v>
      </c>
      <c r="CX156" s="30" t="e">
        <f aca="false">SUMIF($C$2:$F$2,EOMONTH(CX$2,-1)+1,$C156:$F156)*VLOOKUP(CX$2,Valores!$H$2:$P$154,8,0)</f>
        <v>#VALUE!</v>
      </c>
      <c r="CY156" s="30" t="e">
        <f aca="false">SUMIF($C$2:$F$2,EOMONTH(CY$2,-1)+1,$C156:$F156)*VLOOKUP(CY$2,Valores!$H$2:$P$154,8,0)</f>
        <v>#VALUE!</v>
      </c>
      <c r="CZ156" s="30" t="e">
        <f aca="false">SUMIF($C$2:$F$2,EOMONTH(CZ$2,-1)+1,$C156:$F156)*VLOOKUP(CZ$2,Valores!$H$2:$P$154,8,0)</f>
        <v>#VALUE!</v>
      </c>
      <c r="DA156" s="30" t="e">
        <f aca="false">SUMIF($C$2:$F$2,EOMONTH(DA$2,-1)+1,$C156:$F156)*VLOOKUP(DA$2,Valores!$H$2:$P$154,8,0)</f>
        <v>#VALUE!</v>
      </c>
      <c r="DB156" s="30" t="e">
        <f aca="false">SUMIF($C$2:$F$2,EOMONTH(DB$2,-1)+1,$C156:$F156)*VLOOKUP(DB$2,Valores!$H$2:$P$154,8,0)</f>
        <v>#VALUE!</v>
      </c>
      <c r="DC156" s="30" t="e">
        <f aca="false">SUMIF($C$2:$F$2,EOMONTH(DC$2,-1)+1,$C156:$F156)*VLOOKUP(DC$2,Valores!$H$2:$P$154,8,0)</f>
        <v>#VALUE!</v>
      </c>
      <c r="DD156" s="30" t="e">
        <f aca="false">SUMIF($C$2:$F$2,EOMONTH(DD$2,-1)+1,$C156:$F156)*VLOOKUP(DD$2,Valores!$H$2:$P$154,8,0)</f>
        <v>#VALUE!</v>
      </c>
      <c r="DE156" s="30" t="e">
        <f aca="false">SUMIF($C$2:$F$2,EOMONTH(DE$2,-1)+1,$C156:$F156)*VLOOKUP(DE$2,Valores!$H$2:$P$154,8,0)</f>
        <v>#VALUE!</v>
      </c>
      <c r="DF156" s="30" t="e">
        <f aca="false">SUMIF($C$2:$F$2,EOMONTH(DF$2,-1)+1,$C156:$F156)*VLOOKUP(DF$2,Valores!$H$2:$P$154,8,0)</f>
        <v>#VALUE!</v>
      </c>
      <c r="DG156" s="30" t="e">
        <f aca="false">SUMIF($C$2:$F$2,EOMONTH(DG$2,-1)+1,$C156:$F156)*VLOOKUP(DG$2,Valores!$H$2:$P$154,8,0)</f>
        <v>#VALUE!</v>
      </c>
      <c r="DH156" s="30" t="e">
        <f aca="false">SUMIF($C$2:$F$2,EOMONTH(DH$2,-1)+1,$C156:$F156)*VLOOKUP(DH$2,Valores!$H$2:$P$154,8,0)</f>
        <v>#VALUE!</v>
      </c>
      <c r="DI156" s="30" t="e">
        <f aca="false">SUMIF($C$2:$F$2,EOMONTH(DI$2,-1)+1,$C156:$F156)*VLOOKUP(DI$2,Valores!$H$2:$P$154,8,0)</f>
        <v>#VALUE!</v>
      </c>
      <c r="DJ156" s="30" t="e">
        <f aca="false">SUMIF($C$2:$F$2,EOMONTH(DJ$2,-1)+1,$C156:$F156)*VLOOKUP(DJ$2,Valores!$H$2:$P$154,8,0)</f>
        <v>#VALUE!</v>
      </c>
      <c r="DK156" s="30" t="e">
        <f aca="false">SUMIF($C$2:$F$2,EOMONTH(DK$2,-1)+1,$C156:$F156)*VLOOKUP(DK$2,Valores!$H$2:$P$154,8,0)</f>
        <v>#VALUE!</v>
      </c>
      <c r="DL156" s="30" t="e">
        <f aca="false">SUMIF($C$2:$F$2,EOMONTH(DL$2,-1)+1,$C156:$F156)*VLOOKUP(DL$2,Valores!$H$2:$P$154,8,0)</f>
        <v>#VALUE!</v>
      </c>
      <c r="DM156" s="30" t="e">
        <f aca="false">SUMIF($C$2:$F$2,EOMONTH(DM$2,-1)+1,$C156:$F156)*VLOOKUP(DM$2,Valores!$H$2:$P$154,8,0)</f>
        <v>#VALUE!</v>
      </c>
      <c r="DN156" s="30" t="e">
        <f aca="false">SUMIF($C$2:$F$2,EOMONTH(DN$2,-1)+1,$C156:$F156)*VLOOKUP(DN$2,Valores!$H$2:$P$154,8,0)</f>
        <v>#VALUE!</v>
      </c>
      <c r="DO156" s="30" t="e">
        <f aca="false">SUMIF($C$2:$F$2,EOMONTH(DO$2,-1)+1,$C156:$F156)*VLOOKUP(DO$2,Valores!$H$2:$P$154,8,0)</f>
        <v>#VALUE!</v>
      </c>
      <c r="DP156" s="30" t="e">
        <f aca="false">SUMIF($C$2:$F$2,EOMONTH(DP$2,-1)+1,$C156:$F156)*VLOOKUP(DP$2,Valores!$H$2:$P$154,8,0)</f>
        <v>#VALUE!</v>
      </c>
      <c r="DQ156" s="30" t="e">
        <f aca="false">SUMIF($C$2:$F$2,EOMONTH(DQ$2,-1)+1,$C156:$F156)*VLOOKUP(DQ$2,Valores!$H$2:$P$154,8,0)</f>
        <v>#VALUE!</v>
      </c>
      <c r="DR156" s="30" t="e">
        <f aca="false">SUMIF($C$2:$F$2,EOMONTH(DR$2,-1)+1,$C156:$F156)*VLOOKUP(DR$2,Valores!$H$2:$P$154,8,0)</f>
        <v>#VALUE!</v>
      </c>
      <c r="DS156" s="30" t="e">
        <f aca="false">SUMIF($C$2:$F$2,EOMONTH(DS$2,-1)+1,$C156:$F156)*VLOOKUP(DS$2,Valores!$H$2:$P$154,8,0)</f>
        <v>#VALUE!</v>
      </c>
      <c r="DT156" s="30" t="e">
        <f aca="false">SUMIF($C$2:$F$2,EOMONTH(DT$2,-1)+1,$C156:$F156)*VLOOKUP(DT$2,Valores!$H$2:$P$154,8,0)</f>
        <v>#VALUE!</v>
      </c>
      <c r="DU156" s="30" t="e">
        <f aca="false">SUMIF($C$2:$F$2,EOMONTH(DU$2,-1)+1,$C156:$F156)*VLOOKUP(DU$2,Valores!$H$2:$P$154,8,0)</f>
        <v>#VALUE!</v>
      </c>
      <c r="DV156" s="30" t="e">
        <f aca="false">SUMIF($C$2:$F$2,EOMONTH(DV$2,-1)+1,$C156:$F156)*VLOOKUP(DV$2,Valores!$H$2:$P$154,8,0)</f>
        <v>#VALUE!</v>
      </c>
      <c r="DW156" s="30" t="e">
        <f aca="false">SUMIF($C$2:$F$2,EOMONTH(DW$2,-1)+1,$C156:$F156)*VLOOKUP(DW$2,Valores!$H$2:$P$154,8,0)</f>
        <v>#VALUE!</v>
      </c>
      <c r="DX156" s="30" t="e">
        <f aca="false">SUMIF($C$2:$F$2,EOMONTH(DX$2,-1)+1,$C156:$F156)*VLOOKUP(DX$2,Valores!$H$2:$P$154,8,0)</f>
        <v>#VALUE!</v>
      </c>
    </row>
    <row r="157" customFormat="false" ht="13.8" hidden="false" customHeight="false" outlineLevel="0" collapsed="false">
      <c r="A157" s="31"/>
      <c r="B157" s="31"/>
      <c r="C157" s="31"/>
      <c r="D157" s="31"/>
      <c r="E157" s="31"/>
      <c r="F157" s="31"/>
      <c r="G157" s="27" t="n">
        <f aca="false">SUMIF($C$2:$F$2,EOMONTH(G$2,-1)+1,$C157:$F157)*VLOOKUP(G$2,Valores!$H$2:$P$154,8,0)</f>
        <v>0</v>
      </c>
      <c r="H157" s="27" t="n">
        <f aca="false">SUMIF($C$2:$F$2,EOMONTH(H$2,-1)+1,$C157:$F157)*VLOOKUP(H$2,Valores!$H$2:$P$154,8,0)</f>
        <v>0</v>
      </c>
      <c r="I157" s="27" t="n">
        <f aca="false">SUMIF($C$2:$F$2,EOMONTH(I$2,-1)+1,$C157:$F157)*VLOOKUP(I$2,Valores!$H$2:$P$154,8,0)</f>
        <v>0</v>
      </c>
      <c r="J157" s="27" t="n">
        <f aca="false">SUMIF($C$2:$F$2,EOMONTH(J$2,-1)+1,$C157:$F157)*VLOOKUP(J$2,Valores!$H$2:$P$154,8,0)</f>
        <v>0</v>
      </c>
      <c r="K157" s="27" t="n">
        <f aca="false">SUMIF($C$2:$F$2,EOMONTH(K$2,-1)+1,$C157:$F157)*VLOOKUP(K$2,Valores!$H$2:$P$154,8,0)</f>
        <v>0</v>
      </c>
      <c r="L157" s="27" t="n">
        <f aca="false">SUMIF($C$2:$F$2,EOMONTH(L$2,-1)+1,$C157:$F157)*VLOOKUP(L$2,Valores!$H$2:$P$154,8,0)</f>
        <v>0</v>
      </c>
      <c r="M157" s="27" t="n">
        <f aca="false">SUMIF($C$2:$F$2,EOMONTH(M$2,-1)+1,$C157:$F157)*VLOOKUP(M$2,Valores!$H$2:$P$154,8,0)</f>
        <v>0</v>
      </c>
      <c r="N157" s="27" t="n">
        <f aca="false">SUMIF($C$2:$F$2,EOMONTH(N$2,-1)+1,$C157:$F157)*VLOOKUP(N$2,Valores!$H$2:$P$154,8,0)</f>
        <v>0</v>
      </c>
      <c r="O157" s="27" t="n">
        <f aca="false">SUMIF($C$2:$F$2,EOMONTH(O$2,-1)+1,$C157:$F157)*VLOOKUP(O$2,Valores!$H$2:$P$154,8,0)</f>
        <v>0</v>
      </c>
      <c r="P157" s="27" t="n">
        <f aca="false">SUMIF($C$2:$F$2,EOMONTH(P$2,-1)+1,$C157:$F157)*VLOOKUP(P$2,Valores!$H$2:$P$154,8,0)</f>
        <v>0</v>
      </c>
      <c r="Q157" s="27" t="n">
        <f aca="false">SUMIF($C$2:$F$2,EOMONTH(Q$2,-1)+1,$C157:$F157)*VLOOKUP(Q$2,Valores!$H$2:$P$154,8,0)</f>
        <v>0</v>
      </c>
      <c r="R157" s="27" t="n">
        <f aca="false">SUMIF($C$2:$F$2,EOMONTH(R$2,-1)+1,$C157:$F157)*VLOOKUP(R$2,Valores!$H$2:$P$154,8,0)</f>
        <v>0</v>
      </c>
      <c r="S157" s="27" t="n">
        <f aca="false">SUMIF($C$2:$F$2,EOMONTH(S$2,-1)+1,$C157:$F157)*VLOOKUP(S$2,Valores!$H$2:$P$154,8,0)</f>
        <v>0</v>
      </c>
      <c r="T157" s="27" t="n">
        <f aca="false">SUMIF($C$2:$F$2,EOMONTH(T$2,-1)+1,$C157:$F157)*VLOOKUP(T$2,Valores!$H$2:$P$154,8,0)</f>
        <v>0</v>
      </c>
      <c r="U157" s="27" t="n">
        <f aca="false">SUMIF($C$2:$F$2,EOMONTH(U$2,-1)+1,$C157:$F157)*VLOOKUP(U$2,Valores!$H$2:$P$154,8,0)</f>
        <v>0</v>
      </c>
      <c r="V157" s="27" t="n">
        <f aca="false">SUMIF($C$2:$F$2,EOMONTH(V$2,-1)+1,$C157:$F157)*VLOOKUP(V$2,Valores!$H$2:$P$154,8,0)</f>
        <v>0</v>
      </c>
      <c r="W157" s="27" t="n">
        <f aca="false">SUMIF($C$2:$F$2,EOMONTH(W$2,-1)+1,$C157:$F157)*VLOOKUP(W$2,Valores!$H$2:$P$154,8,0)</f>
        <v>0</v>
      </c>
      <c r="X157" s="27" t="n">
        <f aca="false">SUMIF($C$2:$F$2,EOMONTH(X$2,-1)+1,$C157:$F157)*VLOOKUP(X$2,Valores!$H$2:$P$154,8,0)</f>
        <v>0</v>
      </c>
      <c r="Y157" s="27" t="n">
        <f aca="false">SUMIF($C$2:$F$2,EOMONTH(Y$2,-1)+1,$C157:$F157)*VLOOKUP(Y$2,Valores!$H$2:$P$154,8,0)</f>
        <v>0</v>
      </c>
      <c r="Z157" s="27" t="n">
        <f aca="false">SUMIF($C$2:$F$2,EOMONTH(Z$2,-1)+1,$C157:$F157)*VLOOKUP(Z$2,Valores!$H$2:$P$154,8,0)</f>
        <v>0</v>
      </c>
      <c r="AA157" s="27" t="n">
        <f aca="false">SUMIF($C$2:$F$2,EOMONTH(AA$2,-1)+1,$C157:$F157)*VLOOKUP(AA$2,Valores!$H$2:$P$154,8,0)</f>
        <v>0</v>
      </c>
      <c r="AB157" s="27" t="n">
        <f aca="false">SUMIF($C$2:$F$2,EOMONTH(AB$2,-1)+1,$C157:$F157)*VLOOKUP(AB$2,Valores!$H$2:$P$154,8,0)</f>
        <v>0</v>
      </c>
      <c r="AC157" s="27" t="n">
        <f aca="false">SUMIF($C$2:$F$2,EOMONTH(AC$2,-1)+1,$C157:$F157)*VLOOKUP(AC$2,Valores!$H$2:$P$154,8,0)</f>
        <v>0</v>
      </c>
      <c r="AD157" s="27" t="n">
        <f aca="false">SUMIF($C$2:$F$2,EOMONTH(AD$2,-1)+1,$C157:$F157)*VLOOKUP(AD$2,Valores!$H$2:$P$154,8,0)</f>
        <v>0</v>
      </c>
      <c r="AE157" s="27" t="n">
        <f aca="false">SUMIF($C$2:$F$2,EOMONTH(AE$2,-1)+1,$C157:$F157)*VLOOKUP(AE$2,Valores!$H$2:$P$154,8,0)</f>
        <v>0</v>
      </c>
      <c r="AF157" s="27" t="n">
        <f aca="false">SUMIF($C$2:$F$2,EOMONTH(AF$2,-1)+1,$C157:$F157)*VLOOKUP(AF$2,Valores!$H$2:$P$154,8,0)</f>
        <v>0</v>
      </c>
      <c r="AG157" s="27" t="n">
        <f aca="false">SUMIF($C$2:$F$2,EOMONTH(AG$2,-1)+1,$C157:$F157)*VLOOKUP(AG$2,Valores!$H$2:$P$154,8,0)</f>
        <v>0</v>
      </c>
      <c r="AH157" s="27" t="n">
        <f aca="false">SUMIF($C$2:$F$2,EOMONTH(AH$2,-1)+1,$C157:$F157)*VLOOKUP(AH$2,Valores!$H$2:$P$154,8,0)</f>
        <v>0</v>
      </c>
      <c r="AI157" s="27" t="n">
        <f aca="false">SUMIF($C$2:$F$2,EOMONTH(AI$2,-1)+1,$C157:$F157)*VLOOKUP(AI$2,Valores!$H$2:$P$154,8,0)</f>
        <v>0</v>
      </c>
      <c r="AJ157" s="27" t="n">
        <f aca="false">SUMIF($C$2:$F$2,EOMONTH(AJ$2,-1)+1,$C157:$F157)*VLOOKUP(AJ$2,Valores!$H$2:$P$154,8,0)</f>
        <v>0</v>
      </c>
      <c r="AK157" s="27" t="n">
        <f aca="false">SUMIF($C$2:$F$2,EOMONTH(AK$2,-1)+1,$C157:$F157)*VLOOKUP(AK$2,Valores!$H$2:$P$154,8,0)</f>
        <v>0</v>
      </c>
      <c r="AL157" s="27" t="n">
        <f aca="false">SUMIF($C$2:$F$2,EOMONTH(AL$2,-1)+1,$C157:$F157)*VLOOKUP(AL$2,Valores!$H$2:$P$154,8,0)</f>
        <v>0</v>
      </c>
      <c r="AM157" s="27" t="n">
        <f aca="false">SUMIF($C$2:$F$2,EOMONTH(AM$2,-1)+1,$C157:$F157)*VLOOKUP(AM$2,Valores!$H$2:$P$154,8,0)</f>
        <v>0</v>
      </c>
      <c r="AN157" s="27" t="n">
        <f aca="false">SUMIF($C$2:$F$2,EOMONTH(AN$2,-1)+1,$C157:$F157)*VLOOKUP(AN$2,Valores!$H$2:$P$154,8,0)</f>
        <v>0</v>
      </c>
      <c r="AO157" s="27" t="n">
        <f aca="false">SUMIF($C$2:$F$2,EOMONTH(AO$2,-1)+1,$C157:$F157)*VLOOKUP(AO$2,Valores!$H$2:$P$154,8,0)</f>
        <v>0</v>
      </c>
      <c r="AP157" s="27" t="n">
        <f aca="false">SUMIF($C$2:$F$2,EOMONTH(AP$2,-1)+1,$C157:$F157)*VLOOKUP(AP$2,Valores!$H$2:$P$154,8,0)</f>
        <v>0</v>
      </c>
      <c r="AQ157" s="27" t="n">
        <f aca="false">SUMIF($C$2:$F$2,EOMONTH(AQ$2,-1)+1,$C157:$F157)*VLOOKUP(AQ$2,Valores!$H$2:$P$154,8,0)</f>
        <v>0</v>
      </c>
      <c r="AR157" s="27" t="n">
        <f aca="false">SUMIF($C$2:$F$2,EOMONTH(AR$2,-1)+1,$C157:$F157)*VLOOKUP(AR$2,Valores!$H$2:$P$154,8,0)</f>
        <v>0</v>
      </c>
      <c r="AS157" s="27" t="n">
        <f aca="false">SUMIF($C$2:$F$2,EOMONTH(AS$2,-1)+1,$C157:$F157)*VLOOKUP(AS$2,Valores!$H$2:$P$154,8,0)</f>
        <v>0</v>
      </c>
      <c r="AT157" s="27" t="n">
        <f aca="false">SUMIF($C$2:$F$2,EOMONTH(AT$2,-1)+1,$C157:$F157)*VLOOKUP(AT$2,Valores!$H$2:$P$154,8,0)</f>
        <v>0</v>
      </c>
      <c r="AU157" s="27" t="n">
        <f aca="false">SUMIF($C$2:$F$2,EOMONTH(AU$2,-1)+1,$C157:$F157)*VLOOKUP(AU$2,Valores!$H$2:$P$154,8,0)</f>
        <v>0</v>
      </c>
      <c r="AV157" s="27" t="n">
        <f aca="false">SUMIF($C$2:$F$2,EOMONTH(AV$2,-1)+1,$C157:$F157)*VLOOKUP(AV$2,Valores!$H$2:$P$154,8,0)</f>
        <v>0</v>
      </c>
      <c r="AW157" s="27" t="n">
        <f aca="false">SUMIF($C$2:$F$2,EOMONTH(AW$2,-1)+1,$C157:$F157)*VLOOKUP(AW$2,Valores!$H$2:$P$154,8,0)</f>
        <v>0</v>
      </c>
      <c r="AX157" s="27" t="n">
        <f aca="false">SUMIF($C$2:$F$2,EOMONTH(AX$2,-1)+1,$C157:$F157)*VLOOKUP(AX$2,Valores!$H$2:$P$154,8,0)</f>
        <v>0</v>
      </c>
      <c r="AY157" s="27" t="n">
        <f aca="false">SUMIF($C$2:$F$2,EOMONTH(AY$2,-1)+1,$C157:$F157)*VLOOKUP(AY$2,Valores!$H$2:$P$154,8,0)</f>
        <v>0</v>
      </c>
      <c r="AZ157" s="27" t="n">
        <f aca="false">SUMIF($C$2:$F$2,EOMONTH(AZ$2,-1)+1,$C157:$F157)*VLOOKUP(AZ$2,Valores!$H$2:$P$154,8,0)</f>
        <v>0</v>
      </c>
      <c r="BA157" s="27" t="n">
        <f aca="false">SUMIF($C$2:$F$2,EOMONTH(BA$2,-1)+1,$C157:$F157)*VLOOKUP(BA$2,Valores!$H$2:$P$154,8,0)</f>
        <v>0</v>
      </c>
      <c r="BB157" s="27" t="n">
        <f aca="false">SUMIF($C$2:$F$2,EOMONTH(BB$2,-1)+1,$C157:$F157)*VLOOKUP(BB$2,Valores!$H$2:$P$154,8,0)</f>
        <v>0</v>
      </c>
      <c r="BC157" s="27" t="n">
        <f aca="false">SUMIF($C$2:$F$2,EOMONTH(BC$2,-1)+1,$C157:$F157)*VLOOKUP(BC$2,Valores!$H$2:$P$154,8,0)</f>
        <v>0</v>
      </c>
      <c r="BD157" s="27" t="n">
        <f aca="false">SUMIF($C$2:$F$2,EOMONTH(BD$2,-1)+1,$C157:$F157)*VLOOKUP(BD$2,Valores!$H$2:$P$154,8,0)</f>
        <v>0</v>
      </c>
      <c r="BE157" s="27" t="n">
        <f aca="false">SUMIF($C$2:$F$2,EOMONTH(BE$2,-1)+1,$C157:$F157)*VLOOKUP(BE$2,Valores!$H$2:$P$154,8,0)</f>
        <v>0</v>
      </c>
      <c r="BF157" s="27" t="n">
        <f aca="false">SUMIF($C$2:$F$2,EOMONTH(BF$2,-1)+1,$C157:$F157)*VLOOKUP(BF$2,Valores!$H$2:$P$154,8,0)</f>
        <v>0</v>
      </c>
      <c r="BG157" s="27" t="n">
        <f aca="false">SUMIF($C$2:$F$2,EOMONTH(BG$2,-1)+1,$C157:$F157)*VLOOKUP(BG$2,Valores!$H$2:$P$154,8,0)</f>
        <v>0</v>
      </c>
      <c r="BH157" s="27" t="n">
        <f aca="false">SUMIF($C$2:$F$2,EOMONTH(BH$2,-1)+1,$C157:$F157)*VLOOKUP(BH$2,Valores!$H$2:$P$154,8,0)</f>
        <v>0</v>
      </c>
      <c r="BI157" s="27" t="n">
        <f aca="false">SUMIF($C$2:$F$2,EOMONTH(BI$2,-1)+1,$C157:$F157)*VLOOKUP(BI$2,Valores!$H$2:$P$154,8,0)</f>
        <v>0</v>
      </c>
      <c r="BJ157" s="27" t="n">
        <f aca="false">SUMIF($C$2:$F$2,EOMONTH(BJ$2,-1)+1,$C157:$F157)*VLOOKUP(BJ$2,Valores!$H$2:$P$154,8,0)</f>
        <v>0</v>
      </c>
      <c r="BK157" s="27" t="n">
        <f aca="false">SUMIF($C$2:$F$2,EOMONTH(BK$2,-1)+1,$C157:$F157)*VLOOKUP(BK$2,Valores!$H$2:$P$154,8,0)</f>
        <v>0</v>
      </c>
      <c r="BL157" s="27" t="n">
        <f aca="false">SUMIF($C$2:$F$2,EOMONTH(BL$2,-1)+1,$C157:$F157)*VLOOKUP(BL$2,Valores!$H$2:$P$154,8,0)</f>
        <v>0</v>
      </c>
      <c r="BM157" s="27" t="n">
        <f aca="false">SUMIF($C$2:$F$2,EOMONTH(BM$2,-1)+1,$C157:$F157)*VLOOKUP(BM$2,Valores!$H$2:$P$154,8,0)</f>
        <v>0</v>
      </c>
      <c r="BN157" s="27" t="n">
        <f aca="false">SUMIF($C$2:$F$2,EOMONTH(BN$2,-1)+1,$C157:$F157)*VLOOKUP(BN$2,Valores!$H$2:$P$154,8,0)</f>
        <v>0</v>
      </c>
      <c r="BO157" s="27" t="n">
        <f aca="false">SUMIF($C$2:$F$2,EOMONTH(BO$2,-1)+1,$C157:$F157)*VLOOKUP(BO$2,Valores!$H$2:$P$154,8,0)</f>
        <v>0</v>
      </c>
      <c r="BP157" s="27" t="n">
        <f aca="false">SUMIF($C$2:$F$2,EOMONTH(BP$2,-1)+1,$C157:$F157)*VLOOKUP(BP$2,Valores!$H$2:$P$154,8,0)</f>
        <v>0</v>
      </c>
      <c r="BQ157" s="27" t="n">
        <f aca="false">SUMIF($C$2:$F$2,EOMONTH(BQ$2,-1)+1,$C157:$F157)*VLOOKUP(BQ$2,Valores!$H$2:$P$154,8,0)</f>
        <v>0</v>
      </c>
      <c r="BR157" s="27" t="n">
        <f aca="false">SUMIF($C$2:$F$2,EOMONTH(BR$2,-1)+1,$C157:$F157)*VLOOKUP(BR$2,Valores!$H$2:$P$154,8,0)</f>
        <v>0</v>
      </c>
      <c r="BS157" s="27" t="n">
        <f aca="false">SUMIF($C$2:$F$2,EOMONTH(BS$2,-1)+1,$C157:$F157)*VLOOKUP(BS$2,Valores!$H$2:$P$154,8,0)</f>
        <v>0</v>
      </c>
      <c r="BT157" s="27" t="n">
        <f aca="false">SUMIF($C$2:$F$2,EOMONTH(BT$2,-1)+1,$C157:$F157)*VLOOKUP(BT$2,Valores!$H$2:$P$154,8,0)</f>
        <v>0</v>
      </c>
      <c r="BU157" s="27" t="n">
        <f aca="false">SUMIF($C$2:$F$2,EOMONTH(BU$2,-1)+1,$C157:$F157)*VLOOKUP(BU$2,Valores!$H$2:$P$154,8,0)</f>
        <v>0</v>
      </c>
      <c r="BV157" s="27" t="n">
        <f aca="false">SUMIF($C$2:$F$2,EOMONTH(BV$2,-1)+1,$C157:$F157)*VLOOKUP(BV$2,Valores!$H$2:$P$154,8,0)</f>
        <v>0</v>
      </c>
      <c r="BW157" s="27" t="n">
        <f aca="false">SUMIF($C$2:$F$2,EOMONTH(BW$2,-1)+1,$C157:$F157)*VLOOKUP(BW$2,Valores!$H$2:$P$154,8,0)</f>
        <v>0</v>
      </c>
      <c r="BX157" s="27" t="n">
        <f aca="false">SUMIF($C$2:$F$2,EOMONTH(BX$2,-1)+1,$C157:$F157)*VLOOKUP(BX$2,Valores!$H$2:$P$154,8,0)</f>
        <v>0</v>
      </c>
      <c r="BY157" s="27" t="n">
        <f aca="false">SUMIF($C$2:$F$2,EOMONTH(BY$2,-1)+1,$C157:$F157)*VLOOKUP(BY$2,Valores!$H$2:$P$154,8,0)</f>
        <v>0</v>
      </c>
      <c r="BZ157" s="27" t="n">
        <f aca="false">SUMIF($C$2:$F$2,EOMONTH(BZ$2,-1)+1,$C157:$F157)*VLOOKUP(BZ$2,Valores!$H$2:$P$154,8,0)</f>
        <v>0</v>
      </c>
      <c r="CA157" s="27" t="n">
        <f aca="false">SUMIF($C$2:$F$2,EOMONTH(CA$2,-1)+1,$C157:$F157)*VLOOKUP(CA$2,Valores!$H$2:$P$154,8,0)</f>
        <v>0</v>
      </c>
      <c r="CB157" s="27" t="n">
        <f aca="false">SUMIF($C$2:$F$2,EOMONTH(CB$2,-1)+1,$C157:$F157)*VLOOKUP(CB$2,Valores!$H$2:$P$154,8,0)</f>
        <v>0</v>
      </c>
      <c r="CC157" s="27" t="n">
        <f aca="false">SUMIF($C$2:$F$2,EOMONTH(CC$2,-1)+1,$C157:$F157)*VLOOKUP(CC$2,Valores!$H$2:$P$154,8,0)</f>
        <v>0</v>
      </c>
      <c r="CD157" s="27" t="n">
        <f aca="false">SUMIF($C$2:$F$2,EOMONTH(CD$2,-1)+1,$C157:$F157)*VLOOKUP(CD$2,Valores!$H$2:$P$154,8,0)</f>
        <v>0</v>
      </c>
      <c r="CE157" s="27" t="n">
        <f aca="false">SUMIF($C$2:$F$2,EOMONTH(CE$2,-1)+1,$C157:$F157)*VLOOKUP(CE$2,Valores!$H$2:$P$154,8,0)</f>
        <v>0</v>
      </c>
      <c r="CF157" s="27" t="n">
        <f aca="false">SUMIF($C$2:$F$2,EOMONTH(CF$2,-1)+1,$C157:$F157)*VLOOKUP(CF$2,Valores!$H$2:$P$154,8,0)</f>
        <v>0</v>
      </c>
      <c r="CG157" s="27" t="n">
        <f aca="false">SUMIF($C$2:$F$2,EOMONTH(CG$2,-1)+1,$C157:$F157)*VLOOKUP(CG$2,Valores!$H$2:$P$154,8,0)</f>
        <v>0</v>
      </c>
      <c r="CH157" s="27" t="n">
        <f aca="false">SUMIF($C$2:$F$2,EOMONTH(CH$2,-1)+1,$C157:$F157)*VLOOKUP(CH$2,Valores!$H$2:$P$154,8,0)</f>
        <v>0</v>
      </c>
      <c r="CI157" s="27" t="n">
        <f aca="false">SUMIF($C$2:$F$2,EOMONTH(CI$2,-1)+1,$C157:$F157)*VLOOKUP(CI$2,Valores!$H$2:$P$154,8,0)</f>
        <v>0</v>
      </c>
      <c r="CJ157" s="27" t="n">
        <f aca="false">SUMIF($C$2:$F$2,EOMONTH(CJ$2,-1)+1,$C157:$F157)*VLOOKUP(CJ$2,Valores!$H$2:$P$154,8,0)</f>
        <v>0</v>
      </c>
      <c r="CK157" s="27" t="n">
        <f aca="false">SUMIF($C$2:$F$2,EOMONTH(CK$2,-1)+1,$C157:$F157)*VLOOKUP(CK$2,Valores!$H$2:$P$154,8,0)</f>
        <v>0</v>
      </c>
      <c r="CL157" s="27" t="n">
        <f aca="false">SUMIF($C$2:$F$2,EOMONTH(CL$2,-1)+1,$C157:$F157)*VLOOKUP(CL$2,Valores!$H$2:$P$154,8,0)</f>
        <v>0</v>
      </c>
      <c r="CM157" s="27" t="n">
        <f aca="false">SUMIF($C$2:$F$2,EOMONTH(CM$2,-1)+1,$C157:$F157)*VLOOKUP(CM$2,Valores!$H$2:$P$154,8,0)</f>
        <v>0</v>
      </c>
      <c r="CN157" s="27" t="n">
        <f aca="false">SUMIF($C$2:$F$2,EOMONTH(CN$2,-1)+1,$C157:$F157)*VLOOKUP(CN$2,Valores!$H$2:$P$154,8,0)</f>
        <v>0</v>
      </c>
      <c r="CO157" s="27" t="n">
        <f aca="false">SUMIF($C$2:$F$2,EOMONTH(CO$2,-1)+1,$C157:$F157)*VLOOKUP(CO$2,Valores!$H$2:$P$154,8,0)</f>
        <v>0</v>
      </c>
      <c r="CP157" s="27" t="n">
        <f aca="false">SUMIF($C$2:$F$2,EOMONTH(CP$2,-1)+1,$C157:$F157)*VLOOKUP(CP$2,Valores!$H$2:$P$154,8,0)</f>
        <v>0</v>
      </c>
      <c r="CQ157" s="27" t="n">
        <f aca="false">SUMIF($C$2:$F$2,EOMONTH(CQ$2,-1)+1,$C157:$F157)*VLOOKUP(CQ$2,Valores!$H$2:$P$154,8,0)</f>
        <v>0</v>
      </c>
      <c r="CR157" s="27" t="n">
        <f aca="false">SUMIF($C$2:$F$2,EOMONTH(CR$2,-1)+1,$C157:$F157)*VLOOKUP(CR$2,Valores!$H$2:$P$154,8,0)</f>
        <v>0</v>
      </c>
      <c r="CS157" s="27" t="n">
        <f aca="false">SUMIF($C$2:$F$2,EOMONTH(CS$2,-1)+1,$C157:$F157)*VLOOKUP(CS$2,Valores!$H$2:$P$154,8,0)</f>
        <v>0</v>
      </c>
      <c r="CT157" s="27" t="e">
        <f aca="false">SUMIF($C$2:$F$2,EOMONTH(CT$2,-1)+1,$C157:$F157)*VLOOKUP(CT$2,Valores!$H$2:$P$154,8,0)</f>
        <v>#VALUE!</v>
      </c>
      <c r="CU157" s="27" t="e">
        <f aca="false">SUMIF($C$2:$F$2,EOMONTH(CU$2,-1)+1,$C157:$F157)*VLOOKUP(CU$2,Valores!$H$2:$P$154,8,0)</f>
        <v>#VALUE!</v>
      </c>
      <c r="CV157" s="27" t="e">
        <f aca="false">SUMIF($C$2:$F$2,EOMONTH(CV$2,-1)+1,$C157:$F157)*VLOOKUP(CV$2,Valores!$H$2:$P$154,8,0)</f>
        <v>#VALUE!</v>
      </c>
      <c r="CW157" s="27" t="e">
        <f aca="false">SUMIF($C$2:$F$2,EOMONTH(CW$2,-1)+1,$C157:$F157)*VLOOKUP(CW$2,Valores!$H$2:$P$154,8,0)</f>
        <v>#VALUE!</v>
      </c>
      <c r="CX157" s="27" t="e">
        <f aca="false">SUMIF($C$2:$F$2,EOMONTH(CX$2,-1)+1,$C157:$F157)*VLOOKUP(CX$2,Valores!$H$2:$P$154,8,0)</f>
        <v>#VALUE!</v>
      </c>
      <c r="CY157" s="27" t="e">
        <f aca="false">SUMIF($C$2:$F$2,EOMONTH(CY$2,-1)+1,$C157:$F157)*VLOOKUP(CY$2,Valores!$H$2:$P$154,8,0)</f>
        <v>#VALUE!</v>
      </c>
      <c r="CZ157" s="27" t="e">
        <f aca="false">SUMIF($C$2:$F$2,EOMONTH(CZ$2,-1)+1,$C157:$F157)*VLOOKUP(CZ$2,Valores!$H$2:$P$154,8,0)</f>
        <v>#VALUE!</v>
      </c>
      <c r="DA157" s="27" t="e">
        <f aca="false">SUMIF($C$2:$F$2,EOMONTH(DA$2,-1)+1,$C157:$F157)*VLOOKUP(DA$2,Valores!$H$2:$P$154,8,0)</f>
        <v>#VALUE!</v>
      </c>
      <c r="DB157" s="27" t="e">
        <f aca="false">SUMIF($C$2:$F$2,EOMONTH(DB$2,-1)+1,$C157:$F157)*VLOOKUP(DB$2,Valores!$H$2:$P$154,8,0)</f>
        <v>#VALUE!</v>
      </c>
      <c r="DC157" s="27" t="e">
        <f aca="false">SUMIF($C$2:$F$2,EOMONTH(DC$2,-1)+1,$C157:$F157)*VLOOKUP(DC$2,Valores!$H$2:$P$154,8,0)</f>
        <v>#VALUE!</v>
      </c>
      <c r="DD157" s="27" t="e">
        <f aca="false">SUMIF($C$2:$F$2,EOMONTH(DD$2,-1)+1,$C157:$F157)*VLOOKUP(DD$2,Valores!$H$2:$P$154,8,0)</f>
        <v>#VALUE!</v>
      </c>
      <c r="DE157" s="27" t="e">
        <f aca="false">SUMIF($C$2:$F$2,EOMONTH(DE$2,-1)+1,$C157:$F157)*VLOOKUP(DE$2,Valores!$H$2:$P$154,8,0)</f>
        <v>#VALUE!</v>
      </c>
      <c r="DF157" s="27" t="e">
        <f aca="false">SUMIF($C$2:$F$2,EOMONTH(DF$2,-1)+1,$C157:$F157)*VLOOKUP(DF$2,Valores!$H$2:$P$154,8,0)</f>
        <v>#VALUE!</v>
      </c>
      <c r="DG157" s="27" t="e">
        <f aca="false">SUMIF($C$2:$F$2,EOMONTH(DG$2,-1)+1,$C157:$F157)*VLOOKUP(DG$2,Valores!$H$2:$P$154,8,0)</f>
        <v>#VALUE!</v>
      </c>
      <c r="DH157" s="27" t="e">
        <f aca="false">SUMIF($C$2:$F$2,EOMONTH(DH$2,-1)+1,$C157:$F157)*VLOOKUP(DH$2,Valores!$H$2:$P$154,8,0)</f>
        <v>#VALUE!</v>
      </c>
      <c r="DI157" s="27" t="e">
        <f aca="false">SUMIF($C$2:$F$2,EOMONTH(DI$2,-1)+1,$C157:$F157)*VLOOKUP(DI$2,Valores!$H$2:$P$154,8,0)</f>
        <v>#VALUE!</v>
      </c>
      <c r="DJ157" s="27" t="e">
        <f aca="false">SUMIF($C$2:$F$2,EOMONTH(DJ$2,-1)+1,$C157:$F157)*VLOOKUP(DJ$2,Valores!$H$2:$P$154,8,0)</f>
        <v>#VALUE!</v>
      </c>
      <c r="DK157" s="27" t="e">
        <f aca="false">SUMIF($C$2:$F$2,EOMONTH(DK$2,-1)+1,$C157:$F157)*VLOOKUP(DK$2,Valores!$H$2:$P$154,8,0)</f>
        <v>#VALUE!</v>
      </c>
      <c r="DL157" s="27" t="e">
        <f aca="false">SUMIF($C$2:$F$2,EOMONTH(DL$2,-1)+1,$C157:$F157)*VLOOKUP(DL$2,Valores!$H$2:$P$154,8,0)</f>
        <v>#VALUE!</v>
      </c>
      <c r="DM157" s="27" t="e">
        <f aca="false">SUMIF($C$2:$F$2,EOMONTH(DM$2,-1)+1,$C157:$F157)*VLOOKUP(DM$2,Valores!$H$2:$P$154,8,0)</f>
        <v>#VALUE!</v>
      </c>
      <c r="DN157" s="27" t="e">
        <f aca="false">SUMIF($C$2:$F$2,EOMONTH(DN$2,-1)+1,$C157:$F157)*VLOOKUP(DN$2,Valores!$H$2:$P$154,8,0)</f>
        <v>#VALUE!</v>
      </c>
      <c r="DO157" s="27" t="e">
        <f aca="false">SUMIF($C$2:$F$2,EOMONTH(DO$2,-1)+1,$C157:$F157)*VLOOKUP(DO$2,Valores!$H$2:$P$154,8,0)</f>
        <v>#VALUE!</v>
      </c>
      <c r="DP157" s="27" t="e">
        <f aca="false">SUMIF($C$2:$F$2,EOMONTH(DP$2,-1)+1,$C157:$F157)*VLOOKUP(DP$2,Valores!$H$2:$P$154,8,0)</f>
        <v>#VALUE!</v>
      </c>
      <c r="DQ157" s="27" t="e">
        <f aca="false">SUMIF($C$2:$F$2,EOMONTH(DQ$2,-1)+1,$C157:$F157)*VLOOKUP(DQ$2,Valores!$H$2:$P$154,8,0)</f>
        <v>#VALUE!</v>
      </c>
      <c r="DR157" s="27" t="e">
        <f aca="false">SUMIF($C$2:$F$2,EOMONTH(DR$2,-1)+1,$C157:$F157)*VLOOKUP(DR$2,Valores!$H$2:$P$154,8,0)</f>
        <v>#VALUE!</v>
      </c>
      <c r="DS157" s="27" t="e">
        <f aca="false">SUMIF($C$2:$F$2,EOMONTH(DS$2,-1)+1,$C157:$F157)*VLOOKUP(DS$2,Valores!$H$2:$P$154,8,0)</f>
        <v>#VALUE!</v>
      </c>
      <c r="DT157" s="27" t="e">
        <f aca="false">SUMIF($C$2:$F$2,EOMONTH(DT$2,-1)+1,$C157:$F157)*VLOOKUP(DT$2,Valores!$H$2:$P$154,8,0)</f>
        <v>#VALUE!</v>
      </c>
      <c r="DU157" s="27" t="e">
        <f aca="false">SUMIF($C$2:$F$2,EOMONTH(DU$2,-1)+1,$C157:$F157)*VLOOKUP(DU$2,Valores!$H$2:$P$154,8,0)</f>
        <v>#VALUE!</v>
      </c>
      <c r="DV157" s="27" t="e">
        <f aca="false">SUMIF($C$2:$F$2,EOMONTH(DV$2,-1)+1,$C157:$F157)*VLOOKUP(DV$2,Valores!$H$2:$P$154,8,0)</f>
        <v>#VALUE!</v>
      </c>
      <c r="DW157" s="27" t="e">
        <f aca="false">SUMIF($C$2:$F$2,EOMONTH(DW$2,-1)+1,$C157:$F157)*VLOOKUP(DW$2,Valores!$H$2:$P$154,8,0)</f>
        <v>#VALUE!</v>
      </c>
      <c r="DX157" s="27" t="e">
        <f aca="false">SUMIF($C$2:$F$2,EOMONTH(DX$2,-1)+1,$C157:$F157)*VLOOKUP(DX$2,Valores!$H$2:$P$154,8,0)</f>
        <v>#VALUE!</v>
      </c>
    </row>
    <row r="158" customFormat="false" ht="13.8" hidden="false" customHeight="false" outlineLevel="0" collapsed="false">
      <c r="A158" s="29"/>
      <c r="B158" s="29"/>
      <c r="C158" s="29"/>
      <c r="D158" s="29"/>
      <c r="E158" s="29"/>
      <c r="F158" s="29"/>
      <c r="G158" s="30" t="n">
        <f aca="false">SUMIF($C$2:$F$2,EOMONTH(G$2,-1)+1,$C158:$F158)*VLOOKUP(G$2,Valores!$H$2:$P$154,8,0)</f>
        <v>0</v>
      </c>
      <c r="H158" s="30" t="n">
        <f aca="false">SUMIF($C$2:$F$2,EOMONTH(H$2,-1)+1,$C158:$F158)*VLOOKUP(H$2,Valores!$H$2:$P$154,8,0)</f>
        <v>0</v>
      </c>
      <c r="I158" s="30" t="n">
        <f aca="false">SUMIF($C$2:$F$2,EOMONTH(I$2,-1)+1,$C158:$F158)*VLOOKUP(I$2,Valores!$H$2:$P$154,8,0)</f>
        <v>0</v>
      </c>
      <c r="J158" s="30" t="n">
        <f aca="false">SUMIF($C$2:$F$2,EOMONTH(J$2,-1)+1,$C158:$F158)*VLOOKUP(J$2,Valores!$H$2:$P$154,8,0)</f>
        <v>0</v>
      </c>
      <c r="K158" s="30" t="n">
        <f aca="false">SUMIF($C$2:$F$2,EOMONTH(K$2,-1)+1,$C158:$F158)*VLOOKUP(K$2,Valores!$H$2:$P$154,8,0)</f>
        <v>0</v>
      </c>
      <c r="L158" s="30" t="n">
        <f aca="false">SUMIF($C$2:$F$2,EOMONTH(L$2,-1)+1,$C158:$F158)*VLOOKUP(L$2,Valores!$H$2:$P$154,8,0)</f>
        <v>0</v>
      </c>
      <c r="M158" s="30" t="n">
        <f aca="false">SUMIF($C$2:$F$2,EOMONTH(M$2,-1)+1,$C158:$F158)*VLOOKUP(M$2,Valores!$H$2:$P$154,8,0)</f>
        <v>0</v>
      </c>
      <c r="N158" s="30" t="n">
        <f aca="false">SUMIF($C$2:$F$2,EOMONTH(N$2,-1)+1,$C158:$F158)*VLOOKUP(N$2,Valores!$H$2:$P$154,8,0)</f>
        <v>0</v>
      </c>
      <c r="O158" s="30" t="n">
        <f aca="false">SUMIF($C$2:$F$2,EOMONTH(O$2,-1)+1,$C158:$F158)*VLOOKUP(O$2,Valores!$H$2:$P$154,8,0)</f>
        <v>0</v>
      </c>
      <c r="P158" s="30" t="n">
        <f aca="false">SUMIF($C$2:$F$2,EOMONTH(P$2,-1)+1,$C158:$F158)*VLOOKUP(P$2,Valores!$H$2:$P$154,8,0)</f>
        <v>0</v>
      </c>
      <c r="Q158" s="30" t="n">
        <f aca="false">SUMIF($C$2:$F$2,EOMONTH(Q$2,-1)+1,$C158:$F158)*VLOOKUP(Q$2,Valores!$H$2:$P$154,8,0)</f>
        <v>0</v>
      </c>
      <c r="R158" s="30" t="n">
        <f aca="false">SUMIF($C$2:$F$2,EOMONTH(R$2,-1)+1,$C158:$F158)*VLOOKUP(R$2,Valores!$H$2:$P$154,8,0)</f>
        <v>0</v>
      </c>
      <c r="S158" s="30" t="n">
        <f aca="false">SUMIF($C$2:$F$2,EOMONTH(S$2,-1)+1,$C158:$F158)*VLOOKUP(S$2,Valores!$H$2:$P$154,8,0)</f>
        <v>0</v>
      </c>
      <c r="T158" s="30" t="n">
        <f aca="false">SUMIF($C$2:$F$2,EOMONTH(T$2,-1)+1,$C158:$F158)*VLOOKUP(T$2,Valores!$H$2:$P$154,8,0)</f>
        <v>0</v>
      </c>
      <c r="U158" s="30" t="n">
        <f aca="false">SUMIF($C$2:$F$2,EOMONTH(U$2,-1)+1,$C158:$F158)*VLOOKUP(U$2,Valores!$H$2:$P$154,8,0)</f>
        <v>0</v>
      </c>
      <c r="V158" s="30" t="n">
        <f aca="false">SUMIF($C$2:$F$2,EOMONTH(V$2,-1)+1,$C158:$F158)*VLOOKUP(V$2,Valores!$H$2:$P$154,8,0)</f>
        <v>0</v>
      </c>
      <c r="W158" s="30" t="n">
        <f aca="false">SUMIF($C$2:$F$2,EOMONTH(W$2,-1)+1,$C158:$F158)*VLOOKUP(W$2,Valores!$H$2:$P$154,8,0)</f>
        <v>0</v>
      </c>
      <c r="X158" s="30" t="n">
        <f aca="false">SUMIF($C$2:$F$2,EOMONTH(X$2,-1)+1,$C158:$F158)*VLOOKUP(X$2,Valores!$H$2:$P$154,8,0)</f>
        <v>0</v>
      </c>
      <c r="Y158" s="30" t="n">
        <f aca="false">SUMIF($C$2:$F$2,EOMONTH(Y$2,-1)+1,$C158:$F158)*VLOOKUP(Y$2,Valores!$H$2:$P$154,8,0)</f>
        <v>0</v>
      </c>
      <c r="Z158" s="30" t="n">
        <f aca="false">SUMIF($C$2:$F$2,EOMONTH(Z$2,-1)+1,$C158:$F158)*VLOOKUP(Z$2,Valores!$H$2:$P$154,8,0)</f>
        <v>0</v>
      </c>
      <c r="AA158" s="30" t="n">
        <f aca="false">SUMIF($C$2:$F$2,EOMONTH(AA$2,-1)+1,$C158:$F158)*VLOOKUP(AA$2,Valores!$H$2:$P$154,8,0)</f>
        <v>0</v>
      </c>
      <c r="AB158" s="30" t="n">
        <f aca="false">SUMIF($C$2:$F$2,EOMONTH(AB$2,-1)+1,$C158:$F158)*VLOOKUP(AB$2,Valores!$H$2:$P$154,8,0)</f>
        <v>0</v>
      </c>
      <c r="AC158" s="30" t="n">
        <f aca="false">SUMIF($C$2:$F$2,EOMONTH(AC$2,-1)+1,$C158:$F158)*VLOOKUP(AC$2,Valores!$H$2:$P$154,8,0)</f>
        <v>0</v>
      </c>
      <c r="AD158" s="30" t="n">
        <f aca="false">SUMIF($C$2:$F$2,EOMONTH(AD$2,-1)+1,$C158:$F158)*VLOOKUP(AD$2,Valores!$H$2:$P$154,8,0)</f>
        <v>0</v>
      </c>
      <c r="AE158" s="30" t="n">
        <f aca="false">SUMIF($C$2:$F$2,EOMONTH(AE$2,-1)+1,$C158:$F158)*VLOOKUP(AE$2,Valores!$H$2:$P$154,8,0)</f>
        <v>0</v>
      </c>
      <c r="AF158" s="30" t="n">
        <f aca="false">SUMIF($C$2:$F$2,EOMONTH(AF$2,-1)+1,$C158:$F158)*VLOOKUP(AF$2,Valores!$H$2:$P$154,8,0)</f>
        <v>0</v>
      </c>
      <c r="AG158" s="30" t="n">
        <f aca="false">SUMIF($C$2:$F$2,EOMONTH(AG$2,-1)+1,$C158:$F158)*VLOOKUP(AG$2,Valores!$H$2:$P$154,8,0)</f>
        <v>0</v>
      </c>
      <c r="AH158" s="30" t="n">
        <f aca="false">SUMIF($C$2:$F$2,EOMONTH(AH$2,-1)+1,$C158:$F158)*VLOOKUP(AH$2,Valores!$H$2:$P$154,8,0)</f>
        <v>0</v>
      </c>
      <c r="AI158" s="30" t="n">
        <f aca="false">SUMIF($C$2:$F$2,EOMONTH(AI$2,-1)+1,$C158:$F158)*VLOOKUP(AI$2,Valores!$H$2:$P$154,8,0)</f>
        <v>0</v>
      </c>
      <c r="AJ158" s="30" t="n">
        <f aca="false">SUMIF($C$2:$F$2,EOMONTH(AJ$2,-1)+1,$C158:$F158)*VLOOKUP(AJ$2,Valores!$H$2:$P$154,8,0)</f>
        <v>0</v>
      </c>
      <c r="AK158" s="30" t="n">
        <f aca="false">SUMIF($C$2:$F$2,EOMONTH(AK$2,-1)+1,$C158:$F158)*VLOOKUP(AK$2,Valores!$H$2:$P$154,8,0)</f>
        <v>0</v>
      </c>
      <c r="AL158" s="30" t="n">
        <f aca="false">SUMIF($C$2:$F$2,EOMONTH(AL$2,-1)+1,$C158:$F158)*VLOOKUP(AL$2,Valores!$H$2:$P$154,8,0)</f>
        <v>0</v>
      </c>
      <c r="AM158" s="30" t="n">
        <f aca="false">SUMIF($C$2:$F$2,EOMONTH(AM$2,-1)+1,$C158:$F158)*VLOOKUP(AM$2,Valores!$H$2:$P$154,8,0)</f>
        <v>0</v>
      </c>
      <c r="AN158" s="30" t="n">
        <f aca="false">SUMIF($C$2:$F$2,EOMONTH(AN$2,-1)+1,$C158:$F158)*VLOOKUP(AN$2,Valores!$H$2:$P$154,8,0)</f>
        <v>0</v>
      </c>
      <c r="AO158" s="30" t="n">
        <f aca="false">SUMIF($C$2:$F$2,EOMONTH(AO$2,-1)+1,$C158:$F158)*VLOOKUP(AO$2,Valores!$H$2:$P$154,8,0)</f>
        <v>0</v>
      </c>
      <c r="AP158" s="30" t="n">
        <f aca="false">SUMIF($C$2:$F$2,EOMONTH(AP$2,-1)+1,$C158:$F158)*VLOOKUP(AP$2,Valores!$H$2:$P$154,8,0)</f>
        <v>0</v>
      </c>
      <c r="AQ158" s="30" t="n">
        <f aca="false">SUMIF($C$2:$F$2,EOMONTH(AQ$2,-1)+1,$C158:$F158)*VLOOKUP(AQ$2,Valores!$H$2:$P$154,8,0)</f>
        <v>0</v>
      </c>
      <c r="AR158" s="30" t="n">
        <f aca="false">SUMIF($C$2:$F$2,EOMONTH(AR$2,-1)+1,$C158:$F158)*VLOOKUP(AR$2,Valores!$H$2:$P$154,8,0)</f>
        <v>0</v>
      </c>
      <c r="AS158" s="30" t="n">
        <f aca="false">SUMIF($C$2:$F$2,EOMONTH(AS$2,-1)+1,$C158:$F158)*VLOOKUP(AS$2,Valores!$H$2:$P$154,8,0)</f>
        <v>0</v>
      </c>
      <c r="AT158" s="30" t="n">
        <f aca="false">SUMIF($C$2:$F$2,EOMONTH(AT$2,-1)+1,$C158:$F158)*VLOOKUP(AT$2,Valores!$H$2:$P$154,8,0)</f>
        <v>0</v>
      </c>
      <c r="AU158" s="30" t="n">
        <f aca="false">SUMIF($C$2:$F$2,EOMONTH(AU$2,-1)+1,$C158:$F158)*VLOOKUP(AU$2,Valores!$H$2:$P$154,8,0)</f>
        <v>0</v>
      </c>
      <c r="AV158" s="30" t="n">
        <f aca="false">SUMIF($C$2:$F$2,EOMONTH(AV$2,-1)+1,$C158:$F158)*VLOOKUP(AV$2,Valores!$H$2:$P$154,8,0)</f>
        <v>0</v>
      </c>
      <c r="AW158" s="30" t="n">
        <f aca="false">SUMIF($C$2:$F$2,EOMONTH(AW$2,-1)+1,$C158:$F158)*VLOOKUP(AW$2,Valores!$H$2:$P$154,8,0)</f>
        <v>0</v>
      </c>
      <c r="AX158" s="30" t="n">
        <f aca="false">SUMIF($C$2:$F$2,EOMONTH(AX$2,-1)+1,$C158:$F158)*VLOOKUP(AX$2,Valores!$H$2:$P$154,8,0)</f>
        <v>0</v>
      </c>
      <c r="AY158" s="30" t="n">
        <f aca="false">SUMIF($C$2:$F$2,EOMONTH(AY$2,-1)+1,$C158:$F158)*VLOOKUP(AY$2,Valores!$H$2:$P$154,8,0)</f>
        <v>0</v>
      </c>
      <c r="AZ158" s="30" t="n">
        <f aca="false">SUMIF($C$2:$F$2,EOMONTH(AZ$2,-1)+1,$C158:$F158)*VLOOKUP(AZ$2,Valores!$H$2:$P$154,8,0)</f>
        <v>0</v>
      </c>
      <c r="BA158" s="30" t="n">
        <f aca="false">SUMIF($C$2:$F$2,EOMONTH(BA$2,-1)+1,$C158:$F158)*VLOOKUP(BA$2,Valores!$H$2:$P$154,8,0)</f>
        <v>0</v>
      </c>
      <c r="BB158" s="30" t="n">
        <f aca="false">SUMIF($C$2:$F$2,EOMONTH(BB$2,-1)+1,$C158:$F158)*VLOOKUP(BB$2,Valores!$H$2:$P$154,8,0)</f>
        <v>0</v>
      </c>
      <c r="BC158" s="30" t="n">
        <f aca="false">SUMIF($C$2:$F$2,EOMONTH(BC$2,-1)+1,$C158:$F158)*VLOOKUP(BC$2,Valores!$H$2:$P$154,8,0)</f>
        <v>0</v>
      </c>
      <c r="BD158" s="30" t="n">
        <f aca="false">SUMIF($C$2:$F$2,EOMONTH(BD$2,-1)+1,$C158:$F158)*VLOOKUP(BD$2,Valores!$H$2:$P$154,8,0)</f>
        <v>0</v>
      </c>
      <c r="BE158" s="30" t="n">
        <f aca="false">SUMIF($C$2:$F$2,EOMONTH(BE$2,-1)+1,$C158:$F158)*VLOOKUP(BE$2,Valores!$H$2:$P$154,8,0)</f>
        <v>0</v>
      </c>
      <c r="BF158" s="30" t="n">
        <f aca="false">SUMIF($C$2:$F$2,EOMONTH(BF$2,-1)+1,$C158:$F158)*VLOOKUP(BF$2,Valores!$H$2:$P$154,8,0)</f>
        <v>0</v>
      </c>
      <c r="BG158" s="30" t="n">
        <f aca="false">SUMIF($C$2:$F$2,EOMONTH(BG$2,-1)+1,$C158:$F158)*VLOOKUP(BG$2,Valores!$H$2:$P$154,8,0)</f>
        <v>0</v>
      </c>
      <c r="BH158" s="30" t="n">
        <f aca="false">SUMIF($C$2:$F$2,EOMONTH(BH$2,-1)+1,$C158:$F158)*VLOOKUP(BH$2,Valores!$H$2:$P$154,8,0)</f>
        <v>0</v>
      </c>
      <c r="BI158" s="30" t="n">
        <f aca="false">SUMIF($C$2:$F$2,EOMONTH(BI$2,-1)+1,$C158:$F158)*VLOOKUP(BI$2,Valores!$H$2:$P$154,8,0)</f>
        <v>0</v>
      </c>
      <c r="BJ158" s="30" t="n">
        <f aca="false">SUMIF($C$2:$F$2,EOMONTH(BJ$2,-1)+1,$C158:$F158)*VLOOKUP(BJ$2,Valores!$H$2:$P$154,8,0)</f>
        <v>0</v>
      </c>
      <c r="BK158" s="30" t="n">
        <f aca="false">SUMIF($C$2:$F$2,EOMONTH(BK$2,-1)+1,$C158:$F158)*VLOOKUP(BK$2,Valores!$H$2:$P$154,8,0)</f>
        <v>0</v>
      </c>
      <c r="BL158" s="30" t="n">
        <f aca="false">SUMIF($C$2:$F$2,EOMONTH(BL$2,-1)+1,$C158:$F158)*VLOOKUP(BL$2,Valores!$H$2:$P$154,8,0)</f>
        <v>0</v>
      </c>
      <c r="BM158" s="30" t="n">
        <f aca="false">SUMIF($C$2:$F$2,EOMONTH(BM$2,-1)+1,$C158:$F158)*VLOOKUP(BM$2,Valores!$H$2:$P$154,8,0)</f>
        <v>0</v>
      </c>
      <c r="BN158" s="30" t="n">
        <f aca="false">SUMIF($C$2:$F$2,EOMONTH(BN$2,-1)+1,$C158:$F158)*VLOOKUP(BN$2,Valores!$H$2:$P$154,8,0)</f>
        <v>0</v>
      </c>
      <c r="BO158" s="30" t="n">
        <f aca="false">SUMIF($C$2:$F$2,EOMONTH(BO$2,-1)+1,$C158:$F158)*VLOOKUP(BO$2,Valores!$H$2:$P$154,8,0)</f>
        <v>0</v>
      </c>
      <c r="BP158" s="30" t="n">
        <f aca="false">SUMIF($C$2:$F$2,EOMONTH(BP$2,-1)+1,$C158:$F158)*VLOOKUP(BP$2,Valores!$H$2:$P$154,8,0)</f>
        <v>0</v>
      </c>
      <c r="BQ158" s="30" t="n">
        <f aca="false">SUMIF($C$2:$F$2,EOMONTH(BQ$2,-1)+1,$C158:$F158)*VLOOKUP(BQ$2,Valores!$H$2:$P$154,8,0)</f>
        <v>0</v>
      </c>
      <c r="BR158" s="30" t="n">
        <f aca="false">SUMIF($C$2:$F$2,EOMONTH(BR$2,-1)+1,$C158:$F158)*VLOOKUP(BR$2,Valores!$H$2:$P$154,8,0)</f>
        <v>0</v>
      </c>
      <c r="BS158" s="30" t="n">
        <f aca="false">SUMIF($C$2:$F$2,EOMONTH(BS$2,-1)+1,$C158:$F158)*VLOOKUP(BS$2,Valores!$H$2:$P$154,8,0)</f>
        <v>0</v>
      </c>
      <c r="BT158" s="30" t="n">
        <f aca="false">SUMIF($C$2:$F$2,EOMONTH(BT$2,-1)+1,$C158:$F158)*VLOOKUP(BT$2,Valores!$H$2:$P$154,8,0)</f>
        <v>0</v>
      </c>
      <c r="BU158" s="30" t="n">
        <f aca="false">SUMIF($C$2:$F$2,EOMONTH(BU$2,-1)+1,$C158:$F158)*VLOOKUP(BU$2,Valores!$H$2:$P$154,8,0)</f>
        <v>0</v>
      </c>
      <c r="BV158" s="30" t="n">
        <f aca="false">SUMIF($C$2:$F$2,EOMONTH(BV$2,-1)+1,$C158:$F158)*VLOOKUP(BV$2,Valores!$H$2:$P$154,8,0)</f>
        <v>0</v>
      </c>
      <c r="BW158" s="30" t="n">
        <f aca="false">SUMIF($C$2:$F$2,EOMONTH(BW$2,-1)+1,$C158:$F158)*VLOOKUP(BW$2,Valores!$H$2:$P$154,8,0)</f>
        <v>0</v>
      </c>
      <c r="BX158" s="30" t="n">
        <f aca="false">SUMIF($C$2:$F$2,EOMONTH(BX$2,-1)+1,$C158:$F158)*VLOOKUP(BX$2,Valores!$H$2:$P$154,8,0)</f>
        <v>0</v>
      </c>
      <c r="BY158" s="30" t="n">
        <f aca="false">SUMIF($C$2:$F$2,EOMONTH(BY$2,-1)+1,$C158:$F158)*VLOOKUP(BY$2,Valores!$H$2:$P$154,8,0)</f>
        <v>0</v>
      </c>
      <c r="BZ158" s="30" t="n">
        <f aca="false">SUMIF($C$2:$F$2,EOMONTH(BZ$2,-1)+1,$C158:$F158)*VLOOKUP(BZ$2,Valores!$H$2:$P$154,8,0)</f>
        <v>0</v>
      </c>
      <c r="CA158" s="30" t="n">
        <f aca="false">SUMIF($C$2:$F$2,EOMONTH(CA$2,-1)+1,$C158:$F158)*VLOOKUP(CA$2,Valores!$H$2:$P$154,8,0)</f>
        <v>0</v>
      </c>
      <c r="CB158" s="30" t="n">
        <f aca="false">SUMIF($C$2:$F$2,EOMONTH(CB$2,-1)+1,$C158:$F158)*VLOOKUP(CB$2,Valores!$H$2:$P$154,8,0)</f>
        <v>0</v>
      </c>
      <c r="CC158" s="30" t="n">
        <f aca="false">SUMIF($C$2:$F$2,EOMONTH(CC$2,-1)+1,$C158:$F158)*VLOOKUP(CC$2,Valores!$H$2:$P$154,8,0)</f>
        <v>0</v>
      </c>
      <c r="CD158" s="30" t="n">
        <f aca="false">SUMIF($C$2:$F$2,EOMONTH(CD$2,-1)+1,$C158:$F158)*VLOOKUP(CD$2,Valores!$H$2:$P$154,8,0)</f>
        <v>0</v>
      </c>
      <c r="CE158" s="30" t="n">
        <f aca="false">SUMIF($C$2:$F$2,EOMONTH(CE$2,-1)+1,$C158:$F158)*VLOOKUP(CE$2,Valores!$H$2:$P$154,8,0)</f>
        <v>0</v>
      </c>
      <c r="CF158" s="30" t="n">
        <f aca="false">SUMIF($C$2:$F$2,EOMONTH(CF$2,-1)+1,$C158:$F158)*VLOOKUP(CF$2,Valores!$H$2:$P$154,8,0)</f>
        <v>0</v>
      </c>
      <c r="CG158" s="30" t="n">
        <f aca="false">SUMIF($C$2:$F$2,EOMONTH(CG$2,-1)+1,$C158:$F158)*VLOOKUP(CG$2,Valores!$H$2:$P$154,8,0)</f>
        <v>0</v>
      </c>
      <c r="CH158" s="30" t="n">
        <f aca="false">SUMIF($C$2:$F$2,EOMONTH(CH$2,-1)+1,$C158:$F158)*VLOOKUP(CH$2,Valores!$H$2:$P$154,8,0)</f>
        <v>0</v>
      </c>
      <c r="CI158" s="30" t="n">
        <f aca="false">SUMIF($C$2:$F$2,EOMONTH(CI$2,-1)+1,$C158:$F158)*VLOOKUP(CI$2,Valores!$H$2:$P$154,8,0)</f>
        <v>0</v>
      </c>
      <c r="CJ158" s="30" t="n">
        <f aca="false">SUMIF($C$2:$F$2,EOMONTH(CJ$2,-1)+1,$C158:$F158)*VLOOKUP(CJ$2,Valores!$H$2:$P$154,8,0)</f>
        <v>0</v>
      </c>
      <c r="CK158" s="30" t="n">
        <f aca="false">SUMIF($C$2:$F$2,EOMONTH(CK$2,-1)+1,$C158:$F158)*VLOOKUP(CK$2,Valores!$H$2:$P$154,8,0)</f>
        <v>0</v>
      </c>
      <c r="CL158" s="30" t="n">
        <f aca="false">SUMIF($C$2:$F$2,EOMONTH(CL$2,-1)+1,$C158:$F158)*VLOOKUP(CL$2,Valores!$H$2:$P$154,8,0)</f>
        <v>0</v>
      </c>
      <c r="CM158" s="30" t="n">
        <f aca="false">SUMIF($C$2:$F$2,EOMONTH(CM$2,-1)+1,$C158:$F158)*VLOOKUP(CM$2,Valores!$H$2:$P$154,8,0)</f>
        <v>0</v>
      </c>
      <c r="CN158" s="30" t="n">
        <f aca="false">SUMIF($C$2:$F$2,EOMONTH(CN$2,-1)+1,$C158:$F158)*VLOOKUP(CN$2,Valores!$H$2:$P$154,8,0)</f>
        <v>0</v>
      </c>
      <c r="CO158" s="30" t="n">
        <f aca="false">SUMIF($C$2:$F$2,EOMONTH(CO$2,-1)+1,$C158:$F158)*VLOOKUP(CO$2,Valores!$H$2:$P$154,8,0)</f>
        <v>0</v>
      </c>
      <c r="CP158" s="30" t="n">
        <f aca="false">SUMIF($C$2:$F$2,EOMONTH(CP$2,-1)+1,$C158:$F158)*VLOOKUP(CP$2,Valores!$H$2:$P$154,8,0)</f>
        <v>0</v>
      </c>
      <c r="CQ158" s="30" t="n">
        <f aca="false">SUMIF($C$2:$F$2,EOMONTH(CQ$2,-1)+1,$C158:$F158)*VLOOKUP(CQ$2,Valores!$H$2:$P$154,8,0)</f>
        <v>0</v>
      </c>
      <c r="CR158" s="30" t="n">
        <f aca="false">SUMIF($C$2:$F$2,EOMONTH(CR$2,-1)+1,$C158:$F158)*VLOOKUP(CR$2,Valores!$H$2:$P$154,8,0)</f>
        <v>0</v>
      </c>
      <c r="CS158" s="30" t="n">
        <f aca="false">SUMIF($C$2:$F$2,EOMONTH(CS$2,-1)+1,$C158:$F158)*VLOOKUP(CS$2,Valores!$H$2:$P$154,8,0)</f>
        <v>0</v>
      </c>
      <c r="CT158" s="30" t="e">
        <f aca="false">SUMIF($C$2:$F$2,EOMONTH(CT$2,-1)+1,$C158:$F158)*VLOOKUP(CT$2,Valores!$H$2:$P$154,8,0)</f>
        <v>#VALUE!</v>
      </c>
      <c r="CU158" s="30" t="e">
        <f aca="false">SUMIF($C$2:$F$2,EOMONTH(CU$2,-1)+1,$C158:$F158)*VLOOKUP(CU$2,Valores!$H$2:$P$154,8,0)</f>
        <v>#VALUE!</v>
      </c>
      <c r="CV158" s="30" t="e">
        <f aca="false">SUMIF($C$2:$F$2,EOMONTH(CV$2,-1)+1,$C158:$F158)*VLOOKUP(CV$2,Valores!$H$2:$P$154,8,0)</f>
        <v>#VALUE!</v>
      </c>
      <c r="CW158" s="30" t="e">
        <f aca="false">SUMIF($C$2:$F$2,EOMONTH(CW$2,-1)+1,$C158:$F158)*VLOOKUP(CW$2,Valores!$H$2:$P$154,8,0)</f>
        <v>#VALUE!</v>
      </c>
      <c r="CX158" s="30" t="e">
        <f aca="false">SUMIF($C$2:$F$2,EOMONTH(CX$2,-1)+1,$C158:$F158)*VLOOKUP(CX$2,Valores!$H$2:$P$154,8,0)</f>
        <v>#VALUE!</v>
      </c>
      <c r="CY158" s="30" t="e">
        <f aca="false">SUMIF($C$2:$F$2,EOMONTH(CY$2,-1)+1,$C158:$F158)*VLOOKUP(CY$2,Valores!$H$2:$P$154,8,0)</f>
        <v>#VALUE!</v>
      </c>
      <c r="CZ158" s="30" t="e">
        <f aca="false">SUMIF($C$2:$F$2,EOMONTH(CZ$2,-1)+1,$C158:$F158)*VLOOKUP(CZ$2,Valores!$H$2:$P$154,8,0)</f>
        <v>#VALUE!</v>
      </c>
      <c r="DA158" s="30" t="e">
        <f aca="false">SUMIF($C$2:$F$2,EOMONTH(DA$2,-1)+1,$C158:$F158)*VLOOKUP(DA$2,Valores!$H$2:$P$154,8,0)</f>
        <v>#VALUE!</v>
      </c>
      <c r="DB158" s="30" t="e">
        <f aca="false">SUMIF($C$2:$F$2,EOMONTH(DB$2,-1)+1,$C158:$F158)*VLOOKUP(DB$2,Valores!$H$2:$P$154,8,0)</f>
        <v>#VALUE!</v>
      </c>
      <c r="DC158" s="30" t="e">
        <f aca="false">SUMIF($C$2:$F$2,EOMONTH(DC$2,-1)+1,$C158:$F158)*VLOOKUP(DC$2,Valores!$H$2:$P$154,8,0)</f>
        <v>#VALUE!</v>
      </c>
      <c r="DD158" s="30" t="e">
        <f aca="false">SUMIF($C$2:$F$2,EOMONTH(DD$2,-1)+1,$C158:$F158)*VLOOKUP(DD$2,Valores!$H$2:$P$154,8,0)</f>
        <v>#VALUE!</v>
      </c>
      <c r="DE158" s="30" t="e">
        <f aca="false">SUMIF($C$2:$F$2,EOMONTH(DE$2,-1)+1,$C158:$F158)*VLOOKUP(DE$2,Valores!$H$2:$P$154,8,0)</f>
        <v>#VALUE!</v>
      </c>
      <c r="DF158" s="30" t="e">
        <f aca="false">SUMIF($C$2:$F$2,EOMONTH(DF$2,-1)+1,$C158:$F158)*VLOOKUP(DF$2,Valores!$H$2:$P$154,8,0)</f>
        <v>#VALUE!</v>
      </c>
      <c r="DG158" s="30" t="e">
        <f aca="false">SUMIF($C$2:$F$2,EOMONTH(DG$2,-1)+1,$C158:$F158)*VLOOKUP(DG$2,Valores!$H$2:$P$154,8,0)</f>
        <v>#VALUE!</v>
      </c>
      <c r="DH158" s="30" t="e">
        <f aca="false">SUMIF($C$2:$F$2,EOMONTH(DH$2,-1)+1,$C158:$F158)*VLOOKUP(DH$2,Valores!$H$2:$P$154,8,0)</f>
        <v>#VALUE!</v>
      </c>
      <c r="DI158" s="30" t="e">
        <f aca="false">SUMIF($C$2:$F$2,EOMONTH(DI$2,-1)+1,$C158:$F158)*VLOOKUP(DI$2,Valores!$H$2:$P$154,8,0)</f>
        <v>#VALUE!</v>
      </c>
      <c r="DJ158" s="30" t="e">
        <f aca="false">SUMIF($C$2:$F$2,EOMONTH(DJ$2,-1)+1,$C158:$F158)*VLOOKUP(DJ$2,Valores!$H$2:$P$154,8,0)</f>
        <v>#VALUE!</v>
      </c>
      <c r="DK158" s="30" t="e">
        <f aca="false">SUMIF($C$2:$F$2,EOMONTH(DK$2,-1)+1,$C158:$F158)*VLOOKUP(DK$2,Valores!$H$2:$P$154,8,0)</f>
        <v>#VALUE!</v>
      </c>
      <c r="DL158" s="30" t="e">
        <f aca="false">SUMIF($C$2:$F$2,EOMONTH(DL$2,-1)+1,$C158:$F158)*VLOOKUP(DL$2,Valores!$H$2:$P$154,8,0)</f>
        <v>#VALUE!</v>
      </c>
      <c r="DM158" s="30" t="e">
        <f aca="false">SUMIF($C$2:$F$2,EOMONTH(DM$2,-1)+1,$C158:$F158)*VLOOKUP(DM$2,Valores!$H$2:$P$154,8,0)</f>
        <v>#VALUE!</v>
      </c>
      <c r="DN158" s="30" t="e">
        <f aca="false">SUMIF($C$2:$F$2,EOMONTH(DN$2,-1)+1,$C158:$F158)*VLOOKUP(DN$2,Valores!$H$2:$P$154,8,0)</f>
        <v>#VALUE!</v>
      </c>
      <c r="DO158" s="30" t="e">
        <f aca="false">SUMIF($C$2:$F$2,EOMONTH(DO$2,-1)+1,$C158:$F158)*VLOOKUP(DO$2,Valores!$H$2:$P$154,8,0)</f>
        <v>#VALUE!</v>
      </c>
      <c r="DP158" s="30" t="e">
        <f aca="false">SUMIF($C$2:$F$2,EOMONTH(DP$2,-1)+1,$C158:$F158)*VLOOKUP(DP$2,Valores!$H$2:$P$154,8,0)</f>
        <v>#VALUE!</v>
      </c>
      <c r="DQ158" s="30" t="e">
        <f aca="false">SUMIF($C$2:$F$2,EOMONTH(DQ$2,-1)+1,$C158:$F158)*VLOOKUP(DQ$2,Valores!$H$2:$P$154,8,0)</f>
        <v>#VALUE!</v>
      </c>
      <c r="DR158" s="30" t="e">
        <f aca="false">SUMIF($C$2:$F$2,EOMONTH(DR$2,-1)+1,$C158:$F158)*VLOOKUP(DR$2,Valores!$H$2:$P$154,8,0)</f>
        <v>#VALUE!</v>
      </c>
      <c r="DS158" s="30" t="e">
        <f aca="false">SUMIF($C$2:$F$2,EOMONTH(DS$2,-1)+1,$C158:$F158)*VLOOKUP(DS$2,Valores!$H$2:$P$154,8,0)</f>
        <v>#VALUE!</v>
      </c>
      <c r="DT158" s="30" t="e">
        <f aca="false">SUMIF($C$2:$F$2,EOMONTH(DT$2,-1)+1,$C158:$F158)*VLOOKUP(DT$2,Valores!$H$2:$P$154,8,0)</f>
        <v>#VALUE!</v>
      </c>
      <c r="DU158" s="30" t="e">
        <f aca="false">SUMIF($C$2:$F$2,EOMONTH(DU$2,-1)+1,$C158:$F158)*VLOOKUP(DU$2,Valores!$H$2:$P$154,8,0)</f>
        <v>#VALUE!</v>
      </c>
      <c r="DV158" s="30" t="e">
        <f aca="false">SUMIF($C$2:$F$2,EOMONTH(DV$2,-1)+1,$C158:$F158)*VLOOKUP(DV$2,Valores!$H$2:$P$154,8,0)</f>
        <v>#VALUE!</v>
      </c>
      <c r="DW158" s="30" t="e">
        <f aca="false">SUMIF($C$2:$F$2,EOMONTH(DW$2,-1)+1,$C158:$F158)*VLOOKUP(DW$2,Valores!$H$2:$P$154,8,0)</f>
        <v>#VALUE!</v>
      </c>
      <c r="DX158" s="30" t="e">
        <f aca="false">SUMIF($C$2:$F$2,EOMONTH(DX$2,-1)+1,$C158:$F158)*VLOOKUP(DX$2,Valores!$H$2:$P$154,8,0)</f>
        <v>#VALUE!</v>
      </c>
    </row>
    <row r="159" customFormat="false" ht="13.8" hidden="false" customHeight="false" outlineLevel="0" collapsed="false">
      <c r="A159" s="31"/>
      <c r="B159" s="31"/>
      <c r="C159" s="31"/>
      <c r="D159" s="31"/>
      <c r="E159" s="31"/>
      <c r="F159" s="31"/>
      <c r="G159" s="27" t="n">
        <f aca="false">SUMIF($C$2:$F$2,EOMONTH(G$2,-1)+1,$C159:$F159)*VLOOKUP(G$2,Valores!$H$2:$P$154,8,0)</f>
        <v>0</v>
      </c>
      <c r="H159" s="27" t="n">
        <f aca="false">SUMIF($C$2:$F$2,EOMONTH(H$2,-1)+1,$C159:$F159)*VLOOKUP(H$2,Valores!$H$2:$P$154,8,0)</f>
        <v>0</v>
      </c>
      <c r="I159" s="27" t="n">
        <f aca="false">SUMIF($C$2:$F$2,EOMONTH(I$2,-1)+1,$C159:$F159)*VLOOKUP(I$2,Valores!$H$2:$P$154,8,0)</f>
        <v>0</v>
      </c>
      <c r="J159" s="27" t="n">
        <f aca="false">SUMIF($C$2:$F$2,EOMONTH(J$2,-1)+1,$C159:$F159)*VLOOKUP(J$2,Valores!$H$2:$P$154,8,0)</f>
        <v>0</v>
      </c>
      <c r="K159" s="27" t="n">
        <f aca="false">SUMIF($C$2:$F$2,EOMONTH(K$2,-1)+1,$C159:$F159)*VLOOKUP(K$2,Valores!$H$2:$P$154,8,0)</f>
        <v>0</v>
      </c>
      <c r="L159" s="27" t="n">
        <f aca="false">SUMIF($C$2:$F$2,EOMONTH(L$2,-1)+1,$C159:$F159)*VLOOKUP(L$2,Valores!$H$2:$P$154,8,0)</f>
        <v>0</v>
      </c>
      <c r="M159" s="27" t="n">
        <f aca="false">SUMIF($C$2:$F$2,EOMONTH(M$2,-1)+1,$C159:$F159)*VLOOKUP(M$2,Valores!$H$2:$P$154,8,0)</f>
        <v>0</v>
      </c>
      <c r="N159" s="27" t="n">
        <f aca="false">SUMIF($C$2:$F$2,EOMONTH(N$2,-1)+1,$C159:$F159)*VLOOKUP(N$2,Valores!$H$2:$P$154,8,0)</f>
        <v>0</v>
      </c>
      <c r="O159" s="27" t="n">
        <f aca="false">SUMIF($C$2:$F$2,EOMONTH(O$2,-1)+1,$C159:$F159)*VLOOKUP(O$2,Valores!$H$2:$P$154,8,0)</f>
        <v>0</v>
      </c>
      <c r="P159" s="27" t="n">
        <f aca="false">SUMIF($C$2:$F$2,EOMONTH(P$2,-1)+1,$C159:$F159)*VLOOKUP(P$2,Valores!$H$2:$P$154,8,0)</f>
        <v>0</v>
      </c>
      <c r="Q159" s="27" t="n">
        <f aca="false">SUMIF($C$2:$F$2,EOMONTH(Q$2,-1)+1,$C159:$F159)*VLOOKUP(Q$2,Valores!$H$2:$P$154,8,0)</f>
        <v>0</v>
      </c>
      <c r="R159" s="27" t="n">
        <f aca="false">SUMIF($C$2:$F$2,EOMONTH(R$2,-1)+1,$C159:$F159)*VLOOKUP(R$2,Valores!$H$2:$P$154,8,0)</f>
        <v>0</v>
      </c>
      <c r="S159" s="27" t="n">
        <f aca="false">SUMIF($C$2:$F$2,EOMONTH(S$2,-1)+1,$C159:$F159)*VLOOKUP(S$2,Valores!$H$2:$P$154,8,0)</f>
        <v>0</v>
      </c>
      <c r="T159" s="27" t="n">
        <f aca="false">SUMIF($C$2:$F$2,EOMONTH(T$2,-1)+1,$C159:$F159)*VLOOKUP(T$2,Valores!$H$2:$P$154,8,0)</f>
        <v>0</v>
      </c>
      <c r="U159" s="27" t="n">
        <f aca="false">SUMIF($C$2:$F$2,EOMONTH(U$2,-1)+1,$C159:$F159)*VLOOKUP(U$2,Valores!$H$2:$P$154,8,0)</f>
        <v>0</v>
      </c>
      <c r="V159" s="27" t="n">
        <f aca="false">SUMIF($C$2:$F$2,EOMONTH(V$2,-1)+1,$C159:$F159)*VLOOKUP(V$2,Valores!$H$2:$P$154,8,0)</f>
        <v>0</v>
      </c>
      <c r="W159" s="27" t="n">
        <f aca="false">SUMIF($C$2:$F$2,EOMONTH(W$2,-1)+1,$C159:$F159)*VLOOKUP(W$2,Valores!$H$2:$P$154,8,0)</f>
        <v>0</v>
      </c>
      <c r="X159" s="27" t="n">
        <f aca="false">SUMIF($C$2:$F$2,EOMONTH(X$2,-1)+1,$C159:$F159)*VLOOKUP(X$2,Valores!$H$2:$P$154,8,0)</f>
        <v>0</v>
      </c>
      <c r="Y159" s="27" t="n">
        <f aca="false">SUMIF($C$2:$F$2,EOMONTH(Y$2,-1)+1,$C159:$F159)*VLOOKUP(Y$2,Valores!$H$2:$P$154,8,0)</f>
        <v>0</v>
      </c>
      <c r="Z159" s="27" t="n">
        <f aca="false">SUMIF($C$2:$F$2,EOMONTH(Z$2,-1)+1,$C159:$F159)*VLOOKUP(Z$2,Valores!$H$2:$P$154,8,0)</f>
        <v>0</v>
      </c>
      <c r="AA159" s="27" t="n">
        <f aca="false">SUMIF($C$2:$F$2,EOMONTH(AA$2,-1)+1,$C159:$F159)*VLOOKUP(AA$2,Valores!$H$2:$P$154,8,0)</f>
        <v>0</v>
      </c>
      <c r="AB159" s="27" t="n">
        <f aca="false">SUMIF($C$2:$F$2,EOMONTH(AB$2,-1)+1,$C159:$F159)*VLOOKUP(AB$2,Valores!$H$2:$P$154,8,0)</f>
        <v>0</v>
      </c>
      <c r="AC159" s="27" t="n">
        <f aca="false">SUMIF($C$2:$F$2,EOMONTH(AC$2,-1)+1,$C159:$F159)*VLOOKUP(AC$2,Valores!$H$2:$P$154,8,0)</f>
        <v>0</v>
      </c>
      <c r="AD159" s="27" t="n">
        <f aca="false">SUMIF($C$2:$F$2,EOMONTH(AD$2,-1)+1,$C159:$F159)*VLOOKUP(AD$2,Valores!$H$2:$P$154,8,0)</f>
        <v>0</v>
      </c>
      <c r="AE159" s="27" t="n">
        <f aca="false">SUMIF($C$2:$F$2,EOMONTH(AE$2,-1)+1,$C159:$F159)*VLOOKUP(AE$2,Valores!$H$2:$P$154,8,0)</f>
        <v>0</v>
      </c>
      <c r="AF159" s="27" t="n">
        <f aca="false">SUMIF($C$2:$F$2,EOMONTH(AF$2,-1)+1,$C159:$F159)*VLOOKUP(AF$2,Valores!$H$2:$P$154,8,0)</f>
        <v>0</v>
      </c>
      <c r="AG159" s="27" t="n">
        <f aca="false">SUMIF($C$2:$F$2,EOMONTH(AG$2,-1)+1,$C159:$F159)*VLOOKUP(AG$2,Valores!$H$2:$P$154,8,0)</f>
        <v>0</v>
      </c>
      <c r="AH159" s="27" t="n">
        <f aca="false">SUMIF($C$2:$F$2,EOMONTH(AH$2,-1)+1,$C159:$F159)*VLOOKUP(AH$2,Valores!$H$2:$P$154,8,0)</f>
        <v>0</v>
      </c>
      <c r="AI159" s="27" t="n">
        <f aca="false">SUMIF($C$2:$F$2,EOMONTH(AI$2,-1)+1,$C159:$F159)*VLOOKUP(AI$2,Valores!$H$2:$P$154,8,0)</f>
        <v>0</v>
      </c>
      <c r="AJ159" s="27" t="n">
        <f aca="false">SUMIF($C$2:$F$2,EOMONTH(AJ$2,-1)+1,$C159:$F159)*VLOOKUP(AJ$2,Valores!$H$2:$P$154,8,0)</f>
        <v>0</v>
      </c>
      <c r="AK159" s="27" t="n">
        <f aca="false">SUMIF($C$2:$F$2,EOMONTH(AK$2,-1)+1,$C159:$F159)*VLOOKUP(AK$2,Valores!$H$2:$P$154,8,0)</f>
        <v>0</v>
      </c>
      <c r="AL159" s="27" t="n">
        <f aca="false">SUMIF($C$2:$F$2,EOMONTH(AL$2,-1)+1,$C159:$F159)*VLOOKUP(AL$2,Valores!$H$2:$P$154,8,0)</f>
        <v>0</v>
      </c>
      <c r="AM159" s="27" t="n">
        <f aca="false">SUMIF($C$2:$F$2,EOMONTH(AM$2,-1)+1,$C159:$F159)*VLOOKUP(AM$2,Valores!$H$2:$P$154,8,0)</f>
        <v>0</v>
      </c>
      <c r="AN159" s="27" t="n">
        <f aca="false">SUMIF($C$2:$F$2,EOMONTH(AN$2,-1)+1,$C159:$F159)*VLOOKUP(AN$2,Valores!$H$2:$P$154,8,0)</f>
        <v>0</v>
      </c>
      <c r="AO159" s="27" t="n">
        <f aca="false">SUMIF($C$2:$F$2,EOMONTH(AO$2,-1)+1,$C159:$F159)*VLOOKUP(AO$2,Valores!$H$2:$P$154,8,0)</f>
        <v>0</v>
      </c>
      <c r="AP159" s="27" t="n">
        <f aca="false">SUMIF($C$2:$F$2,EOMONTH(AP$2,-1)+1,$C159:$F159)*VLOOKUP(AP$2,Valores!$H$2:$P$154,8,0)</f>
        <v>0</v>
      </c>
      <c r="AQ159" s="27" t="n">
        <f aca="false">SUMIF($C$2:$F$2,EOMONTH(AQ$2,-1)+1,$C159:$F159)*VLOOKUP(AQ$2,Valores!$H$2:$P$154,8,0)</f>
        <v>0</v>
      </c>
      <c r="AR159" s="27" t="n">
        <f aca="false">SUMIF($C$2:$F$2,EOMONTH(AR$2,-1)+1,$C159:$F159)*VLOOKUP(AR$2,Valores!$H$2:$P$154,8,0)</f>
        <v>0</v>
      </c>
      <c r="AS159" s="27" t="n">
        <f aca="false">SUMIF($C$2:$F$2,EOMONTH(AS$2,-1)+1,$C159:$F159)*VLOOKUP(AS$2,Valores!$H$2:$P$154,8,0)</f>
        <v>0</v>
      </c>
      <c r="AT159" s="27" t="n">
        <f aca="false">SUMIF($C$2:$F$2,EOMONTH(AT$2,-1)+1,$C159:$F159)*VLOOKUP(AT$2,Valores!$H$2:$P$154,8,0)</f>
        <v>0</v>
      </c>
      <c r="AU159" s="27" t="n">
        <f aca="false">SUMIF($C$2:$F$2,EOMONTH(AU$2,-1)+1,$C159:$F159)*VLOOKUP(AU$2,Valores!$H$2:$P$154,8,0)</f>
        <v>0</v>
      </c>
      <c r="AV159" s="27" t="n">
        <f aca="false">SUMIF($C$2:$F$2,EOMONTH(AV$2,-1)+1,$C159:$F159)*VLOOKUP(AV$2,Valores!$H$2:$P$154,8,0)</f>
        <v>0</v>
      </c>
      <c r="AW159" s="27" t="n">
        <f aca="false">SUMIF($C$2:$F$2,EOMONTH(AW$2,-1)+1,$C159:$F159)*VLOOKUP(AW$2,Valores!$H$2:$P$154,8,0)</f>
        <v>0</v>
      </c>
      <c r="AX159" s="27" t="n">
        <f aca="false">SUMIF($C$2:$F$2,EOMONTH(AX$2,-1)+1,$C159:$F159)*VLOOKUP(AX$2,Valores!$H$2:$P$154,8,0)</f>
        <v>0</v>
      </c>
      <c r="AY159" s="27" t="n">
        <f aca="false">SUMIF($C$2:$F$2,EOMONTH(AY$2,-1)+1,$C159:$F159)*VLOOKUP(AY$2,Valores!$H$2:$P$154,8,0)</f>
        <v>0</v>
      </c>
      <c r="AZ159" s="27" t="n">
        <f aca="false">SUMIF($C$2:$F$2,EOMONTH(AZ$2,-1)+1,$C159:$F159)*VLOOKUP(AZ$2,Valores!$H$2:$P$154,8,0)</f>
        <v>0</v>
      </c>
      <c r="BA159" s="27" t="n">
        <f aca="false">SUMIF($C$2:$F$2,EOMONTH(BA$2,-1)+1,$C159:$F159)*VLOOKUP(BA$2,Valores!$H$2:$P$154,8,0)</f>
        <v>0</v>
      </c>
      <c r="BB159" s="27" t="n">
        <f aca="false">SUMIF($C$2:$F$2,EOMONTH(BB$2,-1)+1,$C159:$F159)*VLOOKUP(BB$2,Valores!$H$2:$P$154,8,0)</f>
        <v>0</v>
      </c>
      <c r="BC159" s="27" t="n">
        <f aca="false">SUMIF($C$2:$F$2,EOMONTH(BC$2,-1)+1,$C159:$F159)*VLOOKUP(BC$2,Valores!$H$2:$P$154,8,0)</f>
        <v>0</v>
      </c>
      <c r="BD159" s="27" t="n">
        <f aca="false">SUMIF($C$2:$F$2,EOMONTH(BD$2,-1)+1,$C159:$F159)*VLOOKUP(BD$2,Valores!$H$2:$P$154,8,0)</f>
        <v>0</v>
      </c>
      <c r="BE159" s="27" t="n">
        <f aca="false">SUMIF($C$2:$F$2,EOMONTH(BE$2,-1)+1,$C159:$F159)*VLOOKUP(BE$2,Valores!$H$2:$P$154,8,0)</f>
        <v>0</v>
      </c>
      <c r="BF159" s="27" t="n">
        <f aca="false">SUMIF($C$2:$F$2,EOMONTH(BF$2,-1)+1,$C159:$F159)*VLOOKUP(BF$2,Valores!$H$2:$P$154,8,0)</f>
        <v>0</v>
      </c>
      <c r="BG159" s="27" t="n">
        <f aca="false">SUMIF($C$2:$F$2,EOMONTH(BG$2,-1)+1,$C159:$F159)*VLOOKUP(BG$2,Valores!$H$2:$P$154,8,0)</f>
        <v>0</v>
      </c>
      <c r="BH159" s="27" t="n">
        <f aca="false">SUMIF($C$2:$F$2,EOMONTH(BH$2,-1)+1,$C159:$F159)*VLOOKUP(BH$2,Valores!$H$2:$P$154,8,0)</f>
        <v>0</v>
      </c>
      <c r="BI159" s="27" t="n">
        <f aca="false">SUMIF($C$2:$F$2,EOMONTH(BI$2,-1)+1,$C159:$F159)*VLOOKUP(BI$2,Valores!$H$2:$P$154,8,0)</f>
        <v>0</v>
      </c>
      <c r="BJ159" s="27" t="n">
        <f aca="false">SUMIF($C$2:$F$2,EOMONTH(BJ$2,-1)+1,$C159:$F159)*VLOOKUP(BJ$2,Valores!$H$2:$P$154,8,0)</f>
        <v>0</v>
      </c>
      <c r="BK159" s="27" t="n">
        <f aca="false">SUMIF($C$2:$F$2,EOMONTH(BK$2,-1)+1,$C159:$F159)*VLOOKUP(BK$2,Valores!$H$2:$P$154,8,0)</f>
        <v>0</v>
      </c>
      <c r="BL159" s="27" t="n">
        <f aca="false">SUMIF($C$2:$F$2,EOMONTH(BL$2,-1)+1,$C159:$F159)*VLOOKUP(BL$2,Valores!$H$2:$P$154,8,0)</f>
        <v>0</v>
      </c>
      <c r="BM159" s="27" t="n">
        <f aca="false">SUMIF($C$2:$F$2,EOMONTH(BM$2,-1)+1,$C159:$F159)*VLOOKUP(BM$2,Valores!$H$2:$P$154,8,0)</f>
        <v>0</v>
      </c>
      <c r="BN159" s="27" t="n">
        <f aca="false">SUMIF($C$2:$F$2,EOMONTH(BN$2,-1)+1,$C159:$F159)*VLOOKUP(BN$2,Valores!$H$2:$P$154,8,0)</f>
        <v>0</v>
      </c>
      <c r="BO159" s="27" t="n">
        <f aca="false">SUMIF($C$2:$F$2,EOMONTH(BO$2,-1)+1,$C159:$F159)*VLOOKUP(BO$2,Valores!$H$2:$P$154,8,0)</f>
        <v>0</v>
      </c>
      <c r="BP159" s="27" t="n">
        <f aca="false">SUMIF($C$2:$F$2,EOMONTH(BP$2,-1)+1,$C159:$F159)*VLOOKUP(BP$2,Valores!$H$2:$P$154,8,0)</f>
        <v>0</v>
      </c>
      <c r="BQ159" s="27" t="n">
        <f aca="false">SUMIF($C$2:$F$2,EOMONTH(BQ$2,-1)+1,$C159:$F159)*VLOOKUP(BQ$2,Valores!$H$2:$P$154,8,0)</f>
        <v>0</v>
      </c>
      <c r="BR159" s="27" t="n">
        <f aca="false">SUMIF($C$2:$F$2,EOMONTH(BR$2,-1)+1,$C159:$F159)*VLOOKUP(BR$2,Valores!$H$2:$P$154,8,0)</f>
        <v>0</v>
      </c>
      <c r="BS159" s="27" t="n">
        <f aca="false">SUMIF($C$2:$F$2,EOMONTH(BS$2,-1)+1,$C159:$F159)*VLOOKUP(BS$2,Valores!$H$2:$P$154,8,0)</f>
        <v>0</v>
      </c>
      <c r="BT159" s="27" t="n">
        <f aca="false">SUMIF($C$2:$F$2,EOMONTH(BT$2,-1)+1,$C159:$F159)*VLOOKUP(BT$2,Valores!$H$2:$P$154,8,0)</f>
        <v>0</v>
      </c>
      <c r="BU159" s="27" t="n">
        <f aca="false">SUMIF($C$2:$F$2,EOMONTH(BU$2,-1)+1,$C159:$F159)*VLOOKUP(BU$2,Valores!$H$2:$P$154,8,0)</f>
        <v>0</v>
      </c>
      <c r="BV159" s="27" t="n">
        <f aca="false">SUMIF($C$2:$F$2,EOMONTH(BV$2,-1)+1,$C159:$F159)*VLOOKUP(BV$2,Valores!$H$2:$P$154,8,0)</f>
        <v>0</v>
      </c>
      <c r="BW159" s="27" t="n">
        <f aca="false">SUMIF($C$2:$F$2,EOMONTH(BW$2,-1)+1,$C159:$F159)*VLOOKUP(BW$2,Valores!$H$2:$P$154,8,0)</f>
        <v>0</v>
      </c>
      <c r="BX159" s="27" t="n">
        <f aca="false">SUMIF($C$2:$F$2,EOMONTH(BX$2,-1)+1,$C159:$F159)*VLOOKUP(BX$2,Valores!$H$2:$P$154,8,0)</f>
        <v>0</v>
      </c>
      <c r="BY159" s="27" t="n">
        <f aca="false">SUMIF($C$2:$F$2,EOMONTH(BY$2,-1)+1,$C159:$F159)*VLOOKUP(BY$2,Valores!$H$2:$P$154,8,0)</f>
        <v>0</v>
      </c>
      <c r="BZ159" s="27" t="n">
        <f aca="false">SUMIF($C$2:$F$2,EOMONTH(BZ$2,-1)+1,$C159:$F159)*VLOOKUP(BZ$2,Valores!$H$2:$P$154,8,0)</f>
        <v>0</v>
      </c>
      <c r="CA159" s="27" t="n">
        <f aca="false">SUMIF($C$2:$F$2,EOMONTH(CA$2,-1)+1,$C159:$F159)*VLOOKUP(CA$2,Valores!$H$2:$P$154,8,0)</f>
        <v>0</v>
      </c>
      <c r="CB159" s="27" t="n">
        <f aca="false">SUMIF($C$2:$F$2,EOMONTH(CB$2,-1)+1,$C159:$F159)*VLOOKUP(CB$2,Valores!$H$2:$P$154,8,0)</f>
        <v>0</v>
      </c>
      <c r="CC159" s="27" t="n">
        <f aca="false">SUMIF($C$2:$F$2,EOMONTH(CC$2,-1)+1,$C159:$F159)*VLOOKUP(CC$2,Valores!$H$2:$P$154,8,0)</f>
        <v>0</v>
      </c>
      <c r="CD159" s="27" t="n">
        <f aca="false">SUMIF($C$2:$F$2,EOMONTH(CD$2,-1)+1,$C159:$F159)*VLOOKUP(CD$2,Valores!$H$2:$P$154,8,0)</f>
        <v>0</v>
      </c>
      <c r="CE159" s="27" t="n">
        <f aca="false">SUMIF($C$2:$F$2,EOMONTH(CE$2,-1)+1,$C159:$F159)*VLOOKUP(CE$2,Valores!$H$2:$P$154,8,0)</f>
        <v>0</v>
      </c>
      <c r="CF159" s="27" t="n">
        <f aca="false">SUMIF($C$2:$F$2,EOMONTH(CF$2,-1)+1,$C159:$F159)*VLOOKUP(CF$2,Valores!$H$2:$P$154,8,0)</f>
        <v>0</v>
      </c>
      <c r="CG159" s="27" t="n">
        <f aca="false">SUMIF($C$2:$F$2,EOMONTH(CG$2,-1)+1,$C159:$F159)*VLOOKUP(CG$2,Valores!$H$2:$P$154,8,0)</f>
        <v>0</v>
      </c>
      <c r="CH159" s="27" t="n">
        <f aca="false">SUMIF($C$2:$F$2,EOMONTH(CH$2,-1)+1,$C159:$F159)*VLOOKUP(CH$2,Valores!$H$2:$P$154,8,0)</f>
        <v>0</v>
      </c>
      <c r="CI159" s="27" t="n">
        <f aca="false">SUMIF($C$2:$F$2,EOMONTH(CI$2,-1)+1,$C159:$F159)*VLOOKUP(CI$2,Valores!$H$2:$P$154,8,0)</f>
        <v>0</v>
      </c>
      <c r="CJ159" s="27" t="n">
        <f aca="false">SUMIF($C$2:$F$2,EOMONTH(CJ$2,-1)+1,$C159:$F159)*VLOOKUP(CJ$2,Valores!$H$2:$P$154,8,0)</f>
        <v>0</v>
      </c>
      <c r="CK159" s="27" t="n">
        <f aca="false">SUMIF($C$2:$F$2,EOMONTH(CK$2,-1)+1,$C159:$F159)*VLOOKUP(CK$2,Valores!$H$2:$P$154,8,0)</f>
        <v>0</v>
      </c>
      <c r="CL159" s="27" t="n">
        <f aca="false">SUMIF($C$2:$F$2,EOMONTH(CL$2,-1)+1,$C159:$F159)*VLOOKUP(CL$2,Valores!$H$2:$P$154,8,0)</f>
        <v>0</v>
      </c>
      <c r="CM159" s="27" t="n">
        <f aca="false">SUMIF($C$2:$F$2,EOMONTH(CM$2,-1)+1,$C159:$F159)*VLOOKUP(CM$2,Valores!$H$2:$P$154,8,0)</f>
        <v>0</v>
      </c>
      <c r="CN159" s="27" t="n">
        <f aca="false">SUMIF($C$2:$F$2,EOMONTH(CN$2,-1)+1,$C159:$F159)*VLOOKUP(CN$2,Valores!$H$2:$P$154,8,0)</f>
        <v>0</v>
      </c>
      <c r="CO159" s="27" t="n">
        <f aca="false">SUMIF($C$2:$F$2,EOMONTH(CO$2,-1)+1,$C159:$F159)*VLOOKUP(CO$2,Valores!$H$2:$P$154,8,0)</f>
        <v>0</v>
      </c>
      <c r="CP159" s="27" t="n">
        <f aca="false">SUMIF($C$2:$F$2,EOMONTH(CP$2,-1)+1,$C159:$F159)*VLOOKUP(CP$2,Valores!$H$2:$P$154,8,0)</f>
        <v>0</v>
      </c>
      <c r="CQ159" s="27" t="n">
        <f aca="false">SUMIF($C$2:$F$2,EOMONTH(CQ$2,-1)+1,$C159:$F159)*VLOOKUP(CQ$2,Valores!$H$2:$P$154,8,0)</f>
        <v>0</v>
      </c>
      <c r="CR159" s="27" t="n">
        <f aca="false">SUMIF($C$2:$F$2,EOMONTH(CR$2,-1)+1,$C159:$F159)*VLOOKUP(CR$2,Valores!$H$2:$P$154,8,0)</f>
        <v>0</v>
      </c>
      <c r="CS159" s="27" t="n">
        <f aca="false">SUMIF($C$2:$F$2,EOMONTH(CS$2,-1)+1,$C159:$F159)*VLOOKUP(CS$2,Valores!$H$2:$P$154,8,0)</f>
        <v>0</v>
      </c>
      <c r="CT159" s="27" t="e">
        <f aca="false">SUMIF($C$2:$F$2,EOMONTH(CT$2,-1)+1,$C159:$F159)*VLOOKUP(CT$2,Valores!$H$2:$P$154,8,0)</f>
        <v>#VALUE!</v>
      </c>
      <c r="CU159" s="27" t="e">
        <f aca="false">SUMIF($C$2:$F$2,EOMONTH(CU$2,-1)+1,$C159:$F159)*VLOOKUP(CU$2,Valores!$H$2:$P$154,8,0)</f>
        <v>#VALUE!</v>
      </c>
      <c r="CV159" s="27" t="e">
        <f aca="false">SUMIF($C$2:$F$2,EOMONTH(CV$2,-1)+1,$C159:$F159)*VLOOKUP(CV$2,Valores!$H$2:$P$154,8,0)</f>
        <v>#VALUE!</v>
      </c>
      <c r="CW159" s="27" t="e">
        <f aca="false">SUMIF($C$2:$F$2,EOMONTH(CW$2,-1)+1,$C159:$F159)*VLOOKUP(CW$2,Valores!$H$2:$P$154,8,0)</f>
        <v>#VALUE!</v>
      </c>
      <c r="CX159" s="27" t="e">
        <f aca="false">SUMIF($C$2:$F$2,EOMONTH(CX$2,-1)+1,$C159:$F159)*VLOOKUP(CX$2,Valores!$H$2:$P$154,8,0)</f>
        <v>#VALUE!</v>
      </c>
      <c r="CY159" s="27" t="e">
        <f aca="false">SUMIF($C$2:$F$2,EOMONTH(CY$2,-1)+1,$C159:$F159)*VLOOKUP(CY$2,Valores!$H$2:$P$154,8,0)</f>
        <v>#VALUE!</v>
      </c>
      <c r="CZ159" s="27" t="e">
        <f aca="false">SUMIF($C$2:$F$2,EOMONTH(CZ$2,-1)+1,$C159:$F159)*VLOOKUP(CZ$2,Valores!$H$2:$P$154,8,0)</f>
        <v>#VALUE!</v>
      </c>
      <c r="DA159" s="27" t="e">
        <f aca="false">SUMIF($C$2:$F$2,EOMONTH(DA$2,-1)+1,$C159:$F159)*VLOOKUP(DA$2,Valores!$H$2:$P$154,8,0)</f>
        <v>#VALUE!</v>
      </c>
      <c r="DB159" s="27" t="e">
        <f aca="false">SUMIF($C$2:$F$2,EOMONTH(DB$2,-1)+1,$C159:$F159)*VLOOKUP(DB$2,Valores!$H$2:$P$154,8,0)</f>
        <v>#VALUE!</v>
      </c>
      <c r="DC159" s="27" t="e">
        <f aca="false">SUMIF($C$2:$F$2,EOMONTH(DC$2,-1)+1,$C159:$F159)*VLOOKUP(DC$2,Valores!$H$2:$P$154,8,0)</f>
        <v>#VALUE!</v>
      </c>
      <c r="DD159" s="27" t="e">
        <f aca="false">SUMIF($C$2:$F$2,EOMONTH(DD$2,-1)+1,$C159:$F159)*VLOOKUP(DD$2,Valores!$H$2:$P$154,8,0)</f>
        <v>#VALUE!</v>
      </c>
      <c r="DE159" s="27" t="e">
        <f aca="false">SUMIF($C$2:$F$2,EOMONTH(DE$2,-1)+1,$C159:$F159)*VLOOKUP(DE$2,Valores!$H$2:$P$154,8,0)</f>
        <v>#VALUE!</v>
      </c>
      <c r="DF159" s="27" t="e">
        <f aca="false">SUMIF($C$2:$F$2,EOMONTH(DF$2,-1)+1,$C159:$F159)*VLOOKUP(DF$2,Valores!$H$2:$P$154,8,0)</f>
        <v>#VALUE!</v>
      </c>
      <c r="DG159" s="27" t="e">
        <f aca="false">SUMIF($C$2:$F$2,EOMONTH(DG$2,-1)+1,$C159:$F159)*VLOOKUP(DG$2,Valores!$H$2:$P$154,8,0)</f>
        <v>#VALUE!</v>
      </c>
      <c r="DH159" s="27" t="e">
        <f aca="false">SUMIF($C$2:$F$2,EOMONTH(DH$2,-1)+1,$C159:$F159)*VLOOKUP(DH$2,Valores!$H$2:$P$154,8,0)</f>
        <v>#VALUE!</v>
      </c>
      <c r="DI159" s="27" t="e">
        <f aca="false">SUMIF($C$2:$F$2,EOMONTH(DI$2,-1)+1,$C159:$F159)*VLOOKUP(DI$2,Valores!$H$2:$P$154,8,0)</f>
        <v>#VALUE!</v>
      </c>
      <c r="DJ159" s="27" t="e">
        <f aca="false">SUMIF($C$2:$F$2,EOMONTH(DJ$2,-1)+1,$C159:$F159)*VLOOKUP(DJ$2,Valores!$H$2:$P$154,8,0)</f>
        <v>#VALUE!</v>
      </c>
      <c r="DK159" s="27" t="e">
        <f aca="false">SUMIF($C$2:$F$2,EOMONTH(DK$2,-1)+1,$C159:$F159)*VLOOKUP(DK$2,Valores!$H$2:$P$154,8,0)</f>
        <v>#VALUE!</v>
      </c>
      <c r="DL159" s="27" t="e">
        <f aca="false">SUMIF($C$2:$F$2,EOMONTH(DL$2,-1)+1,$C159:$F159)*VLOOKUP(DL$2,Valores!$H$2:$P$154,8,0)</f>
        <v>#VALUE!</v>
      </c>
      <c r="DM159" s="27" t="e">
        <f aca="false">SUMIF($C$2:$F$2,EOMONTH(DM$2,-1)+1,$C159:$F159)*VLOOKUP(DM$2,Valores!$H$2:$P$154,8,0)</f>
        <v>#VALUE!</v>
      </c>
      <c r="DN159" s="27" t="e">
        <f aca="false">SUMIF($C$2:$F$2,EOMONTH(DN$2,-1)+1,$C159:$F159)*VLOOKUP(DN$2,Valores!$H$2:$P$154,8,0)</f>
        <v>#VALUE!</v>
      </c>
      <c r="DO159" s="27" t="e">
        <f aca="false">SUMIF($C$2:$F$2,EOMONTH(DO$2,-1)+1,$C159:$F159)*VLOOKUP(DO$2,Valores!$H$2:$P$154,8,0)</f>
        <v>#VALUE!</v>
      </c>
      <c r="DP159" s="27" t="e">
        <f aca="false">SUMIF($C$2:$F$2,EOMONTH(DP$2,-1)+1,$C159:$F159)*VLOOKUP(DP$2,Valores!$H$2:$P$154,8,0)</f>
        <v>#VALUE!</v>
      </c>
      <c r="DQ159" s="27" t="e">
        <f aca="false">SUMIF($C$2:$F$2,EOMONTH(DQ$2,-1)+1,$C159:$F159)*VLOOKUP(DQ$2,Valores!$H$2:$P$154,8,0)</f>
        <v>#VALUE!</v>
      </c>
      <c r="DR159" s="27" t="e">
        <f aca="false">SUMIF($C$2:$F$2,EOMONTH(DR$2,-1)+1,$C159:$F159)*VLOOKUP(DR$2,Valores!$H$2:$P$154,8,0)</f>
        <v>#VALUE!</v>
      </c>
      <c r="DS159" s="27" t="e">
        <f aca="false">SUMIF($C$2:$F$2,EOMONTH(DS$2,-1)+1,$C159:$F159)*VLOOKUP(DS$2,Valores!$H$2:$P$154,8,0)</f>
        <v>#VALUE!</v>
      </c>
      <c r="DT159" s="27" t="e">
        <f aca="false">SUMIF($C$2:$F$2,EOMONTH(DT$2,-1)+1,$C159:$F159)*VLOOKUP(DT$2,Valores!$H$2:$P$154,8,0)</f>
        <v>#VALUE!</v>
      </c>
      <c r="DU159" s="27" t="e">
        <f aca="false">SUMIF($C$2:$F$2,EOMONTH(DU$2,-1)+1,$C159:$F159)*VLOOKUP(DU$2,Valores!$H$2:$P$154,8,0)</f>
        <v>#VALUE!</v>
      </c>
      <c r="DV159" s="27" t="e">
        <f aca="false">SUMIF($C$2:$F$2,EOMONTH(DV$2,-1)+1,$C159:$F159)*VLOOKUP(DV$2,Valores!$H$2:$P$154,8,0)</f>
        <v>#VALUE!</v>
      </c>
      <c r="DW159" s="27" t="e">
        <f aca="false">SUMIF($C$2:$F$2,EOMONTH(DW$2,-1)+1,$C159:$F159)*VLOOKUP(DW$2,Valores!$H$2:$P$154,8,0)</f>
        <v>#VALUE!</v>
      </c>
      <c r="DX159" s="27" t="e">
        <f aca="false">SUMIF($C$2:$F$2,EOMONTH(DX$2,-1)+1,$C159:$F159)*VLOOKUP(DX$2,Valores!$H$2:$P$154,8,0)</f>
        <v>#VALUE!</v>
      </c>
    </row>
    <row r="160" customFormat="false" ht="13.8" hidden="false" customHeight="false" outlineLevel="0" collapsed="false">
      <c r="A160" s="29"/>
      <c r="B160" s="29"/>
      <c r="C160" s="29"/>
      <c r="D160" s="29"/>
      <c r="E160" s="29"/>
      <c r="F160" s="29"/>
      <c r="G160" s="30" t="n">
        <f aca="false">SUMIF($C$2:$F$2,EOMONTH(G$2,-1)+1,$C160:$F160)*VLOOKUP(G$2,Valores!$H$2:$P$154,8,0)</f>
        <v>0</v>
      </c>
      <c r="H160" s="30" t="n">
        <f aca="false">SUMIF($C$2:$F$2,EOMONTH(H$2,-1)+1,$C160:$F160)*VLOOKUP(H$2,Valores!$H$2:$P$154,8,0)</f>
        <v>0</v>
      </c>
      <c r="I160" s="30" t="n">
        <f aca="false">SUMIF($C$2:$F$2,EOMONTH(I$2,-1)+1,$C160:$F160)*VLOOKUP(I$2,Valores!$H$2:$P$154,8,0)</f>
        <v>0</v>
      </c>
      <c r="J160" s="30" t="n">
        <f aca="false">SUMIF($C$2:$F$2,EOMONTH(J$2,-1)+1,$C160:$F160)*VLOOKUP(J$2,Valores!$H$2:$P$154,8,0)</f>
        <v>0</v>
      </c>
      <c r="K160" s="30" t="n">
        <f aca="false">SUMIF($C$2:$F$2,EOMONTH(K$2,-1)+1,$C160:$F160)*VLOOKUP(K$2,Valores!$H$2:$P$154,8,0)</f>
        <v>0</v>
      </c>
      <c r="L160" s="30" t="n">
        <f aca="false">SUMIF($C$2:$F$2,EOMONTH(L$2,-1)+1,$C160:$F160)*VLOOKUP(L$2,Valores!$H$2:$P$154,8,0)</f>
        <v>0</v>
      </c>
      <c r="M160" s="30" t="n">
        <f aca="false">SUMIF($C$2:$F$2,EOMONTH(M$2,-1)+1,$C160:$F160)*VLOOKUP(M$2,Valores!$H$2:$P$154,8,0)</f>
        <v>0</v>
      </c>
      <c r="N160" s="30" t="n">
        <f aca="false">SUMIF($C$2:$F$2,EOMONTH(N$2,-1)+1,$C160:$F160)*VLOOKUP(N$2,Valores!$H$2:$P$154,8,0)</f>
        <v>0</v>
      </c>
      <c r="O160" s="30" t="n">
        <f aca="false">SUMIF($C$2:$F$2,EOMONTH(O$2,-1)+1,$C160:$F160)*VLOOKUP(O$2,Valores!$H$2:$P$154,8,0)</f>
        <v>0</v>
      </c>
      <c r="P160" s="30" t="n">
        <f aca="false">SUMIF($C$2:$F$2,EOMONTH(P$2,-1)+1,$C160:$F160)*VLOOKUP(P$2,Valores!$H$2:$P$154,8,0)</f>
        <v>0</v>
      </c>
      <c r="Q160" s="30" t="n">
        <f aca="false">SUMIF($C$2:$F$2,EOMONTH(Q$2,-1)+1,$C160:$F160)*VLOOKUP(Q$2,Valores!$H$2:$P$154,8,0)</f>
        <v>0</v>
      </c>
      <c r="R160" s="30" t="n">
        <f aca="false">SUMIF($C$2:$F$2,EOMONTH(R$2,-1)+1,$C160:$F160)*VLOOKUP(R$2,Valores!$H$2:$P$154,8,0)</f>
        <v>0</v>
      </c>
      <c r="S160" s="30" t="n">
        <f aca="false">SUMIF($C$2:$F$2,EOMONTH(S$2,-1)+1,$C160:$F160)*VLOOKUP(S$2,Valores!$H$2:$P$154,8,0)</f>
        <v>0</v>
      </c>
      <c r="T160" s="30" t="n">
        <f aca="false">SUMIF($C$2:$F$2,EOMONTH(T$2,-1)+1,$C160:$F160)*VLOOKUP(T$2,Valores!$H$2:$P$154,8,0)</f>
        <v>0</v>
      </c>
      <c r="U160" s="30" t="n">
        <f aca="false">SUMIF($C$2:$F$2,EOMONTH(U$2,-1)+1,$C160:$F160)*VLOOKUP(U$2,Valores!$H$2:$P$154,8,0)</f>
        <v>0</v>
      </c>
      <c r="V160" s="30" t="n">
        <f aca="false">SUMIF($C$2:$F$2,EOMONTH(V$2,-1)+1,$C160:$F160)*VLOOKUP(V$2,Valores!$H$2:$P$154,8,0)</f>
        <v>0</v>
      </c>
      <c r="W160" s="30" t="n">
        <f aca="false">SUMIF($C$2:$F$2,EOMONTH(W$2,-1)+1,$C160:$F160)*VLOOKUP(W$2,Valores!$H$2:$P$154,8,0)</f>
        <v>0</v>
      </c>
      <c r="X160" s="30" t="n">
        <f aca="false">SUMIF($C$2:$F$2,EOMONTH(X$2,-1)+1,$C160:$F160)*VLOOKUP(X$2,Valores!$H$2:$P$154,8,0)</f>
        <v>0</v>
      </c>
      <c r="Y160" s="30" t="n">
        <f aca="false">SUMIF($C$2:$F$2,EOMONTH(Y$2,-1)+1,$C160:$F160)*VLOOKUP(Y$2,Valores!$H$2:$P$154,8,0)</f>
        <v>0</v>
      </c>
      <c r="Z160" s="30" t="n">
        <f aca="false">SUMIF($C$2:$F$2,EOMONTH(Z$2,-1)+1,$C160:$F160)*VLOOKUP(Z$2,Valores!$H$2:$P$154,8,0)</f>
        <v>0</v>
      </c>
      <c r="AA160" s="30" t="n">
        <f aca="false">SUMIF($C$2:$F$2,EOMONTH(AA$2,-1)+1,$C160:$F160)*VLOOKUP(AA$2,Valores!$H$2:$P$154,8,0)</f>
        <v>0</v>
      </c>
      <c r="AB160" s="30" t="n">
        <f aca="false">SUMIF($C$2:$F$2,EOMONTH(AB$2,-1)+1,$C160:$F160)*VLOOKUP(AB$2,Valores!$H$2:$P$154,8,0)</f>
        <v>0</v>
      </c>
      <c r="AC160" s="30" t="n">
        <f aca="false">SUMIF($C$2:$F$2,EOMONTH(AC$2,-1)+1,$C160:$F160)*VLOOKUP(AC$2,Valores!$H$2:$P$154,8,0)</f>
        <v>0</v>
      </c>
      <c r="AD160" s="30" t="n">
        <f aca="false">SUMIF($C$2:$F$2,EOMONTH(AD$2,-1)+1,$C160:$F160)*VLOOKUP(AD$2,Valores!$H$2:$P$154,8,0)</f>
        <v>0</v>
      </c>
      <c r="AE160" s="30" t="n">
        <f aca="false">SUMIF($C$2:$F$2,EOMONTH(AE$2,-1)+1,$C160:$F160)*VLOOKUP(AE$2,Valores!$H$2:$P$154,8,0)</f>
        <v>0</v>
      </c>
      <c r="AF160" s="30" t="n">
        <f aca="false">SUMIF($C$2:$F$2,EOMONTH(AF$2,-1)+1,$C160:$F160)*VLOOKUP(AF$2,Valores!$H$2:$P$154,8,0)</f>
        <v>0</v>
      </c>
      <c r="AG160" s="30" t="n">
        <f aca="false">SUMIF($C$2:$F$2,EOMONTH(AG$2,-1)+1,$C160:$F160)*VLOOKUP(AG$2,Valores!$H$2:$P$154,8,0)</f>
        <v>0</v>
      </c>
      <c r="AH160" s="30" t="n">
        <f aca="false">SUMIF($C$2:$F$2,EOMONTH(AH$2,-1)+1,$C160:$F160)*VLOOKUP(AH$2,Valores!$H$2:$P$154,8,0)</f>
        <v>0</v>
      </c>
      <c r="AI160" s="30" t="n">
        <f aca="false">SUMIF($C$2:$F$2,EOMONTH(AI$2,-1)+1,$C160:$F160)*VLOOKUP(AI$2,Valores!$H$2:$P$154,8,0)</f>
        <v>0</v>
      </c>
      <c r="AJ160" s="30" t="n">
        <f aca="false">SUMIF($C$2:$F$2,EOMONTH(AJ$2,-1)+1,$C160:$F160)*VLOOKUP(AJ$2,Valores!$H$2:$P$154,8,0)</f>
        <v>0</v>
      </c>
      <c r="AK160" s="30" t="n">
        <f aca="false">SUMIF($C$2:$F$2,EOMONTH(AK$2,-1)+1,$C160:$F160)*VLOOKUP(AK$2,Valores!$H$2:$P$154,8,0)</f>
        <v>0</v>
      </c>
      <c r="AL160" s="30" t="n">
        <f aca="false">SUMIF($C$2:$F$2,EOMONTH(AL$2,-1)+1,$C160:$F160)*VLOOKUP(AL$2,Valores!$H$2:$P$154,8,0)</f>
        <v>0</v>
      </c>
      <c r="AM160" s="30" t="n">
        <f aca="false">SUMIF($C$2:$F$2,EOMONTH(AM$2,-1)+1,$C160:$F160)*VLOOKUP(AM$2,Valores!$H$2:$P$154,8,0)</f>
        <v>0</v>
      </c>
      <c r="AN160" s="30" t="n">
        <f aca="false">SUMIF($C$2:$F$2,EOMONTH(AN$2,-1)+1,$C160:$F160)*VLOOKUP(AN$2,Valores!$H$2:$P$154,8,0)</f>
        <v>0</v>
      </c>
      <c r="AO160" s="30" t="n">
        <f aca="false">SUMIF($C$2:$F$2,EOMONTH(AO$2,-1)+1,$C160:$F160)*VLOOKUP(AO$2,Valores!$H$2:$P$154,8,0)</f>
        <v>0</v>
      </c>
      <c r="AP160" s="30" t="n">
        <f aca="false">SUMIF($C$2:$F$2,EOMONTH(AP$2,-1)+1,$C160:$F160)*VLOOKUP(AP$2,Valores!$H$2:$P$154,8,0)</f>
        <v>0</v>
      </c>
      <c r="AQ160" s="30" t="n">
        <f aca="false">SUMIF($C$2:$F$2,EOMONTH(AQ$2,-1)+1,$C160:$F160)*VLOOKUP(AQ$2,Valores!$H$2:$P$154,8,0)</f>
        <v>0</v>
      </c>
      <c r="AR160" s="30" t="n">
        <f aca="false">SUMIF($C$2:$F$2,EOMONTH(AR$2,-1)+1,$C160:$F160)*VLOOKUP(AR$2,Valores!$H$2:$P$154,8,0)</f>
        <v>0</v>
      </c>
      <c r="AS160" s="30" t="n">
        <f aca="false">SUMIF($C$2:$F$2,EOMONTH(AS$2,-1)+1,$C160:$F160)*VLOOKUP(AS$2,Valores!$H$2:$P$154,8,0)</f>
        <v>0</v>
      </c>
      <c r="AT160" s="30" t="n">
        <f aca="false">SUMIF($C$2:$F$2,EOMONTH(AT$2,-1)+1,$C160:$F160)*VLOOKUP(AT$2,Valores!$H$2:$P$154,8,0)</f>
        <v>0</v>
      </c>
      <c r="AU160" s="30" t="n">
        <f aca="false">SUMIF($C$2:$F$2,EOMONTH(AU$2,-1)+1,$C160:$F160)*VLOOKUP(AU$2,Valores!$H$2:$P$154,8,0)</f>
        <v>0</v>
      </c>
      <c r="AV160" s="30" t="n">
        <f aca="false">SUMIF($C$2:$F$2,EOMONTH(AV$2,-1)+1,$C160:$F160)*VLOOKUP(AV$2,Valores!$H$2:$P$154,8,0)</f>
        <v>0</v>
      </c>
      <c r="AW160" s="30" t="n">
        <f aca="false">SUMIF($C$2:$F$2,EOMONTH(AW$2,-1)+1,$C160:$F160)*VLOOKUP(AW$2,Valores!$H$2:$P$154,8,0)</f>
        <v>0</v>
      </c>
      <c r="AX160" s="30" t="n">
        <f aca="false">SUMIF($C$2:$F$2,EOMONTH(AX$2,-1)+1,$C160:$F160)*VLOOKUP(AX$2,Valores!$H$2:$P$154,8,0)</f>
        <v>0</v>
      </c>
      <c r="AY160" s="30" t="n">
        <f aca="false">SUMIF($C$2:$F$2,EOMONTH(AY$2,-1)+1,$C160:$F160)*VLOOKUP(AY$2,Valores!$H$2:$P$154,8,0)</f>
        <v>0</v>
      </c>
      <c r="AZ160" s="30" t="n">
        <f aca="false">SUMIF($C$2:$F$2,EOMONTH(AZ$2,-1)+1,$C160:$F160)*VLOOKUP(AZ$2,Valores!$H$2:$P$154,8,0)</f>
        <v>0</v>
      </c>
      <c r="BA160" s="30" t="n">
        <f aca="false">SUMIF($C$2:$F$2,EOMONTH(BA$2,-1)+1,$C160:$F160)*VLOOKUP(BA$2,Valores!$H$2:$P$154,8,0)</f>
        <v>0</v>
      </c>
      <c r="BB160" s="30" t="n">
        <f aca="false">SUMIF($C$2:$F$2,EOMONTH(BB$2,-1)+1,$C160:$F160)*VLOOKUP(BB$2,Valores!$H$2:$P$154,8,0)</f>
        <v>0</v>
      </c>
      <c r="BC160" s="30" t="n">
        <f aca="false">SUMIF($C$2:$F$2,EOMONTH(BC$2,-1)+1,$C160:$F160)*VLOOKUP(BC$2,Valores!$H$2:$P$154,8,0)</f>
        <v>0</v>
      </c>
      <c r="BD160" s="30" t="n">
        <f aca="false">SUMIF($C$2:$F$2,EOMONTH(BD$2,-1)+1,$C160:$F160)*VLOOKUP(BD$2,Valores!$H$2:$P$154,8,0)</f>
        <v>0</v>
      </c>
      <c r="BE160" s="30" t="n">
        <f aca="false">SUMIF($C$2:$F$2,EOMONTH(BE$2,-1)+1,$C160:$F160)*VLOOKUP(BE$2,Valores!$H$2:$P$154,8,0)</f>
        <v>0</v>
      </c>
      <c r="BF160" s="30" t="n">
        <f aca="false">SUMIF($C$2:$F$2,EOMONTH(BF$2,-1)+1,$C160:$F160)*VLOOKUP(BF$2,Valores!$H$2:$P$154,8,0)</f>
        <v>0</v>
      </c>
      <c r="BG160" s="30" t="n">
        <f aca="false">SUMIF($C$2:$F$2,EOMONTH(BG$2,-1)+1,$C160:$F160)*VLOOKUP(BG$2,Valores!$H$2:$P$154,8,0)</f>
        <v>0</v>
      </c>
      <c r="BH160" s="30" t="n">
        <f aca="false">SUMIF($C$2:$F$2,EOMONTH(BH$2,-1)+1,$C160:$F160)*VLOOKUP(BH$2,Valores!$H$2:$P$154,8,0)</f>
        <v>0</v>
      </c>
      <c r="BI160" s="30" t="n">
        <f aca="false">SUMIF($C$2:$F$2,EOMONTH(BI$2,-1)+1,$C160:$F160)*VLOOKUP(BI$2,Valores!$H$2:$P$154,8,0)</f>
        <v>0</v>
      </c>
      <c r="BJ160" s="30" t="n">
        <f aca="false">SUMIF($C$2:$F$2,EOMONTH(BJ$2,-1)+1,$C160:$F160)*VLOOKUP(BJ$2,Valores!$H$2:$P$154,8,0)</f>
        <v>0</v>
      </c>
      <c r="BK160" s="30" t="n">
        <f aca="false">SUMIF($C$2:$F$2,EOMONTH(BK$2,-1)+1,$C160:$F160)*VLOOKUP(BK$2,Valores!$H$2:$P$154,8,0)</f>
        <v>0</v>
      </c>
      <c r="BL160" s="30" t="n">
        <f aca="false">SUMIF($C$2:$F$2,EOMONTH(BL$2,-1)+1,$C160:$F160)*VLOOKUP(BL$2,Valores!$H$2:$P$154,8,0)</f>
        <v>0</v>
      </c>
      <c r="BM160" s="30" t="n">
        <f aca="false">SUMIF($C$2:$F$2,EOMONTH(BM$2,-1)+1,$C160:$F160)*VLOOKUP(BM$2,Valores!$H$2:$P$154,8,0)</f>
        <v>0</v>
      </c>
      <c r="BN160" s="30" t="n">
        <f aca="false">SUMIF($C$2:$F$2,EOMONTH(BN$2,-1)+1,$C160:$F160)*VLOOKUP(BN$2,Valores!$H$2:$P$154,8,0)</f>
        <v>0</v>
      </c>
      <c r="BO160" s="30" t="n">
        <f aca="false">SUMIF($C$2:$F$2,EOMONTH(BO$2,-1)+1,$C160:$F160)*VLOOKUP(BO$2,Valores!$H$2:$P$154,8,0)</f>
        <v>0</v>
      </c>
      <c r="BP160" s="30" t="n">
        <f aca="false">SUMIF($C$2:$F$2,EOMONTH(BP$2,-1)+1,$C160:$F160)*VLOOKUP(BP$2,Valores!$H$2:$P$154,8,0)</f>
        <v>0</v>
      </c>
      <c r="BQ160" s="30" t="n">
        <f aca="false">SUMIF($C$2:$F$2,EOMONTH(BQ$2,-1)+1,$C160:$F160)*VLOOKUP(BQ$2,Valores!$H$2:$P$154,8,0)</f>
        <v>0</v>
      </c>
      <c r="BR160" s="30" t="n">
        <f aca="false">SUMIF($C$2:$F$2,EOMONTH(BR$2,-1)+1,$C160:$F160)*VLOOKUP(BR$2,Valores!$H$2:$P$154,8,0)</f>
        <v>0</v>
      </c>
      <c r="BS160" s="30" t="n">
        <f aca="false">SUMIF($C$2:$F$2,EOMONTH(BS$2,-1)+1,$C160:$F160)*VLOOKUP(BS$2,Valores!$H$2:$P$154,8,0)</f>
        <v>0</v>
      </c>
      <c r="BT160" s="30" t="n">
        <f aca="false">SUMIF($C$2:$F$2,EOMONTH(BT$2,-1)+1,$C160:$F160)*VLOOKUP(BT$2,Valores!$H$2:$P$154,8,0)</f>
        <v>0</v>
      </c>
      <c r="BU160" s="30" t="n">
        <f aca="false">SUMIF($C$2:$F$2,EOMONTH(BU$2,-1)+1,$C160:$F160)*VLOOKUP(BU$2,Valores!$H$2:$P$154,8,0)</f>
        <v>0</v>
      </c>
      <c r="BV160" s="30" t="n">
        <f aca="false">SUMIF($C$2:$F$2,EOMONTH(BV$2,-1)+1,$C160:$F160)*VLOOKUP(BV$2,Valores!$H$2:$P$154,8,0)</f>
        <v>0</v>
      </c>
      <c r="BW160" s="30" t="n">
        <f aca="false">SUMIF($C$2:$F$2,EOMONTH(BW$2,-1)+1,$C160:$F160)*VLOOKUP(BW$2,Valores!$H$2:$P$154,8,0)</f>
        <v>0</v>
      </c>
      <c r="BX160" s="30" t="n">
        <f aca="false">SUMIF($C$2:$F$2,EOMONTH(BX$2,-1)+1,$C160:$F160)*VLOOKUP(BX$2,Valores!$H$2:$P$154,8,0)</f>
        <v>0</v>
      </c>
      <c r="BY160" s="30" t="n">
        <f aca="false">SUMIF($C$2:$F$2,EOMONTH(BY$2,-1)+1,$C160:$F160)*VLOOKUP(BY$2,Valores!$H$2:$P$154,8,0)</f>
        <v>0</v>
      </c>
      <c r="BZ160" s="30" t="n">
        <f aca="false">SUMIF($C$2:$F$2,EOMONTH(BZ$2,-1)+1,$C160:$F160)*VLOOKUP(BZ$2,Valores!$H$2:$P$154,8,0)</f>
        <v>0</v>
      </c>
      <c r="CA160" s="30" t="n">
        <f aca="false">SUMIF($C$2:$F$2,EOMONTH(CA$2,-1)+1,$C160:$F160)*VLOOKUP(CA$2,Valores!$H$2:$P$154,8,0)</f>
        <v>0</v>
      </c>
      <c r="CB160" s="30" t="n">
        <f aca="false">SUMIF($C$2:$F$2,EOMONTH(CB$2,-1)+1,$C160:$F160)*VLOOKUP(CB$2,Valores!$H$2:$P$154,8,0)</f>
        <v>0</v>
      </c>
      <c r="CC160" s="30" t="n">
        <f aca="false">SUMIF($C$2:$F$2,EOMONTH(CC$2,-1)+1,$C160:$F160)*VLOOKUP(CC$2,Valores!$H$2:$P$154,8,0)</f>
        <v>0</v>
      </c>
      <c r="CD160" s="30" t="n">
        <f aca="false">SUMIF($C$2:$F$2,EOMONTH(CD$2,-1)+1,$C160:$F160)*VLOOKUP(CD$2,Valores!$H$2:$P$154,8,0)</f>
        <v>0</v>
      </c>
      <c r="CE160" s="30" t="n">
        <f aca="false">SUMIF($C$2:$F$2,EOMONTH(CE$2,-1)+1,$C160:$F160)*VLOOKUP(CE$2,Valores!$H$2:$P$154,8,0)</f>
        <v>0</v>
      </c>
      <c r="CF160" s="30" t="n">
        <f aca="false">SUMIF($C$2:$F$2,EOMONTH(CF$2,-1)+1,$C160:$F160)*VLOOKUP(CF$2,Valores!$H$2:$P$154,8,0)</f>
        <v>0</v>
      </c>
      <c r="CG160" s="30" t="n">
        <f aca="false">SUMIF($C$2:$F$2,EOMONTH(CG$2,-1)+1,$C160:$F160)*VLOOKUP(CG$2,Valores!$H$2:$P$154,8,0)</f>
        <v>0</v>
      </c>
      <c r="CH160" s="30" t="n">
        <f aca="false">SUMIF($C$2:$F$2,EOMONTH(CH$2,-1)+1,$C160:$F160)*VLOOKUP(CH$2,Valores!$H$2:$P$154,8,0)</f>
        <v>0</v>
      </c>
      <c r="CI160" s="30" t="n">
        <f aca="false">SUMIF($C$2:$F$2,EOMONTH(CI$2,-1)+1,$C160:$F160)*VLOOKUP(CI$2,Valores!$H$2:$P$154,8,0)</f>
        <v>0</v>
      </c>
      <c r="CJ160" s="30" t="n">
        <f aca="false">SUMIF($C$2:$F$2,EOMONTH(CJ$2,-1)+1,$C160:$F160)*VLOOKUP(CJ$2,Valores!$H$2:$P$154,8,0)</f>
        <v>0</v>
      </c>
      <c r="CK160" s="30" t="n">
        <f aca="false">SUMIF($C$2:$F$2,EOMONTH(CK$2,-1)+1,$C160:$F160)*VLOOKUP(CK$2,Valores!$H$2:$P$154,8,0)</f>
        <v>0</v>
      </c>
      <c r="CL160" s="30" t="n">
        <f aca="false">SUMIF($C$2:$F$2,EOMONTH(CL$2,-1)+1,$C160:$F160)*VLOOKUP(CL$2,Valores!$H$2:$P$154,8,0)</f>
        <v>0</v>
      </c>
      <c r="CM160" s="30" t="n">
        <f aca="false">SUMIF($C$2:$F$2,EOMONTH(CM$2,-1)+1,$C160:$F160)*VLOOKUP(CM$2,Valores!$H$2:$P$154,8,0)</f>
        <v>0</v>
      </c>
      <c r="CN160" s="30" t="n">
        <f aca="false">SUMIF($C$2:$F$2,EOMONTH(CN$2,-1)+1,$C160:$F160)*VLOOKUP(CN$2,Valores!$H$2:$P$154,8,0)</f>
        <v>0</v>
      </c>
      <c r="CO160" s="30" t="n">
        <f aca="false">SUMIF($C$2:$F$2,EOMONTH(CO$2,-1)+1,$C160:$F160)*VLOOKUP(CO$2,Valores!$H$2:$P$154,8,0)</f>
        <v>0</v>
      </c>
      <c r="CP160" s="30" t="n">
        <f aca="false">SUMIF($C$2:$F$2,EOMONTH(CP$2,-1)+1,$C160:$F160)*VLOOKUP(CP$2,Valores!$H$2:$P$154,8,0)</f>
        <v>0</v>
      </c>
      <c r="CQ160" s="30" t="n">
        <f aca="false">SUMIF($C$2:$F$2,EOMONTH(CQ$2,-1)+1,$C160:$F160)*VLOOKUP(CQ$2,Valores!$H$2:$P$154,8,0)</f>
        <v>0</v>
      </c>
      <c r="CR160" s="30" t="n">
        <f aca="false">SUMIF($C$2:$F$2,EOMONTH(CR$2,-1)+1,$C160:$F160)*VLOOKUP(CR$2,Valores!$H$2:$P$154,8,0)</f>
        <v>0</v>
      </c>
      <c r="CS160" s="30" t="n">
        <f aca="false">SUMIF($C$2:$F$2,EOMONTH(CS$2,-1)+1,$C160:$F160)*VLOOKUP(CS$2,Valores!$H$2:$P$154,8,0)</f>
        <v>0</v>
      </c>
      <c r="CT160" s="30" t="e">
        <f aca="false">SUMIF($C$2:$F$2,EOMONTH(CT$2,-1)+1,$C160:$F160)*VLOOKUP(CT$2,Valores!$H$2:$P$154,8,0)</f>
        <v>#VALUE!</v>
      </c>
      <c r="CU160" s="30" t="e">
        <f aca="false">SUMIF($C$2:$F$2,EOMONTH(CU$2,-1)+1,$C160:$F160)*VLOOKUP(CU$2,Valores!$H$2:$P$154,8,0)</f>
        <v>#VALUE!</v>
      </c>
      <c r="CV160" s="30" t="e">
        <f aca="false">SUMIF($C$2:$F$2,EOMONTH(CV$2,-1)+1,$C160:$F160)*VLOOKUP(CV$2,Valores!$H$2:$P$154,8,0)</f>
        <v>#VALUE!</v>
      </c>
      <c r="CW160" s="30" t="e">
        <f aca="false">SUMIF($C$2:$F$2,EOMONTH(CW$2,-1)+1,$C160:$F160)*VLOOKUP(CW$2,Valores!$H$2:$P$154,8,0)</f>
        <v>#VALUE!</v>
      </c>
      <c r="CX160" s="30" t="e">
        <f aca="false">SUMIF($C$2:$F$2,EOMONTH(CX$2,-1)+1,$C160:$F160)*VLOOKUP(CX$2,Valores!$H$2:$P$154,8,0)</f>
        <v>#VALUE!</v>
      </c>
      <c r="CY160" s="30" t="e">
        <f aca="false">SUMIF($C$2:$F$2,EOMONTH(CY$2,-1)+1,$C160:$F160)*VLOOKUP(CY$2,Valores!$H$2:$P$154,8,0)</f>
        <v>#VALUE!</v>
      </c>
      <c r="CZ160" s="30" t="e">
        <f aca="false">SUMIF($C$2:$F$2,EOMONTH(CZ$2,-1)+1,$C160:$F160)*VLOOKUP(CZ$2,Valores!$H$2:$P$154,8,0)</f>
        <v>#VALUE!</v>
      </c>
      <c r="DA160" s="30" t="e">
        <f aca="false">SUMIF($C$2:$F$2,EOMONTH(DA$2,-1)+1,$C160:$F160)*VLOOKUP(DA$2,Valores!$H$2:$P$154,8,0)</f>
        <v>#VALUE!</v>
      </c>
      <c r="DB160" s="30" t="e">
        <f aca="false">SUMIF($C$2:$F$2,EOMONTH(DB$2,-1)+1,$C160:$F160)*VLOOKUP(DB$2,Valores!$H$2:$P$154,8,0)</f>
        <v>#VALUE!</v>
      </c>
      <c r="DC160" s="30" t="e">
        <f aca="false">SUMIF($C$2:$F$2,EOMONTH(DC$2,-1)+1,$C160:$F160)*VLOOKUP(DC$2,Valores!$H$2:$P$154,8,0)</f>
        <v>#VALUE!</v>
      </c>
      <c r="DD160" s="30" t="e">
        <f aca="false">SUMIF($C$2:$F$2,EOMONTH(DD$2,-1)+1,$C160:$F160)*VLOOKUP(DD$2,Valores!$H$2:$P$154,8,0)</f>
        <v>#VALUE!</v>
      </c>
      <c r="DE160" s="30" t="e">
        <f aca="false">SUMIF($C$2:$F$2,EOMONTH(DE$2,-1)+1,$C160:$F160)*VLOOKUP(DE$2,Valores!$H$2:$P$154,8,0)</f>
        <v>#VALUE!</v>
      </c>
      <c r="DF160" s="30" t="e">
        <f aca="false">SUMIF($C$2:$F$2,EOMONTH(DF$2,-1)+1,$C160:$F160)*VLOOKUP(DF$2,Valores!$H$2:$P$154,8,0)</f>
        <v>#VALUE!</v>
      </c>
      <c r="DG160" s="30" t="e">
        <f aca="false">SUMIF($C$2:$F$2,EOMONTH(DG$2,-1)+1,$C160:$F160)*VLOOKUP(DG$2,Valores!$H$2:$P$154,8,0)</f>
        <v>#VALUE!</v>
      </c>
      <c r="DH160" s="30" t="e">
        <f aca="false">SUMIF($C$2:$F$2,EOMONTH(DH$2,-1)+1,$C160:$F160)*VLOOKUP(DH$2,Valores!$H$2:$P$154,8,0)</f>
        <v>#VALUE!</v>
      </c>
      <c r="DI160" s="30" t="e">
        <f aca="false">SUMIF($C$2:$F$2,EOMONTH(DI$2,-1)+1,$C160:$F160)*VLOOKUP(DI$2,Valores!$H$2:$P$154,8,0)</f>
        <v>#VALUE!</v>
      </c>
      <c r="DJ160" s="30" t="e">
        <f aca="false">SUMIF($C$2:$F$2,EOMONTH(DJ$2,-1)+1,$C160:$F160)*VLOOKUP(DJ$2,Valores!$H$2:$P$154,8,0)</f>
        <v>#VALUE!</v>
      </c>
      <c r="DK160" s="30" t="e">
        <f aca="false">SUMIF($C$2:$F$2,EOMONTH(DK$2,-1)+1,$C160:$F160)*VLOOKUP(DK$2,Valores!$H$2:$P$154,8,0)</f>
        <v>#VALUE!</v>
      </c>
      <c r="DL160" s="30" t="e">
        <f aca="false">SUMIF($C$2:$F$2,EOMONTH(DL$2,-1)+1,$C160:$F160)*VLOOKUP(DL$2,Valores!$H$2:$P$154,8,0)</f>
        <v>#VALUE!</v>
      </c>
      <c r="DM160" s="30" t="e">
        <f aca="false">SUMIF($C$2:$F$2,EOMONTH(DM$2,-1)+1,$C160:$F160)*VLOOKUP(DM$2,Valores!$H$2:$P$154,8,0)</f>
        <v>#VALUE!</v>
      </c>
      <c r="DN160" s="30" t="e">
        <f aca="false">SUMIF($C$2:$F$2,EOMONTH(DN$2,-1)+1,$C160:$F160)*VLOOKUP(DN$2,Valores!$H$2:$P$154,8,0)</f>
        <v>#VALUE!</v>
      </c>
      <c r="DO160" s="30" t="e">
        <f aca="false">SUMIF($C$2:$F$2,EOMONTH(DO$2,-1)+1,$C160:$F160)*VLOOKUP(DO$2,Valores!$H$2:$P$154,8,0)</f>
        <v>#VALUE!</v>
      </c>
      <c r="DP160" s="30" t="e">
        <f aca="false">SUMIF($C$2:$F$2,EOMONTH(DP$2,-1)+1,$C160:$F160)*VLOOKUP(DP$2,Valores!$H$2:$P$154,8,0)</f>
        <v>#VALUE!</v>
      </c>
      <c r="DQ160" s="30" t="e">
        <f aca="false">SUMIF($C$2:$F$2,EOMONTH(DQ$2,-1)+1,$C160:$F160)*VLOOKUP(DQ$2,Valores!$H$2:$P$154,8,0)</f>
        <v>#VALUE!</v>
      </c>
      <c r="DR160" s="30" t="e">
        <f aca="false">SUMIF($C$2:$F$2,EOMONTH(DR$2,-1)+1,$C160:$F160)*VLOOKUP(DR$2,Valores!$H$2:$P$154,8,0)</f>
        <v>#VALUE!</v>
      </c>
      <c r="DS160" s="30" t="e">
        <f aca="false">SUMIF($C$2:$F$2,EOMONTH(DS$2,-1)+1,$C160:$F160)*VLOOKUP(DS$2,Valores!$H$2:$P$154,8,0)</f>
        <v>#VALUE!</v>
      </c>
      <c r="DT160" s="30" t="e">
        <f aca="false">SUMIF($C$2:$F$2,EOMONTH(DT$2,-1)+1,$C160:$F160)*VLOOKUP(DT$2,Valores!$H$2:$P$154,8,0)</f>
        <v>#VALUE!</v>
      </c>
      <c r="DU160" s="30" t="e">
        <f aca="false">SUMIF($C$2:$F$2,EOMONTH(DU$2,-1)+1,$C160:$F160)*VLOOKUP(DU$2,Valores!$H$2:$P$154,8,0)</f>
        <v>#VALUE!</v>
      </c>
      <c r="DV160" s="30" t="e">
        <f aca="false">SUMIF($C$2:$F$2,EOMONTH(DV$2,-1)+1,$C160:$F160)*VLOOKUP(DV$2,Valores!$H$2:$P$154,8,0)</f>
        <v>#VALUE!</v>
      </c>
      <c r="DW160" s="30" t="e">
        <f aca="false">SUMIF($C$2:$F$2,EOMONTH(DW$2,-1)+1,$C160:$F160)*VLOOKUP(DW$2,Valores!$H$2:$P$154,8,0)</f>
        <v>#VALUE!</v>
      </c>
      <c r="DX160" s="30" t="e">
        <f aca="false">SUMIF($C$2:$F$2,EOMONTH(DX$2,-1)+1,$C160:$F160)*VLOOKUP(DX$2,Valores!$H$2:$P$154,8,0)</f>
        <v>#VALUE!</v>
      </c>
    </row>
    <row r="161" customFormat="false" ht="13.8" hidden="false" customHeight="false" outlineLevel="0" collapsed="false">
      <c r="A161" s="31"/>
      <c r="B161" s="31"/>
      <c r="C161" s="31"/>
      <c r="D161" s="31"/>
      <c r="E161" s="31"/>
      <c r="F161" s="31"/>
      <c r="G161" s="27" t="n">
        <f aca="false">SUMIF($C$2:$F$2,EOMONTH(G$2,-1)+1,$C161:$F161)*VLOOKUP(G$2,Valores!$H$2:$P$154,8,0)</f>
        <v>0</v>
      </c>
      <c r="H161" s="27" t="n">
        <f aca="false">SUMIF($C$2:$F$2,EOMONTH(H$2,-1)+1,$C161:$F161)*VLOOKUP(H$2,Valores!$H$2:$P$154,8,0)</f>
        <v>0</v>
      </c>
      <c r="I161" s="27" t="n">
        <f aca="false">SUMIF($C$2:$F$2,EOMONTH(I$2,-1)+1,$C161:$F161)*VLOOKUP(I$2,Valores!$H$2:$P$154,8,0)</f>
        <v>0</v>
      </c>
      <c r="J161" s="27" t="n">
        <f aca="false">SUMIF($C$2:$F$2,EOMONTH(J$2,-1)+1,$C161:$F161)*VLOOKUP(J$2,Valores!$H$2:$P$154,8,0)</f>
        <v>0</v>
      </c>
      <c r="K161" s="27" t="n">
        <f aca="false">SUMIF($C$2:$F$2,EOMONTH(K$2,-1)+1,$C161:$F161)*VLOOKUP(K$2,Valores!$H$2:$P$154,8,0)</f>
        <v>0</v>
      </c>
      <c r="L161" s="27" t="n">
        <f aca="false">SUMIF($C$2:$F$2,EOMONTH(L$2,-1)+1,$C161:$F161)*VLOOKUP(L$2,Valores!$H$2:$P$154,8,0)</f>
        <v>0</v>
      </c>
      <c r="M161" s="27" t="n">
        <f aca="false">SUMIF($C$2:$F$2,EOMONTH(M$2,-1)+1,$C161:$F161)*VLOOKUP(M$2,Valores!$H$2:$P$154,8,0)</f>
        <v>0</v>
      </c>
      <c r="N161" s="27" t="n">
        <f aca="false">SUMIF($C$2:$F$2,EOMONTH(N$2,-1)+1,$C161:$F161)*VLOOKUP(N$2,Valores!$H$2:$P$154,8,0)</f>
        <v>0</v>
      </c>
      <c r="O161" s="27" t="n">
        <f aca="false">SUMIF($C$2:$F$2,EOMONTH(O$2,-1)+1,$C161:$F161)*VLOOKUP(O$2,Valores!$H$2:$P$154,8,0)</f>
        <v>0</v>
      </c>
      <c r="P161" s="27" t="n">
        <f aca="false">SUMIF($C$2:$F$2,EOMONTH(P$2,-1)+1,$C161:$F161)*VLOOKUP(P$2,Valores!$H$2:$P$154,8,0)</f>
        <v>0</v>
      </c>
      <c r="Q161" s="27" t="n">
        <f aca="false">SUMIF($C$2:$F$2,EOMONTH(Q$2,-1)+1,$C161:$F161)*VLOOKUP(Q$2,Valores!$H$2:$P$154,8,0)</f>
        <v>0</v>
      </c>
      <c r="R161" s="27" t="n">
        <f aca="false">SUMIF($C$2:$F$2,EOMONTH(R$2,-1)+1,$C161:$F161)*VLOOKUP(R$2,Valores!$H$2:$P$154,8,0)</f>
        <v>0</v>
      </c>
      <c r="S161" s="27" t="n">
        <f aca="false">SUMIF($C$2:$F$2,EOMONTH(S$2,-1)+1,$C161:$F161)*VLOOKUP(S$2,Valores!$H$2:$P$154,8,0)</f>
        <v>0</v>
      </c>
      <c r="T161" s="27" t="n">
        <f aca="false">SUMIF($C$2:$F$2,EOMONTH(T$2,-1)+1,$C161:$F161)*VLOOKUP(T$2,Valores!$H$2:$P$154,8,0)</f>
        <v>0</v>
      </c>
      <c r="U161" s="27" t="n">
        <f aca="false">SUMIF($C$2:$F$2,EOMONTH(U$2,-1)+1,$C161:$F161)*VLOOKUP(U$2,Valores!$H$2:$P$154,8,0)</f>
        <v>0</v>
      </c>
      <c r="V161" s="27" t="n">
        <f aca="false">SUMIF($C$2:$F$2,EOMONTH(V$2,-1)+1,$C161:$F161)*VLOOKUP(V$2,Valores!$H$2:$P$154,8,0)</f>
        <v>0</v>
      </c>
      <c r="W161" s="27" t="n">
        <f aca="false">SUMIF($C$2:$F$2,EOMONTH(W$2,-1)+1,$C161:$F161)*VLOOKUP(W$2,Valores!$H$2:$P$154,8,0)</f>
        <v>0</v>
      </c>
      <c r="X161" s="27" t="n">
        <f aca="false">SUMIF($C$2:$F$2,EOMONTH(X$2,-1)+1,$C161:$F161)*VLOOKUP(X$2,Valores!$H$2:$P$154,8,0)</f>
        <v>0</v>
      </c>
      <c r="Y161" s="27" t="n">
        <f aca="false">SUMIF($C$2:$F$2,EOMONTH(Y$2,-1)+1,$C161:$F161)*VLOOKUP(Y$2,Valores!$H$2:$P$154,8,0)</f>
        <v>0</v>
      </c>
      <c r="Z161" s="27" t="n">
        <f aca="false">SUMIF($C$2:$F$2,EOMONTH(Z$2,-1)+1,$C161:$F161)*VLOOKUP(Z$2,Valores!$H$2:$P$154,8,0)</f>
        <v>0</v>
      </c>
      <c r="AA161" s="27" t="n">
        <f aca="false">SUMIF($C$2:$F$2,EOMONTH(AA$2,-1)+1,$C161:$F161)*VLOOKUP(AA$2,Valores!$H$2:$P$154,8,0)</f>
        <v>0</v>
      </c>
      <c r="AB161" s="27" t="n">
        <f aca="false">SUMIF($C$2:$F$2,EOMONTH(AB$2,-1)+1,$C161:$F161)*VLOOKUP(AB$2,Valores!$H$2:$P$154,8,0)</f>
        <v>0</v>
      </c>
      <c r="AC161" s="27" t="n">
        <f aca="false">SUMIF($C$2:$F$2,EOMONTH(AC$2,-1)+1,$C161:$F161)*VLOOKUP(AC$2,Valores!$H$2:$P$154,8,0)</f>
        <v>0</v>
      </c>
      <c r="AD161" s="27" t="n">
        <f aca="false">SUMIF($C$2:$F$2,EOMONTH(AD$2,-1)+1,$C161:$F161)*VLOOKUP(AD$2,Valores!$H$2:$P$154,8,0)</f>
        <v>0</v>
      </c>
      <c r="AE161" s="27" t="n">
        <f aca="false">SUMIF($C$2:$F$2,EOMONTH(AE$2,-1)+1,$C161:$F161)*VLOOKUP(AE$2,Valores!$H$2:$P$154,8,0)</f>
        <v>0</v>
      </c>
      <c r="AF161" s="27" t="n">
        <f aca="false">SUMIF($C$2:$F$2,EOMONTH(AF$2,-1)+1,$C161:$F161)*VLOOKUP(AF$2,Valores!$H$2:$P$154,8,0)</f>
        <v>0</v>
      </c>
      <c r="AG161" s="27" t="n">
        <f aca="false">SUMIF($C$2:$F$2,EOMONTH(AG$2,-1)+1,$C161:$F161)*VLOOKUP(AG$2,Valores!$H$2:$P$154,8,0)</f>
        <v>0</v>
      </c>
      <c r="AH161" s="27" t="n">
        <f aca="false">SUMIF($C$2:$F$2,EOMONTH(AH$2,-1)+1,$C161:$F161)*VLOOKUP(AH$2,Valores!$H$2:$P$154,8,0)</f>
        <v>0</v>
      </c>
      <c r="AI161" s="27" t="n">
        <f aca="false">SUMIF($C$2:$F$2,EOMONTH(AI$2,-1)+1,$C161:$F161)*VLOOKUP(AI$2,Valores!$H$2:$P$154,8,0)</f>
        <v>0</v>
      </c>
      <c r="AJ161" s="27" t="n">
        <f aca="false">SUMIF($C$2:$F$2,EOMONTH(AJ$2,-1)+1,$C161:$F161)*VLOOKUP(AJ$2,Valores!$H$2:$P$154,8,0)</f>
        <v>0</v>
      </c>
      <c r="AK161" s="27" t="n">
        <f aca="false">SUMIF($C$2:$F$2,EOMONTH(AK$2,-1)+1,$C161:$F161)*VLOOKUP(AK$2,Valores!$H$2:$P$154,8,0)</f>
        <v>0</v>
      </c>
      <c r="AL161" s="27" t="n">
        <f aca="false">SUMIF($C$2:$F$2,EOMONTH(AL$2,-1)+1,$C161:$F161)*VLOOKUP(AL$2,Valores!$H$2:$P$154,8,0)</f>
        <v>0</v>
      </c>
      <c r="AM161" s="27" t="n">
        <f aca="false">SUMIF($C$2:$F$2,EOMONTH(AM$2,-1)+1,$C161:$F161)*VLOOKUP(AM$2,Valores!$H$2:$P$154,8,0)</f>
        <v>0</v>
      </c>
      <c r="AN161" s="27" t="n">
        <f aca="false">SUMIF($C$2:$F$2,EOMONTH(AN$2,-1)+1,$C161:$F161)*VLOOKUP(AN$2,Valores!$H$2:$P$154,8,0)</f>
        <v>0</v>
      </c>
      <c r="AO161" s="27" t="n">
        <f aca="false">SUMIF($C$2:$F$2,EOMONTH(AO$2,-1)+1,$C161:$F161)*VLOOKUP(AO$2,Valores!$H$2:$P$154,8,0)</f>
        <v>0</v>
      </c>
      <c r="AP161" s="27" t="n">
        <f aca="false">SUMIF($C$2:$F$2,EOMONTH(AP$2,-1)+1,$C161:$F161)*VLOOKUP(AP$2,Valores!$H$2:$P$154,8,0)</f>
        <v>0</v>
      </c>
      <c r="AQ161" s="27" t="n">
        <f aca="false">SUMIF($C$2:$F$2,EOMONTH(AQ$2,-1)+1,$C161:$F161)*VLOOKUP(AQ$2,Valores!$H$2:$P$154,8,0)</f>
        <v>0</v>
      </c>
      <c r="AR161" s="27" t="n">
        <f aca="false">SUMIF($C$2:$F$2,EOMONTH(AR$2,-1)+1,$C161:$F161)*VLOOKUP(AR$2,Valores!$H$2:$P$154,8,0)</f>
        <v>0</v>
      </c>
      <c r="AS161" s="27" t="n">
        <f aca="false">SUMIF($C$2:$F$2,EOMONTH(AS$2,-1)+1,$C161:$F161)*VLOOKUP(AS$2,Valores!$H$2:$P$154,8,0)</f>
        <v>0</v>
      </c>
      <c r="AT161" s="27" t="n">
        <f aca="false">SUMIF($C$2:$F$2,EOMONTH(AT$2,-1)+1,$C161:$F161)*VLOOKUP(AT$2,Valores!$H$2:$P$154,8,0)</f>
        <v>0</v>
      </c>
      <c r="AU161" s="27" t="n">
        <f aca="false">SUMIF($C$2:$F$2,EOMONTH(AU$2,-1)+1,$C161:$F161)*VLOOKUP(AU$2,Valores!$H$2:$P$154,8,0)</f>
        <v>0</v>
      </c>
      <c r="AV161" s="27" t="n">
        <f aca="false">SUMIF($C$2:$F$2,EOMONTH(AV$2,-1)+1,$C161:$F161)*VLOOKUP(AV$2,Valores!$H$2:$P$154,8,0)</f>
        <v>0</v>
      </c>
      <c r="AW161" s="27" t="n">
        <f aca="false">SUMIF($C$2:$F$2,EOMONTH(AW$2,-1)+1,$C161:$F161)*VLOOKUP(AW$2,Valores!$H$2:$P$154,8,0)</f>
        <v>0</v>
      </c>
      <c r="AX161" s="27" t="n">
        <f aca="false">SUMIF($C$2:$F$2,EOMONTH(AX$2,-1)+1,$C161:$F161)*VLOOKUP(AX$2,Valores!$H$2:$P$154,8,0)</f>
        <v>0</v>
      </c>
      <c r="AY161" s="27" t="n">
        <f aca="false">SUMIF($C$2:$F$2,EOMONTH(AY$2,-1)+1,$C161:$F161)*VLOOKUP(AY$2,Valores!$H$2:$P$154,8,0)</f>
        <v>0</v>
      </c>
      <c r="AZ161" s="27" t="n">
        <f aca="false">SUMIF($C$2:$F$2,EOMONTH(AZ$2,-1)+1,$C161:$F161)*VLOOKUP(AZ$2,Valores!$H$2:$P$154,8,0)</f>
        <v>0</v>
      </c>
      <c r="BA161" s="27" t="n">
        <f aca="false">SUMIF($C$2:$F$2,EOMONTH(BA$2,-1)+1,$C161:$F161)*VLOOKUP(BA$2,Valores!$H$2:$P$154,8,0)</f>
        <v>0</v>
      </c>
      <c r="BB161" s="27" t="n">
        <f aca="false">SUMIF($C$2:$F$2,EOMONTH(BB$2,-1)+1,$C161:$F161)*VLOOKUP(BB$2,Valores!$H$2:$P$154,8,0)</f>
        <v>0</v>
      </c>
      <c r="BC161" s="27" t="n">
        <f aca="false">SUMIF($C$2:$F$2,EOMONTH(BC$2,-1)+1,$C161:$F161)*VLOOKUP(BC$2,Valores!$H$2:$P$154,8,0)</f>
        <v>0</v>
      </c>
      <c r="BD161" s="27" t="n">
        <f aca="false">SUMIF($C$2:$F$2,EOMONTH(BD$2,-1)+1,$C161:$F161)*VLOOKUP(BD$2,Valores!$H$2:$P$154,8,0)</f>
        <v>0</v>
      </c>
      <c r="BE161" s="27" t="n">
        <f aca="false">SUMIF($C$2:$F$2,EOMONTH(BE$2,-1)+1,$C161:$F161)*VLOOKUP(BE$2,Valores!$H$2:$P$154,8,0)</f>
        <v>0</v>
      </c>
      <c r="BF161" s="27" t="n">
        <f aca="false">SUMIF($C$2:$F$2,EOMONTH(BF$2,-1)+1,$C161:$F161)*VLOOKUP(BF$2,Valores!$H$2:$P$154,8,0)</f>
        <v>0</v>
      </c>
      <c r="BG161" s="27" t="n">
        <f aca="false">SUMIF($C$2:$F$2,EOMONTH(BG$2,-1)+1,$C161:$F161)*VLOOKUP(BG$2,Valores!$H$2:$P$154,8,0)</f>
        <v>0</v>
      </c>
      <c r="BH161" s="27" t="n">
        <f aca="false">SUMIF($C$2:$F$2,EOMONTH(BH$2,-1)+1,$C161:$F161)*VLOOKUP(BH$2,Valores!$H$2:$P$154,8,0)</f>
        <v>0</v>
      </c>
      <c r="BI161" s="27" t="n">
        <f aca="false">SUMIF($C$2:$F$2,EOMONTH(BI$2,-1)+1,$C161:$F161)*VLOOKUP(BI$2,Valores!$H$2:$P$154,8,0)</f>
        <v>0</v>
      </c>
      <c r="BJ161" s="27" t="n">
        <f aca="false">SUMIF($C$2:$F$2,EOMONTH(BJ$2,-1)+1,$C161:$F161)*VLOOKUP(BJ$2,Valores!$H$2:$P$154,8,0)</f>
        <v>0</v>
      </c>
      <c r="BK161" s="27" t="n">
        <f aca="false">SUMIF($C$2:$F$2,EOMONTH(BK$2,-1)+1,$C161:$F161)*VLOOKUP(BK$2,Valores!$H$2:$P$154,8,0)</f>
        <v>0</v>
      </c>
      <c r="BL161" s="27" t="n">
        <f aca="false">SUMIF($C$2:$F$2,EOMONTH(BL$2,-1)+1,$C161:$F161)*VLOOKUP(BL$2,Valores!$H$2:$P$154,8,0)</f>
        <v>0</v>
      </c>
      <c r="BM161" s="27" t="n">
        <f aca="false">SUMIF($C$2:$F$2,EOMONTH(BM$2,-1)+1,$C161:$F161)*VLOOKUP(BM$2,Valores!$H$2:$P$154,8,0)</f>
        <v>0</v>
      </c>
      <c r="BN161" s="27" t="n">
        <f aca="false">SUMIF($C$2:$F$2,EOMONTH(BN$2,-1)+1,$C161:$F161)*VLOOKUP(BN$2,Valores!$H$2:$P$154,8,0)</f>
        <v>0</v>
      </c>
      <c r="BO161" s="27" t="n">
        <f aca="false">SUMIF($C$2:$F$2,EOMONTH(BO$2,-1)+1,$C161:$F161)*VLOOKUP(BO$2,Valores!$H$2:$P$154,8,0)</f>
        <v>0</v>
      </c>
      <c r="BP161" s="27" t="n">
        <f aca="false">SUMIF($C$2:$F$2,EOMONTH(BP$2,-1)+1,$C161:$F161)*VLOOKUP(BP$2,Valores!$H$2:$P$154,8,0)</f>
        <v>0</v>
      </c>
      <c r="BQ161" s="27" t="n">
        <f aca="false">SUMIF($C$2:$F$2,EOMONTH(BQ$2,-1)+1,$C161:$F161)*VLOOKUP(BQ$2,Valores!$H$2:$P$154,8,0)</f>
        <v>0</v>
      </c>
      <c r="BR161" s="27" t="n">
        <f aca="false">SUMIF($C$2:$F$2,EOMONTH(BR$2,-1)+1,$C161:$F161)*VLOOKUP(BR$2,Valores!$H$2:$P$154,8,0)</f>
        <v>0</v>
      </c>
      <c r="BS161" s="27" t="n">
        <f aca="false">SUMIF($C$2:$F$2,EOMONTH(BS$2,-1)+1,$C161:$F161)*VLOOKUP(BS$2,Valores!$H$2:$P$154,8,0)</f>
        <v>0</v>
      </c>
      <c r="BT161" s="27" t="n">
        <f aca="false">SUMIF($C$2:$F$2,EOMONTH(BT$2,-1)+1,$C161:$F161)*VLOOKUP(BT$2,Valores!$H$2:$P$154,8,0)</f>
        <v>0</v>
      </c>
      <c r="BU161" s="27" t="n">
        <f aca="false">SUMIF($C$2:$F$2,EOMONTH(BU$2,-1)+1,$C161:$F161)*VLOOKUP(BU$2,Valores!$H$2:$P$154,8,0)</f>
        <v>0</v>
      </c>
      <c r="BV161" s="27" t="n">
        <f aca="false">SUMIF($C$2:$F$2,EOMONTH(BV$2,-1)+1,$C161:$F161)*VLOOKUP(BV$2,Valores!$H$2:$P$154,8,0)</f>
        <v>0</v>
      </c>
      <c r="BW161" s="27" t="n">
        <f aca="false">SUMIF($C$2:$F$2,EOMONTH(BW$2,-1)+1,$C161:$F161)*VLOOKUP(BW$2,Valores!$H$2:$P$154,8,0)</f>
        <v>0</v>
      </c>
      <c r="BX161" s="27" t="n">
        <f aca="false">SUMIF($C$2:$F$2,EOMONTH(BX$2,-1)+1,$C161:$F161)*VLOOKUP(BX$2,Valores!$H$2:$P$154,8,0)</f>
        <v>0</v>
      </c>
      <c r="BY161" s="27" t="n">
        <f aca="false">SUMIF($C$2:$F$2,EOMONTH(BY$2,-1)+1,$C161:$F161)*VLOOKUP(BY$2,Valores!$H$2:$P$154,8,0)</f>
        <v>0</v>
      </c>
      <c r="BZ161" s="27" t="n">
        <f aca="false">SUMIF($C$2:$F$2,EOMONTH(BZ$2,-1)+1,$C161:$F161)*VLOOKUP(BZ$2,Valores!$H$2:$P$154,8,0)</f>
        <v>0</v>
      </c>
      <c r="CA161" s="27" t="n">
        <f aca="false">SUMIF($C$2:$F$2,EOMONTH(CA$2,-1)+1,$C161:$F161)*VLOOKUP(CA$2,Valores!$H$2:$P$154,8,0)</f>
        <v>0</v>
      </c>
      <c r="CB161" s="27" t="n">
        <f aca="false">SUMIF($C$2:$F$2,EOMONTH(CB$2,-1)+1,$C161:$F161)*VLOOKUP(CB$2,Valores!$H$2:$P$154,8,0)</f>
        <v>0</v>
      </c>
      <c r="CC161" s="27" t="n">
        <f aca="false">SUMIF($C$2:$F$2,EOMONTH(CC$2,-1)+1,$C161:$F161)*VLOOKUP(CC$2,Valores!$H$2:$P$154,8,0)</f>
        <v>0</v>
      </c>
      <c r="CD161" s="27" t="n">
        <f aca="false">SUMIF($C$2:$F$2,EOMONTH(CD$2,-1)+1,$C161:$F161)*VLOOKUP(CD$2,Valores!$H$2:$P$154,8,0)</f>
        <v>0</v>
      </c>
      <c r="CE161" s="27" t="n">
        <f aca="false">SUMIF($C$2:$F$2,EOMONTH(CE$2,-1)+1,$C161:$F161)*VLOOKUP(CE$2,Valores!$H$2:$P$154,8,0)</f>
        <v>0</v>
      </c>
      <c r="CF161" s="27" t="n">
        <f aca="false">SUMIF($C$2:$F$2,EOMONTH(CF$2,-1)+1,$C161:$F161)*VLOOKUP(CF$2,Valores!$H$2:$P$154,8,0)</f>
        <v>0</v>
      </c>
      <c r="CG161" s="27" t="n">
        <f aca="false">SUMIF($C$2:$F$2,EOMONTH(CG$2,-1)+1,$C161:$F161)*VLOOKUP(CG$2,Valores!$H$2:$P$154,8,0)</f>
        <v>0</v>
      </c>
      <c r="CH161" s="27" t="n">
        <f aca="false">SUMIF($C$2:$F$2,EOMONTH(CH$2,-1)+1,$C161:$F161)*VLOOKUP(CH$2,Valores!$H$2:$P$154,8,0)</f>
        <v>0</v>
      </c>
      <c r="CI161" s="27" t="n">
        <f aca="false">SUMIF($C$2:$F$2,EOMONTH(CI$2,-1)+1,$C161:$F161)*VLOOKUP(CI$2,Valores!$H$2:$P$154,8,0)</f>
        <v>0</v>
      </c>
      <c r="CJ161" s="27" t="n">
        <f aca="false">SUMIF($C$2:$F$2,EOMONTH(CJ$2,-1)+1,$C161:$F161)*VLOOKUP(CJ$2,Valores!$H$2:$P$154,8,0)</f>
        <v>0</v>
      </c>
      <c r="CK161" s="27" t="n">
        <f aca="false">SUMIF($C$2:$F$2,EOMONTH(CK$2,-1)+1,$C161:$F161)*VLOOKUP(CK$2,Valores!$H$2:$P$154,8,0)</f>
        <v>0</v>
      </c>
      <c r="CL161" s="27" t="n">
        <f aca="false">SUMIF($C$2:$F$2,EOMONTH(CL$2,-1)+1,$C161:$F161)*VLOOKUP(CL$2,Valores!$H$2:$P$154,8,0)</f>
        <v>0</v>
      </c>
      <c r="CM161" s="27" t="n">
        <f aca="false">SUMIF($C$2:$F$2,EOMONTH(CM$2,-1)+1,$C161:$F161)*VLOOKUP(CM$2,Valores!$H$2:$P$154,8,0)</f>
        <v>0</v>
      </c>
      <c r="CN161" s="27" t="n">
        <f aca="false">SUMIF($C$2:$F$2,EOMONTH(CN$2,-1)+1,$C161:$F161)*VLOOKUP(CN$2,Valores!$H$2:$P$154,8,0)</f>
        <v>0</v>
      </c>
      <c r="CO161" s="27" t="n">
        <f aca="false">SUMIF($C$2:$F$2,EOMONTH(CO$2,-1)+1,$C161:$F161)*VLOOKUP(CO$2,Valores!$H$2:$P$154,8,0)</f>
        <v>0</v>
      </c>
      <c r="CP161" s="27" t="n">
        <f aca="false">SUMIF($C$2:$F$2,EOMONTH(CP$2,-1)+1,$C161:$F161)*VLOOKUP(CP$2,Valores!$H$2:$P$154,8,0)</f>
        <v>0</v>
      </c>
      <c r="CQ161" s="27" t="n">
        <f aca="false">SUMIF($C$2:$F$2,EOMONTH(CQ$2,-1)+1,$C161:$F161)*VLOOKUP(CQ$2,Valores!$H$2:$P$154,8,0)</f>
        <v>0</v>
      </c>
      <c r="CR161" s="27" t="n">
        <f aca="false">SUMIF($C$2:$F$2,EOMONTH(CR$2,-1)+1,$C161:$F161)*VLOOKUP(CR$2,Valores!$H$2:$P$154,8,0)</f>
        <v>0</v>
      </c>
      <c r="CS161" s="27" t="n">
        <f aca="false">SUMIF($C$2:$F$2,EOMONTH(CS$2,-1)+1,$C161:$F161)*VLOOKUP(CS$2,Valores!$H$2:$P$154,8,0)</f>
        <v>0</v>
      </c>
      <c r="CT161" s="27" t="e">
        <f aca="false">SUMIF($C$2:$F$2,EOMONTH(CT$2,-1)+1,$C161:$F161)*VLOOKUP(CT$2,Valores!$H$2:$P$154,8,0)</f>
        <v>#VALUE!</v>
      </c>
      <c r="CU161" s="27" t="e">
        <f aca="false">SUMIF($C$2:$F$2,EOMONTH(CU$2,-1)+1,$C161:$F161)*VLOOKUP(CU$2,Valores!$H$2:$P$154,8,0)</f>
        <v>#VALUE!</v>
      </c>
      <c r="CV161" s="27" t="e">
        <f aca="false">SUMIF($C$2:$F$2,EOMONTH(CV$2,-1)+1,$C161:$F161)*VLOOKUP(CV$2,Valores!$H$2:$P$154,8,0)</f>
        <v>#VALUE!</v>
      </c>
      <c r="CW161" s="27" t="e">
        <f aca="false">SUMIF($C$2:$F$2,EOMONTH(CW$2,-1)+1,$C161:$F161)*VLOOKUP(CW$2,Valores!$H$2:$P$154,8,0)</f>
        <v>#VALUE!</v>
      </c>
      <c r="CX161" s="27" t="e">
        <f aca="false">SUMIF($C$2:$F$2,EOMONTH(CX$2,-1)+1,$C161:$F161)*VLOOKUP(CX$2,Valores!$H$2:$P$154,8,0)</f>
        <v>#VALUE!</v>
      </c>
      <c r="CY161" s="27" t="e">
        <f aca="false">SUMIF($C$2:$F$2,EOMONTH(CY$2,-1)+1,$C161:$F161)*VLOOKUP(CY$2,Valores!$H$2:$P$154,8,0)</f>
        <v>#VALUE!</v>
      </c>
      <c r="CZ161" s="27" t="e">
        <f aca="false">SUMIF($C$2:$F$2,EOMONTH(CZ$2,-1)+1,$C161:$F161)*VLOOKUP(CZ$2,Valores!$H$2:$P$154,8,0)</f>
        <v>#VALUE!</v>
      </c>
      <c r="DA161" s="27" t="e">
        <f aca="false">SUMIF($C$2:$F$2,EOMONTH(DA$2,-1)+1,$C161:$F161)*VLOOKUP(DA$2,Valores!$H$2:$P$154,8,0)</f>
        <v>#VALUE!</v>
      </c>
      <c r="DB161" s="27" t="e">
        <f aca="false">SUMIF($C$2:$F$2,EOMONTH(DB$2,-1)+1,$C161:$F161)*VLOOKUP(DB$2,Valores!$H$2:$P$154,8,0)</f>
        <v>#VALUE!</v>
      </c>
      <c r="DC161" s="27" t="e">
        <f aca="false">SUMIF($C$2:$F$2,EOMONTH(DC$2,-1)+1,$C161:$F161)*VLOOKUP(DC$2,Valores!$H$2:$P$154,8,0)</f>
        <v>#VALUE!</v>
      </c>
      <c r="DD161" s="27" t="e">
        <f aca="false">SUMIF($C$2:$F$2,EOMONTH(DD$2,-1)+1,$C161:$F161)*VLOOKUP(DD$2,Valores!$H$2:$P$154,8,0)</f>
        <v>#VALUE!</v>
      </c>
      <c r="DE161" s="27" t="e">
        <f aca="false">SUMIF($C$2:$F$2,EOMONTH(DE$2,-1)+1,$C161:$F161)*VLOOKUP(DE$2,Valores!$H$2:$P$154,8,0)</f>
        <v>#VALUE!</v>
      </c>
      <c r="DF161" s="27" t="e">
        <f aca="false">SUMIF($C$2:$F$2,EOMONTH(DF$2,-1)+1,$C161:$F161)*VLOOKUP(DF$2,Valores!$H$2:$P$154,8,0)</f>
        <v>#VALUE!</v>
      </c>
      <c r="DG161" s="27" t="e">
        <f aca="false">SUMIF($C$2:$F$2,EOMONTH(DG$2,-1)+1,$C161:$F161)*VLOOKUP(DG$2,Valores!$H$2:$P$154,8,0)</f>
        <v>#VALUE!</v>
      </c>
      <c r="DH161" s="27" t="e">
        <f aca="false">SUMIF($C$2:$F$2,EOMONTH(DH$2,-1)+1,$C161:$F161)*VLOOKUP(DH$2,Valores!$H$2:$P$154,8,0)</f>
        <v>#VALUE!</v>
      </c>
      <c r="DI161" s="27" t="e">
        <f aca="false">SUMIF($C$2:$F$2,EOMONTH(DI$2,-1)+1,$C161:$F161)*VLOOKUP(DI$2,Valores!$H$2:$P$154,8,0)</f>
        <v>#VALUE!</v>
      </c>
      <c r="DJ161" s="27" t="e">
        <f aca="false">SUMIF($C$2:$F$2,EOMONTH(DJ$2,-1)+1,$C161:$F161)*VLOOKUP(DJ$2,Valores!$H$2:$P$154,8,0)</f>
        <v>#VALUE!</v>
      </c>
      <c r="DK161" s="27" t="e">
        <f aca="false">SUMIF($C$2:$F$2,EOMONTH(DK$2,-1)+1,$C161:$F161)*VLOOKUP(DK$2,Valores!$H$2:$P$154,8,0)</f>
        <v>#VALUE!</v>
      </c>
      <c r="DL161" s="27" t="e">
        <f aca="false">SUMIF($C$2:$F$2,EOMONTH(DL$2,-1)+1,$C161:$F161)*VLOOKUP(DL$2,Valores!$H$2:$P$154,8,0)</f>
        <v>#VALUE!</v>
      </c>
      <c r="DM161" s="27" t="e">
        <f aca="false">SUMIF($C$2:$F$2,EOMONTH(DM$2,-1)+1,$C161:$F161)*VLOOKUP(DM$2,Valores!$H$2:$P$154,8,0)</f>
        <v>#VALUE!</v>
      </c>
      <c r="DN161" s="27" t="e">
        <f aca="false">SUMIF($C$2:$F$2,EOMONTH(DN$2,-1)+1,$C161:$F161)*VLOOKUP(DN$2,Valores!$H$2:$P$154,8,0)</f>
        <v>#VALUE!</v>
      </c>
      <c r="DO161" s="27" t="e">
        <f aca="false">SUMIF($C$2:$F$2,EOMONTH(DO$2,-1)+1,$C161:$F161)*VLOOKUP(DO$2,Valores!$H$2:$P$154,8,0)</f>
        <v>#VALUE!</v>
      </c>
      <c r="DP161" s="27" t="e">
        <f aca="false">SUMIF($C$2:$F$2,EOMONTH(DP$2,-1)+1,$C161:$F161)*VLOOKUP(DP$2,Valores!$H$2:$P$154,8,0)</f>
        <v>#VALUE!</v>
      </c>
      <c r="DQ161" s="27" t="e">
        <f aca="false">SUMIF($C$2:$F$2,EOMONTH(DQ$2,-1)+1,$C161:$F161)*VLOOKUP(DQ$2,Valores!$H$2:$P$154,8,0)</f>
        <v>#VALUE!</v>
      </c>
      <c r="DR161" s="27" t="e">
        <f aca="false">SUMIF($C$2:$F$2,EOMONTH(DR$2,-1)+1,$C161:$F161)*VLOOKUP(DR$2,Valores!$H$2:$P$154,8,0)</f>
        <v>#VALUE!</v>
      </c>
      <c r="DS161" s="27" t="e">
        <f aca="false">SUMIF($C$2:$F$2,EOMONTH(DS$2,-1)+1,$C161:$F161)*VLOOKUP(DS$2,Valores!$H$2:$P$154,8,0)</f>
        <v>#VALUE!</v>
      </c>
      <c r="DT161" s="27" t="e">
        <f aca="false">SUMIF($C$2:$F$2,EOMONTH(DT$2,-1)+1,$C161:$F161)*VLOOKUP(DT$2,Valores!$H$2:$P$154,8,0)</f>
        <v>#VALUE!</v>
      </c>
      <c r="DU161" s="27" t="e">
        <f aca="false">SUMIF($C$2:$F$2,EOMONTH(DU$2,-1)+1,$C161:$F161)*VLOOKUP(DU$2,Valores!$H$2:$P$154,8,0)</f>
        <v>#VALUE!</v>
      </c>
      <c r="DV161" s="27" t="e">
        <f aca="false">SUMIF($C$2:$F$2,EOMONTH(DV$2,-1)+1,$C161:$F161)*VLOOKUP(DV$2,Valores!$H$2:$P$154,8,0)</f>
        <v>#VALUE!</v>
      </c>
      <c r="DW161" s="27" t="e">
        <f aca="false">SUMIF($C$2:$F$2,EOMONTH(DW$2,-1)+1,$C161:$F161)*VLOOKUP(DW$2,Valores!$H$2:$P$154,8,0)</f>
        <v>#VALUE!</v>
      </c>
      <c r="DX161" s="27" t="e">
        <f aca="false">SUMIF($C$2:$F$2,EOMONTH(DX$2,-1)+1,$C161:$F161)*VLOOKUP(DX$2,Valores!$H$2:$P$154,8,0)</f>
        <v>#VALUE!</v>
      </c>
    </row>
    <row r="162" customFormat="false" ht="13.8" hidden="false" customHeight="false" outlineLevel="0" collapsed="false">
      <c r="A162" s="29"/>
      <c r="B162" s="29"/>
      <c r="C162" s="29"/>
      <c r="D162" s="29"/>
      <c r="E162" s="29"/>
      <c r="F162" s="29"/>
      <c r="G162" s="30" t="n">
        <f aca="false">SUMIF($C$2:$F$2,EOMONTH(G$2,-1)+1,$C162:$F162)*VLOOKUP(G$2,Valores!$H$2:$P$154,8,0)</f>
        <v>0</v>
      </c>
      <c r="H162" s="30" t="n">
        <f aca="false">SUMIF($C$2:$F$2,EOMONTH(H$2,-1)+1,$C162:$F162)*VLOOKUP(H$2,Valores!$H$2:$P$154,8,0)</f>
        <v>0</v>
      </c>
      <c r="I162" s="30" t="n">
        <f aca="false">SUMIF($C$2:$F$2,EOMONTH(I$2,-1)+1,$C162:$F162)*VLOOKUP(I$2,Valores!$H$2:$P$154,8,0)</f>
        <v>0</v>
      </c>
      <c r="J162" s="30" t="n">
        <f aca="false">SUMIF($C$2:$F$2,EOMONTH(J$2,-1)+1,$C162:$F162)*VLOOKUP(J$2,Valores!$H$2:$P$154,8,0)</f>
        <v>0</v>
      </c>
      <c r="K162" s="30" t="n">
        <f aca="false">SUMIF($C$2:$F$2,EOMONTH(K$2,-1)+1,$C162:$F162)*VLOOKUP(K$2,Valores!$H$2:$P$154,8,0)</f>
        <v>0</v>
      </c>
      <c r="L162" s="30" t="n">
        <f aca="false">SUMIF($C$2:$F$2,EOMONTH(L$2,-1)+1,$C162:$F162)*VLOOKUP(L$2,Valores!$H$2:$P$154,8,0)</f>
        <v>0</v>
      </c>
      <c r="M162" s="30" t="n">
        <f aca="false">SUMIF($C$2:$F$2,EOMONTH(M$2,-1)+1,$C162:$F162)*VLOOKUP(M$2,Valores!$H$2:$P$154,8,0)</f>
        <v>0</v>
      </c>
      <c r="N162" s="30" t="n">
        <f aca="false">SUMIF($C$2:$F$2,EOMONTH(N$2,-1)+1,$C162:$F162)*VLOOKUP(N$2,Valores!$H$2:$P$154,8,0)</f>
        <v>0</v>
      </c>
      <c r="O162" s="30" t="n">
        <f aca="false">SUMIF($C$2:$F$2,EOMONTH(O$2,-1)+1,$C162:$F162)*VLOOKUP(O$2,Valores!$H$2:$P$154,8,0)</f>
        <v>0</v>
      </c>
      <c r="P162" s="30" t="n">
        <f aca="false">SUMIF($C$2:$F$2,EOMONTH(P$2,-1)+1,$C162:$F162)*VLOOKUP(P$2,Valores!$H$2:$P$154,8,0)</f>
        <v>0</v>
      </c>
      <c r="Q162" s="30" t="n">
        <f aca="false">SUMIF($C$2:$F$2,EOMONTH(Q$2,-1)+1,$C162:$F162)*VLOOKUP(Q$2,Valores!$H$2:$P$154,8,0)</f>
        <v>0</v>
      </c>
      <c r="R162" s="30" t="n">
        <f aca="false">SUMIF($C$2:$F$2,EOMONTH(R$2,-1)+1,$C162:$F162)*VLOOKUP(R$2,Valores!$H$2:$P$154,8,0)</f>
        <v>0</v>
      </c>
      <c r="S162" s="30" t="n">
        <f aca="false">SUMIF($C$2:$F$2,EOMONTH(S$2,-1)+1,$C162:$F162)*VLOOKUP(S$2,Valores!$H$2:$P$154,8,0)</f>
        <v>0</v>
      </c>
      <c r="T162" s="30" t="n">
        <f aca="false">SUMIF($C$2:$F$2,EOMONTH(T$2,-1)+1,$C162:$F162)*VLOOKUP(T$2,Valores!$H$2:$P$154,8,0)</f>
        <v>0</v>
      </c>
      <c r="U162" s="30" t="n">
        <f aca="false">SUMIF($C$2:$F$2,EOMONTH(U$2,-1)+1,$C162:$F162)*VLOOKUP(U$2,Valores!$H$2:$P$154,8,0)</f>
        <v>0</v>
      </c>
      <c r="V162" s="30" t="n">
        <f aca="false">SUMIF($C$2:$F$2,EOMONTH(V$2,-1)+1,$C162:$F162)*VLOOKUP(V$2,Valores!$H$2:$P$154,8,0)</f>
        <v>0</v>
      </c>
      <c r="W162" s="30" t="n">
        <f aca="false">SUMIF($C$2:$F$2,EOMONTH(W$2,-1)+1,$C162:$F162)*VLOOKUP(W$2,Valores!$H$2:$P$154,8,0)</f>
        <v>0</v>
      </c>
      <c r="X162" s="30" t="n">
        <f aca="false">SUMIF($C$2:$F$2,EOMONTH(X$2,-1)+1,$C162:$F162)*VLOOKUP(X$2,Valores!$H$2:$P$154,8,0)</f>
        <v>0</v>
      </c>
      <c r="Y162" s="30" t="n">
        <f aca="false">SUMIF($C$2:$F$2,EOMONTH(Y$2,-1)+1,$C162:$F162)*VLOOKUP(Y$2,Valores!$H$2:$P$154,8,0)</f>
        <v>0</v>
      </c>
      <c r="Z162" s="30" t="n">
        <f aca="false">SUMIF($C$2:$F$2,EOMONTH(Z$2,-1)+1,$C162:$F162)*VLOOKUP(Z$2,Valores!$H$2:$P$154,8,0)</f>
        <v>0</v>
      </c>
      <c r="AA162" s="30" t="n">
        <f aca="false">SUMIF($C$2:$F$2,EOMONTH(AA$2,-1)+1,$C162:$F162)*VLOOKUP(AA$2,Valores!$H$2:$P$154,8,0)</f>
        <v>0</v>
      </c>
      <c r="AB162" s="30" t="n">
        <f aca="false">SUMIF($C$2:$F$2,EOMONTH(AB$2,-1)+1,$C162:$F162)*VLOOKUP(AB$2,Valores!$H$2:$P$154,8,0)</f>
        <v>0</v>
      </c>
      <c r="AC162" s="30" t="n">
        <f aca="false">SUMIF($C$2:$F$2,EOMONTH(AC$2,-1)+1,$C162:$F162)*VLOOKUP(AC$2,Valores!$H$2:$P$154,8,0)</f>
        <v>0</v>
      </c>
      <c r="AD162" s="30" t="n">
        <f aca="false">SUMIF($C$2:$F$2,EOMONTH(AD$2,-1)+1,$C162:$F162)*VLOOKUP(AD$2,Valores!$H$2:$P$154,8,0)</f>
        <v>0</v>
      </c>
      <c r="AE162" s="30" t="n">
        <f aca="false">SUMIF($C$2:$F$2,EOMONTH(AE$2,-1)+1,$C162:$F162)*VLOOKUP(AE$2,Valores!$H$2:$P$154,8,0)</f>
        <v>0</v>
      </c>
      <c r="AF162" s="30" t="n">
        <f aca="false">SUMIF($C$2:$F$2,EOMONTH(AF$2,-1)+1,$C162:$F162)*VLOOKUP(AF$2,Valores!$H$2:$P$154,8,0)</f>
        <v>0</v>
      </c>
      <c r="AG162" s="30" t="n">
        <f aca="false">SUMIF($C$2:$F$2,EOMONTH(AG$2,-1)+1,$C162:$F162)*VLOOKUP(AG$2,Valores!$H$2:$P$154,8,0)</f>
        <v>0</v>
      </c>
      <c r="AH162" s="30" t="n">
        <f aca="false">SUMIF($C$2:$F$2,EOMONTH(AH$2,-1)+1,$C162:$F162)*VLOOKUP(AH$2,Valores!$H$2:$P$154,8,0)</f>
        <v>0</v>
      </c>
      <c r="AI162" s="30" t="n">
        <f aca="false">SUMIF($C$2:$F$2,EOMONTH(AI$2,-1)+1,$C162:$F162)*VLOOKUP(AI$2,Valores!$H$2:$P$154,8,0)</f>
        <v>0</v>
      </c>
      <c r="AJ162" s="30" t="n">
        <f aca="false">SUMIF($C$2:$F$2,EOMONTH(AJ$2,-1)+1,$C162:$F162)*VLOOKUP(AJ$2,Valores!$H$2:$P$154,8,0)</f>
        <v>0</v>
      </c>
      <c r="AK162" s="30" t="n">
        <f aca="false">SUMIF($C$2:$F$2,EOMONTH(AK$2,-1)+1,$C162:$F162)*VLOOKUP(AK$2,Valores!$H$2:$P$154,8,0)</f>
        <v>0</v>
      </c>
      <c r="AL162" s="30" t="n">
        <f aca="false">SUMIF($C$2:$F$2,EOMONTH(AL$2,-1)+1,$C162:$F162)*VLOOKUP(AL$2,Valores!$H$2:$P$154,8,0)</f>
        <v>0</v>
      </c>
      <c r="AM162" s="30" t="n">
        <f aca="false">SUMIF($C$2:$F$2,EOMONTH(AM$2,-1)+1,$C162:$F162)*VLOOKUP(AM$2,Valores!$H$2:$P$154,8,0)</f>
        <v>0</v>
      </c>
      <c r="AN162" s="30" t="n">
        <f aca="false">SUMIF($C$2:$F$2,EOMONTH(AN$2,-1)+1,$C162:$F162)*VLOOKUP(AN$2,Valores!$H$2:$P$154,8,0)</f>
        <v>0</v>
      </c>
      <c r="AO162" s="30" t="n">
        <f aca="false">SUMIF($C$2:$F$2,EOMONTH(AO$2,-1)+1,$C162:$F162)*VLOOKUP(AO$2,Valores!$H$2:$P$154,8,0)</f>
        <v>0</v>
      </c>
      <c r="AP162" s="30" t="n">
        <f aca="false">SUMIF($C$2:$F$2,EOMONTH(AP$2,-1)+1,$C162:$F162)*VLOOKUP(AP$2,Valores!$H$2:$P$154,8,0)</f>
        <v>0</v>
      </c>
      <c r="AQ162" s="30" t="n">
        <f aca="false">SUMIF($C$2:$F$2,EOMONTH(AQ$2,-1)+1,$C162:$F162)*VLOOKUP(AQ$2,Valores!$H$2:$P$154,8,0)</f>
        <v>0</v>
      </c>
      <c r="AR162" s="30" t="n">
        <f aca="false">SUMIF($C$2:$F$2,EOMONTH(AR$2,-1)+1,$C162:$F162)*VLOOKUP(AR$2,Valores!$H$2:$P$154,8,0)</f>
        <v>0</v>
      </c>
      <c r="AS162" s="30" t="n">
        <f aca="false">SUMIF($C$2:$F$2,EOMONTH(AS$2,-1)+1,$C162:$F162)*VLOOKUP(AS$2,Valores!$H$2:$P$154,8,0)</f>
        <v>0</v>
      </c>
      <c r="AT162" s="30" t="n">
        <f aca="false">SUMIF($C$2:$F$2,EOMONTH(AT$2,-1)+1,$C162:$F162)*VLOOKUP(AT$2,Valores!$H$2:$P$154,8,0)</f>
        <v>0</v>
      </c>
      <c r="AU162" s="30" t="n">
        <f aca="false">SUMIF($C$2:$F$2,EOMONTH(AU$2,-1)+1,$C162:$F162)*VLOOKUP(AU$2,Valores!$H$2:$P$154,8,0)</f>
        <v>0</v>
      </c>
      <c r="AV162" s="30" t="n">
        <f aca="false">SUMIF($C$2:$F$2,EOMONTH(AV$2,-1)+1,$C162:$F162)*VLOOKUP(AV$2,Valores!$H$2:$P$154,8,0)</f>
        <v>0</v>
      </c>
      <c r="AW162" s="30" t="n">
        <f aca="false">SUMIF($C$2:$F$2,EOMONTH(AW$2,-1)+1,$C162:$F162)*VLOOKUP(AW$2,Valores!$H$2:$P$154,8,0)</f>
        <v>0</v>
      </c>
      <c r="AX162" s="30" t="n">
        <f aca="false">SUMIF($C$2:$F$2,EOMONTH(AX$2,-1)+1,$C162:$F162)*VLOOKUP(AX$2,Valores!$H$2:$P$154,8,0)</f>
        <v>0</v>
      </c>
      <c r="AY162" s="30" t="n">
        <f aca="false">SUMIF($C$2:$F$2,EOMONTH(AY$2,-1)+1,$C162:$F162)*VLOOKUP(AY$2,Valores!$H$2:$P$154,8,0)</f>
        <v>0</v>
      </c>
      <c r="AZ162" s="30" t="n">
        <f aca="false">SUMIF($C$2:$F$2,EOMONTH(AZ$2,-1)+1,$C162:$F162)*VLOOKUP(AZ$2,Valores!$H$2:$P$154,8,0)</f>
        <v>0</v>
      </c>
      <c r="BA162" s="30" t="n">
        <f aca="false">SUMIF($C$2:$F$2,EOMONTH(BA$2,-1)+1,$C162:$F162)*VLOOKUP(BA$2,Valores!$H$2:$P$154,8,0)</f>
        <v>0</v>
      </c>
      <c r="BB162" s="30" t="n">
        <f aca="false">SUMIF($C$2:$F$2,EOMONTH(BB$2,-1)+1,$C162:$F162)*VLOOKUP(BB$2,Valores!$H$2:$P$154,8,0)</f>
        <v>0</v>
      </c>
      <c r="BC162" s="30" t="n">
        <f aca="false">SUMIF($C$2:$F$2,EOMONTH(BC$2,-1)+1,$C162:$F162)*VLOOKUP(BC$2,Valores!$H$2:$P$154,8,0)</f>
        <v>0</v>
      </c>
      <c r="BD162" s="30" t="n">
        <f aca="false">SUMIF($C$2:$F$2,EOMONTH(BD$2,-1)+1,$C162:$F162)*VLOOKUP(BD$2,Valores!$H$2:$P$154,8,0)</f>
        <v>0</v>
      </c>
      <c r="BE162" s="30" t="n">
        <f aca="false">SUMIF($C$2:$F$2,EOMONTH(BE$2,-1)+1,$C162:$F162)*VLOOKUP(BE$2,Valores!$H$2:$P$154,8,0)</f>
        <v>0</v>
      </c>
      <c r="BF162" s="30" t="n">
        <f aca="false">SUMIF($C$2:$F$2,EOMONTH(BF$2,-1)+1,$C162:$F162)*VLOOKUP(BF$2,Valores!$H$2:$P$154,8,0)</f>
        <v>0</v>
      </c>
      <c r="BG162" s="30" t="n">
        <f aca="false">SUMIF($C$2:$F$2,EOMONTH(BG$2,-1)+1,$C162:$F162)*VLOOKUP(BG$2,Valores!$H$2:$P$154,8,0)</f>
        <v>0</v>
      </c>
      <c r="BH162" s="30" t="n">
        <f aca="false">SUMIF($C$2:$F$2,EOMONTH(BH$2,-1)+1,$C162:$F162)*VLOOKUP(BH$2,Valores!$H$2:$P$154,8,0)</f>
        <v>0</v>
      </c>
      <c r="BI162" s="30" t="n">
        <f aca="false">SUMIF($C$2:$F$2,EOMONTH(BI$2,-1)+1,$C162:$F162)*VLOOKUP(BI$2,Valores!$H$2:$P$154,8,0)</f>
        <v>0</v>
      </c>
      <c r="BJ162" s="30" t="n">
        <f aca="false">SUMIF($C$2:$F$2,EOMONTH(BJ$2,-1)+1,$C162:$F162)*VLOOKUP(BJ$2,Valores!$H$2:$P$154,8,0)</f>
        <v>0</v>
      </c>
      <c r="BK162" s="30" t="n">
        <f aca="false">SUMIF($C$2:$F$2,EOMONTH(BK$2,-1)+1,$C162:$F162)*VLOOKUP(BK$2,Valores!$H$2:$P$154,8,0)</f>
        <v>0</v>
      </c>
      <c r="BL162" s="30" t="n">
        <f aca="false">SUMIF($C$2:$F$2,EOMONTH(BL$2,-1)+1,$C162:$F162)*VLOOKUP(BL$2,Valores!$H$2:$P$154,8,0)</f>
        <v>0</v>
      </c>
      <c r="BM162" s="30" t="n">
        <f aca="false">SUMIF($C$2:$F$2,EOMONTH(BM$2,-1)+1,$C162:$F162)*VLOOKUP(BM$2,Valores!$H$2:$P$154,8,0)</f>
        <v>0</v>
      </c>
      <c r="BN162" s="30" t="n">
        <f aca="false">SUMIF($C$2:$F$2,EOMONTH(BN$2,-1)+1,$C162:$F162)*VLOOKUP(BN$2,Valores!$H$2:$P$154,8,0)</f>
        <v>0</v>
      </c>
      <c r="BO162" s="30" t="n">
        <f aca="false">SUMIF($C$2:$F$2,EOMONTH(BO$2,-1)+1,$C162:$F162)*VLOOKUP(BO$2,Valores!$H$2:$P$154,8,0)</f>
        <v>0</v>
      </c>
      <c r="BP162" s="30" t="n">
        <f aca="false">SUMIF($C$2:$F$2,EOMONTH(BP$2,-1)+1,$C162:$F162)*VLOOKUP(BP$2,Valores!$H$2:$P$154,8,0)</f>
        <v>0</v>
      </c>
      <c r="BQ162" s="30" t="n">
        <f aca="false">SUMIF($C$2:$F$2,EOMONTH(BQ$2,-1)+1,$C162:$F162)*VLOOKUP(BQ$2,Valores!$H$2:$P$154,8,0)</f>
        <v>0</v>
      </c>
      <c r="BR162" s="30" t="n">
        <f aca="false">SUMIF($C$2:$F$2,EOMONTH(BR$2,-1)+1,$C162:$F162)*VLOOKUP(BR$2,Valores!$H$2:$P$154,8,0)</f>
        <v>0</v>
      </c>
      <c r="BS162" s="30" t="n">
        <f aca="false">SUMIF($C$2:$F$2,EOMONTH(BS$2,-1)+1,$C162:$F162)*VLOOKUP(BS$2,Valores!$H$2:$P$154,8,0)</f>
        <v>0</v>
      </c>
      <c r="BT162" s="30" t="n">
        <f aca="false">SUMIF($C$2:$F$2,EOMONTH(BT$2,-1)+1,$C162:$F162)*VLOOKUP(BT$2,Valores!$H$2:$P$154,8,0)</f>
        <v>0</v>
      </c>
      <c r="BU162" s="30" t="n">
        <f aca="false">SUMIF($C$2:$F$2,EOMONTH(BU$2,-1)+1,$C162:$F162)*VLOOKUP(BU$2,Valores!$H$2:$P$154,8,0)</f>
        <v>0</v>
      </c>
      <c r="BV162" s="30" t="n">
        <f aca="false">SUMIF($C$2:$F$2,EOMONTH(BV$2,-1)+1,$C162:$F162)*VLOOKUP(BV$2,Valores!$H$2:$P$154,8,0)</f>
        <v>0</v>
      </c>
      <c r="BW162" s="30" t="n">
        <f aca="false">SUMIF($C$2:$F$2,EOMONTH(BW$2,-1)+1,$C162:$F162)*VLOOKUP(BW$2,Valores!$H$2:$P$154,8,0)</f>
        <v>0</v>
      </c>
      <c r="BX162" s="30" t="n">
        <f aca="false">SUMIF($C$2:$F$2,EOMONTH(BX$2,-1)+1,$C162:$F162)*VLOOKUP(BX$2,Valores!$H$2:$P$154,8,0)</f>
        <v>0</v>
      </c>
      <c r="BY162" s="30" t="n">
        <f aca="false">SUMIF($C$2:$F$2,EOMONTH(BY$2,-1)+1,$C162:$F162)*VLOOKUP(BY$2,Valores!$H$2:$P$154,8,0)</f>
        <v>0</v>
      </c>
      <c r="BZ162" s="30" t="n">
        <f aca="false">SUMIF($C$2:$F$2,EOMONTH(BZ$2,-1)+1,$C162:$F162)*VLOOKUP(BZ$2,Valores!$H$2:$P$154,8,0)</f>
        <v>0</v>
      </c>
      <c r="CA162" s="30" t="n">
        <f aca="false">SUMIF($C$2:$F$2,EOMONTH(CA$2,-1)+1,$C162:$F162)*VLOOKUP(CA$2,Valores!$H$2:$P$154,8,0)</f>
        <v>0</v>
      </c>
      <c r="CB162" s="30" t="n">
        <f aca="false">SUMIF($C$2:$F$2,EOMONTH(CB$2,-1)+1,$C162:$F162)*VLOOKUP(CB$2,Valores!$H$2:$P$154,8,0)</f>
        <v>0</v>
      </c>
      <c r="CC162" s="30" t="n">
        <f aca="false">SUMIF($C$2:$F$2,EOMONTH(CC$2,-1)+1,$C162:$F162)*VLOOKUP(CC$2,Valores!$H$2:$P$154,8,0)</f>
        <v>0</v>
      </c>
      <c r="CD162" s="30" t="n">
        <f aca="false">SUMIF($C$2:$F$2,EOMONTH(CD$2,-1)+1,$C162:$F162)*VLOOKUP(CD$2,Valores!$H$2:$P$154,8,0)</f>
        <v>0</v>
      </c>
      <c r="CE162" s="30" t="n">
        <f aca="false">SUMIF($C$2:$F$2,EOMONTH(CE$2,-1)+1,$C162:$F162)*VLOOKUP(CE$2,Valores!$H$2:$P$154,8,0)</f>
        <v>0</v>
      </c>
      <c r="CF162" s="30" t="n">
        <f aca="false">SUMIF($C$2:$F$2,EOMONTH(CF$2,-1)+1,$C162:$F162)*VLOOKUP(CF$2,Valores!$H$2:$P$154,8,0)</f>
        <v>0</v>
      </c>
      <c r="CG162" s="30" t="n">
        <f aca="false">SUMIF($C$2:$F$2,EOMONTH(CG$2,-1)+1,$C162:$F162)*VLOOKUP(CG$2,Valores!$H$2:$P$154,8,0)</f>
        <v>0</v>
      </c>
      <c r="CH162" s="30" t="n">
        <f aca="false">SUMIF($C$2:$F$2,EOMONTH(CH$2,-1)+1,$C162:$F162)*VLOOKUP(CH$2,Valores!$H$2:$P$154,8,0)</f>
        <v>0</v>
      </c>
      <c r="CI162" s="30" t="n">
        <f aca="false">SUMIF($C$2:$F$2,EOMONTH(CI$2,-1)+1,$C162:$F162)*VLOOKUP(CI$2,Valores!$H$2:$P$154,8,0)</f>
        <v>0</v>
      </c>
      <c r="CJ162" s="30" t="n">
        <f aca="false">SUMIF($C$2:$F$2,EOMONTH(CJ$2,-1)+1,$C162:$F162)*VLOOKUP(CJ$2,Valores!$H$2:$P$154,8,0)</f>
        <v>0</v>
      </c>
      <c r="CK162" s="30" t="n">
        <f aca="false">SUMIF($C$2:$F$2,EOMONTH(CK$2,-1)+1,$C162:$F162)*VLOOKUP(CK$2,Valores!$H$2:$P$154,8,0)</f>
        <v>0</v>
      </c>
      <c r="CL162" s="30" t="n">
        <f aca="false">SUMIF($C$2:$F$2,EOMONTH(CL$2,-1)+1,$C162:$F162)*VLOOKUP(CL$2,Valores!$H$2:$P$154,8,0)</f>
        <v>0</v>
      </c>
      <c r="CM162" s="30" t="n">
        <f aca="false">SUMIF($C$2:$F$2,EOMONTH(CM$2,-1)+1,$C162:$F162)*VLOOKUP(CM$2,Valores!$H$2:$P$154,8,0)</f>
        <v>0</v>
      </c>
      <c r="CN162" s="30" t="n">
        <f aca="false">SUMIF($C$2:$F$2,EOMONTH(CN$2,-1)+1,$C162:$F162)*VLOOKUP(CN$2,Valores!$H$2:$P$154,8,0)</f>
        <v>0</v>
      </c>
      <c r="CO162" s="30" t="n">
        <f aca="false">SUMIF($C$2:$F$2,EOMONTH(CO$2,-1)+1,$C162:$F162)*VLOOKUP(CO$2,Valores!$H$2:$P$154,8,0)</f>
        <v>0</v>
      </c>
      <c r="CP162" s="30" t="n">
        <f aca="false">SUMIF($C$2:$F$2,EOMONTH(CP$2,-1)+1,$C162:$F162)*VLOOKUP(CP$2,Valores!$H$2:$P$154,8,0)</f>
        <v>0</v>
      </c>
      <c r="CQ162" s="30" t="n">
        <f aca="false">SUMIF($C$2:$F$2,EOMONTH(CQ$2,-1)+1,$C162:$F162)*VLOOKUP(CQ$2,Valores!$H$2:$P$154,8,0)</f>
        <v>0</v>
      </c>
      <c r="CR162" s="30" t="n">
        <f aca="false">SUMIF($C$2:$F$2,EOMONTH(CR$2,-1)+1,$C162:$F162)*VLOOKUP(CR$2,Valores!$H$2:$P$154,8,0)</f>
        <v>0</v>
      </c>
      <c r="CS162" s="30" t="n">
        <f aca="false">SUMIF($C$2:$F$2,EOMONTH(CS$2,-1)+1,$C162:$F162)*VLOOKUP(CS$2,Valores!$H$2:$P$154,8,0)</f>
        <v>0</v>
      </c>
      <c r="CT162" s="30" t="e">
        <f aca="false">SUMIF($C$2:$F$2,EOMONTH(CT$2,-1)+1,$C162:$F162)*VLOOKUP(CT$2,Valores!$H$2:$P$154,8,0)</f>
        <v>#VALUE!</v>
      </c>
      <c r="CU162" s="30" t="e">
        <f aca="false">SUMIF($C$2:$F$2,EOMONTH(CU$2,-1)+1,$C162:$F162)*VLOOKUP(CU$2,Valores!$H$2:$P$154,8,0)</f>
        <v>#VALUE!</v>
      </c>
      <c r="CV162" s="30" t="e">
        <f aca="false">SUMIF($C$2:$F$2,EOMONTH(CV$2,-1)+1,$C162:$F162)*VLOOKUP(CV$2,Valores!$H$2:$P$154,8,0)</f>
        <v>#VALUE!</v>
      </c>
      <c r="CW162" s="30" t="e">
        <f aca="false">SUMIF($C$2:$F$2,EOMONTH(CW$2,-1)+1,$C162:$F162)*VLOOKUP(CW$2,Valores!$H$2:$P$154,8,0)</f>
        <v>#VALUE!</v>
      </c>
      <c r="CX162" s="30" t="e">
        <f aca="false">SUMIF($C$2:$F$2,EOMONTH(CX$2,-1)+1,$C162:$F162)*VLOOKUP(CX$2,Valores!$H$2:$P$154,8,0)</f>
        <v>#VALUE!</v>
      </c>
      <c r="CY162" s="30" t="e">
        <f aca="false">SUMIF($C$2:$F$2,EOMONTH(CY$2,-1)+1,$C162:$F162)*VLOOKUP(CY$2,Valores!$H$2:$P$154,8,0)</f>
        <v>#VALUE!</v>
      </c>
      <c r="CZ162" s="30" t="e">
        <f aca="false">SUMIF($C$2:$F$2,EOMONTH(CZ$2,-1)+1,$C162:$F162)*VLOOKUP(CZ$2,Valores!$H$2:$P$154,8,0)</f>
        <v>#VALUE!</v>
      </c>
      <c r="DA162" s="30" t="e">
        <f aca="false">SUMIF($C$2:$F$2,EOMONTH(DA$2,-1)+1,$C162:$F162)*VLOOKUP(DA$2,Valores!$H$2:$P$154,8,0)</f>
        <v>#VALUE!</v>
      </c>
      <c r="DB162" s="30" t="e">
        <f aca="false">SUMIF($C$2:$F$2,EOMONTH(DB$2,-1)+1,$C162:$F162)*VLOOKUP(DB$2,Valores!$H$2:$P$154,8,0)</f>
        <v>#VALUE!</v>
      </c>
      <c r="DC162" s="30" t="e">
        <f aca="false">SUMIF($C$2:$F$2,EOMONTH(DC$2,-1)+1,$C162:$F162)*VLOOKUP(DC$2,Valores!$H$2:$P$154,8,0)</f>
        <v>#VALUE!</v>
      </c>
      <c r="DD162" s="30" t="e">
        <f aca="false">SUMIF($C$2:$F$2,EOMONTH(DD$2,-1)+1,$C162:$F162)*VLOOKUP(DD$2,Valores!$H$2:$P$154,8,0)</f>
        <v>#VALUE!</v>
      </c>
      <c r="DE162" s="30" t="e">
        <f aca="false">SUMIF($C$2:$F$2,EOMONTH(DE$2,-1)+1,$C162:$F162)*VLOOKUP(DE$2,Valores!$H$2:$P$154,8,0)</f>
        <v>#VALUE!</v>
      </c>
      <c r="DF162" s="30" t="e">
        <f aca="false">SUMIF($C$2:$F$2,EOMONTH(DF$2,-1)+1,$C162:$F162)*VLOOKUP(DF$2,Valores!$H$2:$P$154,8,0)</f>
        <v>#VALUE!</v>
      </c>
      <c r="DG162" s="30" t="e">
        <f aca="false">SUMIF($C$2:$F$2,EOMONTH(DG$2,-1)+1,$C162:$F162)*VLOOKUP(DG$2,Valores!$H$2:$P$154,8,0)</f>
        <v>#VALUE!</v>
      </c>
      <c r="DH162" s="30" t="e">
        <f aca="false">SUMIF($C$2:$F$2,EOMONTH(DH$2,-1)+1,$C162:$F162)*VLOOKUP(DH$2,Valores!$H$2:$P$154,8,0)</f>
        <v>#VALUE!</v>
      </c>
      <c r="DI162" s="30" t="e">
        <f aca="false">SUMIF($C$2:$F$2,EOMONTH(DI$2,-1)+1,$C162:$F162)*VLOOKUP(DI$2,Valores!$H$2:$P$154,8,0)</f>
        <v>#VALUE!</v>
      </c>
      <c r="DJ162" s="30" t="e">
        <f aca="false">SUMIF($C$2:$F$2,EOMONTH(DJ$2,-1)+1,$C162:$F162)*VLOOKUP(DJ$2,Valores!$H$2:$P$154,8,0)</f>
        <v>#VALUE!</v>
      </c>
      <c r="DK162" s="30" t="e">
        <f aca="false">SUMIF($C$2:$F$2,EOMONTH(DK$2,-1)+1,$C162:$F162)*VLOOKUP(DK$2,Valores!$H$2:$P$154,8,0)</f>
        <v>#VALUE!</v>
      </c>
      <c r="DL162" s="30" t="e">
        <f aca="false">SUMIF($C$2:$F$2,EOMONTH(DL$2,-1)+1,$C162:$F162)*VLOOKUP(DL$2,Valores!$H$2:$P$154,8,0)</f>
        <v>#VALUE!</v>
      </c>
      <c r="DM162" s="30" t="e">
        <f aca="false">SUMIF($C$2:$F$2,EOMONTH(DM$2,-1)+1,$C162:$F162)*VLOOKUP(DM$2,Valores!$H$2:$P$154,8,0)</f>
        <v>#VALUE!</v>
      </c>
      <c r="DN162" s="30" t="e">
        <f aca="false">SUMIF($C$2:$F$2,EOMONTH(DN$2,-1)+1,$C162:$F162)*VLOOKUP(DN$2,Valores!$H$2:$P$154,8,0)</f>
        <v>#VALUE!</v>
      </c>
      <c r="DO162" s="30" t="e">
        <f aca="false">SUMIF($C$2:$F$2,EOMONTH(DO$2,-1)+1,$C162:$F162)*VLOOKUP(DO$2,Valores!$H$2:$P$154,8,0)</f>
        <v>#VALUE!</v>
      </c>
      <c r="DP162" s="30" t="e">
        <f aca="false">SUMIF($C$2:$F$2,EOMONTH(DP$2,-1)+1,$C162:$F162)*VLOOKUP(DP$2,Valores!$H$2:$P$154,8,0)</f>
        <v>#VALUE!</v>
      </c>
      <c r="DQ162" s="30" t="e">
        <f aca="false">SUMIF($C$2:$F$2,EOMONTH(DQ$2,-1)+1,$C162:$F162)*VLOOKUP(DQ$2,Valores!$H$2:$P$154,8,0)</f>
        <v>#VALUE!</v>
      </c>
      <c r="DR162" s="30" t="e">
        <f aca="false">SUMIF($C$2:$F$2,EOMONTH(DR$2,-1)+1,$C162:$F162)*VLOOKUP(DR$2,Valores!$H$2:$P$154,8,0)</f>
        <v>#VALUE!</v>
      </c>
      <c r="DS162" s="30" t="e">
        <f aca="false">SUMIF($C$2:$F$2,EOMONTH(DS$2,-1)+1,$C162:$F162)*VLOOKUP(DS$2,Valores!$H$2:$P$154,8,0)</f>
        <v>#VALUE!</v>
      </c>
      <c r="DT162" s="30" t="e">
        <f aca="false">SUMIF($C$2:$F$2,EOMONTH(DT$2,-1)+1,$C162:$F162)*VLOOKUP(DT$2,Valores!$H$2:$P$154,8,0)</f>
        <v>#VALUE!</v>
      </c>
      <c r="DU162" s="30" t="e">
        <f aca="false">SUMIF($C$2:$F$2,EOMONTH(DU$2,-1)+1,$C162:$F162)*VLOOKUP(DU$2,Valores!$H$2:$P$154,8,0)</f>
        <v>#VALUE!</v>
      </c>
      <c r="DV162" s="30" t="e">
        <f aca="false">SUMIF($C$2:$F$2,EOMONTH(DV$2,-1)+1,$C162:$F162)*VLOOKUP(DV$2,Valores!$H$2:$P$154,8,0)</f>
        <v>#VALUE!</v>
      </c>
      <c r="DW162" s="30" t="e">
        <f aca="false">SUMIF($C$2:$F$2,EOMONTH(DW$2,-1)+1,$C162:$F162)*VLOOKUP(DW$2,Valores!$H$2:$P$154,8,0)</f>
        <v>#VALUE!</v>
      </c>
      <c r="DX162" s="30" t="e">
        <f aca="false">SUMIF($C$2:$F$2,EOMONTH(DX$2,-1)+1,$C162:$F162)*VLOOKUP(DX$2,Valores!$H$2:$P$154,8,0)</f>
        <v>#VALUE!</v>
      </c>
    </row>
    <row r="163" customFormat="false" ht="13.8" hidden="false" customHeight="false" outlineLevel="0" collapsed="false">
      <c r="A163" s="31"/>
      <c r="B163" s="31"/>
      <c r="C163" s="31"/>
      <c r="D163" s="31"/>
      <c r="E163" s="31"/>
      <c r="F163" s="31"/>
      <c r="G163" s="27" t="n">
        <f aca="false">SUMIF($C$2:$F$2,EOMONTH(G$2,-1)+1,$C163:$F163)*VLOOKUP(G$2,Valores!$H$2:$P$154,8,0)</f>
        <v>0</v>
      </c>
      <c r="H163" s="27" t="n">
        <f aca="false">SUMIF($C$2:$F$2,EOMONTH(H$2,-1)+1,$C163:$F163)*VLOOKUP(H$2,Valores!$H$2:$P$154,8,0)</f>
        <v>0</v>
      </c>
      <c r="I163" s="27" t="n">
        <f aca="false">SUMIF($C$2:$F$2,EOMONTH(I$2,-1)+1,$C163:$F163)*VLOOKUP(I$2,Valores!$H$2:$P$154,8,0)</f>
        <v>0</v>
      </c>
      <c r="J163" s="27" t="n">
        <f aca="false">SUMIF($C$2:$F$2,EOMONTH(J$2,-1)+1,$C163:$F163)*VLOOKUP(J$2,Valores!$H$2:$P$154,8,0)</f>
        <v>0</v>
      </c>
      <c r="K163" s="27" t="n">
        <f aca="false">SUMIF($C$2:$F$2,EOMONTH(K$2,-1)+1,$C163:$F163)*VLOOKUP(K$2,Valores!$H$2:$P$154,8,0)</f>
        <v>0</v>
      </c>
      <c r="L163" s="27" t="n">
        <f aca="false">SUMIF($C$2:$F$2,EOMONTH(L$2,-1)+1,$C163:$F163)*VLOOKUP(L$2,Valores!$H$2:$P$154,8,0)</f>
        <v>0</v>
      </c>
      <c r="M163" s="27" t="n">
        <f aca="false">SUMIF($C$2:$F$2,EOMONTH(M$2,-1)+1,$C163:$F163)*VLOOKUP(M$2,Valores!$H$2:$P$154,8,0)</f>
        <v>0</v>
      </c>
      <c r="N163" s="27" t="n">
        <f aca="false">SUMIF($C$2:$F$2,EOMONTH(N$2,-1)+1,$C163:$F163)*VLOOKUP(N$2,Valores!$H$2:$P$154,8,0)</f>
        <v>0</v>
      </c>
      <c r="O163" s="27" t="n">
        <f aca="false">SUMIF($C$2:$F$2,EOMONTH(O$2,-1)+1,$C163:$F163)*VLOOKUP(O$2,Valores!$H$2:$P$154,8,0)</f>
        <v>0</v>
      </c>
      <c r="P163" s="27" t="n">
        <f aca="false">SUMIF($C$2:$F$2,EOMONTH(P$2,-1)+1,$C163:$F163)*VLOOKUP(P$2,Valores!$H$2:$P$154,8,0)</f>
        <v>0</v>
      </c>
      <c r="Q163" s="27" t="n">
        <f aca="false">SUMIF($C$2:$F$2,EOMONTH(Q$2,-1)+1,$C163:$F163)*VLOOKUP(Q$2,Valores!$H$2:$P$154,8,0)</f>
        <v>0</v>
      </c>
      <c r="R163" s="27" t="n">
        <f aca="false">SUMIF($C$2:$F$2,EOMONTH(R$2,-1)+1,$C163:$F163)*VLOOKUP(R$2,Valores!$H$2:$P$154,8,0)</f>
        <v>0</v>
      </c>
      <c r="S163" s="27" t="n">
        <f aca="false">SUMIF($C$2:$F$2,EOMONTH(S$2,-1)+1,$C163:$F163)*VLOOKUP(S$2,Valores!$H$2:$P$154,8,0)</f>
        <v>0</v>
      </c>
      <c r="T163" s="27" t="n">
        <f aca="false">SUMIF($C$2:$F$2,EOMONTH(T$2,-1)+1,$C163:$F163)*VLOOKUP(T$2,Valores!$H$2:$P$154,8,0)</f>
        <v>0</v>
      </c>
      <c r="U163" s="27" t="n">
        <f aca="false">SUMIF($C$2:$F$2,EOMONTH(U$2,-1)+1,$C163:$F163)*VLOOKUP(U$2,Valores!$H$2:$P$154,8,0)</f>
        <v>0</v>
      </c>
      <c r="V163" s="27" t="n">
        <f aca="false">SUMIF($C$2:$F$2,EOMONTH(V$2,-1)+1,$C163:$F163)*VLOOKUP(V$2,Valores!$H$2:$P$154,8,0)</f>
        <v>0</v>
      </c>
      <c r="W163" s="27" t="n">
        <f aca="false">SUMIF($C$2:$F$2,EOMONTH(W$2,-1)+1,$C163:$F163)*VLOOKUP(W$2,Valores!$H$2:$P$154,8,0)</f>
        <v>0</v>
      </c>
      <c r="X163" s="27" t="n">
        <f aca="false">SUMIF($C$2:$F$2,EOMONTH(X$2,-1)+1,$C163:$F163)*VLOOKUP(X$2,Valores!$H$2:$P$154,8,0)</f>
        <v>0</v>
      </c>
      <c r="Y163" s="27" t="n">
        <f aca="false">SUMIF($C$2:$F$2,EOMONTH(Y$2,-1)+1,$C163:$F163)*VLOOKUP(Y$2,Valores!$H$2:$P$154,8,0)</f>
        <v>0</v>
      </c>
      <c r="Z163" s="27" t="n">
        <f aca="false">SUMIF($C$2:$F$2,EOMONTH(Z$2,-1)+1,$C163:$F163)*VLOOKUP(Z$2,Valores!$H$2:$P$154,8,0)</f>
        <v>0</v>
      </c>
      <c r="AA163" s="27" t="n">
        <f aca="false">SUMIF($C$2:$F$2,EOMONTH(AA$2,-1)+1,$C163:$F163)*VLOOKUP(AA$2,Valores!$H$2:$P$154,8,0)</f>
        <v>0</v>
      </c>
      <c r="AB163" s="27" t="n">
        <f aca="false">SUMIF($C$2:$F$2,EOMONTH(AB$2,-1)+1,$C163:$F163)*VLOOKUP(AB$2,Valores!$H$2:$P$154,8,0)</f>
        <v>0</v>
      </c>
      <c r="AC163" s="27" t="n">
        <f aca="false">SUMIF($C$2:$F$2,EOMONTH(AC$2,-1)+1,$C163:$F163)*VLOOKUP(AC$2,Valores!$H$2:$P$154,8,0)</f>
        <v>0</v>
      </c>
      <c r="AD163" s="27" t="n">
        <f aca="false">SUMIF($C$2:$F$2,EOMONTH(AD$2,-1)+1,$C163:$F163)*VLOOKUP(AD$2,Valores!$H$2:$P$154,8,0)</f>
        <v>0</v>
      </c>
      <c r="AE163" s="27" t="n">
        <f aca="false">SUMIF($C$2:$F$2,EOMONTH(AE$2,-1)+1,$C163:$F163)*VLOOKUP(AE$2,Valores!$H$2:$P$154,8,0)</f>
        <v>0</v>
      </c>
      <c r="AF163" s="27" t="n">
        <f aca="false">SUMIF($C$2:$F$2,EOMONTH(AF$2,-1)+1,$C163:$F163)*VLOOKUP(AF$2,Valores!$H$2:$P$154,8,0)</f>
        <v>0</v>
      </c>
      <c r="AG163" s="27" t="n">
        <f aca="false">SUMIF($C$2:$F$2,EOMONTH(AG$2,-1)+1,$C163:$F163)*VLOOKUP(AG$2,Valores!$H$2:$P$154,8,0)</f>
        <v>0</v>
      </c>
      <c r="AH163" s="27" t="n">
        <f aca="false">SUMIF($C$2:$F$2,EOMONTH(AH$2,-1)+1,$C163:$F163)*VLOOKUP(AH$2,Valores!$H$2:$P$154,8,0)</f>
        <v>0</v>
      </c>
      <c r="AI163" s="27" t="n">
        <f aca="false">SUMIF($C$2:$F$2,EOMONTH(AI$2,-1)+1,$C163:$F163)*VLOOKUP(AI$2,Valores!$H$2:$P$154,8,0)</f>
        <v>0</v>
      </c>
      <c r="AJ163" s="27" t="n">
        <f aca="false">SUMIF($C$2:$F$2,EOMONTH(AJ$2,-1)+1,$C163:$F163)*VLOOKUP(AJ$2,Valores!$H$2:$P$154,8,0)</f>
        <v>0</v>
      </c>
      <c r="AK163" s="27" t="n">
        <f aca="false">SUMIF($C$2:$F$2,EOMONTH(AK$2,-1)+1,$C163:$F163)*VLOOKUP(AK$2,Valores!$H$2:$P$154,8,0)</f>
        <v>0</v>
      </c>
      <c r="AL163" s="27" t="n">
        <f aca="false">SUMIF($C$2:$F$2,EOMONTH(AL$2,-1)+1,$C163:$F163)*VLOOKUP(AL$2,Valores!$H$2:$P$154,8,0)</f>
        <v>0</v>
      </c>
      <c r="AM163" s="27" t="n">
        <f aca="false">SUMIF($C$2:$F$2,EOMONTH(AM$2,-1)+1,$C163:$F163)*VLOOKUP(AM$2,Valores!$H$2:$P$154,8,0)</f>
        <v>0</v>
      </c>
      <c r="AN163" s="27" t="n">
        <f aca="false">SUMIF($C$2:$F$2,EOMONTH(AN$2,-1)+1,$C163:$F163)*VLOOKUP(AN$2,Valores!$H$2:$P$154,8,0)</f>
        <v>0</v>
      </c>
      <c r="AO163" s="27" t="n">
        <f aca="false">SUMIF($C$2:$F$2,EOMONTH(AO$2,-1)+1,$C163:$F163)*VLOOKUP(AO$2,Valores!$H$2:$P$154,8,0)</f>
        <v>0</v>
      </c>
      <c r="AP163" s="27" t="n">
        <f aca="false">SUMIF($C$2:$F$2,EOMONTH(AP$2,-1)+1,$C163:$F163)*VLOOKUP(AP$2,Valores!$H$2:$P$154,8,0)</f>
        <v>0</v>
      </c>
      <c r="AQ163" s="27" t="n">
        <f aca="false">SUMIF($C$2:$F$2,EOMONTH(AQ$2,-1)+1,$C163:$F163)*VLOOKUP(AQ$2,Valores!$H$2:$P$154,8,0)</f>
        <v>0</v>
      </c>
      <c r="AR163" s="27" t="n">
        <f aca="false">SUMIF($C$2:$F$2,EOMONTH(AR$2,-1)+1,$C163:$F163)*VLOOKUP(AR$2,Valores!$H$2:$P$154,8,0)</f>
        <v>0</v>
      </c>
      <c r="AS163" s="27" t="n">
        <f aca="false">SUMIF($C$2:$F$2,EOMONTH(AS$2,-1)+1,$C163:$F163)*VLOOKUP(AS$2,Valores!$H$2:$P$154,8,0)</f>
        <v>0</v>
      </c>
      <c r="AT163" s="27" t="n">
        <f aca="false">SUMIF($C$2:$F$2,EOMONTH(AT$2,-1)+1,$C163:$F163)*VLOOKUP(AT$2,Valores!$H$2:$P$154,8,0)</f>
        <v>0</v>
      </c>
      <c r="AU163" s="27" t="n">
        <f aca="false">SUMIF($C$2:$F$2,EOMONTH(AU$2,-1)+1,$C163:$F163)*VLOOKUP(AU$2,Valores!$H$2:$P$154,8,0)</f>
        <v>0</v>
      </c>
      <c r="AV163" s="27" t="n">
        <f aca="false">SUMIF($C$2:$F$2,EOMONTH(AV$2,-1)+1,$C163:$F163)*VLOOKUP(AV$2,Valores!$H$2:$P$154,8,0)</f>
        <v>0</v>
      </c>
      <c r="AW163" s="27" t="n">
        <f aca="false">SUMIF($C$2:$F$2,EOMONTH(AW$2,-1)+1,$C163:$F163)*VLOOKUP(AW$2,Valores!$H$2:$P$154,8,0)</f>
        <v>0</v>
      </c>
      <c r="AX163" s="27" t="n">
        <f aca="false">SUMIF($C$2:$F$2,EOMONTH(AX$2,-1)+1,$C163:$F163)*VLOOKUP(AX$2,Valores!$H$2:$P$154,8,0)</f>
        <v>0</v>
      </c>
      <c r="AY163" s="27" t="n">
        <f aca="false">SUMIF($C$2:$F$2,EOMONTH(AY$2,-1)+1,$C163:$F163)*VLOOKUP(AY$2,Valores!$H$2:$P$154,8,0)</f>
        <v>0</v>
      </c>
      <c r="AZ163" s="27" t="n">
        <f aca="false">SUMIF($C$2:$F$2,EOMONTH(AZ$2,-1)+1,$C163:$F163)*VLOOKUP(AZ$2,Valores!$H$2:$P$154,8,0)</f>
        <v>0</v>
      </c>
      <c r="BA163" s="27" t="n">
        <f aca="false">SUMIF($C$2:$F$2,EOMONTH(BA$2,-1)+1,$C163:$F163)*VLOOKUP(BA$2,Valores!$H$2:$P$154,8,0)</f>
        <v>0</v>
      </c>
      <c r="BB163" s="27" t="n">
        <f aca="false">SUMIF($C$2:$F$2,EOMONTH(BB$2,-1)+1,$C163:$F163)*VLOOKUP(BB$2,Valores!$H$2:$P$154,8,0)</f>
        <v>0</v>
      </c>
      <c r="BC163" s="27" t="n">
        <f aca="false">SUMIF($C$2:$F$2,EOMONTH(BC$2,-1)+1,$C163:$F163)*VLOOKUP(BC$2,Valores!$H$2:$P$154,8,0)</f>
        <v>0</v>
      </c>
      <c r="BD163" s="27" t="n">
        <f aca="false">SUMIF($C$2:$F$2,EOMONTH(BD$2,-1)+1,$C163:$F163)*VLOOKUP(BD$2,Valores!$H$2:$P$154,8,0)</f>
        <v>0</v>
      </c>
      <c r="BE163" s="27" t="n">
        <f aca="false">SUMIF($C$2:$F$2,EOMONTH(BE$2,-1)+1,$C163:$F163)*VLOOKUP(BE$2,Valores!$H$2:$P$154,8,0)</f>
        <v>0</v>
      </c>
      <c r="BF163" s="27" t="n">
        <f aca="false">SUMIF($C$2:$F$2,EOMONTH(BF$2,-1)+1,$C163:$F163)*VLOOKUP(BF$2,Valores!$H$2:$P$154,8,0)</f>
        <v>0</v>
      </c>
      <c r="BG163" s="27" t="n">
        <f aca="false">SUMIF($C$2:$F$2,EOMONTH(BG$2,-1)+1,$C163:$F163)*VLOOKUP(BG$2,Valores!$H$2:$P$154,8,0)</f>
        <v>0</v>
      </c>
      <c r="BH163" s="27" t="n">
        <f aca="false">SUMIF($C$2:$F$2,EOMONTH(BH$2,-1)+1,$C163:$F163)*VLOOKUP(BH$2,Valores!$H$2:$P$154,8,0)</f>
        <v>0</v>
      </c>
      <c r="BI163" s="27" t="n">
        <f aca="false">SUMIF($C$2:$F$2,EOMONTH(BI$2,-1)+1,$C163:$F163)*VLOOKUP(BI$2,Valores!$H$2:$P$154,8,0)</f>
        <v>0</v>
      </c>
      <c r="BJ163" s="27" t="n">
        <f aca="false">SUMIF($C$2:$F$2,EOMONTH(BJ$2,-1)+1,$C163:$F163)*VLOOKUP(BJ$2,Valores!$H$2:$P$154,8,0)</f>
        <v>0</v>
      </c>
      <c r="BK163" s="27" t="n">
        <f aca="false">SUMIF($C$2:$F$2,EOMONTH(BK$2,-1)+1,$C163:$F163)*VLOOKUP(BK$2,Valores!$H$2:$P$154,8,0)</f>
        <v>0</v>
      </c>
      <c r="BL163" s="27" t="n">
        <f aca="false">SUMIF($C$2:$F$2,EOMONTH(BL$2,-1)+1,$C163:$F163)*VLOOKUP(BL$2,Valores!$H$2:$P$154,8,0)</f>
        <v>0</v>
      </c>
      <c r="BM163" s="27" t="n">
        <f aca="false">SUMIF($C$2:$F$2,EOMONTH(BM$2,-1)+1,$C163:$F163)*VLOOKUP(BM$2,Valores!$H$2:$P$154,8,0)</f>
        <v>0</v>
      </c>
      <c r="BN163" s="27" t="n">
        <f aca="false">SUMIF($C$2:$F$2,EOMONTH(BN$2,-1)+1,$C163:$F163)*VLOOKUP(BN$2,Valores!$H$2:$P$154,8,0)</f>
        <v>0</v>
      </c>
      <c r="BO163" s="27" t="n">
        <f aca="false">SUMIF($C$2:$F$2,EOMONTH(BO$2,-1)+1,$C163:$F163)*VLOOKUP(BO$2,Valores!$H$2:$P$154,8,0)</f>
        <v>0</v>
      </c>
      <c r="BP163" s="27" t="n">
        <f aca="false">SUMIF($C$2:$F$2,EOMONTH(BP$2,-1)+1,$C163:$F163)*VLOOKUP(BP$2,Valores!$H$2:$P$154,8,0)</f>
        <v>0</v>
      </c>
      <c r="BQ163" s="27" t="n">
        <f aca="false">SUMIF($C$2:$F$2,EOMONTH(BQ$2,-1)+1,$C163:$F163)*VLOOKUP(BQ$2,Valores!$H$2:$P$154,8,0)</f>
        <v>0</v>
      </c>
      <c r="BR163" s="27" t="n">
        <f aca="false">SUMIF($C$2:$F$2,EOMONTH(BR$2,-1)+1,$C163:$F163)*VLOOKUP(BR$2,Valores!$H$2:$P$154,8,0)</f>
        <v>0</v>
      </c>
      <c r="BS163" s="27" t="n">
        <f aca="false">SUMIF($C$2:$F$2,EOMONTH(BS$2,-1)+1,$C163:$F163)*VLOOKUP(BS$2,Valores!$H$2:$P$154,8,0)</f>
        <v>0</v>
      </c>
      <c r="BT163" s="27" t="n">
        <f aca="false">SUMIF($C$2:$F$2,EOMONTH(BT$2,-1)+1,$C163:$F163)*VLOOKUP(BT$2,Valores!$H$2:$P$154,8,0)</f>
        <v>0</v>
      </c>
      <c r="BU163" s="27" t="n">
        <f aca="false">SUMIF($C$2:$F$2,EOMONTH(BU$2,-1)+1,$C163:$F163)*VLOOKUP(BU$2,Valores!$H$2:$P$154,8,0)</f>
        <v>0</v>
      </c>
      <c r="BV163" s="27" t="n">
        <f aca="false">SUMIF($C$2:$F$2,EOMONTH(BV$2,-1)+1,$C163:$F163)*VLOOKUP(BV$2,Valores!$H$2:$P$154,8,0)</f>
        <v>0</v>
      </c>
      <c r="BW163" s="27" t="n">
        <f aca="false">SUMIF($C$2:$F$2,EOMONTH(BW$2,-1)+1,$C163:$F163)*VLOOKUP(BW$2,Valores!$H$2:$P$154,8,0)</f>
        <v>0</v>
      </c>
      <c r="BX163" s="27" t="n">
        <f aca="false">SUMIF($C$2:$F$2,EOMONTH(BX$2,-1)+1,$C163:$F163)*VLOOKUP(BX$2,Valores!$H$2:$P$154,8,0)</f>
        <v>0</v>
      </c>
      <c r="BY163" s="27" t="n">
        <f aca="false">SUMIF($C$2:$F$2,EOMONTH(BY$2,-1)+1,$C163:$F163)*VLOOKUP(BY$2,Valores!$H$2:$P$154,8,0)</f>
        <v>0</v>
      </c>
      <c r="BZ163" s="27" t="n">
        <f aca="false">SUMIF($C$2:$F$2,EOMONTH(BZ$2,-1)+1,$C163:$F163)*VLOOKUP(BZ$2,Valores!$H$2:$P$154,8,0)</f>
        <v>0</v>
      </c>
      <c r="CA163" s="27" t="n">
        <f aca="false">SUMIF($C$2:$F$2,EOMONTH(CA$2,-1)+1,$C163:$F163)*VLOOKUP(CA$2,Valores!$H$2:$P$154,8,0)</f>
        <v>0</v>
      </c>
      <c r="CB163" s="27" t="n">
        <f aca="false">SUMIF($C$2:$F$2,EOMONTH(CB$2,-1)+1,$C163:$F163)*VLOOKUP(CB$2,Valores!$H$2:$P$154,8,0)</f>
        <v>0</v>
      </c>
      <c r="CC163" s="27" t="n">
        <f aca="false">SUMIF($C$2:$F$2,EOMONTH(CC$2,-1)+1,$C163:$F163)*VLOOKUP(CC$2,Valores!$H$2:$P$154,8,0)</f>
        <v>0</v>
      </c>
      <c r="CD163" s="27" t="n">
        <f aca="false">SUMIF($C$2:$F$2,EOMONTH(CD$2,-1)+1,$C163:$F163)*VLOOKUP(CD$2,Valores!$H$2:$P$154,8,0)</f>
        <v>0</v>
      </c>
      <c r="CE163" s="27" t="n">
        <f aca="false">SUMIF($C$2:$F$2,EOMONTH(CE$2,-1)+1,$C163:$F163)*VLOOKUP(CE$2,Valores!$H$2:$P$154,8,0)</f>
        <v>0</v>
      </c>
      <c r="CF163" s="27" t="n">
        <f aca="false">SUMIF($C$2:$F$2,EOMONTH(CF$2,-1)+1,$C163:$F163)*VLOOKUP(CF$2,Valores!$H$2:$P$154,8,0)</f>
        <v>0</v>
      </c>
      <c r="CG163" s="27" t="n">
        <f aca="false">SUMIF($C$2:$F$2,EOMONTH(CG$2,-1)+1,$C163:$F163)*VLOOKUP(CG$2,Valores!$H$2:$P$154,8,0)</f>
        <v>0</v>
      </c>
      <c r="CH163" s="27" t="n">
        <f aca="false">SUMIF($C$2:$F$2,EOMONTH(CH$2,-1)+1,$C163:$F163)*VLOOKUP(CH$2,Valores!$H$2:$P$154,8,0)</f>
        <v>0</v>
      </c>
      <c r="CI163" s="27" t="n">
        <f aca="false">SUMIF($C$2:$F$2,EOMONTH(CI$2,-1)+1,$C163:$F163)*VLOOKUP(CI$2,Valores!$H$2:$P$154,8,0)</f>
        <v>0</v>
      </c>
      <c r="CJ163" s="27" t="n">
        <f aca="false">SUMIF($C$2:$F$2,EOMONTH(CJ$2,-1)+1,$C163:$F163)*VLOOKUP(CJ$2,Valores!$H$2:$P$154,8,0)</f>
        <v>0</v>
      </c>
      <c r="CK163" s="27" t="n">
        <f aca="false">SUMIF($C$2:$F$2,EOMONTH(CK$2,-1)+1,$C163:$F163)*VLOOKUP(CK$2,Valores!$H$2:$P$154,8,0)</f>
        <v>0</v>
      </c>
      <c r="CL163" s="27" t="n">
        <f aca="false">SUMIF($C$2:$F$2,EOMONTH(CL$2,-1)+1,$C163:$F163)*VLOOKUP(CL$2,Valores!$H$2:$P$154,8,0)</f>
        <v>0</v>
      </c>
      <c r="CM163" s="27" t="n">
        <f aca="false">SUMIF($C$2:$F$2,EOMONTH(CM$2,-1)+1,$C163:$F163)*VLOOKUP(CM$2,Valores!$H$2:$P$154,8,0)</f>
        <v>0</v>
      </c>
      <c r="CN163" s="27" t="n">
        <f aca="false">SUMIF($C$2:$F$2,EOMONTH(CN$2,-1)+1,$C163:$F163)*VLOOKUP(CN$2,Valores!$H$2:$P$154,8,0)</f>
        <v>0</v>
      </c>
      <c r="CO163" s="27" t="n">
        <f aca="false">SUMIF($C$2:$F$2,EOMONTH(CO$2,-1)+1,$C163:$F163)*VLOOKUP(CO$2,Valores!$H$2:$P$154,8,0)</f>
        <v>0</v>
      </c>
      <c r="CP163" s="27" t="n">
        <f aca="false">SUMIF($C$2:$F$2,EOMONTH(CP$2,-1)+1,$C163:$F163)*VLOOKUP(CP$2,Valores!$H$2:$P$154,8,0)</f>
        <v>0</v>
      </c>
      <c r="CQ163" s="27" t="n">
        <f aca="false">SUMIF($C$2:$F$2,EOMONTH(CQ$2,-1)+1,$C163:$F163)*VLOOKUP(CQ$2,Valores!$H$2:$P$154,8,0)</f>
        <v>0</v>
      </c>
      <c r="CR163" s="27" t="n">
        <f aca="false">SUMIF($C$2:$F$2,EOMONTH(CR$2,-1)+1,$C163:$F163)*VLOOKUP(CR$2,Valores!$H$2:$P$154,8,0)</f>
        <v>0</v>
      </c>
      <c r="CS163" s="27" t="n">
        <f aca="false">SUMIF($C$2:$F$2,EOMONTH(CS$2,-1)+1,$C163:$F163)*VLOOKUP(CS$2,Valores!$H$2:$P$154,8,0)</f>
        <v>0</v>
      </c>
      <c r="CT163" s="27" t="e">
        <f aca="false">SUMIF($C$2:$F$2,EOMONTH(CT$2,-1)+1,$C163:$F163)*VLOOKUP(CT$2,Valores!$H$2:$P$154,8,0)</f>
        <v>#VALUE!</v>
      </c>
      <c r="CU163" s="27" t="e">
        <f aca="false">SUMIF($C$2:$F$2,EOMONTH(CU$2,-1)+1,$C163:$F163)*VLOOKUP(CU$2,Valores!$H$2:$P$154,8,0)</f>
        <v>#VALUE!</v>
      </c>
      <c r="CV163" s="27" t="e">
        <f aca="false">SUMIF($C$2:$F$2,EOMONTH(CV$2,-1)+1,$C163:$F163)*VLOOKUP(CV$2,Valores!$H$2:$P$154,8,0)</f>
        <v>#VALUE!</v>
      </c>
      <c r="CW163" s="27" t="e">
        <f aca="false">SUMIF($C$2:$F$2,EOMONTH(CW$2,-1)+1,$C163:$F163)*VLOOKUP(CW$2,Valores!$H$2:$P$154,8,0)</f>
        <v>#VALUE!</v>
      </c>
      <c r="CX163" s="27" t="e">
        <f aca="false">SUMIF($C$2:$F$2,EOMONTH(CX$2,-1)+1,$C163:$F163)*VLOOKUP(CX$2,Valores!$H$2:$P$154,8,0)</f>
        <v>#VALUE!</v>
      </c>
      <c r="CY163" s="27" t="e">
        <f aca="false">SUMIF($C$2:$F$2,EOMONTH(CY$2,-1)+1,$C163:$F163)*VLOOKUP(CY$2,Valores!$H$2:$P$154,8,0)</f>
        <v>#VALUE!</v>
      </c>
      <c r="CZ163" s="27" t="e">
        <f aca="false">SUMIF($C$2:$F$2,EOMONTH(CZ$2,-1)+1,$C163:$F163)*VLOOKUP(CZ$2,Valores!$H$2:$P$154,8,0)</f>
        <v>#VALUE!</v>
      </c>
      <c r="DA163" s="27" t="e">
        <f aca="false">SUMIF($C$2:$F$2,EOMONTH(DA$2,-1)+1,$C163:$F163)*VLOOKUP(DA$2,Valores!$H$2:$P$154,8,0)</f>
        <v>#VALUE!</v>
      </c>
      <c r="DB163" s="27" t="e">
        <f aca="false">SUMIF($C$2:$F$2,EOMONTH(DB$2,-1)+1,$C163:$F163)*VLOOKUP(DB$2,Valores!$H$2:$P$154,8,0)</f>
        <v>#VALUE!</v>
      </c>
      <c r="DC163" s="27" t="e">
        <f aca="false">SUMIF($C$2:$F$2,EOMONTH(DC$2,-1)+1,$C163:$F163)*VLOOKUP(DC$2,Valores!$H$2:$P$154,8,0)</f>
        <v>#VALUE!</v>
      </c>
      <c r="DD163" s="27" t="e">
        <f aca="false">SUMIF($C$2:$F$2,EOMONTH(DD$2,-1)+1,$C163:$F163)*VLOOKUP(DD$2,Valores!$H$2:$P$154,8,0)</f>
        <v>#VALUE!</v>
      </c>
      <c r="DE163" s="27" t="e">
        <f aca="false">SUMIF($C$2:$F$2,EOMONTH(DE$2,-1)+1,$C163:$F163)*VLOOKUP(DE$2,Valores!$H$2:$P$154,8,0)</f>
        <v>#VALUE!</v>
      </c>
      <c r="DF163" s="27" t="e">
        <f aca="false">SUMIF($C$2:$F$2,EOMONTH(DF$2,-1)+1,$C163:$F163)*VLOOKUP(DF$2,Valores!$H$2:$P$154,8,0)</f>
        <v>#VALUE!</v>
      </c>
      <c r="DG163" s="27" t="e">
        <f aca="false">SUMIF($C$2:$F$2,EOMONTH(DG$2,-1)+1,$C163:$F163)*VLOOKUP(DG$2,Valores!$H$2:$P$154,8,0)</f>
        <v>#VALUE!</v>
      </c>
      <c r="DH163" s="27" t="e">
        <f aca="false">SUMIF($C$2:$F$2,EOMONTH(DH$2,-1)+1,$C163:$F163)*VLOOKUP(DH$2,Valores!$H$2:$P$154,8,0)</f>
        <v>#VALUE!</v>
      </c>
      <c r="DI163" s="27" t="e">
        <f aca="false">SUMIF($C$2:$F$2,EOMONTH(DI$2,-1)+1,$C163:$F163)*VLOOKUP(DI$2,Valores!$H$2:$P$154,8,0)</f>
        <v>#VALUE!</v>
      </c>
      <c r="DJ163" s="27" t="e">
        <f aca="false">SUMIF($C$2:$F$2,EOMONTH(DJ$2,-1)+1,$C163:$F163)*VLOOKUP(DJ$2,Valores!$H$2:$P$154,8,0)</f>
        <v>#VALUE!</v>
      </c>
      <c r="DK163" s="27" t="e">
        <f aca="false">SUMIF($C$2:$F$2,EOMONTH(DK$2,-1)+1,$C163:$F163)*VLOOKUP(DK$2,Valores!$H$2:$P$154,8,0)</f>
        <v>#VALUE!</v>
      </c>
      <c r="DL163" s="27" t="e">
        <f aca="false">SUMIF($C$2:$F$2,EOMONTH(DL$2,-1)+1,$C163:$F163)*VLOOKUP(DL$2,Valores!$H$2:$P$154,8,0)</f>
        <v>#VALUE!</v>
      </c>
      <c r="DM163" s="27" t="e">
        <f aca="false">SUMIF($C$2:$F$2,EOMONTH(DM$2,-1)+1,$C163:$F163)*VLOOKUP(DM$2,Valores!$H$2:$P$154,8,0)</f>
        <v>#VALUE!</v>
      </c>
      <c r="DN163" s="27" t="e">
        <f aca="false">SUMIF($C$2:$F$2,EOMONTH(DN$2,-1)+1,$C163:$F163)*VLOOKUP(DN$2,Valores!$H$2:$P$154,8,0)</f>
        <v>#VALUE!</v>
      </c>
      <c r="DO163" s="27" t="e">
        <f aca="false">SUMIF($C$2:$F$2,EOMONTH(DO$2,-1)+1,$C163:$F163)*VLOOKUP(DO$2,Valores!$H$2:$P$154,8,0)</f>
        <v>#VALUE!</v>
      </c>
      <c r="DP163" s="27" t="e">
        <f aca="false">SUMIF($C$2:$F$2,EOMONTH(DP$2,-1)+1,$C163:$F163)*VLOOKUP(DP$2,Valores!$H$2:$P$154,8,0)</f>
        <v>#VALUE!</v>
      </c>
      <c r="DQ163" s="27" t="e">
        <f aca="false">SUMIF($C$2:$F$2,EOMONTH(DQ$2,-1)+1,$C163:$F163)*VLOOKUP(DQ$2,Valores!$H$2:$P$154,8,0)</f>
        <v>#VALUE!</v>
      </c>
      <c r="DR163" s="27" t="e">
        <f aca="false">SUMIF($C$2:$F$2,EOMONTH(DR$2,-1)+1,$C163:$F163)*VLOOKUP(DR$2,Valores!$H$2:$P$154,8,0)</f>
        <v>#VALUE!</v>
      </c>
      <c r="DS163" s="27" t="e">
        <f aca="false">SUMIF($C$2:$F$2,EOMONTH(DS$2,-1)+1,$C163:$F163)*VLOOKUP(DS$2,Valores!$H$2:$P$154,8,0)</f>
        <v>#VALUE!</v>
      </c>
      <c r="DT163" s="27" t="e">
        <f aca="false">SUMIF($C$2:$F$2,EOMONTH(DT$2,-1)+1,$C163:$F163)*VLOOKUP(DT$2,Valores!$H$2:$P$154,8,0)</f>
        <v>#VALUE!</v>
      </c>
      <c r="DU163" s="27" t="e">
        <f aca="false">SUMIF($C$2:$F$2,EOMONTH(DU$2,-1)+1,$C163:$F163)*VLOOKUP(DU$2,Valores!$H$2:$P$154,8,0)</f>
        <v>#VALUE!</v>
      </c>
      <c r="DV163" s="27" t="e">
        <f aca="false">SUMIF($C$2:$F$2,EOMONTH(DV$2,-1)+1,$C163:$F163)*VLOOKUP(DV$2,Valores!$H$2:$P$154,8,0)</f>
        <v>#VALUE!</v>
      </c>
      <c r="DW163" s="27" t="e">
        <f aca="false">SUMIF($C$2:$F$2,EOMONTH(DW$2,-1)+1,$C163:$F163)*VLOOKUP(DW$2,Valores!$H$2:$P$154,8,0)</f>
        <v>#VALUE!</v>
      </c>
      <c r="DX163" s="27" t="e">
        <f aca="false">SUMIF($C$2:$F$2,EOMONTH(DX$2,-1)+1,$C163:$F163)*VLOOKUP(DX$2,Valores!$H$2:$P$154,8,0)</f>
        <v>#VALUE!</v>
      </c>
    </row>
  </sheetData>
  <autoFilter ref="A1:CT163"/>
  <mergeCells count="6">
    <mergeCell ref="A1:A2"/>
    <mergeCell ref="B1:B2"/>
    <mergeCell ref="G1:AJ1"/>
    <mergeCell ref="AK1:BO1"/>
    <mergeCell ref="BP1:CS1"/>
    <mergeCell ref="CT1:DX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LibreOffice/6.3.2.2$Windows_X86_64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2019-09-11T15:10:43Z</dcterms:created>
  <dc:creator>Mauricio Bassi G.</dc:creator>
  <dc:description/>
  <dc:language>es-CL</dc:language>
  <cp:lastModifiedBy/>
  <dcterms:modified xsi:type="dcterms:W3CDTF">2019-10-28T21:45:25Z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