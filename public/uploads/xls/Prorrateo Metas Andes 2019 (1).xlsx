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_rels/sheet1.xml.rels" ContentType="application/vnd.openxmlformats-package.relationship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Valores" sheetId="1" state="visible" r:id="rId2"/>
    <sheet name="Matríz Tiendas" sheetId="2" state="visible" r:id="rId3"/>
  </sheets>
  <definedNames>
    <definedName function="false" hidden="false" name="Feriados" vbProcedure="false">Feriado[Feriados]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<sst xmlns="http://schemas.openxmlformats.org/spreadsheetml/2006/main" count="29" uniqueCount="25">
  <si>
    <t xml:space="preserve">Feriados</t>
  </si>
  <si>
    <t xml:space="preserve">Día</t>
  </si>
  <si>
    <t xml:space="preserve">Ventas Semana</t>
  </si>
  <si>
    <t xml:space="preserve">%</t>
  </si>
  <si>
    <t xml:space="preserve">Cálculo 01</t>
  </si>
  <si>
    <t xml:space="preserve">N° Semana</t>
  </si>
  <si>
    <t xml:space="preserve">Año</t>
  </si>
  <si>
    <t xml:space="preserve">Cálculo02</t>
  </si>
  <si>
    <t xml:space="preserve">Pondera Día</t>
  </si>
  <si>
    <t xml:space="preserve">Calculo03</t>
  </si>
  <si>
    <t xml:space="preserve">Peso Día Final</t>
  </si>
  <si>
    <t xml:space="preserve">Plata</t>
  </si>
  <si>
    <t xml:space="preserve">Mes</t>
  </si>
  <si>
    <t xml:space="preserve">4 SEMANAS</t>
  </si>
  <si>
    <t xml:space="preserve">5 SEMANANAS</t>
  </si>
  <si>
    <t xml:space="preserve">6 SEMANAS</t>
  </si>
  <si>
    <t xml:space="preserve">Total</t>
  </si>
  <si>
    <t xml:space="preserve">Cadena</t>
  </si>
  <si>
    <t xml:space="preserve">Tienda</t>
  </si>
  <si>
    <t xml:space="preserve">Meta</t>
  </si>
  <si>
    <t xml:space="preserve">SEPTIEMBRE 2019</t>
  </si>
  <si>
    <t xml:space="preserve">OCTUBRE 2019</t>
  </si>
  <si>
    <t xml:space="preserve">NOVIEMBRE 2019</t>
  </si>
  <si>
    <t xml:space="preserve">Ripley</t>
  </si>
  <si>
    <t xml:space="preserve">Talca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</si>
</sst>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_ \$* #,##0_ ;_ \$* \-#,##0_ ;_ \$* \-_ ;_ @_ "/>
    <numFmt numFmtId="166" formatCode="0\ %"/>
    <numFmt numFmtId="167" formatCode="0.00\ %"/>
    <numFmt numFmtId="168" formatCode="[$-340A]DD/MM/YYYY"/>
    <numFmt numFmtId="169" formatCode="_ * #,##0_ ;_ * \-#,##0_ ;_ * \-_ ;_ @_ "/>
    <numFmt numFmtId="170" formatCode="DDD\ DD/MM"/>
    <numFmt numFmtId="171" formatCode="0.00"/>
    <numFmt numFmtId="172" formatCode="General"/>
    <numFmt numFmtId="173" formatCode="[$-340A]MMM/YY"/>
    <numFmt numFmtId="174" formatCode="MMMM"/>
    <numFmt numFmtId="175" formatCode="_ * #,##0_ ;_ * \-#,##0_ ;_ * \-_ ;_ @_ "/>
  </numFmts>
  <fonts count="7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E7E6E6"/>
      <name val="Calibri"/>
      <family val="2"/>
      <charset val="1"/>
    </font>
    <font>
      <b val="true"/>
      <sz val="11"/>
      <color rgb="FF000000"/>
      <name val="Calibri"/>
      <family val="2"/>
      <charset val="1"/>
    </font>
    <font>
      <b val="true"/>
      <sz val="11"/>
      <color rgb="FFFFFFFF"/>
      <name val="Calibri"/>
      <family val="2"/>
      <charset val="1"/>
    </font>
  </fonts>
  <fills count="8">
    <fill>
      <patternFill patternType="none"/>
    </fill>
    <fill>
      <patternFill patternType="gray125"/>
    </fill>
    <fill>
      <patternFill patternType="solid">
        <fgColor rgb="FFFFC000"/>
        <bgColor rgb="FFFF9900"/>
      </patternFill>
    </fill>
    <fill>
      <patternFill patternType="solid">
        <fgColor rgb="FF4472C4"/>
        <bgColor rgb="FF2F5597"/>
      </patternFill>
    </fill>
    <fill>
      <patternFill patternType="solid">
        <fgColor rgb="FF535353"/>
        <bgColor rgb="FF2F5597"/>
      </patternFill>
    </fill>
    <fill>
      <patternFill patternType="solid">
        <fgColor rgb="FFA5A5A5"/>
        <bgColor rgb="FFBFBFBF"/>
      </patternFill>
    </fill>
    <fill>
      <patternFill patternType="solid">
        <fgColor rgb="FFDBDBDB"/>
        <bgColor rgb="FFD6DCE5"/>
      </patternFill>
    </fill>
    <fill>
      <patternFill patternType="solid">
        <fgColor rgb="FFEDEDED"/>
        <bgColor rgb="FFE7E6E6"/>
      </patternFill>
    </fill>
  </fills>
  <borders count="9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/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 diagonalUp="false" diagonalDown="false">
      <left style="thin">
        <color rgb="FFFFFFFF"/>
      </left>
      <right/>
      <top style="thin">
        <color rgb="FFFFFFFF"/>
      </top>
      <bottom style="thin">
        <color rgb="FFFFFFFF"/>
      </bottom>
      <diagonal/>
    </border>
    <border diagonalUp="false" diagonalDown="false">
      <left style="thin">
        <color rgb="FFFFFFFF"/>
      </left>
      <right style="thin">
        <color rgb="FFFFFFFF"/>
      </right>
      <top style="thin">
        <color rgb="FFFFFFFF"/>
      </top>
      <bottom/>
      <diagonal/>
    </border>
    <border diagonalUp="false" diagonalDown="false">
      <left style="thin">
        <color rgb="FFFFFFFF"/>
      </left>
      <right style="thin">
        <color rgb="FFFFFFFF"/>
      </right>
      <top/>
      <bottom style="thin">
        <color rgb="FFFFFFFF"/>
      </bottom>
      <diagonal/>
    </border>
    <border diagonalUp="false" diagonalDown="false">
      <left/>
      <right style="thin">
        <color rgb="FFFFFFFF"/>
      </right>
      <top/>
      <bottom style="thin">
        <color rgb="FFFFFFFF"/>
      </bottom>
      <diagonal/>
    </border>
    <border diagonalUp="false" diagonalDown="false">
      <left/>
      <right style="thin">
        <color rgb="FFFFFFFF"/>
      </right>
      <top style="thin">
        <color rgb="FFFFFFFF"/>
      </top>
      <bottom style="thin">
        <color rgb="FFFFFFFF"/>
      </bottom>
      <diagonal/>
    </border>
  </borders>
  <cellStyleXfs count="23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166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9" fontId="0" fillId="0" borderId="0" applyFont="true" applyBorder="false" applyAlignment="true" applyProtection="false">
      <alignment horizontal="general" vertical="bottom" textRotation="0" wrapText="false" indent="0" shrinkToFit="false"/>
    </xf>
    <xf numFmtId="175" fontId="0" fillId="0" borderId="0" applyFont="true" applyBorder="false" applyAlignment="true" applyProtection="false">
      <alignment horizontal="general" vertical="bottom" textRotation="0" wrapText="false" indent="0" shrinkToFit="false"/>
    </xf>
  </cellStyleXfs>
  <cellXfs count="3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0" fillId="3" borderId="0" xfId="19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21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0" fillId="0" borderId="0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4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4" fillId="4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5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5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6" fillId="5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5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4" fontId="6" fillId="5" borderId="6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70" fontId="6" fillId="5" borderId="3" xfId="0" applyFont="true" applyBorder="true" applyAlignment="true" applyProtection="false">
      <alignment horizontal="center" vertical="center" textRotation="9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9" fontId="5" fillId="6" borderId="7" xfId="21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0" fillId="6" borderId="8" xfId="21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0" fillId="6" borderId="7" xfId="21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5" fontId="5" fillId="7" borderId="8" xfId="22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5" fontId="0" fillId="7" borderId="8" xfId="22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5" fontId="5" fillId="6" borderId="8" xfId="22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5" fontId="0" fillId="6" borderId="8" xfId="22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5" fillId="6" borderId="8" xfId="21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5" fillId="7" borderId="8" xfId="21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0" fillId="7" borderId="8" xfId="21" applyFont="true" applyBorder="true" applyAlignment="true" applyProtection="true">
      <alignment horizontal="center" vertical="bottom" textRotation="0" wrapText="false" indent="0" shrinkToFit="false"/>
      <protection locked="true" hidden="false"/>
    </xf>
  </cellXfs>
  <cellStyles count="9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Excel Built-in Currency [0] 1" xfId="20"/>
    <cellStyle name="Excel Built-in Comma [0] 2" xfId="21"/>
    <cellStyle name="Excel Built-in Comma [0]" xfId="22"/>
  </cellStyles>
  <dxfs count="3">
    <dxf>
      <font>
        <b val="1"/>
        <i val="0"/>
        <color rgb="FF222A35"/>
      </font>
      <fill>
        <patternFill>
          <bgColor rgb="FFD6DCE5"/>
        </patternFill>
      </fill>
    </dxf>
    <dxf>
      <font>
        <b val="1"/>
        <i val="0"/>
        <color rgb="FFFFFFFF"/>
      </font>
      <fill>
        <patternFill>
          <bgColor rgb="FF2F5597"/>
        </patternFill>
      </fill>
    </dxf>
    <dxf>
      <font>
        <b val="1"/>
        <i val="0"/>
        <color rgb="FFFFFFFF"/>
      </font>
      <fill>
        <patternFill>
          <bgColor rgb="FF2F5597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EDEDED"/>
      <rgbColor rgb="FFE7E6E6"/>
      <rgbColor rgb="FF660066"/>
      <rgbColor rgb="FFFF8080"/>
      <rgbColor rgb="FF0066CC"/>
      <rgbColor rgb="FFD6DCE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BDBDB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FF6600"/>
      <rgbColor rgb="FF535353"/>
      <rgbColor rgb="FFA5A5A5"/>
      <rgbColor rgb="FF003366"/>
      <rgbColor rgb="FF339966"/>
      <rgbColor rgb="FF003300"/>
      <rgbColor rgb="FF333300"/>
      <rgbColor rgb="FF993300"/>
      <rgbColor rgb="FF993366"/>
      <rgbColor rgb="FF2F5597"/>
      <rgbColor rgb="FF222A35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Dia" displayName="Dia" ref="C1:E8" headerRowCount="1" totalsRowCount="0" totalsRowShown="0">
  <autoFilter ref="C1:E8"/>
  <tableColumns count="3">
    <tableColumn id="1" name="Día"/>
    <tableColumn id="2" name="Ventas Semana"/>
    <tableColumn id="3" name="%"/>
  </tableColumns>
</table>
</file>

<file path=xl/tables/table2.xml><?xml version="1.0" encoding="utf-8"?>
<table xmlns="http://schemas.openxmlformats.org/spreadsheetml/2006/main" id="2" name="Feriado" displayName="Feriado" ref="A1:A19" headerRowCount="1" totalsRowCount="0" totalsRowShown="0">
  <autoFilter ref="A1:A19"/>
  <tableColumns count="1">
    <tableColumn id="1" name="Feriados"/>
  </tableColumns>
</table>
</file>

<file path=xl/tables/table3.xml><?xml version="1.0" encoding="utf-8"?>
<table xmlns="http://schemas.openxmlformats.org/spreadsheetml/2006/main" id="3" name="ProyDia" displayName="ProyDia" ref="H1:P154" headerRowCount="1" totalsRowCount="0" totalsRowShown="0">
  <autoFilter ref="H1:P154"/>
  <tableColumns count="9">
    <tableColumn id="1" name="Día"/>
    <tableColumn id="2" name="Cálculo 01"/>
    <tableColumn id="3" name="N° Semana"/>
    <tableColumn id="4" name="Año"/>
    <tableColumn id="5" name="Cálculo02"/>
    <tableColumn id="6" name="Pondera Día"/>
    <tableColumn id="7" name="Calculo03"/>
    <tableColumn id="8" name="Peso Día Final"/>
    <tableColumn id="9" name="Plata"/>
  </tableColumns>
</table>
</file>

<file path=xl/tables/table4.xml><?xml version="1.0" encoding="utf-8"?>
<table xmlns="http://schemas.openxmlformats.org/spreadsheetml/2006/main" id="4" name="Semana" displayName="Semana" ref="C10:F17" headerRowCount="1" totalsRowCount="1" totalsRowShown="1">
  <autoFilter ref="C10:F17"/>
  <tableColumns count="4">
    <tableColumn id="1" name="Mes"/>
    <tableColumn id="2" name="4 SEMANAS"/>
    <tableColumn id="3" name="5 SEMANANAS"/>
    <tableColumn id="4" name="6 SEMANAS"/>
  </tableColumns>
</tabl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table" Target="../tables/table1.xml"/><Relationship Id="rId2" Type="http://schemas.openxmlformats.org/officeDocument/2006/relationships/table" Target="../tables/table2.xml"/><Relationship Id="rId3" Type="http://schemas.openxmlformats.org/officeDocument/2006/relationships/table" Target="../tables/table3.xml"/><Relationship Id="rId4" Type="http://schemas.openxmlformats.org/officeDocument/2006/relationships/table" Target="../tables/table4.xml"/>
</Relationships>
</file>

<file path=xl/worksheets/sheet1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P1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M8" activeCellId="0" sqref="4:114"/>
    </sheetView>
  </sheetViews>
  <sheetFormatPr defaultColWidth="11.48828125" defaultRowHeight="14.4" zeroHeight="false" outlineLevelRow="0" outlineLevelCol="0"/>
  <cols>
    <col collapsed="false" customWidth="true" hidden="false" outlineLevel="0" max="2" min="2" style="0" width="1.12"/>
    <col collapsed="false" customWidth="true" hidden="false" outlineLevel="0" max="3" min="3" style="1" width="14.01"/>
    <col collapsed="false" customWidth="true" hidden="false" outlineLevel="0" max="4" min="4" style="0" width="16.89"/>
    <col collapsed="false" customWidth="true" hidden="false" outlineLevel="0" max="8" min="8" style="0" width="10.99"/>
    <col collapsed="false" customWidth="true" hidden="false" outlineLevel="0" max="9" min="9" style="0" width="14.43"/>
    <col collapsed="false" customWidth="true" hidden="false" outlineLevel="0" max="10" min="10" style="0" width="15.11"/>
    <col collapsed="false" customWidth="true" hidden="false" outlineLevel="0" max="11" min="11" style="0" width="8.89"/>
    <col collapsed="false" customWidth="true" hidden="false" outlineLevel="0" max="12" min="12" style="2" width="13.55"/>
    <col collapsed="false" customWidth="true" hidden="false" outlineLevel="0" max="13" min="13" style="0" width="16.33"/>
    <col collapsed="false" customWidth="true" hidden="false" outlineLevel="0" max="14" min="14" style="0" width="13.55"/>
    <col collapsed="false" customWidth="true" hidden="false" outlineLevel="0" max="15" min="15" style="0" width="16.89"/>
  </cols>
  <sheetData>
    <row r="1" customFormat="false" ht="14.4" hidden="false" customHeight="false" outlineLevel="0" collapsed="false">
      <c r="A1" s="3" t="s">
        <v>0</v>
      </c>
      <c r="C1" s="4" t="s">
        <v>1</v>
      </c>
      <c r="D1" s="3" t="s">
        <v>2</v>
      </c>
      <c r="E1" s="3" t="s">
        <v>3</v>
      </c>
      <c r="H1" s="4" t="s">
        <v>1</v>
      </c>
      <c r="I1" s="4" t="s">
        <v>4</v>
      </c>
      <c r="J1" s="4" t="s">
        <v>5</v>
      </c>
      <c r="K1" s="4" t="s">
        <v>6</v>
      </c>
      <c r="L1" s="4" t="s">
        <v>7</v>
      </c>
      <c r="M1" s="5" t="s">
        <v>8</v>
      </c>
      <c r="N1" s="4" t="s">
        <v>9</v>
      </c>
      <c r="O1" s="6" t="s">
        <v>10</v>
      </c>
      <c r="P1" s="4" t="s">
        <v>11</v>
      </c>
    </row>
    <row r="2" customFormat="false" ht="14.4" hidden="false" customHeight="false" outlineLevel="0" collapsed="false">
      <c r="A2" s="7" t="n">
        <v>43726</v>
      </c>
      <c r="C2" s="8" t="n">
        <v>1</v>
      </c>
      <c r="D2" s="2" t="n">
        <v>10000</v>
      </c>
      <c r="E2" s="9" t="n">
        <f aca="false">Dia[[#This Row],[Ventas Semana]]/SUM(Dia[Ventas Semana])</f>
        <v>0.1</v>
      </c>
      <c r="F2" s="9"/>
      <c r="G2" s="9"/>
      <c r="H2" s="10" t="n">
        <v>43709</v>
      </c>
      <c r="I2" s="11" t="n">
        <f aca="false">VLOOKUP(WEEKNUM(ProyDia[[#This Row],[Día]],2)-WEEKNUM(EOMONTH(ProyDia[[#This Row],[Día]],-1)+1,2)+1,Semana[],IF((WEEKNUM(EOMONTH(H2,0),2)-WEEKNUM(EOMONTH(H2,-1)+1,2)+1)=4,2,IF((WEEKNUM(EOMONTH(H2,0),2)-WEEKNUM(EOMONTH(H2,-1)+1,2)+1)=5,3,IF((WEEKNUM(EOMONTH(H2,0),2)-WEEKNUM(EOMONTH(H2,-1)+1,2)+1)=6,4,0))),0)</f>
        <v>0.25</v>
      </c>
      <c r="J2" s="0" t="n">
        <f aca="false">WEEKNUM(ProyDia[[#This Row],[Día]],2)</f>
        <v>35</v>
      </c>
      <c r="K2" s="0" t="n">
        <v>2019</v>
      </c>
      <c r="L2" s="2" t="n">
        <f aca="false">WEEKDAY(ProyDia[[#This Row],[Día]],2)</f>
        <v>7</v>
      </c>
      <c r="M2" s="0" t="n">
        <v>0.07</v>
      </c>
      <c r="N2" s="0" t="n">
        <f aca="false">ProyDia[[#This Row],[Cálculo 01]]*ProyDia[[#This Row],[Pondera Día]]</f>
        <v>0.0175</v>
      </c>
      <c r="O2" s="12" t="n">
        <f aca="false">ProyDia[[#This Row],[Calculo03]]/SUMIFS(ProyDia[Calculo03],ProyDia[Día],"&gt;="&amp;EOMONTH(ProyDia[[#This Row],[Día]],-1)+1,ProyDia[Día],"&lt;="&amp;EOMONTH(ProyDia[[#This Row],[Día]],0))</f>
        <v>0.0287971038341287</v>
      </c>
      <c r="P2" s="2" t="n">
        <f aca="false">ProyDia[[#This Row],[Peso Día Final]]*7754000</f>
        <v>223292.743129834</v>
      </c>
    </row>
    <row r="3" customFormat="false" ht="14.4" hidden="false" customHeight="false" outlineLevel="0" collapsed="false">
      <c r="A3" s="7" t="n">
        <v>43727</v>
      </c>
      <c r="C3" s="8" t="n">
        <v>2</v>
      </c>
      <c r="D3" s="2" t="n">
        <v>10000</v>
      </c>
      <c r="E3" s="9" t="n">
        <f aca="false">Dia[[#This Row],[Ventas Semana]]/SUM(Dia[Ventas Semana])</f>
        <v>0.1</v>
      </c>
      <c r="F3" s="9"/>
      <c r="G3" s="9"/>
      <c r="H3" s="10" t="n">
        <v>43710</v>
      </c>
      <c r="I3" s="11" t="n">
        <f aca="false">VLOOKUP(WEEKNUM(ProyDia[[#This Row],[Día]],2)-WEEKNUM(EOMONTH(ProyDia[[#This Row],[Día]],-1)+1,2)+1,Semana[],IF((WEEKNUM(EOMONTH(H3,0),2)-WEEKNUM(EOMONTH(H3,-1)+1,2)+1)=4,2,IF((WEEKNUM(EOMONTH(H3,0),2)-WEEKNUM(EOMONTH(H3,-1)+1,2)+1)=5,3,IF((WEEKNUM(EOMONTH(H3,0),2)-WEEKNUM(EOMONTH(H3,-1)+1,2)+1)=6,4,0))),0)</f>
        <v>0.12</v>
      </c>
      <c r="J3" s="0" t="n">
        <f aca="false">WEEKNUM(ProyDia[[#This Row],[Día]],2)</f>
        <v>36</v>
      </c>
      <c r="K3" s="0" t="n">
        <v>2019</v>
      </c>
      <c r="L3" s="2" t="n">
        <f aca="false">WEEKDAY(ProyDia[[#This Row],[Día]],2)</f>
        <v>1</v>
      </c>
      <c r="M3" s="0" t="n">
        <f aca="false">VLOOKUP(ProyDia[[#This Row],[Cálculo02]],Dia[],3,0)</f>
        <v>0.1</v>
      </c>
      <c r="N3" s="0" t="n">
        <f aca="false">ProyDia[[#This Row],[Cálculo 01]]*ProyDia[[#This Row],[Pondera Día]]</f>
        <v>0.012</v>
      </c>
      <c r="O3" s="12" t="n">
        <f aca="false">ProyDia[[#This Row],[Calculo03]]/SUMIFS(ProyDia[Calculo03],ProyDia[Día],"&gt;="&amp;EOMONTH(ProyDia[[#This Row],[Día]],-1)+1,ProyDia[Día],"&lt;="&amp;EOMONTH(ProyDia[[#This Row],[Día]],0))</f>
        <v>0.0197465854862597</v>
      </c>
      <c r="P3" s="2" t="n">
        <f aca="false">ProyDia[[#This Row],[Peso Día Final]]*7754000</f>
        <v>153115.023860457</v>
      </c>
    </row>
    <row r="4" customFormat="false" ht="14.4" hidden="false" customHeight="false" outlineLevel="0" collapsed="false">
      <c r="A4" s="7" t="n">
        <v>43728</v>
      </c>
      <c r="C4" s="8" t="n">
        <v>3</v>
      </c>
      <c r="D4" s="2" t="n">
        <v>10000</v>
      </c>
      <c r="E4" s="9" t="n">
        <f aca="false">Dia[[#This Row],[Ventas Semana]]/SUM(Dia[Ventas Semana])</f>
        <v>0.1</v>
      </c>
      <c r="F4" s="9"/>
      <c r="G4" s="9"/>
      <c r="H4" s="10" t="n">
        <v>43711</v>
      </c>
      <c r="I4" s="11" t="n">
        <f aca="false">VLOOKUP(WEEKNUM(ProyDia[[#This Row],[Día]],2)-WEEKNUM(EOMONTH(ProyDia[[#This Row],[Día]],-1)+1,2)+1,Semana[],IF((WEEKNUM(EOMONTH(H4,0),2)-WEEKNUM(EOMONTH(H4,-1)+1,2)+1)=4,2,IF((WEEKNUM(EOMONTH(H4,0),2)-WEEKNUM(EOMONTH(H4,-1)+1,2)+1)=5,3,IF((WEEKNUM(EOMONTH(H4,0),2)-WEEKNUM(EOMONTH(H4,-1)+1,2)+1)=6,4,0))),0)</f>
        <v>0.12</v>
      </c>
      <c r="J4" s="0" t="n">
        <f aca="false">WEEKNUM(ProyDia[[#This Row],[Día]],2)</f>
        <v>36</v>
      </c>
      <c r="K4" s="0" t="n">
        <v>2019</v>
      </c>
      <c r="L4" s="2" t="n">
        <f aca="false">WEEKDAY(ProyDia[[#This Row],[Día]],2)</f>
        <v>2</v>
      </c>
      <c r="M4" s="0" t="n">
        <f aca="false">VLOOKUP(ProyDia[[#This Row],[Cálculo02]],Dia[],3,0)</f>
        <v>0.1</v>
      </c>
      <c r="N4" s="0" t="n">
        <f aca="false">ProyDia[[#This Row],[Cálculo 01]]*ProyDia[[#This Row],[Pondera Día]]</f>
        <v>0.012</v>
      </c>
      <c r="O4" s="12" t="n">
        <f aca="false">ProyDia[[#This Row],[Calculo03]]/SUMIFS(ProyDia[Calculo03],ProyDia[Día],"&gt;="&amp;EOMONTH(ProyDia[[#This Row],[Día]],-1)+1,ProyDia[Día],"&lt;="&amp;EOMONTH(ProyDia[[#This Row],[Día]],0))</f>
        <v>0.0197465854862597</v>
      </c>
      <c r="P4" s="2" t="n">
        <f aca="false">ProyDia[[#This Row],[Peso Día Final]]*7754000</f>
        <v>153115.023860457</v>
      </c>
    </row>
    <row r="5" customFormat="false" ht="14.4" hidden="false" customHeight="false" outlineLevel="0" collapsed="false">
      <c r="A5" s="7" t="n">
        <v>43750</v>
      </c>
      <c r="C5" s="8" t="n">
        <v>4</v>
      </c>
      <c r="D5" s="2" t="n">
        <v>10000</v>
      </c>
      <c r="E5" s="9" t="n">
        <f aca="false">Dia[[#This Row],[Ventas Semana]]/SUM(Dia[Ventas Semana])</f>
        <v>0.1</v>
      </c>
      <c r="F5" s="9"/>
      <c r="G5" s="9"/>
      <c r="H5" s="10" t="n">
        <v>43712</v>
      </c>
      <c r="I5" s="11" t="n">
        <f aca="false">VLOOKUP(WEEKNUM(ProyDia[[#This Row],[Día]],2)-WEEKNUM(EOMONTH(ProyDia[[#This Row],[Día]],-1)+1,2)+1,Semana[],IF((WEEKNUM(EOMONTH(H5,0),2)-WEEKNUM(EOMONTH(H5,-1)+1,2)+1)=4,2,IF((WEEKNUM(EOMONTH(H5,0),2)-WEEKNUM(EOMONTH(H5,-1)+1,2)+1)=5,3,IF((WEEKNUM(EOMONTH(H5,0),2)-WEEKNUM(EOMONTH(H5,-1)+1,2)+1)=6,4,0))),0)</f>
        <v>0.12</v>
      </c>
      <c r="J5" s="0" t="n">
        <f aca="false">WEEKNUM(ProyDia[[#This Row],[Día]],2)</f>
        <v>36</v>
      </c>
      <c r="K5" s="0" t="n">
        <v>2019</v>
      </c>
      <c r="L5" s="2" t="n">
        <f aca="false">WEEKDAY(ProyDia[[#This Row],[Día]],2)</f>
        <v>3</v>
      </c>
      <c r="M5" s="0" t="n">
        <f aca="false">VLOOKUP(ProyDia[[#This Row],[Cálculo02]],Dia[],3,0)</f>
        <v>0.1</v>
      </c>
      <c r="N5" s="0" t="n">
        <f aca="false">ProyDia[[#This Row],[Cálculo 01]]*ProyDia[[#This Row],[Pondera Día]]</f>
        <v>0.012</v>
      </c>
      <c r="O5" s="12" t="n">
        <f aca="false">ProyDia[[#This Row],[Calculo03]]/SUMIFS(ProyDia[Calculo03],ProyDia[Día],"&gt;="&amp;EOMONTH(ProyDia[[#This Row],[Día]],-1)+1,ProyDia[Día],"&lt;="&amp;EOMONTH(ProyDia[[#This Row],[Día]],0))</f>
        <v>0.0197465854862597</v>
      </c>
      <c r="P5" s="2" t="n">
        <f aca="false">ProyDia[[#This Row],[Peso Día Final]]*7754000</f>
        <v>153115.023860457</v>
      </c>
    </row>
    <row r="6" customFormat="false" ht="14.4" hidden="false" customHeight="false" outlineLevel="0" collapsed="false">
      <c r="A6" s="7" t="n">
        <v>43769</v>
      </c>
      <c r="C6" s="8" t="n">
        <v>5</v>
      </c>
      <c r="D6" s="2" t="n">
        <v>20000</v>
      </c>
      <c r="E6" s="9" t="n">
        <f aca="false">Dia[[#This Row],[Ventas Semana]]/SUM(Dia[Ventas Semana])</f>
        <v>0.2</v>
      </c>
      <c r="F6" s="9"/>
      <c r="G6" s="9"/>
      <c r="H6" s="10" t="n">
        <v>43713</v>
      </c>
      <c r="I6" s="11" t="n">
        <f aca="false">VLOOKUP(WEEKNUM(ProyDia[[#This Row],[Día]],2)-WEEKNUM(EOMONTH(ProyDia[[#This Row],[Día]],-1)+1,2)+1,Semana[],IF((WEEKNUM(EOMONTH(H6,0),2)-WEEKNUM(EOMONTH(H6,-1)+1,2)+1)=4,2,IF((WEEKNUM(EOMONTH(H6,0),2)-WEEKNUM(EOMONTH(H6,-1)+1,2)+1)=5,3,IF((WEEKNUM(EOMONTH(H6,0),2)-WEEKNUM(EOMONTH(H6,-1)+1,2)+1)=6,4,0))),0)</f>
        <v>0.12</v>
      </c>
      <c r="J6" s="0" t="n">
        <f aca="false">WEEKNUM(ProyDia[[#This Row],[Día]],2)</f>
        <v>36</v>
      </c>
      <c r="K6" s="0" t="n">
        <v>2019</v>
      </c>
      <c r="L6" s="2" t="n">
        <f aca="false">WEEKDAY(ProyDia[[#This Row],[Día]],2)</f>
        <v>4</v>
      </c>
      <c r="M6" s="0" t="n">
        <f aca="false">VLOOKUP(ProyDia[[#This Row],[Cálculo02]],Dia[],3,0)</f>
        <v>0.1</v>
      </c>
      <c r="N6" s="0" t="n">
        <f aca="false">ProyDia[[#This Row],[Cálculo 01]]*ProyDia[[#This Row],[Pondera Día]]</f>
        <v>0.012</v>
      </c>
      <c r="O6" s="12" t="n">
        <f aca="false">ProyDia[[#This Row],[Calculo03]]/SUMIFS(ProyDia[Calculo03],ProyDia[Día],"&gt;="&amp;EOMONTH(ProyDia[[#This Row],[Día]],-1)+1,ProyDia[Día],"&lt;="&amp;EOMONTH(ProyDia[[#This Row],[Día]],0))</f>
        <v>0.0197465854862597</v>
      </c>
      <c r="P6" s="2" t="n">
        <f aca="false">ProyDia[[#This Row],[Peso Día Final]]*7754000</f>
        <v>153115.023860457</v>
      </c>
    </row>
    <row r="7" customFormat="false" ht="14.4" hidden="false" customHeight="false" outlineLevel="0" collapsed="false">
      <c r="A7" s="7" t="n">
        <v>43770</v>
      </c>
      <c r="C7" s="8" t="n">
        <v>6</v>
      </c>
      <c r="D7" s="2" t="n">
        <v>25000</v>
      </c>
      <c r="E7" s="9" t="n">
        <f aca="false">Dia[[#This Row],[Ventas Semana]]/SUM(Dia[Ventas Semana])</f>
        <v>0.25</v>
      </c>
      <c r="F7" s="9"/>
      <c r="G7" s="9"/>
      <c r="H7" s="10" t="n">
        <v>43714</v>
      </c>
      <c r="I7" s="11" t="n">
        <f aca="false">VLOOKUP(WEEKNUM(ProyDia[[#This Row],[Día]],2)-WEEKNUM(EOMONTH(ProyDia[[#This Row],[Día]],-1)+1,2)+1,Semana[],IF((WEEKNUM(EOMONTH(H7,0),2)-WEEKNUM(EOMONTH(H7,-1)+1,2)+1)=4,2,IF((WEEKNUM(EOMONTH(H7,0),2)-WEEKNUM(EOMONTH(H7,-1)+1,2)+1)=5,3,IF((WEEKNUM(EOMONTH(H7,0),2)-WEEKNUM(EOMONTH(H7,-1)+1,2)+1)=6,4,0))),0)</f>
        <v>0.12</v>
      </c>
      <c r="J7" s="0" t="n">
        <f aca="false">WEEKNUM(ProyDia[[#This Row],[Día]],2)</f>
        <v>36</v>
      </c>
      <c r="K7" s="0" t="n">
        <v>2019</v>
      </c>
      <c r="L7" s="2" t="n">
        <f aca="false">WEEKDAY(ProyDia[[#This Row],[Día]],2)</f>
        <v>5</v>
      </c>
      <c r="M7" s="0" t="n">
        <f aca="false">VLOOKUP(ProyDia[[#This Row],[Cálculo02]],Dia[],3,0)</f>
        <v>0.2</v>
      </c>
      <c r="N7" s="0" t="n">
        <f aca="false">ProyDia[[#This Row],[Cálculo 01]]*ProyDia[[#This Row],[Pondera Día]]</f>
        <v>0.024</v>
      </c>
      <c r="O7" s="12" t="n">
        <f aca="false">ProyDia[[#This Row],[Calculo03]]/SUMIFS(ProyDia[Calculo03],ProyDia[Día],"&gt;="&amp;EOMONTH(ProyDia[[#This Row],[Día]],-1)+1,ProyDia[Día],"&lt;="&amp;EOMONTH(ProyDia[[#This Row],[Día]],0))</f>
        <v>0.0394931709725193</v>
      </c>
      <c r="P7" s="2" t="n">
        <f aca="false">ProyDia[[#This Row],[Peso Día Final]]*7754000</f>
        <v>306230.047720915</v>
      </c>
    </row>
    <row r="8" customFormat="false" ht="14.4" hidden="false" customHeight="false" outlineLevel="0" collapsed="false">
      <c r="A8" s="7" t="n">
        <v>43807</v>
      </c>
      <c r="C8" s="8" t="n">
        <v>7</v>
      </c>
      <c r="D8" s="2" t="n">
        <v>15000</v>
      </c>
      <c r="E8" s="9" t="n">
        <f aca="false">Dia[[#This Row],[Ventas Semana]]/SUM(Dia[Ventas Semana])</f>
        <v>0.15</v>
      </c>
      <c r="F8" s="9"/>
      <c r="G8" s="9"/>
      <c r="H8" s="10" t="n">
        <v>43715</v>
      </c>
      <c r="I8" s="11" t="n">
        <f aca="false">VLOOKUP(WEEKNUM(ProyDia[[#This Row],[Día]],2)-WEEKNUM(EOMONTH(ProyDia[[#This Row],[Día]],-1)+1,2)+1,Semana[],IF((WEEKNUM(EOMONTH(H8,0),2)-WEEKNUM(EOMONTH(H8,-1)+1,2)+1)=4,2,IF((WEEKNUM(EOMONTH(H8,0),2)-WEEKNUM(EOMONTH(H8,-1)+1,2)+1)=5,3,IF((WEEKNUM(EOMONTH(H8,0),2)-WEEKNUM(EOMONTH(H8,-1)+1,2)+1)=6,4,0))),0)</f>
        <v>0.12</v>
      </c>
      <c r="J8" s="0" t="n">
        <f aca="false">WEEKNUM(ProyDia[[#This Row],[Día]],2)</f>
        <v>36</v>
      </c>
      <c r="K8" s="0" t="n">
        <v>2019</v>
      </c>
      <c r="L8" s="2" t="n">
        <f aca="false">WEEKDAY(ProyDia[[#This Row],[Día]],2)</f>
        <v>6</v>
      </c>
      <c r="M8" s="0" t="n">
        <f aca="false">VLOOKUP(ProyDia[[#This Row],[Cálculo02]],Dia[],3,0)</f>
        <v>0.25</v>
      </c>
      <c r="N8" s="0" t="n">
        <f aca="false">ProyDia[[#This Row],[Cálculo 01]]*ProyDia[[#This Row],[Pondera Día]]</f>
        <v>0.03</v>
      </c>
      <c r="O8" s="12" t="n">
        <f aca="false">ProyDia[[#This Row],[Calculo03]]/SUMIFS(ProyDia[Calculo03],ProyDia[Día],"&gt;="&amp;EOMONTH(ProyDia[[#This Row],[Día]],-1)+1,ProyDia[Día],"&lt;="&amp;EOMONTH(ProyDia[[#This Row],[Día]],0))</f>
        <v>0.0493664637156492</v>
      </c>
      <c r="P8" s="2" t="n">
        <f aca="false">ProyDia[[#This Row],[Peso Día Final]]*7754000</f>
        <v>382787.559651144</v>
      </c>
    </row>
    <row r="9" customFormat="false" ht="14.4" hidden="false" customHeight="false" outlineLevel="0" collapsed="false">
      <c r="A9" s="7" t="n">
        <v>43824</v>
      </c>
      <c r="H9" s="10" t="n">
        <v>43716</v>
      </c>
      <c r="I9" s="11" t="n">
        <f aca="false">VLOOKUP(WEEKNUM(ProyDia[[#This Row],[Día]],2)-WEEKNUM(EOMONTH(ProyDia[[#This Row],[Día]],-1)+1,2)+1,Semana[],IF((WEEKNUM(EOMONTH(H9,0),2)-WEEKNUM(EOMONTH(H9,-1)+1,2)+1)=4,2,IF((WEEKNUM(EOMONTH(H9,0),2)-WEEKNUM(EOMONTH(H9,-1)+1,2)+1)=5,3,IF((WEEKNUM(EOMONTH(H9,0),2)-WEEKNUM(EOMONTH(H9,-1)+1,2)+1)=6,4,0))),0)</f>
        <v>0.12</v>
      </c>
      <c r="J9" s="0" t="n">
        <f aca="false">WEEKNUM(ProyDia[[#This Row],[Día]],2)</f>
        <v>36</v>
      </c>
      <c r="K9" s="0" t="n">
        <v>2019</v>
      </c>
      <c r="L9" s="2" t="n">
        <f aca="false">WEEKDAY(ProyDia[[#This Row],[Día]],2)</f>
        <v>7</v>
      </c>
      <c r="M9" s="0" t="n">
        <f aca="false">VLOOKUP(ProyDia[[#This Row],[Cálculo02]],Dia[],3,0)</f>
        <v>0.15</v>
      </c>
      <c r="N9" s="0" t="n">
        <f aca="false">ProyDia[[#This Row],[Cálculo 01]]*ProyDia[[#This Row],[Pondera Día]]</f>
        <v>0.018</v>
      </c>
      <c r="O9" s="12" t="n">
        <f aca="false">ProyDia[[#This Row],[Calculo03]]/SUMIFS(ProyDia[Calculo03],ProyDia[Día],"&gt;="&amp;EOMONTH(ProyDia[[#This Row],[Día]],-1)+1,ProyDia[Día],"&lt;="&amp;EOMONTH(ProyDia[[#This Row],[Día]],0))</f>
        <v>0.0296198782293895</v>
      </c>
      <c r="P9" s="2" t="n">
        <f aca="false">ProyDia[[#This Row],[Peso Día Final]]*7754000</f>
        <v>229672.535790686</v>
      </c>
    </row>
    <row r="10" customFormat="false" ht="14.4" hidden="false" customHeight="false" outlineLevel="0" collapsed="false">
      <c r="A10" s="7" t="n">
        <v>43831</v>
      </c>
      <c r="C10" s="4" t="s">
        <v>12</v>
      </c>
      <c r="D10" s="3" t="s">
        <v>13</v>
      </c>
      <c r="E10" s="3" t="s">
        <v>14</v>
      </c>
      <c r="F10" s="3" t="s">
        <v>15</v>
      </c>
      <c r="H10" s="10" t="n">
        <v>43717</v>
      </c>
      <c r="I10" s="11" t="n">
        <f aca="false">VLOOKUP(WEEKNUM(ProyDia[[#This Row],[Día]],2)-WEEKNUM(EOMONTH(ProyDia[[#This Row],[Día]],-1)+1,2)+1,Semana[],IF((WEEKNUM(EOMONTH(H10,0),2)-WEEKNUM(EOMONTH(H10,-1)+1,2)+1)=4,2,IF((WEEKNUM(EOMONTH(H10,0),2)-WEEKNUM(EOMONTH(H10,-1)+1,2)+1)=5,3,IF((WEEKNUM(EOMONTH(H10,0),2)-WEEKNUM(EOMONTH(H10,-1)+1,2)+1)=6,4,0))),0)</f>
        <v>0.16</v>
      </c>
      <c r="J10" s="0" t="n">
        <f aca="false">WEEKNUM(ProyDia[[#This Row],[Día]],2)</f>
        <v>37</v>
      </c>
      <c r="K10" s="0" t="n">
        <v>2019</v>
      </c>
      <c r="L10" s="2" t="n">
        <f aca="false">WEEKDAY(ProyDia[[#This Row],[Día]],2)</f>
        <v>1</v>
      </c>
      <c r="M10" s="0" t="n">
        <f aca="false">VLOOKUP(ProyDia[[#This Row],[Cálculo02]],Dia[],3,0)</f>
        <v>0.1</v>
      </c>
      <c r="N10" s="0" t="n">
        <f aca="false">ProyDia[[#This Row],[Cálculo 01]]*ProyDia[[#This Row],[Pondera Día]]</f>
        <v>0.016</v>
      </c>
      <c r="O10" s="12" t="n">
        <f aca="false">ProyDia[[#This Row],[Calculo03]]/SUMIFS(ProyDia[Calculo03],ProyDia[Día],"&gt;="&amp;EOMONTH(ProyDia[[#This Row],[Día]],-1)+1,ProyDia[Día],"&lt;="&amp;EOMONTH(ProyDia[[#This Row],[Día]],0))</f>
        <v>0.0263287806483462</v>
      </c>
      <c r="P10" s="2" t="n">
        <f aca="false">ProyDia[[#This Row],[Peso Día Final]]*7754000</f>
        <v>204153.365147277</v>
      </c>
    </row>
    <row r="11" customFormat="false" ht="14.4" hidden="false" customHeight="false" outlineLevel="0" collapsed="false">
      <c r="A11" s="7" t="n">
        <v>43931</v>
      </c>
      <c r="C11" s="1" t="n">
        <v>1</v>
      </c>
      <c r="D11" s="13" t="n">
        <v>0.32</v>
      </c>
      <c r="E11" s="13" t="n">
        <v>0.28</v>
      </c>
      <c r="F11" s="13" t="n">
        <v>0.25</v>
      </c>
      <c r="H11" s="10" t="n">
        <v>43718</v>
      </c>
      <c r="I11" s="11" t="n">
        <f aca="false">VLOOKUP(WEEKNUM(ProyDia[[#This Row],[Día]],2)-WEEKNUM(EOMONTH(ProyDia[[#This Row],[Día]],-1)+1,2)+1,Semana[],IF((WEEKNUM(EOMONTH(H11,0),2)-WEEKNUM(EOMONTH(H11,-1)+1,2)+1)=4,2,IF((WEEKNUM(EOMONTH(H11,0),2)-WEEKNUM(EOMONTH(H11,-1)+1,2)+1)=5,3,IF((WEEKNUM(EOMONTH(H11,0),2)-WEEKNUM(EOMONTH(H11,-1)+1,2)+1)=6,4,0))),0)</f>
        <v>0.16</v>
      </c>
      <c r="J11" s="0" t="n">
        <f aca="false">WEEKNUM(ProyDia[[#This Row],[Día]],2)</f>
        <v>37</v>
      </c>
      <c r="K11" s="0" t="n">
        <v>2019</v>
      </c>
      <c r="L11" s="2" t="n">
        <f aca="false">WEEKDAY(ProyDia[[#This Row],[Día]],2)</f>
        <v>2</v>
      </c>
      <c r="M11" s="0" t="n">
        <f aca="false">VLOOKUP(ProyDia[[#This Row],[Cálculo02]],Dia[],3,0)</f>
        <v>0.1</v>
      </c>
      <c r="N11" s="0" t="n">
        <f aca="false">ProyDia[[#This Row],[Cálculo 01]]*ProyDia[[#This Row],[Pondera Día]]</f>
        <v>0.016</v>
      </c>
      <c r="O11" s="12" t="n">
        <f aca="false">ProyDia[[#This Row],[Calculo03]]/SUMIFS(ProyDia[Calculo03],ProyDia[Día],"&gt;="&amp;EOMONTH(ProyDia[[#This Row],[Día]],-1)+1,ProyDia[Día],"&lt;="&amp;EOMONTH(ProyDia[[#This Row],[Día]],0))</f>
        <v>0.0263287806483462</v>
      </c>
      <c r="P11" s="2" t="n">
        <f aca="false">ProyDia[[#This Row],[Peso Día Final]]*7754000</f>
        <v>204153.365147277</v>
      </c>
    </row>
    <row r="12" customFormat="false" ht="14.4" hidden="false" customHeight="false" outlineLevel="0" collapsed="false">
      <c r="A12" s="7" t="n">
        <v>43932</v>
      </c>
      <c r="C12" s="1" t="n">
        <v>2</v>
      </c>
      <c r="D12" s="13" t="n">
        <v>0.2</v>
      </c>
      <c r="E12" s="13" t="n">
        <v>0.15</v>
      </c>
      <c r="F12" s="13" t="n">
        <v>0.12</v>
      </c>
      <c r="H12" s="10" t="n">
        <v>43719</v>
      </c>
      <c r="I12" s="11" t="n">
        <f aca="false">VLOOKUP(WEEKNUM(ProyDia[[#This Row],[Día]],2)-WEEKNUM(EOMONTH(ProyDia[[#This Row],[Día]],-1)+1,2)+1,Semana[],IF((WEEKNUM(EOMONTH(H12,0),2)-WEEKNUM(EOMONTH(H12,-1)+1,2)+1)=4,2,IF((WEEKNUM(EOMONTH(H12,0),2)-WEEKNUM(EOMONTH(H12,-1)+1,2)+1)=5,3,IF((WEEKNUM(EOMONTH(H12,0),2)-WEEKNUM(EOMONTH(H12,-1)+1,2)+1)=6,4,0))),0)</f>
        <v>0.16</v>
      </c>
      <c r="J12" s="0" t="n">
        <f aca="false">WEEKNUM(ProyDia[[#This Row],[Día]],2)</f>
        <v>37</v>
      </c>
      <c r="K12" s="0" t="n">
        <v>2019</v>
      </c>
      <c r="L12" s="2" t="n">
        <f aca="false">WEEKDAY(ProyDia[[#This Row],[Día]],2)</f>
        <v>3</v>
      </c>
      <c r="M12" s="0" t="n">
        <v>0.06</v>
      </c>
      <c r="N12" s="0" t="n">
        <f aca="false">ProyDia[[#This Row],[Cálculo 01]]*ProyDia[[#This Row],[Pondera Día]]</f>
        <v>0.0096</v>
      </c>
      <c r="O12" s="12" t="n">
        <f aca="false">ProyDia[[#This Row],[Calculo03]]/SUMIFS(ProyDia[Calculo03],ProyDia[Día],"&gt;="&amp;EOMONTH(ProyDia[[#This Row],[Día]],-1)+1,ProyDia[Día],"&lt;="&amp;EOMONTH(ProyDia[[#This Row],[Día]],0))</f>
        <v>0.0157972683890077</v>
      </c>
      <c r="P12" s="2" t="n">
        <f aca="false">ProyDia[[#This Row],[Peso Día Final]]*7754000</f>
        <v>122492.019088366</v>
      </c>
    </row>
    <row r="13" customFormat="false" ht="14.4" hidden="false" customHeight="false" outlineLevel="0" collapsed="false">
      <c r="A13" s="7" t="n">
        <v>43952</v>
      </c>
      <c r="C13" s="1" t="n">
        <v>3</v>
      </c>
      <c r="D13" s="13" t="n">
        <v>0.23</v>
      </c>
      <c r="E13" s="13" t="n">
        <v>0.15</v>
      </c>
      <c r="F13" s="13" t="n">
        <v>0.16</v>
      </c>
      <c r="H13" s="10" t="n">
        <v>43720</v>
      </c>
      <c r="I13" s="11" t="n">
        <f aca="false">VLOOKUP(WEEKNUM(ProyDia[[#This Row],[Día]],2)-WEEKNUM(EOMONTH(ProyDia[[#This Row],[Día]],-1)+1,2)+1,Semana[],IF((WEEKNUM(EOMONTH(H13,0),2)-WEEKNUM(EOMONTH(H13,-1)+1,2)+1)=4,2,IF((WEEKNUM(EOMONTH(H13,0),2)-WEEKNUM(EOMONTH(H13,-1)+1,2)+1)=5,3,IF((WEEKNUM(EOMONTH(H13,0),2)-WEEKNUM(EOMONTH(H13,-1)+1,2)+1)=6,4,0))),0)</f>
        <v>0.16</v>
      </c>
      <c r="J13" s="0" t="n">
        <f aca="false">WEEKNUM(ProyDia[[#This Row],[Día]],2)</f>
        <v>37</v>
      </c>
      <c r="K13" s="0" t="n">
        <v>2019</v>
      </c>
      <c r="L13" s="2" t="n">
        <f aca="false">WEEKDAY(ProyDia[[#This Row],[Día]],2)</f>
        <v>4</v>
      </c>
      <c r="M13" s="0" t="n">
        <f aca="false">VLOOKUP(ProyDia[[#This Row],[Cálculo02]],Dia[],3,0)</f>
        <v>0.1</v>
      </c>
      <c r="N13" s="0" t="n">
        <f aca="false">ProyDia[[#This Row],[Cálculo 01]]*ProyDia[[#This Row],[Pondera Día]]</f>
        <v>0.016</v>
      </c>
      <c r="O13" s="12" t="n">
        <f aca="false">ProyDia[[#This Row],[Calculo03]]/SUMIFS(ProyDia[Calculo03],ProyDia[Día],"&gt;="&amp;EOMONTH(ProyDia[[#This Row],[Día]],-1)+1,ProyDia[Día],"&lt;="&amp;EOMONTH(ProyDia[[#This Row],[Día]],0))</f>
        <v>0.0263287806483462</v>
      </c>
      <c r="P13" s="2" t="n">
        <f aca="false">ProyDia[[#This Row],[Peso Día Final]]*7754000</f>
        <v>204153.365147277</v>
      </c>
    </row>
    <row r="14" customFormat="false" ht="14.4" hidden="false" customHeight="false" outlineLevel="0" collapsed="false">
      <c r="A14" s="7" t="n">
        <v>43972</v>
      </c>
      <c r="C14" s="1" t="n">
        <v>4</v>
      </c>
      <c r="D14" s="13" t="n">
        <v>0.25</v>
      </c>
      <c r="E14" s="13" t="n">
        <v>0.2</v>
      </c>
      <c r="F14" s="13" t="n">
        <v>0.2</v>
      </c>
      <c r="H14" s="10" t="n">
        <v>43721</v>
      </c>
      <c r="I14" s="11" t="n">
        <f aca="false">VLOOKUP(WEEKNUM(ProyDia[[#This Row],[Día]],2)-WEEKNUM(EOMONTH(ProyDia[[#This Row],[Día]],-1)+1,2)+1,Semana[],IF((WEEKNUM(EOMONTH(H14,0),2)-WEEKNUM(EOMONTH(H14,-1)+1,2)+1)=4,2,IF((WEEKNUM(EOMONTH(H14,0),2)-WEEKNUM(EOMONTH(H14,-1)+1,2)+1)=5,3,IF((WEEKNUM(EOMONTH(H14,0),2)-WEEKNUM(EOMONTH(H14,-1)+1,2)+1)=6,4,0))),0)</f>
        <v>0.16</v>
      </c>
      <c r="J14" s="0" t="n">
        <f aca="false">WEEKNUM(ProyDia[[#This Row],[Día]],2)</f>
        <v>37</v>
      </c>
      <c r="K14" s="0" t="n">
        <v>2019</v>
      </c>
      <c r="L14" s="2" t="n">
        <f aca="false">WEEKDAY(ProyDia[[#This Row],[Día]],2)</f>
        <v>5</v>
      </c>
      <c r="M14" s="0" t="n">
        <f aca="false">VLOOKUP(ProyDia[[#This Row],[Cálculo02]],Dia[],3,0)</f>
        <v>0.2</v>
      </c>
      <c r="N14" s="0" t="n">
        <f aca="false">ProyDia[[#This Row],[Cálculo 01]]*ProyDia[[#This Row],[Pondera Día]]</f>
        <v>0.032</v>
      </c>
      <c r="O14" s="12" t="n">
        <f aca="false">ProyDia[[#This Row],[Calculo03]]/SUMIFS(ProyDia[Calculo03],ProyDia[Día],"&gt;="&amp;EOMONTH(ProyDia[[#This Row],[Día]],-1)+1,ProyDia[Día],"&lt;="&amp;EOMONTH(ProyDia[[#This Row],[Día]],0))</f>
        <v>0.0526575612966924</v>
      </c>
      <c r="P14" s="2" t="n">
        <f aca="false">ProyDia[[#This Row],[Peso Día Final]]*7754000</f>
        <v>408306.730294553</v>
      </c>
    </row>
    <row r="15" customFormat="false" ht="14.4" hidden="false" customHeight="false" outlineLevel="0" collapsed="false">
      <c r="A15" s="7" t="n">
        <v>44011</v>
      </c>
      <c r="C15" s="1" t="n">
        <v>5</v>
      </c>
      <c r="D15" s="13"/>
      <c r="E15" s="13" t="n">
        <v>0.22</v>
      </c>
      <c r="F15" s="13" t="n">
        <v>0.22</v>
      </c>
      <c r="H15" s="10" t="n">
        <v>43722</v>
      </c>
      <c r="I15" s="11" t="n">
        <f aca="false">VLOOKUP(WEEKNUM(ProyDia[[#This Row],[Día]],2)-WEEKNUM(EOMONTH(ProyDia[[#This Row],[Día]],-1)+1,2)+1,Semana[],IF((WEEKNUM(EOMONTH(H15,0),2)-WEEKNUM(EOMONTH(H15,-1)+1,2)+1)=4,2,IF((WEEKNUM(EOMONTH(H15,0),2)-WEEKNUM(EOMONTH(H15,-1)+1,2)+1)=5,3,IF((WEEKNUM(EOMONTH(H15,0),2)-WEEKNUM(EOMONTH(H15,-1)+1,2)+1)=6,4,0))),0)</f>
        <v>0.16</v>
      </c>
      <c r="J15" s="0" t="n">
        <f aca="false">WEEKNUM(ProyDia[[#This Row],[Día]],2)</f>
        <v>37</v>
      </c>
      <c r="K15" s="0" t="n">
        <v>2019</v>
      </c>
      <c r="L15" s="2" t="n">
        <f aca="false">WEEKDAY(ProyDia[[#This Row],[Día]],2)</f>
        <v>6</v>
      </c>
      <c r="M15" s="0" t="n">
        <f aca="false">VLOOKUP(ProyDia[[#This Row],[Cálculo02]],Dia[],3,0)</f>
        <v>0.25</v>
      </c>
      <c r="N15" s="0" t="n">
        <f aca="false">ProyDia[[#This Row],[Cálculo 01]]*ProyDia[[#This Row],[Pondera Día]]</f>
        <v>0.04</v>
      </c>
      <c r="O15" s="12" t="n">
        <f aca="false">ProyDia[[#This Row],[Calculo03]]/SUMIFS(ProyDia[Calculo03],ProyDia[Día],"&gt;="&amp;EOMONTH(ProyDia[[#This Row],[Día]],-1)+1,ProyDia[Día],"&lt;="&amp;EOMONTH(ProyDia[[#This Row],[Día]],0))</f>
        <v>0.0658219516208655</v>
      </c>
      <c r="P15" s="2" t="n">
        <f aca="false">ProyDia[[#This Row],[Peso Día Final]]*7754000</f>
        <v>510383.412868191</v>
      </c>
    </row>
    <row r="16" customFormat="false" ht="14.4" hidden="false" customHeight="false" outlineLevel="0" collapsed="false">
      <c r="A16" s="7" t="n">
        <v>44028</v>
      </c>
      <c r="C16" s="1" t="n">
        <v>6</v>
      </c>
      <c r="D16" s="13"/>
      <c r="E16" s="13"/>
      <c r="F16" s="13" t="n">
        <v>0.05</v>
      </c>
      <c r="H16" s="10" t="n">
        <v>43723</v>
      </c>
      <c r="I16" s="11" t="n">
        <f aca="false">VLOOKUP(WEEKNUM(ProyDia[[#This Row],[Día]],2)-WEEKNUM(EOMONTH(ProyDia[[#This Row],[Día]],-1)+1,2)+1,Semana[],IF((WEEKNUM(EOMONTH(H16,0),2)-WEEKNUM(EOMONTH(H16,-1)+1,2)+1)=4,2,IF((WEEKNUM(EOMONTH(H16,0),2)-WEEKNUM(EOMONTH(H16,-1)+1,2)+1)=5,3,IF((WEEKNUM(EOMONTH(H16,0),2)-WEEKNUM(EOMONTH(H16,-1)+1,2)+1)=6,4,0))),0)</f>
        <v>0.16</v>
      </c>
      <c r="J16" s="0" t="n">
        <f aca="false">WEEKNUM(ProyDia[[#This Row],[Día]],2)</f>
        <v>37</v>
      </c>
      <c r="K16" s="0" t="n">
        <v>2019</v>
      </c>
      <c r="L16" s="2" t="n">
        <f aca="false">WEEKDAY(ProyDia[[#This Row],[Día]],2)</f>
        <v>7</v>
      </c>
      <c r="M16" s="0" t="n">
        <f aca="false">VLOOKUP(ProyDia[[#This Row],[Cálculo02]],Dia[],3,0)</f>
        <v>0.15</v>
      </c>
      <c r="N16" s="0" t="n">
        <f aca="false">ProyDia[[#This Row],[Cálculo 01]]*ProyDia[[#This Row],[Pondera Día]]</f>
        <v>0.024</v>
      </c>
      <c r="O16" s="12" t="n">
        <f aca="false">ProyDia[[#This Row],[Calculo03]]/SUMIFS(ProyDia[Calculo03],ProyDia[Día],"&gt;="&amp;EOMONTH(ProyDia[[#This Row],[Día]],-1)+1,ProyDia[Día],"&lt;="&amp;EOMONTH(ProyDia[[#This Row],[Día]],0))</f>
        <v>0.0394931709725193</v>
      </c>
      <c r="P16" s="2" t="n">
        <f aca="false">ProyDia[[#This Row],[Peso Día Final]]*7754000</f>
        <v>306230.047720915</v>
      </c>
    </row>
    <row r="17" customFormat="false" ht="14.4" hidden="false" customHeight="false" outlineLevel="0" collapsed="false">
      <c r="A17" s="7" t="n">
        <v>44058</v>
      </c>
      <c r="C17" s="1" t="s">
        <v>16</v>
      </c>
      <c r="D17" s="13" t="n">
        <f aca="false">SUBTOTAL(109,Semana[4 SEMANAS])</f>
        <v>1</v>
      </c>
      <c r="E17" s="13" t="n">
        <f aca="false">SUBTOTAL(109,Semana[5 SEMANANAS])</f>
        <v>1</v>
      </c>
      <c r="F17" s="13" t="n">
        <f aca="false">SUBTOTAL(109,Semana[6 SEMANAS])</f>
        <v>1</v>
      </c>
      <c r="H17" s="10" t="n">
        <v>43724</v>
      </c>
      <c r="I17" s="11" t="n">
        <f aca="false">VLOOKUP(WEEKNUM(ProyDia[[#This Row],[Día]],2)-WEEKNUM(EOMONTH(ProyDia[[#This Row],[Día]],-1)+1,2)+1,Semana[],IF((WEEKNUM(EOMONTH(H17,0),2)-WEEKNUM(EOMONTH(H17,-1)+1,2)+1)=4,2,IF((WEEKNUM(EOMONTH(H17,0),2)-WEEKNUM(EOMONTH(H17,-1)+1,2)+1)=5,3,IF((WEEKNUM(EOMONTH(H17,0),2)-WEEKNUM(EOMONTH(H17,-1)+1,2)+1)=6,4,0))),0)</f>
        <v>0.2</v>
      </c>
      <c r="J17" s="0" t="n">
        <f aca="false">WEEKNUM(ProyDia[[#This Row],[Día]],2)</f>
        <v>38</v>
      </c>
      <c r="K17" s="0" t="n">
        <v>2019</v>
      </c>
      <c r="L17" s="2" t="n">
        <f aca="false">WEEKDAY(ProyDia[[#This Row],[Día]],2)</f>
        <v>1</v>
      </c>
      <c r="M17" s="0" t="n">
        <f aca="false">VLOOKUP(ProyDia[[#This Row],[Cálculo02]],Dia[],3,0)</f>
        <v>0.1</v>
      </c>
      <c r="N17" s="0" t="n">
        <f aca="false">ProyDia[[#This Row],[Cálculo 01]]*ProyDia[[#This Row],[Pondera Día]]</f>
        <v>0.02</v>
      </c>
      <c r="O17" s="12" t="n">
        <f aca="false">ProyDia[[#This Row],[Calculo03]]/SUMIFS(ProyDia[Calculo03],ProyDia[Día],"&gt;="&amp;EOMONTH(ProyDia[[#This Row],[Día]],-1)+1,ProyDia[Día],"&lt;="&amp;EOMONTH(ProyDia[[#This Row],[Día]],0))</f>
        <v>0.0329109758104328</v>
      </c>
      <c r="P17" s="2" t="n">
        <f aca="false">ProyDia[[#This Row],[Peso Día Final]]*7754000</f>
        <v>255191.706434096</v>
      </c>
    </row>
    <row r="18" customFormat="false" ht="14.4" hidden="false" customHeight="false" outlineLevel="0" collapsed="false">
      <c r="A18" s="7" t="n">
        <v>44092</v>
      </c>
      <c r="H18" s="10" t="n">
        <v>43725</v>
      </c>
      <c r="I18" s="11" t="n">
        <f aca="false">VLOOKUP(WEEKNUM(ProyDia[[#This Row],[Día]],2)-WEEKNUM(EOMONTH(ProyDia[[#This Row],[Día]],-1)+1,2)+1,Semana[],IF((WEEKNUM(EOMONTH(H18,0),2)-WEEKNUM(EOMONTH(H18,-1)+1,2)+1)=4,2,IF((WEEKNUM(EOMONTH(H18,0),2)-WEEKNUM(EOMONTH(H18,-1)+1,2)+1)=5,3,IF((WEEKNUM(EOMONTH(H18,0),2)-WEEKNUM(EOMONTH(H18,-1)+1,2)+1)=6,4,0))),0)</f>
        <v>0.2</v>
      </c>
      <c r="J18" s="0" t="n">
        <f aca="false">WEEKNUM(ProyDia[[#This Row],[Día]],2)</f>
        <v>38</v>
      </c>
      <c r="K18" s="0" t="n">
        <v>2019</v>
      </c>
      <c r="L18" s="2" t="n">
        <f aca="false">WEEKDAY(ProyDia[[#This Row],[Día]],2)</f>
        <v>2</v>
      </c>
      <c r="M18" s="0" t="n">
        <f aca="false">VLOOKUP(ProyDia[[#This Row],[Cálculo02]],Dia[],3,0)</f>
        <v>0.1</v>
      </c>
      <c r="N18" s="0" t="n">
        <f aca="false">ProyDia[[#This Row],[Cálculo 01]]*ProyDia[[#This Row],[Pondera Día]]</f>
        <v>0.02</v>
      </c>
      <c r="O18" s="12" t="n">
        <f aca="false">ProyDia[[#This Row],[Calculo03]]/SUMIFS(ProyDia[Calculo03],ProyDia[Día],"&gt;="&amp;EOMONTH(ProyDia[[#This Row],[Día]],-1)+1,ProyDia[Día],"&lt;="&amp;EOMONTH(ProyDia[[#This Row],[Día]],0))</f>
        <v>0.0329109758104328</v>
      </c>
      <c r="P18" s="2" t="n">
        <f aca="false">ProyDia[[#This Row],[Peso Día Final]]*7754000</f>
        <v>255191.706434096</v>
      </c>
    </row>
    <row r="19" customFormat="false" ht="14.4" hidden="false" customHeight="false" outlineLevel="0" collapsed="false">
      <c r="A19" s="7" t="n">
        <v>44093</v>
      </c>
      <c r="H19" s="10" t="n">
        <v>43726</v>
      </c>
      <c r="I19" s="11" t="n">
        <f aca="false">VLOOKUP(WEEKNUM(ProyDia[[#This Row],[Día]],2)-WEEKNUM(EOMONTH(ProyDia[[#This Row],[Día]],-1)+1,2)+1,Semana[],IF((WEEKNUM(EOMONTH(H19,0),2)-WEEKNUM(EOMONTH(H19,-1)+1,2)+1)=4,2,IF((WEEKNUM(EOMONTH(H19,0),2)-WEEKNUM(EOMONTH(H19,-1)+1,2)+1)=5,3,IF((WEEKNUM(EOMONTH(H19,0),2)-WEEKNUM(EOMONTH(H19,-1)+1,2)+1)=6,4,0))),0)</f>
        <v>0.2</v>
      </c>
      <c r="J19" s="0" t="n">
        <f aca="false">WEEKNUM(ProyDia[[#This Row],[Día]],2)</f>
        <v>38</v>
      </c>
      <c r="K19" s="0" t="n">
        <v>2019</v>
      </c>
      <c r="L19" s="2" t="n">
        <f aca="false">WEEKDAY(ProyDia[[#This Row],[Día]],2)</f>
        <v>3</v>
      </c>
      <c r="N19" s="0" t="n">
        <f aca="false">ProyDia[[#This Row],[Cálculo 01]]*ProyDia[[#This Row],[Pondera Día]]</f>
        <v>0</v>
      </c>
      <c r="O19" s="12" t="n">
        <f aca="false">ProyDia[[#This Row],[Calculo03]]/SUMIFS(ProyDia[Calculo03],ProyDia[Día],"&gt;="&amp;EOMONTH(ProyDia[[#This Row],[Día]],-1)+1,ProyDia[Día],"&lt;="&amp;EOMONTH(ProyDia[[#This Row],[Día]],0))</f>
        <v>0</v>
      </c>
      <c r="P19" s="2" t="n">
        <f aca="false">ProyDia[[#This Row],[Peso Día Final]]*7754000</f>
        <v>0</v>
      </c>
    </row>
    <row r="20" customFormat="false" ht="14.4" hidden="false" customHeight="false" outlineLevel="0" collapsed="false">
      <c r="H20" s="10" t="n">
        <v>43727</v>
      </c>
      <c r="I20" s="11" t="n">
        <f aca="false">VLOOKUP(WEEKNUM(ProyDia[[#This Row],[Día]],2)-WEEKNUM(EOMONTH(ProyDia[[#This Row],[Día]],-1)+1,2)+1,Semana[],IF((WEEKNUM(EOMONTH(H20,0),2)-WEEKNUM(EOMONTH(H20,-1)+1,2)+1)=4,2,IF((WEEKNUM(EOMONTH(H20,0),2)-WEEKNUM(EOMONTH(H20,-1)+1,2)+1)=5,3,IF((WEEKNUM(EOMONTH(H20,0),2)-WEEKNUM(EOMONTH(H20,-1)+1,2)+1)=6,4,0))),0)</f>
        <v>0.2</v>
      </c>
      <c r="J20" s="0" t="n">
        <f aca="false">WEEKNUM(ProyDia[[#This Row],[Día]],2)</f>
        <v>38</v>
      </c>
      <c r="K20" s="0" t="n">
        <v>2019</v>
      </c>
      <c r="L20" s="2" t="n">
        <f aca="false">WEEKDAY(ProyDia[[#This Row],[Día]],2)</f>
        <v>4</v>
      </c>
      <c r="N20" s="0" t="n">
        <f aca="false">ProyDia[[#This Row],[Cálculo 01]]*ProyDia[[#This Row],[Pondera Día]]</f>
        <v>0</v>
      </c>
      <c r="O20" s="12" t="n">
        <f aca="false">ProyDia[[#This Row],[Calculo03]]/SUMIFS(ProyDia[Calculo03],ProyDia[Día],"&gt;="&amp;EOMONTH(ProyDia[[#This Row],[Día]],-1)+1,ProyDia[Día],"&lt;="&amp;EOMONTH(ProyDia[[#This Row],[Día]],0))</f>
        <v>0</v>
      </c>
      <c r="P20" s="2" t="n">
        <f aca="false">ProyDia[[#This Row],[Peso Día Final]]*7754000</f>
        <v>0</v>
      </c>
    </row>
    <row r="21" customFormat="false" ht="14.4" hidden="false" customHeight="false" outlineLevel="0" collapsed="false">
      <c r="H21" s="10" t="n">
        <v>43728</v>
      </c>
      <c r="I21" s="11" t="n">
        <f aca="false">VLOOKUP(WEEKNUM(ProyDia[[#This Row],[Día]],2)-WEEKNUM(EOMONTH(ProyDia[[#This Row],[Día]],-1)+1,2)+1,Semana[],IF((WEEKNUM(EOMONTH(H21,0),2)-WEEKNUM(EOMONTH(H21,-1)+1,2)+1)=4,2,IF((WEEKNUM(EOMONTH(H21,0),2)-WEEKNUM(EOMONTH(H21,-1)+1,2)+1)=5,3,IF((WEEKNUM(EOMONTH(H21,0),2)-WEEKNUM(EOMONTH(H21,-1)+1,2)+1)=6,4,0))),0)</f>
        <v>0.2</v>
      </c>
      <c r="J21" s="0" t="n">
        <f aca="false">WEEKNUM(ProyDia[[#This Row],[Día]],2)</f>
        <v>38</v>
      </c>
      <c r="K21" s="0" t="n">
        <v>2019</v>
      </c>
      <c r="L21" s="2" t="n">
        <f aca="false">WEEKDAY(ProyDia[[#This Row],[Día]],2)</f>
        <v>5</v>
      </c>
      <c r="M21" s="0" t="n">
        <v>0.15</v>
      </c>
      <c r="N21" s="0" t="n">
        <f aca="false">ProyDia[[#This Row],[Cálculo 01]]*ProyDia[[#This Row],[Pondera Día]]</f>
        <v>0.03</v>
      </c>
      <c r="O21" s="12" t="n">
        <f aca="false">ProyDia[[#This Row],[Calculo03]]/SUMIFS(ProyDia[Calculo03],ProyDia[Día],"&gt;="&amp;EOMONTH(ProyDia[[#This Row],[Día]],-1)+1,ProyDia[Día],"&lt;="&amp;EOMONTH(ProyDia[[#This Row],[Día]],0))</f>
        <v>0.0493664637156492</v>
      </c>
      <c r="P21" s="2" t="n">
        <f aca="false">ProyDia[[#This Row],[Peso Día Final]]*7754000</f>
        <v>382787.559651144</v>
      </c>
    </row>
    <row r="22" customFormat="false" ht="14.4" hidden="false" customHeight="false" outlineLevel="0" collapsed="false">
      <c r="H22" s="10" t="n">
        <v>43729</v>
      </c>
      <c r="I22" s="11" t="n">
        <f aca="false">VLOOKUP(WEEKNUM(ProyDia[[#This Row],[Día]],2)-WEEKNUM(EOMONTH(ProyDia[[#This Row],[Día]],-1)+1,2)+1,Semana[],IF((WEEKNUM(EOMONTH(H22,0),2)-WEEKNUM(EOMONTH(H22,-1)+1,2)+1)=4,2,IF((WEEKNUM(EOMONTH(H22,0),2)-WEEKNUM(EOMONTH(H22,-1)+1,2)+1)=5,3,IF((WEEKNUM(EOMONTH(H22,0),2)-WEEKNUM(EOMONTH(H22,-1)+1,2)+1)=6,4,0))),0)</f>
        <v>0.2</v>
      </c>
      <c r="J22" s="0" t="n">
        <f aca="false">WEEKNUM(ProyDia[[#This Row],[Día]],2)</f>
        <v>38</v>
      </c>
      <c r="K22" s="0" t="n">
        <v>2019</v>
      </c>
      <c r="L22" s="2" t="n">
        <f aca="false">WEEKDAY(ProyDia[[#This Row],[Día]],2)</f>
        <v>6</v>
      </c>
      <c r="M22" s="0" t="n">
        <v>0.18</v>
      </c>
      <c r="N22" s="0" t="n">
        <f aca="false">ProyDia[[#This Row],[Cálculo 01]]*ProyDia[[#This Row],[Pondera Día]]</f>
        <v>0.036</v>
      </c>
      <c r="O22" s="12" t="n">
        <f aca="false">ProyDia[[#This Row],[Calculo03]]/SUMIFS(ProyDia[Calculo03],ProyDia[Día],"&gt;="&amp;EOMONTH(ProyDia[[#This Row],[Día]],-1)+1,ProyDia[Día],"&lt;="&amp;EOMONTH(ProyDia[[#This Row],[Día]],0))</f>
        <v>0.059239756458779</v>
      </c>
      <c r="P22" s="2" t="n">
        <f aca="false">ProyDia[[#This Row],[Peso Día Final]]*7754000</f>
        <v>459345.071581372</v>
      </c>
    </row>
    <row r="23" customFormat="false" ht="14.4" hidden="false" customHeight="false" outlineLevel="0" collapsed="false">
      <c r="H23" s="10" t="n">
        <v>43730</v>
      </c>
      <c r="I23" s="11" t="n">
        <f aca="false">VLOOKUP(WEEKNUM(ProyDia[[#This Row],[Día]],2)-WEEKNUM(EOMONTH(ProyDia[[#This Row],[Día]],-1)+1,2)+1,Semana[],IF((WEEKNUM(EOMONTH(H23,0),2)-WEEKNUM(EOMONTH(H23,-1)+1,2)+1)=4,2,IF((WEEKNUM(EOMONTH(H23,0),2)-WEEKNUM(EOMONTH(H23,-1)+1,2)+1)=5,3,IF((WEEKNUM(EOMONTH(H23,0),2)-WEEKNUM(EOMONTH(H23,-1)+1,2)+1)=6,4,0))),0)</f>
        <v>0.2</v>
      </c>
      <c r="J23" s="0" t="n">
        <f aca="false">WEEKNUM(ProyDia[[#This Row],[Día]],2)</f>
        <v>38</v>
      </c>
      <c r="K23" s="0" t="n">
        <v>2019</v>
      </c>
      <c r="L23" s="2" t="n">
        <f aca="false">WEEKDAY(ProyDia[[#This Row],[Día]],2)</f>
        <v>7</v>
      </c>
      <c r="M23" s="0" t="n">
        <v>0.09</v>
      </c>
      <c r="N23" s="0" t="n">
        <f aca="false">ProyDia[[#This Row],[Cálculo 01]]*ProyDia[[#This Row],[Pondera Día]]</f>
        <v>0.018</v>
      </c>
      <c r="O23" s="12" t="n">
        <f aca="false">ProyDia[[#This Row],[Calculo03]]/SUMIFS(ProyDia[Calculo03],ProyDia[Día],"&gt;="&amp;EOMONTH(ProyDia[[#This Row],[Día]],-1)+1,ProyDia[Día],"&lt;="&amp;EOMONTH(ProyDia[[#This Row],[Día]],0))</f>
        <v>0.0296198782293895</v>
      </c>
      <c r="P23" s="2" t="n">
        <f aca="false">ProyDia[[#This Row],[Peso Día Final]]*7754000</f>
        <v>229672.535790686</v>
      </c>
    </row>
    <row r="24" customFormat="false" ht="14.4" hidden="false" customHeight="false" outlineLevel="0" collapsed="false">
      <c r="H24" s="10" t="n">
        <v>43731</v>
      </c>
      <c r="I24" s="11" t="n">
        <f aca="false">VLOOKUP(WEEKNUM(ProyDia[[#This Row],[Día]],2)-WEEKNUM(EOMONTH(ProyDia[[#This Row],[Día]],-1)+1,2)+1,Semana[],IF((WEEKNUM(EOMONTH(H24,0),2)-WEEKNUM(EOMONTH(H24,-1)+1,2)+1)=4,2,IF((WEEKNUM(EOMONTH(H24,0),2)-WEEKNUM(EOMONTH(H24,-1)+1,2)+1)=5,3,IF((WEEKNUM(EOMONTH(H24,0),2)-WEEKNUM(EOMONTH(H24,-1)+1,2)+1)=6,4,0))),0)</f>
        <v>0.22</v>
      </c>
      <c r="J24" s="0" t="n">
        <f aca="false">WEEKNUM(ProyDia[[#This Row],[Día]],2)</f>
        <v>39</v>
      </c>
      <c r="K24" s="0" t="n">
        <v>2019</v>
      </c>
      <c r="L24" s="2" t="n">
        <f aca="false">WEEKDAY(ProyDia[[#This Row],[Día]],2)</f>
        <v>1</v>
      </c>
      <c r="M24" s="0" t="n">
        <f aca="false">VLOOKUP(ProyDia[[#This Row],[Cálculo02]],Dia[],3,0)</f>
        <v>0.1</v>
      </c>
      <c r="N24" s="0" t="n">
        <f aca="false">ProyDia[[#This Row],[Cálculo 01]]*ProyDia[[#This Row],[Pondera Día]]</f>
        <v>0.022</v>
      </c>
      <c r="O24" s="12" t="n">
        <f aca="false">ProyDia[[#This Row],[Calculo03]]/SUMIFS(ProyDia[Calculo03],ProyDia[Día],"&gt;="&amp;EOMONTH(ProyDia[[#This Row],[Día]],-1)+1,ProyDia[Día],"&lt;="&amp;EOMONTH(ProyDia[[#This Row],[Día]],0))</f>
        <v>0.0362020733914761</v>
      </c>
      <c r="P24" s="2" t="n">
        <f aca="false">ProyDia[[#This Row],[Peso Día Final]]*7754000</f>
        <v>280710.877077505</v>
      </c>
    </row>
    <row r="25" customFormat="false" ht="14.4" hidden="false" customHeight="false" outlineLevel="0" collapsed="false">
      <c r="H25" s="10" t="n">
        <v>43732</v>
      </c>
      <c r="I25" s="11" t="n">
        <f aca="false">VLOOKUP(WEEKNUM(ProyDia[[#This Row],[Día]],2)-WEEKNUM(EOMONTH(ProyDia[[#This Row],[Día]],-1)+1,2)+1,Semana[],IF((WEEKNUM(EOMONTH(H25,0),2)-WEEKNUM(EOMONTH(H25,-1)+1,2)+1)=4,2,IF((WEEKNUM(EOMONTH(H25,0),2)-WEEKNUM(EOMONTH(H25,-1)+1,2)+1)=5,3,IF((WEEKNUM(EOMONTH(H25,0),2)-WEEKNUM(EOMONTH(H25,-1)+1,2)+1)=6,4,0))),0)</f>
        <v>0.22</v>
      </c>
      <c r="J25" s="0" t="n">
        <f aca="false">WEEKNUM(ProyDia[[#This Row],[Día]],2)</f>
        <v>39</v>
      </c>
      <c r="K25" s="0" t="n">
        <v>2019</v>
      </c>
      <c r="L25" s="2" t="n">
        <f aca="false">WEEKDAY(ProyDia[[#This Row],[Día]],2)</f>
        <v>2</v>
      </c>
      <c r="M25" s="0" t="n">
        <f aca="false">VLOOKUP(ProyDia[[#This Row],[Cálculo02]],Dia[],3,0)</f>
        <v>0.1</v>
      </c>
      <c r="N25" s="0" t="n">
        <f aca="false">ProyDia[[#This Row],[Cálculo 01]]*ProyDia[[#This Row],[Pondera Día]]</f>
        <v>0.022</v>
      </c>
      <c r="O25" s="12" t="n">
        <f aca="false">ProyDia[[#This Row],[Calculo03]]/SUMIFS(ProyDia[Calculo03],ProyDia[Día],"&gt;="&amp;EOMONTH(ProyDia[[#This Row],[Día]],-1)+1,ProyDia[Día],"&lt;="&amp;EOMONTH(ProyDia[[#This Row],[Día]],0))</f>
        <v>0.0362020733914761</v>
      </c>
      <c r="P25" s="2" t="n">
        <f aca="false">ProyDia[[#This Row],[Peso Día Final]]*7754000</f>
        <v>280710.877077505</v>
      </c>
    </row>
    <row r="26" customFormat="false" ht="14.4" hidden="false" customHeight="false" outlineLevel="0" collapsed="false">
      <c r="H26" s="10" t="n">
        <v>43733</v>
      </c>
      <c r="I26" s="11" t="n">
        <f aca="false">VLOOKUP(WEEKNUM(ProyDia[[#This Row],[Día]],2)-WEEKNUM(EOMONTH(ProyDia[[#This Row],[Día]],-1)+1,2)+1,Semana[],IF((WEEKNUM(EOMONTH(H26,0),2)-WEEKNUM(EOMONTH(H26,-1)+1,2)+1)=4,2,IF((WEEKNUM(EOMONTH(H26,0),2)-WEEKNUM(EOMONTH(H26,-1)+1,2)+1)=5,3,IF((WEEKNUM(EOMONTH(H26,0),2)-WEEKNUM(EOMONTH(H26,-1)+1,2)+1)=6,4,0))),0)</f>
        <v>0.22</v>
      </c>
      <c r="J26" s="0" t="n">
        <f aca="false">WEEKNUM(ProyDia[[#This Row],[Día]],2)</f>
        <v>39</v>
      </c>
      <c r="K26" s="0" t="n">
        <v>2019</v>
      </c>
      <c r="L26" s="2" t="n">
        <f aca="false">WEEKDAY(ProyDia[[#This Row],[Día]],2)</f>
        <v>3</v>
      </c>
      <c r="M26" s="0" t="n">
        <f aca="false">VLOOKUP(ProyDia[[#This Row],[Cálculo02]],Dia[],3,0)</f>
        <v>0.1</v>
      </c>
      <c r="N26" s="0" t="n">
        <f aca="false">ProyDia[[#This Row],[Cálculo 01]]*ProyDia[[#This Row],[Pondera Día]]</f>
        <v>0.022</v>
      </c>
      <c r="O26" s="12" t="n">
        <f aca="false">ProyDia[[#This Row],[Calculo03]]/SUMIFS(ProyDia[Calculo03],ProyDia[Día],"&gt;="&amp;EOMONTH(ProyDia[[#This Row],[Día]],-1)+1,ProyDia[Día],"&lt;="&amp;EOMONTH(ProyDia[[#This Row],[Día]],0))</f>
        <v>0.0362020733914761</v>
      </c>
      <c r="P26" s="2" t="n">
        <f aca="false">ProyDia[[#This Row],[Peso Día Final]]*7754000</f>
        <v>280710.877077505</v>
      </c>
    </row>
    <row r="27" customFormat="false" ht="14.4" hidden="false" customHeight="false" outlineLevel="0" collapsed="false">
      <c r="H27" s="10" t="n">
        <v>43734</v>
      </c>
      <c r="I27" s="11" t="n">
        <f aca="false">VLOOKUP(WEEKNUM(ProyDia[[#This Row],[Día]],2)-WEEKNUM(EOMONTH(ProyDia[[#This Row],[Día]],-1)+1,2)+1,Semana[],IF((WEEKNUM(EOMONTH(H27,0),2)-WEEKNUM(EOMONTH(H27,-1)+1,2)+1)=4,2,IF((WEEKNUM(EOMONTH(H27,0),2)-WEEKNUM(EOMONTH(H27,-1)+1,2)+1)=5,3,IF((WEEKNUM(EOMONTH(H27,0),2)-WEEKNUM(EOMONTH(H27,-1)+1,2)+1)=6,4,0))),0)</f>
        <v>0.22</v>
      </c>
      <c r="J27" s="0" t="n">
        <f aca="false">WEEKNUM(ProyDia[[#This Row],[Día]],2)</f>
        <v>39</v>
      </c>
      <c r="K27" s="0" t="n">
        <v>2019</v>
      </c>
      <c r="L27" s="2" t="n">
        <f aca="false">WEEKDAY(ProyDia[[#This Row],[Día]],2)</f>
        <v>4</v>
      </c>
      <c r="M27" s="0" t="n">
        <f aca="false">VLOOKUP(ProyDia[[#This Row],[Cálculo02]],Dia[],3,0)</f>
        <v>0.1</v>
      </c>
      <c r="N27" s="0" t="n">
        <f aca="false">ProyDia[[#This Row],[Cálculo 01]]*ProyDia[[#This Row],[Pondera Día]]</f>
        <v>0.022</v>
      </c>
      <c r="O27" s="12" t="n">
        <f aca="false">ProyDia[[#This Row],[Calculo03]]/SUMIFS(ProyDia[Calculo03],ProyDia[Día],"&gt;="&amp;EOMONTH(ProyDia[[#This Row],[Día]],-1)+1,ProyDia[Día],"&lt;="&amp;EOMONTH(ProyDia[[#This Row],[Día]],0))</f>
        <v>0.0362020733914761</v>
      </c>
      <c r="P27" s="2" t="n">
        <f aca="false">ProyDia[[#This Row],[Peso Día Final]]*7754000</f>
        <v>280710.877077505</v>
      </c>
    </row>
    <row r="28" customFormat="false" ht="14.4" hidden="false" customHeight="false" outlineLevel="0" collapsed="false">
      <c r="H28" s="10" t="n">
        <v>43735</v>
      </c>
      <c r="I28" s="11" t="n">
        <f aca="false">VLOOKUP(WEEKNUM(ProyDia[[#This Row],[Día]],2)-WEEKNUM(EOMONTH(ProyDia[[#This Row],[Día]],-1)+1,2)+1,Semana[],IF((WEEKNUM(EOMONTH(H28,0),2)-WEEKNUM(EOMONTH(H28,-1)+1,2)+1)=4,2,IF((WEEKNUM(EOMONTH(H28,0),2)-WEEKNUM(EOMONTH(H28,-1)+1,2)+1)=5,3,IF((WEEKNUM(EOMONTH(H28,0),2)-WEEKNUM(EOMONTH(H28,-1)+1,2)+1)=6,4,0))),0)</f>
        <v>0.22</v>
      </c>
      <c r="J28" s="0" t="n">
        <f aca="false">WEEKNUM(ProyDia[[#This Row],[Día]],2)</f>
        <v>39</v>
      </c>
      <c r="K28" s="0" t="n">
        <v>2019</v>
      </c>
      <c r="L28" s="2" t="n">
        <f aca="false">WEEKDAY(ProyDia[[#This Row],[Día]],2)</f>
        <v>5</v>
      </c>
      <c r="M28" s="0" t="n">
        <v>0.16</v>
      </c>
      <c r="N28" s="0" t="n">
        <f aca="false">ProyDia[[#This Row],[Cálculo 01]]*ProyDia[[#This Row],[Pondera Día]]</f>
        <v>0.0352</v>
      </c>
      <c r="O28" s="12" t="n">
        <f aca="false">ProyDia[[#This Row],[Calculo03]]/SUMIFS(ProyDia[Calculo03],ProyDia[Día],"&gt;="&amp;EOMONTH(ProyDia[[#This Row],[Día]],-1)+1,ProyDia[Día],"&lt;="&amp;EOMONTH(ProyDia[[#This Row],[Día]],0))</f>
        <v>0.0579233174263617</v>
      </c>
      <c r="P28" s="2" t="n">
        <f aca="false">ProyDia[[#This Row],[Peso Día Final]]*7754000</f>
        <v>449137.403324009</v>
      </c>
    </row>
    <row r="29" customFormat="false" ht="14.4" hidden="false" customHeight="false" outlineLevel="0" collapsed="false">
      <c r="H29" s="10" t="n">
        <v>43736</v>
      </c>
      <c r="I29" s="11" t="n">
        <f aca="false">VLOOKUP(WEEKNUM(ProyDia[[#This Row],[Día]],2)-WEEKNUM(EOMONTH(ProyDia[[#This Row],[Día]],-1)+1,2)+1,Semana[],IF((WEEKNUM(EOMONTH(H29,0),2)-WEEKNUM(EOMONTH(H29,-1)+1,2)+1)=4,2,IF((WEEKNUM(EOMONTH(H29,0),2)-WEEKNUM(EOMONTH(H29,-1)+1,2)+1)=5,3,IF((WEEKNUM(EOMONTH(H29,0),2)-WEEKNUM(EOMONTH(H29,-1)+1,2)+1)=6,4,0))),0)</f>
        <v>0.22</v>
      </c>
      <c r="J29" s="0" t="n">
        <f aca="false">WEEKNUM(ProyDia[[#This Row],[Día]],2)</f>
        <v>39</v>
      </c>
      <c r="K29" s="0" t="n">
        <v>2019</v>
      </c>
      <c r="L29" s="2" t="n">
        <f aca="false">WEEKDAY(ProyDia[[#This Row],[Día]],2)</f>
        <v>6</v>
      </c>
      <c r="M29" s="0" t="n">
        <v>0.2</v>
      </c>
      <c r="N29" s="0" t="n">
        <f aca="false">ProyDia[[#This Row],[Cálculo 01]]*ProyDia[[#This Row],[Pondera Día]]</f>
        <v>0.044</v>
      </c>
      <c r="O29" s="12" t="n">
        <f aca="false">ProyDia[[#This Row],[Calculo03]]/SUMIFS(ProyDia[Calculo03],ProyDia[Día],"&gt;="&amp;EOMONTH(ProyDia[[#This Row],[Día]],-1)+1,ProyDia[Día],"&lt;="&amp;EOMONTH(ProyDia[[#This Row],[Día]],0))</f>
        <v>0.0724041467829521</v>
      </c>
      <c r="P29" s="2" t="n">
        <f aca="false">ProyDia[[#This Row],[Peso Día Final]]*7754000</f>
        <v>561421.754155011</v>
      </c>
    </row>
    <row r="30" customFormat="false" ht="14.4" hidden="false" customHeight="false" outlineLevel="0" collapsed="false">
      <c r="H30" s="10" t="n">
        <v>43737</v>
      </c>
      <c r="I30" s="11" t="n">
        <f aca="false">VLOOKUP(WEEKNUM(ProyDia[[#This Row],[Día]],2)-WEEKNUM(EOMONTH(ProyDia[[#This Row],[Día]],-1)+1,2)+1,Semana[],IF((WEEKNUM(EOMONTH(H30,0),2)-WEEKNUM(EOMONTH(H30,-1)+1,2)+1)=4,2,IF((WEEKNUM(EOMONTH(H30,0),2)-WEEKNUM(EOMONTH(H30,-1)+1,2)+1)=5,3,IF((WEEKNUM(EOMONTH(H30,0),2)-WEEKNUM(EOMONTH(H30,-1)+1,2)+1)=6,4,0))),0)</f>
        <v>0.22</v>
      </c>
      <c r="J30" s="0" t="n">
        <f aca="false">WEEKNUM(ProyDia[[#This Row],[Día]],2)</f>
        <v>39</v>
      </c>
      <c r="K30" s="0" t="n">
        <v>2019</v>
      </c>
      <c r="L30" s="2" t="n">
        <f aca="false">WEEKDAY(ProyDia[[#This Row],[Día]],2)</f>
        <v>7</v>
      </c>
      <c r="M30" s="0" t="n">
        <v>0.07</v>
      </c>
      <c r="N30" s="0" t="n">
        <f aca="false">ProyDia[[#This Row],[Cálculo 01]]*ProyDia[[#This Row],[Pondera Día]]</f>
        <v>0.0154</v>
      </c>
      <c r="O30" s="12" t="n">
        <f aca="false">ProyDia[[#This Row],[Calculo03]]/SUMIFS(ProyDia[Calculo03],ProyDia[Día],"&gt;="&amp;EOMONTH(ProyDia[[#This Row],[Día]],-1)+1,ProyDia[Día],"&lt;="&amp;EOMONTH(ProyDia[[#This Row],[Día]],0))</f>
        <v>0.0253414513740332</v>
      </c>
      <c r="P30" s="2" t="n">
        <f aca="false">ProyDia[[#This Row],[Peso Día Final]]*7754000</f>
        <v>196497.613954254</v>
      </c>
    </row>
    <row r="31" customFormat="false" ht="14.4" hidden="false" customHeight="false" outlineLevel="0" collapsed="false">
      <c r="H31" s="10" t="n">
        <v>43738</v>
      </c>
      <c r="I31" s="11" t="n">
        <f aca="false">VLOOKUP(WEEKNUM(ProyDia[[#This Row],[Día]],2)-WEEKNUM(EOMONTH(ProyDia[[#This Row],[Día]],-1)+1,2)+1,Semana[],IF((WEEKNUM(EOMONTH(H31,0),2)-WEEKNUM(EOMONTH(H31,-1)+1,2)+1)=4,2,IF((WEEKNUM(EOMONTH(H31,0),2)-WEEKNUM(EOMONTH(H31,-1)+1,2)+1)=5,3,IF((WEEKNUM(EOMONTH(H31,0),2)-WEEKNUM(EOMONTH(H31,-1)+1,2)+1)=6,4,0))),0)</f>
        <v>0.05</v>
      </c>
      <c r="J31" s="0" t="n">
        <f aca="false">WEEKNUM(ProyDia[[#This Row],[Día]],2)</f>
        <v>40</v>
      </c>
      <c r="K31" s="0" t="n">
        <v>2019</v>
      </c>
      <c r="L31" s="2" t="n">
        <f aca="false">WEEKDAY(ProyDia[[#This Row],[Día]],2)</f>
        <v>1</v>
      </c>
      <c r="M31" s="0" t="n">
        <v>0.2</v>
      </c>
      <c r="N31" s="0" t="n">
        <f aca="false">ProyDia[[#This Row],[Cálculo 01]]*ProyDia[[#This Row],[Pondera Día]]</f>
        <v>0.01</v>
      </c>
      <c r="O31" s="12" t="n">
        <f aca="false">ProyDia[[#This Row],[Calculo03]]/SUMIFS(ProyDia[Calculo03],ProyDia[Día],"&gt;="&amp;EOMONTH(ProyDia[[#This Row],[Día]],-1)+1,ProyDia[Día],"&lt;="&amp;EOMONTH(ProyDia[[#This Row],[Día]],0))</f>
        <v>0.0164554879052164</v>
      </c>
      <c r="P31" s="2" t="n">
        <f aca="false">ProyDia[[#This Row],[Peso Día Final]]*7754000</f>
        <v>127595.853217048</v>
      </c>
    </row>
    <row r="32" customFormat="false" ht="14.4" hidden="false" customHeight="false" outlineLevel="0" collapsed="false">
      <c r="H32" s="10" t="n">
        <v>43739</v>
      </c>
      <c r="I32" s="11" t="n">
        <f aca="false">VLOOKUP(WEEKNUM(ProyDia[[#This Row],[Día]],2)-WEEKNUM(EOMONTH(ProyDia[[#This Row],[Día]],-1)+1,2)+1,Semana[],IF((WEEKNUM(EOMONTH(H32,0),2)-WEEKNUM(EOMONTH(H32,-1)+1,2)+1)=4,2,IF((WEEKNUM(EOMONTH(H32,0),2)-WEEKNUM(EOMONTH(H32,-1)+1,2)+1)=5,3,IF((WEEKNUM(EOMONTH(H32,0),2)-WEEKNUM(EOMONTH(H32,-1)+1,2)+1)=6,4,0))),0)</f>
        <v>0.28</v>
      </c>
      <c r="J32" s="0" t="n">
        <f aca="false">WEEKNUM(ProyDia[[#This Row],[Día]],2)</f>
        <v>40</v>
      </c>
      <c r="K32" s="0" t="n">
        <v>2019</v>
      </c>
      <c r="L32" s="2" t="n">
        <f aca="false">WEEKDAY(ProyDia[[#This Row],[Día]],2)</f>
        <v>2</v>
      </c>
      <c r="M32" s="0" t="n">
        <f aca="false">VLOOKUP(ProyDia[[#This Row],[Cálculo02]],Dia[],3,0)</f>
        <v>0.1</v>
      </c>
      <c r="N32" s="0" t="n">
        <f aca="false">ProyDia[[#This Row],[Cálculo 01]]*ProyDia[[#This Row],[Pondera Día]]</f>
        <v>0.028</v>
      </c>
      <c r="O32" s="12" t="n">
        <f aca="false">ProyDia[[#This Row],[Calculo03]]/SUMIFS(ProyDia[Calculo03],ProyDia[Día],"&gt;="&amp;EOMONTH(ProyDia[[#This Row],[Día]],-1)+1,ProyDia[Día],"&lt;="&amp;EOMONTH(ProyDia[[#This Row],[Día]],0))</f>
        <v>0.0333420657791326</v>
      </c>
      <c r="P32" s="2" t="n">
        <f aca="false">ProyDia[[#This Row],[Peso Día Final]]*7754000</f>
        <v>258534.378051394</v>
      </c>
    </row>
    <row r="33" customFormat="false" ht="14.4" hidden="false" customHeight="false" outlineLevel="0" collapsed="false">
      <c r="H33" s="10" t="n">
        <v>43740</v>
      </c>
      <c r="I33" s="11" t="n">
        <f aca="false">VLOOKUP(WEEKNUM(ProyDia[[#This Row],[Día]],2)-WEEKNUM(EOMONTH(ProyDia[[#This Row],[Día]],-1)+1,2)+1,Semana[],IF((WEEKNUM(EOMONTH(H33,0),2)-WEEKNUM(EOMONTH(H33,-1)+1,2)+1)=4,2,IF((WEEKNUM(EOMONTH(H33,0),2)-WEEKNUM(EOMONTH(H33,-1)+1,2)+1)=5,3,IF((WEEKNUM(EOMONTH(H33,0),2)-WEEKNUM(EOMONTH(H33,-1)+1,2)+1)=6,4,0))),0)</f>
        <v>0.28</v>
      </c>
      <c r="J33" s="0" t="n">
        <f aca="false">WEEKNUM(ProyDia[[#This Row],[Día]],2)</f>
        <v>40</v>
      </c>
      <c r="K33" s="0" t="n">
        <v>2019</v>
      </c>
      <c r="L33" s="2" t="n">
        <f aca="false">WEEKDAY(ProyDia[[#This Row],[Día]],2)</f>
        <v>3</v>
      </c>
      <c r="M33" s="0" t="n">
        <f aca="false">VLOOKUP(ProyDia[[#This Row],[Cálculo02]],Dia[],3,0)</f>
        <v>0.1</v>
      </c>
      <c r="N33" s="0" t="n">
        <f aca="false">ProyDia[[#This Row],[Cálculo 01]]*ProyDia[[#This Row],[Pondera Día]]</f>
        <v>0.028</v>
      </c>
      <c r="O33" s="12" t="n">
        <f aca="false">ProyDia[[#This Row],[Calculo03]]/SUMIFS(ProyDia[Calculo03],ProyDia[Día],"&gt;="&amp;EOMONTH(ProyDia[[#This Row],[Día]],-1)+1,ProyDia[Día],"&lt;="&amp;EOMONTH(ProyDia[[#This Row],[Día]],0))</f>
        <v>0.0333420657791326</v>
      </c>
      <c r="P33" s="2" t="n">
        <f aca="false">ProyDia[[#This Row],[Peso Día Final]]*7754000</f>
        <v>258534.378051394</v>
      </c>
    </row>
    <row r="34" customFormat="false" ht="14.4" hidden="false" customHeight="false" outlineLevel="0" collapsed="false">
      <c r="H34" s="10" t="n">
        <v>43741</v>
      </c>
      <c r="I34" s="11" t="n">
        <f aca="false">VLOOKUP(WEEKNUM(ProyDia[[#This Row],[Día]],2)-WEEKNUM(EOMONTH(ProyDia[[#This Row],[Día]],-1)+1,2)+1,Semana[],IF((WEEKNUM(EOMONTH(H34,0),2)-WEEKNUM(EOMONTH(H34,-1)+1,2)+1)=4,2,IF((WEEKNUM(EOMONTH(H34,0),2)-WEEKNUM(EOMONTH(H34,-1)+1,2)+1)=5,3,IF((WEEKNUM(EOMONTH(H34,0),2)-WEEKNUM(EOMONTH(H34,-1)+1,2)+1)=6,4,0))),0)</f>
        <v>0.28</v>
      </c>
      <c r="J34" s="0" t="n">
        <f aca="false">WEEKNUM(ProyDia[[#This Row],[Día]],2)</f>
        <v>40</v>
      </c>
      <c r="K34" s="0" t="n">
        <v>2019</v>
      </c>
      <c r="L34" s="2" t="n">
        <f aca="false">WEEKDAY(ProyDia[[#This Row],[Día]],2)</f>
        <v>4</v>
      </c>
      <c r="M34" s="0" t="n">
        <f aca="false">VLOOKUP(ProyDia[[#This Row],[Cálculo02]],Dia[],3,0)</f>
        <v>0.1</v>
      </c>
      <c r="N34" s="0" t="n">
        <f aca="false">ProyDia[[#This Row],[Cálculo 01]]*ProyDia[[#This Row],[Pondera Día]]</f>
        <v>0.028</v>
      </c>
      <c r="O34" s="12" t="n">
        <f aca="false">ProyDia[[#This Row],[Calculo03]]/SUMIFS(ProyDia[Calculo03],ProyDia[Día],"&gt;="&amp;EOMONTH(ProyDia[[#This Row],[Día]],-1)+1,ProyDia[Día],"&lt;="&amp;EOMONTH(ProyDia[[#This Row],[Día]],0))</f>
        <v>0.0333420657791326</v>
      </c>
      <c r="P34" s="2" t="n">
        <f aca="false">ProyDia[[#This Row],[Peso Día Final]]*7754000</f>
        <v>258534.378051394</v>
      </c>
    </row>
    <row r="35" customFormat="false" ht="14.4" hidden="false" customHeight="false" outlineLevel="0" collapsed="false">
      <c r="H35" s="10" t="n">
        <v>43742</v>
      </c>
      <c r="I35" s="11" t="n">
        <f aca="false">VLOOKUP(WEEKNUM(ProyDia[[#This Row],[Día]],2)-WEEKNUM(EOMONTH(ProyDia[[#This Row],[Día]],-1)+1,2)+1,Semana[],IF((WEEKNUM(EOMONTH(H35,0),2)-WEEKNUM(EOMONTH(H35,-1)+1,2)+1)=4,2,IF((WEEKNUM(EOMONTH(H35,0),2)-WEEKNUM(EOMONTH(H35,-1)+1,2)+1)=5,3,IF((WEEKNUM(EOMONTH(H35,0),2)-WEEKNUM(EOMONTH(H35,-1)+1,2)+1)=6,4,0))),0)</f>
        <v>0.28</v>
      </c>
      <c r="J35" s="0" t="n">
        <f aca="false">WEEKNUM(ProyDia[[#This Row],[Día]],2)</f>
        <v>40</v>
      </c>
      <c r="K35" s="0" t="n">
        <v>2019</v>
      </c>
      <c r="L35" s="2" t="n">
        <f aca="false">WEEKDAY(ProyDia[[#This Row],[Día]],2)</f>
        <v>5</v>
      </c>
      <c r="M35" s="0" t="n">
        <f aca="false">VLOOKUP(ProyDia[[#This Row],[Cálculo02]],Dia[],3,0)</f>
        <v>0.2</v>
      </c>
      <c r="N35" s="0" t="n">
        <f aca="false">ProyDia[[#This Row],[Cálculo 01]]*ProyDia[[#This Row],[Pondera Día]]</f>
        <v>0.056</v>
      </c>
      <c r="O35" s="12" t="n">
        <f aca="false">ProyDia[[#This Row],[Calculo03]]/SUMIFS(ProyDia[Calculo03],ProyDia[Día],"&gt;="&amp;EOMONTH(ProyDia[[#This Row],[Día]],-1)+1,ProyDia[Día],"&lt;="&amp;EOMONTH(ProyDia[[#This Row],[Día]],0))</f>
        <v>0.0666841315582653</v>
      </c>
      <c r="P35" s="2" t="n">
        <f aca="false">ProyDia[[#This Row],[Peso Día Final]]*7754000</f>
        <v>517068.756102789</v>
      </c>
    </row>
    <row r="36" customFormat="false" ht="14.4" hidden="false" customHeight="false" outlineLevel="0" collapsed="false">
      <c r="H36" s="10" t="n">
        <v>43743</v>
      </c>
      <c r="I36" s="11" t="n">
        <f aca="false">VLOOKUP(WEEKNUM(ProyDia[[#This Row],[Día]],2)-WEEKNUM(EOMONTH(ProyDia[[#This Row],[Día]],-1)+1,2)+1,Semana[],IF((WEEKNUM(EOMONTH(H36,0),2)-WEEKNUM(EOMONTH(H36,-1)+1,2)+1)=4,2,IF((WEEKNUM(EOMONTH(H36,0),2)-WEEKNUM(EOMONTH(H36,-1)+1,2)+1)=5,3,IF((WEEKNUM(EOMONTH(H36,0),2)-WEEKNUM(EOMONTH(H36,-1)+1,2)+1)=6,4,0))),0)</f>
        <v>0.28</v>
      </c>
      <c r="J36" s="0" t="n">
        <f aca="false">WEEKNUM(ProyDia[[#This Row],[Día]],2)</f>
        <v>40</v>
      </c>
      <c r="K36" s="0" t="n">
        <v>2019</v>
      </c>
      <c r="L36" s="2" t="n">
        <f aca="false">WEEKDAY(ProyDia[[#This Row],[Día]],2)</f>
        <v>6</v>
      </c>
      <c r="M36" s="0" t="n">
        <f aca="false">VLOOKUP(ProyDia[[#This Row],[Cálculo02]],Dia[],3,0)</f>
        <v>0.25</v>
      </c>
      <c r="N36" s="0" t="n">
        <f aca="false">ProyDia[[#This Row],[Cálculo 01]]*ProyDia[[#This Row],[Pondera Día]]</f>
        <v>0.07</v>
      </c>
      <c r="O36" s="12" t="n">
        <f aca="false">ProyDia[[#This Row],[Calculo03]]/SUMIFS(ProyDia[Calculo03],ProyDia[Día],"&gt;="&amp;EOMONTH(ProyDia[[#This Row],[Día]],-1)+1,ProyDia[Día],"&lt;="&amp;EOMONTH(ProyDia[[#This Row],[Día]],0))</f>
        <v>0.0833551644478316</v>
      </c>
      <c r="P36" s="2" t="n">
        <f aca="false">ProyDia[[#This Row],[Peso Día Final]]*7754000</f>
        <v>646335.945128486</v>
      </c>
    </row>
    <row r="37" customFormat="false" ht="14.4" hidden="false" customHeight="false" outlineLevel="0" collapsed="false">
      <c r="H37" s="10" t="n">
        <v>43744</v>
      </c>
      <c r="I37" s="11" t="n">
        <f aca="false">VLOOKUP(WEEKNUM(ProyDia[[#This Row],[Día]],2)-WEEKNUM(EOMONTH(ProyDia[[#This Row],[Día]],-1)+1,2)+1,Semana[],IF((WEEKNUM(EOMONTH(H37,0),2)-WEEKNUM(EOMONTH(H37,-1)+1,2)+1)=4,2,IF((WEEKNUM(EOMONTH(H37,0),2)-WEEKNUM(EOMONTH(H37,-1)+1,2)+1)=5,3,IF((WEEKNUM(EOMONTH(H37,0),2)-WEEKNUM(EOMONTH(H37,-1)+1,2)+1)=6,4,0))),0)</f>
        <v>0.28</v>
      </c>
      <c r="J37" s="0" t="n">
        <f aca="false">WEEKNUM(ProyDia[[#This Row],[Día]],2)</f>
        <v>40</v>
      </c>
      <c r="K37" s="0" t="n">
        <v>2019</v>
      </c>
      <c r="L37" s="2" t="n">
        <f aca="false">WEEKDAY(ProyDia[[#This Row],[Día]],2)</f>
        <v>7</v>
      </c>
      <c r="M37" s="0" t="n">
        <f aca="false">VLOOKUP(ProyDia[[#This Row],[Cálculo02]],Dia[],3,0)</f>
        <v>0.15</v>
      </c>
      <c r="N37" s="0" t="n">
        <f aca="false">ProyDia[[#This Row],[Cálculo 01]]*ProyDia[[#This Row],[Pondera Día]]</f>
        <v>0.042</v>
      </c>
      <c r="O37" s="12" t="n">
        <f aca="false">ProyDia[[#This Row],[Calculo03]]/SUMIFS(ProyDia[Calculo03],ProyDia[Día],"&gt;="&amp;EOMONTH(ProyDia[[#This Row],[Día]],-1)+1,ProyDia[Día],"&lt;="&amp;EOMONTH(ProyDia[[#This Row],[Día]],0))</f>
        <v>0.0500130986686989</v>
      </c>
      <c r="P37" s="2" t="n">
        <f aca="false">ProyDia[[#This Row],[Peso Día Final]]*7754000</f>
        <v>387801.567077092</v>
      </c>
    </row>
    <row r="38" customFormat="false" ht="14.4" hidden="false" customHeight="false" outlineLevel="0" collapsed="false">
      <c r="H38" s="10" t="n">
        <v>43745</v>
      </c>
      <c r="I38" s="11" t="n">
        <f aca="false">VLOOKUP(WEEKNUM(ProyDia[[#This Row],[Día]],2)-WEEKNUM(EOMONTH(ProyDia[[#This Row],[Día]],-1)+1,2)+1,Semana[],IF((WEEKNUM(EOMONTH(H38,0),2)-WEEKNUM(EOMONTH(H38,-1)+1,2)+1)=4,2,IF((WEEKNUM(EOMONTH(H38,0),2)-WEEKNUM(EOMONTH(H38,-1)+1,2)+1)=5,3,IF((WEEKNUM(EOMONTH(H38,0),2)-WEEKNUM(EOMONTH(H38,-1)+1,2)+1)=6,4,0))),0)</f>
        <v>0.15</v>
      </c>
      <c r="J38" s="0" t="n">
        <f aca="false">WEEKNUM(ProyDia[[#This Row],[Día]],2)</f>
        <v>41</v>
      </c>
      <c r="K38" s="0" t="n">
        <v>2019</v>
      </c>
      <c r="L38" s="2" t="n">
        <f aca="false">WEEKDAY(ProyDia[[#This Row],[Día]],2)</f>
        <v>1</v>
      </c>
      <c r="M38" s="0" t="n">
        <f aca="false">VLOOKUP(ProyDia[[#This Row],[Cálculo02]],Dia[],3,0)</f>
        <v>0.1</v>
      </c>
      <c r="N38" s="0" t="n">
        <f aca="false">ProyDia[[#This Row],[Cálculo 01]]*ProyDia[[#This Row],[Pondera Día]]</f>
        <v>0.015</v>
      </c>
      <c r="O38" s="12" t="n">
        <f aca="false">ProyDia[[#This Row],[Calculo03]]/SUMIFS(ProyDia[Calculo03],ProyDia[Día],"&gt;="&amp;EOMONTH(ProyDia[[#This Row],[Día]],-1)+1,ProyDia[Día],"&lt;="&amp;EOMONTH(ProyDia[[#This Row],[Día]],0))</f>
        <v>0.0178618209531068</v>
      </c>
      <c r="P38" s="2" t="n">
        <f aca="false">ProyDia[[#This Row],[Peso Día Final]]*7754000</f>
        <v>138500.55967039</v>
      </c>
    </row>
    <row r="39" customFormat="false" ht="14.4" hidden="false" customHeight="false" outlineLevel="0" collapsed="false">
      <c r="H39" s="10" t="n">
        <v>43746</v>
      </c>
      <c r="I39" s="11" t="n">
        <f aca="false">VLOOKUP(WEEKNUM(ProyDia[[#This Row],[Día]],2)-WEEKNUM(EOMONTH(ProyDia[[#This Row],[Día]],-1)+1,2)+1,Semana[],IF((WEEKNUM(EOMONTH(H39,0),2)-WEEKNUM(EOMONTH(H39,-1)+1,2)+1)=4,2,IF((WEEKNUM(EOMONTH(H39,0),2)-WEEKNUM(EOMONTH(H39,-1)+1,2)+1)=5,3,IF((WEEKNUM(EOMONTH(H39,0),2)-WEEKNUM(EOMONTH(H39,-1)+1,2)+1)=6,4,0))),0)</f>
        <v>0.15</v>
      </c>
      <c r="J39" s="0" t="n">
        <f aca="false">WEEKNUM(ProyDia[[#This Row],[Día]],2)</f>
        <v>41</v>
      </c>
      <c r="K39" s="0" t="n">
        <v>2019</v>
      </c>
      <c r="L39" s="2" t="n">
        <f aca="false">WEEKDAY(ProyDia[[#This Row],[Día]],2)</f>
        <v>2</v>
      </c>
      <c r="M39" s="0" t="n">
        <f aca="false">VLOOKUP(ProyDia[[#This Row],[Cálculo02]],Dia[],3,0)</f>
        <v>0.1</v>
      </c>
      <c r="N39" s="0" t="n">
        <f aca="false">ProyDia[[#This Row],[Cálculo 01]]*ProyDia[[#This Row],[Pondera Día]]</f>
        <v>0.015</v>
      </c>
      <c r="O39" s="12" t="n">
        <f aca="false">ProyDia[[#This Row],[Calculo03]]/SUMIFS(ProyDia[Calculo03],ProyDia[Día],"&gt;="&amp;EOMONTH(ProyDia[[#This Row],[Día]],-1)+1,ProyDia[Día],"&lt;="&amp;EOMONTH(ProyDia[[#This Row],[Día]],0))</f>
        <v>0.0178618209531068</v>
      </c>
      <c r="P39" s="2" t="n">
        <f aca="false">ProyDia[[#This Row],[Peso Día Final]]*7754000</f>
        <v>138500.55967039</v>
      </c>
    </row>
    <row r="40" customFormat="false" ht="14.4" hidden="false" customHeight="false" outlineLevel="0" collapsed="false">
      <c r="H40" s="10" t="n">
        <v>43747</v>
      </c>
      <c r="I40" s="11" t="n">
        <f aca="false">VLOOKUP(WEEKNUM(ProyDia[[#This Row],[Día]],2)-WEEKNUM(EOMONTH(ProyDia[[#This Row],[Día]],-1)+1,2)+1,Semana[],IF((WEEKNUM(EOMONTH(H40,0),2)-WEEKNUM(EOMONTH(H40,-1)+1,2)+1)=4,2,IF((WEEKNUM(EOMONTH(H40,0),2)-WEEKNUM(EOMONTH(H40,-1)+1,2)+1)=5,3,IF((WEEKNUM(EOMONTH(H40,0),2)-WEEKNUM(EOMONTH(H40,-1)+1,2)+1)=6,4,0))),0)</f>
        <v>0.15</v>
      </c>
      <c r="J40" s="0" t="n">
        <f aca="false">WEEKNUM(ProyDia[[#This Row],[Día]],2)</f>
        <v>41</v>
      </c>
      <c r="K40" s="0" t="n">
        <v>2019</v>
      </c>
      <c r="L40" s="2" t="n">
        <f aca="false">WEEKDAY(ProyDia[[#This Row],[Día]],2)</f>
        <v>3</v>
      </c>
      <c r="M40" s="0" t="n">
        <f aca="false">VLOOKUP(ProyDia[[#This Row],[Cálculo02]],Dia[],3,0)</f>
        <v>0.1</v>
      </c>
      <c r="N40" s="0" t="n">
        <f aca="false">ProyDia[[#This Row],[Cálculo 01]]*ProyDia[[#This Row],[Pondera Día]]</f>
        <v>0.015</v>
      </c>
      <c r="O40" s="12" t="n">
        <f aca="false">ProyDia[[#This Row],[Calculo03]]/SUMIFS(ProyDia[Calculo03],ProyDia[Día],"&gt;="&amp;EOMONTH(ProyDia[[#This Row],[Día]],-1)+1,ProyDia[Día],"&lt;="&amp;EOMONTH(ProyDia[[#This Row],[Día]],0))</f>
        <v>0.0178618209531068</v>
      </c>
      <c r="P40" s="2" t="n">
        <f aca="false">ProyDia[[#This Row],[Peso Día Final]]*7754000</f>
        <v>138500.55967039</v>
      </c>
    </row>
    <row r="41" customFormat="false" ht="14.4" hidden="false" customHeight="false" outlineLevel="0" collapsed="false">
      <c r="H41" s="10" t="n">
        <v>43748</v>
      </c>
      <c r="I41" s="11" t="n">
        <f aca="false">VLOOKUP(WEEKNUM(ProyDia[[#This Row],[Día]],2)-WEEKNUM(EOMONTH(ProyDia[[#This Row],[Día]],-1)+1,2)+1,Semana[],IF((WEEKNUM(EOMONTH(H41,0),2)-WEEKNUM(EOMONTH(H41,-1)+1,2)+1)=4,2,IF((WEEKNUM(EOMONTH(H41,0),2)-WEEKNUM(EOMONTH(H41,-1)+1,2)+1)=5,3,IF((WEEKNUM(EOMONTH(H41,0),2)-WEEKNUM(EOMONTH(H41,-1)+1,2)+1)=6,4,0))),0)</f>
        <v>0.15</v>
      </c>
      <c r="J41" s="0" t="n">
        <f aca="false">WEEKNUM(ProyDia[[#This Row],[Día]],2)</f>
        <v>41</v>
      </c>
      <c r="K41" s="0" t="n">
        <v>2019</v>
      </c>
      <c r="L41" s="2" t="n">
        <f aca="false">WEEKDAY(ProyDia[[#This Row],[Día]],2)</f>
        <v>4</v>
      </c>
      <c r="M41" s="0" t="n">
        <f aca="false">VLOOKUP(ProyDia[[#This Row],[Cálculo02]],Dia[],3,0)</f>
        <v>0.1</v>
      </c>
      <c r="N41" s="0" t="n">
        <f aca="false">ProyDia[[#This Row],[Cálculo 01]]*ProyDia[[#This Row],[Pondera Día]]</f>
        <v>0.015</v>
      </c>
      <c r="O41" s="12" t="n">
        <f aca="false">ProyDia[[#This Row],[Calculo03]]/SUMIFS(ProyDia[Calculo03],ProyDia[Día],"&gt;="&amp;EOMONTH(ProyDia[[#This Row],[Día]],-1)+1,ProyDia[Día],"&lt;="&amp;EOMONTH(ProyDia[[#This Row],[Día]],0))</f>
        <v>0.0178618209531068</v>
      </c>
      <c r="P41" s="2" t="n">
        <f aca="false">ProyDia[[#This Row],[Peso Día Final]]*7754000</f>
        <v>138500.55967039</v>
      </c>
    </row>
    <row r="42" customFormat="false" ht="14.4" hidden="false" customHeight="false" outlineLevel="0" collapsed="false">
      <c r="H42" s="10" t="n">
        <v>43749</v>
      </c>
      <c r="I42" s="11" t="n">
        <f aca="false">VLOOKUP(WEEKNUM(ProyDia[[#This Row],[Día]],2)-WEEKNUM(EOMONTH(ProyDia[[#This Row],[Día]],-1)+1,2)+1,Semana[],IF((WEEKNUM(EOMONTH(H42,0),2)-WEEKNUM(EOMONTH(H42,-1)+1,2)+1)=4,2,IF((WEEKNUM(EOMONTH(H42,0),2)-WEEKNUM(EOMONTH(H42,-1)+1,2)+1)=5,3,IF((WEEKNUM(EOMONTH(H42,0),2)-WEEKNUM(EOMONTH(H42,-1)+1,2)+1)=6,4,0))),0)</f>
        <v>0.15</v>
      </c>
      <c r="J42" s="0" t="n">
        <f aca="false">WEEKNUM(ProyDia[[#This Row],[Día]],2)</f>
        <v>41</v>
      </c>
      <c r="K42" s="0" t="n">
        <v>2019</v>
      </c>
      <c r="L42" s="2" t="n">
        <f aca="false">WEEKDAY(ProyDia[[#This Row],[Día]],2)</f>
        <v>5</v>
      </c>
      <c r="M42" s="0" t="n">
        <f aca="false">VLOOKUP(ProyDia[[#This Row],[Cálculo02]],Dia[],3,0)</f>
        <v>0.2</v>
      </c>
      <c r="N42" s="0" t="n">
        <f aca="false">ProyDia[[#This Row],[Cálculo 01]]*ProyDia[[#This Row],[Pondera Día]]</f>
        <v>0.03</v>
      </c>
      <c r="O42" s="12" t="n">
        <f aca="false">ProyDia[[#This Row],[Calculo03]]/SUMIFS(ProyDia[Calculo03],ProyDia[Día],"&gt;="&amp;EOMONTH(ProyDia[[#This Row],[Día]],-1)+1,ProyDia[Día],"&lt;="&amp;EOMONTH(ProyDia[[#This Row],[Día]],0))</f>
        <v>0.0357236419062135</v>
      </c>
      <c r="P42" s="2" t="n">
        <f aca="false">ProyDia[[#This Row],[Peso Día Final]]*7754000</f>
        <v>277001.11934078</v>
      </c>
    </row>
    <row r="43" customFormat="false" ht="14.4" hidden="false" customHeight="false" outlineLevel="0" collapsed="false">
      <c r="H43" s="10" t="n">
        <v>43750</v>
      </c>
      <c r="I43" s="11" t="n">
        <f aca="false">VLOOKUP(WEEKNUM(ProyDia[[#This Row],[Día]],2)-WEEKNUM(EOMONTH(ProyDia[[#This Row],[Día]],-1)+1,2)+1,Semana[],IF((WEEKNUM(EOMONTH(H43,0),2)-WEEKNUM(EOMONTH(H43,-1)+1,2)+1)=4,2,IF((WEEKNUM(EOMONTH(H43,0),2)-WEEKNUM(EOMONTH(H43,-1)+1,2)+1)=5,3,IF((WEEKNUM(EOMONTH(H43,0),2)-WEEKNUM(EOMONTH(H43,-1)+1,2)+1)=6,4,0))),0)</f>
        <v>0.15</v>
      </c>
      <c r="J43" s="0" t="n">
        <f aca="false">WEEKNUM(ProyDia[[#This Row],[Día]],2)</f>
        <v>41</v>
      </c>
      <c r="K43" s="0" t="n">
        <v>2019</v>
      </c>
      <c r="L43" s="2" t="n">
        <f aca="false">WEEKDAY(ProyDia[[#This Row],[Día]],2)</f>
        <v>6</v>
      </c>
      <c r="M43" s="0" t="n">
        <f aca="false">VLOOKUP(ProyDia[[#This Row],[Cálculo02]],Dia[],3,0)</f>
        <v>0.25</v>
      </c>
      <c r="N43" s="0" t="n">
        <f aca="false">ProyDia[[#This Row],[Cálculo 01]]*ProyDia[[#This Row],[Pondera Día]]</f>
        <v>0.0375</v>
      </c>
      <c r="O43" s="12" t="n">
        <f aca="false">ProyDia[[#This Row],[Calculo03]]/SUMIFS(ProyDia[Calculo03],ProyDia[Día],"&gt;="&amp;EOMONTH(ProyDia[[#This Row],[Día]],-1)+1,ProyDia[Día],"&lt;="&amp;EOMONTH(ProyDia[[#This Row],[Día]],0))</f>
        <v>0.0446545523827669</v>
      </c>
      <c r="P43" s="2" t="n">
        <f aca="false">ProyDia[[#This Row],[Peso Día Final]]*7754000</f>
        <v>346251.399175975</v>
      </c>
    </row>
    <row r="44" customFormat="false" ht="14.4" hidden="false" customHeight="false" outlineLevel="0" collapsed="false">
      <c r="H44" s="10" t="n">
        <v>43751</v>
      </c>
      <c r="I44" s="11" t="n">
        <f aca="false">VLOOKUP(WEEKNUM(ProyDia[[#This Row],[Día]],2)-WEEKNUM(EOMONTH(ProyDia[[#This Row],[Día]],-1)+1,2)+1,Semana[],IF((WEEKNUM(EOMONTH(H44,0),2)-WEEKNUM(EOMONTH(H44,-1)+1,2)+1)=4,2,IF((WEEKNUM(EOMONTH(H44,0),2)-WEEKNUM(EOMONTH(H44,-1)+1,2)+1)=5,3,IF((WEEKNUM(EOMONTH(H44,0),2)-WEEKNUM(EOMONTH(H44,-1)+1,2)+1)=6,4,0))),0)</f>
        <v>0.15</v>
      </c>
      <c r="J44" s="0" t="n">
        <f aca="false">WEEKNUM(ProyDia[[#This Row],[Día]],2)</f>
        <v>41</v>
      </c>
      <c r="K44" s="0" t="n">
        <v>2019</v>
      </c>
      <c r="L44" s="2" t="n">
        <f aca="false">WEEKDAY(ProyDia[[#This Row],[Día]],2)</f>
        <v>7</v>
      </c>
      <c r="M44" s="0" t="n">
        <f aca="false">VLOOKUP(ProyDia[[#This Row],[Cálculo02]],Dia[],3,0)</f>
        <v>0.15</v>
      </c>
      <c r="N44" s="0" t="n">
        <f aca="false">ProyDia[[#This Row],[Cálculo 01]]*ProyDia[[#This Row],[Pondera Día]]</f>
        <v>0.0225</v>
      </c>
      <c r="O44" s="12" t="n">
        <f aca="false">ProyDia[[#This Row],[Calculo03]]/SUMIFS(ProyDia[Calculo03],ProyDia[Día],"&gt;="&amp;EOMONTH(ProyDia[[#This Row],[Día]],-1)+1,ProyDia[Día],"&lt;="&amp;EOMONTH(ProyDia[[#This Row],[Día]],0))</f>
        <v>0.0267927314296601</v>
      </c>
      <c r="P44" s="2" t="n">
        <f aca="false">ProyDia[[#This Row],[Peso Día Final]]*7754000</f>
        <v>207750.839505585</v>
      </c>
    </row>
    <row r="45" customFormat="false" ht="14.4" hidden="false" customHeight="false" outlineLevel="0" collapsed="false">
      <c r="H45" s="10" t="n">
        <v>43752</v>
      </c>
      <c r="I45" s="11" t="n">
        <f aca="false">VLOOKUP(WEEKNUM(ProyDia[[#This Row],[Día]],2)-WEEKNUM(EOMONTH(ProyDia[[#This Row],[Día]],-1)+1,2)+1,Semana[],IF((WEEKNUM(EOMONTH(H45,0),2)-WEEKNUM(EOMONTH(H45,-1)+1,2)+1)=4,2,IF((WEEKNUM(EOMONTH(H45,0),2)-WEEKNUM(EOMONTH(H45,-1)+1,2)+1)=5,3,IF((WEEKNUM(EOMONTH(H45,0),2)-WEEKNUM(EOMONTH(H45,-1)+1,2)+1)=6,4,0))),0)</f>
        <v>0.15</v>
      </c>
      <c r="J45" s="0" t="n">
        <f aca="false">WEEKNUM(ProyDia[[#This Row],[Día]],2)</f>
        <v>42</v>
      </c>
      <c r="K45" s="0" t="n">
        <v>2019</v>
      </c>
      <c r="L45" s="2" t="n">
        <f aca="false">WEEKDAY(ProyDia[[#This Row],[Día]],2)</f>
        <v>1</v>
      </c>
      <c r="M45" s="0" t="n">
        <f aca="false">VLOOKUP(ProyDia[[#This Row],[Cálculo02]],Dia[],3,0)</f>
        <v>0.1</v>
      </c>
      <c r="N45" s="0" t="n">
        <f aca="false">ProyDia[[#This Row],[Cálculo 01]]*ProyDia[[#This Row],[Pondera Día]]</f>
        <v>0.015</v>
      </c>
      <c r="O45" s="12" t="n">
        <f aca="false">ProyDia[[#This Row],[Calculo03]]/SUMIFS(ProyDia[Calculo03],ProyDia[Día],"&gt;="&amp;EOMONTH(ProyDia[[#This Row],[Día]],-1)+1,ProyDia[Día],"&lt;="&amp;EOMONTH(ProyDia[[#This Row],[Día]],0))</f>
        <v>0.0178618209531068</v>
      </c>
      <c r="P45" s="2" t="n">
        <f aca="false">ProyDia[[#This Row],[Peso Día Final]]*7754000</f>
        <v>138500.55967039</v>
      </c>
    </row>
    <row r="46" customFormat="false" ht="14.4" hidden="false" customHeight="false" outlineLevel="0" collapsed="false">
      <c r="H46" s="10" t="n">
        <v>43753</v>
      </c>
      <c r="I46" s="11" t="n">
        <f aca="false">VLOOKUP(WEEKNUM(ProyDia[[#This Row],[Día]],2)-WEEKNUM(EOMONTH(ProyDia[[#This Row],[Día]],-1)+1,2)+1,Semana[],IF((WEEKNUM(EOMONTH(H46,0),2)-WEEKNUM(EOMONTH(H46,-1)+1,2)+1)=4,2,IF((WEEKNUM(EOMONTH(H46,0),2)-WEEKNUM(EOMONTH(H46,-1)+1,2)+1)=5,3,IF((WEEKNUM(EOMONTH(H46,0),2)-WEEKNUM(EOMONTH(H46,-1)+1,2)+1)=6,4,0))),0)</f>
        <v>0.15</v>
      </c>
      <c r="J46" s="0" t="n">
        <f aca="false">WEEKNUM(ProyDia[[#This Row],[Día]],2)</f>
        <v>42</v>
      </c>
      <c r="K46" s="0" t="n">
        <v>2019</v>
      </c>
      <c r="L46" s="2" t="n">
        <f aca="false">WEEKDAY(ProyDia[[#This Row],[Día]],2)</f>
        <v>2</v>
      </c>
      <c r="M46" s="0" t="n">
        <v>0.13</v>
      </c>
      <c r="N46" s="0" t="n">
        <f aca="false">ProyDia[[#This Row],[Cálculo 01]]*ProyDia[[#This Row],[Pondera Día]]</f>
        <v>0.0195</v>
      </c>
      <c r="O46" s="12" t="n">
        <f aca="false">ProyDia[[#This Row],[Calculo03]]/SUMIFS(ProyDia[Calculo03],ProyDia[Día],"&gt;="&amp;EOMONTH(ProyDia[[#This Row],[Día]],-1)+1,ProyDia[Día],"&lt;="&amp;EOMONTH(ProyDia[[#This Row],[Día]],0))</f>
        <v>0.0232203672390388</v>
      </c>
      <c r="P46" s="2" t="n">
        <f aca="false">ProyDia[[#This Row],[Peso Día Final]]*7754000</f>
        <v>180050.727571507</v>
      </c>
    </row>
    <row r="47" customFormat="false" ht="14.4" hidden="false" customHeight="false" outlineLevel="0" collapsed="false">
      <c r="H47" s="10" t="n">
        <v>43754</v>
      </c>
      <c r="I47" s="11" t="n">
        <f aca="false">VLOOKUP(WEEKNUM(ProyDia[[#This Row],[Día]],2)-WEEKNUM(EOMONTH(ProyDia[[#This Row],[Día]],-1)+1,2)+1,Semana[],IF((WEEKNUM(EOMONTH(H47,0),2)-WEEKNUM(EOMONTH(H47,-1)+1,2)+1)=4,2,IF((WEEKNUM(EOMONTH(H47,0),2)-WEEKNUM(EOMONTH(H47,-1)+1,2)+1)=5,3,IF((WEEKNUM(EOMONTH(H47,0),2)-WEEKNUM(EOMONTH(H47,-1)+1,2)+1)=6,4,0))),0)</f>
        <v>0.15</v>
      </c>
      <c r="J47" s="0" t="n">
        <f aca="false">WEEKNUM(ProyDia[[#This Row],[Día]],2)</f>
        <v>42</v>
      </c>
      <c r="K47" s="0" t="n">
        <v>2019</v>
      </c>
      <c r="L47" s="2" t="n">
        <f aca="false">WEEKDAY(ProyDia[[#This Row],[Día]],2)</f>
        <v>3</v>
      </c>
      <c r="M47" s="0" t="n">
        <v>0.13</v>
      </c>
      <c r="N47" s="0" t="n">
        <f aca="false">ProyDia[[#This Row],[Cálculo 01]]*ProyDia[[#This Row],[Pondera Día]]</f>
        <v>0.0195</v>
      </c>
      <c r="O47" s="12" t="n">
        <f aca="false">ProyDia[[#This Row],[Calculo03]]/SUMIFS(ProyDia[Calculo03],ProyDia[Día],"&gt;="&amp;EOMONTH(ProyDia[[#This Row],[Día]],-1)+1,ProyDia[Día],"&lt;="&amp;EOMONTH(ProyDia[[#This Row],[Día]],0))</f>
        <v>0.0232203672390388</v>
      </c>
      <c r="P47" s="2" t="n">
        <f aca="false">ProyDia[[#This Row],[Peso Día Final]]*7754000</f>
        <v>180050.727571507</v>
      </c>
    </row>
    <row r="48" customFormat="false" ht="14.4" hidden="false" customHeight="false" outlineLevel="0" collapsed="false">
      <c r="G48" s="1"/>
      <c r="H48" s="10" t="n">
        <v>43755</v>
      </c>
      <c r="I48" s="11" t="n">
        <f aca="false">VLOOKUP(WEEKNUM(ProyDia[[#This Row],[Día]],2)-WEEKNUM(EOMONTH(ProyDia[[#This Row],[Día]],-1)+1,2)+1,Semana[],IF((WEEKNUM(EOMONTH(H48,0),2)-WEEKNUM(EOMONTH(H48,-1)+1,2)+1)=4,2,IF((WEEKNUM(EOMONTH(H48,0),2)-WEEKNUM(EOMONTH(H48,-1)+1,2)+1)=5,3,IF((WEEKNUM(EOMONTH(H48,0),2)-WEEKNUM(EOMONTH(H48,-1)+1,2)+1)=6,4,0))),0)</f>
        <v>0.15</v>
      </c>
      <c r="J48" s="0" t="n">
        <f aca="false">WEEKNUM(ProyDia[[#This Row],[Día]],2)</f>
        <v>42</v>
      </c>
      <c r="K48" s="0" t="n">
        <v>2019</v>
      </c>
      <c r="L48" s="2" t="n">
        <f aca="false">WEEKDAY(ProyDia[[#This Row],[Día]],2)</f>
        <v>4</v>
      </c>
      <c r="M48" s="0" t="n">
        <v>0.13</v>
      </c>
      <c r="N48" s="0" t="n">
        <f aca="false">ProyDia[[#This Row],[Cálculo 01]]*ProyDia[[#This Row],[Pondera Día]]</f>
        <v>0.0195</v>
      </c>
      <c r="O48" s="12" t="n">
        <f aca="false">ProyDia[[#This Row],[Calculo03]]/SUMIFS(ProyDia[Calculo03],ProyDia[Día],"&gt;="&amp;EOMONTH(ProyDia[[#This Row],[Día]],-1)+1,ProyDia[Día],"&lt;="&amp;EOMONTH(ProyDia[[#This Row],[Día]],0))</f>
        <v>0.0232203672390388</v>
      </c>
      <c r="P48" s="2" t="n">
        <f aca="false">ProyDia[[#This Row],[Peso Día Final]]*7754000</f>
        <v>180050.727571507</v>
      </c>
    </row>
    <row r="49" customFormat="false" ht="14.4" hidden="false" customHeight="false" outlineLevel="0" collapsed="false">
      <c r="D49" s="1"/>
      <c r="E49" s="1"/>
      <c r="F49" s="1"/>
      <c r="G49" s="1"/>
      <c r="H49" s="10" t="n">
        <v>43756</v>
      </c>
      <c r="I49" s="11" t="n">
        <f aca="false">VLOOKUP(WEEKNUM(ProyDia[[#This Row],[Día]],2)-WEEKNUM(EOMONTH(ProyDia[[#This Row],[Día]],-1)+1,2)+1,Semana[],IF((WEEKNUM(EOMONTH(H49,0),2)-WEEKNUM(EOMONTH(H49,-1)+1,2)+1)=4,2,IF((WEEKNUM(EOMONTH(H49,0),2)-WEEKNUM(EOMONTH(H49,-1)+1,2)+1)=5,3,IF((WEEKNUM(EOMONTH(H49,0),2)-WEEKNUM(EOMONTH(H49,-1)+1,2)+1)=6,4,0))),0)</f>
        <v>0.15</v>
      </c>
      <c r="J49" s="0" t="n">
        <f aca="false">WEEKNUM(ProyDia[[#This Row],[Día]],2)</f>
        <v>42</v>
      </c>
      <c r="K49" s="0" t="n">
        <v>2019</v>
      </c>
      <c r="L49" s="2" t="n">
        <f aca="false">WEEKDAY(ProyDia[[#This Row],[Día]],2)</f>
        <v>5</v>
      </c>
      <c r="M49" s="0" t="n">
        <v>0.23</v>
      </c>
      <c r="N49" s="0" t="n">
        <f aca="false">ProyDia[[#This Row],[Cálculo 01]]*ProyDia[[#This Row],[Pondera Día]]</f>
        <v>0.0345</v>
      </c>
      <c r="O49" s="12" t="n">
        <f aca="false">ProyDia[[#This Row],[Calculo03]]/SUMIFS(ProyDia[Calculo03],ProyDia[Día],"&gt;="&amp;EOMONTH(ProyDia[[#This Row],[Día]],-1)+1,ProyDia[Día],"&lt;="&amp;EOMONTH(ProyDia[[#This Row],[Día]],0))</f>
        <v>0.0410821881921456</v>
      </c>
      <c r="P49" s="2" t="n">
        <f aca="false">ProyDia[[#This Row],[Peso Día Final]]*7754000</f>
        <v>318551.287241897</v>
      </c>
    </row>
    <row r="50" customFormat="false" ht="14.4" hidden="false" customHeight="false" outlineLevel="0" collapsed="false">
      <c r="D50" s="1"/>
      <c r="E50" s="1"/>
      <c r="F50" s="1"/>
      <c r="G50" s="1"/>
      <c r="H50" s="10" t="n">
        <v>43757</v>
      </c>
      <c r="I50" s="11" t="n">
        <f aca="false">VLOOKUP(WEEKNUM(ProyDia[[#This Row],[Día]],2)-WEEKNUM(EOMONTH(ProyDia[[#This Row],[Día]],-1)+1,2)+1,Semana[],IF((WEEKNUM(EOMONTH(H50,0),2)-WEEKNUM(EOMONTH(H50,-1)+1,2)+1)=4,2,IF((WEEKNUM(EOMONTH(H50,0),2)-WEEKNUM(EOMONTH(H50,-1)+1,2)+1)=5,3,IF((WEEKNUM(EOMONTH(H50,0),2)-WEEKNUM(EOMONTH(H50,-1)+1,2)+1)=6,4,0))),0)</f>
        <v>0.15</v>
      </c>
      <c r="J50" s="0" t="n">
        <f aca="false">WEEKNUM(ProyDia[[#This Row],[Día]],2)</f>
        <v>42</v>
      </c>
      <c r="K50" s="0" t="n">
        <v>2019</v>
      </c>
      <c r="L50" s="2" t="n">
        <f aca="false">WEEKDAY(ProyDia[[#This Row],[Día]],2)</f>
        <v>6</v>
      </c>
      <c r="M50" s="0" t="n">
        <v>0.28</v>
      </c>
      <c r="N50" s="0" t="n">
        <f aca="false">ProyDia[[#This Row],[Cálculo 01]]*ProyDia[[#This Row],[Pondera Día]]</f>
        <v>0.042</v>
      </c>
      <c r="O50" s="12" t="n">
        <f aca="false">ProyDia[[#This Row],[Calculo03]]/SUMIFS(ProyDia[Calculo03],ProyDia[Día],"&gt;="&amp;EOMONTH(ProyDia[[#This Row],[Día]],-1)+1,ProyDia[Día],"&lt;="&amp;EOMONTH(ProyDia[[#This Row],[Día]],0))</f>
        <v>0.0500130986686989</v>
      </c>
      <c r="P50" s="2" t="n">
        <f aca="false">ProyDia[[#This Row],[Peso Día Final]]*7754000</f>
        <v>387801.567077092</v>
      </c>
    </row>
    <row r="51" customFormat="false" ht="14.4" hidden="false" customHeight="false" outlineLevel="0" collapsed="false">
      <c r="D51" s="1"/>
      <c r="E51" s="1"/>
      <c r="F51" s="1"/>
      <c r="G51" s="1"/>
      <c r="H51" s="10" t="n">
        <v>43758</v>
      </c>
      <c r="I51" s="11" t="n">
        <f aca="false">VLOOKUP(WEEKNUM(ProyDia[[#This Row],[Día]],2)-WEEKNUM(EOMONTH(ProyDia[[#This Row],[Día]],-1)+1,2)+1,Semana[],IF((WEEKNUM(EOMONTH(H51,0),2)-WEEKNUM(EOMONTH(H51,-1)+1,2)+1)=4,2,IF((WEEKNUM(EOMONTH(H51,0),2)-WEEKNUM(EOMONTH(H51,-1)+1,2)+1)=5,3,IF((WEEKNUM(EOMONTH(H51,0),2)-WEEKNUM(EOMONTH(H51,-1)+1,2)+1)=6,4,0))),0)</f>
        <v>0.15</v>
      </c>
      <c r="J51" s="0" t="n">
        <f aca="false">WEEKNUM(ProyDia[[#This Row],[Día]],2)</f>
        <v>42</v>
      </c>
      <c r="K51" s="0" t="n">
        <v>2019</v>
      </c>
      <c r="L51" s="2" t="n">
        <f aca="false">WEEKDAY(ProyDia[[#This Row],[Día]],2)</f>
        <v>7</v>
      </c>
      <c r="M51" s="0" t="n">
        <f aca="false">VLOOKUP(ProyDia[[#This Row],[Cálculo02]],Dia[],3,0)</f>
        <v>0.15</v>
      </c>
      <c r="N51" s="0" t="n">
        <f aca="false">ProyDia[[#This Row],[Cálculo 01]]*ProyDia[[#This Row],[Pondera Día]]</f>
        <v>0.0225</v>
      </c>
      <c r="O51" s="12" t="n">
        <f aca="false">ProyDia[[#This Row],[Calculo03]]/SUMIFS(ProyDia[Calculo03],ProyDia[Día],"&gt;="&amp;EOMONTH(ProyDia[[#This Row],[Día]],-1)+1,ProyDia[Día],"&lt;="&amp;EOMONTH(ProyDia[[#This Row],[Día]],0))</f>
        <v>0.0267927314296601</v>
      </c>
      <c r="P51" s="2" t="n">
        <f aca="false">ProyDia[[#This Row],[Peso Día Final]]*7754000</f>
        <v>207750.839505585</v>
      </c>
    </row>
    <row r="52" customFormat="false" ht="14.4" hidden="false" customHeight="false" outlineLevel="0" collapsed="false">
      <c r="G52" s="1"/>
      <c r="H52" s="10" t="n">
        <v>43759</v>
      </c>
      <c r="I52" s="11" t="n">
        <f aca="false">VLOOKUP(WEEKNUM(ProyDia[[#This Row],[Día]],2)-WEEKNUM(EOMONTH(ProyDia[[#This Row],[Día]],-1)+1,2)+1,Semana[],IF((WEEKNUM(EOMONTH(H52,0),2)-WEEKNUM(EOMONTH(H52,-1)+1,2)+1)=4,2,IF((WEEKNUM(EOMONTH(H52,0),2)-WEEKNUM(EOMONTH(H52,-1)+1,2)+1)=5,3,IF((WEEKNUM(EOMONTH(H52,0),2)-WEEKNUM(EOMONTH(H52,-1)+1,2)+1)=6,4,0))),0)</f>
        <v>0.2</v>
      </c>
      <c r="J52" s="0" t="n">
        <f aca="false">WEEKNUM(ProyDia[[#This Row],[Día]],2)</f>
        <v>43</v>
      </c>
      <c r="K52" s="0" t="n">
        <v>2019</v>
      </c>
      <c r="L52" s="2" t="n">
        <f aca="false">WEEKDAY(ProyDia[[#This Row],[Día]],2)</f>
        <v>1</v>
      </c>
      <c r="M52" s="0" t="n">
        <f aca="false">VLOOKUP(ProyDia[[#This Row],[Cálculo02]],Dia[],3,0)</f>
        <v>0.1</v>
      </c>
      <c r="N52" s="0" t="n">
        <f aca="false">ProyDia[[#This Row],[Cálculo 01]]*ProyDia[[#This Row],[Pondera Día]]</f>
        <v>0.02</v>
      </c>
      <c r="O52" s="12" t="n">
        <f aca="false">ProyDia[[#This Row],[Calculo03]]/SUMIFS(ProyDia[Calculo03],ProyDia[Día],"&gt;="&amp;EOMONTH(ProyDia[[#This Row],[Día]],-1)+1,ProyDia[Día],"&lt;="&amp;EOMONTH(ProyDia[[#This Row],[Día]],0))</f>
        <v>0.023815761270809</v>
      </c>
      <c r="P52" s="2" t="n">
        <f aca="false">ProyDia[[#This Row],[Peso Día Final]]*7754000</f>
        <v>184667.412893853</v>
      </c>
    </row>
    <row r="53" customFormat="false" ht="14.4" hidden="false" customHeight="false" outlineLevel="0" collapsed="false">
      <c r="H53" s="10" t="n">
        <v>43760</v>
      </c>
      <c r="I53" s="11" t="n">
        <f aca="false">VLOOKUP(WEEKNUM(ProyDia[[#This Row],[Día]],2)-WEEKNUM(EOMONTH(ProyDia[[#This Row],[Día]],-1)+1,2)+1,Semana[],IF((WEEKNUM(EOMONTH(H53,0),2)-WEEKNUM(EOMONTH(H53,-1)+1,2)+1)=4,2,IF((WEEKNUM(EOMONTH(H53,0),2)-WEEKNUM(EOMONTH(H53,-1)+1,2)+1)=5,3,IF((WEEKNUM(EOMONTH(H53,0),2)-WEEKNUM(EOMONTH(H53,-1)+1,2)+1)=6,4,0))),0)</f>
        <v>0.2</v>
      </c>
      <c r="J53" s="0" t="n">
        <f aca="false">WEEKNUM(ProyDia[[#This Row],[Día]],2)</f>
        <v>43</v>
      </c>
      <c r="K53" s="0" t="n">
        <v>2019</v>
      </c>
      <c r="L53" s="2" t="n">
        <f aca="false">WEEKDAY(ProyDia[[#This Row],[Día]],2)</f>
        <v>2</v>
      </c>
      <c r="M53" s="0" t="n">
        <f aca="false">VLOOKUP(ProyDia[[#This Row],[Cálculo02]],Dia[],3,0)</f>
        <v>0.1</v>
      </c>
      <c r="N53" s="0" t="n">
        <f aca="false">ProyDia[[#This Row],[Cálculo 01]]*ProyDia[[#This Row],[Pondera Día]]</f>
        <v>0.02</v>
      </c>
      <c r="O53" s="12" t="n">
        <f aca="false">ProyDia[[#This Row],[Calculo03]]/SUMIFS(ProyDia[Calculo03],ProyDia[Día],"&gt;="&amp;EOMONTH(ProyDia[[#This Row],[Día]],-1)+1,ProyDia[Día],"&lt;="&amp;EOMONTH(ProyDia[[#This Row],[Día]],0))</f>
        <v>0.023815761270809</v>
      </c>
      <c r="P53" s="2" t="n">
        <f aca="false">ProyDia[[#This Row],[Peso Día Final]]*7754000</f>
        <v>184667.412893853</v>
      </c>
    </row>
    <row r="54" customFormat="false" ht="14.4" hidden="false" customHeight="false" outlineLevel="0" collapsed="false">
      <c r="H54" s="10" t="n">
        <v>43761</v>
      </c>
      <c r="I54" s="11" t="n">
        <f aca="false">VLOOKUP(WEEKNUM(ProyDia[[#This Row],[Día]],2)-WEEKNUM(EOMONTH(ProyDia[[#This Row],[Día]],-1)+1,2)+1,Semana[],IF((WEEKNUM(EOMONTH(H54,0),2)-WEEKNUM(EOMONTH(H54,-1)+1,2)+1)=4,2,IF((WEEKNUM(EOMONTH(H54,0),2)-WEEKNUM(EOMONTH(H54,-1)+1,2)+1)=5,3,IF((WEEKNUM(EOMONTH(H54,0),2)-WEEKNUM(EOMONTH(H54,-1)+1,2)+1)=6,4,0))),0)</f>
        <v>0.2</v>
      </c>
      <c r="J54" s="0" t="n">
        <f aca="false">WEEKNUM(ProyDia[[#This Row],[Día]],2)</f>
        <v>43</v>
      </c>
      <c r="K54" s="0" t="n">
        <v>2019</v>
      </c>
      <c r="L54" s="2" t="n">
        <f aca="false">WEEKDAY(ProyDia[[#This Row],[Día]],2)</f>
        <v>3</v>
      </c>
      <c r="M54" s="0" t="n">
        <f aca="false">VLOOKUP(ProyDia[[#This Row],[Cálculo02]],Dia[],3,0)</f>
        <v>0.1</v>
      </c>
      <c r="N54" s="0" t="n">
        <f aca="false">ProyDia[[#This Row],[Cálculo 01]]*ProyDia[[#This Row],[Pondera Día]]</f>
        <v>0.02</v>
      </c>
      <c r="O54" s="12" t="n">
        <f aca="false">ProyDia[[#This Row],[Calculo03]]/SUMIFS(ProyDia[Calculo03],ProyDia[Día],"&gt;="&amp;EOMONTH(ProyDia[[#This Row],[Día]],-1)+1,ProyDia[Día],"&lt;="&amp;EOMONTH(ProyDia[[#This Row],[Día]],0))</f>
        <v>0.023815761270809</v>
      </c>
      <c r="P54" s="2" t="n">
        <f aca="false">ProyDia[[#This Row],[Peso Día Final]]*7754000</f>
        <v>184667.412893853</v>
      </c>
    </row>
    <row r="55" customFormat="false" ht="14.4" hidden="false" customHeight="false" outlineLevel="0" collapsed="false">
      <c r="H55" s="10" t="n">
        <v>43762</v>
      </c>
      <c r="I55" s="11" t="n">
        <f aca="false">VLOOKUP(WEEKNUM(ProyDia[[#This Row],[Día]],2)-WEEKNUM(EOMONTH(ProyDia[[#This Row],[Día]],-1)+1,2)+1,Semana[],IF((WEEKNUM(EOMONTH(H55,0),2)-WEEKNUM(EOMONTH(H55,-1)+1,2)+1)=4,2,IF((WEEKNUM(EOMONTH(H55,0),2)-WEEKNUM(EOMONTH(H55,-1)+1,2)+1)=5,3,IF((WEEKNUM(EOMONTH(H55,0),2)-WEEKNUM(EOMONTH(H55,-1)+1,2)+1)=6,4,0))),0)</f>
        <v>0.2</v>
      </c>
      <c r="J55" s="0" t="n">
        <f aca="false">WEEKNUM(ProyDia[[#This Row],[Día]],2)</f>
        <v>43</v>
      </c>
      <c r="K55" s="0" t="n">
        <v>2019</v>
      </c>
      <c r="L55" s="2" t="n">
        <f aca="false">WEEKDAY(ProyDia[[#This Row],[Día]],2)</f>
        <v>4</v>
      </c>
      <c r="M55" s="0" t="n">
        <f aca="false">VLOOKUP(ProyDia[[#This Row],[Cálculo02]],Dia[],3,0)</f>
        <v>0.1</v>
      </c>
      <c r="N55" s="0" t="n">
        <f aca="false">ProyDia[[#This Row],[Cálculo 01]]*ProyDia[[#This Row],[Pondera Día]]</f>
        <v>0.02</v>
      </c>
      <c r="O55" s="12" t="n">
        <f aca="false">ProyDia[[#This Row],[Calculo03]]/SUMIFS(ProyDia[Calculo03],ProyDia[Día],"&gt;="&amp;EOMONTH(ProyDia[[#This Row],[Día]],-1)+1,ProyDia[Día],"&lt;="&amp;EOMONTH(ProyDia[[#This Row],[Día]],0))</f>
        <v>0.023815761270809</v>
      </c>
      <c r="P55" s="2" t="n">
        <f aca="false">ProyDia[[#This Row],[Peso Día Final]]*7754000</f>
        <v>184667.412893853</v>
      </c>
    </row>
    <row r="56" customFormat="false" ht="14.4" hidden="false" customHeight="false" outlineLevel="0" collapsed="false">
      <c r="H56" s="10" t="n">
        <v>43763</v>
      </c>
      <c r="I56" s="11" t="n">
        <f aca="false">VLOOKUP(WEEKNUM(ProyDia[[#This Row],[Día]],2)-WEEKNUM(EOMONTH(ProyDia[[#This Row],[Día]],-1)+1,2)+1,Semana[],IF((WEEKNUM(EOMONTH(H56,0),2)-WEEKNUM(EOMONTH(H56,-1)+1,2)+1)=4,2,IF((WEEKNUM(EOMONTH(H56,0),2)-WEEKNUM(EOMONTH(H56,-1)+1,2)+1)=5,3,IF((WEEKNUM(EOMONTH(H56,0),2)-WEEKNUM(EOMONTH(H56,-1)+1,2)+1)=6,4,0))),0)</f>
        <v>0.2</v>
      </c>
      <c r="J56" s="0" t="n">
        <f aca="false">WEEKNUM(ProyDia[[#This Row],[Día]],2)</f>
        <v>43</v>
      </c>
      <c r="K56" s="0" t="n">
        <v>2019</v>
      </c>
      <c r="L56" s="2" t="n">
        <f aca="false">WEEKDAY(ProyDia[[#This Row],[Día]],2)</f>
        <v>5</v>
      </c>
      <c r="M56" s="0" t="n">
        <f aca="false">VLOOKUP(ProyDia[[#This Row],[Cálculo02]],Dia[],3,0)</f>
        <v>0.2</v>
      </c>
      <c r="N56" s="0" t="n">
        <f aca="false">ProyDia[[#This Row],[Cálculo 01]]*ProyDia[[#This Row],[Pondera Día]]</f>
        <v>0.04</v>
      </c>
      <c r="O56" s="12" t="n">
        <f aca="false">ProyDia[[#This Row],[Calculo03]]/SUMIFS(ProyDia[Calculo03],ProyDia[Día],"&gt;="&amp;EOMONTH(ProyDia[[#This Row],[Día]],-1)+1,ProyDia[Día],"&lt;="&amp;EOMONTH(ProyDia[[#This Row],[Día]],0))</f>
        <v>0.047631522541618</v>
      </c>
      <c r="P56" s="2" t="n">
        <f aca="false">ProyDia[[#This Row],[Peso Día Final]]*7754000</f>
        <v>369334.825787706</v>
      </c>
    </row>
    <row r="57" customFormat="false" ht="14.4" hidden="false" customHeight="false" outlineLevel="0" collapsed="false">
      <c r="H57" s="10" t="n">
        <v>43764</v>
      </c>
      <c r="I57" s="11" t="n">
        <f aca="false">VLOOKUP(WEEKNUM(ProyDia[[#This Row],[Día]],2)-WEEKNUM(EOMONTH(ProyDia[[#This Row],[Día]],-1)+1,2)+1,Semana[],IF((WEEKNUM(EOMONTH(H57,0),2)-WEEKNUM(EOMONTH(H57,-1)+1,2)+1)=4,2,IF((WEEKNUM(EOMONTH(H57,0),2)-WEEKNUM(EOMONTH(H57,-1)+1,2)+1)=5,3,IF((WEEKNUM(EOMONTH(H57,0),2)-WEEKNUM(EOMONTH(H57,-1)+1,2)+1)=6,4,0))),0)</f>
        <v>0.2</v>
      </c>
      <c r="J57" s="0" t="n">
        <f aca="false">WEEKNUM(ProyDia[[#This Row],[Día]],2)</f>
        <v>43</v>
      </c>
      <c r="K57" s="0" t="n">
        <v>2019</v>
      </c>
      <c r="L57" s="2" t="n">
        <f aca="false">WEEKDAY(ProyDia[[#This Row],[Día]],2)</f>
        <v>6</v>
      </c>
      <c r="M57" s="0" t="n">
        <f aca="false">VLOOKUP(ProyDia[[#This Row],[Cálculo02]],Dia[],3,0)</f>
        <v>0.25</v>
      </c>
      <c r="N57" s="0" t="n">
        <f aca="false">ProyDia[[#This Row],[Cálculo 01]]*ProyDia[[#This Row],[Pondera Día]]</f>
        <v>0.05</v>
      </c>
      <c r="O57" s="12" t="n">
        <f aca="false">ProyDia[[#This Row],[Calculo03]]/SUMIFS(ProyDia[Calculo03],ProyDia[Día],"&gt;="&amp;EOMONTH(ProyDia[[#This Row],[Día]],-1)+1,ProyDia[Día],"&lt;="&amp;EOMONTH(ProyDia[[#This Row],[Día]],0))</f>
        <v>0.0595394031770225</v>
      </c>
      <c r="P57" s="2" t="n">
        <f aca="false">ProyDia[[#This Row],[Peso Día Final]]*7754000</f>
        <v>461668.532234633</v>
      </c>
    </row>
    <row r="58" customFormat="false" ht="14.4" hidden="false" customHeight="false" outlineLevel="0" collapsed="false">
      <c r="H58" s="10" t="n">
        <v>43765</v>
      </c>
      <c r="I58" s="11" t="n">
        <f aca="false">VLOOKUP(WEEKNUM(ProyDia[[#This Row],[Día]],2)-WEEKNUM(EOMONTH(ProyDia[[#This Row],[Día]],-1)+1,2)+1,Semana[],IF((WEEKNUM(EOMONTH(H58,0),2)-WEEKNUM(EOMONTH(H58,-1)+1,2)+1)=4,2,IF((WEEKNUM(EOMONTH(H58,0),2)-WEEKNUM(EOMONTH(H58,-1)+1,2)+1)=5,3,IF((WEEKNUM(EOMONTH(H58,0),2)-WEEKNUM(EOMONTH(H58,-1)+1,2)+1)=6,4,0))),0)</f>
        <v>0.2</v>
      </c>
      <c r="J58" s="0" t="n">
        <f aca="false">WEEKNUM(ProyDia[[#This Row],[Día]],2)</f>
        <v>43</v>
      </c>
      <c r="K58" s="0" t="n">
        <v>2019</v>
      </c>
      <c r="L58" s="2" t="n">
        <f aca="false">WEEKDAY(ProyDia[[#This Row],[Día]],2)</f>
        <v>7</v>
      </c>
      <c r="M58" s="0" t="n">
        <v>0.12</v>
      </c>
      <c r="N58" s="0" t="n">
        <f aca="false">ProyDia[[#This Row],[Cálculo 01]]*ProyDia[[#This Row],[Pondera Día]]</f>
        <v>0.024</v>
      </c>
      <c r="O58" s="12" t="n">
        <f aca="false">ProyDia[[#This Row],[Calculo03]]/SUMIFS(ProyDia[Calculo03],ProyDia[Día],"&gt;="&amp;EOMONTH(ProyDia[[#This Row],[Día]],-1)+1,ProyDia[Día],"&lt;="&amp;EOMONTH(ProyDia[[#This Row],[Día]],0))</f>
        <v>0.0285789135249708</v>
      </c>
      <c r="P58" s="2" t="n">
        <f aca="false">ProyDia[[#This Row],[Peso Día Final]]*7754000</f>
        <v>221600.895472624</v>
      </c>
    </row>
    <row r="59" customFormat="false" ht="14.4" hidden="false" customHeight="false" outlineLevel="0" collapsed="false">
      <c r="H59" s="10" t="n">
        <v>43766</v>
      </c>
      <c r="I59" s="11" t="n">
        <f aca="false">VLOOKUP(WEEKNUM(ProyDia[[#This Row],[Día]],2)-WEEKNUM(EOMONTH(ProyDia[[#This Row],[Día]],-1)+1,2)+1,Semana[],IF((WEEKNUM(EOMONTH(H59,0),2)-WEEKNUM(EOMONTH(H59,-1)+1,2)+1)=4,2,IF((WEEKNUM(EOMONTH(H59,0),2)-WEEKNUM(EOMONTH(H59,-1)+1,2)+1)=5,3,IF((WEEKNUM(EOMONTH(H59,0),2)-WEEKNUM(EOMONTH(H59,-1)+1,2)+1)=6,4,0))),0)</f>
        <v>0.22</v>
      </c>
      <c r="J59" s="0" t="n">
        <f aca="false">WEEKNUM(ProyDia[[#This Row],[Día]],2)</f>
        <v>44</v>
      </c>
      <c r="K59" s="0" t="n">
        <v>2019</v>
      </c>
      <c r="L59" s="2" t="n">
        <f aca="false">WEEKDAY(ProyDia[[#This Row],[Día]],2)</f>
        <v>1</v>
      </c>
      <c r="M59" s="0" t="n">
        <v>0.08</v>
      </c>
      <c r="N59" s="0" t="n">
        <f aca="false">ProyDia[[#This Row],[Cálculo 01]]*ProyDia[[#This Row],[Pondera Día]]</f>
        <v>0.0176</v>
      </c>
      <c r="O59" s="12" t="n">
        <f aca="false">ProyDia[[#This Row],[Calculo03]]/SUMIFS(ProyDia[Calculo03],ProyDia[Día],"&gt;="&amp;EOMONTH(ProyDia[[#This Row],[Día]],-1)+1,ProyDia[Día],"&lt;="&amp;EOMONTH(ProyDia[[#This Row],[Día]],0))</f>
        <v>0.0209578699183119</v>
      </c>
      <c r="P59" s="2" t="n">
        <f aca="false">ProyDia[[#This Row],[Peso Día Final]]*7754000</f>
        <v>162507.323346591</v>
      </c>
    </row>
    <row r="60" customFormat="false" ht="14.4" hidden="false" customHeight="false" outlineLevel="0" collapsed="false">
      <c r="H60" s="10" t="n">
        <v>43767</v>
      </c>
      <c r="I60" s="11" t="n">
        <f aca="false">VLOOKUP(WEEKNUM(ProyDia[[#This Row],[Día]],2)-WEEKNUM(EOMONTH(ProyDia[[#This Row],[Día]],-1)+1,2)+1,Semana[],IF((WEEKNUM(EOMONTH(H60,0),2)-WEEKNUM(EOMONTH(H60,-1)+1,2)+1)=4,2,IF((WEEKNUM(EOMONTH(H60,0),2)-WEEKNUM(EOMONTH(H60,-1)+1,2)+1)=5,3,IF((WEEKNUM(EOMONTH(H60,0),2)-WEEKNUM(EOMONTH(H60,-1)+1,2)+1)=6,4,0))),0)</f>
        <v>0.22</v>
      </c>
      <c r="J60" s="0" t="n">
        <f aca="false">WEEKNUM(ProyDia[[#This Row],[Día]],2)</f>
        <v>44</v>
      </c>
      <c r="K60" s="0" t="n">
        <v>2019</v>
      </c>
      <c r="L60" s="2" t="n">
        <f aca="false">WEEKDAY(ProyDia[[#This Row],[Día]],2)</f>
        <v>2</v>
      </c>
      <c r="M60" s="0" t="n">
        <v>0.08</v>
      </c>
      <c r="N60" s="0" t="n">
        <f aca="false">ProyDia[[#This Row],[Cálculo 01]]*ProyDia[[#This Row],[Pondera Día]]</f>
        <v>0.0176</v>
      </c>
      <c r="O60" s="12" t="n">
        <f aca="false">ProyDia[[#This Row],[Calculo03]]/SUMIFS(ProyDia[Calculo03],ProyDia[Día],"&gt;="&amp;EOMONTH(ProyDia[[#This Row],[Día]],-1)+1,ProyDia[Día],"&lt;="&amp;EOMONTH(ProyDia[[#This Row],[Día]],0))</f>
        <v>0.0209578699183119</v>
      </c>
      <c r="P60" s="2" t="n">
        <f aca="false">ProyDia[[#This Row],[Peso Día Final]]*7754000</f>
        <v>162507.323346591</v>
      </c>
    </row>
    <row r="61" customFormat="false" ht="14.4" hidden="false" customHeight="false" outlineLevel="0" collapsed="false">
      <c r="H61" s="10" t="n">
        <v>43768</v>
      </c>
      <c r="I61" s="11" t="n">
        <f aca="false">VLOOKUP(WEEKNUM(ProyDia[[#This Row],[Día]],2)-WEEKNUM(EOMONTH(ProyDia[[#This Row],[Día]],-1)+1,2)+1,Semana[],IF((WEEKNUM(EOMONTH(H61,0),2)-WEEKNUM(EOMONTH(H61,-1)+1,2)+1)=4,2,IF((WEEKNUM(EOMONTH(H61,0),2)-WEEKNUM(EOMONTH(H61,-1)+1,2)+1)=5,3,IF((WEEKNUM(EOMONTH(H61,0),2)-WEEKNUM(EOMONTH(H61,-1)+1,2)+1)=6,4,0))),0)</f>
        <v>0.22</v>
      </c>
      <c r="J61" s="0" t="n">
        <f aca="false">WEEKNUM(ProyDia[[#This Row],[Día]],2)</f>
        <v>44</v>
      </c>
      <c r="K61" s="0" t="n">
        <v>2019</v>
      </c>
      <c r="L61" s="2" t="n">
        <f aca="false">WEEKDAY(ProyDia[[#This Row],[Día]],2)</f>
        <v>3</v>
      </c>
      <c r="M61" s="0" t="n">
        <v>0.08</v>
      </c>
      <c r="N61" s="0" t="n">
        <f aca="false">ProyDia[[#This Row],[Cálculo 01]]*ProyDia[[#This Row],[Pondera Día]]</f>
        <v>0.0176</v>
      </c>
      <c r="O61" s="12" t="n">
        <f aca="false">ProyDia[[#This Row],[Calculo03]]/SUMIFS(ProyDia[Calculo03],ProyDia[Día],"&gt;="&amp;EOMONTH(ProyDia[[#This Row],[Día]],-1)+1,ProyDia[Día],"&lt;="&amp;EOMONTH(ProyDia[[#This Row],[Día]],0))</f>
        <v>0.0209578699183119</v>
      </c>
      <c r="P61" s="2" t="n">
        <f aca="false">ProyDia[[#This Row],[Peso Día Final]]*7754000</f>
        <v>162507.323346591</v>
      </c>
    </row>
    <row r="62" customFormat="false" ht="14.4" hidden="false" customHeight="false" outlineLevel="0" collapsed="false">
      <c r="H62" s="10" t="n">
        <v>43769</v>
      </c>
      <c r="I62" s="11" t="n">
        <f aca="false">VLOOKUP(WEEKNUM(ProyDia[[#This Row],[Día]],2)-WEEKNUM(EOMONTH(ProyDia[[#This Row],[Día]],-1)+1,2)+1,Semana[],IF((WEEKNUM(EOMONTH(H62,0),2)-WEEKNUM(EOMONTH(H62,-1)+1,2)+1)=4,2,IF((WEEKNUM(EOMONTH(H62,0),2)-WEEKNUM(EOMONTH(H62,-1)+1,2)+1)=5,3,IF((WEEKNUM(EOMONTH(H62,0),2)-WEEKNUM(EOMONTH(H62,-1)+1,2)+1)=6,4,0))),0)</f>
        <v>0.22</v>
      </c>
      <c r="J62" s="0" t="n">
        <f aca="false">WEEKNUM(ProyDia[[#This Row],[Día]],2)</f>
        <v>44</v>
      </c>
      <c r="K62" s="0" t="n">
        <v>2019</v>
      </c>
      <c r="L62" s="2" t="n">
        <f aca="false">WEEKDAY(ProyDia[[#This Row],[Día]],2)</f>
        <v>4</v>
      </c>
      <c r="M62" s="0" t="n">
        <v>0.084</v>
      </c>
      <c r="N62" s="0" t="n">
        <f aca="false">ProyDia[[#This Row],[Cálculo 01]]*ProyDia[[#This Row],[Pondera Día]]</f>
        <v>0.01848</v>
      </c>
      <c r="O62" s="12" t="n">
        <f aca="false">ProyDia[[#This Row],[Calculo03]]/SUMIFS(ProyDia[Calculo03],ProyDia[Día],"&gt;="&amp;EOMONTH(ProyDia[[#This Row],[Día]],-1)+1,ProyDia[Día],"&lt;="&amp;EOMONTH(ProyDia[[#This Row],[Día]],0))</f>
        <v>0.0220057634142275</v>
      </c>
      <c r="P62" s="2" t="n">
        <f aca="false">ProyDia[[#This Row],[Peso Día Final]]*7754000</f>
        <v>170632.68951392</v>
      </c>
    </row>
    <row r="63" customFormat="false" ht="14.4" hidden="false" customHeight="false" outlineLevel="0" collapsed="false">
      <c r="H63" s="10" t="n">
        <v>43770</v>
      </c>
      <c r="I63" s="11" t="n">
        <f aca="false">VLOOKUP(WEEKNUM(ProyDia[[#This Row],[Día]],2)-WEEKNUM(EOMONTH(ProyDia[[#This Row],[Día]],-1)+1,2)+1,Semana[],IF((WEEKNUM(EOMONTH(H63,0),2)-WEEKNUM(EOMONTH(H63,-1)+1,2)+1)=4,2,IF((WEEKNUM(EOMONTH(H63,0),2)-WEEKNUM(EOMONTH(H63,-1)+1,2)+1)=5,3,IF((WEEKNUM(EOMONTH(H63,0),2)-WEEKNUM(EOMONTH(H63,-1)+1,2)+1)=6,4,0))),0)</f>
        <v>0.28</v>
      </c>
      <c r="J63" s="0" t="n">
        <f aca="false">WEEKNUM(ProyDia[[#This Row],[Día]],2)</f>
        <v>44</v>
      </c>
      <c r="K63" s="0" t="n">
        <v>2019</v>
      </c>
      <c r="L63" s="2" t="n">
        <f aca="false">WEEKDAY(ProyDia[[#This Row],[Día]],2)</f>
        <v>5</v>
      </c>
      <c r="M63" s="0" t="n">
        <f aca="false">VLOOKUP(ProyDia[[#This Row],[Cálculo02]],Dia[],3,0)</f>
        <v>0.2</v>
      </c>
      <c r="N63" s="0" t="n">
        <f aca="false">ProyDia[[#This Row],[Cálculo 01]]*ProyDia[[#This Row],[Pondera Día]]</f>
        <v>0.056</v>
      </c>
      <c r="O63" s="12" t="n">
        <f aca="false">ProyDia[[#This Row],[Calculo03]]/SUMIFS(ProyDia[Calculo03],ProyDia[Día],"&gt;="&amp;EOMONTH(ProyDia[[#This Row],[Día]],-1)+1,ProyDia[Día],"&lt;="&amp;EOMONTH(ProyDia[[#This Row],[Día]],0))</f>
        <v>0.0615316998132073</v>
      </c>
      <c r="P63" s="2" t="n">
        <f aca="false">ProyDia[[#This Row],[Peso Día Final]]*7754000</f>
        <v>477116.80035161</v>
      </c>
    </row>
    <row r="64" customFormat="false" ht="14.4" hidden="false" customHeight="false" outlineLevel="0" collapsed="false">
      <c r="H64" s="10" t="n">
        <v>43771</v>
      </c>
      <c r="I64" s="11" t="n">
        <f aca="false">VLOOKUP(WEEKNUM(ProyDia[[#This Row],[Día]],2)-WEEKNUM(EOMONTH(ProyDia[[#This Row],[Día]],-1)+1,2)+1,Semana[],IF((WEEKNUM(EOMONTH(H64,0),2)-WEEKNUM(EOMONTH(H64,-1)+1,2)+1)=4,2,IF((WEEKNUM(EOMONTH(H64,0),2)-WEEKNUM(EOMONTH(H64,-1)+1,2)+1)=5,3,IF((WEEKNUM(EOMONTH(H64,0),2)-WEEKNUM(EOMONTH(H64,-1)+1,2)+1)=6,4,0))),0)</f>
        <v>0.28</v>
      </c>
      <c r="J64" s="0" t="n">
        <f aca="false">WEEKNUM(ProyDia[[#This Row],[Día]],2)</f>
        <v>44</v>
      </c>
      <c r="K64" s="0" t="n">
        <v>2019</v>
      </c>
      <c r="L64" s="2" t="n">
        <f aca="false">WEEKDAY(ProyDia[[#This Row],[Día]],2)</f>
        <v>6</v>
      </c>
      <c r="M64" s="0" t="n">
        <f aca="false">VLOOKUP(ProyDia[[#This Row],[Cálculo02]],Dia[],3,0)</f>
        <v>0.25</v>
      </c>
      <c r="N64" s="0" t="n">
        <f aca="false">ProyDia[[#This Row],[Cálculo 01]]*ProyDia[[#This Row],[Pondera Día]]</f>
        <v>0.07</v>
      </c>
      <c r="O64" s="12" t="n">
        <f aca="false">ProyDia[[#This Row],[Calculo03]]/SUMIFS(ProyDia[Calculo03],ProyDia[Día],"&gt;="&amp;EOMONTH(ProyDia[[#This Row],[Día]],-1)+1,ProyDia[Día],"&lt;="&amp;EOMONTH(ProyDia[[#This Row],[Día]],0))</f>
        <v>0.0769146247665092</v>
      </c>
      <c r="P64" s="2" t="n">
        <f aca="false">ProyDia[[#This Row],[Peso Día Final]]*7754000</f>
        <v>596396.000439512</v>
      </c>
    </row>
    <row r="65" customFormat="false" ht="14.4" hidden="false" customHeight="false" outlineLevel="0" collapsed="false">
      <c r="H65" s="10" t="n">
        <v>43772</v>
      </c>
      <c r="I65" s="11" t="n">
        <f aca="false">VLOOKUP(WEEKNUM(ProyDia[[#This Row],[Día]],2)-WEEKNUM(EOMONTH(ProyDia[[#This Row],[Día]],-1)+1,2)+1,Semana[],IF((WEEKNUM(EOMONTH(H65,0),2)-WEEKNUM(EOMONTH(H65,-1)+1,2)+1)=4,2,IF((WEEKNUM(EOMONTH(H65,0),2)-WEEKNUM(EOMONTH(H65,-1)+1,2)+1)=5,3,IF((WEEKNUM(EOMONTH(H65,0),2)-WEEKNUM(EOMONTH(H65,-1)+1,2)+1)=6,4,0))),0)</f>
        <v>0.28</v>
      </c>
      <c r="J65" s="0" t="n">
        <f aca="false">WEEKNUM(ProyDia[[#This Row],[Día]],2)</f>
        <v>44</v>
      </c>
      <c r="K65" s="0" t="n">
        <v>2019</v>
      </c>
      <c r="L65" s="2" t="n">
        <f aca="false">WEEKDAY(ProyDia[[#This Row],[Día]],2)</f>
        <v>7</v>
      </c>
      <c r="M65" s="0" t="n">
        <v>0.12</v>
      </c>
      <c r="N65" s="0" t="n">
        <f aca="false">ProyDia[[#This Row],[Cálculo 01]]*ProyDia[[#This Row],[Pondera Día]]</f>
        <v>0.0336</v>
      </c>
      <c r="O65" s="12" t="n">
        <f aca="false">ProyDia[[#This Row],[Calculo03]]/SUMIFS(ProyDia[Calculo03],ProyDia[Día],"&gt;="&amp;EOMONTH(ProyDia[[#This Row],[Día]],-1)+1,ProyDia[Día],"&lt;="&amp;EOMONTH(ProyDia[[#This Row],[Día]],0))</f>
        <v>0.0369190198879244</v>
      </c>
      <c r="P65" s="2" t="n">
        <f aca="false">ProyDia[[#This Row],[Peso Día Final]]*7754000</f>
        <v>286270.080210966</v>
      </c>
    </row>
    <row r="66" customFormat="false" ht="14.4" hidden="false" customHeight="false" outlineLevel="0" collapsed="false">
      <c r="H66" s="10" t="n">
        <v>43773</v>
      </c>
      <c r="I66" s="11" t="n">
        <f aca="false">VLOOKUP(WEEKNUM(ProyDia[[#This Row],[Día]],2)-WEEKNUM(EOMONTH(ProyDia[[#This Row],[Día]],-1)+1,2)+1,Semana[],IF((WEEKNUM(EOMONTH(H66,0),2)-WEEKNUM(EOMONTH(H66,-1)+1,2)+1)=4,2,IF((WEEKNUM(EOMONTH(H66,0),2)-WEEKNUM(EOMONTH(H66,-1)+1,2)+1)=5,3,IF((WEEKNUM(EOMONTH(H66,0),2)-WEEKNUM(EOMONTH(H66,-1)+1,2)+1)=6,4,0))),0)</f>
        <v>0.15</v>
      </c>
      <c r="J66" s="0" t="n">
        <f aca="false">WEEKNUM(ProyDia[[#This Row],[Día]],2)</f>
        <v>45</v>
      </c>
      <c r="K66" s="0" t="n">
        <v>2019</v>
      </c>
      <c r="L66" s="2" t="n">
        <f aca="false">WEEKDAY(ProyDia[[#This Row],[Día]],2)</f>
        <v>1</v>
      </c>
      <c r="M66" s="0" t="n">
        <f aca="false">VLOOKUP(ProyDia[[#This Row],[Cálculo02]],Dia[],3,0)</f>
        <v>0.1</v>
      </c>
      <c r="N66" s="0" t="n">
        <f aca="false">ProyDia[[#This Row],[Cálculo 01]]*ProyDia[[#This Row],[Pondera Día]]</f>
        <v>0.015</v>
      </c>
      <c r="O66" s="12" t="n">
        <f aca="false">ProyDia[[#This Row],[Calculo03]]/SUMIFS(ProyDia[Calculo03],ProyDia[Día],"&gt;="&amp;EOMONTH(ProyDia[[#This Row],[Día]],-1)+1,ProyDia[Día],"&lt;="&amp;EOMONTH(ProyDia[[#This Row],[Día]],0))</f>
        <v>0.0164817053071091</v>
      </c>
      <c r="P66" s="2" t="n">
        <f aca="false">ProyDia[[#This Row],[Peso Día Final]]*7754000</f>
        <v>127799.142951324</v>
      </c>
    </row>
    <row r="67" customFormat="false" ht="14.4" hidden="false" customHeight="false" outlineLevel="0" collapsed="false">
      <c r="H67" s="10" t="n">
        <v>43774</v>
      </c>
      <c r="I67" s="11" t="n">
        <f aca="false">VLOOKUP(WEEKNUM(ProyDia[[#This Row],[Día]],2)-WEEKNUM(EOMONTH(ProyDia[[#This Row],[Día]],-1)+1,2)+1,Semana[],IF((WEEKNUM(EOMONTH(H67,0),2)-WEEKNUM(EOMONTH(H67,-1)+1,2)+1)=4,2,IF((WEEKNUM(EOMONTH(H67,0),2)-WEEKNUM(EOMONTH(H67,-1)+1,2)+1)=5,3,IF((WEEKNUM(EOMONTH(H67,0),2)-WEEKNUM(EOMONTH(H67,-1)+1,2)+1)=6,4,0))),0)</f>
        <v>0.15</v>
      </c>
      <c r="J67" s="0" t="n">
        <f aca="false">WEEKNUM(ProyDia[[#This Row],[Día]],2)</f>
        <v>45</v>
      </c>
      <c r="K67" s="0" t="n">
        <v>2019</v>
      </c>
      <c r="L67" s="2" t="n">
        <f aca="false">WEEKDAY(ProyDia[[#This Row],[Día]],2)</f>
        <v>2</v>
      </c>
      <c r="M67" s="0" t="n">
        <f aca="false">VLOOKUP(ProyDia[[#This Row],[Cálculo02]],Dia[],3,0)</f>
        <v>0.1</v>
      </c>
      <c r="N67" s="0" t="n">
        <f aca="false">ProyDia[[#This Row],[Cálculo 01]]*ProyDia[[#This Row],[Pondera Día]]</f>
        <v>0.015</v>
      </c>
      <c r="O67" s="12" t="n">
        <f aca="false">ProyDia[[#This Row],[Calculo03]]/SUMIFS(ProyDia[Calculo03],ProyDia[Día],"&gt;="&amp;EOMONTH(ProyDia[[#This Row],[Día]],-1)+1,ProyDia[Día],"&lt;="&amp;EOMONTH(ProyDia[[#This Row],[Día]],0))</f>
        <v>0.0164817053071091</v>
      </c>
      <c r="P67" s="2" t="n">
        <f aca="false">ProyDia[[#This Row],[Peso Día Final]]*7754000</f>
        <v>127799.142951324</v>
      </c>
    </row>
    <row r="68" customFormat="false" ht="14.4" hidden="false" customHeight="false" outlineLevel="0" collapsed="false">
      <c r="H68" s="10" t="n">
        <v>43775</v>
      </c>
      <c r="I68" s="11" t="n">
        <f aca="false">VLOOKUP(WEEKNUM(ProyDia[[#This Row],[Día]],2)-WEEKNUM(EOMONTH(ProyDia[[#This Row],[Día]],-1)+1,2)+1,Semana[],IF((WEEKNUM(EOMONTH(H68,0),2)-WEEKNUM(EOMONTH(H68,-1)+1,2)+1)=4,2,IF((WEEKNUM(EOMONTH(H68,0),2)-WEEKNUM(EOMONTH(H68,-1)+1,2)+1)=5,3,IF((WEEKNUM(EOMONTH(H68,0),2)-WEEKNUM(EOMONTH(H68,-1)+1,2)+1)=6,4,0))),0)</f>
        <v>0.15</v>
      </c>
      <c r="J68" s="0" t="n">
        <f aca="false">WEEKNUM(ProyDia[[#This Row],[Día]],2)</f>
        <v>45</v>
      </c>
      <c r="K68" s="0" t="n">
        <v>2019</v>
      </c>
      <c r="L68" s="2" t="n">
        <f aca="false">WEEKDAY(ProyDia[[#This Row],[Día]],2)</f>
        <v>3</v>
      </c>
      <c r="M68" s="0" t="n">
        <f aca="false">VLOOKUP(ProyDia[[#This Row],[Cálculo02]],Dia[],3,0)</f>
        <v>0.1</v>
      </c>
      <c r="N68" s="0" t="n">
        <f aca="false">ProyDia[[#This Row],[Cálculo 01]]*ProyDia[[#This Row],[Pondera Día]]</f>
        <v>0.015</v>
      </c>
      <c r="O68" s="12" t="n">
        <f aca="false">ProyDia[[#This Row],[Calculo03]]/SUMIFS(ProyDia[Calculo03],ProyDia[Día],"&gt;="&amp;EOMONTH(ProyDia[[#This Row],[Día]],-1)+1,ProyDia[Día],"&lt;="&amp;EOMONTH(ProyDia[[#This Row],[Día]],0))</f>
        <v>0.0164817053071091</v>
      </c>
      <c r="P68" s="2" t="n">
        <f aca="false">ProyDia[[#This Row],[Peso Día Final]]*7754000</f>
        <v>127799.142951324</v>
      </c>
    </row>
    <row r="69" customFormat="false" ht="14.4" hidden="false" customHeight="false" outlineLevel="0" collapsed="false">
      <c r="H69" s="10" t="n">
        <v>43776</v>
      </c>
      <c r="I69" s="11" t="n">
        <f aca="false">VLOOKUP(WEEKNUM(ProyDia[[#This Row],[Día]],2)-WEEKNUM(EOMONTH(ProyDia[[#This Row],[Día]],-1)+1,2)+1,Semana[],IF((WEEKNUM(EOMONTH(H69,0),2)-WEEKNUM(EOMONTH(H69,-1)+1,2)+1)=4,2,IF((WEEKNUM(EOMONTH(H69,0),2)-WEEKNUM(EOMONTH(H69,-1)+1,2)+1)=5,3,IF((WEEKNUM(EOMONTH(H69,0),2)-WEEKNUM(EOMONTH(H69,-1)+1,2)+1)=6,4,0))),0)</f>
        <v>0.15</v>
      </c>
      <c r="J69" s="0" t="n">
        <f aca="false">WEEKNUM(ProyDia[[#This Row],[Día]],2)</f>
        <v>45</v>
      </c>
      <c r="K69" s="0" t="n">
        <v>2019</v>
      </c>
      <c r="L69" s="2" t="n">
        <f aca="false">WEEKDAY(ProyDia[[#This Row],[Día]],2)</f>
        <v>4</v>
      </c>
      <c r="M69" s="0" t="n">
        <f aca="false">VLOOKUP(ProyDia[[#This Row],[Cálculo02]],Dia[],3,0)</f>
        <v>0.1</v>
      </c>
      <c r="N69" s="0" t="n">
        <f aca="false">ProyDia[[#This Row],[Cálculo 01]]*ProyDia[[#This Row],[Pondera Día]]</f>
        <v>0.015</v>
      </c>
      <c r="O69" s="12" t="n">
        <f aca="false">ProyDia[[#This Row],[Calculo03]]/SUMIFS(ProyDia[Calculo03],ProyDia[Día],"&gt;="&amp;EOMONTH(ProyDia[[#This Row],[Día]],-1)+1,ProyDia[Día],"&lt;="&amp;EOMONTH(ProyDia[[#This Row],[Día]],0))</f>
        <v>0.0164817053071091</v>
      </c>
      <c r="P69" s="2" t="n">
        <f aca="false">ProyDia[[#This Row],[Peso Día Final]]*7754000</f>
        <v>127799.142951324</v>
      </c>
    </row>
    <row r="70" customFormat="false" ht="14.4" hidden="false" customHeight="false" outlineLevel="0" collapsed="false">
      <c r="H70" s="10" t="n">
        <v>43777</v>
      </c>
      <c r="I70" s="11" t="n">
        <f aca="false">VLOOKUP(WEEKNUM(ProyDia[[#This Row],[Día]],2)-WEEKNUM(EOMONTH(ProyDia[[#This Row],[Día]],-1)+1,2)+1,Semana[],IF((WEEKNUM(EOMONTH(H70,0),2)-WEEKNUM(EOMONTH(H70,-1)+1,2)+1)=4,2,IF((WEEKNUM(EOMONTH(H70,0),2)-WEEKNUM(EOMONTH(H70,-1)+1,2)+1)=5,3,IF((WEEKNUM(EOMONTH(H70,0),2)-WEEKNUM(EOMONTH(H70,-1)+1,2)+1)=6,4,0))),0)</f>
        <v>0.15</v>
      </c>
      <c r="J70" s="0" t="n">
        <f aca="false">WEEKNUM(ProyDia[[#This Row],[Día]],2)</f>
        <v>45</v>
      </c>
      <c r="K70" s="0" t="n">
        <v>2019</v>
      </c>
      <c r="L70" s="2" t="n">
        <f aca="false">WEEKDAY(ProyDia[[#This Row],[Día]],2)</f>
        <v>5</v>
      </c>
      <c r="M70" s="0" t="n">
        <f aca="false">VLOOKUP(ProyDia[[#This Row],[Cálculo02]],Dia[],3,0)</f>
        <v>0.2</v>
      </c>
      <c r="N70" s="0" t="n">
        <f aca="false">ProyDia[[#This Row],[Cálculo 01]]*ProyDia[[#This Row],[Pondera Día]]</f>
        <v>0.03</v>
      </c>
      <c r="O70" s="12" t="n">
        <f aca="false">ProyDia[[#This Row],[Calculo03]]/SUMIFS(ProyDia[Calculo03],ProyDia[Día],"&gt;="&amp;EOMONTH(ProyDia[[#This Row],[Día]],-1)+1,ProyDia[Día],"&lt;="&amp;EOMONTH(ProyDia[[#This Row],[Día]],0))</f>
        <v>0.0329634106142182</v>
      </c>
      <c r="P70" s="2" t="n">
        <f aca="false">ProyDia[[#This Row],[Peso Día Final]]*7754000</f>
        <v>255598.285902648</v>
      </c>
    </row>
    <row r="71" customFormat="false" ht="14.4" hidden="false" customHeight="false" outlineLevel="0" collapsed="false">
      <c r="H71" s="10" t="n">
        <v>43778</v>
      </c>
      <c r="I71" s="11" t="n">
        <f aca="false">VLOOKUP(WEEKNUM(ProyDia[[#This Row],[Día]],2)-WEEKNUM(EOMONTH(ProyDia[[#This Row],[Día]],-1)+1,2)+1,Semana[],IF((WEEKNUM(EOMONTH(H71,0),2)-WEEKNUM(EOMONTH(H71,-1)+1,2)+1)=4,2,IF((WEEKNUM(EOMONTH(H71,0),2)-WEEKNUM(EOMONTH(H71,-1)+1,2)+1)=5,3,IF((WEEKNUM(EOMONTH(H71,0),2)-WEEKNUM(EOMONTH(H71,-1)+1,2)+1)=6,4,0))),0)</f>
        <v>0.15</v>
      </c>
      <c r="J71" s="0" t="n">
        <f aca="false">WEEKNUM(ProyDia[[#This Row],[Día]],2)</f>
        <v>45</v>
      </c>
      <c r="K71" s="0" t="n">
        <v>2019</v>
      </c>
      <c r="L71" s="2" t="n">
        <f aca="false">WEEKDAY(ProyDia[[#This Row],[Día]],2)</f>
        <v>6</v>
      </c>
      <c r="M71" s="0" t="n">
        <f aca="false">VLOOKUP(ProyDia[[#This Row],[Cálculo02]],Dia[],3,0)</f>
        <v>0.25</v>
      </c>
      <c r="N71" s="0" t="n">
        <f aca="false">ProyDia[[#This Row],[Cálculo 01]]*ProyDia[[#This Row],[Pondera Día]]</f>
        <v>0.0375</v>
      </c>
      <c r="O71" s="12" t="n">
        <f aca="false">ProyDia[[#This Row],[Calculo03]]/SUMIFS(ProyDia[Calculo03],ProyDia[Día],"&gt;="&amp;EOMONTH(ProyDia[[#This Row],[Día]],-1)+1,ProyDia[Día],"&lt;="&amp;EOMONTH(ProyDia[[#This Row],[Día]],0))</f>
        <v>0.0412042632677728</v>
      </c>
      <c r="P71" s="2" t="n">
        <f aca="false">ProyDia[[#This Row],[Peso Día Final]]*7754000</f>
        <v>319497.85737831</v>
      </c>
    </row>
    <row r="72" customFormat="false" ht="14.4" hidden="false" customHeight="false" outlineLevel="0" collapsed="false">
      <c r="H72" s="10" t="n">
        <v>43779</v>
      </c>
      <c r="I72" s="11" t="n">
        <f aca="false">VLOOKUP(WEEKNUM(ProyDia[[#This Row],[Día]],2)-WEEKNUM(EOMONTH(ProyDia[[#This Row],[Día]],-1)+1,2)+1,Semana[],IF((WEEKNUM(EOMONTH(H72,0),2)-WEEKNUM(EOMONTH(H72,-1)+1,2)+1)=4,2,IF((WEEKNUM(EOMONTH(H72,0),2)-WEEKNUM(EOMONTH(H72,-1)+1,2)+1)=5,3,IF((WEEKNUM(EOMONTH(H72,0),2)-WEEKNUM(EOMONTH(H72,-1)+1,2)+1)=6,4,0))),0)</f>
        <v>0.15</v>
      </c>
      <c r="J72" s="0" t="n">
        <f aca="false">WEEKNUM(ProyDia[[#This Row],[Día]],2)</f>
        <v>45</v>
      </c>
      <c r="K72" s="0" t="n">
        <v>2019</v>
      </c>
      <c r="L72" s="2" t="n">
        <f aca="false">WEEKDAY(ProyDia[[#This Row],[Día]],2)</f>
        <v>7</v>
      </c>
      <c r="M72" s="0" t="n">
        <f aca="false">VLOOKUP(ProyDia[[#This Row],[Cálculo02]],Dia[],3,0)</f>
        <v>0.15</v>
      </c>
      <c r="N72" s="0" t="n">
        <f aca="false">ProyDia[[#This Row],[Cálculo 01]]*ProyDia[[#This Row],[Pondera Día]]</f>
        <v>0.0225</v>
      </c>
      <c r="O72" s="12" t="n">
        <f aca="false">ProyDia[[#This Row],[Calculo03]]/SUMIFS(ProyDia[Calculo03],ProyDia[Día],"&gt;="&amp;EOMONTH(ProyDia[[#This Row],[Día]],-1)+1,ProyDia[Día],"&lt;="&amp;EOMONTH(ProyDia[[#This Row],[Día]],0))</f>
        <v>0.0247225579606637</v>
      </c>
      <c r="P72" s="2" t="n">
        <f aca="false">ProyDia[[#This Row],[Peso Día Final]]*7754000</f>
        <v>191698.714426986</v>
      </c>
    </row>
    <row r="73" customFormat="false" ht="14.4" hidden="false" customHeight="false" outlineLevel="0" collapsed="false">
      <c r="H73" s="10" t="n">
        <v>43780</v>
      </c>
      <c r="I73" s="11" t="n">
        <f aca="false">VLOOKUP(WEEKNUM(ProyDia[[#This Row],[Día]],2)-WEEKNUM(EOMONTH(ProyDia[[#This Row],[Día]],-1)+1,2)+1,Semana[],IF((WEEKNUM(EOMONTH(H73,0),2)-WEEKNUM(EOMONTH(H73,-1)+1,2)+1)=4,2,IF((WEEKNUM(EOMONTH(H73,0),2)-WEEKNUM(EOMONTH(H73,-1)+1,2)+1)=5,3,IF((WEEKNUM(EOMONTH(H73,0),2)-WEEKNUM(EOMONTH(H73,-1)+1,2)+1)=6,4,0))),0)</f>
        <v>0.15</v>
      </c>
      <c r="J73" s="0" t="n">
        <f aca="false">WEEKNUM(ProyDia[[#This Row],[Día]],2)</f>
        <v>46</v>
      </c>
      <c r="K73" s="0" t="n">
        <v>2019</v>
      </c>
      <c r="L73" s="2" t="n">
        <f aca="false">WEEKDAY(ProyDia[[#This Row],[Día]],2)</f>
        <v>1</v>
      </c>
      <c r="M73" s="0" t="n">
        <f aca="false">VLOOKUP(ProyDia[[#This Row],[Cálculo02]],Dia[],3,0)</f>
        <v>0.1</v>
      </c>
      <c r="N73" s="0" t="n">
        <f aca="false">ProyDia[[#This Row],[Cálculo 01]]*ProyDia[[#This Row],[Pondera Día]]</f>
        <v>0.015</v>
      </c>
      <c r="O73" s="12" t="n">
        <f aca="false">ProyDia[[#This Row],[Calculo03]]/SUMIFS(ProyDia[Calculo03],ProyDia[Día],"&gt;="&amp;EOMONTH(ProyDia[[#This Row],[Día]],-1)+1,ProyDia[Día],"&lt;="&amp;EOMONTH(ProyDia[[#This Row],[Día]],0))</f>
        <v>0.0164817053071091</v>
      </c>
      <c r="P73" s="2" t="n">
        <f aca="false">ProyDia[[#This Row],[Peso Día Final]]*7754000</f>
        <v>127799.142951324</v>
      </c>
    </row>
    <row r="74" customFormat="false" ht="14.4" hidden="false" customHeight="false" outlineLevel="0" collapsed="false">
      <c r="H74" s="10" t="n">
        <v>43781</v>
      </c>
      <c r="I74" s="11" t="n">
        <f aca="false">VLOOKUP(WEEKNUM(ProyDia[[#This Row],[Día]],2)-WEEKNUM(EOMONTH(ProyDia[[#This Row],[Día]],-1)+1,2)+1,Semana[],IF((WEEKNUM(EOMONTH(H74,0),2)-WEEKNUM(EOMONTH(H74,-1)+1,2)+1)=4,2,IF((WEEKNUM(EOMONTH(H74,0),2)-WEEKNUM(EOMONTH(H74,-1)+1,2)+1)=5,3,IF((WEEKNUM(EOMONTH(H74,0),2)-WEEKNUM(EOMONTH(H74,-1)+1,2)+1)=6,4,0))),0)</f>
        <v>0.15</v>
      </c>
      <c r="J74" s="0" t="n">
        <f aca="false">WEEKNUM(ProyDia[[#This Row],[Día]],2)</f>
        <v>46</v>
      </c>
      <c r="K74" s="0" t="n">
        <v>2019</v>
      </c>
      <c r="L74" s="2" t="n">
        <f aca="false">WEEKDAY(ProyDia[[#This Row],[Día]],2)</f>
        <v>2</v>
      </c>
      <c r="M74" s="0" t="n">
        <f aca="false">VLOOKUP(ProyDia[[#This Row],[Cálculo02]],Dia[],3,0)</f>
        <v>0.1</v>
      </c>
      <c r="N74" s="0" t="n">
        <f aca="false">ProyDia[[#This Row],[Cálculo 01]]*ProyDia[[#This Row],[Pondera Día]]</f>
        <v>0.015</v>
      </c>
      <c r="O74" s="12" t="n">
        <f aca="false">ProyDia[[#This Row],[Calculo03]]/SUMIFS(ProyDia[Calculo03],ProyDia[Día],"&gt;="&amp;EOMONTH(ProyDia[[#This Row],[Día]],-1)+1,ProyDia[Día],"&lt;="&amp;EOMONTH(ProyDia[[#This Row],[Día]],0))</f>
        <v>0.0164817053071091</v>
      </c>
      <c r="P74" s="2" t="n">
        <f aca="false">ProyDia[[#This Row],[Peso Día Final]]*7754000</f>
        <v>127799.142951324</v>
      </c>
    </row>
    <row r="75" customFormat="false" ht="14.4" hidden="false" customHeight="false" outlineLevel="0" collapsed="false">
      <c r="H75" s="10" t="n">
        <v>43782</v>
      </c>
      <c r="I75" s="11" t="n">
        <f aca="false">VLOOKUP(WEEKNUM(ProyDia[[#This Row],[Día]],2)-WEEKNUM(EOMONTH(ProyDia[[#This Row],[Día]],-1)+1,2)+1,Semana[],IF((WEEKNUM(EOMONTH(H75,0),2)-WEEKNUM(EOMONTH(H75,-1)+1,2)+1)=4,2,IF((WEEKNUM(EOMONTH(H75,0),2)-WEEKNUM(EOMONTH(H75,-1)+1,2)+1)=5,3,IF((WEEKNUM(EOMONTH(H75,0),2)-WEEKNUM(EOMONTH(H75,-1)+1,2)+1)=6,4,0))),0)</f>
        <v>0.15</v>
      </c>
      <c r="J75" s="0" t="n">
        <f aca="false">WEEKNUM(ProyDia[[#This Row],[Día]],2)</f>
        <v>46</v>
      </c>
      <c r="K75" s="0" t="n">
        <v>2019</v>
      </c>
      <c r="L75" s="2" t="n">
        <f aca="false">WEEKDAY(ProyDia[[#This Row],[Día]],2)</f>
        <v>3</v>
      </c>
      <c r="M75" s="0" t="n">
        <f aca="false">VLOOKUP(ProyDia[[#This Row],[Cálculo02]],Dia[],3,0)</f>
        <v>0.1</v>
      </c>
      <c r="N75" s="0" t="n">
        <f aca="false">ProyDia[[#This Row],[Cálculo 01]]*ProyDia[[#This Row],[Pondera Día]]</f>
        <v>0.015</v>
      </c>
      <c r="O75" s="12" t="n">
        <f aca="false">ProyDia[[#This Row],[Calculo03]]/SUMIFS(ProyDia[Calculo03],ProyDia[Día],"&gt;="&amp;EOMONTH(ProyDia[[#This Row],[Día]],-1)+1,ProyDia[Día],"&lt;="&amp;EOMONTH(ProyDia[[#This Row],[Día]],0))</f>
        <v>0.0164817053071091</v>
      </c>
      <c r="P75" s="2" t="n">
        <f aca="false">ProyDia[[#This Row],[Peso Día Final]]*7754000</f>
        <v>127799.142951324</v>
      </c>
    </row>
    <row r="76" customFormat="false" ht="14.4" hidden="false" customHeight="false" outlineLevel="0" collapsed="false">
      <c r="H76" s="10" t="n">
        <v>43783</v>
      </c>
      <c r="I76" s="11" t="n">
        <f aca="false">VLOOKUP(WEEKNUM(ProyDia[[#This Row],[Día]],2)-WEEKNUM(EOMONTH(ProyDia[[#This Row],[Día]],-1)+1,2)+1,Semana[],IF((WEEKNUM(EOMONTH(H76,0),2)-WEEKNUM(EOMONTH(H76,-1)+1,2)+1)=4,2,IF((WEEKNUM(EOMONTH(H76,0),2)-WEEKNUM(EOMONTH(H76,-1)+1,2)+1)=5,3,IF((WEEKNUM(EOMONTH(H76,0),2)-WEEKNUM(EOMONTH(H76,-1)+1,2)+1)=6,4,0))),0)</f>
        <v>0.15</v>
      </c>
      <c r="J76" s="0" t="n">
        <f aca="false">WEEKNUM(ProyDia[[#This Row],[Día]],2)</f>
        <v>46</v>
      </c>
      <c r="K76" s="0" t="n">
        <v>2019</v>
      </c>
      <c r="L76" s="2" t="n">
        <f aca="false">WEEKDAY(ProyDia[[#This Row],[Día]],2)</f>
        <v>4</v>
      </c>
      <c r="M76" s="0" t="n">
        <f aca="false">VLOOKUP(ProyDia[[#This Row],[Cálculo02]],Dia[],3,0)</f>
        <v>0.1</v>
      </c>
      <c r="N76" s="0" t="n">
        <f aca="false">ProyDia[[#This Row],[Cálculo 01]]*ProyDia[[#This Row],[Pondera Día]]</f>
        <v>0.015</v>
      </c>
      <c r="O76" s="12" t="n">
        <f aca="false">ProyDia[[#This Row],[Calculo03]]/SUMIFS(ProyDia[Calculo03],ProyDia[Día],"&gt;="&amp;EOMONTH(ProyDia[[#This Row],[Día]],-1)+1,ProyDia[Día],"&lt;="&amp;EOMONTH(ProyDia[[#This Row],[Día]],0))</f>
        <v>0.0164817053071091</v>
      </c>
      <c r="P76" s="2" t="n">
        <f aca="false">ProyDia[[#This Row],[Peso Día Final]]*7754000</f>
        <v>127799.142951324</v>
      </c>
    </row>
    <row r="77" customFormat="false" ht="14.4" hidden="false" customHeight="false" outlineLevel="0" collapsed="false">
      <c r="H77" s="10" t="n">
        <v>43784</v>
      </c>
      <c r="I77" s="11" t="n">
        <f aca="false">VLOOKUP(WEEKNUM(ProyDia[[#This Row],[Día]],2)-WEEKNUM(EOMONTH(ProyDia[[#This Row],[Día]],-1)+1,2)+1,Semana[],IF((WEEKNUM(EOMONTH(H77,0),2)-WEEKNUM(EOMONTH(H77,-1)+1,2)+1)=4,2,IF((WEEKNUM(EOMONTH(H77,0),2)-WEEKNUM(EOMONTH(H77,-1)+1,2)+1)=5,3,IF((WEEKNUM(EOMONTH(H77,0),2)-WEEKNUM(EOMONTH(H77,-1)+1,2)+1)=6,4,0))),0)</f>
        <v>0.15</v>
      </c>
      <c r="J77" s="0" t="n">
        <f aca="false">WEEKNUM(ProyDia[[#This Row],[Día]],2)</f>
        <v>46</v>
      </c>
      <c r="K77" s="0" t="n">
        <v>2019</v>
      </c>
      <c r="L77" s="2" t="n">
        <f aca="false">WEEKDAY(ProyDia[[#This Row],[Día]],2)</f>
        <v>5</v>
      </c>
      <c r="M77" s="0" t="n">
        <v>0.3</v>
      </c>
      <c r="N77" s="0" t="n">
        <f aca="false">ProyDia[[#This Row],[Cálculo 01]]*ProyDia[[#This Row],[Pondera Día]]</f>
        <v>0.045</v>
      </c>
      <c r="O77" s="12" t="n">
        <f aca="false">ProyDia[[#This Row],[Calculo03]]/SUMIFS(ProyDia[Calculo03],ProyDia[Día],"&gt;="&amp;EOMONTH(ProyDia[[#This Row],[Día]],-1)+1,ProyDia[Día],"&lt;="&amp;EOMONTH(ProyDia[[#This Row],[Día]],0))</f>
        <v>0.0494451159213273</v>
      </c>
      <c r="P77" s="2" t="n">
        <f aca="false">ProyDia[[#This Row],[Peso Día Final]]*7754000</f>
        <v>383397.428853972</v>
      </c>
    </row>
    <row r="78" customFormat="false" ht="14.4" hidden="false" customHeight="false" outlineLevel="0" collapsed="false">
      <c r="H78" s="10" t="n">
        <v>43785</v>
      </c>
      <c r="I78" s="11" t="n">
        <f aca="false">VLOOKUP(WEEKNUM(ProyDia[[#This Row],[Día]],2)-WEEKNUM(EOMONTH(ProyDia[[#This Row],[Día]],-1)+1,2)+1,Semana[],IF((WEEKNUM(EOMONTH(H78,0),2)-WEEKNUM(EOMONTH(H78,-1)+1,2)+1)=4,2,IF((WEEKNUM(EOMONTH(H78,0),2)-WEEKNUM(EOMONTH(H78,-1)+1,2)+1)=5,3,IF((WEEKNUM(EOMONTH(H78,0),2)-WEEKNUM(EOMONTH(H78,-1)+1,2)+1)=6,4,0))),0)</f>
        <v>0.15</v>
      </c>
      <c r="J78" s="0" t="n">
        <f aca="false">WEEKNUM(ProyDia[[#This Row],[Día]],2)</f>
        <v>46</v>
      </c>
      <c r="K78" s="0" t="n">
        <v>2019</v>
      </c>
      <c r="L78" s="2" t="n">
        <f aca="false">WEEKDAY(ProyDia[[#This Row],[Día]],2)</f>
        <v>6</v>
      </c>
      <c r="M78" s="0" t="n">
        <v>0.4</v>
      </c>
      <c r="N78" s="0" t="n">
        <f aca="false">ProyDia[[#This Row],[Cálculo 01]]*ProyDia[[#This Row],[Pondera Día]]</f>
        <v>0.06</v>
      </c>
      <c r="O78" s="12" t="n">
        <f aca="false">ProyDia[[#This Row],[Calculo03]]/SUMIFS(ProyDia[Calculo03],ProyDia[Día],"&gt;="&amp;EOMONTH(ProyDia[[#This Row],[Día]],-1)+1,ProyDia[Día],"&lt;="&amp;EOMONTH(ProyDia[[#This Row],[Día]],0))</f>
        <v>0.0659268212284364</v>
      </c>
      <c r="P78" s="2" t="n">
        <f aca="false">ProyDia[[#This Row],[Peso Día Final]]*7754000</f>
        <v>511196.571805296</v>
      </c>
    </row>
    <row r="79" customFormat="false" ht="14.4" hidden="false" customHeight="false" outlineLevel="0" collapsed="false">
      <c r="H79" s="10" t="n">
        <v>43786</v>
      </c>
      <c r="I79" s="11" t="n">
        <f aca="false">VLOOKUP(WEEKNUM(ProyDia[[#This Row],[Día]],2)-WEEKNUM(EOMONTH(ProyDia[[#This Row],[Día]],-1)+1,2)+1,Semana[],IF((WEEKNUM(EOMONTH(H79,0),2)-WEEKNUM(EOMONTH(H79,-1)+1,2)+1)=4,2,IF((WEEKNUM(EOMONTH(H79,0),2)-WEEKNUM(EOMONTH(H79,-1)+1,2)+1)=5,3,IF((WEEKNUM(EOMONTH(H79,0),2)-WEEKNUM(EOMONTH(H79,-1)+1,2)+1)=6,4,0))),0)</f>
        <v>0.15</v>
      </c>
      <c r="J79" s="0" t="n">
        <f aca="false">WEEKNUM(ProyDia[[#This Row],[Día]],2)</f>
        <v>46</v>
      </c>
      <c r="K79" s="0" t="n">
        <v>2019</v>
      </c>
      <c r="L79" s="2" t="n">
        <f aca="false">WEEKDAY(ProyDia[[#This Row],[Día]],2)</f>
        <v>7</v>
      </c>
      <c r="M79" s="0" t="n">
        <v>0.25</v>
      </c>
      <c r="N79" s="0" t="n">
        <f aca="false">ProyDia[[#This Row],[Cálculo 01]]*ProyDia[[#This Row],[Pondera Día]]</f>
        <v>0.0375</v>
      </c>
      <c r="O79" s="12" t="n">
        <f aca="false">ProyDia[[#This Row],[Calculo03]]/SUMIFS(ProyDia[Calculo03],ProyDia[Día],"&gt;="&amp;EOMONTH(ProyDia[[#This Row],[Día]],-1)+1,ProyDia[Día],"&lt;="&amp;EOMONTH(ProyDia[[#This Row],[Día]],0))</f>
        <v>0.0412042632677728</v>
      </c>
      <c r="P79" s="2" t="n">
        <f aca="false">ProyDia[[#This Row],[Peso Día Final]]*7754000</f>
        <v>319497.85737831</v>
      </c>
    </row>
    <row r="80" customFormat="false" ht="14.4" hidden="false" customHeight="false" outlineLevel="0" collapsed="false">
      <c r="H80" s="10" t="n">
        <v>43787</v>
      </c>
      <c r="I80" s="11" t="n">
        <f aca="false">VLOOKUP(WEEKNUM(ProyDia[[#This Row],[Día]],2)-WEEKNUM(EOMONTH(ProyDia[[#This Row],[Día]],-1)+1,2)+1,Semana[],IF((WEEKNUM(EOMONTH(H80,0),2)-WEEKNUM(EOMONTH(H80,-1)+1,2)+1)=4,2,IF((WEEKNUM(EOMONTH(H80,0),2)-WEEKNUM(EOMONTH(H80,-1)+1,2)+1)=5,3,IF((WEEKNUM(EOMONTH(H80,0),2)-WEEKNUM(EOMONTH(H80,-1)+1,2)+1)=6,4,0))),0)</f>
        <v>0.2</v>
      </c>
      <c r="J80" s="0" t="n">
        <f aca="false">WEEKNUM(ProyDia[[#This Row],[Día]],2)</f>
        <v>47</v>
      </c>
      <c r="K80" s="0" t="n">
        <v>2019</v>
      </c>
      <c r="L80" s="2" t="n">
        <f aca="false">WEEKDAY(ProyDia[[#This Row],[Día]],2)</f>
        <v>1</v>
      </c>
      <c r="M80" s="0" t="n">
        <f aca="false">VLOOKUP(ProyDia[[#This Row],[Cálculo02]],Dia[],3,0)</f>
        <v>0.1</v>
      </c>
      <c r="N80" s="0" t="n">
        <f aca="false">ProyDia[[#This Row],[Cálculo 01]]*ProyDia[[#This Row],[Pondera Día]]</f>
        <v>0.02</v>
      </c>
      <c r="O80" s="12" t="n">
        <f aca="false">ProyDia[[#This Row],[Calculo03]]/SUMIFS(ProyDia[Calculo03],ProyDia[Día],"&gt;="&amp;EOMONTH(ProyDia[[#This Row],[Día]],-1)+1,ProyDia[Día],"&lt;="&amp;EOMONTH(ProyDia[[#This Row],[Día]],0))</f>
        <v>0.0219756070761455</v>
      </c>
      <c r="P80" s="2" t="n">
        <f aca="false">ProyDia[[#This Row],[Peso Día Final]]*7754000</f>
        <v>170398.857268432</v>
      </c>
    </row>
    <row r="81" customFormat="false" ht="14.4" hidden="false" customHeight="false" outlineLevel="0" collapsed="false">
      <c r="H81" s="10" t="n">
        <v>43788</v>
      </c>
      <c r="I81" s="11" t="n">
        <f aca="false">VLOOKUP(WEEKNUM(ProyDia[[#This Row],[Día]],2)-WEEKNUM(EOMONTH(ProyDia[[#This Row],[Día]],-1)+1,2)+1,Semana[],IF((WEEKNUM(EOMONTH(H81,0),2)-WEEKNUM(EOMONTH(H81,-1)+1,2)+1)=4,2,IF((WEEKNUM(EOMONTH(H81,0),2)-WEEKNUM(EOMONTH(H81,-1)+1,2)+1)=5,3,IF((WEEKNUM(EOMONTH(H81,0),2)-WEEKNUM(EOMONTH(H81,-1)+1,2)+1)=6,4,0))),0)</f>
        <v>0.2</v>
      </c>
      <c r="J81" s="0" t="n">
        <f aca="false">WEEKNUM(ProyDia[[#This Row],[Día]],2)</f>
        <v>47</v>
      </c>
      <c r="K81" s="0" t="n">
        <v>2019</v>
      </c>
      <c r="L81" s="2" t="n">
        <f aca="false">WEEKDAY(ProyDia[[#This Row],[Día]],2)</f>
        <v>2</v>
      </c>
      <c r="M81" s="0" t="n">
        <f aca="false">VLOOKUP(ProyDia[[#This Row],[Cálculo02]],Dia[],3,0)</f>
        <v>0.1</v>
      </c>
      <c r="N81" s="0" t="n">
        <f aca="false">ProyDia[[#This Row],[Cálculo 01]]*ProyDia[[#This Row],[Pondera Día]]</f>
        <v>0.02</v>
      </c>
      <c r="O81" s="12" t="n">
        <f aca="false">ProyDia[[#This Row],[Calculo03]]/SUMIFS(ProyDia[Calculo03],ProyDia[Día],"&gt;="&amp;EOMONTH(ProyDia[[#This Row],[Día]],-1)+1,ProyDia[Día],"&lt;="&amp;EOMONTH(ProyDia[[#This Row],[Día]],0))</f>
        <v>0.0219756070761455</v>
      </c>
      <c r="P81" s="2" t="n">
        <f aca="false">ProyDia[[#This Row],[Peso Día Final]]*7754000</f>
        <v>170398.857268432</v>
      </c>
    </row>
    <row r="82" customFormat="false" ht="14.4" hidden="false" customHeight="false" outlineLevel="0" collapsed="false">
      <c r="H82" s="10" t="n">
        <v>43789</v>
      </c>
      <c r="I82" s="11" t="n">
        <f aca="false">VLOOKUP(WEEKNUM(ProyDia[[#This Row],[Día]],2)-WEEKNUM(EOMONTH(ProyDia[[#This Row],[Día]],-1)+1,2)+1,Semana[],IF((WEEKNUM(EOMONTH(H82,0),2)-WEEKNUM(EOMONTH(H82,-1)+1,2)+1)=4,2,IF((WEEKNUM(EOMONTH(H82,0),2)-WEEKNUM(EOMONTH(H82,-1)+1,2)+1)=5,3,IF((WEEKNUM(EOMONTH(H82,0),2)-WEEKNUM(EOMONTH(H82,-1)+1,2)+1)=6,4,0))),0)</f>
        <v>0.2</v>
      </c>
      <c r="J82" s="0" t="n">
        <f aca="false">WEEKNUM(ProyDia[[#This Row],[Día]],2)</f>
        <v>47</v>
      </c>
      <c r="K82" s="0" t="n">
        <v>2019</v>
      </c>
      <c r="L82" s="2" t="n">
        <f aca="false">WEEKDAY(ProyDia[[#This Row],[Día]],2)</f>
        <v>3</v>
      </c>
      <c r="M82" s="0" t="n">
        <f aca="false">VLOOKUP(ProyDia[[#This Row],[Cálculo02]],Dia[],3,0)</f>
        <v>0.1</v>
      </c>
      <c r="N82" s="0" t="n">
        <f aca="false">ProyDia[[#This Row],[Cálculo 01]]*ProyDia[[#This Row],[Pondera Día]]</f>
        <v>0.02</v>
      </c>
      <c r="O82" s="12" t="n">
        <f aca="false">ProyDia[[#This Row],[Calculo03]]/SUMIFS(ProyDia[Calculo03],ProyDia[Día],"&gt;="&amp;EOMONTH(ProyDia[[#This Row],[Día]],-1)+1,ProyDia[Día],"&lt;="&amp;EOMONTH(ProyDia[[#This Row],[Día]],0))</f>
        <v>0.0219756070761455</v>
      </c>
      <c r="P82" s="2" t="n">
        <f aca="false">ProyDia[[#This Row],[Peso Día Final]]*7754000</f>
        <v>170398.857268432</v>
      </c>
    </row>
    <row r="83" customFormat="false" ht="14.4" hidden="false" customHeight="false" outlineLevel="0" collapsed="false">
      <c r="H83" s="10" t="n">
        <v>43790</v>
      </c>
      <c r="I83" s="11" t="n">
        <f aca="false">VLOOKUP(WEEKNUM(ProyDia[[#This Row],[Día]],2)-WEEKNUM(EOMONTH(ProyDia[[#This Row],[Día]],-1)+1,2)+1,Semana[],IF((WEEKNUM(EOMONTH(H83,0),2)-WEEKNUM(EOMONTH(H83,-1)+1,2)+1)=4,2,IF((WEEKNUM(EOMONTH(H83,0),2)-WEEKNUM(EOMONTH(H83,-1)+1,2)+1)=5,3,IF((WEEKNUM(EOMONTH(H83,0),2)-WEEKNUM(EOMONTH(H83,-1)+1,2)+1)=6,4,0))),0)</f>
        <v>0.2</v>
      </c>
      <c r="J83" s="0" t="n">
        <f aca="false">WEEKNUM(ProyDia[[#This Row],[Día]],2)</f>
        <v>47</v>
      </c>
      <c r="K83" s="0" t="n">
        <v>2019</v>
      </c>
      <c r="L83" s="2" t="n">
        <f aca="false">WEEKDAY(ProyDia[[#This Row],[Día]],2)</f>
        <v>4</v>
      </c>
      <c r="M83" s="0" t="n">
        <f aca="false">VLOOKUP(ProyDia[[#This Row],[Cálculo02]],Dia[],3,0)</f>
        <v>0.1</v>
      </c>
      <c r="N83" s="0" t="n">
        <f aca="false">ProyDia[[#This Row],[Cálculo 01]]*ProyDia[[#This Row],[Pondera Día]]</f>
        <v>0.02</v>
      </c>
      <c r="O83" s="12" t="n">
        <f aca="false">ProyDia[[#This Row],[Calculo03]]/SUMIFS(ProyDia[Calculo03],ProyDia[Día],"&gt;="&amp;EOMONTH(ProyDia[[#This Row],[Día]],-1)+1,ProyDia[Día],"&lt;="&amp;EOMONTH(ProyDia[[#This Row],[Día]],0))</f>
        <v>0.0219756070761455</v>
      </c>
      <c r="P83" s="2" t="n">
        <f aca="false">ProyDia[[#This Row],[Peso Día Final]]*7754000</f>
        <v>170398.857268432</v>
      </c>
    </row>
    <row r="84" customFormat="false" ht="14.4" hidden="false" customHeight="false" outlineLevel="0" collapsed="false">
      <c r="H84" s="10" t="n">
        <v>43791</v>
      </c>
      <c r="I84" s="11" t="n">
        <f aca="false">VLOOKUP(WEEKNUM(ProyDia[[#This Row],[Día]],2)-WEEKNUM(EOMONTH(ProyDia[[#This Row],[Día]],-1)+1,2)+1,Semana[],IF((WEEKNUM(EOMONTH(H84,0),2)-WEEKNUM(EOMONTH(H84,-1)+1,2)+1)=4,2,IF((WEEKNUM(EOMONTH(H84,0),2)-WEEKNUM(EOMONTH(H84,-1)+1,2)+1)=5,3,IF((WEEKNUM(EOMONTH(H84,0),2)-WEEKNUM(EOMONTH(H84,-1)+1,2)+1)=6,4,0))),0)</f>
        <v>0.2</v>
      </c>
      <c r="J84" s="0" t="n">
        <f aca="false">WEEKNUM(ProyDia[[#This Row],[Día]],2)</f>
        <v>47</v>
      </c>
      <c r="K84" s="0" t="n">
        <v>2019</v>
      </c>
      <c r="L84" s="2" t="n">
        <f aca="false">WEEKDAY(ProyDia[[#This Row],[Día]],2)</f>
        <v>5</v>
      </c>
      <c r="M84" s="0" t="n">
        <f aca="false">VLOOKUP(ProyDia[[#This Row],[Cálculo02]],Dia[],3,0)</f>
        <v>0.2</v>
      </c>
      <c r="N84" s="0" t="n">
        <f aca="false">ProyDia[[#This Row],[Cálculo 01]]*ProyDia[[#This Row],[Pondera Día]]</f>
        <v>0.04</v>
      </c>
      <c r="O84" s="12" t="n">
        <f aca="false">ProyDia[[#This Row],[Calculo03]]/SUMIFS(ProyDia[Calculo03],ProyDia[Día],"&gt;="&amp;EOMONTH(ProyDia[[#This Row],[Día]],-1)+1,ProyDia[Día],"&lt;="&amp;EOMONTH(ProyDia[[#This Row],[Día]],0))</f>
        <v>0.0439512141522909</v>
      </c>
      <c r="P84" s="2" t="n">
        <f aca="false">ProyDia[[#This Row],[Peso Día Final]]*7754000</f>
        <v>340797.714536864</v>
      </c>
    </row>
    <row r="85" customFormat="false" ht="14.4" hidden="false" customHeight="false" outlineLevel="0" collapsed="false">
      <c r="H85" s="10" t="n">
        <v>43792</v>
      </c>
      <c r="I85" s="11" t="n">
        <f aca="false">VLOOKUP(WEEKNUM(ProyDia[[#This Row],[Día]],2)-WEEKNUM(EOMONTH(ProyDia[[#This Row],[Día]],-1)+1,2)+1,Semana[],IF((WEEKNUM(EOMONTH(H85,0),2)-WEEKNUM(EOMONTH(H85,-1)+1,2)+1)=4,2,IF((WEEKNUM(EOMONTH(H85,0),2)-WEEKNUM(EOMONTH(H85,-1)+1,2)+1)=5,3,IF((WEEKNUM(EOMONTH(H85,0),2)-WEEKNUM(EOMONTH(H85,-1)+1,2)+1)=6,4,0))),0)</f>
        <v>0.2</v>
      </c>
      <c r="J85" s="0" t="n">
        <f aca="false">WEEKNUM(ProyDia[[#This Row],[Día]],2)</f>
        <v>47</v>
      </c>
      <c r="K85" s="0" t="n">
        <v>2019</v>
      </c>
      <c r="L85" s="2" t="n">
        <f aca="false">WEEKDAY(ProyDia[[#This Row],[Día]],2)</f>
        <v>6</v>
      </c>
      <c r="M85" s="0" t="n">
        <f aca="false">VLOOKUP(ProyDia[[#This Row],[Cálculo02]],Dia[],3,0)</f>
        <v>0.25</v>
      </c>
      <c r="N85" s="0" t="n">
        <f aca="false">ProyDia[[#This Row],[Cálculo 01]]*ProyDia[[#This Row],[Pondera Día]]</f>
        <v>0.05</v>
      </c>
      <c r="O85" s="12" t="n">
        <f aca="false">ProyDia[[#This Row],[Calculo03]]/SUMIFS(ProyDia[Calculo03],ProyDia[Día],"&gt;="&amp;EOMONTH(ProyDia[[#This Row],[Día]],-1)+1,ProyDia[Día],"&lt;="&amp;EOMONTH(ProyDia[[#This Row],[Día]],0))</f>
        <v>0.0549390176903637</v>
      </c>
      <c r="P85" s="2" t="n">
        <f aca="false">ProyDia[[#This Row],[Peso Día Final]]*7754000</f>
        <v>425997.14317108</v>
      </c>
    </row>
    <row r="86" customFormat="false" ht="14.4" hidden="false" customHeight="false" outlineLevel="0" collapsed="false">
      <c r="H86" s="10" t="n">
        <v>43793</v>
      </c>
      <c r="I86" s="11" t="n">
        <f aca="false">VLOOKUP(WEEKNUM(ProyDia[[#This Row],[Día]],2)-WEEKNUM(EOMONTH(ProyDia[[#This Row],[Día]],-1)+1,2)+1,Semana[],IF((WEEKNUM(EOMONTH(H86,0),2)-WEEKNUM(EOMONTH(H86,-1)+1,2)+1)=4,2,IF((WEEKNUM(EOMONTH(H86,0),2)-WEEKNUM(EOMONTH(H86,-1)+1,2)+1)=5,3,IF((WEEKNUM(EOMONTH(H86,0),2)-WEEKNUM(EOMONTH(H86,-1)+1,2)+1)=6,4,0))),0)</f>
        <v>0.2</v>
      </c>
      <c r="J86" s="0" t="n">
        <f aca="false">WEEKNUM(ProyDia[[#This Row],[Día]],2)</f>
        <v>47</v>
      </c>
      <c r="K86" s="0" t="n">
        <v>2019</v>
      </c>
      <c r="L86" s="2" t="n">
        <f aca="false">WEEKDAY(ProyDia[[#This Row],[Día]],2)</f>
        <v>7</v>
      </c>
      <c r="M86" s="0" t="n">
        <f aca="false">VLOOKUP(ProyDia[[#This Row],[Cálculo02]],Dia[],3,0)</f>
        <v>0.15</v>
      </c>
      <c r="N86" s="0" t="n">
        <f aca="false">ProyDia[[#This Row],[Cálculo 01]]*ProyDia[[#This Row],[Pondera Día]]</f>
        <v>0.03</v>
      </c>
      <c r="O86" s="12" t="n">
        <f aca="false">ProyDia[[#This Row],[Calculo03]]/SUMIFS(ProyDia[Calculo03],ProyDia[Día],"&gt;="&amp;EOMONTH(ProyDia[[#This Row],[Día]],-1)+1,ProyDia[Día],"&lt;="&amp;EOMONTH(ProyDia[[#This Row],[Día]],0))</f>
        <v>0.0329634106142182</v>
      </c>
      <c r="P86" s="2" t="n">
        <f aca="false">ProyDia[[#This Row],[Peso Día Final]]*7754000</f>
        <v>255598.285902648</v>
      </c>
    </row>
    <row r="87" customFormat="false" ht="14.4" hidden="false" customHeight="false" outlineLevel="0" collapsed="false">
      <c r="H87" s="10" t="n">
        <v>43794</v>
      </c>
      <c r="I87" s="11" t="n">
        <f aca="false">VLOOKUP(WEEKNUM(ProyDia[[#This Row],[Día]],2)-WEEKNUM(EOMONTH(ProyDia[[#This Row],[Día]],-1)+1,2)+1,Semana[],IF((WEEKNUM(EOMONTH(H87,0),2)-WEEKNUM(EOMONTH(H87,-1)+1,2)+1)=4,2,IF((WEEKNUM(EOMONTH(H87,0),2)-WEEKNUM(EOMONTH(H87,-1)+1,2)+1)=5,3,IF((WEEKNUM(EOMONTH(H87,0),2)-WEEKNUM(EOMONTH(H87,-1)+1,2)+1)=6,4,0))),0)</f>
        <v>0.22</v>
      </c>
      <c r="J87" s="0" t="n">
        <f aca="false">WEEKNUM(ProyDia[[#This Row],[Día]],2)</f>
        <v>48</v>
      </c>
      <c r="K87" s="0" t="n">
        <v>2019</v>
      </c>
      <c r="L87" s="2" t="n">
        <f aca="false">WEEKDAY(ProyDia[[#This Row],[Día]],2)</f>
        <v>1</v>
      </c>
      <c r="M87" s="0" t="n">
        <f aca="false">VLOOKUP(ProyDia[[#This Row],[Cálculo02]],Dia[],3,0)</f>
        <v>0.1</v>
      </c>
      <c r="N87" s="0" t="n">
        <f aca="false">ProyDia[[#This Row],[Cálculo 01]]*ProyDia[[#This Row],[Pondera Día]]</f>
        <v>0.022</v>
      </c>
      <c r="O87" s="12" t="n">
        <f aca="false">ProyDia[[#This Row],[Calculo03]]/SUMIFS(ProyDia[Calculo03],ProyDia[Día],"&gt;="&amp;EOMONTH(ProyDia[[#This Row],[Día]],-1)+1,ProyDia[Día],"&lt;="&amp;EOMONTH(ProyDia[[#This Row],[Día]],0))</f>
        <v>0.02417316778376</v>
      </c>
      <c r="P87" s="2" t="n">
        <f aca="false">ProyDia[[#This Row],[Peso Día Final]]*7754000</f>
        <v>187438.742995275</v>
      </c>
    </row>
    <row r="88" customFormat="false" ht="14.4" hidden="false" customHeight="false" outlineLevel="0" collapsed="false">
      <c r="H88" s="10" t="n">
        <v>43795</v>
      </c>
      <c r="I88" s="11" t="n">
        <f aca="false">VLOOKUP(WEEKNUM(ProyDia[[#This Row],[Día]],2)-WEEKNUM(EOMONTH(ProyDia[[#This Row],[Día]],-1)+1,2)+1,Semana[],IF((WEEKNUM(EOMONTH(H88,0),2)-WEEKNUM(EOMONTH(H88,-1)+1,2)+1)=4,2,IF((WEEKNUM(EOMONTH(H88,0),2)-WEEKNUM(EOMONTH(H88,-1)+1,2)+1)=5,3,IF((WEEKNUM(EOMONTH(H88,0),2)-WEEKNUM(EOMONTH(H88,-1)+1,2)+1)=6,4,0))),0)</f>
        <v>0.22</v>
      </c>
      <c r="J88" s="0" t="n">
        <f aca="false">WEEKNUM(ProyDia[[#This Row],[Día]],2)</f>
        <v>48</v>
      </c>
      <c r="K88" s="0" t="n">
        <v>2019</v>
      </c>
      <c r="L88" s="2" t="n">
        <f aca="false">WEEKDAY(ProyDia[[#This Row],[Día]],2)</f>
        <v>2</v>
      </c>
      <c r="M88" s="0" t="n">
        <f aca="false">VLOOKUP(ProyDia[[#This Row],[Cálculo02]],Dia[],3,0)</f>
        <v>0.1</v>
      </c>
      <c r="N88" s="0" t="n">
        <f aca="false">ProyDia[[#This Row],[Cálculo 01]]*ProyDia[[#This Row],[Pondera Día]]</f>
        <v>0.022</v>
      </c>
      <c r="O88" s="12" t="n">
        <f aca="false">ProyDia[[#This Row],[Calculo03]]/SUMIFS(ProyDia[Calculo03],ProyDia[Día],"&gt;="&amp;EOMONTH(ProyDia[[#This Row],[Día]],-1)+1,ProyDia[Día],"&lt;="&amp;EOMONTH(ProyDia[[#This Row],[Día]],0))</f>
        <v>0.02417316778376</v>
      </c>
      <c r="P88" s="2" t="n">
        <f aca="false">ProyDia[[#This Row],[Peso Día Final]]*7754000</f>
        <v>187438.742995275</v>
      </c>
    </row>
    <row r="89" customFormat="false" ht="14.4" hidden="false" customHeight="false" outlineLevel="0" collapsed="false">
      <c r="H89" s="10" t="n">
        <v>43796</v>
      </c>
      <c r="I89" s="11" t="n">
        <f aca="false">VLOOKUP(WEEKNUM(ProyDia[[#This Row],[Día]],2)-WEEKNUM(EOMONTH(ProyDia[[#This Row],[Día]],-1)+1,2)+1,Semana[],IF((WEEKNUM(EOMONTH(H89,0),2)-WEEKNUM(EOMONTH(H89,-1)+1,2)+1)=4,2,IF((WEEKNUM(EOMONTH(H89,0),2)-WEEKNUM(EOMONTH(H89,-1)+1,2)+1)=5,3,IF((WEEKNUM(EOMONTH(H89,0),2)-WEEKNUM(EOMONTH(H89,-1)+1,2)+1)=6,4,0))),0)</f>
        <v>0.22</v>
      </c>
      <c r="J89" s="0" t="n">
        <f aca="false">WEEKNUM(ProyDia[[#This Row],[Día]],2)</f>
        <v>48</v>
      </c>
      <c r="K89" s="0" t="n">
        <v>2019</v>
      </c>
      <c r="L89" s="2" t="n">
        <f aca="false">WEEKDAY(ProyDia[[#This Row],[Día]],2)</f>
        <v>3</v>
      </c>
      <c r="M89" s="0" t="n">
        <f aca="false">VLOOKUP(ProyDia[[#This Row],[Cálculo02]],Dia[],3,0)</f>
        <v>0.1</v>
      </c>
      <c r="N89" s="0" t="n">
        <f aca="false">ProyDia[[#This Row],[Cálculo 01]]*ProyDia[[#This Row],[Pondera Día]]</f>
        <v>0.022</v>
      </c>
      <c r="O89" s="12" t="n">
        <f aca="false">ProyDia[[#This Row],[Calculo03]]/SUMIFS(ProyDia[Calculo03],ProyDia[Día],"&gt;="&amp;EOMONTH(ProyDia[[#This Row],[Día]],-1)+1,ProyDia[Día],"&lt;="&amp;EOMONTH(ProyDia[[#This Row],[Día]],0))</f>
        <v>0.02417316778376</v>
      </c>
      <c r="P89" s="2" t="n">
        <f aca="false">ProyDia[[#This Row],[Peso Día Final]]*7754000</f>
        <v>187438.742995275</v>
      </c>
    </row>
    <row r="90" customFormat="false" ht="14.4" hidden="false" customHeight="false" outlineLevel="0" collapsed="false">
      <c r="H90" s="10" t="n">
        <v>43797</v>
      </c>
      <c r="I90" s="11" t="n">
        <f aca="false">VLOOKUP(WEEKNUM(ProyDia[[#This Row],[Día]],2)-WEEKNUM(EOMONTH(ProyDia[[#This Row],[Día]],-1)+1,2)+1,Semana[],IF((WEEKNUM(EOMONTH(H90,0),2)-WEEKNUM(EOMONTH(H90,-1)+1,2)+1)=4,2,IF((WEEKNUM(EOMONTH(H90,0),2)-WEEKNUM(EOMONTH(H90,-1)+1,2)+1)=5,3,IF((WEEKNUM(EOMONTH(H90,0),2)-WEEKNUM(EOMONTH(H90,-1)+1,2)+1)=6,4,0))),0)</f>
        <v>0.22</v>
      </c>
      <c r="J90" s="0" t="n">
        <f aca="false">WEEKNUM(ProyDia[[#This Row],[Día]],2)</f>
        <v>48</v>
      </c>
      <c r="K90" s="0" t="n">
        <v>2019</v>
      </c>
      <c r="L90" s="2" t="n">
        <f aca="false">WEEKDAY(ProyDia[[#This Row],[Día]],2)</f>
        <v>4</v>
      </c>
      <c r="M90" s="0" t="n">
        <f aca="false">VLOOKUP(ProyDia[[#This Row],[Cálculo02]],Dia[],3,0)</f>
        <v>0.1</v>
      </c>
      <c r="N90" s="0" t="n">
        <f aca="false">ProyDia[[#This Row],[Cálculo 01]]*ProyDia[[#This Row],[Pondera Día]]</f>
        <v>0.022</v>
      </c>
      <c r="O90" s="12" t="n">
        <f aca="false">ProyDia[[#This Row],[Calculo03]]/SUMIFS(ProyDia[Calculo03],ProyDia[Día],"&gt;="&amp;EOMONTH(ProyDia[[#This Row],[Día]],-1)+1,ProyDia[Día],"&lt;="&amp;EOMONTH(ProyDia[[#This Row],[Día]],0))</f>
        <v>0.02417316778376</v>
      </c>
      <c r="P90" s="2" t="n">
        <f aca="false">ProyDia[[#This Row],[Peso Día Final]]*7754000</f>
        <v>187438.742995275</v>
      </c>
    </row>
    <row r="91" customFormat="false" ht="14.4" hidden="false" customHeight="false" outlineLevel="0" collapsed="false">
      <c r="H91" s="10" t="n">
        <v>43798</v>
      </c>
      <c r="I91" s="11" t="n">
        <f aca="false">VLOOKUP(WEEKNUM(ProyDia[[#This Row],[Día]],2)-WEEKNUM(EOMONTH(ProyDia[[#This Row],[Día]],-1)+1,2)+1,Semana[],IF((WEEKNUM(EOMONTH(H91,0),2)-WEEKNUM(EOMONTH(H91,-1)+1,2)+1)=4,2,IF((WEEKNUM(EOMONTH(H91,0),2)-WEEKNUM(EOMONTH(H91,-1)+1,2)+1)=5,3,IF((WEEKNUM(EOMONTH(H91,0),2)-WEEKNUM(EOMONTH(H91,-1)+1,2)+1)=6,4,0))),0)</f>
        <v>0.22</v>
      </c>
      <c r="J91" s="0" t="n">
        <f aca="false">WEEKNUM(ProyDia[[#This Row],[Día]],2)</f>
        <v>48</v>
      </c>
      <c r="K91" s="0" t="n">
        <v>2019</v>
      </c>
      <c r="L91" s="2" t="n">
        <f aca="false">WEEKDAY(ProyDia[[#This Row],[Día]],2)</f>
        <v>5</v>
      </c>
      <c r="M91" s="0" t="n">
        <f aca="false">VLOOKUP(ProyDia[[#This Row],[Cálculo02]],Dia[],3,0)</f>
        <v>0.2</v>
      </c>
      <c r="N91" s="0" t="n">
        <f aca="false">ProyDia[[#This Row],[Cálculo 01]]*ProyDia[[#This Row],[Pondera Día]]</f>
        <v>0.044</v>
      </c>
      <c r="O91" s="12" t="n">
        <f aca="false">ProyDia[[#This Row],[Calculo03]]/SUMIFS(ProyDia[Calculo03],ProyDia[Día],"&gt;="&amp;EOMONTH(ProyDia[[#This Row],[Día]],-1)+1,ProyDia[Día],"&lt;="&amp;EOMONTH(ProyDia[[#This Row],[Día]],0))</f>
        <v>0.0483463355675201</v>
      </c>
      <c r="P91" s="2" t="n">
        <f aca="false">ProyDia[[#This Row],[Peso Día Final]]*7754000</f>
        <v>374877.48599055</v>
      </c>
    </row>
    <row r="92" customFormat="false" ht="14.4" hidden="false" customHeight="false" outlineLevel="0" collapsed="false">
      <c r="H92" s="10" t="n">
        <v>43799</v>
      </c>
      <c r="I92" s="11" t="n">
        <f aca="false">VLOOKUP(WEEKNUM(ProyDia[[#This Row],[Día]],2)-WEEKNUM(EOMONTH(ProyDia[[#This Row],[Día]],-1)+1,2)+1,Semana[],IF((WEEKNUM(EOMONTH(H92,0),2)-WEEKNUM(EOMONTH(H92,-1)+1,2)+1)=4,2,IF((WEEKNUM(EOMONTH(H92,0),2)-WEEKNUM(EOMONTH(H92,-1)+1,2)+1)=5,3,IF((WEEKNUM(EOMONTH(H92,0),2)-WEEKNUM(EOMONTH(H92,-1)+1,2)+1)=6,4,0))),0)</f>
        <v>0.22</v>
      </c>
      <c r="J92" s="0" t="n">
        <f aca="false">WEEKNUM(ProyDia[[#This Row],[Día]],2)</f>
        <v>48</v>
      </c>
      <c r="K92" s="0" t="n">
        <v>2019</v>
      </c>
      <c r="L92" s="2" t="n">
        <f aca="false">WEEKDAY(ProyDia[[#This Row],[Día]],2)</f>
        <v>6</v>
      </c>
      <c r="M92" s="0" t="n">
        <v>0.3</v>
      </c>
      <c r="N92" s="0" t="n">
        <f aca="false">ProyDia[[#This Row],[Cálculo 01]]*ProyDia[[#This Row],[Pondera Día]]</f>
        <v>0.066</v>
      </c>
      <c r="O92" s="12" t="n">
        <f aca="false">ProyDia[[#This Row],[Calculo03]]/SUMIFS(ProyDia[Calculo03],ProyDia[Día],"&gt;="&amp;EOMONTH(ProyDia[[#This Row],[Día]],-1)+1,ProyDia[Día],"&lt;="&amp;EOMONTH(ProyDia[[#This Row],[Día]],0))</f>
        <v>0.0725195033512801</v>
      </c>
      <c r="P92" s="2" t="n">
        <f aca="false">ProyDia[[#This Row],[Peso Día Final]]*7754000</f>
        <v>562316.228985826</v>
      </c>
    </row>
    <row r="93" customFormat="false" ht="14.4" hidden="false" customHeight="false" outlineLevel="0" collapsed="false">
      <c r="H93" s="10" t="n">
        <v>43800</v>
      </c>
      <c r="I93" s="11" t="n">
        <f aca="false">VLOOKUP(WEEKNUM(ProyDia[[#This Row],[Día]],2)-WEEKNUM(EOMONTH(ProyDia[[#This Row],[Día]],-1)+1,2)+1,Semana[],IF((WEEKNUM(EOMONTH(H93,0),2)-WEEKNUM(EOMONTH(H93,-1)+1,2)+1)=4,2,IF((WEEKNUM(EOMONTH(H93,0),2)-WEEKNUM(EOMONTH(H93,-1)+1,2)+1)=5,3,IF((WEEKNUM(EOMONTH(H93,0),2)-WEEKNUM(EOMONTH(H93,-1)+1,2)+1)=6,4,0))),0)</f>
        <v>0.25</v>
      </c>
      <c r="J93" s="0" t="n">
        <f aca="false">WEEKNUM(ProyDia[[#This Row],[Día]],2)</f>
        <v>48</v>
      </c>
      <c r="K93" s="0" t="n">
        <v>2019</v>
      </c>
      <c r="L93" s="2" t="n">
        <f aca="false">WEEKDAY(ProyDia[[#This Row],[Día]],2)</f>
        <v>7</v>
      </c>
      <c r="M93" s="0" t="n">
        <v>0.098</v>
      </c>
      <c r="N93" s="0" t="n">
        <f aca="false">ProyDia[[#This Row],[Cálculo 01]]*ProyDia[[#This Row],[Pondera Día]]</f>
        <v>0.0245</v>
      </c>
      <c r="O93" s="12" t="n">
        <f aca="false">ProyDia[[#This Row],[Calculo03]]/SUMIFS(ProyDia[Calculo03],ProyDia[Día],"&gt;="&amp;EOMONTH(ProyDia[[#This Row],[Día]],-1)+1,ProyDia[Día],"&lt;="&amp;EOMONTH(ProyDia[[#This Row],[Día]],0))</f>
        <v>0.0247249974770411</v>
      </c>
      <c r="P93" s="2" t="n">
        <f aca="false">ProyDia[[#This Row],[Peso Día Final]]*7754000</f>
        <v>191717.630436976</v>
      </c>
    </row>
    <row r="94" customFormat="false" ht="14.4" hidden="false" customHeight="false" outlineLevel="0" collapsed="false">
      <c r="H94" s="10" t="n">
        <v>43801</v>
      </c>
      <c r="I94" s="11" t="n">
        <f aca="false">VLOOKUP(WEEKNUM(ProyDia[[#This Row],[Día]],2)-WEEKNUM(EOMONTH(ProyDia[[#This Row],[Día]],-1)+1,2)+1,Semana[],IF((WEEKNUM(EOMONTH(H94,0),2)-WEEKNUM(EOMONTH(H94,-1)+1,2)+1)=4,2,IF((WEEKNUM(EOMONTH(H94,0),2)-WEEKNUM(EOMONTH(H94,-1)+1,2)+1)=5,3,IF((WEEKNUM(EOMONTH(H94,0),2)-WEEKNUM(EOMONTH(H94,-1)+1,2)+1)=6,4,0))),0)</f>
        <v>0.12</v>
      </c>
      <c r="J94" s="0" t="n">
        <f aca="false">WEEKNUM(ProyDia[[#This Row],[Día]],2)</f>
        <v>49</v>
      </c>
      <c r="K94" s="0" t="n">
        <v>2019</v>
      </c>
      <c r="L94" s="2" t="n">
        <f aca="false">WEEKDAY(ProyDia[[#This Row],[Día]],2)</f>
        <v>1</v>
      </c>
      <c r="M94" s="0" t="n">
        <f aca="false">VLOOKUP(ProyDia[[#This Row],[Cálculo02]],Dia[],3,0)</f>
        <v>0.1</v>
      </c>
      <c r="N94" s="0" t="n">
        <f aca="false">ProyDia[[#This Row],[Cálculo 01]]*ProyDia[[#This Row],[Pondera Día]]</f>
        <v>0.012</v>
      </c>
      <c r="O94" s="12" t="n">
        <f aca="false">ProyDia[[#This Row],[Calculo03]]/SUMIFS(ProyDia[Calculo03],ProyDia[Día],"&gt;="&amp;EOMONTH(ProyDia[[#This Row],[Día]],-1)+1,ProyDia[Día],"&lt;="&amp;EOMONTH(ProyDia[[#This Row],[Día]],0))</f>
        <v>0.0121102028458977</v>
      </c>
      <c r="P94" s="2" t="n">
        <f aca="false">ProyDia[[#This Row],[Peso Día Final]]*7754000</f>
        <v>93902.5128670905</v>
      </c>
    </row>
    <row r="95" customFormat="false" ht="14.4" hidden="false" customHeight="false" outlineLevel="0" collapsed="false">
      <c r="H95" s="10" t="n">
        <v>43802</v>
      </c>
      <c r="I95" s="11" t="n">
        <f aca="false">VLOOKUP(WEEKNUM(ProyDia[[#This Row],[Día]],2)-WEEKNUM(EOMONTH(ProyDia[[#This Row],[Día]],-1)+1,2)+1,Semana[],IF((WEEKNUM(EOMONTH(H95,0),2)-WEEKNUM(EOMONTH(H95,-1)+1,2)+1)=4,2,IF((WEEKNUM(EOMONTH(H95,0),2)-WEEKNUM(EOMONTH(H95,-1)+1,2)+1)=5,3,IF((WEEKNUM(EOMONTH(H95,0),2)-WEEKNUM(EOMONTH(H95,-1)+1,2)+1)=6,4,0))),0)</f>
        <v>0.12</v>
      </c>
      <c r="J95" s="0" t="n">
        <f aca="false">WEEKNUM(ProyDia[[#This Row],[Día]],2)</f>
        <v>49</v>
      </c>
      <c r="K95" s="0" t="n">
        <v>2019</v>
      </c>
      <c r="L95" s="2" t="n">
        <f aca="false">WEEKDAY(ProyDia[[#This Row],[Día]],2)</f>
        <v>2</v>
      </c>
      <c r="M95" s="0" t="n">
        <f aca="false">VLOOKUP(ProyDia[[#This Row],[Cálculo02]],Dia[],3,0)</f>
        <v>0.1</v>
      </c>
      <c r="N95" s="0" t="n">
        <f aca="false">ProyDia[[#This Row],[Cálculo 01]]*ProyDia[[#This Row],[Pondera Día]]</f>
        <v>0.012</v>
      </c>
      <c r="O95" s="12" t="n">
        <f aca="false">ProyDia[[#This Row],[Calculo03]]/SUMIFS(ProyDia[Calculo03],ProyDia[Día],"&gt;="&amp;EOMONTH(ProyDia[[#This Row],[Día]],-1)+1,ProyDia[Día],"&lt;="&amp;EOMONTH(ProyDia[[#This Row],[Día]],0))</f>
        <v>0.0121102028458977</v>
      </c>
      <c r="P95" s="2" t="n">
        <f aca="false">ProyDia[[#This Row],[Peso Día Final]]*7754000</f>
        <v>93902.5128670905</v>
      </c>
    </row>
    <row r="96" customFormat="false" ht="14.4" hidden="false" customHeight="false" outlineLevel="0" collapsed="false">
      <c r="H96" s="10" t="n">
        <v>43803</v>
      </c>
      <c r="I96" s="11" t="n">
        <f aca="false">VLOOKUP(WEEKNUM(ProyDia[[#This Row],[Día]],2)-WEEKNUM(EOMONTH(ProyDia[[#This Row],[Día]],-1)+1,2)+1,Semana[],IF((WEEKNUM(EOMONTH(H96,0),2)-WEEKNUM(EOMONTH(H96,-1)+1,2)+1)=4,2,IF((WEEKNUM(EOMONTH(H96,0),2)-WEEKNUM(EOMONTH(H96,-1)+1,2)+1)=5,3,IF((WEEKNUM(EOMONTH(H96,0),2)-WEEKNUM(EOMONTH(H96,-1)+1,2)+1)=6,4,0))),0)</f>
        <v>0.12</v>
      </c>
      <c r="J96" s="0" t="n">
        <f aca="false">WEEKNUM(ProyDia[[#This Row],[Día]],2)</f>
        <v>49</v>
      </c>
      <c r="K96" s="0" t="n">
        <v>2019</v>
      </c>
      <c r="L96" s="2" t="n">
        <f aca="false">WEEKDAY(ProyDia[[#This Row],[Día]],2)</f>
        <v>3</v>
      </c>
      <c r="M96" s="0" t="n">
        <f aca="false">VLOOKUP(ProyDia[[#This Row],[Cálculo02]],Dia[],3,0)</f>
        <v>0.1</v>
      </c>
      <c r="N96" s="0" t="n">
        <f aca="false">ProyDia[[#This Row],[Cálculo 01]]*ProyDia[[#This Row],[Pondera Día]]</f>
        <v>0.012</v>
      </c>
      <c r="O96" s="12" t="n">
        <f aca="false">ProyDia[[#This Row],[Calculo03]]/SUMIFS(ProyDia[Calculo03],ProyDia[Día],"&gt;="&amp;EOMONTH(ProyDia[[#This Row],[Día]],-1)+1,ProyDia[Día],"&lt;="&amp;EOMONTH(ProyDia[[#This Row],[Día]],0))</f>
        <v>0.0121102028458977</v>
      </c>
      <c r="P96" s="2" t="n">
        <f aca="false">ProyDia[[#This Row],[Peso Día Final]]*7754000</f>
        <v>93902.5128670905</v>
      </c>
    </row>
    <row r="97" customFormat="false" ht="14.4" hidden="false" customHeight="false" outlineLevel="0" collapsed="false">
      <c r="H97" s="10" t="n">
        <v>43804</v>
      </c>
      <c r="I97" s="11" t="n">
        <f aca="false">VLOOKUP(WEEKNUM(ProyDia[[#This Row],[Día]],2)-WEEKNUM(EOMONTH(ProyDia[[#This Row],[Día]],-1)+1,2)+1,Semana[],IF((WEEKNUM(EOMONTH(H97,0),2)-WEEKNUM(EOMONTH(H97,-1)+1,2)+1)=4,2,IF((WEEKNUM(EOMONTH(H97,0),2)-WEEKNUM(EOMONTH(H97,-1)+1,2)+1)=5,3,IF((WEEKNUM(EOMONTH(H97,0),2)-WEEKNUM(EOMONTH(H97,-1)+1,2)+1)=6,4,0))),0)</f>
        <v>0.12</v>
      </c>
      <c r="J97" s="0" t="n">
        <f aca="false">WEEKNUM(ProyDia[[#This Row],[Día]],2)</f>
        <v>49</v>
      </c>
      <c r="K97" s="0" t="n">
        <v>2019</v>
      </c>
      <c r="L97" s="2" t="n">
        <f aca="false">WEEKDAY(ProyDia[[#This Row],[Día]],2)</f>
        <v>4</v>
      </c>
      <c r="M97" s="0" t="n">
        <f aca="false">VLOOKUP(ProyDia[[#This Row],[Cálculo02]],Dia[],3,0)</f>
        <v>0.1</v>
      </c>
      <c r="N97" s="0" t="n">
        <f aca="false">ProyDia[[#This Row],[Cálculo 01]]*ProyDia[[#This Row],[Pondera Día]]</f>
        <v>0.012</v>
      </c>
      <c r="O97" s="12" t="n">
        <f aca="false">ProyDia[[#This Row],[Calculo03]]/SUMIFS(ProyDia[Calculo03],ProyDia[Día],"&gt;="&amp;EOMONTH(ProyDia[[#This Row],[Día]],-1)+1,ProyDia[Día],"&lt;="&amp;EOMONTH(ProyDia[[#This Row],[Día]],0))</f>
        <v>0.0121102028458977</v>
      </c>
      <c r="P97" s="2" t="n">
        <f aca="false">ProyDia[[#This Row],[Peso Día Final]]*7754000</f>
        <v>93902.5128670905</v>
      </c>
    </row>
    <row r="98" customFormat="false" ht="14.4" hidden="false" customHeight="false" outlineLevel="0" collapsed="false">
      <c r="H98" s="10" t="n">
        <v>43805</v>
      </c>
      <c r="I98" s="11" t="n">
        <f aca="false">VLOOKUP(WEEKNUM(ProyDia[[#This Row],[Día]],2)-WEEKNUM(EOMONTH(ProyDia[[#This Row],[Día]],-1)+1,2)+1,Semana[],IF((WEEKNUM(EOMONTH(H98,0),2)-WEEKNUM(EOMONTH(H98,-1)+1,2)+1)=4,2,IF((WEEKNUM(EOMONTH(H98,0),2)-WEEKNUM(EOMONTH(H98,-1)+1,2)+1)=5,3,IF((WEEKNUM(EOMONTH(H98,0),2)-WEEKNUM(EOMONTH(H98,-1)+1,2)+1)=6,4,0))),0)</f>
        <v>0.12</v>
      </c>
      <c r="J98" s="0" t="n">
        <f aca="false">WEEKNUM(ProyDia[[#This Row],[Día]],2)</f>
        <v>49</v>
      </c>
      <c r="K98" s="0" t="n">
        <v>2019</v>
      </c>
      <c r="L98" s="2" t="n">
        <f aca="false">WEEKDAY(ProyDia[[#This Row],[Día]],2)</f>
        <v>5</v>
      </c>
      <c r="M98" s="0" t="n">
        <f aca="false">VLOOKUP(ProyDia[[#This Row],[Cálculo02]],Dia[],3,0)</f>
        <v>0.2</v>
      </c>
      <c r="N98" s="0" t="n">
        <f aca="false">ProyDia[[#This Row],[Cálculo 01]]*ProyDia[[#This Row],[Pondera Día]]</f>
        <v>0.024</v>
      </c>
      <c r="O98" s="12" t="n">
        <f aca="false">ProyDia[[#This Row],[Calculo03]]/SUMIFS(ProyDia[Calculo03],ProyDia[Día],"&gt;="&amp;EOMONTH(ProyDia[[#This Row],[Día]],-1)+1,ProyDia[Día],"&lt;="&amp;EOMONTH(ProyDia[[#This Row],[Día]],0))</f>
        <v>0.0242204056917953</v>
      </c>
      <c r="P98" s="2" t="n">
        <f aca="false">ProyDia[[#This Row],[Peso Día Final]]*7754000</f>
        <v>187805.025734181</v>
      </c>
    </row>
    <row r="99" customFormat="false" ht="14.4" hidden="false" customHeight="false" outlineLevel="0" collapsed="false">
      <c r="H99" s="10" t="n">
        <v>43806</v>
      </c>
      <c r="I99" s="11" t="n">
        <f aca="false">VLOOKUP(WEEKNUM(ProyDia[[#This Row],[Día]],2)-WEEKNUM(EOMONTH(ProyDia[[#This Row],[Día]],-1)+1,2)+1,Semana[],IF((WEEKNUM(EOMONTH(H99,0),2)-WEEKNUM(EOMONTH(H99,-1)+1,2)+1)=4,2,IF((WEEKNUM(EOMONTH(H99,0),2)-WEEKNUM(EOMONTH(H99,-1)+1,2)+1)=5,3,IF((WEEKNUM(EOMONTH(H99,0),2)-WEEKNUM(EOMONTH(H99,-1)+1,2)+1)=6,4,0))),0)</f>
        <v>0.12</v>
      </c>
      <c r="J99" s="0" t="n">
        <f aca="false">WEEKNUM(ProyDia[[#This Row],[Día]],2)</f>
        <v>49</v>
      </c>
      <c r="K99" s="0" t="n">
        <v>2019</v>
      </c>
      <c r="L99" s="2" t="n">
        <f aca="false">WEEKDAY(ProyDia[[#This Row],[Día]],2)</f>
        <v>6</v>
      </c>
      <c r="M99" s="0" t="n">
        <v>0.3</v>
      </c>
      <c r="N99" s="0" t="n">
        <f aca="false">ProyDia[[#This Row],[Cálculo 01]]*ProyDia[[#This Row],[Pondera Día]]</f>
        <v>0.036</v>
      </c>
      <c r="O99" s="12" t="n">
        <f aca="false">ProyDia[[#This Row],[Calculo03]]/SUMIFS(ProyDia[Calculo03],ProyDia[Día],"&gt;="&amp;EOMONTH(ProyDia[[#This Row],[Día]],-1)+1,ProyDia[Día],"&lt;="&amp;EOMONTH(ProyDia[[#This Row],[Día]],0))</f>
        <v>0.036330608537693</v>
      </c>
      <c r="P99" s="2" t="n">
        <f aca="false">ProyDia[[#This Row],[Peso Día Final]]*7754000</f>
        <v>281707.538601271</v>
      </c>
    </row>
    <row r="100" customFormat="false" ht="14.4" hidden="false" customHeight="false" outlineLevel="0" collapsed="false">
      <c r="H100" s="10" t="n">
        <v>43807</v>
      </c>
      <c r="I100" s="11" t="n">
        <f aca="false">VLOOKUP(WEEKNUM(ProyDia[[#This Row],[Día]],2)-WEEKNUM(EOMONTH(ProyDia[[#This Row],[Día]],-1)+1,2)+1,Semana[],IF((WEEKNUM(EOMONTH(H100,0),2)-WEEKNUM(EOMONTH(H100,-1)+1,2)+1)=4,2,IF((WEEKNUM(EOMONTH(H100,0),2)-WEEKNUM(EOMONTH(H100,-1)+1,2)+1)=5,3,IF((WEEKNUM(EOMONTH(H100,0),2)-WEEKNUM(EOMONTH(H100,-1)+1,2)+1)=6,4,0))),0)</f>
        <v>0.12</v>
      </c>
      <c r="J100" s="0" t="n">
        <f aca="false">WEEKNUM(ProyDia[[#This Row],[Día]],2)</f>
        <v>49</v>
      </c>
      <c r="K100" s="0" t="n">
        <v>2019</v>
      </c>
      <c r="L100" s="2" t="n">
        <f aca="false">WEEKDAY(ProyDia[[#This Row],[Día]],2)</f>
        <v>7</v>
      </c>
      <c r="M100" s="0" t="n">
        <v>0.18</v>
      </c>
      <c r="N100" s="0" t="n">
        <f aca="false">ProyDia[[#This Row],[Cálculo 01]]*ProyDia[[#This Row],[Pondera Día]]</f>
        <v>0.0216</v>
      </c>
      <c r="O100" s="12" t="n">
        <f aca="false">ProyDia[[#This Row],[Calculo03]]/SUMIFS(ProyDia[Calculo03],ProyDia[Día],"&gt;="&amp;EOMONTH(ProyDia[[#This Row],[Día]],-1)+1,ProyDia[Día],"&lt;="&amp;EOMONTH(ProyDia[[#This Row],[Día]],0))</f>
        <v>0.0217983651226158</v>
      </c>
      <c r="P100" s="2" t="n">
        <f aca="false">ProyDia[[#This Row],[Peso Día Final]]*7754000</f>
        <v>169024.523160763</v>
      </c>
    </row>
    <row r="101" customFormat="false" ht="14.4" hidden="false" customHeight="false" outlineLevel="0" collapsed="false">
      <c r="H101" s="10" t="n">
        <v>43808</v>
      </c>
      <c r="I101" s="11" t="n">
        <f aca="false">VLOOKUP(WEEKNUM(ProyDia[[#This Row],[Día]],2)-WEEKNUM(EOMONTH(ProyDia[[#This Row],[Día]],-1)+1,2)+1,Semana[],IF((WEEKNUM(EOMONTH(H101,0),2)-WEEKNUM(EOMONTH(H101,-1)+1,2)+1)=4,2,IF((WEEKNUM(EOMONTH(H101,0),2)-WEEKNUM(EOMONTH(H101,-1)+1,2)+1)=5,3,IF((WEEKNUM(EOMONTH(H101,0),2)-WEEKNUM(EOMONTH(H101,-1)+1,2)+1)=6,4,0))),0)</f>
        <v>0.16</v>
      </c>
      <c r="J101" s="0" t="n">
        <f aca="false">WEEKNUM(ProyDia[[#This Row],[Día]],2)</f>
        <v>50</v>
      </c>
      <c r="K101" s="0" t="n">
        <v>2019</v>
      </c>
      <c r="L101" s="2" t="n">
        <f aca="false">WEEKDAY(ProyDia[[#This Row],[Día]],2)</f>
        <v>1</v>
      </c>
      <c r="M101" s="0" t="n">
        <f aca="false">VLOOKUP(ProyDia[[#This Row],[Cálculo02]],Dia[],3,0)</f>
        <v>0.1</v>
      </c>
      <c r="N101" s="0" t="n">
        <f aca="false">ProyDia[[#This Row],[Cálculo 01]]*ProyDia[[#This Row],[Pondera Día]]</f>
        <v>0.016</v>
      </c>
      <c r="O101" s="12" t="n">
        <f aca="false">ProyDia[[#This Row],[Calculo03]]/SUMIFS(ProyDia[Calculo03],ProyDia[Día],"&gt;="&amp;EOMONTH(ProyDia[[#This Row],[Día]],-1)+1,ProyDia[Día],"&lt;="&amp;EOMONTH(ProyDia[[#This Row],[Día]],0))</f>
        <v>0.0161469371278636</v>
      </c>
      <c r="P101" s="2" t="n">
        <f aca="false">ProyDia[[#This Row],[Peso Día Final]]*7754000</f>
        <v>125203.350489454</v>
      </c>
    </row>
    <row r="102" customFormat="false" ht="14.4" hidden="false" customHeight="false" outlineLevel="0" collapsed="false">
      <c r="H102" s="10" t="n">
        <v>43809</v>
      </c>
      <c r="I102" s="11" t="n">
        <f aca="false">VLOOKUP(WEEKNUM(ProyDia[[#This Row],[Día]],2)-WEEKNUM(EOMONTH(ProyDia[[#This Row],[Día]],-1)+1,2)+1,Semana[],IF((WEEKNUM(EOMONTH(H102,0),2)-WEEKNUM(EOMONTH(H102,-1)+1,2)+1)=4,2,IF((WEEKNUM(EOMONTH(H102,0),2)-WEEKNUM(EOMONTH(H102,-1)+1,2)+1)=5,3,IF((WEEKNUM(EOMONTH(H102,0),2)-WEEKNUM(EOMONTH(H102,-1)+1,2)+1)=6,4,0))),0)</f>
        <v>0.16</v>
      </c>
      <c r="J102" s="0" t="n">
        <f aca="false">WEEKNUM(ProyDia[[#This Row],[Día]],2)</f>
        <v>50</v>
      </c>
      <c r="K102" s="0" t="n">
        <v>2019</v>
      </c>
      <c r="L102" s="2" t="n">
        <f aca="false">WEEKDAY(ProyDia[[#This Row],[Día]],2)</f>
        <v>2</v>
      </c>
      <c r="M102" s="0" t="n">
        <f aca="false">VLOOKUP(ProyDia[[#This Row],[Cálculo02]],Dia[],3,0)</f>
        <v>0.1</v>
      </c>
      <c r="N102" s="0" t="n">
        <f aca="false">ProyDia[[#This Row],[Cálculo 01]]*ProyDia[[#This Row],[Pondera Día]]</f>
        <v>0.016</v>
      </c>
      <c r="O102" s="12" t="n">
        <f aca="false">ProyDia[[#This Row],[Calculo03]]/SUMIFS(ProyDia[Calculo03],ProyDia[Día],"&gt;="&amp;EOMONTH(ProyDia[[#This Row],[Día]],-1)+1,ProyDia[Día],"&lt;="&amp;EOMONTH(ProyDia[[#This Row],[Día]],0))</f>
        <v>0.0161469371278636</v>
      </c>
      <c r="P102" s="2" t="n">
        <f aca="false">ProyDia[[#This Row],[Peso Día Final]]*7754000</f>
        <v>125203.350489454</v>
      </c>
    </row>
    <row r="103" customFormat="false" ht="14.4" hidden="false" customHeight="false" outlineLevel="0" collapsed="false">
      <c r="H103" s="10" t="n">
        <v>43810</v>
      </c>
      <c r="I103" s="11" t="n">
        <f aca="false">VLOOKUP(WEEKNUM(ProyDia[[#This Row],[Día]],2)-WEEKNUM(EOMONTH(ProyDia[[#This Row],[Día]],-1)+1,2)+1,Semana[],IF((WEEKNUM(EOMONTH(H103,0),2)-WEEKNUM(EOMONTH(H103,-1)+1,2)+1)=4,2,IF((WEEKNUM(EOMONTH(H103,0),2)-WEEKNUM(EOMONTH(H103,-1)+1,2)+1)=5,3,IF((WEEKNUM(EOMONTH(H103,0),2)-WEEKNUM(EOMONTH(H103,-1)+1,2)+1)=6,4,0))),0)</f>
        <v>0.16</v>
      </c>
      <c r="J103" s="0" t="n">
        <f aca="false">WEEKNUM(ProyDia[[#This Row],[Día]],2)</f>
        <v>50</v>
      </c>
      <c r="K103" s="0" t="n">
        <v>2019</v>
      </c>
      <c r="L103" s="2" t="n">
        <f aca="false">WEEKDAY(ProyDia[[#This Row],[Día]],2)</f>
        <v>3</v>
      </c>
      <c r="M103" s="0" t="n">
        <f aca="false">VLOOKUP(ProyDia[[#This Row],[Cálculo02]],Dia[],3,0)</f>
        <v>0.1</v>
      </c>
      <c r="N103" s="0" t="n">
        <f aca="false">ProyDia[[#This Row],[Cálculo 01]]*ProyDia[[#This Row],[Pondera Día]]</f>
        <v>0.016</v>
      </c>
      <c r="O103" s="12" t="n">
        <f aca="false">ProyDia[[#This Row],[Calculo03]]/SUMIFS(ProyDia[Calculo03],ProyDia[Día],"&gt;="&amp;EOMONTH(ProyDia[[#This Row],[Día]],-1)+1,ProyDia[Día],"&lt;="&amp;EOMONTH(ProyDia[[#This Row],[Día]],0))</f>
        <v>0.0161469371278636</v>
      </c>
      <c r="P103" s="2" t="n">
        <f aca="false">ProyDia[[#This Row],[Peso Día Final]]*7754000</f>
        <v>125203.350489454</v>
      </c>
    </row>
    <row r="104" customFormat="false" ht="14.4" hidden="false" customHeight="false" outlineLevel="0" collapsed="false">
      <c r="H104" s="10" t="n">
        <v>43811</v>
      </c>
      <c r="I104" s="11" t="n">
        <f aca="false">VLOOKUP(WEEKNUM(ProyDia[[#This Row],[Día]],2)-WEEKNUM(EOMONTH(ProyDia[[#This Row],[Día]],-1)+1,2)+1,Semana[],IF((WEEKNUM(EOMONTH(H104,0),2)-WEEKNUM(EOMONTH(H104,-1)+1,2)+1)=4,2,IF((WEEKNUM(EOMONTH(H104,0),2)-WEEKNUM(EOMONTH(H104,-1)+1,2)+1)=5,3,IF((WEEKNUM(EOMONTH(H104,0),2)-WEEKNUM(EOMONTH(H104,-1)+1,2)+1)=6,4,0))),0)</f>
        <v>0.16</v>
      </c>
      <c r="J104" s="0" t="n">
        <f aca="false">WEEKNUM(ProyDia[[#This Row],[Día]],2)</f>
        <v>50</v>
      </c>
      <c r="K104" s="0" t="n">
        <v>2019</v>
      </c>
      <c r="L104" s="2" t="n">
        <f aca="false">WEEKDAY(ProyDia[[#This Row],[Día]],2)</f>
        <v>4</v>
      </c>
      <c r="M104" s="0" t="n">
        <f aca="false">VLOOKUP(ProyDia[[#This Row],[Cálculo02]],Dia[],3,0)</f>
        <v>0.1</v>
      </c>
      <c r="N104" s="0" t="n">
        <f aca="false">ProyDia[[#This Row],[Cálculo 01]]*ProyDia[[#This Row],[Pondera Día]]</f>
        <v>0.016</v>
      </c>
      <c r="O104" s="12" t="n">
        <f aca="false">ProyDia[[#This Row],[Calculo03]]/SUMIFS(ProyDia[Calculo03],ProyDia[Día],"&gt;="&amp;EOMONTH(ProyDia[[#This Row],[Día]],-1)+1,ProyDia[Día],"&lt;="&amp;EOMONTH(ProyDia[[#This Row],[Día]],0))</f>
        <v>0.0161469371278636</v>
      </c>
      <c r="P104" s="2" t="n">
        <f aca="false">ProyDia[[#This Row],[Peso Día Final]]*7754000</f>
        <v>125203.350489454</v>
      </c>
    </row>
    <row r="105" customFormat="false" ht="14.4" hidden="false" customHeight="false" outlineLevel="0" collapsed="false">
      <c r="H105" s="10" t="n">
        <v>43812</v>
      </c>
      <c r="I105" s="11" t="n">
        <f aca="false">VLOOKUP(WEEKNUM(ProyDia[[#This Row],[Día]],2)-WEEKNUM(EOMONTH(ProyDia[[#This Row],[Día]],-1)+1,2)+1,Semana[],IF((WEEKNUM(EOMONTH(H105,0),2)-WEEKNUM(EOMONTH(H105,-1)+1,2)+1)=4,2,IF((WEEKNUM(EOMONTH(H105,0),2)-WEEKNUM(EOMONTH(H105,-1)+1,2)+1)=5,3,IF((WEEKNUM(EOMONTH(H105,0),2)-WEEKNUM(EOMONTH(H105,-1)+1,2)+1)=6,4,0))),0)</f>
        <v>0.16</v>
      </c>
      <c r="J105" s="0" t="n">
        <f aca="false">WEEKNUM(ProyDia[[#This Row],[Día]],2)</f>
        <v>50</v>
      </c>
      <c r="K105" s="0" t="n">
        <v>2019</v>
      </c>
      <c r="L105" s="2" t="n">
        <f aca="false">WEEKDAY(ProyDia[[#This Row],[Día]],2)</f>
        <v>5</v>
      </c>
      <c r="M105" s="0" t="n">
        <v>0.17</v>
      </c>
      <c r="N105" s="0" t="n">
        <f aca="false">ProyDia[[#This Row],[Cálculo 01]]*ProyDia[[#This Row],[Pondera Día]]</f>
        <v>0.0272</v>
      </c>
      <c r="O105" s="12" t="n">
        <f aca="false">ProyDia[[#This Row],[Calculo03]]/SUMIFS(ProyDia[Calculo03],ProyDia[Día],"&gt;="&amp;EOMONTH(ProyDia[[#This Row],[Día]],-1)+1,ProyDia[Día],"&lt;="&amp;EOMONTH(ProyDia[[#This Row],[Día]],0))</f>
        <v>0.027449793117368</v>
      </c>
      <c r="P105" s="2" t="n">
        <f aca="false">ProyDia[[#This Row],[Peso Día Final]]*7754000</f>
        <v>212845.695832072</v>
      </c>
    </row>
    <row r="106" customFormat="false" ht="14.4" hidden="false" customHeight="false" outlineLevel="0" collapsed="false">
      <c r="H106" s="10" t="n">
        <v>43813</v>
      </c>
      <c r="I106" s="11" t="n">
        <f aca="false">VLOOKUP(WEEKNUM(ProyDia[[#This Row],[Día]],2)-WEEKNUM(EOMONTH(ProyDia[[#This Row],[Día]],-1)+1,2)+1,Semana[],IF((WEEKNUM(EOMONTH(H106,0),2)-WEEKNUM(EOMONTH(H106,-1)+1,2)+1)=4,2,IF((WEEKNUM(EOMONTH(H106,0),2)-WEEKNUM(EOMONTH(H106,-1)+1,2)+1)=5,3,IF((WEEKNUM(EOMONTH(H106,0),2)-WEEKNUM(EOMONTH(H106,-1)+1,2)+1)=6,4,0))),0)</f>
        <v>0.16</v>
      </c>
      <c r="J106" s="0" t="n">
        <f aca="false">WEEKNUM(ProyDia[[#This Row],[Día]],2)</f>
        <v>50</v>
      </c>
      <c r="K106" s="0" t="n">
        <v>2019</v>
      </c>
      <c r="L106" s="2" t="n">
        <f aca="false">WEEKDAY(ProyDia[[#This Row],[Día]],2)</f>
        <v>6</v>
      </c>
      <c r="M106" s="0" t="n">
        <v>0.21</v>
      </c>
      <c r="N106" s="0" t="n">
        <f aca="false">ProyDia[[#This Row],[Cálculo 01]]*ProyDia[[#This Row],[Pondera Día]]</f>
        <v>0.0336</v>
      </c>
      <c r="O106" s="12" t="n">
        <f aca="false">ProyDia[[#This Row],[Calculo03]]/SUMIFS(ProyDia[Calculo03],ProyDia[Día],"&gt;="&amp;EOMONTH(ProyDia[[#This Row],[Día]],-1)+1,ProyDia[Día],"&lt;="&amp;EOMONTH(ProyDia[[#This Row],[Día]],0))</f>
        <v>0.0339085679685135</v>
      </c>
      <c r="P106" s="2" t="n">
        <f aca="false">ProyDia[[#This Row],[Peso Día Final]]*7754000</f>
        <v>262927.036027853</v>
      </c>
    </row>
    <row r="107" customFormat="false" ht="14.4" hidden="false" customHeight="false" outlineLevel="0" collapsed="false">
      <c r="H107" s="10" t="n">
        <v>43814</v>
      </c>
      <c r="I107" s="11" t="n">
        <f aca="false">VLOOKUP(WEEKNUM(ProyDia[[#This Row],[Día]],2)-WEEKNUM(EOMONTH(ProyDia[[#This Row],[Día]],-1)+1,2)+1,Semana[],IF((WEEKNUM(EOMONTH(H107,0),2)-WEEKNUM(EOMONTH(H107,-1)+1,2)+1)=4,2,IF((WEEKNUM(EOMONTH(H107,0),2)-WEEKNUM(EOMONTH(H107,-1)+1,2)+1)=5,3,IF((WEEKNUM(EOMONTH(H107,0),2)-WEEKNUM(EOMONTH(H107,-1)+1,2)+1)=6,4,0))),0)</f>
        <v>0.16</v>
      </c>
      <c r="J107" s="0" t="n">
        <f aca="false">WEEKNUM(ProyDia[[#This Row],[Día]],2)</f>
        <v>50</v>
      </c>
      <c r="K107" s="0" t="n">
        <v>2019</v>
      </c>
      <c r="L107" s="2" t="n">
        <f aca="false">WEEKDAY(ProyDia[[#This Row],[Día]],2)</f>
        <v>7</v>
      </c>
      <c r="M107" s="0" t="n">
        <f aca="false">VLOOKUP(ProyDia[[#This Row],[Cálculo02]],Dia[],3,0)</f>
        <v>0.15</v>
      </c>
      <c r="N107" s="0" t="n">
        <f aca="false">ProyDia[[#This Row],[Cálculo 01]]*ProyDia[[#This Row],[Pondera Día]]</f>
        <v>0.024</v>
      </c>
      <c r="O107" s="12" t="n">
        <f aca="false">ProyDia[[#This Row],[Calculo03]]/SUMIFS(ProyDia[Calculo03],ProyDia[Día],"&gt;="&amp;EOMONTH(ProyDia[[#This Row],[Día]],-1)+1,ProyDia[Día],"&lt;="&amp;EOMONTH(ProyDia[[#This Row],[Día]],0))</f>
        <v>0.0242204056917953</v>
      </c>
      <c r="P107" s="2" t="n">
        <f aca="false">ProyDia[[#This Row],[Peso Día Final]]*7754000</f>
        <v>187805.025734181</v>
      </c>
    </row>
    <row r="108" customFormat="false" ht="14.4" hidden="false" customHeight="false" outlineLevel="0" collapsed="false">
      <c r="H108" s="10" t="n">
        <v>43815</v>
      </c>
      <c r="I108" s="11" t="n">
        <f aca="false">VLOOKUP(WEEKNUM(ProyDia[[#This Row],[Día]],2)-WEEKNUM(EOMONTH(ProyDia[[#This Row],[Día]],-1)+1,2)+1,Semana[],IF((WEEKNUM(EOMONTH(H108,0),2)-WEEKNUM(EOMONTH(H108,-1)+1,2)+1)=4,2,IF((WEEKNUM(EOMONTH(H108,0),2)-WEEKNUM(EOMONTH(H108,-1)+1,2)+1)=5,3,IF((WEEKNUM(EOMONTH(H108,0),2)-WEEKNUM(EOMONTH(H108,-1)+1,2)+1)=6,4,0))),0)</f>
        <v>0.2</v>
      </c>
      <c r="J108" s="0" t="n">
        <f aca="false">WEEKNUM(ProyDia[[#This Row],[Día]],2)</f>
        <v>51</v>
      </c>
      <c r="K108" s="0" t="n">
        <v>2019</v>
      </c>
      <c r="L108" s="2" t="n">
        <f aca="false">WEEKDAY(ProyDia[[#This Row],[Día]],2)</f>
        <v>1</v>
      </c>
      <c r="M108" s="0" t="n">
        <f aca="false">VLOOKUP(ProyDia[[#This Row],[Cálculo02]],Dia[],3,0)</f>
        <v>0.1</v>
      </c>
      <c r="N108" s="0" t="n">
        <f aca="false">ProyDia[[#This Row],[Cálculo 01]]*ProyDia[[#This Row],[Pondera Día]]</f>
        <v>0.02</v>
      </c>
      <c r="O108" s="12" t="n">
        <f aca="false">ProyDia[[#This Row],[Calculo03]]/SUMIFS(ProyDia[Calculo03],ProyDia[Día],"&gt;="&amp;EOMONTH(ProyDia[[#This Row],[Día]],-1)+1,ProyDia[Día],"&lt;="&amp;EOMONTH(ProyDia[[#This Row],[Día]],0))</f>
        <v>0.0201836714098294</v>
      </c>
      <c r="P108" s="2" t="n">
        <f aca="false">ProyDia[[#This Row],[Peso Día Final]]*7754000</f>
        <v>156504.188111818</v>
      </c>
    </row>
    <row r="109" customFormat="false" ht="14.4" hidden="false" customHeight="false" outlineLevel="0" collapsed="false">
      <c r="H109" s="10" t="n">
        <v>43816</v>
      </c>
      <c r="I109" s="11" t="n">
        <f aca="false">VLOOKUP(WEEKNUM(ProyDia[[#This Row],[Día]],2)-WEEKNUM(EOMONTH(ProyDia[[#This Row],[Día]],-1)+1,2)+1,Semana[],IF((WEEKNUM(EOMONTH(H109,0),2)-WEEKNUM(EOMONTH(H109,-1)+1,2)+1)=4,2,IF((WEEKNUM(EOMONTH(H109,0),2)-WEEKNUM(EOMONTH(H109,-1)+1,2)+1)=5,3,IF((WEEKNUM(EOMONTH(H109,0),2)-WEEKNUM(EOMONTH(H109,-1)+1,2)+1)=6,4,0))),0)</f>
        <v>0.2</v>
      </c>
      <c r="J109" s="0" t="n">
        <f aca="false">WEEKNUM(ProyDia[[#This Row],[Día]],2)</f>
        <v>51</v>
      </c>
      <c r="K109" s="0" t="n">
        <v>2019</v>
      </c>
      <c r="L109" s="2" t="n">
        <f aca="false">WEEKDAY(ProyDia[[#This Row],[Día]],2)</f>
        <v>2</v>
      </c>
      <c r="M109" s="0" t="n">
        <f aca="false">VLOOKUP(ProyDia[[#This Row],[Cálculo02]],Dia[],3,0)</f>
        <v>0.1</v>
      </c>
      <c r="N109" s="0" t="n">
        <f aca="false">ProyDia[[#This Row],[Cálculo 01]]*ProyDia[[#This Row],[Pondera Día]]</f>
        <v>0.02</v>
      </c>
      <c r="O109" s="12" t="n">
        <f aca="false">ProyDia[[#This Row],[Calculo03]]/SUMIFS(ProyDia[Calculo03],ProyDia[Día],"&gt;="&amp;EOMONTH(ProyDia[[#This Row],[Día]],-1)+1,ProyDia[Día],"&lt;="&amp;EOMONTH(ProyDia[[#This Row],[Día]],0))</f>
        <v>0.0201836714098294</v>
      </c>
      <c r="P109" s="2" t="n">
        <f aca="false">ProyDia[[#This Row],[Peso Día Final]]*7754000</f>
        <v>156504.188111818</v>
      </c>
    </row>
    <row r="110" customFormat="false" ht="14.4" hidden="false" customHeight="false" outlineLevel="0" collapsed="false">
      <c r="H110" s="10" t="n">
        <v>43817</v>
      </c>
      <c r="I110" s="11" t="n">
        <f aca="false">VLOOKUP(WEEKNUM(ProyDia[[#This Row],[Día]],2)-WEEKNUM(EOMONTH(ProyDia[[#This Row],[Día]],-1)+1,2)+1,Semana[],IF((WEEKNUM(EOMONTH(H110,0),2)-WEEKNUM(EOMONTH(H110,-1)+1,2)+1)=4,2,IF((WEEKNUM(EOMONTH(H110,0),2)-WEEKNUM(EOMONTH(H110,-1)+1,2)+1)=5,3,IF((WEEKNUM(EOMONTH(H110,0),2)-WEEKNUM(EOMONTH(H110,-1)+1,2)+1)=6,4,0))),0)</f>
        <v>0.2</v>
      </c>
      <c r="J110" s="0" t="n">
        <f aca="false">WEEKNUM(ProyDia[[#This Row],[Día]],2)</f>
        <v>51</v>
      </c>
      <c r="K110" s="0" t="n">
        <v>2019</v>
      </c>
      <c r="L110" s="2" t="n">
        <f aca="false">WEEKDAY(ProyDia[[#This Row],[Día]],2)</f>
        <v>3</v>
      </c>
      <c r="M110" s="0" t="n">
        <f aca="false">VLOOKUP(ProyDia[[#This Row],[Cálculo02]],Dia[],3,0)</f>
        <v>0.1</v>
      </c>
      <c r="N110" s="0" t="n">
        <f aca="false">ProyDia[[#This Row],[Cálculo 01]]*ProyDia[[#This Row],[Pondera Día]]</f>
        <v>0.02</v>
      </c>
      <c r="O110" s="12" t="n">
        <f aca="false">ProyDia[[#This Row],[Calculo03]]/SUMIFS(ProyDia[Calculo03],ProyDia[Día],"&gt;="&amp;EOMONTH(ProyDia[[#This Row],[Día]],-1)+1,ProyDia[Día],"&lt;="&amp;EOMONTH(ProyDia[[#This Row],[Día]],0))</f>
        <v>0.0201836714098294</v>
      </c>
      <c r="P110" s="2" t="n">
        <f aca="false">ProyDia[[#This Row],[Peso Día Final]]*7754000</f>
        <v>156504.188111818</v>
      </c>
    </row>
    <row r="111" customFormat="false" ht="14.4" hidden="false" customHeight="false" outlineLevel="0" collapsed="false">
      <c r="H111" s="10" t="n">
        <v>43818</v>
      </c>
      <c r="I111" s="11" t="n">
        <f aca="false">VLOOKUP(WEEKNUM(ProyDia[[#This Row],[Día]],2)-WEEKNUM(EOMONTH(ProyDia[[#This Row],[Día]],-1)+1,2)+1,Semana[],IF((WEEKNUM(EOMONTH(H111,0),2)-WEEKNUM(EOMONTH(H111,-1)+1,2)+1)=4,2,IF((WEEKNUM(EOMONTH(H111,0),2)-WEEKNUM(EOMONTH(H111,-1)+1,2)+1)=5,3,IF((WEEKNUM(EOMONTH(H111,0),2)-WEEKNUM(EOMONTH(H111,-1)+1,2)+1)=6,4,0))),0)</f>
        <v>0.2</v>
      </c>
      <c r="J111" s="0" t="n">
        <f aca="false">WEEKNUM(ProyDia[[#This Row],[Día]],2)</f>
        <v>51</v>
      </c>
      <c r="K111" s="0" t="n">
        <v>2019</v>
      </c>
      <c r="L111" s="2" t="n">
        <f aca="false">WEEKDAY(ProyDia[[#This Row],[Día]],2)</f>
        <v>4</v>
      </c>
      <c r="M111" s="0" t="n">
        <v>0.17</v>
      </c>
      <c r="N111" s="0" t="n">
        <f aca="false">ProyDia[[#This Row],[Cálculo 01]]*ProyDia[[#This Row],[Pondera Día]]</f>
        <v>0.034</v>
      </c>
      <c r="O111" s="12" t="n">
        <f aca="false">ProyDia[[#This Row],[Calculo03]]/SUMIFS(ProyDia[Calculo03],ProyDia[Día],"&gt;="&amp;EOMONTH(ProyDia[[#This Row],[Día]],-1)+1,ProyDia[Día],"&lt;="&amp;EOMONTH(ProyDia[[#This Row],[Día]],0))</f>
        <v>0.0343122413967101</v>
      </c>
      <c r="P111" s="2" t="n">
        <f aca="false">ProyDia[[#This Row],[Peso Día Final]]*7754000</f>
        <v>266057.11979009</v>
      </c>
    </row>
    <row r="112" customFormat="false" ht="14.4" hidden="false" customHeight="false" outlineLevel="0" collapsed="false">
      <c r="H112" s="10" t="n">
        <v>43819</v>
      </c>
      <c r="I112" s="11" t="n">
        <f aca="false">VLOOKUP(WEEKNUM(ProyDia[[#This Row],[Día]],2)-WEEKNUM(EOMONTH(ProyDia[[#This Row],[Día]],-1)+1,2)+1,Semana[],IF((WEEKNUM(EOMONTH(H112,0),2)-WEEKNUM(EOMONTH(H112,-1)+1,2)+1)=4,2,IF((WEEKNUM(EOMONTH(H112,0),2)-WEEKNUM(EOMONTH(H112,-1)+1,2)+1)=5,3,IF((WEEKNUM(EOMONTH(H112,0),2)-WEEKNUM(EOMONTH(H112,-1)+1,2)+1)=6,4,0))),0)</f>
        <v>0.2</v>
      </c>
      <c r="J112" s="0" t="n">
        <f aca="false">WEEKNUM(ProyDia[[#This Row],[Día]],2)</f>
        <v>51</v>
      </c>
      <c r="K112" s="0" t="n">
        <v>2019</v>
      </c>
      <c r="L112" s="2" t="n">
        <f aca="false">WEEKDAY(ProyDia[[#This Row],[Día]],2)</f>
        <v>5</v>
      </c>
      <c r="M112" s="0" t="n">
        <v>0.38</v>
      </c>
      <c r="N112" s="0" t="n">
        <f aca="false">ProyDia[[#This Row],[Cálculo 01]]*ProyDia[[#This Row],[Pondera Día]]</f>
        <v>0.076</v>
      </c>
      <c r="O112" s="12" t="n">
        <f aca="false">ProyDia[[#This Row],[Calculo03]]/SUMIFS(ProyDia[Calculo03],ProyDia[Día],"&gt;="&amp;EOMONTH(ProyDia[[#This Row],[Día]],-1)+1,ProyDia[Día],"&lt;="&amp;EOMONTH(ProyDia[[#This Row],[Día]],0))</f>
        <v>0.0766979513573519</v>
      </c>
      <c r="P112" s="2" t="n">
        <f aca="false">ProyDia[[#This Row],[Peso Día Final]]*7754000</f>
        <v>594715.914824906</v>
      </c>
    </row>
    <row r="113" customFormat="false" ht="14.4" hidden="false" customHeight="false" outlineLevel="0" collapsed="false">
      <c r="H113" s="10" t="n">
        <v>43820</v>
      </c>
      <c r="I113" s="11" t="n">
        <f aca="false">VLOOKUP(WEEKNUM(ProyDia[[#This Row],[Día]],2)-WEEKNUM(EOMONTH(ProyDia[[#This Row],[Día]],-1)+1,2)+1,Semana[],IF((WEEKNUM(EOMONTH(H113,0),2)-WEEKNUM(EOMONTH(H113,-1)+1,2)+1)=4,2,IF((WEEKNUM(EOMONTH(H113,0),2)-WEEKNUM(EOMONTH(H113,-1)+1,2)+1)=5,3,IF((WEEKNUM(EOMONTH(H113,0),2)-WEEKNUM(EOMONTH(H113,-1)+1,2)+1)=6,4,0))),0)</f>
        <v>0.2</v>
      </c>
      <c r="J113" s="0" t="n">
        <f aca="false">WEEKNUM(ProyDia[[#This Row],[Día]],2)</f>
        <v>51</v>
      </c>
      <c r="K113" s="0" t="n">
        <v>2019</v>
      </c>
      <c r="L113" s="2" t="n">
        <f aca="false">WEEKDAY(ProyDia[[#This Row],[Día]],2)</f>
        <v>6</v>
      </c>
      <c r="M113" s="0" t="n">
        <v>0.46</v>
      </c>
      <c r="N113" s="0" t="n">
        <f aca="false">ProyDia[[#This Row],[Cálculo 01]]*ProyDia[[#This Row],[Pondera Día]]</f>
        <v>0.092</v>
      </c>
      <c r="O113" s="12" t="n">
        <f aca="false">ProyDia[[#This Row],[Calculo03]]/SUMIFS(ProyDia[Calculo03],ProyDia[Día],"&gt;="&amp;EOMONTH(ProyDia[[#This Row],[Día]],-1)+1,ProyDia[Día],"&lt;="&amp;EOMONTH(ProyDia[[#This Row],[Día]],0))</f>
        <v>0.0928448884852154</v>
      </c>
      <c r="P113" s="2" t="n">
        <f aca="false">ProyDia[[#This Row],[Peso Día Final]]*7754000</f>
        <v>719919.265314361</v>
      </c>
    </row>
    <row r="114" customFormat="false" ht="14.4" hidden="false" customHeight="false" outlineLevel="0" collapsed="false">
      <c r="H114" s="10" t="n">
        <v>43821</v>
      </c>
      <c r="I114" s="11" t="n">
        <f aca="false">VLOOKUP(WEEKNUM(ProyDia[[#This Row],[Día]],2)-WEEKNUM(EOMONTH(ProyDia[[#This Row],[Día]],-1)+1,2)+1,Semana[],IF((WEEKNUM(EOMONTH(H114,0),2)-WEEKNUM(EOMONTH(H114,-1)+1,2)+1)=4,2,IF((WEEKNUM(EOMONTH(H114,0),2)-WEEKNUM(EOMONTH(H114,-1)+1,2)+1)=5,3,IF((WEEKNUM(EOMONTH(H114,0),2)-WEEKNUM(EOMONTH(H114,-1)+1,2)+1)=6,4,0))),0)</f>
        <v>0.2</v>
      </c>
      <c r="J114" s="0" t="n">
        <f aca="false">WEEKNUM(ProyDia[[#This Row],[Día]],2)</f>
        <v>51</v>
      </c>
      <c r="K114" s="0" t="n">
        <v>2019</v>
      </c>
      <c r="L114" s="2" t="n">
        <f aca="false">WEEKDAY(ProyDia[[#This Row],[Día]],2)</f>
        <v>7</v>
      </c>
      <c r="M114" s="0" t="n">
        <v>0.3</v>
      </c>
      <c r="N114" s="0" t="n">
        <f aca="false">ProyDia[[#This Row],[Cálculo 01]]*ProyDia[[#This Row],[Pondera Día]]</f>
        <v>0.06</v>
      </c>
      <c r="O114" s="12" t="n">
        <f aca="false">ProyDia[[#This Row],[Calculo03]]/SUMIFS(ProyDia[Calculo03],ProyDia[Día],"&gt;="&amp;EOMONTH(ProyDia[[#This Row],[Día]],-1)+1,ProyDia[Día],"&lt;="&amp;EOMONTH(ProyDia[[#This Row],[Día]],0))</f>
        <v>0.0605510142294883</v>
      </c>
      <c r="P114" s="2" t="n">
        <f aca="false">ProyDia[[#This Row],[Peso Día Final]]*7754000</f>
        <v>469512.564335452</v>
      </c>
    </row>
    <row r="115" customFormat="false" ht="14.4" hidden="false" customHeight="false" outlineLevel="0" collapsed="false">
      <c r="H115" s="10" t="n">
        <v>43822</v>
      </c>
      <c r="I115" s="11" t="n">
        <f aca="false">VLOOKUP(WEEKNUM(ProyDia[[#This Row],[Día]],2)-WEEKNUM(EOMONTH(ProyDia[[#This Row],[Día]],-1)+1,2)+1,Semana[],IF((WEEKNUM(EOMONTH(H115,0),2)-WEEKNUM(EOMONTH(H115,-1)+1,2)+1)=4,2,IF((WEEKNUM(EOMONTH(H115,0),2)-WEEKNUM(EOMONTH(H115,-1)+1,2)+1)=5,3,IF((WEEKNUM(EOMONTH(H115,0),2)-WEEKNUM(EOMONTH(H115,-1)+1,2)+1)=6,4,0))),0)</f>
        <v>0.22</v>
      </c>
      <c r="J115" s="0" t="n">
        <f aca="false">WEEKNUM(ProyDia[[#This Row],[Día]],2)</f>
        <v>52</v>
      </c>
      <c r="K115" s="0" t="n">
        <v>2019</v>
      </c>
      <c r="L115" s="2" t="n">
        <f aca="false">WEEKDAY(ProyDia[[#This Row],[Día]],2)</f>
        <v>1</v>
      </c>
      <c r="M115" s="0" t="n">
        <v>0.5</v>
      </c>
      <c r="N115" s="0" t="n">
        <f aca="false">ProyDia[[#This Row],[Cálculo 01]]*ProyDia[[#This Row],[Pondera Día]]</f>
        <v>0.11</v>
      </c>
      <c r="O115" s="12" t="n">
        <f aca="false">ProyDia[[#This Row],[Calculo03]]/SUMIFS(ProyDia[Calculo03],ProyDia[Día],"&gt;="&amp;EOMONTH(ProyDia[[#This Row],[Día]],-1)+1,ProyDia[Día],"&lt;="&amp;EOMONTH(ProyDia[[#This Row],[Día]],0))</f>
        <v>0.111010192754062</v>
      </c>
      <c r="P115" s="2" t="n">
        <f aca="false">ProyDia[[#This Row],[Peso Día Final]]*7754000</f>
        <v>860773.034614996</v>
      </c>
    </row>
    <row r="116" customFormat="false" ht="14.4" hidden="false" customHeight="false" outlineLevel="0" collapsed="false">
      <c r="H116" s="10" t="n">
        <v>43823</v>
      </c>
      <c r="I116" s="11" t="n">
        <f aca="false">VLOOKUP(WEEKNUM(ProyDia[[#This Row],[Día]],2)-WEEKNUM(EOMONTH(ProyDia[[#This Row],[Día]],-1)+1,2)+1,Semana[],IF((WEEKNUM(EOMONTH(H116,0),2)-WEEKNUM(EOMONTH(H116,-1)+1,2)+1)=4,2,IF((WEEKNUM(EOMONTH(H116,0),2)-WEEKNUM(EOMONTH(H116,-1)+1,2)+1)=5,3,IF((WEEKNUM(EOMONTH(H116,0),2)-WEEKNUM(EOMONTH(H116,-1)+1,2)+1)=6,4,0))),0)</f>
        <v>0.22</v>
      </c>
      <c r="J116" s="0" t="n">
        <f aca="false">WEEKNUM(ProyDia[[#This Row],[Día]],2)</f>
        <v>52</v>
      </c>
      <c r="K116" s="0" t="n">
        <v>2019</v>
      </c>
      <c r="L116" s="2" t="n">
        <f aca="false">WEEKDAY(ProyDia[[#This Row],[Día]],2)</f>
        <v>2</v>
      </c>
      <c r="M116" s="0" t="n">
        <v>0.45</v>
      </c>
      <c r="N116" s="0" t="n">
        <f aca="false">ProyDia[[#This Row],[Cálculo 01]]*ProyDia[[#This Row],[Pondera Día]]</f>
        <v>0.099</v>
      </c>
      <c r="O116" s="12" t="n">
        <f aca="false">ProyDia[[#This Row],[Calculo03]]/SUMIFS(ProyDia[Calculo03],ProyDia[Día],"&gt;="&amp;EOMONTH(ProyDia[[#This Row],[Día]],-1)+1,ProyDia[Día],"&lt;="&amp;EOMONTH(ProyDia[[#This Row],[Día]],0))</f>
        <v>0.0999091734786557</v>
      </c>
      <c r="P116" s="2" t="n">
        <f aca="false">ProyDia[[#This Row],[Peso Día Final]]*7754000</f>
        <v>774695.731153497</v>
      </c>
    </row>
    <row r="117" customFormat="false" ht="14.4" hidden="false" customHeight="false" outlineLevel="0" collapsed="false">
      <c r="H117" s="10" t="n">
        <v>43824</v>
      </c>
      <c r="I117" s="11" t="n">
        <f aca="false">VLOOKUP(WEEKNUM(ProyDia[[#This Row],[Día]],2)-WEEKNUM(EOMONTH(ProyDia[[#This Row],[Día]],-1)+1,2)+1,Semana[],IF((WEEKNUM(EOMONTH(H117,0),2)-WEEKNUM(EOMONTH(H117,-1)+1,2)+1)=4,2,IF((WEEKNUM(EOMONTH(H117,0),2)-WEEKNUM(EOMONTH(H117,-1)+1,2)+1)=5,3,IF((WEEKNUM(EOMONTH(H117,0),2)-WEEKNUM(EOMONTH(H117,-1)+1,2)+1)=6,4,0))),0)</f>
        <v>0.22</v>
      </c>
      <c r="J117" s="0" t="n">
        <f aca="false">WEEKNUM(ProyDia[[#This Row],[Día]],2)</f>
        <v>52</v>
      </c>
      <c r="K117" s="0" t="n">
        <v>2019</v>
      </c>
      <c r="L117" s="2" t="n">
        <f aca="false">WEEKDAY(ProyDia[[#This Row],[Día]],2)</f>
        <v>3</v>
      </c>
      <c r="N117" s="0" t="n">
        <f aca="false">ProyDia[[#This Row],[Cálculo 01]]*ProyDia[[#This Row],[Pondera Día]]</f>
        <v>0</v>
      </c>
      <c r="O117" s="12" t="n">
        <f aca="false">ProyDia[[#This Row],[Calculo03]]/SUMIFS(ProyDia[Calculo03],ProyDia[Día],"&gt;="&amp;EOMONTH(ProyDia[[#This Row],[Día]],-1)+1,ProyDia[Día],"&lt;="&amp;EOMONTH(ProyDia[[#This Row],[Día]],0))</f>
        <v>0</v>
      </c>
      <c r="P117" s="2" t="n">
        <f aca="false">ProyDia[[#This Row],[Peso Día Final]]*7754000</f>
        <v>0</v>
      </c>
    </row>
    <row r="118" customFormat="false" ht="14.4" hidden="false" customHeight="false" outlineLevel="0" collapsed="false">
      <c r="H118" s="10" t="n">
        <v>43825</v>
      </c>
      <c r="I118" s="11" t="n">
        <f aca="false">VLOOKUP(WEEKNUM(ProyDia[[#This Row],[Día]],2)-WEEKNUM(EOMONTH(ProyDia[[#This Row],[Día]],-1)+1,2)+1,Semana[],IF((WEEKNUM(EOMONTH(H118,0),2)-WEEKNUM(EOMONTH(H118,-1)+1,2)+1)=4,2,IF((WEEKNUM(EOMONTH(H118,0),2)-WEEKNUM(EOMONTH(H118,-1)+1,2)+1)=5,3,IF((WEEKNUM(EOMONTH(H118,0),2)-WEEKNUM(EOMONTH(H118,-1)+1,2)+1)=6,4,0))),0)</f>
        <v>0.22</v>
      </c>
      <c r="J118" s="0" t="n">
        <f aca="false">WEEKNUM(ProyDia[[#This Row],[Día]],2)</f>
        <v>52</v>
      </c>
      <c r="K118" s="0" t="n">
        <v>2019</v>
      </c>
      <c r="L118" s="2" t="n">
        <f aca="false">WEEKDAY(ProyDia[[#This Row],[Día]],2)</f>
        <v>4</v>
      </c>
      <c r="M118" s="0" t="n">
        <v>0.05</v>
      </c>
      <c r="N118" s="0" t="n">
        <f aca="false">ProyDia[[#This Row],[Cálculo 01]]*ProyDia[[#This Row],[Pondera Día]]</f>
        <v>0.011</v>
      </c>
      <c r="O118" s="12" t="n">
        <f aca="false">ProyDia[[#This Row],[Calculo03]]/SUMIFS(ProyDia[Calculo03],ProyDia[Día],"&gt;="&amp;EOMONTH(ProyDia[[#This Row],[Día]],-1)+1,ProyDia[Día],"&lt;="&amp;EOMONTH(ProyDia[[#This Row],[Día]],0))</f>
        <v>0.0111010192754062</v>
      </c>
      <c r="P118" s="2" t="n">
        <f aca="false">ProyDia[[#This Row],[Peso Día Final]]*7754000</f>
        <v>86077.3034614996</v>
      </c>
    </row>
    <row r="119" customFormat="false" ht="14.4" hidden="false" customHeight="false" outlineLevel="0" collapsed="false">
      <c r="H119" s="10" t="n">
        <v>43826</v>
      </c>
      <c r="I119" s="11" t="n">
        <f aca="false">VLOOKUP(WEEKNUM(ProyDia[[#This Row],[Día]],2)-WEEKNUM(EOMONTH(ProyDia[[#This Row],[Día]],-1)+1,2)+1,Semana[],IF((WEEKNUM(EOMONTH(H119,0),2)-WEEKNUM(EOMONTH(H119,-1)+1,2)+1)=4,2,IF((WEEKNUM(EOMONTH(H119,0),2)-WEEKNUM(EOMONTH(H119,-1)+1,2)+1)=5,3,IF((WEEKNUM(EOMONTH(H119,0),2)-WEEKNUM(EOMONTH(H119,-1)+1,2)+1)=6,4,0))),0)</f>
        <v>0.22</v>
      </c>
      <c r="J119" s="0" t="n">
        <f aca="false">WEEKNUM(ProyDia[[#This Row],[Día]],2)</f>
        <v>52</v>
      </c>
      <c r="K119" s="0" t="n">
        <v>2019</v>
      </c>
      <c r="L119" s="2" t="n">
        <f aca="false">WEEKDAY(ProyDia[[#This Row],[Día]],2)</f>
        <v>5</v>
      </c>
      <c r="M119" s="0" t="n">
        <v>0.15</v>
      </c>
      <c r="N119" s="0" t="n">
        <f aca="false">ProyDia[[#This Row],[Cálculo 01]]*ProyDia[[#This Row],[Pondera Día]]</f>
        <v>0.033</v>
      </c>
      <c r="O119" s="12" t="n">
        <f aca="false">ProyDia[[#This Row],[Calculo03]]/SUMIFS(ProyDia[Calculo03],ProyDia[Día],"&gt;="&amp;EOMONTH(ProyDia[[#This Row],[Día]],-1)+1,ProyDia[Día],"&lt;="&amp;EOMONTH(ProyDia[[#This Row],[Día]],0))</f>
        <v>0.0333030578262186</v>
      </c>
      <c r="P119" s="2" t="n">
        <f aca="false">ProyDia[[#This Row],[Peso Día Final]]*7754000</f>
        <v>258231.910384499</v>
      </c>
    </row>
    <row r="120" customFormat="false" ht="14.4" hidden="false" customHeight="false" outlineLevel="0" collapsed="false">
      <c r="H120" s="10" t="n">
        <v>43827</v>
      </c>
      <c r="I120" s="11" t="n">
        <f aca="false">VLOOKUP(WEEKNUM(ProyDia[[#This Row],[Día]],2)-WEEKNUM(EOMONTH(ProyDia[[#This Row],[Día]],-1)+1,2)+1,Semana[],IF((WEEKNUM(EOMONTH(H120,0),2)-WEEKNUM(EOMONTH(H120,-1)+1,2)+1)=4,2,IF((WEEKNUM(EOMONTH(H120,0),2)-WEEKNUM(EOMONTH(H120,-1)+1,2)+1)=5,3,IF((WEEKNUM(EOMONTH(H120,0),2)-WEEKNUM(EOMONTH(H120,-1)+1,2)+1)=6,4,0))),0)</f>
        <v>0.22</v>
      </c>
      <c r="J120" s="0" t="n">
        <f aca="false">WEEKNUM(ProyDia[[#This Row],[Día]],2)</f>
        <v>52</v>
      </c>
      <c r="K120" s="0" t="n">
        <v>2019</v>
      </c>
      <c r="L120" s="2" t="n">
        <f aca="false">WEEKDAY(ProyDia[[#This Row],[Día]],2)</f>
        <v>6</v>
      </c>
      <c r="M120" s="0" t="n">
        <f aca="false">VLOOKUP(ProyDia[[#This Row],[Cálculo02]],Dia[],3,0)</f>
        <v>0.25</v>
      </c>
      <c r="N120" s="0" t="n">
        <f aca="false">ProyDia[[#This Row],[Cálculo 01]]*ProyDia[[#This Row],[Pondera Día]]</f>
        <v>0.055</v>
      </c>
      <c r="O120" s="12" t="n">
        <f aca="false">ProyDia[[#This Row],[Calculo03]]/SUMIFS(ProyDia[Calculo03],ProyDia[Día],"&gt;="&amp;EOMONTH(ProyDia[[#This Row],[Día]],-1)+1,ProyDia[Día],"&lt;="&amp;EOMONTH(ProyDia[[#This Row],[Día]],0))</f>
        <v>0.055505096377031</v>
      </c>
      <c r="P120" s="2" t="n">
        <f aca="false">ProyDia[[#This Row],[Peso Día Final]]*7754000</f>
        <v>430386.517307498</v>
      </c>
    </row>
    <row r="121" customFormat="false" ht="14.4" hidden="false" customHeight="false" outlineLevel="0" collapsed="false">
      <c r="H121" s="10" t="n">
        <v>43828</v>
      </c>
      <c r="I121" s="11" t="n">
        <f aca="false">VLOOKUP(WEEKNUM(ProyDia[[#This Row],[Día]],2)-WEEKNUM(EOMONTH(ProyDia[[#This Row],[Día]],-1)+1,2)+1,Semana[],IF((WEEKNUM(EOMONTH(H121,0),2)-WEEKNUM(EOMONTH(H121,-1)+1,2)+1)=4,2,IF((WEEKNUM(EOMONTH(H121,0),2)-WEEKNUM(EOMONTH(H121,-1)+1,2)+1)=5,3,IF((WEEKNUM(EOMONTH(H121,0),2)-WEEKNUM(EOMONTH(H121,-1)+1,2)+1)=6,4,0))),0)</f>
        <v>0.22</v>
      </c>
      <c r="J121" s="0" t="n">
        <f aca="false">WEEKNUM(ProyDia[[#This Row],[Día]],2)</f>
        <v>52</v>
      </c>
      <c r="K121" s="0" t="n">
        <v>2019</v>
      </c>
      <c r="L121" s="2" t="n">
        <f aca="false">WEEKDAY(ProyDia[[#This Row],[Día]],2)</f>
        <v>7</v>
      </c>
      <c r="M121" s="0" t="n">
        <f aca="false">VLOOKUP(ProyDia[[#This Row],[Cálculo02]],Dia[],3,0)</f>
        <v>0.15</v>
      </c>
      <c r="N121" s="0" t="n">
        <f aca="false">ProyDia[[#This Row],[Cálculo 01]]*ProyDia[[#This Row],[Pondera Día]]</f>
        <v>0.033</v>
      </c>
      <c r="O121" s="12" t="n">
        <f aca="false">ProyDia[[#This Row],[Calculo03]]/SUMIFS(ProyDia[Calculo03],ProyDia[Día],"&gt;="&amp;EOMONTH(ProyDia[[#This Row],[Día]],-1)+1,ProyDia[Día],"&lt;="&amp;EOMONTH(ProyDia[[#This Row],[Día]],0))</f>
        <v>0.0333030578262186</v>
      </c>
      <c r="P121" s="2" t="n">
        <f aca="false">ProyDia[[#This Row],[Peso Día Final]]*7754000</f>
        <v>258231.910384499</v>
      </c>
    </row>
    <row r="122" customFormat="false" ht="14.4" hidden="false" customHeight="false" outlineLevel="0" collapsed="false">
      <c r="H122" s="10" t="n">
        <v>43829</v>
      </c>
      <c r="I122" s="11" t="n">
        <f aca="false">VLOOKUP(WEEKNUM(ProyDia[[#This Row],[Día]],2)-WEEKNUM(EOMONTH(ProyDia[[#This Row],[Día]],-1)+1,2)+1,Semana[],IF((WEEKNUM(EOMONTH(H122,0),2)-WEEKNUM(EOMONTH(H122,-1)+1,2)+1)=4,2,IF((WEEKNUM(EOMONTH(H122,0),2)-WEEKNUM(EOMONTH(H122,-1)+1,2)+1)=5,3,IF((WEEKNUM(EOMONTH(H122,0),2)-WEEKNUM(EOMONTH(H122,-1)+1,2)+1)=6,4,0))),0)</f>
        <v>0.05</v>
      </c>
      <c r="J122" s="0" t="n">
        <f aca="false">WEEKNUM(ProyDia[[#This Row],[Día]],2)</f>
        <v>53</v>
      </c>
      <c r="K122" s="0" t="n">
        <v>2019</v>
      </c>
      <c r="L122" s="2" t="n">
        <f aca="false">WEEKDAY(ProyDia[[#This Row],[Día]],2)</f>
        <v>1</v>
      </c>
      <c r="M122" s="0" t="n">
        <v>0.2</v>
      </c>
      <c r="N122" s="0" t="n">
        <f aca="false">ProyDia[[#This Row],[Cálculo 01]]*ProyDia[[#This Row],[Pondera Día]]</f>
        <v>0.01</v>
      </c>
      <c r="O122" s="12" t="n">
        <f aca="false">ProyDia[[#This Row],[Calculo03]]/SUMIFS(ProyDia[Calculo03],ProyDia[Día],"&gt;="&amp;EOMONTH(ProyDia[[#This Row],[Día]],-1)+1,ProyDia[Día],"&lt;="&amp;EOMONTH(ProyDia[[#This Row],[Día]],0))</f>
        <v>0.0100918357049147</v>
      </c>
      <c r="P122" s="2" t="n">
        <f aca="false">ProyDia[[#This Row],[Peso Día Final]]*7754000</f>
        <v>78252.0940559088</v>
      </c>
    </row>
    <row r="123" customFormat="false" ht="14.4" hidden="false" customHeight="false" outlineLevel="0" collapsed="false">
      <c r="H123" s="10" t="n">
        <v>43830</v>
      </c>
      <c r="I123" s="11" t="n">
        <f aca="false">VLOOKUP(WEEKNUM(ProyDia[[#This Row],[Día]],2)-WEEKNUM(EOMONTH(ProyDia[[#This Row],[Día]],-1)+1,2)+1,Semana[],IF((WEEKNUM(EOMONTH(H123,0),2)-WEEKNUM(EOMONTH(H123,-1)+1,2)+1)=4,2,IF((WEEKNUM(EOMONTH(H123,0),2)-WEEKNUM(EOMONTH(H123,-1)+1,2)+1)=5,3,IF((WEEKNUM(EOMONTH(H123,0),2)-WEEKNUM(EOMONTH(H123,-1)+1,2)+1)=6,4,0))),0)</f>
        <v>0.05</v>
      </c>
      <c r="J123" s="0" t="n">
        <f aca="false">WEEKNUM(ProyDia[[#This Row],[Día]],2)</f>
        <v>53</v>
      </c>
      <c r="K123" s="0" t="n">
        <v>2019</v>
      </c>
      <c r="L123" s="2" t="n">
        <f aca="false">WEEKDAY(ProyDia[[#This Row],[Día]],2)</f>
        <v>2</v>
      </c>
      <c r="M123" s="0" t="n">
        <v>0.3</v>
      </c>
      <c r="N123" s="0" t="n">
        <f aca="false">ProyDia[[#This Row],[Cálculo 01]]*ProyDia[[#This Row],[Pondera Día]]</f>
        <v>0.015</v>
      </c>
      <c r="O123" s="12" t="n">
        <f aca="false">ProyDia[[#This Row],[Calculo03]]/SUMIFS(ProyDia[Calculo03],ProyDia[Día],"&gt;="&amp;EOMONTH(ProyDia[[#This Row],[Día]],-1)+1,ProyDia[Día],"&lt;="&amp;EOMONTH(ProyDia[[#This Row],[Día]],0))</f>
        <v>0.0151377535573721</v>
      </c>
      <c r="P123" s="2" t="n">
        <f aca="false">ProyDia[[#This Row],[Peso Día Final]]*7754000</f>
        <v>117378.141083863</v>
      </c>
    </row>
    <row r="124" customFormat="false" ht="14.4" hidden="false" customHeight="false" outlineLevel="0" collapsed="false">
      <c r="H124" s="14" t="n">
        <v>43831</v>
      </c>
      <c r="I124" s="11" t="n">
        <f aca="false">VLOOKUP(WEEKNUM(ProyDia[[#This Row],[Día]],2)-WEEKNUM(EOMONTH(ProyDia[[#This Row],[Día]],-1)+1,2)+1,Semana[],IF((WEEKNUM(EOMONTH(H124,0),2)-WEEKNUM(EOMONTH(H124,-1)+1,2)+1)=4,2,IF((WEEKNUM(EOMONTH(H124,0),2)-WEEKNUM(EOMONTH(H124,-1)+1,2)+1)=5,3,IF((WEEKNUM(EOMONTH(H124,0),2)-WEEKNUM(EOMONTH(H124,-1)+1,2)+1)=6,4,0))),0)</f>
        <v>0.28</v>
      </c>
      <c r="J124" s="15" t="n">
        <f aca="false">WEEKNUM(ProyDia[[#This Row],[Día]],2)</f>
        <v>1</v>
      </c>
      <c r="K124" s="15" t="n">
        <v>2020</v>
      </c>
      <c r="L124" s="16" t="n">
        <f aca="false">WEEKDAY(ProyDia[[#This Row],[Día]],2)</f>
        <v>3</v>
      </c>
      <c r="M124" s="15" t="n">
        <f aca="false">VLOOKUP(ProyDia[[#This Row],[Cálculo02]],Dia[],3,0)</f>
        <v>0.1</v>
      </c>
      <c r="N124" s="15" t="n">
        <f aca="false">ProyDia[[#This Row],[Cálculo 01]]*ProyDia[[#This Row],[Pondera Día]]</f>
        <v>0.028</v>
      </c>
      <c r="O124" s="12" t="n">
        <f aca="false">ProyDia[[#This Row],[Calculo03]]/SUMIFS(ProyDia[Calculo03],ProyDia[Día],"&gt;="&amp;EOMONTH(ProyDia[[#This Row],[Día]],-1)+1,ProyDia[Día],"&lt;="&amp;EOMONTH(ProyDia[[#This Row],[Día]],0))</f>
        <v>0.0327102803738318</v>
      </c>
      <c r="P124" s="17" t="n">
        <f aca="false">ProyDia[[#This Row],[Peso Día Final]]*7754000</f>
        <v>253635.514018692</v>
      </c>
    </row>
    <row r="125" customFormat="false" ht="14.4" hidden="false" customHeight="false" outlineLevel="0" collapsed="false">
      <c r="H125" s="14" t="n">
        <v>43832</v>
      </c>
      <c r="I125" s="11" t="n">
        <f aca="false">VLOOKUP(WEEKNUM(ProyDia[[#This Row],[Día]],2)-WEEKNUM(EOMONTH(ProyDia[[#This Row],[Día]],-1)+1,2)+1,Semana[],IF((WEEKNUM(EOMONTH(H125,0),2)-WEEKNUM(EOMONTH(H125,-1)+1,2)+1)=4,2,IF((WEEKNUM(EOMONTH(H125,0),2)-WEEKNUM(EOMONTH(H125,-1)+1,2)+1)=5,3,IF((WEEKNUM(EOMONTH(H125,0),2)-WEEKNUM(EOMONTH(H125,-1)+1,2)+1)=6,4,0))),0)</f>
        <v>0.28</v>
      </c>
      <c r="J125" s="15" t="n">
        <f aca="false">WEEKNUM(ProyDia[[#This Row],[Día]],2)</f>
        <v>1</v>
      </c>
      <c r="K125" s="15" t="n">
        <v>2020</v>
      </c>
      <c r="L125" s="16" t="n">
        <f aca="false">WEEKDAY(ProyDia[[#This Row],[Día]],2)</f>
        <v>4</v>
      </c>
      <c r="M125" s="15" t="n">
        <f aca="false">VLOOKUP(ProyDia[[#This Row],[Cálculo02]],Dia[],3,0)</f>
        <v>0.1</v>
      </c>
      <c r="N125" s="15" t="n">
        <f aca="false">ProyDia[[#This Row],[Cálculo 01]]*ProyDia[[#This Row],[Pondera Día]]</f>
        <v>0.028</v>
      </c>
      <c r="O125" s="12" t="n">
        <f aca="false">ProyDia[[#This Row],[Calculo03]]/SUMIFS(ProyDia[Calculo03],ProyDia[Día],"&gt;="&amp;EOMONTH(ProyDia[[#This Row],[Día]],-1)+1,ProyDia[Día],"&lt;="&amp;EOMONTH(ProyDia[[#This Row],[Día]],0))</f>
        <v>0.0327102803738318</v>
      </c>
      <c r="P125" s="17" t="n">
        <f aca="false">ProyDia[[#This Row],[Peso Día Final]]*7754000</f>
        <v>253635.514018692</v>
      </c>
    </row>
    <row r="126" customFormat="false" ht="14.4" hidden="false" customHeight="false" outlineLevel="0" collapsed="false">
      <c r="H126" s="14" t="n">
        <v>43833</v>
      </c>
      <c r="I126" s="11" t="n">
        <f aca="false">VLOOKUP(WEEKNUM(ProyDia[[#This Row],[Día]],2)-WEEKNUM(EOMONTH(ProyDia[[#This Row],[Día]],-1)+1,2)+1,Semana[],IF((WEEKNUM(EOMONTH(H126,0),2)-WEEKNUM(EOMONTH(H126,-1)+1,2)+1)=4,2,IF((WEEKNUM(EOMONTH(H126,0),2)-WEEKNUM(EOMONTH(H126,-1)+1,2)+1)=5,3,IF((WEEKNUM(EOMONTH(H126,0),2)-WEEKNUM(EOMONTH(H126,-1)+1,2)+1)=6,4,0))),0)</f>
        <v>0.28</v>
      </c>
      <c r="J126" s="15" t="n">
        <f aca="false">WEEKNUM(ProyDia[[#This Row],[Día]],2)</f>
        <v>1</v>
      </c>
      <c r="K126" s="15" t="n">
        <v>2020</v>
      </c>
      <c r="L126" s="16" t="n">
        <f aca="false">WEEKDAY(ProyDia[[#This Row],[Día]],2)</f>
        <v>5</v>
      </c>
      <c r="M126" s="15" t="n">
        <f aca="false">VLOOKUP(ProyDia[[#This Row],[Cálculo02]],Dia[],3,0)</f>
        <v>0.2</v>
      </c>
      <c r="N126" s="15" t="n">
        <f aca="false">ProyDia[[#This Row],[Cálculo 01]]*ProyDia[[#This Row],[Pondera Día]]</f>
        <v>0.056</v>
      </c>
      <c r="O126" s="12" t="n">
        <f aca="false">ProyDia[[#This Row],[Calculo03]]/SUMIFS(ProyDia[Calculo03],ProyDia[Día],"&gt;="&amp;EOMONTH(ProyDia[[#This Row],[Día]],-1)+1,ProyDia[Día],"&lt;="&amp;EOMONTH(ProyDia[[#This Row],[Día]],0))</f>
        <v>0.0654205607476635</v>
      </c>
      <c r="P126" s="17" t="n">
        <f aca="false">ProyDia[[#This Row],[Peso Día Final]]*7754000</f>
        <v>507271.028037383</v>
      </c>
    </row>
    <row r="127" customFormat="false" ht="14.4" hidden="false" customHeight="false" outlineLevel="0" collapsed="false">
      <c r="H127" s="14" t="n">
        <v>43834</v>
      </c>
      <c r="I127" s="11" t="n">
        <f aca="false">VLOOKUP(WEEKNUM(ProyDia[[#This Row],[Día]],2)-WEEKNUM(EOMONTH(ProyDia[[#This Row],[Día]],-1)+1,2)+1,Semana[],IF((WEEKNUM(EOMONTH(H127,0),2)-WEEKNUM(EOMONTH(H127,-1)+1,2)+1)=4,2,IF((WEEKNUM(EOMONTH(H127,0),2)-WEEKNUM(EOMONTH(H127,-1)+1,2)+1)=5,3,IF((WEEKNUM(EOMONTH(H127,0),2)-WEEKNUM(EOMONTH(H127,-1)+1,2)+1)=6,4,0))),0)</f>
        <v>0.28</v>
      </c>
      <c r="J127" s="15" t="n">
        <f aca="false">WEEKNUM(ProyDia[[#This Row],[Día]],2)</f>
        <v>1</v>
      </c>
      <c r="K127" s="15" t="n">
        <v>2020</v>
      </c>
      <c r="L127" s="16" t="n">
        <f aca="false">WEEKDAY(ProyDia[[#This Row],[Día]],2)</f>
        <v>6</v>
      </c>
      <c r="M127" s="15" t="n">
        <f aca="false">VLOOKUP(ProyDia[[#This Row],[Cálculo02]],Dia[],3,0)</f>
        <v>0.25</v>
      </c>
      <c r="N127" s="15" t="n">
        <f aca="false">ProyDia[[#This Row],[Cálculo 01]]*ProyDia[[#This Row],[Pondera Día]]</f>
        <v>0.07</v>
      </c>
      <c r="O127" s="12" t="n">
        <f aca="false">ProyDia[[#This Row],[Calculo03]]/SUMIFS(ProyDia[Calculo03],ProyDia[Día],"&gt;="&amp;EOMONTH(ProyDia[[#This Row],[Día]],-1)+1,ProyDia[Día],"&lt;="&amp;EOMONTH(ProyDia[[#This Row],[Día]],0))</f>
        <v>0.0817757009345794</v>
      </c>
      <c r="P127" s="17" t="n">
        <f aca="false">ProyDia[[#This Row],[Peso Día Final]]*7754000</f>
        <v>634088.785046729</v>
      </c>
    </row>
    <row r="128" customFormat="false" ht="14.4" hidden="false" customHeight="false" outlineLevel="0" collapsed="false">
      <c r="H128" s="14" t="n">
        <v>43835</v>
      </c>
      <c r="I128" s="11" t="n">
        <f aca="false">VLOOKUP(WEEKNUM(ProyDia[[#This Row],[Día]],2)-WEEKNUM(EOMONTH(ProyDia[[#This Row],[Día]],-1)+1,2)+1,Semana[],IF((WEEKNUM(EOMONTH(H128,0),2)-WEEKNUM(EOMONTH(H128,-1)+1,2)+1)=4,2,IF((WEEKNUM(EOMONTH(H128,0),2)-WEEKNUM(EOMONTH(H128,-1)+1,2)+1)=5,3,IF((WEEKNUM(EOMONTH(H128,0),2)-WEEKNUM(EOMONTH(H128,-1)+1,2)+1)=6,4,0))),0)</f>
        <v>0.28</v>
      </c>
      <c r="J128" s="15" t="n">
        <f aca="false">WEEKNUM(ProyDia[[#This Row],[Día]],2)</f>
        <v>1</v>
      </c>
      <c r="K128" s="15" t="n">
        <v>2020</v>
      </c>
      <c r="L128" s="16" t="n">
        <f aca="false">WEEKDAY(ProyDia[[#This Row],[Día]],2)</f>
        <v>7</v>
      </c>
      <c r="M128" s="15" t="n">
        <f aca="false">VLOOKUP(ProyDia[[#This Row],[Cálculo02]],Dia[],3,0)</f>
        <v>0.15</v>
      </c>
      <c r="N128" s="15" t="n">
        <f aca="false">ProyDia[[#This Row],[Cálculo 01]]*ProyDia[[#This Row],[Pondera Día]]</f>
        <v>0.042</v>
      </c>
      <c r="O128" s="12" t="n">
        <f aca="false">ProyDia[[#This Row],[Calculo03]]/SUMIFS(ProyDia[Calculo03],ProyDia[Día],"&gt;="&amp;EOMONTH(ProyDia[[#This Row],[Día]],-1)+1,ProyDia[Día],"&lt;="&amp;EOMONTH(ProyDia[[#This Row],[Día]],0))</f>
        <v>0.0490654205607476</v>
      </c>
      <c r="P128" s="17" t="n">
        <f aca="false">ProyDia[[#This Row],[Peso Día Final]]*7754000</f>
        <v>380453.271028037</v>
      </c>
    </row>
    <row r="129" customFormat="false" ht="14.4" hidden="false" customHeight="false" outlineLevel="0" collapsed="false">
      <c r="H129" s="14" t="n">
        <v>43836</v>
      </c>
      <c r="I129" s="11" t="n">
        <f aca="false">VLOOKUP(WEEKNUM(ProyDia[[#This Row],[Día]],2)-WEEKNUM(EOMONTH(ProyDia[[#This Row],[Día]],-1)+1,2)+1,Semana[],IF((WEEKNUM(EOMONTH(H129,0),2)-WEEKNUM(EOMONTH(H129,-1)+1,2)+1)=4,2,IF((WEEKNUM(EOMONTH(H129,0),2)-WEEKNUM(EOMONTH(H129,-1)+1,2)+1)=5,3,IF((WEEKNUM(EOMONTH(H129,0),2)-WEEKNUM(EOMONTH(H129,-1)+1,2)+1)=6,4,0))),0)</f>
        <v>0.15</v>
      </c>
      <c r="J129" s="15" t="n">
        <f aca="false">WEEKNUM(ProyDia[[#This Row],[Día]],2)</f>
        <v>2</v>
      </c>
      <c r="K129" s="15" t="n">
        <v>2020</v>
      </c>
      <c r="L129" s="16" t="n">
        <f aca="false">WEEKDAY(ProyDia[[#This Row],[Día]],2)</f>
        <v>1</v>
      </c>
      <c r="M129" s="15" t="n">
        <f aca="false">VLOOKUP(ProyDia[[#This Row],[Cálculo02]],Dia[],3,0)</f>
        <v>0.1</v>
      </c>
      <c r="N129" s="15" t="n">
        <f aca="false">ProyDia[[#This Row],[Cálculo 01]]*ProyDia[[#This Row],[Pondera Día]]</f>
        <v>0.015</v>
      </c>
      <c r="O129" s="12" t="n">
        <f aca="false">ProyDia[[#This Row],[Calculo03]]/SUMIFS(ProyDia[Calculo03],ProyDia[Día],"&gt;="&amp;EOMONTH(ProyDia[[#This Row],[Día]],-1)+1,ProyDia[Día],"&lt;="&amp;EOMONTH(ProyDia[[#This Row],[Día]],0))</f>
        <v>0.0175233644859813</v>
      </c>
      <c r="P129" s="17" t="n">
        <f aca="false">ProyDia[[#This Row],[Peso Día Final]]*7754000</f>
        <v>135876.168224299</v>
      </c>
    </row>
    <row r="130" customFormat="false" ht="14.4" hidden="false" customHeight="false" outlineLevel="0" collapsed="false">
      <c r="H130" s="14" t="n">
        <v>43837</v>
      </c>
      <c r="I130" s="11" t="n">
        <f aca="false">VLOOKUP(WEEKNUM(ProyDia[[#This Row],[Día]],2)-WEEKNUM(EOMONTH(ProyDia[[#This Row],[Día]],-1)+1,2)+1,Semana[],IF((WEEKNUM(EOMONTH(H130,0),2)-WEEKNUM(EOMONTH(H130,-1)+1,2)+1)=4,2,IF((WEEKNUM(EOMONTH(H130,0),2)-WEEKNUM(EOMONTH(H130,-1)+1,2)+1)=5,3,IF((WEEKNUM(EOMONTH(H130,0),2)-WEEKNUM(EOMONTH(H130,-1)+1,2)+1)=6,4,0))),0)</f>
        <v>0.15</v>
      </c>
      <c r="J130" s="15" t="n">
        <f aca="false">WEEKNUM(ProyDia[[#This Row],[Día]],2)</f>
        <v>2</v>
      </c>
      <c r="K130" s="15" t="n">
        <v>2020</v>
      </c>
      <c r="L130" s="16" t="n">
        <f aca="false">WEEKDAY(ProyDia[[#This Row],[Día]],2)</f>
        <v>2</v>
      </c>
      <c r="M130" s="15" t="n">
        <f aca="false">VLOOKUP(ProyDia[[#This Row],[Cálculo02]],Dia[],3,0)</f>
        <v>0.1</v>
      </c>
      <c r="N130" s="15" t="n">
        <f aca="false">ProyDia[[#This Row],[Cálculo 01]]*ProyDia[[#This Row],[Pondera Día]]</f>
        <v>0.015</v>
      </c>
      <c r="O130" s="12" t="n">
        <f aca="false">ProyDia[[#This Row],[Calculo03]]/SUMIFS(ProyDia[Calculo03],ProyDia[Día],"&gt;="&amp;EOMONTH(ProyDia[[#This Row],[Día]],-1)+1,ProyDia[Día],"&lt;="&amp;EOMONTH(ProyDia[[#This Row],[Día]],0))</f>
        <v>0.0175233644859813</v>
      </c>
      <c r="P130" s="17" t="n">
        <f aca="false">ProyDia[[#This Row],[Peso Día Final]]*7754000</f>
        <v>135876.168224299</v>
      </c>
    </row>
    <row r="131" customFormat="false" ht="14.4" hidden="false" customHeight="false" outlineLevel="0" collapsed="false">
      <c r="H131" s="14" t="n">
        <v>43838</v>
      </c>
      <c r="I131" s="11" t="n">
        <f aca="false">VLOOKUP(WEEKNUM(ProyDia[[#This Row],[Día]],2)-WEEKNUM(EOMONTH(ProyDia[[#This Row],[Día]],-1)+1,2)+1,Semana[],IF((WEEKNUM(EOMONTH(H131,0),2)-WEEKNUM(EOMONTH(H131,-1)+1,2)+1)=4,2,IF((WEEKNUM(EOMONTH(H131,0),2)-WEEKNUM(EOMONTH(H131,-1)+1,2)+1)=5,3,IF((WEEKNUM(EOMONTH(H131,0),2)-WEEKNUM(EOMONTH(H131,-1)+1,2)+1)=6,4,0))),0)</f>
        <v>0.15</v>
      </c>
      <c r="J131" s="15" t="n">
        <f aca="false">WEEKNUM(ProyDia[[#This Row],[Día]],2)</f>
        <v>2</v>
      </c>
      <c r="K131" s="15" t="n">
        <v>2020</v>
      </c>
      <c r="L131" s="16" t="n">
        <f aca="false">WEEKDAY(ProyDia[[#This Row],[Día]],2)</f>
        <v>3</v>
      </c>
      <c r="M131" s="15" t="n">
        <f aca="false">VLOOKUP(ProyDia[[#This Row],[Cálculo02]],Dia[],3,0)</f>
        <v>0.1</v>
      </c>
      <c r="N131" s="15" t="n">
        <f aca="false">ProyDia[[#This Row],[Cálculo 01]]*ProyDia[[#This Row],[Pondera Día]]</f>
        <v>0.015</v>
      </c>
      <c r="O131" s="12" t="n">
        <f aca="false">ProyDia[[#This Row],[Calculo03]]/SUMIFS(ProyDia[Calculo03],ProyDia[Día],"&gt;="&amp;EOMONTH(ProyDia[[#This Row],[Día]],-1)+1,ProyDia[Día],"&lt;="&amp;EOMONTH(ProyDia[[#This Row],[Día]],0))</f>
        <v>0.0175233644859813</v>
      </c>
      <c r="P131" s="17" t="n">
        <f aca="false">ProyDia[[#This Row],[Peso Día Final]]*7754000</f>
        <v>135876.168224299</v>
      </c>
    </row>
    <row r="132" customFormat="false" ht="14.4" hidden="false" customHeight="false" outlineLevel="0" collapsed="false">
      <c r="H132" s="14" t="n">
        <v>43839</v>
      </c>
      <c r="I132" s="11" t="n">
        <f aca="false">VLOOKUP(WEEKNUM(ProyDia[[#This Row],[Día]],2)-WEEKNUM(EOMONTH(ProyDia[[#This Row],[Día]],-1)+1,2)+1,Semana[],IF((WEEKNUM(EOMONTH(H132,0),2)-WEEKNUM(EOMONTH(H132,-1)+1,2)+1)=4,2,IF((WEEKNUM(EOMONTH(H132,0),2)-WEEKNUM(EOMONTH(H132,-1)+1,2)+1)=5,3,IF((WEEKNUM(EOMONTH(H132,0),2)-WEEKNUM(EOMONTH(H132,-1)+1,2)+1)=6,4,0))),0)</f>
        <v>0.15</v>
      </c>
      <c r="J132" s="15" t="n">
        <f aca="false">WEEKNUM(ProyDia[[#This Row],[Día]],2)</f>
        <v>2</v>
      </c>
      <c r="K132" s="15" t="n">
        <v>2020</v>
      </c>
      <c r="L132" s="16" t="n">
        <f aca="false">WEEKDAY(ProyDia[[#This Row],[Día]],2)</f>
        <v>4</v>
      </c>
      <c r="M132" s="15" t="n">
        <f aca="false">VLOOKUP(ProyDia[[#This Row],[Cálculo02]],Dia[],3,0)</f>
        <v>0.1</v>
      </c>
      <c r="N132" s="15" t="n">
        <f aca="false">ProyDia[[#This Row],[Cálculo 01]]*ProyDia[[#This Row],[Pondera Día]]</f>
        <v>0.015</v>
      </c>
      <c r="O132" s="12" t="n">
        <f aca="false">ProyDia[[#This Row],[Calculo03]]/SUMIFS(ProyDia[Calculo03],ProyDia[Día],"&gt;="&amp;EOMONTH(ProyDia[[#This Row],[Día]],-1)+1,ProyDia[Día],"&lt;="&amp;EOMONTH(ProyDia[[#This Row],[Día]],0))</f>
        <v>0.0175233644859813</v>
      </c>
      <c r="P132" s="17" t="n">
        <f aca="false">ProyDia[[#This Row],[Peso Día Final]]*7754000</f>
        <v>135876.168224299</v>
      </c>
    </row>
    <row r="133" customFormat="false" ht="14.4" hidden="false" customHeight="false" outlineLevel="0" collapsed="false">
      <c r="H133" s="14" t="n">
        <v>43840</v>
      </c>
      <c r="I133" s="11" t="n">
        <f aca="false">VLOOKUP(WEEKNUM(ProyDia[[#This Row],[Día]],2)-WEEKNUM(EOMONTH(ProyDia[[#This Row],[Día]],-1)+1,2)+1,Semana[],IF((WEEKNUM(EOMONTH(H133,0),2)-WEEKNUM(EOMONTH(H133,-1)+1,2)+1)=4,2,IF((WEEKNUM(EOMONTH(H133,0),2)-WEEKNUM(EOMONTH(H133,-1)+1,2)+1)=5,3,IF((WEEKNUM(EOMONTH(H133,0),2)-WEEKNUM(EOMONTH(H133,-1)+1,2)+1)=6,4,0))),0)</f>
        <v>0.15</v>
      </c>
      <c r="J133" s="15" t="n">
        <f aca="false">WEEKNUM(ProyDia[[#This Row],[Día]],2)</f>
        <v>2</v>
      </c>
      <c r="K133" s="15" t="n">
        <v>2020</v>
      </c>
      <c r="L133" s="16" t="n">
        <f aca="false">WEEKDAY(ProyDia[[#This Row],[Día]],2)</f>
        <v>5</v>
      </c>
      <c r="M133" s="15" t="n">
        <f aca="false">VLOOKUP(ProyDia[[#This Row],[Cálculo02]],Dia[],3,0)</f>
        <v>0.2</v>
      </c>
      <c r="N133" s="15" t="n">
        <f aca="false">ProyDia[[#This Row],[Cálculo 01]]*ProyDia[[#This Row],[Pondera Día]]</f>
        <v>0.03</v>
      </c>
      <c r="O133" s="12" t="n">
        <f aca="false">ProyDia[[#This Row],[Calculo03]]/SUMIFS(ProyDia[Calculo03],ProyDia[Día],"&gt;="&amp;EOMONTH(ProyDia[[#This Row],[Día]],-1)+1,ProyDia[Día],"&lt;="&amp;EOMONTH(ProyDia[[#This Row],[Día]],0))</f>
        <v>0.0350467289719626</v>
      </c>
      <c r="P133" s="17" t="n">
        <f aca="false">ProyDia[[#This Row],[Peso Día Final]]*7754000</f>
        <v>271752.336448598</v>
      </c>
    </row>
    <row r="134" customFormat="false" ht="14.4" hidden="false" customHeight="false" outlineLevel="0" collapsed="false">
      <c r="H134" s="14" t="n">
        <v>43841</v>
      </c>
      <c r="I134" s="11" t="n">
        <f aca="false">VLOOKUP(WEEKNUM(ProyDia[[#This Row],[Día]],2)-WEEKNUM(EOMONTH(ProyDia[[#This Row],[Día]],-1)+1,2)+1,Semana[],IF((WEEKNUM(EOMONTH(H134,0),2)-WEEKNUM(EOMONTH(H134,-1)+1,2)+1)=4,2,IF((WEEKNUM(EOMONTH(H134,0),2)-WEEKNUM(EOMONTH(H134,-1)+1,2)+1)=5,3,IF((WEEKNUM(EOMONTH(H134,0),2)-WEEKNUM(EOMONTH(H134,-1)+1,2)+1)=6,4,0))),0)</f>
        <v>0.15</v>
      </c>
      <c r="J134" s="15" t="n">
        <f aca="false">WEEKNUM(ProyDia[[#This Row],[Día]],2)</f>
        <v>2</v>
      </c>
      <c r="K134" s="15" t="n">
        <v>2020</v>
      </c>
      <c r="L134" s="16" t="n">
        <f aca="false">WEEKDAY(ProyDia[[#This Row],[Día]],2)</f>
        <v>6</v>
      </c>
      <c r="M134" s="15" t="n">
        <f aca="false">VLOOKUP(ProyDia[[#This Row],[Cálculo02]],Dia[],3,0)</f>
        <v>0.25</v>
      </c>
      <c r="N134" s="15" t="n">
        <f aca="false">ProyDia[[#This Row],[Cálculo 01]]*ProyDia[[#This Row],[Pondera Día]]</f>
        <v>0.0375</v>
      </c>
      <c r="O134" s="12" t="n">
        <f aca="false">ProyDia[[#This Row],[Calculo03]]/SUMIFS(ProyDia[Calculo03],ProyDia[Día],"&gt;="&amp;EOMONTH(ProyDia[[#This Row],[Día]],-1)+1,ProyDia[Día],"&lt;="&amp;EOMONTH(ProyDia[[#This Row],[Día]],0))</f>
        <v>0.0438084112149533</v>
      </c>
      <c r="P134" s="17" t="n">
        <f aca="false">ProyDia[[#This Row],[Peso Día Final]]*7754000</f>
        <v>339690.420560748</v>
      </c>
    </row>
    <row r="135" customFormat="false" ht="14.4" hidden="false" customHeight="false" outlineLevel="0" collapsed="false">
      <c r="H135" s="14" t="n">
        <v>43842</v>
      </c>
      <c r="I135" s="11" t="n">
        <f aca="false">VLOOKUP(WEEKNUM(ProyDia[[#This Row],[Día]],2)-WEEKNUM(EOMONTH(ProyDia[[#This Row],[Día]],-1)+1,2)+1,Semana[],IF((WEEKNUM(EOMONTH(H135,0),2)-WEEKNUM(EOMONTH(H135,-1)+1,2)+1)=4,2,IF((WEEKNUM(EOMONTH(H135,0),2)-WEEKNUM(EOMONTH(H135,-1)+1,2)+1)=5,3,IF((WEEKNUM(EOMONTH(H135,0),2)-WEEKNUM(EOMONTH(H135,-1)+1,2)+1)=6,4,0))),0)</f>
        <v>0.15</v>
      </c>
      <c r="J135" s="15" t="n">
        <f aca="false">WEEKNUM(ProyDia[[#This Row],[Día]],2)</f>
        <v>2</v>
      </c>
      <c r="K135" s="15" t="n">
        <v>2020</v>
      </c>
      <c r="L135" s="16" t="n">
        <f aca="false">WEEKDAY(ProyDia[[#This Row],[Día]],2)</f>
        <v>7</v>
      </c>
      <c r="M135" s="15" t="n">
        <f aca="false">VLOOKUP(ProyDia[[#This Row],[Cálculo02]],Dia[],3,0)</f>
        <v>0.15</v>
      </c>
      <c r="N135" s="15" t="n">
        <f aca="false">ProyDia[[#This Row],[Cálculo 01]]*ProyDia[[#This Row],[Pondera Día]]</f>
        <v>0.0225</v>
      </c>
      <c r="O135" s="12" t="n">
        <f aca="false">ProyDia[[#This Row],[Calculo03]]/SUMIFS(ProyDia[Calculo03],ProyDia[Día],"&gt;="&amp;EOMONTH(ProyDia[[#This Row],[Día]],-1)+1,ProyDia[Día],"&lt;="&amp;EOMONTH(ProyDia[[#This Row],[Día]],0))</f>
        <v>0.026285046728972</v>
      </c>
      <c r="P135" s="17" t="n">
        <f aca="false">ProyDia[[#This Row],[Peso Día Final]]*7754000</f>
        <v>203814.252336449</v>
      </c>
    </row>
    <row r="136" customFormat="false" ht="14.4" hidden="false" customHeight="false" outlineLevel="0" collapsed="false">
      <c r="H136" s="14" t="n">
        <v>43843</v>
      </c>
      <c r="I136" s="11" t="n">
        <f aca="false">VLOOKUP(WEEKNUM(ProyDia[[#This Row],[Día]],2)-WEEKNUM(EOMONTH(ProyDia[[#This Row],[Día]],-1)+1,2)+1,Semana[],IF((WEEKNUM(EOMONTH(H136,0),2)-WEEKNUM(EOMONTH(H136,-1)+1,2)+1)=4,2,IF((WEEKNUM(EOMONTH(H136,0),2)-WEEKNUM(EOMONTH(H136,-1)+1,2)+1)=5,3,IF((WEEKNUM(EOMONTH(H136,0),2)-WEEKNUM(EOMONTH(H136,-1)+1,2)+1)=6,4,0))),0)</f>
        <v>0.15</v>
      </c>
      <c r="J136" s="15" t="n">
        <f aca="false">WEEKNUM(ProyDia[[#This Row],[Día]],2)</f>
        <v>3</v>
      </c>
      <c r="K136" s="15" t="n">
        <v>2020</v>
      </c>
      <c r="L136" s="16" t="n">
        <f aca="false">WEEKDAY(ProyDia[[#This Row],[Día]],2)</f>
        <v>1</v>
      </c>
      <c r="M136" s="15" t="n">
        <f aca="false">VLOOKUP(ProyDia[[#This Row],[Cálculo02]],Dia[],3,0)</f>
        <v>0.1</v>
      </c>
      <c r="N136" s="15" t="n">
        <f aca="false">ProyDia[[#This Row],[Cálculo 01]]*ProyDia[[#This Row],[Pondera Día]]</f>
        <v>0.015</v>
      </c>
      <c r="O136" s="12" t="n">
        <f aca="false">ProyDia[[#This Row],[Calculo03]]/SUMIFS(ProyDia[Calculo03],ProyDia[Día],"&gt;="&amp;EOMONTH(ProyDia[[#This Row],[Día]],-1)+1,ProyDia[Día],"&lt;="&amp;EOMONTH(ProyDia[[#This Row],[Día]],0))</f>
        <v>0.0175233644859813</v>
      </c>
      <c r="P136" s="17" t="n">
        <f aca="false">ProyDia[[#This Row],[Peso Día Final]]*7754000</f>
        <v>135876.168224299</v>
      </c>
    </row>
    <row r="137" customFormat="false" ht="14.4" hidden="false" customHeight="false" outlineLevel="0" collapsed="false">
      <c r="H137" s="14" t="n">
        <v>43844</v>
      </c>
      <c r="I137" s="11" t="n">
        <f aca="false">VLOOKUP(WEEKNUM(ProyDia[[#This Row],[Día]],2)-WEEKNUM(EOMONTH(ProyDia[[#This Row],[Día]],-1)+1,2)+1,Semana[],IF((WEEKNUM(EOMONTH(H137,0),2)-WEEKNUM(EOMONTH(H137,-1)+1,2)+1)=4,2,IF((WEEKNUM(EOMONTH(H137,0),2)-WEEKNUM(EOMONTH(H137,-1)+1,2)+1)=5,3,IF((WEEKNUM(EOMONTH(H137,0),2)-WEEKNUM(EOMONTH(H137,-1)+1,2)+1)=6,4,0))),0)</f>
        <v>0.15</v>
      </c>
      <c r="J137" s="15" t="n">
        <f aca="false">WEEKNUM(ProyDia[[#This Row],[Día]],2)</f>
        <v>3</v>
      </c>
      <c r="K137" s="15" t="n">
        <v>2020</v>
      </c>
      <c r="L137" s="16" t="n">
        <f aca="false">WEEKDAY(ProyDia[[#This Row],[Día]],2)</f>
        <v>2</v>
      </c>
      <c r="M137" s="15" t="n">
        <f aca="false">VLOOKUP(ProyDia[[#This Row],[Cálculo02]],Dia[],3,0)</f>
        <v>0.1</v>
      </c>
      <c r="N137" s="15" t="n">
        <f aca="false">ProyDia[[#This Row],[Cálculo 01]]*ProyDia[[#This Row],[Pondera Día]]</f>
        <v>0.015</v>
      </c>
      <c r="O137" s="12" t="n">
        <f aca="false">ProyDia[[#This Row],[Calculo03]]/SUMIFS(ProyDia[Calculo03],ProyDia[Día],"&gt;="&amp;EOMONTH(ProyDia[[#This Row],[Día]],-1)+1,ProyDia[Día],"&lt;="&amp;EOMONTH(ProyDia[[#This Row],[Día]],0))</f>
        <v>0.0175233644859813</v>
      </c>
      <c r="P137" s="17" t="n">
        <f aca="false">ProyDia[[#This Row],[Peso Día Final]]*7754000</f>
        <v>135876.168224299</v>
      </c>
    </row>
    <row r="138" customFormat="false" ht="14.4" hidden="false" customHeight="false" outlineLevel="0" collapsed="false">
      <c r="H138" s="14" t="n">
        <v>43845</v>
      </c>
      <c r="I138" s="11" t="n">
        <f aca="false">VLOOKUP(WEEKNUM(ProyDia[[#This Row],[Día]],2)-WEEKNUM(EOMONTH(ProyDia[[#This Row],[Día]],-1)+1,2)+1,Semana[],IF((WEEKNUM(EOMONTH(H138,0),2)-WEEKNUM(EOMONTH(H138,-1)+1,2)+1)=4,2,IF((WEEKNUM(EOMONTH(H138,0),2)-WEEKNUM(EOMONTH(H138,-1)+1,2)+1)=5,3,IF((WEEKNUM(EOMONTH(H138,0),2)-WEEKNUM(EOMONTH(H138,-1)+1,2)+1)=6,4,0))),0)</f>
        <v>0.15</v>
      </c>
      <c r="J138" s="15" t="n">
        <f aca="false">WEEKNUM(ProyDia[[#This Row],[Día]],2)</f>
        <v>3</v>
      </c>
      <c r="K138" s="15" t="n">
        <v>2020</v>
      </c>
      <c r="L138" s="16" t="n">
        <f aca="false">WEEKDAY(ProyDia[[#This Row],[Día]],2)</f>
        <v>3</v>
      </c>
      <c r="M138" s="15" t="n">
        <f aca="false">VLOOKUP(ProyDia[[#This Row],[Cálculo02]],Dia[],3,0)</f>
        <v>0.1</v>
      </c>
      <c r="N138" s="15" t="n">
        <f aca="false">ProyDia[[#This Row],[Cálculo 01]]*ProyDia[[#This Row],[Pondera Día]]</f>
        <v>0.015</v>
      </c>
      <c r="O138" s="12" t="n">
        <f aca="false">ProyDia[[#This Row],[Calculo03]]/SUMIFS(ProyDia[Calculo03],ProyDia[Día],"&gt;="&amp;EOMONTH(ProyDia[[#This Row],[Día]],-1)+1,ProyDia[Día],"&lt;="&amp;EOMONTH(ProyDia[[#This Row],[Día]],0))</f>
        <v>0.0175233644859813</v>
      </c>
      <c r="P138" s="17" t="n">
        <f aca="false">ProyDia[[#This Row],[Peso Día Final]]*7754000</f>
        <v>135876.168224299</v>
      </c>
    </row>
    <row r="139" customFormat="false" ht="14.4" hidden="false" customHeight="false" outlineLevel="0" collapsed="false">
      <c r="H139" s="14" t="n">
        <v>43846</v>
      </c>
      <c r="I139" s="11" t="n">
        <f aca="false">VLOOKUP(WEEKNUM(ProyDia[[#This Row],[Día]],2)-WEEKNUM(EOMONTH(ProyDia[[#This Row],[Día]],-1)+1,2)+1,Semana[],IF((WEEKNUM(EOMONTH(H139,0),2)-WEEKNUM(EOMONTH(H139,-1)+1,2)+1)=4,2,IF((WEEKNUM(EOMONTH(H139,0),2)-WEEKNUM(EOMONTH(H139,-1)+1,2)+1)=5,3,IF((WEEKNUM(EOMONTH(H139,0),2)-WEEKNUM(EOMONTH(H139,-1)+1,2)+1)=6,4,0))),0)</f>
        <v>0.15</v>
      </c>
      <c r="J139" s="15" t="n">
        <f aca="false">WEEKNUM(ProyDia[[#This Row],[Día]],2)</f>
        <v>3</v>
      </c>
      <c r="K139" s="15" t="n">
        <v>2020</v>
      </c>
      <c r="L139" s="16" t="n">
        <f aca="false">WEEKDAY(ProyDia[[#This Row],[Día]],2)</f>
        <v>4</v>
      </c>
      <c r="M139" s="15" t="n">
        <f aca="false">VLOOKUP(ProyDia[[#This Row],[Cálculo02]],Dia[],3,0)</f>
        <v>0.1</v>
      </c>
      <c r="N139" s="15" t="n">
        <f aca="false">ProyDia[[#This Row],[Cálculo 01]]*ProyDia[[#This Row],[Pondera Día]]</f>
        <v>0.015</v>
      </c>
      <c r="O139" s="12" t="n">
        <f aca="false">ProyDia[[#This Row],[Calculo03]]/SUMIFS(ProyDia[Calculo03],ProyDia[Día],"&gt;="&amp;EOMONTH(ProyDia[[#This Row],[Día]],-1)+1,ProyDia[Día],"&lt;="&amp;EOMONTH(ProyDia[[#This Row],[Día]],0))</f>
        <v>0.0175233644859813</v>
      </c>
      <c r="P139" s="17" t="n">
        <f aca="false">ProyDia[[#This Row],[Peso Día Final]]*7754000</f>
        <v>135876.168224299</v>
      </c>
    </row>
    <row r="140" customFormat="false" ht="14.4" hidden="false" customHeight="false" outlineLevel="0" collapsed="false">
      <c r="H140" s="14" t="n">
        <v>43847</v>
      </c>
      <c r="I140" s="11" t="n">
        <f aca="false">VLOOKUP(WEEKNUM(ProyDia[[#This Row],[Día]],2)-WEEKNUM(EOMONTH(ProyDia[[#This Row],[Día]],-1)+1,2)+1,Semana[],IF((WEEKNUM(EOMONTH(H140,0),2)-WEEKNUM(EOMONTH(H140,-1)+1,2)+1)=4,2,IF((WEEKNUM(EOMONTH(H140,0),2)-WEEKNUM(EOMONTH(H140,-1)+1,2)+1)=5,3,IF((WEEKNUM(EOMONTH(H140,0),2)-WEEKNUM(EOMONTH(H140,-1)+1,2)+1)=6,4,0))),0)</f>
        <v>0.15</v>
      </c>
      <c r="J140" s="15" t="n">
        <f aca="false">WEEKNUM(ProyDia[[#This Row],[Día]],2)</f>
        <v>3</v>
      </c>
      <c r="K140" s="15" t="n">
        <v>2020</v>
      </c>
      <c r="L140" s="16" t="n">
        <f aca="false">WEEKDAY(ProyDia[[#This Row],[Día]],2)</f>
        <v>5</v>
      </c>
      <c r="M140" s="15" t="n">
        <f aca="false">VLOOKUP(ProyDia[[#This Row],[Cálculo02]],Dia[],3,0)</f>
        <v>0.2</v>
      </c>
      <c r="N140" s="15" t="n">
        <f aca="false">ProyDia[[#This Row],[Cálculo 01]]*ProyDia[[#This Row],[Pondera Día]]</f>
        <v>0.03</v>
      </c>
      <c r="O140" s="12" t="n">
        <f aca="false">ProyDia[[#This Row],[Calculo03]]/SUMIFS(ProyDia[Calculo03],ProyDia[Día],"&gt;="&amp;EOMONTH(ProyDia[[#This Row],[Día]],-1)+1,ProyDia[Día],"&lt;="&amp;EOMONTH(ProyDia[[#This Row],[Día]],0))</f>
        <v>0.0350467289719626</v>
      </c>
      <c r="P140" s="17" t="n">
        <f aca="false">ProyDia[[#This Row],[Peso Día Final]]*7754000</f>
        <v>271752.336448598</v>
      </c>
    </row>
    <row r="141" customFormat="false" ht="14.4" hidden="false" customHeight="false" outlineLevel="0" collapsed="false">
      <c r="H141" s="14" t="n">
        <v>43848</v>
      </c>
      <c r="I141" s="11" t="n">
        <f aca="false">VLOOKUP(WEEKNUM(ProyDia[[#This Row],[Día]],2)-WEEKNUM(EOMONTH(ProyDia[[#This Row],[Día]],-1)+1,2)+1,Semana[],IF((WEEKNUM(EOMONTH(H141,0),2)-WEEKNUM(EOMONTH(H141,-1)+1,2)+1)=4,2,IF((WEEKNUM(EOMONTH(H141,0),2)-WEEKNUM(EOMONTH(H141,-1)+1,2)+1)=5,3,IF((WEEKNUM(EOMONTH(H141,0),2)-WEEKNUM(EOMONTH(H141,-1)+1,2)+1)=6,4,0))),0)</f>
        <v>0.15</v>
      </c>
      <c r="J141" s="15" t="n">
        <f aca="false">WEEKNUM(ProyDia[[#This Row],[Día]],2)</f>
        <v>3</v>
      </c>
      <c r="K141" s="15" t="n">
        <v>2020</v>
      </c>
      <c r="L141" s="16" t="n">
        <f aca="false">WEEKDAY(ProyDia[[#This Row],[Día]],2)</f>
        <v>6</v>
      </c>
      <c r="M141" s="15" t="n">
        <f aca="false">VLOOKUP(ProyDia[[#This Row],[Cálculo02]],Dia[],3,0)</f>
        <v>0.25</v>
      </c>
      <c r="N141" s="15" t="n">
        <f aca="false">ProyDia[[#This Row],[Cálculo 01]]*ProyDia[[#This Row],[Pondera Día]]</f>
        <v>0.0375</v>
      </c>
      <c r="O141" s="12" t="n">
        <f aca="false">ProyDia[[#This Row],[Calculo03]]/SUMIFS(ProyDia[Calculo03],ProyDia[Día],"&gt;="&amp;EOMONTH(ProyDia[[#This Row],[Día]],-1)+1,ProyDia[Día],"&lt;="&amp;EOMONTH(ProyDia[[#This Row],[Día]],0))</f>
        <v>0.0438084112149533</v>
      </c>
      <c r="P141" s="17" t="n">
        <f aca="false">ProyDia[[#This Row],[Peso Día Final]]*7754000</f>
        <v>339690.420560748</v>
      </c>
    </row>
    <row r="142" customFormat="false" ht="14.4" hidden="false" customHeight="false" outlineLevel="0" collapsed="false">
      <c r="H142" s="14" t="n">
        <v>43849</v>
      </c>
      <c r="I142" s="11" t="n">
        <f aca="false">VLOOKUP(WEEKNUM(ProyDia[[#This Row],[Día]],2)-WEEKNUM(EOMONTH(ProyDia[[#This Row],[Día]],-1)+1,2)+1,Semana[],IF((WEEKNUM(EOMONTH(H142,0),2)-WEEKNUM(EOMONTH(H142,-1)+1,2)+1)=4,2,IF((WEEKNUM(EOMONTH(H142,0),2)-WEEKNUM(EOMONTH(H142,-1)+1,2)+1)=5,3,IF((WEEKNUM(EOMONTH(H142,0),2)-WEEKNUM(EOMONTH(H142,-1)+1,2)+1)=6,4,0))),0)</f>
        <v>0.15</v>
      </c>
      <c r="J142" s="15" t="n">
        <f aca="false">WEEKNUM(ProyDia[[#This Row],[Día]],2)</f>
        <v>3</v>
      </c>
      <c r="K142" s="15" t="n">
        <v>2020</v>
      </c>
      <c r="L142" s="16" t="n">
        <f aca="false">WEEKDAY(ProyDia[[#This Row],[Día]],2)</f>
        <v>7</v>
      </c>
      <c r="M142" s="15" t="n">
        <f aca="false">VLOOKUP(ProyDia[[#This Row],[Cálculo02]],Dia[],3,0)</f>
        <v>0.15</v>
      </c>
      <c r="N142" s="15" t="n">
        <f aca="false">ProyDia[[#This Row],[Cálculo 01]]*ProyDia[[#This Row],[Pondera Día]]</f>
        <v>0.0225</v>
      </c>
      <c r="O142" s="12" t="n">
        <f aca="false">ProyDia[[#This Row],[Calculo03]]/SUMIFS(ProyDia[Calculo03],ProyDia[Día],"&gt;="&amp;EOMONTH(ProyDia[[#This Row],[Día]],-1)+1,ProyDia[Día],"&lt;="&amp;EOMONTH(ProyDia[[#This Row],[Día]],0))</f>
        <v>0.026285046728972</v>
      </c>
      <c r="P142" s="17" t="n">
        <f aca="false">ProyDia[[#This Row],[Peso Día Final]]*7754000</f>
        <v>203814.252336449</v>
      </c>
    </row>
    <row r="143" customFormat="false" ht="14.4" hidden="false" customHeight="false" outlineLevel="0" collapsed="false">
      <c r="H143" s="14" t="n">
        <v>43850</v>
      </c>
      <c r="I143" s="11" t="n">
        <f aca="false">VLOOKUP(WEEKNUM(ProyDia[[#This Row],[Día]],2)-WEEKNUM(EOMONTH(ProyDia[[#This Row],[Día]],-1)+1,2)+1,Semana[],IF((WEEKNUM(EOMONTH(H143,0),2)-WEEKNUM(EOMONTH(H143,-1)+1,2)+1)=4,2,IF((WEEKNUM(EOMONTH(H143,0),2)-WEEKNUM(EOMONTH(H143,-1)+1,2)+1)=5,3,IF((WEEKNUM(EOMONTH(H143,0),2)-WEEKNUM(EOMONTH(H143,-1)+1,2)+1)=6,4,0))),0)</f>
        <v>0.2</v>
      </c>
      <c r="J143" s="15" t="n">
        <f aca="false">WEEKNUM(ProyDia[[#This Row],[Día]],2)</f>
        <v>4</v>
      </c>
      <c r="K143" s="15" t="n">
        <v>2020</v>
      </c>
      <c r="L143" s="16" t="n">
        <f aca="false">WEEKDAY(ProyDia[[#This Row],[Día]],2)</f>
        <v>1</v>
      </c>
      <c r="M143" s="15" t="n">
        <f aca="false">VLOOKUP(ProyDia[[#This Row],[Cálculo02]],Dia[],3,0)</f>
        <v>0.1</v>
      </c>
      <c r="N143" s="15" t="n">
        <f aca="false">ProyDia[[#This Row],[Cálculo 01]]*ProyDia[[#This Row],[Pondera Día]]</f>
        <v>0.02</v>
      </c>
      <c r="O143" s="12" t="n">
        <f aca="false">ProyDia[[#This Row],[Calculo03]]/SUMIFS(ProyDia[Calculo03],ProyDia[Día],"&gt;="&amp;EOMONTH(ProyDia[[#This Row],[Día]],-1)+1,ProyDia[Día],"&lt;="&amp;EOMONTH(ProyDia[[#This Row],[Día]],0))</f>
        <v>0.0233644859813084</v>
      </c>
      <c r="P143" s="17" t="n">
        <f aca="false">ProyDia[[#This Row],[Peso Día Final]]*7754000</f>
        <v>181168.224299065</v>
      </c>
    </row>
    <row r="144" customFormat="false" ht="14.4" hidden="false" customHeight="false" outlineLevel="0" collapsed="false">
      <c r="H144" s="14" t="n">
        <v>43851</v>
      </c>
      <c r="I144" s="11" t="n">
        <f aca="false">VLOOKUP(WEEKNUM(ProyDia[[#This Row],[Día]],2)-WEEKNUM(EOMONTH(ProyDia[[#This Row],[Día]],-1)+1,2)+1,Semana[],IF((WEEKNUM(EOMONTH(H144,0),2)-WEEKNUM(EOMONTH(H144,-1)+1,2)+1)=4,2,IF((WEEKNUM(EOMONTH(H144,0),2)-WEEKNUM(EOMONTH(H144,-1)+1,2)+1)=5,3,IF((WEEKNUM(EOMONTH(H144,0),2)-WEEKNUM(EOMONTH(H144,-1)+1,2)+1)=6,4,0))),0)</f>
        <v>0.2</v>
      </c>
      <c r="J144" s="15" t="n">
        <f aca="false">WEEKNUM(ProyDia[[#This Row],[Día]],2)</f>
        <v>4</v>
      </c>
      <c r="K144" s="15" t="n">
        <v>2020</v>
      </c>
      <c r="L144" s="16" t="n">
        <f aca="false">WEEKDAY(ProyDia[[#This Row],[Día]],2)</f>
        <v>2</v>
      </c>
      <c r="M144" s="15" t="n">
        <f aca="false">VLOOKUP(ProyDia[[#This Row],[Cálculo02]],Dia[],3,0)</f>
        <v>0.1</v>
      </c>
      <c r="N144" s="15" t="n">
        <f aca="false">ProyDia[[#This Row],[Cálculo 01]]*ProyDia[[#This Row],[Pondera Día]]</f>
        <v>0.02</v>
      </c>
      <c r="O144" s="12" t="n">
        <f aca="false">ProyDia[[#This Row],[Calculo03]]/SUMIFS(ProyDia[Calculo03],ProyDia[Día],"&gt;="&amp;EOMONTH(ProyDia[[#This Row],[Día]],-1)+1,ProyDia[Día],"&lt;="&amp;EOMONTH(ProyDia[[#This Row],[Día]],0))</f>
        <v>0.0233644859813084</v>
      </c>
      <c r="P144" s="17" t="n">
        <f aca="false">ProyDia[[#This Row],[Peso Día Final]]*7754000</f>
        <v>181168.224299065</v>
      </c>
    </row>
    <row r="145" customFormat="false" ht="14.4" hidden="false" customHeight="false" outlineLevel="0" collapsed="false">
      <c r="H145" s="14" t="n">
        <v>43852</v>
      </c>
      <c r="I145" s="11" t="n">
        <f aca="false">VLOOKUP(WEEKNUM(ProyDia[[#This Row],[Día]],2)-WEEKNUM(EOMONTH(ProyDia[[#This Row],[Día]],-1)+1,2)+1,Semana[],IF((WEEKNUM(EOMONTH(H145,0),2)-WEEKNUM(EOMONTH(H145,-1)+1,2)+1)=4,2,IF((WEEKNUM(EOMONTH(H145,0),2)-WEEKNUM(EOMONTH(H145,-1)+1,2)+1)=5,3,IF((WEEKNUM(EOMONTH(H145,0),2)-WEEKNUM(EOMONTH(H145,-1)+1,2)+1)=6,4,0))),0)</f>
        <v>0.2</v>
      </c>
      <c r="J145" s="15" t="n">
        <f aca="false">WEEKNUM(ProyDia[[#This Row],[Día]],2)</f>
        <v>4</v>
      </c>
      <c r="K145" s="15" t="n">
        <v>2020</v>
      </c>
      <c r="L145" s="16" t="n">
        <f aca="false">WEEKDAY(ProyDia[[#This Row],[Día]],2)</f>
        <v>3</v>
      </c>
      <c r="M145" s="15" t="n">
        <f aca="false">VLOOKUP(ProyDia[[#This Row],[Cálculo02]],Dia[],3,0)</f>
        <v>0.1</v>
      </c>
      <c r="N145" s="15" t="n">
        <f aca="false">ProyDia[[#This Row],[Cálculo 01]]*ProyDia[[#This Row],[Pondera Día]]</f>
        <v>0.02</v>
      </c>
      <c r="O145" s="12" t="n">
        <f aca="false">ProyDia[[#This Row],[Calculo03]]/SUMIFS(ProyDia[Calculo03],ProyDia[Día],"&gt;="&amp;EOMONTH(ProyDia[[#This Row],[Día]],-1)+1,ProyDia[Día],"&lt;="&amp;EOMONTH(ProyDia[[#This Row],[Día]],0))</f>
        <v>0.0233644859813084</v>
      </c>
      <c r="P145" s="17" t="n">
        <f aca="false">ProyDia[[#This Row],[Peso Día Final]]*7754000</f>
        <v>181168.224299065</v>
      </c>
    </row>
    <row r="146" customFormat="false" ht="14.4" hidden="false" customHeight="false" outlineLevel="0" collapsed="false">
      <c r="H146" s="14" t="n">
        <v>43853</v>
      </c>
      <c r="I146" s="11" t="n">
        <f aca="false">VLOOKUP(WEEKNUM(ProyDia[[#This Row],[Día]],2)-WEEKNUM(EOMONTH(ProyDia[[#This Row],[Día]],-1)+1,2)+1,Semana[],IF((WEEKNUM(EOMONTH(H146,0),2)-WEEKNUM(EOMONTH(H146,-1)+1,2)+1)=4,2,IF((WEEKNUM(EOMONTH(H146,0),2)-WEEKNUM(EOMONTH(H146,-1)+1,2)+1)=5,3,IF((WEEKNUM(EOMONTH(H146,0),2)-WEEKNUM(EOMONTH(H146,-1)+1,2)+1)=6,4,0))),0)</f>
        <v>0.2</v>
      </c>
      <c r="J146" s="15" t="n">
        <f aca="false">WEEKNUM(ProyDia[[#This Row],[Día]],2)</f>
        <v>4</v>
      </c>
      <c r="K146" s="15" t="n">
        <v>2020</v>
      </c>
      <c r="L146" s="16" t="n">
        <f aca="false">WEEKDAY(ProyDia[[#This Row],[Día]],2)</f>
        <v>4</v>
      </c>
      <c r="M146" s="15" t="n">
        <f aca="false">VLOOKUP(ProyDia[[#This Row],[Cálculo02]],Dia[],3,0)</f>
        <v>0.1</v>
      </c>
      <c r="N146" s="15" t="n">
        <f aca="false">ProyDia[[#This Row],[Cálculo 01]]*ProyDia[[#This Row],[Pondera Día]]</f>
        <v>0.02</v>
      </c>
      <c r="O146" s="12" t="n">
        <f aca="false">ProyDia[[#This Row],[Calculo03]]/SUMIFS(ProyDia[Calculo03],ProyDia[Día],"&gt;="&amp;EOMONTH(ProyDia[[#This Row],[Día]],-1)+1,ProyDia[Día],"&lt;="&amp;EOMONTH(ProyDia[[#This Row],[Día]],0))</f>
        <v>0.0233644859813084</v>
      </c>
      <c r="P146" s="17" t="n">
        <f aca="false">ProyDia[[#This Row],[Peso Día Final]]*7754000</f>
        <v>181168.224299065</v>
      </c>
    </row>
    <row r="147" customFormat="false" ht="14.4" hidden="false" customHeight="false" outlineLevel="0" collapsed="false">
      <c r="H147" s="14" t="n">
        <v>43854</v>
      </c>
      <c r="I147" s="11" t="n">
        <f aca="false">VLOOKUP(WEEKNUM(ProyDia[[#This Row],[Día]],2)-WEEKNUM(EOMONTH(ProyDia[[#This Row],[Día]],-1)+1,2)+1,Semana[],IF((WEEKNUM(EOMONTH(H147,0),2)-WEEKNUM(EOMONTH(H147,-1)+1,2)+1)=4,2,IF((WEEKNUM(EOMONTH(H147,0),2)-WEEKNUM(EOMONTH(H147,-1)+1,2)+1)=5,3,IF((WEEKNUM(EOMONTH(H147,0),2)-WEEKNUM(EOMONTH(H147,-1)+1,2)+1)=6,4,0))),0)</f>
        <v>0.2</v>
      </c>
      <c r="J147" s="15" t="n">
        <f aca="false">WEEKNUM(ProyDia[[#This Row],[Día]],2)</f>
        <v>4</v>
      </c>
      <c r="K147" s="15" t="n">
        <v>2020</v>
      </c>
      <c r="L147" s="16" t="n">
        <f aca="false">WEEKDAY(ProyDia[[#This Row],[Día]],2)</f>
        <v>5</v>
      </c>
      <c r="M147" s="15" t="n">
        <f aca="false">VLOOKUP(ProyDia[[#This Row],[Cálculo02]],Dia[],3,0)</f>
        <v>0.2</v>
      </c>
      <c r="N147" s="15" t="n">
        <f aca="false">ProyDia[[#This Row],[Cálculo 01]]*ProyDia[[#This Row],[Pondera Día]]</f>
        <v>0.04</v>
      </c>
      <c r="O147" s="12" t="n">
        <f aca="false">ProyDia[[#This Row],[Calculo03]]/SUMIFS(ProyDia[Calculo03],ProyDia[Día],"&gt;="&amp;EOMONTH(ProyDia[[#This Row],[Día]],-1)+1,ProyDia[Día],"&lt;="&amp;EOMONTH(ProyDia[[#This Row],[Día]],0))</f>
        <v>0.0467289719626168</v>
      </c>
      <c r="P147" s="17" t="n">
        <f aca="false">ProyDia[[#This Row],[Peso Día Final]]*7754000</f>
        <v>362336.448598131</v>
      </c>
    </row>
    <row r="148" customFormat="false" ht="14.4" hidden="false" customHeight="false" outlineLevel="0" collapsed="false">
      <c r="H148" s="14" t="n">
        <v>43855</v>
      </c>
      <c r="I148" s="11" t="n">
        <f aca="false">VLOOKUP(WEEKNUM(ProyDia[[#This Row],[Día]],2)-WEEKNUM(EOMONTH(ProyDia[[#This Row],[Día]],-1)+1,2)+1,Semana[],IF((WEEKNUM(EOMONTH(H148,0),2)-WEEKNUM(EOMONTH(H148,-1)+1,2)+1)=4,2,IF((WEEKNUM(EOMONTH(H148,0),2)-WEEKNUM(EOMONTH(H148,-1)+1,2)+1)=5,3,IF((WEEKNUM(EOMONTH(H148,0),2)-WEEKNUM(EOMONTH(H148,-1)+1,2)+1)=6,4,0))),0)</f>
        <v>0.2</v>
      </c>
      <c r="J148" s="15" t="n">
        <f aca="false">WEEKNUM(ProyDia[[#This Row],[Día]],2)</f>
        <v>4</v>
      </c>
      <c r="K148" s="15" t="n">
        <v>2020</v>
      </c>
      <c r="L148" s="16" t="n">
        <f aca="false">WEEKDAY(ProyDia[[#This Row],[Día]],2)</f>
        <v>6</v>
      </c>
      <c r="M148" s="15" t="n">
        <f aca="false">VLOOKUP(ProyDia[[#This Row],[Cálculo02]],Dia[],3,0)</f>
        <v>0.25</v>
      </c>
      <c r="N148" s="15" t="n">
        <f aca="false">ProyDia[[#This Row],[Cálculo 01]]*ProyDia[[#This Row],[Pondera Día]]</f>
        <v>0.05</v>
      </c>
      <c r="O148" s="12" t="n">
        <f aca="false">ProyDia[[#This Row],[Calculo03]]/SUMIFS(ProyDia[Calculo03],ProyDia[Día],"&gt;="&amp;EOMONTH(ProyDia[[#This Row],[Día]],-1)+1,ProyDia[Día],"&lt;="&amp;EOMONTH(ProyDia[[#This Row],[Día]],0))</f>
        <v>0.058411214953271</v>
      </c>
      <c r="P148" s="17" t="n">
        <f aca="false">ProyDia[[#This Row],[Peso Día Final]]*7754000</f>
        <v>452920.560747663</v>
      </c>
    </row>
    <row r="149" customFormat="false" ht="14.4" hidden="false" customHeight="false" outlineLevel="0" collapsed="false">
      <c r="H149" s="14" t="n">
        <v>43856</v>
      </c>
      <c r="I149" s="11" t="n">
        <f aca="false">VLOOKUP(WEEKNUM(ProyDia[[#This Row],[Día]],2)-WEEKNUM(EOMONTH(ProyDia[[#This Row],[Día]],-1)+1,2)+1,Semana[],IF((WEEKNUM(EOMONTH(H149,0),2)-WEEKNUM(EOMONTH(H149,-1)+1,2)+1)=4,2,IF((WEEKNUM(EOMONTH(H149,0),2)-WEEKNUM(EOMONTH(H149,-1)+1,2)+1)=5,3,IF((WEEKNUM(EOMONTH(H149,0),2)-WEEKNUM(EOMONTH(H149,-1)+1,2)+1)=6,4,0))),0)</f>
        <v>0.2</v>
      </c>
      <c r="J149" s="15" t="n">
        <f aca="false">WEEKNUM(ProyDia[[#This Row],[Día]],2)</f>
        <v>4</v>
      </c>
      <c r="K149" s="15" t="n">
        <v>2020</v>
      </c>
      <c r="L149" s="16" t="n">
        <f aca="false">WEEKDAY(ProyDia[[#This Row],[Día]],2)</f>
        <v>7</v>
      </c>
      <c r="M149" s="15" t="n">
        <f aca="false">VLOOKUP(ProyDia[[#This Row],[Cálculo02]],Dia[],3,0)</f>
        <v>0.15</v>
      </c>
      <c r="N149" s="15" t="n">
        <f aca="false">ProyDia[[#This Row],[Cálculo 01]]*ProyDia[[#This Row],[Pondera Día]]</f>
        <v>0.03</v>
      </c>
      <c r="O149" s="12" t="n">
        <f aca="false">ProyDia[[#This Row],[Calculo03]]/SUMIFS(ProyDia[Calculo03],ProyDia[Día],"&gt;="&amp;EOMONTH(ProyDia[[#This Row],[Día]],-1)+1,ProyDia[Día],"&lt;="&amp;EOMONTH(ProyDia[[#This Row],[Día]],0))</f>
        <v>0.0350467289719626</v>
      </c>
      <c r="P149" s="17" t="n">
        <f aca="false">ProyDia[[#This Row],[Peso Día Final]]*7754000</f>
        <v>271752.336448598</v>
      </c>
    </row>
    <row r="150" customFormat="false" ht="14.4" hidden="false" customHeight="false" outlineLevel="0" collapsed="false">
      <c r="H150" s="14" t="n">
        <v>43857</v>
      </c>
      <c r="I150" s="11" t="n">
        <f aca="false">VLOOKUP(WEEKNUM(ProyDia[[#This Row],[Día]],2)-WEEKNUM(EOMONTH(ProyDia[[#This Row],[Día]],-1)+1,2)+1,Semana[],IF((WEEKNUM(EOMONTH(H150,0),2)-WEEKNUM(EOMONTH(H150,-1)+1,2)+1)=4,2,IF((WEEKNUM(EOMONTH(H150,0),2)-WEEKNUM(EOMONTH(H150,-1)+1,2)+1)=5,3,IF((WEEKNUM(EOMONTH(H150,0),2)-WEEKNUM(EOMONTH(H150,-1)+1,2)+1)=6,4,0))),0)</f>
        <v>0.22</v>
      </c>
      <c r="J150" s="15" t="n">
        <f aca="false">WEEKNUM(ProyDia[[#This Row],[Día]],2)</f>
        <v>5</v>
      </c>
      <c r="K150" s="15" t="n">
        <v>2020</v>
      </c>
      <c r="L150" s="16" t="n">
        <f aca="false">WEEKDAY(ProyDia[[#This Row],[Día]],2)</f>
        <v>1</v>
      </c>
      <c r="M150" s="15" t="n">
        <f aca="false">VLOOKUP(ProyDia[[#This Row],[Cálculo02]],Dia[],3,0)</f>
        <v>0.1</v>
      </c>
      <c r="N150" s="15" t="n">
        <f aca="false">ProyDia[[#This Row],[Cálculo 01]]*ProyDia[[#This Row],[Pondera Día]]</f>
        <v>0.022</v>
      </c>
      <c r="O150" s="12" t="n">
        <f aca="false">ProyDia[[#This Row],[Calculo03]]/SUMIFS(ProyDia[Calculo03],ProyDia[Día],"&gt;="&amp;EOMONTH(ProyDia[[#This Row],[Día]],-1)+1,ProyDia[Día],"&lt;="&amp;EOMONTH(ProyDia[[#This Row],[Día]],0))</f>
        <v>0.0257009345794392</v>
      </c>
      <c r="P150" s="17" t="n">
        <f aca="false">ProyDia[[#This Row],[Peso Día Final]]*7754000</f>
        <v>199285.046728972</v>
      </c>
    </row>
    <row r="151" customFormat="false" ht="14.4" hidden="false" customHeight="false" outlineLevel="0" collapsed="false">
      <c r="H151" s="14" t="n">
        <v>43858</v>
      </c>
      <c r="I151" s="11" t="n">
        <f aca="false">VLOOKUP(WEEKNUM(ProyDia[[#This Row],[Día]],2)-WEEKNUM(EOMONTH(ProyDia[[#This Row],[Día]],-1)+1,2)+1,Semana[],IF((WEEKNUM(EOMONTH(H151,0),2)-WEEKNUM(EOMONTH(H151,-1)+1,2)+1)=4,2,IF((WEEKNUM(EOMONTH(H151,0),2)-WEEKNUM(EOMONTH(H151,-1)+1,2)+1)=5,3,IF((WEEKNUM(EOMONTH(H151,0),2)-WEEKNUM(EOMONTH(H151,-1)+1,2)+1)=6,4,0))),0)</f>
        <v>0.22</v>
      </c>
      <c r="J151" s="15" t="n">
        <f aca="false">WEEKNUM(ProyDia[[#This Row],[Día]],2)</f>
        <v>5</v>
      </c>
      <c r="K151" s="15" t="n">
        <v>2020</v>
      </c>
      <c r="L151" s="16" t="n">
        <f aca="false">WEEKDAY(ProyDia[[#This Row],[Día]],2)</f>
        <v>2</v>
      </c>
      <c r="M151" s="15" t="n">
        <f aca="false">VLOOKUP(ProyDia[[#This Row],[Cálculo02]],Dia[],3,0)</f>
        <v>0.1</v>
      </c>
      <c r="N151" s="15" t="n">
        <f aca="false">ProyDia[[#This Row],[Cálculo 01]]*ProyDia[[#This Row],[Pondera Día]]</f>
        <v>0.022</v>
      </c>
      <c r="O151" s="12" t="n">
        <f aca="false">ProyDia[[#This Row],[Calculo03]]/SUMIFS(ProyDia[Calculo03],ProyDia[Día],"&gt;="&amp;EOMONTH(ProyDia[[#This Row],[Día]],-1)+1,ProyDia[Día],"&lt;="&amp;EOMONTH(ProyDia[[#This Row],[Día]],0))</f>
        <v>0.0257009345794392</v>
      </c>
      <c r="P151" s="17" t="n">
        <f aca="false">ProyDia[[#This Row],[Peso Día Final]]*7754000</f>
        <v>199285.046728972</v>
      </c>
    </row>
    <row r="152" customFormat="false" ht="14.4" hidden="false" customHeight="false" outlineLevel="0" collapsed="false">
      <c r="H152" s="14" t="n">
        <v>43859</v>
      </c>
      <c r="I152" s="11" t="n">
        <f aca="false">VLOOKUP(WEEKNUM(ProyDia[[#This Row],[Día]],2)-WEEKNUM(EOMONTH(ProyDia[[#This Row],[Día]],-1)+1,2)+1,Semana[],IF((WEEKNUM(EOMONTH(H152,0),2)-WEEKNUM(EOMONTH(H152,-1)+1,2)+1)=4,2,IF((WEEKNUM(EOMONTH(H152,0),2)-WEEKNUM(EOMONTH(H152,-1)+1,2)+1)=5,3,IF((WEEKNUM(EOMONTH(H152,0),2)-WEEKNUM(EOMONTH(H152,-1)+1,2)+1)=6,4,0))),0)</f>
        <v>0.22</v>
      </c>
      <c r="J152" s="15" t="n">
        <f aca="false">WEEKNUM(ProyDia[[#This Row],[Día]],2)</f>
        <v>5</v>
      </c>
      <c r="K152" s="15" t="n">
        <v>2020</v>
      </c>
      <c r="L152" s="16" t="n">
        <f aca="false">WEEKDAY(ProyDia[[#This Row],[Día]],2)</f>
        <v>3</v>
      </c>
      <c r="M152" s="15" t="n">
        <f aca="false">VLOOKUP(ProyDia[[#This Row],[Cálculo02]],Dia[],3,0)</f>
        <v>0.1</v>
      </c>
      <c r="N152" s="15" t="n">
        <f aca="false">ProyDia[[#This Row],[Cálculo 01]]*ProyDia[[#This Row],[Pondera Día]]</f>
        <v>0.022</v>
      </c>
      <c r="O152" s="12" t="n">
        <f aca="false">ProyDia[[#This Row],[Calculo03]]/SUMIFS(ProyDia[Calculo03],ProyDia[Día],"&gt;="&amp;EOMONTH(ProyDia[[#This Row],[Día]],-1)+1,ProyDia[Día],"&lt;="&amp;EOMONTH(ProyDia[[#This Row],[Día]],0))</f>
        <v>0.0257009345794392</v>
      </c>
      <c r="P152" s="17" t="n">
        <f aca="false">ProyDia[[#This Row],[Peso Día Final]]*7754000</f>
        <v>199285.046728972</v>
      </c>
    </row>
    <row r="153" customFormat="false" ht="14.4" hidden="false" customHeight="false" outlineLevel="0" collapsed="false">
      <c r="H153" s="14" t="n">
        <v>43860</v>
      </c>
      <c r="I153" s="11" t="n">
        <f aca="false">VLOOKUP(WEEKNUM(ProyDia[[#This Row],[Día]],2)-WEEKNUM(EOMONTH(ProyDia[[#This Row],[Día]],-1)+1,2)+1,Semana[],IF((WEEKNUM(EOMONTH(H153,0),2)-WEEKNUM(EOMONTH(H153,-1)+1,2)+1)=4,2,IF((WEEKNUM(EOMONTH(H153,0),2)-WEEKNUM(EOMONTH(H153,-1)+1,2)+1)=5,3,IF((WEEKNUM(EOMONTH(H153,0),2)-WEEKNUM(EOMONTH(H153,-1)+1,2)+1)=6,4,0))),0)</f>
        <v>0.22</v>
      </c>
      <c r="J153" s="15" t="n">
        <f aca="false">WEEKNUM(ProyDia[[#This Row],[Día]],2)</f>
        <v>5</v>
      </c>
      <c r="K153" s="15" t="n">
        <v>2020</v>
      </c>
      <c r="L153" s="16" t="n">
        <f aca="false">WEEKDAY(ProyDia[[#This Row],[Día]],2)</f>
        <v>4</v>
      </c>
      <c r="M153" s="15" t="n">
        <f aca="false">VLOOKUP(ProyDia[[#This Row],[Cálculo02]],Dia[],3,0)</f>
        <v>0.1</v>
      </c>
      <c r="N153" s="15" t="n">
        <f aca="false">ProyDia[[#This Row],[Cálculo 01]]*ProyDia[[#This Row],[Pondera Día]]</f>
        <v>0.022</v>
      </c>
      <c r="O153" s="12" t="n">
        <f aca="false">ProyDia[[#This Row],[Calculo03]]/SUMIFS(ProyDia[Calculo03],ProyDia[Día],"&gt;="&amp;EOMONTH(ProyDia[[#This Row],[Día]],-1)+1,ProyDia[Día],"&lt;="&amp;EOMONTH(ProyDia[[#This Row],[Día]],0))</f>
        <v>0.0257009345794392</v>
      </c>
      <c r="P153" s="17" t="n">
        <f aca="false">ProyDia[[#This Row],[Peso Día Final]]*7754000</f>
        <v>199285.046728972</v>
      </c>
    </row>
    <row r="154" customFormat="false" ht="14.4" hidden="false" customHeight="false" outlineLevel="0" collapsed="false">
      <c r="H154" s="14" t="n">
        <v>43861</v>
      </c>
      <c r="I154" s="11" t="n">
        <f aca="false">VLOOKUP(WEEKNUM(ProyDia[[#This Row],[Día]],2)-WEEKNUM(EOMONTH(ProyDia[[#This Row],[Día]],-1)+1,2)+1,Semana[],IF((WEEKNUM(EOMONTH(H154,0),2)-WEEKNUM(EOMONTH(H154,-1)+1,2)+1)=4,2,IF((WEEKNUM(EOMONTH(H154,0),2)-WEEKNUM(EOMONTH(H154,-1)+1,2)+1)=5,3,IF((WEEKNUM(EOMONTH(H154,0),2)-WEEKNUM(EOMONTH(H154,-1)+1,2)+1)=6,4,0))),0)</f>
        <v>0.22</v>
      </c>
      <c r="J154" s="15" t="n">
        <f aca="false">WEEKNUM(ProyDia[[#This Row],[Día]],2)</f>
        <v>5</v>
      </c>
      <c r="K154" s="15" t="n">
        <v>2020</v>
      </c>
      <c r="L154" s="16" t="n">
        <f aca="false">WEEKDAY(ProyDia[[#This Row],[Día]],2)</f>
        <v>5</v>
      </c>
      <c r="M154" s="15" t="n">
        <f aca="false">VLOOKUP(ProyDia[[#This Row],[Cálculo02]],Dia[],3,0)</f>
        <v>0.2</v>
      </c>
      <c r="N154" s="15" t="n">
        <f aca="false">ProyDia[[#This Row],[Cálculo 01]]*ProyDia[[#This Row],[Pondera Día]]</f>
        <v>0.044</v>
      </c>
      <c r="O154" s="12" t="n">
        <f aca="false">ProyDia[[#This Row],[Calculo03]]/SUMIFS(ProyDia[Calculo03],ProyDia[Día],"&gt;="&amp;EOMONTH(ProyDia[[#This Row],[Día]],-1)+1,ProyDia[Día],"&lt;="&amp;EOMONTH(ProyDia[[#This Row],[Día]],0))</f>
        <v>0.0514018691588785</v>
      </c>
      <c r="P154" s="17" t="n">
        <f aca="false">ProyDia[[#This Row],[Peso Día Final]]*7754000</f>
        <v>398570.093457944</v>
      </c>
    </row>
  </sheetData>
  <conditionalFormatting sqref="H2:H154">
    <cfRule type="expression" priority="2" aboveAverage="0" equalAverage="0" bottom="0" percent="0" rank="0" text="" dxfId="0">
      <formula>WEEKDAY(H2,2)&gt;6</formula>
    </cfRule>
  </conditionalFormatting>
  <conditionalFormatting sqref="H2:H154">
    <cfRule type="expression" priority="3" aboveAverage="0" equalAverage="0" bottom="0" percent="0" rank="0" text="" dxfId="1">
      <formula>COUNTIF(Feriados,H2)&lt;&gt;0</formula>
    </cfRule>
  </conditionalFormatting>
  <conditionalFormatting sqref="H2:H154">
    <cfRule type="expression" priority="4" aboveAverage="0" equalAverage="0" bottom="0" percent="0" rank="0" text="" dxfId="2">
      <formula>H2=TODAY()</formula>
    </cfRule>
  </conditionalFormatting>
  <conditionalFormatting sqref="O2:O31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  <tableParts>
    <tablePart r:id="rId1"/>
    <tablePart r:id="rId2"/>
    <tablePart r:id="rId3"/>
    <tablePart r:id="rId4"/>
  </tableParts>
</worksheet>
</file>

<file path=xl/worksheets/sheet2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DX163"/>
  <sheetViews>
    <sheetView showFormulas="false" showGridLines="false" showRowColHeaders="true" showZeros="true" rightToLeft="false" tabSelected="true" showOutlineSymbols="true" defaultGridColor="true" view="normal" topLeftCell="A1" colorId="64" zoomScale="90" zoomScaleNormal="90" zoomScalePageLayoutView="100" workbookViewId="0">
      <selection pane="topLeft" activeCell="A114" activeCellId="0" sqref="4:114"/>
    </sheetView>
  </sheetViews>
  <sheetFormatPr defaultColWidth="10.72265625" defaultRowHeight="14.4" zeroHeight="false" outlineLevelRow="0" outlineLevelCol="1"/>
  <cols>
    <col collapsed="false" customWidth="true" hidden="false" outlineLevel="0" max="1" min="1" style="18" width="15.44"/>
    <col collapsed="false" customWidth="true" hidden="false" outlineLevel="0" max="2" min="2" style="18" width="23.42"/>
    <col collapsed="false" customWidth="true" hidden="false" outlineLevel="1" max="6" min="3" style="18" width="13.1"/>
    <col collapsed="false" customWidth="true" hidden="false" outlineLevel="0" max="7" min="7" style="0" width="13.02"/>
    <col collapsed="false" customWidth="true" hidden="false" outlineLevel="0" max="23" min="8" style="0" width="10.77"/>
    <col collapsed="false" customWidth="true" hidden="false" outlineLevel="0" max="25" min="24" style="0" width="5.66"/>
    <col collapsed="false" customWidth="true" hidden="false" outlineLevel="0" max="128" min="26" style="0" width="10.77"/>
  </cols>
  <sheetData>
    <row r="1" customFormat="false" ht="14.4" hidden="false" customHeight="true" outlineLevel="0" collapsed="false">
      <c r="A1" s="19" t="s">
        <v>17</v>
      </c>
      <c r="B1" s="20" t="s">
        <v>18</v>
      </c>
      <c r="C1" s="21" t="s">
        <v>19</v>
      </c>
      <c r="D1" s="21" t="s">
        <v>19</v>
      </c>
      <c r="E1" s="21" t="s">
        <v>19</v>
      </c>
      <c r="F1" s="21" t="s">
        <v>19</v>
      </c>
      <c r="G1" s="22" t="s">
        <v>20</v>
      </c>
      <c r="H1" s="22"/>
      <c r="I1" s="22"/>
      <c r="J1" s="22"/>
      <c r="K1" s="22"/>
      <c r="L1" s="22"/>
      <c r="M1" s="22"/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3" t="s">
        <v>21</v>
      </c>
      <c r="AL1" s="23"/>
      <c r="AM1" s="23"/>
      <c r="AN1" s="23"/>
      <c r="AO1" s="23"/>
      <c r="AP1" s="23"/>
      <c r="AQ1" s="23"/>
      <c r="AR1" s="23"/>
      <c r="AS1" s="23"/>
      <c r="AT1" s="23"/>
      <c r="AU1" s="23"/>
      <c r="AV1" s="23"/>
      <c r="AW1" s="23"/>
      <c r="AX1" s="23"/>
      <c r="AY1" s="23"/>
      <c r="AZ1" s="23"/>
      <c r="BA1" s="23"/>
      <c r="BB1" s="23"/>
      <c r="BC1" s="23"/>
      <c r="BD1" s="23"/>
      <c r="BE1" s="23"/>
      <c r="BF1" s="23"/>
      <c r="BG1" s="23"/>
      <c r="BH1" s="23"/>
      <c r="BI1" s="23"/>
      <c r="BJ1" s="23"/>
      <c r="BK1" s="23"/>
      <c r="BL1" s="23"/>
      <c r="BM1" s="23"/>
      <c r="BN1" s="23"/>
      <c r="BO1" s="23"/>
      <c r="BP1" s="23" t="s">
        <v>22</v>
      </c>
      <c r="BQ1" s="23"/>
      <c r="BR1" s="23"/>
      <c r="BS1" s="23"/>
      <c r="BT1" s="23"/>
      <c r="BU1" s="23"/>
      <c r="BV1" s="23"/>
      <c r="BW1" s="23"/>
      <c r="BX1" s="23"/>
      <c r="BY1" s="23"/>
      <c r="BZ1" s="23"/>
      <c r="CA1" s="23"/>
      <c r="CB1" s="23"/>
      <c r="CC1" s="23"/>
      <c r="CD1" s="23"/>
      <c r="CE1" s="23"/>
      <c r="CF1" s="23"/>
      <c r="CG1" s="23"/>
      <c r="CH1" s="23"/>
      <c r="CI1" s="23"/>
      <c r="CJ1" s="23"/>
      <c r="CK1" s="23"/>
      <c r="CL1" s="23"/>
      <c r="CM1" s="23"/>
      <c r="CN1" s="23"/>
      <c r="CO1" s="23"/>
      <c r="CP1" s="23"/>
      <c r="CQ1" s="23"/>
      <c r="CR1" s="23"/>
      <c r="CS1" s="23"/>
      <c r="CT1" s="22" t="n">
        <v>43800</v>
      </c>
      <c r="CU1" s="22"/>
      <c r="CV1" s="22"/>
      <c r="CW1" s="22"/>
      <c r="CX1" s="22"/>
      <c r="CY1" s="22"/>
      <c r="CZ1" s="22"/>
      <c r="DA1" s="22"/>
      <c r="DB1" s="22"/>
      <c r="DC1" s="22"/>
      <c r="DD1" s="22"/>
      <c r="DE1" s="22"/>
      <c r="DF1" s="22"/>
      <c r="DG1" s="22"/>
      <c r="DH1" s="22"/>
      <c r="DI1" s="22"/>
      <c r="DJ1" s="22"/>
      <c r="DK1" s="22"/>
      <c r="DL1" s="22"/>
      <c r="DM1" s="22"/>
      <c r="DN1" s="22"/>
      <c r="DO1" s="22"/>
      <c r="DP1" s="22"/>
      <c r="DQ1" s="22"/>
      <c r="DR1" s="22"/>
      <c r="DS1" s="22"/>
      <c r="DT1" s="22"/>
      <c r="DU1" s="22"/>
      <c r="DV1" s="22"/>
      <c r="DW1" s="22"/>
      <c r="DX1" s="22"/>
    </row>
    <row r="2" s="26" customFormat="true" ht="67.2" hidden="false" customHeight="true" outlineLevel="0" collapsed="false">
      <c r="A2" s="19"/>
      <c r="B2" s="20"/>
      <c r="C2" s="24" t="n">
        <v>43709</v>
      </c>
      <c r="D2" s="24" t="n">
        <v>43739</v>
      </c>
      <c r="E2" s="24" t="n">
        <v>43770</v>
      </c>
      <c r="F2" s="24" t="n">
        <v>43800</v>
      </c>
      <c r="G2" s="25" t="n">
        <v>43709</v>
      </c>
      <c r="H2" s="25" t="n">
        <v>43710</v>
      </c>
      <c r="I2" s="25" t="n">
        <v>43711</v>
      </c>
      <c r="J2" s="25" t="n">
        <v>43712</v>
      </c>
      <c r="K2" s="25" t="n">
        <v>43713</v>
      </c>
      <c r="L2" s="25" t="n">
        <v>43714</v>
      </c>
      <c r="M2" s="25" t="n">
        <v>43715</v>
      </c>
      <c r="N2" s="25" t="n">
        <v>43716</v>
      </c>
      <c r="O2" s="25" t="n">
        <v>43717</v>
      </c>
      <c r="P2" s="25" t="n">
        <v>43718</v>
      </c>
      <c r="Q2" s="25" t="n">
        <v>43719</v>
      </c>
      <c r="R2" s="25" t="n">
        <v>43720</v>
      </c>
      <c r="S2" s="25" t="n">
        <v>43721</v>
      </c>
      <c r="T2" s="25" t="n">
        <v>43722</v>
      </c>
      <c r="U2" s="25" t="n">
        <v>43723</v>
      </c>
      <c r="V2" s="25" t="n">
        <v>43724</v>
      </c>
      <c r="W2" s="25" t="n">
        <v>43725</v>
      </c>
      <c r="X2" s="25" t="n">
        <v>43726</v>
      </c>
      <c r="Y2" s="25" t="n">
        <v>43727</v>
      </c>
      <c r="Z2" s="25" t="n">
        <v>43728</v>
      </c>
      <c r="AA2" s="25" t="n">
        <v>43729</v>
      </c>
      <c r="AB2" s="25" t="n">
        <v>43730</v>
      </c>
      <c r="AC2" s="25" t="n">
        <v>43731</v>
      </c>
      <c r="AD2" s="25" t="n">
        <v>43732</v>
      </c>
      <c r="AE2" s="25" t="n">
        <v>43733</v>
      </c>
      <c r="AF2" s="25" t="n">
        <v>43734</v>
      </c>
      <c r="AG2" s="25" t="n">
        <v>43735</v>
      </c>
      <c r="AH2" s="25" t="n">
        <v>43736</v>
      </c>
      <c r="AI2" s="25" t="n">
        <v>43737</v>
      </c>
      <c r="AJ2" s="25" t="n">
        <v>43738</v>
      </c>
      <c r="AK2" s="25" t="n">
        <v>43739</v>
      </c>
      <c r="AL2" s="25" t="n">
        <v>43740</v>
      </c>
      <c r="AM2" s="25" t="n">
        <v>43741</v>
      </c>
      <c r="AN2" s="25" t="n">
        <v>43742</v>
      </c>
      <c r="AO2" s="25" t="n">
        <v>43743</v>
      </c>
      <c r="AP2" s="25" t="n">
        <v>43744</v>
      </c>
      <c r="AQ2" s="25" t="n">
        <v>43745</v>
      </c>
      <c r="AR2" s="25" t="n">
        <v>43746</v>
      </c>
      <c r="AS2" s="25" t="n">
        <v>43747</v>
      </c>
      <c r="AT2" s="25" t="n">
        <v>43748</v>
      </c>
      <c r="AU2" s="25" t="n">
        <v>43749</v>
      </c>
      <c r="AV2" s="25" t="n">
        <v>43750</v>
      </c>
      <c r="AW2" s="25" t="n">
        <v>43751</v>
      </c>
      <c r="AX2" s="25" t="n">
        <v>43752</v>
      </c>
      <c r="AY2" s="25" t="n">
        <v>43753</v>
      </c>
      <c r="AZ2" s="25" t="n">
        <v>43754</v>
      </c>
      <c r="BA2" s="25" t="n">
        <v>43755</v>
      </c>
      <c r="BB2" s="25" t="n">
        <v>43756</v>
      </c>
      <c r="BC2" s="25" t="n">
        <v>43757</v>
      </c>
      <c r="BD2" s="25" t="n">
        <v>43758</v>
      </c>
      <c r="BE2" s="25" t="n">
        <v>43759</v>
      </c>
      <c r="BF2" s="25" t="n">
        <v>43760</v>
      </c>
      <c r="BG2" s="25" t="n">
        <v>43761</v>
      </c>
      <c r="BH2" s="25" t="n">
        <v>43762</v>
      </c>
      <c r="BI2" s="25" t="n">
        <v>43763</v>
      </c>
      <c r="BJ2" s="25" t="n">
        <v>43764</v>
      </c>
      <c r="BK2" s="25" t="n">
        <v>43765</v>
      </c>
      <c r="BL2" s="25" t="n">
        <v>43766</v>
      </c>
      <c r="BM2" s="25" t="n">
        <v>43767</v>
      </c>
      <c r="BN2" s="25" t="n">
        <v>43768</v>
      </c>
      <c r="BO2" s="25" t="n">
        <v>43769</v>
      </c>
      <c r="BP2" s="25" t="n">
        <v>43770</v>
      </c>
      <c r="BQ2" s="25" t="n">
        <v>43771</v>
      </c>
      <c r="BR2" s="25" t="n">
        <v>43772</v>
      </c>
      <c r="BS2" s="25" t="n">
        <v>43773</v>
      </c>
      <c r="BT2" s="25" t="n">
        <v>43774</v>
      </c>
      <c r="BU2" s="25" t="n">
        <v>43775</v>
      </c>
      <c r="BV2" s="25" t="n">
        <v>43776</v>
      </c>
      <c r="BW2" s="25" t="n">
        <v>43777</v>
      </c>
      <c r="BX2" s="25" t="n">
        <v>43778</v>
      </c>
      <c r="BY2" s="25" t="n">
        <v>43779</v>
      </c>
      <c r="BZ2" s="25" t="n">
        <v>43780</v>
      </c>
      <c r="CA2" s="25" t="n">
        <v>43781</v>
      </c>
      <c r="CB2" s="25" t="n">
        <v>43782</v>
      </c>
      <c r="CC2" s="25" t="n">
        <v>43783</v>
      </c>
      <c r="CD2" s="25" t="n">
        <v>43784</v>
      </c>
      <c r="CE2" s="25" t="n">
        <v>43785</v>
      </c>
      <c r="CF2" s="25" t="n">
        <v>43786</v>
      </c>
      <c r="CG2" s="25" t="n">
        <v>43787</v>
      </c>
      <c r="CH2" s="25" t="n">
        <v>43788</v>
      </c>
      <c r="CI2" s="25" t="n">
        <v>43789</v>
      </c>
      <c r="CJ2" s="25" t="n">
        <v>43790</v>
      </c>
      <c r="CK2" s="25" t="n">
        <v>43791</v>
      </c>
      <c r="CL2" s="25" t="n">
        <v>43792</v>
      </c>
      <c r="CM2" s="25" t="n">
        <v>43793</v>
      </c>
      <c r="CN2" s="25" t="n">
        <v>43794</v>
      </c>
      <c r="CO2" s="25" t="n">
        <v>43795</v>
      </c>
      <c r="CP2" s="25" t="n">
        <v>43796</v>
      </c>
      <c r="CQ2" s="25" t="n">
        <v>43797</v>
      </c>
      <c r="CR2" s="25" t="n">
        <v>43798</v>
      </c>
      <c r="CS2" s="25" t="n">
        <v>43799</v>
      </c>
      <c r="CT2" s="25" t="n">
        <v>43800</v>
      </c>
      <c r="CU2" s="25" t="n">
        <v>43801</v>
      </c>
      <c r="CV2" s="25" t="n">
        <v>43802</v>
      </c>
      <c r="CW2" s="25" t="n">
        <v>43803</v>
      </c>
      <c r="CX2" s="25" t="n">
        <v>43804</v>
      </c>
      <c r="CY2" s="25" t="n">
        <v>43805</v>
      </c>
      <c r="CZ2" s="25" t="n">
        <v>43806</v>
      </c>
      <c r="DA2" s="25" t="n">
        <v>43807</v>
      </c>
      <c r="DB2" s="25" t="n">
        <v>43808</v>
      </c>
      <c r="DC2" s="25" t="n">
        <v>43809</v>
      </c>
      <c r="DD2" s="25" t="n">
        <v>43810</v>
      </c>
      <c r="DE2" s="25" t="n">
        <v>43811</v>
      </c>
      <c r="DF2" s="25" t="n">
        <v>43812</v>
      </c>
      <c r="DG2" s="25" t="n">
        <v>43813</v>
      </c>
      <c r="DH2" s="25" t="n">
        <v>43814</v>
      </c>
      <c r="DI2" s="25" t="n">
        <v>43815</v>
      </c>
      <c r="DJ2" s="25" t="n">
        <v>43816</v>
      </c>
      <c r="DK2" s="25" t="n">
        <v>43817</v>
      </c>
      <c r="DL2" s="25" t="n">
        <v>43818</v>
      </c>
      <c r="DM2" s="25" t="n">
        <v>43819</v>
      </c>
      <c r="DN2" s="25" t="n">
        <v>43820</v>
      </c>
      <c r="DO2" s="25" t="n">
        <v>43821</v>
      </c>
      <c r="DP2" s="25" t="n">
        <v>43822</v>
      </c>
      <c r="DQ2" s="25" t="n">
        <v>43823</v>
      </c>
      <c r="DR2" s="25" t="n">
        <v>43824</v>
      </c>
      <c r="DS2" s="25" t="n">
        <v>43825</v>
      </c>
      <c r="DT2" s="25" t="n">
        <v>43826</v>
      </c>
      <c r="DU2" s="25" t="n">
        <v>43827</v>
      </c>
      <c r="DV2" s="25" t="n">
        <v>43828</v>
      </c>
      <c r="DW2" s="25" t="n">
        <v>43829</v>
      </c>
      <c r="DX2" s="25" t="n">
        <v>43830</v>
      </c>
    </row>
    <row r="3" customFormat="false" ht="14.4" hidden="false" customHeight="false" outlineLevel="0" collapsed="false">
      <c r="A3" s="27" t="s">
        <v>23</v>
      </c>
      <c r="B3" s="27" t="s">
        <v>24</v>
      </c>
      <c r="C3" s="27" t="n">
        <v>3154790</v>
      </c>
      <c r="D3" s="27" t="n">
        <v>2839311</v>
      </c>
      <c r="E3" s="27" t="n">
        <v>2555379.9</v>
      </c>
      <c r="F3" s="27" t="n">
        <v>10000000</v>
      </c>
      <c r="G3" s="28" t="n">
        <f aca="false">SUMIF($C$2:$F$2,EOMONTH(G$2,-1)+1,$C3:$F3)*VLOOKUP(G$2,ProyDia[],8,0)</f>
        <v>90848.8152048709</v>
      </c>
      <c r="H3" s="29" t="n">
        <f aca="false">SUMIF($C$2:$F$2,EOMONTH(H$2,-1)+1,$C3:$F3)*VLOOKUP(H$2,ProyDia[],8,0)</f>
        <v>62296.3304261972</v>
      </c>
      <c r="I3" s="29" t="n">
        <f aca="false">SUMIF($C$2:$F$2,EOMONTH(I$2,-1)+1,$C3:$F3)*VLOOKUP(I$2,ProyDia[],8,0)</f>
        <v>62296.3304261972</v>
      </c>
      <c r="J3" s="29" t="n">
        <f aca="false">SUMIF($C$2:$F$2,EOMONTH(J$2,-1)+1,$C3:$F3)*VLOOKUP(J$2,ProyDia[],8,0)</f>
        <v>62296.3304261972</v>
      </c>
      <c r="K3" s="29" t="n">
        <f aca="false">SUMIF($C$2:$F$2,EOMONTH(K$2,-1)+1,$C3:$F3)*VLOOKUP(K$2,ProyDia[],8,0)</f>
        <v>62296.3304261972</v>
      </c>
      <c r="L3" s="29" t="n">
        <f aca="false">SUMIF($C$2:$F$2,EOMONTH(L$2,-1)+1,$C3:$F3)*VLOOKUP(L$2,ProyDia[],8,0)</f>
        <v>124592.660852394</v>
      </c>
      <c r="M3" s="29" t="n">
        <f aca="false">SUMIF($C$2:$F$2,EOMONTH(M$2,-1)+1,$C3:$F3)*VLOOKUP(M$2,ProyDia[],8,0)</f>
        <v>155740.826065493</v>
      </c>
      <c r="N3" s="29" t="n">
        <f aca="false">SUMIF($C$2:$F$2,EOMONTH(N$2,-1)+1,$C3:$F3)*VLOOKUP(N$2,ProyDia[],8,0)</f>
        <v>93444.4956392957</v>
      </c>
      <c r="O3" s="29" t="n">
        <f aca="false">SUMIF($C$2:$F$2,EOMONTH(O$2,-1)+1,$C3:$F3)*VLOOKUP(O$2,ProyDia[],8,0)</f>
        <v>83061.7739015961</v>
      </c>
      <c r="P3" s="29" t="n">
        <f aca="false">SUMIF($C$2:$F$2,EOMONTH(P$2,-1)+1,$C3:$F3)*VLOOKUP(P$2,ProyDia[],8,0)</f>
        <v>83061.7739015961</v>
      </c>
      <c r="Q3" s="29" t="n">
        <f aca="false">SUMIF($C$2:$F$2,EOMONTH(Q$2,-1)+1,$C3:$F3)*VLOOKUP(Q$2,ProyDia[],8,0)</f>
        <v>49837.0643409576</v>
      </c>
      <c r="R3" s="29" t="n">
        <f aca="false">SUMIF($C$2:$F$2,EOMONTH(R$2,-1)+1,$C3:$F3)*VLOOKUP(R$2,ProyDia[],8,0)</f>
        <v>83061.7739015961</v>
      </c>
      <c r="S3" s="29" t="n">
        <f aca="false">SUMIF($C$2:$F$2,EOMONTH(S$2,-1)+1,$C3:$F3)*VLOOKUP(S$2,ProyDia[],8,0)</f>
        <v>166123.547803192</v>
      </c>
      <c r="T3" s="29" t="n">
        <f aca="false">SUMIF($C$2:$F$2,EOMONTH(T$2,-1)+1,$C3:$F3)*VLOOKUP(T$2,ProyDia[],8,0)</f>
        <v>207654.43475399</v>
      </c>
      <c r="U3" s="29" t="n">
        <f aca="false">SUMIF($C$2:$F$2,EOMONTH(U$2,-1)+1,$C3:$F3)*VLOOKUP(U$2,ProyDia[],8,0)</f>
        <v>124592.660852394</v>
      </c>
      <c r="V3" s="29" t="n">
        <f aca="false">SUMIF($C$2:$F$2,EOMONTH(V$2,-1)+1,$C3:$F3)*VLOOKUP(V$2,ProyDia[],8,0)</f>
        <v>103827.217376995</v>
      </c>
      <c r="W3" s="29" t="n">
        <f aca="false">SUMIF($C$2:$F$2,EOMONTH(W$2,-1)+1,$C3:$F3)*VLOOKUP(W$2,ProyDia[],8,0)</f>
        <v>103827.217376995</v>
      </c>
      <c r="X3" s="29" t="n">
        <f aca="false">SUMIF($C$2:$F$2,EOMONTH(X$2,-1)+1,$C3:$F3)*VLOOKUP(X$2,ProyDia[],8,0)</f>
        <v>0</v>
      </c>
      <c r="Y3" s="29" t="n">
        <f aca="false">SUMIF($C$2:$F$2,EOMONTH(Y$2,-1)+1,$C3:$F3)*VLOOKUP(Y$2,ProyDia[],8,0)</f>
        <v>0</v>
      </c>
      <c r="Z3" s="29" t="n">
        <f aca="false">SUMIF($C$2:$F$2,EOMONTH(Z$2,-1)+1,$C3:$F3)*VLOOKUP(Z$2,ProyDia[],8,0)</f>
        <v>155740.826065493</v>
      </c>
      <c r="AA3" s="29" t="n">
        <f aca="false">SUMIF($C$2:$F$2,EOMONTH(AA$2,-1)+1,$C3:$F3)*VLOOKUP(AA$2,ProyDia[],8,0)</f>
        <v>186888.991278591</v>
      </c>
      <c r="AB3" s="29" t="n">
        <f aca="false">SUMIF($C$2:$F$2,EOMONTH(AB$2,-1)+1,$C3:$F3)*VLOOKUP(AB$2,ProyDia[],8,0)</f>
        <v>93444.4956392957</v>
      </c>
      <c r="AC3" s="29" t="n">
        <f aca="false">SUMIF($C$2:$F$2,EOMONTH(AC$2,-1)+1,$C3:$F3)*VLOOKUP(AC$2,ProyDia[],8,0)</f>
        <v>114209.939114695</v>
      </c>
      <c r="AD3" s="29" t="n">
        <f aca="false">SUMIF($C$2:$F$2,EOMONTH(AD$2,-1)+1,$C3:$F3)*VLOOKUP(AD$2,ProyDia[],8,0)</f>
        <v>114209.939114695</v>
      </c>
      <c r="AE3" s="29" t="n">
        <f aca="false">SUMIF($C$2:$F$2,EOMONTH(AE$2,-1)+1,$C3:$F3)*VLOOKUP(AE$2,ProyDia[],8,0)</f>
        <v>114209.939114695</v>
      </c>
      <c r="AF3" s="29" t="n">
        <f aca="false">SUMIF($C$2:$F$2,EOMONTH(AF$2,-1)+1,$C3:$F3)*VLOOKUP(AF$2,ProyDia[],8,0)</f>
        <v>114209.939114695</v>
      </c>
      <c r="AG3" s="29" t="n">
        <f aca="false">SUMIF($C$2:$F$2,EOMONTH(AG$2,-1)+1,$C3:$F3)*VLOOKUP(AG$2,ProyDia[],8,0)</f>
        <v>182735.902583512</v>
      </c>
      <c r="AH3" s="29" t="n">
        <f aca="false">SUMIF($C$2:$F$2,EOMONTH(AH$2,-1)+1,$C3:$F3)*VLOOKUP(AH$2,ProyDia[],8,0)</f>
        <v>228419.878229389</v>
      </c>
      <c r="AI3" s="29" t="n">
        <f aca="false">SUMIF($C$2:$F$2,EOMONTH(AI$2,-1)+1,$C3:$F3)*VLOOKUP(AI$2,ProyDia[],8,0)</f>
        <v>79946.9573802862</v>
      </c>
      <c r="AJ3" s="29" t="n">
        <f aca="false">SUMIF($C$2:$F$2,EOMONTH(AJ$2,-1)+1,$C3:$F3)*VLOOKUP(AJ$2,ProyDia[],8,0)</f>
        <v>51913.6086884977</v>
      </c>
      <c r="AK3" s="29" t="n">
        <f aca="false">SUMIF($C$2:$F$2,EOMONTH(AK$2,-1)+1,$C3:$F3)*VLOOKUP(AK$2,ProyDia[],8,0)</f>
        <v>94668.4941294147</v>
      </c>
      <c r="AL3" s="29" t="n">
        <f aca="false">SUMIF($C$2:$F$2,EOMONTH(AL$2,-1)+1,$C3:$F3)*VLOOKUP(AL$2,ProyDia[],8,0)</f>
        <v>94668.4941294147</v>
      </c>
      <c r="AM3" s="29" t="n">
        <f aca="false">SUMIF($C$2:$F$2,EOMONTH(AM$2,-1)+1,$C3:$F3)*VLOOKUP(AM$2,ProyDia[],8,0)</f>
        <v>94668.4941294147</v>
      </c>
      <c r="AN3" s="29" t="n">
        <f aca="false">SUMIF($C$2:$F$2,EOMONTH(AN$2,-1)+1,$C3:$F3)*VLOOKUP(AN$2,ProyDia[],8,0)</f>
        <v>189336.98825883</v>
      </c>
      <c r="AO3" s="29" t="n">
        <f aca="false">SUMIF($C$2:$F$2,EOMONTH(AO$2,-1)+1,$C3:$F3)*VLOOKUP(AO$2,ProyDia[],8,0)</f>
        <v>236671.235323537</v>
      </c>
      <c r="AP3" s="29" t="n">
        <f aca="false">SUMIF($C$2:$F$2,EOMONTH(AP$2,-1)+1,$C3:$F3)*VLOOKUP(AP$2,ProyDia[],8,0)</f>
        <v>142002.741194122</v>
      </c>
      <c r="AQ3" s="29" t="n">
        <f aca="false">SUMIF($C$2:$F$2,EOMONTH(AQ$2,-1)+1,$C3:$F3)*VLOOKUP(AQ$2,ProyDia[],8,0)</f>
        <v>50715.2647121866</v>
      </c>
      <c r="AR3" s="29" t="n">
        <f aca="false">SUMIF($C$2:$F$2,EOMONTH(AR$2,-1)+1,$C3:$F3)*VLOOKUP(AR$2,ProyDia[],8,0)</f>
        <v>50715.2647121866</v>
      </c>
      <c r="AS3" s="29" t="n">
        <f aca="false">SUMIF($C$2:$F$2,EOMONTH(AS$2,-1)+1,$C3:$F3)*VLOOKUP(AS$2,ProyDia[],8,0)</f>
        <v>50715.2647121866</v>
      </c>
      <c r="AT3" s="29" t="n">
        <f aca="false">SUMIF($C$2:$F$2,EOMONTH(AT$2,-1)+1,$C3:$F3)*VLOOKUP(AT$2,ProyDia[],8,0)</f>
        <v>50715.2647121866</v>
      </c>
      <c r="AU3" s="29" t="n">
        <f aca="false">SUMIF($C$2:$F$2,EOMONTH(AU$2,-1)+1,$C3:$F3)*VLOOKUP(AU$2,ProyDia[],8,0)</f>
        <v>101430.529424373</v>
      </c>
      <c r="AV3" s="29" t="n">
        <f aca="false">SUMIF($C$2:$F$2,EOMONTH(AV$2,-1)+1,$C3:$F3)*VLOOKUP(AV$2,ProyDia[],8,0)</f>
        <v>126788.161780466</v>
      </c>
      <c r="AW3" s="29" t="n">
        <f aca="false">SUMIF($C$2:$F$2,EOMONTH(AW$2,-1)+1,$C3:$F3)*VLOOKUP(AW$2,ProyDia[],8,0)</f>
        <v>76072.8970682797</v>
      </c>
      <c r="AX3" s="29" t="n">
        <f aca="false">SUMIF($C$2:$F$2,EOMONTH(AX$2,-1)+1,$C3:$F3)*VLOOKUP(AX$2,ProyDia[],8,0)</f>
        <v>50715.2647121866</v>
      </c>
      <c r="AY3" s="29" t="n">
        <f aca="false">SUMIF($C$2:$F$2,EOMONTH(AY$2,-1)+1,$C3:$F3)*VLOOKUP(AY$2,ProyDia[],8,0)</f>
        <v>65929.8441258425</v>
      </c>
      <c r="AZ3" s="29" t="n">
        <f aca="false">SUMIF($C$2:$F$2,EOMONTH(AZ$2,-1)+1,$C3:$F3)*VLOOKUP(AZ$2,ProyDia[],8,0)</f>
        <v>65929.8441258425</v>
      </c>
      <c r="BA3" s="29" t="n">
        <f aca="false">SUMIF($C$2:$F$2,EOMONTH(BA$2,-1)+1,$C3:$F3)*VLOOKUP(BA$2,ProyDia[],8,0)</f>
        <v>65929.8441258425</v>
      </c>
      <c r="BB3" s="29" t="n">
        <f aca="false">SUMIF($C$2:$F$2,EOMONTH(BB$2,-1)+1,$C3:$F3)*VLOOKUP(BB$2,ProyDia[],8,0)</f>
        <v>116645.108838029</v>
      </c>
      <c r="BC3" s="29" t="n">
        <f aca="false">SUMIF($C$2:$F$2,EOMONTH(BC$2,-1)+1,$C3:$F3)*VLOOKUP(BC$2,ProyDia[],8,0)</f>
        <v>142002.741194122</v>
      </c>
      <c r="BD3" s="29" t="n">
        <f aca="false">SUMIF($C$2:$F$2,EOMONTH(BD$2,-1)+1,$C3:$F3)*VLOOKUP(BD$2,ProyDia[],8,0)</f>
        <v>76072.8970682797</v>
      </c>
      <c r="BE3" s="29" t="n">
        <f aca="false">SUMIF($C$2:$F$2,EOMONTH(BE$2,-1)+1,$C3:$F3)*VLOOKUP(BE$2,ProyDia[],8,0)</f>
        <v>67620.352949582</v>
      </c>
      <c r="BF3" s="29" t="n">
        <f aca="false">SUMIF($C$2:$F$2,EOMONTH(BF$2,-1)+1,$C3:$F3)*VLOOKUP(BF$2,ProyDia[],8,0)</f>
        <v>67620.352949582</v>
      </c>
      <c r="BG3" s="29" t="n">
        <f aca="false">SUMIF($C$2:$F$2,EOMONTH(BG$2,-1)+1,$C3:$F3)*VLOOKUP(BG$2,ProyDia[],8,0)</f>
        <v>67620.352949582</v>
      </c>
      <c r="BH3" s="29" t="n">
        <f aca="false">SUMIF($C$2:$F$2,EOMONTH(BH$2,-1)+1,$C3:$F3)*VLOOKUP(BH$2,ProyDia[],8,0)</f>
        <v>67620.352949582</v>
      </c>
      <c r="BI3" s="29" t="n">
        <f aca="false">SUMIF($C$2:$F$2,EOMONTH(BI$2,-1)+1,$C3:$F3)*VLOOKUP(BI$2,ProyDia[],8,0)</f>
        <v>135240.705899164</v>
      </c>
      <c r="BJ3" s="29" t="n">
        <f aca="false">SUMIF($C$2:$F$2,EOMONTH(BJ$2,-1)+1,$C3:$F3)*VLOOKUP(BJ$2,ProyDia[],8,0)</f>
        <v>169050.882373955</v>
      </c>
      <c r="BK3" s="29" t="n">
        <f aca="false">SUMIF($C$2:$F$2,EOMONTH(BK$2,-1)+1,$C3:$F3)*VLOOKUP(BK$2,ProyDia[],8,0)</f>
        <v>81144.4235394984</v>
      </c>
      <c r="BL3" s="29" t="n">
        <f aca="false">SUMIF($C$2:$F$2,EOMONTH(BL$2,-1)+1,$C3:$F3)*VLOOKUP(BL$2,ProyDia[],8,0)</f>
        <v>59505.9105956321</v>
      </c>
      <c r="BM3" s="29" t="n">
        <f aca="false">SUMIF($C$2:$F$2,EOMONTH(BM$2,-1)+1,$C3:$F3)*VLOOKUP(BM$2,ProyDia[],8,0)</f>
        <v>59505.9105956321</v>
      </c>
      <c r="BN3" s="29" t="n">
        <f aca="false">SUMIF($C$2:$F$2,EOMONTH(BN$2,-1)+1,$C3:$F3)*VLOOKUP(BN$2,ProyDia[],8,0)</f>
        <v>59505.9105956321</v>
      </c>
      <c r="BO3" s="29" t="n">
        <f aca="false">SUMIF($C$2:$F$2,EOMONTH(BO$2,-1)+1,$C3:$F3)*VLOOKUP(BO$2,ProyDia[],8,0)</f>
        <v>62481.2061254137</v>
      </c>
      <c r="BP3" s="29" t="n">
        <f aca="false">SUMIF($C$2:$F$2,EOMONTH(BP$2,-1)+1,$C3:$F3)*VLOOKUP(BP$2,ProyDia[],8,0)</f>
        <v>157236.868915504</v>
      </c>
      <c r="BQ3" s="29" t="n">
        <f aca="false">SUMIF($C$2:$F$2,EOMONTH(BQ$2,-1)+1,$C3:$F3)*VLOOKUP(BQ$2,ProyDia[],8,0)</f>
        <v>196546.08614438</v>
      </c>
      <c r="BR3" s="29" t="n">
        <f aca="false">SUMIF($C$2:$F$2,EOMONTH(BR$2,-1)+1,$C3:$F3)*VLOOKUP(BR$2,ProyDia[],8,0)</f>
        <v>94342.1213493023</v>
      </c>
      <c r="BS3" s="29" t="n">
        <f aca="false">SUMIF($C$2:$F$2,EOMONTH(BS$2,-1)+1,$C3:$F3)*VLOOKUP(BS$2,ProyDia[],8,0)</f>
        <v>42117.0184595099</v>
      </c>
      <c r="BT3" s="29" t="n">
        <f aca="false">SUMIF($C$2:$F$2,EOMONTH(BT$2,-1)+1,$C3:$F3)*VLOOKUP(BT$2,ProyDia[],8,0)</f>
        <v>42117.0184595099</v>
      </c>
      <c r="BU3" s="29" t="n">
        <f aca="false">SUMIF($C$2:$F$2,EOMONTH(BU$2,-1)+1,$C3:$F3)*VLOOKUP(BU$2,ProyDia[],8,0)</f>
        <v>42117.0184595099</v>
      </c>
      <c r="BV3" s="29" t="n">
        <f aca="false">SUMIF($C$2:$F$2,EOMONTH(BV$2,-1)+1,$C3:$F3)*VLOOKUP(BV$2,ProyDia[],8,0)</f>
        <v>42117.0184595099</v>
      </c>
      <c r="BW3" s="29" t="n">
        <f aca="false">SUMIF($C$2:$F$2,EOMONTH(BW$2,-1)+1,$C3:$F3)*VLOOKUP(BW$2,ProyDia[],8,0)</f>
        <v>84234.0369190198</v>
      </c>
      <c r="BX3" s="29" t="n">
        <f aca="false">SUMIF($C$2:$F$2,EOMONTH(BX$2,-1)+1,$C3:$F3)*VLOOKUP(BX$2,ProyDia[],8,0)</f>
        <v>105292.546148775</v>
      </c>
      <c r="BY3" s="29" t="n">
        <f aca="false">SUMIF($C$2:$F$2,EOMONTH(BY$2,-1)+1,$C3:$F3)*VLOOKUP(BY$2,ProyDia[],8,0)</f>
        <v>63175.527689265</v>
      </c>
      <c r="BZ3" s="29" t="n">
        <f aca="false">SUMIF($C$2:$F$2,EOMONTH(BZ$2,-1)+1,$C3:$F3)*VLOOKUP(BZ$2,ProyDia[],8,0)</f>
        <v>42117.0184595099</v>
      </c>
      <c r="CA3" s="29" t="n">
        <f aca="false">SUMIF($C$2:$F$2,EOMONTH(CA$2,-1)+1,$C3:$F3)*VLOOKUP(CA$2,ProyDia[],8,0)</f>
        <v>42117.0184595099</v>
      </c>
      <c r="CB3" s="29" t="n">
        <f aca="false">SUMIF($C$2:$F$2,EOMONTH(CB$2,-1)+1,$C3:$F3)*VLOOKUP(CB$2,ProyDia[],8,0)</f>
        <v>42117.0184595099</v>
      </c>
      <c r="CC3" s="29" t="n">
        <f aca="false">SUMIF($C$2:$F$2,EOMONTH(CC$2,-1)+1,$C3:$F3)*VLOOKUP(CC$2,ProyDia[],8,0)</f>
        <v>42117.0184595099</v>
      </c>
      <c r="CD3" s="29" t="n">
        <f aca="false">SUMIF($C$2:$F$2,EOMONTH(CD$2,-1)+1,$C3:$F3)*VLOOKUP(CD$2,ProyDia[],8,0)</f>
        <v>126351.05537853</v>
      </c>
      <c r="CE3" s="29" t="n">
        <f aca="false">SUMIF($C$2:$F$2,EOMONTH(CE$2,-1)+1,$C3:$F3)*VLOOKUP(CE$2,ProyDia[],8,0)</f>
        <v>168468.07383804</v>
      </c>
      <c r="CF3" s="29" t="n">
        <f aca="false">SUMIF($C$2:$F$2,EOMONTH(CF$2,-1)+1,$C3:$F3)*VLOOKUP(CF$2,ProyDia[],8,0)</f>
        <v>105292.546148775</v>
      </c>
      <c r="CG3" s="29" t="n">
        <f aca="false">SUMIF($C$2:$F$2,EOMONTH(CG$2,-1)+1,$C3:$F3)*VLOOKUP(CG$2,ProyDia[],8,0)</f>
        <v>56156.02461268</v>
      </c>
      <c r="CH3" s="29" t="n">
        <f aca="false">SUMIF($C$2:$F$2,EOMONTH(CH$2,-1)+1,$C3:$F3)*VLOOKUP(CH$2,ProyDia[],8,0)</f>
        <v>56156.02461268</v>
      </c>
      <c r="CI3" s="29" t="n">
        <f aca="false">SUMIF($C$2:$F$2,EOMONTH(CI$2,-1)+1,$C3:$F3)*VLOOKUP(CI$2,ProyDia[],8,0)</f>
        <v>56156.02461268</v>
      </c>
      <c r="CJ3" s="29" t="n">
        <f aca="false">SUMIF($C$2:$F$2,EOMONTH(CJ$2,-1)+1,$C3:$F3)*VLOOKUP(CJ$2,ProyDia[],8,0)</f>
        <v>56156.02461268</v>
      </c>
      <c r="CK3" s="29" t="n">
        <f aca="false">SUMIF($C$2:$F$2,EOMONTH(CK$2,-1)+1,$C3:$F3)*VLOOKUP(CK$2,ProyDia[],8,0)</f>
        <v>112312.04922536</v>
      </c>
      <c r="CL3" s="29" t="n">
        <f aca="false">SUMIF($C$2:$F$2,EOMONTH(CL$2,-1)+1,$C3:$F3)*VLOOKUP(CL$2,ProyDia[],8,0)</f>
        <v>140390.0615317</v>
      </c>
      <c r="CM3" s="29" t="n">
        <f aca="false">SUMIF($C$2:$F$2,EOMONTH(CM$2,-1)+1,$C3:$F3)*VLOOKUP(CM$2,ProyDia[],8,0)</f>
        <v>84234.0369190198</v>
      </c>
      <c r="CN3" s="29" t="n">
        <f aca="false">SUMIF($C$2:$F$2,EOMONTH(CN$2,-1)+1,$C3:$F3)*VLOOKUP(CN$2,ProyDia[],8,0)</f>
        <v>61771.6270739478</v>
      </c>
      <c r="CO3" s="29" t="n">
        <f aca="false">SUMIF($C$2:$F$2,EOMONTH(CO$2,-1)+1,$C3:$F3)*VLOOKUP(CO$2,ProyDia[],8,0)</f>
        <v>61771.6270739478</v>
      </c>
      <c r="CP3" s="29" t="n">
        <f aca="false">SUMIF($C$2:$F$2,EOMONTH(CP$2,-1)+1,$C3:$F3)*VLOOKUP(CP$2,ProyDia[],8,0)</f>
        <v>61771.6270739478</v>
      </c>
      <c r="CQ3" s="29" t="n">
        <f aca="false">SUMIF($C$2:$F$2,EOMONTH(CQ$2,-1)+1,$C3:$F3)*VLOOKUP(CQ$2,ProyDia[],8,0)</f>
        <v>61771.6270739478</v>
      </c>
      <c r="CR3" s="29" t="n">
        <f aca="false">SUMIF($C$2:$F$2,EOMONTH(CR$2,-1)+1,$C3:$F3)*VLOOKUP(CR$2,ProyDia[],8,0)</f>
        <v>123543.254147896</v>
      </c>
      <c r="CS3" s="29" t="n">
        <f aca="false">SUMIF($C$2:$F$2,EOMONTH(CS$2,-1)+1,$C3:$F3)*VLOOKUP(CS$2,ProyDia[],8,0)</f>
        <v>185314.881221844</v>
      </c>
      <c r="CT3" s="29" t="n">
        <f aca="false">SUMIF($C$2:$F$2,EOMONTH(CT$2,-1)+1,$C3:$F3)*VLOOKUP(CT$2,ProyDia[],8,0)</f>
        <v>247249.974770411</v>
      </c>
      <c r="CU3" s="29" t="n">
        <f aca="false">SUMIF($C$2:$F$2,EOMONTH(CU$2,-1)+1,$C3:$F3)*VLOOKUP(CU$2,ProyDia[],8,0)</f>
        <v>121102.028458977</v>
      </c>
      <c r="CV3" s="29" t="n">
        <f aca="false">SUMIF($C$2:$F$2,EOMONTH(CV$2,-1)+1,$C3:$F3)*VLOOKUP(CV$2,ProyDia[],8,0)</f>
        <v>121102.028458977</v>
      </c>
      <c r="CW3" s="29" t="n">
        <f aca="false">SUMIF($C$2:$F$2,EOMONTH(CW$2,-1)+1,$C3:$F3)*VLOOKUP(CW$2,ProyDia[],8,0)</f>
        <v>121102.028458977</v>
      </c>
      <c r="CX3" s="29" t="n">
        <f aca="false">SUMIF($C$2:$F$2,EOMONTH(CX$2,-1)+1,$C3:$F3)*VLOOKUP(CX$2,ProyDia[],8,0)</f>
        <v>121102.028458977</v>
      </c>
      <c r="CY3" s="29" t="n">
        <f aca="false">SUMIF($C$2:$F$2,EOMONTH(CY$2,-1)+1,$C3:$F3)*VLOOKUP(CY$2,ProyDia[],8,0)</f>
        <v>242204.056917953</v>
      </c>
      <c r="CZ3" s="29" t="n">
        <f aca="false">SUMIF($C$2:$F$2,EOMONTH(CZ$2,-1)+1,$C3:$F3)*VLOOKUP(CZ$2,ProyDia[],8,0)</f>
        <v>363306.08537693</v>
      </c>
      <c r="DA3" s="29" t="n">
        <f aca="false">SUMIF($C$2:$F$2,EOMONTH(DA$2,-1)+1,$C3:$F3)*VLOOKUP(DA$2,ProyDia[],8,0)</f>
        <v>217983.651226158</v>
      </c>
      <c r="DB3" s="29" t="n">
        <f aca="false">SUMIF($C$2:$F$2,EOMONTH(DB$2,-1)+1,$C3:$F3)*VLOOKUP(DB$2,ProyDia[],8,0)</f>
        <v>161469.371278636</v>
      </c>
      <c r="DC3" s="29" t="n">
        <f aca="false">SUMIF($C$2:$F$2,EOMONTH(DC$2,-1)+1,$C3:$F3)*VLOOKUP(DC$2,ProyDia[],8,0)</f>
        <v>161469.371278636</v>
      </c>
      <c r="DD3" s="29" t="n">
        <f aca="false">SUMIF($C$2:$F$2,EOMONTH(DD$2,-1)+1,$C3:$F3)*VLOOKUP(DD$2,ProyDia[],8,0)</f>
        <v>161469.371278636</v>
      </c>
      <c r="DE3" s="29" t="n">
        <f aca="false">SUMIF($C$2:$F$2,EOMONTH(DE$2,-1)+1,$C3:$F3)*VLOOKUP(DE$2,ProyDia[],8,0)</f>
        <v>161469.371278636</v>
      </c>
      <c r="DF3" s="29" t="n">
        <f aca="false">SUMIF($C$2:$F$2,EOMONTH(DF$2,-1)+1,$C3:$F3)*VLOOKUP(DF$2,ProyDia[],8,0)</f>
        <v>274497.93117368</v>
      </c>
      <c r="DG3" s="29" t="n">
        <f aca="false">SUMIF($C$2:$F$2,EOMONTH(DG$2,-1)+1,$C3:$F3)*VLOOKUP(DG$2,ProyDia[],8,0)</f>
        <v>339085.679685135</v>
      </c>
      <c r="DH3" s="29" t="n">
        <f aca="false">SUMIF($C$2:$F$2,EOMONTH(DH$2,-1)+1,$C3:$F3)*VLOOKUP(DH$2,ProyDia[],8,0)</f>
        <v>242204.056917953</v>
      </c>
      <c r="DI3" s="29" t="n">
        <f aca="false">SUMIF($C$2:$F$2,EOMONTH(DI$2,-1)+1,$C3:$F3)*VLOOKUP(DI$2,ProyDia[],8,0)</f>
        <v>201836.714098294</v>
      </c>
      <c r="DJ3" s="29" t="n">
        <f aca="false">SUMIF($C$2:$F$2,EOMONTH(DJ$2,-1)+1,$C3:$F3)*VLOOKUP(DJ$2,ProyDia[],8,0)</f>
        <v>201836.714098294</v>
      </c>
      <c r="DK3" s="29" t="n">
        <f aca="false">SUMIF($C$2:$F$2,EOMONTH(DK$2,-1)+1,$C3:$F3)*VLOOKUP(DK$2,ProyDia[],8,0)</f>
        <v>201836.714098294</v>
      </c>
      <c r="DL3" s="29" t="n">
        <f aca="false">SUMIF($C$2:$F$2,EOMONTH(DL$2,-1)+1,$C3:$F3)*VLOOKUP(DL$2,ProyDia[],8,0)</f>
        <v>343122.413967101</v>
      </c>
      <c r="DM3" s="29" t="n">
        <f aca="false">SUMIF($C$2:$F$2,EOMONTH(DM$2,-1)+1,$C3:$F3)*VLOOKUP(DM$2,ProyDia[],8,0)</f>
        <v>766979.513573519</v>
      </c>
      <c r="DN3" s="29" t="n">
        <f aca="false">SUMIF($C$2:$F$2,EOMONTH(DN$2,-1)+1,$C3:$F3)*VLOOKUP(DN$2,ProyDia[],8,0)</f>
        <v>928448.884852154</v>
      </c>
      <c r="DO3" s="29" t="n">
        <f aca="false">SUMIF($C$2:$F$2,EOMONTH(DO$2,-1)+1,$C3:$F3)*VLOOKUP(DO$2,ProyDia[],8,0)</f>
        <v>605510.142294883</v>
      </c>
      <c r="DP3" s="29" t="n">
        <f aca="false">SUMIF($C$2:$F$2,EOMONTH(DP$2,-1)+1,$C3:$F3)*VLOOKUP(DP$2,ProyDia[],8,0)</f>
        <v>1110101.92754062</v>
      </c>
      <c r="DQ3" s="29" t="n">
        <f aca="false">SUMIF($C$2:$F$2,EOMONTH(DQ$2,-1)+1,$C3:$F3)*VLOOKUP(DQ$2,ProyDia[],8,0)</f>
        <v>999091.734786557</v>
      </c>
      <c r="DR3" s="29" t="n">
        <f aca="false">SUMIF($C$2:$F$2,EOMONTH(DR$2,-1)+1,$C3:$F3)*VLOOKUP(DR$2,ProyDia[],8,0)</f>
        <v>0</v>
      </c>
      <c r="DS3" s="29" t="n">
        <f aca="false">SUMIF($C$2:$F$2,EOMONTH(DS$2,-1)+1,$C3:$F3)*VLOOKUP(DS$2,ProyDia[],8,0)</f>
        <v>111010.192754062</v>
      </c>
      <c r="DT3" s="29" t="n">
        <f aca="false">SUMIF($C$2:$F$2,EOMONTH(DT$2,-1)+1,$C3:$F3)*VLOOKUP(DT$2,ProyDia[],8,0)</f>
        <v>333030.578262186</v>
      </c>
      <c r="DU3" s="29" t="n">
        <f aca="false">SUMIF($C$2:$F$2,EOMONTH(DU$2,-1)+1,$C3:$F3)*VLOOKUP(DU$2,ProyDia[],8,0)</f>
        <v>555050.96377031</v>
      </c>
      <c r="DV3" s="29" t="n">
        <f aca="false">SUMIF($C$2:$F$2,EOMONTH(DV$2,-1)+1,$C3:$F3)*VLOOKUP(DV$2,ProyDia[],8,0)</f>
        <v>333030.578262186</v>
      </c>
      <c r="DW3" s="29" t="n">
        <f aca="false">SUMIF($C$2:$F$2,EOMONTH(DW$2,-1)+1,$C3:$F3)*VLOOKUP(DW$2,ProyDia[],8,0)</f>
        <v>100918.357049147</v>
      </c>
      <c r="DX3" s="29" t="n">
        <f aca="false">SUMIF($C$2:$F$2,EOMONTH(DX$2,-1)+1,$C3:$F3)*VLOOKUP(DX$2,ProyDia[],8,0)</f>
        <v>151377.535573721</v>
      </c>
    </row>
    <row r="4" customFormat="false" ht="13.8" hidden="false" customHeight="false" outlineLevel="0" collapsed="false">
      <c r="A4" s="30"/>
      <c r="B4" s="30"/>
      <c r="C4" s="30"/>
      <c r="D4" s="30"/>
      <c r="E4" s="30"/>
      <c r="F4" s="30"/>
      <c r="G4" s="31"/>
      <c r="H4" s="31"/>
      <c r="I4" s="31"/>
      <c r="J4" s="31"/>
      <c r="K4" s="31"/>
      <c r="L4" s="31"/>
      <c r="M4" s="31"/>
      <c r="N4" s="31"/>
      <c r="O4" s="31"/>
      <c r="P4" s="31"/>
      <c r="Q4" s="31"/>
      <c r="R4" s="31"/>
      <c r="S4" s="31"/>
      <c r="T4" s="31"/>
      <c r="U4" s="31"/>
      <c r="V4" s="31"/>
      <c r="W4" s="31"/>
      <c r="X4" s="31"/>
      <c r="Y4" s="31"/>
      <c r="Z4" s="31"/>
      <c r="AA4" s="31"/>
      <c r="AB4" s="31"/>
      <c r="AC4" s="31"/>
      <c r="AD4" s="31"/>
      <c r="AE4" s="31"/>
      <c r="AF4" s="31"/>
      <c r="AG4" s="31"/>
      <c r="AH4" s="31"/>
      <c r="AI4" s="31"/>
      <c r="AJ4" s="31"/>
      <c r="AK4" s="31"/>
      <c r="AL4" s="31"/>
      <c r="AM4" s="31"/>
      <c r="AN4" s="31"/>
      <c r="AO4" s="31"/>
      <c r="AP4" s="31"/>
      <c r="AQ4" s="31"/>
      <c r="AR4" s="31"/>
      <c r="AS4" s="31"/>
      <c r="AT4" s="31"/>
      <c r="AU4" s="31"/>
      <c r="AV4" s="31"/>
      <c r="AW4" s="31"/>
      <c r="AX4" s="31"/>
      <c r="AY4" s="31"/>
      <c r="AZ4" s="31"/>
      <c r="BA4" s="31"/>
      <c r="BB4" s="31"/>
      <c r="BC4" s="31"/>
      <c r="BD4" s="31"/>
      <c r="BE4" s="31"/>
      <c r="BF4" s="31"/>
      <c r="BG4" s="31"/>
      <c r="BH4" s="31"/>
      <c r="BI4" s="31"/>
      <c r="BJ4" s="31"/>
      <c r="BK4" s="31"/>
      <c r="BL4" s="31"/>
      <c r="BM4" s="31"/>
      <c r="BN4" s="31"/>
      <c r="BO4" s="31"/>
      <c r="BP4" s="31"/>
      <c r="BQ4" s="31"/>
      <c r="BR4" s="31"/>
      <c r="BS4" s="31"/>
      <c r="BT4" s="31"/>
      <c r="BU4" s="31"/>
      <c r="BV4" s="31"/>
      <c r="BW4" s="31"/>
      <c r="BX4" s="31"/>
      <c r="BY4" s="31"/>
      <c r="BZ4" s="31"/>
      <c r="CA4" s="31"/>
      <c r="CB4" s="31"/>
      <c r="CC4" s="31"/>
      <c r="CD4" s="31"/>
      <c r="CE4" s="31"/>
      <c r="CF4" s="31"/>
      <c r="CG4" s="31"/>
      <c r="CH4" s="31"/>
      <c r="CI4" s="31"/>
      <c r="CJ4" s="31"/>
      <c r="CK4" s="31"/>
      <c r="CL4" s="31"/>
      <c r="CM4" s="31"/>
      <c r="CN4" s="31"/>
      <c r="CO4" s="31"/>
      <c r="CP4" s="31"/>
      <c r="CQ4" s="31"/>
      <c r="CR4" s="31"/>
      <c r="CS4" s="31"/>
      <c r="CT4" s="31"/>
      <c r="CU4" s="31"/>
      <c r="CV4" s="31"/>
      <c r="CW4" s="31"/>
      <c r="CX4" s="31"/>
      <c r="CY4" s="31"/>
      <c r="CZ4" s="31"/>
      <c r="DA4" s="31"/>
      <c r="DB4" s="31"/>
      <c r="DC4" s="31"/>
      <c r="DD4" s="31"/>
      <c r="DE4" s="31"/>
      <c r="DF4" s="31"/>
      <c r="DG4" s="31"/>
      <c r="DH4" s="31"/>
      <c r="DI4" s="31"/>
      <c r="DJ4" s="31"/>
      <c r="DK4" s="31"/>
      <c r="DL4" s="31"/>
      <c r="DM4" s="31"/>
      <c r="DN4" s="31"/>
      <c r="DO4" s="31"/>
      <c r="DP4" s="31"/>
      <c r="DQ4" s="31"/>
      <c r="DR4" s="31"/>
      <c r="DS4" s="31"/>
      <c r="DT4" s="31"/>
      <c r="DU4" s="31"/>
      <c r="DV4" s="31"/>
      <c r="DW4" s="31"/>
      <c r="DX4" s="31"/>
    </row>
    <row r="5" customFormat="false" ht="13.8" hidden="false" customHeight="false" outlineLevel="0" collapsed="false">
      <c r="A5" s="32"/>
      <c r="B5" s="32"/>
      <c r="C5" s="32"/>
      <c r="D5" s="32"/>
      <c r="E5" s="32"/>
      <c r="F5" s="32"/>
      <c r="G5" s="33"/>
      <c r="H5" s="33"/>
      <c r="I5" s="33"/>
      <c r="J5" s="33"/>
      <c r="K5" s="33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  <c r="AE5" s="33"/>
      <c r="AF5" s="33"/>
      <c r="AG5" s="33"/>
      <c r="AH5" s="33"/>
      <c r="AI5" s="33"/>
      <c r="AJ5" s="33"/>
      <c r="AK5" s="33"/>
      <c r="AL5" s="33"/>
      <c r="AM5" s="33"/>
      <c r="AN5" s="33"/>
      <c r="AO5" s="33"/>
      <c r="AP5" s="33"/>
      <c r="AQ5" s="33"/>
      <c r="AR5" s="33"/>
      <c r="AS5" s="33"/>
      <c r="AT5" s="33"/>
      <c r="AU5" s="33"/>
      <c r="AV5" s="33"/>
      <c r="AW5" s="33"/>
      <c r="AX5" s="33"/>
      <c r="AY5" s="33"/>
      <c r="AZ5" s="33"/>
      <c r="BA5" s="33"/>
      <c r="BB5" s="33"/>
      <c r="BC5" s="33"/>
      <c r="BD5" s="33"/>
      <c r="BE5" s="33"/>
      <c r="BF5" s="33"/>
      <c r="BG5" s="33"/>
      <c r="BH5" s="33"/>
      <c r="BI5" s="33"/>
      <c r="BJ5" s="33"/>
      <c r="BK5" s="33"/>
      <c r="BL5" s="33"/>
      <c r="BM5" s="33"/>
      <c r="BN5" s="33"/>
      <c r="BO5" s="33"/>
      <c r="BP5" s="33"/>
      <c r="BQ5" s="33"/>
      <c r="BR5" s="33"/>
      <c r="BS5" s="33"/>
      <c r="BT5" s="33"/>
      <c r="BU5" s="33"/>
      <c r="BV5" s="33"/>
      <c r="BW5" s="33"/>
      <c r="BX5" s="33"/>
      <c r="BY5" s="33"/>
      <c r="BZ5" s="33"/>
      <c r="CA5" s="33"/>
      <c r="CB5" s="33"/>
      <c r="CC5" s="33"/>
      <c r="CD5" s="33"/>
      <c r="CE5" s="33"/>
      <c r="CF5" s="33"/>
      <c r="CG5" s="33"/>
      <c r="CH5" s="33"/>
      <c r="CI5" s="33"/>
      <c r="CJ5" s="33"/>
      <c r="CK5" s="33"/>
      <c r="CL5" s="33"/>
      <c r="CM5" s="33"/>
      <c r="CN5" s="33"/>
      <c r="CO5" s="33"/>
      <c r="CP5" s="33"/>
      <c r="CQ5" s="33"/>
      <c r="CR5" s="33"/>
      <c r="CS5" s="33"/>
      <c r="CT5" s="33"/>
      <c r="CU5" s="33"/>
      <c r="CV5" s="33"/>
      <c r="CW5" s="33"/>
      <c r="CX5" s="33"/>
      <c r="CY5" s="33"/>
      <c r="CZ5" s="33"/>
      <c r="DA5" s="33"/>
      <c r="DB5" s="33"/>
      <c r="DC5" s="33"/>
      <c r="DD5" s="33"/>
      <c r="DE5" s="33"/>
      <c r="DF5" s="33"/>
      <c r="DG5" s="33"/>
      <c r="DH5" s="33"/>
      <c r="DI5" s="33"/>
      <c r="DJ5" s="33"/>
      <c r="DK5" s="33"/>
      <c r="DL5" s="33"/>
      <c r="DM5" s="33"/>
      <c r="DN5" s="33"/>
      <c r="DO5" s="33"/>
      <c r="DP5" s="33"/>
      <c r="DQ5" s="33"/>
      <c r="DR5" s="33"/>
      <c r="DS5" s="33"/>
      <c r="DT5" s="33"/>
      <c r="DU5" s="33"/>
      <c r="DV5" s="33"/>
      <c r="DW5" s="33"/>
      <c r="DX5" s="33"/>
    </row>
    <row r="6" customFormat="false" ht="13.8" hidden="false" customHeight="false" outlineLevel="0" collapsed="false">
      <c r="A6" s="30"/>
      <c r="B6" s="30"/>
      <c r="C6" s="30"/>
      <c r="D6" s="30"/>
      <c r="E6" s="30"/>
      <c r="F6" s="30"/>
      <c r="G6" s="31"/>
      <c r="H6" s="31"/>
      <c r="I6" s="31"/>
      <c r="J6" s="31"/>
      <c r="K6" s="31"/>
      <c r="L6" s="31"/>
      <c r="M6" s="31"/>
      <c r="N6" s="31"/>
      <c r="O6" s="31"/>
      <c r="P6" s="31"/>
      <c r="Q6" s="31"/>
      <c r="R6" s="31"/>
      <c r="S6" s="31"/>
      <c r="T6" s="31"/>
      <c r="U6" s="31"/>
      <c r="V6" s="31"/>
      <c r="W6" s="31"/>
      <c r="X6" s="31"/>
      <c r="Y6" s="31"/>
      <c r="Z6" s="31"/>
      <c r="AA6" s="31"/>
      <c r="AB6" s="31"/>
      <c r="AC6" s="31"/>
      <c r="AD6" s="31"/>
      <c r="AE6" s="31"/>
      <c r="AF6" s="31"/>
      <c r="AG6" s="31"/>
      <c r="AH6" s="31"/>
      <c r="AI6" s="31"/>
      <c r="AJ6" s="31"/>
      <c r="AK6" s="31"/>
      <c r="AL6" s="31"/>
      <c r="AM6" s="31"/>
      <c r="AN6" s="31"/>
      <c r="AO6" s="31"/>
      <c r="AP6" s="31"/>
      <c r="AQ6" s="31"/>
      <c r="AR6" s="31"/>
      <c r="AS6" s="31"/>
      <c r="AT6" s="31"/>
      <c r="AU6" s="31"/>
      <c r="AV6" s="31"/>
      <c r="AW6" s="31"/>
      <c r="AX6" s="31"/>
      <c r="AY6" s="31"/>
      <c r="AZ6" s="31"/>
      <c r="BA6" s="31"/>
      <c r="BB6" s="31"/>
      <c r="BC6" s="31"/>
      <c r="BD6" s="31"/>
      <c r="BE6" s="31"/>
      <c r="BF6" s="31"/>
      <c r="BG6" s="31"/>
      <c r="BH6" s="31"/>
      <c r="BI6" s="31"/>
      <c r="BJ6" s="31"/>
      <c r="BK6" s="31"/>
      <c r="BL6" s="31"/>
      <c r="BM6" s="31"/>
      <c r="BN6" s="31"/>
      <c r="BO6" s="31"/>
      <c r="BP6" s="31"/>
      <c r="BQ6" s="31"/>
      <c r="BR6" s="31"/>
      <c r="BS6" s="31"/>
      <c r="BT6" s="31"/>
      <c r="BU6" s="31"/>
      <c r="BV6" s="31"/>
      <c r="BW6" s="31"/>
      <c r="BX6" s="31"/>
      <c r="BY6" s="31"/>
      <c r="BZ6" s="31"/>
      <c r="CA6" s="31"/>
      <c r="CB6" s="31"/>
      <c r="CC6" s="31"/>
      <c r="CD6" s="31"/>
      <c r="CE6" s="31"/>
      <c r="CF6" s="31"/>
      <c r="CG6" s="31"/>
      <c r="CH6" s="31"/>
      <c r="CI6" s="31"/>
      <c r="CJ6" s="31"/>
      <c r="CK6" s="31"/>
      <c r="CL6" s="31"/>
      <c r="CM6" s="31"/>
      <c r="CN6" s="31"/>
      <c r="CO6" s="31"/>
      <c r="CP6" s="31"/>
      <c r="CQ6" s="31"/>
      <c r="CR6" s="31"/>
      <c r="CS6" s="31"/>
      <c r="CT6" s="31"/>
      <c r="CU6" s="31"/>
      <c r="CV6" s="31"/>
      <c r="CW6" s="31"/>
      <c r="CX6" s="31"/>
      <c r="CY6" s="31"/>
      <c r="CZ6" s="31"/>
      <c r="DA6" s="31"/>
      <c r="DB6" s="31"/>
      <c r="DC6" s="31"/>
      <c r="DD6" s="31"/>
      <c r="DE6" s="31"/>
      <c r="DF6" s="31"/>
      <c r="DG6" s="31"/>
      <c r="DH6" s="31"/>
      <c r="DI6" s="31"/>
      <c r="DJ6" s="31"/>
      <c r="DK6" s="31"/>
      <c r="DL6" s="31"/>
      <c r="DM6" s="31"/>
      <c r="DN6" s="31"/>
      <c r="DO6" s="31"/>
      <c r="DP6" s="31"/>
      <c r="DQ6" s="31"/>
      <c r="DR6" s="31"/>
      <c r="DS6" s="31"/>
      <c r="DT6" s="31"/>
      <c r="DU6" s="31"/>
      <c r="DV6" s="31"/>
      <c r="DW6" s="31"/>
      <c r="DX6" s="31"/>
    </row>
    <row r="7" customFormat="false" ht="13.8" hidden="false" customHeight="false" outlineLevel="0" collapsed="false">
      <c r="A7" s="32"/>
      <c r="B7" s="32"/>
      <c r="C7" s="32"/>
      <c r="D7" s="32"/>
      <c r="E7" s="32"/>
      <c r="F7" s="32"/>
      <c r="G7" s="33"/>
      <c r="H7" s="33"/>
      <c r="I7" s="33"/>
      <c r="J7" s="33"/>
      <c r="K7" s="33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33"/>
      <c r="AT7" s="33"/>
      <c r="AU7" s="33"/>
      <c r="AV7" s="33"/>
      <c r="AW7" s="33"/>
      <c r="AX7" s="33"/>
      <c r="AY7" s="33"/>
      <c r="AZ7" s="33"/>
      <c r="BA7" s="33"/>
      <c r="BB7" s="33"/>
      <c r="BC7" s="33"/>
      <c r="BD7" s="33"/>
      <c r="BE7" s="33"/>
      <c r="BF7" s="33"/>
      <c r="BG7" s="33"/>
      <c r="BH7" s="33"/>
      <c r="BI7" s="33"/>
      <c r="BJ7" s="33"/>
      <c r="BK7" s="33"/>
      <c r="BL7" s="33"/>
      <c r="BM7" s="33"/>
      <c r="BN7" s="33"/>
      <c r="BO7" s="33"/>
      <c r="BP7" s="33"/>
      <c r="BQ7" s="33"/>
      <c r="BR7" s="33"/>
      <c r="BS7" s="33"/>
      <c r="BT7" s="33"/>
      <c r="BU7" s="33"/>
      <c r="BV7" s="33"/>
      <c r="BW7" s="33"/>
      <c r="BX7" s="33"/>
      <c r="BY7" s="33"/>
      <c r="BZ7" s="33"/>
      <c r="CA7" s="33"/>
      <c r="CB7" s="33"/>
      <c r="CC7" s="33"/>
      <c r="CD7" s="33"/>
      <c r="CE7" s="33"/>
      <c r="CF7" s="33"/>
      <c r="CG7" s="33"/>
      <c r="CH7" s="33"/>
      <c r="CI7" s="33"/>
      <c r="CJ7" s="33"/>
      <c r="CK7" s="33"/>
      <c r="CL7" s="33"/>
      <c r="CM7" s="33"/>
      <c r="CN7" s="33"/>
      <c r="CO7" s="33"/>
      <c r="CP7" s="33"/>
      <c r="CQ7" s="33"/>
      <c r="CR7" s="33"/>
      <c r="CS7" s="33"/>
      <c r="CT7" s="33"/>
      <c r="CU7" s="33"/>
      <c r="CV7" s="33"/>
      <c r="CW7" s="33"/>
      <c r="CX7" s="33"/>
      <c r="CY7" s="33"/>
      <c r="CZ7" s="33"/>
      <c r="DA7" s="33"/>
      <c r="DB7" s="33"/>
      <c r="DC7" s="33"/>
      <c r="DD7" s="33"/>
      <c r="DE7" s="33"/>
      <c r="DF7" s="33"/>
      <c r="DG7" s="33"/>
      <c r="DH7" s="33"/>
      <c r="DI7" s="33"/>
      <c r="DJ7" s="33"/>
      <c r="DK7" s="33"/>
      <c r="DL7" s="33"/>
      <c r="DM7" s="33"/>
      <c r="DN7" s="33"/>
      <c r="DO7" s="33"/>
      <c r="DP7" s="33"/>
      <c r="DQ7" s="33"/>
      <c r="DR7" s="33"/>
      <c r="DS7" s="33"/>
      <c r="DT7" s="33"/>
      <c r="DU7" s="33"/>
      <c r="DV7" s="33"/>
      <c r="DW7" s="33"/>
      <c r="DX7" s="33"/>
    </row>
    <row r="8" customFormat="false" ht="13.8" hidden="false" customHeight="false" outlineLevel="0" collapsed="false">
      <c r="A8" s="30"/>
      <c r="B8" s="30"/>
      <c r="C8" s="30"/>
      <c r="D8" s="30"/>
      <c r="E8" s="30"/>
      <c r="F8" s="30"/>
      <c r="G8" s="31"/>
      <c r="H8" s="31"/>
      <c r="I8" s="31"/>
      <c r="J8" s="31"/>
      <c r="K8" s="31"/>
      <c r="L8" s="31"/>
      <c r="M8" s="31"/>
      <c r="N8" s="31"/>
      <c r="O8" s="31"/>
      <c r="P8" s="31"/>
      <c r="Q8" s="31"/>
      <c r="R8" s="31"/>
      <c r="S8" s="31"/>
      <c r="T8" s="31"/>
      <c r="U8" s="31"/>
      <c r="V8" s="31"/>
      <c r="W8" s="31"/>
      <c r="X8" s="31"/>
      <c r="Y8" s="31"/>
      <c r="Z8" s="31"/>
      <c r="AA8" s="31"/>
      <c r="AB8" s="31"/>
      <c r="AC8" s="31"/>
      <c r="AD8" s="31"/>
      <c r="AE8" s="31"/>
      <c r="AF8" s="31"/>
      <c r="AG8" s="31"/>
      <c r="AH8" s="31"/>
      <c r="AI8" s="31"/>
      <c r="AJ8" s="31"/>
      <c r="AK8" s="31"/>
      <c r="AL8" s="31"/>
      <c r="AM8" s="31"/>
      <c r="AN8" s="31"/>
      <c r="AO8" s="31"/>
      <c r="AP8" s="31"/>
      <c r="AQ8" s="31"/>
      <c r="AR8" s="31"/>
      <c r="AS8" s="31"/>
      <c r="AT8" s="31"/>
      <c r="AU8" s="31"/>
      <c r="AV8" s="31"/>
      <c r="AW8" s="31"/>
      <c r="AX8" s="31"/>
      <c r="AY8" s="31"/>
      <c r="AZ8" s="31"/>
      <c r="BA8" s="31"/>
      <c r="BB8" s="31"/>
      <c r="BC8" s="31"/>
      <c r="BD8" s="31"/>
      <c r="BE8" s="31"/>
      <c r="BF8" s="31"/>
      <c r="BG8" s="31"/>
      <c r="BH8" s="31"/>
      <c r="BI8" s="31"/>
      <c r="BJ8" s="31"/>
      <c r="BK8" s="31"/>
      <c r="BL8" s="31"/>
      <c r="BM8" s="31"/>
      <c r="BN8" s="31"/>
      <c r="BO8" s="31"/>
      <c r="BP8" s="31"/>
      <c r="BQ8" s="31"/>
      <c r="BR8" s="31"/>
      <c r="BS8" s="31"/>
      <c r="BT8" s="31"/>
      <c r="BU8" s="31"/>
      <c r="BV8" s="31"/>
      <c r="BW8" s="31"/>
      <c r="BX8" s="31"/>
      <c r="BY8" s="31"/>
      <c r="BZ8" s="31"/>
      <c r="CA8" s="31"/>
      <c r="CB8" s="31"/>
      <c r="CC8" s="31"/>
      <c r="CD8" s="31"/>
      <c r="CE8" s="31"/>
      <c r="CF8" s="31"/>
      <c r="CG8" s="31"/>
      <c r="CH8" s="31"/>
      <c r="CI8" s="31"/>
      <c r="CJ8" s="31"/>
      <c r="CK8" s="31"/>
      <c r="CL8" s="31"/>
      <c r="CM8" s="31"/>
      <c r="CN8" s="31"/>
      <c r="CO8" s="31"/>
      <c r="CP8" s="31"/>
      <c r="CQ8" s="31"/>
      <c r="CR8" s="31"/>
      <c r="CS8" s="31"/>
      <c r="CT8" s="31"/>
      <c r="CU8" s="31"/>
      <c r="CV8" s="31"/>
      <c r="CW8" s="31"/>
      <c r="CX8" s="31"/>
      <c r="CY8" s="31"/>
      <c r="CZ8" s="31"/>
      <c r="DA8" s="31"/>
      <c r="DB8" s="31"/>
      <c r="DC8" s="31"/>
      <c r="DD8" s="31"/>
      <c r="DE8" s="31"/>
      <c r="DF8" s="31"/>
      <c r="DG8" s="31"/>
      <c r="DH8" s="31"/>
      <c r="DI8" s="31"/>
      <c r="DJ8" s="31"/>
      <c r="DK8" s="31"/>
      <c r="DL8" s="31"/>
      <c r="DM8" s="31"/>
      <c r="DN8" s="31"/>
      <c r="DO8" s="31"/>
      <c r="DP8" s="31"/>
      <c r="DQ8" s="31"/>
      <c r="DR8" s="31"/>
      <c r="DS8" s="31"/>
      <c r="DT8" s="31"/>
      <c r="DU8" s="31"/>
      <c r="DV8" s="31"/>
      <c r="DW8" s="31"/>
      <c r="DX8" s="31"/>
    </row>
    <row r="9" customFormat="false" ht="13.8" hidden="false" customHeight="false" outlineLevel="0" collapsed="false">
      <c r="A9" s="32"/>
      <c r="B9" s="32"/>
      <c r="C9" s="32"/>
      <c r="D9" s="32"/>
      <c r="E9" s="32"/>
      <c r="F9" s="32"/>
      <c r="G9" s="33"/>
      <c r="H9" s="33"/>
      <c r="I9" s="33"/>
      <c r="J9" s="33"/>
      <c r="K9" s="33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  <c r="AE9" s="33"/>
      <c r="AF9" s="33"/>
      <c r="AG9" s="33"/>
      <c r="AH9" s="33"/>
      <c r="AI9" s="33"/>
      <c r="AJ9" s="33"/>
      <c r="AK9" s="33"/>
      <c r="AL9" s="33"/>
      <c r="AM9" s="33"/>
      <c r="AN9" s="33"/>
      <c r="AO9" s="33"/>
      <c r="AP9" s="33"/>
      <c r="AQ9" s="33"/>
      <c r="AR9" s="33"/>
      <c r="AS9" s="33"/>
      <c r="AT9" s="33"/>
      <c r="AU9" s="33"/>
      <c r="AV9" s="33"/>
      <c r="AW9" s="33"/>
      <c r="AX9" s="33"/>
      <c r="AY9" s="33"/>
      <c r="AZ9" s="33"/>
      <c r="BA9" s="33"/>
      <c r="BB9" s="33"/>
      <c r="BC9" s="33"/>
      <c r="BD9" s="33"/>
      <c r="BE9" s="33"/>
      <c r="BF9" s="33"/>
      <c r="BG9" s="33"/>
      <c r="BH9" s="33"/>
      <c r="BI9" s="33"/>
      <c r="BJ9" s="33"/>
      <c r="BK9" s="33"/>
      <c r="BL9" s="33"/>
      <c r="BM9" s="33"/>
      <c r="BN9" s="33"/>
      <c r="BO9" s="33"/>
      <c r="BP9" s="33"/>
      <c r="BQ9" s="33"/>
      <c r="BR9" s="33"/>
      <c r="BS9" s="33"/>
      <c r="BT9" s="33"/>
      <c r="BU9" s="33"/>
      <c r="BV9" s="33"/>
      <c r="BW9" s="33"/>
      <c r="BX9" s="33"/>
      <c r="BY9" s="33"/>
      <c r="BZ9" s="33"/>
      <c r="CA9" s="33"/>
      <c r="CB9" s="33"/>
      <c r="CC9" s="33"/>
      <c r="CD9" s="33"/>
      <c r="CE9" s="33"/>
      <c r="CF9" s="33"/>
      <c r="CG9" s="33"/>
      <c r="CH9" s="33"/>
      <c r="CI9" s="33"/>
      <c r="CJ9" s="33"/>
      <c r="CK9" s="33"/>
      <c r="CL9" s="33"/>
      <c r="CM9" s="33"/>
      <c r="CN9" s="33"/>
      <c r="CO9" s="33"/>
      <c r="CP9" s="33"/>
      <c r="CQ9" s="33"/>
      <c r="CR9" s="33"/>
      <c r="CS9" s="33"/>
      <c r="CT9" s="33"/>
      <c r="CU9" s="33"/>
      <c r="CV9" s="33"/>
      <c r="CW9" s="33"/>
      <c r="CX9" s="33"/>
      <c r="CY9" s="33"/>
      <c r="CZ9" s="33"/>
      <c r="DA9" s="33"/>
      <c r="DB9" s="33"/>
      <c r="DC9" s="33"/>
      <c r="DD9" s="33"/>
      <c r="DE9" s="33"/>
      <c r="DF9" s="33"/>
      <c r="DG9" s="33"/>
      <c r="DH9" s="33"/>
      <c r="DI9" s="33"/>
      <c r="DJ9" s="33"/>
      <c r="DK9" s="33"/>
      <c r="DL9" s="33"/>
      <c r="DM9" s="33"/>
      <c r="DN9" s="33"/>
      <c r="DO9" s="33"/>
      <c r="DP9" s="33"/>
      <c r="DQ9" s="33"/>
      <c r="DR9" s="33"/>
      <c r="DS9" s="33"/>
      <c r="DT9" s="33"/>
      <c r="DU9" s="33"/>
      <c r="DV9" s="33"/>
      <c r="DW9" s="33"/>
      <c r="DX9" s="33"/>
    </row>
    <row r="10" customFormat="false" ht="13.8" hidden="false" customHeight="false" outlineLevel="0" collapsed="false">
      <c r="A10" s="30"/>
      <c r="B10" s="30"/>
      <c r="C10" s="30"/>
      <c r="D10" s="30"/>
      <c r="E10" s="30"/>
      <c r="F10" s="30"/>
      <c r="G10" s="31"/>
      <c r="H10" s="31"/>
      <c r="I10" s="31"/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  <c r="AA10" s="31"/>
      <c r="AB10" s="31"/>
      <c r="AC10" s="31"/>
      <c r="AD10" s="31"/>
      <c r="AE10" s="31"/>
      <c r="AF10" s="31"/>
      <c r="AG10" s="31"/>
      <c r="AH10" s="31"/>
      <c r="AI10" s="31"/>
      <c r="AJ10" s="31"/>
      <c r="AK10" s="31"/>
      <c r="AL10" s="31"/>
      <c r="AM10" s="31"/>
      <c r="AN10" s="31"/>
      <c r="AO10" s="31"/>
      <c r="AP10" s="31"/>
      <c r="AQ10" s="31"/>
      <c r="AR10" s="31"/>
      <c r="AS10" s="31"/>
      <c r="AT10" s="31"/>
      <c r="AU10" s="31"/>
      <c r="AV10" s="31"/>
      <c r="AW10" s="31"/>
      <c r="AX10" s="31"/>
      <c r="AY10" s="31"/>
      <c r="AZ10" s="31"/>
      <c r="BA10" s="31"/>
      <c r="BB10" s="31"/>
      <c r="BC10" s="31"/>
      <c r="BD10" s="31"/>
      <c r="BE10" s="31"/>
      <c r="BF10" s="31"/>
      <c r="BG10" s="31"/>
      <c r="BH10" s="31"/>
      <c r="BI10" s="31"/>
      <c r="BJ10" s="31"/>
      <c r="BK10" s="31"/>
      <c r="BL10" s="31"/>
      <c r="BM10" s="31"/>
      <c r="BN10" s="31"/>
      <c r="BO10" s="31"/>
      <c r="BP10" s="31"/>
      <c r="BQ10" s="31"/>
      <c r="BR10" s="31"/>
      <c r="BS10" s="31"/>
      <c r="BT10" s="31"/>
      <c r="BU10" s="31"/>
      <c r="BV10" s="31"/>
      <c r="BW10" s="31"/>
      <c r="BX10" s="31"/>
      <c r="BY10" s="31"/>
      <c r="BZ10" s="31"/>
      <c r="CA10" s="31"/>
      <c r="CB10" s="31"/>
      <c r="CC10" s="31"/>
      <c r="CD10" s="31"/>
      <c r="CE10" s="31"/>
      <c r="CF10" s="31"/>
      <c r="CG10" s="31"/>
      <c r="CH10" s="31"/>
      <c r="CI10" s="31"/>
      <c r="CJ10" s="31"/>
      <c r="CK10" s="31"/>
      <c r="CL10" s="31"/>
      <c r="CM10" s="31"/>
      <c r="CN10" s="31"/>
      <c r="CO10" s="31"/>
      <c r="CP10" s="31"/>
      <c r="CQ10" s="31"/>
      <c r="CR10" s="31"/>
      <c r="CS10" s="31"/>
      <c r="CT10" s="31"/>
      <c r="CU10" s="31"/>
      <c r="CV10" s="31"/>
      <c r="CW10" s="31"/>
      <c r="CX10" s="31"/>
      <c r="CY10" s="31"/>
      <c r="CZ10" s="31"/>
      <c r="DA10" s="31"/>
      <c r="DB10" s="31"/>
      <c r="DC10" s="31"/>
      <c r="DD10" s="31"/>
      <c r="DE10" s="31"/>
      <c r="DF10" s="31"/>
      <c r="DG10" s="31"/>
      <c r="DH10" s="31"/>
      <c r="DI10" s="31"/>
      <c r="DJ10" s="31"/>
      <c r="DK10" s="31"/>
      <c r="DL10" s="31"/>
      <c r="DM10" s="31"/>
      <c r="DN10" s="31"/>
      <c r="DO10" s="31"/>
      <c r="DP10" s="31"/>
      <c r="DQ10" s="31"/>
      <c r="DR10" s="31"/>
      <c r="DS10" s="31"/>
      <c r="DT10" s="31"/>
      <c r="DU10" s="31"/>
      <c r="DV10" s="31"/>
      <c r="DW10" s="31"/>
      <c r="DX10" s="31"/>
    </row>
    <row r="11" customFormat="false" ht="13.8" hidden="false" customHeight="false" outlineLevel="0" collapsed="false">
      <c r="A11" s="32"/>
      <c r="B11" s="32"/>
      <c r="C11" s="32"/>
      <c r="D11" s="32"/>
      <c r="E11" s="32"/>
      <c r="F11" s="32"/>
      <c r="G11" s="33"/>
      <c r="H11" s="33"/>
      <c r="I11" s="33"/>
      <c r="J11" s="33"/>
      <c r="K11" s="33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O11" s="33"/>
      <c r="AP11" s="33"/>
      <c r="AQ11" s="33"/>
      <c r="AR11" s="33"/>
      <c r="AS11" s="33"/>
      <c r="AT11" s="33"/>
      <c r="AU11" s="33"/>
      <c r="AV11" s="33"/>
      <c r="AW11" s="33"/>
      <c r="AX11" s="33"/>
      <c r="AY11" s="33"/>
      <c r="AZ11" s="33"/>
      <c r="BA11" s="33"/>
      <c r="BB11" s="33"/>
      <c r="BC11" s="33"/>
      <c r="BD11" s="33"/>
      <c r="BE11" s="33"/>
      <c r="BF11" s="33"/>
      <c r="BG11" s="33"/>
      <c r="BH11" s="33"/>
      <c r="BI11" s="33"/>
      <c r="BJ11" s="33"/>
      <c r="BK11" s="33"/>
      <c r="BL11" s="33"/>
      <c r="BM11" s="33"/>
      <c r="BN11" s="33"/>
      <c r="BO11" s="33"/>
      <c r="BP11" s="33"/>
      <c r="BQ11" s="33"/>
      <c r="BR11" s="33"/>
      <c r="BS11" s="33"/>
      <c r="BT11" s="33"/>
      <c r="BU11" s="33"/>
      <c r="BV11" s="33"/>
      <c r="BW11" s="33"/>
      <c r="BX11" s="33"/>
      <c r="BY11" s="33"/>
      <c r="BZ11" s="33"/>
      <c r="CA11" s="33"/>
      <c r="CB11" s="33"/>
      <c r="CC11" s="33"/>
      <c r="CD11" s="33"/>
      <c r="CE11" s="33"/>
      <c r="CF11" s="33"/>
      <c r="CG11" s="33"/>
      <c r="CH11" s="33"/>
      <c r="CI11" s="33"/>
      <c r="CJ11" s="33"/>
      <c r="CK11" s="33"/>
      <c r="CL11" s="33"/>
      <c r="CM11" s="33"/>
      <c r="CN11" s="33"/>
      <c r="CO11" s="33"/>
      <c r="CP11" s="33"/>
      <c r="CQ11" s="33"/>
      <c r="CR11" s="33"/>
      <c r="CS11" s="33"/>
      <c r="CT11" s="33"/>
      <c r="CU11" s="33"/>
      <c r="CV11" s="33"/>
      <c r="CW11" s="33"/>
      <c r="CX11" s="33"/>
      <c r="CY11" s="33"/>
      <c r="CZ11" s="33"/>
      <c r="DA11" s="33"/>
      <c r="DB11" s="33"/>
      <c r="DC11" s="33"/>
      <c r="DD11" s="33"/>
      <c r="DE11" s="33"/>
      <c r="DF11" s="33"/>
      <c r="DG11" s="33"/>
      <c r="DH11" s="33"/>
      <c r="DI11" s="33"/>
      <c r="DJ11" s="33"/>
      <c r="DK11" s="33"/>
      <c r="DL11" s="33"/>
      <c r="DM11" s="33"/>
      <c r="DN11" s="33"/>
      <c r="DO11" s="33"/>
      <c r="DP11" s="33"/>
      <c r="DQ11" s="33"/>
      <c r="DR11" s="33"/>
      <c r="DS11" s="33"/>
      <c r="DT11" s="33"/>
      <c r="DU11" s="33"/>
      <c r="DV11" s="33"/>
      <c r="DW11" s="33"/>
      <c r="DX11" s="33"/>
    </row>
    <row r="12" customFormat="false" ht="13.8" hidden="false" customHeight="false" outlineLevel="0" collapsed="false">
      <c r="A12" s="30"/>
      <c r="B12" s="30"/>
      <c r="C12" s="30"/>
      <c r="D12" s="30"/>
      <c r="E12" s="30"/>
      <c r="F12" s="30"/>
      <c r="G12" s="31"/>
      <c r="H12" s="31"/>
      <c r="I12" s="31"/>
      <c r="J12" s="31"/>
      <c r="K12" s="31"/>
      <c r="L12" s="31"/>
      <c r="M12" s="31"/>
      <c r="N12" s="31"/>
      <c r="O12" s="31"/>
      <c r="P12" s="31"/>
      <c r="Q12" s="31"/>
      <c r="R12" s="31"/>
      <c r="S12" s="31"/>
      <c r="T12" s="31"/>
      <c r="U12" s="31"/>
      <c r="V12" s="31"/>
      <c r="W12" s="31"/>
      <c r="X12" s="31"/>
      <c r="Y12" s="31"/>
      <c r="Z12" s="31"/>
      <c r="AA12" s="31"/>
      <c r="AB12" s="31"/>
      <c r="AC12" s="31"/>
      <c r="AD12" s="31"/>
      <c r="AE12" s="31"/>
      <c r="AF12" s="31"/>
      <c r="AG12" s="31"/>
      <c r="AH12" s="31"/>
      <c r="AI12" s="31"/>
      <c r="AJ12" s="31"/>
      <c r="AK12" s="31"/>
      <c r="AL12" s="31"/>
      <c r="AM12" s="31"/>
      <c r="AN12" s="31"/>
      <c r="AO12" s="31"/>
      <c r="AP12" s="31"/>
      <c r="AQ12" s="31"/>
      <c r="AR12" s="31"/>
      <c r="AS12" s="31"/>
      <c r="AT12" s="31"/>
      <c r="AU12" s="31"/>
      <c r="AV12" s="31"/>
      <c r="AW12" s="31"/>
      <c r="AX12" s="31"/>
      <c r="AY12" s="31"/>
      <c r="AZ12" s="31"/>
      <c r="BA12" s="31"/>
      <c r="BB12" s="31"/>
      <c r="BC12" s="31"/>
      <c r="BD12" s="31"/>
      <c r="BE12" s="31"/>
      <c r="BF12" s="31"/>
      <c r="BG12" s="31"/>
      <c r="BH12" s="31"/>
      <c r="BI12" s="31"/>
      <c r="BJ12" s="31"/>
      <c r="BK12" s="31"/>
      <c r="BL12" s="31"/>
      <c r="BM12" s="31"/>
      <c r="BN12" s="31"/>
      <c r="BO12" s="31"/>
      <c r="BP12" s="31"/>
      <c r="BQ12" s="31"/>
      <c r="BR12" s="31"/>
      <c r="BS12" s="31"/>
      <c r="BT12" s="31"/>
      <c r="BU12" s="31"/>
      <c r="BV12" s="31"/>
      <c r="BW12" s="31"/>
      <c r="BX12" s="31"/>
      <c r="BY12" s="31"/>
      <c r="BZ12" s="31"/>
      <c r="CA12" s="31"/>
      <c r="CB12" s="31"/>
      <c r="CC12" s="31"/>
      <c r="CD12" s="31"/>
      <c r="CE12" s="31"/>
      <c r="CF12" s="31"/>
      <c r="CG12" s="31"/>
      <c r="CH12" s="31"/>
      <c r="CI12" s="31"/>
      <c r="CJ12" s="31"/>
      <c r="CK12" s="31"/>
      <c r="CL12" s="31"/>
      <c r="CM12" s="31"/>
      <c r="CN12" s="31"/>
      <c r="CO12" s="31"/>
      <c r="CP12" s="31"/>
      <c r="CQ12" s="31"/>
      <c r="CR12" s="31"/>
      <c r="CS12" s="31"/>
      <c r="CT12" s="31"/>
      <c r="CU12" s="31"/>
      <c r="CV12" s="31"/>
      <c r="CW12" s="31"/>
      <c r="CX12" s="31"/>
      <c r="CY12" s="31"/>
      <c r="CZ12" s="31"/>
      <c r="DA12" s="31"/>
      <c r="DB12" s="31"/>
      <c r="DC12" s="31"/>
      <c r="DD12" s="31"/>
      <c r="DE12" s="31"/>
      <c r="DF12" s="31"/>
      <c r="DG12" s="31"/>
      <c r="DH12" s="31"/>
      <c r="DI12" s="31"/>
      <c r="DJ12" s="31"/>
      <c r="DK12" s="31"/>
      <c r="DL12" s="31"/>
      <c r="DM12" s="31"/>
      <c r="DN12" s="31"/>
      <c r="DO12" s="31"/>
      <c r="DP12" s="31"/>
      <c r="DQ12" s="31"/>
      <c r="DR12" s="31"/>
      <c r="DS12" s="31"/>
      <c r="DT12" s="31"/>
      <c r="DU12" s="31"/>
      <c r="DV12" s="31"/>
      <c r="DW12" s="31"/>
      <c r="DX12" s="31"/>
    </row>
    <row r="13" customFormat="false" ht="13.8" hidden="false" customHeight="false" outlineLevel="0" collapsed="false">
      <c r="A13" s="32"/>
      <c r="B13" s="32"/>
      <c r="C13" s="32"/>
      <c r="D13" s="32"/>
      <c r="E13" s="32"/>
      <c r="F13" s="32"/>
      <c r="G13" s="33"/>
      <c r="H13" s="33"/>
      <c r="I13" s="33"/>
      <c r="J13" s="33"/>
      <c r="K13" s="33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  <c r="AE13" s="33"/>
      <c r="AF13" s="33"/>
      <c r="AG13" s="33"/>
      <c r="AH13" s="33"/>
      <c r="AI13" s="33"/>
      <c r="AJ13" s="33"/>
      <c r="AK13" s="33"/>
      <c r="AL13" s="33"/>
      <c r="AM13" s="33"/>
      <c r="AN13" s="33"/>
      <c r="AO13" s="33"/>
      <c r="AP13" s="33"/>
      <c r="AQ13" s="33"/>
      <c r="AR13" s="33"/>
      <c r="AS13" s="33"/>
      <c r="AT13" s="33"/>
      <c r="AU13" s="33"/>
      <c r="AV13" s="33"/>
      <c r="AW13" s="33"/>
      <c r="AX13" s="33"/>
      <c r="AY13" s="33"/>
      <c r="AZ13" s="33"/>
      <c r="BA13" s="33"/>
      <c r="BB13" s="33"/>
      <c r="BC13" s="33"/>
      <c r="BD13" s="33"/>
      <c r="BE13" s="33"/>
      <c r="BF13" s="33"/>
      <c r="BG13" s="33"/>
      <c r="BH13" s="33"/>
      <c r="BI13" s="33"/>
      <c r="BJ13" s="33"/>
      <c r="BK13" s="33"/>
      <c r="BL13" s="33"/>
      <c r="BM13" s="33"/>
      <c r="BN13" s="33"/>
      <c r="BO13" s="33"/>
      <c r="BP13" s="33"/>
      <c r="BQ13" s="33"/>
      <c r="BR13" s="33"/>
      <c r="BS13" s="33"/>
      <c r="BT13" s="33"/>
      <c r="BU13" s="33"/>
      <c r="BV13" s="33"/>
      <c r="BW13" s="33"/>
      <c r="BX13" s="33"/>
      <c r="BY13" s="33"/>
      <c r="BZ13" s="33"/>
      <c r="CA13" s="33"/>
      <c r="CB13" s="33"/>
      <c r="CC13" s="33"/>
      <c r="CD13" s="33"/>
      <c r="CE13" s="33"/>
      <c r="CF13" s="33"/>
      <c r="CG13" s="33"/>
      <c r="CH13" s="33"/>
      <c r="CI13" s="33"/>
      <c r="CJ13" s="33"/>
      <c r="CK13" s="33"/>
      <c r="CL13" s="33"/>
      <c r="CM13" s="33"/>
      <c r="CN13" s="33"/>
      <c r="CO13" s="33"/>
      <c r="CP13" s="33"/>
      <c r="CQ13" s="33"/>
      <c r="CR13" s="33"/>
      <c r="CS13" s="33"/>
      <c r="CT13" s="33"/>
      <c r="CU13" s="33"/>
      <c r="CV13" s="33"/>
      <c r="CW13" s="33"/>
      <c r="CX13" s="33"/>
      <c r="CY13" s="33"/>
      <c r="CZ13" s="33"/>
      <c r="DA13" s="33"/>
      <c r="DB13" s="33"/>
      <c r="DC13" s="33"/>
      <c r="DD13" s="33"/>
      <c r="DE13" s="33"/>
      <c r="DF13" s="33"/>
      <c r="DG13" s="33"/>
      <c r="DH13" s="33"/>
      <c r="DI13" s="33"/>
      <c r="DJ13" s="33"/>
      <c r="DK13" s="33"/>
      <c r="DL13" s="33"/>
      <c r="DM13" s="33"/>
      <c r="DN13" s="33"/>
      <c r="DO13" s="33"/>
      <c r="DP13" s="33"/>
      <c r="DQ13" s="33"/>
      <c r="DR13" s="33"/>
      <c r="DS13" s="33"/>
      <c r="DT13" s="33"/>
      <c r="DU13" s="33"/>
      <c r="DV13" s="33"/>
      <c r="DW13" s="33"/>
      <c r="DX13" s="33"/>
    </row>
    <row r="14" customFormat="false" ht="13.8" hidden="false" customHeight="false" outlineLevel="0" collapsed="false">
      <c r="A14" s="30"/>
      <c r="B14" s="30"/>
      <c r="C14" s="30"/>
      <c r="D14" s="30"/>
      <c r="E14" s="30"/>
      <c r="F14" s="30"/>
      <c r="G14" s="31"/>
      <c r="H14" s="31"/>
      <c r="I14" s="31"/>
      <c r="J14" s="31"/>
      <c r="K14" s="31"/>
      <c r="L14" s="31"/>
      <c r="M14" s="31"/>
      <c r="N14" s="31"/>
      <c r="O14" s="31"/>
      <c r="P14" s="31"/>
      <c r="Q14" s="31"/>
      <c r="R14" s="31"/>
      <c r="S14" s="31"/>
      <c r="T14" s="31"/>
      <c r="U14" s="31"/>
      <c r="V14" s="31"/>
      <c r="W14" s="31"/>
      <c r="X14" s="31"/>
      <c r="Y14" s="31"/>
      <c r="Z14" s="31"/>
      <c r="AA14" s="31"/>
      <c r="AB14" s="31"/>
      <c r="AC14" s="31"/>
      <c r="AD14" s="31"/>
      <c r="AE14" s="31"/>
      <c r="AF14" s="31"/>
      <c r="AG14" s="31"/>
      <c r="AH14" s="31"/>
      <c r="AI14" s="31"/>
      <c r="AJ14" s="31"/>
      <c r="AK14" s="31"/>
      <c r="AL14" s="31"/>
      <c r="AM14" s="31"/>
      <c r="AN14" s="31"/>
      <c r="AO14" s="31"/>
      <c r="AP14" s="31"/>
      <c r="AQ14" s="31"/>
      <c r="AR14" s="31"/>
      <c r="AS14" s="31"/>
      <c r="AT14" s="31"/>
      <c r="AU14" s="31"/>
      <c r="AV14" s="31"/>
      <c r="AW14" s="31"/>
      <c r="AX14" s="31"/>
      <c r="AY14" s="31"/>
      <c r="AZ14" s="31"/>
      <c r="BA14" s="31"/>
      <c r="BB14" s="31"/>
      <c r="BC14" s="31"/>
      <c r="BD14" s="31"/>
      <c r="BE14" s="31"/>
      <c r="BF14" s="31"/>
      <c r="BG14" s="31"/>
      <c r="BH14" s="31"/>
      <c r="BI14" s="31"/>
      <c r="BJ14" s="31"/>
      <c r="BK14" s="31"/>
      <c r="BL14" s="31"/>
      <c r="BM14" s="31"/>
      <c r="BN14" s="31"/>
      <c r="BO14" s="31"/>
      <c r="BP14" s="31"/>
      <c r="BQ14" s="31"/>
      <c r="BR14" s="31"/>
      <c r="BS14" s="31"/>
      <c r="BT14" s="31"/>
      <c r="BU14" s="31"/>
      <c r="BV14" s="31"/>
      <c r="BW14" s="31"/>
      <c r="BX14" s="31"/>
      <c r="BY14" s="31"/>
      <c r="BZ14" s="31"/>
      <c r="CA14" s="31"/>
      <c r="CB14" s="31"/>
      <c r="CC14" s="31"/>
      <c r="CD14" s="31"/>
      <c r="CE14" s="31"/>
      <c r="CF14" s="31"/>
      <c r="CG14" s="31"/>
      <c r="CH14" s="31"/>
      <c r="CI14" s="31"/>
      <c r="CJ14" s="31"/>
      <c r="CK14" s="31"/>
      <c r="CL14" s="31"/>
      <c r="CM14" s="31"/>
      <c r="CN14" s="31"/>
      <c r="CO14" s="31"/>
      <c r="CP14" s="31"/>
      <c r="CQ14" s="31"/>
      <c r="CR14" s="31"/>
      <c r="CS14" s="31"/>
      <c r="CT14" s="31"/>
      <c r="CU14" s="31"/>
      <c r="CV14" s="31"/>
      <c r="CW14" s="31"/>
      <c r="CX14" s="31"/>
      <c r="CY14" s="31"/>
      <c r="CZ14" s="31"/>
      <c r="DA14" s="31"/>
      <c r="DB14" s="31"/>
      <c r="DC14" s="31"/>
      <c r="DD14" s="31"/>
      <c r="DE14" s="31"/>
      <c r="DF14" s="31"/>
      <c r="DG14" s="31"/>
      <c r="DH14" s="31"/>
      <c r="DI14" s="31"/>
      <c r="DJ14" s="31"/>
      <c r="DK14" s="31"/>
      <c r="DL14" s="31"/>
      <c r="DM14" s="31"/>
      <c r="DN14" s="31"/>
      <c r="DO14" s="31"/>
      <c r="DP14" s="31"/>
      <c r="DQ14" s="31"/>
      <c r="DR14" s="31"/>
      <c r="DS14" s="31"/>
      <c r="DT14" s="31"/>
      <c r="DU14" s="31"/>
      <c r="DV14" s="31"/>
      <c r="DW14" s="31"/>
      <c r="DX14" s="31"/>
    </row>
    <row r="15" customFormat="false" ht="13.8" hidden="false" customHeight="false" outlineLevel="0" collapsed="false">
      <c r="A15" s="32"/>
      <c r="B15" s="32"/>
      <c r="C15" s="32"/>
      <c r="D15" s="32"/>
      <c r="E15" s="32"/>
      <c r="F15" s="32"/>
      <c r="G15" s="33"/>
      <c r="H15" s="33"/>
      <c r="I15" s="33"/>
      <c r="J15" s="33"/>
      <c r="K15" s="33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  <c r="AG15" s="33"/>
      <c r="AH15" s="33"/>
      <c r="AI15" s="33"/>
      <c r="AJ15" s="33"/>
      <c r="AK15" s="33"/>
      <c r="AL15" s="33"/>
      <c r="AM15" s="33"/>
      <c r="AN15" s="33"/>
      <c r="AO15" s="33"/>
      <c r="AP15" s="33"/>
      <c r="AQ15" s="33"/>
      <c r="AR15" s="33"/>
      <c r="AS15" s="33"/>
      <c r="AT15" s="33"/>
      <c r="AU15" s="33"/>
      <c r="AV15" s="33"/>
      <c r="AW15" s="33"/>
      <c r="AX15" s="33"/>
      <c r="AY15" s="33"/>
      <c r="AZ15" s="33"/>
      <c r="BA15" s="33"/>
      <c r="BB15" s="33"/>
      <c r="BC15" s="33"/>
      <c r="BD15" s="33"/>
      <c r="BE15" s="33"/>
      <c r="BF15" s="33"/>
      <c r="BG15" s="33"/>
      <c r="BH15" s="33"/>
      <c r="BI15" s="33"/>
      <c r="BJ15" s="33"/>
      <c r="BK15" s="33"/>
      <c r="BL15" s="33"/>
      <c r="BM15" s="33"/>
      <c r="BN15" s="33"/>
      <c r="BO15" s="33"/>
      <c r="BP15" s="33"/>
      <c r="BQ15" s="33"/>
      <c r="BR15" s="33"/>
      <c r="BS15" s="33"/>
      <c r="BT15" s="33"/>
      <c r="BU15" s="33"/>
      <c r="BV15" s="33"/>
      <c r="BW15" s="33"/>
      <c r="BX15" s="33"/>
      <c r="BY15" s="33"/>
      <c r="BZ15" s="33"/>
      <c r="CA15" s="33"/>
      <c r="CB15" s="33"/>
      <c r="CC15" s="33"/>
      <c r="CD15" s="33"/>
      <c r="CE15" s="33"/>
      <c r="CF15" s="33"/>
      <c r="CG15" s="33"/>
      <c r="CH15" s="33"/>
      <c r="CI15" s="33"/>
      <c r="CJ15" s="33"/>
      <c r="CK15" s="33"/>
      <c r="CL15" s="33"/>
      <c r="CM15" s="33"/>
      <c r="CN15" s="33"/>
      <c r="CO15" s="33"/>
      <c r="CP15" s="33"/>
      <c r="CQ15" s="33"/>
      <c r="CR15" s="33"/>
      <c r="CS15" s="33"/>
      <c r="CT15" s="33"/>
      <c r="CU15" s="33"/>
      <c r="CV15" s="33"/>
      <c r="CW15" s="33"/>
      <c r="CX15" s="33"/>
      <c r="CY15" s="33"/>
      <c r="CZ15" s="33"/>
      <c r="DA15" s="33"/>
      <c r="DB15" s="33"/>
      <c r="DC15" s="33"/>
      <c r="DD15" s="33"/>
      <c r="DE15" s="33"/>
      <c r="DF15" s="33"/>
      <c r="DG15" s="33"/>
      <c r="DH15" s="33"/>
      <c r="DI15" s="33"/>
      <c r="DJ15" s="33"/>
      <c r="DK15" s="33"/>
      <c r="DL15" s="33"/>
      <c r="DM15" s="33"/>
      <c r="DN15" s="33"/>
      <c r="DO15" s="33"/>
      <c r="DP15" s="33"/>
      <c r="DQ15" s="33"/>
      <c r="DR15" s="33"/>
      <c r="DS15" s="33"/>
      <c r="DT15" s="33"/>
      <c r="DU15" s="33"/>
      <c r="DV15" s="33"/>
      <c r="DW15" s="33"/>
      <c r="DX15" s="33"/>
    </row>
    <row r="16" customFormat="false" ht="13.8" hidden="false" customHeight="false" outlineLevel="0" collapsed="false">
      <c r="A16" s="30"/>
      <c r="B16" s="30"/>
      <c r="C16" s="30"/>
      <c r="D16" s="30"/>
      <c r="E16" s="30"/>
      <c r="F16" s="30"/>
      <c r="G16" s="31"/>
      <c r="H16" s="31"/>
      <c r="I16" s="31"/>
      <c r="J16" s="31"/>
      <c r="K16" s="31"/>
      <c r="L16" s="31"/>
      <c r="M16" s="31"/>
      <c r="N16" s="31"/>
      <c r="O16" s="31"/>
      <c r="P16" s="31"/>
      <c r="Q16" s="31"/>
      <c r="R16" s="31"/>
      <c r="S16" s="31"/>
      <c r="T16" s="31"/>
      <c r="U16" s="31"/>
      <c r="V16" s="31"/>
      <c r="W16" s="31"/>
      <c r="X16" s="31"/>
      <c r="Y16" s="31"/>
      <c r="Z16" s="31"/>
      <c r="AA16" s="31"/>
      <c r="AB16" s="31"/>
      <c r="AC16" s="31"/>
      <c r="AD16" s="31"/>
      <c r="AE16" s="31"/>
      <c r="AF16" s="31"/>
      <c r="AG16" s="31"/>
      <c r="AH16" s="31"/>
      <c r="AI16" s="31"/>
      <c r="AJ16" s="31"/>
      <c r="AK16" s="31"/>
      <c r="AL16" s="31"/>
      <c r="AM16" s="31"/>
      <c r="AN16" s="31"/>
      <c r="AO16" s="31"/>
      <c r="AP16" s="31"/>
      <c r="AQ16" s="31"/>
      <c r="AR16" s="31"/>
      <c r="AS16" s="31"/>
      <c r="AT16" s="31"/>
      <c r="AU16" s="31"/>
      <c r="AV16" s="31"/>
      <c r="AW16" s="31"/>
      <c r="AX16" s="31"/>
      <c r="AY16" s="31"/>
      <c r="AZ16" s="31"/>
      <c r="BA16" s="31"/>
      <c r="BB16" s="31"/>
      <c r="BC16" s="31"/>
      <c r="BD16" s="31"/>
      <c r="BE16" s="31"/>
      <c r="BF16" s="31"/>
      <c r="BG16" s="31"/>
      <c r="BH16" s="31"/>
      <c r="BI16" s="31"/>
      <c r="BJ16" s="31"/>
      <c r="BK16" s="31"/>
      <c r="BL16" s="31"/>
      <c r="BM16" s="31"/>
      <c r="BN16" s="31"/>
      <c r="BO16" s="31"/>
      <c r="BP16" s="31"/>
      <c r="BQ16" s="31"/>
      <c r="BR16" s="31"/>
      <c r="BS16" s="31"/>
      <c r="BT16" s="31"/>
      <c r="BU16" s="31"/>
      <c r="BV16" s="31"/>
      <c r="BW16" s="31"/>
      <c r="BX16" s="31"/>
      <c r="BY16" s="31"/>
      <c r="BZ16" s="31"/>
      <c r="CA16" s="31"/>
      <c r="CB16" s="31"/>
      <c r="CC16" s="31"/>
      <c r="CD16" s="31"/>
      <c r="CE16" s="31"/>
      <c r="CF16" s="31"/>
      <c r="CG16" s="31"/>
      <c r="CH16" s="31"/>
      <c r="CI16" s="31"/>
      <c r="CJ16" s="31"/>
      <c r="CK16" s="31"/>
      <c r="CL16" s="31"/>
      <c r="CM16" s="31"/>
      <c r="CN16" s="31"/>
      <c r="CO16" s="31"/>
      <c r="CP16" s="31"/>
      <c r="CQ16" s="31"/>
      <c r="CR16" s="31"/>
      <c r="CS16" s="31"/>
      <c r="CT16" s="31"/>
      <c r="CU16" s="31"/>
      <c r="CV16" s="31"/>
      <c r="CW16" s="31"/>
      <c r="CX16" s="31"/>
      <c r="CY16" s="31"/>
      <c r="CZ16" s="31"/>
      <c r="DA16" s="31"/>
      <c r="DB16" s="31"/>
      <c r="DC16" s="31"/>
      <c r="DD16" s="31"/>
      <c r="DE16" s="31"/>
      <c r="DF16" s="31"/>
      <c r="DG16" s="31"/>
      <c r="DH16" s="31"/>
      <c r="DI16" s="31"/>
      <c r="DJ16" s="31"/>
      <c r="DK16" s="31"/>
      <c r="DL16" s="31"/>
      <c r="DM16" s="31"/>
      <c r="DN16" s="31"/>
      <c r="DO16" s="31"/>
      <c r="DP16" s="31"/>
      <c r="DQ16" s="31"/>
      <c r="DR16" s="31"/>
      <c r="DS16" s="31"/>
      <c r="DT16" s="31"/>
      <c r="DU16" s="31"/>
      <c r="DV16" s="31"/>
      <c r="DW16" s="31"/>
      <c r="DX16" s="31"/>
    </row>
    <row r="17" customFormat="false" ht="13.8" hidden="false" customHeight="false" outlineLevel="0" collapsed="false">
      <c r="A17" s="32"/>
      <c r="B17" s="32"/>
      <c r="C17" s="32"/>
      <c r="D17" s="32"/>
      <c r="E17" s="32"/>
      <c r="F17" s="32"/>
      <c r="G17" s="33"/>
      <c r="H17" s="33"/>
      <c r="I17" s="33"/>
      <c r="J17" s="33"/>
      <c r="K17" s="33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O17" s="33"/>
      <c r="AP17" s="33"/>
      <c r="AQ17" s="33"/>
      <c r="AR17" s="33"/>
      <c r="AS17" s="33"/>
      <c r="AT17" s="33"/>
      <c r="AU17" s="33"/>
      <c r="AV17" s="33"/>
      <c r="AW17" s="33"/>
      <c r="AX17" s="33"/>
      <c r="AY17" s="33"/>
      <c r="AZ17" s="33"/>
      <c r="BA17" s="33"/>
      <c r="BB17" s="33"/>
      <c r="BC17" s="33"/>
      <c r="BD17" s="33"/>
      <c r="BE17" s="33"/>
      <c r="BF17" s="33"/>
      <c r="BG17" s="33"/>
      <c r="BH17" s="33"/>
      <c r="BI17" s="33"/>
      <c r="BJ17" s="33"/>
      <c r="BK17" s="33"/>
      <c r="BL17" s="33"/>
      <c r="BM17" s="33"/>
      <c r="BN17" s="33"/>
      <c r="BO17" s="33"/>
      <c r="BP17" s="33"/>
      <c r="BQ17" s="33"/>
      <c r="BR17" s="33"/>
      <c r="BS17" s="33"/>
      <c r="BT17" s="33"/>
      <c r="BU17" s="33"/>
      <c r="BV17" s="33"/>
      <c r="BW17" s="33"/>
      <c r="BX17" s="33"/>
      <c r="BY17" s="33"/>
      <c r="BZ17" s="33"/>
      <c r="CA17" s="33"/>
      <c r="CB17" s="33"/>
      <c r="CC17" s="33"/>
      <c r="CD17" s="33"/>
      <c r="CE17" s="33"/>
      <c r="CF17" s="33"/>
      <c r="CG17" s="33"/>
      <c r="CH17" s="33"/>
      <c r="CI17" s="33"/>
      <c r="CJ17" s="33"/>
      <c r="CK17" s="33"/>
      <c r="CL17" s="33"/>
      <c r="CM17" s="33"/>
      <c r="CN17" s="33"/>
      <c r="CO17" s="33"/>
      <c r="CP17" s="33"/>
      <c r="CQ17" s="33"/>
      <c r="CR17" s="33"/>
      <c r="CS17" s="33"/>
      <c r="CT17" s="33"/>
      <c r="CU17" s="33"/>
      <c r="CV17" s="33"/>
      <c r="CW17" s="33"/>
      <c r="CX17" s="33"/>
      <c r="CY17" s="33"/>
      <c r="CZ17" s="33"/>
      <c r="DA17" s="33"/>
      <c r="DB17" s="33"/>
      <c r="DC17" s="33"/>
      <c r="DD17" s="33"/>
      <c r="DE17" s="33"/>
      <c r="DF17" s="33"/>
      <c r="DG17" s="33"/>
      <c r="DH17" s="33"/>
      <c r="DI17" s="33"/>
      <c r="DJ17" s="33"/>
      <c r="DK17" s="33"/>
      <c r="DL17" s="33"/>
      <c r="DM17" s="33"/>
      <c r="DN17" s="33"/>
      <c r="DO17" s="33"/>
      <c r="DP17" s="33"/>
      <c r="DQ17" s="33"/>
      <c r="DR17" s="33"/>
      <c r="DS17" s="33"/>
      <c r="DT17" s="33"/>
      <c r="DU17" s="33"/>
      <c r="DV17" s="33"/>
      <c r="DW17" s="33"/>
      <c r="DX17" s="33"/>
    </row>
    <row r="18" customFormat="false" ht="13.8" hidden="false" customHeight="false" outlineLevel="0" collapsed="false">
      <c r="A18" s="30"/>
      <c r="B18" s="30"/>
      <c r="C18" s="30"/>
      <c r="D18" s="30"/>
      <c r="E18" s="30"/>
      <c r="F18" s="30"/>
      <c r="G18" s="31"/>
      <c r="H18" s="31"/>
      <c r="I18" s="31"/>
      <c r="J18" s="31"/>
      <c r="K18" s="31"/>
      <c r="L18" s="31"/>
      <c r="M18" s="31"/>
      <c r="N18" s="31"/>
      <c r="O18" s="31"/>
      <c r="P18" s="31"/>
      <c r="Q18" s="31"/>
      <c r="R18" s="31"/>
      <c r="S18" s="31"/>
      <c r="T18" s="31"/>
      <c r="U18" s="31"/>
      <c r="V18" s="31"/>
      <c r="W18" s="31"/>
      <c r="X18" s="31"/>
      <c r="Y18" s="31"/>
      <c r="Z18" s="31"/>
      <c r="AA18" s="31"/>
      <c r="AB18" s="31"/>
      <c r="AC18" s="31"/>
      <c r="AD18" s="31"/>
      <c r="AE18" s="31"/>
      <c r="AF18" s="31"/>
      <c r="AG18" s="31"/>
      <c r="AH18" s="31"/>
      <c r="AI18" s="31"/>
      <c r="AJ18" s="31"/>
      <c r="AK18" s="31"/>
      <c r="AL18" s="31"/>
      <c r="AM18" s="31"/>
      <c r="AN18" s="31"/>
      <c r="AO18" s="31"/>
      <c r="AP18" s="31"/>
      <c r="AQ18" s="31"/>
      <c r="AR18" s="31"/>
      <c r="AS18" s="31"/>
      <c r="AT18" s="31"/>
      <c r="AU18" s="31"/>
      <c r="AV18" s="31"/>
      <c r="AW18" s="31"/>
      <c r="AX18" s="31"/>
      <c r="AY18" s="31"/>
      <c r="AZ18" s="31"/>
      <c r="BA18" s="31"/>
      <c r="BB18" s="31"/>
      <c r="BC18" s="31"/>
      <c r="BD18" s="31"/>
      <c r="BE18" s="31"/>
      <c r="BF18" s="31"/>
      <c r="BG18" s="31"/>
      <c r="BH18" s="31"/>
      <c r="BI18" s="31"/>
      <c r="BJ18" s="31"/>
      <c r="BK18" s="31"/>
      <c r="BL18" s="31"/>
      <c r="BM18" s="31"/>
      <c r="BN18" s="31"/>
      <c r="BO18" s="31"/>
      <c r="BP18" s="31"/>
      <c r="BQ18" s="31"/>
      <c r="BR18" s="31"/>
      <c r="BS18" s="31"/>
      <c r="BT18" s="31"/>
      <c r="BU18" s="31"/>
      <c r="BV18" s="31"/>
      <c r="BW18" s="31"/>
      <c r="BX18" s="31"/>
      <c r="BY18" s="31"/>
      <c r="BZ18" s="31"/>
      <c r="CA18" s="31"/>
      <c r="CB18" s="31"/>
      <c r="CC18" s="31"/>
      <c r="CD18" s="31"/>
      <c r="CE18" s="31"/>
      <c r="CF18" s="31"/>
      <c r="CG18" s="31"/>
      <c r="CH18" s="31"/>
      <c r="CI18" s="31"/>
      <c r="CJ18" s="31"/>
      <c r="CK18" s="31"/>
      <c r="CL18" s="31"/>
      <c r="CM18" s="31"/>
      <c r="CN18" s="31"/>
      <c r="CO18" s="31"/>
      <c r="CP18" s="31"/>
      <c r="CQ18" s="31"/>
      <c r="CR18" s="31"/>
      <c r="CS18" s="31"/>
      <c r="CT18" s="31"/>
      <c r="CU18" s="31"/>
      <c r="CV18" s="31"/>
      <c r="CW18" s="31"/>
      <c r="CX18" s="31"/>
      <c r="CY18" s="31"/>
      <c r="CZ18" s="31"/>
      <c r="DA18" s="31"/>
      <c r="DB18" s="31"/>
      <c r="DC18" s="31"/>
      <c r="DD18" s="31"/>
      <c r="DE18" s="31"/>
      <c r="DF18" s="31"/>
      <c r="DG18" s="31"/>
      <c r="DH18" s="31"/>
      <c r="DI18" s="31"/>
      <c r="DJ18" s="31"/>
      <c r="DK18" s="31"/>
      <c r="DL18" s="31"/>
      <c r="DM18" s="31"/>
      <c r="DN18" s="31"/>
      <c r="DO18" s="31"/>
      <c r="DP18" s="31"/>
      <c r="DQ18" s="31"/>
      <c r="DR18" s="31"/>
      <c r="DS18" s="31"/>
      <c r="DT18" s="31"/>
      <c r="DU18" s="31"/>
      <c r="DV18" s="31"/>
      <c r="DW18" s="31"/>
      <c r="DX18" s="31"/>
    </row>
    <row r="19" customFormat="false" ht="13.8" hidden="false" customHeight="false" outlineLevel="0" collapsed="false">
      <c r="A19" s="32"/>
      <c r="B19" s="32"/>
      <c r="C19" s="32"/>
      <c r="D19" s="32"/>
      <c r="E19" s="32"/>
      <c r="F19" s="32"/>
      <c r="G19" s="33"/>
      <c r="H19" s="33"/>
      <c r="I19" s="33"/>
      <c r="J19" s="33"/>
      <c r="K19" s="33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  <c r="AE19" s="33"/>
      <c r="AF19" s="33"/>
      <c r="AG19" s="33"/>
      <c r="AH19" s="33"/>
      <c r="AI19" s="33"/>
      <c r="AJ19" s="33"/>
      <c r="AK19" s="33"/>
      <c r="AL19" s="33"/>
      <c r="AM19" s="33"/>
      <c r="AN19" s="33"/>
      <c r="AO19" s="33"/>
      <c r="AP19" s="33"/>
      <c r="AQ19" s="33"/>
      <c r="AR19" s="33"/>
      <c r="AS19" s="33"/>
      <c r="AT19" s="33"/>
      <c r="AU19" s="33"/>
      <c r="AV19" s="33"/>
      <c r="AW19" s="33"/>
      <c r="AX19" s="33"/>
      <c r="AY19" s="33"/>
      <c r="AZ19" s="33"/>
      <c r="BA19" s="33"/>
      <c r="BB19" s="33"/>
      <c r="BC19" s="33"/>
      <c r="BD19" s="33"/>
      <c r="BE19" s="33"/>
      <c r="BF19" s="33"/>
      <c r="BG19" s="33"/>
      <c r="BH19" s="33"/>
      <c r="BI19" s="33"/>
      <c r="BJ19" s="33"/>
      <c r="BK19" s="33"/>
      <c r="BL19" s="33"/>
      <c r="BM19" s="33"/>
      <c r="BN19" s="33"/>
      <c r="BO19" s="33"/>
      <c r="BP19" s="33"/>
      <c r="BQ19" s="33"/>
      <c r="BR19" s="33"/>
      <c r="BS19" s="33"/>
      <c r="BT19" s="33"/>
      <c r="BU19" s="33"/>
      <c r="BV19" s="33"/>
      <c r="BW19" s="33"/>
      <c r="BX19" s="33"/>
      <c r="BY19" s="33"/>
      <c r="BZ19" s="33"/>
      <c r="CA19" s="33"/>
      <c r="CB19" s="33"/>
      <c r="CC19" s="33"/>
      <c r="CD19" s="33"/>
      <c r="CE19" s="33"/>
      <c r="CF19" s="33"/>
      <c r="CG19" s="33"/>
      <c r="CH19" s="33"/>
      <c r="CI19" s="33"/>
      <c r="CJ19" s="33"/>
      <c r="CK19" s="33"/>
      <c r="CL19" s="33"/>
      <c r="CM19" s="33"/>
      <c r="CN19" s="33"/>
      <c r="CO19" s="33"/>
      <c r="CP19" s="33"/>
      <c r="CQ19" s="33"/>
      <c r="CR19" s="33"/>
      <c r="CS19" s="33"/>
      <c r="CT19" s="33"/>
      <c r="CU19" s="33"/>
      <c r="CV19" s="33"/>
      <c r="CW19" s="33"/>
      <c r="CX19" s="33"/>
      <c r="CY19" s="33"/>
      <c r="CZ19" s="33"/>
      <c r="DA19" s="33"/>
      <c r="DB19" s="33"/>
      <c r="DC19" s="33"/>
      <c r="DD19" s="33"/>
      <c r="DE19" s="33"/>
      <c r="DF19" s="33"/>
      <c r="DG19" s="33"/>
      <c r="DH19" s="33"/>
      <c r="DI19" s="33"/>
      <c r="DJ19" s="33"/>
      <c r="DK19" s="33"/>
      <c r="DL19" s="33"/>
      <c r="DM19" s="33"/>
      <c r="DN19" s="33"/>
      <c r="DO19" s="33"/>
      <c r="DP19" s="33"/>
      <c r="DQ19" s="33"/>
      <c r="DR19" s="33"/>
      <c r="DS19" s="33"/>
      <c r="DT19" s="33"/>
      <c r="DU19" s="33"/>
      <c r="DV19" s="33"/>
      <c r="DW19" s="33"/>
      <c r="DX19" s="33"/>
    </row>
    <row r="20" customFormat="false" ht="13.8" hidden="false" customHeight="false" outlineLevel="0" collapsed="false">
      <c r="A20" s="30"/>
      <c r="B20" s="30"/>
      <c r="C20" s="30"/>
      <c r="D20" s="30"/>
      <c r="E20" s="30"/>
      <c r="F20" s="30"/>
      <c r="G20" s="31"/>
      <c r="H20" s="31"/>
      <c r="I20" s="31"/>
      <c r="J20" s="31"/>
      <c r="K20" s="31"/>
      <c r="L20" s="31"/>
      <c r="M20" s="31"/>
      <c r="N20" s="31"/>
      <c r="O20" s="31"/>
      <c r="P20" s="31"/>
      <c r="Q20" s="31"/>
      <c r="R20" s="31"/>
      <c r="S20" s="31"/>
      <c r="T20" s="31"/>
      <c r="U20" s="31"/>
      <c r="V20" s="31"/>
      <c r="W20" s="31"/>
      <c r="X20" s="31"/>
      <c r="Y20" s="31"/>
      <c r="Z20" s="31"/>
      <c r="AA20" s="31"/>
      <c r="AB20" s="31"/>
      <c r="AC20" s="31"/>
      <c r="AD20" s="31"/>
      <c r="AE20" s="31"/>
      <c r="AF20" s="31"/>
      <c r="AG20" s="31"/>
      <c r="AH20" s="31"/>
      <c r="AI20" s="31"/>
      <c r="AJ20" s="31"/>
      <c r="AK20" s="31"/>
      <c r="AL20" s="31"/>
      <c r="AM20" s="31"/>
      <c r="AN20" s="31"/>
      <c r="AO20" s="31"/>
      <c r="AP20" s="31"/>
      <c r="AQ20" s="31"/>
      <c r="AR20" s="31"/>
      <c r="AS20" s="31"/>
      <c r="AT20" s="31"/>
      <c r="AU20" s="31"/>
      <c r="AV20" s="31"/>
      <c r="AW20" s="31"/>
      <c r="AX20" s="31"/>
      <c r="AY20" s="31"/>
      <c r="AZ20" s="31"/>
      <c r="BA20" s="31"/>
      <c r="BB20" s="31"/>
      <c r="BC20" s="31"/>
      <c r="BD20" s="31"/>
      <c r="BE20" s="31"/>
      <c r="BF20" s="31"/>
      <c r="BG20" s="31"/>
      <c r="BH20" s="31"/>
      <c r="BI20" s="31"/>
      <c r="BJ20" s="31"/>
      <c r="BK20" s="31"/>
      <c r="BL20" s="31"/>
      <c r="BM20" s="31"/>
      <c r="BN20" s="31"/>
      <c r="BO20" s="31"/>
      <c r="BP20" s="31"/>
      <c r="BQ20" s="31"/>
      <c r="BR20" s="31"/>
      <c r="BS20" s="31"/>
      <c r="BT20" s="31"/>
      <c r="BU20" s="31"/>
      <c r="BV20" s="31"/>
      <c r="BW20" s="31"/>
      <c r="BX20" s="31"/>
      <c r="BY20" s="31"/>
      <c r="BZ20" s="31"/>
      <c r="CA20" s="31"/>
      <c r="CB20" s="31"/>
      <c r="CC20" s="31"/>
      <c r="CD20" s="31"/>
      <c r="CE20" s="31"/>
      <c r="CF20" s="31"/>
      <c r="CG20" s="31"/>
      <c r="CH20" s="31"/>
      <c r="CI20" s="31"/>
      <c r="CJ20" s="31"/>
      <c r="CK20" s="31"/>
      <c r="CL20" s="31"/>
      <c r="CM20" s="31"/>
      <c r="CN20" s="31"/>
      <c r="CO20" s="31"/>
      <c r="CP20" s="31"/>
      <c r="CQ20" s="31"/>
      <c r="CR20" s="31"/>
      <c r="CS20" s="31"/>
      <c r="CT20" s="31"/>
      <c r="CU20" s="31"/>
      <c r="CV20" s="31"/>
      <c r="CW20" s="31"/>
      <c r="CX20" s="31"/>
      <c r="CY20" s="31"/>
      <c r="CZ20" s="31"/>
      <c r="DA20" s="31"/>
      <c r="DB20" s="31"/>
      <c r="DC20" s="31"/>
      <c r="DD20" s="31"/>
      <c r="DE20" s="31"/>
      <c r="DF20" s="31"/>
      <c r="DG20" s="31"/>
      <c r="DH20" s="31"/>
      <c r="DI20" s="31"/>
      <c r="DJ20" s="31"/>
      <c r="DK20" s="31"/>
      <c r="DL20" s="31"/>
      <c r="DM20" s="31"/>
      <c r="DN20" s="31"/>
      <c r="DO20" s="31"/>
      <c r="DP20" s="31"/>
      <c r="DQ20" s="31"/>
      <c r="DR20" s="31"/>
      <c r="DS20" s="31"/>
      <c r="DT20" s="31"/>
      <c r="DU20" s="31"/>
      <c r="DV20" s="31"/>
      <c r="DW20" s="31"/>
      <c r="DX20" s="31"/>
    </row>
    <row r="21" customFormat="false" ht="13.8" hidden="false" customHeight="false" outlineLevel="0" collapsed="false">
      <c r="A21" s="32"/>
      <c r="B21" s="32"/>
      <c r="C21" s="32"/>
      <c r="D21" s="32"/>
      <c r="E21" s="32"/>
      <c r="F21" s="32"/>
      <c r="G21" s="33"/>
      <c r="H21" s="33"/>
      <c r="I21" s="33"/>
      <c r="J21" s="33"/>
      <c r="K21" s="33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33"/>
      <c r="AF21" s="33"/>
      <c r="AG21" s="33"/>
      <c r="AH21" s="33"/>
      <c r="AI21" s="33"/>
      <c r="AJ21" s="33"/>
      <c r="AK21" s="33"/>
      <c r="AL21" s="33"/>
      <c r="AM21" s="33"/>
      <c r="AN21" s="33"/>
      <c r="AO21" s="33"/>
      <c r="AP21" s="33"/>
      <c r="AQ21" s="33"/>
      <c r="AR21" s="33"/>
      <c r="AS21" s="33"/>
      <c r="AT21" s="33"/>
      <c r="AU21" s="33"/>
      <c r="AV21" s="33"/>
      <c r="AW21" s="33"/>
      <c r="AX21" s="33"/>
      <c r="AY21" s="33"/>
      <c r="AZ21" s="33"/>
      <c r="BA21" s="33"/>
      <c r="BB21" s="33"/>
      <c r="BC21" s="33"/>
      <c r="BD21" s="33"/>
      <c r="BE21" s="33"/>
      <c r="BF21" s="33"/>
      <c r="BG21" s="33"/>
      <c r="BH21" s="33"/>
      <c r="BI21" s="33"/>
      <c r="BJ21" s="33"/>
      <c r="BK21" s="33"/>
      <c r="BL21" s="33"/>
      <c r="BM21" s="33"/>
      <c r="BN21" s="33"/>
      <c r="BO21" s="33"/>
      <c r="BP21" s="33"/>
      <c r="BQ21" s="33"/>
      <c r="BR21" s="33"/>
      <c r="BS21" s="33"/>
      <c r="BT21" s="33"/>
      <c r="BU21" s="33"/>
      <c r="BV21" s="33"/>
      <c r="BW21" s="33"/>
      <c r="BX21" s="33"/>
      <c r="BY21" s="33"/>
      <c r="BZ21" s="33"/>
      <c r="CA21" s="33"/>
      <c r="CB21" s="33"/>
      <c r="CC21" s="33"/>
      <c r="CD21" s="33"/>
      <c r="CE21" s="33"/>
      <c r="CF21" s="33"/>
      <c r="CG21" s="33"/>
      <c r="CH21" s="33"/>
      <c r="CI21" s="33"/>
      <c r="CJ21" s="33"/>
      <c r="CK21" s="33"/>
      <c r="CL21" s="33"/>
      <c r="CM21" s="33"/>
      <c r="CN21" s="33"/>
      <c r="CO21" s="33"/>
      <c r="CP21" s="33"/>
      <c r="CQ21" s="33"/>
      <c r="CR21" s="33"/>
      <c r="CS21" s="33"/>
      <c r="CT21" s="33"/>
      <c r="CU21" s="33"/>
      <c r="CV21" s="33"/>
      <c r="CW21" s="33"/>
      <c r="CX21" s="33"/>
      <c r="CY21" s="33"/>
      <c r="CZ21" s="33"/>
      <c r="DA21" s="33"/>
      <c r="DB21" s="33"/>
      <c r="DC21" s="33"/>
      <c r="DD21" s="33"/>
      <c r="DE21" s="33"/>
      <c r="DF21" s="33"/>
      <c r="DG21" s="33"/>
      <c r="DH21" s="33"/>
      <c r="DI21" s="33"/>
      <c r="DJ21" s="33"/>
      <c r="DK21" s="33"/>
      <c r="DL21" s="33"/>
      <c r="DM21" s="33"/>
      <c r="DN21" s="33"/>
      <c r="DO21" s="33"/>
      <c r="DP21" s="33"/>
      <c r="DQ21" s="33"/>
      <c r="DR21" s="33"/>
      <c r="DS21" s="33"/>
      <c r="DT21" s="33"/>
      <c r="DU21" s="33"/>
      <c r="DV21" s="33"/>
      <c r="DW21" s="33"/>
      <c r="DX21" s="33"/>
    </row>
    <row r="22" customFormat="false" ht="13.8" hidden="false" customHeight="false" outlineLevel="0" collapsed="false">
      <c r="A22" s="30"/>
      <c r="B22" s="30"/>
      <c r="C22" s="30"/>
      <c r="D22" s="30"/>
      <c r="E22" s="30"/>
      <c r="F22" s="30"/>
      <c r="G22" s="31"/>
      <c r="H22" s="31"/>
      <c r="I22" s="31"/>
      <c r="J22" s="31"/>
      <c r="K22" s="31"/>
      <c r="L22" s="31"/>
      <c r="M22" s="31"/>
      <c r="N22" s="31"/>
      <c r="O22" s="31"/>
      <c r="P22" s="31"/>
      <c r="Q22" s="31"/>
      <c r="R22" s="31"/>
      <c r="S22" s="31"/>
      <c r="T22" s="31"/>
      <c r="U22" s="31"/>
      <c r="V22" s="31"/>
      <c r="W22" s="31"/>
      <c r="X22" s="31"/>
      <c r="Y22" s="31"/>
      <c r="Z22" s="31"/>
      <c r="AA22" s="31"/>
      <c r="AB22" s="31"/>
      <c r="AC22" s="31"/>
      <c r="AD22" s="31"/>
      <c r="AE22" s="31"/>
      <c r="AF22" s="31"/>
      <c r="AG22" s="31"/>
      <c r="AH22" s="31"/>
      <c r="AI22" s="31"/>
      <c r="AJ22" s="31"/>
      <c r="AK22" s="31"/>
      <c r="AL22" s="31"/>
      <c r="AM22" s="31"/>
      <c r="AN22" s="31"/>
      <c r="AO22" s="31"/>
      <c r="AP22" s="31"/>
      <c r="AQ22" s="31"/>
      <c r="AR22" s="31"/>
      <c r="AS22" s="31"/>
      <c r="AT22" s="31"/>
      <c r="AU22" s="31"/>
      <c r="AV22" s="31"/>
      <c r="AW22" s="31"/>
      <c r="AX22" s="31"/>
      <c r="AY22" s="31"/>
      <c r="AZ22" s="31"/>
      <c r="BA22" s="31"/>
      <c r="BB22" s="31"/>
      <c r="BC22" s="31"/>
      <c r="BD22" s="31"/>
      <c r="BE22" s="31"/>
      <c r="BF22" s="31"/>
      <c r="BG22" s="31"/>
      <c r="BH22" s="31"/>
      <c r="BI22" s="31"/>
      <c r="BJ22" s="31"/>
      <c r="BK22" s="31"/>
      <c r="BL22" s="31"/>
      <c r="BM22" s="31"/>
      <c r="BN22" s="31"/>
      <c r="BO22" s="31"/>
      <c r="BP22" s="31"/>
      <c r="BQ22" s="31"/>
      <c r="BR22" s="31"/>
      <c r="BS22" s="31"/>
      <c r="BT22" s="31"/>
      <c r="BU22" s="31"/>
      <c r="BV22" s="31"/>
      <c r="BW22" s="31"/>
      <c r="BX22" s="31"/>
      <c r="BY22" s="31"/>
      <c r="BZ22" s="31"/>
      <c r="CA22" s="31"/>
      <c r="CB22" s="31"/>
      <c r="CC22" s="31"/>
      <c r="CD22" s="31"/>
      <c r="CE22" s="31"/>
      <c r="CF22" s="31"/>
      <c r="CG22" s="31"/>
      <c r="CH22" s="31"/>
      <c r="CI22" s="31"/>
      <c r="CJ22" s="31"/>
      <c r="CK22" s="31"/>
      <c r="CL22" s="31"/>
      <c r="CM22" s="31"/>
      <c r="CN22" s="31"/>
      <c r="CO22" s="31"/>
      <c r="CP22" s="31"/>
      <c r="CQ22" s="31"/>
      <c r="CR22" s="31"/>
      <c r="CS22" s="31"/>
      <c r="CT22" s="31"/>
      <c r="CU22" s="31"/>
      <c r="CV22" s="31"/>
      <c r="CW22" s="31"/>
      <c r="CX22" s="31"/>
      <c r="CY22" s="31"/>
      <c r="CZ22" s="31"/>
      <c r="DA22" s="31"/>
      <c r="DB22" s="31"/>
      <c r="DC22" s="31"/>
      <c r="DD22" s="31"/>
      <c r="DE22" s="31"/>
      <c r="DF22" s="31"/>
      <c r="DG22" s="31"/>
      <c r="DH22" s="31"/>
      <c r="DI22" s="31"/>
      <c r="DJ22" s="31"/>
      <c r="DK22" s="31"/>
      <c r="DL22" s="31"/>
      <c r="DM22" s="31"/>
      <c r="DN22" s="31"/>
      <c r="DO22" s="31"/>
      <c r="DP22" s="31"/>
      <c r="DQ22" s="31"/>
      <c r="DR22" s="31"/>
      <c r="DS22" s="31"/>
      <c r="DT22" s="31"/>
      <c r="DU22" s="31"/>
      <c r="DV22" s="31"/>
      <c r="DW22" s="31"/>
      <c r="DX22" s="31"/>
    </row>
    <row r="23" customFormat="false" ht="13.8" hidden="false" customHeight="false" outlineLevel="0" collapsed="false">
      <c r="A23" s="32"/>
      <c r="B23" s="32"/>
      <c r="C23" s="32"/>
      <c r="D23" s="32"/>
      <c r="E23" s="32"/>
      <c r="F23" s="32"/>
      <c r="G23" s="33"/>
      <c r="H23" s="33"/>
      <c r="I23" s="33"/>
      <c r="J23" s="33"/>
      <c r="K23" s="33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  <c r="AE23" s="33"/>
      <c r="AF23" s="33"/>
      <c r="AG23" s="33"/>
      <c r="AH23" s="33"/>
      <c r="AI23" s="33"/>
      <c r="AJ23" s="33"/>
      <c r="AK23" s="33"/>
      <c r="AL23" s="33"/>
      <c r="AM23" s="33"/>
      <c r="AN23" s="33"/>
      <c r="AO23" s="33"/>
      <c r="AP23" s="33"/>
      <c r="AQ23" s="33"/>
      <c r="AR23" s="33"/>
      <c r="AS23" s="33"/>
      <c r="AT23" s="33"/>
      <c r="AU23" s="33"/>
      <c r="AV23" s="33"/>
      <c r="AW23" s="33"/>
      <c r="AX23" s="33"/>
      <c r="AY23" s="33"/>
      <c r="AZ23" s="33"/>
      <c r="BA23" s="33"/>
      <c r="BB23" s="33"/>
      <c r="BC23" s="33"/>
      <c r="BD23" s="33"/>
      <c r="BE23" s="33"/>
      <c r="BF23" s="33"/>
      <c r="BG23" s="33"/>
      <c r="BH23" s="33"/>
      <c r="BI23" s="33"/>
      <c r="BJ23" s="33"/>
      <c r="BK23" s="33"/>
      <c r="BL23" s="33"/>
      <c r="BM23" s="33"/>
      <c r="BN23" s="33"/>
      <c r="BO23" s="33"/>
      <c r="BP23" s="33"/>
      <c r="BQ23" s="33"/>
      <c r="BR23" s="33"/>
      <c r="BS23" s="33"/>
      <c r="BT23" s="33"/>
      <c r="BU23" s="33"/>
      <c r="BV23" s="33"/>
      <c r="BW23" s="33"/>
      <c r="BX23" s="33"/>
      <c r="BY23" s="33"/>
      <c r="BZ23" s="33"/>
      <c r="CA23" s="33"/>
      <c r="CB23" s="33"/>
      <c r="CC23" s="33"/>
      <c r="CD23" s="33"/>
      <c r="CE23" s="33"/>
      <c r="CF23" s="33"/>
      <c r="CG23" s="33"/>
      <c r="CH23" s="33"/>
      <c r="CI23" s="33"/>
      <c r="CJ23" s="33"/>
      <c r="CK23" s="33"/>
      <c r="CL23" s="33"/>
      <c r="CM23" s="33"/>
      <c r="CN23" s="33"/>
      <c r="CO23" s="33"/>
      <c r="CP23" s="33"/>
      <c r="CQ23" s="33"/>
      <c r="CR23" s="33"/>
      <c r="CS23" s="33"/>
      <c r="CT23" s="33"/>
      <c r="CU23" s="33"/>
      <c r="CV23" s="33"/>
      <c r="CW23" s="33"/>
      <c r="CX23" s="33"/>
      <c r="CY23" s="33"/>
      <c r="CZ23" s="33"/>
      <c r="DA23" s="33"/>
      <c r="DB23" s="33"/>
      <c r="DC23" s="33"/>
      <c r="DD23" s="33"/>
      <c r="DE23" s="33"/>
      <c r="DF23" s="33"/>
      <c r="DG23" s="33"/>
      <c r="DH23" s="33"/>
      <c r="DI23" s="33"/>
      <c r="DJ23" s="33"/>
      <c r="DK23" s="33"/>
      <c r="DL23" s="33"/>
      <c r="DM23" s="33"/>
      <c r="DN23" s="33"/>
      <c r="DO23" s="33"/>
      <c r="DP23" s="33"/>
      <c r="DQ23" s="33"/>
      <c r="DR23" s="33"/>
      <c r="DS23" s="33"/>
      <c r="DT23" s="33"/>
      <c r="DU23" s="33"/>
      <c r="DV23" s="33"/>
      <c r="DW23" s="33"/>
      <c r="DX23" s="33"/>
    </row>
    <row r="24" customFormat="false" ht="13.8" hidden="false" customHeight="false" outlineLevel="0" collapsed="false">
      <c r="A24" s="30"/>
      <c r="B24" s="30"/>
      <c r="C24" s="30"/>
      <c r="D24" s="30"/>
      <c r="E24" s="30"/>
      <c r="F24" s="30"/>
      <c r="G24" s="31"/>
      <c r="H24" s="31"/>
      <c r="I24" s="31"/>
      <c r="J24" s="31"/>
      <c r="K24" s="31"/>
      <c r="L24" s="31"/>
      <c r="M24" s="31"/>
      <c r="N24" s="31"/>
      <c r="O24" s="31"/>
      <c r="P24" s="31"/>
      <c r="Q24" s="31"/>
      <c r="R24" s="31"/>
      <c r="S24" s="31"/>
      <c r="T24" s="31"/>
      <c r="U24" s="31"/>
      <c r="V24" s="31"/>
      <c r="W24" s="31"/>
      <c r="X24" s="31"/>
      <c r="Y24" s="31"/>
      <c r="Z24" s="31"/>
      <c r="AA24" s="31"/>
      <c r="AB24" s="31"/>
      <c r="AC24" s="31"/>
      <c r="AD24" s="31"/>
      <c r="AE24" s="31"/>
      <c r="AF24" s="31"/>
      <c r="AG24" s="31"/>
      <c r="AH24" s="31"/>
      <c r="AI24" s="31"/>
      <c r="AJ24" s="31"/>
      <c r="AK24" s="31"/>
      <c r="AL24" s="31"/>
      <c r="AM24" s="31"/>
      <c r="AN24" s="31"/>
      <c r="AO24" s="31"/>
      <c r="AP24" s="31"/>
      <c r="AQ24" s="31"/>
      <c r="AR24" s="31"/>
      <c r="AS24" s="31"/>
      <c r="AT24" s="31"/>
      <c r="AU24" s="31"/>
      <c r="AV24" s="31"/>
      <c r="AW24" s="31"/>
      <c r="AX24" s="31"/>
      <c r="AY24" s="31"/>
      <c r="AZ24" s="31"/>
      <c r="BA24" s="31"/>
      <c r="BB24" s="31"/>
      <c r="BC24" s="31"/>
      <c r="BD24" s="31"/>
      <c r="BE24" s="31"/>
      <c r="BF24" s="31"/>
      <c r="BG24" s="31"/>
      <c r="BH24" s="31"/>
      <c r="BI24" s="31"/>
      <c r="BJ24" s="31"/>
      <c r="BK24" s="31"/>
      <c r="BL24" s="31"/>
      <c r="BM24" s="31"/>
      <c r="BN24" s="31"/>
      <c r="BO24" s="31"/>
      <c r="BP24" s="31"/>
      <c r="BQ24" s="31"/>
      <c r="BR24" s="31"/>
      <c r="BS24" s="31"/>
      <c r="BT24" s="31"/>
      <c r="BU24" s="31"/>
      <c r="BV24" s="31"/>
      <c r="BW24" s="31"/>
      <c r="BX24" s="31"/>
      <c r="BY24" s="31"/>
      <c r="BZ24" s="31"/>
      <c r="CA24" s="31"/>
      <c r="CB24" s="31"/>
      <c r="CC24" s="31"/>
      <c r="CD24" s="31"/>
      <c r="CE24" s="31"/>
      <c r="CF24" s="31"/>
      <c r="CG24" s="31"/>
      <c r="CH24" s="31"/>
      <c r="CI24" s="31"/>
      <c r="CJ24" s="31"/>
      <c r="CK24" s="31"/>
      <c r="CL24" s="31"/>
      <c r="CM24" s="31"/>
      <c r="CN24" s="31"/>
      <c r="CO24" s="31"/>
      <c r="CP24" s="31"/>
      <c r="CQ24" s="31"/>
      <c r="CR24" s="31"/>
      <c r="CS24" s="31"/>
      <c r="CT24" s="31"/>
      <c r="CU24" s="31"/>
      <c r="CV24" s="31"/>
      <c r="CW24" s="31"/>
      <c r="CX24" s="31"/>
      <c r="CY24" s="31"/>
      <c r="CZ24" s="31"/>
      <c r="DA24" s="31"/>
      <c r="DB24" s="31"/>
      <c r="DC24" s="31"/>
      <c r="DD24" s="31"/>
      <c r="DE24" s="31"/>
      <c r="DF24" s="31"/>
      <c r="DG24" s="31"/>
      <c r="DH24" s="31"/>
      <c r="DI24" s="31"/>
      <c r="DJ24" s="31"/>
      <c r="DK24" s="31"/>
      <c r="DL24" s="31"/>
      <c r="DM24" s="31"/>
      <c r="DN24" s="31"/>
      <c r="DO24" s="31"/>
      <c r="DP24" s="31"/>
      <c r="DQ24" s="31"/>
      <c r="DR24" s="31"/>
      <c r="DS24" s="31"/>
      <c r="DT24" s="31"/>
      <c r="DU24" s="31"/>
      <c r="DV24" s="31"/>
      <c r="DW24" s="31"/>
      <c r="DX24" s="31"/>
    </row>
    <row r="25" customFormat="false" ht="13.8" hidden="false" customHeight="false" outlineLevel="0" collapsed="false">
      <c r="A25" s="32"/>
      <c r="B25" s="32"/>
      <c r="C25" s="32"/>
      <c r="D25" s="32"/>
      <c r="E25" s="32"/>
      <c r="F25" s="32"/>
      <c r="G25" s="33"/>
      <c r="H25" s="33"/>
      <c r="I25" s="33"/>
      <c r="J25" s="33"/>
      <c r="K25" s="33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  <c r="AE25" s="33"/>
      <c r="AF25" s="33"/>
      <c r="AG25" s="33"/>
      <c r="AH25" s="33"/>
      <c r="AI25" s="33"/>
      <c r="AJ25" s="33"/>
      <c r="AK25" s="33"/>
      <c r="AL25" s="33"/>
      <c r="AM25" s="33"/>
      <c r="AN25" s="33"/>
      <c r="AO25" s="33"/>
      <c r="AP25" s="33"/>
      <c r="AQ25" s="33"/>
      <c r="AR25" s="33"/>
      <c r="AS25" s="33"/>
      <c r="AT25" s="33"/>
      <c r="AU25" s="33"/>
      <c r="AV25" s="33"/>
      <c r="AW25" s="33"/>
      <c r="AX25" s="33"/>
      <c r="AY25" s="33"/>
      <c r="AZ25" s="33"/>
      <c r="BA25" s="33"/>
      <c r="BB25" s="33"/>
      <c r="BC25" s="33"/>
      <c r="BD25" s="33"/>
      <c r="BE25" s="33"/>
      <c r="BF25" s="33"/>
      <c r="BG25" s="33"/>
      <c r="BH25" s="33"/>
      <c r="BI25" s="33"/>
      <c r="BJ25" s="33"/>
      <c r="BK25" s="33"/>
      <c r="BL25" s="33"/>
      <c r="BM25" s="33"/>
      <c r="BN25" s="33"/>
      <c r="BO25" s="33"/>
      <c r="BP25" s="33"/>
      <c r="BQ25" s="33"/>
      <c r="BR25" s="33"/>
      <c r="BS25" s="33"/>
      <c r="BT25" s="33"/>
      <c r="BU25" s="33"/>
      <c r="BV25" s="33"/>
      <c r="BW25" s="33"/>
      <c r="BX25" s="33"/>
      <c r="BY25" s="33"/>
      <c r="BZ25" s="33"/>
      <c r="CA25" s="33"/>
      <c r="CB25" s="33"/>
      <c r="CC25" s="33"/>
      <c r="CD25" s="33"/>
      <c r="CE25" s="33"/>
      <c r="CF25" s="33"/>
      <c r="CG25" s="33"/>
      <c r="CH25" s="33"/>
      <c r="CI25" s="33"/>
      <c r="CJ25" s="33"/>
      <c r="CK25" s="33"/>
      <c r="CL25" s="33"/>
      <c r="CM25" s="33"/>
      <c r="CN25" s="33"/>
      <c r="CO25" s="33"/>
      <c r="CP25" s="33"/>
      <c r="CQ25" s="33"/>
      <c r="CR25" s="33"/>
      <c r="CS25" s="33"/>
      <c r="CT25" s="33"/>
      <c r="CU25" s="33"/>
      <c r="CV25" s="33"/>
      <c r="CW25" s="33"/>
      <c r="CX25" s="33"/>
      <c r="CY25" s="33"/>
      <c r="CZ25" s="33"/>
      <c r="DA25" s="33"/>
      <c r="DB25" s="33"/>
      <c r="DC25" s="33"/>
      <c r="DD25" s="33"/>
      <c r="DE25" s="33"/>
      <c r="DF25" s="33"/>
      <c r="DG25" s="33"/>
      <c r="DH25" s="33"/>
      <c r="DI25" s="33"/>
      <c r="DJ25" s="33"/>
      <c r="DK25" s="33"/>
      <c r="DL25" s="33"/>
      <c r="DM25" s="33"/>
      <c r="DN25" s="33"/>
      <c r="DO25" s="33"/>
      <c r="DP25" s="33"/>
      <c r="DQ25" s="33"/>
      <c r="DR25" s="33"/>
      <c r="DS25" s="33"/>
      <c r="DT25" s="33"/>
      <c r="DU25" s="33"/>
      <c r="DV25" s="33"/>
      <c r="DW25" s="33"/>
      <c r="DX25" s="33"/>
    </row>
    <row r="26" customFormat="false" ht="13.8" hidden="false" customHeight="false" outlineLevel="0" collapsed="false">
      <c r="A26" s="30"/>
      <c r="B26" s="30"/>
      <c r="C26" s="30"/>
      <c r="D26" s="30"/>
      <c r="E26" s="30"/>
      <c r="F26" s="30"/>
      <c r="G26" s="31"/>
      <c r="H26" s="31"/>
      <c r="I26" s="31"/>
      <c r="J26" s="31"/>
      <c r="K26" s="31"/>
      <c r="L26" s="31"/>
      <c r="M26" s="31"/>
      <c r="N26" s="31"/>
      <c r="O26" s="31"/>
      <c r="P26" s="31"/>
      <c r="Q26" s="31"/>
      <c r="R26" s="31"/>
      <c r="S26" s="31"/>
      <c r="T26" s="31"/>
      <c r="U26" s="31"/>
      <c r="V26" s="31"/>
      <c r="W26" s="31"/>
      <c r="X26" s="31"/>
      <c r="Y26" s="31"/>
      <c r="Z26" s="31"/>
      <c r="AA26" s="31"/>
      <c r="AB26" s="31"/>
      <c r="AC26" s="31"/>
      <c r="AD26" s="31"/>
      <c r="AE26" s="31"/>
      <c r="AF26" s="31"/>
      <c r="AG26" s="31"/>
      <c r="AH26" s="31"/>
      <c r="AI26" s="31"/>
      <c r="AJ26" s="31"/>
      <c r="AK26" s="31"/>
      <c r="AL26" s="31"/>
      <c r="AM26" s="31"/>
      <c r="AN26" s="31"/>
      <c r="AO26" s="31"/>
      <c r="AP26" s="31"/>
      <c r="AQ26" s="31"/>
      <c r="AR26" s="31"/>
      <c r="AS26" s="31"/>
      <c r="AT26" s="31"/>
      <c r="AU26" s="31"/>
      <c r="AV26" s="31"/>
      <c r="AW26" s="31"/>
      <c r="AX26" s="31"/>
      <c r="AY26" s="31"/>
      <c r="AZ26" s="31"/>
      <c r="BA26" s="31"/>
      <c r="BB26" s="31"/>
      <c r="BC26" s="31"/>
      <c r="BD26" s="31"/>
      <c r="BE26" s="31"/>
      <c r="BF26" s="31"/>
      <c r="BG26" s="31"/>
      <c r="BH26" s="31"/>
      <c r="BI26" s="31"/>
      <c r="BJ26" s="31"/>
      <c r="BK26" s="31"/>
      <c r="BL26" s="31"/>
      <c r="BM26" s="31"/>
      <c r="BN26" s="31"/>
      <c r="BO26" s="31"/>
      <c r="BP26" s="31"/>
      <c r="BQ26" s="31"/>
      <c r="BR26" s="31"/>
      <c r="BS26" s="31"/>
      <c r="BT26" s="31"/>
      <c r="BU26" s="31"/>
      <c r="BV26" s="31"/>
      <c r="BW26" s="31"/>
      <c r="BX26" s="31"/>
      <c r="BY26" s="31"/>
      <c r="BZ26" s="31"/>
      <c r="CA26" s="31"/>
      <c r="CB26" s="31"/>
      <c r="CC26" s="31"/>
      <c r="CD26" s="31"/>
      <c r="CE26" s="31"/>
      <c r="CF26" s="31"/>
      <c r="CG26" s="31"/>
      <c r="CH26" s="31"/>
      <c r="CI26" s="31"/>
      <c r="CJ26" s="31"/>
      <c r="CK26" s="31"/>
      <c r="CL26" s="31"/>
      <c r="CM26" s="31"/>
      <c r="CN26" s="31"/>
      <c r="CO26" s="31"/>
      <c r="CP26" s="31"/>
      <c r="CQ26" s="31"/>
      <c r="CR26" s="31"/>
      <c r="CS26" s="31"/>
      <c r="CT26" s="31"/>
      <c r="CU26" s="31"/>
      <c r="CV26" s="31"/>
      <c r="CW26" s="31"/>
      <c r="CX26" s="31"/>
      <c r="CY26" s="31"/>
      <c r="CZ26" s="31"/>
      <c r="DA26" s="31"/>
      <c r="DB26" s="31"/>
      <c r="DC26" s="31"/>
      <c r="DD26" s="31"/>
      <c r="DE26" s="31"/>
      <c r="DF26" s="31"/>
      <c r="DG26" s="31"/>
      <c r="DH26" s="31"/>
      <c r="DI26" s="31"/>
      <c r="DJ26" s="31"/>
      <c r="DK26" s="31"/>
      <c r="DL26" s="31"/>
      <c r="DM26" s="31"/>
      <c r="DN26" s="31"/>
      <c r="DO26" s="31"/>
      <c r="DP26" s="31"/>
      <c r="DQ26" s="31"/>
      <c r="DR26" s="31"/>
      <c r="DS26" s="31"/>
      <c r="DT26" s="31"/>
      <c r="DU26" s="31"/>
      <c r="DV26" s="31"/>
      <c r="DW26" s="31"/>
      <c r="DX26" s="31"/>
    </row>
    <row r="27" customFormat="false" ht="13.8" hidden="false" customHeight="false" outlineLevel="0" collapsed="false">
      <c r="A27" s="32"/>
      <c r="B27" s="32"/>
      <c r="C27" s="32"/>
      <c r="D27" s="32"/>
      <c r="E27" s="32"/>
      <c r="F27" s="32"/>
      <c r="G27" s="33"/>
      <c r="H27" s="33"/>
      <c r="I27" s="33"/>
      <c r="J27" s="33"/>
      <c r="K27" s="33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33"/>
      <c r="AF27" s="33"/>
      <c r="AG27" s="33"/>
      <c r="AH27" s="33"/>
      <c r="AI27" s="33"/>
      <c r="AJ27" s="33"/>
      <c r="AK27" s="33"/>
      <c r="AL27" s="33"/>
      <c r="AM27" s="33"/>
      <c r="AN27" s="33"/>
      <c r="AO27" s="33"/>
      <c r="AP27" s="33"/>
      <c r="AQ27" s="33"/>
      <c r="AR27" s="33"/>
      <c r="AS27" s="33"/>
      <c r="AT27" s="33"/>
      <c r="AU27" s="33"/>
      <c r="AV27" s="33"/>
      <c r="AW27" s="33"/>
      <c r="AX27" s="33"/>
      <c r="AY27" s="33"/>
      <c r="AZ27" s="33"/>
      <c r="BA27" s="33"/>
      <c r="BB27" s="33"/>
      <c r="BC27" s="33"/>
      <c r="BD27" s="33"/>
      <c r="BE27" s="33"/>
      <c r="BF27" s="33"/>
      <c r="BG27" s="33"/>
      <c r="BH27" s="33"/>
      <c r="BI27" s="33"/>
      <c r="BJ27" s="33"/>
      <c r="BK27" s="33"/>
      <c r="BL27" s="33"/>
      <c r="BM27" s="33"/>
      <c r="BN27" s="33"/>
      <c r="BO27" s="33"/>
      <c r="BP27" s="33"/>
      <c r="BQ27" s="33"/>
      <c r="BR27" s="33"/>
      <c r="BS27" s="33"/>
      <c r="BT27" s="33"/>
      <c r="BU27" s="33"/>
      <c r="BV27" s="33"/>
      <c r="BW27" s="33"/>
      <c r="BX27" s="33"/>
      <c r="BY27" s="33"/>
      <c r="BZ27" s="33"/>
      <c r="CA27" s="33"/>
      <c r="CB27" s="33"/>
      <c r="CC27" s="33"/>
      <c r="CD27" s="33"/>
      <c r="CE27" s="33"/>
      <c r="CF27" s="33"/>
      <c r="CG27" s="33"/>
      <c r="CH27" s="33"/>
      <c r="CI27" s="33"/>
      <c r="CJ27" s="33"/>
      <c r="CK27" s="33"/>
      <c r="CL27" s="33"/>
      <c r="CM27" s="33"/>
      <c r="CN27" s="33"/>
      <c r="CO27" s="33"/>
      <c r="CP27" s="33"/>
      <c r="CQ27" s="33"/>
      <c r="CR27" s="33"/>
      <c r="CS27" s="33"/>
      <c r="CT27" s="33"/>
      <c r="CU27" s="33"/>
      <c r="CV27" s="33"/>
      <c r="CW27" s="33"/>
      <c r="CX27" s="33"/>
      <c r="CY27" s="33"/>
      <c r="CZ27" s="33"/>
      <c r="DA27" s="33"/>
      <c r="DB27" s="33"/>
      <c r="DC27" s="33"/>
      <c r="DD27" s="33"/>
      <c r="DE27" s="33"/>
      <c r="DF27" s="33"/>
      <c r="DG27" s="33"/>
      <c r="DH27" s="33"/>
      <c r="DI27" s="33"/>
      <c r="DJ27" s="33"/>
      <c r="DK27" s="33"/>
      <c r="DL27" s="33"/>
      <c r="DM27" s="33"/>
      <c r="DN27" s="33"/>
      <c r="DO27" s="33"/>
      <c r="DP27" s="33"/>
      <c r="DQ27" s="33"/>
      <c r="DR27" s="33"/>
      <c r="DS27" s="33"/>
      <c r="DT27" s="33"/>
      <c r="DU27" s="33"/>
      <c r="DV27" s="33"/>
      <c r="DW27" s="33"/>
      <c r="DX27" s="33"/>
    </row>
    <row r="28" customFormat="false" ht="13.8" hidden="false" customHeight="false" outlineLevel="0" collapsed="false">
      <c r="A28" s="30"/>
      <c r="B28" s="30"/>
      <c r="C28" s="30"/>
      <c r="D28" s="30"/>
      <c r="E28" s="30"/>
      <c r="F28" s="30"/>
      <c r="G28" s="31"/>
      <c r="H28" s="31"/>
      <c r="I28" s="31"/>
      <c r="J28" s="31"/>
      <c r="K28" s="31"/>
      <c r="L28" s="31"/>
      <c r="M28" s="31"/>
      <c r="N28" s="31"/>
      <c r="O28" s="31"/>
      <c r="P28" s="31"/>
      <c r="Q28" s="31"/>
      <c r="R28" s="31"/>
      <c r="S28" s="31"/>
      <c r="T28" s="31"/>
      <c r="U28" s="31"/>
      <c r="V28" s="31"/>
      <c r="W28" s="31"/>
      <c r="X28" s="31"/>
      <c r="Y28" s="31"/>
      <c r="Z28" s="31"/>
      <c r="AA28" s="31"/>
      <c r="AB28" s="31"/>
      <c r="AC28" s="31"/>
      <c r="AD28" s="31"/>
      <c r="AE28" s="31"/>
      <c r="AF28" s="31"/>
      <c r="AG28" s="31"/>
      <c r="AH28" s="31"/>
      <c r="AI28" s="31"/>
      <c r="AJ28" s="31"/>
      <c r="AK28" s="31"/>
      <c r="AL28" s="31"/>
      <c r="AM28" s="31"/>
      <c r="AN28" s="31"/>
      <c r="AO28" s="31"/>
      <c r="AP28" s="31"/>
      <c r="AQ28" s="31"/>
      <c r="AR28" s="31"/>
      <c r="AS28" s="31"/>
      <c r="AT28" s="31"/>
      <c r="AU28" s="31"/>
      <c r="AV28" s="31"/>
      <c r="AW28" s="31"/>
      <c r="AX28" s="31"/>
      <c r="AY28" s="31"/>
      <c r="AZ28" s="31"/>
      <c r="BA28" s="31"/>
      <c r="BB28" s="31"/>
      <c r="BC28" s="31"/>
      <c r="BD28" s="31"/>
      <c r="BE28" s="31"/>
      <c r="BF28" s="31"/>
      <c r="BG28" s="31"/>
      <c r="BH28" s="31"/>
      <c r="BI28" s="31"/>
      <c r="BJ28" s="31"/>
      <c r="BK28" s="31"/>
      <c r="BL28" s="31"/>
      <c r="BM28" s="31"/>
      <c r="BN28" s="31"/>
      <c r="BO28" s="31"/>
      <c r="BP28" s="31"/>
      <c r="BQ28" s="31"/>
      <c r="BR28" s="31"/>
      <c r="BS28" s="31"/>
      <c r="BT28" s="31"/>
      <c r="BU28" s="31"/>
      <c r="BV28" s="31"/>
      <c r="BW28" s="31"/>
      <c r="BX28" s="31"/>
      <c r="BY28" s="31"/>
      <c r="BZ28" s="31"/>
      <c r="CA28" s="31"/>
      <c r="CB28" s="31"/>
      <c r="CC28" s="31"/>
      <c r="CD28" s="31"/>
      <c r="CE28" s="31"/>
      <c r="CF28" s="31"/>
      <c r="CG28" s="31"/>
      <c r="CH28" s="31"/>
      <c r="CI28" s="31"/>
      <c r="CJ28" s="31"/>
      <c r="CK28" s="31"/>
      <c r="CL28" s="31"/>
      <c r="CM28" s="31"/>
      <c r="CN28" s="31"/>
      <c r="CO28" s="31"/>
      <c r="CP28" s="31"/>
      <c r="CQ28" s="31"/>
      <c r="CR28" s="31"/>
      <c r="CS28" s="31"/>
      <c r="CT28" s="31"/>
      <c r="CU28" s="31"/>
      <c r="CV28" s="31"/>
      <c r="CW28" s="31"/>
      <c r="CX28" s="31"/>
      <c r="CY28" s="31"/>
      <c r="CZ28" s="31"/>
      <c r="DA28" s="31"/>
      <c r="DB28" s="31"/>
      <c r="DC28" s="31"/>
      <c r="DD28" s="31"/>
      <c r="DE28" s="31"/>
      <c r="DF28" s="31"/>
      <c r="DG28" s="31"/>
      <c r="DH28" s="31"/>
      <c r="DI28" s="31"/>
      <c r="DJ28" s="31"/>
      <c r="DK28" s="31"/>
      <c r="DL28" s="31"/>
      <c r="DM28" s="31"/>
      <c r="DN28" s="31"/>
      <c r="DO28" s="31"/>
      <c r="DP28" s="31"/>
      <c r="DQ28" s="31"/>
      <c r="DR28" s="31"/>
      <c r="DS28" s="31"/>
      <c r="DT28" s="31"/>
      <c r="DU28" s="31"/>
      <c r="DV28" s="31"/>
      <c r="DW28" s="31"/>
      <c r="DX28" s="31"/>
    </row>
    <row r="29" customFormat="false" ht="13.8" hidden="false" customHeight="false" outlineLevel="0" collapsed="false">
      <c r="A29" s="32"/>
      <c r="B29" s="32"/>
      <c r="C29" s="32"/>
      <c r="D29" s="32"/>
      <c r="E29" s="32"/>
      <c r="F29" s="32"/>
      <c r="G29" s="33"/>
      <c r="H29" s="33"/>
      <c r="I29" s="33"/>
      <c r="J29" s="33"/>
      <c r="K29" s="33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3"/>
      <c r="AG29" s="33"/>
      <c r="AH29" s="33"/>
      <c r="AI29" s="33"/>
      <c r="AJ29" s="33"/>
      <c r="AK29" s="33"/>
      <c r="AL29" s="33"/>
      <c r="AM29" s="33"/>
      <c r="AN29" s="33"/>
      <c r="AO29" s="33"/>
      <c r="AP29" s="33"/>
      <c r="AQ29" s="33"/>
      <c r="AR29" s="33"/>
      <c r="AS29" s="33"/>
      <c r="AT29" s="33"/>
      <c r="AU29" s="33"/>
      <c r="AV29" s="33"/>
      <c r="AW29" s="33"/>
      <c r="AX29" s="33"/>
      <c r="AY29" s="33"/>
      <c r="AZ29" s="33"/>
      <c r="BA29" s="33"/>
      <c r="BB29" s="33"/>
      <c r="BC29" s="33"/>
      <c r="BD29" s="33"/>
      <c r="BE29" s="33"/>
      <c r="BF29" s="33"/>
      <c r="BG29" s="33"/>
      <c r="BH29" s="33"/>
      <c r="BI29" s="33"/>
      <c r="BJ29" s="33"/>
      <c r="BK29" s="33"/>
      <c r="BL29" s="33"/>
      <c r="BM29" s="33"/>
      <c r="BN29" s="33"/>
      <c r="BO29" s="33"/>
      <c r="BP29" s="33"/>
      <c r="BQ29" s="33"/>
      <c r="BR29" s="33"/>
      <c r="BS29" s="33"/>
      <c r="BT29" s="33"/>
      <c r="BU29" s="33"/>
      <c r="BV29" s="33"/>
      <c r="BW29" s="33"/>
      <c r="BX29" s="33"/>
      <c r="BY29" s="33"/>
      <c r="BZ29" s="33"/>
      <c r="CA29" s="33"/>
      <c r="CB29" s="33"/>
      <c r="CC29" s="33"/>
      <c r="CD29" s="33"/>
      <c r="CE29" s="33"/>
      <c r="CF29" s="33"/>
      <c r="CG29" s="33"/>
      <c r="CH29" s="33"/>
      <c r="CI29" s="33"/>
      <c r="CJ29" s="33"/>
      <c r="CK29" s="33"/>
      <c r="CL29" s="33"/>
      <c r="CM29" s="33"/>
      <c r="CN29" s="33"/>
      <c r="CO29" s="33"/>
      <c r="CP29" s="33"/>
      <c r="CQ29" s="33"/>
      <c r="CR29" s="33"/>
      <c r="CS29" s="33"/>
      <c r="CT29" s="33"/>
      <c r="CU29" s="33"/>
      <c r="CV29" s="33"/>
      <c r="CW29" s="33"/>
      <c r="CX29" s="33"/>
      <c r="CY29" s="33"/>
      <c r="CZ29" s="33"/>
      <c r="DA29" s="33"/>
      <c r="DB29" s="33"/>
      <c r="DC29" s="33"/>
      <c r="DD29" s="33"/>
      <c r="DE29" s="33"/>
      <c r="DF29" s="33"/>
      <c r="DG29" s="33"/>
      <c r="DH29" s="33"/>
      <c r="DI29" s="33"/>
      <c r="DJ29" s="33"/>
      <c r="DK29" s="33"/>
      <c r="DL29" s="33"/>
      <c r="DM29" s="33"/>
      <c r="DN29" s="33"/>
      <c r="DO29" s="33"/>
      <c r="DP29" s="33"/>
      <c r="DQ29" s="33"/>
      <c r="DR29" s="33"/>
      <c r="DS29" s="33"/>
      <c r="DT29" s="33"/>
      <c r="DU29" s="33"/>
      <c r="DV29" s="33"/>
      <c r="DW29" s="33"/>
      <c r="DX29" s="33"/>
    </row>
    <row r="30" customFormat="false" ht="13.8" hidden="false" customHeight="false" outlineLevel="0" collapsed="false">
      <c r="A30" s="30"/>
      <c r="B30" s="30"/>
      <c r="C30" s="30"/>
      <c r="D30" s="30"/>
      <c r="E30" s="30"/>
      <c r="F30" s="30"/>
      <c r="G30" s="31"/>
      <c r="H30" s="31"/>
      <c r="I30" s="31"/>
      <c r="J30" s="31"/>
      <c r="K30" s="31"/>
      <c r="L30" s="31"/>
      <c r="M30" s="31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  <c r="AA30" s="31"/>
      <c r="AB30" s="31"/>
      <c r="AC30" s="31"/>
      <c r="AD30" s="31"/>
      <c r="AE30" s="31"/>
      <c r="AF30" s="31"/>
      <c r="AG30" s="31"/>
      <c r="AH30" s="31"/>
      <c r="AI30" s="31"/>
      <c r="AJ30" s="31"/>
      <c r="AK30" s="31"/>
      <c r="AL30" s="31"/>
      <c r="AM30" s="31"/>
      <c r="AN30" s="31"/>
      <c r="AO30" s="31"/>
      <c r="AP30" s="31"/>
      <c r="AQ30" s="31"/>
      <c r="AR30" s="31"/>
      <c r="AS30" s="31"/>
      <c r="AT30" s="31"/>
      <c r="AU30" s="31"/>
      <c r="AV30" s="31"/>
      <c r="AW30" s="31"/>
      <c r="AX30" s="31"/>
      <c r="AY30" s="31"/>
      <c r="AZ30" s="31"/>
      <c r="BA30" s="31"/>
      <c r="BB30" s="31"/>
      <c r="BC30" s="31"/>
      <c r="BD30" s="31"/>
      <c r="BE30" s="31"/>
      <c r="BF30" s="31"/>
      <c r="BG30" s="31"/>
      <c r="BH30" s="31"/>
      <c r="BI30" s="31"/>
      <c r="BJ30" s="31"/>
      <c r="BK30" s="31"/>
      <c r="BL30" s="31"/>
      <c r="BM30" s="31"/>
      <c r="BN30" s="31"/>
      <c r="BO30" s="31"/>
      <c r="BP30" s="31"/>
      <c r="BQ30" s="31"/>
      <c r="BR30" s="31"/>
      <c r="BS30" s="31"/>
      <c r="BT30" s="31"/>
      <c r="BU30" s="31"/>
      <c r="BV30" s="31"/>
      <c r="BW30" s="31"/>
      <c r="BX30" s="31"/>
      <c r="BY30" s="31"/>
      <c r="BZ30" s="31"/>
      <c r="CA30" s="31"/>
      <c r="CB30" s="31"/>
      <c r="CC30" s="31"/>
      <c r="CD30" s="31"/>
      <c r="CE30" s="31"/>
      <c r="CF30" s="31"/>
      <c r="CG30" s="31"/>
      <c r="CH30" s="31"/>
      <c r="CI30" s="31"/>
      <c r="CJ30" s="31"/>
      <c r="CK30" s="31"/>
      <c r="CL30" s="31"/>
      <c r="CM30" s="31"/>
      <c r="CN30" s="31"/>
      <c r="CO30" s="31"/>
      <c r="CP30" s="31"/>
      <c r="CQ30" s="31"/>
      <c r="CR30" s="31"/>
      <c r="CS30" s="31"/>
      <c r="CT30" s="31"/>
      <c r="CU30" s="31"/>
      <c r="CV30" s="31"/>
      <c r="CW30" s="31"/>
      <c r="CX30" s="31"/>
      <c r="CY30" s="31"/>
      <c r="CZ30" s="31"/>
      <c r="DA30" s="31"/>
      <c r="DB30" s="31"/>
      <c r="DC30" s="31"/>
      <c r="DD30" s="31"/>
      <c r="DE30" s="31"/>
      <c r="DF30" s="31"/>
      <c r="DG30" s="31"/>
      <c r="DH30" s="31"/>
      <c r="DI30" s="31"/>
      <c r="DJ30" s="31"/>
      <c r="DK30" s="31"/>
      <c r="DL30" s="31"/>
      <c r="DM30" s="31"/>
      <c r="DN30" s="31"/>
      <c r="DO30" s="31"/>
      <c r="DP30" s="31"/>
      <c r="DQ30" s="31"/>
      <c r="DR30" s="31"/>
      <c r="DS30" s="31"/>
      <c r="DT30" s="31"/>
      <c r="DU30" s="31"/>
      <c r="DV30" s="31"/>
      <c r="DW30" s="31"/>
      <c r="DX30" s="31"/>
    </row>
    <row r="31" customFormat="false" ht="13.8" hidden="false" customHeight="false" outlineLevel="0" collapsed="false">
      <c r="A31" s="32"/>
      <c r="B31" s="32"/>
      <c r="C31" s="32"/>
      <c r="D31" s="32"/>
      <c r="E31" s="32"/>
      <c r="F31" s="32"/>
      <c r="G31" s="33"/>
      <c r="H31" s="33"/>
      <c r="I31" s="33"/>
      <c r="J31" s="33"/>
      <c r="K31" s="33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3"/>
      <c r="AG31" s="33"/>
      <c r="AH31" s="33"/>
      <c r="AI31" s="33"/>
      <c r="AJ31" s="33"/>
      <c r="AK31" s="33"/>
      <c r="AL31" s="33"/>
      <c r="AM31" s="33"/>
      <c r="AN31" s="33"/>
      <c r="AO31" s="33"/>
      <c r="AP31" s="33"/>
      <c r="AQ31" s="33"/>
      <c r="AR31" s="33"/>
      <c r="AS31" s="33"/>
      <c r="AT31" s="33"/>
      <c r="AU31" s="33"/>
      <c r="AV31" s="33"/>
      <c r="AW31" s="33"/>
      <c r="AX31" s="33"/>
      <c r="AY31" s="33"/>
      <c r="AZ31" s="33"/>
      <c r="BA31" s="33"/>
      <c r="BB31" s="33"/>
      <c r="BC31" s="33"/>
      <c r="BD31" s="33"/>
      <c r="BE31" s="33"/>
      <c r="BF31" s="33"/>
      <c r="BG31" s="33"/>
      <c r="BH31" s="33"/>
      <c r="BI31" s="33"/>
      <c r="BJ31" s="33"/>
      <c r="BK31" s="33"/>
      <c r="BL31" s="33"/>
      <c r="BM31" s="33"/>
      <c r="BN31" s="33"/>
      <c r="BO31" s="33"/>
      <c r="BP31" s="33"/>
      <c r="BQ31" s="33"/>
      <c r="BR31" s="33"/>
      <c r="BS31" s="33"/>
      <c r="BT31" s="33"/>
      <c r="BU31" s="33"/>
      <c r="BV31" s="33"/>
      <c r="BW31" s="33"/>
      <c r="BX31" s="33"/>
      <c r="BY31" s="33"/>
      <c r="BZ31" s="33"/>
      <c r="CA31" s="33"/>
      <c r="CB31" s="33"/>
      <c r="CC31" s="33"/>
      <c r="CD31" s="33"/>
      <c r="CE31" s="33"/>
      <c r="CF31" s="33"/>
      <c r="CG31" s="33"/>
      <c r="CH31" s="33"/>
      <c r="CI31" s="33"/>
      <c r="CJ31" s="33"/>
      <c r="CK31" s="33"/>
      <c r="CL31" s="33"/>
      <c r="CM31" s="33"/>
      <c r="CN31" s="33"/>
      <c r="CO31" s="33"/>
      <c r="CP31" s="33"/>
      <c r="CQ31" s="33"/>
      <c r="CR31" s="33"/>
      <c r="CS31" s="33"/>
      <c r="CT31" s="33"/>
      <c r="CU31" s="33"/>
      <c r="CV31" s="33"/>
      <c r="CW31" s="33"/>
      <c r="CX31" s="33"/>
      <c r="CY31" s="33"/>
      <c r="CZ31" s="33"/>
      <c r="DA31" s="33"/>
      <c r="DB31" s="33"/>
      <c r="DC31" s="33"/>
      <c r="DD31" s="33"/>
      <c r="DE31" s="33"/>
      <c r="DF31" s="33"/>
      <c r="DG31" s="33"/>
      <c r="DH31" s="33"/>
      <c r="DI31" s="33"/>
      <c r="DJ31" s="33"/>
      <c r="DK31" s="33"/>
      <c r="DL31" s="33"/>
      <c r="DM31" s="33"/>
      <c r="DN31" s="33"/>
      <c r="DO31" s="33"/>
      <c r="DP31" s="33"/>
      <c r="DQ31" s="33"/>
      <c r="DR31" s="33"/>
      <c r="DS31" s="33"/>
      <c r="DT31" s="33"/>
      <c r="DU31" s="33"/>
      <c r="DV31" s="33"/>
      <c r="DW31" s="33"/>
      <c r="DX31" s="33"/>
    </row>
    <row r="32" customFormat="false" ht="13.8" hidden="false" customHeight="false" outlineLevel="0" collapsed="false">
      <c r="A32" s="30"/>
      <c r="B32" s="30"/>
      <c r="C32" s="30"/>
      <c r="D32" s="30"/>
      <c r="E32" s="30"/>
      <c r="F32" s="30"/>
      <c r="G32" s="31"/>
      <c r="H32" s="31"/>
      <c r="I32" s="31"/>
      <c r="J32" s="31"/>
      <c r="K32" s="31"/>
      <c r="L32" s="31"/>
      <c r="M32" s="31"/>
      <c r="N32" s="31"/>
      <c r="O32" s="31"/>
      <c r="P32" s="31"/>
      <c r="Q32" s="31"/>
      <c r="R32" s="31"/>
      <c r="S32" s="31"/>
      <c r="T32" s="31"/>
      <c r="U32" s="31"/>
      <c r="V32" s="31"/>
      <c r="W32" s="31"/>
      <c r="X32" s="31"/>
      <c r="Y32" s="31"/>
      <c r="Z32" s="31"/>
      <c r="AA32" s="31"/>
      <c r="AB32" s="31"/>
      <c r="AC32" s="31"/>
      <c r="AD32" s="31"/>
      <c r="AE32" s="31"/>
      <c r="AF32" s="31"/>
      <c r="AG32" s="31"/>
      <c r="AH32" s="31"/>
      <c r="AI32" s="31"/>
      <c r="AJ32" s="31"/>
      <c r="AK32" s="31"/>
      <c r="AL32" s="31"/>
      <c r="AM32" s="31"/>
      <c r="AN32" s="31"/>
      <c r="AO32" s="31"/>
      <c r="AP32" s="31"/>
      <c r="AQ32" s="31"/>
      <c r="AR32" s="31"/>
      <c r="AS32" s="31"/>
      <c r="AT32" s="31"/>
      <c r="AU32" s="31"/>
      <c r="AV32" s="31"/>
      <c r="AW32" s="31"/>
      <c r="AX32" s="31"/>
      <c r="AY32" s="31"/>
      <c r="AZ32" s="31"/>
      <c r="BA32" s="31"/>
      <c r="BB32" s="31"/>
      <c r="BC32" s="31"/>
      <c r="BD32" s="31"/>
      <c r="BE32" s="31"/>
      <c r="BF32" s="31"/>
      <c r="BG32" s="31"/>
      <c r="BH32" s="31"/>
      <c r="BI32" s="31"/>
      <c r="BJ32" s="31"/>
      <c r="BK32" s="31"/>
      <c r="BL32" s="31"/>
      <c r="BM32" s="31"/>
      <c r="BN32" s="31"/>
      <c r="BO32" s="31"/>
      <c r="BP32" s="31"/>
      <c r="BQ32" s="31"/>
      <c r="BR32" s="31"/>
      <c r="BS32" s="31"/>
      <c r="BT32" s="31"/>
      <c r="BU32" s="31"/>
      <c r="BV32" s="31"/>
      <c r="BW32" s="31"/>
      <c r="BX32" s="31"/>
      <c r="BY32" s="31"/>
      <c r="BZ32" s="31"/>
      <c r="CA32" s="31"/>
      <c r="CB32" s="31"/>
      <c r="CC32" s="31"/>
      <c r="CD32" s="31"/>
      <c r="CE32" s="31"/>
      <c r="CF32" s="31"/>
      <c r="CG32" s="31"/>
      <c r="CH32" s="31"/>
      <c r="CI32" s="31"/>
      <c r="CJ32" s="31"/>
      <c r="CK32" s="31"/>
      <c r="CL32" s="31"/>
      <c r="CM32" s="31"/>
      <c r="CN32" s="31"/>
      <c r="CO32" s="31"/>
      <c r="CP32" s="31"/>
      <c r="CQ32" s="31"/>
      <c r="CR32" s="31"/>
      <c r="CS32" s="31"/>
      <c r="CT32" s="31"/>
      <c r="CU32" s="31"/>
      <c r="CV32" s="31"/>
      <c r="CW32" s="31"/>
      <c r="CX32" s="31"/>
      <c r="CY32" s="31"/>
      <c r="CZ32" s="31"/>
      <c r="DA32" s="31"/>
      <c r="DB32" s="31"/>
      <c r="DC32" s="31"/>
      <c r="DD32" s="31"/>
      <c r="DE32" s="31"/>
      <c r="DF32" s="31"/>
      <c r="DG32" s="31"/>
      <c r="DH32" s="31"/>
      <c r="DI32" s="31"/>
      <c r="DJ32" s="31"/>
      <c r="DK32" s="31"/>
      <c r="DL32" s="31"/>
      <c r="DM32" s="31"/>
      <c r="DN32" s="31"/>
      <c r="DO32" s="31"/>
      <c r="DP32" s="31"/>
      <c r="DQ32" s="31"/>
      <c r="DR32" s="31"/>
      <c r="DS32" s="31"/>
      <c r="DT32" s="31"/>
      <c r="DU32" s="31"/>
      <c r="DV32" s="31"/>
      <c r="DW32" s="31"/>
      <c r="DX32" s="31"/>
    </row>
    <row r="33" customFormat="false" ht="13.8" hidden="false" customHeight="false" outlineLevel="0" collapsed="false">
      <c r="A33" s="32"/>
      <c r="B33" s="32"/>
      <c r="C33" s="32"/>
      <c r="D33" s="32"/>
      <c r="E33" s="32"/>
      <c r="F33" s="32"/>
      <c r="G33" s="33"/>
      <c r="H33" s="33"/>
      <c r="I33" s="33"/>
      <c r="J33" s="33"/>
      <c r="K33" s="33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  <c r="AE33" s="33"/>
      <c r="AF33" s="33"/>
      <c r="AG33" s="33"/>
      <c r="AH33" s="33"/>
      <c r="AI33" s="33"/>
      <c r="AJ33" s="33"/>
      <c r="AK33" s="33"/>
      <c r="AL33" s="33"/>
      <c r="AM33" s="33"/>
      <c r="AN33" s="33"/>
      <c r="AO33" s="33"/>
      <c r="AP33" s="33"/>
      <c r="AQ33" s="33"/>
      <c r="AR33" s="33"/>
      <c r="AS33" s="33"/>
      <c r="AT33" s="33"/>
      <c r="AU33" s="33"/>
      <c r="AV33" s="33"/>
      <c r="AW33" s="33"/>
      <c r="AX33" s="33"/>
      <c r="AY33" s="33"/>
      <c r="AZ33" s="33"/>
      <c r="BA33" s="33"/>
      <c r="BB33" s="33"/>
      <c r="BC33" s="33"/>
      <c r="BD33" s="33"/>
      <c r="BE33" s="33"/>
      <c r="BF33" s="33"/>
      <c r="BG33" s="33"/>
      <c r="BH33" s="33"/>
      <c r="BI33" s="33"/>
      <c r="BJ33" s="33"/>
      <c r="BK33" s="33"/>
      <c r="BL33" s="33"/>
      <c r="BM33" s="33"/>
      <c r="BN33" s="33"/>
      <c r="BO33" s="33"/>
      <c r="BP33" s="33"/>
      <c r="BQ33" s="33"/>
      <c r="BR33" s="33"/>
      <c r="BS33" s="33"/>
      <c r="BT33" s="33"/>
      <c r="BU33" s="33"/>
      <c r="BV33" s="33"/>
      <c r="BW33" s="33"/>
      <c r="BX33" s="33"/>
      <c r="BY33" s="33"/>
      <c r="BZ33" s="33"/>
      <c r="CA33" s="33"/>
      <c r="CB33" s="33"/>
      <c r="CC33" s="33"/>
      <c r="CD33" s="33"/>
      <c r="CE33" s="33"/>
      <c r="CF33" s="33"/>
      <c r="CG33" s="33"/>
      <c r="CH33" s="33"/>
      <c r="CI33" s="33"/>
      <c r="CJ33" s="33"/>
      <c r="CK33" s="33"/>
      <c r="CL33" s="33"/>
      <c r="CM33" s="33"/>
      <c r="CN33" s="33"/>
      <c r="CO33" s="33"/>
      <c r="CP33" s="33"/>
      <c r="CQ33" s="33"/>
      <c r="CR33" s="33"/>
      <c r="CS33" s="33"/>
      <c r="CT33" s="33"/>
      <c r="CU33" s="33"/>
      <c r="CV33" s="33"/>
      <c r="CW33" s="33"/>
      <c r="CX33" s="33"/>
      <c r="CY33" s="33"/>
      <c r="CZ33" s="33"/>
      <c r="DA33" s="33"/>
      <c r="DB33" s="33"/>
      <c r="DC33" s="33"/>
      <c r="DD33" s="33"/>
      <c r="DE33" s="33"/>
      <c r="DF33" s="33"/>
      <c r="DG33" s="33"/>
      <c r="DH33" s="33"/>
      <c r="DI33" s="33"/>
      <c r="DJ33" s="33"/>
      <c r="DK33" s="33"/>
      <c r="DL33" s="33"/>
      <c r="DM33" s="33"/>
      <c r="DN33" s="33"/>
      <c r="DO33" s="33"/>
      <c r="DP33" s="33"/>
      <c r="DQ33" s="33"/>
      <c r="DR33" s="33"/>
      <c r="DS33" s="33"/>
      <c r="DT33" s="33"/>
      <c r="DU33" s="33"/>
      <c r="DV33" s="33"/>
      <c r="DW33" s="33"/>
      <c r="DX33" s="33"/>
    </row>
    <row r="34" customFormat="false" ht="13.8" hidden="false" customHeight="false" outlineLevel="0" collapsed="false">
      <c r="A34" s="30"/>
      <c r="B34" s="30"/>
      <c r="C34" s="30"/>
      <c r="D34" s="30"/>
      <c r="E34" s="30"/>
      <c r="F34" s="30"/>
      <c r="G34" s="31"/>
      <c r="H34" s="31"/>
      <c r="I34" s="31"/>
      <c r="J34" s="31"/>
      <c r="K34" s="31"/>
      <c r="L34" s="31"/>
      <c r="M34" s="31"/>
      <c r="N34" s="31"/>
      <c r="O34" s="31"/>
      <c r="P34" s="31"/>
      <c r="Q34" s="31"/>
      <c r="R34" s="31"/>
      <c r="S34" s="31"/>
      <c r="T34" s="31"/>
      <c r="U34" s="31"/>
      <c r="V34" s="31"/>
      <c r="W34" s="31"/>
      <c r="X34" s="31"/>
      <c r="Y34" s="31"/>
      <c r="Z34" s="31"/>
      <c r="AA34" s="31"/>
      <c r="AB34" s="31"/>
      <c r="AC34" s="31"/>
      <c r="AD34" s="31"/>
      <c r="AE34" s="31"/>
      <c r="AF34" s="31"/>
      <c r="AG34" s="31"/>
      <c r="AH34" s="31"/>
      <c r="AI34" s="31"/>
      <c r="AJ34" s="31"/>
      <c r="AK34" s="31"/>
      <c r="AL34" s="31"/>
      <c r="AM34" s="31"/>
      <c r="AN34" s="31"/>
      <c r="AO34" s="31"/>
      <c r="AP34" s="31"/>
      <c r="AQ34" s="31"/>
      <c r="AR34" s="31"/>
      <c r="AS34" s="31"/>
      <c r="AT34" s="31"/>
      <c r="AU34" s="31"/>
      <c r="AV34" s="31"/>
      <c r="AW34" s="31"/>
      <c r="AX34" s="31"/>
      <c r="AY34" s="31"/>
      <c r="AZ34" s="31"/>
      <c r="BA34" s="31"/>
      <c r="BB34" s="31"/>
      <c r="BC34" s="31"/>
      <c r="BD34" s="31"/>
      <c r="BE34" s="31"/>
      <c r="BF34" s="31"/>
      <c r="BG34" s="31"/>
      <c r="BH34" s="31"/>
      <c r="BI34" s="31"/>
      <c r="BJ34" s="31"/>
      <c r="BK34" s="31"/>
      <c r="BL34" s="31"/>
      <c r="BM34" s="31"/>
      <c r="BN34" s="31"/>
      <c r="BO34" s="31"/>
      <c r="BP34" s="31"/>
      <c r="BQ34" s="31"/>
      <c r="BR34" s="31"/>
      <c r="BS34" s="31"/>
      <c r="BT34" s="31"/>
      <c r="BU34" s="31"/>
      <c r="BV34" s="31"/>
      <c r="BW34" s="31"/>
      <c r="BX34" s="31"/>
      <c r="BY34" s="31"/>
      <c r="BZ34" s="31"/>
      <c r="CA34" s="31"/>
      <c r="CB34" s="31"/>
      <c r="CC34" s="31"/>
      <c r="CD34" s="31"/>
      <c r="CE34" s="31"/>
      <c r="CF34" s="31"/>
      <c r="CG34" s="31"/>
      <c r="CH34" s="31"/>
      <c r="CI34" s="31"/>
      <c r="CJ34" s="31"/>
      <c r="CK34" s="31"/>
      <c r="CL34" s="31"/>
      <c r="CM34" s="31"/>
      <c r="CN34" s="31"/>
      <c r="CO34" s="31"/>
      <c r="CP34" s="31"/>
      <c r="CQ34" s="31"/>
      <c r="CR34" s="31"/>
      <c r="CS34" s="31"/>
      <c r="CT34" s="31"/>
      <c r="CU34" s="31"/>
      <c r="CV34" s="31"/>
      <c r="CW34" s="31"/>
      <c r="CX34" s="31"/>
      <c r="CY34" s="31"/>
      <c r="CZ34" s="31"/>
      <c r="DA34" s="31"/>
      <c r="DB34" s="31"/>
      <c r="DC34" s="31"/>
      <c r="DD34" s="31"/>
      <c r="DE34" s="31"/>
      <c r="DF34" s="31"/>
      <c r="DG34" s="31"/>
      <c r="DH34" s="31"/>
      <c r="DI34" s="31"/>
      <c r="DJ34" s="31"/>
      <c r="DK34" s="31"/>
      <c r="DL34" s="31"/>
      <c r="DM34" s="31"/>
      <c r="DN34" s="31"/>
      <c r="DO34" s="31"/>
      <c r="DP34" s="31"/>
      <c r="DQ34" s="31"/>
      <c r="DR34" s="31"/>
      <c r="DS34" s="31"/>
      <c r="DT34" s="31"/>
      <c r="DU34" s="31"/>
      <c r="DV34" s="31"/>
      <c r="DW34" s="31"/>
      <c r="DX34" s="31"/>
    </row>
    <row r="35" customFormat="false" ht="13.8" hidden="false" customHeight="false" outlineLevel="0" collapsed="false">
      <c r="A35" s="32"/>
      <c r="B35" s="32"/>
      <c r="C35" s="32"/>
      <c r="D35" s="32"/>
      <c r="E35" s="32"/>
      <c r="F35" s="32"/>
      <c r="G35" s="33"/>
      <c r="H35" s="33"/>
      <c r="I35" s="33"/>
      <c r="J35" s="33"/>
      <c r="K35" s="33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33"/>
      <c r="AQ35" s="33"/>
      <c r="AR35" s="33"/>
      <c r="AS35" s="33"/>
      <c r="AT35" s="33"/>
      <c r="AU35" s="33"/>
      <c r="AV35" s="33"/>
      <c r="AW35" s="33"/>
      <c r="AX35" s="33"/>
      <c r="AY35" s="33"/>
      <c r="AZ35" s="33"/>
      <c r="BA35" s="33"/>
      <c r="BB35" s="33"/>
      <c r="BC35" s="33"/>
      <c r="BD35" s="33"/>
      <c r="BE35" s="33"/>
      <c r="BF35" s="33"/>
      <c r="BG35" s="33"/>
      <c r="BH35" s="33"/>
      <c r="BI35" s="33"/>
      <c r="BJ35" s="33"/>
      <c r="BK35" s="33"/>
      <c r="BL35" s="33"/>
      <c r="BM35" s="33"/>
      <c r="BN35" s="33"/>
      <c r="BO35" s="33"/>
      <c r="BP35" s="33"/>
      <c r="BQ35" s="33"/>
      <c r="BR35" s="33"/>
      <c r="BS35" s="33"/>
      <c r="BT35" s="33"/>
      <c r="BU35" s="33"/>
      <c r="BV35" s="33"/>
      <c r="BW35" s="33"/>
      <c r="BX35" s="33"/>
      <c r="BY35" s="33"/>
      <c r="BZ35" s="33"/>
      <c r="CA35" s="33"/>
      <c r="CB35" s="33"/>
      <c r="CC35" s="33"/>
      <c r="CD35" s="33"/>
      <c r="CE35" s="33"/>
      <c r="CF35" s="33"/>
      <c r="CG35" s="33"/>
      <c r="CH35" s="33"/>
      <c r="CI35" s="33"/>
      <c r="CJ35" s="33"/>
      <c r="CK35" s="33"/>
      <c r="CL35" s="33"/>
      <c r="CM35" s="33"/>
      <c r="CN35" s="33"/>
      <c r="CO35" s="33"/>
      <c r="CP35" s="33"/>
      <c r="CQ35" s="33"/>
      <c r="CR35" s="33"/>
      <c r="CS35" s="33"/>
      <c r="CT35" s="33"/>
      <c r="CU35" s="33"/>
      <c r="CV35" s="33"/>
      <c r="CW35" s="33"/>
      <c r="CX35" s="33"/>
      <c r="CY35" s="33"/>
      <c r="CZ35" s="33"/>
      <c r="DA35" s="33"/>
      <c r="DB35" s="33"/>
      <c r="DC35" s="33"/>
      <c r="DD35" s="33"/>
      <c r="DE35" s="33"/>
      <c r="DF35" s="33"/>
      <c r="DG35" s="33"/>
      <c r="DH35" s="33"/>
      <c r="DI35" s="33"/>
      <c r="DJ35" s="33"/>
      <c r="DK35" s="33"/>
      <c r="DL35" s="33"/>
      <c r="DM35" s="33"/>
      <c r="DN35" s="33"/>
      <c r="DO35" s="33"/>
      <c r="DP35" s="33"/>
      <c r="DQ35" s="33"/>
      <c r="DR35" s="33"/>
      <c r="DS35" s="33"/>
      <c r="DT35" s="33"/>
      <c r="DU35" s="33"/>
      <c r="DV35" s="33"/>
      <c r="DW35" s="33"/>
      <c r="DX35" s="33"/>
    </row>
    <row r="36" customFormat="false" ht="13.8" hidden="false" customHeight="false" outlineLevel="0" collapsed="false">
      <c r="A36" s="30"/>
      <c r="B36" s="30"/>
      <c r="C36" s="30"/>
      <c r="D36" s="30"/>
      <c r="E36" s="30"/>
      <c r="F36" s="30"/>
      <c r="G36" s="31"/>
      <c r="H36" s="31"/>
      <c r="I36" s="31"/>
      <c r="J36" s="31"/>
      <c r="K36" s="31"/>
      <c r="L36" s="31"/>
      <c r="M36" s="31"/>
      <c r="N36" s="31"/>
      <c r="O36" s="31"/>
      <c r="P36" s="31"/>
      <c r="Q36" s="31"/>
      <c r="R36" s="31"/>
      <c r="S36" s="31"/>
      <c r="T36" s="31"/>
      <c r="U36" s="31"/>
      <c r="V36" s="31"/>
      <c r="W36" s="31"/>
      <c r="X36" s="31"/>
      <c r="Y36" s="31"/>
      <c r="Z36" s="31"/>
      <c r="AA36" s="31"/>
      <c r="AB36" s="31"/>
      <c r="AC36" s="31"/>
      <c r="AD36" s="31"/>
      <c r="AE36" s="31"/>
      <c r="AF36" s="31"/>
      <c r="AG36" s="31"/>
      <c r="AH36" s="31"/>
      <c r="AI36" s="31"/>
      <c r="AJ36" s="31"/>
      <c r="AK36" s="31"/>
      <c r="AL36" s="31"/>
      <c r="AM36" s="31"/>
      <c r="AN36" s="31"/>
      <c r="AO36" s="31"/>
      <c r="AP36" s="31"/>
      <c r="AQ36" s="31"/>
      <c r="AR36" s="31"/>
      <c r="AS36" s="31"/>
      <c r="AT36" s="31"/>
      <c r="AU36" s="31"/>
      <c r="AV36" s="31"/>
      <c r="AW36" s="31"/>
      <c r="AX36" s="31"/>
      <c r="AY36" s="31"/>
      <c r="AZ36" s="31"/>
      <c r="BA36" s="31"/>
      <c r="BB36" s="31"/>
      <c r="BC36" s="31"/>
      <c r="BD36" s="31"/>
      <c r="BE36" s="31"/>
      <c r="BF36" s="31"/>
      <c r="BG36" s="31"/>
      <c r="BH36" s="31"/>
      <c r="BI36" s="31"/>
      <c r="BJ36" s="31"/>
      <c r="BK36" s="31"/>
      <c r="BL36" s="31"/>
      <c r="BM36" s="31"/>
      <c r="BN36" s="31"/>
      <c r="BO36" s="31"/>
      <c r="BP36" s="31"/>
      <c r="BQ36" s="31"/>
      <c r="BR36" s="31"/>
      <c r="BS36" s="31"/>
      <c r="BT36" s="31"/>
      <c r="BU36" s="31"/>
      <c r="BV36" s="31"/>
      <c r="BW36" s="31"/>
      <c r="BX36" s="31"/>
      <c r="BY36" s="31"/>
      <c r="BZ36" s="31"/>
      <c r="CA36" s="31"/>
      <c r="CB36" s="31"/>
      <c r="CC36" s="31"/>
      <c r="CD36" s="31"/>
      <c r="CE36" s="31"/>
      <c r="CF36" s="31"/>
      <c r="CG36" s="31"/>
      <c r="CH36" s="31"/>
      <c r="CI36" s="31"/>
      <c r="CJ36" s="31"/>
      <c r="CK36" s="31"/>
      <c r="CL36" s="31"/>
      <c r="CM36" s="31"/>
      <c r="CN36" s="31"/>
      <c r="CO36" s="31"/>
      <c r="CP36" s="31"/>
      <c r="CQ36" s="31"/>
      <c r="CR36" s="31"/>
      <c r="CS36" s="31"/>
      <c r="CT36" s="31"/>
      <c r="CU36" s="31"/>
      <c r="CV36" s="31"/>
      <c r="CW36" s="31"/>
      <c r="CX36" s="31"/>
      <c r="CY36" s="31"/>
      <c r="CZ36" s="31"/>
      <c r="DA36" s="31"/>
      <c r="DB36" s="31"/>
      <c r="DC36" s="31"/>
      <c r="DD36" s="31"/>
      <c r="DE36" s="31"/>
      <c r="DF36" s="31"/>
      <c r="DG36" s="31"/>
      <c r="DH36" s="31"/>
      <c r="DI36" s="31"/>
      <c r="DJ36" s="31"/>
      <c r="DK36" s="31"/>
      <c r="DL36" s="31"/>
      <c r="DM36" s="31"/>
      <c r="DN36" s="31"/>
      <c r="DO36" s="31"/>
      <c r="DP36" s="31"/>
      <c r="DQ36" s="31"/>
      <c r="DR36" s="31"/>
      <c r="DS36" s="31"/>
      <c r="DT36" s="31"/>
      <c r="DU36" s="31"/>
      <c r="DV36" s="31"/>
      <c r="DW36" s="31"/>
      <c r="DX36" s="31"/>
    </row>
    <row r="37" customFormat="false" ht="13.8" hidden="false" customHeight="false" outlineLevel="0" collapsed="false">
      <c r="A37" s="32"/>
      <c r="B37" s="32"/>
      <c r="C37" s="32"/>
      <c r="D37" s="32"/>
      <c r="E37" s="32"/>
      <c r="F37" s="32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33"/>
      <c r="AQ37" s="33"/>
      <c r="AR37" s="33"/>
      <c r="AS37" s="33"/>
      <c r="AT37" s="33"/>
      <c r="AU37" s="33"/>
      <c r="AV37" s="33"/>
      <c r="AW37" s="33"/>
      <c r="AX37" s="33"/>
      <c r="AY37" s="33"/>
      <c r="AZ37" s="33"/>
      <c r="BA37" s="33"/>
      <c r="BB37" s="33"/>
      <c r="BC37" s="33"/>
      <c r="BD37" s="33"/>
      <c r="BE37" s="33"/>
      <c r="BF37" s="33"/>
      <c r="BG37" s="33"/>
      <c r="BH37" s="33"/>
      <c r="BI37" s="33"/>
      <c r="BJ37" s="33"/>
      <c r="BK37" s="33"/>
      <c r="BL37" s="33"/>
      <c r="BM37" s="33"/>
      <c r="BN37" s="33"/>
      <c r="BO37" s="33"/>
      <c r="BP37" s="33"/>
      <c r="BQ37" s="33"/>
      <c r="BR37" s="33"/>
      <c r="BS37" s="33"/>
      <c r="BT37" s="33"/>
      <c r="BU37" s="33"/>
      <c r="BV37" s="33"/>
      <c r="BW37" s="33"/>
      <c r="BX37" s="33"/>
      <c r="BY37" s="33"/>
      <c r="BZ37" s="33"/>
      <c r="CA37" s="33"/>
      <c r="CB37" s="33"/>
      <c r="CC37" s="33"/>
      <c r="CD37" s="33"/>
      <c r="CE37" s="33"/>
      <c r="CF37" s="33"/>
      <c r="CG37" s="33"/>
      <c r="CH37" s="33"/>
      <c r="CI37" s="33"/>
      <c r="CJ37" s="33"/>
      <c r="CK37" s="33"/>
      <c r="CL37" s="33"/>
      <c r="CM37" s="33"/>
      <c r="CN37" s="33"/>
      <c r="CO37" s="33"/>
      <c r="CP37" s="33"/>
      <c r="CQ37" s="33"/>
      <c r="CR37" s="33"/>
      <c r="CS37" s="33"/>
      <c r="CT37" s="33"/>
      <c r="CU37" s="33"/>
      <c r="CV37" s="33"/>
      <c r="CW37" s="33"/>
      <c r="CX37" s="33"/>
      <c r="CY37" s="33"/>
      <c r="CZ37" s="33"/>
      <c r="DA37" s="33"/>
      <c r="DB37" s="33"/>
      <c r="DC37" s="33"/>
      <c r="DD37" s="33"/>
      <c r="DE37" s="33"/>
      <c r="DF37" s="33"/>
      <c r="DG37" s="33"/>
      <c r="DH37" s="33"/>
      <c r="DI37" s="33"/>
      <c r="DJ37" s="33"/>
      <c r="DK37" s="33"/>
      <c r="DL37" s="33"/>
      <c r="DM37" s="33"/>
      <c r="DN37" s="33"/>
      <c r="DO37" s="33"/>
      <c r="DP37" s="33"/>
      <c r="DQ37" s="33"/>
      <c r="DR37" s="33"/>
      <c r="DS37" s="33"/>
      <c r="DT37" s="33"/>
      <c r="DU37" s="33"/>
      <c r="DV37" s="33"/>
      <c r="DW37" s="33"/>
      <c r="DX37" s="33"/>
    </row>
    <row r="38" customFormat="false" ht="13.8" hidden="false" customHeight="false" outlineLevel="0" collapsed="false">
      <c r="A38" s="30"/>
      <c r="B38" s="30"/>
      <c r="C38" s="30"/>
      <c r="D38" s="30"/>
      <c r="E38" s="30"/>
      <c r="F38" s="30"/>
      <c r="G38" s="31"/>
      <c r="H38" s="31"/>
      <c r="I38" s="31"/>
      <c r="J38" s="31"/>
      <c r="K38" s="31"/>
      <c r="L38" s="31"/>
      <c r="M38" s="31"/>
      <c r="N38" s="31"/>
      <c r="O38" s="31"/>
      <c r="P38" s="31"/>
      <c r="Q38" s="31"/>
      <c r="R38" s="31"/>
      <c r="S38" s="31"/>
      <c r="T38" s="31"/>
      <c r="U38" s="31"/>
      <c r="V38" s="31"/>
      <c r="W38" s="31"/>
      <c r="X38" s="31"/>
      <c r="Y38" s="31"/>
      <c r="Z38" s="31"/>
      <c r="AA38" s="31"/>
      <c r="AB38" s="31"/>
      <c r="AC38" s="31"/>
      <c r="AD38" s="31"/>
      <c r="AE38" s="31"/>
      <c r="AF38" s="31"/>
      <c r="AG38" s="31"/>
      <c r="AH38" s="31"/>
      <c r="AI38" s="31"/>
      <c r="AJ38" s="31"/>
      <c r="AK38" s="31"/>
      <c r="AL38" s="31"/>
      <c r="AM38" s="31"/>
      <c r="AN38" s="31"/>
      <c r="AO38" s="31"/>
      <c r="AP38" s="31"/>
      <c r="AQ38" s="31"/>
      <c r="AR38" s="31"/>
      <c r="AS38" s="31"/>
      <c r="AT38" s="31"/>
      <c r="AU38" s="31"/>
      <c r="AV38" s="31"/>
      <c r="AW38" s="31"/>
      <c r="AX38" s="31"/>
      <c r="AY38" s="31"/>
      <c r="AZ38" s="31"/>
      <c r="BA38" s="31"/>
      <c r="BB38" s="31"/>
      <c r="BC38" s="31"/>
      <c r="BD38" s="31"/>
      <c r="BE38" s="31"/>
      <c r="BF38" s="31"/>
      <c r="BG38" s="31"/>
      <c r="BH38" s="31"/>
      <c r="BI38" s="31"/>
      <c r="BJ38" s="31"/>
      <c r="BK38" s="31"/>
      <c r="BL38" s="31"/>
      <c r="BM38" s="31"/>
      <c r="BN38" s="31"/>
      <c r="BO38" s="31"/>
      <c r="BP38" s="31"/>
      <c r="BQ38" s="31"/>
      <c r="BR38" s="31"/>
      <c r="BS38" s="31"/>
      <c r="BT38" s="31"/>
      <c r="BU38" s="31"/>
      <c r="BV38" s="31"/>
      <c r="BW38" s="31"/>
      <c r="BX38" s="31"/>
      <c r="BY38" s="31"/>
      <c r="BZ38" s="31"/>
      <c r="CA38" s="31"/>
      <c r="CB38" s="31"/>
      <c r="CC38" s="31"/>
      <c r="CD38" s="31"/>
      <c r="CE38" s="31"/>
      <c r="CF38" s="31"/>
      <c r="CG38" s="31"/>
      <c r="CH38" s="31"/>
      <c r="CI38" s="31"/>
      <c r="CJ38" s="31"/>
      <c r="CK38" s="31"/>
      <c r="CL38" s="31"/>
      <c r="CM38" s="31"/>
      <c r="CN38" s="31"/>
      <c r="CO38" s="31"/>
      <c r="CP38" s="31"/>
      <c r="CQ38" s="31"/>
      <c r="CR38" s="31"/>
      <c r="CS38" s="31"/>
      <c r="CT38" s="31"/>
      <c r="CU38" s="31"/>
      <c r="CV38" s="31"/>
      <c r="CW38" s="31"/>
      <c r="CX38" s="31"/>
      <c r="CY38" s="31"/>
      <c r="CZ38" s="31"/>
      <c r="DA38" s="31"/>
      <c r="DB38" s="31"/>
      <c r="DC38" s="31"/>
      <c r="DD38" s="31"/>
      <c r="DE38" s="31"/>
      <c r="DF38" s="31"/>
      <c r="DG38" s="31"/>
      <c r="DH38" s="31"/>
      <c r="DI38" s="31"/>
      <c r="DJ38" s="31"/>
      <c r="DK38" s="31"/>
      <c r="DL38" s="31"/>
      <c r="DM38" s="31"/>
      <c r="DN38" s="31"/>
      <c r="DO38" s="31"/>
      <c r="DP38" s="31"/>
      <c r="DQ38" s="31"/>
      <c r="DR38" s="31"/>
      <c r="DS38" s="31"/>
      <c r="DT38" s="31"/>
      <c r="DU38" s="31"/>
      <c r="DV38" s="31"/>
      <c r="DW38" s="31"/>
      <c r="DX38" s="31"/>
    </row>
    <row r="39" customFormat="false" ht="13.8" hidden="false" customHeight="false" outlineLevel="0" collapsed="false">
      <c r="A39" s="32"/>
      <c r="B39" s="32"/>
      <c r="C39" s="32"/>
      <c r="D39" s="32"/>
      <c r="E39" s="32"/>
      <c r="F39" s="32"/>
      <c r="G39" s="33"/>
      <c r="H39" s="33"/>
      <c r="I39" s="33"/>
      <c r="J39" s="33"/>
      <c r="K39" s="33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  <c r="AE39" s="33"/>
      <c r="AF39" s="33"/>
      <c r="AG39" s="33"/>
      <c r="AH39" s="33"/>
      <c r="AI39" s="33"/>
      <c r="AJ39" s="33"/>
      <c r="AK39" s="33"/>
      <c r="AL39" s="33"/>
      <c r="AM39" s="33"/>
      <c r="AN39" s="33"/>
      <c r="AO39" s="33"/>
      <c r="AP39" s="33"/>
      <c r="AQ39" s="33"/>
      <c r="AR39" s="33"/>
      <c r="AS39" s="33"/>
      <c r="AT39" s="33"/>
      <c r="AU39" s="33"/>
      <c r="AV39" s="33"/>
      <c r="AW39" s="33"/>
      <c r="AX39" s="33"/>
      <c r="AY39" s="33"/>
      <c r="AZ39" s="33"/>
      <c r="BA39" s="33"/>
      <c r="BB39" s="33"/>
      <c r="BC39" s="33"/>
      <c r="BD39" s="33"/>
      <c r="BE39" s="33"/>
      <c r="BF39" s="33"/>
      <c r="BG39" s="33"/>
      <c r="BH39" s="33"/>
      <c r="BI39" s="33"/>
      <c r="BJ39" s="33"/>
      <c r="BK39" s="33"/>
      <c r="BL39" s="33"/>
      <c r="BM39" s="33"/>
      <c r="BN39" s="33"/>
      <c r="BO39" s="33"/>
      <c r="BP39" s="33"/>
      <c r="BQ39" s="33"/>
      <c r="BR39" s="33"/>
      <c r="BS39" s="33"/>
      <c r="BT39" s="33"/>
      <c r="BU39" s="33"/>
      <c r="BV39" s="33"/>
      <c r="BW39" s="33"/>
      <c r="BX39" s="33"/>
      <c r="BY39" s="33"/>
      <c r="BZ39" s="33"/>
      <c r="CA39" s="33"/>
      <c r="CB39" s="33"/>
      <c r="CC39" s="33"/>
      <c r="CD39" s="33"/>
      <c r="CE39" s="33"/>
      <c r="CF39" s="33"/>
      <c r="CG39" s="33"/>
      <c r="CH39" s="33"/>
      <c r="CI39" s="33"/>
      <c r="CJ39" s="33"/>
      <c r="CK39" s="33"/>
      <c r="CL39" s="33"/>
      <c r="CM39" s="33"/>
      <c r="CN39" s="33"/>
      <c r="CO39" s="33"/>
      <c r="CP39" s="33"/>
      <c r="CQ39" s="33"/>
      <c r="CR39" s="33"/>
      <c r="CS39" s="33"/>
      <c r="CT39" s="33"/>
      <c r="CU39" s="33"/>
      <c r="CV39" s="33"/>
      <c r="CW39" s="33"/>
      <c r="CX39" s="33"/>
      <c r="CY39" s="33"/>
      <c r="CZ39" s="33"/>
      <c r="DA39" s="33"/>
      <c r="DB39" s="33"/>
      <c r="DC39" s="33"/>
      <c r="DD39" s="33"/>
      <c r="DE39" s="33"/>
      <c r="DF39" s="33"/>
      <c r="DG39" s="33"/>
      <c r="DH39" s="33"/>
      <c r="DI39" s="33"/>
      <c r="DJ39" s="33"/>
      <c r="DK39" s="33"/>
      <c r="DL39" s="33"/>
      <c r="DM39" s="33"/>
      <c r="DN39" s="33"/>
      <c r="DO39" s="33"/>
      <c r="DP39" s="33"/>
      <c r="DQ39" s="33"/>
      <c r="DR39" s="33"/>
      <c r="DS39" s="33"/>
      <c r="DT39" s="33"/>
      <c r="DU39" s="33"/>
      <c r="DV39" s="33"/>
      <c r="DW39" s="33"/>
      <c r="DX39" s="33"/>
    </row>
    <row r="40" customFormat="false" ht="13.8" hidden="false" customHeight="false" outlineLevel="0" collapsed="false">
      <c r="A40" s="30"/>
      <c r="B40" s="30"/>
      <c r="C40" s="30"/>
      <c r="D40" s="30"/>
      <c r="E40" s="30"/>
      <c r="F40" s="30"/>
      <c r="G40" s="31"/>
      <c r="H40" s="31"/>
      <c r="I40" s="31"/>
      <c r="J40" s="31"/>
      <c r="K40" s="31"/>
      <c r="L40" s="31"/>
      <c r="M40" s="31"/>
      <c r="N40" s="31"/>
      <c r="O40" s="31"/>
      <c r="P40" s="31"/>
      <c r="Q40" s="31"/>
      <c r="R40" s="31"/>
      <c r="S40" s="31"/>
      <c r="T40" s="31"/>
      <c r="U40" s="31"/>
      <c r="V40" s="31"/>
      <c r="W40" s="31"/>
      <c r="X40" s="31"/>
      <c r="Y40" s="31"/>
      <c r="Z40" s="31"/>
      <c r="AA40" s="31"/>
      <c r="AB40" s="31"/>
      <c r="AC40" s="31"/>
      <c r="AD40" s="31"/>
      <c r="AE40" s="31"/>
      <c r="AF40" s="31"/>
      <c r="AG40" s="31"/>
      <c r="AH40" s="31"/>
      <c r="AI40" s="31"/>
      <c r="AJ40" s="31"/>
      <c r="AK40" s="31"/>
      <c r="AL40" s="31"/>
      <c r="AM40" s="31"/>
      <c r="AN40" s="31"/>
      <c r="AO40" s="31"/>
      <c r="AP40" s="31"/>
      <c r="AQ40" s="31"/>
      <c r="AR40" s="31"/>
      <c r="AS40" s="31"/>
      <c r="AT40" s="31"/>
      <c r="AU40" s="31"/>
      <c r="AV40" s="31"/>
      <c r="AW40" s="31"/>
      <c r="AX40" s="31"/>
      <c r="AY40" s="31"/>
      <c r="AZ40" s="31"/>
      <c r="BA40" s="31"/>
      <c r="BB40" s="31"/>
      <c r="BC40" s="31"/>
      <c r="BD40" s="31"/>
      <c r="BE40" s="31"/>
      <c r="BF40" s="31"/>
      <c r="BG40" s="31"/>
      <c r="BH40" s="31"/>
      <c r="BI40" s="31"/>
      <c r="BJ40" s="31"/>
      <c r="BK40" s="31"/>
      <c r="BL40" s="31"/>
      <c r="BM40" s="31"/>
      <c r="BN40" s="31"/>
      <c r="BO40" s="31"/>
      <c r="BP40" s="31"/>
      <c r="BQ40" s="31"/>
      <c r="BR40" s="31"/>
      <c r="BS40" s="31"/>
      <c r="BT40" s="31"/>
      <c r="BU40" s="31"/>
      <c r="BV40" s="31"/>
      <c r="BW40" s="31"/>
      <c r="BX40" s="31"/>
      <c r="BY40" s="31"/>
      <c r="BZ40" s="31"/>
      <c r="CA40" s="31"/>
      <c r="CB40" s="31"/>
      <c r="CC40" s="31"/>
      <c r="CD40" s="31"/>
      <c r="CE40" s="31"/>
      <c r="CF40" s="31"/>
      <c r="CG40" s="31"/>
      <c r="CH40" s="31"/>
      <c r="CI40" s="31"/>
      <c r="CJ40" s="31"/>
      <c r="CK40" s="31"/>
      <c r="CL40" s="31"/>
      <c r="CM40" s="31"/>
      <c r="CN40" s="31"/>
      <c r="CO40" s="31"/>
      <c r="CP40" s="31"/>
      <c r="CQ40" s="31"/>
      <c r="CR40" s="31"/>
      <c r="CS40" s="31"/>
      <c r="CT40" s="31"/>
      <c r="CU40" s="31"/>
      <c r="CV40" s="31"/>
      <c r="CW40" s="31"/>
      <c r="CX40" s="31"/>
      <c r="CY40" s="31"/>
      <c r="CZ40" s="31"/>
      <c r="DA40" s="31"/>
      <c r="DB40" s="31"/>
      <c r="DC40" s="31"/>
      <c r="DD40" s="31"/>
      <c r="DE40" s="31"/>
      <c r="DF40" s="31"/>
      <c r="DG40" s="31"/>
      <c r="DH40" s="31"/>
      <c r="DI40" s="31"/>
      <c r="DJ40" s="31"/>
      <c r="DK40" s="31"/>
      <c r="DL40" s="31"/>
      <c r="DM40" s="31"/>
      <c r="DN40" s="31"/>
      <c r="DO40" s="31"/>
      <c r="DP40" s="31"/>
      <c r="DQ40" s="31"/>
      <c r="DR40" s="31"/>
      <c r="DS40" s="31"/>
      <c r="DT40" s="31"/>
      <c r="DU40" s="31"/>
      <c r="DV40" s="31"/>
      <c r="DW40" s="31"/>
      <c r="DX40" s="31"/>
    </row>
    <row r="41" customFormat="false" ht="13.8" hidden="false" customHeight="false" outlineLevel="0" collapsed="false">
      <c r="A41" s="32"/>
      <c r="B41" s="32"/>
      <c r="C41" s="32"/>
      <c r="D41" s="32"/>
      <c r="E41" s="32"/>
      <c r="F41" s="32"/>
      <c r="G41" s="33"/>
      <c r="H41" s="33"/>
      <c r="I41" s="33"/>
      <c r="J41" s="33"/>
      <c r="K41" s="33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  <c r="AE41" s="33"/>
      <c r="AF41" s="33"/>
      <c r="AG41" s="33"/>
      <c r="AH41" s="33"/>
      <c r="AI41" s="33"/>
      <c r="AJ41" s="33"/>
      <c r="AK41" s="33"/>
      <c r="AL41" s="33"/>
      <c r="AM41" s="33"/>
      <c r="AN41" s="33"/>
      <c r="AO41" s="33"/>
      <c r="AP41" s="33"/>
      <c r="AQ41" s="33"/>
      <c r="AR41" s="33"/>
      <c r="AS41" s="33"/>
      <c r="AT41" s="33"/>
      <c r="AU41" s="33"/>
      <c r="AV41" s="33"/>
      <c r="AW41" s="33"/>
      <c r="AX41" s="33"/>
      <c r="AY41" s="33"/>
      <c r="AZ41" s="33"/>
      <c r="BA41" s="33"/>
      <c r="BB41" s="33"/>
      <c r="BC41" s="33"/>
      <c r="BD41" s="33"/>
      <c r="BE41" s="33"/>
      <c r="BF41" s="33"/>
      <c r="BG41" s="33"/>
      <c r="BH41" s="33"/>
      <c r="BI41" s="33"/>
      <c r="BJ41" s="33"/>
      <c r="BK41" s="33"/>
      <c r="BL41" s="33"/>
      <c r="BM41" s="33"/>
      <c r="BN41" s="33"/>
      <c r="BO41" s="33"/>
      <c r="BP41" s="33"/>
      <c r="BQ41" s="33"/>
      <c r="BR41" s="33"/>
      <c r="BS41" s="33"/>
      <c r="BT41" s="33"/>
      <c r="BU41" s="33"/>
      <c r="BV41" s="33"/>
      <c r="BW41" s="33"/>
      <c r="BX41" s="33"/>
      <c r="BY41" s="33"/>
      <c r="BZ41" s="33"/>
      <c r="CA41" s="33"/>
      <c r="CB41" s="33"/>
      <c r="CC41" s="33"/>
      <c r="CD41" s="33"/>
      <c r="CE41" s="33"/>
      <c r="CF41" s="33"/>
      <c r="CG41" s="33"/>
      <c r="CH41" s="33"/>
      <c r="CI41" s="33"/>
      <c r="CJ41" s="33"/>
      <c r="CK41" s="33"/>
      <c r="CL41" s="33"/>
      <c r="CM41" s="33"/>
      <c r="CN41" s="33"/>
      <c r="CO41" s="33"/>
      <c r="CP41" s="33"/>
      <c r="CQ41" s="33"/>
      <c r="CR41" s="33"/>
      <c r="CS41" s="33"/>
      <c r="CT41" s="33"/>
      <c r="CU41" s="33"/>
      <c r="CV41" s="33"/>
      <c r="CW41" s="33"/>
      <c r="CX41" s="33"/>
      <c r="CY41" s="33"/>
      <c r="CZ41" s="33"/>
      <c r="DA41" s="33"/>
      <c r="DB41" s="33"/>
      <c r="DC41" s="33"/>
      <c r="DD41" s="33"/>
      <c r="DE41" s="33"/>
      <c r="DF41" s="33"/>
      <c r="DG41" s="33"/>
      <c r="DH41" s="33"/>
      <c r="DI41" s="33"/>
      <c r="DJ41" s="33"/>
      <c r="DK41" s="33"/>
      <c r="DL41" s="33"/>
      <c r="DM41" s="33"/>
      <c r="DN41" s="33"/>
      <c r="DO41" s="33"/>
      <c r="DP41" s="33"/>
      <c r="DQ41" s="33"/>
      <c r="DR41" s="33"/>
      <c r="DS41" s="33"/>
      <c r="DT41" s="33"/>
      <c r="DU41" s="33"/>
      <c r="DV41" s="33"/>
      <c r="DW41" s="33"/>
      <c r="DX41" s="33"/>
    </row>
    <row r="42" customFormat="false" ht="13.8" hidden="false" customHeight="false" outlineLevel="0" collapsed="false">
      <c r="A42" s="30"/>
      <c r="B42" s="30"/>
      <c r="C42" s="30"/>
      <c r="D42" s="30"/>
      <c r="E42" s="30"/>
      <c r="F42" s="30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1"/>
      <c r="AB42" s="31"/>
      <c r="AC42" s="31"/>
      <c r="AD42" s="31"/>
      <c r="AE42" s="31"/>
      <c r="AF42" s="31"/>
      <c r="AG42" s="31"/>
      <c r="AH42" s="31"/>
      <c r="AI42" s="31"/>
      <c r="AJ42" s="31"/>
      <c r="AK42" s="31"/>
      <c r="AL42" s="31"/>
      <c r="AM42" s="31"/>
      <c r="AN42" s="31"/>
      <c r="AO42" s="31"/>
      <c r="AP42" s="31"/>
      <c r="AQ42" s="31"/>
      <c r="AR42" s="31"/>
      <c r="AS42" s="31"/>
      <c r="AT42" s="31"/>
      <c r="AU42" s="31"/>
      <c r="AV42" s="31"/>
      <c r="AW42" s="31"/>
      <c r="AX42" s="31"/>
      <c r="AY42" s="31"/>
      <c r="AZ42" s="31"/>
      <c r="BA42" s="31"/>
      <c r="BB42" s="31"/>
      <c r="BC42" s="31"/>
      <c r="BD42" s="31"/>
      <c r="BE42" s="31"/>
      <c r="BF42" s="31"/>
      <c r="BG42" s="31"/>
      <c r="BH42" s="31"/>
      <c r="BI42" s="31"/>
      <c r="BJ42" s="31"/>
      <c r="BK42" s="31"/>
      <c r="BL42" s="31"/>
      <c r="BM42" s="31"/>
      <c r="BN42" s="31"/>
      <c r="BO42" s="31"/>
      <c r="BP42" s="31"/>
      <c r="BQ42" s="31"/>
      <c r="BR42" s="31"/>
      <c r="BS42" s="31"/>
      <c r="BT42" s="31"/>
      <c r="BU42" s="31"/>
      <c r="BV42" s="31"/>
      <c r="BW42" s="31"/>
      <c r="BX42" s="31"/>
      <c r="BY42" s="31"/>
      <c r="BZ42" s="31"/>
      <c r="CA42" s="31"/>
      <c r="CB42" s="31"/>
      <c r="CC42" s="31"/>
      <c r="CD42" s="31"/>
      <c r="CE42" s="31"/>
      <c r="CF42" s="31"/>
      <c r="CG42" s="31"/>
      <c r="CH42" s="31"/>
      <c r="CI42" s="31"/>
      <c r="CJ42" s="31"/>
      <c r="CK42" s="31"/>
      <c r="CL42" s="31"/>
      <c r="CM42" s="31"/>
      <c r="CN42" s="31"/>
      <c r="CO42" s="31"/>
      <c r="CP42" s="31"/>
      <c r="CQ42" s="31"/>
      <c r="CR42" s="31"/>
      <c r="CS42" s="31"/>
      <c r="CT42" s="31"/>
      <c r="CU42" s="31"/>
      <c r="CV42" s="31"/>
      <c r="CW42" s="31"/>
      <c r="CX42" s="31"/>
      <c r="CY42" s="31"/>
      <c r="CZ42" s="31"/>
      <c r="DA42" s="31"/>
      <c r="DB42" s="31"/>
      <c r="DC42" s="31"/>
      <c r="DD42" s="31"/>
      <c r="DE42" s="31"/>
      <c r="DF42" s="31"/>
      <c r="DG42" s="31"/>
      <c r="DH42" s="31"/>
      <c r="DI42" s="31"/>
      <c r="DJ42" s="31"/>
      <c r="DK42" s="31"/>
      <c r="DL42" s="31"/>
      <c r="DM42" s="31"/>
      <c r="DN42" s="31"/>
      <c r="DO42" s="31"/>
      <c r="DP42" s="31"/>
      <c r="DQ42" s="31"/>
      <c r="DR42" s="31"/>
      <c r="DS42" s="31"/>
      <c r="DT42" s="31"/>
      <c r="DU42" s="31"/>
      <c r="DV42" s="31"/>
      <c r="DW42" s="31"/>
      <c r="DX42" s="31"/>
    </row>
    <row r="43" customFormat="false" ht="13.8" hidden="false" customHeight="false" outlineLevel="0" collapsed="false">
      <c r="A43" s="32"/>
      <c r="B43" s="32"/>
      <c r="C43" s="32"/>
      <c r="D43" s="32"/>
      <c r="E43" s="32"/>
      <c r="F43" s="32"/>
      <c r="G43" s="33"/>
      <c r="H43" s="33"/>
      <c r="I43" s="33"/>
      <c r="J43" s="33"/>
      <c r="K43" s="33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  <c r="AE43" s="33"/>
      <c r="AF43" s="33"/>
      <c r="AG43" s="33"/>
      <c r="AH43" s="33"/>
      <c r="AI43" s="33"/>
      <c r="AJ43" s="33"/>
      <c r="AK43" s="33"/>
      <c r="AL43" s="33"/>
      <c r="AM43" s="33"/>
      <c r="AN43" s="33"/>
      <c r="AO43" s="33"/>
      <c r="AP43" s="33"/>
      <c r="AQ43" s="33"/>
      <c r="AR43" s="33"/>
      <c r="AS43" s="33"/>
      <c r="AT43" s="33"/>
      <c r="AU43" s="33"/>
      <c r="AV43" s="33"/>
      <c r="AW43" s="33"/>
      <c r="AX43" s="33"/>
      <c r="AY43" s="33"/>
      <c r="AZ43" s="33"/>
      <c r="BA43" s="33"/>
      <c r="BB43" s="33"/>
      <c r="BC43" s="33"/>
      <c r="BD43" s="33"/>
      <c r="BE43" s="33"/>
      <c r="BF43" s="33"/>
      <c r="BG43" s="33"/>
      <c r="BH43" s="33"/>
      <c r="BI43" s="33"/>
      <c r="BJ43" s="33"/>
      <c r="BK43" s="33"/>
      <c r="BL43" s="33"/>
      <c r="BM43" s="33"/>
      <c r="BN43" s="33"/>
      <c r="BO43" s="33"/>
      <c r="BP43" s="33"/>
      <c r="BQ43" s="33"/>
      <c r="BR43" s="33"/>
      <c r="BS43" s="33"/>
      <c r="BT43" s="33"/>
      <c r="BU43" s="33"/>
      <c r="BV43" s="33"/>
      <c r="BW43" s="33"/>
      <c r="BX43" s="33"/>
      <c r="BY43" s="33"/>
      <c r="BZ43" s="33"/>
      <c r="CA43" s="33"/>
      <c r="CB43" s="33"/>
      <c r="CC43" s="33"/>
      <c r="CD43" s="33"/>
      <c r="CE43" s="33"/>
      <c r="CF43" s="33"/>
      <c r="CG43" s="33"/>
      <c r="CH43" s="33"/>
      <c r="CI43" s="33"/>
      <c r="CJ43" s="33"/>
      <c r="CK43" s="33"/>
      <c r="CL43" s="33"/>
      <c r="CM43" s="33"/>
      <c r="CN43" s="33"/>
      <c r="CO43" s="33"/>
      <c r="CP43" s="33"/>
      <c r="CQ43" s="33"/>
      <c r="CR43" s="33"/>
      <c r="CS43" s="33"/>
      <c r="CT43" s="33"/>
      <c r="CU43" s="33"/>
      <c r="CV43" s="33"/>
      <c r="CW43" s="33"/>
      <c r="CX43" s="33"/>
      <c r="CY43" s="33"/>
      <c r="CZ43" s="33"/>
      <c r="DA43" s="33"/>
      <c r="DB43" s="33"/>
      <c r="DC43" s="33"/>
      <c r="DD43" s="33"/>
      <c r="DE43" s="33"/>
      <c r="DF43" s="33"/>
      <c r="DG43" s="33"/>
      <c r="DH43" s="33"/>
      <c r="DI43" s="33"/>
      <c r="DJ43" s="33"/>
      <c r="DK43" s="33"/>
      <c r="DL43" s="33"/>
      <c r="DM43" s="33"/>
      <c r="DN43" s="33"/>
      <c r="DO43" s="33"/>
      <c r="DP43" s="33"/>
      <c r="DQ43" s="33"/>
      <c r="DR43" s="33"/>
      <c r="DS43" s="33"/>
      <c r="DT43" s="33"/>
      <c r="DU43" s="33"/>
      <c r="DV43" s="33"/>
      <c r="DW43" s="33"/>
      <c r="DX43" s="33"/>
    </row>
    <row r="44" customFormat="false" ht="13.8" hidden="false" customHeight="false" outlineLevel="0" collapsed="false">
      <c r="A44" s="30"/>
      <c r="B44" s="30"/>
      <c r="C44" s="30"/>
      <c r="D44" s="30"/>
      <c r="E44" s="30"/>
      <c r="F44" s="30"/>
      <c r="G44" s="31"/>
      <c r="H44" s="31"/>
      <c r="I44" s="31"/>
      <c r="J44" s="31"/>
      <c r="K44" s="31"/>
      <c r="L44" s="31"/>
      <c r="M44" s="31"/>
      <c r="N44" s="31"/>
      <c r="O44" s="31"/>
      <c r="P44" s="31"/>
      <c r="Q44" s="31"/>
      <c r="R44" s="31"/>
      <c r="S44" s="31"/>
      <c r="T44" s="31"/>
      <c r="U44" s="31"/>
      <c r="V44" s="31"/>
      <c r="W44" s="31"/>
      <c r="X44" s="31"/>
      <c r="Y44" s="31"/>
      <c r="Z44" s="31"/>
      <c r="AA44" s="31"/>
      <c r="AB44" s="31"/>
      <c r="AC44" s="31"/>
      <c r="AD44" s="31"/>
      <c r="AE44" s="31"/>
      <c r="AF44" s="31"/>
      <c r="AG44" s="31"/>
      <c r="AH44" s="31"/>
      <c r="AI44" s="31"/>
      <c r="AJ44" s="31"/>
      <c r="AK44" s="31"/>
      <c r="AL44" s="31"/>
      <c r="AM44" s="31"/>
      <c r="AN44" s="31"/>
      <c r="AO44" s="31"/>
      <c r="AP44" s="31"/>
      <c r="AQ44" s="31"/>
      <c r="AR44" s="31"/>
      <c r="AS44" s="31"/>
      <c r="AT44" s="31"/>
      <c r="AU44" s="31"/>
      <c r="AV44" s="31"/>
      <c r="AW44" s="31"/>
      <c r="AX44" s="31"/>
      <c r="AY44" s="31"/>
      <c r="AZ44" s="31"/>
      <c r="BA44" s="31"/>
      <c r="BB44" s="31"/>
      <c r="BC44" s="31"/>
      <c r="BD44" s="31"/>
      <c r="BE44" s="31"/>
      <c r="BF44" s="31"/>
      <c r="BG44" s="31"/>
      <c r="BH44" s="31"/>
      <c r="BI44" s="31"/>
      <c r="BJ44" s="31"/>
      <c r="BK44" s="31"/>
      <c r="BL44" s="31"/>
      <c r="BM44" s="31"/>
      <c r="BN44" s="31"/>
      <c r="BO44" s="31"/>
      <c r="BP44" s="31"/>
      <c r="BQ44" s="31"/>
      <c r="BR44" s="31"/>
      <c r="BS44" s="31"/>
      <c r="BT44" s="31"/>
      <c r="BU44" s="31"/>
      <c r="BV44" s="31"/>
      <c r="BW44" s="31"/>
      <c r="BX44" s="31"/>
      <c r="BY44" s="31"/>
      <c r="BZ44" s="31"/>
      <c r="CA44" s="31"/>
      <c r="CB44" s="31"/>
      <c r="CC44" s="31"/>
      <c r="CD44" s="31"/>
      <c r="CE44" s="31"/>
      <c r="CF44" s="31"/>
      <c r="CG44" s="31"/>
      <c r="CH44" s="31"/>
      <c r="CI44" s="31"/>
      <c r="CJ44" s="31"/>
      <c r="CK44" s="31"/>
      <c r="CL44" s="31"/>
      <c r="CM44" s="31"/>
      <c r="CN44" s="31"/>
      <c r="CO44" s="31"/>
      <c r="CP44" s="31"/>
      <c r="CQ44" s="31"/>
      <c r="CR44" s="31"/>
      <c r="CS44" s="31"/>
      <c r="CT44" s="31"/>
      <c r="CU44" s="31"/>
      <c r="CV44" s="31"/>
      <c r="CW44" s="31"/>
      <c r="CX44" s="31"/>
      <c r="CY44" s="31"/>
      <c r="CZ44" s="31"/>
      <c r="DA44" s="31"/>
      <c r="DB44" s="31"/>
      <c r="DC44" s="31"/>
      <c r="DD44" s="31"/>
      <c r="DE44" s="31"/>
      <c r="DF44" s="31"/>
      <c r="DG44" s="31"/>
      <c r="DH44" s="31"/>
      <c r="DI44" s="31"/>
      <c r="DJ44" s="31"/>
      <c r="DK44" s="31"/>
      <c r="DL44" s="31"/>
      <c r="DM44" s="31"/>
      <c r="DN44" s="31"/>
      <c r="DO44" s="31"/>
      <c r="DP44" s="31"/>
      <c r="DQ44" s="31"/>
      <c r="DR44" s="31"/>
      <c r="DS44" s="31"/>
      <c r="DT44" s="31"/>
      <c r="DU44" s="31"/>
      <c r="DV44" s="31"/>
      <c r="DW44" s="31"/>
      <c r="DX44" s="31"/>
    </row>
    <row r="45" customFormat="false" ht="13.8" hidden="false" customHeight="false" outlineLevel="0" collapsed="false">
      <c r="A45" s="32"/>
      <c r="B45" s="32"/>
      <c r="C45" s="32"/>
      <c r="D45" s="32"/>
      <c r="E45" s="32"/>
      <c r="F45" s="32"/>
      <c r="G45" s="33"/>
      <c r="H45" s="33"/>
      <c r="I45" s="33"/>
      <c r="J45" s="33"/>
      <c r="K45" s="33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33"/>
      <c r="AF45" s="33"/>
      <c r="AG45" s="33"/>
      <c r="AH45" s="33"/>
      <c r="AI45" s="33"/>
      <c r="AJ45" s="33"/>
      <c r="AK45" s="33"/>
      <c r="AL45" s="33"/>
      <c r="AM45" s="33"/>
      <c r="AN45" s="33"/>
      <c r="AO45" s="33"/>
      <c r="AP45" s="33"/>
      <c r="AQ45" s="33"/>
      <c r="AR45" s="33"/>
      <c r="AS45" s="33"/>
      <c r="AT45" s="33"/>
      <c r="AU45" s="33"/>
      <c r="AV45" s="33"/>
      <c r="AW45" s="33"/>
      <c r="AX45" s="33"/>
      <c r="AY45" s="33"/>
      <c r="AZ45" s="33"/>
      <c r="BA45" s="33"/>
      <c r="BB45" s="33"/>
      <c r="BC45" s="33"/>
      <c r="BD45" s="33"/>
      <c r="BE45" s="33"/>
      <c r="BF45" s="33"/>
      <c r="BG45" s="33"/>
      <c r="BH45" s="33"/>
      <c r="BI45" s="33"/>
      <c r="BJ45" s="33"/>
      <c r="BK45" s="33"/>
      <c r="BL45" s="33"/>
      <c r="BM45" s="33"/>
      <c r="BN45" s="33"/>
      <c r="BO45" s="33"/>
      <c r="BP45" s="33"/>
      <c r="BQ45" s="33"/>
      <c r="BR45" s="33"/>
      <c r="BS45" s="33"/>
      <c r="BT45" s="33"/>
      <c r="BU45" s="33"/>
      <c r="BV45" s="33"/>
      <c r="BW45" s="33"/>
      <c r="BX45" s="33"/>
      <c r="BY45" s="33"/>
      <c r="BZ45" s="33"/>
      <c r="CA45" s="33"/>
      <c r="CB45" s="33"/>
      <c r="CC45" s="33"/>
      <c r="CD45" s="33"/>
      <c r="CE45" s="33"/>
      <c r="CF45" s="33"/>
      <c r="CG45" s="33"/>
      <c r="CH45" s="33"/>
      <c r="CI45" s="33"/>
      <c r="CJ45" s="33"/>
      <c r="CK45" s="33"/>
      <c r="CL45" s="33"/>
      <c r="CM45" s="33"/>
      <c r="CN45" s="33"/>
      <c r="CO45" s="33"/>
      <c r="CP45" s="33"/>
      <c r="CQ45" s="33"/>
      <c r="CR45" s="33"/>
      <c r="CS45" s="33"/>
      <c r="CT45" s="33"/>
      <c r="CU45" s="33"/>
      <c r="CV45" s="33"/>
      <c r="CW45" s="33"/>
      <c r="CX45" s="33"/>
      <c r="CY45" s="33"/>
      <c r="CZ45" s="33"/>
      <c r="DA45" s="33"/>
      <c r="DB45" s="33"/>
      <c r="DC45" s="33"/>
      <c r="DD45" s="33"/>
      <c r="DE45" s="33"/>
      <c r="DF45" s="33"/>
      <c r="DG45" s="33"/>
      <c r="DH45" s="33"/>
      <c r="DI45" s="33"/>
      <c r="DJ45" s="33"/>
      <c r="DK45" s="33"/>
      <c r="DL45" s="33"/>
      <c r="DM45" s="33"/>
      <c r="DN45" s="33"/>
      <c r="DO45" s="33"/>
      <c r="DP45" s="33"/>
      <c r="DQ45" s="33"/>
      <c r="DR45" s="33"/>
      <c r="DS45" s="33"/>
      <c r="DT45" s="33"/>
      <c r="DU45" s="33"/>
      <c r="DV45" s="33"/>
      <c r="DW45" s="33"/>
      <c r="DX45" s="33"/>
    </row>
    <row r="46" customFormat="false" ht="13.8" hidden="false" customHeight="false" outlineLevel="0" collapsed="false">
      <c r="A46" s="30"/>
      <c r="B46" s="30"/>
      <c r="C46" s="30"/>
      <c r="D46" s="30"/>
      <c r="E46" s="30"/>
      <c r="F46" s="30"/>
      <c r="G46" s="31"/>
      <c r="H46" s="31"/>
      <c r="I46" s="31"/>
      <c r="J46" s="31"/>
      <c r="K46" s="31"/>
      <c r="L46" s="31"/>
      <c r="M46" s="31"/>
      <c r="N46" s="31"/>
      <c r="O46" s="31"/>
      <c r="P46" s="31"/>
      <c r="Q46" s="31"/>
      <c r="R46" s="31"/>
      <c r="S46" s="31"/>
      <c r="T46" s="31"/>
      <c r="U46" s="31"/>
      <c r="V46" s="31"/>
      <c r="W46" s="31"/>
      <c r="X46" s="31"/>
      <c r="Y46" s="31"/>
      <c r="Z46" s="31"/>
      <c r="AA46" s="31"/>
      <c r="AB46" s="31"/>
      <c r="AC46" s="31"/>
      <c r="AD46" s="31"/>
      <c r="AE46" s="31"/>
      <c r="AF46" s="31"/>
      <c r="AG46" s="31"/>
      <c r="AH46" s="31"/>
      <c r="AI46" s="31"/>
      <c r="AJ46" s="31"/>
      <c r="AK46" s="31"/>
      <c r="AL46" s="31"/>
      <c r="AM46" s="31"/>
      <c r="AN46" s="31"/>
      <c r="AO46" s="31"/>
      <c r="AP46" s="31"/>
      <c r="AQ46" s="31"/>
      <c r="AR46" s="31"/>
      <c r="AS46" s="31"/>
      <c r="AT46" s="31"/>
      <c r="AU46" s="31"/>
      <c r="AV46" s="31"/>
      <c r="AW46" s="31"/>
      <c r="AX46" s="31"/>
      <c r="AY46" s="31"/>
      <c r="AZ46" s="31"/>
      <c r="BA46" s="31"/>
      <c r="BB46" s="31"/>
      <c r="BC46" s="31"/>
      <c r="BD46" s="31"/>
      <c r="BE46" s="31"/>
      <c r="BF46" s="31"/>
      <c r="BG46" s="31"/>
      <c r="BH46" s="31"/>
      <c r="BI46" s="31"/>
      <c r="BJ46" s="31"/>
      <c r="BK46" s="31"/>
      <c r="BL46" s="31"/>
      <c r="BM46" s="31"/>
      <c r="BN46" s="31"/>
      <c r="BO46" s="31"/>
      <c r="BP46" s="31"/>
      <c r="BQ46" s="31"/>
      <c r="BR46" s="31"/>
      <c r="BS46" s="31"/>
      <c r="BT46" s="31"/>
      <c r="BU46" s="31"/>
      <c r="BV46" s="31"/>
      <c r="BW46" s="31"/>
      <c r="BX46" s="31"/>
      <c r="BY46" s="31"/>
      <c r="BZ46" s="31"/>
      <c r="CA46" s="31"/>
      <c r="CB46" s="31"/>
      <c r="CC46" s="31"/>
      <c r="CD46" s="31"/>
      <c r="CE46" s="31"/>
      <c r="CF46" s="31"/>
      <c r="CG46" s="31"/>
      <c r="CH46" s="31"/>
      <c r="CI46" s="31"/>
      <c r="CJ46" s="31"/>
      <c r="CK46" s="31"/>
      <c r="CL46" s="31"/>
      <c r="CM46" s="31"/>
      <c r="CN46" s="31"/>
      <c r="CO46" s="31"/>
      <c r="CP46" s="31"/>
      <c r="CQ46" s="31"/>
      <c r="CR46" s="31"/>
      <c r="CS46" s="31"/>
      <c r="CT46" s="31"/>
      <c r="CU46" s="31"/>
      <c r="CV46" s="31"/>
      <c r="CW46" s="31"/>
      <c r="CX46" s="31"/>
      <c r="CY46" s="31"/>
      <c r="CZ46" s="31"/>
      <c r="DA46" s="31"/>
      <c r="DB46" s="31"/>
      <c r="DC46" s="31"/>
      <c r="DD46" s="31"/>
      <c r="DE46" s="31"/>
      <c r="DF46" s="31"/>
      <c r="DG46" s="31"/>
      <c r="DH46" s="31"/>
      <c r="DI46" s="31"/>
      <c r="DJ46" s="31"/>
      <c r="DK46" s="31"/>
      <c r="DL46" s="31"/>
      <c r="DM46" s="31"/>
      <c r="DN46" s="31"/>
      <c r="DO46" s="31"/>
      <c r="DP46" s="31"/>
      <c r="DQ46" s="31"/>
      <c r="DR46" s="31"/>
      <c r="DS46" s="31"/>
      <c r="DT46" s="31"/>
      <c r="DU46" s="31"/>
      <c r="DV46" s="31"/>
      <c r="DW46" s="31"/>
      <c r="DX46" s="31"/>
    </row>
    <row r="47" customFormat="false" ht="13.8" hidden="false" customHeight="false" outlineLevel="0" collapsed="false">
      <c r="A47" s="32"/>
      <c r="B47" s="32"/>
      <c r="C47" s="32"/>
      <c r="D47" s="32"/>
      <c r="E47" s="32"/>
      <c r="F47" s="32"/>
      <c r="G47" s="33"/>
      <c r="H47" s="33"/>
      <c r="I47" s="33"/>
      <c r="J47" s="33"/>
      <c r="K47" s="33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  <c r="AE47" s="33"/>
      <c r="AF47" s="33"/>
      <c r="AG47" s="33"/>
      <c r="AH47" s="33"/>
      <c r="AI47" s="33"/>
      <c r="AJ47" s="33"/>
      <c r="AK47" s="33"/>
      <c r="AL47" s="33"/>
      <c r="AM47" s="33"/>
      <c r="AN47" s="33"/>
      <c r="AO47" s="33"/>
      <c r="AP47" s="33"/>
      <c r="AQ47" s="33"/>
      <c r="AR47" s="33"/>
      <c r="AS47" s="33"/>
      <c r="AT47" s="33"/>
      <c r="AU47" s="33"/>
      <c r="AV47" s="33"/>
      <c r="AW47" s="33"/>
      <c r="AX47" s="33"/>
      <c r="AY47" s="33"/>
      <c r="AZ47" s="33"/>
      <c r="BA47" s="33"/>
      <c r="BB47" s="33"/>
      <c r="BC47" s="33"/>
      <c r="BD47" s="33"/>
      <c r="BE47" s="33"/>
      <c r="BF47" s="33"/>
      <c r="BG47" s="33"/>
      <c r="BH47" s="33"/>
      <c r="BI47" s="33"/>
      <c r="BJ47" s="33"/>
      <c r="BK47" s="33"/>
      <c r="BL47" s="33"/>
      <c r="BM47" s="33"/>
      <c r="BN47" s="33"/>
      <c r="BO47" s="33"/>
      <c r="BP47" s="33"/>
      <c r="BQ47" s="33"/>
      <c r="BR47" s="33"/>
      <c r="BS47" s="33"/>
      <c r="BT47" s="33"/>
      <c r="BU47" s="33"/>
      <c r="BV47" s="33"/>
      <c r="BW47" s="33"/>
      <c r="BX47" s="33"/>
      <c r="BY47" s="33"/>
      <c r="BZ47" s="33"/>
      <c r="CA47" s="33"/>
      <c r="CB47" s="33"/>
      <c r="CC47" s="33"/>
      <c r="CD47" s="33"/>
      <c r="CE47" s="33"/>
      <c r="CF47" s="33"/>
      <c r="CG47" s="33"/>
      <c r="CH47" s="33"/>
      <c r="CI47" s="33"/>
      <c r="CJ47" s="33"/>
      <c r="CK47" s="33"/>
      <c r="CL47" s="33"/>
      <c r="CM47" s="33"/>
      <c r="CN47" s="33"/>
      <c r="CO47" s="33"/>
      <c r="CP47" s="33"/>
      <c r="CQ47" s="33"/>
      <c r="CR47" s="33"/>
      <c r="CS47" s="33"/>
      <c r="CT47" s="33"/>
      <c r="CU47" s="33"/>
      <c r="CV47" s="33"/>
      <c r="CW47" s="33"/>
      <c r="CX47" s="33"/>
      <c r="CY47" s="33"/>
      <c r="CZ47" s="33"/>
      <c r="DA47" s="33"/>
      <c r="DB47" s="33"/>
      <c r="DC47" s="33"/>
      <c r="DD47" s="33"/>
      <c r="DE47" s="33"/>
      <c r="DF47" s="33"/>
      <c r="DG47" s="33"/>
      <c r="DH47" s="33"/>
      <c r="DI47" s="33"/>
      <c r="DJ47" s="33"/>
      <c r="DK47" s="33"/>
      <c r="DL47" s="33"/>
      <c r="DM47" s="33"/>
      <c r="DN47" s="33"/>
      <c r="DO47" s="33"/>
      <c r="DP47" s="33"/>
      <c r="DQ47" s="33"/>
      <c r="DR47" s="33"/>
      <c r="DS47" s="33"/>
      <c r="DT47" s="33"/>
      <c r="DU47" s="33"/>
      <c r="DV47" s="33"/>
      <c r="DW47" s="33"/>
      <c r="DX47" s="33"/>
    </row>
    <row r="48" customFormat="false" ht="13.8" hidden="false" customHeight="false" outlineLevel="0" collapsed="false">
      <c r="A48" s="30"/>
      <c r="B48" s="30"/>
      <c r="C48" s="30"/>
      <c r="D48" s="30"/>
      <c r="E48" s="30"/>
      <c r="F48" s="30"/>
      <c r="G48" s="31"/>
      <c r="H48" s="31"/>
      <c r="I48" s="31"/>
      <c r="J48" s="31"/>
      <c r="K48" s="31"/>
      <c r="L48" s="31"/>
      <c r="M48" s="31"/>
      <c r="N48" s="31"/>
      <c r="O48" s="31"/>
      <c r="P48" s="31"/>
      <c r="Q48" s="31"/>
      <c r="R48" s="31"/>
      <c r="S48" s="31"/>
      <c r="T48" s="31"/>
      <c r="U48" s="31"/>
      <c r="V48" s="31"/>
      <c r="W48" s="31"/>
      <c r="X48" s="31"/>
      <c r="Y48" s="31"/>
      <c r="Z48" s="31"/>
      <c r="AA48" s="31"/>
      <c r="AB48" s="31"/>
      <c r="AC48" s="31"/>
      <c r="AD48" s="31"/>
      <c r="AE48" s="31"/>
      <c r="AF48" s="31"/>
      <c r="AG48" s="31"/>
      <c r="AH48" s="31"/>
      <c r="AI48" s="31"/>
      <c r="AJ48" s="31"/>
      <c r="AK48" s="31"/>
      <c r="AL48" s="31"/>
      <c r="AM48" s="31"/>
      <c r="AN48" s="31"/>
      <c r="AO48" s="31"/>
      <c r="AP48" s="31"/>
      <c r="AQ48" s="31"/>
      <c r="AR48" s="31"/>
      <c r="AS48" s="31"/>
      <c r="AT48" s="31"/>
      <c r="AU48" s="31"/>
      <c r="AV48" s="31"/>
      <c r="AW48" s="31"/>
      <c r="AX48" s="31"/>
      <c r="AY48" s="31"/>
      <c r="AZ48" s="31"/>
      <c r="BA48" s="31"/>
      <c r="BB48" s="31"/>
      <c r="BC48" s="31"/>
      <c r="BD48" s="31"/>
      <c r="BE48" s="31"/>
      <c r="BF48" s="31"/>
      <c r="BG48" s="31"/>
      <c r="BH48" s="31"/>
      <c r="BI48" s="31"/>
      <c r="BJ48" s="31"/>
      <c r="BK48" s="31"/>
      <c r="BL48" s="31"/>
      <c r="BM48" s="31"/>
      <c r="BN48" s="31"/>
      <c r="BO48" s="31"/>
      <c r="BP48" s="31"/>
      <c r="BQ48" s="31"/>
      <c r="BR48" s="31"/>
      <c r="BS48" s="31"/>
      <c r="BT48" s="31"/>
      <c r="BU48" s="31"/>
      <c r="BV48" s="31"/>
      <c r="BW48" s="31"/>
      <c r="BX48" s="31"/>
      <c r="BY48" s="31"/>
      <c r="BZ48" s="31"/>
      <c r="CA48" s="31"/>
      <c r="CB48" s="31"/>
      <c r="CC48" s="31"/>
      <c r="CD48" s="31"/>
      <c r="CE48" s="31"/>
      <c r="CF48" s="31"/>
      <c r="CG48" s="31"/>
      <c r="CH48" s="31"/>
      <c r="CI48" s="31"/>
      <c r="CJ48" s="31"/>
      <c r="CK48" s="31"/>
      <c r="CL48" s="31"/>
      <c r="CM48" s="31"/>
      <c r="CN48" s="31"/>
      <c r="CO48" s="31"/>
      <c r="CP48" s="31"/>
      <c r="CQ48" s="31"/>
      <c r="CR48" s="31"/>
      <c r="CS48" s="31"/>
      <c r="CT48" s="31"/>
      <c r="CU48" s="31"/>
      <c r="CV48" s="31"/>
      <c r="CW48" s="31"/>
      <c r="CX48" s="31"/>
      <c r="CY48" s="31"/>
      <c r="CZ48" s="31"/>
      <c r="DA48" s="31"/>
      <c r="DB48" s="31"/>
      <c r="DC48" s="31"/>
      <c r="DD48" s="31"/>
      <c r="DE48" s="31"/>
      <c r="DF48" s="31"/>
      <c r="DG48" s="31"/>
      <c r="DH48" s="31"/>
      <c r="DI48" s="31"/>
      <c r="DJ48" s="31"/>
      <c r="DK48" s="31"/>
      <c r="DL48" s="31"/>
      <c r="DM48" s="31"/>
      <c r="DN48" s="31"/>
      <c r="DO48" s="31"/>
      <c r="DP48" s="31"/>
      <c r="DQ48" s="31"/>
      <c r="DR48" s="31"/>
      <c r="DS48" s="31"/>
      <c r="DT48" s="31"/>
      <c r="DU48" s="31"/>
      <c r="DV48" s="31"/>
      <c r="DW48" s="31"/>
      <c r="DX48" s="31"/>
    </row>
    <row r="49" customFormat="false" ht="13.8" hidden="false" customHeight="false" outlineLevel="0" collapsed="false">
      <c r="A49" s="32"/>
      <c r="B49" s="32"/>
      <c r="C49" s="32"/>
      <c r="D49" s="32"/>
      <c r="E49" s="32"/>
      <c r="F49" s="32"/>
      <c r="G49" s="33"/>
      <c r="H49" s="33"/>
      <c r="I49" s="33"/>
      <c r="J49" s="33"/>
      <c r="K49" s="33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  <c r="AE49" s="33"/>
      <c r="AF49" s="33"/>
      <c r="AG49" s="33"/>
      <c r="AH49" s="33"/>
      <c r="AI49" s="33"/>
      <c r="AJ49" s="33"/>
      <c r="AK49" s="33"/>
      <c r="AL49" s="33"/>
      <c r="AM49" s="33"/>
      <c r="AN49" s="33"/>
      <c r="AO49" s="33"/>
      <c r="AP49" s="33"/>
      <c r="AQ49" s="33"/>
      <c r="AR49" s="33"/>
      <c r="AS49" s="33"/>
      <c r="AT49" s="33"/>
      <c r="AU49" s="33"/>
      <c r="AV49" s="33"/>
      <c r="AW49" s="33"/>
      <c r="AX49" s="33"/>
      <c r="AY49" s="33"/>
      <c r="AZ49" s="33"/>
      <c r="BA49" s="33"/>
      <c r="BB49" s="33"/>
      <c r="BC49" s="33"/>
      <c r="BD49" s="33"/>
      <c r="BE49" s="33"/>
      <c r="BF49" s="33"/>
      <c r="BG49" s="33"/>
      <c r="BH49" s="33"/>
      <c r="BI49" s="33"/>
      <c r="BJ49" s="33"/>
      <c r="BK49" s="33"/>
      <c r="BL49" s="33"/>
      <c r="BM49" s="33"/>
      <c r="BN49" s="33"/>
      <c r="BO49" s="33"/>
      <c r="BP49" s="33"/>
      <c r="BQ49" s="33"/>
      <c r="BR49" s="33"/>
      <c r="BS49" s="33"/>
      <c r="BT49" s="33"/>
      <c r="BU49" s="33"/>
      <c r="BV49" s="33"/>
      <c r="BW49" s="33"/>
      <c r="BX49" s="33"/>
      <c r="BY49" s="33"/>
      <c r="BZ49" s="33"/>
      <c r="CA49" s="33"/>
      <c r="CB49" s="33"/>
      <c r="CC49" s="33"/>
      <c r="CD49" s="33"/>
      <c r="CE49" s="33"/>
      <c r="CF49" s="33"/>
      <c r="CG49" s="33"/>
      <c r="CH49" s="33"/>
      <c r="CI49" s="33"/>
      <c r="CJ49" s="33"/>
      <c r="CK49" s="33"/>
      <c r="CL49" s="33"/>
      <c r="CM49" s="33"/>
      <c r="CN49" s="33"/>
      <c r="CO49" s="33"/>
      <c r="CP49" s="33"/>
      <c r="CQ49" s="33"/>
      <c r="CR49" s="33"/>
      <c r="CS49" s="33"/>
      <c r="CT49" s="33"/>
      <c r="CU49" s="33"/>
      <c r="CV49" s="33"/>
      <c r="CW49" s="33"/>
      <c r="CX49" s="33"/>
      <c r="CY49" s="33"/>
      <c r="CZ49" s="33"/>
      <c r="DA49" s="33"/>
      <c r="DB49" s="33"/>
      <c r="DC49" s="33"/>
      <c r="DD49" s="33"/>
      <c r="DE49" s="33"/>
      <c r="DF49" s="33"/>
      <c r="DG49" s="33"/>
      <c r="DH49" s="33"/>
      <c r="DI49" s="33"/>
      <c r="DJ49" s="33"/>
      <c r="DK49" s="33"/>
      <c r="DL49" s="33"/>
      <c r="DM49" s="33"/>
      <c r="DN49" s="33"/>
      <c r="DO49" s="33"/>
      <c r="DP49" s="33"/>
      <c r="DQ49" s="33"/>
      <c r="DR49" s="33"/>
      <c r="DS49" s="33"/>
      <c r="DT49" s="33"/>
      <c r="DU49" s="33"/>
      <c r="DV49" s="33"/>
      <c r="DW49" s="33"/>
      <c r="DX49" s="33"/>
    </row>
    <row r="50" customFormat="false" ht="13.8" hidden="false" customHeight="false" outlineLevel="0" collapsed="false">
      <c r="A50" s="30"/>
      <c r="B50" s="30"/>
      <c r="C50" s="30"/>
      <c r="D50" s="30"/>
      <c r="E50" s="30"/>
      <c r="F50" s="30"/>
      <c r="G50" s="31"/>
      <c r="H50" s="31"/>
      <c r="I50" s="31"/>
      <c r="J50" s="31"/>
      <c r="K50" s="31"/>
      <c r="L50" s="31"/>
      <c r="M50" s="31"/>
      <c r="N50" s="31"/>
      <c r="O50" s="31"/>
      <c r="P50" s="31"/>
      <c r="Q50" s="31"/>
      <c r="R50" s="31"/>
      <c r="S50" s="31"/>
      <c r="T50" s="31"/>
      <c r="U50" s="31"/>
      <c r="V50" s="31"/>
      <c r="W50" s="31"/>
      <c r="X50" s="31"/>
      <c r="Y50" s="31"/>
      <c r="Z50" s="31"/>
      <c r="AA50" s="31"/>
      <c r="AB50" s="31"/>
      <c r="AC50" s="31"/>
      <c r="AD50" s="31"/>
      <c r="AE50" s="31"/>
      <c r="AF50" s="31"/>
      <c r="AG50" s="31"/>
      <c r="AH50" s="31"/>
      <c r="AI50" s="31"/>
      <c r="AJ50" s="31"/>
      <c r="AK50" s="31"/>
      <c r="AL50" s="31"/>
      <c r="AM50" s="31"/>
      <c r="AN50" s="31"/>
      <c r="AO50" s="31"/>
      <c r="AP50" s="31"/>
      <c r="AQ50" s="31"/>
      <c r="AR50" s="31"/>
      <c r="AS50" s="31"/>
      <c r="AT50" s="31"/>
      <c r="AU50" s="31"/>
      <c r="AV50" s="31"/>
      <c r="AW50" s="31"/>
      <c r="AX50" s="31"/>
      <c r="AY50" s="31"/>
      <c r="AZ50" s="31"/>
      <c r="BA50" s="31"/>
      <c r="BB50" s="31"/>
      <c r="BC50" s="31"/>
      <c r="BD50" s="31"/>
      <c r="BE50" s="31"/>
      <c r="BF50" s="31"/>
      <c r="BG50" s="31"/>
      <c r="BH50" s="31"/>
      <c r="BI50" s="31"/>
      <c r="BJ50" s="31"/>
      <c r="BK50" s="31"/>
      <c r="BL50" s="31"/>
      <c r="BM50" s="31"/>
      <c r="BN50" s="31"/>
      <c r="BO50" s="31"/>
      <c r="BP50" s="31"/>
      <c r="BQ50" s="31"/>
      <c r="BR50" s="31"/>
      <c r="BS50" s="31"/>
      <c r="BT50" s="31"/>
      <c r="BU50" s="31"/>
      <c r="BV50" s="31"/>
      <c r="BW50" s="31"/>
      <c r="BX50" s="31"/>
      <c r="BY50" s="31"/>
      <c r="BZ50" s="31"/>
      <c r="CA50" s="31"/>
      <c r="CB50" s="31"/>
      <c r="CC50" s="31"/>
      <c r="CD50" s="31"/>
      <c r="CE50" s="31"/>
      <c r="CF50" s="31"/>
      <c r="CG50" s="31"/>
      <c r="CH50" s="31"/>
      <c r="CI50" s="31"/>
      <c r="CJ50" s="31"/>
      <c r="CK50" s="31"/>
      <c r="CL50" s="31"/>
      <c r="CM50" s="31"/>
      <c r="CN50" s="31"/>
      <c r="CO50" s="31"/>
      <c r="CP50" s="31"/>
      <c r="CQ50" s="31"/>
      <c r="CR50" s="31"/>
      <c r="CS50" s="31"/>
      <c r="CT50" s="31"/>
      <c r="CU50" s="31"/>
      <c r="CV50" s="31"/>
      <c r="CW50" s="31"/>
      <c r="CX50" s="31"/>
      <c r="CY50" s="31"/>
      <c r="CZ50" s="31"/>
      <c r="DA50" s="31"/>
      <c r="DB50" s="31"/>
      <c r="DC50" s="31"/>
      <c r="DD50" s="31"/>
      <c r="DE50" s="31"/>
      <c r="DF50" s="31"/>
      <c r="DG50" s="31"/>
      <c r="DH50" s="31"/>
      <c r="DI50" s="31"/>
      <c r="DJ50" s="31"/>
      <c r="DK50" s="31"/>
      <c r="DL50" s="31"/>
      <c r="DM50" s="31"/>
      <c r="DN50" s="31"/>
      <c r="DO50" s="31"/>
      <c r="DP50" s="31"/>
      <c r="DQ50" s="31"/>
      <c r="DR50" s="31"/>
      <c r="DS50" s="31"/>
      <c r="DT50" s="31"/>
      <c r="DU50" s="31"/>
      <c r="DV50" s="31"/>
      <c r="DW50" s="31"/>
      <c r="DX50" s="31"/>
    </row>
    <row r="51" customFormat="false" ht="13.8" hidden="false" customHeight="false" outlineLevel="0" collapsed="false">
      <c r="A51" s="32"/>
      <c r="B51" s="32"/>
      <c r="C51" s="32"/>
      <c r="D51" s="32"/>
      <c r="E51" s="32"/>
      <c r="F51" s="32"/>
      <c r="G51" s="33"/>
      <c r="H51" s="33"/>
      <c r="I51" s="33"/>
      <c r="J51" s="33"/>
      <c r="K51" s="33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  <c r="AG51" s="33"/>
      <c r="AH51" s="33"/>
      <c r="AI51" s="33"/>
      <c r="AJ51" s="33"/>
      <c r="AK51" s="33"/>
      <c r="AL51" s="33"/>
      <c r="AM51" s="33"/>
      <c r="AN51" s="33"/>
      <c r="AO51" s="33"/>
      <c r="AP51" s="33"/>
      <c r="AQ51" s="33"/>
      <c r="AR51" s="33"/>
      <c r="AS51" s="33"/>
      <c r="AT51" s="33"/>
      <c r="AU51" s="33"/>
      <c r="AV51" s="33"/>
      <c r="AW51" s="33"/>
      <c r="AX51" s="33"/>
      <c r="AY51" s="33"/>
      <c r="AZ51" s="33"/>
      <c r="BA51" s="33"/>
      <c r="BB51" s="33"/>
      <c r="BC51" s="33"/>
      <c r="BD51" s="33"/>
      <c r="BE51" s="33"/>
      <c r="BF51" s="33"/>
      <c r="BG51" s="33"/>
      <c r="BH51" s="33"/>
      <c r="BI51" s="33"/>
      <c r="BJ51" s="33"/>
      <c r="BK51" s="33"/>
      <c r="BL51" s="33"/>
      <c r="BM51" s="33"/>
      <c r="BN51" s="33"/>
      <c r="BO51" s="33"/>
      <c r="BP51" s="33"/>
      <c r="BQ51" s="33"/>
      <c r="BR51" s="33"/>
      <c r="BS51" s="33"/>
      <c r="BT51" s="33"/>
      <c r="BU51" s="33"/>
      <c r="BV51" s="33"/>
      <c r="BW51" s="33"/>
      <c r="BX51" s="33"/>
      <c r="BY51" s="33"/>
      <c r="BZ51" s="33"/>
      <c r="CA51" s="33"/>
      <c r="CB51" s="33"/>
      <c r="CC51" s="33"/>
      <c r="CD51" s="33"/>
      <c r="CE51" s="33"/>
      <c r="CF51" s="33"/>
      <c r="CG51" s="33"/>
      <c r="CH51" s="33"/>
      <c r="CI51" s="33"/>
      <c r="CJ51" s="33"/>
      <c r="CK51" s="33"/>
      <c r="CL51" s="33"/>
      <c r="CM51" s="33"/>
      <c r="CN51" s="33"/>
      <c r="CO51" s="33"/>
      <c r="CP51" s="33"/>
      <c r="CQ51" s="33"/>
      <c r="CR51" s="33"/>
      <c r="CS51" s="33"/>
      <c r="CT51" s="33"/>
      <c r="CU51" s="33"/>
      <c r="CV51" s="33"/>
      <c r="CW51" s="33"/>
      <c r="CX51" s="33"/>
      <c r="CY51" s="33"/>
      <c r="CZ51" s="33"/>
      <c r="DA51" s="33"/>
      <c r="DB51" s="33"/>
      <c r="DC51" s="33"/>
      <c r="DD51" s="33"/>
      <c r="DE51" s="33"/>
      <c r="DF51" s="33"/>
      <c r="DG51" s="33"/>
      <c r="DH51" s="33"/>
      <c r="DI51" s="33"/>
      <c r="DJ51" s="33"/>
      <c r="DK51" s="33"/>
      <c r="DL51" s="33"/>
      <c r="DM51" s="33"/>
      <c r="DN51" s="33"/>
      <c r="DO51" s="33"/>
      <c r="DP51" s="33"/>
      <c r="DQ51" s="33"/>
      <c r="DR51" s="33"/>
      <c r="DS51" s="33"/>
      <c r="DT51" s="33"/>
      <c r="DU51" s="33"/>
      <c r="DV51" s="33"/>
      <c r="DW51" s="33"/>
      <c r="DX51" s="33"/>
    </row>
    <row r="52" customFormat="false" ht="13.8" hidden="false" customHeight="false" outlineLevel="0" collapsed="false">
      <c r="A52" s="30"/>
      <c r="B52" s="30"/>
      <c r="C52" s="30"/>
      <c r="D52" s="30"/>
      <c r="E52" s="30"/>
      <c r="F52" s="30"/>
      <c r="G52" s="31"/>
      <c r="H52" s="31"/>
      <c r="I52" s="31"/>
      <c r="J52" s="31"/>
      <c r="K52" s="31"/>
      <c r="L52" s="31"/>
      <c r="M52" s="31"/>
      <c r="N52" s="31"/>
      <c r="O52" s="31"/>
      <c r="P52" s="31"/>
      <c r="Q52" s="31"/>
      <c r="R52" s="31"/>
      <c r="S52" s="31"/>
      <c r="T52" s="31"/>
      <c r="U52" s="31"/>
      <c r="V52" s="31"/>
      <c r="W52" s="31"/>
      <c r="X52" s="31"/>
      <c r="Y52" s="31"/>
      <c r="Z52" s="31"/>
      <c r="AA52" s="31"/>
      <c r="AB52" s="31"/>
      <c r="AC52" s="31"/>
      <c r="AD52" s="31"/>
      <c r="AE52" s="31"/>
      <c r="AF52" s="31"/>
      <c r="AG52" s="31"/>
      <c r="AH52" s="31"/>
      <c r="AI52" s="31"/>
      <c r="AJ52" s="31"/>
      <c r="AK52" s="31"/>
      <c r="AL52" s="31"/>
      <c r="AM52" s="31"/>
      <c r="AN52" s="31"/>
      <c r="AO52" s="31"/>
      <c r="AP52" s="31"/>
      <c r="AQ52" s="31"/>
      <c r="AR52" s="31"/>
      <c r="AS52" s="31"/>
      <c r="AT52" s="31"/>
      <c r="AU52" s="31"/>
      <c r="AV52" s="31"/>
      <c r="AW52" s="31"/>
      <c r="AX52" s="31"/>
      <c r="AY52" s="31"/>
      <c r="AZ52" s="31"/>
      <c r="BA52" s="31"/>
      <c r="BB52" s="31"/>
      <c r="BC52" s="31"/>
      <c r="BD52" s="31"/>
      <c r="BE52" s="31"/>
      <c r="BF52" s="31"/>
      <c r="BG52" s="31"/>
      <c r="BH52" s="31"/>
      <c r="BI52" s="31"/>
      <c r="BJ52" s="31"/>
      <c r="BK52" s="31"/>
      <c r="BL52" s="31"/>
      <c r="BM52" s="31"/>
      <c r="BN52" s="31"/>
      <c r="BO52" s="31"/>
      <c r="BP52" s="31"/>
      <c r="BQ52" s="31"/>
      <c r="BR52" s="31"/>
      <c r="BS52" s="31"/>
      <c r="BT52" s="31"/>
      <c r="BU52" s="31"/>
      <c r="BV52" s="31"/>
      <c r="BW52" s="31"/>
      <c r="BX52" s="31"/>
      <c r="BY52" s="31"/>
      <c r="BZ52" s="31"/>
      <c r="CA52" s="31"/>
      <c r="CB52" s="31"/>
      <c r="CC52" s="31"/>
      <c r="CD52" s="31"/>
      <c r="CE52" s="31"/>
      <c r="CF52" s="31"/>
      <c r="CG52" s="31"/>
      <c r="CH52" s="31"/>
      <c r="CI52" s="31"/>
      <c r="CJ52" s="31"/>
      <c r="CK52" s="31"/>
      <c r="CL52" s="31"/>
      <c r="CM52" s="31"/>
      <c r="CN52" s="31"/>
      <c r="CO52" s="31"/>
      <c r="CP52" s="31"/>
      <c r="CQ52" s="31"/>
      <c r="CR52" s="31"/>
      <c r="CS52" s="31"/>
      <c r="CT52" s="31"/>
      <c r="CU52" s="31"/>
      <c r="CV52" s="31"/>
      <c r="CW52" s="31"/>
      <c r="CX52" s="31"/>
      <c r="CY52" s="31"/>
      <c r="CZ52" s="31"/>
      <c r="DA52" s="31"/>
      <c r="DB52" s="31"/>
      <c r="DC52" s="31"/>
      <c r="DD52" s="31"/>
      <c r="DE52" s="31"/>
      <c r="DF52" s="31"/>
      <c r="DG52" s="31"/>
      <c r="DH52" s="31"/>
      <c r="DI52" s="31"/>
      <c r="DJ52" s="31"/>
      <c r="DK52" s="31"/>
      <c r="DL52" s="31"/>
      <c r="DM52" s="31"/>
      <c r="DN52" s="31"/>
      <c r="DO52" s="31"/>
      <c r="DP52" s="31"/>
      <c r="DQ52" s="31"/>
      <c r="DR52" s="31"/>
      <c r="DS52" s="31"/>
      <c r="DT52" s="31"/>
      <c r="DU52" s="31"/>
      <c r="DV52" s="31"/>
      <c r="DW52" s="31"/>
      <c r="DX52" s="31"/>
    </row>
    <row r="53" customFormat="false" ht="13.8" hidden="false" customHeight="false" outlineLevel="0" collapsed="false">
      <c r="A53" s="32"/>
      <c r="B53" s="32"/>
      <c r="C53" s="32"/>
      <c r="D53" s="32"/>
      <c r="E53" s="32"/>
      <c r="F53" s="32"/>
      <c r="G53" s="33"/>
      <c r="H53" s="33"/>
      <c r="I53" s="33"/>
      <c r="J53" s="33"/>
      <c r="K53" s="33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/>
      <c r="AG53" s="33"/>
      <c r="AH53" s="33"/>
      <c r="AI53" s="33"/>
      <c r="AJ53" s="33"/>
      <c r="AK53" s="33"/>
      <c r="AL53" s="33"/>
      <c r="AM53" s="33"/>
      <c r="AN53" s="33"/>
      <c r="AO53" s="33"/>
      <c r="AP53" s="33"/>
      <c r="AQ53" s="33"/>
      <c r="AR53" s="33"/>
      <c r="AS53" s="33"/>
      <c r="AT53" s="33"/>
      <c r="AU53" s="33"/>
      <c r="AV53" s="33"/>
      <c r="AW53" s="33"/>
      <c r="AX53" s="33"/>
      <c r="AY53" s="33"/>
      <c r="AZ53" s="33"/>
      <c r="BA53" s="33"/>
      <c r="BB53" s="33"/>
      <c r="BC53" s="33"/>
      <c r="BD53" s="33"/>
      <c r="BE53" s="33"/>
      <c r="BF53" s="33"/>
      <c r="BG53" s="33"/>
      <c r="BH53" s="33"/>
      <c r="BI53" s="33"/>
      <c r="BJ53" s="33"/>
      <c r="BK53" s="33"/>
      <c r="BL53" s="33"/>
      <c r="BM53" s="33"/>
      <c r="BN53" s="33"/>
      <c r="BO53" s="33"/>
      <c r="BP53" s="33"/>
      <c r="BQ53" s="33"/>
      <c r="BR53" s="33"/>
      <c r="BS53" s="33"/>
      <c r="BT53" s="33"/>
      <c r="BU53" s="33"/>
      <c r="BV53" s="33"/>
      <c r="BW53" s="33"/>
      <c r="BX53" s="33"/>
      <c r="BY53" s="33"/>
      <c r="BZ53" s="33"/>
      <c r="CA53" s="33"/>
      <c r="CB53" s="33"/>
      <c r="CC53" s="33"/>
      <c r="CD53" s="33"/>
      <c r="CE53" s="33"/>
      <c r="CF53" s="33"/>
      <c r="CG53" s="33"/>
      <c r="CH53" s="33"/>
      <c r="CI53" s="33"/>
      <c r="CJ53" s="33"/>
      <c r="CK53" s="33"/>
      <c r="CL53" s="33"/>
      <c r="CM53" s="33"/>
      <c r="CN53" s="33"/>
      <c r="CO53" s="33"/>
      <c r="CP53" s="33"/>
      <c r="CQ53" s="33"/>
      <c r="CR53" s="33"/>
      <c r="CS53" s="33"/>
      <c r="CT53" s="33"/>
      <c r="CU53" s="33"/>
      <c r="CV53" s="33"/>
      <c r="CW53" s="33"/>
      <c r="CX53" s="33"/>
      <c r="CY53" s="33"/>
      <c r="CZ53" s="33"/>
      <c r="DA53" s="33"/>
      <c r="DB53" s="33"/>
      <c r="DC53" s="33"/>
      <c r="DD53" s="33"/>
      <c r="DE53" s="33"/>
      <c r="DF53" s="33"/>
      <c r="DG53" s="33"/>
      <c r="DH53" s="33"/>
      <c r="DI53" s="33"/>
      <c r="DJ53" s="33"/>
      <c r="DK53" s="33"/>
      <c r="DL53" s="33"/>
      <c r="DM53" s="33"/>
      <c r="DN53" s="33"/>
      <c r="DO53" s="33"/>
      <c r="DP53" s="33"/>
      <c r="DQ53" s="33"/>
      <c r="DR53" s="33"/>
      <c r="DS53" s="33"/>
      <c r="DT53" s="33"/>
      <c r="DU53" s="33"/>
      <c r="DV53" s="33"/>
      <c r="DW53" s="33"/>
      <c r="DX53" s="33"/>
    </row>
    <row r="54" customFormat="false" ht="13.8" hidden="false" customHeight="false" outlineLevel="0" collapsed="false">
      <c r="A54" s="30"/>
      <c r="B54" s="30"/>
      <c r="C54" s="30"/>
      <c r="D54" s="30"/>
      <c r="E54" s="30"/>
      <c r="F54" s="30"/>
      <c r="G54" s="31"/>
      <c r="H54" s="31"/>
      <c r="I54" s="31"/>
      <c r="J54" s="31"/>
      <c r="K54" s="31"/>
      <c r="L54" s="31"/>
      <c r="M54" s="31"/>
      <c r="N54" s="31"/>
      <c r="O54" s="31"/>
      <c r="P54" s="31"/>
      <c r="Q54" s="31"/>
      <c r="R54" s="31"/>
      <c r="S54" s="31"/>
      <c r="T54" s="31"/>
      <c r="U54" s="31"/>
      <c r="V54" s="31"/>
      <c r="W54" s="31"/>
      <c r="X54" s="31"/>
      <c r="Y54" s="31"/>
      <c r="Z54" s="31"/>
      <c r="AA54" s="31"/>
      <c r="AB54" s="31"/>
      <c r="AC54" s="31"/>
      <c r="AD54" s="31"/>
      <c r="AE54" s="31"/>
      <c r="AF54" s="31"/>
      <c r="AG54" s="31"/>
      <c r="AH54" s="31"/>
      <c r="AI54" s="31"/>
      <c r="AJ54" s="31"/>
      <c r="AK54" s="31"/>
      <c r="AL54" s="31"/>
      <c r="AM54" s="31"/>
      <c r="AN54" s="31"/>
      <c r="AO54" s="31"/>
      <c r="AP54" s="31"/>
      <c r="AQ54" s="31"/>
      <c r="AR54" s="31"/>
      <c r="AS54" s="31"/>
      <c r="AT54" s="31"/>
      <c r="AU54" s="31"/>
      <c r="AV54" s="31"/>
      <c r="AW54" s="31"/>
      <c r="AX54" s="31"/>
      <c r="AY54" s="31"/>
      <c r="AZ54" s="31"/>
      <c r="BA54" s="31"/>
      <c r="BB54" s="31"/>
      <c r="BC54" s="31"/>
      <c r="BD54" s="31"/>
      <c r="BE54" s="31"/>
      <c r="BF54" s="31"/>
      <c r="BG54" s="31"/>
      <c r="BH54" s="31"/>
      <c r="BI54" s="31"/>
      <c r="BJ54" s="31"/>
      <c r="BK54" s="31"/>
      <c r="BL54" s="31"/>
      <c r="BM54" s="31"/>
      <c r="BN54" s="31"/>
      <c r="BO54" s="31"/>
      <c r="BP54" s="31"/>
      <c r="BQ54" s="31"/>
      <c r="BR54" s="31"/>
      <c r="BS54" s="31"/>
      <c r="BT54" s="31"/>
      <c r="BU54" s="31"/>
      <c r="BV54" s="31"/>
      <c r="BW54" s="31"/>
      <c r="BX54" s="31"/>
      <c r="BY54" s="31"/>
      <c r="BZ54" s="31"/>
      <c r="CA54" s="31"/>
      <c r="CB54" s="31"/>
      <c r="CC54" s="31"/>
      <c r="CD54" s="31"/>
      <c r="CE54" s="31"/>
      <c r="CF54" s="31"/>
      <c r="CG54" s="31"/>
      <c r="CH54" s="31"/>
      <c r="CI54" s="31"/>
      <c r="CJ54" s="31"/>
      <c r="CK54" s="31"/>
      <c r="CL54" s="31"/>
      <c r="CM54" s="31"/>
      <c r="CN54" s="31"/>
      <c r="CO54" s="31"/>
      <c r="CP54" s="31"/>
      <c r="CQ54" s="31"/>
      <c r="CR54" s="31"/>
      <c r="CS54" s="31"/>
      <c r="CT54" s="31"/>
      <c r="CU54" s="31"/>
      <c r="CV54" s="31"/>
      <c r="CW54" s="31"/>
      <c r="CX54" s="31"/>
      <c r="CY54" s="31"/>
      <c r="CZ54" s="31"/>
      <c r="DA54" s="31"/>
      <c r="DB54" s="31"/>
      <c r="DC54" s="31"/>
      <c r="DD54" s="31"/>
      <c r="DE54" s="31"/>
      <c r="DF54" s="31"/>
      <c r="DG54" s="31"/>
      <c r="DH54" s="31"/>
      <c r="DI54" s="31"/>
      <c r="DJ54" s="31"/>
      <c r="DK54" s="31"/>
      <c r="DL54" s="31"/>
      <c r="DM54" s="31"/>
      <c r="DN54" s="31"/>
      <c r="DO54" s="31"/>
      <c r="DP54" s="31"/>
      <c r="DQ54" s="31"/>
      <c r="DR54" s="31"/>
      <c r="DS54" s="31"/>
      <c r="DT54" s="31"/>
      <c r="DU54" s="31"/>
      <c r="DV54" s="31"/>
      <c r="DW54" s="31"/>
      <c r="DX54" s="31"/>
    </row>
    <row r="55" customFormat="false" ht="13.8" hidden="false" customHeight="false" outlineLevel="0" collapsed="false">
      <c r="A55" s="32"/>
      <c r="B55" s="32"/>
      <c r="C55" s="32"/>
      <c r="D55" s="32"/>
      <c r="E55" s="32"/>
      <c r="F55" s="32"/>
      <c r="G55" s="33"/>
      <c r="H55" s="33"/>
      <c r="I55" s="33"/>
      <c r="J55" s="33"/>
      <c r="K55" s="33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  <c r="AG55" s="33"/>
      <c r="AH55" s="33"/>
      <c r="AI55" s="33"/>
      <c r="AJ55" s="33"/>
      <c r="AK55" s="33"/>
      <c r="AL55" s="33"/>
      <c r="AM55" s="33"/>
      <c r="AN55" s="33"/>
      <c r="AO55" s="33"/>
      <c r="AP55" s="33"/>
      <c r="AQ55" s="33"/>
      <c r="AR55" s="33"/>
      <c r="AS55" s="33"/>
      <c r="AT55" s="33"/>
      <c r="AU55" s="33"/>
      <c r="AV55" s="33"/>
      <c r="AW55" s="33"/>
      <c r="AX55" s="33"/>
      <c r="AY55" s="33"/>
      <c r="AZ55" s="33"/>
      <c r="BA55" s="33"/>
      <c r="BB55" s="33"/>
      <c r="BC55" s="33"/>
      <c r="BD55" s="33"/>
      <c r="BE55" s="33"/>
      <c r="BF55" s="33"/>
      <c r="BG55" s="33"/>
      <c r="BH55" s="33"/>
      <c r="BI55" s="33"/>
      <c r="BJ55" s="33"/>
      <c r="BK55" s="33"/>
      <c r="BL55" s="33"/>
      <c r="BM55" s="33"/>
      <c r="BN55" s="33"/>
      <c r="BO55" s="33"/>
      <c r="BP55" s="33"/>
      <c r="BQ55" s="33"/>
      <c r="BR55" s="33"/>
      <c r="BS55" s="33"/>
      <c r="BT55" s="33"/>
      <c r="BU55" s="33"/>
      <c r="BV55" s="33"/>
      <c r="BW55" s="33"/>
      <c r="BX55" s="33"/>
      <c r="BY55" s="33"/>
      <c r="BZ55" s="33"/>
      <c r="CA55" s="33"/>
      <c r="CB55" s="33"/>
      <c r="CC55" s="33"/>
      <c r="CD55" s="33"/>
      <c r="CE55" s="33"/>
      <c r="CF55" s="33"/>
      <c r="CG55" s="33"/>
      <c r="CH55" s="33"/>
      <c r="CI55" s="33"/>
      <c r="CJ55" s="33"/>
      <c r="CK55" s="33"/>
      <c r="CL55" s="33"/>
      <c r="CM55" s="33"/>
      <c r="CN55" s="33"/>
      <c r="CO55" s="33"/>
      <c r="CP55" s="33"/>
      <c r="CQ55" s="33"/>
      <c r="CR55" s="33"/>
      <c r="CS55" s="33"/>
      <c r="CT55" s="33"/>
      <c r="CU55" s="33"/>
      <c r="CV55" s="33"/>
      <c r="CW55" s="33"/>
      <c r="CX55" s="33"/>
      <c r="CY55" s="33"/>
      <c r="CZ55" s="33"/>
      <c r="DA55" s="33"/>
      <c r="DB55" s="33"/>
      <c r="DC55" s="33"/>
      <c r="DD55" s="33"/>
      <c r="DE55" s="33"/>
      <c r="DF55" s="33"/>
      <c r="DG55" s="33"/>
      <c r="DH55" s="33"/>
      <c r="DI55" s="33"/>
      <c r="DJ55" s="33"/>
      <c r="DK55" s="33"/>
      <c r="DL55" s="33"/>
      <c r="DM55" s="33"/>
      <c r="DN55" s="33"/>
      <c r="DO55" s="33"/>
      <c r="DP55" s="33"/>
      <c r="DQ55" s="33"/>
      <c r="DR55" s="33"/>
      <c r="DS55" s="33"/>
      <c r="DT55" s="33"/>
      <c r="DU55" s="33"/>
      <c r="DV55" s="33"/>
      <c r="DW55" s="33"/>
      <c r="DX55" s="33"/>
    </row>
    <row r="56" customFormat="false" ht="13.8" hidden="false" customHeight="false" outlineLevel="0" collapsed="false">
      <c r="A56" s="30"/>
      <c r="B56" s="30"/>
      <c r="C56" s="30"/>
      <c r="D56" s="30"/>
      <c r="E56" s="30"/>
      <c r="F56" s="30"/>
      <c r="G56" s="31"/>
      <c r="H56" s="31"/>
      <c r="I56" s="31"/>
      <c r="J56" s="31"/>
      <c r="K56" s="31"/>
      <c r="L56" s="31"/>
      <c r="M56" s="31"/>
      <c r="N56" s="31"/>
      <c r="O56" s="31"/>
      <c r="P56" s="31"/>
      <c r="Q56" s="31"/>
      <c r="R56" s="31"/>
      <c r="S56" s="31"/>
      <c r="T56" s="31"/>
      <c r="U56" s="31"/>
      <c r="V56" s="31"/>
      <c r="W56" s="31"/>
      <c r="X56" s="31"/>
      <c r="Y56" s="31"/>
      <c r="Z56" s="31"/>
      <c r="AA56" s="31"/>
      <c r="AB56" s="31"/>
      <c r="AC56" s="31"/>
      <c r="AD56" s="31"/>
      <c r="AE56" s="31"/>
      <c r="AF56" s="31"/>
      <c r="AG56" s="31"/>
      <c r="AH56" s="31"/>
      <c r="AI56" s="31"/>
      <c r="AJ56" s="31"/>
      <c r="AK56" s="31"/>
      <c r="AL56" s="31"/>
      <c r="AM56" s="31"/>
      <c r="AN56" s="31"/>
      <c r="AO56" s="31"/>
      <c r="AP56" s="31"/>
      <c r="AQ56" s="31"/>
      <c r="AR56" s="31"/>
      <c r="AS56" s="31"/>
      <c r="AT56" s="31"/>
      <c r="AU56" s="31"/>
      <c r="AV56" s="31"/>
      <c r="AW56" s="31"/>
      <c r="AX56" s="31"/>
      <c r="AY56" s="31"/>
      <c r="AZ56" s="31"/>
      <c r="BA56" s="31"/>
      <c r="BB56" s="31"/>
      <c r="BC56" s="31"/>
      <c r="BD56" s="31"/>
      <c r="BE56" s="31"/>
      <c r="BF56" s="31"/>
      <c r="BG56" s="31"/>
      <c r="BH56" s="31"/>
      <c r="BI56" s="31"/>
      <c r="BJ56" s="31"/>
      <c r="BK56" s="31"/>
      <c r="BL56" s="31"/>
      <c r="BM56" s="31"/>
      <c r="BN56" s="31"/>
      <c r="BO56" s="31"/>
      <c r="BP56" s="31"/>
      <c r="BQ56" s="31"/>
      <c r="BR56" s="31"/>
      <c r="BS56" s="31"/>
      <c r="BT56" s="31"/>
      <c r="BU56" s="31"/>
      <c r="BV56" s="31"/>
      <c r="BW56" s="31"/>
      <c r="BX56" s="31"/>
      <c r="BY56" s="31"/>
      <c r="BZ56" s="31"/>
      <c r="CA56" s="31"/>
      <c r="CB56" s="31"/>
      <c r="CC56" s="31"/>
      <c r="CD56" s="31"/>
      <c r="CE56" s="31"/>
      <c r="CF56" s="31"/>
      <c r="CG56" s="31"/>
      <c r="CH56" s="31"/>
      <c r="CI56" s="31"/>
      <c r="CJ56" s="31"/>
      <c r="CK56" s="31"/>
      <c r="CL56" s="31"/>
      <c r="CM56" s="31"/>
      <c r="CN56" s="31"/>
      <c r="CO56" s="31"/>
      <c r="CP56" s="31"/>
      <c r="CQ56" s="31"/>
      <c r="CR56" s="31"/>
      <c r="CS56" s="31"/>
      <c r="CT56" s="31"/>
      <c r="CU56" s="31"/>
      <c r="CV56" s="31"/>
      <c r="CW56" s="31"/>
      <c r="CX56" s="31"/>
      <c r="CY56" s="31"/>
      <c r="CZ56" s="31"/>
      <c r="DA56" s="31"/>
      <c r="DB56" s="31"/>
      <c r="DC56" s="31"/>
      <c r="DD56" s="31"/>
      <c r="DE56" s="31"/>
      <c r="DF56" s="31"/>
      <c r="DG56" s="31"/>
      <c r="DH56" s="31"/>
      <c r="DI56" s="31"/>
      <c r="DJ56" s="31"/>
      <c r="DK56" s="31"/>
      <c r="DL56" s="31"/>
      <c r="DM56" s="31"/>
      <c r="DN56" s="31"/>
      <c r="DO56" s="31"/>
      <c r="DP56" s="31"/>
      <c r="DQ56" s="31"/>
      <c r="DR56" s="31"/>
      <c r="DS56" s="31"/>
      <c r="DT56" s="31"/>
      <c r="DU56" s="31"/>
      <c r="DV56" s="31"/>
      <c r="DW56" s="31"/>
      <c r="DX56" s="31"/>
    </row>
    <row r="57" customFormat="false" ht="13.8" hidden="false" customHeight="false" outlineLevel="0" collapsed="false">
      <c r="A57" s="32"/>
      <c r="B57" s="32"/>
      <c r="C57" s="32"/>
      <c r="D57" s="32"/>
      <c r="E57" s="32"/>
      <c r="F57" s="32"/>
      <c r="G57" s="33"/>
      <c r="H57" s="33"/>
      <c r="I57" s="33"/>
      <c r="J57" s="33"/>
      <c r="K57" s="33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  <c r="AG57" s="33"/>
      <c r="AH57" s="33"/>
      <c r="AI57" s="33"/>
      <c r="AJ57" s="33"/>
      <c r="AK57" s="33"/>
      <c r="AL57" s="33"/>
      <c r="AM57" s="33"/>
      <c r="AN57" s="33"/>
      <c r="AO57" s="33"/>
      <c r="AP57" s="33"/>
      <c r="AQ57" s="33"/>
      <c r="AR57" s="33"/>
      <c r="AS57" s="33"/>
      <c r="AT57" s="33"/>
      <c r="AU57" s="33"/>
      <c r="AV57" s="33"/>
      <c r="AW57" s="33"/>
      <c r="AX57" s="33"/>
      <c r="AY57" s="33"/>
      <c r="AZ57" s="33"/>
      <c r="BA57" s="33"/>
      <c r="BB57" s="33"/>
      <c r="BC57" s="33"/>
      <c r="BD57" s="33"/>
      <c r="BE57" s="33"/>
      <c r="BF57" s="33"/>
      <c r="BG57" s="33"/>
      <c r="BH57" s="33"/>
      <c r="BI57" s="33"/>
      <c r="BJ57" s="33"/>
      <c r="BK57" s="33"/>
      <c r="BL57" s="33"/>
      <c r="BM57" s="33"/>
      <c r="BN57" s="33"/>
      <c r="BO57" s="33"/>
      <c r="BP57" s="33"/>
      <c r="BQ57" s="33"/>
      <c r="BR57" s="33"/>
      <c r="BS57" s="33"/>
      <c r="BT57" s="33"/>
      <c r="BU57" s="33"/>
      <c r="BV57" s="33"/>
      <c r="BW57" s="33"/>
      <c r="BX57" s="33"/>
      <c r="BY57" s="33"/>
      <c r="BZ57" s="33"/>
      <c r="CA57" s="33"/>
      <c r="CB57" s="33"/>
      <c r="CC57" s="33"/>
      <c r="CD57" s="33"/>
      <c r="CE57" s="33"/>
      <c r="CF57" s="33"/>
      <c r="CG57" s="33"/>
      <c r="CH57" s="33"/>
      <c r="CI57" s="33"/>
      <c r="CJ57" s="33"/>
      <c r="CK57" s="33"/>
      <c r="CL57" s="33"/>
      <c r="CM57" s="33"/>
      <c r="CN57" s="33"/>
      <c r="CO57" s="33"/>
      <c r="CP57" s="33"/>
      <c r="CQ57" s="33"/>
      <c r="CR57" s="33"/>
      <c r="CS57" s="33"/>
      <c r="CT57" s="33"/>
      <c r="CU57" s="33"/>
      <c r="CV57" s="33"/>
      <c r="CW57" s="33"/>
      <c r="CX57" s="33"/>
      <c r="CY57" s="33"/>
      <c r="CZ57" s="33"/>
      <c r="DA57" s="33"/>
      <c r="DB57" s="33"/>
      <c r="DC57" s="33"/>
      <c r="DD57" s="33"/>
      <c r="DE57" s="33"/>
      <c r="DF57" s="33"/>
      <c r="DG57" s="33"/>
      <c r="DH57" s="33"/>
      <c r="DI57" s="33"/>
      <c r="DJ57" s="33"/>
      <c r="DK57" s="33"/>
      <c r="DL57" s="33"/>
      <c r="DM57" s="33"/>
      <c r="DN57" s="33"/>
      <c r="DO57" s="33"/>
      <c r="DP57" s="33"/>
      <c r="DQ57" s="33"/>
      <c r="DR57" s="33"/>
      <c r="DS57" s="33"/>
      <c r="DT57" s="33"/>
      <c r="DU57" s="33"/>
      <c r="DV57" s="33"/>
      <c r="DW57" s="33"/>
      <c r="DX57" s="33"/>
    </row>
    <row r="58" customFormat="false" ht="13.8" hidden="false" customHeight="false" outlineLevel="0" collapsed="false">
      <c r="A58" s="30"/>
      <c r="B58" s="30"/>
      <c r="C58" s="30"/>
      <c r="D58" s="30"/>
      <c r="E58" s="30"/>
      <c r="F58" s="30"/>
      <c r="G58" s="31"/>
      <c r="H58" s="31"/>
      <c r="I58" s="31"/>
      <c r="J58" s="31"/>
      <c r="K58" s="31"/>
      <c r="L58" s="31"/>
      <c r="M58" s="31"/>
      <c r="N58" s="31"/>
      <c r="O58" s="31"/>
      <c r="P58" s="31"/>
      <c r="Q58" s="31"/>
      <c r="R58" s="31"/>
      <c r="S58" s="31"/>
      <c r="T58" s="31"/>
      <c r="U58" s="31"/>
      <c r="V58" s="31"/>
      <c r="W58" s="31"/>
      <c r="X58" s="31"/>
      <c r="Y58" s="31"/>
      <c r="Z58" s="31"/>
      <c r="AA58" s="31"/>
      <c r="AB58" s="31"/>
      <c r="AC58" s="31"/>
      <c r="AD58" s="31"/>
      <c r="AE58" s="31"/>
      <c r="AF58" s="31"/>
      <c r="AG58" s="31"/>
      <c r="AH58" s="31"/>
      <c r="AI58" s="31"/>
      <c r="AJ58" s="31"/>
      <c r="AK58" s="31"/>
      <c r="AL58" s="31"/>
      <c r="AM58" s="31"/>
      <c r="AN58" s="31"/>
      <c r="AO58" s="31"/>
      <c r="AP58" s="31"/>
      <c r="AQ58" s="31"/>
      <c r="AR58" s="31"/>
      <c r="AS58" s="31"/>
      <c r="AT58" s="31"/>
      <c r="AU58" s="31"/>
      <c r="AV58" s="31"/>
      <c r="AW58" s="31"/>
      <c r="AX58" s="31"/>
      <c r="AY58" s="31"/>
      <c r="AZ58" s="31"/>
      <c r="BA58" s="31"/>
      <c r="BB58" s="31"/>
      <c r="BC58" s="31"/>
      <c r="BD58" s="31"/>
      <c r="BE58" s="31"/>
      <c r="BF58" s="31"/>
      <c r="BG58" s="31"/>
      <c r="BH58" s="31"/>
      <c r="BI58" s="31"/>
      <c r="BJ58" s="31"/>
      <c r="BK58" s="31"/>
      <c r="BL58" s="31"/>
      <c r="BM58" s="31"/>
      <c r="BN58" s="31"/>
      <c r="BO58" s="31"/>
      <c r="BP58" s="31"/>
      <c r="BQ58" s="31"/>
      <c r="BR58" s="31"/>
      <c r="BS58" s="31"/>
      <c r="BT58" s="31"/>
      <c r="BU58" s="31"/>
      <c r="BV58" s="31"/>
      <c r="BW58" s="31"/>
      <c r="BX58" s="31"/>
      <c r="BY58" s="31"/>
      <c r="BZ58" s="31"/>
      <c r="CA58" s="31"/>
      <c r="CB58" s="31"/>
      <c r="CC58" s="31"/>
      <c r="CD58" s="31"/>
      <c r="CE58" s="31"/>
      <c r="CF58" s="31"/>
      <c r="CG58" s="31"/>
      <c r="CH58" s="31"/>
      <c r="CI58" s="31"/>
      <c r="CJ58" s="31"/>
      <c r="CK58" s="31"/>
      <c r="CL58" s="31"/>
      <c r="CM58" s="31"/>
      <c r="CN58" s="31"/>
      <c r="CO58" s="31"/>
      <c r="CP58" s="31"/>
      <c r="CQ58" s="31"/>
      <c r="CR58" s="31"/>
      <c r="CS58" s="31"/>
      <c r="CT58" s="31"/>
      <c r="CU58" s="31"/>
      <c r="CV58" s="31"/>
      <c r="CW58" s="31"/>
      <c r="CX58" s="31"/>
      <c r="CY58" s="31"/>
      <c r="CZ58" s="31"/>
      <c r="DA58" s="31"/>
      <c r="DB58" s="31"/>
      <c r="DC58" s="31"/>
      <c r="DD58" s="31"/>
      <c r="DE58" s="31"/>
      <c r="DF58" s="31"/>
      <c r="DG58" s="31"/>
      <c r="DH58" s="31"/>
      <c r="DI58" s="31"/>
      <c r="DJ58" s="31"/>
      <c r="DK58" s="31"/>
      <c r="DL58" s="31"/>
      <c r="DM58" s="31"/>
      <c r="DN58" s="31"/>
      <c r="DO58" s="31"/>
      <c r="DP58" s="31"/>
      <c r="DQ58" s="31"/>
      <c r="DR58" s="31"/>
      <c r="DS58" s="31"/>
      <c r="DT58" s="31"/>
      <c r="DU58" s="31"/>
      <c r="DV58" s="31"/>
      <c r="DW58" s="31"/>
      <c r="DX58" s="31"/>
    </row>
    <row r="59" customFormat="false" ht="13.8" hidden="false" customHeight="false" outlineLevel="0" collapsed="false">
      <c r="A59" s="32"/>
      <c r="B59" s="32"/>
      <c r="C59" s="32"/>
      <c r="D59" s="32"/>
      <c r="E59" s="32"/>
      <c r="F59" s="32"/>
      <c r="G59" s="33"/>
      <c r="H59" s="33"/>
      <c r="I59" s="33"/>
      <c r="J59" s="33"/>
      <c r="K59" s="33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  <c r="AG59" s="33"/>
      <c r="AH59" s="33"/>
      <c r="AI59" s="33"/>
      <c r="AJ59" s="33"/>
      <c r="AK59" s="33"/>
      <c r="AL59" s="33"/>
      <c r="AM59" s="33"/>
      <c r="AN59" s="33"/>
      <c r="AO59" s="33"/>
      <c r="AP59" s="33"/>
      <c r="AQ59" s="33"/>
      <c r="AR59" s="33"/>
      <c r="AS59" s="33"/>
      <c r="AT59" s="33"/>
      <c r="AU59" s="33"/>
      <c r="AV59" s="33"/>
      <c r="AW59" s="33"/>
      <c r="AX59" s="33"/>
      <c r="AY59" s="33"/>
      <c r="AZ59" s="33"/>
      <c r="BA59" s="33"/>
      <c r="BB59" s="33"/>
      <c r="BC59" s="33"/>
      <c r="BD59" s="33"/>
      <c r="BE59" s="33"/>
      <c r="BF59" s="33"/>
      <c r="BG59" s="33"/>
      <c r="BH59" s="33"/>
      <c r="BI59" s="33"/>
      <c r="BJ59" s="33"/>
      <c r="BK59" s="33"/>
      <c r="BL59" s="33"/>
      <c r="BM59" s="33"/>
      <c r="BN59" s="33"/>
      <c r="BO59" s="33"/>
      <c r="BP59" s="33"/>
      <c r="BQ59" s="33"/>
      <c r="BR59" s="33"/>
      <c r="BS59" s="33"/>
      <c r="BT59" s="33"/>
      <c r="BU59" s="33"/>
      <c r="BV59" s="33"/>
      <c r="BW59" s="33"/>
      <c r="BX59" s="33"/>
      <c r="BY59" s="33"/>
      <c r="BZ59" s="33"/>
      <c r="CA59" s="33"/>
      <c r="CB59" s="33"/>
      <c r="CC59" s="33"/>
      <c r="CD59" s="33"/>
      <c r="CE59" s="33"/>
      <c r="CF59" s="33"/>
      <c r="CG59" s="33"/>
      <c r="CH59" s="33"/>
      <c r="CI59" s="33"/>
      <c r="CJ59" s="33"/>
      <c r="CK59" s="33"/>
      <c r="CL59" s="33"/>
      <c r="CM59" s="33"/>
      <c r="CN59" s="33"/>
      <c r="CO59" s="33"/>
      <c r="CP59" s="33"/>
      <c r="CQ59" s="33"/>
      <c r="CR59" s="33"/>
      <c r="CS59" s="33"/>
      <c r="CT59" s="33"/>
      <c r="CU59" s="33"/>
      <c r="CV59" s="33"/>
      <c r="CW59" s="33"/>
      <c r="CX59" s="33"/>
      <c r="CY59" s="33"/>
      <c r="CZ59" s="33"/>
      <c r="DA59" s="33"/>
      <c r="DB59" s="33"/>
      <c r="DC59" s="33"/>
      <c r="DD59" s="33"/>
      <c r="DE59" s="33"/>
      <c r="DF59" s="33"/>
      <c r="DG59" s="33"/>
      <c r="DH59" s="33"/>
      <c r="DI59" s="33"/>
      <c r="DJ59" s="33"/>
      <c r="DK59" s="33"/>
      <c r="DL59" s="33"/>
      <c r="DM59" s="33"/>
      <c r="DN59" s="33"/>
      <c r="DO59" s="33"/>
      <c r="DP59" s="33"/>
      <c r="DQ59" s="33"/>
      <c r="DR59" s="33"/>
      <c r="DS59" s="33"/>
      <c r="DT59" s="33"/>
      <c r="DU59" s="33"/>
      <c r="DV59" s="33"/>
      <c r="DW59" s="33"/>
      <c r="DX59" s="33"/>
    </row>
    <row r="60" customFormat="false" ht="13.8" hidden="false" customHeight="false" outlineLevel="0" collapsed="false">
      <c r="A60" s="30"/>
      <c r="B60" s="30"/>
      <c r="C60" s="30"/>
      <c r="D60" s="30"/>
      <c r="E60" s="30"/>
      <c r="F60" s="30"/>
      <c r="G60" s="31"/>
      <c r="H60" s="31"/>
      <c r="I60" s="31"/>
      <c r="J60" s="31"/>
      <c r="K60" s="31"/>
      <c r="L60" s="31"/>
      <c r="M60" s="31"/>
      <c r="N60" s="31"/>
      <c r="O60" s="31"/>
      <c r="P60" s="31"/>
      <c r="Q60" s="31"/>
      <c r="R60" s="31"/>
      <c r="S60" s="31"/>
      <c r="T60" s="31"/>
      <c r="U60" s="31"/>
      <c r="V60" s="31"/>
      <c r="W60" s="31"/>
      <c r="X60" s="31"/>
      <c r="Y60" s="31"/>
      <c r="Z60" s="31"/>
      <c r="AA60" s="31"/>
      <c r="AB60" s="31"/>
      <c r="AC60" s="31"/>
      <c r="AD60" s="31"/>
      <c r="AE60" s="31"/>
      <c r="AF60" s="31"/>
      <c r="AG60" s="31"/>
      <c r="AH60" s="31"/>
      <c r="AI60" s="31"/>
      <c r="AJ60" s="31"/>
      <c r="AK60" s="31"/>
      <c r="AL60" s="31"/>
      <c r="AM60" s="31"/>
      <c r="AN60" s="31"/>
      <c r="AO60" s="31"/>
      <c r="AP60" s="31"/>
      <c r="AQ60" s="31"/>
      <c r="AR60" s="31"/>
      <c r="AS60" s="31"/>
      <c r="AT60" s="31"/>
      <c r="AU60" s="31"/>
      <c r="AV60" s="31"/>
      <c r="AW60" s="31"/>
      <c r="AX60" s="31"/>
      <c r="AY60" s="31"/>
      <c r="AZ60" s="31"/>
      <c r="BA60" s="31"/>
      <c r="BB60" s="31"/>
      <c r="BC60" s="31"/>
      <c r="BD60" s="31"/>
      <c r="BE60" s="31"/>
      <c r="BF60" s="31"/>
      <c r="BG60" s="31"/>
      <c r="BH60" s="31"/>
      <c r="BI60" s="31"/>
      <c r="BJ60" s="31"/>
      <c r="BK60" s="31"/>
      <c r="BL60" s="31"/>
      <c r="BM60" s="31"/>
      <c r="BN60" s="31"/>
      <c r="BO60" s="31"/>
      <c r="BP60" s="31"/>
      <c r="BQ60" s="31"/>
      <c r="BR60" s="31"/>
      <c r="BS60" s="31"/>
      <c r="BT60" s="31"/>
      <c r="BU60" s="31"/>
      <c r="BV60" s="31"/>
      <c r="BW60" s="31"/>
      <c r="BX60" s="31"/>
      <c r="BY60" s="31"/>
      <c r="BZ60" s="31"/>
      <c r="CA60" s="31"/>
      <c r="CB60" s="31"/>
      <c r="CC60" s="31"/>
      <c r="CD60" s="31"/>
      <c r="CE60" s="31"/>
      <c r="CF60" s="31"/>
      <c r="CG60" s="31"/>
      <c r="CH60" s="31"/>
      <c r="CI60" s="31"/>
      <c r="CJ60" s="31"/>
      <c r="CK60" s="31"/>
      <c r="CL60" s="31"/>
      <c r="CM60" s="31"/>
      <c r="CN60" s="31"/>
      <c r="CO60" s="31"/>
      <c r="CP60" s="31"/>
      <c r="CQ60" s="31"/>
      <c r="CR60" s="31"/>
      <c r="CS60" s="31"/>
      <c r="CT60" s="31"/>
      <c r="CU60" s="31"/>
      <c r="CV60" s="31"/>
      <c r="CW60" s="31"/>
      <c r="CX60" s="31"/>
      <c r="CY60" s="31"/>
      <c r="CZ60" s="31"/>
      <c r="DA60" s="31"/>
      <c r="DB60" s="31"/>
      <c r="DC60" s="31"/>
      <c r="DD60" s="31"/>
      <c r="DE60" s="31"/>
      <c r="DF60" s="31"/>
      <c r="DG60" s="31"/>
      <c r="DH60" s="31"/>
      <c r="DI60" s="31"/>
      <c r="DJ60" s="31"/>
      <c r="DK60" s="31"/>
      <c r="DL60" s="31"/>
      <c r="DM60" s="31"/>
      <c r="DN60" s="31"/>
      <c r="DO60" s="31"/>
      <c r="DP60" s="31"/>
      <c r="DQ60" s="31"/>
      <c r="DR60" s="31"/>
      <c r="DS60" s="31"/>
      <c r="DT60" s="31"/>
      <c r="DU60" s="31"/>
      <c r="DV60" s="31"/>
      <c r="DW60" s="31"/>
      <c r="DX60" s="31"/>
    </row>
    <row r="61" customFormat="false" ht="13.8" hidden="false" customHeight="false" outlineLevel="0" collapsed="false">
      <c r="A61" s="32"/>
      <c r="B61" s="32"/>
      <c r="C61" s="32"/>
      <c r="D61" s="32"/>
      <c r="E61" s="32"/>
      <c r="F61" s="32"/>
      <c r="G61" s="33"/>
      <c r="H61" s="33"/>
      <c r="I61" s="33"/>
      <c r="J61" s="33"/>
      <c r="K61" s="33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  <c r="AG61" s="33"/>
      <c r="AH61" s="33"/>
      <c r="AI61" s="33"/>
      <c r="AJ61" s="33"/>
      <c r="AK61" s="33"/>
      <c r="AL61" s="33"/>
      <c r="AM61" s="33"/>
      <c r="AN61" s="33"/>
      <c r="AO61" s="33"/>
      <c r="AP61" s="33"/>
      <c r="AQ61" s="33"/>
      <c r="AR61" s="33"/>
      <c r="AS61" s="33"/>
      <c r="AT61" s="33"/>
      <c r="AU61" s="33"/>
      <c r="AV61" s="33"/>
      <c r="AW61" s="33"/>
      <c r="AX61" s="33"/>
      <c r="AY61" s="33"/>
      <c r="AZ61" s="33"/>
      <c r="BA61" s="33"/>
      <c r="BB61" s="33"/>
      <c r="BC61" s="33"/>
      <c r="BD61" s="33"/>
      <c r="BE61" s="33"/>
      <c r="BF61" s="33"/>
      <c r="BG61" s="33"/>
      <c r="BH61" s="33"/>
      <c r="BI61" s="33"/>
      <c r="BJ61" s="33"/>
      <c r="BK61" s="33"/>
      <c r="BL61" s="33"/>
      <c r="BM61" s="33"/>
      <c r="BN61" s="33"/>
      <c r="BO61" s="33"/>
      <c r="BP61" s="33"/>
      <c r="BQ61" s="33"/>
      <c r="BR61" s="33"/>
      <c r="BS61" s="33"/>
      <c r="BT61" s="33"/>
      <c r="BU61" s="33"/>
      <c r="BV61" s="33"/>
      <c r="BW61" s="33"/>
      <c r="BX61" s="33"/>
      <c r="BY61" s="33"/>
      <c r="BZ61" s="33"/>
      <c r="CA61" s="33"/>
      <c r="CB61" s="33"/>
      <c r="CC61" s="33"/>
      <c r="CD61" s="33"/>
      <c r="CE61" s="33"/>
      <c r="CF61" s="33"/>
      <c r="CG61" s="33"/>
      <c r="CH61" s="33"/>
      <c r="CI61" s="33"/>
      <c r="CJ61" s="33"/>
      <c r="CK61" s="33"/>
      <c r="CL61" s="33"/>
      <c r="CM61" s="33"/>
      <c r="CN61" s="33"/>
      <c r="CO61" s="33"/>
      <c r="CP61" s="33"/>
      <c r="CQ61" s="33"/>
      <c r="CR61" s="33"/>
      <c r="CS61" s="33"/>
      <c r="CT61" s="33"/>
      <c r="CU61" s="33"/>
      <c r="CV61" s="33"/>
      <c r="CW61" s="33"/>
      <c r="CX61" s="33"/>
      <c r="CY61" s="33"/>
      <c r="CZ61" s="33"/>
      <c r="DA61" s="33"/>
      <c r="DB61" s="33"/>
      <c r="DC61" s="33"/>
      <c r="DD61" s="33"/>
      <c r="DE61" s="33"/>
      <c r="DF61" s="33"/>
      <c r="DG61" s="33"/>
      <c r="DH61" s="33"/>
      <c r="DI61" s="33"/>
      <c r="DJ61" s="33"/>
      <c r="DK61" s="33"/>
      <c r="DL61" s="33"/>
      <c r="DM61" s="33"/>
      <c r="DN61" s="33"/>
      <c r="DO61" s="33"/>
      <c r="DP61" s="33"/>
      <c r="DQ61" s="33"/>
      <c r="DR61" s="33"/>
      <c r="DS61" s="33"/>
      <c r="DT61" s="33"/>
      <c r="DU61" s="33"/>
      <c r="DV61" s="33"/>
      <c r="DW61" s="33"/>
      <c r="DX61" s="33"/>
    </row>
    <row r="62" customFormat="false" ht="13.8" hidden="false" customHeight="false" outlineLevel="0" collapsed="false">
      <c r="A62" s="30"/>
      <c r="B62" s="30"/>
      <c r="C62" s="30"/>
      <c r="D62" s="30"/>
      <c r="E62" s="30"/>
      <c r="F62" s="30"/>
      <c r="G62" s="31"/>
      <c r="H62" s="31"/>
      <c r="I62" s="31"/>
      <c r="J62" s="31"/>
      <c r="K62" s="31"/>
      <c r="L62" s="31"/>
      <c r="M62" s="31"/>
      <c r="N62" s="31"/>
      <c r="O62" s="31"/>
      <c r="P62" s="31"/>
      <c r="Q62" s="31"/>
      <c r="R62" s="31"/>
      <c r="S62" s="31"/>
      <c r="T62" s="31"/>
      <c r="U62" s="31"/>
      <c r="V62" s="31"/>
      <c r="W62" s="31"/>
      <c r="X62" s="31"/>
      <c r="Y62" s="31"/>
      <c r="Z62" s="31"/>
      <c r="AA62" s="31"/>
      <c r="AB62" s="31"/>
      <c r="AC62" s="31"/>
      <c r="AD62" s="31"/>
      <c r="AE62" s="31"/>
      <c r="AF62" s="31"/>
      <c r="AG62" s="31"/>
      <c r="AH62" s="31"/>
      <c r="AI62" s="31"/>
      <c r="AJ62" s="31"/>
      <c r="AK62" s="31"/>
      <c r="AL62" s="31"/>
      <c r="AM62" s="31"/>
      <c r="AN62" s="31"/>
      <c r="AO62" s="31"/>
      <c r="AP62" s="31"/>
      <c r="AQ62" s="31"/>
      <c r="AR62" s="31"/>
      <c r="AS62" s="31"/>
      <c r="AT62" s="31"/>
      <c r="AU62" s="31"/>
      <c r="AV62" s="31"/>
      <c r="AW62" s="31"/>
      <c r="AX62" s="31"/>
      <c r="AY62" s="31"/>
      <c r="AZ62" s="31"/>
      <c r="BA62" s="31"/>
      <c r="BB62" s="31"/>
      <c r="BC62" s="31"/>
      <c r="BD62" s="31"/>
      <c r="BE62" s="31"/>
      <c r="BF62" s="31"/>
      <c r="BG62" s="31"/>
      <c r="BH62" s="31"/>
      <c r="BI62" s="31"/>
      <c r="BJ62" s="31"/>
      <c r="BK62" s="31"/>
      <c r="BL62" s="31"/>
      <c r="BM62" s="31"/>
      <c r="BN62" s="31"/>
      <c r="BO62" s="31"/>
      <c r="BP62" s="31"/>
      <c r="BQ62" s="31"/>
      <c r="BR62" s="31"/>
      <c r="BS62" s="31"/>
      <c r="BT62" s="31"/>
      <c r="BU62" s="31"/>
      <c r="BV62" s="31"/>
      <c r="BW62" s="31"/>
      <c r="BX62" s="31"/>
      <c r="BY62" s="31"/>
      <c r="BZ62" s="31"/>
      <c r="CA62" s="31"/>
      <c r="CB62" s="31"/>
      <c r="CC62" s="31"/>
      <c r="CD62" s="31"/>
      <c r="CE62" s="31"/>
      <c r="CF62" s="31"/>
      <c r="CG62" s="31"/>
      <c r="CH62" s="31"/>
      <c r="CI62" s="31"/>
      <c r="CJ62" s="31"/>
      <c r="CK62" s="31"/>
      <c r="CL62" s="31"/>
      <c r="CM62" s="31"/>
      <c r="CN62" s="31"/>
      <c r="CO62" s="31"/>
      <c r="CP62" s="31"/>
      <c r="CQ62" s="31"/>
      <c r="CR62" s="31"/>
      <c r="CS62" s="31"/>
      <c r="CT62" s="31"/>
      <c r="CU62" s="31"/>
      <c r="CV62" s="31"/>
      <c r="CW62" s="31"/>
      <c r="CX62" s="31"/>
      <c r="CY62" s="31"/>
      <c r="CZ62" s="31"/>
      <c r="DA62" s="31"/>
      <c r="DB62" s="31"/>
      <c r="DC62" s="31"/>
      <c r="DD62" s="31"/>
      <c r="DE62" s="31"/>
      <c r="DF62" s="31"/>
      <c r="DG62" s="31"/>
      <c r="DH62" s="31"/>
      <c r="DI62" s="31"/>
      <c r="DJ62" s="31"/>
      <c r="DK62" s="31"/>
      <c r="DL62" s="31"/>
      <c r="DM62" s="31"/>
      <c r="DN62" s="31"/>
      <c r="DO62" s="31"/>
      <c r="DP62" s="31"/>
      <c r="DQ62" s="31"/>
      <c r="DR62" s="31"/>
      <c r="DS62" s="31"/>
      <c r="DT62" s="31"/>
      <c r="DU62" s="31"/>
      <c r="DV62" s="31"/>
      <c r="DW62" s="31"/>
      <c r="DX62" s="31"/>
    </row>
    <row r="63" customFormat="false" ht="13.8" hidden="false" customHeight="false" outlineLevel="0" collapsed="false">
      <c r="A63" s="32"/>
      <c r="B63" s="32"/>
      <c r="C63" s="32"/>
      <c r="D63" s="32"/>
      <c r="E63" s="32"/>
      <c r="F63" s="32"/>
      <c r="G63" s="33"/>
      <c r="H63" s="33"/>
      <c r="I63" s="33"/>
      <c r="J63" s="33"/>
      <c r="K63" s="33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  <c r="AE63" s="33"/>
      <c r="AF63" s="33"/>
      <c r="AG63" s="33"/>
      <c r="AH63" s="33"/>
      <c r="AI63" s="33"/>
      <c r="AJ63" s="33"/>
      <c r="AK63" s="33"/>
      <c r="AL63" s="33"/>
      <c r="AM63" s="33"/>
      <c r="AN63" s="33"/>
      <c r="AO63" s="33"/>
      <c r="AP63" s="33"/>
      <c r="AQ63" s="33"/>
      <c r="AR63" s="33"/>
      <c r="AS63" s="33"/>
      <c r="AT63" s="33"/>
      <c r="AU63" s="33"/>
      <c r="AV63" s="33"/>
      <c r="AW63" s="33"/>
      <c r="AX63" s="33"/>
      <c r="AY63" s="33"/>
      <c r="AZ63" s="33"/>
      <c r="BA63" s="33"/>
      <c r="BB63" s="33"/>
      <c r="BC63" s="33"/>
      <c r="BD63" s="33"/>
      <c r="BE63" s="33"/>
      <c r="BF63" s="33"/>
      <c r="BG63" s="33"/>
      <c r="BH63" s="33"/>
      <c r="BI63" s="33"/>
      <c r="BJ63" s="33"/>
      <c r="BK63" s="33"/>
      <c r="BL63" s="33"/>
      <c r="BM63" s="33"/>
      <c r="BN63" s="33"/>
      <c r="BO63" s="33"/>
      <c r="BP63" s="33"/>
      <c r="BQ63" s="33"/>
      <c r="BR63" s="33"/>
      <c r="BS63" s="33"/>
      <c r="BT63" s="33"/>
      <c r="BU63" s="33"/>
      <c r="BV63" s="33"/>
      <c r="BW63" s="33"/>
      <c r="BX63" s="33"/>
      <c r="BY63" s="33"/>
      <c r="BZ63" s="33"/>
      <c r="CA63" s="33"/>
      <c r="CB63" s="33"/>
      <c r="CC63" s="33"/>
      <c r="CD63" s="33"/>
      <c r="CE63" s="33"/>
      <c r="CF63" s="33"/>
      <c r="CG63" s="33"/>
      <c r="CH63" s="33"/>
      <c r="CI63" s="33"/>
      <c r="CJ63" s="33"/>
      <c r="CK63" s="33"/>
      <c r="CL63" s="33"/>
      <c r="CM63" s="33"/>
      <c r="CN63" s="33"/>
      <c r="CO63" s="33"/>
      <c r="CP63" s="33"/>
      <c r="CQ63" s="33"/>
      <c r="CR63" s="33"/>
      <c r="CS63" s="33"/>
      <c r="CT63" s="33"/>
      <c r="CU63" s="33"/>
      <c r="CV63" s="33"/>
      <c r="CW63" s="33"/>
      <c r="CX63" s="33"/>
      <c r="CY63" s="33"/>
      <c r="CZ63" s="33"/>
      <c r="DA63" s="33"/>
      <c r="DB63" s="33"/>
      <c r="DC63" s="33"/>
      <c r="DD63" s="33"/>
      <c r="DE63" s="33"/>
      <c r="DF63" s="33"/>
      <c r="DG63" s="33"/>
      <c r="DH63" s="33"/>
      <c r="DI63" s="33"/>
      <c r="DJ63" s="33"/>
      <c r="DK63" s="33"/>
      <c r="DL63" s="33"/>
      <c r="DM63" s="33"/>
      <c r="DN63" s="33"/>
      <c r="DO63" s="33"/>
      <c r="DP63" s="33"/>
      <c r="DQ63" s="33"/>
      <c r="DR63" s="33"/>
      <c r="DS63" s="33"/>
      <c r="DT63" s="33"/>
      <c r="DU63" s="33"/>
      <c r="DV63" s="33"/>
      <c r="DW63" s="33"/>
      <c r="DX63" s="33"/>
    </row>
    <row r="64" customFormat="false" ht="13.8" hidden="false" customHeight="false" outlineLevel="0" collapsed="false">
      <c r="A64" s="30"/>
      <c r="B64" s="30"/>
      <c r="C64" s="30"/>
      <c r="D64" s="30"/>
      <c r="E64" s="30"/>
      <c r="F64" s="30"/>
      <c r="G64" s="31"/>
      <c r="H64" s="31"/>
      <c r="I64" s="31"/>
      <c r="J64" s="31"/>
      <c r="K64" s="31"/>
      <c r="L64" s="31"/>
      <c r="M64" s="31"/>
      <c r="N64" s="31"/>
      <c r="O64" s="31"/>
      <c r="P64" s="31"/>
      <c r="Q64" s="31"/>
      <c r="R64" s="31"/>
      <c r="S64" s="31"/>
      <c r="T64" s="31"/>
      <c r="U64" s="31"/>
      <c r="V64" s="31"/>
      <c r="W64" s="31"/>
      <c r="X64" s="31"/>
      <c r="Y64" s="31"/>
      <c r="Z64" s="31"/>
      <c r="AA64" s="31"/>
      <c r="AB64" s="31"/>
      <c r="AC64" s="31"/>
      <c r="AD64" s="31"/>
      <c r="AE64" s="31"/>
      <c r="AF64" s="31"/>
      <c r="AG64" s="31"/>
      <c r="AH64" s="31"/>
      <c r="AI64" s="31"/>
      <c r="AJ64" s="31"/>
      <c r="AK64" s="31"/>
      <c r="AL64" s="31"/>
      <c r="AM64" s="31"/>
      <c r="AN64" s="31"/>
      <c r="AO64" s="31"/>
      <c r="AP64" s="31"/>
      <c r="AQ64" s="31"/>
      <c r="AR64" s="31"/>
      <c r="AS64" s="31"/>
      <c r="AT64" s="31"/>
      <c r="AU64" s="31"/>
      <c r="AV64" s="31"/>
      <c r="AW64" s="31"/>
      <c r="AX64" s="31"/>
      <c r="AY64" s="31"/>
      <c r="AZ64" s="31"/>
      <c r="BA64" s="31"/>
      <c r="BB64" s="31"/>
      <c r="BC64" s="31"/>
      <c r="BD64" s="31"/>
      <c r="BE64" s="31"/>
      <c r="BF64" s="31"/>
      <c r="BG64" s="31"/>
      <c r="BH64" s="31"/>
      <c r="BI64" s="31"/>
      <c r="BJ64" s="31"/>
      <c r="BK64" s="31"/>
      <c r="BL64" s="31"/>
      <c r="BM64" s="31"/>
      <c r="BN64" s="31"/>
      <c r="BO64" s="31"/>
      <c r="BP64" s="31"/>
      <c r="BQ64" s="31"/>
      <c r="BR64" s="31"/>
      <c r="BS64" s="31"/>
      <c r="BT64" s="31"/>
      <c r="BU64" s="31"/>
      <c r="BV64" s="31"/>
      <c r="BW64" s="31"/>
      <c r="BX64" s="31"/>
      <c r="BY64" s="31"/>
      <c r="BZ64" s="31"/>
      <c r="CA64" s="31"/>
      <c r="CB64" s="31"/>
      <c r="CC64" s="31"/>
      <c r="CD64" s="31"/>
      <c r="CE64" s="31"/>
      <c r="CF64" s="31"/>
      <c r="CG64" s="31"/>
      <c r="CH64" s="31"/>
      <c r="CI64" s="31"/>
      <c r="CJ64" s="31"/>
      <c r="CK64" s="31"/>
      <c r="CL64" s="31"/>
      <c r="CM64" s="31"/>
      <c r="CN64" s="31"/>
      <c r="CO64" s="31"/>
      <c r="CP64" s="31"/>
      <c r="CQ64" s="31"/>
      <c r="CR64" s="31"/>
      <c r="CS64" s="31"/>
      <c r="CT64" s="31"/>
      <c r="CU64" s="31"/>
      <c r="CV64" s="31"/>
      <c r="CW64" s="31"/>
      <c r="CX64" s="31"/>
      <c r="CY64" s="31"/>
      <c r="CZ64" s="31"/>
      <c r="DA64" s="31"/>
      <c r="DB64" s="31"/>
      <c r="DC64" s="31"/>
      <c r="DD64" s="31"/>
      <c r="DE64" s="31"/>
      <c r="DF64" s="31"/>
      <c r="DG64" s="31"/>
      <c r="DH64" s="31"/>
      <c r="DI64" s="31"/>
      <c r="DJ64" s="31"/>
      <c r="DK64" s="31"/>
      <c r="DL64" s="31"/>
      <c r="DM64" s="31"/>
      <c r="DN64" s="31"/>
      <c r="DO64" s="31"/>
      <c r="DP64" s="31"/>
      <c r="DQ64" s="31"/>
      <c r="DR64" s="31"/>
      <c r="DS64" s="31"/>
      <c r="DT64" s="31"/>
      <c r="DU64" s="31"/>
      <c r="DV64" s="31"/>
      <c r="DW64" s="31"/>
      <c r="DX64" s="31"/>
    </row>
    <row r="65" customFormat="false" ht="13.8" hidden="false" customHeight="false" outlineLevel="0" collapsed="false">
      <c r="A65" s="32"/>
      <c r="B65" s="32"/>
      <c r="C65" s="32"/>
      <c r="D65" s="32"/>
      <c r="E65" s="32"/>
      <c r="F65" s="32"/>
      <c r="G65" s="33"/>
      <c r="H65" s="33"/>
      <c r="I65" s="33"/>
      <c r="J65" s="33"/>
      <c r="K65" s="33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  <c r="AE65" s="33"/>
      <c r="AF65" s="33"/>
      <c r="AG65" s="33"/>
      <c r="AH65" s="33"/>
      <c r="AI65" s="33"/>
      <c r="AJ65" s="33"/>
      <c r="AK65" s="33"/>
      <c r="AL65" s="33"/>
      <c r="AM65" s="33"/>
      <c r="AN65" s="33"/>
      <c r="AO65" s="33"/>
      <c r="AP65" s="33"/>
      <c r="AQ65" s="33"/>
      <c r="AR65" s="33"/>
      <c r="AS65" s="33"/>
      <c r="AT65" s="33"/>
      <c r="AU65" s="33"/>
      <c r="AV65" s="33"/>
      <c r="AW65" s="33"/>
      <c r="AX65" s="33"/>
      <c r="AY65" s="33"/>
      <c r="AZ65" s="33"/>
      <c r="BA65" s="33"/>
      <c r="BB65" s="33"/>
      <c r="BC65" s="33"/>
      <c r="BD65" s="33"/>
      <c r="BE65" s="33"/>
      <c r="BF65" s="33"/>
      <c r="BG65" s="33"/>
      <c r="BH65" s="33"/>
      <c r="BI65" s="33"/>
      <c r="BJ65" s="33"/>
      <c r="BK65" s="33"/>
      <c r="BL65" s="33"/>
      <c r="BM65" s="33"/>
      <c r="BN65" s="33"/>
      <c r="BO65" s="33"/>
      <c r="BP65" s="33"/>
      <c r="BQ65" s="33"/>
      <c r="BR65" s="33"/>
      <c r="BS65" s="33"/>
      <c r="BT65" s="33"/>
      <c r="BU65" s="33"/>
      <c r="BV65" s="33"/>
      <c r="BW65" s="33"/>
      <c r="BX65" s="33"/>
      <c r="BY65" s="33"/>
      <c r="BZ65" s="33"/>
      <c r="CA65" s="33"/>
      <c r="CB65" s="33"/>
      <c r="CC65" s="33"/>
      <c r="CD65" s="33"/>
      <c r="CE65" s="33"/>
      <c r="CF65" s="33"/>
      <c r="CG65" s="33"/>
      <c r="CH65" s="33"/>
      <c r="CI65" s="33"/>
      <c r="CJ65" s="33"/>
      <c r="CK65" s="33"/>
      <c r="CL65" s="33"/>
      <c r="CM65" s="33"/>
      <c r="CN65" s="33"/>
      <c r="CO65" s="33"/>
      <c r="CP65" s="33"/>
      <c r="CQ65" s="33"/>
      <c r="CR65" s="33"/>
      <c r="CS65" s="33"/>
      <c r="CT65" s="33"/>
      <c r="CU65" s="33"/>
      <c r="CV65" s="33"/>
      <c r="CW65" s="33"/>
      <c r="CX65" s="33"/>
      <c r="CY65" s="33"/>
      <c r="CZ65" s="33"/>
      <c r="DA65" s="33"/>
      <c r="DB65" s="33"/>
      <c r="DC65" s="33"/>
      <c r="DD65" s="33"/>
      <c r="DE65" s="33"/>
      <c r="DF65" s="33"/>
      <c r="DG65" s="33"/>
      <c r="DH65" s="33"/>
      <c r="DI65" s="33"/>
      <c r="DJ65" s="33"/>
      <c r="DK65" s="33"/>
      <c r="DL65" s="33"/>
      <c r="DM65" s="33"/>
      <c r="DN65" s="33"/>
      <c r="DO65" s="33"/>
      <c r="DP65" s="33"/>
      <c r="DQ65" s="33"/>
      <c r="DR65" s="33"/>
      <c r="DS65" s="33"/>
      <c r="DT65" s="33"/>
      <c r="DU65" s="33"/>
      <c r="DV65" s="33"/>
      <c r="DW65" s="33"/>
      <c r="DX65" s="33"/>
    </row>
    <row r="66" customFormat="false" ht="13.8" hidden="false" customHeight="false" outlineLevel="0" collapsed="false">
      <c r="A66" s="30"/>
      <c r="B66" s="30"/>
      <c r="C66" s="30"/>
      <c r="D66" s="30"/>
      <c r="E66" s="30"/>
      <c r="F66" s="30"/>
      <c r="G66" s="31"/>
      <c r="H66" s="31"/>
      <c r="I66" s="31"/>
      <c r="J66" s="31"/>
      <c r="K66" s="31"/>
      <c r="L66" s="31"/>
      <c r="M66" s="31"/>
      <c r="N66" s="31"/>
      <c r="O66" s="31"/>
      <c r="P66" s="31"/>
      <c r="Q66" s="31"/>
      <c r="R66" s="31"/>
      <c r="S66" s="31"/>
      <c r="T66" s="31"/>
      <c r="U66" s="31"/>
      <c r="V66" s="31"/>
      <c r="W66" s="31"/>
      <c r="X66" s="31"/>
      <c r="Y66" s="31"/>
      <c r="Z66" s="31"/>
      <c r="AA66" s="31"/>
      <c r="AB66" s="31"/>
      <c r="AC66" s="31"/>
      <c r="AD66" s="31"/>
      <c r="AE66" s="31"/>
      <c r="AF66" s="31"/>
      <c r="AG66" s="31"/>
      <c r="AH66" s="31"/>
      <c r="AI66" s="31"/>
      <c r="AJ66" s="31"/>
      <c r="AK66" s="31"/>
      <c r="AL66" s="31"/>
      <c r="AM66" s="31"/>
      <c r="AN66" s="31"/>
      <c r="AO66" s="31"/>
      <c r="AP66" s="31"/>
      <c r="AQ66" s="31"/>
      <c r="AR66" s="31"/>
      <c r="AS66" s="31"/>
      <c r="AT66" s="31"/>
      <c r="AU66" s="31"/>
      <c r="AV66" s="31"/>
      <c r="AW66" s="31"/>
      <c r="AX66" s="31"/>
      <c r="AY66" s="31"/>
      <c r="AZ66" s="31"/>
      <c r="BA66" s="31"/>
      <c r="BB66" s="31"/>
      <c r="BC66" s="31"/>
      <c r="BD66" s="31"/>
      <c r="BE66" s="31"/>
      <c r="BF66" s="31"/>
      <c r="BG66" s="31"/>
      <c r="BH66" s="31"/>
      <c r="BI66" s="31"/>
      <c r="BJ66" s="31"/>
      <c r="BK66" s="31"/>
      <c r="BL66" s="31"/>
      <c r="BM66" s="31"/>
      <c r="BN66" s="31"/>
      <c r="BO66" s="31"/>
      <c r="BP66" s="31"/>
      <c r="BQ66" s="31"/>
      <c r="BR66" s="31"/>
      <c r="BS66" s="31"/>
      <c r="BT66" s="31"/>
      <c r="BU66" s="31"/>
      <c r="BV66" s="31"/>
      <c r="BW66" s="31"/>
      <c r="BX66" s="31"/>
      <c r="BY66" s="31"/>
      <c r="BZ66" s="31"/>
      <c r="CA66" s="31"/>
      <c r="CB66" s="31"/>
      <c r="CC66" s="31"/>
      <c r="CD66" s="31"/>
      <c r="CE66" s="31"/>
      <c r="CF66" s="31"/>
      <c r="CG66" s="31"/>
      <c r="CH66" s="31"/>
      <c r="CI66" s="31"/>
      <c r="CJ66" s="31"/>
      <c r="CK66" s="31"/>
      <c r="CL66" s="31"/>
      <c r="CM66" s="31"/>
      <c r="CN66" s="31"/>
      <c r="CO66" s="31"/>
      <c r="CP66" s="31"/>
      <c r="CQ66" s="31"/>
      <c r="CR66" s="31"/>
      <c r="CS66" s="31"/>
      <c r="CT66" s="31"/>
      <c r="CU66" s="31"/>
      <c r="CV66" s="31"/>
      <c r="CW66" s="31"/>
      <c r="CX66" s="31"/>
      <c r="CY66" s="31"/>
      <c r="CZ66" s="31"/>
      <c r="DA66" s="31"/>
      <c r="DB66" s="31"/>
      <c r="DC66" s="31"/>
      <c r="DD66" s="31"/>
      <c r="DE66" s="31"/>
      <c r="DF66" s="31"/>
      <c r="DG66" s="31"/>
      <c r="DH66" s="31"/>
      <c r="DI66" s="31"/>
      <c r="DJ66" s="31"/>
      <c r="DK66" s="31"/>
      <c r="DL66" s="31"/>
      <c r="DM66" s="31"/>
      <c r="DN66" s="31"/>
      <c r="DO66" s="31"/>
      <c r="DP66" s="31"/>
      <c r="DQ66" s="31"/>
      <c r="DR66" s="31"/>
      <c r="DS66" s="31"/>
      <c r="DT66" s="31"/>
      <c r="DU66" s="31"/>
      <c r="DV66" s="31"/>
      <c r="DW66" s="31"/>
      <c r="DX66" s="31"/>
    </row>
    <row r="67" customFormat="false" ht="13.8" hidden="false" customHeight="false" outlineLevel="0" collapsed="false">
      <c r="A67" s="32"/>
      <c r="B67" s="32"/>
      <c r="C67" s="32"/>
      <c r="D67" s="32"/>
      <c r="E67" s="32"/>
      <c r="F67" s="32"/>
      <c r="G67" s="33"/>
      <c r="H67" s="33"/>
      <c r="I67" s="33"/>
      <c r="J67" s="33"/>
      <c r="K67" s="33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  <c r="AE67" s="33"/>
      <c r="AF67" s="33"/>
      <c r="AG67" s="33"/>
      <c r="AH67" s="33"/>
      <c r="AI67" s="33"/>
      <c r="AJ67" s="33"/>
      <c r="AK67" s="33"/>
      <c r="AL67" s="33"/>
      <c r="AM67" s="33"/>
      <c r="AN67" s="33"/>
      <c r="AO67" s="33"/>
      <c r="AP67" s="33"/>
      <c r="AQ67" s="33"/>
      <c r="AR67" s="33"/>
      <c r="AS67" s="33"/>
      <c r="AT67" s="33"/>
      <c r="AU67" s="33"/>
      <c r="AV67" s="33"/>
      <c r="AW67" s="33"/>
      <c r="AX67" s="33"/>
      <c r="AY67" s="33"/>
      <c r="AZ67" s="33"/>
      <c r="BA67" s="33"/>
      <c r="BB67" s="33"/>
      <c r="BC67" s="33"/>
      <c r="BD67" s="33"/>
      <c r="BE67" s="33"/>
      <c r="BF67" s="33"/>
      <c r="BG67" s="33"/>
      <c r="BH67" s="33"/>
      <c r="BI67" s="33"/>
      <c r="BJ67" s="33"/>
      <c r="BK67" s="33"/>
      <c r="BL67" s="33"/>
      <c r="BM67" s="33"/>
      <c r="BN67" s="33"/>
      <c r="BO67" s="33"/>
      <c r="BP67" s="33"/>
      <c r="BQ67" s="33"/>
      <c r="BR67" s="33"/>
      <c r="BS67" s="33"/>
      <c r="BT67" s="33"/>
      <c r="BU67" s="33"/>
      <c r="BV67" s="33"/>
      <c r="BW67" s="33"/>
      <c r="BX67" s="33"/>
      <c r="BY67" s="33"/>
      <c r="BZ67" s="33"/>
      <c r="CA67" s="33"/>
      <c r="CB67" s="33"/>
      <c r="CC67" s="33"/>
      <c r="CD67" s="33"/>
      <c r="CE67" s="33"/>
      <c r="CF67" s="33"/>
      <c r="CG67" s="33"/>
      <c r="CH67" s="33"/>
      <c r="CI67" s="33"/>
      <c r="CJ67" s="33"/>
      <c r="CK67" s="33"/>
      <c r="CL67" s="33"/>
      <c r="CM67" s="33"/>
      <c r="CN67" s="33"/>
      <c r="CO67" s="33"/>
      <c r="CP67" s="33"/>
      <c r="CQ67" s="33"/>
      <c r="CR67" s="33"/>
      <c r="CS67" s="33"/>
      <c r="CT67" s="33"/>
      <c r="CU67" s="33"/>
      <c r="CV67" s="33"/>
      <c r="CW67" s="33"/>
      <c r="CX67" s="33"/>
      <c r="CY67" s="33"/>
      <c r="CZ67" s="33"/>
      <c r="DA67" s="33"/>
      <c r="DB67" s="33"/>
      <c r="DC67" s="33"/>
      <c r="DD67" s="33"/>
      <c r="DE67" s="33"/>
      <c r="DF67" s="33"/>
      <c r="DG67" s="33"/>
      <c r="DH67" s="33"/>
      <c r="DI67" s="33"/>
      <c r="DJ67" s="33"/>
      <c r="DK67" s="33"/>
      <c r="DL67" s="33"/>
      <c r="DM67" s="33"/>
      <c r="DN67" s="33"/>
      <c r="DO67" s="33"/>
      <c r="DP67" s="33"/>
      <c r="DQ67" s="33"/>
      <c r="DR67" s="33"/>
      <c r="DS67" s="33"/>
      <c r="DT67" s="33"/>
      <c r="DU67" s="33"/>
      <c r="DV67" s="33"/>
      <c r="DW67" s="33"/>
      <c r="DX67" s="33"/>
    </row>
    <row r="68" customFormat="false" ht="13.8" hidden="false" customHeight="false" outlineLevel="0" collapsed="false">
      <c r="A68" s="30"/>
      <c r="B68" s="30"/>
      <c r="C68" s="30"/>
      <c r="D68" s="30"/>
      <c r="E68" s="30"/>
      <c r="F68" s="30"/>
      <c r="G68" s="31"/>
      <c r="H68" s="31"/>
      <c r="I68" s="31"/>
      <c r="J68" s="31"/>
      <c r="K68" s="31"/>
      <c r="L68" s="31"/>
      <c r="M68" s="31"/>
      <c r="N68" s="31"/>
      <c r="O68" s="31"/>
      <c r="P68" s="31"/>
      <c r="Q68" s="31"/>
      <c r="R68" s="31"/>
      <c r="S68" s="31"/>
      <c r="T68" s="31"/>
      <c r="U68" s="31"/>
      <c r="V68" s="31"/>
      <c r="W68" s="31"/>
      <c r="X68" s="31"/>
      <c r="Y68" s="31"/>
      <c r="Z68" s="31"/>
      <c r="AA68" s="31"/>
      <c r="AB68" s="31"/>
      <c r="AC68" s="31"/>
      <c r="AD68" s="31"/>
      <c r="AE68" s="31"/>
      <c r="AF68" s="31"/>
      <c r="AG68" s="31"/>
      <c r="AH68" s="31"/>
      <c r="AI68" s="31"/>
      <c r="AJ68" s="31"/>
      <c r="AK68" s="31"/>
      <c r="AL68" s="31"/>
      <c r="AM68" s="31"/>
      <c r="AN68" s="31"/>
      <c r="AO68" s="31"/>
      <c r="AP68" s="31"/>
      <c r="AQ68" s="31"/>
      <c r="AR68" s="31"/>
      <c r="AS68" s="31"/>
      <c r="AT68" s="31"/>
      <c r="AU68" s="31"/>
      <c r="AV68" s="31"/>
      <c r="AW68" s="31"/>
      <c r="AX68" s="31"/>
      <c r="AY68" s="31"/>
      <c r="AZ68" s="31"/>
      <c r="BA68" s="31"/>
      <c r="BB68" s="31"/>
      <c r="BC68" s="31"/>
      <c r="BD68" s="31"/>
      <c r="BE68" s="31"/>
      <c r="BF68" s="31"/>
      <c r="BG68" s="31"/>
      <c r="BH68" s="31"/>
      <c r="BI68" s="31"/>
      <c r="BJ68" s="31"/>
      <c r="BK68" s="31"/>
      <c r="BL68" s="31"/>
      <c r="BM68" s="31"/>
      <c r="BN68" s="31"/>
      <c r="BO68" s="31"/>
      <c r="BP68" s="31"/>
      <c r="BQ68" s="31"/>
      <c r="BR68" s="31"/>
      <c r="BS68" s="31"/>
      <c r="BT68" s="31"/>
      <c r="BU68" s="31"/>
      <c r="BV68" s="31"/>
      <c r="BW68" s="31"/>
      <c r="BX68" s="31"/>
      <c r="BY68" s="31"/>
      <c r="BZ68" s="31"/>
      <c r="CA68" s="31"/>
      <c r="CB68" s="31"/>
      <c r="CC68" s="31"/>
      <c r="CD68" s="31"/>
      <c r="CE68" s="31"/>
      <c r="CF68" s="31"/>
      <c r="CG68" s="31"/>
      <c r="CH68" s="31"/>
      <c r="CI68" s="31"/>
      <c r="CJ68" s="31"/>
      <c r="CK68" s="31"/>
      <c r="CL68" s="31"/>
      <c r="CM68" s="31"/>
      <c r="CN68" s="31"/>
      <c r="CO68" s="31"/>
      <c r="CP68" s="31"/>
      <c r="CQ68" s="31"/>
      <c r="CR68" s="31"/>
      <c r="CS68" s="31"/>
      <c r="CT68" s="31"/>
      <c r="CU68" s="31"/>
      <c r="CV68" s="31"/>
      <c r="CW68" s="31"/>
      <c r="CX68" s="31"/>
      <c r="CY68" s="31"/>
      <c r="CZ68" s="31"/>
      <c r="DA68" s="31"/>
      <c r="DB68" s="31"/>
      <c r="DC68" s="31"/>
      <c r="DD68" s="31"/>
      <c r="DE68" s="31"/>
      <c r="DF68" s="31"/>
      <c r="DG68" s="31"/>
      <c r="DH68" s="31"/>
      <c r="DI68" s="31"/>
      <c r="DJ68" s="31"/>
      <c r="DK68" s="31"/>
      <c r="DL68" s="31"/>
      <c r="DM68" s="31"/>
      <c r="DN68" s="31"/>
      <c r="DO68" s="31"/>
      <c r="DP68" s="31"/>
      <c r="DQ68" s="31"/>
      <c r="DR68" s="31"/>
      <c r="DS68" s="31"/>
      <c r="DT68" s="31"/>
      <c r="DU68" s="31"/>
      <c r="DV68" s="31"/>
      <c r="DW68" s="31"/>
      <c r="DX68" s="31"/>
    </row>
    <row r="69" customFormat="false" ht="13.8" hidden="false" customHeight="false" outlineLevel="0" collapsed="false">
      <c r="A69" s="32"/>
      <c r="B69" s="32"/>
      <c r="C69" s="32"/>
      <c r="D69" s="32"/>
      <c r="E69" s="32"/>
      <c r="F69" s="32"/>
      <c r="G69" s="33"/>
      <c r="H69" s="33"/>
      <c r="I69" s="33"/>
      <c r="J69" s="33"/>
      <c r="K69" s="33"/>
      <c r="L69" s="33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  <c r="AE69" s="33"/>
      <c r="AF69" s="33"/>
      <c r="AG69" s="33"/>
      <c r="AH69" s="33"/>
      <c r="AI69" s="33"/>
      <c r="AJ69" s="33"/>
      <c r="AK69" s="33"/>
      <c r="AL69" s="33"/>
      <c r="AM69" s="33"/>
      <c r="AN69" s="33"/>
      <c r="AO69" s="33"/>
      <c r="AP69" s="33"/>
      <c r="AQ69" s="33"/>
      <c r="AR69" s="33"/>
      <c r="AS69" s="33"/>
      <c r="AT69" s="33"/>
      <c r="AU69" s="33"/>
      <c r="AV69" s="33"/>
      <c r="AW69" s="33"/>
      <c r="AX69" s="33"/>
      <c r="AY69" s="33"/>
      <c r="AZ69" s="33"/>
      <c r="BA69" s="33"/>
      <c r="BB69" s="33"/>
      <c r="BC69" s="33"/>
      <c r="BD69" s="33"/>
      <c r="BE69" s="33"/>
      <c r="BF69" s="33"/>
      <c r="BG69" s="33"/>
      <c r="BH69" s="33"/>
      <c r="BI69" s="33"/>
      <c r="BJ69" s="33"/>
      <c r="BK69" s="33"/>
      <c r="BL69" s="33"/>
      <c r="BM69" s="33"/>
      <c r="BN69" s="33"/>
      <c r="BO69" s="33"/>
      <c r="BP69" s="33"/>
      <c r="BQ69" s="33"/>
      <c r="BR69" s="33"/>
      <c r="BS69" s="33"/>
      <c r="BT69" s="33"/>
      <c r="BU69" s="33"/>
      <c r="BV69" s="33"/>
      <c r="BW69" s="33"/>
      <c r="BX69" s="33"/>
      <c r="BY69" s="33"/>
      <c r="BZ69" s="33"/>
      <c r="CA69" s="33"/>
      <c r="CB69" s="33"/>
      <c r="CC69" s="33"/>
      <c r="CD69" s="33"/>
      <c r="CE69" s="33"/>
      <c r="CF69" s="33"/>
      <c r="CG69" s="33"/>
      <c r="CH69" s="33"/>
      <c r="CI69" s="33"/>
      <c r="CJ69" s="33"/>
      <c r="CK69" s="33"/>
      <c r="CL69" s="33"/>
      <c r="CM69" s="33"/>
      <c r="CN69" s="33"/>
      <c r="CO69" s="33"/>
      <c r="CP69" s="33"/>
      <c r="CQ69" s="33"/>
      <c r="CR69" s="33"/>
      <c r="CS69" s="33"/>
      <c r="CT69" s="33"/>
      <c r="CU69" s="33"/>
      <c r="CV69" s="33"/>
      <c r="CW69" s="33"/>
      <c r="CX69" s="33"/>
      <c r="CY69" s="33"/>
      <c r="CZ69" s="33"/>
      <c r="DA69" s="33"/>
      <c r="DB69" s="33"/>
      <c r="DC69" s="33"/>
      <c r="DD69" s="33"/>
      <c r="DE69" s="33"/>
      <c r="DF69" s="33"/>
      <c r="DG69" s="33"/>
      <c r="DH69" s="33"/>
      <c r="DI69" s="33"/>
      <c r="DJ69" s="33"/>
      <c r="DK69" s="33"/>
      <c r="DL69" s="33"/>
      <c r="DM69" s="33"/>
      <c r="DN69" s="33"/>
      <c r="DO69" s="33"/>
      <c r="DP69" s="33"/>
      <c r="DQ69" s="33"/>
      <c r="DR69" s="33"/>
      <c r="DS69" s="33"/>
      <c r="DT69" s="33"/>
      <c r="DU69" s="33"/>
      <c r="DV69" s="33"/>
      <c r="DW69" s="33"/>
      <c r="DX69" s="33"/>
    </row>
    <row r="70" customFormat="false" ht="13.8" hidden="false" customHeight="false" outlineLevel="0" collapsed="false">
      <c r="A70" s="30"/>
      <c r="B70" s="30"/>
      <c r="C70" s="30"/>
      <c r="D70" s="30"/>
      <c r="E70" s="30"/>
      <c r="F70" s="30"/>
      <c r="G70" s="31"/>
      <c r="H70" s="31"/>
      <c r="I70" s="31"/>
      <c r="J70" s="31"/>
      <c r="K70" s="31"/>
      <c r="L70" s="31"/>
      <c r="M70" s="31"/>
      <c r="N70" s="31"/>
      <c r="O70" s="31"/>
      <c r="P70" s="31"/>
      <c r="Q70" s="31"/>
      <c r="R70" s="31"/>
      <c r="S70" s="31"/>
      <c r="T70" s="31"/>
      <c r="U70" s="31"/>
      <c r="V70" s="31"/>
      <c r="W70" s="31"/>
      <c r="X70" s="31"/>
      <c r="Y70" s="31"/>
      <c r="Z70" s="31"/>
      <c r="AA70" s="31"/>
      <c r="AB70" s="31"/>
      <c r="AC70" s="31"/>
      <c r="AD70" s="31"/>
      <c r="AE70" s="31"/>
      <c r="AF70" s="31"/>
      <c r="AG70" s="31"/>
      <c r="AH70" s="31"/>
      <c r="AI70" s="31"/>
      <c r="AJ70" s="31"/>
      <c r="AK70" s="31"/>
      <c r="AL70" s="31"/>
      <c r="AM70" s="31"/>
      <c r="AN70" s="31"/>
      <c r="AO70" s="31"/>
      <c r="AP70" s="31"/>
      <c r="AQ70" s="31"/>
      <c r="AR70" s="31"/>
      <c r="AS70" s="31"/>
      <c r="AT70" s="31"/>
      <c r="AU70" s="31"/>
      <c r="AV70" s="31"/>
      <c r="AW70" s="31"/>
      <c r="AX70" s="31"/>
      <c r="AY70" s="31"/>
      <c r="AZ70" s="31"/>
      <c r="BA70" s="31"/>
      <c r="BB70" s="31"/>
      <c r="BC70" s="31"/>
      <c r="BD70" s="31"/>
      <c r="BE70" s="31"/>
      <c r="BF70" s="31"/>
      <c r="BG70" s="31"/>
      <c r="BH70" s="31"/>
      <c r="BI70" s="31"/>
      <c r="BJ70" s="31"/>
      <c r="BK70" s="31"/>
      <c r="BL70" s="31"/>
      <c r="BM70" s="31"/>
      <c r="BN70" s="31"/>
      <c r="BO70" s="31"/>
      <c r="BP70" s="31"/>
      <c r="BQ70" s="31"/>
      <c r="BR70" s="31"/>
      <c r="BS70" s="31"/>
      <c r="BT70" s="31"/>
      <c r="BU70" s="31"/>
      <c r="BV70" s="31"/>
      <c r="BW70" s="31"/>
      <c r="BX70" s="31"/>
      <c r="BY70" s="31"/>
      <c r="BZ70" s="31"/>
      <c r="CA70" s="31"/>
      <c r="CB70" s="31"/>
      <c r="CC70" s="31"/>
      <c r="CD70" s="31"/>
      <c r="CE70" s="31"/>
      <c r="CF70" s="31"/>
      <c r="CG70" s="31"/>
      <c r="CH70" s="31"/>
      <c r="CI70" s="31"/>
      <c r="CJ70" s="31"/>
      <c r="CK70" s="31"/>
      <c r="CL70" s="31"/>
      <c r="CM70" s="31"/>
      <c r="CN70" s="31"/>
      <c r="CO70" s="31"/>
      <c r="CP70" s="31"/>
      <c r="CQ70" s="31"/>
      <c r="CR70" s="31"/>
      <c r="CS70" s="31"/>
      <c r="CT70" s="31"/>
      <c r="CU70" s="31"/>
      <c r="CV70" s="31"/>
      <c r="CW70" s="31"/>
      <c r="CX70" s="31"/>
      <c r="CY70" s="31"/>
      <c r="CZ70" s="31"/>
      <c r="DA70" s="31"/>
      <c r="DB70" s="31"/>
      <c r="DC70" s="31"/>
      <c r="DD70" s="31"/>
      <c r="DE70" s="31"/>
      <c r="DF70" s="31"/>
      <c r="DG70" s="31"/>
      <c r="DH70" s="31"/>
      <c r="DI70" s="31"/>
      <c r="DJ70" s="31"/>
      <c r="DK70" s="31"/>
      <c r="DL70" s="31"/>
      <c r="DM70" s="31"/>
      <c r="DN70" s="31"/>
      <c r="DO70" s="31"/>
      <c r="DP70" s="31"/>
      <c r="DQ70" s="31"/>
      <c r="DR70" s="31"/>
      <c r="DS70" s="31"/>
      <c r="DT70" s="31"/>
      <c r="DU70" s="31"/>
      <c r="DV70" s="31"/>
      <c r="DW70" s="31"/>
      <c r="DX70" s="31"/>
    </row>
    <row r="71" customFormat="false" ht="13.8" hidden="false" customHeight="false" outlineLevel="0" collapsed="false">
      <c r="A71" s="32"/>
      <c r="B71" s="32"/>
      <c r="C71" s="32"/>
      <c r="D71" s="32"/>
      <c r="E71" s="32"/>
      <c r="F71" s="32"/>
      <c r="G71" s="33"/>
      <c r="H71" s="33"/>
      <c r="I71" s="33"/>
      <c r="J71" s="33"/>
      <c r="K71" s="33"/>
      <c r="L71" s="33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  <c r="AE71" s="33"/>
      <c r="AF71" s="33"/>
      <c r="AG71" s="33"/>
      <c r="AH71" s="33"/>
      <c r="AI71" s="33"/>
      <c r="AJ71" s="33"/>
      <c r="AK71" s="33"/>
      <c r="AL71" s="33"/>
      <c r="AM71" s="33"/>
      <c r="AN71" s="33"/>
      <c r="AO71" s="33"/>
      <c r="AP71" s="33"/>
      <c r="AQ71" s="33"/>
      <c r="AR71" s="33"/>
      <c r="AS71" s="33"/>
      <c r="AT71" s="33"/>
      <c r="AU71" s="33"/>
      <c r="AV71" s="33"/>
      <c r="AW71" s="33"/>
      <c r="AX71" s="33"/>
      <c r="AY71" s="33"/>
      <c r="AZ71" s="33"/>
      <c r="BA71" s="33"/>
      <c r="BB71" s="33"/>
      <c r="BC71" s="33"/>
      <c r="BD71" s="33"/>
      <c r="BE71" s="33"/>
      <c r="BF71" s="33"/>
      <c r="BG71" s="33"/>
      <c r="BH71" s="33"/>
      <c r="BI71" s="33"/>
      <c r="BJ71" s="33"/>
      <c r="BK71" s="33"/>
      <c r="BL71" s="33"/>
      <c r="BM71" s="33"/>
      <c r="BN71" s="33"/>
      <c r="BO71" s="33"/>
      <c r="BP71" s="33"/>
      <c r="BQ71" s="33"/>
      <c r="BR71" s="33"/>
      <c r="BS71" s="33"/>
      <c r="BT71" s="33"/>
      <c r="BU71" s="33"/>
      <c r="BV71" s="33"/>
      <c r="BW71" s="33"/>
      <c r="BX71" s="33"/>
      <c r="BY71" s="33"/>
      <c r="BZ71" s="33"/>
      <c r="CA71" s="33"/>
      <c r="CB71" s="33"/>
      <c r="CC71" s="33"/>
      <c r="CD71" s="33"/>
      <c r="CE71" s="33"/>
      <c r="CF71" s="33"/>
      <c r="CG71" s="33"/>
      <c r="CH71" s="33"/>
      <c r="CI71" s="33"/>
      <c r="CJ71" s="33"/>
      <c r="CK71" s="33"/>
      <c r="CL71" s="33"/>
      <c r="CM71" s="33"/>
      <c r="CN71" s="33"/>
      <c r="CO71" s="33"/>
      <c r="CP71" s="33"/>
      <c r="CQ71" s="33"/>
      <c r="CR71" s="33"/>
      <c r="CS71" s="33"/>
      <c r="CT71" s="33"/>
      <c r="CU71" s="33"/>
      <c r="CV71" s="33"/>
      <c r="CW71" s="33"/>
      <c r="CX71" s="33"/>
      <c r="CY71" s="33"/>
      <c r="CZ71" s="33"/>
      <c r="DA71" s="33"/>
      <c r="DB71" s="33"/>
      <c r="DC71" s="33"/>
      <c r="DD71" s="33"/>
      <c r="DE71" s="33"/>
      <c r="DF71" s="33"/>
      <c r="DG71" s="33"/>
      <c r="DH71" s="33"/>
      <c r="DI71" s="33"/>
      <c r="DJ71" s="33"/>
      <c r="DK71" s="33"/>
      <c r="DL71" s="33"/>
      <c r="DM71" s="33"/>
      <c r="DN71" s="33"/>
      <c r="DO71" s="33"/>
      <c r="DP71" s="33"/>
      <c r="DQ71" s="33"/>
      <c r="DR71" s="33"/>
      <c r="DS71" s="33"/>
      <c r="DT71" s="33"/>
      <c r="DU71" s="33"/>
      <c r="DV71" s="33"/>
      <c r="DW71" s="33"/>
      <c r="DX71" s="33"/>
    </row>
    <row r="72" customFormat="false" ht="13.8" hidden="false" customHeight="false" outlineLevel="0" collapsed="false">
      <c r="A72" s="30"/>
      <c r="B72" s="30"/>
      <c r="C72" s="30"/>
      <c r="D72" s="30"/>
      <c r="E72" s="30"/>
      <c r="F72" s="30"/>
      <c r="G72" s="31"/>
      <c r="H72" s="31"/>
      <c r="I72" s="31"/>
      <c r="J72" s="31"/>
      <c r="K72" s="31"/>
      <c r="L72" s="31"/>
      <c r="M72" s="31"/>
      <c r="N72" s="31"/>
      <c r="O72" s="31"/>
      <c r="P72" s="31"/>
      <c r="Q72" s="31"/>
      <c r="R72" s="31"/>
      <c r="S72" s="31"/>
      <c r="T72" s="31"/>
      <c r="U72" s="31"/>
      <c r="V72" s="31"/>
      <c r="W72" s="31"/>
      <c r="X72" s="31"/>
      <c r="Y72" s="31"/>
      <c r="Z72" s="31"/>
      <c r="AA72" s="31"/>
      <c r="AB72" s="31"/>
      <c r="AC72" s="31"/>
      <c r="AD72" s="31"/>
      <c r="AE72" s="31"/>
      <c r="AF72" s="31"/>
      <c r="AG72" s="31"/>
      <c r="AH72" s="31"/>
      <c r="AI72" s="31"/>
      <c r="AJ72" s="31"/>
      <c r="AK72" s="31"/>
      <c r="AL72" s="31"/>
      <c r="AM72" s="31"/>
      <c r="AN72" s="31"/>
      <c r="AO72" s="31"/>
      <c r="AP72" s="31"/>
      <c r="AQ72" s="31"/>
      <c r="AR72" s="31"/>
      <c r="AS72" s="31"/>
      <c r="AT72" s="31"/>
      <c r="AU72" s="31"/>
      <c r="AV72" s="31"/>
      <c r="AW72" s="31"/>
      <c r="AX72" s="31"/>
      <c r="AY72" s="31"/>
      <c r="AZ72" s="31"/>
      <c r="BA72" s="31"/>
      <c r="BB72" s="31"/>
      <c r="BC72" s="31"/>
      <c r="BD72" s="31"/>
      <c r="BE72" s="31"/>
      <c r="BF72" s="31"/>
      <c r="BG72" s="31"/>
      <c r="BH72" s="31"/>
      <c r="BI72" s="31"/>
      <c r="BJ72" s="31"/>
      <c r="BK72" s="31"/>
      <c r="BL72" s="31"/>
      <c r="BM72" s="31"/>
      <c r="BN72" s="31"/>
      <c r="BO72" s="31"/>
      <c r="BP72" s="31"/>
      <c r="BQ72" s="31"/>
      <c r="BR72" s="31"/>
      <c r="BS72" s="31"/>
      <c r="BT72" s="31"/>
      <c r="BU72" s="31"/>
      <c r="BV72" s="31"/>
      <c r="BW72" s="31"/>
      <c r="BX72" s="31"/>
      <c r="BY72" s="31"/>
      <c r="BZ72" s="31"/>
      <c r="CA72" s="31"/>
      <c r="CB72" s="31"/>
      <c r="CC72" s="31"/>
      <c r="CD72" s="31"/>
      <c r="CE72" s="31"/>
      <c r="CF72" s="31"/>
      <c r="CG72" s="31"/>
      <c r="CH72" s="31"/>
      <c r="CI72" s="31"/>
      <c r="CJ72" s="31"/>
      <c r="CK72" s="31"/>
      <c r="CL72" s="31"/>
      <c r="CM72" s="31"/>
      <c r="CN72" s="31"/>
      <c r="CO72" s="31"/>
      <c r="CP72" s="31"/>
      <c r="CQ72" s="31"/>
      <c r="CR72" s="31"/>
      <c r="CS72" s="31"/>
      <c r="CT72" s="31"/>
      <c r="CU72" s="31"/>
      <c r="CV72" s="31"/>
      <c r="CW72" s="31"/>
      <c r="CX72" s="31"/>
      <c r="CY72" s="31"/>
      <c r="CZ72" s="31"/>
      <c r="DA72" s="31"/>
      <c r="DB72" s="31"/>
      <c r="DC72" s="31"/>
      <c r="DD72" s="31"/>
      <c r="DE72" s="31"/>
      <c r="DF72" s="31"/>
      <c r="DG72" s="31"/>
      <c r="DH72" s="31"/>
      <c r="DI72" s="31"/>
      <c r="DJ72" s="31"/>
      <c r="DK72" s="31"/>
      <c r="DL72" s="31"/>
      <c r="DM72" s="31"/>
      <c r="DN72" s="31"/>
      <c r="DO72" s="31"/>
      <c r="DP72" s="31"/>
      <c r="DQ72" s="31"/>
      <c r="DR72" s="31"/>
      <c r="DS72" s="31"/>
      <c r="DT72" s="31"/>
      <c r="DU72" s="31"/>
      <c r="DV72" s="31"/>
      <c r="DW72" s="31"/>
      <c r="DX72" s="31"/>
    </row>
    <row r="73" customFormat="false" ht="13.8" hidden="false" customHeight="false" outlineLevel="0" collapsed="false">
      <c r="A73" s="32"/>
      <c r="B73" s="32"/>
      <c r="C73" s="32"/>
      <c r="D73" s="32"/>
      <c r="E73" s="32"/>
      <c r="F73" s="32"/>
      <c r="G73" s="33"/>
      <c r="H73" s="33"/>
      <c r="I73" s="33"/>
      <c r="J73" s="33"/>
      <c r="K73" s="33"/>
      <c r="L73" s="33"/>
      <c r="M73" s="33"/>
      <c r="N73" s="33"/>
      <c r="O73" s="33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  <c r="AE73" s="33"/>
      <c r="AF73" s="33"/>
      <c r="AG73" s="33"/>
      <c r="AH73" s="33"/>
      <c r="AI73" s="33"/>
      <c r="AJ73" s="33"/>
      <c r="AK73" s="33"/>
      <c r="AL73" s="33"/>
      <c r="AM73" s="33"/>
      <c r="AN73" s="33"/>
      <c r="AO73" s="33"/>
      <c r="AP73" s="33"/>
      <c r="AQ73" s="33"/>
      <c r="AR73" s="33"/>
      <c r="AS73" s="33"/>
      <c r="AT73" s="33"/>
      <c r="AU73" s="33"/>
      <c r="AV73" s="33"/>
      <c r="AW73" s="33"/>
      <c r="AX73" s="33"/>
      <c r="AY73" s="33"/>
      <c r="AZ73" s="33"/>
      <c r="BA73" s="33"/>
      <c r="BB73" s="33"/>
      <c r="BC73" s="33"/>
      <c r="BD73" s="33"/>
      <c r="BE73" s="33"/>
      <c r="BF73" s="33"/>
      <c r="BG73" s="33"/>
      <c r="BH73" s="33"/>
      <c r="BI73" s="33"/>
      <c r="BJ73" s="33"/>
      <c r="BK73" s="33"/>
      <c r="BL73" s="33"/>
      <c r="BM73" s="33"/>
      <c r="BN73" s="33"/>
      <c r="BO73" s="33"/>
      <c r="BP73" s="33"/>
      <c r="BQ73" s="33"/>
      <c r="BR73" s="33"/>
      <c r="BS73" s="33"/>
      <c r="BT73" s="33"/>
      <c r="BU73" s="33"/>
      <c r="BV73" s="33"/>
      <c r="BW73" s="33"/>
      <c r="BX73" s="33"/>
      <c r="BY73" s="33"/>
      <c r="BZ73" s="33"/>
      <c r="CA73" s="33"/>
      <c r="CB73" s="33"/>
      <c r="CC73" s="33"/>
      <c r="CD73" s="33"/>
      <c r="CE73" s="33"/>
      <c r="CF73" s="33"/>
      <c r="CG73" s="33"/>
      <c r="CH73" s="33"/>
      <c r="CI73" s="33"/>
      <c r="CJ73" s="33"/>
      <c r="CK73" s="33"/>
      <c r="CL73" s="33"/>
      <c r="CM73" s="33"/>
      <c r="CN73" s="33"/>
      <c r="CO73" s="33"/>
      <c r="CP73" s="33"/>
      <c r="CQ73" s="33"/>
      <c r="CR73" s="33"/>
      <c r="CS73" s="33"/>
      <c r="CT73" s="33"/>
      <c r="CU73" s="33"/>
      <c r="CV73" s="33"/>
      <c r="CW73" s="33"/>
      <c r="CX73" s="33"/>
      <c r="CY73" s="33"/>
      <c r="CZ73" s="33"/>
      <c r="DA73" s="33"/>
      <c r="DB73" s="33"/>
      <c r="DC73" s="33"/>
      <c r="DD73" s="33"/>
      <c r="DE73" s="33"/>
      <c r="DF73" s="33"/>
      <c r="DG73" s="33"/>
      <c r="DH73" s="33"/>
      <c r="DI73" s="33"/>
      <c r="DJ73" s="33"/>
      <c r="DK73" s="33"/>
      <c r="DL73" s="33"/>
      <c r="DM73" s="33"/>
      <c r="DN73" s="33"/>
      <c r="DO73" s="33"/>
      <c r="DP73" s="33"/>
      <c r="DQ73" s="33"/>
      <c r="DR73" s="33"/>
      <c r="DS73" s="33"/>
      <c r="DT73" s="33"/>
      <c r="DU73" s="33"/>
      <c r="DV73" s="33"/>
      <c r="DW73" s="33"/>
      <c r="DX73" s="33"/>
    </row>
    <row r="74" customFormat="false" ht="13.8" hidden="false" customHeight="false" outlineLevel="0" collapsed="false">
      <c r="A74" s="30"/>
      <c r="B74" s="30"/>
      <c r="C74" s="30"/>
      <c r="D74" s="30"/>
      <c r="E74" s="30"/>
      <c r="F74" s="30"/>
      <c r="G74" s="31"/>
      <c r="H74" s="31"/>
      <c r="I74" s="31"/>
      <c r="J74" s="31"/>
      <c r="K74" s="31"/>
      <c r="L74" s="31"/>
      <c r="M74" s="31"/>
      <c r="N74" s="31"/>
      <c r="O74" s="31"/>
      <c r="P74" s="31"/>
      <c r="Q74" s="31"/>
      <c r="R74" s="31"/>
      <c r="S74" s="31"/>
      <c r="T74" s="31"/>
      <c r="U74" s="31"/>
      <c r="V74" s="31"/>
      <c r="W74" s="31"/>
      <c r="X74" s="31"/>
      <c r="Y74" s="31"/>
      <c r="Z74" s="31"/>
      <c r="AA74" s="31"/>
      <c r="AB74" s="31"/>
      <c r="AC74" s="31"/>
      <c r="AD74" s="31"/>
      <c r="AE74" s="31"/>
      <c r="AF74" s="31"/>
      <c r="AG74" s="31"/>
      <c r="AH74" s="31"/>
      <c r="AI74" s="31"/>
      <c r="AJ74" s="31"/>
      <c r="AK74" s="31"/>
      <c r="AL74" s="31"/>
      <c r="AM74" s="31"/>
      <c r="AN74" s="31"/>
      <c r="AO74" s="31"/>
      <c r="AP74" s="31"/>
      <c r="AQ74" s="31"/>
      <c r="AR74" s="31"/>
      <c r="AS74" s="31"/>
      <c r="AT74" s="31"/>
      <c r="AU74" s="31"/>
      <c r="AV74" s="31"/>
      <c r="AW74" s="31"/>
      <c r="AX74" s="31"/>
      <c r="AY74" s="31"/>
      <c r="AZ74" s="31"/>
      <c r="BA74" s="31"/>
      <c r="BB74" s="31"/>
      <c r="BC74" s="31"/>
      <c r="BD74" s="31"/>
      <c r="BE74" s="31"/>
      <c r="BF74" s="31"/>
      <c r="BG74" s="31"/>
      <c r="BH74" s="31"/>
      <c r="BI74" s="31"/>
      <c r="BJ74" s="31"/>
      <c r="BK74" s="31"/>
      <c r="BL74" s="31"/>
      <c r="BM74" s="31"/>
      <c r="BN74" s="31"/>
      <c r="BO74" s="31"/>
      <c r="BP74" s="31"/>
      <c r="BQ74" s="31"/>
      <c r="BR74" s="31"/>
      <c r="BS74" s="31"/>
      <c r="BT74" s="31"/>
      <c r="BU74" s="31"/>
      <c r="BV74" s="31"/>
      <c r="BW74" s="31"/>
      <c r="BX74" s="31"/>
      <c r="BY74" s="31"/>
      <c r="BZ74" s="31"/>
      <c r="CA74" s="31"/>
      <c r="CB74" s="31"/>
      <c r="CC74" s="31"/>
      <c r="CD74" s="31"/>
      <c r="CE74" s="31"/>
      <c r="CF74" s="31"/>
      <c r="CG74" s="31"/>
      <c r="CH74" s="31"/>
      <c r="CI74" s="31"/>
      <c r="CJ74" s="31"/>
      <c r="CK74" s="31"/>
      <c r="CL74" s="31"/>
      <c r="CM74" s="31"/>
      <c r="CN74" s="31"/>
      <c r="CO74" s="31"/>
      <c r="CP74" s="31"/>
      <c r="CQ74" s="31"/>
      <c r="CR74" s="31"/>
      <c r="CS74" s="31"/>
      <c r="CT74" s="31"/>
      <c r="CU74" s="31"/>
      <c r="CV74" s="31"/>
      <c r="CW74" s="31"/>
      <c r="CX74" s="31"/>
      <c r="CY74" s="31"/>
      <c r="CZ74" s="31"/>
      <c r="DA74" s="31"/>
      <c r="DB74" s="31"/>
      <c r="DC74" s="31"/>
      <c r="DD74" s="31"/>
      <c r="DE74" s="31"/>
      <c r="DF74" s="31"/>
      <c r="DG74" s="31"/>
      <c r="DH74" s="31"/>
      <c r="DI74" s="31"/>
      <c r="DJ74" s="31"/>
      <c r="DK74" s="31"/>
      <c r="DL74" s="31"/>
      <c r="DM74" s="31"/>
      <c r="DN74" s="31"/>
      <c r="DO74" s="31"/>
      <c r="DP74" s="31"/>
      <c r="DQ74" s="31"/>
      <c r="DR74" s="31"/>
      <c r="DS74" s="31"/>
      <c r="DT74" s="31"/>
      <c r="DU74" s="31"/>
      <c r="DV74" s="31"/>
      <c r="DW74" s="31"/>
      <c r="DX74" s="31"/>
    </row>
    <row r="75" customFormat="false" ht="13.8" hidden="false" customHeight="false" outlineLevel="0" collapsed="false">
      <c r="A75" s="32"/>
      <c r="B75" s="32"/>
      <c r="C75" s="32"/>
      <c r="D75" s="32"/>
      <c r="E75" s="32"/>
      <c r="F75" s="32"/>
      <c r="G75" s="33"/>
      <c r="H75" s="33"/>
      <c r="I75" s="33"/>
      <c r="J75" s="33"/>
      <c r="K75" s="33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  <c r="AE75" s="33"/>
      <c r="AF75" s="33"/>
      <c r="AG75" s="33"/>
      <c r="AH75" s="33"/>
      <c r="AI75" s="33"/>
      <c r="AJ75" s="33"/>
      <c r="AK75" s="33"/>
      <c r="AL75" s="33"/>
      <c r="AM75" s="33"/>
      <c r="AN75" s="33"/>
      <c r="AO75" s="33"/>
      <c r="AP75" s="33"/>
      <c r="AQ75" s="33"/>
      <c r="AR75" s="33"/>
      <c r="AS75" s="33"/>
      <c r="AT75" s="33"/>
      <c r="AU75" s="33"/>
      <c r="AV75" s="33"/>
      <c r="AW75" s="33"/>
      <c r="AX75" s="33"/>
      <c r="AY75" s="33"/>
      <c r="AZ75" s="33"/>
      <c r="BA75" s="33"/>
      <c r="BB75" s="33"/>
      <c r="BC75" s="33"/>
      <c r="BD75" s="33"/>
      <c r="BE75" s="33"/>
      <c r="BF75" s="33"/>
      <c r="BG75" s="33"/>
      <c r="BH75" s="33"/>
      <c r="BI75" s="33"/>
      <c r="BJ75" s="33"/>
      <c r="BK75" s="33"/>
      <c r="BL75" s="33"/>
      <c r="BM75" s="33"/>
      <c r="BN75" s="33"/>
      <c r="BO75" s="33"/>
      <c r="BP75" s="33"/>
      <c r="BQ75" s="33"/>
      <c r="BR75" s="33"/>
      <c r="BS75" s="33"/>
      <c r="BT75" s="33"/>
      <c r="BU75" s="33"/>
      <c r="BV75" s="33"/>
      <c r="BW75" s="33"/>
      <c r="BX75" s="33"/>
      <c r="BY75" s="33"/>
      <c r="BZ75" s="33"/>
      <c r="CA75" s="33"/>
      <c r="CB75" s="33"/>
      <c r="CC75" s="33"/>
      <c r="CD75" s="33"/>
      <c r="CE75" s="33"/>
      <c r="CF75" s="33"/>
      <c r="CG75" s="33"/>
      <c r="CH75" s="33"/>
      <c r="CI75" s="33"/>
      <c r="CJ75" s="33"/>
      <c r="CK75" s="33"/>
      <c r="CL75" s="33"/>
      <c r="CM75" s="33"/>
      <c r="CN75" s="33"/>
      <c r="CO75" s="33"/>
      <c r="CP75" s="33"/>
      <c r="CQ75" s="33"/>
      <c r="CR75" s="33"/>
      <c r="CS75" s="33"/>
      <c r="CT75" s="33"/>
      <c r="CU75" s="33"/>
      <c r="CV75" s="33"/>
      <c r="CW75" s="33"/>
      <c r="CX75" s="33"/>
      <c r="CY75" s="33"/>
      <c r="CZ75" s="33"/>
      <c r="DA75" s="33"/>
      <c r="DB75" s="33"/>
      <c r="DC75" s="33"/>
      <c r="DD75" s="33"/>
      <c r="DE75" s="33"/>
      <c r="DF75" s="33"/>
      <c r="DG75" s="33"/>
      <c r="DH75" s="33"/>
      <c r="DI75" s="33"/>
      <c r="DJ75" s="33"/>
      <c r="DK75" s="33"/>
      <c r="DL75" s="33"/>
      <c r="DM75" s="33"/>
      <c r="DN75" s="33"/>
      <c r="DO75" s="33"/>
      <c r="DP75" s="33"/>
      <c r="DQ75" s="33"/>
      <c r="DR75" s="33"/>
      <c r="DS75" s="33"/>
      <c r="DT75" s="33"/>
      <c r="DU75" s="33"/>
      <c r="DV75" s="33"/>
      <c r="DW75" s="33"/>
      <c r="DX75" s="33"/>
    </row>
    <row r="76" customFormat="false" ht="13.8" hidden="false" customHeight="false" outlineLevel="0" collapsed="false">
      <c r="A76" s="30"/>
      <c r="B76" s="30"/>
      <c r="C76" s="30"/>
      <c r="D76" s="30"/>
      <c r="E76" s="30"/>
      <c r="F76" s="30"/>
      <c r="G76" s="31"/>
      <c r="H76" s="31"/>
      <c r="I76" s="31"/>
      <c r="J76" s="31"/>
      <c r="K76" s="31"/>
      <c r="L76" s="31"/>
      <c r="M76" s="31"/>
      <c r="N76" s="31"/>
      <c r="O76" s="31"/>
      <c r="P76" s="31"/>
      <c r="Q76" s="31"/>
      <c r="R76" s="31"/>
      <c r="S76" s="31"/>
      <c r="T76" s="31"/>
      <c r="U76" s="31"/>
      <c r="V76" s="31"/>
      <c r="W76" s="31"/>
      <c r="X76" s="31"/>
      <c r="Y76" s="31"/>
      <c r="Z76" s="31"/>
      <c r="AA76" s="31"/>
      <c r="AB76" s="31"/>
      <c r="AC76" s="31"/>
      <c r="AD76" s="31"/>
      <c r="AE76" s="31"/>
      <c r="AF76" s="31"/>
      <c r="AG76" s="31"/>
      <c r="AH76" s="31"/>
      <c r="AI76" s="31"/>
      <c r="AJ76" s="31"/>
      <c r="AK76" s="31"/>
      <c r="AL76" s="31"/>
      <c r="AM76" s="31"/>
      <c r="AN76" s="31"/>
      <c r="AO76" s="31"/>
      <c r="AP76" s="31"/>
      <c r="AQ76" s="31"/>
      <c r="AR76" s="31"/>
      <c r="AS76" s="31"/>
      <c r="AT76" s="31"/>
      <c r="AU76" s="31"/>
      <c r="AV76" s="31"/>
      <c r="AW76" s="31"/>
      <c r="AX76" s="31"/>
      <c r="AY76" s="31"/>
      <c r="AZ76" s="31"/>
      <c r="BA76" s="31"/>
      <c r="BB76" s="31"/>
      <c r="BC76" s="31"/>
      <c r="BD76" s="31"/>
      <c r="BE76" s="31"/>
      <c r="BF76" s="31"/>
      <c r="BG76" s="31"/>
      <c r="BH76" s="31"/>
      <c r="BI76" s="31"/>
      <c r="BJ76" s="31"/>
      <c r="BK76" s="31"/>
      <c r="BL76" s="31"/>
      <c r="BM76" s="31"/>
      <c r="BN76" s="31"/>
      <c r="BO76" s="31"/>
      <c r="BP76" s="31"/>
      <c r="BQ76" s="31"/>
      <c r="BR76" s="31"/>
      <c r="BS76" s="31"/>
      <c r="BT76" s="31"/>
      <c r="BU76" s="31"/>
      <c r="BV76" s="31"/>
      <c r="BW76" s="31"/>
      <c r="BX76" s="31"/>
      <c r="BY76" s="31"/>
      <c r="BZ76" s="31"/>
      <c r="CA76" s="31"/>
      <c r="CB76" s="31"/>
      <c r="CC76" s="31"/>
      <c r="CD76" s="31"/>
      <c r="CE76" s="31"/>
      <c r="CF76" s="31"/>
      <c r="CG76" s="31"/>
      <c r="CH76" s="31"/>
      <c r="CI76" s="31"/>
      <c r="CJ76" s="31"/>
      <c r="CK76" s="31"/>
      <c r="CL76" s="31"/>
      <c r="CM76" s="31"/>
      <c r="CN76" s="31"/>
      <c r="CO76" s="31"/>
      <c r="CP76" s="31"/>
      <c r="CQ76" s="31"/>
      <c r="CR76" s="31"/>
      <c r="CS76" s="31"/>
      <c r="CT76" s="31"/>
      <c r="CU76" s="31"/>
      <c r="CV76" s="31"/>
      <c r="CW76" s="31"/>
      <c r="CX76" s="31"/>
      <c r="CY76" s="31"/>
      <c r="CZ76" s="31"/>
      <c r="DA76" s="31"/>
      <c r="DB76" s="31"/>
      <c r="DC76" s="31"/>
      <c r="DD76" s="31"/>
      <c r="DE76" s="31"/>
      <c r="DF76" s="31"/>
      <c r="DG76" s="31"/>
      <c r="DH76" s="31"/>
      <c r="DI76" s="31"/>
      <c r="DJ76" s="31"/>
      <c r="DK76" s="31"/>
      <c r="DL76" s="31"/>
      <c r="DM76" s="31"/>
      <c r="DN76" s="31"/>
      <c r="DO76" s="31"/>
      <c r="DP76" s="31"/>
      <c r="DQ76" s="31"/>
      <c r="DR76" s="31"/>
      <c r="DS76" s="31"/>
      <c r="DT76" s="31"/>
      <c r="DU76" s="31"/>
      <c r="DV76" s="31"/>
      <c r="DW76" s="31"/>
      <c r="DX76" s="31"/>
    </row>
    <row r="77" customFormat="false" ht="13.8" hidden="false" customHeight="false" outlineLevel="0" collapsed="false">
      <c r="A77" s="32"/>
      <c r="B77" s="32"/>
      <c r="C77" s="32"/>
      <c r="D77" s="32"/>
      <c r="E77" s="32"/>
      <c r="F77" s="32"/>
      <c r="G77" s="33"/>
      <c r="H77" s="33"/>
      <c r="I77" s="33"/>
      <c r="J77" s="33"/>
      <c r="K77" s="33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  <c r="AE77" s="33"/>
      <c r="AF77" s="33"/>
      <c r="AG77" s="33"/>
      <c r="AH77" s="33"/>
      <c r="AI77" s="33"/>
      <c r="AJ77" s="33"/>
      <c r="AK77" s="33"/>
      <c r="AL77" s="33"/>
      <c r="AM77" s="33"/>
      <c r="AN77" s="33"/>
      <c r="AO77" s="33"/>
      <c r="AP77" s="33"/>
      <c r="AQ77" s="33"/>
      <c r="AR77" s="33"/>
      <c r="AS77" s="33"/>
      <c r="AT77" s="33"/>
      <c r="AU77" s="33"/>
      <c r="AV77" s="33"/>
      <c r="AW77" s="33"/>
      <c r="AX77" s="33"/>
      <c r="AY77" s="33"/>
      <c r="AZ77" s="33"/>
      <c r="BA77" s="33"/>
      <c r="BB77" s="33"/>
      <c r="BC77" s="33"/>
      <c r="BD77" s="33"/>
      <c r="BE77" s="33"/>
      <c r="BF77" s="33"/>
      <c r="BG77" s="33"/>
      <c r="BH77" s="33"/>
      <c r="BI77" s="33"/>
      <c r="BJ77" s="33"/>
      <c r="BK77" s="33"/>
      <c r="BL77" s="33"/>
      <c r="BM77" s="33"/>
      <c r="BN77" s="33"/>
      <c r="BO77" s="33"/>
      <c r="BP77" s="33"/>
      <c r="BQ77" s="33"/>
      <c r="BR77" s="33"/>
      <c r="BS77" s="33"/>
      <c r="BT77" s="33"/>
      <c r="BU77" s="33"/>
      <c r="BV77" s="33"/>
      <c r="BW77" s="33"/>
      <c r="BX77" s="33"/>
      <c r="BY77" s="33"/>
      <c r="BZ77" s="33"/>
      <c r="CA77" s="33"/>
      <c r="CB77" s="33"/>
      <c r="CC77" s="33"/>
      <c r="CD77" s="33"/>
      <c r="CE77" s="33"/>
      <c r="CF77" s="33"/>
      <c r="CG77" s="33"/>
      <c r="CH77" s="33"/>
      <c r="CI77" s="33"/>
      <c r="CJ77" s="33"/>
      <c r="CK77" s="33"/>
      <c r="CL77" s="33"/>
      <c r="CM77" s="33"/>
      <c r="CN77" s="33"/>
      <c r="CO77" s="33"/>
      <c r="CP77" s="33"/>
      <c r="CQ77" s="33"/>
      <c r="CR77" s="33"/>
      <c r="CS77" s="33"/>
      <c r="CT77" s="33"/>
      <c r="CU77" s="33"/>
      <c r="CV77" s="33"/>
      <c r="CW77" s="33"/>
      <c r="CX77" s="33"/>
      <c r="CY77" s="33"/>
      <c r="CZ77" s="33"/>
      <c r="DA77" s="33"/>
      <c r="DB77" s="33"/>
      <c r="DC77" s="33"/>
      <c r="DD77" s="33"/>
      <c r="DE77" s="33"/>
      <c r="DF77" s="33"/>
      <c r="DG77" s="33"/>
      <c r="DH77" s="33"/>
      <c r="DI77" s="33"/>
      <c r="DJ77" s="33"/>
      <c r="DK77" s="33"/>
      <c r="DL77" s="33"/>
      <c r="DM77" s="33"/>
      <c r="DN77" s="33"/>
      <c r="DO77" s="33"/>
      <c r="DP77" s="33"/>
      <c r="DQ77" s="33"/>
      <c r="DR77" s="33"/>
      <c r="DS77" s="33"/>
      <c r="DT77" s="33"/>
      <c r="DU77" s="33"/>
      <c r="DV77" s="33"/>
      <c r="DW77" s="33"/>
      <c r="DX77" s="33"/>
    </row>
    <row r="78" customFormat="false" ht="13.8" hidden="false" customHeight="false" outlineLevel="0" collapsed="false">
      <c r="A78" s="30"/>
      <c r="B78" s="30"/>
      <c r="C78" s="30"/>
      <c r="D78" s="30"/>
      <c r="E78" s="30"/>
      <c r="F78" s="30"/>
      <c r="G78" s="31"/>
      <c r="H78" s="31"/>
      <c r="I78" s="31"/>
      <c r="J78" s="31"/>
      <c r="K78" s="31"/>
      <c r="L78" s="31"/>
      <c r="M78" s="31"/>
      <c r="N78" s="31"/>
      <c r="O78" s="31"/>
      <c r="P78" s="31"/>
      <c r="Q78" s="31"/>
      <c r="R78" s="31"/>
      <c r="S78" s="31"/>
      <c r="T78" s="31"/>
      <c r="U78" s="31"/>
      <c r="V78" s="31"/>
      <c r="W78" s="31"/>
      <c r="X78" s="31"/>
      <c r="Y78" s="31"/>
      <c r="Z78" s="31"/>
      <c r="AA78" s="31"/>
      <c r="AB78" s="31"/>
      <c r="AC78" s="31"/>
      <c r="AD78" s="31"/>
      <c r="AE78" s="31"/>
      <c r="AF78" s="31"/>
      <c r="AG78" s="31"/>
      <c r="AH78" s="31"/>
      <c r="AI78" s="31"/>
      <c r="AJ78" s="31"/>
      <c r="AK78" s="31"/>
      <c r="AL78" s="31"/>
      <c r="AM78" s="31"/>
      <c r="AN78" s="31"/>
      <c r="AO78" s="31"/>
      <c r="AP78" s="31"/>
      <c r="AQ78" s="31"/>
      <c r="AR78" s="31"/>
      <c r="AS78" s="31"/>
      <c r="AT78" s="31"/>
      <c r="AU78" s="31"/>
      <c r="AV78" s="31"/>
      <c r="AW78" s="31"/>
      <c r="AX78" s="31"/>
      <c r="AY78" s="31"/>
      <c r="AZ78" s="31"/>
      <c r="BA78" s="31"/>
      <c r="BB78" s="31"/>
      <c r="BC78" s="31"/>
      <c r="BD78" s="31"/>
      <c r="BE78" s="31"/>
      <c r="BF78" s="31"/>
      <c r="BG78" s="31"/>
      <c r="BH78" s="31"/>
      <c r="BI78" s="31"/>
      <c r="BJ78" s="31"/>
      <c r="BK78" s="31"/>
      <c r="BL78" s="31"/>
      <c r="BM78" s="31"/>
      <c r="BN78" s="31"/>
      <c r="BO78" s="31"/>
      <c r="BP78" s="31"/>
      <c r="BQ78" s="31"/>
      <c r="BR78" s="31"/>
      <c r="BS78" s="31"/>
      <c r="BT78" s="31"/>
      <c r="BU78" s="31"/>
      <c r="BV78" s="31"/>
      <c r="BW78" s="31"/>
      <c r="BX78" s="31"/>
      <c r="BY78" s="31"/>
      <c r="BZ78" s="31"/>
      <c r="CA78" s="31"/>
      <c r="CB78" s="31"/>
      <c r="CC78" s="31"/>
      <c r="CD78" s="31"/>
      <c r="CE78" s="31"/>
      <c r="CF78" s="31"/>
      <c r="CG78" s="31"/>
      <c r="CH78" s="31"/>
      <c r="CI78" s="31"/>
      <c r="CJ78" s="31"/>
      <c r="CK78" s="31"/>
      <c r="CL78" s="31"/>
      <c r="CM78" s="31"/>
      <c r="CN78" s="31"/>
      <c r="CO78" s="31"/>
      <c r="CP78" s="31"/>
      <c r="CQ78" s="31"/>
      <c r="CR78" s="31"/>
      <c r="CS78" s="31"/>
      <c r="CT78" s="31"/>
      <c r="CU78" s="31"/>
      <c r="CV78" s="31"/>
      <c r="CW78" s="31"/>
      <c r="CX78" s="31"/>
      <c r="CY78" s="31"/>
      <c r="CZ78" s="31"/>
      <c r="DA78" s="31"/>
      <c r="DB78" s="31"/>
      <c r="DC78" s="31"/>
      <c r="DD78" s="31"/>
      <c r="DE78" s="31"/>
      <c r="DF78" s="31"/>
      <c r="DG78" s="31"/>
      <c r="DH78" s="31"/>
      <c r="DI78" s="31"/>
      <c r="DJ78" s="31"/>
      <c r="DK78" s="31"/>
      <c r="DL78" s="31"/>
      <c r="DM78" s="31"/>
      <c r="DN78" s="31"/>
      <c r="DO78" s="31"/>
      <c r="DP78" s="31"/>
      <c r="DQ78" s="31"/>
      <c r="DR78" s="31"/>
      <c r="DS78" s="31"/>
      <c r="DT78" s="31"/>
      <c r="DU78" s="31"/>
      <c r="DV78" s="31"/>
      <c r="DW78" s="31"/>
      <c r="DX78" s="31"/>
    </row>
    <row r="79" customFormat="false" ht="13.8" hidden="false" customHeight="false" outlineLevel="0" collapsed="false">
      <c r="A79" s="32"/>
      <c r="B79" s="32"/>
      <c r="C79" s="32"/>
      <c r="D79" s="32"/>
      <c r="E79" s="32"/>
      <c r="F79" s="32"/>
      <c r="G79" s="33"/>
      <c r="H79" s="33"/>
      <c r="I79" s="33"/>
      <c r="J79" s="33"/>
      <c r="K79" s="33"/>
      <c r="L79" s="33"/>
      <c r="M79" s="33"/>
      <c r="N79" s="33"/>
      <c r="O79" s="33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  <c r="AE79" s="33"/>
      <c r="AF79" s="33"/>
      <c r="AG79" s="33"/>
      <c r="AH79" s="33"/>
      <c r="AI79" s="33"/>
      <c r="AJ79" s="33"/>
      <c r="AK79" s="33"/>
      <c r="AL79" s="33"/>
      <c r="AM79" s="33"/>
      <c r="AN79" s="33"/>
      <c r="AO79" s="33"/>
      <c r="AP79" s="33"/>
      <c r="AQ79" s="33"/>
      <c r="AR79" s="33"/>
      <c r="AS79" s="33"/>
      <c r="AT79" s="33"/>
      <c r="AU79" s="33"/>
      <c r="AV79" s="33"/>
      <c r="AW79" s="33"/>
      <c r="AX79" s="33"/>
      <c r="AY79" s="33"/>
      <c r="AZ79" s="33"/>
      <c r="BA79" s="33"/>
      <c r="BB79" s="33"/>
      <c r="BC79" s="33"/>
      <c r="BD79" s="33"/>
      <c r="BE79" s="33"/>
      <c r="BF79" s="33"/>
      <c r="BG79" s="33"/>
      <c r="BH79" s="33"/>
      <c r="BI79" s="33"/>
      <c r="BJ79" s="33"/>
      <c r="BK79" s="33"/>
      <c r="BL79" s="33"/>
      <c r="BM79" s="33"/>
      <c r="BN79" s="33"/>
      <c r="BO79" s="33"/>
      <c r="BP79" s="33"/>
      <c r="BQ79" s="33"/>
      <c r="BR79" s="33"/>
      <c r="BS79" s="33"/>
      <c r="BT79" s="33"/>
      <c r="BU79" s="33"/>
      <c r="BV79" s="33"/>
      <c r="BW79" s="33"/>
      <c r="BX79" s="33"/>
      <c r="BY79" s="33"/>
      <c r="BZ79" s="33"/>
      <c r="CA79" s="33"/>
      <c r="CB79" s="33"/>
      <c r="CC79" s="33"/>
      <c r="CD79" s="33"/>
      <c r="CE79" s="33"/>
      <c r="CF79" s="33"/>
      <c r="CG79" s="33"/>
      <c r="CH79" s="33"/>
      <c r="CI79" s="33"/>
      <c r="CJ79" s="33"/>
      <c r="CK79" s="33"/>
      <c r="CL79" s="33"/>
      <c r="CM79" s="33"/>
      <c r="CN79" s="33"/>
      <c r="CO79" s="33"/>
      <c r="CP79" s="33"/>
      <c r="CQ79" s="33"/>
      <c r="CR79" s="33"/>
      <c r="CS79" s="33"/>
      <c r="CT79" s="33"/>
      <c r="CU79" s="33"/>
      <c r="CV79" s="33"/>
      <c r="CW79" s="33"/>
      <c r="CX79" s="33"/>
      <c r="CY79" s="33"/>
      <c r="CZ79" s="33"/>
      <c r="DA79" s="33"/>
      <c r="DB79" s="33"/>
      <c r="DC79" s="33"/>
      <c r="DD79" s="33"/>
      <c r="DE79" s="33"/>
      <c r="DF79" s="33"/>
      <c r="DG79" s="33"/>
      <c r="DH79" s="33"/>
      <c r="DI79" s="33"/>
      <c r="DJ79" s="33"/>
      <c r="DK79" s="33"/>
      <c r="DL79" s="33"/>
      <c r="DM79" s="33"/>
      <c r="DN79" s="33"/>
      <c r="DO79" s="33"/>
      <c r="DP79" s="33"/>
      <c r="DQ79" s="33"/>
      <c r="DR79" s="33"/>
      <c r="DS79" s="33"/>
      <c r="DT79" s="33"/>
      <c r="DU79" s="33"/>
      <c r="DV79" s="33"/>
      <c r="DW79" s="33"/>
      <c r="DX79" s="33"/>
    </row>
    <row r="80" customFormat="false" ht="13.8" hidden="false" customHeight="false" outlineLevel="0" collapsed="false">
      <c r="A80" s="30"/>
      <c r="B80" s="30"/>
      <c r="C80" s="30"/>
      <c r="D80" s="30"/>
      <c r="E80" s="30"/>
      <c r="F80" s="30"/>
      <c r="G80" s="31"/>
      <c r="H80" s="31"/>
      <c r="I80" s="31"/>
      <c r="J80" s="31"/>
      <c r="K80" s="31"/>
      <c r="L80" s="31"/>
      <c r="M80" s="31"/>
      <c r="N80" s="31"/>
      <c r="O80" s="31"/>
      <c r="P80" s="31"/>
      <c r="Q80" s="31"/>
      <c r="R80" s="31"/>
      <c r="S80" s="31"/>
      <c r="T80" s="31"/>
      <c r="U80" s="31"/>
      <c r="V80" s="31"/>
      <c r="W80" s="31"/>
      <c r="X80" s="31"/>
      <c r="Y80" s="31"/>
      <c r="Z80" s="31"/>
      <c r="AA80" s="31"/>
      <c r="AB80" s="31"/>
      <c r="AC80" s="31"/>
      <c r="AD80" s="31"/>
      <c r="AE80" s="31"/>
      <c r="AF80" s="31"/>
      <c r="AG80" s="31"/>
      <c r="AH80" s="31"/>
      <c r="AI80" s="31"/>
      <c r="AJ80" s="31"/>
      <c r="AK80" s="31"/>
      <c r="AL80" s="31"/>
      <c r="AM80" s="31"/>
      <c r="AN80" s="31"/>
      <c r="AO80" s="31"/>
      <c r="AP80" s="31"/>
      <c r="AQ80" s="31"/>
      <c r="AR80" s="31"/>
      <c r="AS80" s="31"/>
      <c r="AT80" s="31"/>
      <c r="AU80" s="31"/>
      <c r="AV80" s="31"/>
      <c r="AW80" s="31"/>
      <c r="AX80" s="31"/>
      <c r="AY80" s="31"/>
      <c r="AZ80" s="31"/>
      <c r="BA80" s="31"/>
      <c r="BB80" s="31"/>
      <c r="BC80" s="31"/>
      <c r="BD80" s="31"/>
      <c r="BE80" s="31"/>
      <c r="BF80" s="31"/>
      <c r="BG80" s="31"/>
      <c r="BH80" s="31"/>
      <c r="BI80" s="31"/>
      <c r="BJ80" s="31"/>
      <c r="BK80" s="31"/>
      <c r="BL80" s="31"/>
      <c r="BM80" s="31"/>
      <c r="BN80" s="31"/>
      <c r="BO80" s="31"/>
      <c r="BP80" s="31"/>
      <c r="BQ80" s="31"/>
      <c r="BR80" s="31"/>
      <c r="BS80" s="31"/>
      <c r="BT80" s="31"/>
      <c r="BU80" s="31"/>
      <c r="BV80" s="31"/>
      <c r="BW80" s="31"/>
      <c r="BX80" s="31"/>
      <c r="BY80" s="31"/>
      <c r="BZ80" s="31"/>
      <c r="CA80" s="31"/>
      <c r="CB80" s="31"/>
      <c r="CC80" s="31"/>
      <c r="CD80" s="31"/>
      <c r="CE80" s="31"/>
      <c r="CF80" s="31"/>
      <c r="CG80" s="31"/>
      <c r="CH80" s="31"/>
      <c r="CI80" s="31"/>
      <c r="CJ80" s="31"/>
      <c r="CK80" s="31"/>
      <c r="CL80" s="31"/>
      <c r="CM80" s="31"/>
      <c r="CN80" s="31"/>
      <c r="CO80" s="31"/>
      <c r="CP80" s="31"/>
      <c r="CQ80" s="31"/>
      <c r="CR80" s="31"/>
      <c r="CS80" s="31"/>
      <c r="CT80" s="31"/>
      <c r="CU80" s="31"/>
      <c r="CV80" s="31"/>
      <c r="CW80" s="31"/>
      <c r="CX80" s="31"/>
      <c r="CY80" s="31"/>
      <c r="CZ80" s="31"/>
      <c r="DA80" s="31"/>
      <c r="DB80" s="31"/>
      <c r="DC80" s="31"/>
      <c r="DD80" s="31"/>
      <c r="DE80" s="31"/>
      <c r="DF80" s="31"/>
      <c r="DG80" s="31"/>
      <c r="DH80" s="31"/>
      <c r="DI80" s="31"/>
      <c r="DJ80" s="31"/>
      <c r="DK80" s="31"/>
      <c r="DL80" s="31"/>
      <c r="DM80" s="31"/>
      <c r="DN80" s="31"/>
      <c r="DO80" s="31"/>
      <c r="DP80" s="31"/>
      <c r="DQ80" s="31"/>
      <c r="DR80" s="31"/>
      <c r="DS80" s="31"/>
      <c r="DT80" s="31"/>
      <c r="DU80" s="31"/>
      <c r="DV80" s="31"/>
      <c r="DW80" s="31"/>
      <c r="DX80" s="31"/>
    </row>
    <row r="81" customFormat="false" ht="13.8" hidden="false" customHeight="false" outlineLevel="0" collapsed="false">
      <c r="A81" s="32"/>
      <c r="B81" s="32"/>
      <c r="C81" s="32"/>
      <c r="D81" s="32"/>
      <c r="E81" s="32"/>
      <c r="F81" s="32"/>
      <c r="G81" s="33"/>
      <c r="H81" s="33"/>
      <c r="I81" s="33"/>
      <c r="J81" s="33"/>
      <c r="K81" s="33"/>
      <c r="L81" s="33"/>
      <c r="M81" s="33"/>
      <c r="N81" s="33"/>
      <c r="O81" s="33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  <c r="AE81" s="33"/>
      <c r="AF81" s="33"/>
      <c r="AG81" s="33"/>
      <c r="AH81" s="33"/>
      <c r="AI81" s="33"/>
      <c r="AJ81" s="33"/>
      <c r="AK81" s="33"/>
      <c r="AL81" s="33"/>
      <c r="AM81" s="33"/>
      <c r="AN81" s="33"/>
      <c r="AO81" s="33"/>
      <c r="AP81" s="33"/>
      <c r="AQ81" s="33"/>
      <c r="AR81" s="33"/>
      <c r="AS81" s="33"/>
      <c r="AT81" s="33"/>
      <c r="AU81" s="33"/>
      <c r="AV81" s="33"/>
      <c r="AW81" s="33"/>
      <c r="AX81" s="33"/>
      <c r="AY81" s="33"/>
      <c r="AZ81" s="33"/>
      <c r="BA81" s="33"/>
      <c r="BB81" s="33"/>
      <c r="BC81" s="33"/>
      <c r="BD81" s="33"/>
      <c r="BE81" s="33"/>
      <c r="BF81" s="33"/>
      <c r="BG81" s="33"/>
      <c r="BH81" s="33"/>
      <c r="BI81" s="33"/>
      <c r="BJ81" s="33"/>
      <c r="BK81" s="33"/>
      <c r="BL81" s="33"/>
      <c r="BM81" s="33"/>
      <c r="BN81" s="33"/>
      <c r="BO81" s="33"/>
      <c r="BP81" s="33"/>
      <c r="BQ81" s="33"/>
      <c r="BR81" s="33"/>
      <c r="BS81" s="33"/>
      <c r="BT81" s="33"/>
      <c r="BU81" s="33"/>
      <c r="BV81" s="33"/>
      <c r="BW81" s="33"/>
      <c r="BX81" s="33"/>
      <c r="BY81" s="33"/>
      <c r="BZ81" s="33"/>
      <c r="CA81" s="33"/>
      <c r="CB81" s="33"/>
      <c r="CC81" s="33"/>
      <c r="CD81" s="33"/>
      <c r="CE81" s="33"/>
      <c r="CF81" s="33"/>
      <c r="CG81" s="33"/>
      <c r="CH81" s="33"/>
      <c r="CI81" s="33"/>
      <c r="CJ81" s="33"/>
      <c r="CK81" s="33"/>
      <c r="CL81" s="33"/>
      <c r="CM81" s="33"/>
      <c r="CN81" s="33"/>
      <c r="CO81" s="33"/>
      <c r="CP81" s="33"/>
      <c r="CQ81" s="33"/>
      <c r="CR81" s="33"/>
      <c r="CS81" s="33"/>
      <c r="CT81" s="33"/>
      <c r="CU81" s="33"/>
      <c r="CV81" s="33"/>
      <c r="CW81" s="33"/>
      <c r="CX81" s="33"/>
      <c r="CY81" s="33"/>
      <c r="CZ81" s="33"/>
      <c r="DA81" s="33"/>
      <c r="DB81" s="33"/>
      <c r="DC81" s="33"/>
      <c r="DD81" s="33"/>
      <c r="DE81" s="33"/>
      <c r="DF81" s="33"/>
      <c r="DG81" s="33"/>
      <c r="DH81" s="33"/>
      <c r="DI81" s="33"/>
      <c r="DJ81" s="33"/>
      <c r="DK81" s="33"/>
      <c r="DL81" s="33"/>
      <c r="DM81" s="33"/>
      <c r="DN81" s="33"/>
      <c r="DO81" s="33"/>
      <c r="DP81" s="33"/>
      <c r="DQ81" s="33"/>
      <c r="DR81" s="33"/>
      <c r="DS81" s="33"/>
      <c r="DT81" s="33"/>
      <c r="DU81" s="33"/>
      <c r="DV81" s="33"/>
      <c r="DW81" s="33"/>
      <c r="DX81" s="33"/>
    </row>
    <row r="82" customFormat="false" ht="13.8" hidden="false" customHeight="false" outlineLevel="0" collapsed="false">
      <c r="A82" s="30"/>
      <c r="B82" s="30"/>
      <c r="C82" s="30"/>
      <c r="D82" s="30"/>
      <c r="E82" s="30"/>
      <c r="F82" s="30"/>
      <c r="G82" s="31"/>
      <c r="H82" s="31"/>
      <c r="I82" s="31"/>
      <c r="J82" s="31"/>
      <c r="K82" s="31"/>
      <c r="L82" s="31"/>
      <c r="M82" s="31"/>
      <c r="N82" s="31"/>
      <c r="O82" s="31"/>
      <c r="P82" s="31"/>
      <c r="Q82" s="31"/>
      <c r="R82" s="31"/>
      <c r="S82" s="31"/>
      <c r="T82" s="31"/>
      <c r="U82" s="31"/>
      <c r="V82" s="31"/>
      <c r="W82" s="31"/>
      <c r="X82" s="31"/>
      <c r="Y82" s="31"/>
      <c r="Z82" s="31"/>
      <c r="AA82" s="31"/>
      <c r="AB82" s="31"/>
      <c r="AC82" s="31"/>
      <c r="AD82" s="31"/>
      <c r="AE82" s="31"/>
      <c r="AF82" s="31"/>
      <c r="AG82" s="31"/>
      <c r="AH82" s="31"/>
      <c r="AI82" s="31"/>
      <c r="AJ82" s="31"/>
      <c r="AK82" s="31"/>
      <c r="AL82" s="31"/>
      <c r="AM82" s="31"/>
      <c r="AN82" s="31"/>
      <c r="AO82" s="31"/>
      <c r="AP82" s="31"/>
      <c r="AQ82" s="31"/>
      <c r="AR82" s="31"/>
      <c r="AS82" s="31"/>
      <c r="AT82" s="31"/>
      <c r="AU82" s="31"/>
      <c r="AV82" s="31"/>
      <c r="AW82" s="31"/>
      <c r="AX82" s="31"/>
      <c r="AY82" s="31"/>
      <c r="AZ82" s="31"/>
      <c r="BA82" s="31"/>
      <c r="BB82" s="31"/>
      <c r="BC82" s="31"/>
      <c r="BD82" s="31"/>
      <c r="BE82" s="31"/>
      <c r="BF82" s="31"/>
      <c r="BG82" s="31"/>
      <c r="BH82" s="31"/>
      <c r="BI82" s="31"/>
      <c r="BJ82" s="31"/>
      <c r="BK82" s="31"/>
      <c r="BL82" s="31"/>
      <c r="BM82" s="31"/>
      <c r="BN82" s="31"/>
      <c r="BO82" s="31"/>
      <c r="BP82" s="31"/>
      <c r="BQ82" s="31"/>
      <c r="BR82" s="31"/>
      <c r="BS82" s="31"/>
      <c r="BT82" s="31"/>
      <c r="BU82" s="31"/>
      <c r="BV82" s="31"/>
      <c r="BW82" s="31"/>
      <c r="BX82" s="31"/>
      <c r="BY82" s="31"/>
      <c r="BZ82" s="31"/>
      <c r="CA82" s="31"/>
      <c r="CB82" s="31"/>
      <c r="CC82" s="31"/>
      <c r="CD82" s="31"/>
      <c r="CE82" s="31"/>
      <c r="CF82" s="31"/>
      <c r="CG82" s="31"/>
      <c r="CH82" s="31"/>
      <c r="CI82" s="31"/>
      <c r="CJ82" s="31"/>
      <c r="CK82" s="31"/>
      <c r="CL82" s="31"/>
      <c r="CM82" s="31"/>
      <c r="CN82" s="31"/>
      <c r="CO82" s="31"/>
      <c r="CP82" s="31"/>
      <c r="CQ82" s="31"/>
      <c r="CR82" s="31"/>
      <c r="CS82" s="31"/>
      <c r="CT82" s="31"/>
      <c r="CU82" s="31"/>
      <c r="CV82" s="31"/>
      <c r="CW82" s="31"/>
      <c r="CX82" s="31"/>
      <c r="CY82" s="31"/>
      <c r="CZ82" s="31"/>
      <c r="DA82" s="31"/>
      <c r="DB82" s="31"/>
      <c r="DC82" s="31"/>
      <c r="DD82" s="31"/>
      <c r="DE82" s="31"/>
      <c r="DF82" s="31"/>
      <c r="DG82" s="31"/>
      <c r="DH82" s="31"/>
      <c r="DI82" s="31"/>
      <c r="DJ82" s="31"/>
      <c r="DK82" s="31"/>
      <c r="DL82" s="31"/>
      <c r="DM82" s="31"/>
      <c r="DN82" s="31"/>
      <c r="DO82" s="31"/>
      <c r="DP82" s="31"/>
      <c r="DQ82" s="31"/>
      <c r="DR82" s="31"/>
      <c r="DS82" s="31"/>
      <c r="DT82" s="31"/>
      <c r="DU82" s="31"/>
      <c r="DV82" s="31"/>
      <c r="DW82" s="31"/>
      <c r="DX82" s="31"/>
    </row>
    <row r="83" customFormat="false" ht="13.8" hidden="false" customHeight="false" outlineLevel="0" collapsed="false">
      <c r="A83" s="32"/>
      <c r="B83" s="32"/>
      <c r="C83" s="32"/>
      <c r="D83" s="32"/>
      <c r="E83" s="32"/>
      <c r="F83" s="32"/>
      <c r="G83" s="33"/>
      <c r="H83" s="33"/>
      <c r="I83" s="33"/>
      <c r="J83" s="33"/>
      <c r="K83" s="33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  <c r="AE83" s="33"/>
      <c r="AF83" s="33"/>
      <c r="AG83" s="33"/>
      <c r="AH83" s="33"/>
      <c r="AI83" s="33"/>
      <c r="AJ83" s="33"/>
      <c r="AK83" s="33"/>
      <c r="AL83" s="33"/>
      <c r="AM83" s="33"/>
      <c r="AN83" s="33"/>
      <c r="AO83" s="33"/>
      <c r="AP83" s="33"/>
      <c r="AQ83" s="33"/>
      <c r="AR83" s="33"/>
      <c r="AS83" s="33"/>
      <c r="AT83" s="33"/>
      <c r="AU83" s="33"/>
      <c r="AV83" s="33"/>
      <c r="AW83" s="33"/>
      <c r="AX83" s="33"/>
      <c r="AY83" s="33"/>
      <c r="AZ83" s="33"/>
      <c r="BA83" s="33"/>
      <c r="BB83" s="33"/>
      <c r="BC83" s="33"/>
      <c r="BD83" s="33"/>
      <c r="BE83" s="33"/>
      <c r="BF83" s="33"/>
      <c r="BG83" s="33"/>
      <c r="BH83" s="33"/>
      <c r="BI83" s="33"/>
      <c r="BJ83" s="33"/>
      <c r="BK83" s="33"/>
      <c r="BL83" s="33"/>
      <c r="BM83" s="33"/>
      <c r="BN83" s="33"/>
      <c r="BO83" s="33"/>
      <c r="BP83" s="33"/>
      <c r="BQ83" s="33"/>
      <c r="BR83" s="33"/>
      <c r="BS83" s="33"/>
      <c r="BT83" s="33"/>
      <c r="BU83" s="33"/>
      <c r="BV83" s="33"/>
      <c r="BW83" s="33"/>
      <c r="BX83" s="33"/>
      <c r="BY83" s="33"/>
      <c r="BZ83" s="33"/>
      <c r="CA83" s="33"/>
      <c r="CB83" s="33"/>
      <c r="CC83" s="33"/>
      <c r="CD83" s="33"/>
      <c r="CE83" s="33"/>
      <c r="CF83" s="33"/>
      <c r="CG83" s="33"/>
      <c r="CH83" s="33"/>
      <c r="CI83" s="33"/>
      <c r="CJ83" s="33"/>
      <c r="CK83" s="33"/>
      <c r="CL83" s="33"/>
      <c r="CM83" s="33"/>
      <c r="CN83" s="33"/>
      <c r="CO83" s="33"/>
      <c r="CP83" s="33"/>
      <c r="CQ83" s="33"/>
      <c r="CR83" s="33"/>
      <c r="CS83" s="33"/>
      <c r="CT83" s="33"/>
      <c r="CU83" s="33"/>
      <c r="CV83" s="33"/>
      <c r="CW83" s="33"/>
      <c r="CX83" s="33"/>
      <c r="CY83" s="33"/>
      <c r="CZ83" s="33"/>
      <c r="DA83" s="33"/>
      <c r="DB83" s="33"/>
      <c r="DC83" s="33"/>
      <c r="DD83" s="33"/>
      <c r="DE83" s="33"/>
      <c r="DF83" s="33"/>
      <c r="DG83" s="33"/>
      <c r="DH83" s="33"/>
      <c r="DI83" s="33"/>
      <c r="DJ83" s="33"/>
      <c r="DK83" s="33"/>
      <c r="DL83" s="33"/>
      <c r="DM83" s="33"/>
      <c r="DN83" s="33"/>
      <c r="DO83" s="33"/>
      <c r="DP83" s="33"/>
      <c r="DQ83" s="33"/>
      <c r="DR83" s="33"/>
      <c r="DS83" s="33"/>
      <c r="DT83" s="33"/>
      <c r="DU83" s="33"/>
      <c r="DV83" s="33"/>
      <c r="DW83" s="33"/>
      <c r="DX83" s="33"/>
    </row>
    <row r="84" customFormat="false" ht="13.8" hidden="false" customHeight="false" outlineLevel="0" collapsed="false">
      <c r="A84" s="30"/>
      <c r="B84" s="30"/>
      <c r="C84" s="30"/>
      <c r="D84" s="30"/>
      <c r="E84" s="30"/>
      <c r="F84" s="30"/>
      <c r="G84" s="31"/>
      <c r="H84" s="31"/>
      <c r="I84" s="31"/>
      <c r="J84" s="31"/>
      <c r="K84" s="31"/>
      <c r="L84" s="31"/>
      <c r="M84" s="31"/>
      <c r="N84" s="31"/>
      <c r="O84" s="31"/>
      <c r="P84" s="31"/>
      <c r="Q84" s="31"/>
      <c r="R84" s="31"/>
      <c r="S84" s="31"/>
      <c r="T84" s="31"/>
      <c r="U84" s="31"/>
      <c r="V84" s="31"/>
      <c r="W84" s="31"/>
      <c r="X84" s="31"/>
      <c r="Y84" s="31"/>
      <c r="Z84" s="31"/>
      <c r="AA84" s="31"/>
      <c r="AB84" s="31"/>
      <c r="AC84" s="31"/>
      <c r="AD84" s="31"/>
      <c r="AE84" s="31"/>
      <c r="AF84" s="31"/>
      <c r="AG84" s="31"/>
      <c r="AH84" s="31"/>
      <c r="AI84" s="31"/>
      <c r="AJ84" s="31"/>
      <c r="AK84" s="31"/>
      <c r="AL84" s="31"/>
      <c r="AM84" s="31"/>
      <c r="AN84" s="31"/>
      <c r="AO84" s="31"/>
      <c r="AP84" s="31"/>
      <c r="AQ84" s="31"/>
      <c r="AR84" s="31"/>
      <c r="AS84" s="31"/>
      <c r="AT84" s="31"/>
      <c r="AU84" s="31"/>
      <c r="AV84" s="31"/>
      <c r="AW84" s="31"/>
      <c r="AX84" s="31"/>
      <c r="AY84" s="31"/>
      <c r="AZ84" s="31"/>
      <c r="BA84" s="31"/>
      <c r="BB84" s="31"/>
      <c r="BC84" s="31"/>
      <c r="BD84" s="31"/>
      <c r="BE84" s="31"/>
      <c r="BF84" s="31"/>
      <c r="BG84" s="31"/>
      <c r="BH84" s="31"/>
      <c r="BI84" s="31"/>
      <c r="BJ84" s="31"/>
      <c r="BK84" s="31"/>
      <c r="BL84" s="31"/>
      <c r="BM84" s="31"/>
      <c r="BN84" s="31"/>
      <c r="BO84" s="31"/>
      <c r="BP84" s="31"/>
      <c r="BQ84" s="31"/>
      <c r="BR84" s="31"/>
      <c r="BS84" s="31"/>
      <c r="BT84" s="31"/>
      <c r="BU84" s="31"/>
      <c r="BV84" s="31"/>
      <c r="BW84" s="31"/>
      <c r="BX84" s="31"/>
      <c r="BY84" s="31"/>
      <c r="BZ84" s="31"/>
      <c r="CA84" s="31"/>
      <c r="CB84" s="31"/>
      <c r="CC84" s="31"/>
      <c r="CD84" s="31"/>
      <c r="CE84" s="31"/>
      <c r="CF84" s="31"/>
      <c r="CG84" s="31"/>
      <c r="CH84" s="31"/>
      <c r="CI84" s="31"/>
      <c r="CJ84" s="31"/>
      <c r="CK84" s="31"/>
      <c r="CL84" s="31"/>
      <c r="CM84" s="31"/>
      <c r="CN84" s="31"/>
      <c r="CO84" s="31"/>
      <c r="CP84" s="31"/>
      <c r="CQ84" s="31"/>
      <c r="CR84" s="31"/>
      <c r="CS84" s="31"/>
      <c r="CT84" s="31"/>
      <c r="CU84" s="31"/>
      <c r="CV84" s="31"/>
      <c r="CW84" s="31"/>
      <c r="CX84" s="31"/>
      <c r="CY84" s="31"/>
      <c r="CZ84" s="31"/>
      <c r="DA84" s="31"/>
      <c r="DB84" s="31"/>
      <c r="DC84" s="31"/>
      <c r="DD84" s="31"/>
      <c r="DE84" s="31"/>
      <c r="DF84" s="31"/>
      <c r="DG84" s="31"/>
      <c r="DH84" s="31"/>
      <c r="DI84" s="31"/>
      <c r="DJ84" s="31"/>
      <c r="DK84" s="31"/>
      <c r="DL84" s="31"/>
      <c r="DM84" s="31"/>
      <c r="DN84" s="31"/>
      <c r="DO84" s="31"/>
      <c r="DP84" s="31"/>
      <c r="DQ84" s="31"/>
      <c r="DR84" s="31"/>
      <c r="DS84" s="31"/>
      <c r="DT84" s="31"/>
      <c r="DU84" s="31"/>
      <c r="DV84" s="31"/>
      <c r="DW84" s="31"/>
      <c r="DX84" s="31"/>
    </row>
    <row r="85" customFormat="false" ht="13.8" hidden="false" customHeight="false" outlineLevel="0" collapsed="false">
      <c r="A85" s="32"/>
      <c r="B85" s="32"/>
      <c r="C85" s="32"/>
      <c r="D85" s="32"/>
      <c r="E85" s="32"/>
      <c r="F85" s="32"/>
      <c r="G85" s="33"/>
      <c r="H85" s="33"/>
      <c r="I85" s="33"/>
      <c r="J85" s="33"/>
      <c r="K85" s="33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  <c r="AE85" s="33"/>
      <c r="AF85" s="33"/>
      <c r="AG85" s="33"/>
      <c r="AH85" s="33"/>
      <c r="AI85" s="33"/>
      <c r="AJ85" s="33"/>
      <c r="AK85" s="33"/>
      <c r="AL85" s="33"/>
      <c r="AM85" s="33"/>
      <c r="AN85" s="33"/>
      <c r="AO85" s="33"/>
      <c r="AP85" s="33"/>
      <c r="AQ85" s="33"/>
      <c r="AR85" s="33"/>
      <c r="AS85" s="33"/>
      <c r="AT85" s="33"/>
      <c r="AU85" s="33"/>
      <c r="AV85" s="33"/>
      <c r="AW85" s="33"/>
      <c r="AX85" s="33"/>
      <c r="AY85" s="33"/>
      <c r="AZ85" s="33"/>
      <c r="BA85" s="33"/>
      <c r="BB85" s="33"/>
      <c r="BC85" s="33"/>
      <c r="BD85" s="33"/>
      <c r="BE85" s="33"/>
      <c r="BF85" s="33"/>
      <c r="BG85" s="33"/>
      <c r="BH85" s="33"/>
      <c r="BI85" s="33"/>
      <c r="BJ85" s="33"/>
      <c r="BK85" s="33"/>
      <c r="BL85" s="33"/>
      <c r="BM85" s="33"/>
      <c r="BN85" s="33"/>
      <c r="BO85" s="33"/>
      <c r="BP85" s="33"/>
      <c r="BQ85" s="33"/>
      <c r="BR85" s="33"/>
      <c r="BS85" s="33"/>
      <c r="BT85" s="33"/>
      <c r="BU85" s="33"/>
      <c r="BV85" s="33"/>
      <c r="BW85" s="33"/>
      <c r="BX85" s="33"/>
      <c r="BY85" s="33"/>
      <c r="BZ85" s="33"/>
      <c r="CA85" s="33"/>
      <c r="CB85" s="33"/>
      <c r="CC85" s="33"/>
      <c r="CD85" s="33"/>
      <c r="CE85" s="33"/>
      <c r="CF85" s="33"/>
      <c r="CG85" s="33"/>
      <c r="CH85" s="33"/>
      <c r="CI85" s="33"/>
      <c r="CJ85" s="33"/>
      <c r="CK85" s="33"/>
      <c r="CL85" s="33"/>
      <c r="CM85" s="33"/>
      <c r="CN85" s="33"/>
      <c r="CO85" s="33"/>
      <c r="CP85" s="33"/>
      <c r="CQ85" s="33"/>
      <c r="CR85" s="33"/>
      <c r="CS85" s="33"/>
      <c r="CT85" s="33"/>
      <c r="CU85" s="33"/>
      <c r="CV85" s="33"/>
      <c r="CW85" s="33"/>
      <c r="CX85" s="33"/>
      <c r="CY85" s="33"/>
      <c r="CZ85" s="33"/>
      <c r="DA85" s="33"/>
      <c r="DB85" s="33"/>
      <c r="DC85" s="33"/>
      <c r="DD85" s="33"/>
      <c r="DE85" s="33"/>
      <c r="DF85" s="33"/>
      <c r="DG85" s="33"/>
      <c r="DH85" s="33"/>
      <c r="DI85" s="33"/>
      <c r="DJ85" s="33"/>
      <c r="DK85" s="33"/>
      <c r="DL85" s="33"/>
      <c r="DM85" s="33"/>
      <c r="DN85" s="33"/>
      <c r="DO85" s="33"/>
      <c r="DP85" s="33"/>
      <c r="DQ85" s="33"/>
      <c r="DR85" s="33"/>
      <c r="DS85" s="33"/>
      <c r="DT85" s="33"/>
      <c r="DU85" s="33"/>
      <c r="DV85" s="33"/>
      <c r="DW85" s="33"/>
      <c r="DX85" s="33"/>
    </row>
    <row r="86" customFormat="false" ht="13.8" hidden="false" customHeight="false" outlineLevel="0" collapsed="false">
      <c r="A86" s="30"/>
      <c r="B86" s="30"/>
      <c r="C86" s="30"/>
      <c r="D86" s="30"/>
      <c r="E86" s="30"/>
      <c r="F86" s="30"/>
      <c r="G86" s="31"/>
      <c r="H86" s="31"/>
      <c r="I86" s="31"/>
      <c r="J86" s="31"/>
      <c r="K86" s="31"/>
      <c r="L86" s="31"/>
      <c r="M86" s="31"/>
      <c r="N86" s="31"/>
      <c r="O86" s="31"/>
      <c r="P86" s="31"/>
      <c r="Q86" s="31"/>
      <c r="R86" s="31"/>
      <c r="S86" s="31"/>
      <c r="T86" s="31"/>
      <c r="U86" s="31"/>
      <c r="V86" s="31"/>
      <c r="W86" s="31"/>
      <c r="X86" s="31"/>
      <c r="Y86" s="31"/>
      <c r="Z86" s="31"/>
      <c r="AA86" s="31"/>
      <c r="AB86" s="31"/>
      <c r="AC86" s="31"/>
      <c r="AD86" s="31"/>
      <c r="AE86" s="31"/>
      <c r="AF86" s="31"/>
      <c r="AG86" s="31"/>
      <c r="AH86" s="31"/>
      <c r="AI86" s="31"/>
      <c r="AJ86" s="31"/>
      <c r="AK86" s="31"/>
      <c r="AL86" s="31"/>
      <c r="AM86" s="31"/>
      <c r="AN86" s="31"/>
      <c r="AO86" s="31"/>
      <c r="AP86" s="31"/>
      <c r="AQ86" s="31"/>
      <c r="AR86" s="31"/>
      <c r="AS86" s="31"/>
      <c r="AT86" s="31"/>
      <c r="AU86" s="31"/>
      <c r="AV86" s="31"/>
      <c r="AW86" s="31"/>
      <c r="AX86" s="31"/>
      <c r="AY86" s="31"/>
      <c r="AZ86" s="31"/>
      <c r="BA86" s="31"/>
      <c r="BB86" s="31"/>
      <c r="BC86" s="31"/>
      <c r="BD86" s="31"/>
      <c r="BE86" s="31"/>
      <c r="BF86" s="31"/>
      <c r="BG86" s="31"/>
      <c r="BH86" s="31"/>
      <c r="BI86" s="31"/>
      <c r="BJ86" s="31"/>
      <c r="BK86" s="31"/>
      <c r="BL86" s="31"/>
      <c r="BM86" s="31"/>
      <c r="BN86" s="31"/>
      <c r="BO86" s="31"/>
      <c r="BP86" s="31"/>
      <c r="BQ86" s="31"/>
      <c r="BR86" s="31"/>
      <c r="BS86" s="31"/>
      <c r="BT86" s="31"/>
      <c r="BU86" s="31"/>
      <c r="BV86" s="31"/>
      <c r="BW86" s="31"/>
      <c r="BX86" s="31"/>
      <c r="BY86" s="31"/>
      <c r="BZ86" s="31"/>
      <c r="CA86" s="31"/>
      <c r="CB86" s="31"/>
      <c r="CC86" s="31"/>
      <c r="CD86" s="31"/>
      <c r="CE86" s="31"/>
      <c r="CF86" s="31"/>
      <c r="CG86" s="31"/>
      <c r="CH86" s="31"/>
      <c r="CI86" s="31"/>
      <c r="CJ86" s="31"/>
      <c r="CK86" s="31"/>
      <c r="CL86" s="31"/>
      <c r="CM86" s="31"/>
      <c r="CN86" s="31"/>
      <c r="CO86" s="31"/>
      <c r="CP86" s="31"/>
      <c r="CQ86" s="31"/>
      <c r="CR86" s="31"/>
      <c r="CS86" s="31"/>
      <c r="CT86" s="31"/>
      <c r="CU86" s="31"/>
      <c r="CV86" s="31"/>
      <c r="CW86" s="31"/>
      <c r="CX86" s="31"/>
      <c r="CY86" s="31"/>
      <c r="CZ86" s="31"/>
      <c r="DA86" s="31"/>
      <c r="DB86" s="31"/>
      <c r="DC86" s="31"/>
      <c r="DD86" s="31"/>
      <c r="DE86" s="31"/>
      <c r="DF86" s="31"/>
      <c r="DG86" s="31"/>
      <c r="DH86" s="31"/>
      <c r="DI86" s="31"/>
      <c r="DJ86" s="31"/>
      <c r="DK86" s="31"/>
      <c r="DL86" s="31"/>
      <c r="DM86" s="31"/>
      <c r="DN86" s="31"/>
      <c r="DO86" s="31"/>
      <c r="DP86" s="31"/>
      <c r="DQ86" s="31"/>
      <c r="DR86" s="31"/>
      <c r="DS86" s="31"/>
      <c r="DT86" s="31"/>
      <c r="DU86" s="31"/>
      <c r="DV86" s="31"/>
      <c r="DW86" s="31"/>
      <c r="DX86" s="31"/>
    </row>
    <row r="87" customFormat="false" ht="13.8" hidden="false" customHeight="false" outlineLevel="0" collapsed="false">
      <c r="A87" s="32"/>
      <c r="B87" s="32"/>
      <c r="C87" s="32"/>
      <c r="D87" s="32"/>
      <c r="E87" s="32"/>
      <c r="F87" s="32"/>
      <c r="G87" s="33"/>
      <c r="H87" s="33"/>
      <c r="I87" s="33"/>
      <c r="J87" s="33"/>
      <c r="K87" s="33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  <c r="AE87" s="33"/>
      <c r="AF87" s="33"/>
      <c r="AG87" s="33"/>
      <c r="AH87" s="33"/>
      <c r="AI87" s="33"/>
      <c r="AJ87" s="33"/>
      <c r="AK87" s="33"/>
      <c r="AL87" s="33"/>
      <c r="AM87" s="33"/>
      <c r="AN87" s="33"/>
      <c r="AO87" s="33"/>
      <c r="AP87" s="33"/>
      <c r="AQ87" s="33"/>
      <c r="AR87" s="33"/>
      <c r="AS87" s="33"/>
      <c r="AT87" s="33"/>
      <c r="AU87" s="33"/>
      <c r="AV87" s="33"/>
      <c r="AW87" s="33"/>
      <c r="AX87" s="33"/>
      <c r="AY87" s="33"/>
      <c r="AZ87" s="33"/>
      <c r="BA87" s="33"/>
      <c r="BB87" s="33"/>
      <c r="BC87" s="33"/>
      <c r="BD87" s="33"/>
      <c r="BE87" s="33"/>
      <c r="BF87" s="33"/>
      <c r="BG87" s="33"/>
      <c r="BH87" s="33"/>
      <c r="BI87" s="33"/>
      <c r="BJ87" s="33"/>
      <c r="BK87" s="33"/>
      <c r="BL87" s="33"/>
      <c r="BM87" s="33"/>
      <c r="BN87" s="33"/>
      <c r="BO87" s="33"/>
      <c r="BP87" s="33"/>
      <c r="BQ87" s="33"/>
      <c r="BR87" s="33"/>
      <c r="BS87" s="33"/>
      <c r="BT87" s="33"/>
      <c r="BU87" s="33"/>
      <c r="BV87" s="33"/>
      <c r="BW87" s="33"/>
      <c r="BX87" s="33"/>
      <c r="BY87" s="33"/>
      <c r="BZ87" s="33"/>
      <c r="CA87" s="33"/>
      <c r="CB87" s="33"/>
      <c r="CC87" s="33"/>
      <c r="CD87" s="33"/>
      <c r="CE87" s="33"/>
      <c r="CF87" s="33"/>
      <c r="CG87" s="33"/>
      <c r="CH87" s="33"/>
      <c r="CI87" s="33"/>
      <c r="CJ87" s="33"/>
      <c r="CK87" s="33"/>
      <c r="CL87" s="33"/>
      <c r="CM87" s="33"/>
      <c r="CN87" s="33"/>
      <c r="CO87" s="33"/>
      <c r="CP87" s="33"/>
      <c r="CQ87" s="33"/>
      <c r="CR87" s="33"/>
      <c r="CS87" s="33"/>
      <c r="CT87" s="33"/>
      <c r="CU87" s="33"/>
      <c r="CV87" s="33"/>
      <c r="CW87" s="33"/>
      <c r="CX87" s="33"/>
      <c r="CY87" s="33"/>
      <c r="CZ87" s="33"/>
      <c r="DA87" s="33"/>
      <c r="DB87" s="33"/>
      <c r="DC87" s="33"/>
      <c r="DD87" s="33"/>
      <c r="DE87" s="33"/>
      <c r="DF87" s="33"/>
      <c r="DG87" s="33"/>
      <c r="DH87" s="33"/>
      <c r="DI87" s="33"/>
      <c r="DJ87" s="33"/>
      <c r="DK87" s="33"/>
      <c r="DL87" s="33"/>
      <c r="DM87" s="33"/>
      <c r="DN87" s="33"/>
      <c r="DO87" s="33"/>
      <c r="DP87" s="33"/>
      <c r="DQ87" s="33"/>
      <c r="DR87" s="33"/>
      <c r="DS87" s="33"/>
      <c r="DT87" s="33"/>
      <c r="DU87" s="33"/>
      <c r="DV87" s="33"/>
      <c r="DW87" s="33"/>
      <c r="DX87" s="33"/>
    </row>
    <row r="88" customFormat="false" ht="13.8" hidden="false" customHeight="false" outlineLevel="0" collapsed="false">
      <c r="A88" s="30"/>
      <c r="B88" s="30"/>
      <c r="C88" s="30"/>
      <c r="D88" s="30"/>
      <c r="E88" s="30"/>
      <c r="F88" s="30"/>
      <c r="G88" s="31"/>
      <c r="H88" s="31"/>
      <c r="I88" s="31"/>
      <c r="J88" s="31"/>
      <c r="K88" s="31"/>
      <c r="L88" s="31"/>
      <c r="M88" s="31"/>
      <c r="N88" s="31"/>
      <c r="O88" s="31"/>
      <c r="P88" s="31"/>
      <c r="Q88" s="31"/>
      <c r="R88" s="31"/>
      <c r="S88" s="31"/>
      <c r="T88" s="31"/>
      <c r="U88" s="31"/>
      <c r="V88" s="31"/>
      <c r="W88" s="31"/>
      <c r="X88" s="31"/>
      <c r="Y88" s="31"/>
      <c r="Z88" s="31"/>
      <c r="AA88" s="31"/>
      <c r="AB88" s="31"/>
      <c r="AC88" s="31"/>
      <c r="AD88" s="31"/>
      <c r="AE88" s="31"/>
      <c r="AF88" s="31"/>
      <c r="AG88" s="31"/>
      <c r="AH88" s="31"/>
      <c r="AI88" s="31"/>
      <c r="AJ88" s="31"/>
      <c r="AK88" s="31"/>
      <c r="AL88" s="31"/>
      <c r="AM88" s="31"/>
      <c r="AN88" s="31"/>
      <c r="AO88" s="31"/>
      <c r="AP88" s="31"/>
      <c r="AQ88" s="31"/>
      <c r="AR88" s="31"/>
      <c r="AS88" s="31"/>
      <c r="AT88" s="31"/>
      <c r="AU88" s="31"/>
      <c r="AV88" s="31"/>
      <c r="AW88" s="31"/>
      <c r="AX88" s="31"/>
      <c r="AY88" s="31"/>
      <c r="AZ88" s="31"/>
      <c r="BA88" s="31"/>
      <c r="BB88" s="31"/>
      <c r="BC88" s="31"/>
      <c r="BD88" s="31"/>
      <c r="BE88" s="31"/>
      <c r="BF88" s="31"/>
      <c r="BG88" s="31"/>
      <c r="BH88" s="31"/>
      <c r="BI88" s="31"/>
      <c r="BJ88" s="31"/>
      <c r="BK88" s="31"/>
      <c r="BL88" s="31"/>
      <c r="BM88" s="31"/>
      <c r="BN88" s="31"/>
      <c r="BO88" s="31"/>
      <c r="BP88" s="31"/>
      <c r="BQ88" s="31"/>
      <c r="BR88" s="31"/>
      <c r="BS88" s="31"/>
      <c r="BT88" s="31"/>
      <c r="BU88" s="31"/>
      <c r="BV88" s="31"/>
      <c r="BW88" s="31"/>
      <c r="BX88" s="31"/>
      <c r="BY88" s="31"/>
      <c r="BZ88" s="31"/>
      <c r="CA88" s="31"/>
      <c r="CB88" s="31"/>
      <c r="CC88" s="31"/>
      <c r="CD88" s="31"/>
      <c r="CE88" s="31"/>
      <c r="CF88" s="31"/>
      <c r="CG88" s="31"/>
      <c r="CH88" s="31"/>
      <c r="CI88" s="31"/>
      <c r="CJ88" s="31"/>
      <c r="CK88" s="31"/>
      <c r="CL88" s="31"/>
      <c r="CM88" s="31"/>
      <c r="CN88" s="31"/>
      <c r="CO88" s="31"/>
      <c r="CP88" s="31"/>
      <c r="CQ88" s="31"/>
      <c r="CR88" s="31"/>
      <c r="CS88" s="31"/>
      <c r="CT88" s="31"/>
      <c r="CU88" s="31"/>
      <c r="CV88" s="31"/>
      <c r="CW88" s="31"/>
      <c r="CX88" s="31"/>
      <c r="CY88" s="31"/>
      <c r="CZ88" s="31"/>
      <c r="DA88" s="31"/>
      <c r="DB88" s="31"/>
      <c r="DC88" s="31"/>
      <c r="DD88" s="31"/>
      <c r="DE88" s="31"/>
      <c r="DF88" s="31"/>
      <c r="DG88" s="31"/>
      <c r="DH88" s="31"/>
      <c r="DI88" s="31"/>
      <c r="DJ88" s="31"/>
      <c r="DK88" s="31"/>
      <c r="DL88" s="31"/>
      <c r="DM88" s="31"/>
      <c r="DN88" s="31"/>
      <c r="DO88" s="31"/>
      <c r="DP88" s="31"/>
      <c r="DQ88" s="31"/>
      <c r="DR88" s="31"/>
      <c r="DS88" s="31"/>
      <c r="DT88" s="31"/>
      <c r="DU88" s="31"/>
      <c r="DV88" s="31"/>
      <c r="DW88" s="31"/>
      <c r="DX88" s="31"/>
    </row>
    <row r="89" customFormat="false" ht="13.8" hidden="false" customHeight="false" outlineLevel="0" collapsed="false">
      <c r="A89" s="32"/>
      <c r="B89" s="32"/>
      <c r="C89" s="32"/>
      <c r="D89" s="32"/>
      <c r="E89" s="32"/>
      <c r="F89" s="32"/>
      <c r="G89" s="33"/>
      <c r="H89" s="33"/>
      <c r="I89" s="33"/>
      <c r="J89" s="33"/>
      <c r="K89" s="33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  <c r="AE89" s="33"/>
      <c r="AF89" s="33"/>
      <c r="AG89" s="33"/>
      <c r="AH89" s="33"/>
      <c r="AI89" s="33"/>
      <c r="AJ89" s="33"/>
      <c r="AK89" s="33"/>
      <c r="AL89" s="33"/>
      <c r="AM89" s="33"/>
      <c r="AN89" s="33"/>
      <c r="AO89" s="33"/>
      <c r="AP89" s="33"/>
      <c r="AQ89" s="33"/>
      <c r="AR89" s="33"/>
      <c r="AS89" s="33"/>
      <c r="AT89" s="33"/>
      <c r="AU89" s="33"/>
      <c r="AV89" s="33"/>
      <c r="AW89" s="33"/>
      <c r="AX89" s="33"/>
      <c r="AY89" s="33"/>
      <c r="AZ89" s="33"/>
      <c r="BA89" s="33"/>
      <c r="BB89" s="33"/>
      <c r="BC89" s="33"/>
      <c r="BD89" s="33"/>
      <c r="BE89" s="33"/>
      <c r="BF89" s="33"/>
      <c r="BG89" s="33"/>
      <c r="BH89" s="33"/>
      <c r="BI89" s="33"/>
      <c r="BJ89" s="33"/>
      <c r="BK89" s="33"/>
      <c r="BL89" s="33"/>
      <c r="BM89" s="33"/>
      <c r="BN89" s="33"/>
      <c r="BO89" s="33"/>
      <c r="BP89" s="33"/>
      <c r="BQ89" s="33"/>
      <c r="BR89" s="33"/>
      <c r="BS89" s="33"/>
      <c r="BT89" s="33"/>
      <c r="BU89" s="33"/>
      <c r="BV89" s="33"/>
      <c r="BW89" s="33"/>
      <c r="BX89" s="33"/>
      <c r="BY89" s="33"/>
      <c r="BZ89" s="33"/>
      <c r="CA89" s="33"/>
      <c r="CB89" s="33"/>
      <c r="CC89" s="33"/>
      <c r="CD89" s="33"/>
      <c r="CE89" s="33"/>
      <c r="CF89" s="33"/>
      <c r="CG89" s="33"/>
      <c r="CH89" s="33"/>
      <c r="CI89" s="33"/>
      <c r="CJ89" s="33"/>
      <c r="CK89" s="33"/>
      <c r="CL89" s="33"/>
      <c r="CM89" s="33"/>
      <c r="CN89" s="33"/>
      <c r="CO89" s="33"/>
      <c r="CP89" s="33"/>
      <c r="CQ89" s="33"/>
      <c r="CR89" s="33"/>
      <c r="CS89" s="33"/>
      <c r="CT89" s="33"/>
      <c r="CU89" s="33"/>
      <c r="CV89" s="33"/>
      <c r="CW89" s="33"/>
      <c r="CX89" s="33"/>
      <c r="CY89" s="33"/>
      <c r="CZ89" s="33"/>
      <c r="DA89" s="33"/>
      <c r="DB89" s="33"/>
      <c r="DC89" s="33"/>
      <c r="DD89" s="33"/>
      <c r="DE89" s="33"/>
      <c r="DF89" s="33"/>
      <c r="DG89" s="33"/>
      <c r="DH89" s="33"/>
      <c r="DI89" s="33"/>
      <c r="DJ89" s="33"/>
      <c r="DK89" s="33"/>
      <c r="DL89" s="33"/>
      <c r="DM89" s="33"/>
      <c r="DN89" s="33"/>
      <c r="DO89" s="33"/>
      <c r="DP89" s="33"/>
      <c r="DQ89" s="33"/>
      <c r="DR89" s="33"/>
      <c r="DS89" s="33"/>
      <c r="DT89" s="33"/>
      <c r="DU89" s="33"/>
      <c r="DV89" s="33"/>
      <c r="DW89" s="33"/>
      <c r="DX89" s="33"/>
    </row>
    <row r="90" customFormat="false" ht="13.8" hidden="false" customHeight="false" outlineLevel="0" collapsed="false">
      <c r="A90" s="30"/>
      <c r="B90" s="30"/>
      <c r="C90" s="30"/>
      <c r="D90" s="30"/>
      <c r="E90" s="30"/>
      <c r="F90" s="30"/>
      <c r="G90" s="31"/>
      <c r="H90" s="31"/>
      <c r="I90" s="31"/>
      <c r="J90" s="31"/>
      <c r="K90" s="31"/>
      <c r="L90" s="31"/>
      <c r="M90" s="31"/>
      <c r="N90" s="31"/>
      <c r="O90" s="31"/>
      <c r="P90" s="31"/>
      <c r="Q90" s="31"/>
      <c r="R90" s="31"/>
      <c r="S90" s="31"/>
      <c r="T90" s="31"/>
      <c r="U90" s="31"/>
      <c r="V90" s="31"/>
      <c r="W90" s="31"/>
      <c r="X90" s="31"/>
      <c r="Y90" s="31"/>
      <c r="Z90" s="31"/>
      <c r="AA90" s="31"/>
      <c r="AB90" s="31"/>
      <c r="AC90" s="31"/>
      <c r="AD90" s="31"/>
      <c r="AE90" s="31"/>
      <c r="AF90" s="31"/>
      <c r="AG90" s="31"/>
      <c r="AH90" s="31"/>
      <c r="AI90" s="31"/>
      <c r="AJ90" s="31"/>
      <c r="AK90" s="31"/>
      <c r="AL90" s="31"/>
      <c r="AM90" s="31"/>
      <c r="AN90" s="31"/>
      <c r="AO90" s="31"/>
      <c r="AP90" s="31"/>
      <c r="AQ90" s="31"/>
      <c r="AR90" s="31"/>
      <c r="AS90" s="31"/>
      <c r="AT90" s="31"/>
      <c r="AU90" s="31"/>
      <c r="AV90" s="31"/>
      <c r="AW90" s="31"/>
      <c r="AX90" s="31"/>
      <c r="AY90" s="31"/>
      <c r="AZ90" s="31"/>
      <c r="BA90" s="31"/>
      <c r="BB90" s="31"/>
      <c r="BC90" s="31"/>
      <c r="BD90" s="31"/>
      <c r="BE90" s="31"/>
      <c r="BF90" s="31"/>
      <c r="BG90" s="31"/>
      <c r="BH90" s="31"/>
      <c r="BI90" s="31"/>
      <c r="BJ90" s="31"/>
      <c r="BK90" s="31"/>
      <c r="BL90" s="31"/>
      <c r="BM90" s="31"/>
      <c r="BN90" s="31"/>
      <c r="BO90" s="31"/>
      <c r="BP90" s="31"/>
      <c r="BQ90" s="31"/>
      <c r="BR90" s="31"/>
      <c r="BS90" s="31"/>
      <c r="BT90" s="31"/>
      <c r="BU90" s="31"/>
      <c r="BV90" s="31"/>
      <c r="BW90" s="31"/>
      <c r="BX90" s="31"/>
      <c r="BY90" s="31"/>
      <c r="BZ90" s="31"/>
      <c r="CA90" s="31"/>
      <c r="CB90" s="31"/>
      <c r="CC90" s="31"/>
      <c r="CD90" s="31"/>
      <c r="CE90" s="31"/>
      <c r="CF90" s="31"/>
      <c r="CG90" s="31"/>
      <c r="CH90" s="31"/>
      <c r="CI90" s="31"/>
      <c r="CJ90" s="31"/>
      <c r="CK90" s="31"/>
      <c r="CL90" s="31"/>
      <c r="CM90" s="31"/>
      <c r="CN90" s="31"/>
      <c r="CO90" s="31"/>
      <c r="CP90" s="31"/>
      <c r="CQ90" s="31"/>
      <c r="CR90" s="31"/>
      <c r="CS90" s="31"/>
      <c r="CT90" s="31"/>
      <c r="CU90" s="31"/>
      <c r="CV90" s="31"/>
      <c r="CW90" s="31"/>
      <c r="CX90" s="31"/>
      <c r="CY90" s="31"/>
      <c r="CZ90" s="31"/>
      <c r="DA90" s="31"/>
      <c r="DB90" s="31"/>
      <c r="DC90" s="31"/>
      <c r="DD90" s="31"/>
      <c r="DE90" s="31"/>
      <c r="DF90" s="31"/>
      <c r="DG90" s="31"/>
      <c r="DH90" s="31"/>
      <c r="DI90" s="31"/>
      <c r="DJ90" s="31"/>
      <c r="DK90" s="31"/>
      <c r="DL90" s="31"/>
      <c r="DM90" s="31"/>
      <c r="DN90" s="31"/>
      <c r="DO90" s="31"/>
      <c r="DP90" s="31"/>
      <c r="DQ90" s="31"/>
      <c r="DR90" s="31"/>
      <c r="DS90" s="31"/>
      <c r="DT90" s="31"/>
      <c r="DU90" s="31"/>
      <c r="DV90" s="31"/>
      <c r="DW90" s="31"/>
      <c r="DX90" s="31"/>
    </row>
    <row r="91" customFormat="false" ht="13.8" hidden="false" customHeight="false" outlineLevel="0" collapsed="false">
      <c r="A91" s="32"/>
      <c r="B91" s="32"/>
      <c r="C91" s="32"/>
      <c r="D91" s="32"/>
      <c r="E91" s="32"/>
      <c r="F91" s="32"/>
      <c r="G91" s="33"/>
      <c r="H91" s="33"/>
      <c r="I91" s="33"/>
      <c r="J91" s="33"/>
      <c r="K91" s="33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  <c r="AE91" s="33"/>
      <c r="AF91" s="33"/>
      <c r="AG91" s="33"/>
      <c r="AH91" s="33"/>
      <c r="AI91" s="33"/>
      <c r="AJ91" s="33"/>
      <c r="AK91" s="33"/>
      <c r="AL91" s="33"/>
      <c r="AM91" s="33"/>
      <c r="AN91" s="33"/>
      <c r="AO91" s="33"/>
      <c r="AP91" s="33"/>
      <c r="AQ91" s="33"/>
      <c r="AR91" s="33"/>
      <c r="AS91" s="33"/>
      <c r="AT91" s="33"/>
      <c r="AU91" s="33"/>
      <c r="AV91" s="33"/>
      <c r="AW91" s="33"/>
      <c r="AX91" s="33"/>
      <c r="AY91" s="33"/>
      <c r="AZ91" s="33"/>
      <c r="BA91" s="33"/>
      <c r="BB91" s="33"/>
      <c r="BC91" s="33"/>
      <c r="BD91" s="33"/>
      <c r="BE91" s="33"/>
      <c r="BF91" s="33"/>
      <c r="BG91" s="33"/>
      <c r="BH91" s="33"/>
      <c r="BI91" s="33"/>
      <c r="BJ91" s="33"/>
      <c r="BK91" s="33"/>
      <c r="BL91" s="33"/>
      <c r="BM91" s="33"/>
      <c r="BN91" s="33"/>
      <c r="BO91" s="33"/>
      <c r="BP91" s="33"/>
      <c r="BQ91" s="33"/>
      <c r="BR91" s="33"/>
      <c r="BS91" s="33"/>
      <c r="BT91" s="33"/>
      <c r="BU91" s="33"/>
      <c r="BV91" s="33"/>
      <c r="BW91" s="33"/>
      <c r="BX91" s="33"/>
      <c r="BY91" s="33"/>
      <c r="BZ91" s="33"/>
      <c r="CA91" s="33"/>
      <c r="CB91" s="33"/>
      <c r="CC91" s="33"/>
      <c r="CD91" s="33"/>
      <c r="CE91" s="33"/>
      <c r="CF91" s="33"/>
      <c r="CG91" s="33"/>
      <c r="CH91" s="33"/>
      <c r="CI91" s="33"/>
      <c r="CJ91" s="33"/>
      <c r="CK91" s="33"/>
      <c r="CL91" s="33"/>
      <c r="CM91" s="33"/>
      <c r="CN91" s="33"/>
      <c r="CO91" s="33"/>
      <c r="CP91" s="33"/>
      <c r="CQ91" s="33"/>
      <c r="CR91" s="33"/>
      <c r="CS91" s="33"/>
      <c r="CT91" s="33"/>
      <c r="CU91" s="33"/>
      <c r="CV91" s="33"/>
      <c r="CW91" s="33"/>
      <c r="CX91" s="33"/>
      <c r="CY91" s="33"/>
      <c r="CZ91" s="33"/>
      <c r="DA91" s="33"/>
      <c r="DB91" s="33"/>
      <c r="DC91" s="33"/>
      <c r="DD91" s="33"/>
      <c r="DE91" s="33"/>
      <c r="DF91" s="33"/>
      <c r="DG91" s="33"/>
      <c r="DH91" s="33"/>
      <c r="DI91" s="33"/>
      <c r="DJ91" s="33"/>
      <c r="DK91" s="33"/>
      <c r="DL91" s="33"/>
      <c r="DM91" s="33"/>
      <c r="DN91" s="33"/>
      <c r="DO91" s="33"/>
      <c r="DP91" s="33"/>
      <c r="DQ91" s="33"/>
      <c r="DR91" s="33"/>
      <c r="DS91" s="33"/>
      <c r="DT91" s="33"/>
      <c r="DU91" s="33"/>
      <c r="DV91" s="33"/>
      <c r="DW91" s="33"/>
      <c r="DX91" s="33"/>
    </row>
    <row r="92" customFormat="false" ht="13.8" hidden="false" customHeight="false" outlineLevel="0" collapsed="false">
      <c r="A92" s="30"/>
      <c r="B92" s="30"/>
      <c r="C92" s="30"/>
      <c r="D92" s="30"/>
      <c r="E92" s="30"/>
      <c r="F92" s="30"/>
      <c r="G92" s="31"/>
      <c r="H92" s="31"/>
      <c r="I92" s="31"/>
      <c r="J92" s="31"/>
      <c r="K92" s="31"/>
      <c r="L92" s="31"/>
      <c r="M92" s="31"/>
      <c r="N92" s="31"/>
      <c r="O92" s="31"/>
      <c r="P92" s="31"/>
      <c r="Q92" s="31"/>
      <c r="R92" s="31"/>
      <c r="S92" s="31"/>
      <c r="T92" s="31"/>
      <c r="U92" s="31"/>
      <c r="V92" s="31"/>
      <c r="W92" s="31"/>
      <c r="X92" s="31"/>
      <c r="Y92" s="31"/>
      <c r="Z92" s="31"/>
      <c r="AA92" s="31"/>
      <c r="AB92" s="31"/>
      <c r="AC92" s="31"/>
      <c r="AD92" s="31"/>
      <c r="AE92" s="31"/>
      <c r="AF92" s="31"/>
      <c r="AG92" s="31"/>
      <c r="AH92" s="31"/>
      <c r="AI92" s="31"/>
      <c r="AJ92" s="31"/>
      <c r="AK92" s="31"/>
      <c r="AL92" s="31"/>
      <c r="AM92" s="31"/>
      <c r="AN92" s="31"/>
      <c r="AO92" s="31"/>
      <c r="AP92" s="31"/>
      <c r="AQ92" s="31"/>
      <c r="AR92" s="31"/>
      <c r="AS92" s="31"/>
      <c r="AT92" s="31"/>
      <c r="AU92" s="31"/>
      <c r="AV92" s="31"/>
      <c r="AW92" s="31"/>
      <c r="AX92" s="31"/>
      <c r="AY92" s="31"/>
      <c r="AZ92" s="31"/>
      <c r="BA92" s="31"/>
      <c r="BB92" s="31"/>
      <c r="BC92" s="31"/>
      <c r="BD92" s="31"/>
      <c r="BE92" s="31"/>
      <c r="BF92" s="31"/>
      <c r="BG92" s="31"/>
      <c r="BH92" s="31"/>
      <c r="BI92" s="31"/>
      <c r="BJ92" s="31"/>
      <c r="BK92" s="31"/>
      <c r="BL92" s="31"/>
      <c r="BM92" s="31"/>
      <c r="BN92" s="31"/>
      <c r="BO92" s="31"/>
      <c r="BP92" s="31"/>
      <c r="BQ92" s="31"/>
      <c r="BR92" s="31"/>
      <c r="BS92" s="31"/>
      <c r="BT92" s="31"/>
      <c r="BU92" s="31"/>
      <c r="BV92" s="31"/>
      <c r="BW92" s="31"/>
      <c r="BX92" s="31"/>
      <c r="BY92" s="31"/>
      <c r="BZ92" s="31"/>
      <c r="CA92" s="31"/>
      <c r="CB92" s="31"/>
      <c r="CC92" s="31"/>
      <c r="CD92" s="31"/>
      <c r="CE92" s="31"/>
      <c r="CF92" s="31"/>
      <c r="CG92" s="31"/>
      <c r="CH92" s="31"/>
      <c r="CI92" s="31"/>
      <c r="CJ92" s="31"/>
      <c r="CK92" s="31"/>
      <c r="CL92" s="31"/>
      <c r="CM92" s="31"/>
      <c r="CN92" s="31"/>
      <c r="CO92" s="31"/>
      <c r="CP92" s="31"/>
      <c r="CQ92" s="31"/>
      <c r="CR92" s="31"/>
      <c r="CS92" s="31"/>
      <c r="CT92" s="31"/>
      <c r="CU92" s="31"/>
      <c r="CV92" s="31"/>
      <c r="CW92" s="31"/>
      <c r="CX92" s="31"/>
      <c r="CY92" s="31"/>
      <c r="CZ92" s="31"/>
      <c r="DA92" s="31"/>
      <c r="DB92" s="31"/>
      <c r="DC92" s="31"/>
      <c r="DD92" s="31"/>
      <c r="DE92" s="31"/>
      <c r="DF92" s="31"/>
      <c r="DG92" s="31"/>
      <c r="DH92" s="31"/>
      <c r="DI92" s="31"/>
      <c r="DJ92" s="31"/>
      <c r="DK92" s="31"/>
      <c r="DL92" s="31"/>
      <c r="DM92" s="31"/>
      <c r="DN92" s="31"/>
      <c r="DO92" s="31"/>
      <c r="DP92" s="31"/>
      <c r="DQ92" s="31"/>
      <c r="DR92" s="31"/>
      <c r="DS92" s="31"/>
      <c r="DT92" s="31"/>
      <c r="DU92" s="31"/>
      <c r="DV92" s="31"/>
      <c r="DW92" s="31"/>
      <c r="DX92" s="31"/>
    </row>
    <row r="93" customFormat="false" ht="13.8" hidden="false" customHeight="false" outlineLevel="0" collapsed="false">
      <c r="A93" s="32"/>
      <c r="B93" s="32"/>
      <c r="C93" s="32"/>
      <c r="D93" s="32"/>
      <c r="E93" s="32"/>
      <c r="F93" s="32"/>
      <c r="G93" s="33"/>
      <c r="H93" s="33"/>
      <c r="I93" s="33"/>
      <c r="J93" s="33"/>
      <c r="K93" s="33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  <c r="AE93" s="33"/>
      <c r="AF93" s="33"/>
      <c r="AG93" s="33"/>
      <c r="AH93" s="33"/>
      <c r="AI93" s="33"/>
      <c r="AJ93" s="33"/>
      <c r="AK93" s="33"/>
      <c r="AL93" s="33"/>
      <c r="AM93" s="33"/>
      <c r="AN93" s="33"/>
      <c r="AO93" s="33"/>
      <c r="AP93" s="33"/>
      <c r="AQ93" s="33"/>
      <c r="AR93" s="33"/>
      <c r="AS93" s="33"/>
      <c r="AT93" s="33"/>
      <c r="AU93" s="33"/>
      <c r="AV93" s="33"/>
      <c r="AW93" s="33"/>
      <c r="AX93" s="33"/>
      <c r="AY93" s="33"/>
      <c r="AZ93" s="33"/>
      <c r="BA93" s="33"/>
      <c r="BB93" s="33"/>
      <c r="BC93" s="33"/>
      <c r="BD93" s="33"/>
      <c r="BE93" s="33"/>
      <c r="BF93" s="33"/>
      <c r="BG93" s="33"/>
      <c r="BH93" s="33"/>
      <c r="BI93" s="33"/>
      <c r="BJ93" s="33"/>
      <c r="BK93" s="33"/>
      <c r="BL93" s="33"/>
      <c r="BM93" s="33"/>
      <c r="BN93" s="33"/>
      <c r="BO93" s="33"/>
      <c r="BP93" s="33"/>
      <c r="BQ93" s="33"/>
      <c r="BR93" s="33"/>
      <c r="BS93" s="33"/>
      <c r="BT93" s="33"/>
      <c r="BU93" s="33"/>
      <c r="BV93" s="33"/>
      <c r="BW93" s="33"/>
      <c r="BX93" s="33"/>
      <c r="BY93" s="33"/>
      <c r="BZ93" s="33"/>
      <c r="CA93" s="33"/>
      <c r="CB93" s="33"/>
      <c r="CC93" s="33"/>
      <c r="CD93" s="33"/>
      <c r="CE93" s="33"/>
      <c r="CF93" s="33"/>
      <c r="CG93" s="33"/>
      <c r="CH93" s="33"/>
      <c r="CI93" s="33"/>
      <c r="CJ93" s="33"/>
      <c r="CK93" s="33"/>
      <c r="CL93" s="33"/>
      <c r="CM93" s="33"/>
      <c r="CN93" s="33"/>
      <c r="CO93" s="33"/>
      <c r="CP93" s="33"/>
      <c r="CQ93" s="33"/>
      <c r="CR93" s="33"/>
      <c r="CS93" s="33"/>
      <c r="CT93" s="33"/>
      <c r="CU93" s="33"/>
      <c r="CV93" s="33"/>
      <c r="CW93" s="33"/>
      <c r="CX93" s="33"/>
      <c r="CY93" s="33"/>
      <c r="CZ93" s="33"/>
      <c r="DA93" s="33"/>
      <c r="DB93" s="33"/>
      <c r="DC93" s="33"/>
      <c r="DD93" s="33"/>
      <c r="DE93" s="33"/>
      <c r="DF93" s="33"/>
      <c r="DG93" s="33"/>
      <c r="DH93" s="33"/>
      <c r="DI93" s="33"/>
      <c r="DJ93" s="33"/>
      <c r="DK93" s="33"/>
      <c r="DL93" s="33"/>
      <c r="DM93" s="33"/>
      <c r="DN93" s="33"/>
      <c r="DO93" s="33"/>
      <c r="DP93" s="33"/>
      <c r="DQ93" s="33"/>
      <c r="DR93" s="33"/>
      <c r="DS93" s="33"/>
      <c r="DT93" s="33"/>
      <c r="DU93" s="33"/>
      <c r="DV93" s="33"/>
      <c r="DW93" s="33"/>
      <c r="DX93" s="33"/>
    </row>
    <row r="94" customFormat="false" ht="13.8" hidden="false" customHeight="false" outlineLevel="0" collapsed="false">
      <c r="A94" s="30"/>
      <c r="B94" s="30"/>
      <c r="C94" s="30"/>
      <c r="D94" s="30"/>
      <c r="E94" s="30"/>
      <c r="F94" s="30"/>
      <c r="G94" s="31"/>
      <c r="H94" s="31"/>
      <c r="I94" s="31"/>
      <c r="J94" s="31"/>
      <c r="K94" s="31"/>
      <c r="L94" s="31"/>
      <c r="M94" s="31"/>
      <c r="N94" s="31"/>
      <c r="O94" s="31"/>
      <c r="P94" s="31"/>
      <c r="Q94" s="31"/>
      <c r="R94" s="31"/>
      <c r="S94" s="31"/>
      <c r="T94" s="31"/>
      <c r="U94" s="31"/>
      <c r="V94" s="31"/>
      <c r="W94" s="31"/>
      <c r="X94" s="31"/>
      <c r="Y94" s="31"/>
      <c r="Z94" s="31"/>
      <c r="AA94" s="31"/>
      <c r="AB94" s="31"/>
      <c r="AC94" s="31"/>
      <c r="AD94" s="31"/>
      <c r="AE94" s="31"/>
      <c r="AF94" s="31"/>
      <c r="AG94" s="31"/>
      <c r="AH94" s="31"/>
      <c r="AI94" s="31"/>
      <c r="AJ94" s="31"/>
      <c r="AK94" s="31"/>
      <c r="AL94" s="31"/>
      <c r="AM94" s="31"/>
      <c r="AN94" s="31"/>
      <c r="AO94" s="31"/>
      <c r="AP94" s="31"/>
      <c r="AQ94" s="31"/>
      <c r="AR94" s="31"/>
      <c r="AS94" s="31"/>
      <c r="AT94" s="31"/>
      <c r="AU94" s="31"/>
      <c r="AV94" s="31"/>
      <c r="AW94" s="31"/>
      <c r="AX94" s="31"/>
      <c r="AY94" s="31"/>
      <c r="AZ94" s="31"/>
      <c r="BA94" s="31"/>
      <c r="BB94" s="31"/>
      <c r="BC94" s="31"/>
      <c r="BD94" s="31"/>
      <c r="BE94" s="31"/>
      <c r="BF94" s="31"/>
      <c r="BG94" s="31"/>
      <c r="BH94" s="31"/>
      <c r="BI94" s="31"/>
      <c r="BJ94" s="31"/>
      <c r="BK94" s="31"/>
      <c r="BL94" s="31"/>
      <c r="BM94" s="31"/>
      <c r="BN94" s="31"/>
      <c r="BO94" s="31"/>
      <c r="BP94" s="31"/>
      <c r="BQ94" s="31"/>
      <c r="BR94" s="31"/>
      <c r="BS94" s="31"/>
      <c r="BT94" s="31"/>
      <c r="BU94" s="31"/>
      <c r="BV94" s="31"/>
      <c r="BW94" s="31"/>
      <c r="BX94" s="31"/>
      <c r="BY94" s="31"/>
      <c r="BZ94" s="31"/>
      <c r="CA94" s="31"/>
      <c r="CB94" s="31"/>
      <c r="CC94" s="31"/>
      <c r="CD94" s="31"/>
      <c r="CE94" s="31"/>
      <c r="CF94" s="31"/>
      <c r="CG94" s="31"/>
      <c r="CH94" s="31"/>
      <c r="CI94" s="31"/>
      <c r="CJ94" s="31"/>
      <c r="CK94" s="31"/>
      <c r="CL94" s="31"/>
      <c r="CM94" s="31"/>
      <c r="CN94" s="31"/>
      <c r="CO94" s="31"/>
      <c r="CP94" s="31"/>
      <c r="CQ94" s="31"/>
      <c r="CR94" s="31"/>
      <c r="CS94" s="31"/>
      <c r="CT94" s="31"/>
      <c r="CU94" s="31"/>
      <c r="CV94" s="31"/>
      <c r="CW94" s="31"/>
      <c r="CX94" s="31"/>
      <c r="CY94" s="31"/>
      <c r="CZ94" s="31"/>
      <c r="DA94" s="31"/>
      <c r="DB94" s="31"/>
      <c r="DC94" s="31"/>
      <c r="DD94" s="31"/>
      <c r="DE94" s="31"/>
      <c r="DF94" s="31"/>
      <c r="DG94" s="31"/>
      <c r="DH94" s="31"/>
      <c r="DI94" s="31"/>
      <c r="DJ94" s="31"/>
      <c r="DK94" s="31"/>
      <c r="DL94" s="31"/>
      <c r="DM94" s="31"/>
      <c r="DN94" s="31"/>
      <c r="DO94" s="31"/>
      <c r="DP94" s="31"/>
      <c r="DQ94" s="31"/>
      <c r="DR94" s="31"/>
      <c r="DS94" s="31"/>
      <c r="DT94" s="31"/>
      <c r="DU94" s="31"/>
      <c r="DV94" s="31"/>
      <c r="DW94" s="31"/>
      <c r="DX94" s="31"/>
    </row>
    <row r="95" customFormat="false" ht="13.8" hidden="false" customHeight="false" outlineLevel="0" collapsed="false">
      <c r="A95" s="34"/>
      <c r="B95" s="34"/>
      <c r="C95" s="34"/>
      <c r="D95" s="34"/>
      <c r="E95" s="34"/>
      <c r="F95" s="34"/>
      <c r="G95" s="28"/>
      <c r="H95" s="28"/>
      <c r="I95" s="28"/>
      <c r="J95" s="28"/>
      <c r="K95" s="28"/>
      <c r="L95" s="28"/>
      <c r="M95" s="28"/>
      <c r="N95" s="28"/>
      <c r="O95" s="28"/>
      <c r="P95" s="28"/>
      <c r="Q95" s="28"/>
      <c r="R95" s="28"/>
      <c r="S95" s="28"/>
      <c r="T95" s="28"/>
      <c r="U95" s="28"/>
      <c r="V95" s="28"/>
      <c r="W95" s="28"/>
      <c r="X95" s="28"/>
      <c r="Y95" s="28"/>
      <c r="Z95" s="28"/>
      <c r="AA95" s="28"/>
      <c r="AB95" s="28"/>
      <c r="AC95" s="28"/>
      <c r="AD95" s="28"/>
      <c r="AE95" s="28"/>
      <c r="AF95" s="28"/>
      <c r="AG95" s="28"/>
      <c r="AH95" s="28"/>
      <c r="AI95" s="28"/>
      <c r="AJ95" s="28"/>
      <c r="AK95" s="28"/>
      <c r="AL95" s="28"/>
      <c r="AM95" s="28"/>
      <c r="AN95" s="28"/>
      <c r="AO95" s="28"/>
      <c r="AP95" s="28"/>
      <c r="AQ95" s="28"/>
      <c r="AR95" s="28"/>
      <c r="AS95" s="28"/>
      <c r="AT95" s="28"/>
      <c r="AU95" s="28"/>
      <c r="AV95" s="28"/>
      <c r="AW95" s="28"/>
      <c r="AX95" s="28"/>
      <c r="AY95" s="28"/>
      <c r="AZ95" s="28"/>
      <c r="BA95" s="28"/>
      <c r="BB95" s="28"/>
      <c r="BC95" s="28"/>
      <c r="BD95" s="28"/>
      <c r="BE95" s="28"/>
      <c r="BF95" s="28"/>
      <c r="BG95" s="28"/>
      <c r="BH95" s="28"/>
      <c r="BI95" s="28"/>
      <c r="BJ95" s="28"/>
      <c r="BK95" s="28"/>
      <c r="BL95" s="28"/>
      <c r="BM95" s="28"/>
      <c r="BN95" s="28"/>
      <c r="BO95" s="28"/>
      <c r="BP95" s="28"/>
      <c r="BQ95" s="28"/>
      <c r="BR95" s="28"/>
      <c r="BS95" s="28"/>
      <c r="BT95" s="28"/>
      <c r="BU95" s="28"/>
      <c r="BV95" s="28"/>
      <c r="BW95" s="28"/>
      <c r="BX95" s="28"/>
      <c r="BY95" s="28"/>
      <c r="BZ95" s="28"/>
      <c r="CA95" s="28"/>
      <c r="CB95" s="28"/>
      <c r="CC95" s="28"/>
      <c r="CD95" s="28"/>
      <c r="CE95" s="28"/>
      <c r="CF95" s="28"/>
      <c r="CG95" s="28"/>
      <c r="CH95" s="28"/>
      <c r="CI95" s="28"/>
      <c r="CJ95" s="28"/>
      <c r="CK95" s="28"/>
      <c r="CL95" s="28"/>
      <c r="CM95" s="28"/>
      <c r="CN95" s="28"/>
      <c r="CO95" s="28"/>
      <c r="CP95" s="28"/>
      <c r="CQ95" s="28"/>
      <c r="CR95" s="28"/>
      <c r="CS95" s="28"/>
      <c r="CT95" s="28"/>
      <c r="CU95" s="28"/>
      <c r="CV95" s="28"/>
      <c r="CW95" s="28"/>
      <c r="CX95" s="28"/>
      <c r="CY95" s="28"/>
      <c r="CZ95" s="28"/>
      <c r="DA95" s="28"/>
      <c r="DB95" s="28"/>
      <c r="DC95" s="28"/>
      <c r="DD95" s="28"/>
      <c r="DE95" s="28"/>
      <c r="DF95" s="28"/>
      <c r="DG95" s="28"/>
      <c r="DH95" s="28"/>
      <c r="DI95" s="28"/>
      <c r="DJ95" s="28"/>
      <c r="DK95" s="28"/>
      <c r="DL95" s="28"/>
      <c r="DM95" s="28"/>
      <c r="DN95" s="28"/>
      <c r="DO95" s="28"/>
      <c r="DP95" s="28"/>
      <c r="DQ95" s="28"/>
      <c r="DR95" s="28"/>
      <c r="DS95" s="28"/>
      <c r="DT95" s="28"/>
      <c r="DU95" s="28"/>
      <c r="DV95" s="28"/>
      <c r="DW95" s="28"/>
      <c r="DX95" s="28"/>
    </row>
    <row r="96" customFormat="false" ht="13.8" hidden="false" customHeight="false" outlineLevel="0" collapsed="false">
      <c r="A96" s="35"/>
      <c r="B96" s="35"/>
      <c r="C96" s="35"/>
      <c r="D96" s="35"/>
      <c r="E96" s="35"/>
      <c r="F96" s="35"/>
      <c r="G96" s="36"/>
      <c r="H96" s="36"/>
      <c r="I96" s="36"/>
      <c r="J96" s="36"/>
      <c r="K96" s="36"/>
      <c r="L96" s="36"/>
      <c r="M96" s="36"/>
      <c r="N96" s="36"/>
      <c r="O96" s="36"/>
      <c r="P96" s="36"/>
      <c r="Q96" s="36"/>
      <c r="R96" s="36"/>
      <c r="S96" s="36"/>
      <c r="T96" s="36"/>
      <c r="U96" s="36"/>
      <c r="V96" s="36"/>
      <c r="W96" s="36"/>
      <c r="X96" s="36"/>
      <c r="Y96" s="36"/>
      <c r="Z96" s="36"/>
      <c r="AA96" s="36"/>
      <c r="AB96" s="36"/>
      <c r="AC96" s="36"/>
      <c r="AD96" s="36"/>
      <c r="AE96" s="36"/>
      <c r="AF96" s="36"/>
      <c r="AG96" s="36"/>
      <c r="AH96" s="36"/>
      <c r="AI96" s="36"/>
      <c r="AJ96" s="36"/>
      <c r="AK96" s="36"/>
      <c r="AL96" s="36"/>
      <c r="AM96" s="36"/>
      <c r="AN96" s="36"/>
      <c r="AO96" s="36"/>
      <c r="AP96" s="36"/>
      <c r="AQ96" s="36"/>
      <c r="AR96" s="36"/>
      <c r="AS96" s="36"/>
      <c r="AT96" s="36"/>
      <c r="AU96" s="36"/>
      <c r="AV96" s="36"/>
      <c r="AW96" s="36"/>
      <c r="AX96" s="36"/>
      <c r="AY96" s="36"/>
      <c r="AZ96" s="36"/>
      <c r="BA96" s="36"/>
      <c r="BB96" s="36"/>
      <c r="BC96" s="36"/>
      <c r="BD96" s="36"/>
      <c r="BE96" s="36"/>
      <c r="BF96" s="36"/>
      <c r="BG96" s="36"/>
      <c r="BH96" s="36"/>
      <c r="BI96" s="36"/>
      <c r="BJ96" s="36"/>
      <c r="BK96" s="36"/>
      <c r="BL96" s="36"/>
      <c r="BM96" s="36"/>
      <c r="BN96" s="36"/>
      <c r="BO96" s="36"/>
      <c r="BP96" s="36"/>
      <c r="BQ96" s="36"/>
      <c r="BR96" s="36"/>
      <c r="BS96" s="36"/>
      <c r="BT96" s="36"/>
      <c r="BU96" s="36"/>
      <c r="BV96" s="36"/>
      <c r="BW96" s="36"/>
      <c r="BX96" s="36"/>
      <c r="BY96" s="36"/>
      <c r="BZ96" s="36"/>
      <c r="CA96" s="36"/>
      <c r="CB96" s="36"/>
      <c r="CC96" s="36"/>
      <c r="CD96" s="36"/>
      <c r="CE96" s="36"/>
      <c r="CF96" s="36"/>
      <c r="CG96" s="36"/>
      <c r="CH96" s="36"/>
      <c r="CI96" s="36"/>
      <c r="CJ96" s="36"/>
      <c r="CK96" s="36"/>
      <c r="CL96" s="36"/>
      <c r="CM96" s="36"/>
      <c r="CN96" s="36"/>
      <c r="CO96" s="36"/>
      <c r="CP96" s="36"/>
      <c r="CQ96" s="36"/>
      <c r="CR96" s="36"/>
      <c r="CS96" s="36"/>
      <c r="CT96" s="36"/>
      <c r="CU96" s="36"/>
      <c r="CV96" s="36"/>
      <c r="CW96" s="36"/>
      <c r="CX96" s="36"/>
      <c r="CY96" s="36"/>
      <c r="CZ96" s="36"/>
      <c r="DA96" s="36"/>
      <c r="DB96" s="36"/>
      <c r="DC96" s="36"/>
      <c r="DD96" s="36"/>
      <c r="DE96" s="36"/>
      <c r="DF96" s="36"/>
      <c r="DG96" s="36"/>
      <c r="DH96" s="36"/>
      <c r="DI96" s="36"/>
      <c r="DJ96" s="36"/>
      <c r="DK96" s="36"/>
      <c r="DL96" s="36"/>
      <c r="DM96" s="36"/>
      <c r="DN96" s="36"/>
      <c r="DO96" s="36"/>
      <c r="DP96" s="36"/>
      <c r="DQ96" s="36"/>
      <c r="DR96" s="36"/>
      <c r="DS96" s="36"/>
      <c r="DT96" s="36"/>
      <c r="DU96" s="36"/>
      <c r="DV96" s="36"/>
      <c r="DW96" s="36"/>
      <c r="DX96" s="36"/>
    </row>
    <row r="97" customFormat="false" ht="13.8" hidden="false" customHeight="false" outlineLevel="0" collapsed="false">
      <c r="A97" s="34"/>
      <c r="B97" s="34"/>
      <c r="C97" s="34"/>
      <c r="D97" s="34"/>
      <c r="E97" s="34"/>
      <c r="F97" s="34"/>
      <c r="G97" s="28"/>
      <c r="H97" s="28"/>
      <c r="I97" s="28"/>
      <c r="J97" s="28"/>
      <c r="K97" s="28"/>
      <c r="L97" s="28"/>
      <c r="M97" s="28"/>
      <c r="N97" s="28"/>
      <c r="O97" s="28"/>
      <c r="P97" s="28"/>
      <c r="Q97" s="28"/>
      <c r="R97" s="28"/>
      <c r="S97" s="28"/>
      <c r="T97" s="28"/>
      <c r="U97" s="28"/>
      <c r="V97" s="28"/>
      <c r="W97" s="28"/>
      <c r="X97" s="28"/>
      <c r="Y97" s="28"/>
      <c r="Z97" s="28"/>
      <c r="AA97" s="28"/>
      <c r="AB97" s="28"/>
      <c r="AC97" s="28"/>
      <c r="AD97" s="28"/>
      <c r="AE97" s="28"/>
      <c r="AF97" s="28"/>
      <c r="AG97" s="28"/>
      <c r="AH97" s="28"/>
      <c r="AI97" s="28"/>
      <c r="AJ97" s="28"/>
      <c r="AK97" s="28"/>
      <c r="AL97" s="28"/>
      <c r="AM97" s="28"/>
      <c r="AN97" s="28"/>
      <c r="AO97" s="28"/>
      <c r="AP97" s="28"/>
      <c r="AQ97" s="28"/>
      <c r="AR97" s="28"/>
      <c r="AS97" s="28"/>
      <c r="AT97" s="28"/>
      <c r="AU97" s="28"/>
      <c r="AV97" s="28"/>
      <c r="AW97" s="28"/>
      <c r="AX97" s="28"/>
      <c r="AY97" s="28"/>
      <c r="AZ97" s="28"/>
      <c r="BA97" s="28"/>
      <c r="BB97" s="28"/>
      <c r="BC97" s="28"/>
      <c r="BD97" s="28"/>
      <c r="BE97" s="28"/>
      <c r="BF97" s="28"/>
      <c r="BG97" s="28"/>
      <c r="BH97" s="28"/>
      <c r="BI97" s="28"/>
      <c r="BJ97" s="28"/>
      <c r="BK97" s="28"/>
      <c r="BL97" s="28"/>
      <c r="BM97" s="28"/>
      <c r="BN97" s="28"/>
      <c r="BO97" s="28"/>
      <c r="BP97" s="28"/>
      <c r="BQ97" s="28"/>
      <c r="BR97" s="28"/>
      <c r="BS97" s="28"/>
      <c r="BT97" s="28"/>
      <c r="BU97" s="28"/>
      <c r="BV97" s="28"/>
      <c r="BW97" s="28"/>
      <c r="BX97" s="28"/>
      <c r="BY97" s="28"/>
      <c r="BZ97" s="28"/>
      <c r="CA97" s="28"/>
      <c r="CB97" s="28"/>
      <c r="CC97" s="28"/>
      <c r="CD97" s="28"/>
      <c r="CE97" s="28"/>
      <c r="CF97" s="28"/>
      <c r="CG97" s="28"/>
      <c r="CH97" s="28"/>
      <c r="CI97" s="28"/>
      <c r="CJ97" s="28"/>
      <c r="CK97" s="28"/>
      <c r="CL97" s="28"/>
      <c r="CM97" s="28"/>
      <c r="CN97" s="28"/>
      <c r="CO97" s="28"/>
      <c r="CP97" s="28"/>
      <c r="CQ97" s="28"/>
      <c r="CR97" s="28"/>
      <c r="CS97" s="28"/>
      <c r="CT97" s="28"/>
      <c r="CU97" s="28"/>
      <c r="CV97" s="28"/>
      <c r="CW97" s="28"/>
      <c r="CX97" s="28"/>
      <c r="CY97" s="28"/>
      <c r="CZ97" s="28"/>
      <c r="DA97" s="28"/>
      <c r="DB97" s="28"/>
      <c r="DC97" s="28"/>
      <c r="DD97" s="28"/>
      <c r="DE97" s="28"/>
      <c r="DF97" s="28"/>
      <c r="DG97" s="28"/>
      <c r="DH97" s="28"/>
      <c r="DI97" s="28"/>
      <c r="DJ97" s="28"/>
      <c r="DK97" s="28"/>
      <c r="DL97" s="28"/>
      <c r="DM97" s="28"/>
      <c r="DN97" s="28"/>
      <c r="DO97" s="28"/>
      <c r="DP97" s="28"/>
      <c r="DQ97" s="28"/>
      <c r="DR97" s="28"/>
      <c r="DS97" s="28"/>
      <c r="DT97" s="28"/>
      <c r="DU97" s="28"/>
      <c r="DV97" s="28"/>
      <c r="DW97" s="28"/>
      <c r="DX97" s="28"/>
    </row>
    <row r="98" customFormat="false" ht="13.8" hidden="false" customHeight="false" outlineLevel="0" collapsed="false">
      <c r="A98" s="35"/>
      <c r="B98" s="35"/>
      <c r="C98" s="35"/>
      <c r="D98" s="35"/>
      <c r="E98" s="35"/>
      <c r="F98" s="35"/>
      <c r="G98" s="36"/>
      <c r="H98" s="36"/>
      <c r="I98" s="36"/>
      <c r="J98" s="36"/>
      <c r="K98" s="36"/>
      <c r="L98" s="36"/>
      <c r="M98" s="36"/>
      <c r="N98" s="36"/>
      <c r="O98" s="36"/>
      <c r="P98" s="36"/>
      <c r="Q98" s="36"/>
      <c r="R98" s="36"/>
      <c r="S98" s="36"/>
      <c r="T98" s="36"/>
      <c r="U98" s="36"/>
      <c r="V98" s="36"/>
      <c r="W98" s="36"/>
      <c r="X98" s="36"/>
      <c r="Y98" s="36"/>
      <c r="Z98" s="36"/>
      <c r="AA98" s="36"/>
      <c r="AB98" s="36"/>
      <c r="AC98" s="36"/>
      <c r="AD98" s="36"/>
      <c r="AE98" s="36"/>
      <c r="AF98" s="36"/>
      <c r="AG98" s="36"/>
      <c r="AH98" s="36"/>
      <c r="AI98" s="36"/>
      <c r="AJ98" s="36"/>
      <c r="AK98" s="36"/>
      <c r="AL98" s="36"/>
      <c r="AM98" s="36"/>
      <c r="AN98" s="36"/>
      <c r="AO98" s="36"/>
      <c r="AP98" s="36"/>
      <c r="AQ98" s="36"/>
      <c r="AR98" s="36"/>
      <c r="AS98" s="36"/>
      <c r="AT98" s="36"/>
      <c r="AU98" s="36"/>
      <c r="AV98" s="36"/>
      <c r="AW98" s="36"/>
      <c r="AX98" s="36"/>
      <c r="AY98" s="36"/>
      <c r="AZ98" s="36"/>
      <c r="BA98" s="36"/>
      <c r="BB98" s="36"/>
      <c r="BC98" s="36"/>
      <c r="BD98" s="36"/>
      <c r="BE98" s="36"/>
      <c r="BF98" s="36"/>
      <c r="BG98" s="36"/>
      <c r="BH98" s="36"/>
      <c r="BI98" s="36"/>
      <c r="BJ98" s="36"/>
      <c r="BK98" s="36"/>
      <c r="BL98" s="36"/>
      <c r="BM98" s="36"/>
      <c r="BN98" s="36"/>
      <c r="BO98" s="36"/>
      <c r="BP98" s="36"/>
      <c r="BQ98" s="36"/>
      <c r="BR98" s="36"/>
      <c r="BS98" s="36"/>
      <c r="BT98" s="36"/>
      <c r="BU98" s="36"/>
      <c r="BV98" s="36"/>
      <c r="BW98" s="36"/>
      <c r="BX98" s="36"/>
      <c r="BY98" s="36"/>
      <c r="BZ98" s="36"/>
      <c r="CA98" s="36"/>
      <c r="CB98" s="36"/>
      <c r="CC98" s="36"/>
      <c r="CD98" s="36"/>
      <c r="CE98" s="36"/>
      <c r="CF98" s="36"/>
      <c r="CG98" s="36"/>
      <c r="CH98" s="36"/>
      <c r="CI98" s="36"/>
      <c r="CJ98" s="36"/>
      <c r="CK98" s="36"/>
      <c r="CL98" s="36"/>
      <c r="CM98" s="36"/>
      <c r="CN98" s="36"/>
      <c r="CO98" s="36"/>
      <c r="CP98" s="36"/>
      <c r="CQ98" s="36"/>
      <c r="CR98" s="36"/>
      <c r="CS98" s="36"/>
      <c r="CT98" s="36"/>
      <c r="CU98" s="36"/>
      <c r="CV98" s="36"/>
      <c r="CW98" s="36"/>
      <c r="CX98" s="36"/>
      <c r="CY98" s="36"/>
      <c r="CZ98" s="36"/>
      <c r="DA98" s="36"/>
      <c r="DB98" s="36"/>
      <c r="DC98" s="36"/>
      <c r="DD98" s="36"/>
      <c r="DE98" s="36"/>
      <c r="DF98" s="36"/>
      <c r="DG98" s="36"/>
      <c r="DH98" s="36"/>
      <c r="DI98" s="36"/>
      <c r="DJ98" s="36"/>
      <c r="DK98" s="36"/>
      <c r="DL98" s="36"/>
      <c r="DM98" s="36"/>
      <c r="DN98" s="36"/>
      <c r="DO98" s="36"/>
      <c r="DP98" s="36"/>
      <c r="DQ98" s="36"/>
      <c r="DR98" s="36"/>
      <c r="DS98" s="36"/>
      <c r="DT98" s="36"/>
      <c r="DU98" s="36"/>
      <c r="DV98" s="36"/>
      <c r="DW98" s="36"/>
      <c r="DX98" s="36"/>
    </row>
    <row r="99" customFormat="false" ht="13.8" hidden="false" customHeight="false" outlineLevel="0" collapsed="false">
      <c r="A99" s="34"/>
      <c r="B99" s="34"/>
      <c r="C99" s="34"/>
      <c r="D99" s="34"/>
      <c r="E99" s="34"/>
      <c r="F99" s="34"/>
      <c r="G99" s="28"/>
      <c r="H99" s="28"/>
      <c r="I99" s="28"/>
      <c r="J99" s="28"/>
      <c r="K99" s="28"/>
      <c r="L99" s="28"/>
      <c r="M99" s="28"/>
      <c r="N99" s="28"/>
      <c r="O99" s="28"/>
      <c r="P99" s="28"/>
      <c r="Q99" s="28"/>
      <c r="R99" s="28"/>
      <c r="S99" s="28"/>
      <c r="T99" s="28"/>
      <c r="U99" s="28"/>
      <c r="V99" s="28"/>
      <c r="W99" s="28"/>
      <c r="X99" s="28"/>
      <c r="Y99" s="28"/>
      <c r="Z99" s="28"/>
      <c r="AA99" s="28"/>
      <c r="AB99" s="28"/>
      <c r="AC99" s="28"/>
      <c r="AD99" s="28"/>
      <c r="AE99" s="28"/>
      <c r="AF99" s="28"/>
      <c r="AG99" s="28"/>
      <c r="AH99" s="28"/>
      <c r="AI99" s="28"/>
      <c r="AJ99" s="28"/>
      <c r="AK99" s="28"/>
      <c r="AL99" s="28"/>
      <c r="AM99" s="28"/>
      <c r="AN99" s="28"/>
      <c r="AO99" s="28"/>
      <c r="AP99" s="28"/>
      <c r="AQ99" s="28"/>
      <c r="AR99" s="28"/>
      <c r="AS99" s="28"/>
      <c r="AT99" s="28"/>
      <c r="AU99" s="28"/>
      <c r="AV99" s="28"/>
      <c r="AW99" s="28"/>
      <c r="AX99" s="28"/>
      <c r="AY99" s="28"/>
      <c r="AZ99" s="28"/>
      <c r="BA99" s="28"/>
      <c r="BB99" s="28"/>
      <c r="BC99" s="28"/>
      <c r="BD99" s="28"/>
      <c r="BE99" s="28"/>
      <c r="BF99" s="28"/>
      <c r="BG99" s="28"/>
      <c r="BH99" s="28"/>
      <c r="BI99" s="28"/>
      <c r="BJ99" s="28"/>
      <c r="BK99" s="28"/>
      <c r="BL99" s="28"/>
      <c r="BM99" s="28"/>
      <c r="BN99" s="28"/>
      <c r="BO99" s="28"/>
      <c r="BP99" s="28"/>
      <c r="BQ99" s="28"/>
      <c r="BR99" s="28"/>
      <c r="BS99" s="28"/>
      <c r="BT99" s="28"/>
      <c r="BU99" s="28"/>
      <c r="BV99" s="28"/>
      <c r="BW99" s="28"/>
      <c r="BX99" s="28"/>
      <c r="BY99" s="28"/>
      <c r="BZ99" s="28"/>
      <c r="CA99" s="28"/>
      <c r="CB99" s="28"/>
      <c r="CC99" s="28"/>
      <c r="CD99" s="28"/>
      <c r="CE99" s="28"/>
      <c r="CF99" s="28"/>
      <c r="CG99" s="28"/>
      <c r="CH99" s="28"/>
      <c r="CI99" s="28"/>
      <c r="CJ99" s="28"/>
      <c r="CK99" s="28"/>
      <c r="CL99" s="28"/>
      <c r="CM99" s="28"/>
      <c r="CN99" s="28"/>
      <c r="CO99" s="28"/>
      <c r="CP99" s="28"/>
      <c r="CQ99" s="28"/>
      <c r="CR99" s="28"/>
      <c r="CS99" s="28"/>
      <c r="CT99" s="28"/>
      <c r="CU99" s="28"/>
      <c r="CV99" s="28"/>
      <c r="CW99" s="28"/>
      <c r="CX99" s="28"/>
      <c r="CY99" s="28"/>
      <c r="CZ99" s="28"/>
      <c r="DA99" s="28"/>
      <c r="DB99" s="28"/>
      <c r="DC99" s="28"/>
      <c r="DD99" s="28"/>
      <c r="DE99" s="28"/>
      <c r="DF99" s="28"/>
      <c r="DG99" s="28"/>
      <c r="DH99" s="28"/>
      <c r="DI99" s="28"/>
      <c r="DJ99" s="28"/>
      <c r="DK99" s="28"/>
      <c r="DL99" s="28"/>
      <c r="DM99" s="28"/>
      <c r="DN99" s="28"/>
      <c r="DO99" s="28"/>
      <c r="DP99" s="28"/>
      <c r="DQ99" s="28"/>
      <c r="DR99" s="28"/>
      <c r="DS99" s="28"/>
      <c r="DT99" s="28"/>
      <c r="DU99" s="28"/>
      <c r="DV99" s="28"/>
      <c r="DW99" s="28"/>
      <c r="DX99" s="28"/>
    </row>
    <row r="100" customFormat="false" ht="13.8" hidden="false" customHeight="false" outlineLevel="0" collapsed="false">
      <c r="A100" s="35"/>
      <c r="B100" s="35"/>
      <c r="C100" s="35"/>
      <c r="D100" s="35"/>
      <c r="E100" s="35"/>
      <c r="F100" s="35"/>
      <c r="G100" s="36"/>
      <c r="H100" s="36"/>
      <c r="I100" s="36"/>
      <c r="J100" s="36"/>
      <c r="K100" s="36"/>
      <c r="L100" s="36"/>
      <c r="M100" s="36"/>
      <c r="N100" s="36"/>
      <c r="O100" s="36"/>
      <c r="P100" s="36"/>
      <c r="Q100" s="36"/>
      <c r="R100" s="36"/>
      <c r="S100" s="36"/>
      <c r="T100" s="36"/>
      <c r="U100" s="36"/>
      <c r="V100" s="36"/>
      <c r="W100" s="36"/>
      <c r="X100" s="36"/>
      <c r="Y100" s="36"/>
      <c r="Z100" s="36"/>
      <c r="AA100" s="36"/>
      <c r="AB100" s="36"/>
      <c r="AC100" s="36"/>
      <c r="AD100" s="36"/>
      <c r="AE100" s="36"/>
      <c r="AF100" s="36"/>
      <c r="AG100" s="36"/>
      <c r="AH100" s="36"/>
      <c r="AI100" s="36"/>
      <c r="AJ100" s="36"/>
      <c r="AK100" s="36"/>
      <c r="AL100" s="36"/>
      <c r="AM100" s="36"/>
      <c r="AN100" s="36"/>
      <c r="AO100" s="36"/>
      <c r="AP100" s="36"/>
      <c r="AQ100" s="36"/>
      <c r="AR100" s="36"/>
      <c r="AS100" s="36"/>
      <c r="AT100" s="36"/>
      <c r="AU100" s="36"/>
      <c r="AV100" s="36"/>
      <c r="AW100" s="36"/>
      <c r="AX100" s="36"/>
      <c r="AY100" s="36"/>
      <c r="AZ100" s="36"/>
      <c r="BA100" s="36"/>
      <c r="BB100" s="36"/>
      <c r="BC100" s="36"/>
      <c r="BD100" s="36"/>
      <c r="BE100" s="36"/>
      <c r="BF100" s="36"/>
      <c r="BG100" s="36"/>
      <c r="BH100" s="36"/>
      <c r="BI100" s="36"/>
      <c r="BJ100" s="36"/>
      <c r="BK100" s="36"/>
      <c r="BL100" s="36"/>
      <c r="BM100" s="36"/>
      <c r="BN100" s="36"/>
      <c r="BO100" s="36"/>
      <c r="BP100" s="36"/>
      <c r="BQ100" s="36"/>
      <c r="BR100" s="36"/>
      <c r="BS100" s="36"/>
      <c r="BT100" s="36"/>
      <c r="BU100" s="36"/>
      <c r="BV100" s="36"/>
      <c r="BW100" s="36"/>
      <c r="BX100" s="36"/>
      <c r="BY100" s="36"/>
      <c r="BZ100" s="36"/>
      <c r="CA100" s="36"/>
      <c r="CB100" s="36"/>
      <c r="CC100" s="36"/>
      <c r="CD100" s="36"/>
      <c r="CE100" s="36"/>
      <c r="CF100" s="36"/>
      <c r="CG100" s="36"/>
      <c r="CH100" s="36"/>
      <c r="CI100" s="36"/>
      <c r="CJ100" s="36"/>
      <c r="CK100" s="36"/>
      <c r="CL100" s="36"/>
      <c r="CM100" s="36"/>
      <c r="CN100" s="36"/>
      <c r="CO100" s="36"/>
      <c r="CP100" s="36"/>
      <c r="CQ100" s="36"/>
      <c r="CR100" s="36"/>
      <c r="CS100" s="36"/>
      <c r="CT100" s="36"/>
      <c r="CU100" s="36"/>
      <c r="CV100" s="36"/>
      <c r="CW100" s="36"/>
      <c r="CX100" s="36"/>
      <c r="CY100" s="36"/>
      <c r="CZ100" s="36"/>
      <c r="DA100" s="36"/>
      <c r="DB100" s="36"/>
      <c r="DC100" s="36"/>
      <c r="DD100" s="36"/>
      <c r="DE100" s="36"/>
      <c r="DF100" s="36"/>
      <c r="DG100" s="36"/>
      <c r="DH100" s="36"/>
      <c r="DI100" s="36"/>
      <c r="DJ100" s="36"/>
      <c r="DK100" s="36"/>
      <c r="DL100" s="36"/>
      <c r="DM100" s="36"/>
      <c r="DN100" s="36"/>
      <c r="DO100" s="36"/>
      <c r="DP100" s="36"/>
      <c r="DQ100" s="36"/>
      <c r="DR100" s="36"/>
      <c r="DS100" s="36"/>
      <c r="DT100" s="36"/>
      <c r="DU100" s="36"/>
      <c r="DV100" s="36"/>
      <c r="DW100" s="36"/>
      <c r="DX100" s="36"/>
    </row>
    <row r="101" customFormat="false" ht="13.8" hidden="false" customHeight="false" outlineLevel="0" collapsed="false">
      <c r="A101" s="34"/>
      <c r="B101" s="34"/>
      <c r="C101" s="34"/>
      <c r="D101" s="34"/>
      <c r="E101" s="34"/>
      <c r="F101" s="34"/>
      <c r="G101" s="28"/>
      <c r="H101" s="28"/>
      <c r="I101" s="28"/>
      <c r="J101" s="28"/>
      <c r="K101" s="28"/>
      <c r="L101" s="28"/>
      <c r="M101" s="28"/>
      <c r="N101" s="28"/>
      <c r="O101" s="28"/>
      <c r="P101" s="28"/>
      <c r="Q101" s="28"/>
      <c r="R101" s="28"/>
      <c r="S101" s="28"/>
      <c r="T101" s="28"/>
      <c r="U101" s="28"/>
      <c r="V101" s="28"/>
      <c r="W101" s="28"/>
      <c r="X101" s="28"/>
      <c r="Y101" s="28"/>
      <c r="Z101" s="28"/>
      <c r="AA101" s="28"/>
      <c r="AB101" s="28"/>
      <c r="AC101" s="28"/>
      <c r="AD101" s="28"/>
      <c r="AE101" s="28"/>
      <c r="AF101" s="28"/>
      <c r="AG101" s="28"/>
      <c r="AH101" s="28"/>
      <c r="AI101" s="28"/>
      <c r="AJ101" s="28"/>
      <c r="AK101" s="28"/>
      <c r="AL101" s="28"/>
      <c r="AM101" s="28"/>
      <c r="AN101" s="28"/>
      <c r="AO101" s="28"/>
      <c r="AP101" s="28"/>
      <c r="AQ101" s="28"/>
      <c r="AR101" s="28"/>
      <c r="AS101" s="28"/>
      <c r="AT101" s="28"/>
      <c r="AU101" s="28"/>
      <c r="AV101" s="28"/>
      <c r="AW101" s="28"/>
      <c r="AX101" s="28"/>
      <c r="AY101" s="28"/>
      <c r="AZ101" s="28"/>
      <c r="BA101" s="28"/>
      <c r="BB101" s="28"/>
      <c r="BC101" s="28"/>
      <c r="BD101" s="28"/>
      <c r="BE101" s="28"/>
      <c r="BF101" s="28"/>
      <c r="BG101" s="28"/>
      <c r="BH101" s="28"/>
      <c r="BI101" s="28"/>
      <c r="BJ101" s="28"/>
      <c r="BK101" s="28"/>
      <c r="BL101" s="28"/>
      <c r="BM101" s="28"/>
      <c r="BN101" s="28"/>
      <c r="BO101" s="28"/>
      <c r="BP101" s="28"/>
      <c r="BQ101" s="28"/>
      <c r="BR101" s="28"/>
      <c r="BS101" s="28"/>
      <c r="BT101" s="28"/>
      <c r="BU101" s="28"/>
      <c r="BV101" s="28"/>
      <c r="BW101" s="28"/>
      <c r="BX101" s="28"/>
      <c r="BY101" s="28"/>
      <c r="BZ101" s="28"/>
      <c r="CA101" s="28"/>
      <c r="CB101" s="28"/>
      <c r="CC101" s="28"/>
      <c r="CD101" s="28"/>
      <c r="CE101" s="28"/>
      <c r="CF101" s="28"/>
      <c r="CG101" s="28"/>
      <c r="CH101" s="28"/>
      <c r="CI101" s="28"/>
      <c r="CJ101" s="28"/>
      <c r="CK101" s="28"/>
      <c r="CL101" s="28"/>
      <c r="CM101" s="28"/>
      <c r="CN101" s="28"/>
      <c r="CO101" s="28"/>
      <c r="CP101" s="28"/>
      <c r="CQ101" s="28"/>
      <c r="CR101" s="28"/>
      <c r="CS101" s="28"/>
      <c r="CT101" s="28"/>
      <c r="CU101" s="28"/>
      <c r="CV101" s="28"/>
      <c r="CW101" s="28"/>
      <c r="CX101" s="28"/>
      <c r="CY101" s="28"/>
      <c r="CZ101" s="28"/>
      <c r="DA101" s="28"/>
      <c r="DB101" s="28"/>
      <c r="DC101" s="28"/>
      <c r="DD101" s="28"/>
      <c r="DE101" s="28"/>
      <c r="DF101" s="28"/>
      <c r="DG101" s="28"/>
      <c r="DH101" s="28"/>
      <c r="DI101" s="28"/>
      <c r="DJ101" s="28"/>
      <c r="DK101" s="28"/>
      <c r="DL101" s="28"/>
      <c r="DM101" s="28"/>
      <c r="DN101" s="28"/>
      <c r="DO101" s="28"/>
      <c r="DP101" s="28"/>
      <c r="DQ101" s="28"/>
      <c r="DR101" s="28"/>
      <c r="DS101" s="28"/>
      <c r="DT101" s="28"/>
      <c r="DU101" s="28"/>
      <c r="DV101" s="28"/>
      <c r="DW101" s="28"/>
      <c r="DX101" s="28"/>
    </row>
    <row r="102" customFormat="false" ht="13.8" hidden="false" customHeight="false" outlineLevel="0" collapsed="false">
      <c r="A102" s="35"/>
      <c r="B102" s="35"/>
      <c r="C102" s="35"/>
      <c r="D102" s="35"/>
      <c r="E102" s="35"/>
      <c r="F102" s="35"/>
      <c r="G102" s="36"/>
      <c r="H102" s="36"/>
      <c r="I102" s="36"/>
      <c r="J102" s="36"/>
      <c r="K102" s="36"/>
      <c r="L102" s="36"/>
      <c r="M102" s="36"/>
      <c r="N102" s="36"/>
      <c r="O102" s="36"/>
      <c r="P102" s="36"/>
      <c r="Q102" s="36"/>
      <c r="R102" s="36"/>
      <c r="S102" s="36"/>
      <c r="T102" s="36"/>
      <c r="U102" s="36"/>
      <c r="V102" s="36"/>
      <c r="W102" s="36"/>
      <c r="X102" s="36"/>
      <c r="Y102" s="36"/>
      <c r="Z102" s="36"/>
      <c r="AA102" s="36"/>
      <c r="AB102" s="36"/>
      <c r="AC102" s="36"/>
      <c r="AD102" s="36"/>
      <c r="AE102" s="36"/>
      <c r="AF102" s="36"/>
      <c r="AG102" s="36"/>
      <c r="AH102" s="36"/>
      <c r="AI102" s="36"/>
      <c r="AJ102" s="36"/>
      <c r="AK102" s="36"/>
      <c r="AL102" s="36"/>
      <c r="AM102" s="36"/>
      <c r="AN102" s="36"/>
      <c r="AO102" s="36"/>
      <c r="AP102" s="36"/>
      <c r="AQ102" s="36"/>
      <c r="AR102" s="36"/>
      <c r="AS102" s="36"/>
      <c r="AT102" s="36"/>
      <c r="AU102" s="36"/>
      <c r="AV102" s="36"/>
      <c r="AW102" s="36"/>
      <c r="AX102" s="36"/>
      <c r="AY102" s="36"/>
      <c r="AZ102" s="36"/>
      <c r="BA102" s="36"/>
      <c r="BB102" s="36"/>
      <c r="BC102" s="36"/>
      <c r="BD102" s="36"/>
      <c r="BE102" s="36"/>
      <c r="BF102" s="36"/>
      <c r="BG102" s="36"/>
      <c r="BH102" s="36"/>
      <c r="BI102" s="36"/>
      <c r="BJ102" s="36"/>
      <c r="BK102" s="36"/>
      <c r="BL102" s="36"/>
      <c r="BM102" s="36"/>
      <c r="BN102" s="36"/>
      <c r="BO102" s="36"/>
      <c r="BP102" s="36"/>
      <c r="BQ102" s="36"/>
      <c r="BR102" s="36"/>
      <c r="BS102" s="36"/>
      <c r="BT102" s="36"/>
      <c r="BU102" s="36"/>
      <c r="BV102" s="36"/>
      <c r="BW102" s="36"/>
      <c r="BX102" s="36"/>
      <c r="BY102" s="36"/>
      <c r="BZ102" s="36"/>
      <c r="CA102" s="36"/>
      <c r="CB102" s="36"/>
      <c r="CC102" s="36"/>
      <c r="CD102" s="36"/>
      <c r="CE102" s="36"/>
      <c r="CF102" s="36"/>
      <c r="CG102" s="36"/>
      <c r="CH102" s="36"/>
      <c r="CI102" s="36"/>
      <c r="CJ102" s="36"/>
      <c r="CK102" s="36"/>
      <c r="CL102" s="36"/>
      <c r="CM102" s="36"/>
      <c r="CN102" s="36"/>
      <c r="CO102" s="36"/>
      <c r="CP102" s="36"/>
      <c r="CQ102" s="36"/>
      <c r="CR102" s="36"/>
      <c r="CS102" s="36"/>
      <c r="CT102" s="36"/>
      <c r="CU102" s="36"/>
      <c r="CV102" s="36"/>
      <c r="CW102" s="36"/>
      <c r="CX102" s="36"/>
      <c r="CY102" s="36"/>
      <c r="CZ102" s="36"/>
      <c r="DA102" s="36"/>
      <c r="DB102" s="36"/>
      <c r="DC102" s="36"/>
      <c r="DD102" s="36"/>
      <c r="DE102" s="36"/>
      <c r="DF102" s="36"/>
      <c r="DG102" s="36"/>
      <c r="DH102" s="36"/>
      <c r="DI102" s="36"/>
      <c r="DJ102" s="36"/>
      <c r="DK102" s="36"/>
      <c r="DL102" s="36"/>
      <c r="DM102" s="36"/>
      <c r="DN102" s="36"/>
      <c r="DO102" s="36"/>
      <c r="DP102" s="36"/>
      <c r="DQ102" s="36"/>
      <c r="DR102" s="36"/>
      <c r="DS102" s="36"/>
      <c r="DT102" s="36"/>
      <c r="DU102" s="36"/>
      <c r="DV102" s="36"/>
      <c r="DW102" s="36"/>
      <c r="DX102" s="36"/>
    </row>
    <row r="103" customFormat="false" ht="13.8" hidden="false" customHeight="false" outlineLevel="0" collapsed="false">
      <c r="A103" s="34"/>
      <c r="B103" s="34"/>
      <c r="C103" s="34"/>
      <c r="D103" s="34"/>
      <c r="E103" s="34"/>
      <c r="F103" s="34"/>
      <c r="G103" s="28"/>
      <c r="H103" s="28"/>
      <c r="I103" s="28"/>
      <c r="J103" s="28"/>
      <c r="K103" s="28"/>
      <c r="L103" s="28"/>
      <c r="M103" s="28"/>
      <c r="N103" s="28"/>
      <c r="O103" s="28"/>
      <c r="P103" s="28"/>
      <c r="Q103" s="28"/>
      <c r="R103" s="28"/>
      <c r="S103" s="28"/>
      <c r="T103" s="28"/>
      <c r="U103" s="28"/>
      <c r="V103" s="28"/>
      <c r="W103" s="28"/>
      <c r="X103" s="28"/>
      <c r="Y103" s="28"/>
      <c r="Z103" s="28"/>
      <c r="AA103" s="28"/>
      <c r="AB103" s="28"/>
      <c r="AC103" s="28"/>
      <c r="AD103" s="28"/>
      <c r="AE103" s="28"/>
      <c r="AF103" s="28"/>
      <c r="AG103" s="28"/>
      <c r="AH103" s="28"/>
      <c r="AI103" s="28"/>
      <c r="AJ103" s="28"/>
      <c r="AK103" s="28"/>
      <c r="AL103" s="28"/>
      <c r="AM103" s="28"/>
      <c r="AN103" s="28"/>
      <c r="AO103" s="28"/>
      <c r="AP103" s="28"/>
      <c r="AQ103" s="28"/>
      <c r="AR103" s="28"/>
      <c r="AS103" s="28"/>
      <c r="AT103" s="28"/>
      <c r="AU103" s="28"/>
      <c r="AV103" s="28"/>
      <c r="AW103" s="28"/>
      <c r="AX103" s="28"/>
      <c r="AY103" s="28"/>
      <c r="AZ103" s="28"/>
      <c r="BA103" s="28"/>
      <c r="BB103" s="28"/>
      <c r="BC103" s="28"/>
      <c r="BD103" s="28"/>
      <c r="BE103" s="28"/>
      <c r="BF103" s="28"/>
      <c r="BG103" s="28"/>
      <c r="BH103" s="28"/>
      <c r="BI103" s="28"/>
      <c r="BJ103" s="28"/>
      <c r="BK103" s="28"/>
      <c r="BL103" s="28"/>
      <c r="BM103" s="28"/>
      <c r="BN103" s="28"/>
      <c r="BO103" s="28"/>
      <c r="BP103" s="28"/>
      <c r="BQ103" s="28"/>
      <c r="BR103" s="28"/>
      <c r="BS103" s="28"/>
      <c r="BT103" s="28"/>
      <c r="BU103" s="28"/>
      <c r="BV103" s="28"/>
      <c r="BW103" s="28"/>
      <c r="BX103" s="28"/>
      <c r="BY103" s="28"/>
      <c r="BZ103" s="28"/>
      <c r="CA103" s="28"/>
      <c r="CB103" s="28"/>
      <c r="CC103" s="28"/>
      <c r="CD103" s="28"/>
      <c r="CE103" s="28"/>
      <c r="CF103" s="28"/>
      <c r="CG103" s="28"/>
      <c r="CH103" s="28"/>
      <c r="CI103" s="28"/>
      <c r="CJ103" s="28"/>
      <c r="CK103" s="28"/>
      <c r="CL103" s="28"/>
      <c r="CM103" s="28"/>
      <c r="CN103" s="28"/>
      <c r="CO103" s="28"/>
      <c r="CP103" s="28"/>
      <c r="CQ103" s="28"/>
      <c r="CR103" s="28"/>
      <c r="CS103" s="28"/>
      <c r="CT103" s="28"/>
      <c r="CU103" s="28"/>
      <c r="CV103" s="28"/>
      <c r="CW103" s="28"/>
      <c r="CX103" s="28"/>
      <c r="CY103" s="28"/>
      <c r="CZ103" s="28"/>
      <c r="DA103" s="28"/>
      <c r="DB103" s="28"/>
      <c r="DC103" s="28"/>
      <c r="DD103" s="28"/>
      <c r="DE103" s="28"/>
      <c r="DF103" s="28"/>
      <c r="DG103" s="28"/>
      <c r="DH103" s="28"/>
      <c r="DI103" s="28"/>
      <c r="DJ103" s="28"/>
      <c r="DK103" s="28"/>
      <c r="DL103" s="28"/>
      <c r="DM103" s="28"/>
      <c r="DN103" s="28"/>
      <c r="DO103" s="28"/>
      <c r="DP103" s="28"/>
      <c r="DQ103" s="28"/>
      <c r="DR103" s="28"/>
      <c r="DS103" s="28"/>
      <c r="DT103" s="28"/>
      <c r="DU103" s="28"/>
      <c r="DV103" s="28"/>
      <c r="DW103" s="28"/>
      <c r="DX103" s="28"/>
    </row>
    <row r="104" customFormat="false" ht="13.8" hidden="false" customHeight="false" outlineLevel="0" collapsed="false">
      <c r="A104" s="35"/>
      <c r="B104" s="35"/>
      <c r="C104" s="35"/>
      <c r="D104" s="35"/>
      <c r="E104" s="35"/>
      <c r="F104" s="35"/>
      <c r="G104" s="36"/>
      <c r="H104" s="36"/>
      <c r="I104" s="36"/>
      <c r="J104" s="36"/>
      <c r="K104" s="36"/>
      <c r="L104" s="36"/>
      <c r="M104" s="36"/>
      <c r="N104" s="36"/>
      <c r="O104" s="36"/>
      <c r="P104" s="36"/>
      <c r="Q104" s="36"/>
      <c r="R104" s="36"/>
      <c r="S104" s="36"/>
      <c r="T104" s="36"/>
      <c r="U104" s="36"/>
      <c r="V104" s="36"/>
      <c r="W104" s="36"/>
      <c r="X104" s="36"/>
      <c r="Y104" s="36"/>
      <c r="Z104" s="36"/>
      <c r="AA104" s="36"/>
      <c r="AB104" s="36"/>
      <c r="AC104" s="36"/>
      <c r="AD104" s="36"/>
      <c r="AE104" s="36"/>
      <c r="AF104" s="36"/>
      <c r="AG104" s="36"/>
      <c r="AH104" s="36"/>
      <c r="AI104" s="36"/>
      <c r="AJ104" s="36"/>
      <c r="AK104" s="36"/>
      <c r="AL104" s="36"/>
      <c r="AM104" s="36"/>
      <c r="AN104" s="36"/>
      <c r="AO104" s="36"/>
      <c r="AP104" s="36"/>
      <c r="AQ104" s="36"/>
      <c r="AR104" s="36"/>
      <c r="AS104" s="36"/>
      <c r="AT104" s="36"/>
      <c r="AU104" s="36"/>
      <c r="AV104" s="36"/>
      <c r="AW104" s="36"/>
      <c r="AX104" s="36"/>
      <c r="AY104" s="36"/>
      <c r="AZ104" s="36"/>
      <c r="BA104" s="36"/>
      <c r="BB104" s="36"/>
      <c r="BC104" s="36"/>
      <c r="BD104" s="36"/>
      <c r="BE104" s="36"/>
      <c r="BF104" s="36"/>
      <c r="BG104" s="36"/>
      <c r="BH104" s="36"/>
      <c r="BI104" s="36"/>
      <c r="BJ104" s="36"/>
      <c r="BK104" s="36"/>
      <c r="BL104" s="36"/>
      <c r="BM104" s="36"/>
      <c r="BN104" s="36"/>
      <c r="BO104" s="36"/>
      <c r="BP104" s="36"/>
      <c r="BQ104" s="36"/>
      <c r="BR104" s="36"/>
      <c r="BS104" s="36"/>
      <c r="BT104" s="36"/>
      <c r="BU104" s="36"/>
      <c r="BV104" s="36"/>
      <c r="BW104" s="36"/>
      <c r="BX104" s="36"/>
      <c r="BY104" s="36"/>
      <c r="BZ104" s="36"/>
      <c r="CA104" s="36"/>
      <c r="CB104" s="36"/>
      <c r="CC104" s="36"/>
      <c r="CD104" s="36"/>
      <c r="CE104" s="36"/>
      <c r="CF104" s="36"/>
      <c r="CG104" s="36"/>
      <c r="CH104" s="36"/>
      <c r="CI104" s="36"/>
      <c r="CJ104" s="36"/>
      <c r="CK104" s="36"/>
      <c r="CL104" s="36"/>
      <c r="CM104" s="36"/>
      <c r="CN104" s="36"/>
      <c r="CO104" s="36"/>
      <c r="CP104" s="36"/>
      <c r="CQ104" s="36"/>
      <c r="CR104" s="36"/>
      <c r="CS104" s="36"/>
      <c r="CT104" s="36"/>
      <c r="CU104" s="36"/>
      <c r="CV104" s="36"/>
      <c r="CW104" s="36"/>
      <c r="CX104" s="36"/>
      <c r="CY104" s="36"/>
      <c r="CZ104" s="36"/>
      <c r="DA104" s="36"/>
      <c r="DB104" s="36"/>
      <c r="DC104" s="36"/>
      <c r="DD104" s="36"/>
      <c r="DE104" s="36"/>
      <c r="DF104" s="36"/>
      <c r="DG104" s="36"/>
      <c r="DH104" s="36"/>
      <c r="DI104" s="36"/>
      <c r="DJ104" s="36"/>
      <c r="DK104" s="36"/>
      <c r="DL104" s="36"/>
      <c r="DM104" s="36"/>
      <c r="DN104" s="36"/>
      <c r="DO104" s="36"/>
      <c r="DP104" s="36"/>
      <c r="DQ104" s="36"/>
      <c r="DR104" s="36"/>
      <c r="DS104" s="36"/>
      <c r="DT104" s="36"/>
      <c r="DU104" s="36"/>
      <c r="DV104" s="36"/>
      <c r="DW104" s="36"/>
      <c r="DX104" s="36"/>
    </row>
    <row r="105" customFormat="false" ht="13.8" hidden="false" customHeight="false" outlineLevel="0" collapsed="false">
      <c r="A105" s="34"/>
      <c r="B105" s="34"/>
      <c r="C105" s="34"/>
      <c r="D105" s="34"/>
      <c r="E105" s="34"/>
      <c r="F105" s="34"/>
      <c r="G105" s="28"/>
      <c r="H105" s="28"/>
      <c r="I105" s="28"/>
      <c r="J105" s="28"/>
      <c r="K105" s="28"/>
      <c r="L105" s="28"/>
      <c r="M105" s="28"/>
      <c r="N105" s="28"/>
      <c r="O105" s="28"/>
      <c r="P105" s="28"/>
      <c r="Q105" s="28"/>
      <c r="R105" s="28"/>
      <c r="S105" s="28"/>
      <c r="T105" s="28"/>
      <c r="U105" s="28"/>
      <c r="V105" s="28"/>
      <c r="W105" s="28"/>
      <c r="X105" s="28"/>
      <c r="Y105" s="28"/>
      <c r="Z105" s="28"/>
      <c r="AA105" s="28"/>
      <c r="AB105" s="28"/>
      <c r="AC105" s="28"/>
      <c r="AD105" s="28"/>
      <c r="AE105" s="28"/>
      <c r="AF105" s="28"/>
      <c r="AG105" s="28"/>
      <c r="AH105" s="28"/>
      <c r="AI105" s="28"/>
      <c r="AJ105" s="28"/>
      <c r="AK105" s="28"/>
      <c r="AL105" s="28"/>
      <c r="AM105" s="28"/>
      <c r="AN105" s="28"/>
      <c r="AO105" s="28"/>
      <c r="AP105" s="28"/>
      <c r="AQ105" s="28"/>
      <c r="AR105" s="28"/>
      <c r="AS105" s="28"/>
      <c r="AT105" s="28"/>
      <c r="AU105" s="28"/>
      <c r="AV105" s="28"/>
      <c r="AW105" s="28"/>
      <c r="AX105" s="28"/>
      <c r="AY105" s="28"/>
      <c r="AZ105" s="28"/>
      <c r="BA105" s="28"/>
      <c r="BB105" s="28"/>
      <c r="BC105" s="28"/>
      <c r="BD105" s="28"/>
      <c r="BE105" s="28"/>
      <c r="BF105" s="28"/>
      <c r="BG105" s="28"/>
      <c r="BH105" s="28"/>
      <c r="BI105" s="28"/>
      <c r="BJ105" s="28"/>
      <c r="BK105" s="28"/>
      <c r="BL105" s="28"/>
      <c r="BM105" s="28"/>
      <c r="BN105" s="28"/>
      <c r="BO105" s="28"/>
      <c r="BP105" s="28"/>
      <c r="BQ105" s="28"/>
      <c r="BR105" s="28"/>
      <c r="BS105" s="28"/>
      <c r="BT105" s="28"/>
      <c r="BU105" s="28"/>
      <c r="BV105" s="28"/>
      <c r="BW105" s="28"/>
      <c r="BX105" s="28"/>
      <c r="BY105" s="28"/>
      <c r="BZ105" s="28"/>
      <c r="CA105" s="28"/>
      <c r="CB105" s="28"/>
      <c r="CC105" s="28"/>
      <c r="CD105" s="28"/>
      <c r="CE105" s="28"/>
      <c r="CF105" s="28"/>
      <c r="CG105" s="28"/>
      <c r="CH105" s="28"/>
      <c r="CI105" s="28"/>
      <c r="CJ105" s="28"/>
      <c r="CK105" s="28"/>
      <c r="CL105" s="28"/>
      <c r="CM105" s="28"/>
      <c r="CN105" s="28"/>
      <c r="CO105" s="28"/>
      <c r="CP105" s="28"/>
      <c r="CQ105" s="28"/>
      <c r="CR105" s="28"/>
      <c r="CS105" s="28"/>
      <c r="CT105" s="28"/>
      <c r="CU105" s="28"/>
      <c r="CV105" s="28"/>
      <c r="CW105" s="28"/>
      <c r="CX105" s="28"/>
      <c r="CY105" s="28"/>
      <c r="CZ105" s="28"/>
      <c r="DA105" s="28"/>
      <c r="DB105" s="28"/>
      <c r="DC105" s="28"/>
      <c r="DD105" s="28"/>
      <c r="DE105" s="28"/>
      <c r="DF105" s="28"/>
      <c r="DG105" s="28"/>
      <c r="DH105" s="28"/>
      <c r="DI105" s="28"/>
      <c r="DJ105" s="28"/>
      <c r="DK105" s="28"/>
      <c r="DL105" s="28"/>
      <c r="DM105" s="28"/>
      <c r="DN105" s="28"/>
      <c r="DO105" s="28"/>
      <c r="DP105" s="28"/>
      <c r="DQ105" s="28"/>
      <c r="DR105" s="28"/>
      <c r="DS105" s="28"/>
      <c r="DT105" s="28"/>
      <c r="DU105" s="28"/>
      <c r="DV105" s="28"/>
      <c r="DW105" s="28"/>
      <c r="DX105" s="28"/>
    </row>
    <row r="106" customFormat="false" ht="13.8" hidden="false" customHeight="false" outlineLevel="0" collapsed="false">
      <c r="A106" s="35"/>
      <c r="B106" s="35"/>
      <c r="C106" s="35"/>
      <c r="D106" s="35"/>
      <c r="E106" s="35"/>
      <c r="F106" s="35"/>
      <c r="G106" s="36"/>
      <c r="H106" s="36"/>
      <c r="I106" s="36"/>
      <c r="J106" s="36"/>
      <c r="K106" s="36"/>
      <c r="L106" s="36"/>
      <c r="M106" s="36"/>
      <c r="N106" s="36"/>
      <c r="O106" s="36"/>
      <c r="P106" s="36"/>
      <c r="Q106" s="36"/>
      <c r="R106" s="36"/>
      <c r="S106" s="36"/>
      <c r="T106" s="36"/>
      <c r="U106" s="36"/>
      <c r="V106" s="36"/>
      <c r="W106" s="36"/>
      <c r="X106" s="36"/>
      <c r="Y106" s="36"/>
      <c r="Z106" s="36"/>
      <c r="AA106" s="36"/>
      <c r="AB106" s="36"/>
      <c r="AC106" s="36"/>
      <c r="AD106" s="36"/>
      <c r="AE106" s="36"/>
      <c r="AF106" s="36"/>
      <c r="AG106" s="36"/>
      <c r="AH106" s="36"/>
      <c r="AI106" s="36"/>
      <c r="AJ106" s="36"/>
      <c r="AK106" s="36"/>
      <c r="AL106" s="36"/>
      <c r="AM106" s="36"/>
      <c r="AN106" s="36"/>
      <c r="AO106" s="36"/>
      <c r="AP106" s="36"/>
      <c r="AQ106" s="36"/>
      <c r="AR106" s="36"/>
      <c r="AS106" s="36"/>
      <c r="AT106" s="36"/>
      <c r="AU106" s="36"/>
      <c r="AV106" s="36"/>
      <c r="AW106" s="36"/>
      <c r="AX106" s="36"/>
      <c r="AY106" s="36"/>
      <c r="AZ106" s="36"/>
      <c r="BA106" s="36"/>
      <c r="BB106" s="36"/>
      <c r="BC106" s="36"/>
      <c r="BD106" s="36"/>
      <c r="BE106" s="36"/>
      <c r="BF106" s="36"/>
      <c r="BG106" s="36"/>
      <c r="BH106" s="36"/>
      <c r="BI106" s="36"/>
      <c r="BJ106" s="36"/>
      <c r="BK106" s="36"/>
      <c r="BL106" s="36"/>
      <c r="BM106" s="36"/>
      <c r="BN106" s="36"/>
      <c r="BO106" s="36"/>
      <c r="BP106" s="36"/>
      <c r="BQ106" s="36"/>
      <c r="BR106" s="36"/>
      <c r="BS106" s="36"/>
      <c r="BT106" s="36"/>
      <c r="BU106" s="36"/>
      <c r="BV106" s="36"/>
      <c r="BW106" s="36"/>
      <c r="BX106" s="36"/>
      <c r="BY106" s="36"/>
      <c r="BZ106" s="36"/>
      <c r="CA106" s="36"/>
      <c r="CB106" s="36"/>
      <c r="CC106" s="36"/>
      <c r="CD106" s="36"/>
      <c r="CE106" s="36"/>
      <c r="CF106" s="36"/>
      <c r="CG106" s="36"/>
      <c r="CH106" s="36"/>
      <c r="CI106" s="36"/>
      <c r="CJ106" s="36"/>
      <c r="CK106" s="36"/>
      <c r="CL106" s="36"/>
      <c r="CM106" s="36"/>
      <c r="CN106" s="36"/>
      <c r="CO106" s="36"/>
      <c r="CP106" s="36"/>
      <c r="CQ106" s="36"/>
      <c r="CR106" s="36"/>
      <c r="CS106" s="36"/>
      <c r="CT106" s="36"/>
      <c r="CU106" s="36"/>
      <c r="CV106" s="36"/>
      <c r="CW106" s="36"/>
      <c r="CX106" s="36"/>
      <c r="CY106" s="36"/>
      <c r="CZ106" s="36"/>
      <c r="DA106" s="36"/>
      <c r="DB106" s="36"/>
      <c r="DC106" s="36"/>
      <c r="DD106" s="36"/>
      <c r="DE106" s="36"/>
      <c r="DF106" s="36"/>
      <c r="DG106" s="36"/>
      <c r="DH106" s="36"/>
      <c r="DI106" s="36"/>
      <c r="DJ106" s="36"/>
      <c r="DK106" s="36"/>
      <c r="DL106" s="36"/>
      <c r="DM106" s="36"/>
      <c r="DN106" s="36"/>
      <c r="DO106" s="36"/>
      <c r="DP106" s="36"/>
      <c r="DQ106" s="36"/>
      <c r="DR106" s="36"/>
      <c r="DS106" s="36"/>
      <c r="DT106" s="36"/>
      <c r="DU106" s="36"/>
      <c r="DV106" s="36"/>
      <c r="DW106" s="36"/>
      <c r="DX106" s="36"/>
    </row>
    <row r="107" customFormat="false" ht="13.8" hidden="false" customHeight="false" outlineLevel="0" collapsed="false">
      <c r="A107" s="34"/>
      <c r="B107" s="34"/>
      <c r="C107" s="34"/>
      <c r="D107" s="34"/>
      <c r="E107" s="34"/>
      <c r="F107" s="34"/>
      <c r="G107" s="28"/>
      <c r="H107" s="28"/>
      <c r="I107" s="28"/>
      <c r="J107" s="28"/>
      <c r="K107" s="28"/>
      <c r="L107" s="28"/>
      <c r="M107" s="28"/>
      <c r="N107" s="28"/>
      <c r="O107" s="28"/>
      <c r="P107" s="28"/>
      <c r="Q107" s="28"/>
      <c r="R107" s="28"/>
      <c r="S107" s="28"/>
      <c r="T107" s="28"/>
      <c r="U107" s="28"/>
      <c r="V107" s="28"/>
      <c r="W107" s="28"/>
      <c r="X107" s="28"/>
      <c r="Y107" s="28"/>
      <c r="Z107" s="28"/>
      <c r="AA107" s="28"/>
      <c r="AB107" s="28"/>
      <c r="AC107" s="28"/>
      <c r="AD107" s="28"/>
      <c r="AE107" s="28"/>
      <c r="AF107" s="28"/>
      <c r="AG107" s="28"/>
      <c r="AH107" s="28"/>
      <c r="AI107" s="28"/>
      <c r="AJ107" s="28"/>
      <c r="AK107" s="28"/>
      <c r="AL107" s="28"/>
      <c r="AM107" s="28"/>
      <c r="AN107" s="28"/>
      <c r="AO107" s="28"/>
      <c r="AP107" s="28"/>
      <c r="AQ107" s="28"/>
      <c r="AR107" s="28"/>
      <c r="AS107" s="28"/>
      <c r="AT107" s="28"/>
      <c r="AU107" s="28"/>
      <c r="AV107" s="28"/>
      <c r="AW107" s="28"/>
      <c r="AX107" s="28"/>
      <c r="AY107" s="28"/>
      <c r="AZ107" s="28"/>
      <c r="BA107" s="28"/>
      <c r="BB107" s="28"/>
      <c r="BC107" s="28"/>
      <c r="BD107" s="28"/>
      <c r="BE107" s="28"/>
      <c r="BF107" s="28"/>
      <c r="BG107" s="28"/>
      <c r="BH107" s="28"/>
      <c r="BI107" s="28"/>
      <c r="BJ107" s="28"/>
      <c r="BK107" s="28"/>
      <c r="BL107" s="28"/>
      <c r="BM107" s="28"/>
      <c r="BN107" s="28"/>
      <c r="BO107" s="28"/>
      <c r="BP107" s="28"/>
      <c r="BQ107" s="28"/>
      <c r="BR107" s="28"/>
      <c r="BS107" s="28"/>
      <c r="BT107" s="28"/>
      <c r="BU107" s="28"/>
      <c r="BV107" s="28"/>
      <c r="BW107" s="28"/>
      <c r="BX107" s="28"/>
      <c r="BY107" s="28"/>
      <c r="BZ107" s="28"/>
      <c r="CA107" s="28"/>
      <c r="CB107" s="28"/>
      <c r="CC107" s="28"/>
      <c r="CD107" s="28"/>
      <c r="CE107" s="28"/>
      <c r="CF107" s="28"/>
      <c r="CG107" s="28"/>
      <c r="CH107" s="28"/>
      <c r="CI107" s="28"/>
      <c r="CJ107" s="28"/>
      <c r="CK107" s="28"/>
      <c r="CL107" s="28"/>
      <c r="CM107" s="28"/>
      <c r="CN107" s="28"/>
      <c r="CO107" s="28"/>
      <c r="CP107" s="28"/>
      <c r="CQ107" s="28"/>
      <c r="CR107" s="28"/>
      <c r="CS107" s="28"/>
      <c r="CT107" s="28"/>
      <c r="CU107" s="28"/>
      <c r="CV107" s="28"/>
      <c r="CW107" s="28"/>
      <c r="CX107" s="28"/>
      <c r="CY107" s="28"/>
      <c r="CZ107" s="28"/>
      <c r="DA107" s="28"/>
      <c r="DB107" s="28"/>
      <c r="DC107" s="28"/>
      <c r="DD107" s="28"/>
      <c r="DE107" s="28"/>
      <c r="DF107" s="28"/>
      <c r="DG107" s="28"/>
      <c r="DH107" s="28"/>
      <c r="DI107" s="28"/>
      <c r="DJ107" s="28"/>
      <c r="DK107" s="28"/>
      <c r="DL107" s="28"/>
      <c r="DM107" s="28"/>
      <c r="DN107" s="28"/>
      <c r="DO107" s="28"/>
      <c r="DP107" s="28"/>
      <c r="DQ107" s="28"/>
      <c r="DR107" s="28"/>
      <c r="DS107" s="28"/>
      <c r="DT107" s="28"/>
      <c r="DU107" s="28"/>
      <c r="DV107" s="28"/>
      <c r="DW107" s="28"/>
      <c r="DX107" s="28"/>
    </row>
    <row r="108" customFormat="false" ht="13.8" hidden="false" customHeight="false" outlineLevel="0" collapsed="false">
      <c r="A108" s="35"/>
      <c r="B108" s="35"/>
      <c r="C108" s="35"/>
      <c r="D108" s="35"/>
      <c r="E108" s="35"/>
      <c r="F108" s="35"/>
      <c r="G108" s="36"/>
      <c r="H108" s="36"/>
      <c r="I108" s="36"/>
      <c r="J108" s="36"/>
      <c r="K108" s="36"/>
      <c r="L108" s="36"/>
      <c r="M108" s="36"/>
      <c r="N108" s="36"/>
      <c r="O108" s="36"/>
      <c r="P108" s="36"/>
      <c r="Q108" s="36"/>
      <c r="R108" s="36"/>
      <c r="S108" s="36"/>
      <c r="T108" s="36"/>
      <c r="U108" s="36"/>
      <c r="V108" s="36"/>
      <c r="W108" s="36"/>
      <c r="X108" s="36"/>
      <c r="Y108" s="36"/>
      <c r="Z108" s="36"/>
      <c r="AA108" s="36"/>
      <c r="AB108" s="36"/>
      <c r="AC108" s="36"/>
      <c r="AD108" s="36"/>
      <c r="AE108" s="36"/>
      <c r="AF108" s="36"/>
      <c r="AG108" s="36"/>
      <c r="AH108" s="36"/>
      <c r="AI108" s="36"/>
      <c r="AJ108" s="36"/>
      <c r="AK108" s="36"/>
      <c r="AL108" s="36"/>
      <c r="AM108" s="36"/>
      <c r="AN108" s="36"/>
      <c r="AO108" s="36"/>
      <c r="AP108" s="36"/>
      <c r="AQ108" s="36"/>
      <c r="AR108" s="36"/>
      <c r="AS108" s="36"/>
      <c r="AT108" s="36"/>
      <c r="AU108" s="36"/>
      <c r="AV108" s="36"/>
      <c r="AW108" s="36"/>
      <c r="AX108" s="36"/>
      <c r="AY108" s="36"/>
      <c r="AZ108" s="36"/>
      <c r="BA108" s="36"/>
      <c r="BB108" s="36"/>
      <c r="BC108" s="36"/>
      <c r="BD108" s="36"/>
      <c r="BE108" s="36"/>
      <c r="BF108" s="36"/>
      <c r="BG108" s="36"/>
      <c r="BH108" s="36"/>
      <c r="BI108" s="36"/>
      <c r="BJ108" s="36"/>
      <c r="BK108" s="36"/>
      <c r="BL108" s="36"/>
      <c r="BM108" s="36"/>
      <c r="BN108" s="36"/>
      <c r="BO108" s="36"/>
      <c r="BP108" s="36"/>
      <c r="BQ108" s="36"/>
      <c r="BR108" s="36"/>
      <c r="BS108" s="36"/>
      <c r="BT108" s="36"/>
      <c r="BU108" s="36"/>
      <c r="BV108" s="36"/>
      <c r="BW108" s="36"/>
      <c r="BX108" s="36"/>
      <c r="BY108" s="36"/>
      <c r="BZ108" s="36"/>
      <c r="CA108" s="36"/>
      <c r="CB108" s="36"/>
      <c r="CC108" s="36"/>
      <c r="CD108" s="36"/>
      <c r="CE108" s="36"/>
      <c r="CF108" s="36"/>
      <c r="CG108" s="36"/>
      <c r="CH108" s="36"/>
      <c r="CI108" s="36"/>
      <c r="CJ108" s="36"/>
      <c r="CK108" s="36"/>
      <c r="CL108" s="36"/>
      <c r="CM108" s="36"/>
      <c r="CN108" s="36"/>
      <c r="CO108" s="36"/>
      <c r="CP108" s="36"/>
      <c r="CQ108" s="36"/>
      <c r="CR108" s="36"/>
      <c r="CS108" s="36"/>
      <c r="CT108" s="36"/>
      <c r="CU108" s="36"/>
      <c r="CV108" s="36"/>
      <c r="CW108" s="36"/>
      <c r="CX108" s="36"/>
      <c r="CY108" s="36"/>
      <c r="CZ108" s="36"/>
      <c r="DA108" s="36"/>
      <c r="DB108" s="36"/>
      <c r="DC108" s="36"/>
      <c r="DD108" s="36"/>
      <c r="DE108" s="36"/>
      <c r="DF108" s="36"/>
      <c r="DG108" s="36"/>
      <c r="DH108" s="36"/>
      <c r="DI108" s="36"/>
      <c r="DJ108" s="36"/>
      <c r="DK108" s="36"/>
      <c r="DL108" s="36"/>
      <c r="DM108" s="36"/>
      <c r="DN108" s="36"/>
      <c r="DO108" s="36"/>
      <c r="DP108" s="36"/>
      <c r="DQ108" s="36"/>
      <c r="DR108" s="36"/>
      <c r="DS108" s="36"/>
      <c r="DT108" s="36"/>
      <c r="DU108" s="36"/>
      <c r="DV108" s="36"/>
      <c r="DW108" s="36"/>
      <c r="DX108" s="36"/>
    </row>
    <row r="109" customFormat="false" ht="13.8" hidden="false" customHeight="false" outlineLevel="0" collapsed="false">
      <c r="A109" s="34"/>
      <c r="B109" s="34"/>
      <c r="C109" s="34"/>
      <c r="D109" s="34"/>
      <c r="E109" s="34"/>
      <c r="F109" s="34"/>
      <c r="G109" s="28"/>
      <c r="H109" s="28"/>
      <c r="I109" s="28"/>
      <c r="J109" s="28"/>
      <c r="K109" s="28"/>
      <c r="L109" s="28"/>
      <c r="M109" s="28"/>
      <c r="N109" s="28"/>
      <c r="O109" s="28"/>
      <c r="P109" s="28"/>
      <c r="Q109" s="28"/>
      <c r="R109" s="28"/>
      <c r="S109" s="28"/>
      <c r="T109" s="28"/>
      <c r="U109" s="28"/>
      <c r="V109" s="28"/>
      <c r="W109" s="28"/>
      <c r="X109" s="28"/>
      <c r="Y109" s="28"/>
      <c r="Z109" s="28"/>
      <c r="AA109" s="28"/>
      <c r="AB109" s="28"/>
      <c r="AC109" s="28"/>
      <c r="AD109" s="28"/>
      <c r="AE109" s="28"/>
      <c r="AF109" s="28"/>
      <c r="AG109" s="28"/>
      <c r="AH109" s="28"/>
      <c r="AI109" s="28"/>
      <c r="AJ109" s="28"/>
      <c r="AK109" s="28"/>
      <c r="AL109" s="28"/>
      <c r="AM109" s="28"/>
      <c r="AN109" s="28"/>
      <c r="AO109" s="28"/>
      <c r="AP109" s="28"/>
      <c r="AQ109" s="28"/>
      <c r="AR109" s="28"/>
      <c r="AS109" s="28"/>
      <c r="AT109" s="28"/>
      <c r="AU109" s="28"/>
      <c r="AV109" s="28"/>
      <c r="AW109" s="28"/>
      <c r="AX109" s="28"/>
      <c r="AY109" s="28"/>
      <c r="AZ109" s="28"/>
      <c r="BA109" s="28"/>
      <c r="BB109" s="28"/>
      <c r="BC109" s="28"/>
      <c r="BD109" s="28"/>
      <c r="BE109" s="28"/>
      <c r="BF109" s="28"/>
      <c r="BG109" s="28"/>
      <c r="BH109" s="28"/>
      <c r="BI109" s="28"/>
      <c r="BJ109" s="28"/>
      <c r="BK109" s="28"/>
      <c r="BL109" s="28"/>
      <c r="BM109" s="28"/>
      <c r="BN109" s="28"/>
      <c r="BO109" s="28"/>
      <c r="BP109" s="28"/>
      <c r="BQ109" s="28"/>
      <c r="BR109" s="28"/>
      <c r="BS109" s="28"/>
      <c r="BT109" s="28"/>
      <c r="BU109" s="28"/>
      <c r="BV109" s="28"/>
      <c r="BW109" s="28"/>
      <c r="BX109" s="28"/>
      <c r="BY109" s="28"/>
      <c r="BZ109" s="28"/>
      <c r="CA109" s="28"/>
      <c r="CB109" s="28"/>
      <c r="CC109" s="28"/>
      <c r="CD109" s="28"/>
      <c r="CE109" s="28"/>
      <c r="CF109" s="28"/>
      <c r="CG109" s="28"/>
      <c r="CH109" s="28"/>
      <c r="CI109" s="28"/>
      <c r="CJ109" s="28"/>
      <c r="CK109" s="28"/>
      <c r="CL109" s="28"/>
      <c r="CM109" s="28"/>
      <c r="CN109" s="28"/>
      <c r="CO109" s="28"/>
      <c r="CP109" s="28"/>
      <c r="CQ109" s="28"/>
      <c r="CR109" s="28"/>
      <c r="CS109" s="28"/>
      <c r="CT109" s="28"/>
      <c r="CU109" s="28"/>
      <c r="CV109" s="28"/>
      <c r="CW109" s="28"/>
      <c r="CX109" s="28"/>
      <c r="CY109" s="28"/>
      <c r="CZ109" s="28"/>
      <c r="DA109" s="28"/>
      <c r="DB109" s="28"/>
      <c r="DC109" s="28"/>
      <c r="DD109" s="28"/>
      <c r="DE109" s="28"/>
      <c r="DF109" s="28"/>
      <c r="DG109" s="28"/>
      <c r="DH109" s="28"/>
      <c r="DI109" s="28"/>
      <c r="DJ109" s="28"/>
      <c r="DK109" s="28"/>
      <c r="DL109" s="28"/>
      <c r="DM109" s="28"/>
      <c r="DN109" s="28"/>
      <c r="DO109" s="28"/>
      <c r="DP109" s="28"/>
      <c r="DQ109" s="28"/>
      <c r="DR109" s="28"/>
      <c r="DS109" s="28"/>
      <c r="DT109" s="28"/>
      <c r="DU109" s="28"/>
      <c r="DV109" s="28"/>
      <c r="DW109" s="28"/>
      <c r="DX109" s="28"/>
    </row>
    <row r="110" customFormat="false" ht="13.8" hidden="false" customHeight="false" outlineLevel="0" collapsed="false">
      <c r="A110" s="35"/>
      <c r="B110" s="35"/>
      <c r="C110" s="35"/>
      <c r="D110" s="35"/>
      <c r="E110" s="35"/>
      <c r="F110" s="35"/>
      <c r="G110" s="36"/>
      <c r="H110" s="36"/>
      <c r="I110" s="36"/>
      <c r="J110" s="36"/>
      <c r="K110" s="36"/>
      <c r="L110" s="36"/>
      <c r="M110" s="36"/>
      <c r="N110" s="36"/>
      <c r="O110" s="36"/>
      <c r="P110" s="36"/>
      <c r="Q110" s="36"/>
      <c r="R110" s="36"/>
      <c r="S110" s="36"/>
      <c r="T110" s="36"/>
      <c r="U110" s="36"/>
      <c r="V110" s="36"/>
      <c r="W110" s="36"/>
      <c r="X110" s="36"/>
      <c r="Y110" s="36"/>
      <c r="Z110" s="36"/>
      <c r="AA110" s="36"/>
      <c r="AB110" s="36"/>
      <c r="AC110" s="36"/>
      <c r="AD110" s="36"/>
      <c r="AE110" s="36"/>
      <c r="AF110" s="36"/>
      <c r="AG110" s="36"/>
      <c r="AH110" s="36"/>
      <c r="AI110" s="36"/>
      <c r="AJ110" s="36"/>
      <c r="AK110" s="36"/>
      <c r="AL110" s="36"/>
      <c r="AM110" s="36"/>
      <c r="AN110" s="36"/>
      <c r="AO110" s="36"/>
      <c r="AP110" s="36"/>
      <c r="AQ110" s="36"/>
      <c r="AR110" s="36"/>
      <c r="AS110" s="36"/>
      <c r="AT110" s="36"/>
      <c r="AU110" s="36"/>
      <c r="AV110" s="36"/>
      <c r="AW110" s="36"/>
      <c r="AX110" s="36"/>
      <c r="AY110" s="36"/>
      <c r="AZ110" s="36"/>
      <c r="BA110" s="36"/>
      <c r="BB110" s="36"/>
      <c r="BC110" s="36"/>
      <c r="BD110" s="36"/>
      <c r="BE110" s="36"/>
      <c r="BF110" s="36"/>
      <c r="BG110" s="36"/>
      <c r="BH110" s="36"/>
      <c r="BI110" s="36"/>
      <c r="BJ110" s="36"/>
      <c r="BK110" s="36"/>
      <c r="BL110" s="36"/>
      <c r="BM110" s="36"/>
      <c r="BN110" s="36"/>
      <c r="BO110" s="36"/>
      <c r="BP110" s="36"/>
      <c r="BQ110" s="36"/>
      <c r="BR110" s="36"/>
      <c r="BS110" s="36"/>
      <c r="BT110" s="36"/>
      <c r="BU110" s="36"/>
      <c r="BV110" s="36"/>
      <c r="BW110" s="36"/>
      <c r="BX110" s="36"/>
      <c r="BY110" s="36"/>
      <c r="BZ110" s="36"/>
      <c r="CA110" s="36"/>
      <c r="CB110" s="36"/>
      <c r="CC110" s="36"/>
      <c r="CD110" s="36"/>
      <c r="CE110" s="36"/>
      <c r="CF110" s="36"/>
      <c r="CG110" s="36"/>
      <c r="CH110" s="36"/>
      <c r="CI110" s="36"/>
      <c r="CJ110" s="36"/>
      <c r="CK110" s="36"/>
      <c r="CL110" s="36"/>
      <c r="CM110" s="36"/>
      <c r="CN110" s="36"/>
      <c r="CO110" s="36"/>
      <c r="CP110" s="36"/>
      <c r="CQ110" s="36"/>
      <c r="CR110" s="36"/>
      <c r="CS110" s="36"/>
      <c r="CT110" s="36"/>
      <c r="CU110" s="36"/>
      <c r="CV110" s="36"/>
      <c r="CW110" s="36"/>
      <c r="CX110" s="36"/>
      <c r="CY110" s="36"/>
      <c r="CZ110" s="36"/>
      <c r="DA110" s="36"/>
      <c r="DB110" s="36"/>
      <c r="DC110" s="36"/>
      <c r="DD110" s="36"/>
      <c r="DE110" s="36"/>
      <c r="DF110" s="36"/>
      <c r="DG110" s="36"/>
      <c r="DH110" s="36"/>
      <c r="DI110" s="36"/>
      <c r="DJ110" s="36"/>
      <c r="DK110" s="36"/>
      <c r="DL110" s="36"/>
      <c r="DM110" s="36"/>
      <c r="DN110" s="36"/>
      <c r="DO110" s="36"/>
      <c r="DP110" s="36"/>
      <c r="DQ110" s="36"/>
      <c r="DR110" s="36"/>
      <c r="DS110" s="36"/>
      <c r="DT110" s="36"/>
      <c r="DU110" s="36"/>
      <c r="DV110" s="36"/>
      <c r="DW110" s="36"/>
      <c r="DX110" s="36"/>
    </row>
    <row r="111" customFormat="false" ht="13.8" hidden="false" customHeight="false" outlineLevel="0" collapsed="false">
      <c r="A111" s="34"/>
      <c r="B111" s="34"/>
      <c r="C111" s="34"/>
      <c r="D111" s="34"/>
      <c r="E111" s="34"/>
      <c r="F111" s="34"/>
      <c r="G111" s="28"/>
      <c r="H111" s="28"/>
      <c r="I111" s="28"/>
      <c r="J111" s="28"/>
      <c r="K111" s="28"/>
      <c r="L111" s="28"/>
      <c r="M111" s="28"/>
      <c r="N111" s="28"/>
      <c r="O111" s="28"/>
      <c r="P111" s="28"/>
      <c r="Q111" s="28"/>
      <c r="R111" s="28"/>
      <c r="S111" s="28"/>
      <c r="T111" s="28"/>
      <c r="U111" s="28"/>
      <c r="V111" s="28"/>
      <c r="W111" s="28"/>
      <c r="X111" s="28"/>
      <c r="Y111" s="28"/>
      <c r="Z111" s="28"/>
      <c r="AA111" s="28"/>
      <c r="AB111" s="28"/>
      <c r="AC111" s="28"/>
      <c r="AD111" s="28"/>
      <c r="AE111" s="28"/>
      <c r="AF111" s="28"/>
      <c r="AG111" s="28"/>
      <c r="AH111" s="28"/>
      <c r="AI111" s="28"/>
      <c r="AJ111" s="28"/>
      <c r="AK111" s="28"/>
      <c r="AL111" s="28"/>
      <c r="AM111" s="28"/>
      <c r="AN111" s="28"/>
      <c r="AO111" s="28"/>
      <c r="AP111" s="28"/>
      <c r="AQ111" s="28"/>
      <c r="AR111" s="28"/>
      <c r="AS111" s="28"/>
      <c r="AT111" s="28"/>
      <c r="AU111" s="28"/>
      <c r="AV111" s="28"/>
      <c r="AW111" s="28"/>
      <c r="AX111" s="28"/>
      <c r="AY111" s="28"/>
      <c r="AZ111" s="28"/>
      <c r="BA111" s="28"/>
      <c r="BB111" s="28"/>
      <c r="BC111" s="28"/>
      <c r="BD111" s="28"/>
      <c r="BE111" s="28"/>
      <c r="BF111" s="28"/>
      <c r="BG111" s="28"/>
      <c r="BH111" s="28"/>
      <c r="BI111" s="28"/>
      <c r="BJ111" s="28"/>
      <c r="BK111" s="28"/>
      <c r="BL111" s="28"/>
      <c r="BM111" s="28"/>
      <c r="BN111" s="28"/>
      <c r="BO111" s="28"/>
      <c r="BP111" s="28"/>
      <c r="BQ111" s="28"/>
      <c r="BR111" s="28"/>
      <c r="BS111" s="28"/>
      <c r="BT111" s="28"/>
      <c r="BU111" s="28"/>
      <c r="BV111" s="28"/>
      <c r="BW111" s="28"/>
      <c r="BX111" s="28"/>
      <c r="BY111" s="28"/>
      <c r="BZ111" s="28"/>
      <c r="CA111" s="28"/>
      <c r="CB111" s="28"/>
      <c r="CC111" s="28"/>
      <c r="CD111" s="28"/>
      <c r="CE111" s="28"/>
      <c r="CF111" s="28"/>
      <c r="CG111" s="28"/>
      <c r="CH111" s="28"/>
      <c r="CI111" s="28"/>
      <c r="CJ111" s="28"/>
      <c r="CK111" s="28"/>
      <c r="CL111" s="28"/>
      <c r="CM111" s="28"/>
      <c r="CN111" s="28"/>
      <c r="CO111" s="28"/>
      <c r="CP111" s="28"/>
      <c r="CQ111" s="28"/>
      <c r="CR111" s="28"/>
      <c r="CS111" s="28"/>
      <c r="CT111" s="28"/>
      <c r="CU111" s="28"/>
      <c r="CV111" s="28"/>
      <c r="CW111" s="28"/>
      <c r="CX111" s="28"/>
      <c r="CY111" s="28"/>
      <c r="CZ111" s="28"/>
      <c r="DA111" s="28"/>
      <c r="DB111" s="28"/>
      <c r="DC111" s="28"/>
      <c r="DD111" s="28"/>
      <c r="DE111" s="28"/>
      <c r="DF111" s="28"/>
      <c r="DG111" s="28"/>
      <c r="DH111" s="28"/>
      <c r="DI111" s="28"/>
      <c r="DJ111" s="28"/>
      <c r="DK111" s="28"/>
      <c r="DL111" s="28"/>
      <c r="DM111" s="28"/>
      <c r="DN111" s="28"/>
      <c r="DO111" s="28"/>
      <c r="DP111" s="28"/>
      <c r="DQ111" s="28"/>
      <c r="DR111" s="28"/>
      <c r="DS111" s="28"/>
      <c r="DT111" s="28"/>
      <c r="DU111" s="28"/>
      <c r="DV111" s="28"/>
      <c r="DW111" s="28"/>
      <c r="DX111" s="28"/>
    </row>
    <row r="112" customFormat="false" ht="13.8" hidden="false" customHeight="false" outlineLevel="0" collapsed="false">
      <c r="A112" s="35"/>
      <c r="B112" s="35"/>
      <c r="C112" s="35"/>
      <c r="D112" s="35"/>
      <c r="E112" s="35"/>
      <c r="F112" s="35"/>
      <c r="G112" s="36"/>
      <c r="H112" s="36"/>
      <c r="I112" s="36"/>
      <c r="J112" s="36"/>
      <c r="K112" s="36"/>
      <c r="L112" s="36"/>
      <c r="M112" s="36"/>
      <c r="N112" s="36"/>
      <c r="O112" s="36"/>
      <c r="P112" s="36"/>
      <c r="Q112" s="36"/>
      <c r="R112" s="36"/>
      <c r="S112" s="36"/>
      <c r="T112" s="36"/>
      <c r="U112" s="36"/>
      <c r="V112" s="36"/>
      <c r="W112" s="36"/>
      <c r="X112" s="36"/>
      <c r="Y112" s="36"/>
      <c r="Z112" s="36"/>
      <c r="AA112" s="36"/>
      <c r="AB112" s="36"/>
      <c r="AC112" s="36"/>
      <c r="AD112" s="36"/>
      <c r="AE112" s="36"/>
      <c r="AF112" s="36"/>
      <c r="AG112" s="36"/>
      <c r="AH112" s="36"/>
      <c r="AI112" s="36"/>
      <c r="AJ112" s="36"/>
      <c r="AK112" s="36"/>
      <c r="AL112" s="36"/>
      <c r="AM112" s="36"/>
      <c r="AN112" s="36"/>
      <c r="AO112" s="36"/>
      <c r="AP112" s="36"/>
      <c r="AQ112" s="36"/>
      <c r="AR112" s="36"/>
      <c r="AS112" s="36"/>
      <c r="AT112" s="36"/>
      <c r="AU112" s="36"/>
      <c r="AV112" s="36"/>
      <c r="AW112" s="36"/>
      <c r="AX112" s="36"/>
      <c r="AY112" s="36"/>
      <c r="AZ112" s="36"/>
      <c r="BA112" s="36"/>
      <c r="BB112" s="36"/>
      <c r="BC112" s="36"/>
      <c r="BD112" s="36"/>
      <c r="BE112" s="36"/>
      <c r="BF112" s="36"/>
      <c r="BG112" s="36"/>
      <c r="BH112" s="36"/>
      <c r="BI112" s="36"/>
      <c r="BJ112" s="36"/>
      <c r="BK112" s="36"/>
      <c r="BL112" s="36"/>
      <c r="BM112" s="36"/>
      <c r="BN112" s="36"/>
      <c r="BO112" s="36"/>
      <c r="BP112" s="36"/>
      <c r="BQ112" s="36"/>
      <c r="BR112" s="36"/>
      <c r="BS112" s="36"/>
      <c r="BT112" s="36"/>
      <c r="BU112" s="36"/>
      <c r="BV112" s="36"/>
      <c r="BW112" s="36"/>
      <c r="BX112" s="36"/>
      <c r="BY112" s="36"/>
      <c r="BZ112" s="36"/>
      <c r="CA112" s="36"/>
      <c r="CB112" s="36"/>
      <c r="CC112" s="36"/>
      <c r="CD112" s="36"/>
      <c r="CE112" s="36"/>
      <c r="CF112" s="36"/>
      <c r="CG112" s="36"/>
      <c r="CH112" s="36"/>
      <c r="CI112" s="36"/>
      <c r="CJ112" s="36"/>
      <c r="CK112" s="36"/>
      <c r="CL112" s="36"/>
      <c r="CM112" s="36"/>
      <c r="CN112" s="36"/>
      <c r="CO112" s="36"/>
      <c r="CP112" s="36"/>
      <c r="CQ112" s="36"/>
      <c r="CR112" s="36"/>
      <c r="CS112" s="36"/>
      <c r="CT112" s="36"/>
      <c r="CU112" s="36"/>
      <c r="CV112" s="36"/>
      <c r="CW112" s="36"/>
      <c r="CX112" s="36"/>
      <c r="CY112" s="36"/>
      <c r="CZ112" s="36"/>
      <c r="DA112" s="36"/>
      <c r="DB112" s="36"/>
      <c r="DC112" s="36"/>
      <c r="DD112" s="36"/>
      <c r="DE112" s="36"/>
      <c r="DF112" s="36"/>
      <c r="DG112" s="36"/>
      <c r="DH112" s="36"/>
      <c r="DI112" s="36"/>
      <c r="DJ112" s="36"/>
      <c r="DK112" s="36"/>
      <c r="DL112" s="36"/>
      <c r="DM112" s="36"/>
      <c r="DN112" s="36"/>
      <c r="DO112" s="36"/>
      <c r="DP112" s="36"/>
      <c r="DQ112" s="36"/>
      <c r="DR112" s="36"/>
      <c r="DS112" s="36"/>
      <c r="DT112" s="36"/>
      <c r="DU112" s="36"/>
      <c r="DV112" s="36"/>
      <c r="DW112" s="36"/>
      <c r="DX112" s="36"/>
    </row>
    <row r="113" customFormat="false" ht="13.8" hidden="false" customHeight="false" outlineLevel="0" collapsed="false">
      <c r="A113" s="34"/>
      <c r="B113" s="34"/>
      <c r="C113" s="34"/>
      <c r="D113" s="34"/>
      <c r="E113" s="34"/>
      <c r="F113" s="34"/>
      <c r="G113" s="28"/>
      <c r="H113" s="28"/>
      <c r="I113" s="28"/>
      <c r="J113" s="28"/>
      <c r="K113" s="28"/>
      <c r="L113" s="28"/>
      <c r="M113" s="28"/>
      <c r="N113" s="28"/>
      <c r="O113" s="28"/>
      <c r="P113" s="28"/>
      <c r="Q113" s="28"/>
      <c r="R113" s="28"/>
      <c r="S113" s="28"/>
      <c r="T113" s="28"/>
      <c r="U113" s="28"/>
      <c r="V113" s="28"/>
      <c r="W113" s="28"/>
      <c r="X113" s="28"/>
      <c r="Y113" s="28"/>
      <c r="Z113" s="28"/>
      <c r="AA113" s="28"/>
      <c r="AB113" s="28"/>
      <c r="AC113" s="28"/>
      <c r="AD113" s="28"/>
      <c r="AE113" s="28"/>
      <c r="AF113" s="28"/>
      <c r="AG113" s="28"/>
      <c r="AH113" s="28"/>
      <c r="AI113" s="28"/>
      <c r="AJ113" s="28"/>
      <c r="AK113" s="28"/>
      <c r="AL113" s="28"/>
      <c r="AM113" s="28"/>
      <c r="AN113" s="28"/>
      <c r="AO113" s="28"/>
      <c r="AP113" s="28"/>
      <c r="AQ113" s="28"/>
      <c r="AR113" s="28"/>
      <c r="AS113" s="28"/>
      <c r="AT113" s="28"/>
      <c r="AU113" s="28"/>
      <c r="AV113" s="28"/>
      <c r="AW113" s="28"/>
      <c r="AX113" s="28"/>
      <c r="AY113" s="28"/>
      <c r="AZ113" s="28"/>
      <c r="BA113" s="28"/>
      <c r="BB113" s="28"/>
      <c r="BC113" s="28"/>
      <c r="BD113" s="28"/>
      <c r="BE113" s="28"/>
      <c r="BF113" s="28"/>
      <c r="BG113" s="28"/>
      <c r="BH113" s="28"/>
      <c r="BI113" s="28"/>
      <c r="BJ113" s="28"/>
      <c r="BK113" s="28"/>
      <c r="BL113" s="28"/>
      <c r="BM113" s="28"/>
      <c r="BN113" s="28"/>
      <c r="BO113" s="28"/>
      <c r="BP113" s="28"/>
      <c r="BQ113" s="28"/>
      <c r="BR113" s="28"/>
      <c r="BS113" s="28"/>
      <c r="BT113" s="28"/>
      <c r="BU113" s="28"/>
      <c r="BV113" s="28"/>
      <c r="BW113" s="28"/>
      <c r="BX113" s="28"/>
      <c r="BY113" s="28"/>
      <c r="BZ113" s="28"/>
      <c r="CA113" s="28"/>
      <c r="CB113" s="28"/>
      <c r="CC113" s="28"/>
      <c r="CD113" s="28"/>
      <c r="CE113" s="28"/>
      <c r="CF113" s="28"/>
      <c r="CG113" s="28"/>
      <c r="CH113" s="28"/>
      <c r="CI113" s="28"/>
      <c r="CJ113" s="28"/>
      <c r="CK113" s="28"/>
      <c r="CL113" s="28"/>
      <c r="CM113" s="28"/>
      <c r="CN113" s="28"/>
      <c r="CO113" s="28"/>
      <c r="CP113" s="28"/>
      <c r="CQ113" s="28"/>
      <c r="CR113" s="28"/>
      <c r="CS113" s="28"/>
      <c r="CT113" s="28"/>
      <c r="CU113" s="28"/>
      <c r="CV113" s="28"/>
      <c r="CW113" s="28"/>
      <c r="CX113" s="28"/>
      <c r="CY113" s="28"/>
      <c r="CZ113" s="28"/>
      <c r="DA113" s="28"/>
      <c r="DB113" s="28"/>
      <c r="DC113" s="28"/>
      <c r="DD113" s="28"/>
      <c r="DE113" s="28"/>
      <c r="DF113" s="28"/>
      <c r="DG113" s="28"/>
      <c r="DH113" s="28"/>
      <c r="DI113" s="28"/>
      <c r="DJ113" s="28"/>
      <c r="DK113" s="28"/>
      <c r="DL113" s="28"/>
      <c r="DM113" s="28"/>
      <c r="DN113" s="28"/>
      <c r="DO113" s="28"/>
      <c r="DP113" s="28"/>
      <c r="DQ113" s="28"/>
      <c r="DR113" s="28"/>
      <c r="DS113" s="28"/>
      <c r="DT113" s="28"/>
      <c r="DU113" s="28"/>
      <c r="DV113" s="28"/>
      <c r="DW113" s="28"/>
      <c r="DX113" s="28"/>
    </row>
    <row r="114" customFormat="false" ht="13.8" hidden="false" customHeight="false" outlineLevel="0" collapsed="false">
      <c r="A114" s="35"/>
      <c r="B114" s="35"/>
      <c r="C114" s="35"/>
      <c r="D114" s="35"/>
      <c r="E114" s="35"/>
      <c r="F114" s="35"/>
      <c r="G114" s="36"/>
      <c r="H114" s="36"/>
      <c r="I114" s="36"/>
      <c r="J114" s="36"/>
      <c r="K114" s="36"/>
      <c r="L114" s="36"/>
      <c r="M114" s="36"/>
      <c r="N114" s="36"/>
      <c r="O114" s="36"/>
      <c r="P114" s="36"/>
      <c r="Q114" s="36"/>
      <c r="R114" s="36"/>
      <c r="S114" s="36"/>
      <c r="T114" s="36"/>
      <c r="U114" s="36"/>
      <c r="V114" s="36"/>
      <c r="W114" s="36"/>
      <c r="X114" s="36"/>
      <c r="Y114" s="36"/>
      <c r="Z114" s="36"/>
      <c r="AA114" s="36"/>
      <c r="AB114" s="36"/>
      <c r="AC114" s="36"/>
      <c r="AD114" s="36"/>
      <c r="AE114" s="36"/>
      <c r="AF114" s="36"/>
      <c r="AG114" s="36"/>
      <c r="AH114" s="36"/>
      <c r="AI114" s="36"/>
      <c r="AJ114" s="36"/>
      <c r="AK114" s="36"/>
      <c r="AL114" s="36"/>
      <c r="AM114" s="36"/>
      <c r="AN114" s="36"/>
      <c r="AO114" s="36"/>
      <c r="AP114" s="36"/>
      <c r="AQ114" s="36"/>
      <c r="AR114" s="36"/>
      <c r="AS114" s="36"/>
      <c r="AT114" s="36"/>
      <c r="AU114" s="36"/>
      <c r="AV114" s="36"/>
      <c r="AW114" s="36"/>
      <c r="AX114" s="36"/>
      <c r="AY114" s="36"/>
      <c r="AZ114" s="36"/>
      <c r="BA114" s="36"/>
      <c r="BB114" s="36"/>
      <c r="BC114" s="36"/>
      <c r="BD114" s="36"/>
      <c r="BE114" s="36"/>
      <c r="BF114" s="36"/>
      <c r="BG114" s="36"/>
      <c r="BH114" s="36"/>
      <c r="BI114" s="36"/>
      <c r="BJ114" s="36"/>
      <c r="BK114" s="36"/>
      <c r="BL114" s="36"/>
      <c r="BM114" s="36"/>
      <c r="BN114" s="36"/>
      <c r="BO114" s="36"/>
      <c r="BP114" s="36"/>
      <c r="BQ114" s="36"/>
      <c r="BR114" s="36"/>
      <c r="BS114" s="36"/>
      <c r="BT114" s="36"/>
      <c r="BU114" s="36"/>
      <c r="BV114" s="36"/>
      <c r="BW114" s="36"/>
      <c r="BX114" s="36"/>
      <c r="BY114" s="36"/>
      <c r="BZ114" s="36"/>
      <c r="CA114" s="36"/>
      <c r="CB114" s="36"/>
      <c r="CC114" s="36"/>
      <c r="CD114" s="36"/>
      <c r="CE114" s="36"/>
      <c r="CF114" s="36"/>
      <c r="CG114" s="36"/>
      <c r="CH114" s="36"/>
      <c r="CI114" s="36"/>
      <c r="CJ114" s="36"/>
      <c r="CK114" s="36"/>
      <c r="CL114" s="36"/>
      <c r="CM114" s="36"/>
      <c r="CN114" s="36"/>
      <c r="CO114" s="36"/>
      <c r="CP114" s="36"/>
      <c r="CQ114" s="36"/>
      <c r="CR114" s="36"/>
      <c r="CS114" s="36"/>
      <c r="CT114" s="36"/>
      <c r="CU114" s="36"/>
      <c r="CV114" s="36"/>
      <c r="CW114" s="36"/>
      <c r="CX114" s="36"/>
      <c r="CY114" s="36"/>
      <c r="CZ114" s="36"/>
      <c r="DA114" s="36"/>
      <c r="DB114" s="36"/>
      <c r="DC114" s="36"/>
      <c r="DD114" s="36"/>
      <c r="DE114" s="36"/>
      <c r="DF114" s="36"/>
      <c r="DG114" s="36"/>
      <c r="DH114" s="36"/>
      <c r="DI114" s="36"/>
      <c r="DJ114" s="36"/>
      <c r="DK114" s="36"/>
      <c r="DL114" s="36"/>
      <c r="DM114" s="36"/>
      <c r="DN114" s="36"/>
      <c r="DO114" s="36"/>
      <c r="DP114" s="36"/>
      <c r="DQ114" s="36"/>
      <c r="DR114" s="36"/>
      <c r="DS114" s="36"/>
      <c r="DT114" s="36"/>
      <c r="DU114" s="36"/>
      <c r="DV114" s="36"/>
      <c r="DW114" s="36"/>
      <c r="DX114" s="36"/>
    </row>
    <row r="115" customFormat="false" ht="13.8" hidden="false" customHeight="false" outlineLevel="0" collapsed="false">
      <c r="A115" s="34"/>
      <c r="B115" s="34"/>
      <c r="C115" s="34"/>
      <c r="D115" s="34"/>
      <c r="E115" s="34"/>
      <c r="F115" s="34"/>
      <c r="G115" s="28"/>
      <c r="H115" s="28"/>
      <c r="I115" s="28"/>
      <c r="J115" s="28"/>
      <c r="K115" s="28"/>
      <c r="L115" s="28"/>
      <c r="M115" s="28"/>
      <c r="N115" s="28"/>
      <c r="O115" s="28"/>
      <c r="P115" s="28"/>
      <c r="Q115" s="28"/>
      <c r="R115" s="28"/>
      <c r="S115" s="28"/>
      <c r="T115" s="28"/>
      <c r="U115" s="28"/>
      <c r="V115" s="28"/>
      <c r="W115" s="28"/>
      <c r="X115" s="28"/>
      <c r="Y115" s="28"/>
      <c r="Z115" s="28"/>
      <c r="AA115" s="28"/>
      <c r="AB115" s="28"/>
      <c r="AC115" s="28"/>
      <c r="AD115" s="28"/>
      <c r="AE115" s="28"/>
      <c r="AF115" s="28"/>
      <c r="AG115" s="28"/>
      <c r="AH115" s="28"/>
      <c r="AI115" s="28"/>
      <c r="AJ115" s="28"/>
      <c r="AK115" s="28"/>
      <c r="AL115" s="28"/>
      <c r="AM115" s="28"/>
      <c r="AN115" s="28"/>
      <c r="AO115" s="28"/>
      <c r="AP115" s="28"/>
      <c r="AQ115" s="28"/>
      <c r="AR115" s="28"/>
      <c r="AS115" s="28"/>
      <c r="AT115" s="28"/>
      <c r="AU115" s="28"/>
      <c r="AV115" s="28"/>
      <c r="AW115" s="28"/>
      <c r="AX115" s="28"/>
      <c r="AY115" s="28"/>
      <c r="AZ115" s="28"/>
      <c r="BA115" s="28"/>
      <c r="BB115" s="28"/>
      <c r="BC115" s="28"/>
      <c r="BD115" s="28"/>
      <c r="BE115" s="28"/>
      <c r="BF115" s="28"/>
      <c r="BG115" s="28"/>
      <c r="BH115" s="28"/>
      <c r="BI115" s="28"/>
      <c r="BJ115" s="28"/>
      <c r="BK115" s="28"/>
      <c r="BL115" s="28"/>
      <c r="BM115" s="28"/>
      <c r="BN115" s="28"/>
      <c r="BO115" s="28"/>
      <c r="BP115" s="28"/>
      <c r="BQ115" s="28"/>
      <c r="BR115" s="28"/>
      <c r="BS115" s="28"/>
      <c r="BT115" s="28"/>
      <c r="BU115" s="28"/>
      <c r="BV115" s="28"/>
      <c r="BW115" s="28"/>
      <c r="BX115" s="28"/>
      <c r="BY115" s="28"/>
      <c r="BZ115" s="28"/>
      <c r="CA115" s="28"/>
      <c r="CB115" s="28"/>
      <c r="CC115" s="28"/>
      <c r="CD115" s="28"/>
      <c r="CE115" s="28"/>
      <c r="CF115" s="28"/>
      <c r="CG115" s="28"/>
      <c r="CH115" s="28"/>
      <c r="CI115" s="28"/>
      <c r="CJ115" s="28"/>
      <c r="CK115" s="28"/>
      <c r="CL115" s="28"/>
      <c r="CM115" s="28"/>
      <c r="CN115" s="28"/>
      <c r="CO115" s="28"/>
      <c r="CP115" s="28"/>
      <c r="CQ115" s="28"/>
      <c r="CR115" s="28"/>
      <c r="CS115" s="28"/>
      <c r="CT115" s="28"/>
      <c r="CU115" s="28"/>
      <c r="CV115" s="28"/>
      <c r="CW115" s="28"/>
      <c r="CX115" s="28"/>
      <c r="CY115" s="28"/>
      <c r="CZ115" s="28"/>
      <c r="DA115" s="28"/>
      <c r="DB115" s="28"/>
      <c r="DC115" s="28"/>
      <c r="DD115" s="28"/>
      <c r="DE115" s="28"/>
      <c r="DF115" s="28"/>
      <c r="DG115" s="28"/>
      <c r="DH115" s="28"/>
      <c r="DI115" s="28"/>
      <c r="DJ115" s="28"/>
      <c r="DK115" s="28"/>
      <c r="DL115" s="28"/>
      <c r="DM115" s="28"/>
      <c r="DN115" s="28"/>
      <c r="DO115" s="28"/>
      <c r="DP115" s="28"/>
      <c r="DQ115" s="28"/>
      <c r="DR115" s="28"/>
      <c r="DS115" s="28"/>
      <c r="DT115" s="28"/>
      <c r="DU115" s="28"/>
      <c r="DV115" s="28"/>
      <c r="DW115" s="28"/>
      <c r="DX115" s="28"/>
    </row>
    <row r="116" customFormat="false" ht="14.4" hidden="false" customHeight="false" outlineLevel="0" collapsed="false">
      <c r="A116" s="35"/>
      <c r="B116" s="35"/>
      <c r="C116" s="35"/>
      <c r="D116" s="35"/>
      <c r="E116" s="35"/>
      <c r="F116" s="35"/>
      <c r="G116" s="36" t="n">
        <f aca="false">SUMIF($C$2:$F$2,EOMONTH(G$2,-1)+1,$C116:$F116)*VLOOKUP(G$2,ProyDia[],8,0)</f>
        <v>0</v>
      </c>
      <c r="H116" s="36" t="n">
        <f aca="false">SUMIF($C$2:$F$2,EOMONTH(H$2,-1)+1,$C116:$F116)*VLOOKUP(H$2,ProyDia[],8,0)</f>
        <v>0</v>
      </c>
      <c r="I116" s="36" t="n">
        <f aca="false">SUMIF($C$2:$F$2,EOMONTH(I$2,-1)+1,$C116:$F116)*VLOOKUP(I$2,ProyDia[],8,0)</f>
        <v>0</v>
      </c>
      <c r="J116" s="36" t="n">
        <f aca="false">SUMIF($C$2:$F$2,EOMONTH(J$2,-1)+1,$C116:$F116)*VLOOKUP(J$2,ProyDia[],8,0)</f>
        <v>0</v>
      </c>
      <c r="K116" s="36" t="n">
        <f aca="false">SUMIF($C$2:$F$2,EOMONTH(K$2,-1)+1,$C116:$F116)*VLOOKUP(K$2,ProyDia[],8,0)</f>
        <v>0</v>
      </c>
      <c r="L116" s="36" t="n">
        <f aca="false">SUMIF($C$2:$F$2,EOMONTH(L$2,-1)+1,$C116:$F116)*VLOOKUP(L$2,ProyDia[],8,0)</f>
        <v>0</v>
      </c>
      <c r="M116" s="36" t="n">
        <f aca="false">SUMIF($C$2:$F$2,EOMONTH(M$2,-1)+1,$C116:$F116)*VLOOKUP(M$2,ProyDia[],8,0)</f>
        <v>0</v>
      </c>
      <c r="N116" s="36" t="n">
        <f aca="false">SUMIF($C$2:$F$2,EOMONTH(N$2,-1)+1,$C116:$F116)*VLOOKUP(N$2,ProyDia[],8,0)</f>
        <v>0</v>
      </c>
      <c r="O116" s="36" t="n">
        <f aca="false">SUMIF($C$2:$F$2,EOMONTH(O$2,-1)+1,$C116:$F116)*VLOOKUP(O$2,ProyDia[],8,0)</f>
        <v>0</v>
      </c>
      <c r="P116" s="36" t="n">
        <f aca="false">SUMIF($C$2:$F$2,EOMONTH(P$2,-1)+1,$C116:$F116)*VLOOKUP(P$2,ProyDia[],8,0)</f>
        <v>0</v>
      </c>
      <c r="Q116" s="36" t="n">
        <f aca="false">SUMIF($C$2:$F$2,EOMONTH(Q$2,-1)+1,$C116:$F116)*VLOOKUP(Q$2,ProyDia[],8,0)</f>
        <v>0</v>
      </c>
      <c r="R116" s="36" t="n">
        <f aca="false">SUMIF($C$2:$F$2,EOMONTH(R$2,-1)+1,$C116:$F116)*VLOOKUP(R$2,ProyDia[],8,0)</f>
        <v>0</v>
      </c>
      <c r="S116" s="36" t="n">
        <f aca="false">SUMIF($C$2:$F$2,EOMONTH(S$2,-1)+1,$C116:$F116)*VLOOKUP(S$2,ProyDia[],8,0)</f>
        <v>0</v>
      </c>
      <c r="T116" s="36" t="n">
        <f aca="false">SUMIF($C$2:$F$2,EOMONTH(T$2,-1)+1,$C116:$F116)*VLOOKUP(T$2,ProyDia[],8,0)</f>
        <v>0</v>
      </c>
      <c r="U116" s="36" t="n">
        <f aca="false">SUMIF($C$2:$F$2,EOMONTH(U$2,-1)+1,$C116:$F116)*VLOOKUP(U$2,ProyDia[],8,0)</f>
        <v>0</v>
      </c>
      <c r="V116" s="36" t="n">
        <f aca="false">SUMIF($C$2:$F$2,EOMONTH(V$2,-1)+1,$C116:$F116)*VLOOKUP(V$2,ProyDia[],8,0)</f>
        <v>0</v>
      </c>
      <c r="W116" s="36" t="n">
        <f aca="false">SUMIF($C$2:$F$2,EOMONTH(W$2,-1)+1,$C116:$F116)*VLOOKUP(W$2,ProyDia[],8,0)</f>
        <v>0</v>
      </c>
      <c r="X116" s="36" t="n">
        <f aca="false">SUMIF($C$2:$F$2,EOMONTH(X$2,-1)+1,$C116:$F116)*VLOOKUP(X$2,ProyDia[],8,0)</f>
        <v>0</v>
      </c>
      <c r="Y116" s="36" t="n">
        <f aca="false">SUMIF($C$2:$F$2,EOMONTH(Y$2,-1)+1,$C116:$F116)*VLOOKUP(Y$2,ProyDia[],8,0)</f>
        <v>0</v>
      </c>
      <c r="Z116" s="36" t="n">
        <f aca="false">SUMIF($C$2:$F$2,EOMONTH(Z$2,-1)+1,$C116:$F116)*VLOOKUP(Z$2,ProyDia[],8,0)</f>
        <v>0</v>
      </c>
      <c r="AA116" s="36" t="n">
        <f aca="false">SUMIF($C$2:$F$2,EOMONTH(AA$2,-1)+1,$C116:$F116)*VLOOKUP(AA$2,ProyDia[],8,0)</f>
        <v>0</v>
      </c>
      <c r="AB116" s="36" t="n">
        <f aca="false">SUMIF($C$2:$F$2,EOMONTH(AB$2,-1)+1,$C116:$F116)*VLOOKUP(AB$2,ProyDia[],8,0)</f>
        <v>0</v>
      </c>
      <c r="AC116" s="36" t="n">
        <f aca="false">SUMIF($C$2:$F$2,EOMONTH(AC$2,-1)+1,$C116:$F116)*VLOOKUP(AC$2,ProyDia[],8,0)</f>
        <v>0</v>
      </c>
      <c r="AD116" s="36" t="n">
        <f aca="false">SUMIF($C$2:$F$2,EOMONTH(AD$2,-1)+1,$C116:$F116)*VLOOKUP(AD$2,ProyDia[],8,0)</f>
        <v>0</v>
      </c>
      <c r="AE116" s="36" t="n">
        <f aca="false">SUMIF($C$2:$F$2,EOMONTH(AE$2,-1)+1,$C116:$F116)*VLOOKUP(AE$2,ProyDia[],8,0)</f>
        <v>0</v>
      </c>
      <c r="AF116" s="36" t="n">
        <f aca="false">SUMIF($C$2:$F$2,EOMONTH(AF$2,-1)+1,$C116:$F116)*VLOOKUP(AF$2,ProyDia[],8,0)</f>
        <v>0</v>
      </c>
      <c r="AG116" s="36" t="n">
        <f aca="false">SUMIF($C$2:$F$2,EOMONTH(AG$2,-1)+1,$C116:$F116)*VLOOKUP(AG$2,ProyDia[],8,0)</f>
        <v>0</v>
      </c>
      <c r="AH116" s="36" t="n">
        <f aca="false">SUMIF($C$2:$F$2,EOMONTH(AH$2,-1)+1,$C116:$F116)*VLOOKUP(AH$2,ProyDia[],8,0)</f>
        <v>0</v>
      </c>
      <c r="AI116" s="36" t="n">
        <f aca="false">SUMIF($C$2:$F$2,EOMONTH(AI$2,-1)+1,$C116:$F116)*VLOOKUP(AI$2,ProyDia[],8,0)</f>
        <v>0</v>
      </c>
      <c r="AJ116" s="36" t="n">
        <f aca="false">SUMIF($C$2:$F$2,EOMONTH(AJ$2,-1)+1,$C116:$F116)*VLOOKUP(AJ$2,ProyDia[],8,0)</f>
        <v>0</v>
      </c>
      <c r="AK116" s="36" t="n">
        <f aca="false">SUMIF($C$2:$F$2,EOMONTH(AK$2,-1)+1,$C116:$F116)*VLOOKUP(AK$2,ProyDia[],8,0)</f>
        <v>0</v>
      </c>
      <c r="AL116" s="36" t="n">
        <f aca="false">SUMIF($C$2:$F$2,EOMONTH(AL$2,-1)+1,$C116:$F116)*VLOOKUP(AL$2,ProyDia[],8,0)</f>
        <v>0</v>
      </c>
      <c r="AM116" s="36" t="n">
        <f aca="false">SUMIF($C$2:$F$2,EOMONTH(AM$2,-1)+1,$C116:$F116)*VLOOKUP(AM$2,ProyDia[],8,0)</f>
        <v>0</v>
      </c>
      <c r="AN116" s="36" t="n">
        <f aca="false">SUMIF($C$2:$F$2,EOMONTH(AN$2,-1)+1,$C116:$F116)*VLOOKUP(AN$2,ProyDia[],8,0)</f>
        <v>0</v>
      </c>
      <c r="AO116" s="36" t="n">
        <f aca="false">SUMIF($C$2:$F$2,EOMONTH(AO$2,-1)+1,$C116:$F116)*VLOOKUP(AO$2,ProyDia[],8,0)</f>
        <v>0</v>
      </c>
      <c r="AP116" s="36" t="n">
        <f aca="false">SUMIF($C$2:$F$2,EOMONTH(AP$2,-1)+1,$C116:$F116)*VLOOKUP(AP$2,ProyDia[],8,0)</f>
        <v>0</v>
      </c>
      <c r="AQ116" s="36" t="n">
        <f aca="false">SUMIF($C$2:$F$2,EOMONTH(AQ$2,-1)+1,$C116:$F116)*VLOOKUP(AQ$2,ProyDia[],8,0)</f>
        <v>0</v>
      </c>
      <c r="AR116" s="36" t="n">
        <f aca="false">SUMIF($C$2:$F$2,EOMONTH(AR$2,-1)+1,$C116:$F116)*VLOOKUP(AR$2,ProyDia[],8,0)</f>
        <v>0</v>
      </c>
      <c r="AS116" s="36" t="n">
        <f aca="false">SUMIF($C$2:$F$2,EOMONTH(AS$2,-1)+1,$C116:$F116)*VLOOKUP(AS$2,ProyDia[],8,0)</f>
        <v>0</v>
      </c>
      <c r="AT116" s="36" t="n">
        <f aca="false">SUMIF($C$2:$F$2,EOMONTH(AT$2,-1)+1,$C116:$F116)*VLOOKUP(AT$2,ProyDia[],8,0)</f>
        <v>0</v>
      </c>
      <c r="AU116" s="36" t="n">
        <f aca="false">SUMIF($C$2:$F$2,EOMONTH(AU$2,-1)+1,$C116:$F116)*VLOOKUP(AU$2,ProyDia[],8,0)</f>
        <v>0</v>
      </c>
      <c r="AV116" s="36" t="n">
        <f aca="false">SUMIF($C$2:$F$2,EOMONTH(AV$2,-1)+1,$C116:$F116)*VLOOKUP(AV$2,ProyDia[],8,0)</f>
        <v>0</v>
      </c>
      <c r="AW116" s="36" t="n">
        <f aca="false">SUMIF($C$2:$F$2,EOMONTH(AW$2,-1)+1,$C116:$F116)*VLOOKUP(AW$2,ProyDia[],8,0)</f>
        <v>0</v>
      </c>
      <c r="AX116" s="36" t="n">
        <f aca="false">SUMIF($C$2:$F$2,EOMONTH(AX$2,-1)+1,$C116:$F116)*VLOOKUP(AX$2,ProyDia[],8,0)</f>
        <v>0</v>
      </c>
      <c r="AY116" s="36" t="n">
        <f aca="false">SUMIF($C$2:$F$2,EOMONTH(AY$2,-1)+1,$C116:$F116)*VLOOKUP(AY$2,ProyDia[],8,0)</f>
        <v>0</v>
      </c>
      <c r="AZ116" s="36" t="n">
        <f aca="false">SUMIF($C$2:$F$2,EOMONTH(AZ$2,-1)+1,$C116:$F116)*VLOOKUP(AZ$2,ProyDia[],8,0)</f>
        <v>0</v>
      </c>
      <c r="BA116" s="36" t="n">
        <f aca="false">SUMIF($C$2:$F$2,EOMONTH(BA$2,-1)+1,$C116:$F116)*VLOOKUP(BA$2,ProyDia[],8,0)</f>
        <v>0</v>
      </c>
      <c r="BB116" s="36" t="n">
        <f aca="false">SUMIF($C$2:$F$2,EOMONTH(BB$2,-1)+1,$C116:$F116)*VLOOKUP(BB$2,ProyDia[],8,0)</f>
        <v>0</v>
      </c>
      <c r="BC116" s="36" t="n">
        <f aca="false">SUMIF($C$2:$F$2,EOMONTH(BC$2,-1)+1,$C116:$F116)*VLOOKUP(BC$2,ProyDia[],8,0)</f>
        <v>0</v>
      </c>
      <c r="BD116" s="36" t="n">
        <f aca="false">SUMIF($C$2:$F$2,EOMONTH(BD$2,-1)+1,$C116:$F116)*VLOOKUP(BD$2,ProyDia[],8,0)</f>
        <v>0</v>
      </c>
      <c r="BE116" s="36" t="n">
        <f aca="false">SUMIF($C$2:$F$2,EOMONTH(BE$2,-1)+1,$C116:$F116)*VLOOKUP(BE$2,ProyDia[],8,0)</f>
        <v>0</v>
      </c>
      <c r="BF116" s="36" t="n">
        <f aca="false">SUMIF($C$2:$F$2,EOMONTH(BF$2,-1)+1,$C116:$F116)*VLOOKUP(BF$2,ProyDia[],8,0)</f>
        <v>0</v>
      </c>
      <c r="BG116" s="36" t="n">
        <f aca="false">SUMIF($C$2:$F$2,EOMONTH(BG$2,-1)+1,$C116:$F116)*VLOOKUP(BG$2,ProyDia[],8,0)</f>
        <v>0</v>
      </c>
      <c r="BH116" s="36" t="n">
        <f aca="false">SUMIF($C$2:$F$2,EOMONTH(BH$2,-1)+1,$C116:$F116)*VLOOKUP(BH$2,ProyDia[],8,0)</f>
        <v>0</v>
      </c>
      <c r="BI116" s="36" t="n">
        <f aca="false">SUMIF($C$2:$F$2,EOMONTH(BI$2,-1)+1,$C116:$F116)*VLOOKUP(BI$2,ProyDia[],8,0)</f>
        <v>0</v>
      </c>
      <c r="BJ116" s="36" t="n">
        <f aca="false">SUMIF($C$2:$F$2,EOMONTH(BJ$2,-1)+1,$C116:$F116)*VLOOKUP(BJ$2,ProyDia[],8,0)</f>
        <v>0</v>
      </c>
      <c r="BK116" s="36" t="n">
        <f aca="false">SUMIF($C$2:$F$2,EOMONTH(BK$2,-1)+1,$C116:$F116)*VLOOKUP(BK$2,ProyDia[],8,0)</f>
        <v>0</v>
      </c>
      <c r="BL116" s="36" t="n">
        <f aca="false">SUMIF($C$2:$F$2,EOMONTH(BL$2,-1)+1,$C116:$F116)*VLOOKUP(BL$2,ProyDia[],8,0)</f>
        <v>0</v>
      </c>
      <c r="BM116" s="36" t="n">
        <f aca="false">SUMIF($C$2:$F$2,EOMONTH(BM$2,-1)+1,$C116:$F116)*VLOOKUP(BM$2,ProyDia[],8,0)</f>
        <v>0</v>
      </c>
      <c r="BN116" s="36" t="n">
        <f aca="false">SUMIF($C$2:$F$2,EOMONTH(BN$2,-1)+1,$C116:$F116)*VLOOKUP(BN$2,ProyDia[],8,0)</f>
        <v>0</v>
      </c>
      <c r="BO116" s="36" t="n">
        <f aca="false">SUMIF($C$2:$F$2,EOMONTH(BO$2,-1)+1,$C116:$F116)*VLOOKUP(BO$2,ProyDia[],8,0)</f>
        <v>0</v>
      </c>
      <c r="BP116" s="36" t="n">
        <f aca="false">SUMIF($C$2:$F$2,EOMONTH(BP$2,-1)+1,$C116:$F116)*VLOOKUP(BP$2,ProyDia[],8,0)</f>
        <v>0</v>
      </c>
      <c r="BQ116" s="36" t="n">
        <f aca="false">SUMIF($C$2:$F$2,EOMONTH(BQ$2,-1)+1,$C116:$F116)*VLOOKUP(BQ$2,ProyDia[],8,0)</f>
        <v>0</v>
      </c>
      <c r="BR116" s="36" t="n">
        <f aca="false">SUMIF($C$2:$F$2,EOMONTH(BR$2,-1)+1,$C116:$F116)*VLOOKUP(BR$2,ProyDia[],8,0)</f>
        <v>0</v>
      </c>
      <c r="BS116" s="36" t="n">
        <f aca="false">SUMIF($C$2:$F$2,EOMONTH(BS$2,-1)+1,$C116:$F116)*VLOOKUP(BS$2,ProyDia[],8,0)</f>
        <v>0</v>
      </c>
      <c r="BT116" s="36" t="n">
        <f aca="false">SUMIF($C$2:$F$2,EOMONTH(BT$2,-1)+1,$C116:$F116)*VLOOKUP(BT$2,ProyDia[],8,0)</f>
        <v>0</v>
      </c>
      <c r="BU116" s="36" t="n">
        <f aca="false">SUMIF($C$2:$F$2,EOMONTH(BU$2,-1)+1,$C116:$F116)*VLOOKUP(BU$2,ProyDia[],8,0)</f>
        <v>0</v>
      </c>
      <c r="BV116" s="36" t="n">
        <f aca="false">SUMIF($C$2:$F$2,EOMONTH(BV$2,-1)+1,$C116:$F116)*VLOOKUP(BV$2,ProyDia[],8,0)</f>
        <v>0</v>
      </c>
      <c r="BW116" s="36" t="n">
        <f aca="false">SUMIF($C$2:$F$2,EOMONTH(BW$2,-1)+1,$C116:$F116)*VLOOKUP(BW$2,ProyDia[],8,0)</f>
        <v>0</v>
      </c>
      <c r="BX116" s="36" t="n">
        <f aca="false">SUMIF($C$2:$F$2,EOMONTH(BX$2,-1)+1,$C116:$F116)*VLOOKUP(BX$2,ProyDia[],8,0)</f>
        <v>0</v>
      </c>
      <c r="BY116" s="36" t="n">
        <f aca="false">SUMIF($C$2:$F$2,EOMONTH(BY$2,-1)+1,$C116:$F116)*VLOOKUP(BY$2,ProyDia[],8,0)</f>
        <v>0</v>
      </c>
      <c r="BZ116" s="36" t="n">
        <f aca="false">SUMIF($C$2:$F$2,EOMONTH(BZ$2,-1)+1,$C116:$F116)*VLOOKUP(BZ$2,ProyDia[],8,0)</f>
        <v>0</v>
      </c>
      <c r="CA116" s="36" t="n">
        <f aca="false">SUMIF($C$2:$F$2,EOMONTH(CA$2,-1)+1,$C116:$F116)*VLOOKUP(CA$2,ProyDia[],8,0)</f>
        <v>0</v>
      </c>
      <c r="CB116" s="36" t="n">
        <f aca="false">SUMIF($C$2:$F$2,EOMONTH(CB$2,-1)+1,$C116:$F116)*VLOOKUP(CB$2,ProyDia[],8,0)</f>
        <v>0</v>
      </c>
      <c r="CC116" s="36" t="n">
        <f aca="false">SUMIF($C$2:$F$2,EOMONTH(CC$2,-1)+1,$C116:$F116)*VLOOKUP(CC$2,ProyDia[],8,0)</f>
        <v>0</v>
      </c>
      <c r="CD116" s="36" t="n">
        <f aca="false">SUMIF($C$2:$F$2,EOMONTH(CD$2,-1)+1,$C116:$F116)*VLOOKUP(CD$2,ProyDia[],8,0)</f>
        <v>0</v>
      </c>
      <c r="CE116" s="36" t="n">
        <f aca="false">SUMIF($C$2:$F$2,EOMONTH(CE$2,-1)+1,$C116:$F116)*VLOOKUP(CE$2,ProyDia[],8,0)</f>
        <v>0</v>
      </c>
      <c r="CF116" s="36" t="n">
        <f aca="false">SUMIF($C$2:$F$2,EOMONTH(CF$2,-1)+1,$C116:$F116)*VLOOKUP(CF$2,ProyDia[],8,0)</f>
        <v>0</v>
      </c>
      <c r="CG116" s="36" t="n">
        <f aca="false">SUMIF($C$2:$F$2,EOMONTH(CG$2,-1)+1,$C116:$F116)*VLOOKUP(CG$2,ProyDia[],8,0)</f>
        <v>0</v>
      </c>
      <c r="CH116" s="36" t="n">
        <f aca="false">SUMIF($C$2:$F$2,EOMONTH(CH$2,-1)+1,$C116:$F116)*VLOOKUP(CH$2,ProyDia[],8,0)</f>
        <v>0</v>
      </c>
      <c r="CI116" s="36" t="n">
        <f aca="false">SUMIF($C$2:$F$2,EOMONTH(CI$2,-1)+1,$C116:$F116)*VLOOKUP(CI$2,ProyDia[],8,0)</f>
        <v>0</v>
      </c>
      <c r="CJ116" s="36" t="n">
        <f aca="false">SUMIF($C$2:$F$2,EOMONTH(CJ$2,-1)+1,$C116:$F116)*VLOOKUP(CJ$2,ProyDia[],8,0)</f>
        <v>0</v>
      </c>
      <c r="CK116" s="36" t="n">
        <f aca="false">SUMIF($C$2:$F$2,EOMONTH(CK$2,-1)+1,$C116:$F116)*VLOOKUP(CK$2,ProyDia[],8,0)</f>
        <v>0</v>
      </c>
      <c r="CL116" s="36" t="n">
        <f aca="false">SUMIF($C$2:$F$2,EOMONTH(CL$2,-1)+1,$C116:$F116)*VLOOKUP(CL$2,ProyDia[],8,0)</f>
        <v>0</v>
      </c>
      <c r="CM116" s="36" t="n">
        <f aca="false">SUMIF($C$2:$F$2,EOMONTH(CM$2,-1)+1,$C116:$F116)*VLOOKUP(CM$2,ProyDia[],8,0)</f>
        <v>0</v>
      </c>
      <c r="CN116" s="36" t="n">
        <f aca="false">SUMIF($C$2:$F$2,EOMONTH(CN$2,-1)+1,$C116:$F116)*VLOOKUP(CN$2,ProyDia[],8,0)</f>
        <v>0</v>
      </c>
      <c r="CO116" s="36" t="n">
        <f aca="false">SUMIF($C$2:$F$2,EOMONTH(CO$2,-1)+1,$C116:$F116)*VLOOKUP(CO$2,ProyDia[],8,0)</f>
        <v>0</v>
      </c>
      <c r="CP116" s="36" t="n">
        <f aca="false">SUMIF($C$2:$F$2,EOMONTH(CP$2,-1)+1,$C116:$F116)*VLOOKUP(CP$2,ProyDia[],8,0)</f>
        <v>0</v>
      </c>
      <c r="CQ116" s="36" t="n">
        <f aca="false">SUMIF($C$2:$F$2,EOMONTH(CQ$2,-1)+1,$C116:$F116)*VLOOKUP(CQ$2,ProyDia[],8,0)</f>
        <v>0</v>
      </c>
      <c r="CR116" s="36" t="n">
        <f aca="false">SUMIF($C$2:$F$2,EOMONTH(CR$2,-1)+1,$C116:$F116)*VLOOKUP(CR$2,ProyDia[],8,0)</f>
        <v>0</v>
      </c>
      <c r="CS116" s="36" t="n">
        <f aca="false">SUMIF($C$2:$F$2,EOMONTH(CS$2,-1)+1,$C116:$F116)*VLOOKUP(CS$2,ProyDia[],8,0)</f>
        <v>0</v>
      </c>
      <c r="CT116" s="36" t="n">
        <f aca="false">SUMIF($C$2:$F$2,EOMONTH(CT$2,-1)+1,$C116:$F116)*VLOOKUP(CT$2,ProyDia[],8,0)</f>
        <v>0</v>
      </c>
      <c r="CU116" s="36" t="n">
        <f aca="false">SUMIF($C$2:$F$2,EOMONTH(CU$2,-1)+1,$C116:$F116)*VLOOKUP(CU$2,ProyDia[],8,0)</f>
        <v>0</v>
      </c>
      <c r="CV116" s="36" t="n">
        <f aca="false">SUMIF($C$2:$F$2,EOMONTH(CV$2,-1)+1,$C116:$F116)*VLOOKUP(CV$2,ProyDia[],8,0)</f>
        <v>0</v>
      </c>
      <c r="CW116" s="36" t="n">
        <f aca="false">SUMIF($C$2:$F$2,EOMONTH(CW$2,-1)+1,$C116:$F116)*VLOOKUP(CW$2,ProyDia[],8,0)</f>
        <v>0</v>
      </c>
      <c r="CX116" s="36" t="n">
        <f aca="false">SUMIF($C$2:$F$2,EOMONTH(CX$2,-1)+1,$C116:$F116)*VLOOKUP(CX$2,ProyDia[],8,0)</f>
        <v>0</v>
      </c>
      <c r="CY116" s="36" t="n">
        <f aca="false">SUMIF($C$2:$F$2,EOMONTH(CY$2,-1)+1,$C116:$F116)*VLOOKUP(CY$2,ProyDia[],8,0)</f>
        <v>0</v>
      </c>
      <c r="CZ116" s="36" t="n">
        <f aca="false">SUMIF($C$2:$F$2,EOMONTH(CZ$2,-1)+1,$C116:$F116)*VLOOKUP(CZ$2,ProyDia[],8,0)</f>
        <v>0</v>
      </c>
      <c r="DA116" s="36" t="n">
        <f aca="false">SUMIF($C$2:$F$2,EOMONTH(DA$2,-1)+1,$C116:$F116)*VLOOKUP(DA$2,ProyDia[],8,0)</f>
        <v>0</v>
      </c>
      <c r="DB116" s="36" t="n">
        <f aca="false">SUMIF($C$2:$F$2,EOMONTH(DB$2,-1)+1,$C116:$F116)*VLOOKUP(DB$2,ProyDia[],8,0)</f>
        <v>0</v>
      </c>
      <c r="DC116" s="36" t="n">
        <f aca="false">SUMIF($C$2:$F$2,EOMONTH(DC$2,-1)+1,$C116:$F116)*VLOOKUP(DC$2,ProyDia[],8,0)</f>
        <v>0</v>
      </c>
      <c r="DD116" s="36" t="n">
        <f aca="false">SUMIF($C$2:$F$2,EOMONTH(DD$2,-1)+1,$C116:$F116)*VLOOKUP(DD$2,ProyDia[],8,0)</f>
        <v>0</v>
      </c>
      <c r="DE116" s="36" t="n">
        <f aca="false">SUMIF($C$2:$F$2,EOMONTH(DE$2,-1)+1,$C116:$F116)*VLOOKUP(DE$2,ProyDia[],8,0)</f>
        <v>0</v>
      </c>
      <c r="DF116" s="36" t="n">
        <f aca="false">SUMIF($C$2:$F$2,EOMONTH(DF$2,-1)+1,$C116:$F116)*VLOOKUP(DF$2,ProyDia[],8,0)</f>
        <v>0</v>
      </c>
      <c r="DG116" s="36" t="n">
        <f aca="false">SUMIF($C$2:$F$2,EOMONTH(DG$2,-1)+1,$C116:$F116)*VLOOKUP(DG$2,ProyDia[],8,0)</f>
        <v>0</v>
      </c>
      <c r="DH116" s="36" t="n">
        <f aca="false">SUMIF($C$2:$F$2,EOMONTH(DH$2,-1)+1,$C116:$F116)*VLOOKUP(DH$2,ProyDia[],8,0)</f>
        <v>0</v>
      </c>
      <c r="DI116" s="36" t="n">
        <f aca="false">SUMIF($C$2:$F$2,EOMONTH(DI$2,-1)+1,$C116:$F116)*VLOOKUP(DI$2,ProyDia[],8,0)</f>
        <v>0</v>
      </c>
      <c r="DJ116" s="36" t="n">
        <f aca="false">SUMIF($C$2:$F$2,EOMONTH(DJ$2,-1)+1,$C116:$F116)*VLOOKUP(DJ$2,ProyDia[],8,0)</f>
        <v>0</v>
      </c>
      <c r="DK116" s="36" t="n">
        <f aca="false">SUMIF($C$2:$F$2,EOMONTH(DK$2,-1)+1,$C116:$F116)*VLOOKUP(DK$2,ProyDia[],8,0)</f>
        <v>0</v>
      </c>
      <c r="DL116" s="36" t="n">
        <f aca="false">SUMIF($C$2:$F$2,EOMONTH(DL$2,-1)+1,$C116:$F116)*VLOOKUP(DL$2,ProyDia[],8,0)</f>
        <v>0</v>
      </c>
      <c r="DM116" s="36" t="n">
        <f aca="false">SUMIF($C$2:$F$2,EOMONTH(DM$2,-1)+1,$C116:$F116)*VLOOKUP(DM$2,ProyDia[],8,0)</f>
        <v>0</v>
      </c>
      <c r="DN116" s="36" t="n">
        <f aca="false">SUMIF($C$2:$F$2,EOMONTH(DN$2,-1)+1,$C116:$F116)*VLOOKUP(DN$2,ProyDia[],8,0)</f>
        <v>0</v>
      </c>
      <c r="DO116" s="36" t="n">
        <f aca="false">SUMIF($C$2:$F$2,EOMONTH(DO$2,-1)+1,$C116:$F116)*VLOOKUP(DO$2,ProyDia[],8,0)</f>
        <v>0</v>
      </c>
      <c r="DP116" s="36" t="n">
        <f aca="false">SUMIF($C$2:$F$2,EOMONTH(DP$2,-1)+1,$C116:$F116)*VLOOKUP(DP$2,ProyDia[],8,0)</f>
        <v>0</v>
      </c>
      <c r="DQ116" s="36" t="n">
        <f aca="false">SUMIF($C$2:$F$2,EOMONTH(DQ$2,-1)+1,$C116:$F116)*VLOOKUP(DQ$2,ProyDia[],8,0)</f>
        <v>0</v>
      </c>
      <c r="DR116" s="36" t="n">
        <f aca="false">SUMIF($C$2:$F$2,EOMONTH(DR$2,-1)+1,$C116:$F116)*VLOOKUP(DR$2,ProyDia[],8,0)</f>
        <v>0</v>
      </c>
      <c r="DS116" s="36" t="n">
        <f aca="false">SUMIF($C$2:$F$2,EOMONTH(DS$2,-1)+1,$C116:$F116)*VLOOKUP(DS$2,ProyDia[],8,0)</f>
        <v>0</v>
      </c>
      <c r="DT116" s="36" t="n">
        <f aca="false">SUMIF($C$2:$F$2,EOMONTH(DT$2,-1)+1,$C116:$F116)*VLOOKUP(DT$2,ProyDia[],8,0)</f>
        <v>0</v>
      </c>
      <c r="DU116" s="36" t="n">
        <f aca="false">SUMIF($C$2:$F$2,EOMONTH(DU$2,-1)+1,$C116:$F116)*VLOOKUP(DU$2,ProyDia[],8,0)</f>
        <v>0</v>
      </c>
      <c r="DV116" s="36" t="n">
        <f aca="false">SUMIF($C$2:$F$2,EOMONTH(DV$2,-1)+1,$C116:$F116)*VLOOKUP(DV$2,ProyDia[],8,0)</f>
        <v>0</v>
      </c>
      <c r="DW116" s="36" t="n">
        <f aca="false">SUMIF($C$2:$F$2,EOMONTH(DW$2,-1)+1,$C116:$F116)*VLOOKUP(DW$2,ProyDia[],8,0)</f>
        <v>0</v>
      </c>
      <c r="DX116" s="36" t="n">
        <f aca="false">SUMIF($C$2:$F$2,EOMONTH(DX$2,-1)+1,$C116:$F116)*VLOOKUP(DX$2,ProyDia[],8,0)</f>
        <v>0</v>
      </c>
    </row>
    <row r="117" customFormat="false" ht="14.4" hidden="false" customHeight="false" outlineLevel="0" collapsed="false">
      <c r="A117" s="34"/>
      <c r="B117" s="34"/>
      <c r="C117" s="34"/>
      <c r="D117" s="34"/>
      <c r="E117" s="34"/>
      <c r="F117" s="34"/>
      <c r="G117" s="28" t="n">
        <f aca="false">SUMIF($C$2:$F$2,EOMONTH(G$2,-1)+1,$C117:$F117)*VLOOKUP(G$2,ProyDia[],8,0)</f>
        <v>0</v>
      </c>
      <c r="H117" s="28" t="n">
        <f aca="false">SUMIF($C$2:$F$2,EOMONTH(H$2,-1)+1,$C117:$F117)*VLOOKUP(H$2,ProyDia[],8,0)</f>
        <v>0</v>
      </c>
      <c r="I117" s="28" t="n">
        <f aca="false">SUMIF($C$2:$F$2,EOMONTH(I$2,-1)+1,$C117:$F117)*VLOOKUP(I$2,ProyDia[],8,0)</f>
        <v>0</v>
      </c>
      <c r="J117" s="28" t="n">
        <f aca="false">SUMIF($C$2:$F$2,EOMONTH(J$2,-1)+1,$C117:$F117)*VLOOKUP(J$2,ProyDia[],8,0)</f>
        <v>0</v>
      </c>
      <c r="K117" s="28" t="n">
        <f aca="false">SUMIF($C$2:$F$2,EOMONTH(K$2,-1)+1,$C117:$F117)*VLOOKUP(K$2,ProyDia[],8,0)</f>
        <v>0</v>
      </c>
      <c r="L117" s="28" t="n">
        <f aca="false">SUMIF($C$2:$F$2,EOMONTH(L$2,-1)+1,$C117:$F117)*VLOOKUP(L$2,ProyDia[],8,0)</f>
        <v>0</v>
      </c>
      <c r="M117" s="28" t="n">
        <f aca="false">SUMIF($C$2:$F$2,EOMONTH(M$2,-1)+1,$C117:$F117)*VLOOKUP(M$2,ProyDia[],8,0)</f>
        <v>0</v>
      </c>
      <c r="N117" s="28" t="n">
        <f aca="false">SUMIF($C$2:$F$2,EOMONTH(N$2,-1)+1,$C117:$F117)*VLOOKUP(N$2,ProyDia[],8,0)</f>
        <v>0</v>
      </c>
      <c r="O117" s="28" t="n">
        <f aca="false">SUMIF($C$2:$F$2,EOMONTH(O$2,-1)+1,$C117:$F117)*VLOOKUP(O$2,ProyDia[],8,0)</f>
        <v>0</v>
      </c>
      <c r="P117" s="28" t="n">
        <f aca="false">SUMIF($C$2:$F$2,EOMONTH(P$2,-1)+1,$C117:$F117)*VLOOKUP(P$2,ProyDia[],8,0)</f>
        <v>0</v>
      </c>
      <c r="Q117" s="28" t="n">
        <f aca="false">SUMIF($C$2:$F$2,EOMONTH(Q$2,-1)+1,$C117:$F117)*VLOOKUP(Q$2,ProyDia[],8,0)</f>
        <v>0</v>
      </c>
      <c r="R117" s="28" t="n">
        <f aca="false">SUMIF($C$2:$F$2,EOMONTH(R$2,-1)+1,$C117:$F117)*VLOOKUP(R$2,ProyDia[],8,0)</f>
        <v>0</v>
      </c>
      <c r="S117" s="28" t="n">
        <f aca="false">SUMIF($C$2:$F$2,EOMONTH(S$2,-1)+1,$C117:$F117)*VLOOKUP(S$2,ProyDia[],8,0)</f>
        <v>0</v>
      </c>
      <c r="T117" s="28" t="n">
        <f aca="false">SUMIF($C$2:$F$2,EOMONTH(T$2,-1)+1,$C117:$F117)*VLOOKUP(T$2,ProyDia[],8,0)</f>
        <v>0</v>
      </c>
      <c r="U117" s="28" t="n">
        <f aca="false">SUMIF($C$2:$F$2,EOMONTH(U$2,-1)+1,$C117:$F117)*VLOOKUP(U$2,ProyDia[],8,0)</f>
        <v>0</v>
      </c>
      <c r="V117" s="28" t="n">
        <f aca="false">SUMIF($C$2:$F$2,EOMONTH(V$2,-1)+1,$C117:$F117)*VLOOKUP(V$2,ProyDia[],8,0)</f>
        <v>0</v>
      </c>
      <c r="W117" s="28" t="n">
        <f aca="false">SUMIF($C$2:$F$2,EOMONTH(W$2,-1)+1,$C117:$F117)*VLOOKUP(W$2,ProyDia[],8,0)</f>
        <v>0</v>
      </c>
      <c r="X117" s="28" t="n">
        <f aca="false">SUMIF($C$2:$F$2,EOMONTH(X$2,-1)+1,$C117:$F117)*VLOOKUP(X$2,ProyDia[],8,0)</f>
        <v>0</v>
      </c>
      <c r="Y117" s="28" t="n">
        <f aca="false">SUMIF($C$2:$F$2,EOMONTH(Y$2,-1)+1,$C117:$F117)*VLOOKUP(Y$2,ProyDia[],8,0)</f>
        <v>0</v>
      </c>
      <c r="Z117" s="28" t="n">
        <f aca="false">SUMIF($C$2:$F$2,EOMONTH(Z$2,-1)+1,$C117:$F117)*VLOOKUP(Z$2,ProyDia[],8,0)</f>
        <v>0</v>
      </c>
      <c r="AA117" s="28" t="n">
        <f aca="false">SUMIF($C$2:$F$2,EOMONTH(AA$2,-1)+1,$C117:$F117)*VLOOKUP(AA$2,ProyDia[],8,0)</f>
        <v>0</v>
      </c>
      <c r="AB117" s="28" t="n">
        <f aca="false">SUMIF($C$2:$F$2,EOMONTH(AB$2,-1)+1,$C117:$F117)*VLOOKUP(AB$2,ProyDia[],8,0)</f>
        <v>0</v>
      </c>
      <c r="AC117" s="28" t="n">
        <f aca="false">SUMIF($C$2:$F$2,EOMONTH(AC$2,-1)+1,$C117:$F117)*VLOOKUP(AC$2,ProyDia[],8,0)</f>
        <v>0</v>
      </c>
      <c r="AD117" s="28" t="n">
        <f aca="false">SUMIF($C$2:$F$2,EOMONTH(AD$2,-1)+1,$C117:$F117)*VLOOKUP(AD$2,ProyDia[],8,0)</f>
        <v>0</v>
      </c>
      <c r="AE117" s="28" t="n">
        <f aca="false">SUMIF($C$2:$F$2,EOMONTH(AE$2,-1)+1,$C117:$F117)*VLOOKUP(AE$2,ProyDia[],8,0)</f>
        <v>0</v>
      </c>
      <c r="AF117" s="28" t="n">
        <f aca="false">SUMIF($C$2:$F$2,EOMONTH(AF$2,-1)+1,$C117:$F117)*VLOOKUP(AF$2,ProyDia[],8,0)</f>
        <v>0</v>
      </c>
      <c r="AG117" s="28" t="n">
        <f aca="false">SUMIF($C$2:$F$2,EOMONTH(AG$2,-1)+1,$C117:$F117)*VLOOKUP(AG$2,ProyDia[],8,0)</f>
        <v>0</v>
      </c>
      <c r="AH117" s="28" t="n">
        <f aca="false">SUMIF($C$2:$F$2,EOMONTH(AH$2,-1)+1,$C117:$F117)*VLOOKUP(AH$2,ProyDia[],8,0)</f>
        <v>0</v>
      </c>
      <c r="AI117" s="28" t="n">
        <f aca="false">SUMIF($C$2:$F$2,EOMONTH(AI$2,-1)+1,$C117:$F117)*VLOOKUP(AI$2,ProyDia[],8,0)</f>
        <v>0</v>
      </c>
      <c r="AJ117" s="28" t="n">
        <f aca="false">SUMIF($C$2:$F$2,EOMONTH(AJ$2,-1)+1,$C117:$F117)*VLOOKUP(AJ$2,ProyDia[],8,0)</f>
        <v>0</v>
      </c>
      <c r="AK117" s="28" t="n">
        <f aca="false">SUMIF($C$2:$F$2,EOMONTH(AK$2,-1)+1,$C117:$F117)*VLOOKUP(AK$2,ProyDia[],8,0)</f>
        <v>0</v>
      </c>
      <c r="AL117" s="28" t="n">
        <f aca="false">SUMIF($C$2:$F$2,EOMONTH(AL$2,-1)+1,$C117:$F117)*VLOOKUP(AL$2,ProyDia[],8,0)</f>
        <v>0</v>
      </c>
      <c r="AM117" s="28" t="n">
        <f aca="false">SUMIF($C$2:$F$2,EOMONTH(AM$2,-1)+1,$C117:$F117)*VLOOKUP(AM$2,ProyDia[],8,0)</f>
        <v>0</v>
      </c>
      <c r="AN117" s="28" t="n">
        <f aca="false">SUMIF($C$2:$F$2,EOMONTH(AN$2,-1)+1,$C117:$F117)*VLOOKUP(AN$2,ProyDia[],8,0)</f>
        <v>0</v>
      </c>
      <c r="AO117" s="28" t="n">
        <f aca="false">SUMIF($C$2:$F$2,EOMONTH(AO$2,-1)+1,$C117:$F117)*VLOOKUP(AO$2,ProyDia[],8,0)</f>
        <v>0</v>
      </c>
      <c r="AP117" s="28" t="n">
        <f aca="false">SUMIF($C$2:$F$2,EOMONTH(AP$2,-1)+1,$C117:$F117)*VLOOKUP(AP$2,ProyDia[],8,0)</f>
        <v>0</v>
      </c>
      <c r="AQ117" s="28" t="n">
        <f aca="false">SUMIF($C$2:$F$2,EOMONTH(AQ$2,-1)+1,$C117:$F117)*VLOOKUP(AQ$2,ProyDia[],8,0)</f>
        <v>0</v>
      </c>
      <c r="AR117" s="28" t="n">
        <f aca="false">SUMIF($C$2:$F$2,EOMONTH(AR$2,-1)+1,$C117:$F117)*VLOOKUP(AR$2,ProyDia[],8,0)</f>
        <v>0</v>
      </c>
      <c r="AS117" s="28" t="n">
        <f aca="false">SUMIF($C$2:$F$2,EOMONTH(AS$2,-1)+1,$C117:$F117)*VLOOKUP(AS$2,ProyDia[],8,0)</f>
        <v>0</v>
      </c>
      <c r="AT117" s="28" t="n">
        <f aca="false">SUMIF($C$2:$F$2,EOMONTH(AT$2,-1)+1,$C117:$F117)*VLOOKUP(AT$2,ProyDia[],8,0)</f>
        <v>0</v>
      </c>
      <c r="AU117" s="28" t="n">
        <f aca="false">SUMIF($C$2:$F$2,EOMONTH(AU$2,-1)+1,$C117:$F117)*VLOOKUP(AU$2,ProyDia[],8,0)</f>
        <v>0</v>
      </c>
      <c r="AV117" s="28" t="n">
        <f aca="false">SUMIF($C$2:$F$2,EOMONTH(AV$2,-1)+1,$C117:$F117)*VLOOKUP(AV$2,ProyDia[],8,0)</f>
        <v>0</v>
      </c>
      <c r="AW117" s="28" t="n">
        <f aca="false">SUMIF($C$2:$F$2,EOMONTH(AW$2,-1)+1,$C117:$F117)*VLOOKUP(AW$2,ProyDia[],8,0)</f>
        <v>0</v>
      </c>
      <c r="AX117" s="28" t="n">
        <f aca="false">SUMIF($C$2:$F$2,EOMONTH(AX$2,-1)+1,$C117:$F117)*VLOOKUP(AX$2,ProyDia[],8,0)</f>
        <v>0</v>
      </c>
      <c r="AY117" s="28" t="n">
        <f aca="false">SUMIF($C$2:$F$2,EOMONTH(AY$2,-1)+1,$C117:$F117)*VLOOKUP(AY$2,ProyDia[],8,0)</f>
        <v>0</v>
      </c>
      <c r="AZ117" s="28" t="n">
        <f aca="false">SUMIF($C$2:$F$2,EOMONTH(AZ$2,-1)+1,$C117:$F117)*VLOOKUP(AZ$2,ProyDia[],8,0)</f>
        <v>0</v>
      </c>
      <c r="BA117" s="28" t="n">
        <f aca="false">SUMIF($C$2:$F$2,EOMONTH(BA$2,-1)+1,$C117:$F117)*VLOOKUP(BA$2,ProyDia[],8,0)</f>
        <v>0</v>
      </c>
      <c r="BB117" s="28" t="n">
        <f aca="false">SUMIF($C$2:$F$2,EOMONTH(BB$2,-1)+1,$C117:$F117)*VLOOKUP(BB$2,ProyDia[],8,0)</f>
        <v>0</v>
      </c>
      <c r="BC117" s="28" t="n">
        <f aca="false">SUMIF($C$2:$F$2,EOMONTH(BC$2,-1)+1,$C117:$F117)*VLOOKUP(BC$2,ProyDia[],8,0)</f>
        <v>0</v>
      </c>
      <c r="BD117" s="28" t="n">
        <f aca="false">SUMIF($C$2:$F$2,EOMONTH(BD$2,-1)+1,$C117:$F117)*VLOOKUP(BD$2,ProyDia[],8,0)</f>
        <v>0</v>
      </c>
      <c r="BE117" s="28" t="n">
        <f aca="false">SUMIF($C$2:$F$2,EOMONTH(BE$2,-1)+1,$C117:$F117)*VLOOKUP(BE$2,ProyDia[],8,0)</f>
        <v>0</v>
      </c>
      <c r="BF117" s="28" t="n">
        <f aca="false">SUMIF($C$2:$F$2,EOMONTH(BF$2,-1)+1,$C117:$F117)*VLOOKUP(BF$2,ProyDia[],8,0)</f>
        <v>0</v>
      </c>
      <c r="BG117" s="28" t="n">
        <f aca="false">SUMIF($C$2:$F$2,EOMONTH(BG$2,-1)+1,$C117:$F117)*VLOOKUP(BG$2,ProyDia[],8,0)</f>
        <v>0</v>
      </c>
      <c r="BH117" s="28" t="n">
        <f aca="false">SUMIF($C$2:$F$2,EOMONTH(BH$2,-1)+1,$C117:$F117)*VLOOKUP(BH$2,ProyDia[],8,0)</f>
        <v>0</v>
      </c>
      <c r="BI117" s="28" t="n">
        <f aca="false">SUMIF($C$2:$F$2,EOMONTH(BI$2,-1)+1,$C117:$F117)*VLOOKUP(BI$2,ProyDia[],8,0)</f>
        <v>0</v>
      </c>
      <c r="BJ117" s="28" t="n">
        <f aca="false">SUMIF($C$2:$F$2,EOMONTH(BJ$2,-1)+1,$C117:$F117)*VLOOKUP(BJ$2,ProyDia[],8,0)</f>
        <v>0</v>
      </c>
      <c r="BK117" s="28" t="n">
        <f aca="false">SUMIF($C$2:$F$2,EOMONTH(BK$2,-1)+1,$C117:$F117)*VLOOKUP(BK$2,ProyDia[],8,0)</f>
        <v>0</v>
      </c>
      <c r="BL117" s="28" t="n">
        <f aca="false">SUMIF($C$2:$F$2,EOMONTH(BL$2,-1)+1,$C117:$F117)*VLOOKUP(BL$2,ProyDia[],8,0)</f>
        <v>0</v>
      </c>
      <c r="BM117" s="28" t="n">
        <f aca="false">SUMIF($C$2:$F$2,EOMONTH(BM$2,-1)+1,$C117:$F117)*VLOOKUP(BM$2,ProyDia[],8,0)</f>
        <v>0</v>
      </c>
      <c r="BN117" s="28" t="n">
        <f aca="false">SUMIF($C$2:$F$2,EOMONTH(BN$2,-1)+1,$C117:$F117)*VLOOKUP(BN$2,ProyDia[],8,0)</f>
        <v>0</v>
      </c>
      <c r="BO117" s="28" t="n">
        <f aca="false">SUMIF($C$2:$F$2,EOMONTH(BO$2,-1)+1,$C117:$F117)*VLOOKUP(BO$2,ProyDia[],8,0)</f>
        <v>0</v>
      </c>
      <c r="BP117" s="28" t="n">
        <f aca="false">SUMIF($C$2:$F$2,EOMONTH(BP$2,-1)+1,$C117:$F117)*VLOOKUP(BP$2,ProyDia[],8,0)</f>
        <v>0</v>
      </c>
      <c r="BQ117" s="28" t="n">
        <f aca="false">SUMIF($C$2:$F$2,EOMONTH(BQ$2,-1)+1,$C117:$F117)*VLOOKUP(BQ$2,ProyDia[],8,0)</f>
        <v>0</v>
      </c>
      <c r="BR117" s="28" t="n">
        <f aca="false">SUMIF($C$2:$F$2,EOMONTH(BR$2,-1)+1,$C117:$F117)*VLOOKUP(BR$2,ProyDia[],8,0)</f>
        <v>0</v>
      </c>
      <c r="BS117" s="28" t="n">
        <f aca="false">SUMIF($C$2:$F$2,EOMONTH(BS$2,-1)+1,$C117:$F117)*VLOOKUP(BS$2,ProyDia[],8,0)</f>
        <v>0</v>
      </c>
      <c r="BT117" s="28" t="n">
        <f aca="false">SUMIF($C$2:$F$2,EOMONTH(BT$2,-1)+1,$C117:$F117)*VLOOKUP(BT$2,ProyDia[],8,0)</f>
        <v>0</v>
      </c>
      <c r="BU117" s="28" t="n">
        <f aca="false">SUMIF($C$2:$F$2,EOMONTH(BU$2,-1)+1,$C117:$F117)*VLOOKUP(BU$2,ProyDia[],8,0)</f>
        <v>0</v>
      </c>
      <c r="BV117" s="28" t="n">
        <f aca="false">SUMIF($C$2:$F$2,EOMONTH(BV$2,-1)+1,$C117:$F117)*VLOOKUP(BV$2,ProyDia[],8,0)</f>
        <v>0</v>
      </c>
      <c r="BW117" s="28" t="n">
        <f aca="false">SUMIF($C$2:$F$2,EOMONTH(BW$2,-1)+1,$C117:$F117)*VLOOKUP(BW$2,ProyDia[],8,0)</f>
        <v>0</v>
      </c>
      <c r="BX117" s="28" t="n">
        <f aca="false">SUMIF($C$2:$F$2,EOMONTH(BX$2,-1)+1,$C117:$F117)*VLOOKUP(BX$2,ProyDia[],8,0)</f>
        <v>0</v>
      </c>
      <c r="BY117" s="28" t="n">
        <f aca="false">SUMIF($C$2:$F$2,EOMONTH(BY$2,-1)+1,$C117:$F117)*VLOOKUP(BY$2,ProyDia[],8,0)</f>
        <v>0</v>
      </c>
      <c r="BZ117" s="28" t="n">
        <f aca="false">SUMIF($C$2:$F$2,EOMONTH(BZ$2,-1)+1,$C117:$F117)*VLOOKUP(BZ$2,ProyDia[],8,0)</f>
        <v>0</v>
      </c>
      <c r="CA117" s="28" t="n">
        <f aca="false">SUMIF($C$2:$F$2,EOMONTH(CA$2,-1)+1,$C117:$F117)*VLOOKUP(CA$2,ProyDia[],8,0)</f>
        <v>0</v>
      </c>
      <c r="CB117" s="28" t="n">
        <f aca="false">SUMIF($C$2:$F$2,EOMONTH(CB$2,-1)+1,$C117:$F117)*VLOOKUP(CB$2,ProyDia[],8,0)</f>
        <v>0</v>
      </c>
      <c r="CC117" s="28" t="n">
        <f aca="false">SUMIF($C$2:$F$2,EOMONTH(CC$2,-1)+1,$C117:$F117)*VLOOKUP(CC$2,ProyDia[],8,0)</f>
        <v>0</v>
      </c>
      <c r="CD117" s="28" t="n">
        <f aca="false">SUMIF($C$2:$F$2,EOMONTH(CD$2,-1)+1,$C117:$F117)*VLOOKUP(CD$2,ProyDia[],8,0)</f>
        <v>0</v>
      </c>
      <c r="CE117" s="28" t="n">
        <f aca="false">SUMIF($C$2:$F$2,EOMONTH(CE$2,-1)+1,$C117:$F117)*VLOOKUP(CE$2,ProyDia[],8,0)</f>
        <v>0</v>
      </c>
      <c r="CF117" s="28" t="n">
        <f aca="false">SUMIF($C$2:$F$2,EOMONTH(CF$2,-1)+1,$C117:$F117)*VLOOKUP(CF$2,ProyDia[],8,0)</f>
        <v>0</v>
      </c>
      <c r="CG117" s="28" t="n">
        <f aca="false">SUMIF($C$2:$F$2,EOMONTH(CG$2,-1)+1,$C117:$F117)*VLOOKUP(CG$2,ProyDia[],8,0)</f>
        <v>0</v>
      </c>
      <c r="CH117" s="28" t="n">
        <f aca="false">SUMIF($C$2:$F$2,EOMONTH(CH$2,-1)+1,$C117:$F117)*VLOOKUP(CH$2,ProyDia[],8,0)</f>
        <v>0</v>
      </c>
      <c r="CI117" s="28" t="n">
        <f aca="false">SUMIF($C$2:$F$2,EOMONTH(CI$2,-1)+1,$C117:$F117)*VLOOKUP(CI$2,ProyDia[],8,0)</f>
        <v>0</v>
      </c>
      <c r="CJ117" s="28" t="n">
        <f aca="false">SUMIF($C$2:$F$2,EOMONTH(CJ$2,-1)+1,$C117:$F117)*VLOOKUP(CJ$2,ProyDia[],8,0)</f>
        <v>0</v>
      </c>
      <c r="CK117" s="28" t="n">
        <f aca="false">SUMIF($C$2:$F$2,EOMONTH(CK$2,-1)+1,$C117:$F117)*VLOOKUP(CK$2,ProyDia[],8,0)</f>
        <v>0</v>
      </c>
      <c r="CL117" s="28" t="n">
        <f aca="false">SUMIF($C$2:$F$2,EOMONTH(CL$2,-1)+1,$C117:$F117)*VLOOKUP(CL$2,ProyDia[],8,0)</f>
        <v>0</v>
      </c>
      <c r="CM117" s="28" t="n">
        <f aca="false">SUMIF($C$2:$F$2,EOMONTH(CM$2,-1)+1,$C117:$F117)*VLOOKUP(CM$2,ProyDia[],8,0)</f>
        <v>0</v>
      </c>
      <c r="CN117" s="28" t="n">
        <f aca="false">SUMIF($C$2:$F$2,EOMONTH(CN$2,-1)+1,$C117:$F117)*VLOOKUP(CN$2,ProyDia[],8,0)</f>
        <v>0</v>
      </c>
      <c r="CO117" s="28" t="n">
        <f aca="false">SUMIF($C$2:$F$2,EOMONTH(CO$2,-1)+1,$C117:$F117)*VLOOKUP(CO$2,ProyDia[],8,0)</f>
        <v>0</v>
      </c>
      <c r="CP117" s="28" t="n">
        <f aca="false">SUMIF($C$2:$F$2,EOMONTH(CP$2,-1)+1,$C117:$F117)*VLOOKUP(CP$2,ProyDia[],8,0)</f>
        <v>0</v>
      </c>
      <c r="CQ117" s="28" t="n">
        <f aca="false">SUMIF($C$2:$F$2,EOMONTH(CQ$2,-1)+1,$C117:$F117)*VLOOKUP(CQ$2,ProyDia[],8,0)</f>
        <v>0</v>
      </c>
      <c r="CR117" s="28" t="n">
        <f aca="false">SUMIF($C$2:$F$2,EOMONTH(CR$2,-1)+1,$C117:$F117)*VLOOKUP(CR$2,ProyDia[],8,0)</f>
        <v>0</v>
      </c>
      <c r="CS117" s="28" t="n">
        <f aca="false">SUMIF($C$2:$F$2,EOMONTH(CS$2,-1)+1,$C117:$F117)*VLOOKUP(CS$2,ProyDia[],8,0)</f>
        <v>0</v>
      </c>
      <c r="CT117" s="28" t="n">
        <f aca="false">SUMIF($C$2:$F$2,EOMONTH(CT$2,-1)+1,$C117:$F117)*VLOOKUP(CT$2,ProyDia[],8,0)</f>
        <v>0</v>
      </c>
      <c r="CU117" s="28" t="n">
        <f aca="false">SUMIF($C$2:$F$2,EOMONTH(CU$2,-1)+1,$C117:$F117)*VLOOKUP(CU$2,ProyDia[],8,0)</f>
        <v>0</v>
      </c>
      <c r="CV117" s="28" t="n">
        <f aca="false">SUMIF($C$2:$F$2,EOMONTH(CV$2,-1)+1,$C117:$F117)*VLOOKUP(CV$2,ProyDia[],8,0)</f>
        <v>0</v>
      </c>
      <c r="CW117" s="28" t="n">
        <f aca="false">SUMIF($C$2:$F$2,EOMONTH(CW$2,-1)+1,$C117:$F117)*VLOOKUP(CW$2,ProyDia[],8,0)</f>
        <v>0</v>
      </c>
      <c r="CX117" s="28" t="n">
        <f aca="false">SUMIF($C$2:$F$2,EOMONTH(CX$2,-1)+1,$C117:$F117)*VLOOKUP(CX$2,ProyDia[],8,0)</f>
        <v>0</v>
      </c>
      <c r="CY117" s="28" t="n">
        <f aca="false">SUMIF($C$2:$F$2,EOMONTH(CY$2,-1)+1,$C117:$F117)*VLOOKUP(CY$2,ProyDia[],8,0)</f>
        <v>0</v>
      </c>
      <c r="CZ117" s="28" t="n">
        <f aca="false">SUMIF($C$2:$F$2,EOMONTH(CZ$2,-1)+1,$C117:$F117)*VLOOKUP(CZ$2,ProyDia[],8,0)</f>
        <v>0</v>
      </c>
      <c r="DA117" s="28" t="n">
        <f aca="false">SUMIF($C$2:$F$2,EOMONTH(DA$2,-1)+1,$C117:$F117)*VLOOKUP(DA$2,ProyDia[],8,0)</f>
        <v>0</v>
      </c>
      <c r="DB117" s="28" t="n">
        <f aca="false">SUMIF($C$2:$F$2,EOMONTH(DB$2,-1)+1,$C117:$F117)*VLOOKUP(DB$2,ProyDia[],8,0)</f>
        <v>0</v>
      </c>
      <c r="DC117" s="28" t="n">
        <f aca="false">SUMIF($C$2:$F$2,EOMONTH(DC$2,-1)+1,$C117:$F117)*VLOOKUP(DC$2,ProyDia[],8,0)</f>
        <v>0</v>
      </c>
      <c r="DD117" s="28" t="n">
        <f aca="false">SUMIF($C$2:$F$2,EOMONTH(DD$2,-1)+1,$C117:$F117)*VLOOKUP(DD$2,ProyDia[],8,0)</f>
        <v>0</v>
      </c>
      <c r="DE117" s="28" t="n">
        <f aca="false">SUMIF($C$2:$F$2,EOMONTH(DE$2,-1)+1,$C117:$F117)*VLOOKUP(DE$2,ProyDia[],8,0)</f>
        <v>0</v>
      </c>
      <c r="DF117" s="28" t="n">
        <f aca="false">SUMIF($C$2:$F$2,EOMONTH(DF$2,-1)+1,$C117:$F117)*VLOOKUP(DF$2,ProyDia[],8,0)</f>
        <v>0</v>
      </c>
      <c r="DG117" s="28" t="n">
        <f aca="false">SUMIF($C$2:$F$2,EOMONTH(DG$2,-1)+1,$C117:$F117)*VLOOKUP(DG$2,ProyDia[],8,0)</f>
        <v>0</v>
      </c>
      <c r="DH117" s="28" t="n">
        <f aca="false">SUMIF($C$2:$F$2,EOMONTH(DH$2,-1)+1,$C117:$F117)*VLOOKUP(DH$2,ProyDia[],8,0)</f>
        <v>0</v>
      </c>
      <c r="DI117" s="28" t="n">
        <f aca="false">SUMIF($C$2:$F$2,EOMONTH(DI$2,-1)+1,$C117:$F117)*VLOOKUP(DI$2,ProyDia[],8,0)</f>
        <v>0</v>
      </c>
      <c r="DJ117" s="28" t="n">
        <f aca="false">SUMIF($C$2:$F$2,EOMONTH(DJ$2,-1)+1,$C117:$F117)*VLOOKUP(DJ$2,ProyDia[],8,0)</f>
        <v>0</v>
      </c>
      <c r="DK117" s="28" t="n">
        <f aca="false">SUMIF($C$2:$F$2,EOMONTH(DK$2,-1)+1,$C117:$F117)*VLOOKUP(DK$2,ProyDia[],8,0)</f>
        <v>0</v>
      </c>
      <c r="DL117" s="28" t="n">
        <f aca="false">SUMIF($C$2:$F$2,EOMONTH(DL$2,-1)+1,$C117:$F117)*VLOOKUP(DL$2,ProyDia[],8,0)</f>
        <v>0</v>
      </c>
      <c r="DM117" s="28" t="n">
        <f aca="false">SUMIF($C$2:$F$2,EOMONTH(DM$2,-1)+1,$C117:$F117)*VLOOKUP(DM$2,ProyDia[],8,0)</f>
        <v>0</v>
      </c>
      <c r="DN117" s="28" t="n">
        <f aca="false">SUMIF($C$2:$F$2,EOMONTH(DN$2,-1)+1,$C117:$F117)*VLOOKUP(DN$2,ProyDia[],8,0)</f>
        <v>0</v>
      </c>
      <c r="DO117" s="28" t="n">
        <f aca="false">SUMIF($C$2:$F$2,EOMONTH(DO$2,-1)+1,$C117:$F117)*VLOOKUP(DO$2,ProyDia[],8,0)</f>
        <v>0</v>
      </c>
      <c r="DP117" s="28" t="n">
        <f aca="false">SUMIF($C$2:$F$2,EOMONTH(DP$2,-1)+1,$C117:$F117)*VLOOKUP(DP$2,ProyDia[],8,0)</f>
        <v>0</v>
      </c>
      <c r="DQ117" s="28" t="n">
        <f aca="false">SUMIF($C$2:$F$2,EOMONTH(DQ$2,-1)+1,$C117:$F117)*VLOOKUP(DQ$2,ProyDia[],8,0)</f>
        <v>0</v>
      </c>
      <c r="DR117" s="28" t="n">
        <f aca="false">SUMIF($C$2:$F$2,EOMONTH(DR$2,-1)+1,$C117:$F117)*VLOOKUP(DR$2,ProyDia[],8,0)</f>
        <v>0</v>
      </c>
      <c r="DS117" s="28" t="n">
        <f aca="false">SUMIF($C$2:$F$2,EOMONTH(DS$2,-1)+1,$C117:$F117)*VLOOKUP(DS$2,ProyDia[],8,0)</f>
        <v>0</v>
      </c>
      <c r="DT117" s="28" t="n">
        <f aca="false">SUMIF($C$2:$F$2,EOMONTH(DT$2,-1)+1,$C117:$F117)*VLOOKUP(DT$2,ProyDia[],8,0)</f>
        <v>0</v>
      </c>
      <c r="DU117" s="28" t="n">
        <f aca="false">SUMIF($C$2:$F$2,EOMONTH(DU$2,-1)+1,$C117:$F117)*VLOOKUP(DU$2,ProyDia[],8,0)</f>
        <v>0</v>
      </c>
      <c r="DV117" s="28" t="n">
        <f aca="false">SUMIF($C$2:$F$2,EOMONTH(DV$2,-1)+1,$C117:$F117)*VLOOKUP(DV$2,ProyDia[],8,0)</f>
        <v>0</v>
      </c>
      <c r="DW117" s="28" t="n">
        <f aca="false">SUMIF($C$2:$F$2,EOMONTH(DW$2,-1)+1,$C117:$F117)*VLOOKUP(DW$2,ProyDia[],8,0)</f>
        <v>0</v>
      </c>
      <c r="DX117" s="28" t="n">
        <f aca="false">SUMIF($C$2:$F$2,EOMONTH(DX$2,-1)+1,$C117:$F117)*VLOOKUP(DX$2,ProyDia[],8,0)</f>
        <v>0</v>
      </c>
    </row>
    <row r="118" customFormat="false" ht="14.4" hidden="false" customHeight="false" outlineLevel="0" collapsed="false">
      <c r="A118" s="35"/>
      <c r="B118" s="35"/>
      <c r="C118" s="35"/>
      <c r="D118" s="35"/>
      <c r="E118" s="35"/>
      <c r="F118" s="35"/>
      <c r="G118" s="36" t="n">
        <f aca="false">SUMIF($C$2:$F$2,EOMONTH(G$2,-1)+1,$C118:$F118)*VLOOKUP(G$2,ProyDia[],8,0)</f>
        <v>0</v>
      </c>
      <c r="H118" s="36" t="n">
        <f aca="false">SUMIF($C$2:$F$2,EOMONTH(H$2,-1)+1,$C118:$F118)*VLOOKUP(H$2,ProyDia[],8,0)</f>
        <v>0</v>
      </c>
      <c r="I118" s="36" t="n">
        <f aca="false">SUMIF($C$2:$F$2,EOMONTH(I$2,-1)+1,$C118:$F118)*VLOOKUP(I$2,ProyDia[],8,0)</f>
        <v>0</v>
      </c>
      <c r="J118" s="36" t="n">
        <f aca="false">SUMIF($C$2:$F$2,EOMONTH(J$2,-1)+1,$C118:$F118)*VLOOKUP(J$2,ProyDia[],8,0)</f>
        <v>0</v>
      </c>
      <c r="K118" s="36" t="n">
        <f aca="false">SUMIF($C$2:$F$2,EOMONTH(K$2,-1)+1,$C118:$F118)*VLOOKUP(K$2,ProyDia[],8,0)</f>
        <v>0</v>
      </c>
      <c r="L118" s="36" t="n">
        <f aca="false">SUMIF($C$2:$F$2,EOMONTH(L$2,-1)+1,$C118:$F118)*VLOOKUP(L$2,ProyDia[],8,0)</f>
        <v>0</v>
      </c>
      <c r="M118" s="36" t="n">
        <f aca="false">SUMIF($C$2:$F$2,EOMONTH(M$2,-1)+1,$C118:$F118)*VLOOKUP(M$2,ProyDia[],8,0)</f>
        <v>0</v>
      </c>
      <c r="N118" s="36" t="n">
        <f aca="false">SUMIF($C$2:$F$2,EOMONTH(N$2,-1)+1,$C118:$F118)*VLOOKUP(N$2,ProyDia[],8,0)</f>
        <v>0</v>
      </c>
      <c r="O118" s="36" t="n">
        <f aca="false">SUMIF($C$2:$F$2,EOMONTH(O$2,-1)+1,$C118:$F118)*VLOOKUP(O$2,ProyDia[],8,0)</f>
        <v>0</v>
      </c>
      <c r="P118" s="36" t="n">
        <f aca="false">SUMIF($C$2:$F$2,EOMONTH(P$2,-1)+1,$C118:$F118)*VLOOKUP(P$2,ProyDia[],8,0)</f>
        <v>0</v>
      </c>
      <c r="Q118" s="36" t="n">
        <f aca="false">SUMIF($C$2:$F$2,EOMONTH(Q$2,-1)+1,$C118:$F118)*VLOOKUP(Q$2,ProyDia[],8,0)</f>
        <v>0</v>
      </c>
      <c r="R118" s="36" t="n">
        <f aca="false">SUMIF($C$2:$F$2,EOMONTH(R$2,-1)+1,$C118:$F118)*VLOOKUP(R$2,ProyDia[],8,0)</f>
        <v>0</v>
      </c>
      <c r="S118" s="36" t="n">
        <f aca="false">SUMIF($C$2:$F$2,EOMONTH(S$2,-1)+1,$C118:$F118)*VLOOKUP(S$2,ProyDia[],8,0)</f>
        <v>0</v>
      </c>
      <c r="T118" s="36" t="n">
        <f aca="false">SUMIF($C$2:$F$2,EOMONTH(T$2,-1)+1,$C118:$F118)*VLOOKUP(T$2,ProyDia[],8,0)</f>
        <v>0</v>
      </c>
      <c r="U118" s="36" t="n">
        <f aca="false">SUMIF($C$2:$F$2,EOMONTH(U$2,-1)+1,$C118:$F118)*VLOOKUP(U$2,ProyDia[],8,0)</f>
        <v>0</v>
      </c>
      <c r="V118" s="36" t="n">
        <f aca="false">SUMIF($C$2:$F$2,EOMONTH(V$2,-1)+1,$C118:$F118)*VLOOKUP(V$2,ProyDia[],8,0)</f>
        <v>0</v>
      </c>
      <c r="W118" s="36" t="n">
        <f aca="false">SUMIF($C$2:$F$2,EOMONTH(W$2,-1)+1,$C118:$F118)*VLOOKUP(W$2,ProyDia[],8,0)</f>
        <v>0</v>
      </c>
      <c r="X118" s="36" t="n">
        <f aca="false">SUMIF($C$2:$F$2,EOMONTH(X$2,-1)+1,$C118:$F118)*VLOOKUP(X$2,ProyDia[],8,0)</f>
        <v>0</v>
      </c>
      <c r="Y118" s="36" t="n">
        <f aca="false">SUMIF($C$2:$F$2,EOMONTH(Y$2,-1)+1,$C118:$F118)*VLOOKUP(Y$2,ProyDia[],8,0)</f>
        <v>0</v>
      </c>
      <c r="Z118" s="36" t="n">
        <f aca="false">SUMIF($C$2:$F$2,EOMONTH(Z$2,-1)+1,$C118:$F118)*VLOOKUP(Z$2,ProyDia[],8,0)</f>
        <v>0</v>
      </c>
      <c r="AA118" s="36" t="n">
        <f aca="false">SUMIF($C$2:$F$2,EOMONTH(AA$2,-1)+1,$C118:$F118)*VLOOKUP(AA$2,ProyDia[],8,0)</f>
        <v>0</v>
      </c>
      <c r="AB118" s="36" t="n">
        <f aca="false">SUMIF($C$2:$F$2,EOMONTH(AB$2,-1)+1,$C118:$F118)*VLOOKUP(AB$2,ProyDia[],8,0)</f>
        <v>0</v>
      </c>
      <c r="AC118" s="36" t="n">
        <f aca="false">SUMIF($C$2:$F$2,EOMONTH(AC$2,-1)+1,$C118:$F118)*VLOOKUP(AC$2,ProyDia[],8,0)</f>
        <v>0</v>
      </c>
      <c r="AD118" s="36" t="n">
        <f aca="false">SUMIF($C$2:$F$2,EOMONTH(AD$2,-1)+1,$C118:$F118)*VLOOKUP(AD$2,ProyDia[],8,0)</f>
        <v>0</v>
      </c>
      <c r="AE118" s="36" t="n">
        <f aca="false">SUMIF($C$2:$F$2,EOMONTH(AE$2,-1)+1,$C118:$F118)*VLOOKUP(AE$2,ProyDia[],8,0)</f>
        <v>0</v>
      </c>
      <c r="AF118" s="36" t="n">
        <f aca="false">SUMIF($C$2:$F$2,EOMONTH(AF$2,-1)+1,$C118:$F118)*VLOOKUP(AF$2,ProyDia[],8,0)</f>
        <v>0</v>
      </c>
      <c r="AG118" s="36" t="n">
        <f aca="false">SUMIF($C$2:$F$2,EOMONTH(AG$2,-1)+1,$C118:$F118)*VLOOKUP(AG$2,ProyDia[],8,0)</f>
        <v>0</v>
      </c>
      <c r="AH118" s="36" t="n">
        <f aca="false">SUMIF($C$2:$F$2,EOMONTH(AH$2,-1)+1,$C118:$F118)*VLOOKUP(AH$2,ProyDia[],8,0)</f>
        <v>0</v>
      </c>
      <c r="AI118" s="36" t="n">
        <f aca="false">SUMIF($C$2:$F$2,EOMONTH(AI$2,-1)+1,$C118:$F118)*VLOOKUP(AI$2,ProyDia[],8,0)</f>
        <v>0</v>
      </c>
      <c r="AJ118" s="36" t="n">
        <f aca="false">SUMIF($C$2:$F$2,EOMONTH(AJ$2,-1)+1,$C118:$F118)*VLOOKUP(AJ$2,ProyDia[],8,0)</f>
        <v>0</v>
      </c>
      <c r="AK118" s="36" t="n">
        <f aca="false">SUMIF($C$2:$F$2,EOMONTH(AK$2,-1)+1,$C118:$F118)*VLOOKUP(AK$2,ProyDia[],8,0)</f>
        <v>0</v>
      </c>
      <c r="AL118" s="36" t="n">
        <f aca="false">SUMIF($C$2:$F$2,EOMONTH(AL$2,-1)+1,$C118:$F118)*VLOOKUP(AL$2,ProyDia[],8,0)</f>
        <v>0</v>
      </c>
      <c r="AM118" s="36" t="n">
        <f aca="false">SUMIF($C$2:$F$2,EOMONTH(AM$2,-1)+1,$C118:$F118)*VLOOKUP(AM$2,ProyDia[],8,0)</f>
        <v>0</v>
      </c>
      <c r="AN118" s="36" t="n">
        <f aca="false">SUMIF($C$2:$F$2,EOMONTH(AN$2,-1)+1,$C118:$F118)*VLOOKUP(AN$2,ProyDia[],8,0)</f>
        <v>0</v>
      </c>
      <c r="AO118" s="36" t="n">
        <f aca="false">SUMIF($C$2:$F$2,EOMONTH(AO$2,-1)+1,$C118:$F118)*VLOOKUP(AO$2,ProyDia[],8,0)</f>
        <v>0</v>
      </c>
      <c r="AP118" s="36" t="n">
        <f aca="false">SUMIF($C$2:$F$2,EOMONTH(AP$2,-1)+1,$C118:$F118)*VLOOKUP(AP$2,ProyDia[],8,0)</f>
        <v>0</v>
      </c>
      <c r="AQ118" s="36" t="n">
        <f aca="false">SUMIF($C$2:$F$2,EOMONTH(AQ$2,-1)+1,$C118:$F118)*VLOOKUP(AQ$2,ProyDia[],8,0)</f>
        <v>0</v>
      </c>
      <c r="AR118" s="36" t="n">
        <f aca="false">SUMIF($C$2:$F$2,EOMONTH(AR$2,-1)+1,$C118:$F118)*VLOOKUP(AR$2,ProyDia[],8,0)</f>
        <v>0</v>
      </c>
      <c r="AS118" s="36" t="n">
        <f aca="false">SUMIF($C$2:$F$2,EOMONTH(AS$2,-1)+1,$C118:$F118)*VLOOKUP(AS$2,ProyDia[],8,0)</f>
        <v>0</v>
      </c>
      <c r="AT118" s="36" t="n">
        <f aca="false">SUMIF($C$2:$F$2,EOMONTH(AT$2,-1)+1,$C118:$F118)*VLOOKUP(AT$2,ProyDia[],8,0)</f>
        <v>0</v>
      </c>
      <c r="AU118" s="36" t="n">
        <f aca="false">SUMIF($C$2:$F$2,EOMONTH(AU$2,-1)+1,$C118:$F118)*VLOOKUP(AU$2,ProyDia[],8,0)</f>
        <v>0</v>
      </c>
      <c r="AV118" s="36" t="n">
        <f aca="false">SUMIF($C$2:$F$2,EOMONTH(AV$2,-1)+1,$C118:$F118)*VLOOKUP(AV$2,ProyDia[],8,0)</f>
        <v>0</v>
      </c>
      <c r="AW118" s="36" t="n">
        <f aca="false">SUMIF($C$2:$F$2,EOMONTH(AW$2,-1)+1,$C118:$F118)*VLOOKUP(AW$2,ProyDia[],8,0)</f>
        <v>0</v>
      </c>
      <c r="AX118" s="36" t="n">
        <f aca="false">SUMIF($C$2:$F$2,EOMONTH(AX$2,-1)+1,$C118:$F118)*VLOOKUP(AX$2,ProyDia[],8,0)</f>
        <v>0</v>
      </c>
      <c r="AY118" s="36" t="n">
        <f aca="false">SUMIF($C$2:$F$2,EOMONTH(AY$2,-1)+1,$C118:$F118)*VLOOKUP(AY$2,ProyDia[],8,0)</f>
        <v>0</v>
      </c>
      <c r="AZ118" s="36" t="n">
        <f aca="false">SUMIF($C$2:$F$2,EOMONTH(AZ$2,-1)+1,$C118:$F118)*VLOOKUP(AZ$2,ProyDia[],8,0)</f>
        <v>0</v>
      </c>
      <c r="BA118" s="36" t="n">
        <f aca="false">SUMIF($C$2:$F$2,EOMONTH(BA$2,-1)+1,$C118:$F118)*VLOOKUP(BA$2,ProyDia[],8,0)</f>
        <v>0</v>
      </c>
      <c r="BB118" s="36" t="n">
        <f aca="false">SUMIF($C$2:$F$2,EOMONTH(BB$2,-1)+1,$C118:$F118)*VLOOKUP(BB$2,ProyDia[],8,0)</f>
        <v>0</v>
      </c>
      <c r="BC118" s="36" t="n">
        <f aca="false">SUMIF($C$2:$F$2,EOMONTH(BC$2,-1)+1,$C118:$F118)*VLOOKUP(BC$2,ProyDia[],8,0)</f>
        <v>0</v>
      </c>
      <c r="BD118" s="36" t="n">
        <f aca="false">SUMIF($C$2:$F$2,EOMONTH(BD$2,-1)+1,$C118:$F118)*VLOOKUP(BD$2,ProyDia[],8,0)</f>
        <v>0</v>
      </c>
      <c r="BE118" s="36" t="n">
        <f aca="false">SUMIF($C$2:$F$2,EOMONTH(BE$2,-1)+1,$C118:$F118)*VLOOKUP(BE$2,ProyDia[],8,0)</f>
        <v>0</v>
      </c>
      <c r="BF118" s="36" t="n">
        <f aca="false">SUMIF($C$2:$F$2,EOMONTH(BF$2,-1)+1,$C118:$F118)*VLOOKUP(BF$2,ProyDia[],8,0)</f>
        <v>0</v>
      </c>
      <c r="BG118" s="36" t="n">
        <f aca="false">SUMIF($C$2:$F$2,EOMONTH(BG$2,-1)+1,$C118:$F118)*VLOOKUP(BG$2,ProyDia[],8,0)</f>
        <v>0</v>
      </c>
      <c r="BH118" s="36" t="n">
        <f aca="false">SUMIF($C$2:$F$2,EOMONTH(BH$2,-1)+1,$C118:$F118)*VLOOKUP(BH$2,ProyDia[],8,0)</f>
        <v>0</v>
      </c>
      <c r="BI118" s="36" t="n">
        <f aca="false">SUMIF($C$2:$F$2,EOMONTH(BI$2,-1)+1,$C118:$F118)*VLOOKUP(BI$2,ProyDia[],8,0)</f>
        <v>0</v>
      </c>
      <c r="BJ118" s="36" t="n">
        <f aca="false">SUMIF($C$2:$F$2,EOMONTH(BJ$2,-1)+1,$C118:$F118)*VLOOKUP(BJ$2,ProyDia[],8,0)</f>
        <v>0</v>
      </c>
      <c r="BK118" s="36" t="n">
        <f aca="false">SUMIF($C$2:$F$2,EOMONTH(BK$2,-1)+1,$C118:$F118)*VLOOKUP(BK$2,ProyDia[],8,0)</f>
        <v>0</v>
      </c>
      <c r="BL118" s="36" t="n">
        <f aca="false">SUMIF($C$2:$F$2,EOMONTH(BL$2,-1)+1,$C118:$F118)*VLOOKUP(BL$2,ProyDia[],8,0)</f>
        <v>0</v>
      </c>
      <c r="BM118" s="36" t="n">
        <f aca="false">SUMIF($C$2:$F$2,EOMONTH(BM$2,-1)+1,$C118:$F118)*VLOOKUP(BM$2,ProyDia[],8,0)</f>
        <v>0</v>
      </c>
      <c r="BN118" s="36" t="n">
        <f aca="false">SUMIF($C$2:$F$2,EOMONTH(BN$2,-1)+1,$C118:$F118)*VLOOKUP(BN$2,ProyDia[],8,0)</f>
        <v>0</v>
      </c>
      <c r="BO118" s="36" t="n">
        <f aca="false">SUMIF($C$2:$F$2,EOMONTH(BO$2,-1)+1,$C118:$F118)*VLOOKUP(BO$2,ProyDia[],8,0)</f>
        <v>0</v>
      </c>
      <c r="BP118" s="36" t="n">
        <f aca="false">SUMIF($C$2:$F$2,EOMONTH(BP$2,-1)+1,$C118:$F118)*VLOOKUP(BP$2,ProyDia[],8,0)</f>
        <v>0</v>
      </c>
      <c r="BQ118" s="36" t="n">
        <f aca="false">SUMIF($C$2:$F$2,EOMONTH(BQ$2,-1)+1,$C118:$F118)*VLOOKUP(BQ$2,ProyDia[],8,0)</f>
        <v>0</v>
      </c>
      <c r="BR118" s="36" t="n">
        <f aca="false">SUMIF($C$2:$F$2,EOMONTH(BR$2,-1)+1,$C118:$F118)*VLOOKUP(BR$2,ProyDia[],8,0)</f>
        <v>0</v>
      </c>
      <c r="BS118" s="36" t="n">
        <f aca="false">SUMIF($C$2:$F$2,EOMONTH(BS$2,-1)+1,$C118:$F118)*VLOOKUP(BS$2,ProyDia[],8,0)</f>
        <v>0</v>
      </c>
      <c r="BT118" s="36" t="n">
        <f aca="false">SUMIF($C$2:$F$2,EOMONTH(BT$2,-1)+1,$C118:$F118)*VLOOKUP(BT$2,ProyDia[],8,0)</f>
        <v>0</v>
      </c>
      <c r="BU118" s="36" t="n">
        <f aca="false">SUMIF($C$2:$F$2,EOMONTH(BU$2,-1)+1,$C118:$F118)*VLOOKUP(BU$2,ProyDia[],8,0)</f>
        <v>0</v>
      </c>
      <c r="BV118" s="36" t="n">
        <f aca="false">SUMIF($C$2:$F$2,EOMONTH(BV$2,-1)+1,$C118:$F118)*VLOOKUP(BV$2,ProyDia[],8,0)</f>
        <v>0</v>
      </c>
      <c r="BW118" s="36" t="n">
        <f aca="false">SUMIF($C$2:$F$2,EOMONTH(BW$2,-1)+1,$C118:$F118)*VLOOKUP(BW$2,ProyDia[],8,0)</f>
        <v>0</v>
      </c>
      <c r="BX118" s="36" t="n">
        <f aca="false">SUMIF($C$2:$F$2,EOMONTH(BX$2,-1)+1,$C118:$F118)*VLOOKUP(BX$2,ProyDia[],8,0)</f>
        <v>0</v>
      </c>
      <c r="BY118" s="36" t="n">
        <f aca="false">SUMIF($C$2:$F$2,EOMONTH(BY$2,-1)+1,$C118:$F118)*VLOOKUP(BY$2,ProyDia[],8,0)</f>
        <v>0</v>
      </c>
      <c r="BZ118" s="36" t="n">
        <f aca="false">SUMIF($C$2:$F$2,EOMONTH(BZ$2,-1)+1,$C118:$F118)*VLOOKUP(BZ$2,ProyDia[],8,0)</f>
        <v>0</v>
      </c>
      <c r="CA118" s="36" t="n">
        <f aca="false">SUMIF($C$2:$F$2,EOMONTH(CA$2,-1)+1,$C118:$F118)*VLOOKUP(CA$2,ProyDia[],8,0)</f>
        <v>0</v>
      </c>
      <c r="CB118" s="36" t="n">
        <f aca="false">SUMIF($C$2:$F$2,EOMONTH(CB$2,-1)+1,$C118:$F118)*VLOOKUP(CB$2,ProyDia[],8,0)</f>
        <v>0</v>
      </c>
      <c r="CC118" s="36" t="n">
        <f aca="false">SUMIF($C$2:$F$2,EOMONTH(CC$2,-1)+1,$C118:$F118)*VLOOKUP(CC$2,ProyDia[],8,0)</f>
        <v>0</v>
      </c>
      <c r="CD118" s="36" t="n">
        <f aca="false">SUMIF($C$2:$F$2,EOMONTH(CD$2,-1)+1,$C118:$F118)*VLOOKUP(CD$2,ProyDia[],8,0)</f>
        <v>0</v>
      </c>
      <c r="CE118" s="36" t="n">
        <f aca="false">SUMIF($C$2:$F$2,EOMONTH(CE$2,-1)+1,$C118:$F118)*VLOOKUP(CE$2,ProyDia[],8,0)</f>
        <v>0</v>
      </c>
      <c r="CF118" s="36" t="n">
        <f aca="false">SUMIF($C$2:$F$2,EOMONTH(CF$2,-1)+1,$C118:$F118)*VLOOKUP(CF$2,ProyDia[],8,0)</f>
        <v>0</v>
      </c>
      <c r="CG118" s="36" t="n">
        <f aca="false">SUMIF($C$2:$F$2,EOMONTH(CG$2,-1)+1,$C118:$F118)*VLOOKUP(CG$2,ProyDia[],8,0)</f>
        <v>0</v>
      </c>
      <c r="CH118" s="36" t="n">
        <f aca="false">SUMIF($C$2:$F$2,EOMONTH(CH$2,-1)+1,$C118:$F118)*VLOOKUP(CH$2,ProyDia[],8,0)</f>
        <v>0</v>
      </c>
      <c r="CI118" s="36" t="n">
        <f aca="false">SUMIF($C$2:$F$2,EOMONTH(CI$2,-1)+1,$C118:$F118)*VLOOKUP(CI$2,ProyDia[],8,0)</f>
        <v>0</v>
      </c>
      <c r="CJ118" s="36" t="n">
        <f aca="false">SUMIF($C$2:$F$2,EOMONTH(CJ$2,-1)+1,$C118:$F118)*VLOOKUP(CJ$2,ProyDia[],8,0)</f>
        <v>0</v>
      </c>
      <c r="CK118" s="36" t="n">
        <f aca="false">SUMIF($C$2:$F$2,EOMONTH(CK$2,-1)+1,$C118:$F118)*VLOOKUP(CK$2,ProyDia[],8,0)</f>
        <v>0</v>
      </c>
      <c r="CL118" s="36" t="n">
        <f aca="false">SUMIF($C$2:$F$2,EOMONTH(CL$2,-1)+1,$C118:$F118)*VLOOKUP(CL$2,ProyDia[],8,0)</f>
        <v>0</v>
      </c>
      <c r="CM118" s="36" t="n">
        <f aca="false">SUMIF($C$2:$F$2,EOMONTH(CM$2,-1)+1,$C118:$F118)*VLOOKUP(CM$2,ProyDia[],8,0)</f>
        <v>0</v>
      </c>
      <c r="CN118" s="36" t="n">
        <f aca="false">SUMIF($C$2:$F$2,EOMONTH(CN$2,-1)+1,$C118:$F118)*VLOOKUP(CN$2,ProyDia[],8,0)</f>
        <v>0</v>
      </c>
      <c r="CO118" s="36" t="n">
        <f aca="false">SUMIF($C$2:$F$2,EOMONTH(CO$2,-1)+1,$C118:$F118)*VLOOKUP(CO$2,ProyDia[],8,0)</f>
        <v>0</v>
      </c>
      <c r="CP118" s="36" t="n">
        <f aca="false">SUMIF($C$2:$F$2,EOMONTH(CP$2,-1)+1,$C118:$F118)*VLOOKUP(CP$2,ProyDia[],8,0)</f>
        <v>0</v>
      </c>
      <c r="CQ118" s="36" t="n">
        <f aca="false">SUMIF($C$2:$F$2,EOMONTH(CQ$2,-1)+1,$C118:$F118)*VLOOKUP(CQ$2,ProyDia[],8,0)</f>
        <v>0</v>
      </c>
      <c r="CR118" s="36" t="n">
        <f aca="false">SUMIF($C$2:$F$2,EOMONTH(CR$2,-1)+1,$C118:$F118)*VLOOKUP(CR$2,ProyDia[],8,0)</f>
        <v>0</v>
      </c>
      <c r="CS118" s="36" t="n">
        <f aca="false">SUMIF($C$2:$F$2,EOMONTH(CS$2,-1)+1,$C118:$F118)*VLOOKUP(CS$2,ProyDia[],8,0)</f>
        <v>0</v>
      </c>
      <c r="CT118" s="36" t="n">
        <f aca="false">SUMIF($C$2:$F$2,EOMONTH(CT$2,-1)+1,$C118:$F118)*VLOOKUP(CT$2,ProyDia[],8,0)</f>
        <v>0</v>
      </c>
      <c r="CU118" s="36" t="n">
        <f aca="false">SUMIF($C$2:$F$2,EOMONTH(CU$2,-1)+1,$C118:$F118)*VLOOKUP(CU$2,ProyDia[],8,0)</f>
        <v>0</v>
      </c>
      <c r="CV118" s="36" t="n">
        <f aca="false">SUMIF($C$2:$F$2,EOMONTH(CV$2,-1)+1,$C118:$F118)*VLOOKUP(CV$2,ProyDia[],8,0)</f>
        <v>0</v>
      </c>
      <c r="CW118" s="36" t="n">
        <f aca="false">SUMIF($C$2:$F$2,EOMONTH(CW$2,-1)+1,$C118:$F118)*VLOOKUP(CW$2,ProyDia[],8,0)</f>
        <v>0</v>
      </c>
      <c r="CX118" s="36" t="n">
        <f aca="false">SUMIF($C$2:$F$2,EOMONTH(CX$2,-1)+1,$C118:$F118)*VLOOKUP(CX$2,ProyDia[],8,0)</f>
        <v>0</v>
      </c>
      <c r="CY118" s="36" t="n">
        <f aca="false">SUMIF($C$2:$F$2,EOMONTH(CY$2,-1)+1,$C118:$F118)*VLOOKUP(CY$2,ProyDia[],8,0)</f>
        <v>0</v>
      </c>
      <c r="CZ118" s="36" t="n">
        <f aca="false">SUMIF($C$2:$F$2,EOMONTH(CZ$2,-1)+1,$C118:$F118)*VLOOKUP(CZ$2,ProyDia[],8,0)</f>
        <v>0</v>
      </c>
      <c r="DA118" s="36" t="n">
        <f aca="false">SUMIF($C$2:$F$2,EOMONTH(DA$2,-1)+1,$C118:$F118)*VLOOKUP(DA$2,ProyDia[],8,0)</f>
        <v>0</v>
      </c>
      <c r="DB118" s="36" t="n">
        <f aca="false">SUMIF($C$2:$F$2,EOMONTH(DB$2,-1)+1,$C118:$F118)*VLOOKUP(DB$2,ProyDia[],8,0)</f>
        <v>0</v>
      </c>
      <c r="DC118" s="36" t="n">
        <f aca="false">SUMIF($C$2:$F$2,EOMONTH(DC$2,-1)+1,$C118:$F118)*VLOOKUP(DC$2,ProyDia[],8,0)</f>
        <v>0</v>
      </c>
      <c r="DD118" s="36" t="n">
        <f aca="false">SUMIF($C$2:$F$2,EOMONTH(DD$2,-1)+1,$C118:$F118)*VLOOKUP(DD$2,ProyDia[],8,0)</f>
        <v>0</v>
      </c>
      <c r="DE118" s="36" t="n">
        <f aca="false">SUMIF($C$2:$F$2,EOMONTH(DE$2,-1)+1,$C118:$F118)*VLOOKUP(DE$2,ProyDia[],8,0)</f>
        <v>0</v>
      </c>
      <c r="DF118" s="36" t="n">
        <f aca="false">SUMIF($C$2:$F$2,EOMONTH(DF$2,-1)+1,$C118:$F118)*VLOOKUP(DF$2,ProyDia[],8,0)</f>
        <v>0</v>
      </c>
      <c r="DG118" s="36" t="n">
        <f aca="false">SUMIF($C$2:$F$2,EOMONTH(DG$2,-1)+1,$C118:$F118)*VLOOKUP(DG$2,ProyDia[],8,0)</f>
        <v>0</v>
      </c>
      <c r="DH118" s="36" t="n">
        <f aca="false">SUMIF($C$2:$F$2,EOMONTH(DH$2,-1)+1,$C118:$F118)*VLOOKUP(DH$2,ProyDia[],8,0)</f>
        <v>0</v>
      </c>
      <c r="DI118" s="36" t="n">
        <f aca="false">SUMIF($C$2:$F$2,EOMONTH(DI$2,-1)+1,$C118:$F118)*VLOOKUP(DI$2,ProyDia[],8,0)</f>
        <v>0</v>
      </c>
      <c r="DJ118" s="36" t="n">
        <f aca="false">SUMIF($C$2:$F$2,EOMONTH(DJ$2,-1)+1,$C118:$F118)*VLOOKUP(DJ$2,ProyDia[],8,0)</f>
        <v>0</v>
      </c>
      <c r="DK118" s="36" t="n">
        <f aca="false">SUMIF($C$2:$F$2,EOMONTH(DK$2,-1)+1,$C118:$F118)*VLOOKUP(DK$2,ProyDia[],8,0)</f>
        <v>0</v>
      </c>
      <c r="DL118" s="36" t="n">
        <f aca="false">SUMIF($C$2:$F$2,EOMONTH(DL$2,-1)+1,$C118:$F118)*VLOOKUP(DL$2,ProyDia[],8,0)</f>
        <v>0</v>
      </c>
      <c r="DM118" s="36" t="n">
        <f aca="false">SUMIF($C$2:$F$2,EOMONTH(DM$2,-1)+1,$C118:$F118)*VLOOKUP(DM$2,ProyDia[],8,0)</f>
        <v>0</v>
      </c>
      <c r="DN118" s="36" t="n">
        <f aca="false">SUMIF($C$2:$F$2,EOMONTH(DN$2,-1)+1,$C118:$F118)*VLOOKUP(DN$2,ProyDia[],8,0)</f>
        <v>0</v>
      </c>
      <c r="DO118" s="36" t="n">
        <f aca="false">SUMIF($C$2:$F$2,EOMONTH(DO$2,-1)+1,$C118:$F118)*VLOOKUP(DO$2,ProyDia[],8,0)</f>
        <v>0</v>
      </c>
      <c r="DP118" s="36" t="n">
        <f aca="false">SUMIF($C$2:$F$2,EOMONTH(DP$2,-1)+1,$C118:$F118)*VLOOKUP(DP$2,ProyDia[],8,0)</f>
        <v>0</v>
      </c>
      <c r="DQ118" s="36" t="n">
        <f aca="false">SUMIF($C$2:$F$2,EOMONTH(DQ$2,-1)+1,$C118:$F118)*VLOOKUP(DQ$2,ProyDia[],8,0)</f>
        <v>0</v>
      </c>
      <c r="DR118" s="36" t="n">
        <f aca="false">SUMIF($C$2:$F$2,EOMONTH(DR$2,-1)+1,$C118:$F118)*VLOOKUP(DR$2,ProyDia[],8,0)</f>
        <v>0</v>
      </c>
      <c r="DS118" s="36" t="n">
        <f aca="false">SUMIF($C$2:$F$2,EOMONTH(DS$2,-1)+1,$C118:$F118)*VLOOKUP(DS$2,ProyDia[],8,0)</f>
        <v>0</v>
      </c>
      <c r="DT118" s="36" t="n">
        <f aca="false">SUMIF($C$2:$F$2,EOMONTH(DT$2,-1)+1,$C118:$F118)*VLOOKUP(DT$2,ProyDia[],8,0)</f>
        <v>0</v>
      </c>
      <c r="DU118" s="36" t="n">
        <f aca="false">SUMIF($C$2:$F$2,EOMONTH(DU$2,-1)+1,$C118:$F118)*VLOOKUP(DU$2,ProyDia[],8,0)</f>
        <v>0</v>
      </c>
      <c r="DV118" s="36" t="n">
        <f aca="false">SUMIF($C$2:$F$2,EOMONTH(DV$2,-1)+1,$C118:$F118)*VLOOKUP(DV$2,ProyDia[],8,0)</f>
        <v>0</v>
      </c>
      <c r="DW118" s="36" t="n">
        <f aca="false">SUMIF($C$2:$F$2,EOMONTH(DW$2,-1)+1,$C118:$F118)*VLOOKUP(DW$2,ProyDia[],8,0)</f>
        <v>0</v>
      </c>
      <c r="DX118" s="36" t="n">
        <f aca="false">SUMIF($C$2:$F$2,EOMONTH(DX$2,-1)+1,$C118:$F118)*VLOOKUP(DX$2,ProyDia[],8,0)</f>
        <v>0</v>
      </c>
    </row>
    <row r="119" customFormat="false" ht="14.4" hidden="false" customHeight="false" outlineLevel="0" collapsed="false">
      <c r="A119" s="34"/>
      <c r="B119" s="34"/>
      <c r="C119" s="34"/>
      <c r="D119" s="34"/>
      <c r="E119" s="34"/>
      <c r="F119" s="34"/>
      <c r="G119" s="28" t="n">
        <f aca="false">SUMIF($C$2:$F$2,EOMONTH(G$2,-1)+1,$C119:$F119)*VLOOKUP(G$2,ProyDia[],8,0)</f>
        <v>0</v>
      </c>
      <c r="H119" s="28" t="n">
        <f aca="false">SUMIF($C$2:$F$2,EOMONTH(H$2,-1)+1,$C119:$F119)*VLOOKUP(H$2,ProyDia[],8,0)</f>
        <v>0</v>
      </c>
      <c r="I119" s="28" t="n">
        <f aca="false">SUMIF($C$2:$F$2,EOMONTH(I$2,-1)+1,$C119:$F119)*VLOOKUP(I$2,ProyDia[],8,0)</f>
        <v>0</v>
      </c>
      <c r="J119" s="28" t="n">
        <f aca="false">SUMIF($C$2:$F$2,EOMONTH(J$2,-1)+1,$C119:$F119)*VLOOKUP(J$2,ProyDia[],8,0)</f>
        <v>0</v>
      </c>
      <c r="K119" s="28" t="n">
        <f aca="false">SUMIF($C$2:$F$2,EOMONTH(K$2,-1)+1,$C119:$F119)*VLOOKUP(K$2,ProyDia[],8,0)</f>
        <v>0</v>
      </c>
      <c r="L119" s="28" t="n">
        <f aca="false">SUMIF($C$2:$F$2,EOMONTH(L$2,-1)+1,$C119:$F119)*VLOOKUP(L$2,ProyDia[],8,0)</f>
        <v>0</v>
      </c>
      <c r="M119" s="28" t="n">
        <f aca="false">SUMIF($C$2:$F$2,EOMONTH(M$2,-1)+1,$C119:$F119)*VLOOKUP(M$2,ProyDia[],8,0)</f>
        <v>0</v>
      </c>
      <c r="N119" s="28" t="n">
        <f aca="false">SUMIF($C$2:$F$2,EOMONTH(N$2,-1)+1,$C119:$F119)*VLOOKUP(N$2,ProyDia[],8,0)</f>
        <v>0</v>
      </c>
      <c r="O119" s="28" t="n">
        <f aca="false">SUMIF($C$2:$F$2,EOMONTH(O$2,-1)+1,$C119:$F119)*VLOOKUP(O$2,ProyDia[],8,0)</f>
        <v>0</v>
      </c>
      <c r="P119" s="28" t="n">
        <f aca="false">SUMIF($C$2:$F$2,EOMONTH(P$2,-1)+1,$C119:$F119)*VLOOKUP(P$2,ProyDia[],8,0)</f>
        <v>0</v>
      </c>
      <c r="Q119" s="28" t="n">
        <f aca="false">SUMIF($C$2:$F$2,EOMONTH(Q$2,-1)+1,$C119:$F119)*VLOOKUP(Q$2,ProyDia[],8,0)</f>
        <v>0</v>
      </c>
      <c r="R119" s="28" t="n">
        <f aca="false">SUMIF($C$2:$F$2,EOMONTH(R$2,-1)+1,$C119:$F119)*VLOOKUP(R$2,ProyDia[],8,0)</f>
        <v>0</v>
      </c>
      <c r="S119" s="28" t="n">
        <f aca="false">SUMIF($C$2:$F$2,EOMONTH(S$2,-1)+1,$C119:$F119)*VLOOKUP(S$2,ProyDia[],8,0)</f>
        <v>0</v>
      </c>
      <c r="T119" s="28" t="n">
        <f aca="false">SUMIF($C$2:$F$2,EOMONTH(T$2,-1)+1,$C119:$F119)*VLOOKUP(T$2,ProyDia[],8,0)</f>
        <v>0</v>
      </c>
      <c r="U119" s="28" t="n">
        <f aca="false">SUMIF($C$2:$F$2,EOMONTH(U$2,-1)+1,$C119:$F119)*VLOOKUP(U$2,ProyDia[],8,0)</f>
        <v>0</v>
      </c>
      <c r="V119" s="28" t="n">
        <f aca="false">SUMIF($C$2:$F$2,EOMONTH(V$2,-1)+1,$C119:$F119)*VLOOKUP(V$2,ProyDia[],8,0)</f>
        <v>0</v>
      </c>
      <c r="W119" s="28" t="n">
        <f aca="false">SUMIF($C$2:$F$2,EOMONTH(W$2,-1)+1,$C119:$F119)*VLOOKUP(W$2,ProyDia[],8,0)</f>
        <v>0</v>
      </c>
      <c r="X119" s="28" t="n">
        <f aca="false">SUMIF($C$2:$F$2,EOMONTH(X$2,-1)+1,$C119:$F119)*VLOOKUP(X$2,ProyDia[],8,0)</f>
        <v>0</v>
      </c>
      <c r="Y119" s="28" t="n">
        <f aca="false">SUMIF($C$2:$F$2,EOMONTH(Y$2,-1)+1,$C119:$F119)*VLOOKUP(Y$2,ProyDia[],8,0)</f>
        <v>0</v>
      </c>
      <c r="Z119" s="28" t="n">
        <f aca="false">SUMIF($C$2:$F$2,EOMONTH(Z$2,-1)+1,$C119:$F119)*VLOOKUP(Z$2,ProyDia[],8,0)</f>
        <v>0</v>
      </c>
      <c r="AA119" s="28" t="n">
        <f aca="false">SUMIF($C$2:$F$2,EOMONTH(AA$2,-1)+1,$C119:$F119)*VLOOKUP(AA$2,ProyDia[],8,0)</f>
        <v>0</v>
      </c>
      <c r="AB119" s="28" t="n">
        <f aca="false">SUMIF($C$2:$F$2,EOMONTH(AB$2,-1)+1,$C119:$F119)*VLOOKUP(AB$2,ProyDia[],8,0)</f>
        <v>0</v>
      </c>
      <c r="AC119" s="28" t="n">
        <f aca="false">SUMIF($C$2:$F$2,EOMONTH(AC$2,-1)+1,$C119:$F119)*VLOOKUP(AC$2,ProyDia[],8,0)</f>
        <v>0</v>
      </c>
      <c r="AD119" s="28" t="n">
        <f aca="false">SUMIF($C$2:$F$2,EOMONTH(AD$2,-1)+1,$C119:$F119)*VLOOKUP(AD$2,ProyDia[],8,0)</f>
        <v>0</v>
      </c>
      <c r="AE119" s="28" t="n">
        <f aca="false">SUMIF($C$2:$F$2,EOMONTH(AE$2,-1)+1,$C119:$F119)*VLOOKUP(AE$2,ProyDia[],8,0)</f>
        <v>0</v>
      </c>
      <c r="AF119" s="28" t="n">
        <f aca="false">SUMIF($C$2:$F$2,EOMONTH(AF$2,-1)+1,$C119:$F119)*VLOOKUP(AF$2,ProyDia[],8,0)</f>
        <v>0</v>
      </c>
      <c r="AG119" s="28" t="n">
        <f aca="false">SUMIF($C$2:$F$2,EOMONTH(AG$2,-1)+1,$C119:$F119)*VLOOKUP(AG$2,ProyDia[],8,0)</f>
        <v>0</v>
      </c>
      <c r="AH119" s="28" t="n">
        <f aca="false">SUMIF($C$2:$F$2,EOMONTH(AH$2,-1)+1,$C119:$F119)*VLOOKUP(AH$2,ProyDia[],8,0)</f>
        <v>0</v>
      </c>
      <c r="AI119" s="28" t="n">
        <f aca="false">SUMIF($C$2:$F$2,EOMONTH(AI$2,-1)+1,$C119:$F119)*VLOOKUP(AI$2,ProyDia[],8,0)</f>
        <v>0</v>
      </c>
      <c r="AJ119" s="28" t="n">
        <f aca="false">SUMIF($C$2:$F$2,EOMONTH(AJ$2,-1)+1,$C119:$F119)*VLOOKUP(AJ$2,ProyDia[],8,0)</f>
        <v>0</v>
      </c>
      <c r="AK119" s="28" t="n">
        <f aca="false">SUMIF($C$2:$F$2,EOMONTH(AK$2,-1)+1,$C119:$F119)*VLOOKUP(AK$2,ProyDia[],8,0)</f>
        <v>0</v>
      </c>
      <c r="AL119" s="28" t="n">
        <f aca="false">SUMIF($C$2:$F$2,EOMONTH(AL$2,-1)+1,$C119:$F119)*VLOOKUP(AL$2,ProyDia[],8,0)</f>
        <v>0</v>
      </c>
      <c r="AM119" s="28" t="n">
        <f aca="false">SUMIF($C$2:$F$2,EOMONTH(AM$2,-1)+1,$C119:$F119)*VLOOKUP(AM$2,ProyDia[],8,0)</f>
        <v>0</v>
      </c>
      <c r="AN119" s="28" t="n">
        <f aca="false">SUMIF($C$2:$F$2,EOMONTH(AN$2,-1)+1,$C119:$F119)*VLOOKUP(AN$2,ProyDia[],8,0)</f>
        <v>0</v>
      </c>
      <c r="AO119" s="28" t="n">
        <f aca="false">SUMIF($C$2:$F$2,EOMONTH(AO$2,-1)+1,$C119:$F119)*VLOOKUP(AO$2,ProyDia[],8,0)</f>
        <v>0</v>
      </c>
      <c r="AP119" s="28" t="n">
        <f aca="false">SUMIF($C$2:$F$2,EOMONTH(AP$2,-1)+1,$C119:$F119)*VLOOKUP(AP$2,ProyDia[],8,0)</f>
        <v>0</v>
      </c>
      <c r="AQ119" s="28" t="n">
        <f aca="false">SUMIF($C$2:$F$2,EOMONTH(AQ$2,-1)+1,$C119:$F119)*VLOOKUP(AQ$2,ProyDia[],8,0)</f>
        <v>0</v>
      </c>
      <c r="AR119" s="28" t="n">
        <f aca="false">SUMIF($C$2:$F$2,EOMONTH(AR$2,-1)+1,$C119:$F119)*VLOOKUP(AR$2,ProyDia[],8,0)</f>
        <v>0</v>
      </c>
      <c r="AS119" s="28" t="n">
        <f aca="false">SUMIF($C$2:$F$2,EOMONTH(AS$2,-1)+1,$C119:$F119)*VLOOKUP(AS$2,ProyDia[],8,0)</f>
        <v>0</v>
      </c>
      <c r="AT119" s="28" t="n">
        <f aca="false">SUMIF($C$2:$F$2,EOMONTH(AT$2,-1)+1,$C119:$F119)*VLOOKUP(AT$2,ProyDia[],8,0)</f>
        <v>0</v>
      </c>
      <c r="AU119" s="28" t="n">
        <f aca="false">SUMIF($C$2:$F$2,EOMONTH(AU$2,-1)+1,$C119:$F119)*VLOOKUP(AU$2,ProyDia[],8,0)</f>
        <v>0</v>
      </c>
      <c r="AV119" s="28" t="n">
        <f aca="false">SUMIF($C$2:$F$2,EOMONTH(AV$2,-1)+1,$C119:$F119)*VLOOKUP(AV$2,ProyDia[],8,0)</f>
        <v>0</v>
      </c>
      <c r="AW119" s="28" t="n">
        <f aca="false">SUMIF($C$2:$F$2,EOMONTH(AW$2,-1)+1,$C119:$F119)*VLOOKUP(AW$2,ProyDia[],8,0)</f>
        <v>0</v>
      </c>
      <c r="AX119" s="28" t="n">
        <f aca="false">SUMIF($C$2:$F$2,EOMONTH(AX$2,-1)+1,$C119:$F119)*VLOOKUP(AX$2,ProyDia[],8,0)</f>
        <v>0</v>
      </c>
      <c r="AY119" s="28" t="n">
        <f aca="false">SUMIF($C$2:$F$2,EOMONTH(AY$2,-1)+1,$C119:$F119)*VLOOKUP(AY$2,ProyDia[],8,0)</f>
        <v>0</v>
      </c>
      <c r="AZ119" s="28" t="n">
        <f aca="false">SUMIF($C$2:$F$2,EOMONTH(AZ$2,-1)+1,$C119:$F119)*VLOOKUP(AZ$2,ProyDia[],8,0)</f>
        <v>0</v>
      </c>
      <c r="BA119" s="28" t="n">
        <f aca="false">SUMIF($C$2:$F$2,EOMONTH(BA$2,-1)+1,$C119:$F119)*VLOOKUP(BA$2,ProyDia[],8,0)</f>
        <v>0</v>
      </c>
      <c r="BB119" s="28" t="n">
        <f aca="false">SUMIF($C$2:$F$2,EOMONTH(BB$2,-1)+1,$C119:$F119)*VLOOKUP(BB$2,ProyDia[],8,0)</f>
        <v>0</v>
      </c>
      <c r="BC119" s="28" t="n">
        <f aca="false">SUMIF($C$2:$F$2,EOMONTH(BC$2,-1)+1,$C119:$F119)*VLOOKUP(BC$2,ProyDia[],8,0)</f>
        <v>0</v>
      </c>
      <c r="BD119" s="28" t="n">
        <f aca="false">SUMIF($C$2:$F$2,EOMONTH(BD$2,-1)+1,$C119:$F119)*VLOOKUP(BD$2,ProyDia[],8,0)</f>
        <v>0</v>
      </c>
      <c r="BE119" s="28" t="n">
        <f aca="false">SUMIF($C$2:$F$2,EOMONTH(BE$2,-1)+1,$C119:$F119)*VLOOKUP(BE$2,ProyDia[],8,0)</f>
        <v>0</v>
      </c>
      <c r="BF119" s="28" t="n">
        <f aca="false">SUMIF($C$2:$F$2,EOMONTH(BF$2,-1)+1,$C119:$F119)*VLOOKUP(BF$2,ProyDia[],8,0)</f>
        <v>0</v>
      </c>
      <c r="BG119" s="28" t="n">
        <f aca="false">SUMIF($C$2:$F$2,EOMONTH(BG$2,-1)+1,$C119:$F119)*VLOOKUP(BG$2,ProyDia[],8,0)</f>
        <v>0</v>
      </c>
      <c r="BH119" s="28" t="n">
        <f aca="false">SUMIF($C$2:$F$2,EOMONTH(BH$2,-1)+1,$C119:$F119)*VLOOKUP(BH$2,ProyDia[],8,0)</f>
        <v>0</v>
      </c>
      <c r="BI119" s="28" t="n">
        <f aca="false">SUMIF($C$2:$F$2,EOMONTH(BI$2,-1)+1,$C119:$F119)*VLOOKUP(BI$2,ProyDia[],8,0)</f>
        <v>0</v>
      </c>
      <c r="BJ119" s="28" t="n">
        <f aca="false">SUMIF($C$2:$F$2,EOMONTH(BJ$2,-1)+1,$C119:$F119)*VLOOKUP(BJ$2,ProyDia[],8,0)</f>
        <v>0</v>
      </c>
      <c r="BK119" s="28" t="n">
        <f aca="false">SUMIF($C$2:$F$2,EOMONTH(BK$2,-1)+1,$C119:$F119)*VLOOKUP(BK$2,ProyDia[],8,0)</f>
        <v>0</v>
      </c>
      <c r="BL119" s="28" t="n">
        <f aca="false">SUMIF($C$2:$F$2,EOMONTH(BL$2,-1)+1,$C119:$F119)*VLOOKUP(BL$2,ProyDia[],8,0)</f>
        <v>0</v>
      </c>
      <c r="BM119" s="28" t="n">
        <f aca="false">SUMIF($C$2:$F$2,EOMONTH(BM$2,-1)+1,$C119:$F119)*VLOOKUP(BM$2,ProyDia[],8,0)</f>
        <v>0</v>
      </c>
      <c r="BN119" s="28" t="n">
        <f aca="false">SUMIF($C$2:$F$2,EOMONTH(BN$2,-1)+1,$C119:$F119)*VLOOKUP(BN$2,ProyDia[],8,0)</f>
        <v>0</v>
      </c>
      <c r="BO119" s="28" t="n">
        <f aca="false">SUMIF($C$2:$F$2,EOMONTH(BO$2,-1)+1,$C119:$F119)*VLOOKUP(BO$2,ProyDia[],8,0)</f>
        <v>0</v>
      </c>
      <c r="BP119" s="28" t="n">
        <f aca="false">SUMIF($C$2:$F$2,EOMONTH(BP$2,-1)+1,$C119:$F119)*VLOOKUP(BP$2,ProyDia[],8,0)</f>
        <v>0</v>
      </c>
      <c r="BQ119" s="28" t="n">
        <f aca="false">SUMIF($C$2:$F$2,EOMONTH(BQ$2,-1)+1,$C119:$F119)*VLOOKUP(BQ$2,ProyDia[],8,0)</f>
        <v>0</v>
      </c>
      <c r="BR119" s="28" t="n">
        <f aca="false">SUMIF($C$2:$F$2,EOMONTH(BR$2,-1)+1,$C119:$F119)*VLOOKUP(BR$2,ProyDia[],8,0)</f>
        <v>0</v>
      </c>
      <c r="BS119" s="28" t="n">
        <f aca="false">SUMIF($C$2:$F$2,EOMONTH(BS$2,-1)+1,$C119:$F119)*VLOOKUP(BS$2,ProyDia[],8,0)</f>
        <v>0</v>
      </c>
      <c r="BT119" s="28" t="n">
        <f aca="false">SUMIF($C$2:$F$2,EOMONTH(BT$2,-1)+1,$C119:$F119)*VLOOKUP(BT$2,ProyDia[],8,0)</f>
        <v>0</v>
      </c>
      <c r="BU119" s="28" t="n">
        <f aca="false">SUMIF($C$2:$F$2,EOMONTH(BU$2,-1)+1,$C119:$F119)*VLOOKUP(BU$2,ProyDia[],8,0)</f>
        <v>0</v>
      </c>
      <c r="BV119" s="28" t="n">
        <f aca="false">SUMIF($C$2:$F$2,EOMONTH(BV$2,-1)+1,$C119:$F119)*VLOOKUP(BV$2,ProyDia[],8,0)</f>
        <v>0</v>
      </c>
      <c r="BW119" s="28" t="n">
        <f aca="false">SUMIF($C$2:$F$2,EOMONTH(BW$2,-1)+1,$C119:$F119)*VLOOKUP(BW$2,ProyDia[],8,0)</f>
        <v>0</v>
      </c>
      <c r="BX119" s="28" t="n">
        <f aca="false">SUMIF($C$2:$F$2,EOMONTH(BX$2,-1)+1,$C119:$F119)*VLOOKUP(BX$2,ProyDia[],8,0)</f>
        <v>0</v>
      </c>
      <c r="BY119" s="28" t="n">
        <f aca="false">SUMIF($C$2:$F$2,EOMONTH(BY$2,-1)+1,$C119:$F119)*VLOOKUP(BY$2,ProyDia[],8,0)</f>
        <v>0</v>
      </c>
      <c r="BZ119" s="28" t="n">
        <f aca="false">SUMIF($C$2:$F$2,EOMONTH(BZ$2,-1)+1,$C119:$F119)*VLOOKUP(BZ$2,ProyDia[],8,0)</f>
        <v>0</v>
      </c>
      <c r="CA119" s="28" t="n">
        <f aca="false">SUMIF($C$2:$F$2,EOMONTH(CA$2,-1)+1,$C119:$F119)*VLOOKUP(CA$2,ProyDia[],8,0)</f>
        <v>0</v>
      </c>
      <c r="CB119" s="28" t="n">
        <f aca="false">SUMIF($C$2:$F$2,EOMONTH(CB$2,-1)+1,$C119:$F119)*VLOOKUP(CB$2,ProyDia[],8,0)</f>
        <v>0</v>
      </c>
      <c r="CC119" s="28" t="n">
        <f aca="false">SUMIF($C$2:$F$2,EOMONTH(CC$2,-1)+1,$C119:$F119)*VLOOKUP(CC$2,ProyDia[],8,0)</f>
        <v>0</v>
      </c>
      <c r="CD119" s="28" t="n">
        <f aca="false">SUMIF($C$2:$F$2,EOMONTH(CD$2,-1)+1,$C119:$F119)*VLOOKUP(CD$2,ProyDia[],8,0)</f>
        <v>0</v>
      </c>
      <c r="CE119" s="28" t="n">
        <f aca="false">SUMIF($C$2:$F$2,EOMONTH(CE$2,-1)+1,$C119:$F119)*VLOOKUP(CE$2,ProyDia[],8,0)</f>
        <v>0</v>
      </c>
      <c r="CF119" s="28" t="n">
        <f aca="false">SUMIF($C$2:$F$2,EOMONTH(CF$2,-1)+1,$C119:$F119)*VLOOKUP(CF$2,ProyDia[],8,0)</f>
        <v>0</v>
      </c>
      <c r="CG119" s="28" t="n">
        <f aca="false">SUMIF($C$2:$F$2,EOMONTH(CG$2,-1)+1,$C119:$F119)*VLOOKUP(CG$2,ProyDia[],8,0)</f>
        <v>0</v>
      </c>
      <c r="CH119" s="28" t="n">
        <f aca="false">SUMIF($C$2:$F$2,EOMONTH(CH$2,-1)+1,$C119:$F119)*VLOOKUP(CH$2,ProyDia[],8,0)</f>
        <v>0</v>
      </c>
      <c r="CI119" s="28" t="n">
        <f aca="false">SUMIF($C$2:$F$2,EOMONTH(CI$2,-1)+1,$C119:$F119)*VLOOKUP(CI$2,ProyDia[],8,0)</f>
        <v>0</v>
      </c>
      <c r="CJ119" s="28" t="n">
        <f aca="false">SUMIF($C$2:$F$2,EOMONTH(CJ$2,-1)+1,$C119:$F119)*VLOOKUP(CJ$2,ProyDia[],8,0)</f>
        <v>0</v>
      </c>
      <c r="CK119" s="28" t="n">
        <f aca="false">SUMIF($C$2:$F$2,EOMONTH(CK$2,-1)+1,$C119:$F119)*VLOOKUP(CK$2,ProyDia[],8,0)</f>
        <v>0</v>
      </c>
      <c r="CL119" s="28" t="n">
        <f aca="false">SUMIF($C$2:$F$2,EOMONTH(CL$2,-1)+1,$C119:$F119)*VLOOKUP(CL$2,ProyDia[],8,0)</f>
        <v>0</v>
      </c>
      <c r="CM119" s="28" t="n">
        <f aca="false">SUMIF($C$2:$F$2,EOMONTH(CM$2,-1)+1,$C119:$F119)*VLOOKUP(CM$2,ProyDia[],8,0)</f>
        <v>0</v>
      </c>
      <c r="CN119" s="28" t="n">
        <f aca="false">SUMIF($C$2:$F$2,EOMONTH(CN$2,-1)+1,$C119:$F119)*VLOOKUP(CN$2,ProyDia[],8,0)</f>
        <v>0</v>
      </c>
      <c r="CO119" s="28" t="n">
        <f aca="false">SUMIF($C$2:$F$2,EOMONTH(CO$2,-1)+1,$C119:$F119)*VLOOKUP(CO$2,ProyDia[],8,0)</f>
        <v>0</v>
      </c>
      <c r="CP119" s="28" t="n">
        <f aca="false">SUMIF($C$2:$F$2,EOMONTH(CP$2,-1)+1,$C119:$F119)*VLOOKUP(CP$2,ProyDia[],8,0)</f>
        <v>0</v>
      </c>
      <c r="CQ119" s="28" t="n">
        <f aca="false">SUMIF($C$2:$F$2,EOMONTH(CQ$2,-1)+1,$C119:$F119)*VLOOKUP(CQ$2,ProyDia[],8,0)</f>
        <v>0</v>
      </c>
      <c r="CR119" s="28" t="n">
        <f aca="false">SUMIF($C$2:$F$2,EOMONTH(CR$2,-1)+1,$C119:$F119)*VLOOKUP(CR$2,ProyDia[],8,0)</f>
        <v>0</v>
      </c>
      <c r="CS119" s="28" t="n">
        <f aca="false">SUMIF($C$2:$F$2,EOMONTH(CS$2,-1)+1,$C119:$F119)*VLOOKUP(CS$2,ProyDia[],8,0)</f>
        <v>0</v>
      </c>
      <c r="CT119" s="28" t="n">
        <f aca="false">SUMIF($C$2:$F$2,EOMONTH(CT$2,-1)+1,$C119:$F119)*VLOOKUP(CT$2,ProyDia[],8,0)</f>
        <v>0</v>
      </c>
      <c r="CU119" s="28" t="n">
        <f aca="false">SUMIF($C$2:$F$2,EOMONTH(CU$2,-1)+1,$C119:$F119)*VLOOKUP(CU$2,ProyDia[],8,0)</f>
        <v>0</v>
      </c>
      <c r="CV119" s="28" t="n">
        <f aca="false">SUMIF($C$2:$F$2,EOMONTH(CV$2,-1)+1,$C119:$F119)*VLOOKUP(CV$2,ProyDia[],8,0)</f>
        <v>0</v>
      </c>
      <c r="CW119" s="28" t="n">
        <f aca="false">SUMIF($C$2:$F$2,EOMONTH(CW$2,-1)+1,$C119:$F119)*VLOOKUP(CW$2,ProyDia[],8,0)</f>
        <v>0</v>
      </c>
      <c r="CX119" s="28" t="n">
        <f aca="false">SUMIF($C$2:$F$2,EOMONTH(CX$2,-1)+1,$C119:$F119)*VLOOKUP(CX$2,ProyDia[],8,0)</f>
        <v>0</v>
      </c>
      <c r="CY119" s="28" t="n">
        <f aca="false">SUMIF($C$2:$F$2,EOMONTH(CY$2,-1)+1,$C119:$F119)*VLOOKUP(CY$2,ProyDia[],8,0)</f>
        <v>0</v>
      </c>
      <c r="CZ119" s="28" t="n">
        <f aca="false">SUMIF($C$2:$F$2,EOMONTH(CZ$2,-1)+1,$C119:$F119)*VLOOKUP(CZ$2,ProyDia[],8,0)</f>
        <v>0</v>
      </c>
      <c r="DA119" s="28" t="n">
        <f aca="false">SUMIF($C$2:$F$2,EOMONTH(DA$2,-1)+1,$C119:$F119)*VLOOKUP(DA$2,ProyDia[],8,0)</f>
        <v>0</v>
      </c>
      <c r="DB119" s="28" t="n">
        <f aca="false">SUMIF($C$2:$F$2,EOMONTH(DB$2,-1)+1,$C119:$F119)*VLOOKUP(DB$2,ProyDia[],8,0)</f>
        <v>0</v>
      </c>
      <c r="DC119" s="28" t="n">
        <f aca="false">SUMIF($C$2:$F$2,EOMONTH(DC$2,-1)+1,$C119:$F119)*VLOOKUP(DC$2,ProyDia[],8,0)</f>
        <v>0</v>
      </c>
      <c r="DD119" s="28" t="n">
        <f aca="false">SUMIF($C$2:$F$2,EOMONTH(DD$2,-1)+1,$C119:$F119)*VLOOKUP(DD$2,ProyDia[],8,0)</f>
        <v>0</v>
      </c>
      <c r="DE119" s="28" t="n">
        <f aca="false">SUMIF($C$2:$F$2,EOMONTH(DE$2,-1)+1,$C119:$F119)*VLOOKUP(DE$2,ProyDia[],8,0)</f>
        <v>0</v>
      </c>
      <c r="DF119" s="28" t="n">
        <f aca="false">SUMIF($C$2:$F$2,EOMONTH(DF$2,-1)+1,$C119:$F119)*VLOOKUP(DF$2,ProyDia[],8,0)</f>
        <v>0</v>
      </c>
      <c r="DG119" s="28" t="n">
        <f aca="false">SUMIF($C$2:$F$2,EOMONTH(DG$2,-1)+1,$C119:$F119)*VLOOKUP(DG$2,ProyDia[],8,0)</f>
        <v>0</v>
      </c>
      <c r="DH119" s="28" t="n">
        <f aca="false">SUMIF($C$2:$F$2,EOMONTH(DH$2,-1)+1,$C119:$F119)*VLOOKUP(DH$2,ProyDia[],8,0)</f>
        <v>0</v>
      </c>
      <c r="DI119" s="28" t="n">
        <f aca="false">SUMIF($C$2:$F$2,EOMONTH(DI$2,-1)+1,$C119:$F119)*VLOOKUP(DI$2,ProyDia[],8,0)</f>
        <v>0</v>
      </c>
      <c r="DJ119" s="28" t="n">
        <f aca="false">SUMIF($C$2:$F$2,EOMONTH(DJ$2,-1)+1,$C119:$F119)*VLOOKUP(DJ$2,ProyDia[],8,0)</f>
        <v>0</v>
      </c>
      <c r="DK119" s="28" t="n">
        <f aca="false">SUMIF($C$2:$F$2,EOMONTH(DK$2,-1)+1,$C119:$F119)*VLOOKUP(DK$2,ProyDia[],8,0)</f>
        <v>0</v>
      </c>
      <c r="DL119" s="28" t="n">
        <f aca="false">SUMIF($C$2:$F$2,EOMONTH(DL$2,-1)+1,$C119:$F119)*VLOOKUP(DL$2,ProyDia[],8,0)</f>
        <v>0</v>
      </c>
      <c r="DM119" s="28" t="n">
        <f aca="false">SUMIF($C$2:$F$2,EOMONTH(DM$2,-1)+1,$C119:$F119)*VLOOKUP(DM$2,ProyDia[],8,0)</f>
        <v>0</v>
      </c>
      <c r="DN119" s="28" t="n">
        <f aca="false">SUMIF($C$2:$F$2,EOMONTH(DN$2,-1)+1,$C119:$F119)*VLOOKUP(DN$2,ProyDia[],8,0)</f>
        <v>0</v>
      </c>
      <c r="DO119" s="28" t="n">
        <f aca="false">SUMIF($C$2:$F$2,EOMONTH(DO$2,-1)+1,$C119:$F119)*VLOOKUP(DO$2,ProyDia[],8,0)</f>
        <v>0</v>
      </c>
      <c r="DP119" s="28" t="n">
        <f aca="false">SUMIF($C$2:$F$2,EOMONTH(DP$2,-1)+1,$C119:$F119)*VLOOKUP(DP$2,ProyDia[],8,0)</f>
        <v>0</v>
      </c>
      <c r="DQ119" s="28" t="n">
        <f aca="false">SUMIF($C$2:$F$2,EOMONTH(DQ$2,-1)+1,$C119:$F119)*VLOOKUP(DQ$2,ProyDia[],8,0)</f>
        <v>0</v>
      </c>
      <c r="DR119" s="28" t="n">
        <f aca="false">SUMIF($C$2:$F$2,EOMONTH(DR$2,-1)+1,$C119:$F119)*VLOOKUP(DR$2,ProyDia[],8,0)</f>
        <v>0</v>
      </c>
      <c r="DS119" s="28" t="n">
        <f aca="false">SUMIF($C$2:$F$2,EOMONTH(DS$2,-1)+1,$C119:$F119)*VLOOKUP(DS$2,ProyDia[],8,0)</f>
        <v>0</v>
      </c>
      <c r="DT119" s="28" t="n">
        <f aca="false">SUMIF($C$2:$F$2,EOMONTH(DT$2,-1)+1,$C119:$F119)*VLOOKUP(DT$2,ProyDia[],8,0)</f>
        <v>0</v>
      </c>
      <c r="DU119" s="28" t="n">
        <f aca="false">SUMIF($C$2:$F$2,EOMONTH(DU$2,-1)+1,$C119:$F119)*VLOOKUP(DU$2,ProyDia[],8,0)</f>
        <v>0</v>
      </c>
      <c r="DV119" s="28" t="n">
        <f aca="false">SUMIF($C$2:$F$2,EOMONTH(DV$2,-1)+1,$C119:$F119)*VLOOKUP(DV$2,ProyDia[],8,0)</f>
        <v>0</v>
      </c>
      <c r="DW119" s="28" t="n">
        <f aca="false">SUMIF($C$2:$F$2,EOMONTH(DW$2,-1)+1,$C119:$F119)*VLOOKUP(DW$2,ProyDia[],8,0)</f>
        <v>0</v>
      </c>
      <c r="DX119" s="28" t="n">
        <f aca="false">SUMIF($C$2:$F$2,EOMONTH(DX$2,-1)+1,$C119:$F119)*VLOOKUP(DX$2,ProyDia[],8,0)</f>
        <v>0</v>
      </c>
    </row>
    <row r="120" customFormat="false" ht="14.4" hidden="false" customHeight="false" outlineLevel="0" collapsed="false">
      <c r="A120" s="35"/>
      <c r="B120" s="35"/>
      <c r="C120" s="35"/>
      <c r="D120" s="35"/>
      <c r="E120" s="35"/>
      <c r="F120" s="35"/>
      <c r="G120" s="36" t="n">
        <f aca="false">SUMIF($C$2:$F$2,EOMONTH(G$2,-1)+1,$C120:$F120)*VLOOKUP(G$2,ProyDia[],8,0)</f>
        <v>0</v>
      </c>
      <c r="H120" s="36" t="n">
        <f aca="false">SUMIF($C$2:$F$2,EOMONTH(H$2,-1)+1,$C120:$F120)*VLOOKUP(H$2,ProyDia[],8,0)</f>
        <v>0</v>
      </c>
      <c r="I120" s="36" t="n">
        <f aca="false">SUMIF($C$2:$F$2,EOMONTH(I$2,-1)+1,$C120:$F120)*VLOOKUP(I$2,ProyDia[],8,0)</f>
        <v>0</v>
      </c>
      <c r="J120" s="36" t="n">
        <f aca="false">SUMIF($C$2:$F$2,EOMONTH(J$2,-1)+1,$C120:$F120)*VLOOKUP(J$2,ProyDia[],8,0)</f>
        <v>0</v>
      </c>
      <c r="K120" s="36" t="n">
        <f aca="false">SUMIF($C$2:$F$2,EOMONTH(K$2,-1)+1,$C120:$F120)*VLOOKUP(K$2,ProyDia[],8,0)</f>
        <v>0</v>
      </c>
      <c r="L120" s="36" t="n">
        <f aca="false">SUMIF($C$2:$F$2,EOMONTH(L$2,-1)+1,$C120:$F120)*VLOOKUP(L$2,ProyDia[],8,0)</f>
        <v>0</v>
      </c>
      <c r="M120" s="36" t="n">
        <f aca="false">SUMIF($C$2:$F$2,EOMONTH(M$2,-1)+1,$C120:$F120)*VLOOKUP(M$2,ProyDia[],8,0)</f>
        <v>0</v>
      </c>
      <c r="N120" s="36" t="n">
        <f aca="false">SUMIF($C$2:$F$2,EOMONTH(N$2,-1)+1,$C120:$F120)*VLOOKUP(N$2,ProyDia[],8,0)</f>
        <v>0</v>
      </c>
      <c r="O120" s="36" t="n">
        <f aca="false">SUMIF($C$2:$F$2,EOMONTH(O$2,-1)+1,$C120:$F120)*VLOOKUP(O$2,ProyDia[],8,0)</f>
        <v>0</v>
      </c>
      <c r="P120" s="36" t="n">
        <f aca="false">SUMIF($C$2:$F$2,EOMONTH(P$2,-1)+1,$C120:$F120)*VLOOKUP(P$2,ProyDia[],8,0)</f>
        <v>0</v>
      </c>
      <c r="Q120" s="36" t="n">
        <f aca="false">SUMIF($C$2:$F$2,EOMONTH(Q$2,-1)+1,$C120:$F120)*VLOOKUP(Q$2,ProyDia[],8,0)</f>
        <v>0</v>
      </c>
      <c r="R120" s="36" t="n">
        <f aca="false">SUMIF($C$2:$F$2,EOMONTH(R$2,-1)+1,$C120:$F120)*VLOOKUP(R$2,ProyDia[],8,0)</f>
        <v>0</v>
      </c>
      <c r="S120" s="36" t="n">
        <f aca="false">SUMIF($C$2:$F$2,EOMONTH(S$2,-1)+1,$C120:$F120)*VLOOKUP(S$2,ProyDia[],8,0)</f>
        <v>0</v>
      </c>
      <c r="T120" s="36" t="n">
        <f aca="false">SUMIF($C$2:$F$2,EOMONTH(T$2,-1)+1,$C120:$F120)*VLOOKUP(T$2,ProyDia[],8,0)</f>
        <v>0</v>
      </c>
      <c r="U120" s="36" t="n">
        <f aca="false">SUMIF($C$2:$F$2,EOMONTH(U$2,-1)+1,$C120:$F120)*VLOOKUP(U$2,ProyDia[],8,0)</f>
        <v>0</v>
      </c>
      <c r="V120" s="36" t="n">
        <f aca="false">SUMIF($C$2:$F$2,EOMONTH(V$2,-1)+1,$C120:$F120)*VLOOKUP(V$2,ProyDia[],8,0)</f>
        <v>0</v>
      </c>
      <c r="W120" s="36" t="n">
        <f aca="false">SUMIF($C$2:$F$2,EOMONTH(W$2,-1)+1,$C120:$F120)*VLOOKUP(W$2,ProyDia[],8,0)</f>
        <v>0</v>
      </c>
      <c r="X120" s="36" t="n">
        <f aca="false">SUMIF($C$2:$F$2,EOMONTH(X$2,-1)+1,$C120:$F120)*VLOOKUP(X$2,ProyDia[],8,0)</f>
        <v>0</v>
      </c>
      <c r="Y120" s="36" t="n">
        <f aca="false">SUMIF($C$2:$F$2,EOMONTH(Y$2,-1)+1,$C120:$F120)*VLOOKUP(Y$2,ProyDia[],8,0)</f>
        <v>0</v>
      </c>
      <c r="Z120" s="36" t="n">
        <f aca="false">SUMIF($C$2:$F$2,EOMONTH(Z$2,-1)+1,$C120:$F120)*VLOOKUP(Z$2,ProyDia[],8,0)</f>
        <v>0</v>
      </c>
      <c r="AA120" s="36" t="n">
        <f aca="false">SUMIF($C$2:$F$2,EOMONTH(AA$2,-1)+1,$C120:$F120)*VLOOKUP(AA$2,ProyDia[],8,0)</f>
        <v>0</v>
      </c>
      <c r="AB120" s="36" t="n">
        <f aca="false">SUMIF($C$2:$F$2,EOMONTH(AB$2,-1)+1,$C120:$F120)*VLOOKUP(AB$2,ProyDia[],8,0)</f>
        <v>0</v>
      </c>
      <c r="AC120" s="36" t="n">
        <f aca="false">SUMIF($C$2:$F$2,EOMONTH(AC$2,-1)+1,$C120:$F120)*VLOOKUP(AC$2,ProyDia[],8,0)</f>
        <v>0</v>
      </c>
      <c r="AD120" s="36" t="n">
        <f aca="false">SUMIF($C$2:$F$2,EOMONTH(AD$2,-1)+1,$C120:$F120)*VLOOKUP(AD$2,ProyDia[],8,0)</f>
        <v>0</v>
      </c>
      <c r="AE120" s="36" t="n">
        <f aca="false">SUMIF($C$2:$F$2,EOMONTH(AE$2,-1)+1,$C120:$F120)*VLOOKUP(AE$2,ProyDia[],8,0)</f>
        <v>0</v>
      </c>
      <c r="AF120" s="36" t="n">
        <f aca="false">SUMIF($C$2:$F$2,EOMONTH(AF$2,-1)+1,$C120:$F120)*VLOOKUP(AF$2,ProyDia[],8,0)</f>
        <v>0</v>
      </c>
      <c r="AG120" s="36" t="n">
        <f aca="false">SUMIF($C$2:$F$2,EOMONTH(AG$2,-1)+1,$C120:$F120)*VLOOKUP(AG$2,ProyDia[],8,0)</f>
        <v>0</v>
      </c>
      <c r="AH120" s="36" t="n">
        <f aca="false">SUMIF($C$2:$F$2,EOMONTH(AH$2,-1)+1,$C120:$F120)*VLOOKUP(AH$2,ProyDia[],8,0)</f>
        <v>0</v>
      </c>
      <c r="AI120" s="36" t="n">
        <f aca="false">SUMIF($C$2:$F$2,EOMONTH(AI$2,-1)+1,$C120:$F120)*VLOOKUP(AI$2,ProyDia[],8,0)</f>
        <v>0</v>
      </c>
      <c r="AJ120" s="36" t="n">
        <f aca="false">SUMIF($C$2:$F$2,EOMONTH(AJ$2,-1)+1,$C120:$F120)*VLOOKUP(AJ$2,ProyDia[],8,0)</f>
        <v>0</v>
      </c>
      <c r="AK120" s="36" t="n">
        <f aca="false">SUMIF($C$2:$F$2,EOMONTH(AK$2,-1)+1,$C120:$F120)*VLOOKUP(AK$2,ProyDia[],8,0)</f>
        <v>0</v>
      </c>
      <c r="AL120" s="36" t="n">
        <f aca="false">SUMIF($C$2:$F$2,EOMONTH(AL$2,-1)+1,$C120:$F120)*VLOOKUP(AL$2,ProyDia[],8,0)</f>
        <v>0</v>
      </c>
      <c r="AM120" s="36" t="n">
        <f aca="false">SUMIF($C$2:$F$2,EOMONTH(AM$2,-1)+1,$C120:$F120)*VLOOKUP(AM$2,ProyDia[],8,0)</f>
        <v>0</v>
      </c>
      <c r="AN120" s="36" t="n">
        <f aca="false">SUMIF($C$2:$F$2,EOMONTH(AN$2,-1)+1,$C120:$F120)*VLOOKUP(AN$2,ProyDia[],8,0)</f>
        <v>0</v>
      </c>
      <c r="AO120" s="36" t="n">
        <f aca="false">SUMIF($C$2:$F$2,EOMONTH(AO$2,-1)+1,$C120:$F120)*VLOOKUP(AO$2,ProyDia[],8,0)</f>
        <v>0</v>
      </c>
      <c r="AP120" s="36" t="n">
        <f aca="false">SUMIF($C$2:$F$2,EOMONTH(AP$2,-1)+1,$C120:$F120)*VLOOKUP(AP$2,ProyDia[],8,0)</f>
        <v>0</v>
      </c>
      <c r="AQ120" s="36" t="n">
        <f aca="false">SUMIF($C$2:$F$2,EOMONTH(AQ$2,-1)+1,$C120:$F120)*VLOOKUP(AQ$2,ProyDia[],8,0)</f>
        <v>0</v>
      </c>
      <c r="AR120" s="36" t="n">
        <f aca="false">SUMIF($C$2:$F$2,EOMONTH(AR$2,-1)+1,$C120:$F120)*VLOOKUP(AR$2,ProyDia[],8,0)</f>
        <v>0</v>
      </c>
      <c r="AS120" s="36" t="n">
        <f aca="false">SUMIF($C$2:$F$2,EOMONTH(AS$2,-1)+1,$C120:$F120)*VLOOKUP(AS$2,ProyDia[],8,0)</f>
        <v>0</v>
      </c>
      <c r="AT120" s="36" t="n">
        <f aca="false">SUMIF($C$2:$F$2,EOMONTH(AT$2,-1)+1,$C120:$F120)*VLOOKUP(AT$2,ProyDia[],8,0)</f>
        <v>0</v>
      </c>
      <c r="AU120" s="36" t="n">
        <f aca="false">SUMIF($C$2:$F$2,EOMONTH(AU$2,-1)+1,$C120:$F120)*VLOOKUP(AU$2,ProyDia[],8,0)</f>
        <v>0</v>
      </c>
      <c r="AV120" s="36" t="n">
        <f aca="false">SUMIF($C$2:$F$2,EOMONTH(AV$2,-1)+1,$C120:$F120)*VLOOKUP(AV$2,ProyDia[],8,0)</f>
        <v>0</v>
      </c>
      <c r="AW120" s="36" t="n">
        <f aca="false">SUMIF($C$2:$F$2,EOMONTH(AW$2,-1)+1,$C120:$F120)*VLOOKUP(AW$2,ProyDia[],8,0)</f>
        <v>0</v>
      </c>
      <c r="AX120" s="36" t="n">
        <f aca="false">SUMIF($C$2:$F$2,EOMONTH(AX$2,-1)+1,$C120:$F120)*VLOOKUP(AX$2,ProyDia[],8,0)</f>
        <v>0</v>
      </c>
      <c r="AY120" s="36" t="n">
        <f aca="false">SUMIF($C$2:$F$2,EOMONTH(AY$2,-1)+1,$C120:$F120)*VLOOKUP(AY$2,ProyDia[],8,0)</f>
        <v>0</v>
      </c>
      <c r="AZ120" s="36" t="n">
        <f aca="false">SUMIF($C$2:$F$2,EOMONTH(AZ$2,-1)+1,$C120:$F120)*VLOOKUP(AZ$2,ProyDia[],8,0)</f>
        <v>0</v>
      </c>
      <c r="BA120" s="36" t="n">
        <f aca="false">SUMIF($C$2:$F$2,EOMONTH(BA$2,-1)+1,$C120:$F120)*VLOOKUP(BA$2,ProyDia[],8,0)</f>
        <v>0</v>
      </c>
      <c r="BB120" s="36" t="n">
        <f aca="false">SUMIF($C$2:$F$2,EOMONTH(BB$2,-1)+1,$C120:$F120)*VLOOKUP(BB$2,ProyDia[],8,0)</f>
        <v>0</v>
      </c>
      <c r="BC120" s="36" t="n">
        <f aca="false">SUMIF($C$2:$F$2,EOMONTH(BC$2,-1)+1,$C120:$F120)*VLOOKUP(BC$2,ProyDia[],8,0)</f>
        <v>0</v>
      </c>
      <c r="BD120" s="36" t="n">
        <f aca="false">SUMIF($C$2:$F$2,EOMONTH(BD$2,-1)+1,$C120:$F120)*VLOOKUP(BD$2,ProyDia[],8,0)</f>
        <v>0</v>
      </c>
      <c r="BE120" s="36" t="n">
        <f aca="false">SUMIF($C$2:$F$2,EOMONTH(BE$2,-1)+1,$C120:$F120)*VLOOKUP(BE$2,ProyDia[],8,0)</f>
        <v>0</v>
      </c>
      <c r="BF120" s="36" t="n">
        <f aca="false">SUMIF($C$2:$F$2,EOMONTH(BF$2,-1)+1,$C120:$F120)*VLOOKUP(BF$2,ProyDia[],8,0)</f>
        <v>0</v>
      </c>
      <c r="BG120" s="36" t="n">
        <f aca="false">SUMIF($C$2:$F$2,EOMONTH(BG$2,-1)+1,$C120:$F120)*VLOOKUP(BG$2,ProyDia[],8,0)</f>
        <v>0</v>
      </c>
      <c r="BH120" s="36" t="n">
        <f aca="false">SUMIF($C$2:$F$2,EOMONTH(BH$2,-1)+1,$C120:$F120)*VLOOKUP(BH$2,ProyDia[],8,0)</f>
        <v>0</v>
      </c>
      <c r="BI120" s="36" t="n">
        <f aca="false">SUMIF($C$2:$F$2,EOMONTH(BI$2,-1)+1,$C120:$F120)*VLOOKUP(BI$2,ProyDia[],8,0)</f>
        <v>0</v>
      </c>
      <c r="BJ120" s="36" t="n">
        <f aca="false">SUMIF($C$2:$F$2,EOMONTH(BJ$2,-1)+1,$C120:$F120)*VLOOKUP(BJ$2,ProyDia[],8,0)</f>
        <v>0</v>
      </c>
      <c r="BK120" s="36" t="n">
        <f aca="false">SUMIF($C$2:$F$2,EOMONTH(BK$2,-1)+1,$C120:$F120)*VLOOKUP(BK$2,ProyDia[],8,0)</f>
        <v>0</v>
      </c>
      <c r="BL120" s="36" t="n">
        <f aca="false">SUMIF($C$2:$F$2,EOMONTH(BL$2,-1)+1,$C120:$F120)*VLOOKUP(BL$2,ProyDia[],8,0)</f>
        <v>0</v>
      </c>
      <c r="BM120" s="36" t="n">
        <f aca="false">SUMIF($C$2:$F$2,EOMONTH(BM$2,-1)+1,$C120:$F120)*VLOOKUP(BM$2,ProyDia[],8,0)</f>
        <v>0</v>
      </c>
      <c r="BN120" s="36" t="n">
        <f aca="false">SUMIF($C$2:$F$2,EOMONTH(BN$2,-1)+1,$C120:$F120)*VLOOKUP(BN$2,ProyDia[],8,0)</f>
        <v>0</v>
      </c>
      <c r="BO120" s="36" t="n">
        <f aca="false">SUMIF($C$2:$F$2,EOMONTH(BO$2,-1)+1,$C120:$F120)*VLOOKUP(BO$2,ProyDia[],8,0)</f>
        <v>0</v>
      </c>
      <c r="BP120" s="36" t="n">
        <f aca="false">SUMIF($C$2:$F$2,EOMONTH(BP$2,-1)+1,$C120:$F120)*VLOOKUP(BP$2,ProyDia[],8,0)</f>
        <v>0</v>
      </c>
      <c r="BQ120" s="36" t="n">
        <f aca="false">SUMIF($C$2:$F$2,EOMONTH(BQ$2,-1)+1,$C120:$F120)*VLOOKUP(BQ$2,ProyDia[],8,0)</f>
        <v>0</v>
      </c>
      <c r="BR120" s="36" t="n">
        <f aca="false">SUMIF($C$2:$F$2,EOMONTH(BR$2,-1)+1,$C120:$F120)*VLOOKUP(BR$2,ProyDia[],8,0)</f>
        <v>0</v>
      </c>
      <c r="BS120" s="36" t="n">
        <f aca="false">SUMIF($C$2:$F$2,EOMONTH(BS$2,-1)+1,$C120:$F120)*VLOOKUP(BS$2,ProyDia[],8,0)</f>
        <v>0</v>
      </c>
      <c r="BT120" s="36" t="n">
        <f aca="false">SUMIF($C$2:$F$2,EOMONTH(BT$2,-1)+1,$C120:$F120)*VLOOKUP(BT$2,ProyDia[],8,0)</f>
        <v>0</v>
      </c>
      <c r="BU120" s="36" t="n">
        <f aca="false">SUMIF($C$2:$F$2,EOMONTH(BU$2,-1)+1,$C120:$F120)*VLOOKUP(BU$2,ProyDia[],8,0)</f>
        <v>0</v>
      </c>
      <c r="BV120" s="36" t="n">
        <f aca="false">SUMIF($C$2:$F$2,EOMONTH(BV$2,-1)+1,$C120:$F120)*VLOOKUP(BV$2,ProyDia[],8,0)</f>
        <v>0</v>
      </c>
      <c r="BW120" s="36" t="n">
        <f aca="false">SUMIF($C$2:$F$2,EOMONTH(BW$2,-1)+1,$C120:$F120)*VLOOKUP(BW$2,ProyDia[],8,0)</f>
        <v>0</v>
      </c>
      <c r="BX120" s="36" t="n">
        <f aca="false">SUMIF($C$2:$F$2,EOMONTH(BX$2,-1)+1,$C120:$F120)*VLOOKUP(BX$2,ProyDia[],8,0)</f>
        <v>0</v>
      </c>
      <c r="BY120" s="36" t="n">
        <f aca="false">SUMIF($C$2:$F$2,EOMONTH(BY$2,-1)+1,$C120:$F120)*VLOOKUP(BY$2,ProyDia[],8,0)</f>
        <v>0</v>
      </c>
      <c r="BZ120" s="36" t="n">
        <f aca="false">SUMIF($C$2:$F$2,EOMONTH(BZ$2,-1)+1,$C120:$F120)*VLOOKUP(BZ$2,ProyDia[],8,0)</f>
        <v>0</v>
      </c>
      <c r="CA120" s="36" t="n">
        <f aca="false">SUMIF($C$2:$F$2,EOMONTH(CA$2,-1)+1,$C120:$F120)*VLOOKUP(CA$2,ProyDia[],8,0)</f>
        <v>0</v>
      </c>
      <c r="CB120" s="36" t="n">
        <f aca="false">SUMIF($C$2:$F$2,EOMONTH(CB$2,-1)+1,$C120:$F120)*VLOOKUP(CB$2,ProyDia[],8,0)</f>
        <v>0</v>
      </c>
      <c r="CC120" s="36" t="n">
        <f aca="false">SUMIF($C$2:$F$2,EOMONTH(CC$2,-1)+1,$C120:$F120)*VLOOKUP(CC$2,ProyDia[],8,0)</f>
        <v>0</v>
      </c>
      <c r="CD120" s="36" t="n">
        <f aca="false">SUMIF($C$2:$F$2,EOMONTH(CD$2,-1)+1,$C120:$F120)*VLOOKUP(CD$2,ProyDia[],8,0)</f>
        <v>0</v>
      </c>
      <c r="CE120" s="36" t="n">
        <f aca="false">SUMIF($C$2:$F$2,EOMONTH(CE$2,-1)+1,$C120:$F120)*VLOOKUP(CE$2,ProyDia[],8,0)</f>
        <v>0</v>
      </c>
      <c r="CF120" s="36" t="n">
        <f aca="false">SUMIF($C$2:$F$2,EOMONTH(CF$2,-1)+1,$C120:$F120)*VLOOKUP(CF$2,ProyDia[],8,0)</f>
        <v>0</v>
      </c>
      <c r="CG120" s="36" t="n">
        <f aca="false">SUMIF($C$2:$F$2,EOMONTH(CG$2,-1)+1,$C120:$F120)*VLOOKUP(CG$2,ProyDia[],8,0)</f>
        <v>0</v>
      </c>
      <c r="CH120" s="36" t="n">
        <f aca="false">SUMIF($C$2:$F$2,EOMONTH(CH$2,-1)+1,$C120:$F120)*VLOOKUP(CH$2,ProyDia[],8,0)</f>
        <v>0</v>
      </c>
      <c r="CI120" s="36" t="n">
        <f aca="false">SUMIF($C$2:$F$2,EOMONTH(CI$2,-1)+1,$C120:$F120)*VLOOKUP(CI$2,ProyDia[],8,0)</f>
        <v>0</v>
      </c>
      <c r="CJ120" s="36" t="n">
        <f aca="false">SUMIF($C$2:$F$2,EOMONTH(CJ$2,-1)+1,$C120:$F120)*VLOOKUP(CJ$2,ProyDia[],8,0)</f>
        <v>0</v>
      </c>
      <c r="CK120" s="36" t="n">
        <f aca="false">SUMIF($C$2:$F$2,EOMONTH(CK$2,-1)+1,$C120:$F120)*VLOOKUP(CK$2,ProyDia[],8,0)</f>
        <v>0</v>
      </c>
      <c r="CL120" s="36" t="n">
        <f aca="false">SUMIF($C$2:$F$2,EOMONTH(CL$2,-1)+1,$C120:$F120)*VLOOKUP(CL$2,ProyDia[],8,0)</f>
        <v>0</v>
      </c>
      <c r="CM120" s="36" t="n">
        <f aca="false">SUMIF($C$2:$F$2,EOMONTH(CM$2,-1)+1,$C120:$F120)*VLOOKUP(CM$2,ProyDia[],8,0)</f>
        <v>0</v>
      </c>
      <c r="CN120" s="36" t="n">
        <f aca="false">SUMIF($C$2:$F$2,EOMONTH(CN$2,-1)+1,$C120:$F120)*VLOOKUP(CN$2,ProyDia[],8,0)</f>
        <v>0</v>
      </c>
      <c r="CO120" s="36" t="n">
        <f aca="false">SUMIF($C$2:$F$2,EOMONTH(CO$2,-1)+1,$C120:$F120)*VLOOKUP(CO$2,ProyDia[],8,0)</f>
        <v>0</v>
      </c>
      <c r="CP120" s="36" t="n">
        <f aca="false">SUMIF($C$2:$F$2,EOMONTH(CP$2,-1)+1,$C120:$F120)*VLOOKUP(CP$2,ProyDia[],8,0)</f>
        <v>0</v>
      </c>
      <c r="CQ120" s="36" t="n">
        <f aca="false">SUMIF($C$2:$F$2,EOMONTH(CQ$2,-1)+1,$C120:$F120)*VLOOKUP(CQ$2,ProyDia[],8,0)</f>
        <v>0</v>
      </c>
      <c r="CR120" s="36" t="n">
        <f aca="false">SUMIF($C$2:$F$2,EOMONTH(CR$2,-1)+1,$C120:$F120)*VLOOKUP(CR$2,ProyDia[],8,0)</f>
        <v>0</v>
      </c>
      <c r="CS120" s="36" t="n">
        <f aca="false">SUMIF($C$2:$F$2,EOMONTH(CS$2,-1)+1,$C120:$F120)*VLOOKUP(CS$2,ProyDia[],8,0)</f>
        <v>0</v>
      </c>
      <c r="CT120" s="36" t="n">
        <f aca="false">SUMIF($C$2:$F$2,EOMONTH(CT$2,-1)+1,$C120:$F120)*VLOOKUP(CT$2,ProyDia[],8,0)</f>
        <v>0</v>
      </c>
      <c r="CU120" s="36" t="n">
        <f aca="false">SUMIF($C$2:$F$2,EOMONTH(CU$2,-1)+1,$C120:$F120)*VLOOKUP(CU$2,ProyDia[],8,0)</f>
        <v>0</v>
      </c>
      <c r="CV120" s="36" t="n">
        <f aca="false">SUMIF($C$2:$F$2,EOMONTH(CV$2,-1)+1,$C120:$F120)*VLOOKUP(CV$2,ProyDia[],8,0)</f>
        <v>0</v>
      </c>
      <c r="CW120" s="36" t="n">
        <f aca="false">SUMIF($C$2:$F$2,EOMONTH(CW$2,-1)+1,$C120:$F120)*VLOOKUP(CW$2,ProyDia[],8,0)</f>
        <v>0</v>
      </c>
      <c r="CX120" s="36" t="n">
        <f aca="false">SUMIF($C$2:$F$2,EOMONTH(CX$2,-1)+1,$C120:$F120)*VLOOKUP(CX$2,ProyDia[],8,0)</f>
        <v>0</v>
      </c>
      <c r="CY120" s="36" t="n">
        <f aca="false">SUMIF($C$2:$F$2,EOMONTH(CY$2,-1)+1,$C120:$F120)*VLOOKUP(CY$2,ProyDia[],8,0)</f>
        <v>0</v>
      </c>
      <c r="CZ120" s="36" t="n">
        <f aca="false">SUMIF($C$2:$F$2,EOMONTH(CZ$2,-1)+1,$C120:$F120)*VLOOKUP(CZ$2,ProyDia[],8,0)</f>
        <v>0</v>
      </c>
      <c r="DA120" s="36" t="n">
        <f aca="false">SUMIF($C$2:$F$2,EOMONTH(DA$2,-1)+1,$C120:$F120)*VLOOKUP(DA$2,ProyDia[],8,0)</f>
        <v>0</v>
      </c>
      <c r="DB120" s="36" t="n">
        <f aca="false">SUMIF($C$2:$F$2,EOMONTH(DB$2,-1)+1,$C120:$F120)*VLOOKUP(DB$2,ProyDia[],8,0)</f>
        <v>0</v>
      </c>
      <c r="DC120" s="36" t="n">
        <f aca="false">SUMIF($C$2:$F$2,EOMONTH(DC$2,-1)+1,$C120:$F120)*VLOOKUP(DC$2,ProyDia[],8,0)</f>
        <v>0</v>
      </c>
      <c r="DD120" s="36" t="n">
        <f aca="false">SUMIF($C$2:$F$2,EOMONTH(DD$2,-1)+1,$C120:$F120)*VLOOKUP(DD$2,ProyDia[],8,0)</f>
        <v>0</v>
      </c>
      <c r="DE120" s="36" t="n">
        <f aca="false">SUMIF($C$2:$F$2,EOMONTH(DE$2,-1)+1,$C120:$F120)*VLOOKUP(DE$2,ProyDia[],8,0)</f>
        <v>0</v>
      </c>
      <c r="DF120" s="36" t="n">
        <f aca="false">SUMIF($C$2:$F$2,EOMONTH(DF$2,-1)+1,$C120:$F120)*VLOOKUP(DF$2,ProyDia[],8,0)</f>
        <v>0</v>
      </c>
      <c r="DG120" s="36" t="n">
        <f aca="false">SUMIF($C$2:$F$2,EOMONTH(DG$2,-1)+1,$C120:$F120)*VLOOKUP(DG$2,ProyDia[],8,0)</f>
        <v>0</v>
      </c>
      <c r="DH120" s="36" t="n">
        <f aca="false">SUMIF($C$2:$F$2,EOMONTH(DH$2,-1)+1,$C120:$F120)*VLOOKUP(DH$2,ProyDia[],8,0)</f>
        <v>0</v>
      </c>
      <c r="DI120" s="36" t="n">
        <f aca="false">SUMIF($C$2:$F$2,EOMONTH(DI$2,-1)+1,$C120:$F120)*VLOOKUP(DI$2,ProyDia[],8,0)</f>
        <v>0</v>
      </c>
      <c r="DJ120" s="36" t="n">
        <f aca="false">SUMIF($C$2:$F$2,EOMONTH(DJ$2,-1)+1,$C120:$F120)*VLOOKUP(DJ$2,ProyDia[],8,0)</f>
        <v>0</v>
      </c>
      <c r="DK120" s="36" t="n">
        <f aca="false">SUMIF($C$2:$F$2,EOMONTH(DK$2,-1)+1,$C120:$F120)*VLOOKUP(DK$2,ProyDia[],8,0)</f>
        <v>0</v>
      </c>
      <c r="DL120" s="36" t="n">
        <f aca="false">SUMIF($C$2:$F$2,EOMONTH(DL$2,-1)+1,$C120:$F120)*VLOOKUP(DL$2,ProyDia[],8,0)</f>
        <v>0</v>
      </c>
      <c r="DM120" s="36" t="n">
        <f aca="false">SUMIF($C$2:$F$2,EOMONTH(DM$2,-1)+1,$C120:$F120)*VLOOKUP(DM$2,ProyDia[],8,0)</f>
        <v>0</v>
      </c>
      <c r="DN120" s="36" t="n">
        <f aca="false">SUMIF($C$2:$F$2,EOMONTH(DN$2,-1)+1,$C120:$F120)*VLOOKUP(DN$2,ProyDia[],8,0)</f>
        <v>0</v>
      </c>
      <c r="DO120" s="36" t="n">
        <f aca="false">SUMIF($C$2:$F$2,EOMONTH(DO$2,-1)+1,$C120:$F120)*VLOOKUP(DO$2,ProyDia[],8,0)</f>
        <v>0</v>
      </c>
      <c r="DP120" s="36" t="n">
        <f aca="false">SUMIF($C$2:$F$2,EOMONTH(DP$2,-1)+1,$C120:$F120)*VLOOKUP(DP$2,ProyDia[],8,0)</f>
        <v>0</v>
      </c>
      <c r="DQ120" s="36" t="n">
        <f aca="false">SUMIF($C$2:$F$2,EOMONTH(DQ$2,-1)+1,$C120:$F120)*VLOOKUP(DQ$2,ProyDia[],8,0)</f>
        <v>0</v>
      </c>
      <c r="DR120" s="36" t="n">
        <f aca="false">SUMIF($C$2:$F$2,EOMONTH(DR$2,-1)+1,$C120:$F120)*VLOOKUP(DR$2,ProyDia[],8,0)</f>
        <v>0</v>
      </c>
      <c r="DS120" s="36" t="n">
        <f aca="false">SUMIF($C$2:$F$2,EOMONTH(DS$2,-1)+1,$C120:$F120)*VLOOKUP(DS$2,ProyDia[],8,0)</f>
        <v>0</v>
      </c>
      <c r="DT120" s="36" t="n">
        <f aca="false">SUMIF($C$2:$F$2,EOMONTH(DT$2,-1)+1,$C120:$F120)*VLOOKUP(DT$2,ProyDia[],8,0)</f>
        <v>0</v>
      </c>
      <c r="DU120" s="36" t="n">
        <f aca="false">SUMIF($C$2:$F$2,EOMONTH(DU$2,-1)+1,$C120:$F120)*VLOOKUP(DU$2,ProyDia[],8,0)</f>
        <v>0</v>
      </c>
      <c r="DV120" s="36" t="n">
        <f aca="false">SUMIF($C$2:$F$2,EOMONTH(DV$2,-1)+1,$C120:$F120)*VLOOKUP(DV$2,ProyDia[],8,0)</f>
        <v>0</v>
      </c>
      <c r="DW120" s="36" t="n">
        <f aca="false">SUMIF($C$2:$F$2,EOMONTH(DW$2,-1)+1,$C120:$F120)*VLOOKUP(DW$2,ProyDia[],8,0)</f>
        <v>0</v>
      </c>
      <c r="DX120" s="36" t="n">
        <f aca="false">SUMIF($C$2:$F$2,EOMONTH(DX$2,-1)+1,$C120:$F120)*VLOOKUP(DX$2,ProyDia[],8,0)</f>
        <v>0</v>
      </c>
    </row>
    <row r="121" customFormat="false" ht="14.4" hidden="false" customHeight="false" outlineLevel="0" collapsed="false">
      <c r="A121" s="34"/>
      <c r="B121" s="34"/>
      <c r="C121" s="34"/>
      <c r="D121" s="34"/>
      <c r="E121" s="34"/>
      <c r="F121" s="34"/>
      <c r="G121" s="28" t="n">
        <f aca="false">SUMIF($C$2:$F$2,EOMONTH(G$2,-1)+1,$C121:$F121)*VLOOKUP(G$2,ProyDia[],8,0)</f>
        <v>0</v>
      </c>
      <c r="H121" s="28" t="n">
        <f aca="false">SUMIF($C$2:$F$2,EOMONTH(H$2,-1)+1,$C121:$F121)*VLOOKUP(H$2,ProyDia[],8,0)</f>
        <v>0</v>
      </c>
      <c r="I121" s="28" t="n">
        <f aca="false">SUMIF($C$2:$F$2,EOMONTH(I$2,-1)+1,$C121:$F121)*VLOOKUP(I$2,ProyDia[],8,0)</f>
        <v>0</v>
      </c>
      <c r="J121" s="28" t="n">
        <f aca="false">SUMIF($C$2:$F$2,EOMONTH(J$2,-1)+1,$C121:$F121)*VLOOKUP(J$2,ProyDia[],8,0)</f>
        <v>0</v>
      </c>
      <c r="K121" s="28" t="n">
        <f aca="false">SUMIF($C$2:$F$2,EOMONTH(K$2,-1)+1,$C121:$F121)*VLOOKUP(K$2,ProyDia[],8,0)</f>
        <v>0</v>
      </c>
      <c r="L121" s="28" t="n">
        <f aca="false">SUMIF($C$2:$F$2,EOMONTH(L$2,-1)+1,$C121:$F121)*VLOOKUP(L$2,ProyDia[],8,0)</f>
        <v>0</v>
      </c>
      <c r="M121" s="28" t="n">
        <f aca="false">SUMIF($C$2:$F$2,EOMONTH(M$2,-1)+1,$C121:$F121)*VLOOKUP(M$2,ProyDia[],8,0)</f>
        <v>0</v>
      </c>
      <c r="N121" s="28" t="n">
        <f aca="false">SUMIF($C$2:$F$2,EOMONTH(N$2,-1)+1,$C121:$F121)*VLOOKUP(N$2,ProyDia[],8,0)</f>
        <v>0</v>
      </c>
      <c r="O121" s="28" t="n">
        <f aca="false">SUMIF($C$2:$F$2,EOMONTH(O$2,-1)+1,$C121:$F121)*VLOOKUP(O$2,ProyDia[],8,0)</f>
        <v>0</v>
      </c>
      <c r="P121" s="28" t="n">
        <f aca="false">SUMIF($C$2:$F$2,EOMONTH(P$2,-1)+1,$C121:$F121)*VLOOKUP(P$2,ProyDia[],8,0)</f>
        <v>0</v>
      </c>
      <c r="Q121" s="28" t="n">
        <f aca="false">SUMIF($C$2:$F$2,EOMONTH(Q$2,-1)+1,$C121:$F121)*VLOOKUP(Q$2,ProyDia[],8,0)</f>
        <v>0</v>
      </c>
      <c r="R121" s="28" t="n">
        <f aca="false">SUMIF($C$2:$F$2,EOMONTH(R$2,-1)+1,$C121:$F121)*VLOOKUP(R$2,ProyDia[],8,0)</f>
        <v>0</v>
      </c>
      <c r="S121" s="28" t="n">
        <f aca="false">SUMIF($C$2:$F$2,EOMONTH(S$2,-1)+1,$C121:$F121)*VLOOKUP(S$2,ProyDia[],8,0)</f>
        <v>0</v>
      </c>
      <c r="T121" s="28" t="n">
        <f aca="false">SUMIF($C$2:$F$2,EOMONTH(T$2,-1)+1,$C121:$F121)*VLOOKUP(T$2,ProyDia[],8,0)</f>
        <v>0</v>
      </c>
      <c r="U121" s="28" t="n">
        <f aca="false">SUMIF($C$2:$F$2,EOMONTH(U$2,-1)+1,$C121:$F121)*VLOOKUP(U$2,ProyDia[],8,0)</f>
        <v>0</v>
      </c>
      <c r="V121" s="28" t="n">
        <f aca="false">SUMIF($C$2:$F$2,EOMONTH(V$2,-1)+1,$C121:$F121)*VLOOKUP(V$2,ProyDia[],8,0)</f>
        <v>0</v>
      </c>
      <c r="W121" s="28" t="n">
        <f aca="false">SUMIF($C$2:$F$2,EOMONTH(W$2,-1)+1,$C121:$F121)*VLOOKUP(W$2,ProyDia[],8,0)</f>
        <v>0</v>
      </c>
      <c r="X121" s="28" t="n">
        <f aca="false">SUMIF($C$2:$F$2,EOMONTH(X$2,-1)+1,$C121:$F121)*VLOOKUP(X$2,ProyDia[],8,0)</f>
        <v>0</v>
      </c>
      <c r="Y121" s="28" t="n">
        <f aca="false">SUMIF($C$2:$F$2,EOMONTH(Y$2,-1)+1,$C121:$F121)*VLOOKUP(Y$2,ProyDia[],8,0)</f>
        <v>0</v>
      </c>
      <c r="Z121" s="28" t="n">
        <f aca="false">SUMIF($C$2:$F$2,EOMONTH(Z$2,-1)+1,$C121:$F121)*VLOOKUP(Z$2,ProyDia[],8,0)</f>
        <v>0</v>
      </c>
      <c r="AA121" s="28" t="n">
        <f aca="false">SUMIF($C$2:$F$2,EOMONTH(AA$2,-1)+1,$C121:$F121)*VLOOKUP(AA$2,ProyDia[],8,0)</f>
        <v>0</v>
      </c>
      <c r="AB121" s="28" t="n">
        <f aca="false">SUMIF($C$2:$F$2,EOMONTH(AB$2,-1)+1,$C121:$F121)*VLOOKUP(AB$2,ProyDia[],8,0)</f>
        <v>0</v>
      </c>
      <c r="AC121" s="28" t="n">
        <f aca="false">SUMIF($C$2:$F$2,EOMONTH(AC$2,-1)+1,$C121:$F121)*VLOOKUP(AC$2,ProyDia[],8,0)</f>
        <v>0</v>
      </c>
      <c r="AD121" s="28" t="n">
        <f aca="false">SUMIF($C$2:$F$2,EOMONTH(AD$2,-1)+1,$C121:$F121)*VLOOKUP(AD$2,ProyDia[],8,0)</f>
        <v>0</v>
      </c>
      <c r="AE121" s="28" t="n">
        <f aca="false">SUMIF($C$2:$F$2,EOMONTH(AE$2,-1)+1,$C121:$F121)*VLOOKUP(AE$2,ProyDia[],8,0)</f>
        <v>0</v>
      </c>
      <c r="AF121" s="28" t="n">
        <f aca="false">SUMIF($C$2:$F$2,EOMONTH(AF$2,-1)+1,$C121:$F121)*VLOOKUP(AF$2,ProyDia[],8,0)</f>
        <v>0</v>
      </c>
      <c r="AG121" s="28" t="n">
        <f aca="false">SUMIF($C$2:$F$2,EOMONTH(AG$2,-1)+1,$C121:$F121)*VLOOKUP(AG$2,ProyDia[],8,0)</f>
        <v>0</v>
      </c>
      <c r="AH121" s="28" t="n">
        <f aca="false">SUMIF($C$2:$F$2,EOMONTH(AH$2,-1)+1,$C121:$F121)*VLOOKUP(AH$2,ProyDia[],8,0)</f>
        <v>0</v>
      </c>
      <c r="AI121" s="28" t="n">
        <f aca="false">SUMIF($C$2:$F$2,EOMONTH(AI$2,-1)+1,$C121:$F121)*VLOOKUP(AI$2,ProyDia[],8,0)</f>
        <v>0</v>
      </c>
      <c r="AJ121" s="28" t="n">
        <f aca="false">SUMIF($C$2:$F$2,EOMONTH(AJ$2,-1)+1,$C121:$F121)*VLOOKUP(AJ$2,ProyDia[],8,0)</f>
        <v>0</v>
      </c>
      <c r="AK121" s="28" t="n">
        <f aca="false">SUMIF($C$2:$F$2,EOMONTH(AK$2,-1)+1,$C121:$F121)*VLOOKUP(AK$2,ProyDia[],8,0)</f>
        <v>0</v>
      </c>
      <c r="AL121" s="28" t="n">
        <f aca="false">SUMIF($C$2:$F$2,EOMONTH(AL$2,-1)+1,$C121:$F121)*VLOOKUP(AL$2,ProyDia[],8,0)</f>
        <v>0</v>
      </c>
      <c r="AM121" s="28" t="n">
        <f aca="false">SUMIF($C$2:$F$2,EOMONTH(AM$2,-1)+1,$C121:$F121)*VLOOKUP(AM$2,ProyDia[],8,0)</f>
        <v>0</v>
      </c>
      <c r="AN121" s="28" t="n">
        <f aca="false">SUMIF($C$2:$F$2,EOMONTH(AN$2,-1)+1,$C121:$F121)*VLOOKUP(AN$2,ProyDia[],8,0)</f>
        <v>0</v>
      </c>
      <c r="AO121" s="28" t="n">
        <f aca="false">SUMIF($C$2:$F$2,EOMONTH(AO$2,-1)+1,$C121:$F121)*VLOOKUP(AO$2,ProyDia[],8,0)</f>
        <v>0</v>
      </c>
      <c r="AP121" s="28" t="n">
        <f aca="false">SUMIF($C$2:$F$2,EOMONTH(AP$2,-1)+1,$C121:$F121)*VLOOKUP(AP$2,ProyDia[],8,0)</f>
        <v>0</v>
      </c>
      <c r="AQ121" s="28" t="n">
        <f aca="false">SUMIF($C$2:$F$2,EOMONTH(AQ$2,-1)+1,$C121:$F121)*VLOOKUP(AQ$2,ProyDia[],8,0)</f>
        <v>0</v>
      </c>
      <c r="AR121" s="28" t="n">
        <f aca="false">SUMIF($C$2:$F$2,EOMONTH(AR$2,-1)+1,$C121:$F121)*VLOOKUP(AR$2,ProyDia[],8,0)</f>
        <v>0</v>
      </c>
      <c r="AS121" s="28" t="n">
        <f aca="false">SUMIF($C$2:$F$2,EOMONTH(AS$2,-1)+1,$C121:$F121)*VLOOKUP(AS$2,ProyDia[],8,0)</f>
        <v>0</v>
      </c>
      <c r="AT121" s="28" t="n">
        <f aca="false">SUMIF($C$2:$F$2,EOMONTH(AT$2,-1)+1,$C121:$F121)*VLOOKUP(AT$2,ProyDia[],8,0)</f>
        <v>0</v>
      </c>
      <c r="AU121" s="28" t="n">
        <f aca="false">SUMIF($C$2:$F$2,EOMONTH(AU$2,-1)+1,$C121:$F121)*VLOOKUP(AU$2,ProyDia[],8,0)</f>
        <v>0</v>
      </c>
      <c r="AV121" s="28" t="n">
        <f aca="false">SUMIF($C$2:$F$2,EOMONTH(AV$2,-1)+1,$C121:$F121)*VLOOKUP(AV$2,ProyDia[],8,0)</f>
        <v>0</v>
      </c>
      <c r="AW121" s="28" t="n">
        <f aca="false">SUMIF($C$2:$F$2,EOMONTH(AW$2,-1)+1,$C121:$F121)*VLOOKUP(AW$2,ProyDia[],8,0)</f>
        <v>0</v>
      </c>
      <c r="AX121" s="28" t="n">
        <f aca="false">SUMIF($C$2:$F$2,EOMONTH(AX$2,-1)+1,$C121:$F121)*VLOOKUP(AX$2,ProyDia[],8,0)</f>
        <v>0</v>
      </c>
      <c r="AY121" s="28" t="n">
        <f aca="false">SUMIF($C$2:$F$2,EOMONTH(AY$2,-1)+1,$C121:$F121)*VLOOKUP(AY$2,ProyDia[],8,0)</f>
        <v>0</v>
      </c>
      <c r="AZ121" s="28" t="n">
        <f aca="false">SUMIF($C$2:$F$2,EOMONTH(AZ$2,-1)+1,$C121:$F121)*VLOOKUP(AZ$2,ProyDia[],8,0)</f>
        <v>0</v>
      </c>
      <c r="BA121" s="28" t="n">
        <f aca="false">SUMIF($C$2:$F$2,EOMONTH(BA$2,-1)+1,$C121:$F121)*VLOOKUP(BA$2,ProyDia[],8,0)</f>
        <v>0</v>
      </c>
      <c r="BB121" s="28" t="n">
        <f aca="false">SUMIF($C$2:$F$2,EOMONTH(BB$2,-1)+1,$C121:$F121)*VLOOKUP(BB$2,ProyDia[],8,0)</f>
        <v>0</v>
      </c>
      <c r="BC121" s="28" t="n">
        <f aca="false">SUMIF($C$2:$F$2,EOMONTH(BC$2,-1)+1,$C121:$F121)*VLOOKUP(BC$2,ProyDia[],8,0)</f>
        <v>0</v>
      </c>
      <c r="BD121" s="28" t="n">
        <f aca="false">SUMIF($C$2:$F$2,EOMONTH(BD$2,-1)+1,$C121:$F121)*VLOOKUP(BD$2,ProyDia[],8,0)</f>
        <v>0</v>
      </c>
      <c r="BE121" s="28" t="n">
        <f aca="false">SUMIF($C$2:$F$2,EOMONTH(BE$2,-1)+1,$C121:$F121)*VLOOKUP(BE$2,ProyDia[],8,0)</f>
        <v>0</v>
      </c>
      <c r="BF121" s="28" t="n">
        <f aca="false">SUMIF($C$2:$F$2,EOMONTH(BF$2,-1)+1,$C121:$F121)*VLOOKUP(BF$2,ProyDia[],8,0)</f>
        <v>0</v>
      </c>
      <c r="BG121" s="28" t="n">
        <f aca="false">SUMIF($C$2:$F$2,EOMONTH(BG$2,-1)+1,$C121:$F121)*VLOOKUP(BG$2,ProyDia[],8,0)</f>
        <v>0</v>
      </c>
      <c r="BH121" s="28" t="n">
        <f aca="false">SUMIF($C$2:$F$2,EOMONTH(BH$2,-1)+1,$C121:$F121)*VLOOKUP(BH$2,ProyDia[],8,0)</f>
        <v>0</v>
      </c>
      <c r="BI121" s="28" t="n">
        <f aca="false">SUMIF($C$2:$F$2,EOMONTH(BI$2,-1)+1,$C121:$F121)*VLOOKUP(BI$2,ProyDia[],8,0)</f>
        <v>0</v>
      </c>
      <c r="BJ121" s="28" t="n">
        <f aca="false">SUMIF($C$2:$F$2,EOMONTH(BJ$2,-1)+1,$C121:$F121)*VLOOKUP(BJ$2,ProyDia[],8,0)</f>
        <v>0</v>
      </c>
      <c r="BK121" s="28" t="n">
        <f aca="false">SUMIF($C$2:$F$2,EOMONTH(BK$2,-1)+1,$C121:$F121)*VLOOKUP(BK$2,ProyDia[],8,0)</f>
        <v>0</v>
      </c>
      <c r="BL121" s="28" t="n">
        <f aca="false">SUMIF($C$2:$F$2,EOMONTH(BL$2,-1)+1,$C121:$F121)*VLOOKUP(BL$2,ProyDia[],8,0)</f>
        <v>0</v>
      </c>
      <c r="BM121" s="28" t="n">
        <f aca="false">SUMIF($C$2:$F$2,EOMONTH(BM$2,-1)+1,$C121:$F121)*VLOOKUP(BM$2,ProyDia[],8,0)</f>
        <v>0</v>
      </c>
      <c r="BN121" s="28" t="n">
        <f aca="false">SUMIF($C$2:$F$2,EOMONTH(BN$2,-1)+1,$C121:$F121)*VLOOKUP(BN$2,ProyDia[],8,0)</f>
        <v>0</v>
      </c>
      <c r="BO121" s="28" t="n">
        <f aca="false">SUMIF($C$2:$F$2,EOMONTH(BO$2,-1)+1,$C121:$F121)*VLOOKUP(BO$2,ProyDia[],8,0)</f>
        <v>0</v>
      </c>
      <c r="BP121" s="28" t="n">
        <f aca="false">SUMIF($C$2:$F$2,EOMONTH(BP$2,-1)+1,$C121:$F121)*VLOOKUP(BP$2,ProyDia[],8,0)</f>
        <v>0</v>
      </c>
      <c r="BQ121" s="28" t="n">
        <f aca="false">SUMIF($C$2:$F$2,EOMONTH(BQ$2,-1)+1,$C121:$F121)*VLOOKUP(BQ$2,ProyDia[],8,0)</f>
        <v>0</v>
      </c>
      <c r="BR121" s="28" t="n">
        <f aca="false">SUMIF($C$2:$F$2,EOMONTH(BR$2,-1)+1,$C121:$F121)*VLOOKUP(BR$2,ProyDia[],8,0)</f>
        <v>0</v>
      </c>
      <c r="BS121" s="28" t="n">
        <f aca="false">SUMIF($C$2:$F$2,EOMONTH(BS$2,-1)+1,$C121:$F121)*VLOOKUP(BS$2,ProyDia[],8,0)</f>
        <v>0</v>
      </c>
      <c r="BT121" s="28" t="n">
        <f aca="false">SUMIF($C$2:$F$2,EOMONTH(BT$2,-1)+1,$C121:$F121)*VLOOKUP(BT$2,ProyDia[],8,0)</f>
        <v>0</v>
      </c>
      <c r="BU121" s="28" t="n">
        <f aca="false">SUMIF($C$2:$F$2,EOMONTH(BU$2,-1)+1,$C121:$F121)*VLOOKUP(BU$2,ProyDia[],8,0)</f>
        <v>0</v>
      </c>
      <c r="BV121" s="28" t="n">
        <f aca="false">SUMIF($C$2:$F$2,EOMONTH(BV$2,-1)+1,$C121:$F121)*VLOOKUP(BV$2,ProyDia[],8,0)</f>
        <v>0</v>
      </c>
      <c r="BW121" s="28" t="n">
        <f aca="false">SUMIF($C$2:$F$2,EOMONTH(BW$2,-1)+1,$C121:$F121)*VLOOKUP(BW$2,ProyDia[],8,0)</f>
        <v>0</v>
      </c>
      <c r="BX121" s="28" t="n">
        <f aca="false">SUMIF($C$2:$F$2,EOMONTH(BX$2,-1)+1,$C121:$F121)*VLOOKUP(BX$2,ProyDia[],8,0)</f>
        <v>0</v>
      </c>
      <c r="BY121" s="28" t="n">
        <f aca="false">SUMIF($C$2:$F$2,EOMONTH(BY$2,-1)+1,$C121:$F121)*VLOOKUP(BY$2,ProyDia[],8,0)</f>
        <v>0</v>
      </c>
      <c r="BZ121" s="28" t="n">
        <f aca="false">SUMIF($C$2:$F$2,EOMONTH(BZ$2,-1)+1,$C121:$F121)*VLOOKUP(BZ$2,ProyDia[],8,0)</f>
        <v>0</v>
      </c>
      <c r="CA121" s="28" t="n">
        <f aca="false">SUMIF($C$2:$F$2,EOMONTH(CA$2,-1)+1,$C121:$F121)*VLOOKUP(CA$2,ProyDia[],8,0)</f>
        <v>0</v>
      </c>
      <c r="CB121" s="28" t="n">
        <f aca="false">SUMIF($C$2:$F$2,EOMONTH(CB$2,-1)+1,$C121:$F121)*VLOOKUP(CB$2,ProyDia[],8,0)</f>
        <v>0</v>
      </c>
      <c r="CC121" s="28" t="n">
        <f aca="false">SUMIF($C$2:$F$2,EOMONTH(CC$2,-1)+1,$C121:$F121)*VLOOKUP(CC$2,ProyDia[],8,0)</f>
        <v>0</v>
      </c>
      <c r="CD121" s="28" t="n">
        <f aca="false">SUMIF($C$2:$F$2,EOMONTH(CD$2,-1)+1,$C121:$F121)*VLOOKUP(CD$2,ProyDia[],8,0)</f>
        <v>0</v>
      </c>
      <c r="CE121" s="28" t="n">
        <f aca="false">SUMIF($C$2:$F$2,EOMONTH(CE$2,-1)+1,$C121:$F121)*VLOOKUP(CE$2,ProyDia[],8,0)</f>
        <v>0</v>
      </c>
      <c r="CF121" s="28" t="n">
        <f aca="false">SUMIF($C$2:$F$2,EOMONTH(CF$2,-1)+1,$C121:$F121)*VLOOKUP(CF$2,ProyDia[],8,0)</f>
        <v>0</v>
      </c>
      <c r="CG121" s="28" t="n">
        <f aca="false">SUMIF($C$2:$F$2,EOMONTH(CG$2,-1)+1,$C121:$F121)*VLOOKUP(CG$2,ProyDia[],8,0)</f>
        <v>0</v>
      </c>
      <c r="CH121" s="28" t="n">
        <f aca="false">SUMIF($C$2:$F$2,EOMONTH(CH$2,-1)+1,$C121:$F121)*VLOOKUP(CH$2,ProyDia[],8,0)</f>
        <v>0</v>
      </c>
      <c r="CI121" s="28" t="n">
        <f aca="false">SUMIF($C$2:$F$2,EOMONTH(CI$2,-1)+1,$C121:$F121)*VLOOKUP(CI$2,ProyDia[],8,0)</f>
        <v>0</v>
      </c>
      <c r="CJ121" s="28" t="n">
        <f aca="false">SUMIF($C$2:$F$2,EOMONTH(CJ$2,-1)+1,$C121:$F121)*VLOOKUP(CJ$2,ProyDia[],8,0)</f>
        <v>0</v>
      </c>
      <c r="CK121" s="28" t="n">
        <f aca="false">SUMIF($C$2:$F$2,EOMONTH(CK$2,-1)+1,$C121:$F121)*VLOOKUP(CK$2,ProyDia[],8,0)</f>
        <v>0</v>
      </c>
      <c r="CL121" s="28" t="n">
        <f aca="false">SUMIF($C$2:$F$2,EOMONTH(CL$2,-1)+1,$C121:$F121)*VLOOKUP(CL$2,ProyDia[],8,0)</f>
        <v>0</v>
      </c>
      <c r="CM121" s="28" t="n">
        <f aca="false">SUMIF($C$2:$F$2,EOMONTH(CM$2,-1)+1,$C121:$F121)*VLOOKUP(CM$2,ProyDia[],8,0)</f>
        <v>0</v>
      </c>
      <c r="CN121" s="28" t="n">
        <f aca="false">SUMIF($C$2:$F$2,EOMONTH(CN$2,-1)+1,$C121:$F121)*VLOOKUP(CN$2,ProyDia[],8,0)</f>
        <v>0</v>
      </c>
      <c r="CO121" s="28" t="n">
        <f aca="false">SUMIF($C$2:$F$2,EOMONTH(CO$2,-1)+1,$C121:$F121)*VLOOKUP(CO$2,ProyDia[],8,0)</f>
        <v>0</v>
      </c>
      <c r="CP121" s="28" t="n">
        <f aca="false">SUMIF($C$2:$F$2,EOMONTH(CP$2,-1)+1,$C121:$F121)*VLOOKUP(CP$2,ProyDia[],8,0)</f>
        <v>0</v>
      </c>
      <c r="CQ121" s="28" t="n">
        <f aca="false">SUMIF($C$2:$F$2,EOMONTH(CQ$2,-1)+1,$C121:$F121)*VLOOKUP(CQ$2,ProyDia[],8,0)</f>
        <v>0</v>
      </c>
      <c r="CR121" s="28" t="n">
        <f aca="false">SUMIF($C$2:$F$2,EOMONTH(CR$2,-1)+1,$C121:$F121)*VLOOKUP(CR$2,ProyDia[],8,0)</f>
        <v>0</v>
      </c>
      <c r="CS121" s="28" t="n">
        <f aca="false">SUMIF($C$2:$F$2,EOMONTH(CS$2,-1)+1,$C121:$F121)*VLOOKUP(CS$2,ProyDia[],8,0)</f>
        <v>0</v>
      </c>
      <c r="CT121" s="28" t="n">
        <f aca="false">SUMIF($C$2:$F$2,EOMONTH(CT$2,-1)+1,$C121:$F121)*VLOOKUP(CT$2,ProyDia[],8,0)</f>
        <v>0</v>
      </c>
      <c r="CU121" s="28" t="n">
        <f aca="false">SUMIF($C$2:$F$2,EOMONTH(CU$2,-1)+1,$C121:$F121)*VLOOKUP(CU$2,ProyDia[],8,0)</f>
        <v>0</v>
      </c>
      <c r="CV121" s="28" t="n">
        <f aca="false">SUMIF($C$2:$F$2,EOMONTH(CV$2,-1)+1,$C121:$F121)*VLOOKUP(CV$2,ProyDia[],8,0)</f>
        <v>0</v>
      </c>
      <c r="CW121" s="28" t="n">
        <f aca="false">SUMIF($C$2:$F$2,EOMONTH(CW$2,-1)+1,$C121:$F121)*VLOOKUP(CW$2,ProyDia[],8,0)</f>
        <v>0</v>
      </c>
      <c r="CX121" s="28" t="n">
        <f aca="false">SUMIF($C$2:$F$2,EOMONTH(CX$2,-1)+1,$C121:$F121)*VLOOKUP(CX$2,ProyDia[],8,0)</f>
        <v>0</v>
      </c>
      <c r="CY121" s="28" t="n">
        <f aca="false">SUMIF($C$2:$F$2,EOMONTH(CY$2,-1)+1,$C121:$F121)*VLOOKUP(CY$2,ProyDia[],8,0)</f>
        <v>0</v>
      </c>
      <c r="CZ121" s="28" t="n">
        <f aca="false">SUMIF($C$2:$F$2,EOMONTH(CZ$2,-1)+1,$C121:$F121)*VLOOKUP(CZ$2,ProyDia[],8,0)</f>
        <v>0</v>
      </c>
      <c r="DA121" s="28" t="n">
        <f aca="false">SUMIF($C$2:$F$2,EOMONTH(DA$2,-1)+1,$C121:$F121)*VLOOKUP(DA$2,ProyDia[],8,0)</f>
        <v>0</v>
      </c>
      <c r="DB121" s="28" t="n">
        <f aca="false">SUMIF($C$2:$F$2,EOMONTH(DB$2,-1)+1,$C121:$F121)*VLOOKUP(DB$2,ProyDia[],8,0)</f>
        <v>0</v>
      </c>
      <c r="DC121" s="28" t="n">
        <f aca="false">SUMIF($C$2:$F$2,EOMONTH(DC$2,-1)+1,$C121:$F121)*VLOOKUP(DC$2,ProyDia[],8,0)</f>
        <v>0</v>
      </c>
      <c r="DD121" s="28" t="n">
        <f aca="false">SUMIF($C$2:$F$2,EOMONTH(DD$2,-1)+1,$C121:$F121)*VLOOKUP(DD$2,ProyDia[],8,0)</f>
        <v>0</v>
      </c>
      <c r="DE121" s="28" t="n">
        <f aca="false">SUMIF($C$2:$F$2,EOMONTH(DE$2,-1)+1,$C121:$F121)*VLOOKUP(DE$2,ProyDia[],8,0)</f>
        <v>0</v>
      </c>
      <c r="DF121" s="28" t="n">
        <f aca="false">SUMIF($C$2:$F$2,EOMONTH(DF$2,-1)+1,$C121:$F121)*VLOOKUP(DF$2,ProyDia[],8,0)</f>
        <v>0</v>
      </c>
      <c r="DG121" s="28" t="n">
        <f aca="false">SUMIF($C$2:$F$2,EOMONTH(DG$2,-1)+1,$C121:$F121)*VLOOKUP(DG$2,ProyDia[],8,0)</f>
        <v>0</v>
      </c>
      <c r="DH121" s="28" t="n">
        <f aca="false">SUMIF($C$2:$F$2,EOMONTH(DH$2,-1)+1,$C121:$F121)*VLOOKUP(DH$2,ProyDia[],8,0)</f>
        <v>0</v>
      </c>
      <c r="DI121" s="28" t="n">
        <f aca="false">SUMIF($C$2:$F$2,EOMONTH(DI$2,-1)+1,$C121:$F121)*VLOOKUP(DI$2,ProyDia[],8,0)</f>
        <v>0</v>
      </c>
      <c r="DJ121" s="28" t="n">
        <f aca="false">SUMIF($C$2:$F$2,EOMONTH(DJ$2,-1)+1,$C121:$F121)*VLOOKUP(DJ$2,ProyDia[],8,0)</f>
        <v>0</v>
      </c>
      <c r="DK121" s="28" t="n">
        <f aca="false">SUMIF($C$2:$F$2,EOMONTH(DK$2,-1)+1,$C121:$F121)*VLOOKUP(DK$2,ProyDia[],8,0)</f>
        <v>0</v>
      </c>
      <c r="DL121" s="28" t="n">
        <f aca="false">SUMIF($C$2:$F$2,EOMONTH(DL$2,-1)+1,$C121:$F121)*VLOOKUP(DL$2,ProyDia[],8,0)</f>
        <v>0</v>
      </c>
      <c r="DM121" s="28" t="n">
        <f aca="false">SUMIF($C$2:$F$2,EOMONTH(DM$2,-1)+1,$C121:$F121)*VLOOKUP(DM$2,ProyDia[],8,0)</f>
        <v>0</v>
      </c>
      <c r="DN121" s="28" t="n">
        <f aca="false">SUMIF($C$2:$F$2,EOMONTH(DN$2,-1)+1,$C121:$F121)*VLOOKUP(DN$2,ProyDia[],8,0)</f>
        <v>0</v>
      </c>
      <c r="DO121" s="28" t="n">
        <f aca="false">SUMIF($C$2:$F$2,EOMONTH(DO$2,-1)+1,$C121:$F121)*VLOOKUP(DO$2,ProyDia[],8,0)</f>
        <v>0</v>
      </c>
      <c r="DP121" s="28" t="n">
        <f aca="false">SUMIF($C$2:$F$2,EOMONTH(DP$2,-1)+1,$C121:$F121)*VLOOKUP(DP$2,ProyDia[],8,0)</f>
        <v>0</v>
      </c>
      <c r="DQ121" s="28" t="n">
        <f aca="false">SUMIF($C$2:$F$2,EOMONTH(DQ$2,-1)+1,$C121:$F121)*VLOOKUP(DQ$2,ProyDia[],8,0)</f>
        <v>0</v>
      </c>
      <c r="DR121" s="28" t="n">
        <f aca="false">SUMIF($C$2:$F$2,EOMONTH(DR$2,-1)+1,$C121:$F121)*VLOOKUP(DR$2,ProyDia[],8,0)</f>
        <v>0</v>
      </c>
      <c r="DS121" s="28" t="n">
        <f aca="false">SUMIF($C$2:$F$2,EOMONTH(DS$2,-1)+1,$C121:$F121)*VLOOKUP(DS$2,ProyDia[],8,0)</f>
        <v>0</v>
      </c>
      <c r="DT121" s="28" t="n">
        <f aca="false">SUMIF($C$2:$F$2,EOMONTH(DT$2,-1)+1,$C121:$F121)*VLOOKUP(DT$2,ProyDia[],8,0)</f>
        <v>0</v>
      </c>
      <c r="DU121" s="28" t="n">
        <f aca="false">SUMIF($C$2:$F$2,EOMONTH(DU$2,-1)+1,$C121:$F121)*VLOOKUP(DU$2,ProyDia[],8,0)</f>
        <v>0</v>
      </c>
      <c r="DV121" s="28" t="n">
        <f aca="false">SUMIF($C$2:$F$2,EOMONTH(DV$2,-1)+1,$C121:$F121)*VLOOKUP(DV$2,ProyDia[],8,0)</f>
        <v>0</v>
      </c>
      <c r="DW121" s="28" t="n">
        <f aca="false">SUMIF($C$2:$F$2,EOMONTH(DW$2,-1)+1,$C121:$F121)*VLOOKUP(DW$2,ProyDia[],8,0)</f>
        <v>0</v>
      </c>
      <c r="DX121" s="28" t="n">
        <f aca="false">SUMIF($C$2:$F$2,EOMONTH(DX$2,-1)+1,$C121:$F121)*VLOOKUP(DX$2,ProyDia[],8,0)</f>
        <v>0</v>
      </c>
    </row>
    <row r="122" customFormat="false" ht="14.4" hidden="false" customHeight="false" outlineLevel="0" collapsed="false">
      <c r="A122" s="35"/>
      <c r="B122" s="35"/>
      <c r="C122" s="35"/>
      <c r="D122" s="35"/>
      <c r="E122" s="35"/>
      <c r="F122" s="35"/>
      <c r="G122" s="36" t="n">
        <f aca="false">SUMIF($C$2:$F$2,EOMONTH(G$2,-1)+1,$C122:$F122)*VLOOKUP(G$2,ProyDia[],8,0)</f>
        <v>0</v>
      </c>
      <c r="H122" s="36" t="n">
        <f aca="false">SUMIF($C$2:$F$2,EOMONTH(H$2,-1)+1,$C122:$F122)*VLOOKUP(H$2,ProyDia[],8,0)</f>
        <v>0</v>
      </c>
      <c r="I122" s="36" t="n">
        <f aca="false">SUMIF($C$2:$F$2,EOMONTH(I$2,-1)+1,$C122:$F122)*VLOOKUP(I$2,ProyDia[],8,0)</f>
        <v>0</v>
      </c>
      <c r="J122" s="36" t="n">
        <f aca="false">SUMIF($C$2:$F$2,EOMONTH(J$2,-1)+1,$C122:$F122)*VLOOKUP(J$2,ProyDia[],8,0)</f>
        <v>0</v>
      </c>
      <c r="K122" s="36" t="n">
        <f aca="false">SUMIF($C$2:$F$2,EOMONTH(K$2,-1)+1,$C122:$F122)*VLOOKUP(K$2,ProyDia[],8,0)</f>
        <v>0</v>
      </c>
      <c r="L122" s="36" t="n">
        <f aca="false">SUMIF($C$2:$F$2,EOMONTH(L$2,-1)+1,$C122:$F122)*VLOOKUP(L$2,ProyDia[],8,0)</f>
        <v>0</v>
      </c>
      <c r="M122" s="36" t="n">
        <f aca="false">SUMIF($C$2:$F$2,EOMONTH(M$2,-1)+1,$C122:$F122)*VLOOKUP(M$2,ProyDia[],8,0)</f>
        <v>0</v>
      </c>
      <c r="N122" s="36" t="n">
        <f aca="false">SUMIF($C$2:$F$2,EOMONTH(N$2,-1)+1,$C122:$F122)*VLOOKUP(N$2,ProyDia[],8,0)</f>
        <v>0</v>
      </c>
      <c r="O122" s="36" t="n">
        <f aca="false">SUMIF($C$2:$F$2,EOMONTH(O$2,-1)+1,$C122:$F122)*VLOOKUP(O$2,ProyDia[],8,0)</f>
        <v>0</v>
      </c>
      <c r="P122" s="36" t="n">
        <f aca="false">SUMIF($C$2:$F$2,EOMONTH(P$2,-1)+1,$C122:$F122)*VLOOKUP(P$2,ProyDia[],8,0)</f>
        <v>0</v>
      </c>
      <c r="Q122" s="36" t="n">
        <f aca="false">SUMIF($C$2:$F$2,EOMONTH(Q$2,-1)+1,$C122:$F122)*VLOOKUP(Q$2,ProyDia[],8,0)</f>
        <v>0</v>
      </c>
      <c r="R122" s="36" t="n">
        <f aca="false">SUMIF($C$2:$F$2,EOMONTH(R$2,-1)+1,$C122:$F122)*VLOOKUP(R$2,ProyDia[],8,0)</f>
        <v>0</v>
      </c>
      <c r="S122" s="36" t="n">
        <f aca="false">SUMIF($C$2:$F$2,EOMONTH(S$2,-1)+1,$C122:$F122)*VLOOKUP(S$2,ProyDia[],8,0)</f>
        <v>0</v>
      </c>
      <c r="T122" s="36" t="n">
        <f aca="false">SUMIF($C$2:$F$2,EOMONTH(T$2,-1)+1,$C122:$F122)*VLOOKUP(T$2,ProyDia[],8,0)</f>
        <v>0</v>
      </c>
      <c r="U122" s="36" t="n">
        <f aca="false">SUMIF($C$2:$F$2,EOMONTH(U$2,-1)+1,$C122:$F122)*VLOOKUP(U$2,ProyDia[],8,0)</f>
        <v>0</v>
      </c>
      <c r="V122" s="36" t="n">
        <f aca="false">SUMIF($C$2:$F$2,EOMONTH(V$2,-1)+1,$C122:$F122)*VLOOKUP(V$2,ProyDia[],8,0)</f>
        <v>0</v>
      </c>
      <c r="W122" s="36" t="n">
        <f aca="false">SUMIF($C$2:$F$2,EOMONTH(W$2,-1)+1,$C122:$F122)*VLOOKUP(W$2,ProyDia[],8,0)</f>
        <v>0</v>
      </c>
      <c r="X122" s="36" t="n">
        <f aca="false">SUMIF($C$2:$F$2,EOMONTH(X$2,-1)+1,$C122:$F122)*VLOOKUP(X$2,ProyDia[],8,0)</f>
        <v>0</v>
      </c>
      <c r="Y122" s="36" t="n">
        <f aca="false">SUMIF($C$2:$F$2,EOMONTH(Y$2,-1)+1,$C122:$F122)*VLOOKUP(Y$2,ProyDia[],8,0)</f>
        <v>0</v>
      </c>
      <c r="Z122" s="36" t="n">
        <f aca="false">SUMIF($C$2:$F$2,EOMONTH(Z$2,-1)+1,$C122:$F122)*VLOOKUP(Z$2,ProyDia[],8,0)</f>
        <v>0</v>
      </c>
      <c r="AA122" s="36" t="n">
        <f aca="false">SUMIF($C$2:$F$2,EOMONTH(AA$2,-1)+1,$C122:$F122)*VLOOKUP(AA$2,ProyDia[],8,0)</f>
        <v>0</v>
      </c>
      <c r="AB122" s="36" t="n">
        <f aca="false">SUMIF($C$2:$F$2,EOMONTH(AB$2,-1)+1,$C122:$F122)*VLOOKUP(AB$2,ProyDia[],8,0)</f>
        <v>0</v>
      </c>
      <c r="AC122" s="36" t="n">
        <f aca="false">SUMIF($C$2:$F$2,EOMONTH(AC$2,-1)+1,$C122:$F122)*VLOOKUP(AC$2,ProyDia[],8,0)</f>
        <v>0</v>
      </c>
      <c r="AD122" s="36" t="n">
        <f aca="false">SUMIF($C$2:$F$2,EOMONTH(AD$2,-1)+1,$C122:$F122)*VLOOKUP(AD$2,ProyDia[],8,0)</f>
        <v>0</v>
      </c>
      <c r="AE122" s="36" t="n">
        <f aca="false">SUMIF($C$2:$F$2,EOMONTH(AE$2,-1)+1,$C122:$F122)*VLOOKUP(AE$2,ProyDia[],8,0)</f>
        <v>0</v>
      </c>
      <c r="AF122" s="36" t="n">
        <f aca="false">SUMIF($C$2:$F$2,EOMONTH(AF$2,-1)+1,$C122:$F122)*VLOOKUP(AF$2,ProyDia[],8,0)</f>
        <v>0</v>
      </c>
      <c r="AG122" s="36" t="n">
        <f aca="false">SUMIF($C$2:$F$2,EOMONTH(AG$2,-1)+1,$C122:$F122)*VLOOKUP(AG$2,ProyDia[],8,0)</f>
        <v>0</v>
      </c>
      <c r="AH122" s="36" t="n">
        <f aca="false">SUMIF($C$2:$F$2,EOMONTH(AH$2,-1)+1,$C122:$F122)*VLOOKUP(AH$2,ProyDia[],8,0)</f>
        <v>0</v>
      </c>
      <c r="AI122" s="36" t="n">
        <f aca="false">SUMIF($C$2:$F$2,EOMONTH(AI$2,-1)+1,$C122:$F122)*VLOOKUP(AI$2,ProyDia[],8,0)</f>
        <v>0</v>
      </c>
      <c r="AJ122" s="36" t="n">
        <f aca="false">SUMIF($C$2:$F$2,EOMONTH(AJ$2,-1)+1,$C122:$F122)*VLOOKUP(AJ$2,ProyDia[],8,0)</f>
        <v>0</v>
      </c>
      <c r="AK122" s="36" t="n">
        <f aca="false">SUMIF($C$2:$F$2,EOMONTH(AK$2,-1)+1,$C122:$F122)*VLOOKUP(AK$2,ProyDia[],8,0)</f>
        <v>0</v>
      </c>
      <c r="AL122" s="36" t="n">
        <f aca="false">SUMIF($C$2:$F$2,EOMONTH(AL$2,-1)+1,$C122:$F122)*VLOOKUP(AL$2,ProyDia[],8,0)</f>
        <v>0</v>
      </c>
      <c r="AM122" s="36" t="n">
        <f aca="false">SUMIF($C$2:$F$2,EOMONTH(AM$2,-1)+1,$C122:$F122)*VLOOKUP(AM$2,ProyDia[],8,0)</f>
        <v>0</v>
      </c>
      <c r="AN122" s="36" t="n">
        <f aca="false">SUMIF($C$2:$F$2,EOMONTH(AN$2,-1)+1,$C122:$F122)*VLOOKUP(AN$2,ProyDia[],8,0)</f>
        <v>0</v>
      </c>
      <c r="AO122" s="36" t="n">
        <f aca="false">SUMIF($C$2:$F$2,EOMONTH(AO$2,-1)+1,$C122:$F122)*VLOOKUP(AO$2,ProyDia[],8,0)</f>
        <v>0</v>
      </c>
      <c r="AP122" s="36" t="n">
        <f aca="false">SUMIF($C$2:$F$2,EOMONTH(AP$2,-1)+1,$C122:$F122)*VLOOKUP(AP$2,ProyDia[],8,0)</f>
        <v>0</v>
      </c>
      <c r="AQ122" s="36" t="n">
        <f aca="false">SUMIF($C$2:$F$2,EOMONTH(AQ$2,-1)+1,$C122:$F122)*VLOOKUP(AQ$2,ProyDia[],8,0)</f>
        <v>0</v>
      </c>
      <c r="AR122" s="36" t="n">
        <f aca="false">SUMIF($C$2:$F$2,EOMONTH(AR$2,-1)+1,$C122:$F122)*VLOOKUP(AR$2,ProyDia[],8,0)</f>
        <v>0</v>
      </c>
      <c r="AS122" s="36" t="n">
        <f aca="false">SUMIF($C$2:$F$2,EOMONTH(AS$2,-1)+1,$C122:$F122)*VLOOKUP(AS$2,ProyDia[],8,0)</f>
        <v>0</v>
      </c>
      <c r="AT122" s="36" t="n">
        <f aca="false">SUMIF($C$2:$F$2,EOMONTH(AT$2,-1)+1,$C122:$F122)*VLOOKUP(AT$2,ProyDia[],8,0)</f>
        <v>0</v>
      </c>
      <c r="AU122" s="36" t="n">
        <f aca="false">SUMIF($C$2:$F$2,EOMONTH(AU$2,-1)+1,$C122:$F122)*VLOOKUP(AU$2,ProyDia[],8,0)</f>
        <v>0</v>
      </c>
      <c r="AV122" s="36" t="n">
        <f aca="false">SUMIF($C$2:$F$2,EOMONTH(AV$2,-1)+1,$C122:$F122)*VLOOKUP(AV$2,ProyDia[],8,0)</f>
        <v>0</v>
      </c>
      <c r="AW122" s="36" t="n">
        <f aca="false">SUMIF($C$2:$F$2,EOMONTH(AW$2,-1)+1,$C122:$F122)*VLOOKUP(AW$2,ProyDia[],8,0)</f>
        <v>0</v>
      </c>
      <c r="AX122" s="36" t="n">
        <f aca="false">SUMIF($C$2:$F$2,EOMONTH(AX$2,-1)+1,$C122:$F122)*VLOOKUP(AX$2,ProyDia[],8,0)</f>
        <v>0</v>
      </c>
      <c r="AY122" s="36" t="n">
        <f aca="false">SUMIF($C$2:$F$2,EOMONTH(AY$2,-1)+1,$C122:$F122)*VLOOKUP(AY$2,ProyDia[],8,0)</f>
        <v>0</v>
      </c>
      <c r="AZ122" s="36" t="n">
        <f aca="false">SUMIF($C$2:$F$2,EOMONTH(AZ$2,-1)+1,$C122:$F122)*VLOOKUP(AZ$2,ProyDia[],8,0)</f>
        <v>0</v>
      </c>
      <c r="BA122" s="36" t="n">
        <f aca="false">SUMIF($C$2:$F$2,EOMONTH(BA$2,-1)+1,$C122:$F122)*VLOOKUP(BA$2,ProyDia[],8,0)</f>
        <v>0</v>
      </c>
      <c r="BB122" s="36" t="n">
        <f aca="false">SUMIF($C$2:$F$2,EOMONTH(BB$2,-1)+1,$C122:$F122)*VLOOKUP(BB$2,ProyDia[],8,0)</f>
        <v>0</v>
      </c>
      <c r="BC122" s="36" t="n">
        <f aca="false">SUMIF($C$2:$F$2,EOMONTH(BC$2,-1)+1,$C122:$F122)*VLOOKUP(BC$2,ProyDia[],8,0)</f>
        <v>0</v>
      </c>
      <c r="BD122" s="36" t="n">
        <f aca="false">SUMIF($C$2:$F$2,EOMONTH(BD$2,-1)+1,$C122:$F122)*VLOOKUP(BD$2,ProyDia[],8,0)</f>
        <v>0</v>
      </c>
      <c r="BE122" s="36" t="n">
        <f aca="false">SUMIF($C$2:$F$2,EOMONTH(BE$2,-1)+1,$C122:$F122)*VLOOKUP(BE$2,ProyDia[],8,0)</f>
        <v>0</v>
      </c>
      <c r="BF122" s="36" t="n">
        <f aca="false">SUMIF($C$2:$F$2,EOMONTH(BF$2,-1)+1,$C122:$F122)*VLOOKUP(BF$2,ProyDia[],8,0)</f>
        <v>0</v>
      </c>
      <c r="BG122" s="36" t="n">
        <f aca="false">SUMIF($C$2:$F$2,EOMONTH(BG$2,-1)+1,$C122:$F122)*VLOOKUP(BG$2,ProyDia[],8,0)</f>
        <v>0</v>
      </c>
      <c r="BH122" s="36" t="n">
        <f aca="false">SUMIF($C$2:$F$2,EOMONTH(BH$2,-1)+1,$C122:$F122)*VLOOKUP(BH$2,ProyDia[],8,0)</f>
        <v>0</v>
      </c>
      <c r="BI122" s="36" t="n">
        <f aca="false">SUMIF($C$2:$F$2,EOMONTH(BI$2,-1)+1,$C122:$F122)*VLOOKUP(BI$2,ProyDia[],8,0)</f>
        <v>0</v>
      </c>
      <c r="BJ122" s="36" t="n">
        <f aca="false">SUMIF($C$2:$F$2,EOMONTH(BJ$2,-1)+1,$C122:$F122)*VLOOKUP(BJ$2,ProyDia[],8,0)</f>
        <v>0</v>
      </c>
      <c r="BK122" s="36" t="n">
        <f aca="false">SUMIF($C$2:$F$2,EOMONTH(BK$2,-1)+1,$C122:$F122)*VLOOKUP(BK$2,ProyDia[],8,0)</f>
        <v>0</v>
      </c>
      <c r="BL122" s="36" t="n">
        <f aca="false">SUMIF($C$2:$F$2,EOMONTH(BL$2,-1)+1,$C122:$F122)*VLOOKUP(BL$2,ProyDia[],8,0)</f>
        <v>0</v>
      </c>
      <c r="BM122" s="36" t="n">
        <f aca="false">SUMIF($C$2:$F$2,EOMONTH(BM$2,-1)+1,$C122:$F122)*VLOOKUP(BM$2,ProyDia[],8,0)</f>
        <v>0</v>
      </c>
      <c r="BN122" s="36" t="n">
        <f aca="false">SUMIF($C$2:$F$2,EOMONTH(BN$2,-1)+1,$C122:$F122)*VLOOKUP(BN$2,ProyDia[],8,0)</f>
        <v>0</v>
      </c>
      <c r="BO122" s="36" t="n">
        <f aca="false">SUMIF($C$2:$F$2,EOMONTH(BO$2,-1)+1,$C122:$F122)*VLOOKUP(BO$2,ProyDia[],8,0)</f>
        <v>0</v>
      </c>
      <c r="BP122" s="36" t="n">
        <f aca="false">SUMIF($C$2:$F$2,EOMONTH(BP$2,-1)+1,$C122:$F122)*VLOOKUP(BP$2,ProyDia[],8,0)</f>
        <v>0</v>
      </c>
      <c r="BQ122" s="36" t="n">
        <f aca="false">SUMIF($C$2:$F$2,EOMONTH(BQ$2,-1)+1,$C122:$F122)*VLOOKUP(BQ$2,ProyDia[],8,0)</f>
        <v>0</v>
      </c>
      <c r="BR122" s="36" t="n">
        <f aca="false">SUMIF($C$2:$F$2,EOMONTH(BR$2,-1)+1,$C122:$F122)*VLOOKUP(BR$2,ProyDia[],8,0)</f>
        <v>0</v>
      </c>
      <c r="BS122" s="36" t="n">
        <f aca="false">SUMIF($C$2:$F$2,EOMONTH(BS$2,-1)+1,$C122:$F122)*VLOOKUP(BS$2,ProyDia[],8,0)</f>
        <v>0</v>
      </c>
      <c r="BT122" s="36" t="n">
        <f aca="false">SUMIF($C$2:$F$2,EOMONTH(BT$2,-1)+1,$C122:$F122)*VLOOKUP(BT$2,ProyDia[],8,0)</f>
        <v>0</v>
      </c>
      <c r="BU122" s="36" t="n">
        <f aca="false">SUMIF($C$2:$F$2,EOMONTH(BU$2,-1)+1,$C122:$F122)*VLOOKUP(BU$2,ProyDia[],8,0)</f>
        <v>0</v>
      </c>
      <c r="BV122" s="36" t="n">
        <f aca="false">SUMIF($C$2:$F$2,EOMONTH(BV$2,-1)+1,$C122:$F122)*VLOOKUP(BV$2,ProyDia[],8,0)</f>
        <v>0</v>
      </c>
      <c r="BW122" s="36" t="n">
        <f aca="false">SUMIF($C$2:$F$2,EOMONTH(BW$2,-1)+1,$C122:$F122)*VLOOKUP(BW$2,ProyDia[],8,0)</f>
        <v>0</v>
      </c>
      <c r="BX122" s="36" t="n">
        <f aca="false">SUMIF($C$2:$F$2,EOMONTH(BX$2,-1)+1,$C122:$F122)*VLOOKUP(BX$2,ProyDia[],8,0)</f>
        <v>0</v>
      </c>
      <c r="BY122" s="36" t="n">
        <f aca="false">SUMIF($C$2:$F$2,EOMONTH(BY$2,-1)+1,$C122:$F122)*VLOOKUP(BY$2,ProyDia[],8,0)</f>
        <v>0</v>
      </c>
      <c r="BZ122" s="36" t="n">
        <f aca="false">SUMIF($C$2:$F$2,EOMONTH(BZ$2,-1)+1,$C122:$F122)*VLOOKUP(BZ$2,ProyDia[],8,0)</f>
        <v>0</v>
      </c>
      <c r="CA122" s="36" t="n">
        <f aca="false">SUMIF($C$2:$F$2,EOMONTH(CA$2,-1)+1,$C122:$F122)*VLOOKUP(CA$2,ProyDia[],8,0)</f>
        <v>0</v>
      </c>
      <c r="CB122" s="36" t="n">
        <f aca="false">SUMIF($C$2:$F$2,EOMONTH(CB$2,-1)+1,$C122:$F122)*VLOOKUP(CB$2,ProyDia[],8,0)</f>
        <v>0</v>
      </c>
      <c r="CC122" s="36" t="n">
        <f aca="false">SUMIF($C$2:$F$2,EOMONTH(CC$2,-1)+1,$C122:$F122)*VLOOKUP(CC$2,ProyDia[],8,0)</f>
        <v>0</v>
      </c>
      <c r="CD122" s="36" t="n">
        <f aca="false">SUMIF($C$2:$F$2,EOMONTH(CD$2,-1)+1,$C122:$F122)*VLOOKUP(CD$2,ProyDia[],8,0)</f>
        <v>0</v>
      </c>
      <c r="CE122" s="36" t="n">
        <f aca="false">SUMIF($C$2:$F$2,EOMONTH(CE$2,-1)+1,$C122:$F122)*VLOOKUP(CE$2,ProyDia[],8,0)</f>
        <v>0</v>
      </c>
      <c r="CF122" s="36" t="n">
        <f aca="false">SUMIF($C$2:$F$2,EOMONTH(CF$2,-1)+1,$C122:$F122)*VLOOKUP(CF$2,ProyDia[],8,0)</f>
        <v>0</v>
      </c>
      <c r="CG122" s="36" t="n">
        <f aca="false">SUMIF($C$2:$F$2,EOMONTH(CG$2,-1)+1,$C122:$F122)*VLOOKUP(CG$2,ProyDia[],8,0)</f>
        <v>0</v>
      </c>
      <c r="CH122" s="36" t="n">
        <f aca="false">SUMIF($C$2:$F$2,EOMONTH(CH$2,-1)+1,$C122:$F122)*VLOOKUP(CH$2,ProyDia[],8,0)</f>
        <v>0</v>
      </c>
      <c r="CI122" s="36" t="n">
        <f aca="false">SUMIF($C$2:$F$2,EOMONTH(CI$2,-1)+1,$C122:$F122)*VLOOKUP(CI$2,ProyDia[],8,0)</f>
        <v>0</v>
      </c>
      <c r="CJ122" s="36" t="n">
        <f aca="false">SUMIF($C$2:$F$2,EOMONTH(CJ$2,-1)+1,$C122:$F122)*VLOOKUP(CJ$2,ProyDia[],8,0)</f>
        <v>0</v>
      </c>
      <c r="CK122" s="36" t="n">
        <f aca="false">SUMIF($C$2:$F$2,EOMONTH(CK$2,-1)+1,$C122:$F122)*VLOOKUP(CK$2,ProyDia[],8,0)</f>
        <v>0</v>
      </c>
      <c r="CL122" s="36" t="n">
        <f aca="false">SUMIF($C$2:$F$2,EOMONTH(CL$2,-1)+1,$C122:$F122)*VLOOKUP(CL$2,ProyDia[],8,0)</f>
        <v>0</v>
      </c>
      <c r="CM122" s="36" t="n">
        <f aca="false">SUMIF($C$2:$F$2,EOMONTH(CM$2,-1)+1,$C122:$F122)*VLOOKUP(CM$2,ProyDia[],8,0)</f>
        <v>0</v>
      </c>
      <c r="CN122" s="36" t="n">
        <f aca="false">SUMIF($C$2:$F$2,EOMONTH(CN$2,-1)+1,$C122:$F122)*VLOOKUP(CN$2,ProyDia[],8,0)</f>
        <v>0</v>
      </c>
      <c r="CO122" s="36" t="n">
        <f aca="false">SUMIF($C$2:$F$2,EOMONTH(CO$2,-1)+1,$C122:$F122)*VLOOKUP(CO$2,ProyDia[],8,0)</f>
        <v>0</v>
      </c>
      <c r="CP122" s="36" t="n">
        <f aca="false">SUMIF($C$2:$F$2,EOMONTH(CP$2,-1)+1,$C122:$F122)*VLOOKUP(CP$2,ProyDia[],8,0)</f>
        <v>0</v>
      </c>
      <c r="CQ122" s="36" t="n">
        <f aca="false">SUMIF($C$2:$F$2,EOMONTH(CQ$2,-1)+1,$C122:$F122)*VLOOKUP(CQ$2,ProyDia[],8,0)</f>
        <v>0</v>
      </c>
      <c r="CR122" s="36" t="n">
        <f aca="false">SUMIF($C$2:$F$2,EOMONTH(CR$2,-1)+1,$C122:$F122)*VLOOKUP(CR$2,ProyDia[],8,0)</f>
        <v>0</v>
      </c>
      <c r="CS122" s="36" t="n">
        <f aca="false">SUMIF($C$2:$F$2,EOMONTH(CS$2,-1)+1,$C122:$F122)*VLOOKUP(CS$2,ProyDia[],8,0)</f>
        <v>0</v>
      </c>
      <c r="CT122" s="36" t="n">
        <f aca="false">SUMIF($C$2:$F$2,EOMONTH(CT$2,-1)+1,$C122:$F122)*VLOOKUP(CT$2,ProyDia[],8,0)</f>
        <v>0</v>
      </c>
      <c r="CU122" s="36" t="n">
        <f aca="false">SUMIF($C$2:$F$2,EOMONTH(CU$2,-1)+1,$C122:$F122)*VLOOKUP(CU$2,ProyDia[],8,0)</f>
        <v>0</v>
      </c>
      <c r="CV122" s="36" t="n">
        <f aca="false">SUMIF($C$2:$F$2,EOMONTH(CV$2,-1)+1,$C122:$F122)*VLOOKUP(CV$2,ProyDia[],8,0)</f>
        <v>0</v>
      </c>
      <c r="CW122" s="36" t="n">
        <f aca="false">SUMIF($C$2:$F$2,EOMONTH(CW$2,-1)+1,$C122:$F122)*VLOOKUP(CW$2,ProyDia[],8,0)</f>
        <v>0</v>
      </c>
      <c r="CX122" s="36" t="n">
        <f aca="false">SUMIF($C$2:$F$2,EOMONTH(CX$2,-1)+1,$C122:$F122)*VLOOKUP(CX$2,ProyDia[],8,0)</f>
        <v>0</v>
      </c>
      <c r="CY122" s="36" t="n">
        <f aca="false">SUMIF($C$2:$F$2,EOMONTH(CY$2,-1)+1,$C122:$F122)*VLOOKUP(CY$2,ProyDia[],8,0)</f>
        <v>0</v>
      </c>
      <c r="CZ122" s="36" t="n">
        <f aca="false">SUMIF($C$2:$F$2,EOMONTH(CZ$2,-1)+1,$C122:$F122)*VLOOKUP(CZ$2,ProyDia[],8,0)</f>
        <v>0</v>
      </c>
      <c r="DA122" s="36" t="n">
        <f aca="false">SUMIF($C$2:$F$2,EOMONTH(DA$2,-1)+1,$C122:$F122)*VLOOKUP(DA$2,ProyDia[],8,0)</f>
        <v>0</v>
      </c>
      <c r="DB122" s="36" t="n">
        <f aca="false">SUMIF($C$2:$F$2,EOMONTH(DB$2,-1)+1,$C122:$F122)*VLOOKUP(DB$2,ProyDia[],8,0)</f>
        <v>0</v>
      </c>
      <c r="DC122" s="36" t="n">
        <f aca="false">SUMIF($C$2:$F$2,EOMONTH(DC$2,-1)+1,$C122:$F122)*VLOOKUP(DC$2,ProyDia[],8,0)</f>
        <v>0</v>
      </c>
      <c r="DD122" s="36" t="n">
        <f aca="false">SUMIF($C$2:$F$2,EOMONTH(DD$2,-1)+1,$C122:$F122)*VLOOKUP(DD$2,ProyDia[],8,0)</f>
        <v>0</v>
      </c>
      <c r="DE122" s="36" t="n">
        <f aca="false">SUMIF($C$2:$F$2,EOMONTH(DE$2,-1)+1,$C122:$F122)*VLOOKUP(DE$2,ProyDia[],8,0)</f>
        <v>0</v>
      </c>
      <c r="DF122" s="36" t="n">
        <f aca="false">SUMIF($C$2:$F$2,EOMONTH(DF$2,-1)+1,$C122:$F122)*VLOOKUP(DF$2,ProyDia[],8,0)</f>
        <v>0</v>
      </c>
      <c r="DG122" s="36" t="n">
        <f aca="false">SUMIF($C$2:$F$2,EOMONTH(DG$2,-1)+1,$C122:$F122)*VLOOKUP(DG$2,ProyDia[],8,0)</f>
        <v>0</v>
      </c>
      <c r="DH122" s="36" t="n">
        <f aca="false">SUMIF($C$2:$F$2,EOMONTH(DH$2,-1)+1,$C122:$F122)*VLOOKUP(DH$2,ProyDia[],8,0)</f>
        <v>0</v>
      </c>
      <c r="DI122" s="36" t="n">
        <f aca="false">SUMIF($C$2:$F$2,EOMONTH(DI$2,-1)+1,$C122:$F122)*VLOOKUP(DI$2,ProyDia[],8,0)</f>
        <v>0</v>
      </c>
      <c r="DJ122" s="36" t="n">
        <f aca="false">SUMIF($C$2:$F$2,EOMONTH(DJ$2,-1)+1,$C122:$F122)*VLOOKUP(DJ$2,ProyDia[],8,0)</f>
        <v>0</v>
      </c>
      <c r="DK122" s="36" t="n">
        <f aca="false">SUMIF($C$2:$F$2,EOMONTH(DK$2,-1)+1,$C122:$F122)*VLOOKUP(DK$2,ProyDia[],8,0)</f>
        <v>0</v>
      </c>
      <c r="DL122" s="36" t="n">
        <f aca="false">SUMIF($C$2:$F$2,EOMONTH(DL$2,-1)+1,$C122:$F122)*VLOOKUP(DL$2,ProyDia[],8,0)</f>
        <v>0</v>
      </c>
      <c r="DM122" s="36" t="n">
        <f aca="false">SUMIF($C$2:$F$2,EOMONTH(DM$2,-1)+1,$C122:$F122)*VLOOKUP(DM$2,ProyDia[],8,0)</f>
        <v>0</v>
      </c>
      <c r="DN122" s="36" t="n">
        <f aca="false">SUMIF($C$2:$F$2,EOMONTH(DN$2,-1)+1,$C122:$F122)*VLOOKUP(DN$2,ProyDia[],8,0)</f>
        <v>0</v>
      </c>
      <c r="DO122" s="36" t="n">
        <f aca="false">SUMIF($C$2:$F$2,EOMONTH(DO$2,-1)+1,$C122:$F122)*VLOOKUP(DO$2,ProyDia[],8,0)</f>
        <v>0</v>
      </c>
      <c r="DP122" s="36" t="n">
        <f aca="false">SUMIF($C$2:$F$2,EOMONTH(DP$2,-1)+1,$C122:$F122)*VLOOKUP(DP$2,ProyDia[],8,0)</f>
        <v>0</v>
      </c>
      <c r="DQ122" s="36" t="n">
        <f aca="false">SUMIF($C$2:$F$2,EOMONTH(DQ$2,-1)+1,$C122:$F122)*VLOOKUP(DQ$2,ProyDia[],8,0)</f>
        <v>0</v>
      </c>
      <c r="DR122" s="36" t="n">
        <f aca="false">SUMIF($C$2:$F$2,EOMONTH(DR$2,-1)+1,$C122:$F122)*VLOOKUP(DR$2,ProyDia[],8,0)</f>
        <v>0</v>
      </c>
      <c r="DS122" s="36" t="n">
        <f aca="false">SUMIF($C$2:$F$2,EOMONTH(DS$2,-1)+1,$C122:$F122)*VLOOKUP(DS$2,ProyDia[],8,0)</f>
        <v>0</v>
      </c>
      <c r="DT122" s="36" t="n">
        <f aca="false">SUMIF($C$2:$F$2,EOMONTH(DT$2,-1)+1,$C122:$F122)*VLOOKUP(DT$2,ProyDia[],8,0)</f>
        <v>0</v>
      </c>
      <c r="DU122" s="36" t="n">
        <f aca="false">SUMIF($C$2:$F$2,EOMONTH(DU$2,-1)+1,$C122:$F122)*VLOOKUP(DU$2,ProyDia[],8,0)</f>
        <v>0</v>
      </c>
      <c r="DV122" s="36" t="n">
        <f aca="false">SUMIF($C$2:$F$2,EOMONTH(DV$2,-1)+1,$C122:$F122)*VLOOKUP(DV$2,ProyDia[],8,0)</f>
        <v>0</v>
      </c>
      <c r="DW122" s="36" t="n">
        <f aca="false">SUMIF($C$2:$F$2,EOMONTH(DW$2,-1)+1,$C122:$F122)*VLOOKUP(DW$2,ProyDia[],8,0)</f>
        <v>0</v>
      </c>
      <c r="DX122" s="36" t="n">
        <f aca="false">SUMIF($C$2:$F$2,EOMONTH(DX$2,-1)+1,$C122:$F122)*VLOOKUP(DX$2,ProyDia[],8,0)</f>
        <v>0</v>
      </c>
    </row>
    <row r="123" customFormat="false" ht="14.4" hidden="false" customHeight="false" outlineLevel="0" collapsed="false">
      <c r="A123" s="34"/>
      <c r="B123" s="34"/>
      <c r="C123" s="34"/>
      <c r="D123" s="34"/>
      <c r="E123" s="34"/>
      <c r="F123" s="34"/>
      <c r="G123" s="28" t="n">
        <f aca="false">SUMIF($C$2:$F$2,EOMONTH(G$2,-1)+1,$C123:$F123)*VLOOKUP(G$2,ProyDia[],8,0)</f>
        <v>0</v>
      </c>
      <c r="H123" s="28" t="n">
        <f aca="false">SUMIF($C$2:$F$2,EOMONTH(H$2,-1)+1,$C123:$F123)*VLOOKUP(H$2,ProyDia[],8,0)</f>
        <v>0</v>
      </c>
      <c r="I123" s="28" t="n">
        <f aca="false">SUMIF($C$2:$F$2,EOMONTH(I$2,-1)+1,$C123:$F123)*VLOOKUP(I$2,ProyDia[],8,0)</f>
        <v>0</v>
      </c>
      <c r="J123" s="28" t="n">
        <f aca="false">SUMIF($C$2:$F$2,EOMONTH(J$2,-1)+1,$C123:$F123)*VLOOKUP(J$2,ProyDia[],8,0)</f>
        <v>0</v>
      </c>
      <c r="K123" s="28" t="n">
        <f aca="false">SUMIF($C$2:$F$2,EOMONTH(K$2,-1)+1,$C123:$F123)*VLOOKUP(K$2,ProyDia[],8,0)</f>
        <v>0</v>
      </c>
      <c r="L123" s="28" t="n">
        <f aca="false">SUMIF($C$2:$F$2,EOMONTH(L$2,-1)+1,$C123:$F123)*VLOOKUP(L$2,ProyDia[],8,0)</f>
        <v>0</v>
      </c>
      <c r="M123" s="28" t="n">
        <f aca="false">SUMIF($C$2:$F$2,EOMONTH(M$2,-1)+1,$C123:$F123)*VLOOKUP(M$2,ProyDia[],8,0)</f>
        <v>0</v>
      </c>
      <c r="N123" s="28" t="n">
        <f aca="false">SUMIF($C$2:$F$2,EOMONTH(N$2,-1)+1,$C123:$F123)*VLOOKUP(N$2,ProyDia[],8,0)</f>
        <v>0</v>
      </c>
      <c r="O123" s="28" t="n">
        <f aca="false">SUMIF($C$2:$F$2,EOMONTH(O$2,-1)+1,$C123:$F123)*VLOOKUP(O$2,ProyDia[],8,0)</f>
        <v>0</v>
      </c>
      <c r="P123" s="28" t="n">
        <f aca="false">SUMIF($C$2:$F$2,EOMONTH(P$2,-1)+1,$C123:$F123)*VLOOKUP(P$2,ProyDia[],8,0)</f>
        <v>0</v>
      </c>
      <c r="Q123" s="28" t="n">
        <f aca="false">SUMIF($C$2:$F$2,EOMONTH(Q$2,-1)+1,$C123:$F123)*VLOOKUP(Q$2,ProyDia[],8,0)</f>
        <v>0</v>
      </c>
      <c r="R123" s="28" t="n">
        <f aca="false">SUMIF($C$2:$F$2,EOMONTH(R$2,-1)+1,$C123:$F123)*VLOOKUP(R$2,ProyDia[],8,0)</f>
        <v>0</v>
      </c>
      <c r="S123" s="28" t="n">
        <f aca="false">SUMIF($C$2:$F$2,EOMONTH(S$2,-1)+1,$C123:$F123)*VLOOKUP(S$2,ProyDia[],8,0)</f>
        <v>0</v>
      </c>
      <c r="T123" s="28" t="n">
        <f aca="false">SUMIF($C$2:$F$2,EOMONTH(T$2,-1)+1,$C123:$F123)*VLOOKUP(T$2,ProyDia[],8,0)</f>
        <v>0</v>
      </c>
      <c r="U123" s="28" t="n">
        <f aca="false">SUMIF($C$2:$F$2,EOMONTH(U$2,-1)+1,$C123:$F123)*VLOOKUP(U$2,ProyDia[],8,0)</f>
        <v>0</v>
      </c>
      <c r="V123" s="28" t="n">
        <f aca="false">SUMIF($C$2:$F$2,EOMONTH(V$2,-1)+1,$C123:$F123)*VLOOKUP(V$2,ProyDia[],8,0)</f>
        <v>0</v>
      </c>
      <c r="W123" s="28" t="n">
        <f aca="false">SUMIF($C$2:$F$2,EOMONTH(W$2,-1)+1,$C123:$F123)*VLOOKUP(W$2,ProyDia[],8,0)</f>
        <v>0</v>
      </c>
      <c r="X123" s="28" t="n">
        <f aca="false">SUMIF($C$2:$F$2,EOMONTH(X$2,-1)+1,$C123:$F123)*VLOOKUP(X$2,ProyDia[],8,0)</f>
        <v>0</v>
      </c>
      <c r="Y123" s="28" t="n">
        <f aca="false">SUMIF($C$2:$F$2,EOMONTH(Y$2,-1)+1,$C123:$F123)*VLOOKUP(Y$2,ProyDia[],8,0)</f>
        <v>0</v>
      </c>
      <c r="Z123" s="28" t="n">
        <f aca="false">SUMIF($C$2:$F$2,EOMONTH(Z$2,-1)+1,$C123:$F123)*VLOOKUP(Z$2,ProyDia[],8,0)</f>
        <v>0</v>
      </c>
      <c r="AA123" s="28" t="n">
        <f aca="false">SUMIF($C$2:$F$2,EOMONTH(AA$2,-1)+1,$C123:$F123)*VLOOKUP(AA$2,ProyDia[],8,0)</f>
        <v>0</v>
      </c>
      <c r="AB123" s="28" t="n">
        <f aca="false">SUMIF($C$2:$F$2,EOMONTH(AB$2,-1)+1,$C123:$F123)*VLOOKUP(AB$2,ProyDia[],8,0)</f>
        <v>0</v>
      </c>
      <c r="AC123" s="28" t="n">
        <f aca="false">SUMIF($C$2:$F$2,EOMONTH(AC$2,-1)+1,$C123:$F123)*VLOOKUP(AC$2,ProyDia[],8,0)</f>
        <v>0</v>
      </c>
      <c r="AD123" s="28" t="n">
        <f aca="false">SUMIF($C$2:$F$2,EOMONTH(AD$2,-1)+1,$C123:$F123)*VLOOKUP(AD$2,ProyDia[],8,0)</f>
        <v>0</v>
      </c>
      <c r="AE123" s="28" t="n">
        <f aca="false">SUMIF($C$2:$F$2,EOMONTH(AE$2,-1)+1,$C123:$F123)*VLOOKUP(AE$2,ProyDia[],8,0)</f>
        <v>0</v>
      </c>
      <c r="AF123" s="28" t="n">
        <f aca="false">SUMIF($C$2:$F$2,EOMONTH(AF$2,-1)+1,$C123:$F123)*VLOOKUP(AF$2,ProyDia[],8,0)</f>
        <v>0</v>
      </c>
      <c r="AG123" s="28" t="n">
        <f aca="false">SUMIF($C$2:$F$2,EOMONTH(AG$2,-1)+1,$C123:$F123)*VLOOKUP(AG$2,ProyDia[],8,0)</f>
        <v>0</v>
      </c>
      <c r="AH123" s="28" t="n">
        <f aca="false">SUMIF($C$2:$F$2,EOMONTH(AH$2,-1)+1,$C123:$F123)*VLOOKUP(AH$2,ProyDia[],8,0)</f>
        <v>0</v>
      </c>
      <c r="AI123" s="28" t="n">
        <f aca="false">SUMIF($C$2:$F$2,EOMONTH(AI$2,-1)+1,$C123:$F123)*VLOOKUP(AI$2,ProyDia[],8,0)</f>
        <v>0</v>
      </c>
      <c r="AJ123" s="28" t="n">
        <f aca="false">SUMIF($C$2:$F$2,EOMONTH(AJ$2,-1)+1,$C123:$F123)*VLOOKUP(AJ$2,ProyDia[],8,0)</f>
        <v>0</v>
      </c>
      <c r="AK123" s="28" t="n">
        <f aca="false">SUMIF($C$2:$F$2,EOMONTH(AK$2,-1)+1,$C123:$F123)*VLOOKUP(AK$2,ProyDia[],8,0)</f>
        <v>0</v>
      </c>
      <c r="AL123" s="28" t="n">
        <f aca="false">SUMIF($C$2:$F$2,EOMONTH(AL$2,-1)+1,$C123:$F123)*VLOOKUP(AL$2,ProyDia[],8,0)</f>
        <v>0</v>
      </c>
      <c r="AM123" s="28" t="n">
        <f aca="false">SUMIF($C$2:$F$2,EOMONTH(AM$2,-1)+1,$C123:$F123)*VLOOKUP(AM$2,ProyDia[],8,0)</f>
        <v>0</v>
      </c>
      <c r="AN123" s="28" t="n">
        <f aca="false">SUMIF($C$2:$F$2,EOMONTH(AN$2,-1)+1,$C123:$F123)*VLOOKUP(AN$2,ProyDia[],8,0)</f>
        <v>0</v>
      </c>
      <c r="AO123" s="28" t="n">
        <f aca="false">SUMIF($C$2:$F$2,EOMONTH(AO$2,-1)+1,$C123:$F123)*VLOOKUP(AO$2,ProyDia[],8,0)</f>
        <v>0</v>
      </c>
      <c r="AP123" s="28" t="n">
        <f aca="false">SUMIF($C$2:$F$2,EOMONTH(AP$2,-1)+1,$C123:$F123)*VLOOKUP(AP$2,ProyDia[],8,0)</f>
        <v>0</v>
      </c>
      <c r="AQ123" s="28" t="n">
        <f aca="false">SUMIF($C$2:$F$2,EOMONTH(AQ$2,-1)+1,$C123:$F123)*VLOOKUP(AQ$2,ProyDia[],8,0)</f>
        <v>0</v>
      </c>
      <c r="AR123" s="28" t="n">
        <f aca="false">SUMIF($C$2:$F$2,EOMONTH(AR$2,-1)+1,$C123:$F123)*VLOOKUP(AR$2,ProyDia[],8,0)</f>
        <v>0</v>
      </c>
      <c r="AS123" s="28" t="n">
        <f aca="false">SUMIF($C$2:$F$2,EOMONTH(AS$2,-1)+1,$C123:$F123)*VLOOKUP(AS$2,ProyDia[],8,0)</f>
        <v>0</v>
      </c>
      <c r="AT123" s="28" t="n">
        <f aca="false">SUMIF($C$2:$F$2,EOMONTH(AT$2,-1)+1,$C123:$F123)*VLOOKUP(AT$2,ProyDia[],8,0)</f>
        <v>0</v>
      </c>
      <c r="AU123" s="28" t="n">
        <f aca="false">SUMIF($C$2:$F$2,EOMONTH(AU$2,-1)+1,$C123:$F123)*VLOOKUP(AU$2,ProyDia[],8,0)</f>
        <v>0</v>
      </c>
      <c r="AV123" s="28" t="n">
        <f aca="false">SUMIF($C$2:$F$2,EOMONTH(AV$2,-1)+1,$C123:$F123)*VLOOKUP(AV$2,ProyDia[],8,0)</f>
        <v>0</v>
      </c>
      <c r="AW123" s="28" t="n">
        <f aca="false">SUMIF($C$2:$F$2,EOMONTH(AW$2,-1)+1,$C123:$F123)*VLOOKUP(AW$2,ProyDia[],8,0)</f>
        <v>0</v>
      </c>
      <c r="AX123" s="28" t="n">
        <f aca="false">SUMIF($C$2:$F$2,EOMONTH(AX$2,-1)+1,$C123:$F123)*VLOOKUP(AX$2,ProyDia[],8,0)</f>
        <v>0</v>
      </c>
      <c r="AY123" s="28" t="n">
        <f aca="false">SUMIF($C$2:$F$2,EOMONTH(AY$2,-1)+1,$C123:$F123)*VLOOKUP(AY$2,ProyDia[],8,0)</f>
        <v>0</v>
      </c>
      <c r="AZ123" s="28" t="n">
        <f aca="false">SUMIF($C$2:$F$2,EOMONTH(AZ$2,-1)+1,$C123:$F123)*VLOOKUP(AZ$2,ProyDia[],8,0)</f>
        <v>0</v>
      </c>
      <c r="BA123" s="28" t="n">
        <f aca="false">SUMIF($C$2:$F$2,EOMONTH(BA$2,-1)+1,$C123:$F123)*VLOOKUP(BA$2,ProyDia[],8,0)</f>
        <v>0</v>
      </c>
      <c r="BB123" s="28" t="n">
        <f aca="false">SUMIF($C$2:$F$2,EOMONTH(BB$2,-1)+1,$C123:$F123)*VLOOKUP(BB$2,ProyDia[],8,0)</f>
        <v>0</v>
      </c>
      <c r="BC123" s="28" t="n">
        <f aca="false">SUMIF($C$2:$F$2,EOMONTH(BC$2,-1)+1,$C123:$F123)*VLOOKUP(BC$2,ProyDia[],8,0)</f>
        <v>0</v>
      </c>
      <c r="BD123" s="28" t="n">
        <f aca="false">SUMIF($C$2:$F$2,EOMONTH(BD$2,-1)+1,$C123:$F123)*VLOOKUP(BD$2,ProyDia[],8,0)</f>
        <v>0</v>
      </c>
      <c r="BE123" s="28" t="n">
        <f aca="false">SUMIF($C$2:$F$2,EOMONTH(BE$2,-1)+1,$C123:$F123)*VLOOKUP(BE$2,ProyDia[],8,0)</f>
        <v>0</v>
      </c>
      <c r="BF123" s="28" t="n">
        <f aca="false">SUMIF($C$2:$F$2,EOMONTH(BF$2,-1)+1,$C123:$F123)*VLOOKUP(BF$2,ProyDia[],8,0)</f>
        <v>0</v>
      </c>
      <c r="BG123" s="28" t="n">
        <f aca="false">SUMIF($C$2:$F$2,EOMONTH(BG$2,-1)+1,$C123:$F123)*VLOOKUP(BG$2,ProyDia[],8,0)</f>
        <v>0</v>
      </c>
      <c r="BH123" s="28" t="n">
        <f aca="false">SUMIF($C$2:$F$2,EOMONTH(BH$2,-1)+1,$C123:$F123)*VLOOKUP(BH$2,ProyDia[],8,0)</f>
        <v>0</v>
      </c>
      <c r="BI123" s="28" t="n">
        <f aca="false">SUMIF($C$2:$F$2,EOMONTH(BI$2,-1)+1,$C123:$F123)*VLOOKUP(BI$2,ProyDia[],8,0)</f>
        <v>0</v>
      </c>
      <c r="BJ123" s="28" t="n">
        <f aca="false">SUMIF($C$2:$F$2,EOMONTH(BJ$2,-1)+1,$C123:$F123)*VLOOKUP(BJ$2,ProyDia[],8,0)</f>
        <v>0</v>
      </c>
      <c r="BK123" s="28" t="n">
        <f aca="false">SUMIF($C$2:$F$2,EOMONTH(BK$2,-1)+1,$C123:$F123)*VLOOKUP(BK$2,ProyDia[],8,0)</f>
        <v>0</v>
      </c>
      <c r="BL123" s="28" t="n">
        <f aca="false">SUMIF($C$2:$F$2,EOMONTH(BL$2,-1)+1,$C123:$F123)*VLOOKUP(BL$2,ProyDia[],8,0)</f>
        <v>0</v>
      </c>
      <c r="BM123" s="28" t="n">
        <f aca="false">SUMIF($C$2:$F$2,EOMONTH(BM$2,-1)+1,$C123:$F123)*VLOOKUP(BM$2,ProyDia[],8,0)</f>
        <v>0</v>
      </c>
      <c r="BN123" s="28" t="n">
        <f aca="false">SUMIF($C$2:$F$2,EOMONTH(BN$2,-1)+1,$C123:$F123)*VLOOKUP(BN$2,ProyDia[],8,0)</f>
        <v>0</v>
      </c>
      <c r="BO123" s="28" t="n">
        <f aca="false">SUMIF($C$2:$F$2,EOMONTH(BO$2,-1)+1,$C123:$F123)*VLOOKUP(BO$2,ProyDia[],8,0)</f>
        <v>0</v>
      </c>
      <c r="BP123" s="28" t="n">
        <f aca="false">SUMIF($C$2:$F$2,EOMONTH(BP$2,-1)+1,$C123:$F123)*VLOOKUP(BP$2,ProyDia[],8,0)</f>
        <v>0</v>
      </c>
      <c r="BQ123" s="28" t="n">
        <f aca="false">SUMIF($C$2:$F$2,EOMONTH(BQ$2,-1)+1,$C123:$F123)*VLOOKUP(BQ$2,ProyDia[],8,0)</f>
        <v>0</v>
      </c>
      <c r="BR123" s="28" t="n">
        <f aca="false">SUMIF($C$2:$F$2,EOMONTH(BR$2,-1)+1,$C123:$F123)*VLOOKUP(BR$2,ProyDia[],8,0)</f>
        <v>0</v>
      </c>
      <c r="BS123" s="28" t="n">
        <f aca="false">SUMIF($C$2:$F$2,EOMONTH(BS$2,-1)+1,$C123:$F123)*VLOOKUP(BS$2,ProyDia[],8,0)</f>
        <v>0</v>
      </c>
      <c r="BT123" s="28" t="n">
        <f aca="false">SUMIF($C$2:$F$2,EOMONTH(BT$2,-1)+1,$C123:$F123)*VLOOKUP(BT$2,ProyDia[],8,0)</f>
        <v>0</v>
      </c>
      <c r="BU123" s="28" t="n">
        <f aca="false">SUMIF($C$2:$F$2,EOMONTH(BU$2,-1)+1,$C123:$F123)*VLOOKUP(BU$2,ProyDia[],8,0)</f>
        <v>0</v>
      </c>
      <c r="BV123" s="28" t="n">
        <f aca="false">SUMIF($C$2:$F$2,EOMONTH(BV$2,-1)+1,$C123:$F123)*VLOOKUP(BV$2,ProyDia[],8,0)</f>
        <v>0</v>
      </c>
      <c r="BW123" s="28" t="n">
        <f aca="false">SUMIF($C$2:$F$2,EOMONTH(BW$2,-1)+1,$C123:$F123)*VLOOKUP(BW$2,ProyDia[],8,0)</f>
        <v>0</v>
      </c>
      <c r="BX123" s="28" t="n">
        <f aca="false">SUMIF($C$2:$F$2,EOMONTH(BX$2,-1)+1,$C123:$F123)*VLOOKUP(BX$2,ProyDia[],8,0)</f>
        <v>0</v>
      </c>
      <c r="BY123" s="28" t="n">
        <f aca="false">SUMIF($C$2:$F$2,EOMONTH(BY$2,-1)+1,$C123:$F123)*VLOOKUP(BY$2,ProyDia[],8,0)</f>
        <v>0</v>
      </c>
      <c r="BZ123" s="28" t="n">
        <f aca="false">SUMIF($C$2:$F$2,EOMONTH(BZ$2,-1)+1,$C123:$F123)*VLOOKUP(BZ$2,ProyDia[],8,0)</f>
        <v>0</v>
      </c>
      <c r="CA123" s="28" t="n">
        <f aca="false">SUMIF($C$2:$F$2,EOMONTH(CA$2,-1)+1,$C123:$F123)*VLOOKUP(CA$2,ProyDia[],8,0)</f>
        <v>0</v>
      </c>
      <c r="CB123" s="28" t="n">
        <f aca="false">SUMIF($C$2:$F$2,EOMONTH(CB$2,-1)+1,$C123:$F123)*VLOOKUP(CB$2,ProyDia[],8,0)</f>
        <v>0</v>
      </c>
      <c r="CC123" s="28" t="n">
        <f aca="false">SUMIF($C$2:$F$2,EOMONTH(CC$2,-1)+1,$C123:$F123)*VLOOKUP(CC$2,ProyDia[],8,0)</f>
        <v>0</v>
      </c>
      <c r="CD123" s="28" t="n">
        <f aca="false">SUMIF($C$2:$F$2,EOMONTH(CD$2,-1)+1,$C123:$F123)*VLOOKUP(CD$2,ProyDia[],8,0)</f>
        <v>0</v>
      </c>
      <c r="CE123" s="28" t="n">
        <f aca="false">SUMIF($C$2:$F$2,EOMONTH(CE$2,-1)+1,$C123:$F123)*VLOOKUP(CE$2,ProyDia[],8,0)</f>
        <v>0</v>
      </c>
      <c r="CF123" s="28" t="n">
        <f aca="false">SUMIF($C$2:$F$2,EOMONTH(CF$2,-1)+1,$C123:$F123)*VLOOKUP(CF$2,ProyDia[],8,0)</f>
        <v>0</v>
      </c>
      <c r="CG123" s="28" t="n">
        <f aca="false">SUMIF($C$2:$F$2,EOMONTH(CG$2,-1)+1,$C123:$F123)*VLOOKUP(CG$2,ProyDia[],8,0)</f>
        <v>0</v>
      </c>
      <c r="CH123" s="28" t="n">
        <f aca="false">SUMIF($C$2:$F$2,EOMONTH(CH$2,-1)+1,$C123:$F123)*VLOOKUP(CH$2,ProyDia[],8,0)</f>
        <v>0</v>
      </c>
      <c r="CI123" s="28" t="n">
        <f aca="false">SUMIF($C$2:$F$2,EOMONTH(CI$2,-1)+1,$C123:$F123)*VLOOKUP(CI$2,ProyDia[],8,0)</f>
        <v>0</v>
      </c>
      <c r="CJ123" s="28" t="n">
        <f aca="false">SUMIF($C$2:$F$2,EOMONTH(CJ$2,-1)+1,$C123:$F123)*VLOOKUP(CJ$2,ProyDia[],8,0)</f>
        <v>0</v>
      </c>
      <c r="CK123" s="28" t="n">
        <f aca="false">SUMIF($C$2:$F$2,EOMONTH(CK$2,-1)+1,$C123:$F123)*VLOOKUP(CK$2,ProyDia[],8,0)</f>
        <v>0</v>
      </c>
      <c r="CL123" s="28" t="n">
        <f aca="false">SUMIF($C$2:$F$2,EOMONTH(CL$2,-1)+1,$C123:$F123)*VLOOKUP(CL$2,ProyDia[],8,0)</f>
        <v>0</v>
      </c>
      <c r="CM123" s="28" t="n">
        <f aca="false">SUMIF($C$2:$F$2,EOMONTH(CM$2,-1)+1,$C123:$F123)*VLOOKUP(CM$2,ProyDia[],8,0)</f>
        <v>0</v>
      </c>
      <c r="CN123" s="28" t="n">
        <f aca="false">SUMIF($C$2:$F$2,EOMONTH(CN$2,-1)+1,$C123:$F123)*VLOOKUP(CN$2,ProyDia[],8,0)</f>
        <v>0</v>
      </c>
      <c r="CO123" s="28" t="n">
        <f aca="false">SUMIF($C$2:$F$2,EOMONTH(CO$2,-1)+1,$C123:$F123)*VLOOKUP(CO$2,ProyDia[],8,0)</f>
        <v>0</v>
      </c>
      <c r="CP123" s="28" t="n">
        <f aca="false">SUMIF($C$2:$F$2,EOMONTH(CP$2,-1)+1,$C123:$F123)*VLOOKUP(CP$2,ProyDia[],8,0)</f>
        <v>0</v>
      </c>
      <c r="CQ123" s="28" t="n">
        <f aca="false">SUMIF($C$2:$F$2,EOMONTH(CQ$2,-1)+1,$C123:$F123)*VLOOKUP(CQ$2,ProyDia[],8,0)</f>
        <v>0</v>
      </c>
      <c r="CR123" s="28" t="n">
        <f aca="false">SUMIF($C$2:$F$2,EOMONTH(CR$2,-1)+1,$C123:$F123)*VLOOKUP(CR$2,ProyDia[],8,0)</f>
        <v>0</v>
      </c>
      <c r="CS123" s="28" t="n">
        <f aca="false">SUMIF($C$2:$F$2,EOMONTH(CS$2,-1)+1,$C123:$F123)*VLOOKUP(CS$2,ProyDia[],8,0)</f>
        <v>0</v>
      </c>
      <c r="CT123" s="28" t="n">
        <f aca="false">SUMIF($C$2:$F$2,EOMONTH(CT$2,-1)+1,$C123:$F123)*VLOOKUP(CT$2,ProyDia[],8,0)</f>
        <v>0</v>
      </c>
      <c r="CU123" s="28" t="n">
        <f aca="false">SUMIF($C$2:$F$2,EOMONTH(CU$2,-1)+1,$C123:$F123)*VLOOKUP(CU$2,ProyDia[],8,0)</f>
        <v>0</v>
      </c>
      <c r="CV123" s="28" t="n">
        <f aca="false">SUMIF($C$2:$F$2,EOMONTH(CV$2,-1)+1,$C123:$F123)*VLOOKUP(CV$2,ProyDia[],8,0)</f>
        <v>0</v>
      </c>
      <c r="CW123" s="28" t="n">
        <f aca="false">SUMIF($C$2:$F$2,EOMONTH(CW$2,-1)+1,$C123:$F123)*VLOOKUP(CW$2,ProyDia[],8,0)</f>
        <v>0</v>
      </c>
      <c r="CX123" s="28" t="n">
        <f aca="false">SUMIF($C$2:$F$2,EOMONTH(CX$2,-1)+1,$C123:$F123)*VLOOKUP(CX$2,ProyDia[],8,0)</f>
        <v>0</v>
      </c>
      <c r="CY123" s="28" t="n">
        <f aca="false">SUMIF($C$2:$F$2,EOMONTH(CY$2,-1)+1,$C123:$F123)*VLOOKUP(CY$2,ProyDia[],8,0)</f>
        <v>0</v>
      </c>
      <c r="CZ123" s="28" t="n">
        <f aca="false">SUMIF($C$2:$F$2,EOMONTH(CZ$2,-1)+1,$C123:$F123)*VLOOKUP(CZ$2,ProyDia[],8,0)</f>
        <v>0</v>
      </c>
      <c r="DA123" s="28" t="n">
        <f aca="false">SUMIF($C$2:$F$2,EOMONTH(DA$2,-1)+1,$C123:$F123)*VLOOKUP(DA$2,ProyDia[],8,0)</f>
        <v>0</v>
      </c>
      <c r="DB123" s="28" t="n">
        <f aca="false">SUMIF($C$2:$F$2,EOMONTH(DB$2,-1)+1,$C123:$F123)*VLOOKUP(DB$2,ProyDia[],8,0)</f>
        <v>0</v>
      </c>
      <c r="DC123" s="28" t="n">
        <f aca="false">SUMIF($C$2:$F$2,EOMONTH(DC$2,-1)+1,$C123:$F123)*VLOOKUP(DC$2,ProyDia[],8,0)</f>
        <v>0</v>
      </c>
      <c r="DD123" s="28" t="n">
        <f aca="false">SUMIF($C$2:$F$2,EOMONTH(DD$2,-1)+1,$C123:$F123)*VLOOKUP(DD$2,ProyDia[],8,0)</f>
        <v>0</v>
      </c>
      <c r="DE123" s="28" t="n">
        <f aca="false">SUMIF($C$2:$F$2,EOMONTH(DE$2,-1)+1,$C123:$F123)*VLOOKUP(DE$2,ProyDia[],8,0)</f>
        <v>0</v>
      </c>
      <c r="DF123" s="28" t="n">
        <f aca="false">SUMIF($C$2:$F$2,EOMONTH(DF$2,-1)+1,$C123:$F123)*VLOOKUP(DF$2,ProyDia[],8,0)</f>
        <v>0</v>
      </c>
      <c r="DG123" s="28" t="n">
        <f aca="false">SUMIF($C$2:$F$2,EOMONTH(DG$2,-1)+1,$C123:$F123)*VLOOKUP(DG$2,ProyDia[],8,0)</f>
        <v>0</v>
      </c>
      <c r="DH123" s="28" t="n">
        <f aca="false">SUMIF($C$2:$F$2,EOMONTH(DH$2,-1)+1,$C123:$F123)*VLOOKUP(DH$2,ProyDia[],8,0)</f>
        <v>0</v>
      </c>
      <c r="DI123" s="28" t="n">
        <f aca="false">SUMIF($C$2:$F$2,EOMONTH(DI$2,-1)+1,$C123:$F123)*VLOOKUP(DI$2,ProyDia[],8,0)</f>
        <v>0</v>
      </c>
      <c r="DJ123" s="28" t="n">
        <f aca="false">SUMIF($C$2:$F$2,EOMONTH(DJ$2,-1)+1,$C123:$F123)*VLOOKUP(DJ$2,ProyDia[],8,0)</f>
        <v>0</v>
      </c>
      <c r="DK123" s="28" t="n">
        <f aca="false">SUMIF($C$2:$F$2,EOMONTH(DK$2,-1)+1,$C123:$F123)*VLOOKUP(DK$2,ProyDia[],8,0)</f>
        <v>0</v>
      </c>
      <c r="DL123" s="28" t="n">
        <f aca="false">SUMIF($C$2:$F$2,EOMONTH(DL$2,-1)+1,$C123:$F123)*VLOOKUP(DL$2,ProyDia[],8,0)</f>
        <v>0</v>
      </c>
      <c r="DM123" s="28" t="n">
        <f aca="false">SUMIF($C$2:$F$2,EOMONTH(DM$2,-1)+1,$C123:$F123)*VLOOKUP(DM$2,ProyDia[],8,0)</f>
        <v>0</v>
      </c>
      <c r="DN123" s="28" t="n">
        <f aca="false">SUMIF($C$2:$F$2,EOMONTH(DN$2,-1)+1,$C123:$F123)*VLOOKUP(DN$2,ProyDia[],8,0)</f>
        <v>0</v>
      </c>
      <c r="DO123" s="28" t="n">
        <f aca="false">SUMIF($C$2:$F$2,EOMONTH(DO$2,-1)+1,$C123:$F123)*VLOOKUP(DO$2,ProyDia[],8,0)</f>
        <v>0</v>
      </c>
      <c r="DP123" s="28" t="n">
        <f aca="false">SUMIF($C$2:$F$2,EOMONTH(DP$2,-1)+1,$C123:$F123)*VLOOKUP(DP$2,ProyDia[],8,0)</f>
        <v>0</v>
      </c>
      <c r="DQ123" s="28" t="n">
        <f aca="false">SUMIF($C$2:$F$2,EOMONTH(DQ$2,-1)+1,$C123:$F123)*VLOOKUP(DQ$2,ProyDia[],8,0)</f>
        <v>0</v>
      </c>
      <c r="DR123" s="28" t="n">
        <f aca="false">SUMIF($C$2:$F$2,EOMONTH(DR$2,-1)+1,$C123:$F123)*VLOOKUP(DR$2,ProyDia[],8,0)</f>
        <v>0</v>
      </c>
      <c r="DS123" s="28" t="n">
        <f aca="false">SUMIF($C$2:$F$2,EOMONTH(DS$2,-1)+1,$C123:$F123)*VLOOKUP(DS$2,ProyDia[],8,0)</f>
        <v>0</v>
      </c>
      <c r="DT123" s="28" t="n">
        <f aca="false">SUMIF($C$2:$F$2,EOMONTH(DT$2,-1)+1,$C123:$F123)*VLOOKUP(DT$2,ProyDia[],8,0)</f>
        <v>0</v>
      </c>
      <c r="DU123" s="28" t="n">
        <f aca="false">SUMIF($C$2:$F$2,EOMONTH(DU$2,-1)+1,$C123:$F123)*VLOOKUP(DU$2,ProyDia[],8,0)</f>
        <v>0</v>
      </c>
      <c r="DV123" s="28" t="n">
        <f aca="false">SUMIF($C$2:$F$2,EOMONTH(DV$2,-1)+1,$C123:$F123)*VLOOKUP(DV$2,ProyDia[],8,0)</f>
        <v>0</v>
      </c>
      <c r="DW123" s="28" t="n">
        <f aca="false">SUMIF($C$2:$F$2,EOMONTH(DW$2,-1)+1,$C123:$F123)*VLOOKUP(DW$2,ProyDia[],8,0)</f>
        <v>0</v>
      </c>
      <c r="DX123" s="28" t="n">
        <f aca="false">SUMIF($C$2:$F$2,EOMONTH(DX$2,-1)+1,$C123:$F123)*VLOOKUP(DX$2,ProyDia[],8,0)</f>
        <v>0</v>
      </c>
    </row>
    <row r="124" customFormat="false" ht="14.4" hidden="false" customHeight="false" outlineLevel="0" collapsed="false">
      <c r="A124" s="35"/>
      <c r="B124" s="35"/>
      <c r="C124" s="35"/>
      <c r="D124" s="35"/>
      <c r="E124" s="35"/>
      <c r="F124" s="35"/>
      <c r="G124" s="36" t="n">
        <f aca="false">SUMIF($C$2:$F$2,EOMONTH(G$2,-1)+1,$C124:$F124)*VLOOKUP(G$2,ProyDia[],8,0)</f>
        <v>0</v>
      </c>
      <c r="H124" s="36" t="n">
        <f aca="false">SUMIF($C$2:$F$2,EOMONTH(H$2,-1)+1,$C124:$F124)*VLOOKUP(H$2,ProyDia[],8,0)</f>
        <v>0</v>
      </c>
      <c r="I124" s="36" t="n">
        <f aca="false">SUMIF($C$2:$F$2,EOMONTH(I$2,-1)+1,$C124:$F124)*VLOOKUP(I$2,ProyDia[],8,0)</f>
        <v>0</v>
      </c>
      <c r="J124" s="36" t="n">
        <f aca="false">SUMIF($C$2:$F$2,EOMONTH(J$2,-1)+1,$C124:$F124)*VLOOKUP(J$2,ProyDia[],8,0)</f>
        <v>0</v>
      </c>
      <c r="K124" s="36" t="n">
        <f aca="false">SUMIF($C$2:$F$2,EOMONTH(K$2,-1)+1,$C124:$F124)*VLOOKUP(K$2,ProyDia[],8,0)</f>
        <v>0</v>
      </c>
      <c r="L124" s="36" t="n">
        <f aca="false">SUMIF($C$2:$F$2,EOMONTH(L$2,-1)+1,$C124:$F124)*VLOOKUP(L$2,ProyDia[],8,0)</f>
        <v>0</v>
      </c>
      <c r="M124" s="36" t="n">
        <f aca="false">SUMIF($C$2:$F$2,EOMONTH(M$2,-1)+1,$C124:$F124)*VLOOKUP(M$2,ProyDia[],8,0)</f>
        <v>0</v>
      </c>
      <c r="N124" s="36" t="n">
        <f aca="false">SUMIF($C$2:$F$2,EOMONTH(N$2,-1)+1,$C124:$F124)*VLOOKUP(N$2,ProyDia[],8,0)</f>
        <v>0</v>
      </c>
      <c r="O124" s="36" t="n">
        <f aca="false">SUMIF($C$2:$F$2,EOMONTH(O$2,-1)+1,$C124:$F124)*VLOOKUP(O$2,ProyDia[],8,0)</f>
        <v>0</v>
      </c>
      <c r="P124" s="36" t="n">
        <f aca="false">SUMIF($C$2:$F$2,EOMONTH(P$2,-1)+1,$C124:$F124)*VLOOKUP(P$2,ProyDia[],8,0)</f>
        <v>0</v>
      </c>
      <c r="Q124" s="36" t="n">
        <f aca="false">SUMIF($C$2:$F$2,EOMONTH(Q$2,-1)+1,$C124:$F124)*VLOOKUP(Q$2,ProyDia[],8,0)</f>
        <v>0</v>
      </c>
      <c r="R124" s="36" t="n">
        <f aca="false">SUMIF($C$2:$F$2,EOMONTH(R$2,-1)+1,$C124:$F124)*VLOOKUP(R$2,ProyDia[],8,0)</f>
        <v>0</v>
      </c>
      <c r="S124" s="36" t="n">
        <f aca="false">SUMIF($C$2:$F$2,EOMONTH(S$2,-1)+1,$C124:$F124)*VLOOKUP(S$2,ProyDia[],8,0)</f>
        <v>0</v>
      </c>
      <c r="T124" s="36" t="n">
        <f aca="false">SUMIF($C$2:$F$2,EOMONTH(T$2,-1)+1,$C124:$F124)*VLOOKUP(T$2,ProyDia[],8,0)</f>
        <v>0</v>
      </c>
      <c r="U124" s="36" t="n">
        <f aca="false">SUMIF($C$2:$F$2,EOMONTH(U$2,-1)+1,$C124:$F124)*VLOOKUP(U$2,ProyDia[],8,0)</f>
        <v>0</v>
      </c>
      <c r="V124" s="36" t="n">
        <f aca="false">SUMIF($C$2:$F$2,EOMONTH(V$2,-1)+1,$C124:$F124)*VLOOKUP(V$2,ProyDia[],8,0)</f>
        <v>0</v>
      </c>
      <c r="W124" s="36" t="n">
        <f aca="false">SUMIF($C$2:$F$2,EOMONTH(W$2,-1)+1,$C124:$F124)*VLOOKUP(W$2,ProyDia[],8,0)</f>
        <v>0</v>
      </c>
      <c r="X124" s="36" t="n">
        <f aca="false">SUMIF($C$2:$F$2,EOMONTH(X$2,-1)+1,$C124:$F124)*VLOOKUP(X$2,ProyDia[],8,0)</f>
        <v>0</v>
      </c>
      <c r="Y124" s="36" t="n">
        <f aca="false">SUMIF($C$2:$F$2,EOMONTH(Y$2,-1)+1,$C124:$F124)*VLOOKUP(Y$2,ProyDia[],8,0)</f>
        <v>0</v>
      </c>
      <c r="Z124" s="36" t="n">
        <f aca="false">SUMIF($C$2:$F$2,EOMONTH(Z$2,-1)+1,$C124:$F124)*VLOOKUP(Z$2,ProyDia[],8,0)</f>
        <v>0</v>
      </c>
      <c r="AA124" s="36" t="n">
        <f aca="false">SUMIF($C$2:$F$2,EOMONTH(AA$2,-1)+1,$C124:$F124)*VLOOKUP(AA$2,ProyDia[],8,0)</f>
        <v>0</v>
      </c>
      <c r="AB124" s="36" t="n">
        <f aca="false">SUMIF($C$2:$F$2,EOMONTH(AB$2,-1)+1,$C124:$F124)*VLOOKUP(AB$2,ProyDia[],8,0)</f>
        <v>0</v>
      </c>
      <c r="AC124" s="36" t="n">
        <f aca="false">SUMIF($C$2:$F$2,EOMONTH(AC$2,-1)+1,$C124:$F124)*VLOOKUP(AC$2,ProyDia[],8,0)</f>
        <v>0</v>
      </c>
      <c r="AD124" s="36" t="n">
        <f aca="false">SUMIF($C$2:$F$2,EOMONTH(AD$2,-1)+1,$C124:$F124)*VLOOKUP(AD$2,ProyDia[],8,0)</f>
        <v>0</v>
      </c>
      <c r="AE124" s="36" t="n">
        <f aca="false">SUMIF($C$2:$F$2,EOMONTH(AE$2,-1)+1,$C124:$F124)*VLOOKUP(AE$2,ProyDia[],8,0)</f>
        <v>0</v>
      </c>
      <c r="AF124" s="36" t="n">
        <f aca="false">SUMIF($C$2:$F$2,EOMONTH(AF$2,-1)+1,$C124:$F124)*VLOOKUP(AF$2,ProyDia[],8,0)</f>
        <v>0</v>
      </c>
      <c r="AG124" s="36" t="n">
        <f aca="false">SUMIF($C$2:$F$2,EOMONTH(AG$2,-1)+1,$C124:$F124)*VLOOKUP(AG$2,ProyDia[],8,0)</f>
        <v>0</v>
      </c>
      <c r="AH124" s="36" t="n">
        <f aca="false">SUMIF($C$2:$F$2,EOMONTH(AH$2,-1)+1,$C124:$F124)*VLOOKUP(AH$2,ProyDia[],8,0)</f>
        <v>0</v>
      </c>
      <c r="AI124" s="36" t="n">
        <f aca="false">SUMIF($C$2:$F$2,EOMONTH(AI$2,-1)+1,$C124:$F124)*VLOOKUP(AI$2,ProyDia[],8,0)</f>
        <v>0</v>
      </c>
      <c r="AJ124" s="36" t="n">
        <f aca="false">SUMIF($C$2:$F$2,EOMONTH(AJ$2,-1)+1,$C124:$F124)*VLOOKUP(AJ$2,ProyDia[],8,0)</f>
        <v>0</v>
      </c>
      <c r="AK124" s="36" t="n">
        <f aca="false">SUMIF($C$2:$F$2,EOMONTH(AK$2,-1)+1,$C124:$F124)*VLOOKUP(AK$2,ProyDia[],8,0)</f>
        <v>0</v>
      </c>
      <c r="AL124" s="36" t="n">
        <f aca="false">SUMIF($C$2:$F$2,EOMONTH(AL$2,-1)+1,$C124:$F124)*VLOOKUP(AL$2,ProyDia[],8,0)</f>
        <v>0</v>
      </c>
      <c r="AM124" s="36" t="n">
        <f aca="false">SUMIF($C$2:$F$2,EOMONTH(AM$2,-1)+1,$C124:$F124)*VLOOKUP(AM$2,ProyDia[],8,0)</f>
        <v>0</v>
      </c>
      <c r="AN124" s="36" t="n">
        <f aca="false">SUMIF($C$2:$F$2,EOMONTH(AN$2,-1)+1,$C124:$F124)*VLOOKUP(AN$2,ProyDia[],8,0)</f>
        <v>0</v>
      </c>
      <c r="AO124" s="36" t="n">
        <f aca="false">SUMIF($C$2:$F$2,EOMONTH(AO$2,-1)+1,$C124:$F124)*VLOOKUP(AO$2,ProyDia[],8,0)</f>
        <v>0</v>
      </c>
      <c r="AP124" s="36" t="n">
        <f aca="false">SUMIF($C$2:$F$2,EOMONTH(AP$2,-1)+1,$C124:$F124)*VLOOKUP(AP$2,ProyDia[],8,0)</f>
        <v>0</v>
      </c>
      <c r="AQ124" s="36" t="n">
        <f aca="false">SUMIF($C$2:$F$2,EOMONTH(AQ$2,-1)+1,$C124:$F124)*VLOOKUP(AQ$2,ProyDia[],8,0)</f>
        <v>0</v>
      </c>
      <c r="AR124" s="36" t="n">
        <f aca="false">SUMIF($C$2:$F$2,EOMONTH(AR$2,-1)+1,$C124:$F124)*VLOOKUP(AR$2,ProyDia[],8,0)</f>
        <v>0</v>
      </c>
      <c r="AS124" s="36" t="n">
        <f aca="false">SUMIF($C$2:$F$2,EOMONTH(AS$2,-1)+1,$C124:$F124)*VLOOKUP(AS$2,ProyDia[],8,0)</f>
        <v>0</v>
      </c>
      <c r="AT124" s="36" t="n">
        <f aca="false">SUMIF($C$2:$F$2,EOMONTH(AT$2,-1)+1,$C124:$F124)*VLOOKUP(AT$2,ProyDia[],8,0)</f>
        <v>0</v>
      </c>
      <c r="AU124" s="36" t="n">
        <f aca="false">SUMIF($C$2:$F$2,EOMONTH(AU$2,-1)+1,$C124:$F124)*VLOOKUP(AU$2,ProyDia[],8,0)</f>
        <v>0</v>
      </c>
      <c r="AV124" s="36" t="n">
        <f aca="false">SUMIF($C$2:$F$2,EOMONTH(AV$2,-1)+1,$C124:$F124)*VLOOKUP(AV$2,ProyDia[],8,0)</f>
        <v>0</v>
      </c>
      <c r="AW124" s="36" t="n">
        <f aca="false">SUMIF($C$2:$F$2,EOMONTH(AW$2,-1)+1,$C124:$F124)*VLOOKUP(AW$2,ProyDia[],8,0)</f>
        <v>0</v>
      </c>
      <c r="AX124" s="36" t="n">
        <f aca="false">SUMIF($C$2:$F$2,EOMONTH(AX$2,-1)+1,$C124:$F124)*VLOOKUP(AX$2,ProyDia[],8,0)</f>
        <v>0</v>
      </c>
      <c r="AY124" s="36" t="n">
        <f aca="false">SUMIF($C$2:$F$2,EOMONTH(AY$2,-1)+1,$C124:$F124)*VLOOKUP(AY$2,ProyDia[],8,0)</f>
        <v>0</v>
      </c>
      <c r="AZ124" s="36" t="n">
        <f aca="false">SUMIF($C$2:$F$2,EOMONTH(AZ$2,-1)+1,$C124:$F124)*VLOOKUP(AZ$2,ProyDia[],8,0)</f>
        <v>0</v>
      </c>
      <c r="BA124" s="36" t="n">
        <f aca="false">SUMIF($C$2:$F$2,EOMONTH(BA$2,-1)+1,$C124:$F124)*VLOOKUP(BA$2,ProyDia[],8,0)</f>
        <v>0</v>
      </c>
      <c r="BB124" s="36" t="n">
        <f aca="false">SUMIF($C$2:$F$2,EOMONTH(BB$2,-1)+1,$C124:$F124)*VLOOKUP(BB$2,ProyDia[],8,0)</f>
        <v>0</v>
      </c>
      <c r="BC124" s="36" t="n">
        <f aca="false">SUMIF($C$2:$F$2,EOMONTH(BC$2,-1)+1,$C124:$F124)*VLOOKUP(BC$2,ProyDia[],8,0)</f>
        <v>0</v>
      </c>
      <c r="BD124" s="36" t="n">
        <f aca="false">SUMIF($C$2:$F$2,EOMONTH(BD$2,-1)+1,$C124:$F124)*VLOOKUP(BD$2,ProyDia[],8,0)</f>
        <v>0</v>
      </c>
      <c r="BE124" s="36" t="n">
        <f aca="false">SUMIF($C$2:$F$2,EOMONTH(BE$2,-1)+1,$C124:$F124)*VLOOKUP(BE$2,ProyDia[],8,0)</f>
        <v>0</v>
      </c>
      <c r="BF124" s="36" t="n">
        <f aca="false">SUMIF($C$2:$F$2,EOMONTH(BF$2,-1)+1,$C124:$F124)*VLOOKUP(BF$2,ProyDia[],8,0)</f>
        <v>0</v>
      </c>
      <c r="BG124" s="36" t="n">
        <f aca="false">SUMIF($C$2:$F$2,EOMONTH(BG$2,-1)+1,$C124:$F124)*VLOOKUP(BG$2,ProyDia[],8,0)</f>
        <v>0</v>
      </c>
      <c r="BH124" s="36" t="n">
        <f aca="false">SUMIF($C$2:$F$2,EOMONTH(BH$2,-1)+1,$C124:$F124)*VLOOKUP(BH$2,ProyDia[],8,0)</f>
        <v>0</v>
      </c>
      <c r="BI124" s="36" t="n">
        <f aca="false">SUMIF($C$2:$F$2,EOMONTH(BI$2,-1)+1,$C124:$F124)*VLOOKUP(BI$2,ProyDia[],8,0)</f>
        <v>0</v>
      </c>
      <c r="BJ124" s="36" t="n">
        <f aca="false">SUMIF($C$2:$F$2,EOMONTH(BJ$2,-1)+1,$C124:$F124)*VLOOKUP(BJ$2,ProyDia[],8,0)</f>
        <v>0</v>
      </c>
      <c r="BK124" s="36" t="n">
        <f aca="false">SUMIF($C$2:$F$2,EOMONTH(BK$2,-1)+1,$C124:$F124)*VLOOKUP(BK$2,ProyDia[],8,0)</f>
        <v>0</v>
      </c>
      <c r="BL124" s="36" t="n">
        <f aca="false">SUMIF($C$2:$F$2,EOMONTH(BL$2,-1)+1,$C124:$F124)*VLOOKUP(BL$2,ProyDia[],8,0)</f>
        <v>0</v>
      </c>
      <c r="BM124" s="36" t="n">
        <f aca="false">SUMIF($C$2:$F$2,EOMONTH(BM$2,-1)+1,$C124:$F124)*VLOOKUP(BM$2,ProyDia[],8,0)</f>
        <v>0</v>
      </c>
      <c r="BN124" s="36" t="n">
        <f aca="false">SUMIF($C$2:$F$2,EOMONTH(BN$2,-1)+1,$C124:$F124)*VLOOKUP(BN$2,ProyDia[],8,0)</f>
        <v>0</v>
      </c>
      <c r="BO124" s="36" t="n">
        <f aca="false">SUMIF($C$2:$F$2,EOMONTH(BO$2,-1)+1,$C124:$F124)*VLOOKUP(BO$2,ProyDia[],8,0)</f>
        <v>0</v>
      </c>
      <c r="BP124" s="36" t="n">
        <f aca="false">SUMIF($C$2:$F$2,EOMONTH(BP$2,-1)+1,$C124:$F124)*VLOOKUP(BP$2,ProyDia[],8,0)</f>
        <v>0</v>
      </c>
      <c r="BQ124" s="36" t="n">
        <f aca="false">SUMIF($C$2:$F$2,EOMONTH(BQ$2,-1)+1,$C124:$F124)*VLOOKUP(BQ$2,ProyDia[],8,0)</f>
        <v>0</v>
      </c>
      <c r="BR124" s="36" t="n">
        <f aca="false">SUMIF($C$2:$F$2,EOMONTH(BR$2,-1)+1,$C124:$F124)*VLOOKUP(BR$2,ProyDia[],8,0)</f>
        <v>0</v>
      </c>
      <c r="BS124" s="36" t="n">
        <f aca="false">SUMIF($C$2:$F$2,EOMONTH(BS$2,-1)+1,$C124:$F124)*VLOOKUP(BS$2,ProyDia[],8,0)</f>
        <v>0</v>
      </c>
      <c r="BT124" s="36" t="n">
        <f aca="false">SUMIF($C$2:$F$2,EOMONTH(BT$2,-1)+1,$C124:$F124)*VLOOKUP(BT$2,ProyDia[],8,0)</f>
        <v>0</v>
      </c>
      <c r="BU124" s="36" t="n">
        <f aca="false">SUMIF($C$2:$F$2,EOMONTH(BU$2,-1)+1,$C124:$F124)*VLOOKUP(BU$2,ProyDia[],8,0)</f>
        <v>0</v>
      </c>
      <c r="BV124" s="36" t="n">
        <f aca="false">SUMIF($C$2:$F$2,EOMONTH(BV$2,-1)+1,$C124:$F124)*VLOOKUP(BV$2,ProyDia[],8,0)</f>
        <v>0</v>
      </c>
      <c r="BW124" s="36" t="n">
        <f aca="false">SUMIF($C$2:$F$2,EOMONTH(BW$2,-1)+1,$C124:$F124)*VLOOKUP(BW$2,ProyDia[],8,0)</f>
        <v>0</v>
      </c>
      <c r="BX124" s="36" t="n">
        <f aca="false">SUMIF($C$2:$F$2,EOMONTH(BX$2,-1)+1,$C124:$F124)*VLOOKUP(BX$2,ProyDia[],8,0)</f>
        <v>0</v>
      </c>
      <c r="BY124" s="36" t="n">
        <f aca="false">SUMIF($C$2:$F$2,EOMONTH(BY$2,-1)+1,$C124:$F124)*VLOOKUP(BY$2,ProyDia[],8,0)</f>
        <v>0</v>
      </c>
      <c r="BZ124" s="36" t="n">
        <f aca="false">SUMIF($C$2:$F$2,EOMONTH(BZ$2,-1)+1,$C124:$F124)*VLOOKUP(BZ$2,ProyDia[],8,0)</f>
        <v>0</v>
      </c>
      <c r="CA124" s="36" t="n">
        <f aca="false">SUMIF($C$2:$F$2,EOMONTH(CA$2,-1)+1,$C124:$F124)*VLOOKUP(CA$2,ProyDia[],8,0)</f>
        <v>0</v>
      </c>
      <c r="CB124" s="36" t="n">
        <f aca="false">SUMIF($C$2:$F$2,EOMONTH(CB$2,-1)+1,$C124:$F124)*VLOOKUP(CB$2,ProyDia[],8,0)</f>
        <v>0</v>
      </c>
      <c r="CC124" s="36" t="n">
        <f aca="false">SUMIF($C$2:$F$2,EOMONTH(CC$2,-1)+1,$C124:$F124)*VLOOKUP(CC$2,ProyDia[],8,0)</f>
        <v>0</v>
      </c>
      <c r="CD124" s="36" t="n">
        <f aca="false">SUMIF($C$2:$F$2,EOMONTH(CD$2,-1)+1,$C124:$F124)*VLOOKUP(CD$2,ProyDia[],8,0)</f>
        <v>0</v>
      </c>
      <c r="CE124" s="36" t="n">
        <f aca="false">SUMIF($C$2:$F$2,EOMONTH(CE$2,-1)+1,$C124:$F124)*VLOOKUP(CE$2,ProyDia[],8,0)</f>
        <v>0</v>
      </c>
      <c r="CF124" s="36" t="n">
        <f aca="false">SUMIF($C$2:$F$2,EOMONTH(CF$2,-1)+1,$C124:$F124)*VLOOKUP(CF$2,ProyDia[],8,0)</f>
        <v>0</v>
      </c>
      <c r="CG124" s="36" t="n">
        <f aca="false">SUMIF($C$2:$F$2,EOMONTH(CG$2,-1)+1,$C124:$F124)*VLOOKUP(CG$2,ProyDia[],8,0)</f>
        <v>0</v>
      </c>
      <c r="CH124" s="36" t="n">
        <f aca="false">SUMIF($C$2:$F$2,EOMONTH(CH$2,-1)+1,$C124:$F124)*VLOOKUP(CH$2,ProyDia[],8,0)</f>
        <v>0</v>
      </c>
      <c r="CI124" s="36" t="n">
        <f aca="false">SUMIF($C$2:$F$2,EOMONTH(CI$2,-1)+1,$C124:$F124)*VLOOKUP(CI$2,ProyDia[],8,0)</f>
        <v>0</v>
      </c>
      <c r="CJ124" s="36" t="n">
        <f aca="false">SUMIF($C$2:$F$2,EOMONTH(CJ$2,-1)+1,$C124:$F124)*VLOOKUP(CJ$2,ProyDia[],8,0)</f>
        <v>0</v>
      </c>
      <c r="CK124" s="36" t="n">
        <f aca="false">SUMIF($C$2:$F$2,EOMONTH(CK$2,-1)+1,$C124:$F124)*VLOOKUP(CK$2,ProyDia[],8,0)</f>
        <v>0</v>
      </c>
      <c r="CL124" s="36" t="n">
        <f aca="false">SUMIF($C$2:$F$2,EOMONTH(CL$2,-1)+1,$C124:$F124)*VLOOKUP(CL$2,ProyDia[],8,0)</f>
        <v>0</v>
      </c>
      <c r="CM124" s="36" t="n">
        <f aca="false">SUMIF($C$2:$F$2,EOMONTH(CM$2,-1)+1,$C124:$F124)*VLOOKUP(CM$2,ProyDia[],8,0)</f>
        <v>0</v>
      </c>
      <c r="CN124" s="36" t="n">
        <f aca="false">SUMIF($C$2:$F$2,EOMONTH(CN$2,-1)+1,$C124:$F124)*VLOOKUP(CN$2,ProyDia[],8,0)</f>
        <v>0</v>
      </c>
      <c r="CO124" s="36" t="n">
        <f aca="false">SUMIF($C$2:$F$2,EOMONTH(CO$2,-1)+1,$C124:$F124)*VLOOKUP(CO$2,ProyDia[],8,0)</f>
        <v>0</v>
      </c>
      <c r="CP124" s="36" t="n">
        <f aca="false">SUMIF($C$2:$F$2,EOMONTH(CP$2,-1)+1,$C124:$F124)*VLOOKUP(CP$2,ProyDia[],8,0)</f>
        <v>0</v>
      </c>
      <c r="CQ124" s="36" t="n">
        <f aca="false">SUMIF($C$2:$F$2,EOMONTH(CQ$2,-1)+1,$C124:$F124)*VLOOKUP(CQ$2,ProyDia[],8,0)</f>
        <v>0</v>
      </c>
      <c r="CR124" s="36" t="n">
        <f aca="false">SUMIF($C$2:$F$2,EOMONTH(CR$2,-1)+1,$C124:$F124)*VLOOKUP(CR$2,ProyDia[],8,0)</f>
        <v>0</v>
      </c>
      <c r="CS124" s="36" t="n">
        <f aca="false">SUMIF($C$2:$F$2,EOMONTH(CS$2,-1)+1,$C124:$F124)*VLOOKUP(CS$2,ProyDia[],8,0)</f>
        <v>0</v>
      </c>
      <c r="CT124" s="36" t="n">
        <f aca="false">SUMIF($C$2:$F$2,EOMONTH(CT$2,-1)+1,$C124:$F124)*VLOOKUP(CT$2,ProyDia[],8,0)</f>
        <v>0</v>
      </c>
      <c r="CU124" s="36" t="n">
        <f aca="false">SUMIF($C$2:$F$2,EOMONTH(CU$2,-1)+1,$C124:$F124)*VLOOKUP(CU$2,ProyDia[],8,0)</f>
        <v>0</v>
      </c>
      <c r="CV124" s="36" t="n">
        <f aca="false">SUMIF($C$2:$F$2,EOMONTH(CV$2,-1)+1,$C124:$F124)*VLOOKUP(CV$2,ProyDia[],8,0)</f>
        <v>0</v>
      </c>
      <c r="CW124" s="36" t="n">
        <f aca="false">SUMIF($C$2:$F$2,EOMONTH(CW$2,-1)+1,$C124:$F124)*VLOOKUP(CW$2,ProyDia[],8,0)</f>
        <v>0</v>
      </c>
      <c r="CX124" s="36" t="n">
        <f aca="false">SUMIF($C$2:$F$2,EOMONTH(CX$2,-1)+1,$C124:$F124)*VLOOKUP(CX$2,ProyDia[],8,0)</f>
        <v>0</v>
      </c>
      <c r="CY124" s="36" t="n">
        <f aca="false">SUMIF($C$2:$F$2,EOMONTH(CY$2,-1)+1,$C124:$F124)*VLOOKUP(CY$2,ProyDia[],8,0)</f>
        <v>0</v>
      </c>
      <c r="CZ124" s="36" t="n">
        <f aca="false">SUMIF($C$2:$F$2,EOMONTH(CZ$2,-1)+1,$C124:$F124)*VLOOKUP(CZ$2,ProyDia[],8,0)</f>
        <v>0</v>
      </c>
      <c r="DA124" s="36" t="n">
        <f aca="false">SUMIF($C$2:$F$2,EOMONTH(DA$2,-1)+1,$C124:$F124)*VLOOKUP(DA$2,ProyDia[],8,0)</f>
        <v>0</v>
      </c>
      <c r="DB124" s="36" t="n">
        <f aca="false">SUMIF($C$2:$F$2,EOMONTH(DB$2,-1)+1,$C124:$F124)*VLOOKUP(DB$2,ProyDia[],8,0)</f>
        <v>0</v>
      </c>
      <c r="DC124" s="36" t="n">
        <f aca="false">SUMIF($C$2:$F$2,EOMONTH(DC$2,-1)+1,$C124:$F124)*VLOOKUP(DC$2,ProyDia[],8,0)</f>
        <v>0</v>
      </c>
      <c r="DD124" s="36" t="n">
        <f aca="false">SUMIF($C$2:$F$2,EOMONTH(DD$2,-1)+1,$C124:$F124)*VLOOKUP(DD$2,ProyDia[],8,0)</f>
        <v>0</v>
      </c>
      <c r="DE124" s="36" t="n">
        <f aca="false">SUMIF($C$2:$F$2,EOMONTH(DE$2,-1)+1,$C124:$F124)*VLOOKUP(DE$2,ProyDia[],8,0)</f>
        <v>0</v>
      </c>
      <c r="DF124" s="36" t="n">
        <f aca="false">SUMIF($C$2:$F$2,EOMONTH(DF$2,-1)+1,$C124:$F124)*VLOOKUP(DF$2,ProyDia[],8,0)</f>
        <v>0</v>
      </c>
      <c r="DG124" s="36" t="n">
        <f aca="false">SUMIF($C$2:$F$2,EOMONTH(DG$2,-1)+1,$C124:$F124)*VLOOKUP(DG$2,ProyDia[],8,0)</f>
        <v>0</v>
      </c>
      <c r="DH124" s="36" t="n">
        <f aca="false">SUMIF($C$2:$F$2,EOMONTH(DH$2,-1)+1,$C124:$F124)*VLOOKUP(DH$2,ProyDia[],8,0)</f>
        <v>0</v>
      </c>
      <c r="DI124" s="36" t="n">
        <f aca="false">SUMIF($C$2:$F$2,EOMONTH(DI$2,-1)+1,$C124:$F124)*VLOOKUP(DI$2,ProyDia[],8,0)</f>
        <v>0</v>
      </c>
      <c r="DJ124" s="36" t="n">
        <f aca="false">SUMIF($C$2:$F$2,EOMONTH(DJ$2,-1)+1,$C124:$F124)*VLOOKUP(DJ$2,ProyDia[],8,0)</f>
        <v>0</v>
      </c>
      <c r="DK124" s="36" t="n">
        <f aca="false">SUMIF($C$2:$F$2,EOMONTH(DK$2,-1)+1,$C124:$F124)*VLOOKUP(DK$2,ProyDia[],8,0)</f>
        <v>0</v>
      </c>
      <c r="DL124" s="36" t="n">
        <f aca="false">SUMIF($C$2:$F$2,EOMONTH(DL$2,-1)+1,$C124:$F124)*VLOOKUP(DL$2,ProyDia[],8,0)</f>
        <v>0</v>
      </c>
      <c r="DM124" s="36" t="n">
        <f aca="false">SUMIF($C$2:$F$2,EOMONTH(DM$2,-1)+1,$C124:$F124)*VLOOKUP(DM$2,ProyDia[],8,0)</f>
        <v>0</v>
      </c>
      <c r="DN124" s="36" t="n">
        <f aca="false">SUMIF($C$2:$F$2,EOMONTH(DN$2,-1)+1,$C124:$F124)*VLOOKUP(DN$2,ProyDia[],8,0)</f>
        <v>0</v>
      </c>
      <c r="DO124" s="36" t="n">
        <f aca="false">SUMIF($C$2:$F$2,EOMONTH(DO$2,-1)+1,$C124:$F124)*VLOOKUP(DO$2,ProyDia[],8,0)</f>
        <v>0</v>
      </c>
      <c r="DP124" s="36" t="n">
        <f aca="false">SUMIF($C$2:$F$2,EOMONTH(DP$2,-1)+1,$C124:$F124)*VLOOKUP(DP$2,ProyDia[],8,0)</f>
        <v>0</v>
      </c>
      <c r="DQ124" s="36" t="n">
        <f aca="false">SUMIF($C$2:$F$2,EOMONTH(DQ$2,-1)+1,$C124:$F124)*VLOOKUP(DQ$2,ProyDia[],8,0)</f>
        <v>0</v>
      </c>
      <c r="DR124" s="36" t="n">
        <f aca="false">SUMIF($C$2:$F$2,EOMONTH(DR$2,-1)+1,$C124:$F124)*VLOOKUP(DR$2,ProyDia[],8,0)</f>
        <v>0</v>
      </c>
      <c r="DS124" s="36" t="n">
        <f aca="false">SUMIF($C$2:$F$2,EOMONTH(DS$2,-1)+1,$C124:$F124)*VLOOKUP(DS$2,ProyDia[],8,0)</f>
        <v>0</v>
      </c>
      <c r="DT124" s="36" t="n">
        <f aca="false">SUMIF($C$2:$F$2,EOMONTH(DT$2,-1)+1,$C124:$F124)*VLOOKUP(DT$2,ProyDia[],8,0)</f>
        <v>0</v>
      </c>
      <c r="DU124" s="36" t="n">
        <f aca="false">SUMIF($C$2:$F$2,EOMONTH(DU$2,-1)+1,$C124:$F124)*VLOOKUP(DU$2,ProyDia[],8,0)</f>
        <v>0</v>
      </c>
      <c r="DV124" s="36" t="n">
        <f aca="false">SUMIF($C$2:$F$2,EOMONTH(DV$2,-1)+1,$C124:$F124)*VLOOKUP(DV$2,ProyDia[],8,0)</f>
        <v>0</v>
      </c>
      <c r="DW124" s="36" t="n">
        <f aca="false">SUMIF($C$2:$F$2,EOMONTH(DW$2,-1)+1,$C124:$F124)*VLOOKUP(DW$2,ProyDia[],8,0)</f>
        <v>0</v>
      </c>
      <c r="DX124" s="36" t="n">
        <f aca="false">SUMIF($C$2:$F$2,EOMONTH(DX$2,-1)+1,$C124:$F124)*VLOOKUP(DX$2,ProyDia[],8,0)</f>
        <v>0</v>
      </c>
    </row>
    <row r="125" customFormat="false" ht="14.4" hidden="false" customHeight="false" outlineLevel="0" collapsed="false">
      <c r="A125" s="34"/>
      <c r="B125" s="34"/>
      <c r="C125" s="34"/>
      <c r="D125" s="34"/>
      <c r="E125" s="34"/>
      <c r="F125" s="34"/>
      <c r="G125" s="28" t="n">
        <f aca="false">SUMIF($C$2:$F$2,EOMONTH(G$2,-1)+1,$C125:$F125)*VLOOKUP(G$2,ProyDia[],8,0)</f>
        <v>0</v>
      </c>
      <c r="H125" s="28" t="n">
        <f aca="false">SUMIF($C$2:$F$2,EOMONTH(H$2,-1)+1,$C125:$F125)*VLOOKUP(H$2,ProyDia[],8,0)</f>
        <v>0</v>
      </c>
      <c r="I125" s="28" t="n">
        <f aca="false">SUMIF($C$2:$F$2,EOMONTH(I$2,-1)+1,$C125:$F125)*VLOOKUP(I$2,ProyDia[],8,0)</f>
        <v>0</v>
      </c>
      <c r="J125" s="28" t="n">
        <f aca="false">SUMIF($C$2:$F$2,EOMONTH(J$2,-1)+1,$C125:$F125)*VLOOKUP(J$2,ProyDia[],8,0)</f>
        <v>0</v>
      </c>
      <c r="K125" s="28" t="n">
        <f aca="false">SUMIF($C$2:$F$2,EOMONTH(K$2,-1)+1,$C125:$F125)*VLOOKUP(K$2,ProyDia[],8,0)</f>
        <v>0</v>
      </c>
      <c r="L125" s="28" t="n">
        <f aca="false">SUMIF($C$2:$F$2,EOMONTH(L$2,-1)+1,$C125:$F125)*VLOOKUP(L$2,ProyDia[],8,0)</f>
        <v>0</v>
      </c>
      <c r="M125" s="28" t="n">
        <f aca="false">SUMIF($C$2:$F$2,EOMONTH(M$2,-1)+1,$C125:$F125)*VLOOKUP(M$2,ProyDia[],8,0)</f>
        <v>0</v>
      </c>
      <c r="N125" s="28" t="n">
        <f aca="false">SUMIF($C$2:$F$2,EOMONTH(N$2,-1)+1,$C125:$F125)*VLOOKUP(N$2,ProyDia[],8,0)</f>
        <v>0</v>
      </c>
      <c r="O125" s="28" t="n">
        <f aca="false">SUMIF($C$2:$F$2,EOMONTH(O$2,-1)+1,$C125:$F125)*VLOOKUP(O$2,ProyDia[],8,0)</f>
        <v>0</v>
      </c>
      <c r="P125" s="28" t="n">
        <f aca="false">SUMIF($C$2:$F$2,EOMONTH(P$2,-1)+1,$C125:$F125)*VLOOKUP(P$2,ProyDia[],8,0)</f>
        <v>0</v>
      </c>
      <c r="Q125" s="28" t="n">
        <f aca="false">SUMIF($C$2:$F$2,EOMONTH(Q$2,-1)+1,$C125:$F125)*VLOOKUP(Q$2,ProyDia[],8,0)</f>
        <v>0</v>
      </c>
      <c r="R125" s="28" t="n">
        <f aca="false">SUMIF($C$2:$F$2,EOMONTH(R$2,-1)+1,$C125:$F125)*VLOOKUP(R$2,ProyDia[],8,0)</f>
        <v>0</v>
      </c>
      <c r="S125" s="28" t="n">
        <f aca="false">SUMIF($C$2:$F$2,EOMONTH(S$2,-1)+1,$C125:$F125)*VLOOKUP(S$2,ProyDia[],8,0)</f>
        <v>0</v>
      </c>
      <c r="T125" s="28" t="n">
        <f aca="false">SUMIF($C$2:$F$2,EOMONTH(T$2,-1)+1,$C125:$F125)*VLOOKUP(T$2,ProyDia[],8,0)</f>
        <v>0</v>
      </c>
      <c r="U125" s="28" t="n">
        <f aca="false">SUMIF($C$2:$F$2,EOMONTH(U$2,-1)+1,$C125:$F125)*VLOOKUP(U$2,ProyDia[],8,0)</f>
        <v>0</v>
      </c>
      <c r="V125" s="28" t="n">
        <f aca="false">SUMIF($C$2:$F$2,EOMONTH(V$2,-1)+1,$C125:$F125)*VLOOKUP(V$2,ProyDia[],8,0)</f>
        <v>0</v>
      </c>
      <c r="W125" s="28" t="n">
        <f aca="false">SUMIF($C$2:$F$2,EOMONTH(W$2,-1)+1,$C125:$F125)*VLOOKUP(W$2,ProyDia[],8,0)</f>
        <v>0</v>
      </c>
      <c r="X125" s="28" t="n">
        <f aca="false">SUMIF($C$2:$F$2,EOMONTH(X$2,-1)+1,$C125:$F125)*VLOOKUP(X$2,ProyDia[],8,0)</f>
        <v>0</v>
      </c>
      <c r="Y125" s="28" t="n">
        <f aca="false">SUMIF($C$2:$F$2,EOMONTH(Y$2,-1)+1,$C125:$F125)*VLOOKUP(Y$2,ProyDia[],8,0)</f>
        <v>0</v>
      </c>
      <c r="Z125" s="28" t="n">
        <f aca="false">SUMIF($C$2:$F$2,EOMONTH(Z$2,-1)+1,$C125:$F125)*VLOOKUP(Z$2,ProyDia[],8,0)</f>
        <v>0</v>
      </c>
      <c r="AA125" s="28" t="n">
        <f aca="false">SUMIF($C$2:$F$2,EOMONTH(AA$2,-1)+1,$C125:$F125)*VLOOKUP(AA$2,ProyDia[],8,0)</f>
        <v>0</v>
      </c>
      <c r="AB125" s="28" t="n">
        <f aca="false">SUMIF($C$2:$F$2,EOMONTH(AB$2,-1)+1,$C125:$F125)*VLOOKUP(AB$2,ProyDia[],8,0)</f>
        <v>0</v>
      </c>
      <c r="AC125" s="28" t="n">
        <f aca="false">SUMIF($C$2:$F$2,EOMONTH(AC$2,-1)+1,$C125:$F125)*VLOOKUP(AC$2,ProyDia[],8,0)</f>
        <v>0</v>
      </c>
      <c r="AD125" s="28" t="n">
        <f aca="false">SUMIF($C$2:$F$2,EOMONTH(AD$2,-1)+1,$C125:$F125)*VLOOKUP(AD$2,ProyDia[],8,0)</f>
        <v>0</v>
      </c>
      <c r="AE125" s="28" t="n">
        <f aca="false">SUMIF($C$2:$F$2,EOMONTH(AE$2,-1)+1,$C125:$F125)*VLOOKUP(AE$2,ProyDia[],8,0)</f>
        <v>0</v>
      </c>
      <c r="AF125" s="28" t="n">
        <f aca="false">SUMIF($C$2:$F$2,EOMONTH(AF$2,-1)+1,$C125:$F125)*VLOOKUP(AF$2,ProyDia[],8,0)</f>
        <v>0</v>
      </c>
      <c r="AG125" s="28" t="n">
        <f aca="false">SUMIF($C$2:$F$2,EOMONTH(AG$2,-1)+1,$C125:$F125)*VLOOKUP(AG$2,ProyDia[],8,0)</f>
        <v>0</v>
      </c>
      <c r="AH125" s="28" t="n">
        <f aca="false">SUMIF($C$2:$F$2,EOMONTH(AH$2,-1)+1,$C125:$F125)*VLOOKUP(AH$2,ProyDia[],8,0)</f>
        <v>0</v>
      </c>
      <c r="AI125" s="28" t="n">
        <f aca="false">SUMIF($C$2:$F$2,EOMONTH(AI$2,-1)+1,$C125:$F125)*VLOOKUP(AI$2,ProyDia[],8,0)</f>
        <v>0</v>
      </c>
      <c r="AJ125" s="28" t="n">
        <f aca="false">SUMIF($C$2:$F$2,EOMONTH(AJ$2,-1)+1,$C125:$F125)*VLOOKUP(AJ$2,ProyDia[],8,0)</f>
        <v>0</v>
      </c>
      <c r="AK125" s="28" t="n">
        <f aca="false">SUMIF($C$2:$F$2,EOMONTH(AK$2,-1)+1,$C125:$F125)*VLOOKUP(AK$2,ProyDia[],8,0)</f>
        <v>0</v>
      </c>
      <c r="AL125" s="28" t="n">
        <f aca="false">SUMIF($C$2:$F$2,EOMONTH(AL$2,-1)+1,$C125:$F125)*VLOOKUP(AL$2,ProyDia[],8,0)</f>
        <v>0</v>
      </c>
      <c r="AM125" s="28" t="n">
        <f aca="false">SUMIF($C$2:$F$2,EOMONTH(AM$2,-1)+1,$C125:$F125)*VLOOKUP(AM$2,ProyDia[],8,0)</f>
        <v>0</v>
      </c>
      <c r="AN125" s="28" t="n">
        <f aca="false">SUMIF($C$2:$F$2,EOMONTH(AN$2,-1)+1,$C125:$F125)*VLOOKUP(AN$2,ProyDia[],8,0)</f>
        <v>0</v>
      </c>
      <c r="AO125" s="28" t="n">
        <f aca="false">SUMIF($C$2:$F$2,EOMONTH(AO$2,-1)+1,$C125:$F125)*VLOOKUP(AO$2,ProyDia[],8,0)</f>
        <v>0</v>
      </c>
      <c r="AP125" s="28" t="n">
        <f aca="false">SUMIF($C$2:$F$2,EOMONTH(AP$2,-1)+1,$C125:$F125)*VLOOKUP(AP$2,ProyDia[],8,0)</f>
        <v>0</v>
      </c>
      <c r="AQ125" s="28" t="n">
        <f aca="false">SUMIF($C$2:$F$2,EOMONTH(AQ$2,-1)+1,$C125:$F125)*VLOOKUP(AQ$2,ProyDia[],8,0)</f>
        <v>0</v>
      </c>
      <c r="AR125" s="28" t="n">
        <f aca="false">SUMIF($C$2:$F$2,EOMONTH(AR$2,-1)+1,$C125:$F125)*VLOOKUP(AR$2,ProyDia[],8,0)</f>
        <v>0</v>
      </c>
      <c r="AS125" s="28" t="n">
        <f aca="false">SUMIF($C$2:$F$2,EOMONTH(AS$2,-1)+1,$C125:$F125)*VLOOKUP(AS$2,ProyDia[],8,0)</f>
        <v>0</v>
      </c>
      <c r="AT125" s="28" t="n">
        <f aca="false">SUMIF($C$2:$F$2,EOMONTH(AT$2,-1)+1,$C125:$F125)*VLOOKUP(AT$2,ProyDia[],8,0)</f>
        <v>0</v>
      </c>
      <c r="AU125" s="28" t="n">
        <f aca="false">SUMIF($C$2:$F$2,EOMONTH(AU$2,-1)+1,$C125:$F125)*VLOOKUP(AU$2,ProyDia[],8,0)</f>
        <v>0</v>
      </c>
      <c r="AV125" s="28" t="n">
        <f aca="false">SUMIF($C$2:$F$2,EOMONTH(AV$2,-1)+1,$C125:$F125)*VLOOKUP(AV$2,ProyDia[],8,0)</f>
        <v>0</v>
      </c>
      <c r="AW125" s="28" t="n">
        <f aca="false">SUMIF($C$2:$F$2,EOMONTH(AW$2,-1)+1,$C125:$F125)*VLOOKUP(AW$2,ProyDia[],8,0)</f>
        <v>0</v>
      </c>
      <c r="AX125" s="28" t="n">
        <f aca="false">SUMIF($C$2:$F$2,EOMONTH(AX$2,-1)+1,$C125:$F125)*VLOOKUP(AX$2,ProyDia[],8,0)</f>
        <v>0</v>
      </c>
      <c r="AY125" s="28" t="n">
        <f aca="false">SUMIF($C$2:$F$2,EOMONTH(AY$2,-1)+1,$C125:$F125)*VLOOKUP(AY$2,ProyDia[],8,0)</f>
        <v>0</v>
      </c>
      <c r="AZ125" s="28" t="n">
        <f aca="false">SUMIF($C$2:$F$2,EOMONTH(AZ$2,-1)+1,$C125:$F125)*VLOOKUP(AZ$2,ProyDia[],8,0)</f>
        <v>0</v>
      </c>
      <c r="BA125" s="28" t="n">
        <f aca="false">SUMIF($C$2:$F$2,EOMONTH(BA$2,-1)+1,$C125:$F125)*VLOOKUP(BA$2,ProyDia[],8,0)</f>
        <v>0</v>
      </c>
      <c r="BB125" s="28" t="n">
        <f aca="false">SUMIF($C$2:$F$2,EOMONTH(BB$2,-1)+1,$C125:$F125)*VLOOKUP(BB$2,ProyDia[],8,0)</f>
        <v>0</v>
      </c>
      <c r="BC125" s="28" t="n">
        <f aca="false">SUMIF($C$2:$F$2,EOMONTH(BC$2,-1)+1,$C125:$F125)*VLOOKUP(BC$2,ProyDia[],8,0)</f>
        <v>0</v>
      </c>
      <c r="BD125" s="28" t="n">
        <f aca="false">SUMIF($C$2:$F$2,EOMONTH(BD$2,-1)+1,$C125:$F125)*VLOOKUP(BD$2,ProyDia[],8,0)</f>
        <v>0</v>
      </c>
      <c r="BE125" s="28" t="n">
        <f aca="false">SUMIF($C$2:$F$2,EOMONTH(BE$2,-1)+1,$C125:$F125)*VLOOKUP(BE$2,ProyDia[],8,0)</f>
        <v>0</v>
      </c>
      <c r="BF125" s="28" t="n">
        <f aca="false">SUMIF($C$2:$F$2,EOMONTH(BF$2,-1)+1,$C125:$F125)*VLOOKUP(BF$2,ProyDia[],8,0)</f>
        <v>0</v>
      </c>
      <c r="BG125" s="28" t="n">
        <f aca="false">SUMIF($C$2:$F$2,EOMONTH(BG$2,-1)+1,$C125:$F125)*VLOOKUP(BG$2,ProyDia[],8,0)</f>
        <v>0</v>
      </c>
      <c r="BH125" s="28" t="n">
        <f aca="false">SUMIF($C$2:$F$2,EOMONTH(BH$2,-1)+1,$C125:$F125)*VLOOKUP(BH$2,ProyDia[],8,0)</f>
        <v>0</v>
      </c>
      <c r="BI125" s="28" t="n">
        <f aca="false">SUMIF($C$2:$F$2,EOMONTH(BI$2,-1)+1,$C125:$F125)*VLOOKUP(BI$2,ProyDia[],8,0)</f>
        <v>0</v>
      </c>
      <c r="BJ125" s="28" t="n">
        <f aca="false">SUMIF($C$2:$F$2,EOMONTH(BJ$2,-1)+1,$C125:$F125)*VLOOKUP(BJ$2,ProyDia[],8,0)</f>
        <v>0</v>
      </c>
      <c r="BK125" s="28" t="n">
        <f aca="false">SUMIF($C$2:$F$2,EOMONTH(BK$2,-1)+1,$C125:$F125)*VLOOKUP(BK$2,ProyDia[],8,0)</f>
        <v>0</v>
      </c>
      <c r="BL125" s="28" t="n">
        <f aca="false">SUMIF($C$2:$F$2,EOMONTH(BL$2,-1)+1,$C125:$F125)*VLOOKUP(BL$2,ProyDia[],8,0)</f>
        <v>0</v>
      </c>
      <c r="BM125" s="28" t="n">
        <f aca="false">SUMIF($C$2:$F$2,EOMONTH(BM$2,-1)+1,$C125:$F125)*VLOOKUP(BM$2,ProyDia[],8,0)</f>
        <v>0</v>
      </c>
      <c r="BN125" s="28" t="n">
        <f aca="false">SUMIF($C$2:$F$2,EOMONTH(BN$2,-1)+1,$C125:$F125)*VLOOKUP(BN$2,ProyDia[],8,0)</f>
        <v>0</v>
      </c>
      <c r="BO125" s="28" t="n">
        <f aca="false">SUMIF($C$2:$F$2,EOMONTH(BO$2,-1)+1,$C125:$F125)*VLOOKUP(BO$2,ProyDia[],8,0)</f>
        <v>0</v>
      </c>
      <c r="BP125" s="28" t="n">
        <f aca="false">SUMIF($C$2:$F$2,EOMONTH(BP$2,-1)+1,$C125:$F125)*VLOOKUP(BP$2,ProyDia[],8,0)</f>
        <v>0</v>
      </c>
      <c r="BQ125" s="28" t="n">
        <f aca="false">SUMIF($C$2:$F$2,EOMONTH(BQ$2,-1)+1,$C125:$F125)*VLOOKUP(BQ$2,ProyDia[],8,0)</f>
        <v>0</v>
      </c>
      <c r="BR125" s="28" t="n">
        <f aca="false">SUMIF($C$2:$F$2,EOMONTH(BR$2,-1)+1,$C125:$F125)*VLOOKUP(BR$2,ProyDia[],8,0)</f>
        <v>0</v>
      </c>
      <c r="BS125" s="28" t="n">
        <f aca="false">SUMIF($C$2:$F$2,EOMONTH(BS$2,-1)+1,$C125:$F125)*VLOOKUP(BS$2,ProyDia[],8,0)</f>
        <v>0</v>
      </c>
      <c r="BT125" s="28" t="n">
        <f aca="false">SUMIF($C$2:$F$2,EOMONTH(BT$2,-1)+1,$C125:$F125)*VLOOKUP(BT$2,ProyDia[],8,0)</f>
        <v>0</v>
      </c>
      <c r="BU125" s="28" t="n">
        <f aca="false">SUMIF($C$2:$F$2,EOMONTH(BU$2,-1)+1,$C125:$F125)*VLOOKUP(BU$2,ProyDia[],8,0)</f>
        <v>0</v>
      </c>
      <c r="BV125" s="28" t="n">
        <f aca="false">SUMIF($C$2:$F$2,EOMONTH(BV$2,-1)+1,$C125:$F125)*VLOOKUP(BV$2,ProyDia[],8,0)</f>
        <v>0</v>
      </c>
      <c r="BW125" s="28" t="n">
        <f aca="false">SUMIF($C$2:$F$2,EOMONTH(BW$2,-1)+1,$C125:$F125)*VLOOKUP(BW$2,ProyDia[],8,0)</f>
        <v>0</v>
      </c>
      <c r="BX125" s="28" t="n">
        <f aca="false">SUMIF($C$2:$F$2,EOMONTH(BX$2,-1)+1,$C125:$F125)*VLOOKUP(BX$2,ProyDia[],8,0)</f>
        <v>0</v>
      </c>
      <c r="BY125" s="28" t="n">
        <f aca="false">SUMIF($C$2:$F$2,EOMONTH(BY$2,-1)+1,$C125:$F125)*VLOOKUP(BY$2,ProyDia[],8,0)</f>
        <v>0</v>
      </c>
      <c r="BZ125" s="28" t="n">
        <f aca="false">SUMIF($C$2:$F$2,EOMONTH(BZ$2,-1)+1,$C125:$F125)*VLOOKUP(BZ$2,ProyDia[],8,0)</f>
        <v>0</v>
      </c>
      <c r="CA125" s="28" t="n">
        <f aca="false">SUMIF($C$2:$F$2,EOMONTH(CA$2,-1)+1,$C125:$F125)*VLOOKUP(CA$2,ProyDia[],8,0)</f>
        <v>0</v>
      </c>
      <c r="CB125" s="28" t="n">
        <f aca="false">SUMIF($C$2:$F$2,EOMONTH(CB$2,-1)+1,$C125:$F125)*VLOOKUP(CB$2,ProyDia[],8,0)</f>
        <v>0</v>
      </c>
      <c r="CC125" s="28" t="n">
        <f aca="false">SUMIF($C$2:$F$2,EOMONTH(CC$2,-1)+1,$C125:$F125)*VLOOKUP(CC$2,ProyDia[],8,0)</f>
        <v>0</v>
      </c>
      <c r="CD125" s="28" t="n">
        <f aca="false">SUMIF($C$2:$F$2,EOMONTH(CD$2,-1)+1,$C125:$F125)*VLOOKUP(CD$2,ProyDia[],8,0)</f>
        <v>0</v>
      </c>
      <c r="CE125" s="28" t="n">
        <f aca="false">SUMIF($C$2:$F$2,EOMONTH(CE$2,-1)+1,$C125:$F125)*VLOOKUP(CE$2,ProyDia[],8,0)</f>
        <v>0</v>
      </c>
      <c r="CF125" s="28" t="n">
        <f aca="false">SUMIF($C$2:$F$2,EOMONTH(CF$2,-1)+1,$C125:$F125)*VLOOKUP(CF$2,ProyDia[],8,0)</f>
        <v>0</v>
      </c>
      <c r="CG125" s="28" t="n">
        <f aca="false">SUMIF($C$2:$F$2,EOMONTH(CG$2,-1)+1,$C125:$F125)*VLOOKUP(CG$2,ProyDia[],8,0)</f>
        <v>0</v>
      </c>
      <c r="CH125" s="28" t="n">
        <f aca="false">SUMIF($C$2:$F$2,EOMONTH(CH$2,-1)+1,$C125:$F125)*VLOOKUP(CH$2,ProyDia[],8,0)</f>
        <v>0</v>
      </c>
      <c r="CI125" s="28" t="n">
        <f aca="false">SUMIF($C$2:$F$2,EOMONTH(CI$2,-1)+1,$C125:$F125)*VLOOKUP(CI$2,ProyDia[],8,0)</f>
        <v>0</v>
      </c>
      <c r="CJ125" s="28" t="n">
        <f aca="false">SUMIF($C$2:$F$2,EOMONTH(CJ$2,-1)+1,$C125:$F125)*VLOOKUP(CJ$2,ProyDia[],8,0)</f>
        <v>0</v>
      </c>
      <c r="CK125" s="28" t="n">
        <f aca="false">SUMIF($C$2:$F$2,EOMONTH(CK$2,-1)+1,$C125:$F125)*VLOOKUP(CK$2,ProyDia[],8,0)</f>
        <v>0</v>
      </c>
      <c r="CL125" s="28" t="n">
        <f aca="false">SUMIF($C$2:$F$2,EOMONTH(CL$2,-1)+1,$C125:$F125)*VLOOKUP(CL$2,ProyDia[],8,0)</f>
        <v>0</v>
      </c>
      <c r="CM125" s="28" t="n">
        <f aca="false">SUMIF($C$2:$F$2,EOMONTH(CM$2,-1)+1,$C125:$F125)*VLOOKUP(CM$2,ProyDia[],8,0)</f>
        <v>0</v>
      </c>
      <c r="CN125" s="28" t="n">
        <f aca="false">SUMIF($C$2:$F$2,EOMONTH(CN$2,-1)+1,$C125:$F125)*VLOOKUP(CN$2,ProyDia[],8,0)</f>
        <v>0</v>
      </c>
      <c r="CO125" s="28" t="n">
        <f aca="false">SUMIF($C$2:$F$2,EOMONTH(CO$2,-1)+1,$C125:$F125)*VLOOKUP(CO$2,ProyDia[],8,0)</f>
        <v>0</v>
      </c>
      <c r="CP125" s="28" t="n">
        <f aca="false">SUMIF($C$2:$F$2,EOMONTH(CP$2,-1)+1,$C125:$F125)*VLOOKUP(CP$2,ProyDia[],8,0)</f>
        <v>0</v>
      </c>
      <c r="CQ125" s="28" t="n">
        <f aca="false">SUMIF($C$2:$F$2,EOMONTH(CQ$2,-1)+1,$C125:$F125)*VLOOKUP(CQ$2,ProyDia[],8,0)</f>
        <v>0</v>
      </c>
      <c r="CR125" s="28" t="n">
        <f aca="false">SUMIF($C$2:$F$2,EOMONTH(CR$2,-1)+1,$C125:$F125)*VLOOKUP(CR$2,ProyDia[],8,0)</f>
        <v>0</v>
      </c>
      <c r="CS125" s="28" t="n">
        <f aca="false">SUMIF($C$2:$F$2,EOMONTH(CS$2,-1)+1,$C125:$F125)*VLOOKUP(CS$2,ProyDia[],8,0)</f>
        <v>0</v>
      </c>
      <c r="CT125" s="28" t="n">
        <f aca="false">SUMIF($C$2:$F$2,EOMONTH(CT$2,-1)+1,$C125:$F125)*VLOOKUP(CT$2,ProyDia[],8,0)</f>
        <v>0</v>
      </c>
      <c r="CU125" s="28" t="n">
        <f aca="false">SUMIF($C$2:$F$2,EOMONTH(CU$2,-1)+1,$C125:$F125)*VLOOKUP(CU$2,ProyDia[],8,0)</f>
        <v>0</v>
      </c>
      <c r="CV125" s="28" t="n">
        <f aca="false">SUMIF($C$2:$F$2,EOMONTH(CV$2,-1)+1,$C125:$F125)*VLOOKUP(CV$2,ProyDia[],8,0)</f>
        <v>0</v>
      </c>
      <c r="CW125" s="28" t="n">
        <f aca="false">SUMIF($C$2:$F$2,EOMONTH(CW$2,-1)+1,$C125:$F125)*VLOOKUP(CW$2,ProyDia[],8,0)</f>
        <v>0</v>
      </c>
      <c r="CX125" s="28" t="n">
        <f aca="false">SUMIF($C$2:$F$2,EOMONTH(CX$2,-1)+1,$C125:$F125)*VLOOKUP(CX$2,ProyDia[],8,0)</f>
        <v>0</v>
      </c>
      <c r="CY125" s="28" t="n">
        <f aca="false">SUMIF($C$2:$F$2,EOMONTH(CY$2,-1)+1,$C125:$F125)*VLOOKUP(CY$2,ProyDia[],8,0)</f>
        <v>0</v>
      </c>
      <c r="CZ125" s="28" t="n">
        <f aca="false">SUMIF($C$2:$F$2,EOMONTH(CZ$2,-1)+1,$C125:$F125)*VLOOKUP(CZ$2,ProyDia[],8,0)</f>
        <v>0</v>
      </c>
      <c r="DA125" s="28" t="n">
        <f aca="false">SUMIF($C$2:$F$2,EOMONTH(DA$2,-1)+1,$C125:$F125)*VLOOKUP(DA$2,ProyDia[],8,0)</f>
        <v>0</v>
      </c>
      <c r="DB125" s="28" t="n">
        <f aca="false">SUMIF($C$2:$F$2,EOMONTH(DB$2,-1)+1,$C125:$F125)*VLOOKUP(DB$2,ProyDia[],8,0)</f>
        <v>0</v>
      </c>
      <c r="DC125" s="28" t="n">
        <f aca="false">SUMIF($C$2:$F$2,EOMONTH(DC$2,-1)+1,$C125:$F125)*VLOOKUP(DC$2,ProyDia[],8,0)</f>
        <v>0</v>
      </c>
      <c r="DD125" s="28" t="n">
        <f aca="false">SUMIF($C$2:$F$2,EOMONTH(DD$2,-1)+1,$C125:$F125)*VLOOKUP(DD$2,ProyDia[],8,0)</f>
        <v>0</v>
      </c>
      <c r="DE125" s="28" t="n">
        <f aca="false">SUMIF($C$2:$F$2,EOMONTH(DE$2,-1)+1,$C125:$F125)*VLOOKUP(DE$2,ProyDia[],8,0)</f>
        <v>0</v>
      </c>
      <c r="DF125" s="28" t="n">
        <f aca="false">SUMIF($C$2:$F$2,EOMONTH(DF$2,-1)+1,$C125:$F125)*VLOOKUP(DF$2,ProyDia[],8,0)</f>
        <v>0</v>
      </c>
      <c r="DG125" s="28" t="n">
        <f aca="false">SUMIF($C$2:$F$2,EOMONTH(DG$2,-1)+1,$C125:$F125)*VLOOKUP(DG$2,ProyDia[],8,0)</f>
        <v>0</v>
      </c>
      <c r="DH125" s="28" t="n">
        <f aca="false">SUMIF($C$2:$F$2,EOMONTH(DH$2,-1)+1,$C125:$F125)*VLOOKUP(DH$2,ProyDia[],8,0)</f>
        <v>0</v>
      </c>
      <c r="DI125" s="28" t="n">
        <f aca="false">SUMIF($C$2:$F$2,EOMONTH(DI$2,-1)+1,$C125:$F125)*VLOOKUP(DI$2,ProyDia[],8,0)</f>
        <v>0</v>
      </c>
      <c r="DJ125" s="28" t="n">
        <f aca="false">SUMIF($C$2:$F$2,EOMONTH(DJ$2,-1)+1,$C125:$F125)*VLOOKUP(DJ$2,ProyDia[],8,0)</f>
        <v>0</v>
      </c>
      <c r="DK125" s="28" t="n">
        <f aca="false">SUMIF($C$2:$F$2,EOMONTH(DK$2,-1)+1,$C125:$F125)*VLOOKUP(DK$2,ProyDia[],8,0)</f>
        <v>0</v>
      </c>
      <c r="DL125" s="28" t="n">
        <f aca="false">SUMIF($C$2:$F$2,EOMONTH(DL$2,-1)+1,$C125:$F125)*VLOOKUP(DL$2,ProyDia[],8,0)</f>
        <v>0</v>
      </c>
      <c r="DM125" s="28" t="n">
        <f aca="false">SUMIF($C$2:$F$2,EOMONTH(DM$2,-1)+1,$C125:$F125)*VLOOKUP(DM$2,ProyDia[],8,0)</f>
        <v>0</v>
      </c>
      <c r="DN125" s="28" t="n">
        <f aca="false">SUMIF($C$2:$F$2,EOMONTH(DN$2,-1)+1,$C125:$F125)*VLOOKUP(DN$2,ProyDia[],8,0)</f>
        <v>0</v>
      </c>
      <c r="DO125" s="28" t="n">
        <f aca="false">SUMIF($C$2:$F$2,EOMONTH(DO$2,-1)+1,$C125:$F125)*VLOOKUP(DO$2,ProyDia[],8,0)</f>
        <v>0</v>
      </c>
      <c r="DP125" s="28" t="n">
        <f aca="false">SUMIF($C$2:$F$2,EOMONTH(DP$2,-1)+1,$C125:$F125)*VLOOKUP(DP$2,ProyDia[],8,0)</f>
        <v>0</v>
      </c>
      <c r="DQ125" s="28" t="n">
        <f aca="false">SUMIF($C$2:$F$2,EOMONTH(DQ$2,-1)+1,$C125:$F125)*VLOOKUP(DQ$2,ProyDia[],8,0)</f>
        <v>0</v>
      </c>
      <c r="DR125" s="28" t="n">
        <f aca="false">SUMIF($C$2:$F$2,EOMONTH(DR$2,-1)+1,$C125:$F125)*VLOOKUP(DR$2,ProyDia[],8,0)</f>
        <v>0</v>
      </c>
      <c r="DS125" s="28" t="n">
        <f aca="false">SUMIF($C$2:$F$2,EOMONTH(DS$2,-1)+1,$C125:$F125)*VLOOKUP(DS$2,ProyDia[],8,0)</f>
        <v>0</v>
      </c>
      <c r="DT125" s="28" t="n">
        <f aca="false">SUMIF($C$2:$F$2,EOMONTH(DT$2,-1)+1,$C125:$F125)*VLOOKUP(DT$2,ProyDia[],8,0)</f>
        <v>0</v>
      </c>
      <c r="DU125" s="28" t="n">
        <f aca="false">SUMIF($C$2:$F$2,EOMONTH(DU$2,-1)+1,$C125:$F125)*VLOOKUP(DU$2,ProyDia[],8,0)</f>
        <v>0</v>
      </c>
      <c r="DV125" s="28" t="n">
        <f aca="false">SUMIF($C$2:$F$2,EOMONTH(DV$2,-1)+1,$C125:$F125)*VLOOKUP(DV$2,ProyDia[],8,0)</f>
        <v>0</v>
      </c>
      <c r="DW125" s="28" t="n">
        <f aca="false">SUMIF($C$2:$F$2,EOMONTH(DW$2,-1)+1,$C125:$F125)*VLOOKUP(DW$2,ProyDia[],8,0)</f>
        <v>0</v>
      </c>
      <c r="DX125" s="28" t="n">
        <f aca="false">SUMIF($C$2:$F$2,EOMONTH(DX$2,-1)+1,$C125:$F125)*VLOOKUP(DX$2,ProyDia[],8,0)</f>
        <v>0</v>
      </c>
    </row>
    <row r="126" customFormat="false" ht="14.4" hidden="false" customHeight="false" outlineLevel="0" collapsed="false">
      <c r="A126" s="35"/>
      <c r="B126" s="35"/>
      <c r="C126" s="35"/>
      <c r="D126" s="35"/>
      <c r="E126" s="35"/>
      <c r="F126" s="35"/>
      <c r="G126" s="36" t="n">
        <f aca="false">SUMIF($C$2:$F$2,EOMONTH(G$2,-1)+1,$C126:$F126)*VLOOKUP(G$2,ProyDia[],8,0)</f>
        <v>0</v>
      </c>
      <c r="H126" s="36" t="n">
        <f aca="false">SUMIF($C$2:$F$2,EOMONTH(H$2,-1)+1,$C126:$F126)*VLOOKUP(H$2,ProyDia[],8,0)</f>
        <v>0</v>
      </c>
      <c r="I126" s="36" t="n">
        <f aca="false">SUMIF($C$2:$F$2,EOMONTH(I$2,-1)+1,$C126:$F126)*VLOOKUP(I$2,ProyDia[],8,0)</f>
        <v>0</v>
      </c>
      <c r="J126" s="36" t="n">
        <f aca="false">SUMIF($C$2:$F$2,EOMONTH(J$2,-1)+1,$C126:$F126)*VLOOKUP(J$2,ProyDia[],8,0)</f>
        <v>0</v>
      </c>
      <c r="K126" s="36" t="n">
        <f aca="false">SUMIF($C$2:$F$2,EOMONTH(K$2,-1)+1,$C126:$F126)*VLOOKUP(K$2,ProyDia[],8,0)</f>
        <v>0</v>
      </c>
      <c r="L126" s="36" t="n">
        <f aca="false">SUMIF($C$2:$F$2,EOMONTH(L$2,-1)+1,$C126:$F126)*VLOOKUP(L$2,ProyDia[],8,0)</f>
        <v>0</v>
      </c>
      <c r="M126" s="36" t="n">
        <f aca="false">SUMIF($C$2:$F$2,EOMONTH(M$2,-1)+1,$C126:$F126)*VLOOKUP(M$2,ProyDia[],8,0)</f>
        <v>0</v>
      </c>
      <c r="N126" s="36" t="n">
        <f aca="false">SUMIF($C$2:$F$2,EOMONTH(N$2,-1)+1,$C126:$F126)*VLOOKUP(N$2,ProyDia[],8,0)</f>
        <v>0</v>
      </c>
      <c r="O126" s="36" t="n">
        <f aca="false">SUMIF($C$2:$F$2,EOMONTH(O$2,-1)+1,$C126:$F126)*VLOOKUP(O$2,ProyDia[],8,0)</f>
        <v>0</v>
      </c>
      <c r="P126" s="36" t="n">
        <f aca="false">SUMIF($C$2:$F$2,EOMONTH(P$2,-1)+1,$C126:$F126)*VLOOKUP(P$2,ProyDia[],8,0)</f>
        <v>0</v>
      </c>
      <c r="Q126" s="36" t="n">
        <f aca="false">SUMIF($C$2:$F$2,EOMONTH(Q$2,-1)+1,$C126:$F126)*VLOOKUP(Q$2,ProyDia[],8,0)</f>
        <v>0</v>
      </c>
      <c r="R126" s="36" t="n">
        <f aca="false">SUMIF($C$2:$F$2,EOMONTH(R$2,-1)+1,$C126:$F126)*VLOOKUP(R$2,ProyDia[],8,0)</f>
        <v>0</v>
      </c>
      <c r="S126" s="36" t="n">
        <f aca="false">SUMIF($C$2:$F$2,EOMONTH(S$2,-1)+1,$C126:$F126)*VLOOKUP(S$2,ProyDia[],8,0)</f>
        <v>0</v>
      </c>
      <c r="T126" s="36" t="n">
        <f aca="false">SUMIF($C$2:$F$2,EOMONTH(T$2,-1)+1,$C126:$F126)*VLOOKUP(T$2,ProyDia[],8,0)</f>
        <v>0</v>
      </c>
      <c r="U126" s="36" t="n">
        <f aca="false">SUMIF($C$2:$F$2,EOMONTH(U$2,-1)+1,$C126:$F126)*VLOOKUP(U$2,ProyDia[],8,0)</f>
        <v>0</v>
      </c>
      <c r="V126" s="36" t="n">
        <f aca="false">SUMIF($C$2:$F$2,EOMONTH(V$2,-1)+1,$C126:$F126)*VLOOKUP(V$2,ProyDia[],8,0)</f>
        <v>0</v>
      </c>
      <c r="W126" s="36" t="n">
        <f aca="false">SUMIF($C$2:$F$2,EOMONTH(W$2,-1)+1,$C126:$F126)*VLOOKUP(W$2,ProyDia[],8,0)</f>
        <v>0</v>
      </c>
      <c r="X126" s="36" t="n">
        <f aca="false">SUMIF($C$2:$F$2,EOMONTH(X$2,-1)+1,$C126:$F126)*VLOOKUP(X$2,ProyDia[],8,0)</f>
        <v>0</v>
      </c>
      <c r="Y126" s="36" t="n">
        <f aca="false">SUMIF($C$2:$F$2,EOMONTH(Y$2,-1)+1,$C126:$F126)*VLOOKUP(Y$2,ProyDia[],8,0)</f>
        <v>0</v>
      </c>
      <c r="Z126" s="36" t="n">
        <f aca="false">SUMIF($C$2:$F$2,EOMONTH(Z$2,-1)+1,$C126:$F126)*VLOOKUP(Z$2,ProyDia[],8,0)</f>
        <v>0</v>
      </c>
      <c r="AA126" s="36" t="n">
        <f aca="false">SUMIF($C$2:$F$2,EOMONTH(AA$2,-1)+1,$C126:$F126)*VLOOKUP(AA$2,ProyDia[],8,0)</f>
        <v>0</v>
      </c>
      <c r="AB126" s="36" t="n">
        <f aca="false">SUMIF($C$2:$F$2,EOMONTH(AB$2,-1)+1,$C126:$F126)*VLOOKUP(AB$2,ProyDia[],8,0)</f>
        <v>0</v>
      </c>
      <c r="AC126" s="36" t="n">
        <f aca="false">SUMIF($C$2:$F$2,EOMONTH(AC$2,-1)+1,$C126:$F126)*VLOOKUP(AC$2,ProyDia[],8,0)</f>
        <v>0</v>
      </c>
      <c r="AD126" s="36" t="n">
        <f aca="false">SUMIF($C$2:$F$2,EOMONTH(AD$2,-1)+1,$C126:$F126)*VLOOKUP(AD$2,ProyDia[],8,0)</f>
        <v>0</v>
      </c>
      <c r="AE126" s="36" t="n">
        <f aca="false">SUMIF($C$2:$F$2,EOMONTH(AE$2,-1)+1,$C126:$F126)*VLOOKUP(AE$2,ProyDia[],8,0)</f>
        <v>0</v>
      </c>
      <c r="AF126" s="36" t="n">
        <f aca="false">SUMIF($C$2:$F$2,EOMONTH(AF$2,-1)+1,$C126:$F126)*VLOOKUP(AF$2,ProyDia[],8,0)</f>
        <v>0</v>
      </c>
      <c r="AG126" s="36" t="n">
        <f aca="false">SUMIF($C$2:$F$2,EOMONTH(AG$2,-1)+1,$C126:$F126)*VLOOKUP(AG$2,ProyDia[],8,0)</f>
        <v>0</v>
      </c>
      <c r="AH126" s="36" t="n">
        <f aca="false">SUMIF($C$2:$F$2,EOMONTH(AH$2,-1)+1,$C126:$F126)*VLOOKUP(AH$2,ProyDia[],8,0)</f>
        <v>0</v>
      </c>
      <c r="AI126" s="36" t="n">
        <f aca="false">SUMIF($C$2:$F$2,EOMONTH(AI$2,-1)+1,$C126:$F126)*VLOOKUP(AI$2,ProyDia[],8,0)</f>
        <v>0</v>
      </c>
      <c r="AJ126" s="36" t="n">
        <f aca="false">SUMIF($C$2:$F$2,EOMONTH(AJ$2,-1)+1,$C126:$F126)*VLOOKUP(AJ$2,ProyDia[],8,0)</f>
        <v>0</v>
      </c>
      <c r="AK126" s="36" t="n">
        <f aca="false">SUMIF($C$2:$F$2,EOMONTH(AK$2,-1)+1,$C126:$F126)*VLOOKUP(AK$2,ProyDia[],8,0)</f>
        <v>0</v>
      </c>
      <c r="AL126" s="36" t="n">
        <f aca="false">SUMIF($C$2:$F$2,EOMONTH(AL$2,-1)+1,$C126:$F126)*VLOOKUP(AL$2,ProyDia[],8,0)</f>
        <v>0</v>
      </c>
      <c r="AM126" s="36" t="n">
        <f aca="false">SUMIF($C$2:$F$2,EOMONTH(AM$2,-1)+1,$C126:$F126)*VLOOKUP(AM$2,ProyDia[],8,0)</f>
        <v>0</v>
      </c>
      <c r="AN126" s="36" t="n">
        <f aca="false">SUMIF($C$2:$F$2,EOMONTH(AN$2,-1)+1,$C126:$F126)*VLOOKUP(AN$2,ProyDia[],8,0)</f>
        <v>0</v>
      </c>
      <c r="AO126" s="36" t="n">
        <f aca="false">SUMIF($C$2:$F$2,EOMONTH(AO$2,-1)+1,$C126:$F126)*VLOOKUP(AO$2,ProyDia[],8,0)</f>
        <v>0</v>
      </c>
      <c r="AP126" s="36" t="n">
        <f aca="false">SUMIF($C$2:$F$2,EOMONTH(AP$2,-1)+1,$C126:$F126)*VLOOKUP(AP$2,ProyDia[],8,0)</f>
        <v>0</v>
      </c>
      <c r="AQ126" s="36" t="n">
        <f aca="false">SUMIF($C$2:$F$2,EOMONTH(AQ$2,-1)+1,$C126:$F126)*VLOOKUP(AQ$2,ProyDia[],8,0)</f>
        <v>0</v>
      </c>
      <c r="AR126" s="36" t="n">
        <f aca="false">SUMIF($C$2:$F$2,EOMONTH(AR$2,-1)+1,$C126:$F126)*VLOOKUP(AR$2,ProyDia[],8,0)</f>
        <v>0</v>
      </c>
      <c r="AS126" s="36" t="n">
        <f aca="false">SUMIF($C$2:$F$2,EOMONTH(AS$2,-1)+1,$C126:$F126)*VLOOKUP(AS$2,ProyDia[],8,0)</f>
        <v>0</v>
      </c>
      <c r="AT126" s="36" t="n">
        <f aca="false">SUMIF($C$2:$F$2,EOMONTH(AT$2,-1)+1,$C126:$F126)*VLOOKUP(AT$2,ProyDia[],8,0)</f>
        <v>0</v>
      </c>
      <c r="AU126" s="36" t="n">
        <f aca="false">SUMIF($C$2:$F$2,EOMONTH(AU$2,-1)+1,$C126:$F126)*VLOOKUP(AU$2,ProyDia[],8,0)</f>
        <v>0</v>
      </c>
      <c r="AV126" s="36" t="n">
        <f aca="false">SUMIF($C$2:$F$2,EOMONTH(AV$2,-1)+1,$C126:$F126)*VLOOKUP(AV$2,ProyDia[],8,0)</f>
        <v>0</v>
      </c>
      <c r="AW126" s="36" t="n">
        <f aca="false">SUMIF($C$2:$F$2,EOMONTH(AW$2,-1)+1,$C126:$F126)*VLOOKUP(AW$2,ProyDia[],8,0)</f>
        <v>0</v>
      </c>
      <c r="AX126" s="36" t="n">
        <f aca="false">SUMIF($C$2:$F$2,EOMONTH(AX$2,-1)+1,$C126:$F126)*VLOOKUP(AX$2,ProyDia[],8,0)</f>
        <v>0</v>
      </c>
      <c r="AY126" s="36" t="n">
        <f aca="false">SUMIF($C$2:$F$2,EOMONTH(AY$2,-1)+1,$C126:$F126)*VLOOKUP(AY$2,ProyDia[],8,0)</f>
        <v>0</v>
      </c>
      <c r="AZ126" s="36" t="n">
        <f aca="false">SUMIF($C$2:$F$2,EOMONTH(AZ$2,-1)+1,$C126:$F126)*VLOOKUP(AZ$2,ProyDia[],8,0)</f>
        <v>0</v>
      </c>
      <c r="BA126" s="36" t="n">
        <f aca="false">SUMIF($C$2:$F$2,EOMONTH(BA$2,-1)+1,$C126:$F126)*VLOOKUP(BA$2,ProyDia[],8,0)</f>
        <v>0</v>
      </c>
      <c r="BB126" s="36" t="n">
        <f aca="false">SUMIF($C$2:$F$2,EOMONTH(BB$2,-1)+1,$C126:$F126)*VLOOKUP(BB$2,ProyDia[],8,0)</f>
        <v>0</v>
      </c>
      <c r="BC126" s="36" t="n">
        <f aca="false">SUMIF($C$2:$F$2,EOMONTH(BC$2,-1)+1,$C126:$F126)*VLOOKUP(BC$2,ProyDia[],8,0)</f>
        <v>0</v>
      </c>
      <c r="BD126" s="36" t="n">
        <f aca="false">SUMIF($C$2:$F$2,EOMONTH(BD$2,-1)+1,$C126:$F126)*VLOOKUP(BD$2,ProyDia[],8,0)</f>
        <v>0</v>
      </c>
      <c r="BE126" s="36" t="n">
        <f aca="false">SUMIF($C$2:$F$2,EOMONTH(BE$2,-1)+1,$C126:$F126)*VLOOKUP(BE$2,ProyDia[],8,0)</f>
        <v>0</v>
      </c>
      <c r="BF126" s="36" t="n">
        <f aca="false">SUMIF($C$2:$F$2,EOMONTH(BF$2,-1)+1,$C126:$F126)*VLOOKUP(BF$2,ProyDia[],8,0)</f>
        <v>0</v>
      </c>
      <c r="BG126" s="36" t="n">
        <f aca="false">SUMIF($C$2:$F$2,EOMONTH(BG$2,-1)+1,$C126:$F126)*VLOOKUP(BG$2,ProyDia[],8,0)</f>
        <v>0</v>
      </c>
      <c r="BH126" s="36" t="n">
        <f aca="false">SUMIF($C$2:$F$2,EOMONTH(BH$2,-1)+1,$C126:$F126)*VLOOKUP(BH$2,ProyDia[],8,0)</f>
        <v>0</v>
      </c>
      <c r="BI126" s="36" t="n">
        <f aca="false">SUMIF($C$2:$F$2,EOMONTH(BI$2,-1)+1,$C126:$F126)*VLOOKUP(BI$2,ProyDia[],8,0)</f>
        <v>0</v>
      </c>
      <c r="BJ126" s="36" t="n">
        <f aca="false">SUMIF($C$2:$F$2,EOMONTH(BJ$2,-1)+1,$C126:$F126)*VLOOKUP(BJ$2,ProyDia[],8,0)</f>
        <v>0</v>
      </c>
      <c r="BK126" s="36" t="n">
        <f aca="false">SUMIF($C$2:$F$2,EOMONTH(BK$2,-1)+1,$C126:$F126)*VLOOKUP(BK$2,ProyDia[],8,0)</f>
        <v>0</v>
      </c>
      <c r="BL126" s="36" t="n">
        <f aca="false">SUMIF($C$2:$F$2,EOMONTH(BL$2,-1)+1,$C126:$F126)*VLOOKUP(BL$2,ProyDia[],8,0)</f>
        <v>0</v>
      </c>
      <c r="BM126" s="36" t="n">
        <f aca="false">SUMIF($C$2:$F$2,EOMONTH(BM$2,-1)+1,$C126:$F126)*VLOOKUP(BM$2,ProyDia[],8,0)</f>
        <v>0</v>
      </c>
      <c r="BN126" s="36" t="n">
        <f aca="false">SUMIF($C$2:$F$2,EOMONTH(BN$2,-1)+1,$C126:$F126)*VLOOKUP(BN$2,ProyDia[],8,0)</f>
        <v>0</v>
      </c>
      <c r="BO126" s="36" t="n">
        <f aca="false">SUMIF($C$2:$F$2,EOMONTH(BO$2,-1)+1,$C126:$F126)*VLOOKUP(BO$2,ProyDia[],8,0)</f>
        <v>0</v>
      </c>
      <c r="BP126" s="36" t="n">
        <f aca="false">SUMIF($C$2:$F$2,EOMONTH(BP$2,-1)+1,$C126:$F126)*VLOOKUP(BP$2,ProyDia[],8,0)</f>
        <v>0</v>
      </c>
      <c r="BQ126" s="36" t="n">
        <f aca="false">SUMIF($C$2:$F$2,EOMONTH(BQ$2,-1)+1,$C126:$F126)*VLOOKUP(BQ$2,ProyDia[],8,0)</f>
        <v>0</v>
      </c>
      <c r="BR126" s="36" t="n">
        <f aca="false">SUMIF($C$2:$F$2,EOMONTH(BR$2,-1)+1,$C126:$F126)*VLOOKUP(BR$2,ProyDia[],8,0)</f>
        <v>0</v>
      </c>
      <c r="BS126" s="36" t="n">
        <f aca="false">SUMIF($C$2:$F$2,EOMONTH(BS$2,-1)+1,$C126:$F126)*VLOOKUP(BS$2,ProyDia[],8,0)</f>
        <v>0</v>
      </c>
      <c r="BT126" s="36" t="n">
        <f aca="false">SUMIF($C$2:$F$2,EOMONTH(BT$2,-1)+1,$C126:$F126)*VLOOKUP(BT$2,ProyDia[],8,0)</f>
        <v>0</v>
      </c>
      <c r="BU126" s="36" t="n">
        <f aca="false">SUMIF($C$2:$F$2,EOMONTH(BU$2,-1)+1,$C126:$F126)*VLOOKUP(BU$2,ProyDia[],8,0)</f>
        <v>0</v>
      </c>
      <c r="BV126" s="36" t="n">
        <f aca="false">SUMIF($C$2:$F$2,EOMONTH(BV$2,-1)+1,$C126:$F126)*VLOOKUP(BV$2,ProyDia[],8,0)</f>
        <v>0</v>
      </c>
      <c r="BW126" s="36" t="n">
        <f aca="false">SUMIF($C$2:$F$2,EOMONTH(BW$2,-1)+1,$C126:$F126)*VLOOKUP(BW$2,ProyDia[],8,0)</f>
        <v>0</v>
      </c>
      <c r="BX126" s="36" t="n">
        <f aca="false">SUMIF($C$2:$F$2,EOMONTH(BX$2,-1)+1,$C126:$F126)*VLOOKUP(BX$2,ProyDia[],8,0)</f>
        <v>0</v>
      </c>
      <c r="BY126" s="36" t="n">
        <f aca="false">SUMIF($C$2:$F$2,EOMONTH(BY$2,-1)+1,$C126:$F126)*VLOOKUP(BY$2,ProyDia[],8,0)</f>
        <v>0</v>
      </c>
      <c r="BZ126" s="36" t="n">
        <f aca="false">SUMIF($C$2:$F$2,EOMONTH(BZ$2,-1)+1,$C126:$F126)*VLOOKUP(BZ$2,ProyDia[],8,0)</f>
        <v>0</v>
      </c>
      <c r="CA126" s="36" t="n">
        <f aca="false">SUMIF($C$2:$F$2,EOMONTH(CA$2,-1)+1,$C126:$F126)*VLOOKUP(CA$2,ProyDia[],8,0)</f>
        <v>0</v>
      </c>
      <c r="CB126" s="36" t="n">
        <f aca="false">SUMIF($C$2:$F$2,EOMONTH(CB$2,-1)+1,$C126:$F126)*VLOOKUP(CB$2,ProyDia[],8,0)</f>
        <v>0</v>
      </c>
      <c r="CC126" s="36" t="n">
        <f aca="false">SUMIF($C$2:$F$2,EOMONTH(CC$2,-1)+1,$C126:$F126)*VLOOKUP(CC$2,ProyDia[],8,0)</f>
        <v>0</v>
      </c>
      <c r="CD126" s="36" t="n">
        <f aca="false">SUMIF($C$2:$F$2,EOMONTH(CD$2,-1)+1,$C126:$F126)*VLOOKUP(CD$2,ProyDia[],8,0)</f>
        <v>0</v>
      </c>
      <c r="CE126" s="36" t="n">
        <f aca="false">SUMIF($C$2:$F$2,EOMONTH(CE$2,-1)+1,$C126:$F126)*VLOOKUP(CE$2,ProyDia[],8,0)</f>
        <v>0</v>
      </c>
      <c r="CF126" s="36" t="n">
        <f aca="false">SUMIF($C$2:$F$2,EOMONTH(CF$2,-1)+1,$C126:$F126)*VLOOKUP(CF$2,ProyDia[],8,0)</f>
        <v>0</v>
      </c>
      <c r="CG126" s="36" t="n">
        <f aca="false">SUMIF($C$2:$F$2,EOMONTH(CG$2,-1)+1,$C126:$F126)*VLOOKUP(CG$2,ProyDia[],8,0)</f>
        <v>0</v>
      </c>
      <c r="CH126" s="36" t="n">
        <f aca="false">SUMIF($C$2:$F$2,EOMONTH(CH$2,-1)+1,$C126:$F126)*VLOOKUP(CH$2,ProyDia[],8,0)</f>
        <v>0</v>
      </c>
      <c r="CI126" s="36" t="n">
        <f aca="false">SUMIF($C$2:$F$2,EOMONTH(CI$2,-1)+1,$C126:$F126)*VLOOKUP(CI$2,ProyDia[],8,0)</f>
        <v>0</v>
      </c>
      <c r="CJ126" s="36" t="n">
        <f aca="false">SUMIF($C$2:$F$2,EOMONTH(CJ$2,-1)+1,$C126:$F126)*VLOOKUP(CJ$2,ProyDia[],8,0)</f>
        <v>0</v>
      </c>
      <c r="CK126" s="36" t="n">
        <f aca="false">SUMIF($C$2:$F$2,EOMONTH(CK$2,-1)+1,$C126:$F126)*VLOOKUP(CK$2,ProyDia[],8,0)</f>
        <v>0</v>
      </c>
      <c r="CL126" s="36" t="n">
        <f aca="false">SUMIF($C$2:$F$2,EOMONTH(CL$2,-1)+1,$C126:$F126)*VLOOKUP(CL$2,ProyDia[],8,0)</f>
        <v>0</v>
      </c>
      <c r="CM126" s="36" t="n">
        <f aca="false">SUMIF($C$2:$F$2,EOMONTH(CM$2,-1)+1,$C126:$F126)*VLOOKUP(CM$2,ProyDia[],8,0)</f>
        <v>0</v>
      </c>
      <c r="CN126" s="36" t="n">
        <f aca="false">SUMIF($C$2:$F$2,EOMONTH(CN$2,-1)+1,$C126:$F126)*VLOOKUP(CN$2,ProyDia[],8,0)</f>
        <v>0</v>
      </c>
      <c r="CO126" s="36" t="n">
        <f aca="false">SUMIF($C$2:$F$2,EOMONTH(CO$2,-1)+1,$C126:$F126)*VLOOKUP(CO$2,ProyDia[],8,0)</f>
        <v>0</v>
      </c>
      <c r="CP126" s="36" t="n">
        <f aca="false">SUMIF($C$2:$F$2,EOMONTH(CP$2,-1)+1,$C126:$F126)*VLOOKUP(CP$2,ProyDia[],8,0)</f>
        <v>0</v>
      </c>
      <c r="CQ126" s="36" t="n">
        <f aca="false">SUMIF($C$2:$F$2,EOMONTH(CQ$2,-1)+1,$C126:$F126)*VLOOKUP(CQ$2,ProyDia[],8,0)</f>
        <v>0</v>
      </c>
      <c r="CR126" s="36" t="n">
        <f aca="false">SUMIF($C$2:$F$2,EOMONTH(CR$2,-1)+1,$C126:$F126)*VLOOKUP(CR$2,ProyDia[],8,0)</f>
        <v>0</v>
      </c>
      <c r="CS126" s="36" t="n">
        <f aca="false">SUMIF($C$2:$F$2,EOMONTH(CS$2,-1)+1,$C126:$F126)*VLOOKUP(CS$2,ProyDia[],8,0)</f>
        <v>0</v>
      </c>
      <c r="CT126" s="36" t="n">
        <f aca="false">SUMIF($C$2:$F$2,EOMONTH(CT$2,-1)+1,$C126:$F126)*VLOOKUP(CT$2,ProyDia[],8,0)</f>
        <v>0</v>
      </c>
      <c r="CU126" s="36" t="n">
        <f aca="false">SUMIF($C$2:$F$2,EOMONTH(CU$2,-1)+1,$C126:$F126)*VLOOKUP(CU$2,ProyDia[],8,0)</f>
        <v>0</v>
      </c>
      <c r="CV126" s="36" t="n">
        <f aca="false">SUMIF($C$2:$F$2,EOMONTH(CV$2,-1)+1,$C126:$F126)*VLOOKUP(CV$2,ProyDia[],8,0)</f>
        <v>0</v>
      </c>
      <c r="CW126" s="36" t="n">
        <f aca="false">SUMIF($C$2:$F$2,EOMONTH(CW$2,-1)+1,$C126:$F126)*VLOOKUP(CW$2,ProyDia[],8,0)</f>
        <v>0</v>
      </c>
      <c r="CX126" s="36" t="n">
        <f aca="false">SUMIF($C$2:$F$2,EOMONTH(CX$2,-1)+1,$C126:$F126)*VLOOKUP(CX$2,ProyDia[],8,0)</f>
        <v>0</v>
      </c>
      <c r="CY126" s="36" t="n">
        <f aca="false">SUMIF($C$2:$F$2,EOMONTH(CY$2,-1)+1,$C126:$F126)*VLOOKUP(CY$2,ProyDia[],8,0)</f>
        <v>0</v>
      </c>
      <c r="CZ126" s="36" t="n">
        <f aca="false">SUMIF($C$2:$F$2,EOMONTH(CZ$2,-1)+1,$C126:$F126)*VLOOKUP(CZ$2,ProyDia[],8,0)</f>
        <v>0</v>
      </c>
      <c r="DA126" s="36" t="n">
        <f aca="false">SUMIF($C$2:$F$2,EOMONTH(DA$2,-1)+1,$C126:$F126)*VLOOKUP(DA$2,ProyDia[],8,0)</f>
        <v>0</v>
      </c>
      <c r="DB126" s="36" t="n">
        <f aca="false">SUMIF($C$2:$F$2,EOMONTH(DB$2,-1)+1,$C126:$F126)*VLOOKUP(DB$2,ProyDia[],8,0)</f>
        <v>0</v>
      </c>
      <c r="DC126" s="36" t="n">
        <f aca="false">SUMIF($C$2:$F$2,EOMONTH(DC$2,-1)+1,$C126:$F126)*VLOOKUP(DC$2,ProyDia[],8,0)</f>
        <v>0</v>
      </c>
      <c r="DD126" s="36" t="n">
        <f aca="false">SUMIF($C$2:$F$2,EOMONTH(DD$2,-1)+1,$C126:$F126)*VLOOKUP(DD$2,ProyDia[],8,0)</f>
        <v>0</v>
      </c>
      <c r="DE126" s="36" t="n">
        <f aca="false">SUMIF($C$2:$F$2,EOMONTH(DE$2,-1)+1,$C126:$F126)*VLOOKUP(DE$2,ProyDia[],8,0)</f>
        <v>0</v>
      </c>
      <c r="DF126" s="36" t="n">
        <f aca="false">SUMIF($C$2:$F$2,EOMONTH(DF$2,-1)+1,$C126:$F126)*VLOOKUP(DF$2,ProyDia[],8,0)</f>
        <v>0</v>
      </c>
      <c r="DG126" s="36" t="n">
        <f aca="false">SUMIF($C$2:$F$2,EOMONTH(DG$2,-1)+1,$C126:$F126)*VLOOKUP(DG$2,ProyDia[],8,0)</f>
        <v>0</v>
      </c>
      <c r="DH126" s="36" t="n">
        <f aca="false">SUMIF($C$2:$F$2,EOMONTH(DH$2,-1)+1,$C126:$F126)*VLOOKUP(DH$2,ProyDia[],8,0)</f>
        <v>0</v>
      </c>
      <c r="DI126" s="36" t="n">
        <f aca="false">SUMIF($C$2:$F$2,EOMONTH(DI$2,-1)+1,$C126:$F126)*VLOOKUP(DI$2,ProyDia[],8,0)</f>
        <v>0</v>
      </c>
      <c r="DJ126" s="36" t="n">
        <f aca="false">SUMIF($C$2:$F$2,EOMONTH(DJ$2,-1)+1,$C126:$F126)*VLOOKUP(DJ$2,ProyDia[],8,0)</f>
        <v>0</v>
      </c>
      <c r="DK126" s="36" t="n">
        <f aca="false">SUMIF($C$2:$F$2,EOMONTH(DK$2,-1)+1,$C126:$F126)*VLOOKUP(DK$2,ProyDia[],8,0)</f>
        <v>0</v>
      </c>
      <c r="DL126" s="36" t="n">
        <f aca="false">SUMIF($C$2:$F$2,EOMONTH(DL$2,-1)+1,$C126:$F126)*VLOOKUP(DL$2,ProyDia[],8,0)</f>
        <v>0</v>
      </c>
      <c r="DM126" s="36" t="n">
        <f aca="false">SUMIF($C$2:$F$2,EOMONTH(DM$2,-1)+1,$C126:$F126)*VLOOKUP(DM$2,ProyDia[],8,0)</f>
        <v>0</v>
      </c>
      <c r="DN126" s="36" t="n">
        <f aca="false">SUMIF($C$2:$F$2,EOMONTH(DN$2,-1)+1,$C126:$F126)*VLOOKUP(DN$2,ProyDia[],8,0)</f>
        <v>0</v>
      </c>
      <c r="DO126" s="36" t="n">
        <f aca="false">SUMIF($C$2:$F$2,EOMONTH(DO$2,-1)+1,$C126:$F126)*VLOOKUP(DO$2,ProyDia[],8,0)</f>
        <v>0</v>
      </c>
      <c r="DP126" s="36" t="n">
        <f aca="false">SUMIF($C$2:$F$2,EOMONTH(DP$2,-1)+1,$C126:$F126)*VLOOKUP(DP$2,ProyDia[],8,0)</f>
        <v>0</v>
      </c>
      <c r="DQ126" s="36" t="n">
        <f aca="false">SUMIF($C$2:$F$2,EOMONTH(DQ$2,-1)+1,$C126:$F126)*VLOOKUP(DQ$2,ProyDia[],8,0)</f>
        <v>0</v>
      </c>
      <c r="DR126" s="36" t="n">
        <f aca="false">SUMIF($C$2:$F$2,EOMONTH(DR$2,-1)+1,$C126:$F126)*VLOOKUP(DR$2,ProyDia[],8,0)</f>
        <v>0</v>
      </c>
      <c r="DS126" s="36" t="n">
        <f aca="false">SUMIF($C$2:$F$2,EOMONTH(DS$2,-1)+1,$C126:$F126)*VLOOKUP(DS$2,ProyDia[],8,0)</f>
        <v>0</v>
      </c>
      <c r="DT126" s="36" t="n">
        <f aca="false">SUMIF($C$2:$F$2,EOMONTH(DT$2,-1)+1,$C126:$F126)*VLOOKUP(DT$2,ProyDia[],8,0)</f>
        <v>0</v>
      </c>
      <c r="DU126" s="36" t="n">
        <f aca="false">SUMIF($C$2:$F$2,EOMONTH(DU$2,-1)+1,$C126:$F126)*VLOOKUP(DU$2,ProyDia[],8,0)</f>
        <v>0</v>
      </c>
      <c r="DV126" s="36" t="n">
        <f aca="false">SUMIF($C$2:$F$2,EOMONTH(DV$2,-1)+1,$C126:$F126)*VLOOKUP(DV$2,ProyDia[],8,0)</f>
        <v>0</v>
      </c>
      <c r="DW126" s="36" t="n">
        <f aca="false">SUMIF($C$2:$F$2,EOMONTH(DW$2,-1)+1,$C126:$F126)*VLOOKUP(DW$2,ProyDia[],8,0)</f>
        <v>0</v>
      </c>
      <c r="DX126" s="36" t="n">
        <f aca="false">SUMIF($C$2:$F$2,EOMONTH(DX$2,-1)+1,$C126:$F126)*VLOOKUP(DX$2,ProyDia[],8,0)</f>
        <v>0</v>
      </c>
    </row>
    <row r="127" customFormat="false" ht="14.4" hidden="false" customHeight="false" outlineLevel="0" collapsed="false">
      <c r="A127" s="34"/>
      <c r="B127" s="34"/>
      <c r="C127" s="34"/>
      <c r="D127" s="34"/>
      <c r="E127" s="34"/>
      <c r="F127" s="34"/>
      <c r="G127" s="28" t="n">
        <f aca="false">SUMIF($C$2:$F$2,EOMONTH(G$2,-1)+1,$C127:$F127)*VLOOKUP(G$2,ProyDia[],8,0)</f>
        <v>0</v>
      </c>
      <c r="H127" s="28" t="n">
        <f aca="false">SUMIF($C$2:$F$2,EOMONTH(H$2,-1)+1,$C127:$F127)*VLOOKUP(H$2,ProyDia[],8,0)</f>
        <v>0</v>
      </c>
      <c r="I127" s="28" t="n">
        <f aca="false">SUMIF($C$2:$F$2,EOMONTH(I$2,-1)+1,$C127:$F127)*VLOOKUP(I$2,ProyDia[],8,0)</f>
        <v>0</v>
      </c>
      <c r="J127" s="28" t="n">
        <f aca="false">SUMIF($C$2:$F$2,EOMONTH(J$2,-1)+1,$C127:$F127)*VLOOKUP(J$2,ProyDia[],8,0)</f>
        <v>0</v>
      </c>
      <c r="K127" s="28" t="n">
        <f aca="false">SUMIF($C$2:$F$2,EOMONTH(K$2,-1)+1,$C127:$F127)*VLOOKUP(K$2,ProyDia[],8,0)</f>
        <v>0</v>
      </c>
      <c r="L127" s="28" t="n">
        <f aca="false">SUMIF($C$2:$F$2,EOMONTH(L$2,-1)+1,$C127:$F127)*VLOOKUP(L$2,ProyDia[],8,0)</f>
        <v>0</v>
      </c>
      <c r="M127" s="28" t="n">
        <f aca="false">SUMIF($C$2:$F$2,EOMONTH(M$2,-1)+1,$C127:$F127)*VLOOKUP(M$2,ProyDia[],8,0)</f>
        <v>0</v>
      </c>
      <c r="N127" s="28" t="n">
        <f aca="false">SUMIF($C$2:$F$2,EOMONTH(N$2,-1)+1,$C127:$F127)*VLOOKUP(N$2,ProyDia[],8,0)</f>
        <v>0</v>
      </c>
      <c r="O127" s="28" t="n">
        <f aca="false">SUMIF($C$2:$F$2,EOMONTH(O$2,-1)+1,$C127:$F127)*VLOOKUP(O$2,ProyDia[],8,0)</f>
        <v>0</v>
      </c>
      <c r="P127" s="28" t="n">
        <f aca="false">SUMIF($C$2:$F$2,EOMONTH(P$2,-1)+1,$C127:$F127)*VLOOKUP(P$2,ProyDia[],8,0)</f>
        <v>0</v>
      </c>
      <c r="Q127" s="28" t="n">
        <f aca="false">SUMIF($C$2:$F$2,EOMONTH(Q$2,-1)+1,$C127:$F127)*VLOOKUP(Q$2,ProyDia[],8,0)</f>
        <v>0</v>
      </c>
      <c r="R127" s="28" t="n">
        <f aca="false">SUMIF($C$2:$F$2,EOMONTH(R$2,-1)+1,$C127:$F127)*VLOOKUP(R$2,ProyDia[],8,0)</f>
        <v>0</v>
      </c>
      <c r="S127" s="28" t="n">
        <f aca="false">SUMIF($C$2:$F$2,EOMONTH(S$2,-1)+1,$C127:$F127)*VLOOKUP(S$2,ProyDia[],8,0)</f>
        <v>0</v>
      </c>
      <c r="T127" s="28" t="n">
        <f aca="false">SUMIF($C$2:$F$2,EOMONTH(T$2,-1)+1,$C127:$F127)*VLOOKUP(T$2,ProyDia[],8,0)</f>
        <v>0</v>
      </c>
      <c r="U127" s="28" t="n">
        <f aca="false">SUMIF($C$2:$F$2,EOMONTH(U$2,-1)+1,$C127:$F127)*VLOOKUP(U$2,ProyDia[],8,0)</f>
        <v>0</v>
      </c>
      <c r="V127" s="28" t="n">
        <f aca="false">SUMIF($C$2:$F$2,EOMONTH(V$2,-1)+1,$C127:$F127)*VLOOKUP(V$2,ProyDia[],8,0)</f>
        <v>0</v>
      </c>
      <c r="W127" s="28" t="n">
        <f aca="false">SUMIF($C$2:$F$2,EOMONTH(W$2,-1)+1,$C127:$F127)*VLOOKUP(W$2,ProyDia[],8,0)</f>
        <v>0</v>
      </c>
      <c r="X127" s="28" t="n">
        <f aca="false">SUMIF($C$2:$F$2,EOMONTH(X$2,-1)+1,$C127:$F127)*VLOOKUP(X$2,ProyDia[],8,0)</f>
        <v>0</v>
      </c>
      <c r="Y127" s="28" t="n">
        <f aca="false">SUMIF($C$2:$F$2,EOMONTH(Y$2,-1)+1,$C127:$F127)*VLOOKUP(Y$2,ProyDia[],8,0)</f>
        <v>0</v>
      </c>
      <c r="Z127" s="28" t="n">
        <f aca="false">SUMIF($C$2:$F$2,EOMONTH(Z$2,-1)+1,$C127:$F127)*VLOOKUP(Z$2,ProyDia[],8,0)</f>
        <v>0</v>
      </c>
      <c r="AA127" s="28" t="n">
        <f aca="false">SUMIF($C$2:$F$2,EOMONTH(AA$2,-1)+1,$C127:$F127)*VLOOKUP(AA$2,ProyDia[],8,0)</f>
        <v>0</v>
      </c>
      <c r="AB127" s="28" t="n">
        <f aca="false">SUMIF($C$2:$F$2,EOMONTH(AB$2,-1)+1,$C127:$F127)*VLOOKUP(AB$2,ProyDia[],8,0)</f>
        <v>0</v>
      </c>
      <c r="AC127" s="28" t="n">
        <f aca="false">SUMIF($C$2:$F$2,EOMONTH(AC$2,-1)+1,$C127:$F127)*VLOOKUP(AC$2,ProyDia[],8,0)</f>
        <v>0</v>
      </c>
      <c r="AD127" s="28" t="n">
        <f aca="false">SUMIF($C$2:$F$2,EOMONTH(AD$2,-1)+1,$C127:$F127)*VLOOKUP(AD$2,ProyDia[],8,0)</f>
        <v>0</v>
      </c>
      <c r="AE127" s="28" t="n">
        <f aca="false">SUMIF($C$2:$F$2,EOMONTH(AE$2,-1)+1,$C127:$F127)*VLOOKUP(AE$2,ProyDia[],8,0)</f>
        <v>0</v>
      </c>
      <c r="AF127" s="28" t="n">
        <f aca="false">SUMIF($C$2:$F$2,EOMONTH(AF$2,-1)+1,$C127:$F127)*VLOOKUP(AF$2,ProyDia[],8,0)</f>
        <v>0</v>
      </c>
      <c r="AG127" s="28" t="n">
        <f aca="false">SUMIF($C$2:$F$2,EOMONTH(AG$2,-1)+1,$C127:$F127)*VLOOKUP(AG$2,ProyDia[],8,0)</f>
        <v>0</v>
      </c>
      <c r="AH127" s="28" t="n">
        <f aca="false">SUMIF($C$2:$F$2,EOMONTH(AH$2,-1)+1,$C127:$F127)*VLOOKUP(AH$2,ProyDia[],8,0)</f>
        <v>0</v>
      </c>
      <c r="AI127" s="28" t="n">
        <f aca="false">SUMIF($C$2:$F$2,EOMONTH(AI$2,-1)+1,$C127:$F127)*VLOOKUP(AI$2,ProyDia[],8,0)</f>
        <v>0</v>
      </c>
      <c r="AJ127" s="28" t="n">
        <f aca="false">SUMIF($C$2:$F$2,EOMONTH(AJ$2,-1)+1,$C127:$F127)*VLOOKUP(AJ$2,ProyDia[],8,0)</f>
        <v>0</v>
      </c>
      <c r="AK127" s="28" t="n">
        <f aca="false">SUMIF($C$2:$F$2,EOMONTH(AK$2,-1)+1,$C127:$F127)*VLOOKUP(AK$2,ProyDia[],8,0)</f>
        <v>0</v>
      </c>
      <c r="AL127" s="28" t="n">
        <f aca="false">SUMIF($C$2:$F$2,EOMONTH(AL$2,-1)+1,$C127:$F127)*VLOOKUP(AL$2,ProyDia[],8,0)</f>
        <v>0</v>
      </c>
      <c r="AM127" s="28" t="n">
        <f aca="false">SUMIF($C$2:$F$2,EOMONTH(AM$2,-1)+1,$C127:$F127)*VLOOKUP(AM$2,ProyDia[],8,0)</f>
        <v>0</v>
      </c>
      <c r="AN127" s="28" t="n">
        <f aca="false">SUMIF($C$2:$F$2,EOMONTH(AN$2,-1)+1,$C127:$F127)*VLOOKUP(AN$2,ProyDia[],8,0)</f>
        <v>0</v>
      </c>
      <c r="AO127" s="28" t="n">
        <f aca="false">SUMIF($C$2:$F$2,EOMONTH(AO$2,-1)+1,$C127:$F127)*VLOOKUP(AO$2,ProyDia[],8,0)</f>
        <v>0</v>
      </c>
      <c r="AP127" s="28" t="n">
        <f aca="false">SUMIF($C$2:$F$2,EOMONTH(AP$2,-1)+1,$C127:$F127)*VLOOKUP(AP$2,ProyDia[],8,0)</f>
        <v>0</v>
      </c>
      <c r="AQ127" s="28" t="n">
        <f aca="false">SUMIF($C$2:$F$2,EOMONTH(AQ$2,-1)+1,$C127:$F127)*VLOOKUP(AQ$2,ProyDia[],8,0)</f>
        <v>0</v>
      </c>
      <c r="AR127" s="28" t="n">
        <f aca="false">SUMIF($C$2:$F$2,EOMONTH(AR$2,-1)+1,$C127:$F127)*VLOOKUP(AR$2,ProyDia[],8,0)</f>
        <v>0</v>
      </c>
      <c r="AS127" s="28" t="n">
        <f aca="false">SUMIF($C$2:$F$2,EOMONTH(AS$2,-1)+1,$C127:$F127)*VLOOKUP(AS$2,ProyDia[],8,0)</f>
        <v>0</v>
      </c>
      <c r="AT127" s="28" t="n">
        <f aca="false">SUMIF($C$2:$F$2,EOMONTH(AT$2,-1)+1,$C127:$F127)*VLOOKUP(AT$2,ProyDia[],8,0)</f>
        <v>0</v>
      </c>
      <c r="AU127" s="28" t="n">
        <f aca="false">SUMIF($C$2:$F$2,EOMONTH(AU$2,-1)+1,$C127:$F127)*VLOOKUP(AU$2,ProyDia[],8,0)</f>
        <v>0</v>
      </c>
      <c r="AV127" s="28" t="n">
        <f aca="false">SUMIF($C$2:$F$2,EOMONTH(AV$2,-1)+1,$C127:$F127)*VLOOKUP(AV$2,ProyDia[],8,0)</f>
        <v>0</v>
      </c>
      <c r="AW127" s="28" t="n">
        <f aca="false">SUMIF($C$2:$F$2,EOMONTH(AW$2,-1)+1,$C127:$F127)*VLOOKUP(AW$2,ProyDia[],8,0)</f>
        <v>0</v>
      </c>
      <c r="AX127" s="28" t="n">
        <f aca="false">SUMIF($C$2:$F$2,EOMONTH(AX$2,-1)+1,$C127:$F127)*VLOOKUP(AX$2,ProyDia[],8,0)</f>
        <v>0</v>
      </c>
      <c r="AY127" s="28" t="n">
        <f aca="false">SUMIF($C$2:$F$2,EOMONTH(AY$2,-1)+1,$C127:$F127)*VLOOKUP(AY$2,ProyDia[],8,0)</f>
        <v>0</v>
      </c>
      <c r="AZ127" s="28" t="n">
        <f aca="false">SUMIF($C$2:$F$2,EOMONTH(AZ$2,-1)+1,$C127:$F127)*VLOOKUP(AZ$2,ProyDia[],8,0)</f>
        <v>0</v>
      </c>
      <c r="BA127" s="28" t="n">
        <f aca="false">SUMIF($C$2:$F$2,EOMONTH(BA$2,-1)+1,$C127:$F127)*VLOOKUP(BA$2,ProyDia[],8,0)</f>
        <v>0</v>
      </c>
      <c r="BB127" s="28" t="n">
        <f aca="false">SUMIF($C$2:$F$2,EOMONTH(BB$2,-1)+1,$C127:$F127)*VLOOKUP(BB$2,ProyDia[],8,0)</f>
        <v>0</v>
      </c>
      <c r="BC127" s="28" t="n">
        <f aca="false">SUMIF($C$2:$F$2,EOMONTH(BC$2,-1)+1,$C127:$F127)*VLOOKUP(BC$2,ProyDia[],8,0)</f>
        <v>0</v>
      </c>
      <c r="BD127" s="28" t="n">
        <f aca="false">SUMIF($C$2:$F$2,EOMONTH(BD$2,-1)+1,$C127:$F127)*VLOOKUP(BD$2,ProyDia[],8,0)</f>
        <v>0</v>
      </c>
      <c r="BE127" s="28" t="n">
        <f aca="false">SUMIF($C$2:$F$2,EOMONTH(BE$2,-1)+1,$C127:$F127)*VLOOKUP(BE$2,ProyDia[],8,0)</f>
        <v>0</v>
      </c>
      <c r="BF127" s="28" t="n">
        <f aca="false">SUMIF($C$2:$F$2,EOMONTH(BF$2,-1)+1,$C127:$F127)*VLOOKUP(BF$2,ProyDia[],8,0)</f>
        <v>0</v>
      </c>
      <c r="BG127" s="28" t="n">
        <f aca="false">SUMIF($C$2:$F$2,EOMONTH(BG$2,-1)+1,$C127:$F127)*VLOOKUP(BG$2,ProyDia[],8,0)</f>
        <v>0</v>
      </c>
      <c r="BH127" s="28" t="n">
        <f aca="false">SUMIF($C$2:$F$2,EOMONTH(BH$2,-1)+1,$C127:$F127)*VLOOKUP(BH$2,ProyDia[],8,0)</f>
        <v>0</v>
      </c>
      <c r="BI127" s="28" t="n">
        <f aca="false">SUMIF($C$2:$F$2,EOMONTH(BI$2,-1)+1,$C127:$F127)*VLOOKUP(BI$2,ProyDia[],8,0)</f>
        <v>0</v>
      </c>
      <c r="BJ127" s="28" t="n">
        <f aca="false">SUMIF($C$2:$F$2,EOMONTH(BJ$2,-1)+1,$C127:$F127)*VLOOKUP(BJ$2,ProyDia[],8,0)</f>
        <v>0</v>
      </c>
      <c r="BK127" s="28" t="n">
        <f aca="false">SUMIF($C$2:$F$2,EOMONTH(BK$2,-1)+1,$C127:$F127)*VLOOKUP(BK$2,ProyDia[],8,0)</f>
        <v>0</v>
      </c>
      <c r="BL127" s="28" t="n">
        <f aca="false">SUMIF($C$2:$F$2,EOMONTH(BL$2,-1)+1,$C127:$F127)*VLOOKUP(BL$2,ProyDia[],8,0)</f>
        <v>0</v>
      </c>
      <c r="BM127" s="28" t="n">
        <f aca="false">SUMIF($C$2:$F$2,EOMONTH(BM$2,-1)+1,$C127:$F127)*VLOOKUP(BM$2,ProyDia[],8,0)</f>
        <v>0</v>
      </c>
      <c r="BN127" s="28" t="n">
        <f aca="false">SUMIF($C$2:$F$2,EOMONTH(BN$2,-1)+1,$C127:$F127)*VLOOKUP(BN$2,ProyDia[],8,0)</f>
        <v>0</v>
      </c>
      <c r="BO127" s="28" t="n">
        <f aca="false">SUMIF($C$2:$F$2,EOMONTH(BO$2,-1)+1,$C127:$F127)*VLOOKUP(BO$2,ProyDia[],8,0)</f>
        <v>0</v>
      </c>
      <c r="BP127" s="28" t="n">
        <f aca="false">SUMIF($C$2:$F$2,EOMONTH(BP$2,-1)+1,$C127:$F127)*VLOOKUP(BP$2,ProyDia[],8,0)</f>
        <v>0</v>
      </c>
      <c r="BQ127" s="28" t="n">
        <f aca="false">SUMIF($C$2:$F$2,EOMONTH(BQ$2,-1)+1,$C127:$F127)*VLOOKUP(BQ$2,ProyDia[],8,0)</f>
        <v>0</v>
      </c>
      <c r="BR127" s="28" t="n">
        <f aca="false">SUMIF($C$2:$F$2,EOMONTH(BR$2,-1)+1,$C127:$F127)*VLOOKUP(BR$2,ProyDia[],8,0)</f>
        <v>0</v>
      </c>
      <c r="BS127" s="28" t="n">
        <f aca="false">SUMIF($C$2:$F$2,EOMONTH(BS$2,-1)+1,$C127:$F127)*VLOOKUP(BS$2,ProyDia[],8,0)</f>
        <v>0</v>
      </c>
      <c r="BT127" s="28" t="n">
        <f aca="false">SUMIF($C$2:$F$2,EOMONTH(BT$2,-1)+1,$C127:$F127)*VLOOKUP(BT$2,ProyDia[],8,0)</f>
        <v>0</v>
      </c>
      <c r="BU127" s="28" t="n">
        <f aca="false">SUMIF($C$2:$F$2,EOMONTH(BU$2,-1)+1,$C127:$F127)*VLOOKUP(BU$2,ProyDia[],8,0)</f>
        <v>0</v>
      </c>
      <c r="BV127" s="28" t="n">
        <f aca="false">SUMIF($C$2:$F$2,EOMONTH(BV$2,-1)+1,$C127:$F127)*VLOOKUP(BV$2,ProyDia[],8,0)</f>
        <v>0</v>
      </c>
      <c r="BW127" s="28" t="n">
        <f aca="false">SUMIF($C$2:$F$2,EOMONTH(BW$2,-1)+1,$C127:$F127)*VLOOKUP(BW$2,ProyDia[],8,0)</f>
        <v>0</v>
      </c>
      <c r="BX127" s="28" t="n">
        <f aca="false">SUMIF($C$2:$F$2,EOMONTH(BX$2,-1)+1,$C127:$F127)*VLOOKUP(BX$2,ProyDia[],8,0)</f>
        <v>0</v>
      </c>
      <c r="BY127" s="28" t="n">
        <f aca="false">SUMIF($C$2:$F$2,EOMONTH(BY$2,-1)+1,$C127:$F127)*VLOOKUP(BY$2,ProyDia[],8,0)</f>
        <v>0</v>
      </c>
      <c r="BZ127" s="28" t="n">
        <f aca="false">SUMIF($C$2:$F$2,EOMONTH(BZ$2,-1)+1,$C127:$F127)*VLOOKUP(BZ$2,ProyDia[],8,0)</f>
        <v>0</v>
      </c>
      <c r="CA127" s="28" t="n">
        <f aca="false">SUMIF($C$2:$F$2,EOMONTH(CA$2,-1)+1,$C127:$F127)*VLOOKUP(CA$2,ProyDia[],8,0)</f>
        <v>0</v>
      </c>
      <c r="CB127" s="28" t="n">
        <f aca="false">SUMIF($C$2:$F$2,EOMONTH(CB$2,-1)+1,$C127:$F127)*VLOOKUP(CB$2,ProyDia[],8,0)</f>
        <v>0</v>
      </c>
      <c r="CC127" s="28" t="n">
        <f aca="false">SUMIF($C$2:$F$2,EOMONTH(CC$2,-1)+1,$C127:$F127)*VLOOKUP(CC$2,ProyDia[],8,0)</f>
        <v>0</v>
      </c>
      <c r="CD127" s="28" t="n">
        <f aca="false">SUMIF($C$2:$F$2,EOMONTH(CD$2,-1)+1,$C127:$F127)*VLOOKUP(CD$2,ProyDia[],8,0)</f>
        <v>0</v>
      </c>
      <c r="CE127" s="28" t="n">
        <f aca="false">SUMIF($C$2:$F$2,EOMONTH(CE$2,-1)+1,$C127:$F127)*VLOOKUP(CE$2,ProyDia[],8,0)</f>
        <v>0</v>
      </c>
      <c r="CF127" s="28" t="n">
        <f aca="false">SUMIF($C$2:$F$2,EOMONTH(CF$2,-1)+1,$C127:$F127)*VLOOKUP(CF$2,ProyDia[],8,0)</f>
        <v>0</v>
      </c>
      <c r="CG127" s="28" t="n">
        <f aca="false">SUMIF($C$2:$F$2,EOMONTH(CG$2,-1)+1,$C127:$F127)*VLOOKUP(CG$2,ProyDia[],8,0)</f>
        <v>0</v>
      </c>
      <c r="CH127" s="28" t="n">
        <f aca="false">SUMIF($C$2:$F$2,EOMONTH(CH$2,-1)+1,$C127:$F127)*VLOOKUP(CH$2,ProyDia[],8,0)</f>
        <v>0</v>
      </c>
      <c r="CI127" s="28" t="n">
        <f aca="false">SUMIF($C$2:$F$2,EOMONTH(CI$2,-1)+1,$C127:$F127)*VLOOKUP(CI$2,ProyDia[],8,0)</f>
        <v>0</v>
      </c>
      <c r="CJ127" s="28" t="n">
        <f aca="false">SUMIF($C$2:$F$2,EOMONTH(CJ$2,-1)+1,$C127:$F127)*VLOOKUP(CJ$2,ProyDia[],8,0)</f>
        <v>0</v>
      </c>
      <c r="CK127" s="28" t="n">
        <f aca="false">SUMIF($C$2:$F$2,EOMONTH(CK$2,-1)+1,$C127:$F127)*VLOOKUP(CK$2,ProyDia[],8,0)</f>
        <v>0</v>
      </c>
      <c r="CL127" s="28" t="n">
        <f aca="false">SUMIF($C$2:$F$2,EOMONTH(CL$2,-1)+1,$C127:$F127)*VLOOKUP(CL$2,ProyDia[],8,0)</f>
        <v>0</v>
      </c>
      <c r="CM127" s="28" t="n">
        <f aca="false">SUMIF($C$2:$F$2,EOMONTH(CM$2,-1)+1,$C127:$F127)*VLOOKUP(CM$2,ProyDia[],8,0)</f>
        <v>0</v>
      </c>
      <c r="CN127" s="28" t="n">
        <f aca="false">SUMIF($C$2:$F$2,EOMONTH(CN$2,-1)+1,$C127:$F127)*VLOOKUP(CN$2,ProyDia[],8,0)</f>
        <v>0</v>
      </c>
      <c r="CO127" s="28" t="n">
        <f aca="false">SUMIF($C$2:$F$2,EOMONTH(CO$2,-1)+1,$C127:$F127)*VLOOKUP(CO$2,ProyDia[],8,0)</f>
        <v>0</v>
      </c>
      <c r="CP127" s="28" t="n">
        <f aca="false">SUMIF($C$2:$F$2,EOMONTH(CP$2,-1)+1,$C127:$F127)*VLOOKUP(CP$2,ProyDia[],8,0)</f>
        <v>0</v>
      </c>
      <c r="CQ127" s="28" t="n">
        <f aca="false">SUMIF($C$2:$F$2,EOMONTH(CQ$2,-1)+1,$C127:$F127)*VLOOKUP(CQ$2,ProyDia[],8,0)</f>
        <v>0</v>
      </c>
      <c r="CR127" s="28" t="n">
        <f aca="false">SUMIF($C$2:$F$2,EOMONTH(CR$2,-1)+1,$C127:$F127)*VLOOKUP(CR$2,ProyDia[],8,0)</f>
        <v>0</v>
      </c>
      <c r="CS127" s="28" t="n">
        <f aca="false">SUMIF($C$2:$F$2,EOMONTH(CS$2,-1)+1,$C127:$F127)*VLOOKUP(CS$2,ProyDia[],8,0)</f>
        <v>0</v>
      </c>
      <c r="CT127" s="28" t="n">
        <f aca="false">SUMIF($C$2:$F$2,EOMONTH(CT$2,-1)+1,$C127:$F127)*VLOOKUP(CT$2,ProyDia[],8,0)</f>
        <v>0</v>
      </c>
      <c r="CU127" s="28" t="n">
        <f aca="false">SUMIF($C$2:$F$2,EOMONTH(CU$2,-1)+1,$C127:$F127)*VLOOKUP(CU$2,ProyDia[],8,0)</f>
        <v>0</v>
      </c>
      <c r="CV127" s="28" t="n">
        <f aca="false">SUMIF($C$2:$F$2,EOMONTH(CV$2,-1)+1,$C127:$F127)*VLOOKUP(CV$2,ProyDia[],8,0)</f>
        <v>0</v>
      </c>
      <c r="CW127" s="28" t="n">
        <f aca="false">SUMIF($C$2:$F$2,EOMONTH(CW$2,-1)+1,$C127:$F127)*VLOOKUP(CW$2,ProyDia[],8,0)</f>
        <v>0</v>
      </c>
      <c r="CX127" s="28" t="n">
        <f aca="false">SUMIF($C$2:$F$2,EOMONTH(CX$2,-1)+1,$C127:$F127)*VLOOKUP(CX$2,ProyDia[],8,0)</f>
        <v>0</v>
      </c>
      <c r="CY127" s="28" t="n">
        <f aca="false">SUMIF($C$2:$F$2,EOMONTH(CY$2,-1)+1,$C127:$F127)*VLOOKUP(CY$2,ProyDia[],8,0)</f>
        <v>0</v>
      </c>
      <c r="CZ127" s="28" t="n">
        <f aca="false">SUMIF($C$2:$F$2,EOMONTH(CZ$2,-1)+1,$C127:$F127)*VLOOKUP(CZ$2,ProyDia[],8,0)</f>
        <v>0</v>
      </c>
      <c r="DA127" s="28" t="n">
        <f aca="false">SUMIF($C$2:$F$2,EOMONTH(DA$2,-1)+1,$C127:$F127)*VLOOKUP(DA$2,ProyDia[],8,0)</f>
        <v>0</v>
      </c>
      <c r="DB127" s="28" t="n">
        <f aca="false">SUMIF($C$2:$F$2,EOMONTH(DB$2,-1)+1,$C127:$F127)*VLOOKUP(DB$2,ProyDia[],8,0)</f>
        <v>0</v>
      </c>
      <c r="DC127" s="28" t="n">
        <f aca="false">SUMIF($C$2:$F$2,EOMONTH(DC$2,-1)+1,$C127:$F127)*VLOOKUP(DC$2,ProyDia[],8,0)</f>
        <v>0</v>
      </c>
      <c r="DD127" s="28" t="n">
        <f aca="false">SUMIF($C$2:$F$2,EOMONTH(DD$2,-1)+1,$C127:$F127)*VLOOKUP(DD$2,ProyDia[],8,0)</f>
        <v>0</v>
      </c>
      <c r="DE127" s="28" t="n">
        <f aca="false">SUMIF($C$2:$F$2,EOMONTH(DE$2,-1)+1,$C127:$F127)*VLOOKUP(DE$2,ProyDia[],8,0)</f>
        <v>0</v>
      </c>
      <c r="DF127" s="28" t="n">
        <f aca="false">SUMIF($C$2:$F$2,EOMONTH(DF$2,-1)+1,$C127:$F127)*VLOOKUP(DF$2,ProyDia[],8,0)</f>
        <v>0</v>
      </c>
      <c r="DG127" s="28" t="n">
        <f aca="false">SUMIF($C$2:$F$2,EOMONTH(DG$2,-1)+1,$C127:$F127)*VLOOKUP(DG$2,ProyDia[],8,0)</f>
        <v>0</v>
      </c>
      <c r="DH127" s="28" t="n">
        <f aca="false">SUMIF($C$2:$F$2,EOMONTH(DH$2,-1)+1,$C127:$F127)*VLOOKUP(DH$2,ProyDia[],8,0)</f>
        <v>0</v>
      </c>
      <c r="DI127" s="28" t="n">
        <f aca="false">SUMIF($C$2:$F$2,EOMONTH(DI$2,-1)+1,$C127:$F127)*VLOOKUP(DI$2,ProyDia[],8,0)</f>
        <v>0</v>
      </c>
      <c r="DJ127" s="28" t="n">
        <f aca="false">SUMIF($C$2:$F$2,EOMONTH(DJ$2,-1)+1,$C127:$F127)*VLOOKUP(DJ$2,ProyDia[],8,0)</f>
        <v>0</v>
      </c>
      <c r="DK127" s="28" t="n">
        <f aca="false">SUMIF($C$2:$F$2,EOMONTH(DK$2,-1)+1,$C127:$F127)*VLOOKUP(DK$2,ProyDia[],8,0)</f>
        <v>0</v>
      </c>
      <c r="DL127" s="28" t="n">
        <f aca="false">SUMIF($C$2:$F$2,EOMONTH(DL$2,-1)+1,$C127:$F127)*VLOOKUP(DL$2,ProyDia[],8,0)</f>
        <v>0</v>
      </c>
      <c r="DM127" s="28" t="n">
        <f aca="false">SUMIF($C$2:$F$2,EOMONTH(DM$2,-1)+1,$C127:$F127)*VLOOKUP(DM$2,ProyDia[],8,0)</f>
        <v>0</v>
      </c>
      <c r="DN127" s="28" t="n">
        <f aca="false">SUMIF($C$2:$F$2,EOMONTH(DN$2,-1)+1,$C127:$F127)*VLOOKUP(DN$2,ProyDia[],8,0)</f>
        <v>0</v>
      </c>
      <c r="DO127" s="28" t="n">
        <f aca="false">SUMIF($C$2:$F$2,EOMONTH(DO$2,-1)+1,$C127:$F127)*VLOOKUP(DO$2,ProyDia[],8,0)</f>
        <v>0</v>
      </c>
      <c r="DP127" s="28" t="n">
        <f aca="false">SUMIF($C$2:$F$2,EOMONTH(DP$2,-1)+1,$C127:$F127)*VLOOKUP(DP$2,ProyDia[],8,0)</f>
        <v>0</v>
      </c>
      <c r="DQ127" s="28" t="n">
        <f aca="false">SUMIF($C$2:$F$2,EOMONTH(DQ$2,-1)+1,$C127:$F127)*VLOOKUP(DQ$2,ProyDia[],8,0)</f>
        <v>0</v>
      </c>
      <c r="DR127" s="28" t="n">
        <f aca="false">SUMIF($C$2:$F$2,EOMONTH(DR$2,-1)+1,$C127:$F127)*VLOOKUP(DR$2,ProyDia[],8,0)</f>
        <v>0</v>
      </c>
      <c r="DS127" s="28" t="n">
        <f aca="false">SUMIF($C$2:$F$2,EOMONTH(DS$2,-1)+1,$C127:$F127)*VLOOKUP(DS$2,ProyDia[],8,0)</f>
        <v>0</v>
      </c>
      <c r="DT127" s="28" t="n">
        <f aca="false">SUMIF($C$2:$F$2,EOMONTH(DT$2,-1)+1,$C127:$F127)*VLOOKUP(DT$2,ProyDia[],8,0)</f>
        <v>0</v>
      </c>
      <c r="DU127" s="28" t="n">
        <f aca="false">SUMIF($C$2:$F$2,EOMONTH(DU$2,-1)+1,$C127:$F127)*VLOOKUP(DU$2,ProyDia[],8,0)</f>
        <v>0</v>
      </c>
      <c r="DV127" s="28" t="n">
        <f aca="false">SUMIF($C$2:$F$2,EOMONTH(DV$2,-1)+1,$C127:$F127)*VLOOKUP(DV$2,ProyDia[],8,0)</f>
        <v>0</v>
      </c>
      <c r="DW127" s="28" t="n">
        <f aca="false">SUMIF($C$2:$F$2,EOMONTH(DW$2,-1)+1,$C127:$F127)*VLOOKUP(DW$2,ProyDia[],8,0)</f>
        <v>0</v>
      </c>
      <c r="DX127" s="28" t="n">
        <f aca="false">SUMIF($C$2:$F$2,EOMONTH(DX$2,-1)+1,$C127:$F127)*VLOOKUP(DX$2,ProyDia[],8,0)</f>
        <v>0</v>
      </c>
    </row>
    <row r="128" customFormat="false" ht="14.4" hidden="false" customHeight="false" outlineLevel="0" collapsed="false">
      <c r="A128" s="35"/>
      <c r="B128" s="35"/>
      <c r="C128" s="35"/>
      <c r="D128" s="35"/>
      <c r="E128" s="35"/>
      <c r="F128" s="35"/>
      <c r="G128" s="36" t="n">
        <f aca="false">SUMIF($C$2:$F$2,EOMONTH(G$2,-1)+1,$C128:$F128)*VLOOKUP(G$2,ProyDia[],8,0)</f>
        <v>0</v>
      </c>
      <c r="H128" s="36" t="n">
        <f aca="false">SUMIF($C$2:$F$2,EOMONTH(H$2,-1)+1,$C128:$F128)*VLOOKUP(H$2,ProyDia[],8,0)</f>
        <v>0</v>
      </c>
      <c r="I128" s="36" t="n">
        <f aca="false">SUMIF($C$2:$F$2,EOMONTH(I$2,-1)+1,$C128:$F128)*VLOOKUP(I$2,ProyDia[],8,0)</f>
        <v>0</v>
      </c>
      <c r="J128" s="36" t="n">
        <f aca="false">SUMIF($C$2:$F$2,EOMONTH(J$2,-1)+1,$C128:$F128)*VLOOKUP(J$2,ProyDia[],8,0)</f>
        <v>0</v>
      </c>
      <c r="K128" s="36" t="n">
        <f aca="false">SUMIF($C$2:$F$2,EOMONTH(K$2,-1)+1,$C128:$F128)*VLOOKUP(K$2,ProyDia[],8,0)</f>
        <v>0</v>
      </c>
      <c r="L128" s="36" t="n">
        <f aca="false">SUMIF($C$2:$F$2,EOMONTH(L$2,-1)+1,$C128:$F128)*VLOOKUP(L$2,ProyDia[],8,0)</f>
        <v>0</v>
      </c>
      <c r="M128" s="36" t="n">
        <f aca="false">SUMIF($C$2:$F$2,EOMONTH(M$2,-1)+1,$C128:$F128)*VLOOKUP(M$2,ProyDia[],8,0)</f>
        <v>0</v>
      </c>
      <c r="N128" s="36" t="n">
        <f aca="false">SUMIF($C$2:$F$2,EOMONTH(N$2,-1)+1,$C128:$F128)*VLOOKUP(N$2,ProyDia[],8,0)</f>
        <v>0</v>
      </c>
      <c r="O128" s="36" t="n">
        <f aca="false">SUMIF($C$2:$F$2,EOMONTH(O$2,-1)+1,$C128:$F128)*VLOOKUP(O$2,ProyDia[],8,0)</f>
        <v>0</v>
      </c>
      <c r="P128" s="36" t="n">
        <f aca="false">SUMIF($C$2:$F$2,EOMONTH(P$2,-1)+1,$C128:$F128)*VLOOKUP(P$2,ProyDia[],8,0)</f>
        <v>0</v>
      </c>
      <c r="Q128" s="36" t="n">
        <f aca="false">SUMIF($C$2:$F$2,EOMONTH(Q$2,-1)+1,$C128:$F128)*VLOOKUP(Q$2,ProyDia[],8,0)</f>
        <v>0</v>
      </c>
      <c r="R128" s="36" t="n">
        <f aca="false">SUMIF($C$2:$F$2,EOMONTH(R$2,-1)+1,$C128:$F128)*VLOOKUP(R$2,ProyDia[],8,0)</f>
        <v>0</v>
      </c>
      <c r="S128" s="36" t="n">
        <f aca="false">SUMIF($C$2:$F$2,EOMONTH(S$2,-1)+1,$C128:$F128)*VLOOKUP(S$2,ProyDia[],8,0)</f>
        <v>0</v>
      </c>
      <c r="T128" s="36" t="n">
        <f aca="false">SUMIF($C$2:$F$2,EOMONTH(T$2,-1)+1,$C128:$F128)*VLOOKUP(T$2,ProyDia[],8,0)</f>
        <v>0</v>
      </c>
      <c r="U128" s="36" t="n">
        <f aca="false">SUMIF($C$2:$F$2,EOMONTH(U$2,-1)+1,$C128:$F128)*VLOOKUP(U$2,ProyDia[],8,0)</f>
        <v>0</v>
      </c>
      <c r="V128" s="36" t="n">
        <f aca="false">SUMIF($C$2:$F$2,EOMONTH(V$2,-1)+1,$C128:$F128)*VLOOKUP(V$2,ProyDia[],8,0)</f>
        <v>0</v>
      </c>
      <c r="W128" s="36" t="n">
        <f aca="false">SUMIF($C$2:$F$2,EOMONTH(W$2,-1)+1,$C128:$F128)*VLOOKUP(W$2,ProyDia[],8,0)</f>
        <v>0</v>
      </c>
      <c r="X128" s="36" t="n">
        <f aca="false">SUMIF($C$2:$F$2,EOMONTH(X$2,-1)+1,$C128:$F128)*VLOOKUP(X$2,ProyDia[],8,0)</f>
        <v>0</v>
      </c>
      <c r="Y128" s="36" t="n">
        <f aca="false">SUMIF($C$2:$F$2,EOMONTH(Y$2,-1)+1,$C128:$F128)*VLOOKUP(Y$2,ProyDia[],8,0)</f>
        <v>0</v>
      </c>
      <c r="Z128" s="36" t="n">
        <f aca="false">SUMIF($C$2:$F$2,EOMONTH(Z$2,-1)+1,$C128:$F128)*VLOOKUP(Z$2,ProyDia[],8,0)</f>
        <v>0</v>
      </c>
      <c r="AA128" s="36" t="n">
        <f aca="false">SUMIF($C$2:$F$2,EOMONTH(AA$2,-1)+1,$C128:$F128)*VLOOKUP(AA$2,ProyDia[],8,0)</f>
        <v>0</v>
      </c>
      <c r="AB128" s="36" t="n">
        <f aca="false">SUMIF($C$2:$F$2,EOMONTH(AB$2,-1)+1,$C128:$F128)*VLOOKUP(AB$2,ProyDia[],8,0)</f>
        <v>0</v>
      </c>
      <c r="AC128" s="36" t="n">
        <f aca="false">SUMIF($C$2:$F$2,EOMONTH(AC$2,-1)+1,$C128:$F128)*VLOOKUP(AC$2,ProyDia[],8,0)</f>
        <v>0</v>
      </c>
      <c r="AD128" s="36" t="n">
        <f aca="false">SUMIF($C$2:$F$2,EOMONTH(AD$2,-1)+1,$C128:$F128)*VLOOKUP(AD$2,ProyDia[],8,0)</f>
        <v>0</v>
      </c>
      <c r="AE128" s="36" t="n">
        <f aca="false">SUMIF($C$2:$F$2,EOMONTH(AE$2,-1)+1,$C128:$F128)*VLOOKUP(AE$2,ProyDia[],8,0)</f>
        <v>0</v>
      </c>
      <c r="AF128" s="36" t="n">
        <f aca="false">SUMIF($C$2:$F$2,EOMONTH(AF$2,-1)+1,$C128:$F128)*VLOOKUP(AF$2,ProyDia[],8,0)</f>
        <v>0</v>
      </c>
      <c r="AG128" s="36" t="n">
        <f aca="false">SUMIF($C$2:$F$2,EOMONTH(AG$2,-1)+1,$C128:$F128)*VLOOKUP(AG$2,ProyDia[],8,0)</f>
        <v>0</v>
      </c>
      <c r="AH128" s="36" t="n">
        <f aca="false">SUMIF($C$2:$F$2,EOMONTH(AH$2,-1)+1,$C128:$F128)*VLOOKUP(AH$2,ProyDia[],8,0)</f>
        <v>0</v>
      </c>
      <c r="AI128" s="36" t="n">
        <f aca="false">SUMIF($C$2:$F$2,EOMONTH(AI$2,-1)+1,$C128:$F128)*VLOOKUP(AI$2,ProyDia[],8,0)</f>
        <v>0</v>
      </c>
      <c r="AJ128" s="36" t="n">
        <f aca="false">SUMIF($C$2:$F$2,EOMONTH(AJ$2,-1)+1,$C128:$F128)*VLOOKUP(AJ$2,ProyDia[],8,0)</f>
        <v>0</v>
      </c>
      <c r="AK128" s="36" t="n">
        <f aca="false">SUMIF($C$2:$F$2,EOMONTH(AK$2,-1)+1,$C128:$F128)*VLOOKUP(AK$2,ProyDia[],8,0)</f>
        <v>0</v>
      </c>
      <c r="AL128" s="36" t="n">
        <f aca="false">SUMIF($C$2:$F$2,EOMONTH(AL$2,-1)+1,$C128:$F128)*VLOOKUP(AL$2,ProyDia[],8,0)</f>
        <v>0</v>
      </c>
      <c r="AM128" s="36" t="n">
        <f aca="false">SUMIF($C$2:$F$2,EOMONTH(AM$2,-1)+1,$C128:$F128)*VLOOKUP(AM$2,ProyDia[],8,0)</f>
        <v>0</v>
      </c>
      <c r="AN128" s="36" t="n">
        <f aca="false">SUMIF($C$2:$F$2,EOMONTH(AN$2,-1)+1,$C128:$F128)*VLOOKUP(AN$2,ProyDia[],8,0)</f>
        <v>0</v>
      </c>
      <c r="AO128" s="36" t="n">
        <f aca="false">SUMIF($C$2:$F$2,EOMONTH(AO$2,-1)+1,$C128:$F128)*VLOOKUP(AO$2,ProyDia[],8,0)</f>
        <v>0</v>
      </c>
      <c r="AP128" s="36" t="n">
        <f aca="false">SUMIF($C$2:$F$2,EOMONTH(AP$2,-1)+1,$C128:$F128)*VLOOKUP(AP$2,ProyDia[],8,0)</f>
        <v>0</v>
      </c>
      <c r="AQ128" s="36" t="n">
        <f aca="false">SUMIF($C$2:$F$2,EOMONTH(AQ$2,-1)+1,$C128:$F128)*VLOOKUP(AQ$2,ProyDia[],8,0)</f>
        <v>0</v>
      </c>
      <c r="AR128" s="36" t="n">
        <f aca="false">SUMIF($C$2:$F$2,EOMONTH(AR$2,-1)+1,$C128:$F128)*VLOOKUP(AR$2,ProyDia[],8,0)</f>
        <v>0</v>
      </c>
      <c r="AS128" s="36" t="n">
        <f aca="false">SUMIF($C$2:$F$2,EOMONTH(AS$2,-1)+1,$C128:$F128)*VLOOKUP(AS$2,ProyDia[],8,0)</f>
        <v>0</v>
      </c>
      <c r="AT128" s="36" t="n">
        <f aca="false">SUMIF($C$2:$F$2,EOMONTH(AT$2,-1)+1,$C128:$F128)*VLOOKUP(AT$2,ProyDia[],8,0)</f>
        <v>0</v>
      </c>
      <c r="AU128" s="36" t="n">
        <f aca="false">SUMIF($C$2:$F$2,EOMONTH(AU$2,-1)+1,$C128:$F128)*VLOOKUP(AU$2,ProyDia[],8,0)</f>
        <v>0</v>
      </c>
      <c r="AV128" s="36" t="n">
        <f aca="false">SUMIF($C$2:$F$2,EOMONTH(AV$2,-1)+1,$C128:$F128)*VLOOKUP(AV$2,ProyDia[],8,0)</f>
        <v>0</v>
      </c>
      <c r="AW128" s="36" t="n">
        <f aca="false">SUMIF($C$2:$F$2,EOMONTH(AW$2,-1)+1,$C128:$F128)*VLOOKUP(AW$2,ProyDia[],8,0)</f>
        <v>0</v>
      </c>
      <c r="AX128" s="36" t="n">
        <f aca="false">SUMIF($C$2:$F$2,EOMONTH(AX$2,-1)+1,$C128:$F128)*VLOOKUP(AX$2,ProyDia[],8,0)</f>
        <v>0</v>
      </c>
      <c r="AY128" s="36" t="n">
        <f aca="false">SUMIF($C$2:$F$2,EOMONTH(AY$2,-1)+1,$C128:$F128)*VLOOKUP(AY$2,ProyDia[],8,0)</f>
        <v>0</v>
      </c>
      <c r="AZ128" s="36" t="n">
        <f aca="false">SUMIF($C$2:$F$2,EOMONTH(AZ$2,-1)+1,$C128:$F128)*VLOOKUP(AZ$2,ProyDia[],8,0)</f>
        <v>0</v>
      </c>
      <c r="BA128" s="36" t="n">
        <f aca="false">SUMIF($C$2:$F$2,EOMONTH(BA$2,-1)+1,$C128:$F128)*VLOOKUP(BA$2,ProyDia[],8,0)</f>
        <v>0</v>
      </c>
      <c r="BB128" s="36" t="n">
        <f aca="false">SUMIF($C$2:$F$2,EOMONTH(BB$2,-1)+1,$C128:$F128)*VLOOKUP(BB$2,ProyDia[],8,0)</f>
        <v>0</v>
      </c>
      <c r="BC128" s="36" t="n">
        <f aca="false">SUMIF($C$2:$F$2,EOMONTH(BC$2,-1)+1,$C128:$F128)*VLOOKUP(BC$2,ProyDia[],8,0)</f>
        <v>0</v>
      </c>
      <c r="BD128" s="36" t="n">
        <f aca="false">SUMIF($C$2:$F$2,EOMONTH(BD$2,-1)+1,$C128:$F128)*VLOOKUP(BD$2,ProyDia[],8,0)</f>
        <v>0</v>
      </c>
      <c r="BE128" s="36" t="n">
        <f aca="false">SUMIF($C$2:$F$2,EOMONTH(BE$2,-1)+1,$C128:$F128)*VLOOKUP(BE$2,ProyDia[],8,0)</f>
        <v>0</v>
      </c>
      <c r="BF128" s="36" t="n">
        <f aca="false">SUMIF($C$2:$F$2,EOMONTH(BF$2,-1)+1,$C128:$F128)*VLOOKUP(BF$2,ProyDia[],8,0)</f>
        <v>0</v>
      </c>
      <c r="BG128" s="36" t="n">
        <f aca="false">SUMIF($C$2:$F$2,EOMONTH(BG$2,-1)+1,$C128:$F128)*VLOOKUP(BG$2,ProyDia[],8,0)</f>
        <v>0</v>
      </c>
      <c r="BH128" s="36" t="n">
        <f aca="false">SUMIF($C$2:$F$2,EOMONTH(BH$2,-1)+1,$C128:$F128)*VLOOKUP(BH$2,ProyDia[],8,0)</f>
        <v>0</v>
      </c>
      <c r="BI128" s="36" t="n">
        <f aca="false">SUMIF($C$2:$F$2,EOMONTH(BI$2,-1)+1,$C128:$F128)*VLOOKUP(BI$2,ProyDia[],8,0)</f>
        <v>0</v>
      </c>
      <c r="BJ128" s="36" t="n">
        <f aca="false">SUMIF($C$2:$F$2,EOMONTH(BJ$2,-1)+1,$C128:$F128)*VLOOKUP(BJ$2,ProyDia[],8,0)</f>
        <v>0</v>
      </c>
      <c r="BK128" s="36" t="n">
        <f aca="false">SUMIF($C$2:$F$2,EOMONTH(BK$2,-1)+1,$C128:$F128)*VLOOKUP(BK$2,ProyDia[],8,0)</f>
        <v>0</v>
      </c>
      <c r="BL128" s="36" t="n">
        <f aca="false">SUMIF($C$2:$F$2,EOMONTH(BL$2,-1)+1,$C128:$F128)*VLOOKUP(BL$2,ProyDia[],8,0)</f>
        <v>0</v>
      </c>
      <c r="BM128" s="36" t="n">
        <f aca="false">SUMIF($C$2:$F$2,EOMONTH(BM$2,-1)+1,$C128:$F128)*VLOOKUP(BM$2,ProyDia[],8,0)</f>
        <v>0</v>
      </c>
      <c r="BN128" s="36" t="n">
        <f aca="false">SUMIF($C$2:$F$2,EOMONTH(BN$2,-1)+1,$C128:$F128)*VLOOKUP(BN$2,ProyDia[],8,0)</f>
        <v>0</v>
      </c>
      <c r="BO128" s="36" t="n">
        <f aca="false">SUMIF($C$2:$F$2,EOMONTH(BO$2,-1)+1,$C128:$F128)*VLOOKUP(BO$2,ProyDia[],8,0)</f>
        <v>0</v>
      </c>
      <c r="BP128" s="36" t="n">
        <f aca="false">SUMIF($C$2:$F$2,EOMONTH(BP$2,-1)+1,$C128:$F128)*VLOOKUP(BP$2,ProyDia[],8,0)</f>
        <v>0</v>
      </c>
      <c r="BQ128" s="36" t="n">
        <f aca="false">SUMIF($C$2:$F$2,EOMONTH(BQ$2,-1)+1,$C128:$F128)*VLOOKUP(BQ$2,ProyDia[],8,0)</f>
        <v>0</v>
      </c>
      <c r="BR128" s="36" t="n">
        <f aca="false">SUMIF($C$2:$F$2,EOMONTH(BR$2,-1)+1,$C128:$F128)*VLOOKUP(BR$2,ProyDia[],8,0)</f>
        <v>0</v>
      </c>
      <c r="BS128" s="36" t="n">
        <f aca="false">SUMIF($C$2:$F$2,EOMONTH(BS$2,-1)+1,$C128:$F128)*VLOOKUP(BS$2,ProyDia[],8,0)</f>
        <v>0</v>
      </c>
      <c r="BT128" s="36" t="n">
        <f aca="false">SUMIF($C$2:$F$2,EOMONTH(BT$2,-1)+1,$C128:$F128)*VLOOKUP(BT$2,ProyDia[],8,0)</f>
        <v>0</v>
      </c>
      <c r="BU128" s="36" t="n">
        <f aca="false">SUMIF($C$2:$F$2,EOMONTH(BU$2,-1)+1,$C128:$F128)*VLOOKUP(BU$2,ProyDia[],8,0)</f>
        <v>0</v>
      </c>
      <c r="BV128" s="36" t="n">
        <f aca="false">SUMIF($C$2:$F$2,EOMONTH(BV$2,-1)+1,$C128:$F128)*VLOOKUP(BV$2,ProyDia[],8,0)</f>
        <v>0</v>
      </c>
      <c r="BW128" s="36" t="n">
        <f aca="false">SUMIF($C$2:$F$2,EOMONTH(BW$2,-1)+1,$C128:$F128)*VLOOKUP(BW$2,ProyDia[],8,0)</f>
        <v>0</v>
      </c>
      <c r="BX128" s="36" t="n">
        <f aca="false">SUMIF($C$2:$F$2,EOMONTH(BX$2,-1)+1,$C128:$F128)*VLOOKUP(BX$2,ProyDia[],8,0)</f>
        <v>0</v>
      </c>
      <c r="BY128" s="36" t="n">
        <f aca="false">SUMIF($C$2:$F$2,EOMONTH(BY$2,-1)+1,$C128:$F128)*VLOOKUP(BY$2,ProyDia[],8,0)</f>
        <v>0</v>
      </c>
      <c r="BZ128" s="36" t="n">
        <f aca="false">SUMIF($C$2:$F$2,EOMONTH(BZ$2,-1)+1,$C128:$F128)*VLOOKUP(BZ$2,ProyDia[],8,0)</f>
        <v>0</v>
      </c>
      <c r="CA128" s="36" t="n">
        <f aca="false">SUMIF($C$2:$F$2,EOMONTH(CA$2,-1)+1,$C128:$F128)*VLOOKUP(CA$2,ProyDia[],8,0)</f>
        <v>0</v>
      </c>
      <c r="CB128" s="36" t="n">
        <f aca="false">SUMIF($C$2:$F$2,EOMONTH(CB$2,-1)+1,$C128:$F128)*VLOOKUP(CB$2,ProyDia[],8,0)</f>
        <v>0</v>
      </c>
      <c r="CC128" s="36" t="n">
        <f aca="false">SUMIF($C$2:$F$2,EOMONTH(CC$2,-1)+1,$C128:$F128)*VLOOKUP(CC$2,ProyDia[],8,0)</f>
        <v>0</v>
      </c>
      <c r="CD128" s="36" t="n">
        <f aca="false">SUMIF($C$2:$F$2,EOMONTH(CD$2,-1)+1,$C128:$F128)*VLOOKUP(CD$2,ProyDia[],8,0)</f>
        <v>0</v>
      </c>
      <c r="CE128" s="36" t="n">
        <f aca="false">SUMIF($C$2:$F$2,EOMONTH(CE$2,-1)+1,$C128:$F128)*VLOOKUP(CE$2,ProyDia[],8,0)</f>
        <v>0</v>
      </c>
      <c r="CF128" s="36" t="n">
        <f aca="false">SUMIF($C$2:$F$2,EOMONTH(CF$2,-1)+1,$C128:$F128)*VLOOKUP(CF$2,ProyDia[],8,0)</f>
        <v>0</v>
      </c>
      <c r="CG128" s="36" t="n">
        <f aca="false">SUMIF($C$2:$F$2,EOMONTH(CG$2,-1)+1,$C128:$F128)*VLOOKUP(CG$2,ProyDia[],8,0)</f>
        <v>0</v>
      </c>
      <c r="CH128" s="36" t="n">
        <f aca="false">SUMIF($C$2:$F$2,EOMONTH(CH$2,-1)+1,$C128:$F128)*VLOOKUP(CH$2,ProyDia[],8,0)</f>
        <v>0</v>
      </c>
      <c r="CI128" s="36" t="n">
        <f aca="false">SUMIF($C$2:$F$2,EOMONTH(CI$2,-1)+1,$C128:$F128)*VLOOKUP(CI$2,ProyDia[],8,0)</f>
        <v>0</v>
      </c>
      <c r="CJ128" s="36" t="n">
        <f aca="false">SUMIF($C$2:$F$2,EOMONTH(CJ$2,-1)+1,$C128:$F128)*VLOOKUP(CJ$2,ProyDia[],8,0)</f>
        <v>0</v>
      </c>
      <c r="CK128" s="36" t="n">
        <f aca="false">SUMIF($C$2:$F$2,EOMONTH(CK$2,-1)+1,$C128:$F128)*VLOOKUP(CK$2,ProyDia[],8,0)</f>
        <v>0</v>
      </c>
      <c r="CL128" s="36" t="n">
        <f aca="false">SUMIF($C$2:$F$2,EOMONTH(CL$2,-1)+1,$C128:$F128)*VLOOKUP(CL$2,ProyDia[],8,0)</f>
        <v>0</v>
      </c>
      <c r="CM128" s="36" t="n">
        <f aca="false">SUMIF($C$2:$F$2,EOMONTH(CM$2,-1)+1,$C128:$F128)*VLOOKUP(CM$2,ProyDia[],8,0)</f>
        <v>0</v>
      </c>
      <c r="CN128" s="36" t="n">
        <f aca="false">SUMIF($C$2:$F$2,EOMONTH(CN$2,-1)+1,$C128:$F128)*VLOOKUP(CN$2,ProyDia[],8,0)</f>
        <v>0</v>
      </c>
      <c r="CO128" s="36" t="n">
        <f aca="false">SUMIF($C$2:$F$2,EOMONTH(CO$2,-1)+1,$C128:$F128)*VLOOKUP(CO$2,ProyDia[],8,0)</f>
        <v>0</v>
      </c>
      <c r="CP128" s="36" t="n">
        <f aca="false">SUMIF($C$2:$F$2,EOMONTH(CP$2,-1)+1,$C128:$F128)*VLOOKUP(CP$2,ProyDia[],8,0)</f>
        <v>0</v>
      </c>
      <c r="CQ128" s="36" t="n">
        <f aca="false">SUMIF($C$2:$F$2,EOMONTH(CQ$2,-1)+1,$C128:$F128)*VLOOKUP(CQ$2,ProyDia[],8,0)</f>
        <v>0</v>
      </c>
      <c r="CR128" s="36" t="n">
        <f aca="false">SUMIF($C$2:$F$2,EOMONTH(CR$2,-1)+1,$C128:$F128)*VLOOKUP(CR$2,ProyDia[],8,0)</f>
        <v>0</v>
      </c>
      <c r="CS128" s="36" t="n">
        <f aca="false">SUMIF($C$2:$F$2,EOMONTH(CS$2,-1)+1,$C128:$F128)*VLOOKUP(CS$2,ProyDia[],8,0)</f>
        <v>0</v>
      </c>
      <c r="CT128" s="36" t="n">
        <f aca="false">SUMIF($C$2:$F$2,EOMONTH(CT$2,-1)+1,$C128:$F128)*VLOOKUP(CT$2,ProyDia[],8,0)</f>
        <v>0</v>
      </c>
      <c r="CU128" s="36" t="n">
        <f aca="false">SUMIF($C$2:$F$2,EOMONTH(CU$2,-1)+1,$C128:$F128)*VLOOKUP(CU$2,ProyDia[],8,0)</f>
        <v>0</v>
      </c>
      <c r="CV128" s="36" t="n">
        <f aca="false">SUMIF($C$2:$F$2,EOMONTH(CV$2,-1)+1,$C128:$F128)*VLOOKUP(CV$2,ProyDia[],8,0)</f>
        <v>0</v>
      </c>
      <c r="CW128" s="36" t="n">
        <f aca="false">SUMIF($C$2:$F$2,EOMONTH(CW$2,-1)+1,$C128:$F128)*VLOOKUP(CW$2,ProyDia[],8,0)</f>
        <v>0</v>
      </c>
      <c r="CX128" s="36" t="n">
        <f aca="false">SUMIF($C$2:$F$2,EOMONTH(CX$2,-1)+1,$C128:$F128)*VLOOKUP(CX$2,ProyDia[],8,0)</f>
        <v>0</v>
      </c>
      <c r="CY128" s="36" t="n">
        <f aca="false">SUMIF($C$2:$F$2,EOMONTH(CY$2,-1)+1,$C128:$F128)*VLOOKUP(CY$2,ProyDia[],8,0)</f>
        <v>0</v>
      </c>
      <c r="CZ128" s="36" t="n">
        <f aca="false">SUMIF($C$2:$F$2,EOMONTH(CZ$2,-1)+1,$C128:$F128)*VLOOKUP(CZ$2,ProyDia[],8,0)</f>
        <v>0</v>
      </c>
      <c r="DA128" s="36" t="n">
        <f aca="false">SUMIF($C$2:$F$2,EOMONTH(DA$2,-1)+1,$C128:$F128)*VLOOKUP(DA$2,ProyDia[],8,0)</f>
        <v>0</v>
      </c>
      <c r="DB128" s="36" t="n">
        <f aca="false">SUMIF($C$2:$F$2,EOMONTH(DB$2,-1)+1,$C128:$F128)*VLOOKUP(DB$2,ProyDia[],8,0)</f>
        <v>0</v>
      </c>
      <c r="DC128" s="36" t="n">
        <f aca="false">SUMIF($C$2:$F$2,EOMONTH(DC$2,-1)+1,$C128:$F128)*VLOOKUP(DC$2,ProyDia[],8,0)</f>
        <v>0</v>
      </c>
      <c r="DD128" s="36" t="n">
        <f aca="false">SUMIF($C$2:$F$2,EOMONTH(DD$2,-1)+1,$C128:$F128)*VLOOKUP(DD$2,ProyDia[],8,0)</f>
        <v>0</v>
      </c>
      <c r="DE128" s="36" t="n">
        <f aca="false">SUMIF($C$2:$F$2,EOMONTH(DE$2,-1)+1,$C128:$F128)*VLOOKUP(DE$2,ProyDia[],8,0)</f>
        <v>0</v>
      </c>
      <c r="DF128" s="36" t="n">
        <f aca="false">SUMIF($C$2:$F$2,EOMONTH(DF$2,-1)+1,$C128:$F128)*VLOOKUP(DF$2,ProyDia[],8,0)</f>
        <v>0</v>
      </c>
      <c r="DG128" s="36" t="n">
        <f aca="false">SUMIF($C$2:$F$2,EOMONTH(DG$2,-1)+1,$C128:$F128)*VLOOKUP(DG$2,ProyDia[],8,0)</f>
        <v>0</v>
      </c>
      <c r="DH128" s="36" t="n">
        <f aca="false">SUMIF($C$2:$F$2,EOMONTH(DH$2,-1)+1,$C128:$F128)*VLOOKUP(DH$2,ProyDia[],8,0)</f>
        <v>0</v>
      </c>
      <c r="DI128" s="36" t="n">
        <f aca="false">SUMIF($C$2:$F$2,EOMONTH(DI$2,-1)+1,$C128:$F128)*VLOOKUP(DI$2,ProyDia[],8,0)</f>
        <v>0</v>
      </c>
      <c r="DJ128" s="36" t="n">
        <f aca="false">SUMIF($C$2:$F$2,EOMONTH(DJ$2,-1)+1,$C128:$F128)*VLOOKUP(DJ$2,ProyDia[],8,0)</f>
        <v>0</v>
      </c>
      <c r="DK128" s="36" t="n">
        <f aca="false">SUMIF($C$2:$F$2,EOMONTH(DK$2,-1)+1,$C128:$F128)*VLOOKUP(DK$2,ProyDia[],8,0)</f>
        <v>0</v>
      </c>
      <c r="DL128" s="36" t="n">
        <f aca="false">SUMIF($C$2:$F$2,EOMONTH(DL$2,-1)+1,$C128:$F128)*VLOOKUP(DL$2,ProyDia[],8,0)</f>
        <v>0</v>
      </c>
      <c r="DM128" s="36" t="n">
        <f aca="false">SUMIF($C$2:$F$2,EOMONTH(DM$2,-1)+1,$C128:$F128)*VLOOKUP(DM$2,ProyDia[],8,0)</f>
        <v>0</v>
      </c>
      <c r="DN128" s="36" t="n">
        <f aca="false">SUMIF($C$2:$F$2,EOMONTH(DN$2,-1)+1,$C128:$F128)*VLOOKUP(DN$2,ProyDia[],8,0)</f>
        <v>0</v>
      </c>
      <c r="DO128" s="36" t="n">
        <f aca="false">SUMIF($C$2:$F$2,EOMONTH(DO$2,-1)+1,$C128:$F128)*VLOOKUP(DO$2,ProyDia[],8,0)</f>
        <v>0</v>
      </c>
      <c r="DP128" s="36" t="n">
        <f aca="false">SUMIF($C$2:$F$2,EOMONTH(DP$2,-1)+1,$C128:$F128)*VLOOKUP(DP$2,ProyDia[],8,0)</f>
        <v>0</v>
      </c>
      <c r="DQ128" s="36" t="n">
        <f aca="false">SUMIF($C$2:$F$2,EOMONTH(DQ$2,-1)+1,$C128:$F128)*VLOOKUP(DQ$2,ProyDia[],8,0)</f>
        <v>0</v>
      </c>
      <c r="DR128" s="36" t="n">
        <f aca="false">SUMIF($C$2:$F$2,EOMONTH(DR$2,-1)+1,$C128:$F128)*VLOOKUP(DR$2,ProyDia[],8,0)</f>
        <v>0</v>
      </c>
      <c r="DS128" s="36" t="n">
        <f aca="false">SUMIF($C$2:$F$2,EOMONTH(DS$2,-1)+1,$C128:$F128)*VLOOKUP(DS$2,ProyDia[],8,0)</f>
        <v>0</v>
      </c>
      <c r="DT128" s="36" t="n">
        <f aca="false">SUMIF($C$2:$F$2,EOMONTH(DT$2,-1)+1,$C128:$F128)*VLOOKUP(DT$2,ProyDia[],8,0)</f>
        <v>0</v>
      </c>
      <c r="DU128" s="36" t="n">
        <f aca="false">SUMIF($C$2:$F$2,EOMONTH(DU$2,-1)+1,$C128:$F128)*VLOOKUP(DU$2,ProyDia[],8,0)</f>
        <v>0</v>
      </c>
      <c r="DV128" s="36" t="n">
        <f aca="false">SUMIF($C$2:$F$2,EOMONTH(DV$2,-1)+1,$C128:$F128)*VLOOKUP(DV$2,ProyDia[],8,0)</f>
        <v>0</v>
      </c>
      <c r="DW128" s="36" t="n">
        <f aca="false">SUMIF($C$2:$F$2,EOMONTH(DW$2,-1)+1,$C128:$F128)*VLOOKUP(DW$2,ProyDia[],8,0)</f>
        <v>0</v>
      </c>
      <c r="DX128" s="36" t="n">
        <f aca="false">SUMIF($C$2:$F$2,EOMONTH(DX$2,-1)+1,$C128:$F128)*VLOOKUP(DX$2,ProyDia[],8,0)</f>
        <v>0</v>
      </c>
    </row>
    <row r="129" customFormat="false" ht="14.4" hidden="false" customHeight="false" outlineLevel="0" collapsed="false">
      <c r="A129" s="34"/>
      <c r="B129" s="34"/>
      <c r="C129" s="34"/>
      <c r="D129" s="34"/>
      <c r="E129" s="34"/>
      <c r="F129" s="34"/>
      <c r="G129" s="28" t="n">
        <f aca="false">SUMIF($C$2:$F$2,EOMONTH(G$2,-1)+1,$C129:$F129)*VLOOKUP(G$2,ProyDia[],8,0)</f>
        <v>0</v>
      </c>
      <c r="H129" s="28" t="n">
        <f aca="false">SUMIF($C$2:$F$2,EOMONTH(H$2,-1)+1,$C129:$F129)*VLOOKUP(H$2,ProyDia[],8,0)</f>
        <v>0</v>
      </c>
      <c r="I129" s="28" t="n">
        <f aca="false">SUMIF($C$2:$F$2,EOMONTH(I$2,-1)+1,$C129:$F129)*VLOOKUP(I$2,ProyDia[],8,0)</f>
        <v>0</v>
      </c>
      <c r="J129" s="28" t="n">
        <f aca="false">SUMIF($C$2:$F$2,EOMONTH(J$2,-1)+1,$C129:$F129)*VLOOKUP(J$2,ProyDia[],8,0)</f>
        <v>0</v>
      </c>
      <c r="K129" s="28" t="n">
        <f aca="false">SUMIF($C$2:$F$2,EOMONTH(K$2,-1)+1,$C129:$F129)*VLOOKUP(K$2,ProyDia[],8,0)</f>
        <v>0</v>
      </c>
      <c r="L129" s="28" t="n">
        <f aca="false">SUMIF($C$2:$F$2,EOMONTH(L$2,-1)+1,$C129:$F129)*VLOOKUP(L$2,ProyDia[],8,0)</f>
        <v>0</v>
      </c>
      <c r="M129" s="28" t="n">
        <f aca="false">SUMIF($C$2:$F$2,EOMONTH(M$2,-1)+1,$C129:$F129)*VLOOKUP(M$2,ProyDia[],8,0)</f>
        <v>0</v>
      </c>
      <c r="N129" s="28" t="n">
        <f aca="false">SUMIF($C$2:$F$2,EOMONTH(N$2,-1)+1,$C129:$F129)*VLOOKUP(N$2,ProyDia[],8,0)</f>
        <v>0</v>
      </c>
      <c r="O129" s="28" t="n">
        <f aca="false">SUMIF($C$2:$F$2,EOMONTH(O$2,-1)+1,$C129:$F129)*VLOOKUP(O$2,ProyDia[],8,0)</f>
        <v>0</v>
      </c>
      <c r="P129" s="28" t="n">
        <f aca="false">SUMIF($C$2:$F$2,EOMONTH(P$2,-1)+1,$C129:$F129)*VLOOKUP(P$2,ProyDia[],8,0)</f>
        <v>0</v>
      </c>
      <c r="Q129" s="28" t="n">
        <f aca="false">SUMIF($C$2:$F$2,EOMONTH(Q$2,-1)+1,$C129:$F129)*VLOOKUP(Q$2,ProyDia[],8,0)</f>
        <v>0</v>
      </c>
      <c r="R129" s="28" t="n">
        <f aca="false">SUMIF($C$2:$F$2,EOMONTH(R$2,-1)+1,$C129:$F129)*VLOOKUP(R$2,ProyDia[],8,0)</f>
        <v>0</v>
      </c>
      <c r="S129" s="28" t="n">
        <f aca="false">SUMIF($C$2:$F$2,EOMONTH(S$2,-1)+1,$C129:$F129)*VLOOKUP(S$2,ProyDia[],8,0)</f>
        <v>0</v>
      </c>
      <c r="T129" s="28" t="n">
        <f aca="false">SUMIF($C$2:$F$2,EOMONTH(T$2,-1)+1,$C129:$F129)*VLOOKUP(T$2,ProyDia[],8,0)</f>
        <v>0</v>
      </c>
      <c r="U129" s="28" t="n">
        <f aca="false">SUMIF($C$2:$F$2,EOMONTH(U$2,-1)+1,$C129:$F129)*VLOOKUP(U$2,ProyDia[],8,0)</f>
        <v>0</v>
      </c>
      <c r="V129" s="28" t="n">
        <f aca="false">SUMIF($C$2:$F$2,EOMONTH(V$2,-1)+1,$C129:$F129)*VLOOKUP(V$2,ProyDia[],8,0)</f>
        <v>0</v>
      </c>
      <c r="W129" s="28" t="n">
        <f aca="false">SUMIF($C$2:$F$2,EOMONTH(W$2,-1)+1,$C129:$F129)*VLOOKUP(W$2,ProyDia[],8,0)</f>
        <v>0</v>
      </c>
      <c r="X129" s="28" t="n">
        <f aca="false">SUMIF($C$2:$F$2,EOMONTH(X$2,-1)+1,$C129:$F129)*VLOOKUP(X$2,ProyDia[],8,0)</f>
        <v>0</v>
      </c>
      <c r="Y129" s="28" t="n">
        <f aca="false">SUMIF($C$2:$F$2,EOMONTH(Y$2,-1)+1,$C129:$F129)*VLOOKUP(Y$2,ProyDia[],8,0)</f>
        <v>0</v>
      </c>
      <c r="Z129" s="28" t="n">
        <f aca="false">SUMIF($C$2:$F$2,EOMONTH(Z$2,-1)+1,$C129:$F129)*VLOOKUP(Z$2,ProyDia[],8,0)</f>
        <v>0</v>
      </c>
      <c r="AA129" s="28" t="n">
        <f aca="false">SUMIF($C$2:$F$2,EOMONTH(AA$2,-1)+1,$C129:$F129)*VLOOKUP(AA$2,ProyDia[],8,0)</f>
        <v>0</v>
      </c>
      <c r="AB129" s="28" t="n">
        <f aca="false">SUMIF($C$2:$F$2,EOMONTH(AB$2,-1)+1,$C129:$F129)*VLOOKUP(AB$2,ProyDia[],8,0)</f>
        <v>0</v>
      </c>
      <c r="AC129" s="28" t="n">
        <f aca="false">SUMIF($C$2:$F$2,EOMONTH(AC$2,-1)+1,$C129:$F129)*VLOOKUP(AC$2,ProyDia[],8,0)</f>
        <v>0</v>
      </c>
      <c r="AD129" s="28" t="n">
        <f aca="false">SUMIF($C$2:$F$2,EOMONTH(AD$2,-1)+1,$C129:$F129)*VLOOKUP(AD$2,ProyDia[],8,0)</f>
        <v>0</v>
      </c>
      <c r="AE129" s="28" t="n">
        <f aca="false">SUMIF($C$2:$F$2,EOMONTH(AE$2,-1)+1,$C129:$F129)*VLOOKUP(AE$2,ProyDia[],8,0)</f>
        <v>0</v>
      </c>
      <c r="AF129" s="28" t="n">
        <f aca="false">SUMIF($C$2:$F$2,EOMONTH(AF$2,-1)+1,$C129:$F129)*VLOOKUP(AF$2,ProyDia[],8,0)</f>
        <v>0</v>
      </c>
      <c r="AG129" s="28" t="n">
        <f aca="false">SUMIF($C$2:$F$2,EOMONTH(AG$2,-1)+1,$C129:$F129)*VLOOKUP(AG$2,ProyDia[],8,0)</f>
        <v>0</v>
      </c>
      <c r="AH129" s="28" t="n">
        <f aca="false">SUMIF($C$2:$F$2,EOMONTH(AH$2,-1)+1,$C129:$F129)*VLOOKUP(AH$2,ProyDia[],8,0)</f>
        <v>0</v>
      </c>
      <c r="AI129" s="28" t="n">
        <f aca="false">SUMIF($C$2:$F$2,EOMONTH(AI$2,-1)+1,$C129:$F129)*VLOOKUP(AI$2,ProyDia[],8,0)</f>
        <v>0</v>
      </c>
      <c r="AJ129" s="28" t="n">
        <f aca="false">SUMIF($C$2:$F$2,EOMONTH(AJ$2,-1)+1,$C129:$F129)*VLOOKUP(AJ$2,ProyDia[],8,0)</f>
        <v>0</v>
      </c>
      <c r="AK129" s="28" t="n">
        <f aca="false">SUMIF($C$2:$F$2,EOMONTH(AK$2,-1)+1,$C129:$F129)*VLOOKUP(AK$2,ProyDia[],8,0)</f>
        <v>0</v>
      </c>
      <c r="AL129" s="28" t="n">
        <f aca="false">SUMIF($C$2:$F$2,EOMONTH(AL$2,-1)+1,$C129:$F129)*VLOOKUP(AL$2,ProyDia[],8,0)</f>
        <v>0</v>
      </c>
      <c r="AM129" s="28" t="n">
        <f aca="false">SUMIF($C$2:$F$2,EOMONTH(AM$2,-1)+1,$C129:$F129)*VLOOKUP(AM$2,ProyDia[],8,0)</f>
        <v>0</v>
      </c>
      <c r="AN129" s="28" t="n">
        <f aca="false">SUMIF($C$2:$F$2,EOMONTH(AN$2,-1)+1,$C129:$F129)*VLOOKUP(AN$2,ProyDia[],8,0)</f>
        <v>0</v>
      </c>
      <c r="AO129" s="28" t="n">
        <f aca="false">SUMIF($C$2:$F$2,EOMONTH(AO$2,-1)+1,$C129:$F129)*VLOOKUP(AO$2,ProyDia[],8,0)</f>
        <v>0</v>
      </c>
      <c r="AP129" s="28" t="n">
        <f aca="false">SUMIF($C$2:$F$2,EOMONTH(AP$2,-1)+1,$C129:$F129)*VLOOKUP(AP$2,ProyDia[],8,0)</f>
        <v>0</v>
      </c>
      <c r="AQ129" s="28" t="n">
        <f aca="false">SUMIF($C$2:$F$2,EOMONTH(AQ$2,-1)+1,$C129:$F129)*VLOOKUP(AQ$2,ProyDia[],8,0)</f>
        <v>0</v>
      </c>
      <c r="AR129" s="28" t="n">
        <f aca="false">SUMIF($C$2:$F$2,EOMONTH(AR$2,-1)+1,$C129:$F129)*VLOOKUP(AR$2,ProyDia[],8,0)</f>
        <v>0</v>
      </c>
      <c r="AS129" s="28" t="n">
        <f aca="false">SUMIF($C$2:$F$2,EOMONTH(AS$2,-1)+1,$C129:$F129)*VLOOKUP(AS$2,ProyDia[],8,0)</f>
        <v>0</v>
      </c>
      <c r="AT129" s="28" t="n">
        <f aca="false">SUMIF($C$2:$F$2,EOMONTH(AT$2,-1)+1,$C129:$F129)*VLOOKUP(AT$2,ProyDia[],8,0)</f>
        <v>0</v>
      </c>
      <c r="AU129" s="28" t="n">
        <f aca="false">SUMIF($C$2:$F$2,EOMONTH(AU$2,-1)+1,$C129:$F129)*VLOOKUP(AU$2,ProyDia[],8,0)</f>
        <v>0</v>
      </c>
      <c r="AV129" s="28" t="n">
        <f aca="false">SUMIF($C$2:$F$2,EOMONTH(AV$2,-1)+1,$C129:$F129)*VLOOKUP(AV$2,ProyDia[],8,0)</f>
        <v>0</v>
      </c>
      <c r="AW129" s="28" t="n">
        <f aca="false">SUMIF($C$2:$F$2,EOMONTH(AW$2,-1)+1,$C129:$F129)*VLOOKUP(AW$2,ProyDia[],8,0)</f>
        <v>0</v>
      </c>
      <c r="AX129" s="28" t="n">
        <f aca="false">SUMIF($C$2:$F$2,EOMONTH(AX$2,-1)+1,$C129:$F129)*VLOOKUP(AX$2,ProyDia[],8,0)</f>
        <v>0</v>
      </c>
      <c r="AY129" s="28" t="n">
        <f aca="false">SUMIF($C$2:$F$2,EOMONTH(AY$2,-1)+1,$C129:$F129)*VLOOKUP(AY$2,ProyDia[],8,0)</f>
        <v>0</v>
      </c>
      <c r="AZ129" s="28" t="n">
        <f aca="false">SUMIF($C$2:$F$2,EOMONTH(AZ$2,-1)+1,$C129:$F129)*VLOOKUP(AZ$2,ProyDia[],8,0)</f>
        <v>0</v>
      </c>
      <c r="BA129" s="28" t="n">
        <f aca="false">SUMIF($C$2:$F$2,EOMONTH(BA$2,-1)+1,$C129:$F129)*VLOOKUP(BA$2,ProyDia[],8,0)</f>
        <v>0</v>
      </c>
      <c r="BB129" s="28" t="n">
        <f aca="false">SUMIF($C$2:$F$2,EOMONTH(BB$2,-1)+1,$C129:$F129)*VLOOKUP(BB$2,ProyDia[],8,0)</f>
        <v>0</v>
      </c>
      <c r="BC129" s="28" t="n">
        <f aca="false">SUMIF($C$2:$F$2,EOMONTH(BC$2,-1)+1,$C129:$F129)*VLOOKUP(BC$2,ProyDia[],8,0)</f>
        <v>0</v>
      </c>
      <c r="BD129" s="28" t="n">
        <f aca="false">SUMIF($C$2:$F$2,EOMONTH(BD$2,-1)+1,$C129:$F129)*VLOOKUP(BD$2,ProyDia[],8,0)</f>
        <v>0</v>
      </c>
      <c r="BE129" s="28" t="n">
        <f aca="false">SUMIF($C$2:$F$2,EOMONTH(BE$2,-1)+1,$C129:$F129)*VLOOKUP(BE$2,ProyDia[],8,0)</f>
        <v>0</v>
      </c>
      <c r="BF129" s="28" t="n">
        <f aca="false">SUMIF($C$2:$F$2,EOMONTH(BF$2,-1)+1,$C129:$F129)*VLOOKUP(BF$2,ProyDia[],8,0)</f>
        <v>0</v>
      </c>
      <c r="BG129" s="28" t="n">
        <f aca="false">SUMIF($C$2:$F$2,EOMONTH(BG$2,-1)+1,$C129:$F129)*VLOOKUP(BG$2,ProyDia[],8,0)</f>
        <v>0</v>
      </c>
      <c r="BH129" s="28" t="n">
        <f aca="false">SUMIF($C$2:$F$2,EOMONTH(BH$2,-1)+1,$C129:$F129)*VLOOKUP(BH$2,ProyDia[],8,0)</f>
        <v>0</v>
      </c>
      <c r="BI129" s="28" t="n">
        <f aca="false">SUMIF($C$2:$F$2,EOMONTH(BI$2,-1)+1,$C129:$F129)*VLOOKUP(BI$2,ProyDia[],8,0)</f>
        <v>0</v>
      </c>
      <c r="BJ129" s="28" t="n">
        <f aca="false">SUMIF($C$2:$F$2,EOMONTH(BJ$2,-1)+1,$C129:$F129)*VLOOKUP(BJ$2,ProyDia[],8,0)</f>
        <v>0</v>
      </c>
      <c r="BK129" s="28" t="n">
        <f aca="false">SUMIF($C$2:$F$2,EOMONTH(BK$2,-1)+1,$C129:$F129)*VLOOKUP(BK$2,ProyDia[],8,0)</f>
        <v>0</v>
      </c>
      <c r="BL129" s="28" t="n">
        <f aca="false">SUMIF($C$2:$F$2,EOMONTH(BL$2,-1)+1,$C129:$F129)*VLOOKUP(BL$2,ProyDia[],8,0)</f>
        <v>0</v>
      </c>
      <c r="BM129" s="28" t="n">
        <f aca="false">SUMIF($C$2:$F$2,EOMONTH(BM$2,-1)+1,$C129:$F129)*VLOOKUP(BM$2,ProyDia[],8,0)</f>
        <v>0</v>
      </c>
      <c r="BN129" s="28" t="n">
        <f aca="false">SUMIF($C$2:$F$2,EOMONTH(BN$2,-1)+1,$C129:$F129)*VLOOKUP(BN$2,ProyDia[],8,0)</f>
        <v>0</v>
      </c>
      <c r="BO129" s="28" t="n">
        <f aca="false">SUMIF($C$2:$F$2,EOMONTH(BO$2,-1)+1,$C129:$F129)*VLOOKUP(BO$2,ProyDia[],8,0)</f>
        <v>0</v>
      </c>
      <c r="BP129" s="28" t="n">
        <f aca="false">SUMIF($C$2:$F$2,EOMONTH(BP$2,-1)+1,$C129:$F129)*VLOOKUP(BP$2,ProyDia[],8,0)</f>
        <v>0</v>
      </c>
      <c r="BQ129" s="28" t="n">
        <f aca="false">SUMIF($C$2:$F$2,EOMONTH(BQ$2,-1)+1,$C129:$F129)*VLOOKUP(BQ$2,ProyDia[],8,0)</f>
        <v>0</v>
      </c>
      <c r="BR129" s="28" t="n">
        <f aca="false">SUMIF($C$2:$F$2,EOMONTH(BR$2,-1)+1,$C129:$F129)*VLOOKUP(BR$2,ProyDia[],8,0)</f>
        <v>0</v>
      </c>
      <c r="BS129" s="28" t="n">
        <f aca="false">SUMIF($C$2:$F$2,EOMONTH(BS$2,-1)+1,$C129:$F129)*VLOOKUP(BS$2,ProyDia[],8,0)</f>
        <v>0</v>
      </c>
      <c r="BT129" s="28" t="n">
        <f aca="false">SUMIF($C$2:$F$2,EOMONTH(BT$2,-1)+1,$C129:$F129)*VLOOKUP(BT$2,ProyDia[],8,0)</f>
        <v>0</v>
      </c>
      <c r="BU129" s="28" t="n">
        <f aca="false">SUMIF($C$2:$F$2,EOMONTH(BU$2,-1)+1,$C129:$F129)*VLOOKUP(BU$2,ProyDia[],8,0)</f>
        <v>0</v>
      </c>
      <c r="BV129" s="28" t="n">
        <f aca="false">SUMIF($C$2:$F$2,EOMONTH(BV$2,-1)+1,$C129:$F129)*VLOOKUP(BV$2,ProyDia[],8,0)</f>
        <v>0</v>
      </c>
      <c r="BW129" s="28" t="n">
        <f aca="false">SUMIF($C$2:$F$2,EOMONTH(BW$2,-1)+1,$C129:$F129)*VLOOKUP(BW$2,ProyDia[],8,0)</f>
        <v>0</v>
      </c>
      <c r="BX129" s="28" t="n">
        <f aca="false">SUMIF($C$2:$F$2,EOMONTH(BX$2,-1)+1,$C129:$F129)*VLOOKUP(BX$2,ProyDia[],8,0)</f>
        <v>0</v>
      </c>
      <c r="BY129" s="28" t="n">
        <f aca="false">SUMIF($C$2:$F$2,EOMONTH(BY$2,-1)+1,$C129:$F129)*VLOOKUP(BY$2,ProyDia[],8,0)</f>
        <v>0</v>
      </c>
      <c r="BZ129" s="28" t="n">
        <f aca="false">SUMIF($C$2:$F$2,EOMONTH(BZ$2,-1)+1,$C129:$F129)*VLOOKUP(BZ$2,ProyDia[],8,0)</f>
        <v>0</v>
      </c>
      <c r="CA129" s="28" t="n">
        <f aca="false">SUMIF($C$2:$F$2,EOMONTH(CA$2,-1)+1,$C129:$F129)*VLOOKUP(CA$2,ProyDia[],8,0)</f>
        <v>0</v>
      </c>
      <c r="CB129" s="28" t="n">
        <f aca="false">SUMIF($C$2:$F$2,EOMONTH(CB$2,-1)+1,$C129:$F129)*VLOOKUP(CB$2,ProyDia[],8,0)</f>
        <v>0</v>
      </c>
      <c r="CC129" s="28" t="n">
        <f aca="false">SUMIF($C$2:$F$2,EOMONTH(CC$2,-1)+1,$C129:$F129)*VLOOKUP(CC$2,ProyDia[],8,0)</f>
        <v>0</v>
      </c>
      <c r="CD129" s="28" t="n">
        <f aca="false">SUMIF($C$2:$F$2,EOMONTH(CD$2,-1)+1,$C129:$F129)*VLOOKUP(CD$2,ProyDia[],8,0)</f>
        <v>0</v>
      </c>
      <c r="CE129" s="28" t="n">
        <f aca="false">SUMIF($C$2:$F$2,EOMONTH(CE$2,-1)+1,$C129:$F129)*VLOOKUP(CE$2,ProyDia[],8,0)</f>
        <v>0</v>
      </c>
      <c r="CF129" s="28" t="n">
        <f aca="false">SUMIF($C$2:$F$2,EOMONTH(CF$2,-1)+1,$C129:$F129)*VLOOKUP(CF$2,ProyDia[],8,0)</f>
        <v>0</v>
      </c>
      <c r="CG129" s="28" t="n">
        <f aca="false">SUMIF($C$2:$F$2,EOMONTH(CG$2,-1)+1,$C129:$F129)*VLOOKUP(CG$2,ProyDia[],8,0)</f>
        <v>0</v>
      </c>
      <c r="CH129" s="28" t="n">
        <f aca="false">SUMIF($C$2:$F$2,EOMONTH(CH$2,-1)+1,$C129:$F129)*VLOOKUP(CH$2,ProyDia[],8,0)</f>
        <v>0</v>
      </c>
      <c r="CI129" s="28" t="n">
        <f aca="false">SUMIF($C$2:$F$2,EOMONTH(CI$2,-1)+1,$C129:$F129)*VLOOKUP(CI$2,ProyDia[],8,0)</f>
        <v>0</v>
      </c>
      <c r="CJ129" s="28" t="n">
        <f aca="false">SUMIF($C$2:$F$2,EOMONTH(CJ$2,-1)+1,$C129:$F129)*VLOOKUP(CJ$2,ProyDia[],8,0)</f>
        <v>0</v>
      </c>
      <c r="CK129" s="28" t="n">
        <f aca="false">SUMIF($C$2:$F$2,EOMONTH(CK$2,-1)+1,$C129:$F129)*VLOOKUP(CK$2,ProyDia[],8,0)</f>
        <v>0</v>
      </c>
      <c r="CL129" s="28" t="n">
        <f aca="false">SUMIF($C$2:$F$2,EOMONTH(CL$2,-1)+1,$C129:$F129)*VLOOKUP(CL$2,ProyDia[],8,0)</f>
        <v>0</v>
      </c>
      <c r="CM129" s="28" t="n">
        <f aca="false">SUMIF($C$2:$F$2,EOMONTH(CM$2,-1)+1,$C129:$F129)*VLOOKUP(CM$2,ProyDia[],8,0)</f>
        <v>0</v>
      </c>
      <c r="CN129" s="28" t="n">
        <f aca="false">SUMIF($C$2:$F$2,EOMONTH(CN$2,-1)+1,$C129:$F129)*VLOOKUP(CN$2,ProyDia[],8,0)</f>
        <v>0</v>
      </c>
      <c r="CO129" s="28" t="n">
        <f aca="false">SUMIF($C$2:$F$2,EOMONTH(CO$2,-1)+1,$C129:$F129)*VLOOKUP(CO$2,ProyDia[],8,0)</f>
        <v>0</v>
      </c>
      <c r="CP129" s="28" t="n">
        <f aca="false">SUMIF($C$2:$F$2,EOMONTH(CP$2,-1)+1,$C129:$F129)*VLOOKUP(CP$2,ProyDia[],8,0)</f>
        <v>0</v>
      </c>
      <c r="CQ129" s="28" t="n">
        <f aca="false">SUMIF($C$2:$F$2,EOMONTH(CQ$2,-1)+1,$C129:$F129)*VLOOKUP(CQ$2,ProyDia[],8,0)</f>
        <v>0</v>
      </c>
      <c r="CR129" s="28" t="n">
        <f aca="false">SUMIF($C$2:$F$2,EOMONTH(CR$2,-1)+1,$C129:$F129)*VLOOKUP(CR$2,ProyDia[],8,0)</f>
        <v>0</v>
      </c>
      <c r="CS129" s="28" t="n">
        <f aca="false">SUMIF($C$2:$F$2,EOMONTH(CS$2,-1)+1,$C129:$F129)*VLOOKUP(CS$2,ProyDia[],8,0)</f>
        <v>0</v>
      </c>
      <c r="CT129" s="28" t="n">
        <f aca="false">SUMIF($C$2:$F$2,EOMONTH(CT$2,-1)+1,$C129:$F129)*VLOOKUP(CT$2,ProyDia[],8,0)</f>
        <v>0</v>
      </c>
      <c r="CU129" s="28" t="n">
        <f aca="false">SUMIF($C$2:$F$2,EOMONTH(CU$2,-1)+1,$C129:$F129)*VLOOKUP(CU$2,ProyDia[],8,0)</f>
        <v>0</v>
      </c>
      <c r="CV129" s="28" t="n">
        <f aca="false">SUMIF($C$2:$F$2,EOMONTH(CV$2,-1)+1,$C129:$F129)*VLOOKUP(CV$2,ProyDia[],8,0)</f>
        <v>0</v>
      </c>
      <c r="CW129" s="28" t="n">
        <f aca="false">SUMIF($C$2:$F$2,EOMONTH(CW$2,-1)+1,$C129:$F129)*VLOOKUP(CW$2,ProyDia[],8,0)</f>
        <v>0</v>
      </c>
      <c r="CX129" s="28" t="n">
        <f aca="false">SUMIF($C$2:$F$2,EOMONTH(CX$2,-1)+1,$C129:$F129)*VLOOKUP(CX$2,ProyDia[],8,0)</f>
        <v>0</v>
      </c>
      <c r="CY129" s="28" t="n">
        <f aca="false">SUMIF($C$2:$F$2,EOMONTH(CY$2,-1)+1,$C129:$F129)*VLOOKUP(CY$2,ProyDia[],8,0)</f>
        <v>0</v>
      </c>
      <c r="CZ129" s="28" t="n">
        <f aca="false">SUMIF($C$2:$F$2,EOMONTH(CZ$2,-1)+1,$C129:$F129)*VLOOKUP(CZ$2,ProyDia[],8,0)</f>
        <v>0</v>
      </c>
      <c r="DA129" s="28" t="n">
        <f aca="false">SUMIF($C$2:$F$2,EOMONTH(DA$2,-1)+1,$C129:$F129)*VLOOKUP(DA$2,ProyDia[],8,0)</f>
        <v>0</v>
      </c>
      <c r="DB129" s="28" t="n">
        <f aca="false">SUMIF($C$2:$F$2,EOMONTH(DB$2,-1)+1,$C129:$F129)*VLOOKUP(DB$2,ProyDia[],8,0)</f>
        <v>0</v>
      </c>
      <c r="DC129" s="28" t="n">
        <f aca="false">SUMIF($C$2:$F$2,EOMONTH(DC$2,-1)+1,$C129:$F129)*VLOOKUP(DC$2,ProyDia[],8,0)</f>
        <v>0</v>
      </c>
      <c r="DD129" s="28" t="n">
        <f aca="false">SUMIF($C$2:$F$2,EOMONTH(DD$2,-1)+1,$C129:$F129)*VLOOKUP(DD$2,ProyDia[],8,0)</f>
        <v>0</v>
      </c>
      <c r="DE129" s="28" t="n">
        <f aca="false">SUMIF($C$2:$F$2,EOMONTH(DE$2,-1)+1,$C129:$F129)*VLOOKUP(DE$2,ProyDia[],8,0)</f>
        <v>0</v>
      </c>
      <c r="DF129" s="28" t="n">
        <f aca="false">SUMIF($C$2:$F$2,EOMONTH(DF$2,-1)+1,$C129:$F129)*VLOOKUP(DF$2,ProyDia[],8,0)</f>
        <v>0</v>
      </c>
      <c r="DG129" s="28" t="n">
        <f aca="false">SUMIF($C$2:$F$2,EOMONTH(DG$2,-1)+1,$C129:$F129)*VLOOKUP(DG$2,ProyDia[],8,0)</f>
        <v>0</v>
      </c>
      <c r="DH129" s="28" t="n">
        <f aca="false">SUMIF($C$2:$F$2,EOMONTH(DH$2,-1)+1,$C129:$F129)*VLOOKUP(DH$2,ProyDia[],8,0)</f>
        <v>0</v>
      </c>
      <c r="DI129" s="28" t="n">
        <f aca="false">SUMIF($C$2:$F$2,EOMONTH(DI$2,-1)+1,$C129:$F129)*VLOOKUP(DI$2,ProyDia[],8,0)</f>
        <v>0</v>
      </c>
      <c r="DJ129" s="28" t="n">
        <f aca="false">SUMIF($C$2:$F$2,EOMONTH(DJ$2,-1)+1,$C129:$F129)*VLOOKUP(DJ$2,ProyDia[],8,0)</f>
        <v>0</v>
      </c>
      <c r="DK129" s="28" t="n">
        <f aca="false">SUMIF($C$2:$F$2,EOMONTH(DK$2,-1)+1,$C129:$F129)*VLOOKUP(DK$2,ProyDia[],8,0)</f>
        <v>0</v>
      </c>
      <c r="DL129" s="28" t="n">
        <f aca="false">SUMIF($C$2:$F$2,EOMONTH(DL$2,-1)+1,$C129:$F129)*VLOOKUP(DL$2,ProyDia[],8,0)</f>
        <v>0</v>
      </c>
      <c r="DM129" s="28" t="n">
        <f aca="false">SUMIF($C$2:$F$2,EOMONTH(DM$2,-1)+1,$C129:$F129)*VLOOKUP(DM$2,ProyDia[],8,0)</f>
        <v>0</v>
      </c>
      <c r="DN129" s="28" t="n">
        <f aca="false">SUMIF($C$2:$F$2,EOMONTH(DN$2,-1)+1,$C129:$F129)*VLOOKUP(DN$2,ProyDia[],8,0)</f>
        <v>0</v>
      </c>
      <c r="DO129" s="28" t="n">
        <f aca="false">SUMIF($C$2:$F$2,EOMONTH(DO$2,-1)+1,$C129:$F129)*VLOOKUP(DO$2,ProyDia[],8,0)</f>
        <v>0</v>
      </c>
      <c r="DP129" s="28" t="n">
        <f aca="false">SUMIF($C$2:$F$2,EOMONTH(DP$2,-1)+1,$C129:$F129)*VLOOKUP(DP$2,ProyDia[],8,0)</f>
        <v>0</v>
      </c>
      <c r="DQ129" s="28" t="n">
        <f aca="false">SUMIF($C$2:$F$2,EOMONTH(DQ$2,-1)+1,$C129:$F129)*VLOOKUP(DQ$2,ProyDia[],8,0)</f>
        <v>0</v>
      </c>
      <c r="DR129" s="28" t="n">
        <f aca="false">SUMIF($C$2:$F$2,EOMONTH(DR$2,-1)+1,$C129:$F129)*VLOOKUP(DR$2,ProyDia[],8,0)</f>
        <v>0</v>
      </c>
      <c r="DS129" s="28" t="n">
        <f aca="false">SUMIF($C$2:$F$2,EOMONTH(DS$2,-1)+1,$C129:$F129)*VLOOKUP(DS$2,ProyDia[],8,0)</f>
        <v>0</v>
      </c>
      <c r="DT129" s="28" t="n">
        <f aca="false">SUMIF($C$2:$F$2,EOMONTH(DT$2,-1)+1,$C129:$F129)*VLOOKUP(DT$2,ProyDia[],8,0)</f>
        <v>0</v>
      </c>
      <c r="DU129" s="28" t="n">
        <f aca="false">SUMIF($C$2:$F$2,EOMONTH(DU$2,-1)+1,$C129:$F129)*VLOOKUP(DU$2,ProyDia[],8,0)</f>
        <v>0</v>
      </c>
      <c r="DV129" s="28" t="n">
        <f aca="false">SUMIF($C$2:$F$2,EOMONTH(DV$2,-1)+1,$C129:$F129)*VLOOKUP(DV$2,ProyDia[],8,0)</f>
        <v>0</v>
      </c>
      <c r="DW129" s="28" t="n">
        <f aca="false">SUMIF($C$2:$F$2,EOMONTH(DW$2,-1)+1,$C129:$F129)*VLOOKUP(DW$2,ProyDia[],8,0)</f>
        <v>0</v>
      </c>
      <c r="DX129" s="28" t="n">
        <f aca="false">SUMIF($C$2:$F$2,EOMONTH(DX$2,-1)+1,$C129:$F129)*VLOOKUP(DX$2,ProyDia[],8,0)</f>
        <v>0</v>
      </c>
    </row>
    <row r="130" customFormat="false" ht="14.4" hidden="false" customHeight="false" outlineLevel="0" collapsed="false">
      <c r="A130" s="35"/>
      <c r="B130" s="35"/>
      <c r="C130" s="35"/>
      <c r="D130" s="35"/>
      <c r="E130" s="35"/>
      <c r="F130" s="35"/>
      <c r="G130" s="36" t="n">
        <f aca="false">SUMIF($C$2:$F$2,EOMONTH(G$2,-1)+1,$C130:$F130)*VLOOKUP(G$2,ProyDia[],8,0)</f>
        <v>0</v>
      </c>
      <c r="H130" s="36" t="n">
        <f aca="false">SUMIF($C$2:$F$2,EOMONTH(H$2,-1)+1,$C130:$F130)*VLOOKUP(H$2,ProyDia[],8,0)</f>
        <v>0</v>
      </c>
      <c r="I130" s="36" t="n">
        <f aca="false">SUMIF($C$2:$F$2,EOMONTH(I$2,-1)+1,$C130:$F130)*VLOOKUP(I$2,ProyDia[],8,0)</f>
        <v>0</v>
      </c>
      <c r="J130" s="36" t="n">
        <f aca="false">SUMIF($C$2:$F$2,EOMONTH(J$2,-1)+1,$C130:$F130)*VLOOKUP(J$2,ProyDia[],8,0)</f>
        <v>0</v>
      </c>
      <c r="K130" s="36" t="n">
        <f aca="false">SUMIF($C$2:$F$2,EOMONTH(K$2,-1)+1,$C130:$F130)*VLOOKUP(K$2,ProyDia[],8,0)</f>
        <v>0</v>
      </c>
      <c r="L130" s="36" t="n">
        <f aca="false">SUMIF($C$2:$F$2,EOMONTH(L$2,-1)+1,$C130:$F130)*VLOOKUP(L$2,ProyDia[],8,0)</f>
        <v>0</v>
      </c>
      <c r="M130" s="36" t="n">
        <f aca="false">SUMIF($C$2:$F$2,EOMONTH(M$2,-1)+1,$C130:$F130)*VLOOKUP(M$2,ProyDia[],8,0)</f>
        <v>0</v>
      </c>
      <c r="N130" s="36" t="n">
        <f aca="false">SUMIF($C$2:$F$2,EOMONTH(N$2,-1)+1,$C130:$F130)*VLOOKUP(N$2,ProyDia[],8,0)</f>
        <v>0</v>
      </c>
      <c r="O130" s="36" t="n">
        <f aca="false">SUMIF($C$2:$F$2,EOMONTH(O$2,-1)+1,$C130:$F130)*VLOOKUP(O$2,ProyDia[],8,0)</f>
        <v>0</v>
      </c>
      <c r="P130" s="36" t="n">
        <f aca="false">SUMIF($C$2:$F$2,EOMONTH(P$2,-1)+1,$C130:$F130)*VLOOKUP(P$2,ProyDia[],8,0)</f>
        <v>0</v>
      </c>
      <c r="Q130" s="36" t="n">
        <f aca="false">SUMIF($C$2:$F$2,EOMONTH(Q$2,-1)+1,$C130:$F130)*VLOOKUP(Q$2,ProyDia[],8,0)</f>
        <v>0</v>
      </c>
      <c r="R130" s="36" t="n">
        <f aca="false">SUMIF($C$2:$F$2,EOMONTH(R$2,-1)+1,$C130:$F130)*VLOOKUP(R$2,ProyDia[],8,0)</f>
        <v>0</v>
      </c>
      <c r="S130" s="36" t="n">
        <f aca="false">SUMIF($C$2:$F$2,EOMONTH(S$2,-1)+1,$C130:$F130)*VLOOKUP(S$2,ProyDia[],8,0)</f>
        <v>0</v>
      </c>
      <c r="T130" s="36" t="n">
        <f aca="false">SUMIF($C$2:$F$2,EOMONTH(T$2,-1)+1,$C130:$F130)*VLOOKUP(T$2,ProyDia[],8,0)</f>
        <v>0</v>
      </c>
      <c r="U130" s="36" t="n">
        <f aca="false">SUMIF($C$2:$F$2,EOMONTH(U$2,-1)+1,$C130:$F130)*VLOOKUP(U$2,ProyDia[],8,0)</f>
        <v>0</v>
      </c>
      <c r="V130" s="36" t="n">
        <f aca="false">SUMIF($C$2:$F$2,EOMONTH(V$2,-1)+1,$C130:$F130)*VLOOKUP(V$2,ProyDia[],8,0)</f>
        <v>0</v>
      </c>
      <c r="W130" s="36" t="n">
        <f aca="false">SUMIF($C$2:$F$2,EOMONTH(W$2,-1)+1,$C130:$F130)*VLOOKUP(W$2,ProyDia[],8,0)</f>
        <v>0</v>
      </c>
      <c r="X130" s="36" t="n">
        <f aca="false">SUMIF($C$2:$F$2,EOMONTH(X$2,-1)+1,$C130:$F130)*VLOOKUP(X$2,ProyDia[],8,0)</f>
        <v>0</v>
      </c>
      <c r="Y130" s="36" t="n">
        <f aca="false">SUMIF($C$2:$F$2,EOMONTH(Y$2,-1)+1,$C130:$F130)*VLOOKUP(Y$2,ProyDia[],8,0)</f>
        <v>0</v>
      </c>
      <c r="Z130" s="36" t="n">
        <f aca="false">SUMIF($C$2:$F$2,EOMONTH(Z$2,-1)+1,$C130:$F130)*VLOOKUP(Z$2,ProyDia[],8,0)</f>
        <v>0</v>
      </c>
      <c r="AA130" s="36" t="n">
        <f aca="false">SUMIF($C$2:$F$2,EOMONTH(AA$2,-1)+1,$C130:$F130)*VLOOKUP(AA$2,ProyDia[],8,0)</f>
        <v>0</v>
      </c>
      <c r="AB130" s="36" t="n">
        <f aca="false">SUMIF($C$2:$F$2,EOMONTH(AB$2,-1)+1,$C130:$F130)*VLOOKUP(AB$2,ProyDia[],8,0)</f>
        <v>0</v>
      </c>
      <c r="AC130" s="36" t="n">
        <f aca="false">SUMIF($C$2:$F$2,EOMONTH(AC$2,-1)+1,$C130:$F130)*VLOOKUP(AC$2,ProyDia[],8,0)</f>
        <v>0</v>
      </c>
      <c r="AD130" s="36" t="n">
        <f aca="false">SUMIF($C$2:$F$2,EOMONTH(AD$2,-1)+1,$C130:$F130)*VLOOKUP(AD$2,ProyDia[],8,0)</f>
        <v>0</v>
      </c>
      <c r="AE130" s="36" t="n">
        <f aca="false">SUMIF($C$2:$F$2,EOMONTH(AE$2,-1)+1,$C130:$F130)*VLOOKUP(AE$2,ProyDia[],8,0)</f>
        <v>0</v>
      </c>
      <c r="AF130" s="36" t="n">
        <f aca="false">SUMIF($C$2:$F$2,EOMONTH(AF$2,-1)+1,$C130:$F130)*VLOOKUP(AF$2,ProyDia[],8,0)</f>
        <v>0</v>
      </c>
      <c r="AG130" s="36" t="n">
        <f aca="false">SUMIF($C$2:$F$2,EOMONTH(AG$2,-1)+1,$C130:$F130)*VLOOKUP(AG$2,ProyDia[],8,0)</f>
        <v>0</v>
      </c>
      <c r="AH130" s="36" t="n">
        <f aca="false">SUMIF($C$2:$F$2,EOMONTH(AH$2,-1)+1,$C130:$F130)*VLOOKUP(AH$2,ProyDia[],8,0)</f>
        <v>0</v>
      </c>
      <c r="AI130" s="36" t="n">
        <f aca="false">SUMIF($C$2:$F$2,EOMONTH(AI$2,-1)+1,$C130:$F130)*VLOOKUP(AI$2,ProyDia[],8,0)</f>
        <v>0</v>
      </c>
      <c r="AJ130" s="36" t="n">
        <f aca="false">SUMIF($C$2:$F$2,EOMONTH(AJ$2,-1)+1,$C130:$F130)*VLOOKUP(AJ$2,ProyDia[],8,0)</f>
        <v>0</v>
      </c>
      <c r="AK130" s="36" t="n">
        <f aca="false">SUMIF($C$2:$F$2,EOMONTH(AK$2,-1)+1,$C130:$F130)*VLOOKUP(AK$2,ProyDia[],8,0)</f>
        <v>0</v>
      </c>
      <c r="AL130" s="36" t="n">
        <f aca="false">SUMIF($C$2:$F$2,EOMONTH(AL$2,-1)+1,$C130:$F130)*VLOOKUP(AL$2,ProyDia[],8,0)</f>
        <v>0</v>
      </c>
      <c r="AM130" s="36" t="n">
        <f aca="false">SUMIF($C$2:$F$2,EOMONTH(AM$2,-1)+1,$C130:$F130)*VLOOKUP(AM$2,ProyDia[],8,0)</f>
        <v>0</v>
      </c>
      <c r="AN130" s="36" t="n">
        <f aca="false">SUMIF($C$2:$F$2,EOMONTH(AN$2,-1)+1,$C130:$F130)*VLOOKUP(AN$2,ProyDia[],8,0)</f>
        <v>0</v>
      </c>
      <c r="AO130" s="36" t="n">
        <f aca="false">SUMIF($C$2:$F$2,EOMONTH(AO$2,-1)+1,$C130:$F130)*VLOOKUP(AO$2,ProyDia[],8,0)</f>
        <v>0</v>
      </c>
      <c r="AP130" s="36" t="n">
        <f aca="false">SUMIF($C$2:$F$2,EOMONTH(AP$2,-1)+1,$C130:$F130)*VLOOKUP(AP$2,ProyDia[],8,0)</f>
        <v>0</v>
      </c>
      <c r="AQ130" s="36" t="n">
        <f aca="false">SUMIF($C$2:$F$2,EOMONTH(AQ$2,-1)+1,$C130:$F130)*VLOOKUP(AQ$2,ProyDia[],8,0)</f>
        <v>0</v>
      </c>
      <c r="AR130" s="36" t="n">
        <f aca="false">SUMIF($C$2:$F$2,EOMONTH(AR$2,-1)+1,$C130:$F130)*VLOOKUP(AR$2,ProyDia[],8,0)</f>
        <v>0</v>
      </c>
      <c r="AS130" s="36" t="n">
        <f aca="false">SUMIF($C$2:$F$2,EOMONTH(AS$2,-1)+1,$C130:$F130)*VLOOKUP(AS$2,ProyDia[],8,0)</f>
        <v>0</v>
      </c>
      <c r="AT130" s="36" t="n">
        <f aca="false">SUMIF($C$2:$F$2,EOMONTH(AT$2,-1)+1,$C130:$F130)*VLOOKUP(AT$2,ProyDia[],8,0)</f>
        <v>0</v>
      </c>
      <c r="AU130" s="36" t="n">
        <f aca="false">SUMIF($C$2:$F$2,EOMONTH(AU$2,-1)+1,$C130:$F130)*VLOOKUP(AU$2,ProyDia[],8,0)</f>
        <v>0</v>
      </c>
      <c r="AV130" s="36" t="n">
        <f aca="false">SUMIF($C$2:$F$2,EOMONTH(AV$2,-1)+1,$C130:$F130)*VLOOKUP(AV$2,ProyDia[],8,0)</f>
        <v>0</v>
      </c>
      <c r="AW130" s="36" t="n">
        <f aca="false">SUMIF($C$2:$F$2,EOMONTH(AW$2,-1)+1,$C130:$F130)*VLOOKUP(AW$2,ProyDia[],8,0)</f>
        <v>0</v>
      </c>
      <c r="AX130" s="36" t="n">
        <f aca="false">SUMIF($C$2:$F$2,EOMONTH(AX$2,-1)+1,$C130:$F130)*VLOOKUP(AX$2,ProyDia[],8,0)</f>
        <v>0</v>
      </c>
      <c r="AY130" s="36" t="n">
        <f aca="false">SUMIF($C$2:$F$2,EOMONTH(AY$2,-1)+1,$C130:$F130)*VLOOKUP(AY$2,ProyDia[],8,0)</f>
        <v>0</v>
      </c>
      <c r="AZ130" s="36" t="n">
        <f aca="false">SUMIF($C$2:$F$2,EOMONTH(AZ$2,-1)+1,$C130:$F130)*VLOOKUP(AZ$2,ProyDia[],8,0)</f>
        <v>0</v>
      </c>
      <c r="BA130" s="36" t="n">
        <f aca="false">SUMIF($C$2:$F$2,EOMONTH(BA$2,-1)+1,$C130:$F130)*VLOOKUP(BA$2,ProyDia[],8,0)</f>
        <v>0</v>
      </c>
      <c r="BB130" s="36" t="n">
        <f aca="false">SUMIF($C$2:$F$2,EOMONTH(BB$2,-1)+1,$C130:$F130)*VLOOKUP(BB$2,ProyDia[],8,0)</f>
        <v>0</v>
      </c>
      <c r="BC130" s="36" t="n">
        <f aca="false">SUMIF($C$2:$F$2,EOMONTH(BC$2,-1)+1,$C130:$F130)*VLOOKUP(BC$2,ProyDia[],8,0)</f>
        <v>0</v>
      </c>
      <c r="BD130" s="36" t="n">
        <f aca="false">SUMIF($C$2:$F$2,EOMONTH(BD$2,-1)+1,$C130:$F130)*VLOOKUP(BD$2,ProyDia[],8,0)</f>
        <v>0</v>
      </c>
      <c r="BE130" s="36" t="n">
        <f aca="false">SUMIF($C$2:$F$2,EOMONTH(BE$2,-1)+1,$C130:$F130)*VLOOKUP(BE$2,ProyDia[],8,0)</f>
        <v>0</v>
      </c>
      <c r="BF130" s="36" t="n">
        <f aca="false">SUMIF($C$2:$F$2,EOMONTH(BF$2,-1)+1,$C130:$F130)*VLOOKUP(BF$2,ProyDia[],8,0)</f>
        <v>0</v>
      </c>
      <c r="BG130" s="36" t="n">
        <f aca="false">SUMIF($C$2:$F$2,EOMONTH(BG$2,-1)+1,$C130:$F130)*VLOOKUP(BG$2,ProyDia[],8,0)</f>
        <v>0</v>
      </c>
      <c r="BH130" s="36" t="n">
        <f aca="false">SUMIF($C$2:$F$2,EOMONTH(BH$2,-1)+1,$C130:$F130)*VLOOKUP(BH$2,ProyDia[],8,0)</f>
        <v>0</v>
      </c>
      <c r="BI130" s="36" t="n">
        <f aca="false">SUMIF($C$2:$F$2,EOMONTH(BI$2,-1)+1,$C130:$F130)*VLOOKUP(BI$2,ProyDia[],8,0)</f>
        <v>0</v>
      </c>
      <c r="BJ130" s="36" t="n">
        <f aca="false">SUMIF($C$2:$F$2,EOMONTH(BJ$2,-1)+1,$C130:$F130)*VLOOKUP(BJ$2,ProyDia[],8,0)</f>
        <v>0</v>
      </c>
      <c r="BK130" s="36" t="n">
        <f aca="false">SUMIF($C$2:$F$2,EOMONTH(BK$2,-1)+1,$C130:$F130)*VLOOKUP(BK$2,ProyDia[],8,0)</f>
        <v>0</v>
      </c>
      <c r="BL130" s="36" t="n">
        <f aca="false">SUMIF($C$2:$F$2,EOMONTH(BL$2,-1)+1,$C130:$F130)*VLOOKUP(BL$2,ProyDia[],8,0)</f>
        <v>0</v>
      </c>
      <c r="BM130" s="36" t="n">
        <f aca="false">SUMIF($C$2:$F$2,EOMONTH(BM$2,-1)+1,$C130:$F130)*VLOOKUP(BM$2,ProyDia[],8,0)</f>
        <v>0</v>
      </c>
      <c r="BN130" s="36" t="n">
        <f aca="false">SUMIF($C$2:$F$2,EOMONTH(BN$2,-1)+1,$C130:$F130)*VLOOKUP(BN$2,ProyDia[],8,0)</f>
        <v>0</v>
      </c>
      <c r="BO130" s="36" t="n">
        <f aca="false">SUMIF($C$2:$F$2,EOMONTH(BO$2,-1)+1,$C130:$F130)*VLOOKUP(BO$2,ProyDia[],8,0)</f>
        <v>0</v>
      </c>
      <c r="BP130" s="36" t="n">
        <f aca="false">SUMIF($C$2:$F$2,EOMONTH(BP$2,-1)+1,$C130:$F130)*VLOOKUP(BP$2,ProyDia[],8,0)</f>
        <v>0</v>
      </c>
      <c r="BQ130" s="36" t="n">
        <f aca="false">SUMIF($C$2:$F$2,EOMONTH(BQ$2,-1)+1,$C130:$F130)*VLOOKUP(BQ$2,ProyDia[],8,0)</f>
        <v>0</v>
      </c>
      <c r="BR130" s="36" t="n">
        <f aca="false">SUMIF($C$2:$F$2,EOMONTH(BR$2,-1)+1,$C130:$F130)*VLOOKUP(BR$2,ProyDia[],8,0)</f>
        <v>0</v>
      </c>
      <c r="BS130" s="36" t="n">
        <f aca="false">SUMIF($C$2:$F$2,EOMONTH(BS$2,-1)+1,$C130:$F130)*VLOOKUP(BS$2,ProyDia[],8,0)</f>
        <v>0</v>
      </c>
      <c r="BT130" s="36" t="n">
        <f aca="false">SUMIF($C$2:$F$2,EOMONTH(BT$2,-1)+1,$C130:$F130)*VLOOKUP(BT$2,ProyDia[],8,0)</f>
        <v>0</v>
      </c>
      <c r="BU130" s="36" t="n">
        <f aca="false">SUMIF($C$2:$F$2,EOMONTH(BU$2,-1)+1,$C130:$F130)*VLOOKUP(BU$2,ProyDia[],8,0)</f>
        <v>0</v>
      </c>
      <c r="BV130" s="36" t="n">
        <f aca="false">SUMIF($C$2:$F$2,EOMONTH(BV$2,-1)+1,$C130:$F130)*VLOOKUP(BV$2,ProyDia[],8,0)</f>
        <v>0</v>
      </c>
      <c r="BW130" s="36" t="n">
        <f aca="false">SUMIF($C$2:$F$2,EOMONTH(BW$2,-1)+1,$C130:$F130)*VLOOKUP(BW$2,ProyDia[],8,0)</f>
        <v>0</v>
      </c>
      <c r="BX130" s="36" t="n">
        <f aca="false">SUMIF($C$2:$F$2,EOMONTH(BX$2,-1)+1,$C130:$F130)*VLOOKUP(BX$2,ProyDia[],8,0)</f>
        <v>0</v>
      </c>
      <c r="BY130" s="36" t="n">
        <f aca="false">SUMIF($C$2:$F$2,EOMONTH(BY$2,-1)+1,$C130:$F130)*VLOOKUP(BY$2,ProyDia[],8,0)</f>
        <v>0</v>
      </c>
      <c r="BZ130" s="36" t="n">
        <f aca="false">SUMIF($C$2:$F$2,EOMONTH(BZ$2,-1)+1,$C130:$F130)*VLOOKUP(BZ$2,ProyDia[],8,0)</f>
        <v>0</v>
      </c>
      <c r="CA130" s="36" t="n">
        <f aca="false">SUMIF($C$2:$F$2,EOMONTH(CA$2,-1)+1,$C130:$F130)*VLOOKUP(CA$2,ProyDia[],8,0)</f>
        <v>0</v>
      </c>
      <c r="CB130" s="36" t="n">
        <f aca="false">SUMIF($C$2:$F$2,EOMONTH(CB$2,-1)+1,$C130:$F130)*VLOOKUP(CB$2,ProyDia[],8,0)</f>
        <v>0</v>
      </c>
      <c r="CC130" s="36" t="n">
        <f aca="false">SUMIF($C$2:$F$2,EOMONTH(CC$2,-1)+1,$C130:$F130)*VLOOKUP(CC$2,ProyDia[],8,0)</f>
        <v>0</v>
      </c>
      <c r="CD130" s="36" t="n">
        <f aca="false">SUMIF($C$2:$F$2,EOMONTH(CD$2,-1)+1,$C130:$F130)*VLOOKUP(CD$2,ProyDia[],8,0)</f>
        <v>0</v>
      </c>
      <c r="CE130" s="36" t="n">
        <f aca="false">SUMIF($C$2:$F$2,EOMONTH(CE$2,-1)+1,$C130:$F130)*VLOOKUP(CE$2,ProyDia[],8,0)</f>
        <v>0</v>
      </c>
      <c r="CF130" s="36" t="n">
        <f aca="false">SUMIF($C$2:$F$2,EOMONTH(CF$2,-1)+1,$C130:$F130)*VLOOKUP(CF$2,ProyDia[],8,0)</f>
        <v>0</v>
      </c>
      <c r="CG130" s="36" t="n">
        <f aca="false">SUMIF($C$2:$F$2,EOMONTH(CG$2,-1)+1,$C130:$F130)*VLOOKUP(CG$2,ProyDia[],8,0)</f>
        <v>0</v>
      </c>
      <c r="CH130" s="36" t="n">
        <f aca="false">SUMIF($C$2:$F$2,EOMONTH(CH$2,-1)+1,$C130:$F130)*VLOOKUP(CH$2,ProyDia[],8,0)</f>
        <v>0</v>
      </c>
      <c r="CI130" s="36" t="n">
        <f aca="false">SUMIF($C$2:$F$2,EOMONTH(CI$2,-1)+1,$C130:$F130)*VLOOKUP(CI$2,ProyDia[],8,0)</f>
        <v>0</v>
      </c>
      <c r="CJ130" s="36" t="n">
        <f aca="false">SUMIF($C$2:$F$2,EOMONTH(CJ$2,-1)+1,$C130:$F130)*VLOOKUP(CJ$2,ProyDia[],8,0)</f>
        <v>0</v>
      </c>
      <c r="CK130" s="36" t="n">
        <f aca="false">SUMIF($C$2:$F$2,EOMONTH(CK$2,-1)+1,$C130:$F130)*VLOOKUP(CK$2,ProyDia[],8,0)</f>
        <v>0</v>
      </c>
      <c r="CL130" s="36" t="n">
        <f aca="false">SUMIF($C$2:$F$2,EOMONTH(CL$2,-1)+1,$C130:$F130)*VLOOKUP(CL$2,ProyDia[],8,0)</f>
        <v>0</v>
      </c>
      <c r="CM130" s="36" t="n">
        <f aca="false">SUMIF($C$2:$F$2,EOMONTH(CM$2,-1)+1,$C130:$F130)*VLOOKUP(CM$2,ProyDia[],8,0)</f>
        <v>0</v>
      </c>
      <c r="CN130" s="36" t="n">
        <f aca="false">SUMIF($C$2:$F$2,EOMONTH(CN$2,-1)+1,$C130:$F130)*VLOOKUP(CN$2,ProyDia[],8,0)</f>
        <v>0</v>
      </c>
      <c r="CO130" s="36" t="n">
        <f aca="false">SUMIF($C$2:$F$2,EOMONTH(CO$2,-1)+1,$C130:$F130)*VLOOKUP(CO$2,ProyDia[],8,0)</f>
        <v>0</v>
      </c>
      <c r="CP130" s="36" t="n">
        <f aca="false">SUMIF($C$2:$F$2,EOMONTH(CP$2,-1)+1,$C130:$F130)*VLOOKUP(CP$2,ProyDia[],8,0)</f>
        <v>0</v>
      </c>
      <c r="CQ130" s="36" t="n">
        <f aca="false">SUMIF($C$2:$F$2,EOMONTH(CQ$2,-1)+1,$C130:$F130)*VLOOKUP(CQ$2,ProyDia[],8,0)</f>
        <v>0</v>
      </c>
      <c r="CR130" s="36" t="n">
        <f aca="false">SUMIF($C$2:$F$2,EOMONTH(CR$2,-1)+1,$C130:$F130)*VLOOKUP(CR$2,ProyDia[],8,0)</f>
        <v>0</v>
      </c>
      <c r="CS130" s="36" t="n">
        <f aca="false">SUMIF($C$2:$F$2,EOMONTH(CS$2,-1)+1,$C130:$F130)*VLOOKUP(CS$2,ProyDia[],8,0)</f>
        <v>0</v>
      </c>
      <c r="CT130" s="36" t="n">
        <f aca="false">SUMIF($C$2:$F$2,EOMONTH(CT$2,-1)+1,$C130:$F130)*VLOOKUP(CT$2,ProyDia[],8,0)</f>
        <v>0</v>
      </c>
      <c r="CU130" s="36" t="n">
        <f aca="false">SUMIF($C$2:$F$2,EOMONTH(CU$2,-1)+1,$C130:$F130)*VLOOKUP(CU$2,ProyDia[],8,0)</f>
        <v>0</v>
      </c>
      <c r="CV130" s="36" t="n">
        <f aca="false">SUMIF($C$2:$F$2,EOMONTH(CV$2,-1)+1,$C130:$F130)*VLOOKUP(CV$2,ProyDia[],8,0)</f>
        <v>0</v>
      </c>
      <c r="CW130" s="36" t="n">
        <f aca="false">SUMIF($C$2:$F$2,EOMONTH(CW$2,-1)+1,$C130:$F130)*VLOOKUP(CW$2,ProyDia[],8,0)</f>
        <v>0</v>
      </c>
      <c r="CX130" s="36" t="n">
        <f aca="false">SUMIF($C$2:$F$2,EOMONTH(CX$2,-1)+1,$C130:$F130)*VLOOKUP(CX$2,ProyDia[],8,0)</f>
        <v>0</v>
      </c>
      <c r="CY130" s="36" t="n">
        <f aca="false">SUMIF($C$2:$F$2,EOMONTH(CY$2,-1)+1,$C130:$F130)*VLOOKUP(CY$2,ProyDia[],8,0)</f>
        <v>0</v>
      </c>
      <c r="CZ130" s="36" t="n">
        <f aca="false">SUMIF($C$2:$F$2,EOMONTH(CZ$2,-1)+1,$C130:$F130)*VLOOKUP(CZ$2,ProyDia[],8,0)</f>
        <v>0</v>
      </c>
      <c r="DA130" s="36" t="n">
        <f aca="false">SUMIF($C$2:$F$2,EOMONTH(DA$2,-1)+1,$C130:$F130)*VLOOKUP(DA$2,ProyDia[],8,0)</f>
        <v>0</v>
      </c>
      <c r="DB130" s="36" t="n">
        <f aca="false">SUMIF($C$2:$F$2,EOMONTH(DB$2,-1)+1,$C130:$F130)*VLOOKUP(DB$2,ProyDia[],8,0)</f>
        <v>0</v>
      </c>
      <c r="DC130" s="36" t="n">
        <f aca="false">SUMIF($C$2:$F$2,EOMONTH(DC$2,-1)+1,$C130:$F130)*VLOOKUP(DC$2,ProyDia[],8,0)</f>
        <v>0</v>
      </c>
      <c r="DD130" s="36" t="n">
        <f aca="false">SUMIF($C$2:$F$2,EOMONTH(DD$2,-1)+1,$C130:$F130)*VLOOKUP(DD$2,ProyDia[],8,0)</f>
        <v>0</v>
      </c>
      <c r="DE130" s="36" t="n">
        <f aca="false">SUMIF($C$2:$F$2,EOMONTH(DE$2,-1)+1,$C130:$F130)*VLOOKUP(DE$2,ProyDia[],8,0)</f>
        <v>0</v>
      </c>
      <c r="DF130" s="36" t="n">
        <f aca="false">SUMIF($C$2:$F$2,EOMONTH(DF$2,-1)+1,$C130:$F130)*VLOOKUP(DF$2,ProyDia[],8,0)</f>
        <v>0</v>
      </c>
      <c r="DG130" s="36" t="n">
        <f aca="false">SUMIF($C$2:$F$2,EOMONTH(DG$2,-1)+1,$C130:$F130)*VLOOKUP(DG$2,ProyDia[],8,0)</f>
        <v>0</v>
      </c>
      <c r="DH130" s="36" t="n">
        <f aca="false">SUMIF($C$2:$F$2,EOMONTH(DH$2,-1)+1,$C130:$F130)*VLOOKUP(DH$2,ProyDia[],8,0)</f>
        <v>0</v>
      </c>
      <c r="DI130" s="36" t="n">
        <f aca="false">SUMIF($C$2:$F$2,EOMONTH(DI$2,-1)+1,$C130:$F130)*VLOOKUP(DI$2,ProyDia[],8,0)</f>
        <v>0</v>
      </c>
      <c r="DJ130" s="36" t="n">
        <f aca="false">SUMIF($C$2:$F$2,EOMONTH(DJ$2,-1)+1,$C130:$F130)*VLOOKUP(DJ$2,ProyDia[],8,0)</f>
        <v>0</v>
      </c>
      <c r="DK130" s="36" t="n">
        <f aca="false">SUMIF($C$2:$F$2,EOMONTH(DK$2,-1)+1,$C130:$F130)*VLOOKUP(DK$2,ProyDia[],8,0)</f>
        <v>0</v>
      </c>
      <c r="DL130" s="36" t="n">
        <f aca="false">SUMIF($C$2:$F$2,EOMONTH(DL$2,-1)+1,$C130:$F130)*VLOOKUP(DL$2,ProyDia[],8,0)</f>
        <v>0</v>
      </c>
      <c r="DM130" s="36" t="n">
        <f aca="false">SUMIF($C$2:$F$2,EOMONTH(DM$2,-1)+1,$C130:$F130)*VLOOKUP(DM$2,ProyDia[],8,0)</f>
        <v>0</v>
      </c>
      <c r="DN130" s="36" t="n">
        <f aca="false">SUMIF($C$2:$F$2,EOMONTH(DN$2,-1)+1,$C130:$F130)*VLOOKUP(DN$2,ProyDia[],8,0)</f>
        <v>0</v>
      </c>
      <c r="DO130" s="36" t="n">
        <f aca="false">SUMIF($C$2:$F$2,EOMONTH(DO$2,-1)+1,$C130:$F130)*VLOOKUP(DO$2,ProyDia[],8,0)</f>
        <v>0</v>
      </c>
      <c r="DP130" s="36" t="n">
        <f aca="false">SUMIF($C$2:$F$2,EOMONTH(DP$2,-1)+1,$C130:$F130)*VLOOKUP(DP$2,ProyDia[],8,0)</f>
        <v>0</v>
      </c>
      <c r="DQ130" s="36" t="n">
        <f aca="false">SUMIF($C$2:$F$2,EOMONTH(DQ$2,-1)+1,$C130:$F130)*VLOOKUP(DQ$2,ProyDia[],8,0)</f>
        <v>0</v>
      </c>
      <c r="DR130" s="36" t="n">
        <f aca="false">SUMIF($C$2:$F$2,EOMONTH(DR$2,-1)+1,$C130:$F130)*VLOOKUP(DR$2,ProyDia[],8,0)</f>
        <v>0</v>
      </c>
      <c r="DS130" s="36" t="n">
        <f aca="false">SUMIF($C$2:$F$2,EOMONTH(DS$2,-1)+1,$C130:$F130)*VLOOKUP(DS$2,ProyDia[],8,0)</f>
        <v>0</v>
      </c>
      <c r="DT130" s="36" t="n">
        <f aca="false">SUMIF($C$2:$F$2,EOMONTH(DT$2,-1)+1,$C130:$F130)*VLOOKUP(DT$2,ProyDia[],8,0)</f>
        <v>0</v>
      </c>
      <c r="DU130" s="36" t="n">
        <f aca="false">SUMIF($C$2:$F$2,EOMONTH(DU$2,-1)+1,$C130:$F130)*VLOOKUP(DU$2,ProyDia[],8,0)</f>
        <v>0</v>
      </c>
      <c r="DV130" s="36" t="n">
        <f aca="false">SUMIF($C$2:$F$2,EOMONTH(DV$2,-1)+1,$C130:$F130)*VLOOKUP(DV$2,ProyDia[],8,0)</f>
        <v>0</v>
      </c>
      <c r="DW130" s="36" t="n">
        <f aca="false">SUMIF($C$2:$F$2,EOMONTH(DW$2,-1)+1,$C130:$F130)*VLOOKUP(DW$2,ProyDia[],8,0)</f>
        <v>0</v>
      </c>
      <c r="DX130" s="36" t="n">
        <f aca="false">SUMIF($C$2:$F$2,EOMONTH(DX$2,-1)+1,$C130:$F130)*VLOOKUP(DX$2,ProyDia[],8,0)</f>
        <v>0</v>
      </c>
    </row>
    <row r="131" customFormat="false" ht="14.4" hidden="false" customHeight="false" outlineLevel="0" collapsed="false">
      <c r="A131" s="34"/>
      <c r="B131" s="34"/>
      <c r="C131" s="34"/>
      <c r="D131" s="34"/>
      <c r="E131" s="34"/>
      <c r="F131" s="34"/>
      <c r="G131" s="28" t="n">
        <f aca="false">SUMIF($C$2:$F$2,EOMONTH(G$2,-1)+1,$C131:$F131)*VLOOKUP(G$2,ProyDia[],8,0)</f>
        <v>0</v>
      </c>
      <c r="H131" s="28" t="n">
        <f aca="false">SUMIF($C$2:$F$2,EOMONTH(H$2,-1)+1,$C131:$F131)*VLOOKUP(H$2,ProyDia[],8,0)</f>
        <v>0</v>
      </c>
      <c r="I131" s="28" t="n">
        <f aca="false">SUMIF($C$2:$F$2,EOMONTH(I$2,-1)+1,$C131:$F131)*VLOOKUP(I$2,ProyDia[],8,0)</f>
        <v>0</v>
      </c>
      <c r="J131" s="28" t="n">
        <f aca="false">SUMIF($C$2:$F$2,EOMONTH(J$2,-1)+1,$C131:$F131)*VLOOKUP(J$2,ProyDia[],8,0)</f>
        <v>0</v>
      </c>
      <c r="K131" s="28" t="n">
        <f aca="false">SUMIF($C$2:$F$2,EOMONTH(K$2,-1)+1,$C131:$F131)*VLOOKUP(K$2,ProyDia[],8,0)</f>
        <v>0</v>
      </c>
      <c r="L131" s="28" t="n">
        <f aca="false">SUMIF($C$2:$F$2,EOMONTH(L$2,-1)+1,$C131:$F131)*VLOOKUP(L$2,ProyDia[],8,0)</f>
        <v>0</v>
      </c>
      <c r="M131" s="28" t="n">
        <f aca="false">SUMIF($C$2:$F$2,EOMONTH(M$2,-1)+1,$C131:$F131)*VLOOKUP(M$2,ProyDia[],8,0)</f>
        <v>0</v>
      </c>
      <c r="N131" s="28" t="n">
        <f aca="false">SUMIF($C$2:$F$2,EOMONTH(N$2,-1)+1,$C131:$F131)*VLOOKUP(N$2,ProyDia[],8,0)</f>
        <v>0</v>
      </c>
      <c r="O131" s="28" t="n">
        <f aca="false">SUMIF($C$2:$F$2,EOMONTH(O$2,-1)+1,$C131:$F131)*VLOOKUP(O$2,ProyDia[],8,0)</f>
        <v>0</v>
      </c>
      <c r="P131" s="28" t="n">
        <f aca="false">SUMIF($C$2:$F$2,EOMONTH(P$2,-1)+1,$C131:$F131)*VLOOKUP(P$2,ProyDia[],8,0)</f>
        <v>0</v>
      </c>
      <c r="Q131" s="28" t="n">
        <f aca="false">SUMIF($C$2:$F$2,EOMONTH(Q$2,-1)+1,$C131:$F131)*VLOOKUP(Q$2,ProyDia[],8,0)</f>
        <v>0</v>
      </c>
      <c r="R131" s="28" t="n">
        <f aca="false">SUMIF($C$2:$F$2,EOMONTH(R$2,-1)+1,$C131:$F131)*VLOOKUP(R$2,ProyDia[],8,0)</f>
        <v>0</v>
      </c>
      <c r="S131" s="28" t="n">
        <f aca="false">SUMIF($C$2:$F$2,EOMONTH(S$2,-1)+1,$C131:$F131)*VLOOKUP(S$2,ProyDia[],8,0)</f>
        <v>0</v>
      </c>
      <c r="T131" s="28" t="n">
        <f aca="false">SUMIF($C$2:$F$2,EOMONTH(T$2,-1)+1,$C131:$F131)*VLOOKUP(T$2,ProyDia[],8,0)</f>
        <v>0</v>
      </c>
      <c r="U131" s="28" t="n">
        <f aca="false">SUMIF($C$2:$F$2,EOMONTH(U$2,-1)+1,$C131:$F131)*VLOOKUP(U$2,ProyDia[],8,0)</f>
        <v>0</v>
      </c>
      <c r="V131" s="28" t="n">
        <f aca="false">SUMIF($C$2:$F$2,EOMONTH(V$2,-1)+1,$C131:$F131)*VLOOKUP(V$2,ProyDia[],8,0)</f>
        <v>0</v>
      </c>
      <c r="W131" s="28" t="n">
        <f aca="false">SUMIF($C$2:$F$2,EOMONTH(W$2,-1)+1,$C131:$F131)*VLOOKUP(W$2,ProyDia[],8,0)</f>
        <v>0</v>
      </c>
      <c r="X131" s="28" t="n">
        <f aca="false">SUMIF($C$2:$F$2,EOMONTH(X$2,-1)+1,$C131:$F131)*VLOOKUP(X$2,ProyDia[],8,0)</f>
        <v>0</v>
      </c>
      <c r="Y131" s="28" t="n">
        <f aca="false">SUMIF($C$2:$F$2,EOMONTH(Y$2,-1)+1,$C131:$F131)*VLOOKUP(Y$2,ProyDia[],8,0)</f>
        <v>0</v>
      </c>
      <c r="Z131" s="28" t="n">
        <f aca="false">SUMIF($C$2:$F$2,EOMONTH(Z$2,-1)+1,$C131:$F131)*VLOOKUP(Z$2,ProyDia[],8,0)</f>
        <v>0</v>
      </c>
      <c r="AA131" s="28" t="n">
        <f aca="false">SUMIF($C$2:$F$2,EOMONTH(AA$2,-1)+1,$C131:$F131)*VLOOKUP(AA$2,ProyDia[],8,0)</f>
        <v>0</v>
      </c>
      <c r="AB131" s="28" t="n">
        <f aca="false">SUMIF($C$2:$F$2,EOMONTH(AB$2,-1)+1,$C131:$F131)*VLOOKUP(AB$2,ProyDia[],8,0)</f>
        <v>0</v>
      </c>
      <c r="AC131" s="28" t="n">
        <f aca="false">SUMIF($C$2:$F$2,EOMONTH(AC$2,-1)+1,$C131:$F131)*VLOOKUP(AC$2,ProyDia[],8,0)</f>
        <v>0</v>
      </c>
      <c r="AD131" s="28" t="n">
        <f aca="false">SUMIF($C$2:$F$2,EOMONTH(AD$2,-1)+1,$C131:$F131)*VLOOKUP(AD$2,ProyDia[],8,0)</f>
        <v>0</v>
      </c>
      <c r="AE131" s="28" t="n">
        <f aca="false">SUMIF($C$2:$F$2,EOMONTH(AE$2,-1)+1,$C131:$F131)*VLOOKUP(AE$2,ProyDia[],8,0)</f>
        <v>0</v>
      </c>
      <c r="AF131" s="28" t="n">
        <f aca="false">SUMIF($C$2:$F$2,EOMONTH(AF$2,-1)+1,$C131:$F131)*VLOOKUP(AF$2,ProyDia[],8,0)</f>
        <v>0</v>
      </c>
      <c r="AG131" s="28" t="n">
        <f aca="false">SUMIF($C$2:$F$2,EOMONTH(AG$2,-1)+1,$C131:$F131)*VLOOKUP(AG$2,ProyDia[],8,0)</f>
        <v>0</v>
      </c>
      <c r="AH131" s="28" t="n">
        <f aca="false">SUMIF($C$2:$F$2,EOMONTH(AH$2,-1)+1,$C131:$F131)*VLOOKUP(AH$2,ProyDia[],8,0)</f>
        <v>0</v>
      </c>
      <c r="AI131" s="28" t="n">
        <f aca="false">SUMIF($C$2:$F$2,EOMONTH(AI$2,-1)+1,$C131:$F131)*VLOOKUP(AI$2,ProyDia[],8,0)</f>
        <v>0</v>
      </c>
      <c r="AJ131" s="28" t="n">
        <f aca="false">SUMIF($C$2:$F$2,EOMONTH(AJ$2,-1)+1,$C131:$F131)*VLOOKUP(AJ$2,ProyDia[],8,0)</f>
        <v>0</v>
      </c>
      <c r="AK131" s="28" t="n">
        <f aca="false">SUMIF($C$2:$F$2,EOMONTH(AK$2,-1)+1,$C131:$F131)*VLOOKUP(AK$2,ProyDia[],8,0)</f>
        <v>0</v>
      </c>
      <c r="AL131" s="28" t="n">
        <f aca="false">SUMIF($C$2:$F$2,EOMONTH(AL$2,-1)+1,$C131:$F131)*VLOOKUP(AL$2,ProyDia[],8,0)</f>
        <v>0</v>
      </c>
      <c r="AM131" s="28" t="n">
        <f aca="false">SUMIF($C$2:$F$2,EOMONTH(AM$2,-1)+1,$C131:$F131)*VLOOKUP(AM$2,ProyDia[],8,0)</f>
        <v>0</v>
      </c>
      <c r="AN131" s="28" t="n">
        <f aca="false">SUMIF($C$2:$F$2,EOMONTH(AN$2,-1)+1,$C131:$F131)*VLOOKUP(AN$2,ProyDia[],8,0)</f>
        <v>0</v>
      </c>
      <c r="AO131" s="28" t="n">
        <f aca="false">SUMIF($C$2:$F$2,EOMONTH(AO$2,-1)+1,$C131:$F131)*VLOOKUP(AO$2,ProyDia[],8,0)</f>
        <v>0</v>
      </c>
      <c r="AP131" s="28" t="n">
        <f aca="false">SUMIF($C$2:$F$2,EOMONTH(AP$2,-1)+1,$C131:$F131)*VLOOKUP(AP$2,ProyDia[],8,0)</f>
        <v>0</v>
      </c>
      <c r="AQ131" s="28" t="n">
        <f aca="false">SUMIF($C$2:$F$2,EOMONTH(AQ$2,-1)+1,$C131:$F131)*VLOOKUP(AQ$2,ProyDia[],8,0)</f>
        <v>0</v>
      </c>
      <c r="AR131" s="28" t="n">
        <f aca="false">SUMIF($C$2:$F$2,EOMONTH(AR$2,-1)+1,$C131:$F131)*VLOOKUP(AR$2,ProyDia[],8,0)</f>
        <v>0</v>
      </c>
      <c r="AS131" s="28" t="n">
        <f aca="false">SUMIF($C$2:$F$2,EOMONTH(AS$2,-1)+1,$C131:$F131)*VLOOKUP(AS$2,ProyDia[],8,0)</f>
        <v>0</v>
      </c>
      <c r="AT131" s="28" t="n">
        <f aca="false">SUMIF($C$2:$F$2,EOMONTH(AT$2,-1)+1,$C131:$F131)*VLOOKUP(AT$2,ProyDia[],8,0)</f>
        <v>0</v>
      </c>
      <c r="AU131" s="28" t="n">
        <f aca="false">SUMIF($C$2:$F$2,EOMONTH(AU$2,-1)+1,$C131:$F131)*VLOOKUP(AU$2,ProyDia[],8,0)</f>
        <v>0</v>
      </c>
      <c r="AV131" s="28" t="n">
        <f aca="false">SUMIF($C$2:$F$2,EOMONTH(AV$2,-1)+1,$C131:$F131)*VLOOKUP(AV$2,ProyDia[],8,0)</f>
        <v>0</v>
      </c>
      <c r="AW131" s="28" t="n">
        <f aca="false">SUMIF($C$2:$F$2,EOMONTH(AW$2,-1)+1,$C131:$F131)*VLOOKUP(AW$2,ProyDia[],8,0)</f>
        <v>0</v>
      </c>
      <c r="AX131" s="28" t="n">
        <f aca="false">SUMIF($C$2:$F$2,EOMONTH(AX$2,-1)+1,$C131:$F131)*VLOOKUP(AX$2,ProyDia[],8,0)</f>
        <v>0</v>
      </c>
      <c r="AY131" s="28" t="n">
        <f aca="false">SUMIF($C$2:$F$2,EOMONTH(AY$2,-1)+1,$C131:$F131)*VLOOKUP(AY$2,ProyDia[],8,0)</f>
        <v>0</v>
      </c>
      <c r="AZ131" s="28" t="n">
        <f aca="false">SUMIF($C$2:$F$2,EOMONTH(AZ$2,-1)+1,$C131:$F131)*VLOOKUP(AZ$2,ProyDia[],8,0)</f>
        <v>0</v>
      </c>
      <c r="BA131" s="28" t="n">
        <f aca="false">SUMIF($C$2:$F$2,EOMONTH(BA$2,-1)+1,$C131:$F131)*VLOOKUP(BA$2,ProyDia[],8,0)</f>
        <v>0</v>
      </c>
      <c r="BB131" s="28" t="n">
        <f aca="false">SUMIF($C$2:$F$2,EOMONTH(BB$2,-1)+1,$C131:$F131)*VLOOKUP(BB$2,ProyDia[],8,0)</f>
        <v>0</v>
      </c>
      <c r="BC131" s="28" t="n">
        <f aca="false">SUMIF($C$2:$F$2,EOMONTH(BC$2,-1)+1,$C131:$F131)*VLOOKUP(BC$2,ProyDia[],8,0)</f>
        <v>0</v>
      </c>
      <c r="BD131" s="28" t="n">
        <f aca="false">SUMIF($C$2:$F$2,EOMONTH(BD$2,-1)+1,$C131:$F131)*VLOOKUP(BD$2,ProyDia[],8,0)</f>
        <v>0</v>
      </c>
      <c r="BE131" s="28" t="n">
        <f aca="false">SUMIF($C$2:$F$2,EOMONTH(BE$2,-1)+1,$C131:$F131)*VLOOKUP(BE$2,ProyDia[],8,0)</f>
        <v>0</v>
      </c>
      <c r="BF131" s="28" t="n">
        <f aca="false">SUMIF($C$2:$F$2,EOMONTH(BF$2,-1)+1,$C131:$F131)*VLOOKUP(BF$2,ProyDia[],8,0)</f>
        <v>0</v>
      </c>
      <c r="BG131" s="28" t="n">
        <f aca="false">SUMIF($C$2:$F$2,EOMONTH(BG$2,-1)+1,$C131:$F131)*VLOOKUP(BG$2,ProyDia[],8,0)</f>
        <v>0</v>
      </c>
      <c r="BH131" s="28" t="n">
        <f aca="false">SUMIF($C$2:$F$2,EOMONTH(BH$2,-1)+1,$C131:$F131)*VLOOKUP(BH$2,ProyDia[],8,0)</f>
        <v>0</v>
      </c>
      <c r="BI131" s="28" t="n">
        <f aca="false">SUMIF($C$2:$F$2,EOMONTH(BI$2,-1)+1,$C131:$F131)*VLOOKUP(BI$2,ProyDia[],8,0)</f>
        <v>0</v>
      </c>
      <c r="BJ131" s="28" t="n">
        <f aca="false">SUMIF($C$2:$F$2,EOMONTH(BJ$2,-1)+1,$C131:$F131)*VLOOKUP(BJ$2,ProyDia[],8,0)</f>
        <v>0</v>
      </c>
      <c r="BK131" s="28" t="n">
        <f aca="false">SUMIF($C$2:$F$2,EOMONTH(BK$2,-1)+1,$C131:$F131)*VLOOKUP(BK$2,ProyDia[],8,0)</f>
        <v>0</v>
      </c>
      <c r="BL131" s="28" t="n">
        <f aca="false">SUMIF($C$2:$F$2,EOMONTH(BL$2,-1)+1,$C131:$F131)*VLOOKUP(BL$2,ProyDia[],8,0)</f>
        <v>0</v>
      </c>
      <c r="BM131" s="28" t="n">
        <f aca="false">SUMIF($C$2:$F$2,EOMONTH(BM$2,-1)+1,$C131:$F131)*VLOOKUP(BM$2,ProyDia[],8,0)</f>
        <v>0</v>
      </c>
      <c r="BN131" s="28" t="n">
        <f aca="false">SUMIF($C$2:$F$2,EOMONTH(BN$2,-1)+1,$C131:$F131)*VLOOKUP(BN$2,ProyDia[],8,0)</f>
        <v>0</v>
      </c>
      <c r="BO131" s="28" t="n">
        <f aca="false">SUMIF($C$2:$F$2,EOMONTH(BO$2,-1)+1,$C131:$F131)*VLOOKUP(BO$2,ProyDia[],8,0)</f>
        <v>0</v>
      </c>
      <c r="BP131" s="28" t="n">
        <f aca="false">SUMIF($C$2:$F$2,EOMONTH(BP$2,-1)+1,$C131:$F131)*VLOOKUP(BP$2,ProyDia[],8,0)</f>
        <v>0</v>
      </c>
      <c r="BQ131" s="28" t="n">
        <f aca="false">SUMIF($C$2:$F$2,EOMONTH(BQ$2,-1)+1,$C131:$F131)*VLOOKUP(BQ$2,ProyDia[],8,0)</f>
        <v>0</v>
      </c>
      <c r="BR131" s="28" t="n">
        <f aca="false">SUMIF($C$2:$F$2,EOMONTH(BR$2,-1)+1,$C131:$F131)*VLOOKUP(BR$2,ProyDia[],8,0)</f>
        <v>0</v>
      </c>
      <c r="BS131" s="28" t="n">
        <f aca="false">SUMIF($C$2:$F$2,EOMONTH(BS$2,-1)+1,$C131:$F131)*VLOOKUP(BS$2,ProyDia[],8,0)</f>
        <v>0</v>
      </c>
      <c r="BT131" s="28" t="n">
        <f aca="false">SUMIF($C$2:$F$2,EOMONTH(BT$2,-1)+1,$C131:$F131)*VLOOKUP(BT$2,ProyDia[],8,0)</f>
        <v>0</v>
      </c>
      <c r="BU131" s="28" t="n">
        <f aca="false">SUMIF($C$2:$F$2,EOMONTH(BU$2,-1)+1,$C131:$F131)*VLOOKUP(BU$2,ProyDia[],8,0)</f>
        <v>0</v>
      </c>
      <c r="BV131" s="28" t="n">
        <f aca="false">SUMIF($C$2:$F$2,EOMONTH(BV$2,-1)+1,$C131:$F131)*VLOOKUP(BV$2,ProyDia[],8,0)</f>
        <v>0</v>
      </c>
      <c r="BW131" s="28" t="n">
        <f aca="false">SUMIF($C$2:$F$2,EOMONTH(BW$2,-1)+1,$C131:$F131)*VLOOKUP(BW$2,ProyDia[],8,0)</f>
        <v>0</v>
      </c>
      <c r="BX131" s="28" t="n">
        <f aca="false">SUMIF($C$2:$F$2,EOMONTH(BX$2,-1)+1,$C131:$F131)*VLOOKUP(BX$2,ProyDia[],8,0)</f>
        <v>0</v>
      </c>
      <c r="BY131" s="28" t="n">
        <f aca="false">SUMIF($C$2:$F$2,EOMONTH(BY$2,-1)+1,$C131:$F131)*VLOOKUP(BY$2,ProyDia[],8,0)</f>
        <v>0</v>
      </c>
      <c r="BZ131" s="28" t="n">
        <f aca="false">SUMIF($C$2:$F$2,EOMONTH(BZ$2,-1)+1,$C131:$F131)*VLOOKUP(BZ$2,ProyDia[],8,0)</f>
        <v>0</v>
      </c>
      <c r="CA131" s="28" t="n">
        <f aca="false">SUMIF($C$2:$F$2,EOMONTH(CA$2,-1)+1,$C131:$F131)*VLOOKUP(CA$2,ProyDia[],8,0)</f>
        <v>0</v>
      </c>
      <c r="CB131" s="28" t="n">
        <f aca="false">SUMIF($C$2:$F$2,EOMONTH(CB$2,-1)+1,$C131:$F131)*VLOOKUP(CB$2,ProyDia[],8,0)</f>
        <v>0</v>
      </c>
      <c r="CC131" s="28" t="n">
        <f aca="false">SUMIF($C$2:$F$2,EOMONTH(CC$2,-1)+1,$C131:$F131)*VLOOKUP(CC$2,ProyDia[],8,0)</f>
        <v>0</v>
      </c>
      <c r="CD131" s="28" t="n">
        <f aca="false">SUMIF($C$2:$F$2,EOMONTH(CD$2,-1)+1,$C131:$F131)*VLOOKUP(CD$2,ProyDia[],8,0)</f>
        <v>0</v>
      </c>
      <c r="CE131" s="28" t="n">
        <f aca="false">SUMIF($C$2:$F$2,EOMONTH(CE$2,-1)+1,$C131:$F131)*VLOOKUP(CE$2,ProyDia[],8,0)</f>
        <v>0</v>
      </c>
      <c r="CF131" s="28" t="n">
        <f aca="false">SUMIF($C$2:$F$2,EOMONTH(CF$2,-1)+1,$C131:$F131)*VLOOKUP(CF$2,ProyDia[],8,0)</f>
        <v>0</v>
      </c>
      <c r="CG131" s="28" t="n">
        <f aca="false">SUMIF($C$2:$F$2,EOMONTH(CG$2,-1)+1,$C131:$F131)*VLOOKUP(CG$2,ProyDia[],8,0)</f>
        <v>0</v>
      </c>
      <c r="CH131" s="28" t="n">
        <f aca="false">SUMIF($C$2:$F$2,EOMONTH(CH$2,-1)+1,$C131:$F131)*VLOOKUP(CH$2,ProyDia[],8,0)</f>
        <v>0</v>
      </c>
      <c r="CI131" s="28" t="n">
        <f aca="false">SUMIF($C$2:$F$2,EOMONTH(CI$2,-1)+1,$C131:$F131)*VLOOKUP(CI$2,ProyDia[],8,0)</f>
        <v>0</v>
      </c>
      <c r="CJ131" s="28" t="n">
        <f aca="false">SUMIF($C$2:$F$2,EOMONTH(CJ$2,-1)+1,$C131:$F131)*VLOOKUP(CJ$2,ProyDia[],8,0)</f>
        <v>0</v>
      </c>
      <c r="CK131" s="28" t="n">
        <f aca="false">SUMIF($C$2:$F$2,EOMONTH(CK$2,-1)+1,$C131:$F131)*VLOOKUP(CK$2,ProyDia[],8,0)</f>
        <v>0</v>
      </c>
      <c r="CL131" s="28" t="n">
        <f aca="false">SUMIF($C$2:$F$2,EOMONTH(CL$2,-1)+1,$C131:$F131)*VLOOKUP(CL$2,ProyDia[],8,0)</f>
        <v>0</v>
      </c>
      <c r="CM131" s="28" t="n">
        <f aca="false">SUMIF($C$2:$F$2,EOMONTH(CM$2,-1)+1,$C131:$F131)*VLOOKUP(CM$2,ProyDia[],8,0)</f>
        <v>0</v>
      </c>
      <c r="CN131" s="28" t="n">
        <f aca="false">SUMIF($C$2:$F$2,EOMONTH(CN$2,-1)+1,$C131:$F131)*VLOOKUP(CN$2,ProyDia[],8,0)</f>
        <v>0</v>
      </c>
      <c r="CO131" s="28" t="n">
        <f aca="false">SUMIF($C$2:$F$2,EOMONTH(CO$2,-1)+1,$C131:$F131)*VLOOKUP(CO$2,ProyDia[],8,0)</f>
        <v>0</v>
      </c>
      <c r="CP131" s="28" t="n">
        <f aca="false">SUMIF($C$2:$F$2,EOMONTH(CP$2,-1)+1,$C131:$F131)*VLOOKUP(CP$2,ProyDia[],8,0)</f>
        <v>0</v>
      </c>
      <c r="CQ131" s="28" t="n">
        <f aca="false">SUMIF($C$2:$F$2,EOMONTH(CQ$2,-1)+1,$C131:$F131)*VLOOKUP(CQ$2,ProyDia[],8,0)</f>
        <v>0</v>
      </c>
      <c r="CR131" s="28" t="n">
        <f aca="false">SUMIF($C$2:$F$2,EOMONTH(CR$2,-1)+1,$C131:$F131)*VLOOKUP(CR$2,ProyDia[],8,0)</f>
        <v>0</v>
      </c>
      <c r="CS131" s="28" t="n">
        <f aca="false">SUMIF($C$2:$F$2,EOMONTH(CS$2,-1)+1,$C131:$F131)*VLOOKUP(CS$2,ProyDia[],8,0)</f>
        <v>0</v>
      </c>
      <c r="CT131" s="28" t="n">
        <f aca="false">SUMIF($C$2:$F$2,EOMONTH(CT$2,-1)+1,$C131:$F131)*VLOOKUP(CT$2,ProyDia[],8,0)</f>
        <v>0</v>
      </c>
      <c r="CU131" s="28" t="n">
        <f aca="false">SUMIF($C$2:$F$2,EOMONTH(CU$2,-1)+1,$C131:$F131)*VLOOKUP(CU$2,ProyDia[],8,0)</f>
        <v>0</v>
      </c>
      <c r="CV131" s="28" t="n">
        <f aca="false">SUMIF($C$2:$F$2,EOMONTH(CV$2,-1)+1,$C131:$F131)*VLOOKUP(CV$2,ProyDia[],8,0)</f>
        <v>0</v>
      </c>
      <c r="CW131" s="28" t="n">
        <f aca="false">SUMIF($C$2:$F$2,EOMONTH(CW$2,-1)+1,$C131:$F131)*VLOOKUP(CW$2,ProyDia[],8,0)</f>
        <v>0</v>
      </c>
      <c r="CX131" s="28" t="n">
        <f aca="false">SUMIF($C$2:$F$2,EOMONTH(CX$2,-1)+1,$C131:$F131)*VLOOKUP(CX$2,ProyDia[],8,0)</f>
        <v>0</v>
      </c>
      <c r="CY131" s="28" t="n">
        <f aca="false">SUMIF($C$2:$F$2,EOMONTH(CY$2,-1)+1,$C131:$F131)*VLOOKUP(CY$2,ProyDia[],8,0)</f>
        <v>0</v>
      </c>
      <c r="CZ131" s="28" t="n">
        <f aca="false">SUMIF($C$2:$F$2,EOMONTH(CZ$2,-1)+1,$C131:$F131)*VLOOKUP(CZ$2,ProyDia[],8,0)</f>
        <v>0</v>
      </c>
      <c r="DA131" s="28" t="n">
        <f aca="false">SUMIF($C$2:$F$2,EOMONTH(DA$2,-1)+1,$C131:$F131)*VLOOKUP(DA$2,ProyDia[],8,0)</f>
        <v>0</v>
      </c>
      <c r="DB131" s="28" t="n">
        <f aca="false">SUMIF($C$2:$F$2,EOMONTH(DB$2,-1)+1,$C131:$F131)*VLOOKUP(DB$2,ProyDia[],8,0)</f>
        <v>0</v>
      </c>
      <c r="DC131" s="28" t="n">
        <f aca="false">SUMIF($C$2:$F$2,EOMONTH(DC$2,-1)+1,$C131:$F131)*VLOOKUP(DC$2,ProyDia[],8,0)</f>
        <v>0</v>
      </c>
      <c r="DD131" s="28" t="n">
        <f aca="false">SUMIF($C$2:$F$2,EOMONTH(DD$2,-1)+1,$C131:$F131)*VLOOKUP(DD$2,ProyDia[],8,0)</f>
        <v>0</v>
      </c>
      <c r="DE131" s="28" t="n">
        <f aca="false">SUMIF($C$2:$F$2,EOMONTH(DE$2,-1)+1,$C131:$F131)*VLOOKUP(DE$2,ProyDia[],8,0)</f>
        <v>0</v>
      </c>
      <c r="DF131" s="28" t="n">
        <f aca="false">SUMIF($C$2:$F$2,EOMONTH(DF$2,-1)+1,$C131:$F131)*VLOOKUP(DF$2,ProyDia[],8,0)</f>
        <v>0</v>
      </c>
      <c r="DG131" s="28" t="n">
        <f aca="false">SUMIF($C$2:$F$2,EOMONTH(DG$2,-1)+1,$C131:$F131)*VLOOKUP(DG$2,ProyDia[],8,0)</f>
        <v>0</v>
      </c>
      <c r="DH131" s="28" t="n">
        <f aca="false">SUMIF($C$2:$F$2,EOMONTH(DH$2,-1)+1,$C131:$F131)*VLOOKUP(DH$2,ProyDia[],8,0)</f>
        <v>0</v>
      </c>
      <c r="DI131" s="28" t="n">
        <f aca="false">SUMIF($C$2:$F$2,EOMONTH(DI$2,-1)+1,$C131:$F131)*VLOOKUP(DI$2,ProyDia[],8,0)</f>
        <v>0</v>
      </c>
      <c r="DJ131" s="28" t="n">
        <f aca="false">SUMIF($C$2:$F$2,EOMONTH(DJ$2,-1)+1,$C131:$F131)*VLOOKUP(DJ$2,ProyDia[],8,0)</f>
        <v>0</v>
      </c>
      <c r="DK131" s="28" t="n">
        <f aca="false">SUMIF($C$2:$F$2,EOMONTH(DK$2,-1)+1,$C131:$F131)*VLOOKUP(DK$2,ProyDia[],8,0)</f>
        <v>0</v>
      </c>
      <c r="DL131" s="28" t="n">
        <f aca="false">SUMIF($C$2:$F$2,EOMONTH(DL$2,-1)+1,$C131:$F131)*VLOOKUP(DL$2,ProyDia[],8,0)</f>
        <v>0</v>
      </c>
      <c r="DM131" s="28" t="n">
        <f aca="false">SUMIF($C$2:$F$2,EOMONTH(DM$2,-1)+1,$C131:$F131)*VLOOKUP(DM$2,ProyDia[],8,0)</f>
        <v>0</v>
      </c>
      <c r="DN131" s="28" t="n">
        <f aca="false">SUMIF($C$2:$F$2,EOMONTH(DN$2,-1)+1,$C131:$F131)*VLOOKUP(DN$2,ProyDia[],8,0)</f>
        <v>0</v>
      </c>
      <c r="DO131" s="28" t="n">
        <f aca="false">SUMIF($C$2:$F$2,EOMONTH(DO$2,-1)+1,$C131:$F131)*VLOOKUP(DO$2,ProyDia[],8,0)</f>
        <v>0</v>
      </c>
      <c r="DP131" s="28" t="n">
        <f aca="false">SUMIF($C$2:$F$2,EOMONTH(DP$2,-1)+1,$C131:$F131)*VLOOKUP(DP$2,ProyDia[],8,0)</f>
        <v>0</v>
      </c>
      <c r="DQ131" s="28" t="n">
        <f aca="false">SUMIF($C$2:$F$2,EOMONTH(DQ$2,-1)+1,$C131:$F131)*VLOOKUP(DQ$2,ProyDia[],8,0)</f>
        <v>0</v>
      </c>
      <c r="DR131" s="28" t="n">
        <f aca="false">SUMIF($C$2:$F$2,EOMONTH(DR$2,-1)+1,$C131:$F131)*VLOOKUP(DR$2,ProyDia[],8,0)</f>
        <v>0</v>
      </c>
      <c r="DS131" s="28" t="n">
        <f aca="false">SUMIF($C$2:$F$2,EOMONTH(DS$2,-1)+1,$C131:$F131)*VLOOKUP(DS$2,ProyDia[],8,0)</f>
        <v>0</v>
      </c>
      <c r="DT131" s="28" t="n">
        <f aca="false">SUMIF($C$2:$F$2,EOMONTH(DT$2,-1)+1,$C131:$F131)*VLOOKUP(DT$2,ProyDia[],8,0)</f>
        <v>0</v>
      </c>
      <c r="DU131" s="28" t="n">
        <f aca="false">SUMIF($C$2:$F$2,EOMONTH(DU$2,-1)+1,$C131:$F131)*VLOOKUP(DU$2,ProyDia[],8,0)</f>
        <v>0</v>
      </c>
      <c r="DV131" s="28" t="n">
        <f aca="false">SUMIF($C$2:$F$2,EOMONTH(DV$2,-1)+1,$C131:$F131)*VLOOKUP(DV$2,ProyDia[],8,0)</f>
        <v>0</v>
      </c>
      <c r="DW131" s="28" t="n">
        <f aca="false">SUMIF($C$2:$F$2,EOMONTH(DW$2,-1)+1,$C131:$F131)*VLOOKUP(DW$2,ProyDia[],8,0)</f>
        <v>0</v>
      </c>
      <c r="DX131" s="28" t="n">
        <f aca="false">SUMIF($C$2:$F$2,EOMONTH(DX$2,-1)+1,$C131:$F131)*VLOOKUP(DX$2,ProyDia[],8,0)</f>
        <v>0</v>
      </c>
    </row>
    <row r="132" customFormat="false" ht="14.4" hidden="false" customHeight="false" outlineLevel="0" collapsed="false">
      <c r="A132" s="35"/>
      <c r="B132" s="35"/>
      <c r="C132" s="35"/>
      <c r="D132" s="35"/>
      <c r="E132" s="35"/>
      <c r="F132" s="35"/>
      <c r="G132" s="36" t="n">
        <f aca="false">SUMIF($C$2:$F$2,EOMONTH(G$2,-1)+1,$C132:$F132)*VLOOKUP(G$2,ProyDia[],8,0)</f>
        <v>0</v>
      </c>
      <c r="H132" s="36" t="n">
        <f aca="false">SUMIF($C$2:$F$2,EOMONTH(H$2,-1)+1,$C132:$F132)*VLOOKUP(H$2,ProyDia[],8,0)</f>
        <v>0</v>
      </c>
      <c r="I132" s="36" t="n">
        <f aca="false">SUMIF($C$2:$F$2,EOMONTH(I$2,-1)+1,$C132:$F132)*VLOOKUP(I$2,ProyDia[],8,0)</f>
        <v>0</v>
      </c>
      <c r="J132" s="36" t="n">
        <f aca="false">SUMIF($C$2:$F$2,EOMONTH(J$2,-1)+1,$C132:$F132)*VLOOKUP(J$2,ProyDia[],8,0)</f>
        <v>0</v>
      </c>
      <c r="K132" s="36" t="n">
        <f aca="false">SUMIF($C$2:$F$2,EOMONTH(K$2,-1)+1,$C132:$F132)*VLOOKUP(K$2,ProyDia[],8,0)</f>
        <v>0</v>
      </c>
      <c r="L132" s="36" t="n">
        <f aca="false">SUMIF($C$2:$F$2,EOMONTH(L$2,-1)+1,$C132:$F132)*VLOOKUP(L$2,ProyDia[],8,0)</f>
        <v>0</v>
      </c>
      <c r="M132" s="36" t="n">
        <f aca="false">SUMIF($C$2:$F$2,EOMONTH(M$2,-1)+1,$C132:$F132)*VLOOKUP(M$2,ProyDia[],8,0)</f>
        <v>0</v>
      </c>
      <c r="N132" s="36" t="n">
        <f aca="false">SUMIF($C$2:$F$2,EOMONTH(N$2,-1)+1,$C132:$F132)*VLOOKUP(N$2,ProyDia[],8,0)</f>
        <v>0</v>
      </c>
      <c r="O132" s="36" t="n">
        <f aca="false">SUMIF($C$2:$F$2,EOMONTH(O$2,-1)+1,$C132:$F132)*VLOOKUP(O$2,ProyDia[],8,0)</f>
        <v>0</v>
      </c>
      <c r="P132" s="36" t="n">
        <f aca="false">SUMIF($C$2:$F$2,EOMONTH(P$2,-1)+1,$C132:$F132)*VLOOKUP(P$2,ProyDia[],8,0)</f>
        <v>0</v>
      </c>
      <c r="Q132" s="36" t="n">
        <f aca="false">SUMIF($C$2:$F$2,EOMONTH(Q$2,-1)+1,$C132:$F132)*VLOOKUP(Q$2,ProyDia[],8,0)</f>
        <v>0</v>
      </c>
      <c r="R132" s="36" t="n">
        <f aca="false">SUMIF($C$2:$F$2,EOMONTH(R$2,-1)+1,$C132:$F132)*VLOOKUP(R$2,ProyDia[],8,0)</f>
        <v>0</v>
      </c>
      <c r="S132" s="36" t="n">
        <f aca="false">SUMIF($C$2:$F$2,EOMONTH(S$2,-1)+1,$C132:$F132)*VLOOKUP(S$2,ProyDia[],8,0)</f>
        <v>0</v>
      </c>
      <c r="T132" s="36" t="n">
        <f aca="false">SUMIF($C$2:$F$2,EOMONTH(T$2,-1)+1,$C132:$F132)*VLOOKUP(T$2,ProyDia[],8,0)</f>
        <v>0</v>
      </c>
      <c r="U132" s="36" t="n">
        <f aca="false">SUMIF($C$2:$F$2,EOMONTH(U$2,-1)+1,$C132:$F132)*VLOOKUP(U$2,ProyDia[],8,0)</f>
        <v>0</v>
      </c>
      <c r="V132" s="36" t="n">
        <f aca="false">SUMIF($C$2:$F$2,EOMONTH(V$2,-1)+1,$C132:$F132)*VLOOKUP(V$2,ProyDia[],8,0)</f>
        <v>0</v>
      </c>
      <c r="W132" s="36" t="n">
        <f aca="false">SUMIF($C$2:$F$2,EOMONTH(W$2,-1)+1,$C132:$F132)*VLOOKUP(W$2,ProyDia[],8,0)</f>
        <v>0</v>
      </c>
      <c r="X132" s="36" t="n">
        <f aca="false">SUMIF($C$2:$F$2,EOMONTH(X$2,-1)+1,$C132:$F132)*VLOOKUP(X$2,ProyDia[],8,0)</f>
        <v>0</v>
      </c>
      <c r="Y132" s="36" t="n">
        <f aca="false">SUMIF($C$2:$F$2,EOMONTH(Y$2,-1)+1,$C132:$F132)*VLOOKUP(Y$2,ProyDia[],8,0)</f>
        <v>0</v>
      </c>
      <c r="Z132" s="36" t="n">
        <f aca="false">SUMIF($C$2:$F$2,EOMONTH(Z$2,-1)+1,$C132:$F132)*VLOOKUP(Z$2,ProyDia[],8,0)</f>
        <v>0</v>
      </c>
      <c r="AA132" s="36" t="n">
        <f aca="false">SUMIF($C$2:$F$2,EOMONTH(AA$2,-1)+1,$C132:$F132)*VLOOKUP(AA$2,ProyDia[],8,0)</f>
        <v>0</v>
      </c>
      <c r="AB132" s="36" t="n">
        <f aca="false">SUMIF($C$2:$F$2,EOMONTH(AB$2,-1)+1,$C132:$F132)*VLOOKUP(AB$2,ProyDia[],8,0)</f>
        <v>0</v>
      </c>
      <c r="AC132" s="36" t="n">
        <f aca="false">SUMIF($C$2:$F$2,EOMONTH(AC$2,-1)+1,$C132:$F132)*VLOOKUP(AC$2,ProyDia[],8,0)</f>
        <v>0</v>
      </c>
      <c r="AD132" s="36" t="n">
        <f aca="false">SUMIF($C$2:$F$2,EOMONTH(AD$2,-1)+1,$C132:$F132)*VLOOKUP(AD$2,ProyDia[],8,0)</f>
        <v>0</v>
      </c>
      <c r="AE132" s="36" t="n">
        <f aca="false">SUMIF($C$2:$F$2,EOMONTH(AE$2,-1)+1,$C132:$F132)*VLOOKUP(AE$2,ProyDia[],8,0)</f>
        <v>0</v>
      </c>
      <c r="AF132" s="36" t="n">
        <f aca="false">SUMIF($C$2:$F$2,EOMONTH(AF$2,-1)+1,$C132:$F132)*VLOOKUP(AF$2,ProyDia[],8,0)</f>
        <v>0</v>
      </c>
      <c r="AG132" s="36" t="n">
        <f aca="false">SUMIF($C$2:$F$2,EOMONTH(AG$2,-1)+1,$C132:$F132)*VLOOKUP(AG$2,ProyDia[],8,0)</f>
        <v>0</v>
      </c>
      <c r="AH132" s="36" t="n">
        <f aca="false">SUMIF($C$2:$F$2,EOMONTH(AH$2,-1)+1,$C132:$F132)*VLOOKUP(AH$2,ProyDia[],8,0)</f>
        <v>0</v>
      </c>
      <c r="AI132" s="36" t="n">
        <f aca="false">SUMIF($C$2:$F$2,EOMONTH(AI$2,-1)+1,$C132:$F132)*VLOOKUP(AI$2,ProyDia[],8,0)</f>
        <v>0</v>
      </c>
      <c r="AJ132" s="36" t="n">
        <f aca="false">SUMIF($C$2:$F$2,EOMONTH(AJ$2,-1)+1,$C132:$F132)*VLOOKUP(AJ$2,ProyDia[],8,0)</f>
        <v>0</v>
      </c>
      <c r="AK132" s="36" t="n">
        <f aca="false">SUMIF($C$2:$F$2,EOMONTH(AK$2,-1)+1,$C132:$F132)*VLOOKUP(AK$2,ProyDia[],8,0)</f>
        <v>0</v>
      </c>
      <c r="AL132" s="36" t="n">
        <f aca="false">SUMIF($C$2:$F$2,EOMONTH(AL$2,-1)+1,$C132:$F132)*VLOOKUP(AL$2,ProyDia[],8,0)</f>
        <v>0</v>
      </c>
      <c r="AM132" s="36" t="n">
        <f aca="false">SUMIF($C$2:$F$2,EOMONTH(AM$2,-1)+1,$C132:$F132)*VLOOKUP(AM$2,ProyDia[],8,0)</f>
        <v>0</v>
      </c>
      <c r="AN132" s="36" t="n">
        <f aca="false">SUMIF($C$2:$F$2,EOMONTH(AN$2,-1)+1,$C132:$F132)*VLOOKUP(AN$2,ProyDia[],8,0)</f>
        <v>0</v>
      </c>
      <c r="AO132" s="36" t="n">
        <f aca="false">SUMIF($C$2:$F$2,EOMONTH(AO$2,-1)+1,$C132:$F132)*VLOOKUP(AO$2,ProyDia[],8,0)</f>
        <v>0</v>
      </c>
      <c r="AP132" s="36" t="n">
        <f aca="false">SUMIF($C$2:$F$2,EOMONTH(AP$2,-1)+1,$C132:$F132)*VLOOKUP(AP$2,ProyDia[],8,0)</f>
        <v>0</v>
      </c>
      <c r="AQ132" s="36" t="n">
        <f aca="false">SUMIF($C$2:$F$2,EOMONTH(AQ$2,-1)+1,$C132:$F132)*VLOOKUP(AQ$2,ProyDia[],8,0)</f>
        <v>0</v>
      </c>
      <c r="AR132" s="36" t="n">
        <f aca="false">SUMIF($C$2:$F$2,EOMONTH(AR$2,-1)+1,$C132:$F132)*VLOOKUP(AR$2,ProyDia[],8,0)</f>
        <v>0</v>
      </c>
      <c r="AS132" s="36" t="n">
        <f aca="false">SUMIF($C$2:$F$2,EOMONTH(AS$2,-1)+1,$C132:$F132)*VLOOKUP(AS$2,ProyDia[],8,0)</f>
        <v>0</v>
      </c>
      <c r="AT132" s="36" t="n">
        <f aca="false">SUMIF($C$2:$F$2,EOMONTH(AT$2,-1)+1,$C132:$F132)*VLOOKUP(AT$2,ProyDia[],8,0)</f>
        <v>0</v>
      </c>
      <c r="AU132" s="36" t="n">
        <f aca="false">SUMIF($C$2:$F$2,EOMONTH(AU$2,-1)+1,$C132:$F132)*VLOOKUP(AU$2,ProyDia[],8,0)</f>
        <v>0</v>
      </c>
      <c r="AV132" s="36" t="n">
        <f aca="false">SUMIF($C$2:$F$2,EOMONTH(AV$2,-1)+1,$C132:$F132)*VLOOKUP(AV$2,ProyDia[],8,0)</f>
        <v>0</v>
      </c>
      <c r="AW132" s="36" t="n">
        <f aca="false">SUMIF($C$2:$F$2,EOMONTH(AW$2,-1)+1,$C132:$F132)*VLOOKUP(AW$2,ProyDia[],8,0)</f>
        <v>0</v>
      </c>
      <c r="AX132" s="36" t="n">
        <f aca="false">SUMIF($C$2:$F$2,EOMONTH(AX$2,-1)+1,$C132:$F132)*VLOOKUP(AX$2,ProyDia[],8,0)</f>
        <v>0</v>
      </c>
      <c r="AY132" s="36" t="n">
        <f aca="false">SUMIF($C$2:$F$2,EOMONTH(AY$2,-1)+1,$C132:$F132)*VLOOKUP(AY$2,ProyDia[],8,0)</f>
        <v>0</v>
      </c>
      <c r="AZ132" s="36" t="n">
        <f aca="false">SUMIF($C$2:$F$2,EOMONTH(AZ$2,-1)+1,$C132:$F132)*VLOOKUP(AZ$2,ProyDia[],8,0)</f>
        <v>0</v>
      </c>
      <c r="BA132" s="36" t="n">
        <f aca="false">SUMIF($C$2:$F$2,EOMONTH(BA$2,-1)+1,$C132:$F132)*VLOOKUP(BA$2,ProyDia[],8,0)</f>
        <v>0</v>
      </c>
      <c r="BB132" s="36" t="n">
        <f aca="false">SUMIF($C$2:$F$2,EOMONTH(BB$2,-1)+1,$C132:$F132)*VLOOKUP(BB$2,ProyDia[],8,0)</f>
        <v>0</v>
      </c>
      <c r="BC132" s="36" t="n">
        <f aca="false">SUMIF($C$2:$F$2,EOMONTH(BC$2,-1)+1,$C132:$F132)*VLOOKUP(BC$2,ProyDia[],8,0)</f>
        <v>0</v>
      </c>
      <c r="BD132" s="36" t="n">
        <f aca="false">SUMIF($C$2:$F$2,EOMONTH(BD$2,-1)+1,$C132:$F132)*VLOOKUP(BD$2,ProyDia[],8,0)</f>
        <v>0</v>
      </c>
      <c r="BE132" s="36" t="n">
        <f aca="false">SUMIF($C$2:$F$2,EOMONTH(BE$2,-1)+1,$C132:$F132)*VLOOKUP(BE$2,ProyDia[],8,0)</f>
        <v>0</v>
      </c>
      <c r="BF132" s="36" t="n">
        <f aca="false">SUMIF($C$2:$F$2,EOMONTH(BF$2,-1)+1,$C132:$F132)*VLOOKUP(BF$2,ProyDia[],8,0)</f>
        <v>0</v>
      </c>
      <c r="BG132" s="36" t="n">
        <f aca="false">SUMIF($C$2:$F$2,EOMONTH(BG$2,-1)+1,$C132:$F132)*VLOOKUP(BG$2,ProyDia[],8,0)</f>
        <v>0</v>
      </c>
      <c r="BH132" s="36" t="n">
        <f aca="false">SUMIF($C$2:$F$2,EOMONTH(BH$2,-1)+1,$C132:$F132)*VLOOKUP(BH$2,ProyDia[],8,0)</f>
        <v>0</v>
      </c>
      <c r="BI132" s="36" t="n">
        <f aca="false">SUMIF($C$2:$F$2,EOMONTH(BI$2,-1)+1,$C132:$F132)*VLOOKUP(BI$2,ProyDia[],8,0)</f>
        <v>0</v>
      </c>
      <c r="BJ132" s="36" t="n">
        <f aca="false">SUMIF($C$2:$F$2,EOMONTH(BJ$2,-1)+1,$C132:$F132)*VLOOKUP(BJ$2,ProyDia[],8,0)</f>
        <v>0</v>
      </c>
      <c r="BK132" s="36" t="n">
        <f aca="false">SUMIF($C$2:$F$2,EOMONTH(BK$2,-1)+1,$C132:$F132)*VLOOKUP(BK$2,ProyDia[],8,0)</f>
        <v>0</v>
      </c>
      <c r="BL132" s="36" t="n">
        <f aca="false">SUMIF($C$2:$F$2,EOMONTH(BL$2,-1)+1,$C132:$F132)*VLOOKUP(BL$2,ProyDia[],8,0)</f>
        <v>0</v>
      </c>
      <c r="BM132" s="36" t="n">
        <f aca="false">SUMIF($C$2:$F$2,EOMONTH(BM$2,-1)+1,$C132:$F132)*VLOOKUP(BM$2,ProyDia[],8,0)</f>
        <v>0</v>
      </c>
      <c r="BN132" s="36" t="n">
        <f aca="false">SUMIF($C$2:$F$2,EOMONTH(BN$2,-1)+1,$C132:$F132)*VLOOKUP(BN$2,ProyDia[],8,0)</f>
        <v>0</v>
      </c>
      <c r="BO132" s="36" t="n">
        <f aca="false">SUMIF($C$2:$F$2,EOMONTH(BO$2,-1)+1,$C132:$F132)*VLOOKUP(BO$2,ProyDia[],8,0)</f>
        <v>0</v>
      </c>
      <c r="BP132" s="36" t="n">
        <f aca="false">SUMIF($C$2:$F$2,EOMONTH(BP$2,-1)+1,$C132:$F132)*VLOOKUP(BP$2,ProyDia[],8,0)</f>
        <v>0</v>
      </c>
      <c r="BQ132" s="36" t="n">
        <f aca="false">SUMIF($C$2:$F$2,EOMONTH(BQ$2,-1)+1,$C132:$F132)*VLOOKUP(BQ$2,ProyDia[],8,0)</f>
        <v>0</v>
      </c>
      <c r="BR132" s="36" t="n">
        <f aca="false">SUMIF($C$2:$F$2,EOMONTH(BR$2,-1)+1,$C132:$F132)*VLOOKUP(BR$2,ProyDia[],8,0)</f>
        <v>0</v>
      </c>
      <c r="BS132" s="36" t="n">
        <f aca="false">SUMIF($C$2:$F$2,EOMONTH(BS$2,-1)+1,$C132:$F132)*VLOOKUP(BS$2,ProyDia[],8,0)</f>
        <v>0</v>
      </c>
      <c r="BT132" s="36" t="n">
        <f aca="false">SUMIF($C$2:$F$2,EOMONTH(BT$2,-1)+1,$C132:$F132)*VLOOKUP(BT$2,ProyDia[],8,0)</f>
        <v>0</v>
      </c>
      <c r="BU132" s="36" t="n">
        <f aca="false">SUMIF($C$2:$F$2,EOMONTH(BU$2,-1)+1,$C132:$F132)*VLOOKUP(BU$2,ProyDia[],8,0)</f>
        <v>0</v>
      </c>
      <c r="BV132" s="36" t="n">
        <f aca="false">SUMIF($C$2:$F$2,EOMONTH(BV$2,-1)+1,$C132:$F132)*VLOOKUP(BV$2,ProyDia[],8,0)</f>
        <v>0</v>
      </c>
      <c r="BW132" s="36" t="n">
        <f aca="false">SUMIF($C$2:$F$2,EOMONTH(BW$2,-1)+1,$C132:$F132)*VLOOKUP(BW$2,ProyDia[],8,0)</f>
        <v>0</v>
      </c>
      <c r="BX132" s="36" t="n">
        <f aca="false">SUMIF($C$2:$F$2,EOMONTH(BX$2,-1)+1,$C132:$F132)*VLOOKUP(BX$2,ProyDia[],8,0)</f>
        <v>0</v>
      </c>
      <c r="BY132" s="36" t="n">
        <f aca="false">SUMIF($C$2:$F$2,EOMONTH(BY$2,-1)+1,$C132:$F132)*VLOOKUP(BY$2,ProyDia[],8,0)</f>
        <v>0</v>
      </c>
      <c r="BZ132" s="36" t="n">
        <f aca="false">SUMIF($C$2:$F$2,EOMONTH(BZ$2,-1)+1,$C132:$F132)*VLOOKUP(BZ$2,ProyDia[],8,0)</f>
        <v>0</v>
      </c>
      <c r="CA132" s="36" t="n">
        <f aca="false">SUMIF($C$2:$F$2,EOMONTH(CA$2,-1)+1,$C132:$F132)*VLOOKUP(CA$2,ProyDia[],8,0)</f>
        <v>0</v>
      </c>
      <c r="CB132" s="36" t="n">
        <f aca="false">SUMIF($C$2:$F$2,EOMONTH(CB$2,-1)+1,$C132:$F132)*VLOOKUP(CB$2,ProyDia[],8,0)</f>
        <v>0</v>
      </c>
      <c r="CC132" s="36" t="n">
        <f aca="false">SUMIF($C$2:$F$2,EOMONTH(CC$2,-1)+1,$C132:$F132)*VLOOKUP(CC$2,ProyDia[],8,0)</f>
        <v>0</v>
      </c>
      <c r="CD132" s="36" t="n">
        <f aca="false">SUMIF($C$2:$F$2,EOMONTH(CD$2,-1)+1,$C132:$F132)*VLOOKUP(CD$2,ProyDia[],8,0)</f>
        <v>0</v>
      </c>
      <c r="CE132" s="36" t="n">
        <f aca="false">SUMIF($C$2:$F$2,EOMONTH(CE$2,-1)+1,$C132:$F132)*VLOOKUP(CE$2,ProyDia[],8,0)</f>
        <v>0</v>
      </c>
      <c r="CF132" s="36" t="n">
        <f aca="false">SUMIF($C$2:$F$2,EOMONTH(CF$2,-1)+1,$C132:$F132)*VLOOKUP(CF$2,ProyDia[],8,0)</f>
        <v>0</v>
      </c>
      <c r="CG132" s="36" t="n">
        <f aca="false">SUMIF($C$2:$F$2,EOMONTH(CG$2,-1)+1,$C132:$F132)*VLOOKUP(CG$2,ProyDia[],8,0)</f>
        <v>0</v>
      </c>
      <c r="CH132" s="36" t="n">
        <f aca="false">SUMIF($C$2:$F$2,EOMONTH(CH$2,-1)+1,$C132:$F132)*VLOOKUP(CH$2,ProyDia[],8,0)</f>
        <v>0</v>
      </c>
      <c r="CI132" s="36" t="n">
        <f aca="false">SUMIF($C$2:$F$2,EOMONTH(CI$2,-1)+1,$C132:$F132)*VLOOKUP(CI$2,ProyDia[],8,0)</f>
        <v>0</v>
      </c>
      <c r="CJ132" s="36" t="n">
        <f aca="false">SUMIF($C$2:$F$2,EOMONTH(CJ$2,-1)+1,$C132:$F132)*VLOOKUP(CJ$2,ProyDia[],8,0)</f>
        <v>0</v>
      </c>
      <c r="CK132" s="36" t="n">
        <f aca="false">SUMIF($C$2:$F$2,EOMONTH(CK$2,-1)+1,$C132:$F132)*VLOOKUP(CK$2,ProyDia[],8,0)</f>
        <v>0</v>
      </c>
      <c r="CL132" s="36" t="n">
        <f aca="false">SUMIF($C$2:$F$2,EOMONTH(CL$2,-1)+1,$C132:$F132)*VLOOKUP(CL$2,ProyDia[],8,0)</f>
        <v>0</v>
      </c>
      <c r="CM132" s="36" t="n">
        <f aca="false">SUMIF($C$2:$F$2,EOMONTH(CM$2,-1)+1,$C132:$F132)*VLOOKUP(CM$2,ProyDia[],8,0)</f>
        <v>0</v>
      </c>
      <c r="CN132" s="36" t="n">
        <f aca="false">SUMIF($C$2:$F$2,EOMONTH(CN$2,-1)+1,$C132:$F132)*VLOOKUP(CN$2,ProyDia[],8,0)</f>
        <v>0</v>
      </c>
      <c r="CO132" s="36" t="n">
        <f aca="false">SUMIF($C$2:$F$2,EOMONTH(CO$2,-1)+1,$C132:$F132)*VLOOKUP(CO$2,ProyDia[],8,0)</f>
        <v>0</v>
      </c>
      <c r="CP132" s="36" t="n">
        <f aca="false">SUMIF($C$2:$F$2,EOMONTH(CP$2,-1)+1,$C132:$F132)*VLOOKUP(CP$2,ProyDia[],8,0)</f>
        <v>0</v>
      </c>
      <c r="CQ132" s="36" t="n">
        <f aca="false">SUMIF($C$2:$F$2,EOMONTH(CQ$2,-1)+1,$C132:$F132)*VLOOKUP(CQ$2,ProyDia[],8,0)</f>
        <v>0</v>
      </c>
      <c r="CR132" s="36" t="n">
        <f aca="false">SUMIF($C$2:$F$2,EOMONTH(CR$2,-1)+1,$C132:$F132)*VLOOKUP(CR$2,ProyDia[],8,0)</f>
        <v>0</v>
      </c>
      <c r="CS132" s="36" t="n">
        <f aca="false">SUMIF($C$2:$F$2,EOMONTH(CS$2,-1)+1,$C132:$F132)*VLOOKUP(CS$2,ProyDia[],8,0)</f>
        <v>0</v>
      </c>
      <c r="CT132" s="36" t="n">
        <f aca="false">SUMIF($C$2:$F$2,EOMONTH(CT$2,-1)+1,$C132:$F132)*VLOOKUP(CT$2,ProyDia[],8,0)</f>
        <v>0</v>
      </c>
      <c r="CU132" s="36" t="n">
        <f aca="false">SUMIF($C$2:$F$2,EOMONTH(CU$2,-1)+1,$C132:$F132)*VLOOKUP(CU$2,ProyDia[],8,0)</f>
        <v>0</v>
      </c>
      <c r="CV132" s="36" t="n">
        <f aca="false">SUMIF($C$2:$F$2,EOMONTH(CV$2,-1)+1,$C132:$F132)*VLOOKUP(CV$2,ProyDia[],8,0)</f>
        <v>0</v>
      </c>
      <c r="CW132" s="36" t="n">
        <f aca="false">SUMIF($C$2:$F$2,EOMONTH(CW$2,-1)+1,$C132:$F132)*VLOOKUP(CW$2,ProyDia[],8,0)</f>
        <v>0</v>
      </c>
      <c r="CX132" s="36" t="n">
        <f aca="false">SUMIF($C$2:$F$2,EOMONTH(CX$2,-1)+1,$C132:$F132)*VLOOKUP(CX$2,ProyDia[],8,0)</f>
        <v>0</v>
      </c>
      <c r="CY132" s="36" t="n">
        <f aca="false">SUMIF($C$2:$F$2,EOMONTH(CY$2,-1)+1,$C132:$F132)*VLOOKUP(CY$2,ProyDia[],8,0)</f>
        <v>0</v>
      </c>
      <c r="CZ132" s="36" t="n">
        <f aca="false">SUMIF($C$2:$F$2,EOMONTH(CZ$2,-1)+1,$C132:$F132)*VLOOKUP(CZ$2,ProyDia[],8,0)</f>
        <v>0</v>
      </c>
      <c r="DA132" s="36" t="n">
        <f aca="false">SUMIF($C$2:$F$2,EOMONTH(DA$2,-1)+1,$C132:$F132)*VLOOKUP(DA$2,ProyDia[],8,0)</f>
        <v>0</v>
      </c>
      <c r="DB132" s="36" t="n">
        <f aca="false">SUMIF($C$2:$F$2,EOMONTH(DB$2,-1)+1,$C132:$F132)*VLOOKUP(DB$2,ProyDia[],8,0)</f>
        <v>0</v>
      </c>
      <c r="DC132" s="36" t="n">
        <f aca="false">SUMIF($C$2:$F$2,EOMONTH(DC$2,-1)+1,$C132:$F132)*VLOOKUP(DC$2,ProyDia[],8,0)</f>
        <v>0</v>
      </c>
      <c r="DD132" s="36" t="n">
        <f aca="false">SUMIF($C$2:$F$2,EOMONTH(DD$2,-1)+1,$C132:$F132)*VLOOKUP(DD$2,ProyDia[],8,0)</f>
        <v>0</v>
      </c>
      <c r="DE132" s="36" t="n">
        <f aca="false">SUMIF($C$2:$F$2,EOMONTH(DE$2,-1)+1,$C132:$F132)*VLOOKUP(DE$2,ProyDia[],8,0)</f>
        <v>0</v>
      </c>
      <c r="DF132" s="36" t="n">
        <f aca="false">SUMIF($C$2:$F$2,EOMONTH(DF$2,-1)+1,$C132:$F132)*VLOOKUP(DF$2,ProyDia[],8,0)</f>
        <v>0</v>
      </c>
      <c r="DG132" s="36" t="n">
        <f aca="false">SUMIF($C$2:$F$2,EOMONTH(DG$2,-1)+1,$C132:$F132)*VLOOKUP(DG$2,ProyDia[],8,0)</f>
        <v>0</v>
      </c>
      <c r="DH132" s="36" t="n">
        <f aca="false">SUMIF($C$2:$F$2,EOMONTH(DH$2,-1)+1,$C132:$F132)*VLOOKUP(DH$2,ProyDia[],8,0)</f>
        <v>0</v>
      </c>
      <c r="DI132" s="36" t="n">
        <f aca="false">SUMIF($C$2:$F$2,EOMONTH(DI$2,-1)+1,$C132:$F132)*VLOOKUP(DI$2,ProyDia[],8,0)</f>
        <v>0</v>
      </c>
      <c r="DJ132" s="36" t="n">
        <f aca="false">SUMIF($C$2:$F$2,EOMONTH(DJ$2,-1)+1,$C132:$F132)*VLOOKUP(DJ$2,ProyDia[],8,0)</f>
        <v>0</v>
      </c>
      <c r="DK132" s="36" t="n">
        <f aca="false">SUMIF($C$2:$F$2,EOMONTH(DK$2,-1)+1,$C132:$F132)*VLOOKUP(DK$2,ProyDia[],8,0)</f>
        <v>0</v>
      </c>
      <c r="DL132" s="36" t="n">
        <f aca="false">SUMIF($C$2:$F$2,EOMONTH(DL$2,-1)+1,$C132:$F132)*VLOOKUP(DL$2,ProyDia[],8,0)</f>
        <v>0</v>
      </c>
      <c r="DM132" s="36" t="n">
        <f aca="false">SUMIF($C$2:$F$2,EOMONTH(DM$2,-1)+1,$C132:$F132)*VLOOKUP(DM$2,ProyDia[],8,0)</f>
        <v>0</v>
      </c>
      <c r="DN132" s="36" t="n">
        <f aca="false">SUMIF($C$2:$F$2,EOMONTH(DN$2,-1)+1,$C132:$F132)*VLOOKUP(DN$2,ProyDia[],8,0)</f>
        <v>0</v>
      </c>
      <c r="DO132" s="36" t="n">
        <f aca="false">SUMIF($C$2:$F$2,EOMONTH(DO$2,-1)+1,$C132:$F132)*VLOOKUP(DO$2,ProyDia[],8,0)</f>
        <v>0</v>
      </c>
      <c r="DP132" s="36" t="n">
        <f aca="false">SUMIF($C$2:$F$2,EOMONTH(DP$2,-1)+1,$C132:$F132)*VLOOKUP(DP$2,ProyDia[],8,0)</f>
        <v>0</v>
      </c>
      <c r="DQ132" s="36" t="n">
        <f aca="false">SUMIF($C$2:$F$2,EOMONTH(DQ$2,-1)+1,$C132:$F132)*VLOOKUP(DQ$2,ProyDia[],8,0)</f>
        <v>0</v>
      </c>
      <c r="DR132" s="36" t="n">
        <f aca="false">SUMIF($C$2:$F$2,EOMONTH(DR$2,-1)+1,$C132:$F132)*VLOOKUP(DR$2,ProyDia[],8,0)</f>
        <v>0</v>
      </c>
      <c r="DS132" s="36" t="n">
        <f aca="false">SUMIF($C$2:$F$2,EOMONTH(DS$2,-1)+1,$C132:$F132)*VLOOKUP(DS$2,ProyDia[],8,0)</f>
        <v>0</v>
      </c>
      <c r="DT132" s="36" t="n">
        <f aca="false">SUMIF($C$2:$F$2,EOMONTH(DT$2,-1)+1,$C132:$F132)*VLOOKUP(DT$2,ProyDia[],8,0)</f>
        <v>0</v>
      </c>
      <c r="DU132" s="36" t="n">
        <f aca="false">SUMIF($C$2:$F$2,EOMONTH(DU$2,-1)+1,$C132:$F132)*VLOOKUP(DU$2,ProyDia[],8,0)</f>
        <v>0</v>
      </c>
      <c r="DV132" s="36" t="n">
        <f aca="false">SUMIF($C$2:$F$2,EOMONTH(DV$2,-1)+1,$C132:$F132)*VLOOKUP(DV$2,ProyDia[],8,0)</f>
        <v>0</v>
      </c>
      <c r="DW132" s="36" t="n">
        <f aca="false">SUMIF($C$2:$F$2,EOMONTH(DW$2,-1)+1,$C132:$F132)*VLOOKUP(DW$2,ProyDia[],8,0)</f>
        <v>0</v>
      </c>
      <c r="DX132" s="36" t="n">
        <f aca="false">SUMIF($C$2:$F$2,EOMONTH(DX$2,-1)+1,$C132:$F132)*VLOOKUP(DX$2,ProyDia[],8,0)</f>
        <v>0</v>
      </c>
    </row>
    <row r="133" customFormat="false" ht="14.4" hidden="false" customHeight="false" outlineLevel="0" collapsed="false">
      <c r="A133" s="34"/>
      <c r="B133" s="34"/>
      <c r="C133" s="34"/>
      <c r="D133" s="34"/>
      <c r="E133" s="34"/>
      <c r="F133" s="34"/>
      <c r="G133" s="28" t="n">
        <f aca="false">SUMIF($C$2:$F$2,EOMONTH(G$2,-1)+1,$C133:$F133)*VLOOKUP(G$2,ProyDia[],8,0)</f>
        <v>0</v>
      </c>
      <c r="H133" s="28" t="n">
        <f aca="false">SUMIF($C$2:$F$2,EOMONTH(H$2,-1)+1,$C133:$F133)*VLOOKUP(H$2,ProyDia[],8,0)</f>
        <v>0</v>
      </c>
      <c r="I133" s="28" t="n">
        <f aca="false">SUMIF($C$2:$F$2,EOMONTH(I$2,-1)+1,$C133:$F133)*VLOOKUP(I$2,ProyDia[],8,0)</f>
        <v>0</v>
      </c>
      <c r="J133" s="28" t="n">
        <f aca="false">SUMIF($C$2:$F$2,EOMONTH(J$2,-1)+1,$C133:$F133)*VLOOKUP(J$2,ProyDia[],8,0)</f>
        <v>0</v>
      </c>
      <c r="K133" s="28" t="n">
        <f aca="false">SUMIF($C$2:$F$2,EOMONTH(K$2,-1)+1,$C133:$F133)*VLOOKUP(K$2,ProyDia[],8,0)</f>
        <v>0</v>
      </c>
      <c r="L133" s="28" t="n">
        <f aca="false">SUMIF($C$2:$F$2,EOMONTH(L$2,-1)+1,$C133:$F133)*VLOOKUP(L$2,ProyDia[],8,0)</f>
        <v>0</v>
      </c>
      <c r="M133" s="28" t="n">
        <f aca="false">SUMIF($C$2:$F$2,EOMONTH(M$2,-1)+1,$C133:$F133)*VLOOKUP(M$2,ProyDia[],8,0)</f>
        <v>0</v>
      </c>
      <c r="N133" s="28" t="n">
        <f aca="false">SUMIF($C$2:$F$2,EOMONTH(N$2,-1)+1,$C133:$F133)*VLOOKUP(N$2,ProyDia[],8,0)</f>
        <v>0</v>
      </c>
      <c r="O133" s="28" t="n">
        <f aca="false">SUMIF($C$2:$F$2,EOMONTH(O$2,-1)+1,$C133:$F133)*VLOOKUP(O$2,ProyDia[],8,0)</f>
        <v>0</v>
      </c>
      <c r="P133" s="28" t="n">
        <f aca="false">SUMIF($C$2:$F$2,EOMONTH(P$2,-1)+1,$C133:$F133)*VLOOKUP(P$2,ProyDia[],8,0)</f>
        <v>0</v>
      </c>
      <c r="Q133" s="28" t="n">
        <f aca="false">SUMIF($C$2:$F$2,EOMONTH(Q$2,-1)+1,$C133:$F133)*VLOOKUP(Q$2,ProyDia[],8,0)</f>
        <v>0</v>
      </c>
      <c r="R133" s="28" t="n">
        <f aca="false">SUMIF($C$2:$F$2,EOMONTH(R$2,-1)+1,$C133:$F133)*VLOOKUP(R$2,ProyDia[],8,0)</f>
        <v>0</v>
      </c>
      <c r="S133" s="28" t="n">
        <f aca="false">SUMIF($C$2:$F$2,EOMONTH(S$2,-1)+1,$C133:$F133)*VLOOKUP(S$2,ProyDia[],8,0)</f>
        <v>0</v>
      </c>
      <c r="T133" s="28" t="n">
        <f aca="false">SUMIF($C$2:$F$2,EOMONTH(T$2,-1)+1,$C133:$F133)*VLOOKUP(T$2,ProyDia[],8,0)</f>
        <v>0</v>
      </c>
      <c r="U133" s="28" t="n">
        <f aca="false">SUMIF($C$2:$F$2,EOMONTH(U$2,-1)+1,$C133:$F133)*VLOOKUP(U$2,ProyDia[],8,0)</f>
        <v>0</v>
      </c>
      <c r="V133" s="28" t="n">
        <f aca="false">SUMIF($C$2:$F$2,EOMONTH(V$2,-1)+1,$C133:$F133)*VLOOKUP(V$2,ProyDia[],8,0)</f>
        <v>0</v>
      </c>
      <c r="W133" s="28" t="n">
        <f aca="false">SUMIF($C$2:$F$2,EOMONTH(W$2,-1)+1,$C133:$F133)*VLOOKUP(W$2,ProyDia[],8,0)</f>
        <v>0</v>
      </c>
      <c r="X133" s="28" t="n">
        <f aca="false">SUMIF($C$2:$F$2,EOMONTH(X$2,-1)+1,$C133:$F133)*VLOOKUP(X$2,ProyDia[],8,0)</f>
        <v>0</v>
      </c>
      <c r="Y133" s="28" t="n">
        <f aca="false">SUMIF($C$2:$F$2,EOMONTH(Y$2,-1)+1,$C133:$F133)*VLOOKUP(Y$2,ProyDia[],8,0)</f>
        <v>0</v>
      </c>
      <c r="Z133" s="28" t="n">
        <f aca="false">SUMIF($C$2:$F$2,EOMONTH(Z$2,-1)+1,$C133:$F133)*VLOOKUP(Z$2,ProyDia[],8,0)</f>
        <v>0</v>
      </c>
      <c r="AA133" s="28" t="n">
        <f aca="false">SUMIF($C$2:$F$2,EOMONTH(AA$2,-1)+1,$C133:$F133)*VLOOKUP(AA$2,ProyDia[],8,0)</f>
        <v>0</v>
      </c>
      <c r="AB133" s="28" t="n">
        <f aca="false">SUMIF($C$2:$F$2,EOMONTH(AB$2,-1)+1,$C133:$F133)*VLOOKUP(AB$2,ProyDia[],8,0)</f>
        <v>0</v>
      </c>
      <c r="AC133" s="28" t="n">
        <f aca="false">SUMIF($C$2:$F$2,EOMONTH(AC$2,-1)+1,$C133:$F133)*VLOOKUP(AC$2,ProyDia[],8,0)</f>
        <v>0</v>
      </c>
      <c r="AD133" s="28" t="n">
        <f aca="false">SUMIF($C$2:$F$2,EOMONTH(AD$2,-1)+1,$C133:$F133)*VLOOKUP(AD$2,ProyDia[],8,0)</f>
        <v>0</v>
      </c>
      <c r="AE133" s="28" t="n">
        <f aca="false">SUMIF($C$2:$F$2,EOMONTH(AE$2,-1)+1,$C133:$F133)*VLOOKUP(AE$2,ProyDia[],8,0)</f>
        <v>0</v>
      </c>
      <c r="AF133" s="28" t="n">
        <f aca="false">SUMIF($C$2:$F$2,EOMONTH(AF$2,-1)+1,$C133:$F133)*VLOOKUP(AF$2,ProyDia[],8,0)</f>
        <v>0</v>
      </c>
      <c r="AG133" s="28" t="n">
        <f aca="false">SUMIF($C$2:$F$2,EOMONTH(AG$2,-1)+1,$C133:$F133)*VLOOKUP(AG$2,ProyDia[],8,0)</f>
        <v>0</v>
      </c>
      <c r="AH133" s="28" t="n">
        <f aca="false">SUMIF($C$2:$F$2,EOMONTH(AH$2,-1)+1,$C133:$F133)*VLOOKUP(AH$2,ProyDia[],8,0)</f>
        <v>0</v>
      </c>
      <c r="AI133" s="28" t="n">
        <f aca="false">SUMIF($C$2:$F$2,EOMONTH(AI$2,-1)+1,$C133:$F133)*VLOOKUP(AI$2,ProyDia[],8,0)</f>
        <v>0</v>
      </c>
      <c r="AJ133" s="28" t="n">
        <f aca="false">SUMIF($C$2:$F$2,EOMONTH(AJ$2,-1)+1,$C133:$F133)*VLOOKUP(AJ$2,ProyDia[],8,0)</f>
        <v>0</v>
      </c>
      <c r="AK133" s="28" t="n">
        <f aca="false">SUMIF($C$2:$F$2,EOMONTH(AK$2,-1)+1,$C133:$F133)*VLOOKUP(AK$2,ProyDia[],8,0)</f>
        <v>0</v>
      </c>
      <c r="AL133" s="28" t="n">
        <f aca="false">SUMIF($C$2:$F$2,EOMONTH(AL$2,-1)+1,$C133:$F133)*VLOOKUP(AL$2,ProyDia[],8,0)</f>
        <v>0</v>
      </c>
      <c r="AM133" s="28" t="n">
        <f aca="false">SUMIF($C$2:$F$2,EOMONTH(AM$2,-1)+1,$C133:$F133)*VLOOKUP(AM$2,ProyDia[],8,0)</f>
        <v>0</v>
      </c>
      <c r="AN133" s="28" t="n">
        <f aca="false">SUMIF($C$2:$F$2,EOMONTH(AN$2,-1)+1,$C133:$F133)*VLOOKUP(AN$2,ProyDia[],8,0)</f>
        <v>0</v>
      </c>
      <c r="AO133" s="28" t="n">
        <f aca="false">SUMIF($C$2:$F$2,EOMONTH(AO$2,-1)+1,$C133:$F133)*VLOOKUP(AO$2,ProyDia[],8,0)</f>
        <v>0</v>
      </c>
      <c r="AP133" s="28" t="n">
        <f aca="false">SUMIF($C$2:$F$2,EOMONTH(AP$2,-1)+1,$C133:$F133)*VLOOKUP(AP$2,ProyDia[],8,0)</f>
        <v>0</v>
      </c>
      <c r="AQ133" s="28" t="n">
        <f aca="false">SUMIF($C$2:$F$2,EOMONTH(AQ$2,-1)+1,$C133:$F133)*VLOOKUP(AQ$2,ProyDia[],8,0)</f>
        <v>0</v>
      </c>
      <c r="AR133" s="28" t="n">
        <f aca="false">SUMIF($C$2:$F$2,EOMONTH(AR$2,-1)+1,$C133:$F133)*VLOOKUP(AR$2,ProyDia[],8,0)</f>
        <v>0</v>
      </c>
      <c r="AS133" s="28" t="n">
        <f aca="false">SUMIF($C$2:$F$2,EOMONTH(AS$2,-1)+1,$C133:$F133)*VLOOKUP(AS$2,ProyDia[],8,0)</f>
        <v>0</v>
      </c>
      <c r="AT133" s="28" t="n">
        <f aca="false">SUMIF($C$2:$F$2,EOMONTH(AT$2,-1)+1,$C133:$F133)*VLOOKUP(AT$2,ProyDia[],8,0)</f>
        <v>0</v>
      </c>
      <c r="AU133" s="28" t="n">
        <f aca="false">SUMIF($C$2:$F$2,EOMONTH(AU$2,-1)+1,$C133:$F133)*VLOOKUP(AU$2,ProyDia[],8,0)</f>
        <v>0</v>
      </c>
      <c r="AV133" s="28" t="n">
        <f aca="false">SUMIF($C$2:$F$2,EOMONTH(AV$2,-1)+1,$C133:$F133)*VLOOKUP(AV$2,ProyDia[],8,0)</f>
        <v>0</v>
      </c>
      <c r="AW133" s="28" t="n">
        <f aca="false">SUMIF($C$2:$F$2,EOMONTH(AW$2,-1)+1,$C133:$F133)*VLOOKUP(AW$2,ProyDia[],8,0)</f>
        <v>0</v>
      </c>
      <c r="AX133" s="28" t="n">
        <f aca="false">SUMIF($C$2:$F$2,EOMONTH(AX$2,-1)+1,$C133:$F133)*VLOOKUP(AX$2,ProyDia[],8,0)</f>
        <v>0</v>
      </c>
      <c r="AY133" s="28" t="n">
        <f aca="false">SUMIF($C$2:$F$2,EOMONTH(AY$2,-1)+1,$C133:$F133)*VLOOKUP(AY$2,ProyDia[],8,0)</f>
        <v>0</v>
      </c>
      <c r="AZ133" s="28" t="n">
        <f aca="false">SUMIF($C$2:$F$2,EOMONTH(AZ$2,-1)+1,$C133:$F133)*VLOOKUP(AZ$2,ProyDia[],8,0)</f>
        <v>0</v>
      </c>
      <c r="BA133" s="28" t="n">
        <f aca="false">SUMIF($C$2:$F$2,EOMONTH(BA$2,-1)+1,$C133:$F133)*VLOOKUP(BA$2,ProyDia[],8,0)</f>
        <v>0</v>
      </c>
      <c r="BB133" s="28" t="n">
        <f aca="false">SUMIF($C$2:$F$2,EOMONTH(BB$2,-1)+1,$C133:$F133)*VLOOKUP(BB$2,ProyDia[],8,0)</f>
        <v>0</v>
      </c>
      <c r="BC133" s="28" t="n">
        <f aca="false">SUMIF($C$2:$F$2,EOMONTH(BC$2,-1)+1,$C133:$F133)*VLOOKUP(BC$2,ProyDia[],8,0)</f>
        <v>0</v>
      </c>
      <c r="BD133" s="28" t="n">
        <f aca="false">SUMIF($C$2:$F$2,EOMONTH(BD$2,-1)+1,$C133:$F133)*VLOOKUP(BD$2,ProyDia[],8,0)</f>
        <v>0</v>
      </c>
      <c r="BE133" s="28" t="n">
        <f aca="false">SUMIF($C$2:$F$2,EOMONTH(BE$2,-1)+1,$C133:$F133)*VLOOKUP(BE$2,ProyDia[],8,0)</f>
        <v>0</v>
      </c>
      <c r="BF133" s="28" t="n">
        <f aca="false">SUMIF($C$2:$F$2,EOMONTH(BF$2,-1)+1,$C133:$F133)*VLOOKUP(BF$2,ProyDia[],8,0)</f>
        <v>0</v>
      </c>
      <c r="BG133" s="28" t="n">
        <f aca="false">SUMIF($C$2:$F$2,EOMONTH(BG$2,-1)+1,$C133:$F133)*VLOOKUP(BG$2,ProyDia[],8,0)</f>
        <v>0</v>
      </c>
      <c r="BH133" s="28" t="n">
        <f aca="false">SUMIF($C$2:$F$2,EOMONTH(BH$2,-1)+1,$C133:$F133)*VLOOKUP(BH$2,ProyDia[],8,0)</f>
        <v>0</v>
      </c>
      <c r="BI133" s="28" t="n">
        <f aca="false">SUMIF($C$2:$F$2,EOMONTH(BI$2,-1)+1,$C133:$F133)*VLOOKUP(BI$2,ProyDia[],8,0)</f>
        <v>0</v>
      </c>
      <c r="BJ133" s="28" t="n">
        <f aca="false">SUMIF($C$2:$F$2,EOMONTH(BJ$2,-1)+1,$C133:$F133)*VLOOKUP(BJ$2,ProyDia[],8,0)</f>
        <v>0</v>
      </c>
      <c r="BK133" s="28" t="n">
        <f aca="false">SUMIF($C$2:$F$2,EOMONTH(BK$2,-1)+1,$C133:$F133)*VLOOKUP(BK$2,ProyDia[],8,0)</f>
        <v>0</v>
      </c>
      <c r="BL133" s="28" t="n">
        <f aca="false">SUMIF($C$2:$F$2,EOMONTH(BL$2,-1)+1,$C133:$F133)*VLOOKUP(BL$2,ProyDia[],8,0)</f>
        <v>0</v>
      </c>
      <c r="BM133" s="28" t="n">
        <f aca="false">SUMIF($C$2:$F$2,EOMONTH(BM$2,-1)+1,$C133:$F133)*VLOOKUP(BM$2,ProyDia[],8,0)</f>
        <v>0</v>
      </c>
      <c r="BN133" s="28" t="n">
        <f aca="false">SUMIF($C$2:$F$2,EOMONTH(BN$2,-1)+1,$C133:$F133)*VLOOKUP(BN$2,ProyDia[],8,0)</f>
        <v>0</v>
      </c>
      <c r="BO133" s="28" t="n">
        <f aca="false">SUMIF($C$2:$F$2,EOMONTH(BO$2,-1)+1,$C133:$F133)*VLOOKUP(BO$2,ProyDia[],8,0)</f>
        <v>0</v>
      </c>
      <c r="BP133" s="28" t="n">
        <f aca="false">SUMIF($C$2:$F$2,EOMONTH(BP$2,-1)+1,$C133:$F133)*VLOOKUP(BP$2,ProyDia[],8,0)</f>
        <v>0</v>
      </c>
      <c r="BQ133" s="28" t="n">
        <f aca="false">SUMIF($C$2:$F$2,EOMONTH(BQ$2,-1)+1,$C133:$F133)*VLOOKUP(BQ$2,ProyDia[],8,0)</f>
        <v>0</v>
      </c>
      <c r="BR133" s="28" t="n">
        <f aca="false">SUMIF($C$2:$F$2,EOMONTH(BR$2,-1)+1,$C133:$F133)*VLOOKUP(BR$2,ProyDia[],8,0)</f>
        <v>0</v>
      </c>
      <c r="BS133" s="28" t="n">
        <f aca="false">SUMIF($C$2:$F$2,EOMONTH(BS$2,-1)+1,$C133:$F133)*VLOOKUP(BS$2,ProyDia[],8,0)</f>
        <v>0</v>
      </c>
      <c r="BT133" s="28" t="n">
        <f aca="false">SUMIF($C$2:$F$2,EOMONTH(BT$2,-1)+1,$C133:$F133)*VLOOKUP(BT$2,ProyDia[],8,0)</f>
        <v>0</v>
      </c>
      <c r="BU133" s="28" t="n">
        <f aca="false">SUMIF($C$2:$F$2,EOMONTH(BU$2,-1)+1,$C133:$F133)*VLOOKUP(BU$2,ProyDia[],8,0)</f>
        <v>0</v>
      </c>
      <c r="BV133" s="28" t="n">
        <f aca="false">SUMIF($C$2:$F$2,EOMONTH(BV$2,-1)+1,$C133:$F133)*VLOOKUP(BV$2,ProyDia[],8,0)</f>
        <v>0</v>
      </c>
      <c r="BW133" s="28" t="n">
        <f aca="false">SUMIF($C$2:$F$2,EOMONTH(BW$2,-1)+1,$C133:$F133)*VLOOKUP(BW$2,ProyDia[],8,0)</f>
        <v>0</v>
      </c>
      <c r="BX133" s="28" t="n">
        <f aca="false">SUMIF($C$2:$F$2,EOMONTH(BX$2,-1)+1,$C133:$F133)*VLOOKUP(BX$2,ProyDia[],8,0)</f>
        <v>0</v>
      </c>
      <c r="BY133" s="28" t="n">
        <f aca="false">SUMIF($C$2:$F$2,EOMONTH(BY$2,-1)+1,$C133:$F133)*VLOOKUP(BY$2,ProyDia[],8,0)</f>
        <v>0</v>
      </c>
      <c r="BZ133" s="28" t="n">
        <f aca="false">SUMIF($C$2:$F$2,EOMONTH(BZ$2,-1)+1,$C133:$F133)*VLOOKUP(BZ$2,ProyDia[],8,0)</f>
        <v>0</v>
      </c>
      <c r="CA133" s="28" t="n">
        <f aca="false">SUMIF($C$2:$F$2,EOMONTH(CA$2,-1)+1,$C133:$F133)*VLOOKUP(CA$2,ProyDia[],8,0)</f>
        <v>0</v>
      </c>
      <c r="CB133" s="28" t="n">
        <f aca="false">SUMIF($C$2:$F$2,EOMONTH(CB$2,-1)+1,$C133:$F133)*VLOOKUP(CB$2,ProyDia[],8,0)</f>
        <v>0</v>
      </c>
      <c r="CC133" s="28" t="n">
        <f aca="false">SUMIF($C$2:$F$2,EOMONTH(CC$2,-1)+1,$C133:$F133)*VLOOKUP(CC$2,ProyDia[],8,0)</f>
        <v>0</v>
      </c>
      <c r="CD133" s="28" t="n">
        <f aca="false">SUMIF($C$2:$F$2,EOMONTH(CD$2,-1)+1,$C133:$F133)*VLOOKUP(CD$2,ProyDia[],8,0)</f>
        <v>0</v>
      </c>
      <c r="CE133" s="28" t="n">
        <f aca="false">SUMIF($C$2:$F$2,EOMONTH(CE$2,-1)+1,$C133:$F133)*VLOOKUP(CE$2,ProyDia[],8,0)</f>
        <v>0</v>
      </c>
      <c r="CF133" s="28" t="n">
        <f aca="false">SUMIF($C$2:$F$2,EOMONTH(CF$2,-1)+1,$C133:$F133)*VLOOKUP(CF$2,ProyDia[],8,0)</f>
        <v>0</v>
      </c>
      <c r="CG133" s="28" t="n">
        <f aca="false">SUMIF($C$2:$F$2,EOMONTH(CG$2,-1)+1,$C133:$F133)*VLOOKUP(CG$2,ProyDia[],8,0)</f>
        <v>0</v>
      </c>
      <c r="CH133" s="28" t="n">
        <f aca="false">SUMIF($C$2:$F$2,EOMONTH(CH$2,-1)+1,$C133:$F133)*VLOOKUP(CH$2,ProyDia[],8,0)</f>
        <v>0</v>
      </c>
      <c r="CI133" s="28" t="n">
        <f aca="false">SUMIF($C$2:$F$2,EOMONTH(CI$2,-1)+1,$C133:$F133)*VLOOKUP(CI$2,ProyDia[],8,0)</f>
        <v>0</v>
      </c>
      <c r="CJ133" s="28" t="n">
        <f aca="false">SUMIF($C$2:$F$2,EOMONTH(CJ$2,-1)+1,$C133:$F133)*VLOOKUP(CJ$2,ProyDia[],8,0)</f>
        <v>0</v>
      </c>
      <c r="CK133" s="28" t="n">
        <f aca="false">SUMIF($C$2:$F$2,EOMONTH(CK$2,-1)+1,$C133:$F133)*VLOOKUP(CK$2,ProyDia[],8,0)</f>
        <v>0</v>
      </c>
      <c r="CL133" s="28" t="n">
        <f aca="false">SUMIF($C$2:$F$2,EOMONTH(CL$2,-1)+1,$C133:$F133)*VLOOKUP(CL$2,ProyDia[],8,0)</f>
        <v>0</v>
      </c>
      <c r="CM133" s="28" t="n">
        <f aca="false">SUMIF($C$2:$F$2,EOMONTH(CM$2,-1)+1,$C133:$F133)*VLOOKUP(CM$2,ProyDia[],8,0)</f>
        <v>0</v>
      </c>
      <c r="CN133" s="28" t="n">
        <f aca="false">SUMIF($C$2:$F$2,EOMONTH(CN$2,-1)+1,$C133:$F133)*VLOOKUP(CN$2,ProyDia[],8,0)</f>
        <v>0</v>
      </c>
      <c r="CO133" s="28" t="n">
        <f aca="false">SUMIF($C$2:$F$2,EOMONTH(CO$2,-1)+1,$C133:$F133)*VLOOKUP(CO$2,ProyDia[],8,0)</f>
        <v>0</v>
      </c>
      <c r="CP133" s="28" t="n">
        <f aca="false">SUMIF($C$2:$F$2,EOMONTH(CP$2,-1)+1,$C133:$F133)*VLOOKUP(CP$2,ProyDia[],8,0)</f>
        <v>0</v>
      </c>
      <c r="CQ133" s="28" t="n">
        <f aca="false">SUMIF($C$2:$F$2,EOMONTH(CQ$2,-1)+1,$C133:$F133)*VLOOKUP(CQ$2,ProyDia[],8,0)</f>
        <v>0</v>
      </c>
      <c r="CR133" s="28" t="n">
        <f aca="false">SUMIF($C$2:$F$2,EOMONTH(CR$2,-1)+1,$C133:$F133)*VLOOKUP(CR$2,ProyDia[],8,0)</f>
        <v>0</v>
      </c>
      <c r="CS133" s="28" t="n">
        <f aca="false">SUMIF($C$2:$F$2,EOMONTH(CS$2,-1)+1,$C133:$F133)*VLOOKUP(CS$2,ProyDia[],8,0)</f>
        <v>0</v>
      </c>
      <c r="CT133" s="28" t="n">
        <f aca="false">SUMIF($C$2:$F$2,EOMONTH(CT$2,-1)+1,$C133:$F133)*VLOOKUP(CT$2,ProyDia[],8,0)</f>
        <v>0</v>
      </c>
      <c r="CU133" s="28" t="n">
        <f aca="false">SUMIF($C$2:$F$2,EOMONTH(CU$2,-1)+1,$C133:$F133)*VLOOKUP(CU$2,ProyDia[],8,0)</f>
        <v>0</v>
      </c>
      <c r="CV133" s="28" t="n">
        <f aca="false">SUMIF($C$2:$F$2,EOMONTH(CV$2,-1)+1,$C133:$F133)*VLOOKUP(CV$2,ProyDia[],8,0)</f>
        <v>0</v>
      </c>
      <c r="CW133" s="28" t="n">
        <f aca="false">SUMIF($C$2:$F$2,EOMONTH(CW$2,-1)+1,$C133:$F133)*VLOOKUP(CW$2,ProyDia[],8,0)</f>
        <v>0</v>
      </c>
      <c r="CX133" s="28" t="n">
        <f aca="false">SUMIF($C$2:$F$2,EOMONTH(CX$2,-1)+1,$C133:$F133)*VLOOKUP(CX$2,ProyDia[],8,0)</f>
        <v>0</v>
      </c>
      <c r="CY133" s="28" t="n">
        <f aca="false">SUMIF($C$2:$F$2,EOMONTH(CY$2,-1)+1,$C133:$F133)*VLOOKUP(CY$2,ProyDia[],8,0)</f>
        <v>0</v>
      </c>
      <c r="CZ133" s="28" t="n">
        <f aca="false">SUMIF($C$2:$F$2,EOMONTH(CZ$2,-1)+1,$C133:$F133)*VLOOKUP(CZ$2,ProyDia[],8,0)</f>
        <v>0</v>
      </c>
      <c r="DA133" s="28" t="n">
        <f aca="false">SUMIF($C$2:$F$2,EOMONTH(DA$2,-1)+1,$C133:$F133)*VLOOKUP(DA$2,ProyDia[],8,0)</f>
        <v>0</v>
      </c>
      <c r="DB133" s="28" t="n">
        <f aca="false">SUMIF($C$2:$F$2,EOMONTH(DB$2,-1)+1,$C133:$F133)*VLOOKUP(DB$2,ProyDia[],8,0)</f>
        <v>0</v>
      </c>
      <c r="DC133" s="28" t="n">
        <f aca="false">SUMIF($C$2:$F$2,EOMONTH(DC$2,-1)+1,$C133:$F133)*VLOOKUP(DC$2,ProyDia[],8,0)</f>
        <v>0</v>
      </c>
      <c r="DD133" s="28" t="n">
        <f aca="false">SUMIF($C$2:$F$2,EOMONTH(DD$2,-1)+1,$C133:$F133)*VLOOKUP(DD$2,ProyDia[],8,0)</f>
        <v>0</v>
      </c>
      <c r="DE133" s="28" t="n">
        <f aca="false">SUMIF($C$2:$F$2,EOMONTH(DE$2,-1)+1,$C133:$F133)*VLOOKUP(DE$2,ProyDia[],8,0)</f>
        <v>0</v>
      </c>
      <c r="DF133" s="28" t="n">
        <f aca="false">SUMIF($C$2:$F$2,EOMONTH(DF$2,-1)+1,$C133:$F133)*VLOOKUP(DF$2,ProyDia[],8,0)</f>
        <v>0</v>
      </c>
      <c r="DG133" s="28" t="n">
        <f aca="false">SUMIF($C$2:$F$2,EOMONTH(DG$2,-1)+1,$C133:$F133)*VLOOKUP(DG$2,ProyDia[],8,0)</f>
        <v>0</v>
      </c>
      <c r="DH133" s="28" t="n">
        <f aca="false">SUMIF($C$2:$F$2,EOMONTH(DH$2,-1)+1,$C133:$F133)*VLOOKUP(DH$2,ProyDia[],8,0)</f>
        <v>0</v>
      </c>
      <c r="DI133" s="28" t="n">
        <f aca="false">SUMIF($C$2:$F$2,EOMONTH(DI$2,-1)+1,$C133:$F133)*VLOOKUP(DI$2,ProyDia[],8,0)</f>
        <v>0</v>
      </c>
      <c r="DJ133" s="28" t="n">
        <f aca="false">SUMIF($C$2:$F$2,EOMONTH(DJ$2,-1)+1,$C133:$F133)*VLOOKUP(DJ$2,ProyDia[],8,0)</f>
        <v>0</v>
      </c>
      <c r="DK133" s="28" t="n">
        <f aca="false">SUMIF($C$2:$F$2,EOMONTH(DK$2,-1)+1,$C133:$F133)*VLOOKUP(DK$2,ProyDia[],8,0)</f>
        <v>0</v>
      </c>
      <c r="DL133" s="28" t="n">
        <f aca="false">SUMIF($C$2:$F$2,EOMONTH(DL$2,-1)+1,$C133:$F133)*VLOOKUP(DL$2,ProyDia[],8,0)</f>
        <v>0</v>
      </c>
      <c r="DM133" s="28" t="n">
        <f aca="false">SUMIF($C$2:$F$2,EOMONTH(DM$2,-1)+1,$C133:$F133)*VLOOKUP(DM$2,ProyDia[],8,0)</f>
        <v>0</v>
      </c>
      <c r="DN133" s="28" t="n">
        <f aca="false">SUMIF($C$2:$F$2,EOMONTH(DN$2,-1)+1,$C133:$F133)*VLOOKUP(DN$2,ProyDia[],8,0)</f>
        <v>0</v>
      </c>
      <c r="DO133" s="28" t="n">
        <f aca="false">SUMIF($C$2:$F$2,EOMONTH(DO$2,-1)+1,$C133:$F133)*VLOOKUP(DO$2,ProyDia[],8,0)</f>
        <v>0</v>
      </c>
      <c r="DP133" s="28" t="n">
        <f aca="false">SUMIF($C$2:$F$2,EOMONTH(DP$2,-1)+1,$C133:$F133)*VLOOKUP(DP$2,ProyDia[],8,0)</f>
        <v>0</v>
      </c>
      <c r="DQ133" s="28" t="n">
        <f aca="false">SUMIF($C$2:$F$2,EOMONTH(DQ$2,-1)+1,$C133:$F133)*VLOOKUP(DQ$2,ProyDia[],8,0)</f>
        <v>0</v>
      </c>
      <c r="DR133" s="28" t="n">
        <f aca="false">SUMIF($C$2:$F$2,EOMONTH(DR$2,-1)+1,$C133:$F133)*VLOOKUP(DR$2,ProyDia[],8,0)</f>
        <v>0</v>
      </c>
      <c r="DS133" s="28" t="n">
        <f aca="false">SUMIF($C$2:$F$2,EOMONTH(DS$2,-1)+1,$C133:$F133)*VLOOKUP(DS$2,ProyDia[],8,0)</f>
        <v>0</v>
      </c>
      <c r="DT133" s="28" t="n">
        <f aca="false">SUMIF($C$2:$F$2,EOMONTH(DT$2,-1)+1,$C133:$F133)*VLOOKUP(DT$2,ProyDia[],8,0)</f>
        <v>0</v>
      </c>
      <c r="DU133" s="28" t="n">
        <f aca="false">SUMIF($C$2:$F$2,EOMONTH(DU$2,-1)+1,$C133:$F133)*VLOOKUP(DU$2,ProyDia[],8,0)</f>
        <v>0</v>
      </c>
      <c r="DV133" s="28" t="n">
        <f aca="false">SUMIF($C$2:$F$2,EOMONTH(DV$2,-1)+1,$C133:$F133)*VLOOKUP(DV$2,ProyDia[],8,0)</f>
        <v>0</v>
      </c>
      <c r="DW133" s="28" t="n">
        <f aca="false">SUMIF($C$2:$F$2,EOMONTH(DW$2,-1)+1,$C133:$F133)*VLOOKUP(DW$2,ProyDia[],8,0)</f>
        <v>0</v>
      </c>
      <c r="DX133" s="28" t="n">
        <f aca="false">SUMIF($C$2:$F$2,EOMONTH(DX$2,-1)+1,$C133:$F133)*VLOOKUP(DX$2,ProyDia[],8,0)</f>
        <v>0</v>
      </c>
    </row>
    <row r="134" customFormat="false" ht="14.4" hidden="false" customHeight="false" outlineLevel="0" collapsed="false">
      <c r="A134" s="35"/>
      <c r="B134" s="35"/>
      <c r="C134" s="35"/>
      <c r="D134" s="35"/>
      <c r="E134" s="35"/>
      <c r="F134" s="35"/>
      <c r="G134" s="36" t="n">
        <f aca="false">SUMIF($C$2:$F$2,EOMONTH(G$2,-1)+1,$C134:$F134)*VLOOKUP(G$2,ProyDia[],8,0)</f>
        <v>0</v>
      </c>
      <c r="H134" s="36" t="n">
        <f aca="false">SUMIF($C$2:$F$2,EOMONTH(H$2,-1)+1,$C134:$F134)*VLOOKUP(H$2,ProyDia[],8,0)</f>
        <v>0</v>
      </c>
      <c r="I134" s="36" t="n">
        <f aca="false">SUMIF($C$2:$F$2,EOMONTH(I$2,-1)+1,$C134:$F134)*VLOOKUP(I$2,ProyDia[],8,0)</f>
        <v>0</v>
      </c>
      <c r="J134" s="36" t="n">
        <f aca="false">SUMIF($C$2:$F$2,EOMONTH(J$2,-1)+1,$C134:$F134)*VLOOKUP(J$2,ProyDia[],8,0)</f>
        <v>0</v>
      </c>
      <c r="K134" s="36" t="n">
        <f aca="false">SUMIF($C$2:$F$2,EOMONTH(K$2,-1)+1,$C134:$F134)*VLOOKUP(K$2,ProyDia[],8,0)</f>
        <v>0</v>
      </c>
      <c r="L134" s="36" t="n">
        <f aca="false">SUMIF($C$2:$F$2,EOMONTH(L$2,-1)+1,$C134:$F134)*VLOOKUP(L$2,ProyDia[],8,0)</f>
        <v>0</v>
      </c>
      <c r="M134" s="36" t="n">
        <f aca="false">SUMIF($C$2:$F$2,EOMONTH(M$2,-1)+1,$C134:$F134)*VLOOKUP(M$2,ProyDia[],8,0)</f>
        <v>0</v>
      </c>
      <c r="N134" s="36" t="n">
        <f aca="false">SUMIF($C$2:$F$2,EOMONTH(N$2,-1)+1,$C134:$F134)*VLOOKUP(N$2,ProyDia[],8,0)</f>
        <v>0</v>
      </c>
      <c r="O134" s="36" t="n">
        <f aca="false">SUMIF($C$2:$F$2,EOMONTH(O$2,-1)+1,$C134:$F134)*VLOOKUP(O$2,ProyDia[],8,0)</f>
        <v>0</v>
      </c>
      <c r="P134" s="36" t="n">
        <f aca="false">SUMIF($C$2:$F$2,EOMONTH(P$2,-1)+1,$C134:$F134)*VLOOKUP(P$2,ProyDia[],8,0)</f>
        <v>0</v>
      </c>
      <c r="Q134" s="36" t="n">
        <f aca="false">SUMIF($C$2:$F$2,EOMONTH(Q$2,-1)+1,$C134:$F134)*VLOOKUP(Q$2,ProyDia[],8,0)</f>
        <v>0</v>
      </c>
      <c r="R134" s="36" t="n">
        <f aca="false">SUMIF($C$2:$F$2,EOMONTH(R$2,-1)+1,$C134:$F134)*VLOOKUP(R$2,ProyDia[],8,0)</f>
        <v>0</v>
      </c>
      <c r="S134" s="36" t="n">
        <f aca="false">SUMIF($C$2:$F$2,EOMONTH(S$2,-1)+1,$C134:$F134)*VLOOKUP(S$2,ProyDia[],8,0)</f>
        <v>0</v>
      </c>
      <c r="T134" s="36" t="n">
        <f aca="false">SUMIF($C$2:$F$2,EOMONTH(T$2,-1)+1,$C134:$F134)*VLOOKUP(T$2,ProyDia[],8,0)</f>
        <v>0</v>
      </c>
      <c r="U134" s="36" t="n">
        <f aca="false">SUMIF($C$2:$F$2,EOMONTH(U$2,-1)+1,$C134:$F134)*VLOOKUP(U$2,ProyDia[],8,0)</f>
        <v>0</v>
      </c>
      <c r="V134" s="36" t="n">
        <f aca="false">SUMIF($C$2:$F$2,EOMONTH(V$2,-1)+1,$C134:$F134)*VLOOKUP(V$2,ProyDia[],8,0)</f>
        <v>0</v>
      </c>
      <c r="W134" s="36" t="n">
        <f aca="false">SUMIF($C$2:$F$2,EOMONTH(W$2,-1)+1,$C134:$F134)*VLOOKUP(W$2,ProyDia[],8,0)</f>
        <v>0</v>
      </c>
      <c r="X134" s="36" t="n">
        <f aca="false">SUMIF($C$2:$F$2,EOMONTH(X$2,-1)+1,$C134:$F134)*VLOOKUP(X$2,ProyDia[],8,0)</f>
        <v>0</v>
      </c>
      <c r="Y134" s="36" t="n">
        <f aca="false">SUMIF($C$2:$F$2,EOMONTH(Y$2,-1)+1,$C134:$F134)*VLOOKUP(Y$2,ProyDia[],8,0)</f>
        <v>0</v>
      </c>
      <c r="Z134" s="36" t="n">
        <f aca="false">SUMIF($C$2:$F$2,EOMONTH(Z$2,-1)+1,$C134:$F134)*VLOOKUP(Z$2,ProyDia[],8,0)</f>
        <v>0</v>
      </c>
      <c r="AA134" s="36" t="n">
        <f aca="false">SUMIF($C$2:$F$2,EOMONTH(AA$2,-1)+1,$C134:$F134)*VLOOKUP(AA$2,ProyDia[],8,0)</f>
        <v>0</v>
      </c>
      <c r="AB134" s="36" t="n">
        <f aca="false">SUMIF($C$2:$F$2,EOMONTH(AB$2,-1)+1,$C134:$F134)*VLOOKUP(AB$2,ProyDia[],8,0)</f>
        <v>0</v>
      </c>
      <c r="AC134" s="36" t="n">
        <f aca="false">SUMIF($C$2:$F$2,EOMONTH(AC$2,-1)+1,$C134:$F134)*VLOOKUP(AC$2,ProyDia[],8,0)</f>
        <v>0</v>
      </c>
      <c r="AD134" s="36" t="n">
        <f aca="false">SUMIF($C$2:$F$2,EOMONTH(AD$2,-1)+1,$C134:$F134)*VLOOKUP(AD$2,ProyDia[],8,0)</f>
        <v>0</v>
      </c>
      <c r="AE134" s="36" t="n">
        <f aca="false">SUMIF($C$2:$F$2,EOMONTH(AE$2,-1)+1,$C134:$F134)*VLOOKUP(AE$2,ProyDia[],8,0)</f>
        <v>0</v>
      </c>
      <c r="AF134" s="36" t="n">
        <f aca="false">SUMIF($C$2:$F$2,EOMONTH(AF$2,-1)+1,$C134:$F134)*VLOOKUP(AF$2,ProyDia[],8,0)</f>
        <v>0</v>
      </c>
      <c r="AG134" s="36" t="n">
        <f aca="false">SUMIF($C$2:$F$2,EOMONTH(AG$2,-1)+1,$C134:$F134)*VLOOKUP(AG$2,ProyDia[],8,0)</f>
        <v>0</v>
      </c>
      <c r="AH134" s="36" t="n">
        <f aca="false">SUMIF($C$2:$F$2,EOMONTH(AH$2,-1)+1,$C134:$F134)*VLOOKUP(AH$2,ProyDia[],8,0)</f>
        <v>0</v>
      </c>
      <c r="AI134" s="36" t="n">
        <f aca="false">SUMIF($C$2:$F$2,EOMONTH(AI$2,-1)+1,$C134:$F134)*VLOOKUP(AI$2,ProyDia[],8,0)</f>
        <v>0</v>
      </c>
      <c r="AJ134" s="36" t="n">
        <f aca="false">SUMIF($C$2:$F$2,EOMONTH(AJ$2,-1)+1,$C134:$F134)*VLOOKUP(AJ$2,ProyDia[],8,0)</f>
        <v>0</v>
      </c>
      <c r="AK134" s="36" t="n">
        <f aca="false">SUMIF($C$2:$F$2,EOMONTH(AK$2,-1)+1,$C134:$F134)*VLOOKUP(AK$2,ProyDia[],8,0)</f>
        <v>0</v>
      </c>
      <c r="AL134" s="36" t="n">
        <f aca="false">SUMIF($C$2:$F$2,EOMONTH(AL$2,-1)+1,$C134:$F134)*VLOOKUP(AL$2,ProyDia[],8,0)</f>
        <v>0</v>
      </c>
      <c r="AM134" s="36" t="n">
        <f aca="false">SUMIF($C$2:$F$2,EOMONTH(AM$2,-1)+1,$C134:$F134)*VLOOKUP(AM$2,ProyDia[],8,0)</f>
        <v>0</v>
      </c>
      <c r="AN134" s="36" t="n">
        <f aca="false">SUMIF($C$2:$F$2,EOMONTH(AN$2,-1)+1,$C134:$F134)*VLOOKUP(AN$2,ProyDia[],8,0)</f>
        <v>0</v>
      </c>
      <c r="AO134" s="36" t="n">
        <f aca="false">SUMIF($C$2:$F$2,EOMONTH(AO$2,-1)+1,$C134:$F134)*VLOOKUP(AO$2,ProyDia[],8,0)</f>
        <v>0</v>
      </c>
      <c r="AP134" s="36" t="n">
        <f aca="false">SUMIF($C$2:$F$2,EOMONTH(AP$2,-1)+1,$C134:$F134)*VLOOKUP(AP$2,ProyDia[],8,0)</f>
        <v>0</v>
      </c>
      <c r="AQ134" s="36" t="n">
        <f aca="false">SUMIF($C$2:$F$2,EOMONTH(AQ$2,-1)+1,$C134:$F134)*VLOOKUP(AQ$2,ProyDia[],8,0)</f>
        <v>0</v>
      </c>
      <c r="AR134" s="36" t="n">
        <f aca="false">SUMIF($C$2:$F$2,EOMONTH(AR$2,-1)+1,$C134:$F134)*VLOOKUP(AR$2,ProyDia[],8,0)</f>
        <v>0</v>
      </c>
      <c r="AS134" s="36" t="n">
        <f aca="false">SUMIF($C$2:$F$2,EOMONTH(AS$2,-1)+1,$C134:$F134)*VLOOKUP(AS$2,ProyDia[],8,0)</f>
        <v>0</v>
      </c>
      <c r="AT134" s="36" t="n">
        <f aca="false">SUMIF($C$2:$F$2,EOMONTH(AT$2,-1)+1,$C134:$F134)*VLOOKUP(AT$2,ProyDia[],8,0)</f>
        <v>0</v>
      </c>
      <c r="AU134" s="36" t="n">
        <f aca="false">SUMIF($C$2:$F$2,EOMONTH(AU$2,-1)+1,$C134:$F134)*VLOOKUP(AU$2,ProyDia[],8,0)</f>
        <v>0</v>
      </c>
      <c r="AV134" s="36" t="n">
        <f aca="false">SUMIF($C$2:$F$2,EOMONTH(AV$2,-1)+1,$C134:$F134)*VLOOKUP(AV$2,ProyDia[],8,0)</f>
        <v>0</v>
      </c>
      <c r="AW134" s="36" t="n">
        <f aca="false">SUMIF($C$2:$F$2,EOMONTH(AW$2,-1)+1,$C134:$F134)*VLOOKUP(AW$2,ProyDia[],8,0)</f>
        <v>0</v>
      </c>
      <c r="AX134" s="36" t="n">
        <f aca="false">SUMIF($C$2:$F$2,EOMONTH(AX$2,-1)+1,$C134:$F134)*VLOOKUP(AX$2,ProyDia[],8,0)</f>
        <v>0</v>
      </c>
      <c r="AY134" s="36" t="n">
        <f aca="false">SUMIF($C$2:$F$2,EOMONTH(AY$2,-1)+1,$C134:$F134)*VLOOKUP(AY$2,ProyDia[],8,0)</f>
        <v>0</v>
      </c>
      <c r="AZ134" s="36" t="n">
        <f aca="false">SUMIF($C$2:$F$2,EOMONTH(AZ$2,-1)+1,$C134:$F134)*VLOOKUP(AZ$2,ProyDia[],8,0)</f>
        <v>0</v>
      </c>
      <c r="BA134" s="36" t="n">
        <f aca="false">SUMIF($C$2:$F$2,EOMONTH(BA$2,-1)+1,$C134:$F134)*VLOOKUP(BA$2,ProyDia[],8,0)</f>
        <v>0</v>
      </c>
      <c r="BB134" s="36" t="n">
        <f aca="false">SUMIF($C$2:$F$2,EOMONTH(BB$2,-1)+1,$C134:$F134)*VLOOKUP(BB$2,ProyDia[],8,0)</f>
        <v>0</v>
      </c>
      <c r="BC134" s="36" t="n">
        <f aca="false">SUMIF($C$2:$F$2,EOMONTH(BC$2,-1)+1,$C134:$F134)*VLOOKUP(BC$2,ProyDia[],8,0)</f>
        <v>0</v>
      </c>
      <c r="BD134" s="36" t="n">
        <f aca="false">SUMIF($C$2:$F$2,EOMONTH(BD$2,-1)+1,$C134:$F134)*VLOOKUP(BD$2,ProyDia[],8,0)</f>
        <v>0</v>
      </c>
      <c r="BE134" s="36" t="n">
        <f aca="false">SUMIF($C$2:$F$2,EOMONTH(BE$2,-1)+1,$C134:$F134)*VLOOKUP(BE$2,ProyDia[],8,0)</f>
        <v>0</v>
      </c>
      <c r="BF134" s="36" t="n">
        <f aca="false">SUMIF($C$2:$F$2,EOMONTH(BF$2,-1)+1,$C134:$F134)*VLOOKUP(BF$2,ProyDia[],8,0)</f>
        <v>0</v>
      </c>
      <c r="BG134" s="36" t="n">
        <f aca="false">SUMIF($C$2:$F$2,EOMONTH(BG$2,-1)+1,$C134:$F134)*VLOOKUP(BG$2,ProyDia[],8,0)</f>
        <v>0</v>
      </c>
      <c r="BH134" s="36" t="n">
        <f aca="false">SUMIF($C$2:$F$2,EOMONTH(BH$2,-1)+1,$C134:$F134)*VLOOKUP(BH$2,ProyDia[],8,0)</f>
        <v>0</v>
      </c>
      <c r="BI134" s="36" t="n">
        <f aca="false">SUMIF($C$2:$F$2,EOMONTH(BI$2,-1)+1,$C134:$F134)*VLOOKUP(BI$2,ProyDia[],8,0)</f>
        <v>0</v>
      </c>
      <c r="BJ134" s="36" t="n">
        <f aca="false">SUMIF($C$2:$F$2,EOMONTH(BJ$2,-1)+1,$C134:$F134)*VLOOKUP(BJ$2,ProyDia[],8,0)</f>
        <v>0</v>
      </c>
      <c r="BK134" s="36" t="n">
        <f aca="false">SUMIF($C$2:$F$2,EOMONTH(BK$2,-1)+1,$C134:$F134)*VLOOKUP(BK$2,ProyDia[],8,0)</f>
        <v>0</v>
      </c>
      <c r="BL134" s="36" t="n">
        <f aca="false">SUMIF($C$2:$F$2,EOMONTH(BL$2,-1)+1,$C134:$F134)*VLOOKUP(BL$2,ProyDia[],8,0)</f>
        <v>0</v>
      </c>
      <c r="BM134" s="36" t="n">
        <f aca="false">SUMIF($C$2:$F$2,EOMONTH(BM$2,-1)+1,$C134:$F134)*VLOOKUP(BM$2,ProyDia[],8,0)</f>
        <v>0</v>
      </c>
      <c r="BN134" s="36" t="n">
        <f aca="false">SUMIF($C$2:$F$2,EOMONTH(BN$2,-1)+1,$C134:$F134)*VLOOKUP(BN$2,ProyDia[],8,0)</f>
        <v>0</v>
      </c>
      <c r="BO134" s="36" t="n">
        <f aca="false">SUMIF($C$2:$F$2,EOMONTH(BO$2,-1)+1,$C134:$F134)*VLOOKUP(BO$2,ProyDia[],8,0)</f>
        <v>0</v>
      </c>
      <c r="BP134" s="36" t="n">
        <f aca="false">SUMIF($C$2:$F$2,EOMONTH(BP$2,-1)+1,$C134:$F134)*VLOOKUP(BP$2,ProyDia[],8,0)</f>
        <v>0</v>
      </c>
      <c r="BQ134" s="36" t="n">
        <f aca="false">SUMIF($C$2:$F$2,EOMONTH(BQ$2,-1)+1,$C134:$F134)*VLOOKUP(BQ$2,ProyDia[],8,0)</f>
        <v>0</v>
      </c>
      <c r="BR134" s="36" t="n">
        <f aca="false">SUMIF($C$2:$F$2,EOMONTH(BR$2,-1)+1,$C134:$F134)*VLOOKUP(BR$2,ProyDia[],8,0)</f>
        <v>0</v>
      </c>
      <c r="BS134" s="36" t="n">
        <f aca="false">SUMIF($C$2:$F$2,EOMONTH(BS$2,-1)+1,$C134:$F134)*VLOOKUP(BS$2,ProyDia[],8,0)</f>
        <v>0</v>
      </c>
      <c r="BT134" s="36" t="n">
        <f aca="false">SUMIF($C$2:$F$2,EOMONTH(BT$2,-1)+1,$C134:$F134)*VLOOKUP(BT$2,ProyDia[],8,0)</f>
        <v>0</v>
      </c>
      <c r="BU134" s="36" t="n">
        <f aca="false">SUMIF($C$2:$F$2,EOMONTH(BU$2,-1)+1,$C134:$F134)*VLOOKUP(BU$2,ProyDia[],8,0)</f>
        <v>0</v>
      </c>
      <c r="BV134" s="36" t="n">
        <f aca="false">SUMIF($C$2:$F$2,EOMONTH(BV$2,-1)+1,$C134:$F134)*VLOOKUP(BV$2,ProyDia[],8,0)</f>
        <v>0</v>
      </c>
      <c r="BW134" s="36" t="n">
        <f aca="false">SUMIF($C$2:$F$2,EOMONTH(BW$2,-1)+1,$C134:$F134)*VLOOKUP(BW$2,ProyDia[],8,0)</f>
        <v>0</v>
      </c>
      <c r="BX134" s="36" t="n">
        <f aca="false">SUMIF($C$2:$F$2,EOMONTH(BX$2,-1)+1,$C134:$F134)*VLOOKUP(BX$2,ProyDia[],8,0)</f>
        <v>0</v>
      </c>
      <c r="BY134" s="36" t="n">
        <f aca="false">SUMIF($C$2:$F$2,EOMONTH(BY$2,-1)+1,$C134:$F134)*VLOOKUP(BY$2,ProyDia[],8,0)</f>
        <v>0</v>
      </c>
      <c r="BZ134" s="36" t="n">
        <f aca="false">SUMIF($C$2:$F$2,EOMONTH(BZ$2,-1)+1,$C134:$F134)*VLOOKUP(BZ$2,ProyDia[],8,0)</f>
        <v>0</v>
      </c>
      <c r="CA134" s="36" t="n">
        <f aca="false">SUMIF($C$2:$F$2,EOMONTH(CA$2,-1)+1,$C134:$F134)*VLOOKUP(CA$2,ProyDia[],8,0)</f>
        <v>0</v>
      </c>
      <c r="CB134" s="36" t="n">
        <f aca="false">SUMIF($C$2:$F$2,EOMONTH(CB$2,-1)+1,$C134:$F134)*VLOOKUP(CB$2,ProyDia[],8,0)</f>
        <v>0</v>
      </c>
      <c r="CC134" s="36" t="n">
        <f aca="false">SUMIF($C$2:$F$2,EOMONTH(CC$2,-1)+1,$C134:$F134)*VLOOKUP(CC$2,ProyDia[],8,0)</f>
        <v>0</v>
      </c>
      <c r="CD134" s="36" t="n">
        <f aca="false">SUMIF($C$2:$F$2,EOMONTH(CD$2,-1)+1,$C134:$F134)*VLOOKUP(CD$2,ProyDia[],8,0)</f>
        <v>0</v>
      </c>
      <c r="CE134" s="36" t="n">
        <f aca="false">SUMIF($C$2:$F$2,EOMONTH(CE$2,-1)+1,$C134:$F134)*VLOOKUP(CE$2,ProyDia[],8,0)</f>
        <v>0</v>
      </c>
      <c r="CF134" s="36" t="n">
        <f aca="false">SUMIF($C$2:$F$2,EOMONTH(CF$2,-1)+1,$C134:$F134)*VLOOKUP(CF$2,ProyDia[],8,0)</f>
        <v>0</v>
      </c>
      <c r="CG134" s="36" t="n">
        <f aca="false">SUMIF($C$2:$F$2,EOMONTH(CG$2,-1)+1,$C134:$F134)*VLOOKUP(CG$2,ProyDia[],8,0)</f>
        <v>0</v>
      </c>
      <c r="CH134" s="36" t="n">
        <f aca="false">SUMIF($C$2:$F$2,EOMONTH(CH$2,-1)+1,$C134:$F134)*VLOOKUP(CH$2,ProyDia[],8,0)</f>
        <v>0</v>
      </c>
      <c r="CI134" s="36" t="n">
        <f aca="false">SUMIF($C$2:$F$2,EOMONTH(CI$2,-1)+1,$C134:$F134)*VLOOKUP(CI$2,ProyDia[],8,0)</f>
        <v>0</v>
      </c>
      <c r="CJ134" s="36" t="n">
        <f aca="false">SUMIF($C$2:$F$2,EOMONTH(CJ$2,-1)+1,$C134:$F134)*VLOOKUP(CJ$2,ProyDia[],8,0)</f>
        <v>0</v>
      </c>
      <c r="CK134" s="36" t="n">
        <f aca="false">SUMIF($C$2:$F$2,EOMONTH(CK$2,-1)+1,$C134:$F134)*VLOOKUP(CK$2,ProyDia[],8,0)</f>
        <v>0</v>
      </c>
      <c r="CL134" s="36" t="n">
        <f aca="false">SUMIF($C$2:$F$2,EOMONTH(CL$2,-1)+1,$C134:$F134)*VLOOKUP(CL$2,ProyDia[],8,0)</f>
        <v>0</v>
      </c>
      <c r="CM134" s="36" t="n">
        <f aca="false">SUMIF($C$2:$F$2,EOMONTH(CM$2,-1)+1,$C134:$F134)*VLOOKUP(CM$2,ProyDia[],8,0)</f>
        <v>0</v>
      </c>
      <c r="CN134" s="36" t="n">
        <f aca="false">SUMIF($C$2:$F$2,EOMONTH(CN$2,-1)+1,$C134:$F134)*VLOOKUP(CN$2,ProyDia[],8,0)</f>
        <v>0</v>
      </c>
      <c r="CO134" s="36" t="n">
        <f aca="false">SUMIF($C$2:$F$2,EOMONTH(CO$2,-1)+1,$C134:$F134)*VLOOKUP(CO$2,ProyDia[],8,0)</f>
        <v>0</v>
      </c>
      <c r="CP134" s="36" t="n">
        <f aca="false">SUMIF($C$2:$F$2,EOMONTH(CP$2,-1)+1,$C134:$F134)*VLOOKUP(CP$2,ProyDia[],8,0)</f>
        <v>0</v>
      </c>
      <c r="CQ134" s="36" t="n">
        <f aca="false">SUMIF($C$2:$F$2,EOMONTH(CQ$2,-1)+1,$C134:$F134)*VLOOKUP(CQ$2,ProyDia[],8,0)</f>
        <v>0</v>
      </c>
      <c r="CR134" s="36" t="n">
        <f aca="false">SUMIF($C$2:$F$2,EOMONTH(CR$2,-1)+1,$C134:$F134)*VLOOKUP(CR$2,ProyDia[],8,0)</f>
        <v>0</v>
      </c>
      <c r="CS134" s="36" t="n">
        <f aca="false">SUMIF($C$2:$F$2,EOMONTH(CS$2,-1)+1,$C134:$F134)*VLOOKUP(CS$2,ProyDia[],8,0)</f>
        <v>0</v>
      </c>
      <c r="CT134" s="36" t="n">
        <f aca="false">SUMIF($C$2:$F$2,EOMONTH(CT$2,-1)+1,$C134:$F134)*VLOOKUP(CT$2,ProyDia[],8,0)</f>
        <v>0</v>
      </c>
      <c r="CU134" s="36" t="n">
        <f aca="false">SUMIF($C$2:$F$2,EOMONTH(CU$2,-1)+1,$C134:$F134)*VLOOKUP(CU$2,ProyDia[],8,0)</f>
        <v>0</v>
      </c>
      <c r="CV134" s="36" t="n">
        <f aca="false">SUMIF($C$2:$F$2,EOMONTH(CV$2,-1)+1,$C134:$F134)*VLOOKUP(CV$2,ProyDia[],8,0)</f>
        <v>0</v>
      </c>
      <c r="CW134" s="36" t="n">
        <f aca="false">SUMIF($C$2:$F$2,EOMONTH(CW$2,-1)+1,$C134:$F134)*VLOOKUP(CW$2,ProyDia[],8,0)</f>
        <v>0</v>
      </c>
      <c r="CX134" s="36" t="n">
        <f aca="false">SUMIF($C$2:$F$2,EOMONTH(CX$2,-1)+1,$C134:$F134)*VLOOKUP(CX$2,ProyDia[],8,0)</f>
        <v>0</v>
      </c>
      <c r="CY134" s="36" t="n">
        <f aca="false">SUMIF($C$2:$F$2,EOMONTH(CY$2,-1)+1,$C134:$F134)*VLOOKUP(CY$2,ProyDia[],8,0)</f>
        <v>0</v>
      </c>
      <c r="CZ134" s="36" t="n">
        <f aca="false">SUMIF($C$2:$F$2,EOMONTH(CZ$2,-1)+1,$C134:$F134)*VLOOKUP(CZ$2,ProyDia[],8,0)</f>
        <v>0</v>
      </c>
      <c r="DA134" s="36" t="n">
        <f aca="false">SUMIF($C$2:$F$2,EOMONTH(DA$2,-1)+1,$C134:$F134)*VLOOKUP(DA$2,ProyDia[],8,0)</f>
        <v>0</v>
      </c>
      <c r="DB134" s="36" t="n">
        <f aca="false">SUMIF($C$2:$F$2,EOMONTH(DB$2,-1)+1,$C134:$F134)*VLOOKUP(DB$2,ProyDia[],8,0)</f>
        <v>0</v>
      </c>
      <c r="DC134" s="36" t="n">
        <f aca="false">SUMIF($C$2:$F$2,EOMONTH(DC$2,-1)+1,$C134:$F134)*VLOOKUP(DC$2,ProyDia[],8,0)</f>
        <v>0</v>
      </c>
      <c r="DD134" s="36" t="n">
        <f aca="false">SUMIF($C$2:$F$2,EOMONTH(DD$2,-1)+1,$C134:$F134)*VLOOKUP(DD$2,ProyDia[],8,0)</f>
        <v>0</v>
      </c>
      <c r="DE134" s="36" t="n">
        <f aca="false">SUMIF($C$2:$F$2,EOMONTH(DE$2,-1)+1,$C134:$F134)*VLOOKUP(DE$2,ProyDia[],8,0)</f>
        <v>0</v>
      </c>
      <c r="DF134" s="36" t="n">
        <f aca="false">SUMIF($C$2:$F$2,EOMONTH(DF$2,-1)+1,$C134:$F134)*VLOOKUP(DF$2,ProyDia[],8,0)</f>
        <v>0</v>
      </c>
      <c r="DG134" s="36" t="n">
        <f aca="false">SUMIF($C$2:$F$2,EOMONTH(DG$2,-1)+1,$C134:$F134)*VLOOKUP(DG$2,ProyDia[],8,0)</f>
        <v>0</v>
      </c>
      <c r="DH134" s="36" t="n">
        <f aca="false">SUMIF($C$2:$F$2,EOMONTH(DH$2,-1)+1,$C134:$F134)*VLOOKUP(DH$2,ProyDia[],8,0)</f>
        <v>0</v>
      </c>
      <c r="DI134" s="36" t="n">
        <f aca="false">SUMIF($C$2:$F$2,EOMONTH(DI$2,-1)+1,$C134:$F134)*VLOOKUP(DI$2,ProyDia[],8,0)</f>
        <v>0</v>
      </c>
      <c r="DJ134" s="36" t="n">
        <f aca="false">SUMIF($C$2:$F$2,EOMONTH(DJ$2,-1)+1,$C134:$F134)*VLOOKUP(DJ$2,ProyDia[],8,0)</f>
        <v>0</v>
      </c>
      <c r="DK134" s="36" t="n">
        <f aca="false">SUMIF($C$2:$F$2,EOMONTH(DK$2,-1)+1,$C134:$F134)*VLOOKUP(DK$2,ProyDia[],8,0)</f>
        <v>0</v>
      </c>
      <c r="DL134" s="36" t="n">
        <f aca="false">SUMIF($C$2:$F$2,EOMONTH(DL$2,-1)+1,$C134:$F134)*VLOOKUP(DL$2,ProyDia[],8,0)</f>
        <v>0</v>
      </c>
      <c r="DM134" s="36" t="n">
        <f aca="false">SUMIF($C$2:$F$2,EOMONTH(DM$2,-1)+1,$C134:$F134)*VLOOKUP(DM$2,ProyDia[],8,0)</f>
        <v>0</v>
      </c>
      <c r="DN134" s="36" t="n">
        <f aca="false">SUMIF($C$2:$F$2,EOMONTH(DN$2,-1)+1,$C134:$F134)*VLOOKUP(DN$2,ProyDia[],8,0)</f>
        <v>0</v>
      </c>
      <c r="DO134" s="36" t="n">
        <f aca="false">SUMIF($C$2:$F$2,EOMONTH(DO$2,-1)+1,$C134:$F134)*VLOOKUP(DO$2,ProyDia[],8,0)</f>
        <v>0</v>
      </c>
      <c r="DP134" s="36" t="n">
        <f aca="false">SUMIF($C$2:$F$2,EOMONTH(DP$2,-1)+1,$C134:$F134)*VLOOKUP(DP$2,ProyDia[],8,0)</f>
        <v>0</v>
      </c>
      <c r="DQ134" s="36" t="n">
        <f aca="false">SUMIF($C$2:$F$2,EOMONTH(DQ$2,-1)+1,$C134:$F134)*VLOOKUP(DQ$2,ProyDia[],8,0)</f>
        <v>0</v>
      </c>
      <c r="DR134" s="36" t="n">
        <f aca="false">SUMIF($C$2:$F$2,EOMONTH(DR$2,-1)+1,$C134:$F134)*VLOOKUP(DR$2,ProyDia[],8,0)</f>
        <v>0</v>
      </c>
      <c r="DS134" s="36" t="n">
        <f aca="false">SUMIF($C$2:$F$2,EOMONTH(DS$2,-1)+1,$C134:$F134)*VLOOKUP(DS$2,ProyDia[],8,0)</f>
        <v>0</v>
      </c>
      <c r="DT134" s="36" t="n">
        <f aca="false">SUMIF($C$2:$F$2,EOMONTH(DT$2,-1)+1,$C134:$F134)*VLOOKUP(DT$2,ProyDia[],8,0)</f>
        <v>0</v>
      </c>
      <c r="DU134" s="36" t="n">
        <f aca="false">SUMIF($C$2:$F$2,EOMONTH(DU$2,-1)+1,$C134:$F134)*VLOOKUP(DU$2,ProyDia[],8,0)</f>
        <v>0</v>
      </c>
      <c r="DV134" s="36" t="n">
        <f aca="false">SUMIF($C$2:$F$2,EOMONTH(DV$2,-1)+1,$C134:$F134)*VLOOKUP(DV$2,ProyDia[],8,0)</f>
        <v>0</v>
      </c>
      <c r="DW134" s="36" t="n">
        <f aca="false">SUMIF($C$2:$F$2,EOMONTH(DW$2,-1)+1,$C134:$F134)*VLOOKUP(DW$2,ProyDia[],8,0)</f>
        <v>0</v>
      </c>
      <c r="DX134" s="36" t="n">
        <f aca="false">SUMIF($C$2:$F$2,EOMONTH(DX$2,-1)+1,$C134:$F134)*VLOOKUP(DX$2,ProyDia[],8,0)</f>
        <v>0</v>
      </c>
    </row>
    <row r="135" customFormat="false" ht="14.4" hidden="false" customHeight="false" outlineLevel="0" collapsed="false">
      <c r="A135" s="34"/>
      <c r="B135" s="34"/>
      <c r="C135" s="34"/>
      <c r="D135" s="34"/>
      <c r="E135" s="34"/>
      <c r="F135" s="34"/>
      <c r="G135" s="28" t="n">
        <f aca="false">SUMIF($C$2:$F$2,EOMONTH(G$2,-1)+1,$C135:$F135)*VLOOKUP(G$2,ProyDia[],8,0)</f>
        <v>0</v>
      </c>
      <c r="H135" s="28" t="n">
        <f aca="false">SUMIF($C$2:$F$2,EOMONTH(H$2,-1)+1,$C135:$F135)*VLOOKUP(H$2,ProyDia[],8,0)</f>
        <v>0</v>
      </c>
      <c r="I135" s="28" t="n">
        <f aca="false">SUMIF($C$2:$F$2,EOMONTH(I$2,-1)+1,$C135:$F135)*VLOOKUP(I$2,ProyDia[],8,0)</f>
        <v>0</v>
      </c>
      <c r="J135" s="28" t="n">
        <f aca="false">SUMIF($C$2:$F$2,EOMONTH(J$2,-1)+1,$C135:$F135)*VLOOKUP(J$2,ProyDia[],8,0)</f>
        <v>0</v>
      </c>
      <c r="K135" s="28" t="n">
        <f aca="false">SUMIF($C$2:$F$2,EOMONTH(K$2,-1)+1,$C135:$F135)*VLOOKUP(K$2,ProyDia[],8,0)</f>
        <v>0</v>
      </c>
      <c r="L135" s="28" t="n">
        <f aca="false">SUMIF($C$2:$F$2,EOMONTH(L$2,-1)+1,$C135:$F135)*VLOOKUP(L$2,ProyDia[],8,0)</f>
        <v>0</v>
      </c>
      <c r="M135" s="28" t="n">
        <f aca="false">SUMIF($C$2:$F$2,EOMONTH(M$2,-1)+1,$C135:$F135)*VLOOKUP(M$2,ProyDia[],8,0)</f>
        <v>0</v>
      </c>
      <c r="N135" s="28" t="n">
        <f aca="false">SUMIF($C$2:$F$2,EOMONTH(N$2,-1)+1,$C135:$F135)*VLOOKUP(N$2,ProyDia[],8,0)</f>
        <v>0</v>
      </c>
      <c r="O135" s="28" t="n">
        <f aca="false">SUMIF($C$2:$F$2,EOMONTH(O$2,-1)+1,$C135:$F135)*VLOOKUP(O$2,ProyDia[],8,0)</f>
        <v>0</v>
      </c>
      <c r="P135" s="28" t="n">
        <f aca="false">SUMIF($C$2:$F$2,EOMONTH(P$2,-1)+1,$C135:$F135)*VLOOKUP(P$2,ProyDia[],8,0)</f>
        <v>0</v>
      </c>
      <c r="Q135" s="28" t="n">
        <f aca="false">SUMIF($C$2:$F$2,EOMONTH(Q$2,-1)+1,$C135:$F135)*VLOOKUP(Q$2,ProyDia[],8,0)</f>
        <v>0</v>
      </c>
      <c r="R135" s="28" t="n">
        <f aca="false">SUMIF($C$2:$F$2,EOMONTH(R$2,-1)+1,$C135:$F135)*VLOOKUP(R$2,ProyDia[],8,0)</f>
        <v>0</v>
      </c>
      <c r="S135" s="28" t="n">
        <f aca="false">SUMIF($C$2:$F$2,EOMONTH(S$2,-1)+1,$C135:$F135)*VLOOKUP(S$2,ProyDia[],8,0)</f>
        <v>0</v>
      </c>
      <c r="T135" s="28" t="n">
        <f aca="false">SUMIF($C$2:$F$2,EOMONTH(T$2,-1)+1,$C135:$F135)*VLOOKUP(T$2,ProyDia[],8,0)</f>
        <v>0</v>
      </c>
      <c r="U135" s="28" t="n">
        <f aca="false">SUMIF($C$2:$F$2,EOMONTH(U$2,-1)+1,$C135:$F135)*VLOOKUP(U$2,ProyDia[],8,0)</f>
        <v>0</v>
      </c>
      <c r="V135" s="28" t="n">
        <f aca="false">SUMIF($C$2:$F$2,EOMONTH(V$2,-1)+1,$C135:$F135)*VLOOKUP(V$2,ProyDia[],8,0)</f>
        <v>0</v>
      </c>
      <c r="W135" s="28" t="n">
        <f aca="false">SUMIF($C$2:$F$2,EOMONTH(W$2,-1)+1,$C135:$F135)*VLOOKUP(W$2,ProyDia[],8,0)</f>
        <v>0</v>
      </c>
      <c r="X135" s="28" t="n">
        <f aca="false">SUMIF($C$2:$F$2,EOMONTH(X$2,-1)+1,$C135:$F135)*VLOOKUP(X$2,ProyDia[],8,0)</f>
        <v>0</v>
      </c>
      <c r="Y135" s="28" t="n">
        <f aca="false">SUMIF($C$2:$F$2,EOMONTH(Y$2,-1)+1,$C135:$F135)*VLOOKUP(Y$2,ProyDia[],8,0)</f>
        <v>0</v>
      </c>
      <c r="Z135" s="28" t="n">
        <f aca="false">SUMIF($C$2:$F$2,EOMONTH(Z$2,-1)+1,$C135:$F135)*VLOOKUP(Z$2,ProyDia[],8,0)</f>
        <v>0</v>
      </c>
      <c r="AA135" s="28" t="n">
        <f aca="false">SUMIF($C$2:$F$2,EOMONTH(AA$2,-1)+1,$C135:$F135)*VLOOKUP(AA$2,ProyDia[],8,0)</f>
        <v>0</v>
      </c>
      <c r="AB135" s="28" t="n">
        <f aca="false">SUMIF($C$2:$F$2,EOMONTH(AB$2,-1)+1,$C135:$F135)*VLOOKUP(AB$2,ProyDia[],8,0)</f>
        <v>0</v>
      </c>
      <c r="AC135" s="28" t="n">
        <f aca="false">SUMIF($C$2:$F$2,EOMONTH(AC$2,-1)+1,$C135:$F135)*VLOOKUP(AC$2,ProyDia[],8,0)</f>
        <v>0</v>
      </c>
      <c r="AD135" s="28" t="n">
        <f aca="false">SUMIF($C$2:$F$2,EOMONTH(AD$2,-1)+1,$C135:$F135)*VLOOKUP(AD$2,ProyDia[],8,0)</f>
        <v>0</v>
      </c>
      <c r="AE135" s="28" t="n">
        <f aca="false">SUMIF($C$2:$F$2,EOMONTH(AE$2,-1)+1,$C135:$F135)*VLOOKUP(AE$2,ProyDia[],8,0)</f>
        <v>0</v>
      </c>
      <c r="AF135" s="28" t="n">
        <f aca="false">SUMIF($C$2:$F$2,EOMONTH(AF$2,-1)+1,$C135:$F135)*VLOOKUP(AF$2,ProyDia[],8,0)</f>
        <v>0</v>
      </c>
      <c r="AG135" s="28" t="n">
        <f aca="false">SUMIF($C$2:$F$2,EOMONTH(AG$2,-1)+1,$C135:$F135)*VLOOKUP(AG$2,ProyDia[],8,0)</f>
        <v>0</v>
      </c>
      <c r="AH135" s="28" t="n">
        <f aca="false">SUMIF($C$2:$F$2,EOMONTH(AH$2,-1)+1,$C135:$F135)*VLOOKUP(AH$2,ProyDia[],8,0)</f>
        <v>0</v>
      </c>
      <c r="AI135" s="28" t="n">
        <f aca="false">SUMIF($C$2:$F$2,EOMONTH(AI$2,-1)+1,$C135:$F135)*VLOOKUP(AI$2,ProyDia[],8,0)</f>
        <v>0</v>
      </c>
      <c r="AJ135" s="28" t="n">
        <f aca="false">SUMIF($C$2:$F$2,EOMONTH(AJ$2,-1)+1,$C135:$F135)*VLOOKUP(AJ$2,ProyDia[],8,0)</f>
        <v>0</v>
      </c>
      <c r="AK135" s="28" t="n">
        <f aca="false">SUMIF($C$2:$F$2,EOMONTH(AK$2,-1)+1,$C135:$F135)*VLOOKUP(AK$2,ProyDia[],8,0)</f>
        <v>0</v>
      </c>
      <c r="AL135" s="28" t="n">
        <f aca="false">SUMIF($C$2:$F$2,EOMONTH(AL$2,-1)+1,$C135:$F135)*VLOOKUP(AL$2,ProyDia[],8,0)</f>
        <v>0</v>
      </c>
      <c r="AM135" s="28" t="n">
        <f aca="false">SUMIF($C$2:$F$2,EOMONTH(AM$2,-1)+1,$C135:$F135)*VLOOKUP(AM$2,ProyDia[],8,0)</f>
        <v>0</v>
      </c>
      <c r="AN135" s="28" t="n">
        <f aca="false">SUMIF($C$2:$F$2,EOMONTH(AN$2,-1)+1,$C135:$F135)*VLOOKUP(AN$2,ProyDia[],8,0)</f>
        <v>0</v>
      </c>
      <c r="AO135" s="28" t="n">
        <f aca="false">SUMIF($C$2:$F$2,EOMONTH(AO$2,-1)+1,$C135:$F135)*VLOOKUP(AO$2,ProyDia[],8,0)</f>
        <v>0</v>
      </c>
      <c r="AP135" s="28" t="n">
        <f aca="false">SUMIF($C$2:$F$2,EOMONTH(AP$2,-1)+1,$C135:$F135)*VLOOKUP(AP$2,ProyDia[],8,0)</f>
        <v>0</v>
      </c>
      <c r="AQ135" s="28" t="n">
        <f aca="false">SUMIF($C$2:$F$2,EOMONTH(AQ$2,-1)+1,$C135:$F135)*VLOOKUP(AQ$2,ProyDia[],8,0)</f>
        <v>0</v>
      </c>
      <c r="AR135" s="28" t="n">
        <f aca="false">SUMIF($C$2:$F$2,EOMONTH(AR$2,-1)+1,$C135:$F135)*VLOOKUP(AR$2,ProyDia[],8,0)</f>
        <v>0</v>
      </c>
      <c r="AS135" s="28" t="n">
        <f aca="false">SUMIF($C$2:$F$2,EOMONTH(AS$2,-1)+1,$C135:$F135)*VLOOKUP(AS$2,ProyDia[],8,0)</f>
        <v>0</v>
      </c>
      <c r="AT135" s="28" t="n">
        <f aca="false">SUMIF($C$2:$F$2,EOMONTH(AT$2,-1)+1,$C135:$F135)*VLOOKUP(AT$2,ProyDia[],8,0)</f>
        <v>0</v>
      </c>
      <c r="AU135" s="28" t="n">
        <f aca="false">SUMIF($C$2:$F$2,EOMONTH(AU$2,-1)+1,$C135:$F135)*VLOOKUP(AU$2,ProyDia[],8,0)</f>
        <v>0</v>
      </c>
      <c r="AV135" s="28" t="n">
        <f aca="false">SUMIF($C$2:$F$2,EOMONTH(AV$2,-1)+1,$C135:$F135)*VLOOKUP(AV$2,ProyDia[],8,0)</f>
        <v>0</v>
      </c>
      <c r="AW135" s="28" t="n">
        <f aca="false">SUMIF($C$2:$F$2,EOMONTH(AW$2,-1)+1,$C135:$F135)*VLOOKUP(AW$2,ProyDia[],8,0)</f>
        <v>0</v>
      </c>
      <c r="AX135" s="28" t="n">
        <f aca="false">SUMIF($C$2:$F$2,EOMONTH(AX$2,-1)+1,$C135:$F135)*VLOOKUP(AX$2,ProyDia[],8,0)</f>
        <v>0</v>
      </c>
      <c r="AY135" s="28" t="n">
        <f aca="false">SUMIF($C$2:$F$2,EOMONTH(AY$2,-1)+1,$C135:$F135)*VLOOKUP(AY$2,ProyDia[],8,0)</f>
        <v>0</v>
      </c>
      <c r="AZ135" s="28" t="n">
        <f aca="false">SUMIF($C$2:$F$2,EOMONTH(AZ$2,-1)+1,$C135:$F135)*VLOOKUP(AZ$2,ProyDia[],8,0)</f>
        <v>0</v>
      </c>
      <c r="BA135" s="28" t="n">
        <f aca="false">SUMIF($C$2:$F$2,EOMONTH(BA$2,-1)+1,$C135:$F135)*VLOOKUP(BA$2,ProyDia[],8,0)</f>
        <v>0</v>
      </c>
      <c r="BB135" s="28" t="n">
        <f aca="false">SUMIF($C$2:$F$2,EOMONTH(BB$2,-1)+1,$C135:$F135)*VLOOKUP(BB$2,ProyDia[],8,0)</f>
        <v>0</v>
      </c>
      <c r="BC135" s="28" t="n">
        <f aca="false">SUMIF($C$2:$F$2,EOMONTH(BC$2,-1)+1,$C135:$F135)*VLOOKUP(BC$2,ProyDia[],8,0)</f>
        <v>0</v>
      </c>
      <c r="BD135" s="28" t="n">
        <f aca="false">SUMIF($C$2:$F$2,EOMONTH(BD$2,-1)+1,$C135:$F135)*VLOOKUP(BD$2,ProyDia[],8,0)</f>
        <v>0</v>
      </c>
      <c r="BE135" s="28" t="n">
        <f aca="false">SUMIF($C$2:$F$2,EOMONTH(BE$2,-1)+1,$C135:$F135)*VLOOKUP(BE$2,ProyDia[],8,0)</f>
        <v>0</v>
      </c>
      <c r="BF135" s="28" t="n">
        <f aca="false">SUMIF($C$2:$F$2,EOMONTH(BF$2,-1)+1,$C135:$F135)*VLOOKUP(BF$2,ProyDia[],8,0)</f>
        <v>0</v>
      </c>
      <c r="BG135" s="28" t="n">
        <f aca="false">SUMIF($C$2:$F$2,EOMONTH(BG$2,-1)+1,$C135:$F135)*VLOOKUP(BG$2,ProyDia[],8,0)</f>
        <v>0</v>
      </c>
      <c r="BH135" s="28" t="n">
        <f aca="false">SUMIF($C$2:$F$2,EOMONTH(BH$2,-1)+1,$C135:$F135)*VLOOKUP(BH$2,ProyDia[],8,0)</f>
        <v>0</v>
      </c>
      <c r="BI135" s="28" t="n">
        <f aca="false">SUMIF($C$2:$F$2,EOMONTH(BI$2,-1)+1,$C135:$F135)*VLOOKUP(BI$2,ProyDia[],8,0)</f>
        <v>0</v>
      </c>
      <c r="BJ135" s="28" t="n">
        <f aca="false">SUMIF($C$2:$F$2,EOMONTH(BJ$2,-1)+1,$C135:$F135)*VLOOKUP(BJ$2,ProyDia[],8,0)</f>
        <v>0</v>
      </c>
      <c r="BK135" s="28" t="n">
        <f aca="false">SUMIF($C$2:$F$2,EOMONTH(BK$2,-1)+1,$C135:$F135)*VLOOKUP(BK$2,ProyDia[],8,0)</f>
        <v>0</v>
      </c>
      <c r="BL135" s="28" t="n">
        <f aca="false">SUMIF($C$2:$F$2,EOMONTH(BL$2,-1)+1,$C135:$F135)*VLOOKUP(BL$2,ProyDia[],8,0)</f>
        <v>0</v>
      </c>
      <c r="BM135" s="28" t="n">
        <f aca="false">SUMIF($C$2:$F$2,EOMONTH(BM$2,-1)+1,$C135:$F135)*VLOOKUP(BM$2,ProyDia[],8,0)</f>
        <v>0</v>
      </c>
      <c r="BN135" s="28" t="n">
        <f aca="false">SUMIF($C$2:$F$2,EOMONTH(BN$2,-1)+1,$C135:$F135)*VLOOKUP(BN$2,ProyDia[],8,0)</f>
        <v>0</v>
      </c>
      <c r="BO135" s="28" t="n">
        <f aca="false">SUMIF($C$2:$F$2,EOMONTH(BO$2,-1)+1,$C135:$F135)*VLOOKUP(BO$2,ProyDia[],8,0)</f>
        <v>0</v>
      </c>
      <c r="BP135" s="28" t="n">
        <f aca="false">SUMIF($C$2:$F$2,EOMONTH(BP$2,-1)+1,$C135:$F135)*VLOOKUP(BP$2,ProyDia[],8,0)</f>
        <v>0</v>
      </c>
      <c r="BQ135" s="28" t="n">
        <f aca="false">SUMIF($C$2:$F$2,EOMONTH(BQ$2,-1)+1,$C135:$F135)*VLOOKUP(BQ$2,ProyDia[],8,0)</f>
        <v>0</v>
      </c>
      <c r="BR135" s="28" t="n">
        <f aca="false">SUMIF($C$2:$F$2,EOMONTH(BR$2,-1)+1,$C135:$F135)*VLOOKUP(BR$2,ProyDia[],8,0)</f>
        <v>0</v>
      </c>
      <c r="BS135" s="28" t="n">
        <f aca="false">SUMIF($C$2:$F$2,EOMONTH(BS$2,-1)+1,$C135:$F135)*VLOOKUP(BS$2,ProyDia[],8,0)</f>
        <v>0</v>
      </c>
      <c r="BT135" s="28" t="n">
        <f aca="false">SUMIF($C$2:$F$2,EOMONTH(BT$2,-1)+1,$C135:$F135)*VLOOKUP(BT$2,ProyDia[],8,0)</f>
        <v>0</v>
      </c>
      <c r="BU135" s="28" t="n">
        <f aca="false">SUMIF($C$2:$F$2,EOMONTH(BU$2,-1)+1,$C135:$F135)*VLOOKUP(BU$2,ProyDia[],8,0)</f>
        <v>0</v>
      </c>
      <c r="BV135" s="28" t="n">
        <f aca="false">SUMIF($C$2:$F$2,EOMONTH(BV$2,-1)+1,$C135:$F135)*VLOOKUP(BV$2,ProyDia[],8,0)</f>
        <v>0</v>
      </c>
      <c r="BW135" s="28" t="n">
        <f aca="false">SUMIF($C$2:$F$2,EOMONTH(BW$2,-1)+1,$C135:$F135)*VLOOKUP(BW$2,ProyDia[],8,0)</f>
        <v>0</v>
      </c>
      <c r="BX135" s="28" t="n">
        <f aca="false">SUMIF($C$2:$F$2,EOMONTH(BX$2,-1)+1,$C135:$F135)*VLOOKUP(BX$2,ProyDia[],8,0)</f>
        <v>0</v>
      </c>
      <c r="BY135" s="28" t="n">
        <f aca="false">SUMIF($C$2:$F$2,EOMONTH(BY$2,-1)+1,$C135:$F135)*VLOOKUP(BY$2,ProyDia[],8,0)</f>
        <v>0</v>
      </c>
      <c r="BZ135" s="28" t="n">
        <f aca="false">SUMIF($C$2:$F$2,EOMONTH(BZ$2,-1)+1,$C135:$F135)*VLOOKUP(BZ$2,ProyDia[],8,0)</f>
        <v>0</v>
      </c>
      <c r="CA135" s="28" t="n">
        <f aca="false">SUMIF($C$2:$F$2,EOMONTH(CA$2,-1)+1,$C135:$F135)*VLOOKUP(CA$2,ProyDia[],8,0)</f>
        <v>0</v>
      </c>
      <c r="CB135" s="28" t="n">
        <f aca="false">SUMIF($C$2:$F$2,EOMONTH(CB$2,-1)+1,$C135:$F135)*VLOOKUP(CB$2,ProyDia[],8,0)</f>
        <v>0</v>
      </c>
      <c r="CC135" s="28" t="n">
        <f aca="false">SUMIF($C$2:$F$2,EOMONTH(CC$2,-1)+1,$C135:$F135)*VLOOKUP(CC$2,ProyDia[],8,0)</f>
        <v>0</v>
      </c>
      <c r="CD135" s="28" t="n">
        <f aca="false">SUMIF($C$2:$F$2,EOMONTH(CD$2,-1)+1,$C135:$F135)*VLOOKUP(CD$2,ProyDia[],8,0)</f>
        <v>0</v>
      </c>
      <c r="CE135" s="28" t="n">
        <f aca="false">SUMIF($C$2:$F$2,EOMONTH(CE$2,-1)+1,$C135:$F135)*VLOOKUP(CE$2,ProyDia[],8,0)</f>
        <v>0</v>
      </c>
      <c r="CF135" s="28" t="n">
        <f aca="false">SUMIF($C$2:$F$2,EOMONTH(CF$2,-1)+1,$C135:$F135)*VLOOKUP(CF$2,ProyDia[],8,0)</f>
        <v>0</v>
      </c>
      <c r="CG135" s="28" t="n">
        <f aca="false">SUMIF($C$2:$F$2,EOMONTH(CG$2,-1)+1,$C135:$F135)*VLOOKUP(CG$2,ProyDia[],8,0)</f>
        <v>0</v>
      </c>
      <c r="CH135" s="28" t="n">
        <f aca="false">SUMIF($C$2:$F$2,EOMONTH(CH$2,-1)+1,$C135:$F135)*VLOOKUP(CH$2,ProyDia[],8,0)</f>
        <v>0</v>
      </c>
      <c r="CI135" s="28" t="n">
        <f aca="false">SUMIF($C$2:$F$2,EOMONTH(CI$2,-1)+1,$C135:$F135)*VLOOKUP(CI$2,ProyDia[],8,0)</f>
        <v>0</v>
      </c>
      <c r="CJ135" s="28" t="n">
        <f aca="false">SUMIF($C$2:$F$2,EOMONTH(CJ$2,-1)+1,$C135:$F135)*VLOOKUP(CJ$2,ProyDia[],8,0)</f>
        <v>0</v>
      </c>
      <c r="CK135" s="28" t="n">
        <f aca="false">SUMIF($C$2:$F$2,EOMONTH(CK$2,-1)+1,$C135:$F135)*VLOOKUP(CK$2,ProyDia[],8,0)</f>
        <v>0</v>
      </c>
      <c r="CL135" s="28" t="n">
        <f aca="false">SUMIF($C$2:$F$2,EOMONTH(CL$2,-1)+1,$C135:$F135)*VLOOKUP(CL$2,ProyDia[],8,0)</f>
        <v>0</v>
      </c>
      <c r="CM135" s="28" t="n">
        <f aca="false">SUMIF($C$2:$F$2,EOMONTH(CM$2,-1)+1,$C135:$F135)*VLOOKUP(CM$2,ProyDia[],8,0)</f>
        <v>0</v>
      </c>
      <c r="CN135" s="28" t="n">
        <f aca="false">SUMIF($C$2:$F$2,EOMONTH(CN$2,-1)+1,$C135:$F135)*VLOOKUP(CN$2,ProyDia[],8,0)</f>
        <v>0</v>
      </c>
      <c r="CO135" s="28" t="n">
        <f aca="false">SUMIF($C$2:$F$2,EOMONTH(CO$2,-1)+1,$C135:$F135)*VLOOKUP(CO$2,ProyDia[],8,0)</f>
        <v>0</v>
      </c>
      <c r="CP135" s="28" t="n">
        <f aca="false">SUMIF($C$2:$F$2,EOMONTH(CP$2,-1)+1,$C135:$F135)*VLOOKUP(CP$2,ProyDia[],8,0)</f>
        <v>0</v>
      </c>
      <c r="CQ135" s="28" t="n">
        <f aca="false">SUMIF($C$2:$F$2,EOMONTH(CQ$2,-1)+1,$C135:$F135)*VLOOKUP(CQ$2,ProyDia[],8,0)</f>
        <v>0</v>
      </c>
      <c r="CR135" s="28" t="n">
        <f aca="false">SUMIF($C$2:$F$2,EOMONTH(CR$2,-1)+1,$C135:$F135)*VLOOKUP(CR$2,ProyDia[],8,0)</f>
        <v>0</v>
      </c>
      <c r="CS135" s="28" t="n">
        <f aca="false">SUMIF($C$2:$F$2,EOMONTH(CS$2,-1)+1,$C135:$F135)*VLOOKUP(CS$2,ProyDia[],8,0)</f>
        <v>0</v>
      </c>
      <c r="CT135" s="28" t="n">
        <f aca="false">SUMIF($C$2:$F$2,EOMONTH(CT$2,-1)+1,$C135:$F135)*VLOOKUP(CT$2,ProyDia[],8,0)</f>
        <v>0</v>
      </c>
      <c r="CU135" s="28" t="n">
        <f aca="false">SUMIF($C$2:$F$2,EOMONTH(CU$2,-1)+1,$C135:$F135)*VLOOKUP(CU$2,ProyDia[],8,0)</f>
        <v>0</v>
      </c>
      <c r="CV135" s="28" t="n">
        <f aca="false">SUMIF($C$2:$F$2,EOMONTH(CV$2,-1)+1,$C135:$F135)*VLOOKUP(CV$2,ProyDia[],8,0)</f>
        <v>0</v>
      </c>
      <c r="CW135" s="28" t="n">
        <f aca="false">SUMIF($C$2:$F$2,EOMONTH(CW$2,-1)+1,$C135:$F135)*VLOOKUP(CW$2,ProyDia[],8,0)</f>
        <v>0</v>
      </c>
      <c r="CX135" s="28" t="n">
        <f aca="false">SUMIF($C$2:$F$2,EOMONTH(CX$2,-1)+1,$C135:$F135)*VLOOKUP(CX$2,ProyDia[],8,0)</f>
        <v>0</v>
      </c>
      <c r="CY135" s="28" t="n">
        <f aca="false">SUMIF($C$2:$F$2,EOMONTH(CY$2,-1)+1,$C135:$F135)*VLOOKUP(CY$2,ProyDia[],8,0)</f>
        <v>0</v>
      </c>
      <c r="CZ135" s="28" t="n">
        <f aca="false">SUMIF($C$2:$F$2,EOMONTH(CZ$2,-1)+1,$C135:$F135)*VLOOKUP(CZ$2,ProyDia[],8,0)</f>
        <v>0</v>
      </c>
      <c r="DA135" s="28" t="n">
        <f aca="false">SUMIF($C$2:$F$2,EOMONTH(DA$2,-1)+1,$C135:$F135)*VLOOKUP(DA$2,ProyDia[],8,0)</f>
        <v>0</v>
      </c>
      <c r="DB135" s="28" t="n">
        <f aca="false">SUMIF($C$2:$F$2,EOMONTH(DB$2,-1)+1,$C135:$F135)*VLOOKUP(DB$2,ProyDia[],8,0)</f>
        <v>0</v>
      </c>
      <c r="DC135" s="28" t="n">
        <f aca="false">SUMIF($C$2:$F$2,EOMONTH(DC$2,-1)+1,$C135:$F135)*VLOOKUP(DC$2,ProyDia[],8,0)</f>
        <v>0</v>
      </c>
      <c r="DD135" s="28" t="n">
        <f aca="false">SUMIF($C$2:$F$2,EOMONTH(DD$2,-1)+1,$C135:$F135)*VLOOKUP(DD$2,ProyDia[],8,0)</f>
        <v>0</v>
      </c>
      <c r="DE135" s="28" t="n">
        <f aca="false">SUMIF($C$2:$F$2,EOMONTH(DE$2,-1)+1,$C135:$F135)*VLOOKUP(DE$2,ProyDia[],8,0)</f>
        <v>0</v>
      </c>
      <c r="DF135" s="28" t="n">
        <f aca="false">SUMIF($C$2:$F$2,EOMONTH(DF$2,-1)+1,$C135:$F135)*VLOOKUP(DF$2,ProyDia[],8,0)</f>
        <v>0</v>
      </c>
      <c r="DG135" s="28" t="n">
        <f aca="false">SUMIF($C$2:$F$2,EOMONTH(DG$2,-1)+1,$C135:$F135)*VLOOKUP(DG$2,ProyDia[],8,0)</f>
        <v>0</v>
      </c>
      <c r="DH135" s="28" t="n">
        <f aca="false">SUMIF($C$2:$F$2,EOMONTH(DH$2,-1)+1,$C135:$F135)*VLOOKUP(DH$2,ProyDia[],8,0)</f>
        <v>0</v>
      </c>
      <c r="DI135" s="28" t="n">
        <f aca="false">SUMIF($C$2:$F$2,EOMONTH(DI$2,-1)+1,$C135:$F135)*VLOOKUP(DI$2,ProyDia[],8,0)</f>
        <v>0</v>
      </c>
      <c r="DJ135" s="28" t="n">
        <f aca="false">SUMIF($C$2:$F$2,EOMONTH(DJ$2,-1)+1,$C135:$F135)*VLOOKUP(DJ$2,ProyDia[],8,0)</f>
        <v>0</v>
      </c>
      <c r="DK135" s="28" t="n">
        <f aca="false">SUMIF($C$2:$F$2,EOMONTH(DK$2,-1)+1,$C135:$F135)*VLOOKUP(DK$2,ProyDia[],8,0)</f>
        <v>0</v>
      </c>
      <c r="DL135" s="28" t="n">
        <f aca="false">SUMIF($C$2:$F$2,EOMONTH(DL$2,-1)+1,$C135:$F135)*VLOOKUP(DL$2,ProyDia[],8,0)</f>
        <v>0</v>
      </c>
      <c r="DM135" s="28" t="n">
        <f aca="false">SUMIF($C$2:$F$2,EOMONTH(DM$2,-1)+1,$C135:$F135)*VLOOKUP(DM$2,ProyDia[],8,0)</f>
        <v>0</v>
      </c>
      <c r="DN135" s="28" t="n">
        <f aca="false">SUMIF($C$2:$F$2,EOMONTH(DN$2,-1)+1,$C135:$F135)*VLOOKUP(DN$2,ProyDia[],8,0)</f>
        <v>0</v>
      </c>
      <c r="DO135" s="28" t="n">
        <f aca="false">SUMIF($C$2:$F$2,EOMONTH(DO$2,-1)+1,$C135:$F135)*VLOOKUP(DO$2,ProyDia[],8,0)</f>
        <v>0</v>
      </c>
      <c r="DP135" s="28" t="n">
        <f aca="false">SUMIF($C$2:$F$2,EOMONTH(DP$2,-1)+1,$C135:$F135)*VLOOKUP(DP$2,ProyDia[],8,0)</f>
        <v>0</v>
      </c>
      <c r="DQ135" s="28" t="n">
        <f aca="false">SUMIF($C$2:$F$2,EOMONTH(DQ$2,-1)+1,$C135:$F135)*VLOOKUP(DQ$2,ProyDia[],8,0)</f>
        <v>0</v>
      </c>
      <c r="DR135" s="28" t="n">
        <f aca="false">SUMIF($C$2:$F$2,EOMONTH(DR$2,-1)+1,$C135:$F135)*VLOOKUP(DR$2,ProyDia[],8,0)</f>
        <v>0</v>
      </c>
      <c r="DS135" s="28" t="n">
        <f aca="false">SUMIF($C$2:$F$2,EOMONTH(DS$2,-1)+1,$C135:$F135)*VLOOKUP(DS$2,ProyDia[],8,0)</f>
        <v>0</v>
      </c>
      <c r="DT135" s="28" t="n">
        <f aca="false">SUMIF($C$2:$F$2,EOMONTH(DT$2,-1)+1,$C135:$F135)*VLOOKUP(DT$2,ProyDia[],8,0)</f>
        <v>0</v>
      </c>
      <c r="DU135" s="28" t="n">
        <f aca="false">SUMIF($C$2:$F$2,EOMONTH(DU$2,-1)+1,$C135:$F135)*VLOOKUP(DU$2,ProyDia[],8,0)</f>
        <v>0</v>
      </c>
      <c r="DV135" s="28" t="n">
        <f aca="false">SUMIF($C$2:$F$2,EOMONTH(DV$2,-1)+1,$C135:$F135)*VLOOKUP(DV$2,ProyDia[],8,0)</f>
        <v>0</v>
      </c>
      <c r="DW135" s="28" t="n">
        <f aca="false">SUMIF($C$2:$F$2,EOMONTH(DW$2,-1)+1,$C135:$F135)*VLOOKUP(DW$2,ProyDia[],8,0)</f>
        <v>0</v>
      </c>
      <c r="DX135" s="28" t="n">
        <f aca="false">SUMIF($C$2:$F$2,EOMONTH(DX$2,-1)+1,$C135:$F135)*VLOOKUP(DX$2,ProyDia[],8,0)</f>
        <v>0</v>
      </c>
    </row>
    <row r="136" customFormat="false" ht="14.4" hidden="false" customHeight="false" outlineLevel="0" collapsed="false">
      <c r="A136" s="35"/>
      <c r="B136" s="35"/>
      <c r="C136" s="35"/>
      <c r="D136" s="35"/>
      <c r="E136" s="35"/>
      <c r="F136" s="35"/>
      <c r="G136" s="36" t="n">
        <f aca="false">SUMIF($C$2:$F$2,EOMONTH(G$2,-1)+1,$C136:$F136)*VLOOKUP(G$2,ProyDia[],8,0)</f>
        <v>0</v>
      </c>
      <c r="H136" s="36" t="n">
        <f aca="false">SUMIF($C$2:$F$2,EOMONTH(H$2,-1)+1,$C136:$F136)*VLOOKUP(H$2,ProyDia[],8,0)</f>
        <v>0</v>
      </c>
      <c r="I136" s="36" t="n">
        <f aca="false">SUMIF($C$2:$F$2,EOMONTH(I$2,-1)+1,$C136:$F136)*VLOOKUP(I$2,ProyDia[],8,0)</f>
        <v>0</v>
      </c>
      <c r="J136" s="36" t="n">
        <f aca="false">SUMIF($C$2:$F$2,EOMONTH(J$2,-1)+1,$C136:$F136)*VLOOKUP(J$2,ProyDia[],8,0)</f>
        <v>0</v>
      </c>
      <c r="K136" s="36" t="n">
        <f aca="false">SUMIF($C$2:$F$2,EOMONTH(K$2,-1)+1,$C136:$F136)*VLOOKUP(K$2,ProyDia[],8,0)</f>
        <v>0</v>
      </c>
      <c r="L136" s="36" t="n">
        <f aca="false">SUMIF($C$2:$F$2,EOMONTH(L$2,-1)+1,$C136:$F136)*VLOOKUP(L$2,ProyDia[],8,0)</f>
        <v>0</v>
      </c>
      <c r="M136" s="36" t="n">
        <f aca="false">SUMIF($C$2:$F$2,EOMONTH(M$2,-1)+1,$C136:$F136)*VLOOKUP(M$2,ProyDia[],8,0)</f>
        <v>0</v>
      </c>
      <c r="N136" s="36" t="n">
        <f aca="false">SUMIF($C$2:$F$2,EOMONTH(N$2,-1)+1,$C136:$F136)*VLOOKUP(N$2,ProyDia[],8,0)</f>
        <v>0</v>
      </c>
      <c r="O136" s="36" t="n">
        <f aca="false">SUMIF($C$2:$F$2,EOMONTH(O$2,-1)+1,$C136:$F136)*VLOOKUP(O$2,ProyDia[],8,0)</f>
        <v>0</v>
      </c>
      <c r="P136" s="36" t="n">
        <f aca="false">SUMIF($C$2:$F$2,EOMONTH(P$2,-1)+1,$C136:$F136)*VLOOKUP(P$2,ProyDia[],8,0)</f>
        <v>0</v>
      </c>
      <c r="Q136" s="36" t="n">
        <f aca="false">SUMIF($C$2:$F$2,EOMONTH(Q$2,-1)+1,$C136:$F136)*VLOOKUP(Q$2,ProyDia[],8,0)</f>
        <v>0</v>
      </c>
      <c r="R136" s="36" t="n">
        <f aca="false">SUMIF($C$2:$F$2,EOMONTH(R$2,-1)+1,$C136:$F136)*VLOOKUP(R$2,ProyDia[],8,0)</f>
        <v>0</v>
      </c>
      <c r="S136" s="36" t="n">
        <f aca="false">SUMIF($C$2:$F$2,EOMONTH(S$2,-1)+1,$C136:$F136)*VLOOKUP(S$2,ProyDia[],8,0)</f>
        <v>0</v>
      </c>
      <c r="T136" s="36" t="n">
        <f aca="false">SUMIF($C$2:$F$2,EOMONTH(T$2,-1)+1,$C136:$F136)*VLOOKUP(T$2,ProyDia[],8,0)</f>
        <v>0</v>
      </c>
      <c r="U136" s="36" t="n">
        <f aca="false">SUMIF($C$2:$F$2,EOMONTH(U$2,-1)+1,$C136:$F136)*VLOOKUP(U$2,ProyDia[],8,0)</f>
        <v>0</v>
      </c>
      <c r="V136" s="36" t="n">
        <f aca="false">SUMIF($C$2:$F$2,EOMONTH(V$2,-1)+1,$C136:$F136)*VLOOKUP(V$2,ProyDia[],8,0)</f>
        <v>0</v>
      </c>
      <c r="W136" s="36" t="n">
        <f aca="false">SUMIF($C$2:$F$2,EOMONTH(W$2,-1)+1,$C136:$F136)*VLOOKUP(W$2,ProyDia[],8,0)</f>
        <v>0</v>
      </c>
      <c r="X136" s="36" t="n">
        <f aca="false">SUMIF($C$2:$F$2,EOMONTH(X$2,-1)+1,$C136:$F136)*VLOOKUP(X$2,ProyDia[],8,0)</f>
        <v>0</v>
      </c>
      <c r="Y136" s="36" t="n">
        <f aca="false">SUMIF($C$2:$F$2,EOMONTH(Y$2,-1)+1,$C136:$F136)*VLOOKUP(Y$2,ProyDia[],8,0)</f>
        <v>0</v>
      </c>
      <c r="Z136" s="36" t="n">
        <f aca="false">SUMIF($C$2:$F$2,EOMONTH(Z$2,-1)+1,$C136:$F136)*VLOOKUP(Z$2,ProyDia[],8,0)</f>
        <v>0</v>
      </c>
      <c r="AA136" s="36" t="n">
        <f aca="false">SUMIF($C$2:$F$2,EOMONTH(AA$2,-1)+1,$C136:$F136)*VLOOKUP(AA$2,ProyDia[],8,0)</f>
        <v>0</v>
      </c>
      <c r="AB136" s="36" t="n">
        <f aca="false">SUMIF($C$2:$F$2,EOMONTH(AB$2,-1)+1,$C136:$F136)*VLOOKUP(AB$2,ProyDia[],8,0)</f>
        <v>0</v>
      </c>
      <c r="AC136" s="36" t="n">
        <f aca="false">SUMIF($C$2:$F$2,EOMONTH(AC$2,-1)+1,$C136:$F136)*VLOOKUP(AC$2,ProyDia[],8,0)</f>
        <v>0</v>
      </c>
      <c r="AD136" s="36" t="n">
        <f aca="false">SUMIF($C$2:$F$2,EOMONTH(AD$2,-1)+1,$C136:$F136)*VLOOKUP(AD$2,ProyDia[],8,0)</f>
        <v>0</v>
      </c>
      <c r="AE136" s="36" t="n">
        <f aca="false">SUMIF($C$2:$F$2,EOMONTH(AE$2,-1)+1,$C136:$F136)*VLOOKUP(AE$2,ProyDia[],8,0)</f>
        <v>0</v>
      </c>
      <c r="AF136" s="36" t="n">
        <f aca="false">SUMIF($C$2:$F$2,EOMONTH(AF$2,-1)+1,$C136:$F136)*VLOOKUP(AF$2,ProyDia[],8,0)</f>
        <v>0</v>
      </c>
      <c r="AG136" s="36" t="n">
        <f aca="false">SUMIF($C$2:$F$2,EOMONTH(AG$2,-1)+1,$C136:$F136)*VLOOKUP(AG$2,ProyDia[],8,0)</f>
        <v>0</v>
      </c>
      <c r="AH136" s="36" t="n">
        <f aca="false">SUMIF($C$2:$F$2,EOMONTH(AH$2,-1)+1,$C136:$F136)*VLOOKUP(AH$2,ProyDia[],8,0)</f>
        <v>0</v>
      </c>
      <c r="AI136" s="36" t="n">
        <f aca="false">SUMIF($C$2:$F$2,EOMONTH(AI$2,-1)+1,$C136:$F136)*VLOOKUP(AI$2,ProyDia[],8,0)</f>
        <v>0</v>
      </c>
      <c r="AJ136" s="36" t="n">
        <f aca="false">SUMIF($C$2:$F$2,EOMONTH(AJ$2,-1)+1,$C136:$F136)*VLOOKUP(AJ$2,ProyDia[],8,0)</f>
        <v>0</v>
      </c>
      <c r="AK136" s="36" t="n">
        <f aca="false">SUMIF($C$2:$F$2,EOMONTH(AK$2,-1)+1,$C136:$F136)*VLOOKUP(AK$2,ProyDia[],8,0)</f>
        <v>0</v>
      </c>
      <c r="AL136" s="36" t="n">
        <f aca="false">SUMIF($C$2:$F$2,EOMONTH(AL$2,-1)+1,$C136:$F136)*VLOOKUP(AL$2,ProyDia[],8,0)</f>
        <v>0</v>
      </c>
      <c r="AM136" s="36" t="n">
        <f aca="false">SUMIF($C$2:$F$2,EOMONTH(AM$2,-1)+1,$C136:$F136)*VLOOKUP(AM$2,ProyDia[],8,0)</f>
        <v>0</v>
      </c>
      <c r="AN136" s="36" t="n">
        <f aca="false">SUMIF($C$2:$F$2,EOMONTH(AN$2,-1)+1,$C136:$F136)*VLOOKUP(AN$2,ProyDia[],8,0)</f>
        <v>0</v>
      </c>
      <c r="AO136" s="36" t="n">
        <f aca="false">SUMIF($C$2:$F$2,EOMONTH(AO$2,-1)+1,$C136:$F136)*VLOOKUP(AO$2,ProyDia[],8,0)</f>
        <v>0</v>
      </c>
      <c r="AP136" s="36" t="n">
        <f aca="false">SUMIF($C$2:$F$2,EOMONTH(AP$2,-1)+1,$C136:$F136)*VLOOKUP(AP$2,ProyDia[],8,0)</f>
        <v>0</v>
      </c>
      <c r="AQ136" s="36" t="n">
        <f aca="false">SUMIF($C$2:$F$2,EOMONTH(AQ$2,-1)+1,$C136:$F136)*VLOOKUP(AQ$2,ProyDia[],8,0)</f>
        <v>0</v>
      </c>
      <c r="AR136" s="36" t="n">
        <f aca="false">SUMIF($C$2:$F$2,EOMONTH(AR$2,-1)+1,$C136:$F136)*VLOOKUP(AR$2,ProyDia[],8,0)</f>
        <v>0</v>
      </c>
      <c r="AS136" s="36" t="n">
        <f aca="false">SUMIF($C$2:$F$2,EOMONTH(AS$2,-1)+1,$C136:$F136)*VLOOKUP(AS$2,ProyDia[],8,0)</f>
        <v>0</v>
      </c>
      <c r="AT136" s="36" t="n">
        <f aca="false">SUMIF($C$2:$F$2,EOMONTH(AT$2,-1)+1,$C136:$F136)*VLOOKUP(AT$2,ProyDia[],8,0)</f>
        <v>0</v>
      </c>
      <c r="AU136" s="36" t="n">
        <f aca="false">SUMIF($C$2:$F$2,EOMONTH(AU$2,-1)+1,$C136:$F136)*VLOOKUP(AU$2,ProyDia[],8,0)</f>
        <v>0</v>
      </c>
      <c r="AV136" s="36" t="n">
        <f aca="false">SUMIF($C$2:$F$2,EOMONTH(AV$2,-1)+1,$C136:$F136)*VLOOKUP(AV$2,ProyDia[],8,0)</f>
        <v>0</v>
      </c>
      <c r="AW136" s="36" t="n">
        <f aca="false">SUMIF($C$2:$F$2,EOMONTH(AW$2,-1)+1,$C136:$F136)*VLOOKUP(AW$2,ProyDia[],8,0)</f>
        <v>0</v>
      </c>
      <c r="AX136" s="36" t="n">
        <f aca="false">SUMIF($C$2:$F$2,EOMONTH(AX$2,-1)+1,$C136:$F136)*VLOOKUP(AX$2,ProyDia[],8,0)</f>
        <v>0</v>
      </c>
      <c r="AY136" s="36" t="n">
        <f aca="false">SUMIF($C$2:$F$2,EOMONTH(AY$2,-1)+1,$C136:$F136)*VLOOKUP(AY$2,ProyDia[],8,0)</f>
        <v>0</v>
      </c>
      <c r="AZ136" s="36" t="n">
        <f aca="false">SUMIF($C$2:$F$2,EOMONTH(AZ$2,-1)+1,$C136:$F136)*VLOOKUP(AZ$2,ProyDia[],8,0)</f>
        <v>0</v>
      </c>
      <c r="BA136" s="36" t="n">
        <f aca="false">SUMIF($C$2:$F$2,EOMONTH(BA$2,-1)+1,$C136:$F136)*VLOOKUP(BA$2,ProyDia[],8,0)</f>
        <v>0</v>
      </c>
      <c r="BB136" s="36" t="n">
        <f aca="false">SUMIF($C$2:$F$2,EOMONTH(BB$2,-1)+1,$C136:$F136)*VLOOKUP(BB$2,ProyDia[],8,0)</f>
        <v>0</v>
      </c>
      <c r="BC136" s="36" t="n">
        <f aca="false">SUMIF($C$2:$F$2,EOMONTH(BC$2,-1)+1,$C136:$F136)*VLOOKUP(BC$2,ProyDia[],8,0)</f>
        <v>0</v>
      </c>
      <c r="BD136" s="36" t="n">
        <f aca="false">SUMIF($C$2:$F$2,EOMONTH(BD$2,-1)+1,$C136:$F136)*VLOOKUP(BD$2,ProyDia[],8,0)</f>
        <v>0</v>
      </c>
      <c r="BE136" s="36" t="n">
        <f aca="false">SUMIF($C$2:$F$2,EOMONTH(BE$2,-1)+1,$C136:$F136)*VLOOKUP(BE$2,ProyDia[],8,0)</f>
        <v>0</v>
      </c>
      <c r="BF136" s="36" t="n">
        <f aca="false">SUMIF($C$2:$F$2,EOMONTH(BF$2,-1)+1,$C136:$F136)*VLOOKUP(BF$2,ProyDia[],8,0)</f>
        <v>0</v>
      </c>
      <c r="BG136" s="36" t="n">
        <f aca="false">SUMIF($C$2:$F$2,EOMONTH(BG$2,-1)+1,$C136:$F136)*VLOOKUP(BG$2,ProyDia[],8,0)</f>
        <v>0</v>
      </c>
      <c r="BH136" s="36" t="n">
        <f aca="false">SUMIF($C$2:$F$2,EOMONTH(BH$2,-1)+1,$C136:$F136)*VLOOKUP(BH$2,ProyDia[],8,0)</f>
        <v>0</v>
      </c>
      <c r="BI136" s="36" t="n">
        <f aca="false">SUMIF($C$2:$F$2,EOMONTH(BI$2,-1)+1,$C136:$F136)*VLOOKUP(BI$2,ProyDia[],8,0)</f>
        <v>0</v>
      </c>
      <c r="BJ136" s="36" t="n">
        <f aca="false">SUMIF($C$2:$F$2,EOMONTH(BJ$2,-1)+1,$C136:$F136)*VLOOKUP(BJ$2,ProyDia[],8,0)</f>
        <v>0</v>
      </c>
      <c r="BK136" s="36" t="n">
        <f aca="false">SUMIF($C$2:$F$2,EOMONTH(BK$2,-1)+1,$C136:$F136)*VLOOKUP(BK$2,ProyDia[],8,0)</f>
        <v>0</v>
      </c>
      <c r="BL136" s="36" t="n">
        <f aca="false">SUMIF($C$2:$F$2,EOMONTH(BL$2,-1)+1,$C136:$F136)*VLOOKUP(BL$2,ProyDia[],8,0)</f>
        <v>0</v>
      </c>
      <c r="BM136" s="36" t="n">
        <f aca="false">SUMIF($C$2:$F$2,EOMONTH(BM$2,-1)+1,$C136:$F136)*VLOOKUP(BM$2,ProyDia[],8,0)</f>
        <v>0</v>
      </c>
      <c r="BN136" s="36" t="n">
        <f aca="false">SUMIF($C$2:$F$2,EOMONTH(BN$2,-1)+1,$C136:$F136)*VLOOKUP(BN$2,ProyDia[],8,0)</f>
        <v>0</v>
      </c>
      <c r="BO136" s="36" t="n">
        <f aca="false">SUMIF($C$2:$F$2,EOMONTH(BO$2,-1)+1,$C136:$F136)*VLOOKUP(BO$2,ProyDia[],8,0)</f>
        <v>0</v>
      </c>
      <c r="BP136" s="36" t="n">
        <f aca="false">SUMIF($C$2:$F$2,EOMONTH(BP$2,-1)+1,$C136:$F136)*VLOOKUP(BP$2,ProyDia[],8,0)</f>
        <v>0</v>
      </c>
      <c r="BQ136" s="36" t="n">
        <f aca="false">SUMIF($C$2:$F$2,EOMONTH(BQ$2,-1)+1,$C136:$F136)*VLOOKUP(BQ$2,ProyDia[],8,0)</f>
        <v>0</v>
      </c>
      <c r="BR136" s="36" t="n">
        <f aca="false">SUMIF($C$2:$F$2,EOMONTH(BR$2,-1)+1,$C136:$F136)*VLOOKUP(BR$2,ProyDia[],8,0)</f>
        <v>0</v>
      </c>
      <c r="BS136" s="36" t="n">
        <f aca="false">SUMIF($C$2:$F$2,EOMONTH(BS$2,-1)+1,$C136:$F136)*VLOOKUP(BS$2,ProyDia[],8,0)</f>
        <v>0</v>
      </c>
      <c r="BT136" s="36" t="n">
        <f aca="false">SUMIF($C$2:$F$2,EOMONTH(BT$2,-1)+1,$C136:$F136)*VLOOKUP(BT$2,ProyDia[],8,0)</f>
        <v>0</v>
      </c>
      <c r="BU136" s="36" t="n">
        <f aca="false">SUMIF($C$2:$F$2,EOMONTH(BU$2,-1)+1,$C136:$F136)*VLOOKUP(BU$2,ProyDia[],8,0)</f>
        <v>0</v>
      </c>
      <c r="BV136" s="36" t="n">
        <f aca="false">SUMIF($C$2:$F$2,EOMONTH(BV$2,-1)+1,$C136:$F136)*VLOOKUP(BV$2,ProyDia[],8,0)</f>
        <v>0</v>
      </c>
      <c r="BW136" s="36" t="n">
        <f aca="false">SUMIF($C$2:$F$2,EOMONTH(BW$2,-1)+1,$C136:$F136)*VLOOKUP(BW$2,ProyDia[],8,0)</f>
        <v>0</v>
      </c>
      <c r="BX136" s="36" t="n">
        <f aca="false">SUMIF($C$2:$F$2,EOMONTH(BX$2,-1)+1,$C136:$F136)*VLOOKUP(BX$2,ProyDia[],8,0)</f>
        <v>0</v>
      </c>
      <c r="BY136" s="36" t="n">
        <f aca="false">SUMIF($C$2:$F$2,EOMONTH(BY$2,-1)+1,$C136:$F136)*VLOOKUP(BY$2,ProyDia[],8,0)</f>
        <v>0</v>
      </c>
      <c r="BZ136" s="36" t="n">
        <f aca="false">SUMIF($C$2:$F$2,EOMONTH(BZ$2,-1)+1,$C136:$F136)*VLOOKUP(BZ$2,ProyDia[],8,0)</f>
        <v>0</v>
      </c>
      <c r="CA136" s="36" t="n">
        <f aca="false">SUMIF($C$2:$F$2,EOMONTH(CA$2,-1)+1,$C136:$F136)*VLOOKUP(CA$2,ProyDia[],8,0)</f>
        <v>0</v>
      </c>
      <c r="CB136" s="36" t="n">
        <f aca="false">SUMIF($C$2:$F$2,EOMONTH(CB$2,-1)+1,$C136:$F136)*VLOOKUP(CB$2,ProyDia[],8,0)</f>
        <v>0</v>
      </c>
      <c r="CC136" s="36" t="n">
        <f aca="false">SUMIF($C$2:$F$2,EOMONTH(CC$2,-1)+1,$C136:$F136)*VLOOKUP(CC$2,ProyDia[],8,0)</f>
        <v>0</v>
      </c>
      <c r="CD136" s="36" t="n">
        <f aca="false">SUMIF($C$2:$F$2,EOMONTH(CD$2,-1)+1,$C136:$F136)*VLOOKUP(CD$2,ProyDia[],8,0)</f>
        <v>0</v>
      </c>
      <c r="CE136" s="36" t="n">
        <f aca="false">SUMIF($C$2:$F$2,EOMONTH(CE$2,-1)+1,$C136:$F136)*VLOOKUP(CE$2,ProyDia[],8,0)</f>
        <v>0</v>
      </c>
      <c r="CF136" s="36" t="n">
        <f aca="false">SUMIF($C$2:$F$2,EOMONTH(CF$2,-1)+1,$C136:$F136)*VLOOKUP(CF$2,ProyDia[],8,0)</f>
        <v>0</v>
      </c>
      <c r="CG136" s="36" t="n">
        <f aca="false">SUMIF($C$2:$F$2,EOMONTH(CG$2,-1)+1,$C136:$F136)*VLOOKUP(CG$2,ProyDia[],8,0)</f>
        <v>0</v>
      </c>
      <c r="CH136" s="36" t="n">
        <f aca="false">SUMIF($C$2:$F$2,EOMONTH(CH$2,-1)+1,$C136:$F136)*VLOOKUP(CH$2,ProyDia[],8,0)</f>
        <v>0</v>
      </c>
      <c r="CI136" s="36" t="n">
        <f aca="false">SUMIF($C$2:$F$2,EOMONTH(CI$2,-1)+1,$C136:$F136)*VLOOKUP(CI$2,ProyDia[],8,0)</f>
        <v>0</v>
      </c>
      <c r="CJ136" s="36" t="n">
        <f aca="false">SUMIF($C$2:$F$2,EOMONTH(CJ$2,-1)+1,$C136:$F136)*VLOOKUP(CJ$2,ProyDia[],8,0)</f>
        <v>0</v>
      </c>
      <c r="CK136" s="36" t="n">
        <f aca="false">SUMIF($C$2:$F$2,EOMONTH(CK$2,-1)+1,$C136:$F136)*VLOOKUP(CK$2,ProyDia[],8,0)</f>
        <v>0</v>
      </c>
      <c r="CL136" s="36" t="n">
        <f aca="false">SUMIF($C$2:$F$2,EOMONTH(CL$2,-1)+1,$C136:$F136)*VLOOKUP(CL$2,ProyDia[],8,0)</f>
        <v>0</v>
      </c>
      <c r="CM136" s="36" t="n">
        <f aca="false">SUMIF($C$2:$F$2,EOMONTH(CM$2,-1)+1,$C136:$F136)*VLOOKUP(CM$2,ProyDia[],8,0)</f>
        <v>0</v>
      </c>
      <c r="CN136" s="36" t="n">
        <f aca="false">SUMIF($C$2:$F$2,EOMONTH(CN$2,-1)+1,$C136:$F136)*VLOOKUP(CN$2,ProyDia[],8,0)</f>
        <v>0</v>
      </c>
      <c r="CO136" s="36" t="n">
        <f aca="false">SUMIF($C$2:$F$2,EOMONTH(CO$2,-1)+1,$C136:$F136)*VLOOKUP(CO$2,ProyDia[],8,0)</f>
        <v>0</v>
      </c>
      <c r="CP136" s="36" t="n">
        <f aca="false">SUMIF($C$2:$F$2,EOMONTH(CP$2,-1)+1,$C136:$F136)*VLOOKUP(CP$2,ProyDia[],8,0)</f>
        <v>0</v>
      </c>
      <c r="CQ136" s="36" t="n">
        <f aca="false">SUMIF($C$2:$F$2,EOMONTH(CQ$2,-1)+1,$C136:$F136)*VLOOKUP(CQ$2,ProyDia[],8,0)</f>
        <v>0</v>
      </c>
      <c r="CR136" s="36" t="n">
        <f aca="false">SUMIF($C$2:$F$2,EOMONTH(CR$2,-1)+1,$C136:$F136)*VLOOKUP(CR$2,ProyDia[],8,0)</f>
        <v>0</v>
      </c>
      <c r="CS136" s="36" t="n">
        <f aca="false">SUMIF($C$2:$F$2,EOMONTH(CS$2,-1)+1,$C136:$F136)*VLOOKUP(CS$2,ProyDia[],8,0)</f>
        <v>0</v>
      </c>
      <c r="CT136" s="36" t="n">
        <f aca="false">SUMIF($C$2:$F$2,EOMONTH(CT$2,-1)+1,$C136:$F136)*VLOOKUP(CT$2,ProyDia[],8,0)</f>
        <v>0</v>
      </c>
      <c r="CU136" s="36" t="n">
        <f aca="false">SUMIF($C$2:$F$2,EOMONTH(CU$2,-1)+1,$C136:$F136)*VLOOKUP(CU$2,ProyDia[],8,0)</f>
        <v>0</v>
      </c>
      <c r="CV136" s="36" t="n">
        <f aca="false">SUMIF($C$2:$F$2,EOMONTH(CV$2,-1)+1,$C136:$F136)*VLOOKUP(CV$2,ProyDia[],8,0)</f>
        <v>0</v>
      </c>
      <c r="CW136" s="36" t="n">
        <f aca="false">SUMIF($C$2:$F$2,EOMONTH(CW$2,-1)+1,$C136:$F136)*VLOOKUP(CW$2,ProyDia[],8,0)</f>
        <v>0</v>
      </c>
      <c r="CX136" s="36" t="n">
        <f aca="false">SUMIF($C$2:$F$2,EOMONTH(CX$2,-1)+1,$C136:$F136)*VLOOKUP(CX$2,ProyDia[],8,0)</f>
        <v>0</v>
      </c>
      <c r="CY136" s="36" t="n">
        <f aca="false">SUMIF($C$2:$F$2,EOMONTH(CY$2,-1)+1,$C136:$F136)*VLOOKUP(CY$2,ProyDia[],8,0)</f>
        <v>0</v>
      </c>
      <c r="CZ136" s="36" t="n">
        <f aca="false">SUMIF($C$2:$F$2,EOMONTH(CZ$2,-1)+1,$C136:$F136)*VLOOKUP(CZ$2,ProyDia[],8,0)</f>
        <v>0</v>
      </c>
      <c r="DA136" s="36" t="n">
        <f aca="false">SUMIF($C$2:$F$2,EOMONTH(DA$2,-1)+1,$C136:$F136)*VLOOKUP(DA$2,ProyDia[],8,0)</f>
        <v>0</v>
      </c>
      <c r="DB136" s="36" t="n">
        <f aca="false">SUMIF($C$2:$F$2,EOMONTH(DB$2,-1)+1,$C136:$F136)*VLOOKUP(DB$2,ProyDia[],8,0)</f>
        <v>0</v>
      </c>
      <c r="DC136" s="36" t="n">
        <f aca="false">SUMIF($C$2:$F$2,EOMONTH(DC$2,-1)+1,$C136:$F136)*VLOOKUP(DC$2,ProyDia[],8,0)</f>
        <v>0</v>
      </c>
      <c r="DD136" s="36" t="n">
        <f aca="false">SUMIF($C$2:$F$2,EOMONTH(DD$2,-1)+1,$C136:$F136)*VLOOKUP(DD$2,ProyDia[],8,0)</f>
        <v>0</v>
      </c>
      <c r="DE136" s="36" t="n">
        <f aca="false">SUMIF($C$2:$F$2,EOMONTH(DE$2,-1)+1,$C136:$F136)*VLOOKUP(DE$2,ProyDia[],8,0)</f>
        <v>0</v>
      </c>
      <c r="DF136" s="36" t="n">
        <f aca="false">SUMIF($C$2:$F$2,EOMONTH(DF$2,-1)+1,$C136:$F136)*VLOOKUP(DF$2,ProyDia[],8,0)</f>
        <v>0</v>
      </c>
      <c r="DG136" s="36" t="n">
        <f aca="false">SUMIF($C$2:$F$2,EOMONTH(DG$2,-1)+1,$C136:$F136)*VLOOKUP(DG$2,ProyDia[],8,0)</f>
        <v>0</v>
      </c>
      <c r="DH136" s="36" t="n">
        <f aca="false">SUMIF($C$2:$F$2,EOMONTH(DH$2,-1)+1,$C136:$F136)*VLOOKUP(DH$2,ProyDia[],8,0)</f>
        <v>0</v>
      </c>
      <c r="DI136" s="36" t="n">
        <f aca="false">SUMIF($C$2:$F$2,EOMONTH(DI$2,-1)+1,$C136:$F136)*VLOOKUP(DI$2,ProyDia[],8,0)</f>
        <v>0</v>
      </c>
      <c r="DJ136" s="36" t="n">
        <f aca="false">SUMIF($C$2:$F$2,EOMONTH(DJ$2,-1)+1,$C136:$F136)*VLOOKUP(DJ$2,ProyDia[],8,0)</f>
        <v>0</v>
      </c>
      <c r="DK136" s="36" t="n">
        <f aca="false">SUMIF($C$2:$F$2,EOMONTH(DK$2,-1)+1,$C136:$F136)*VLOOKUP(DK$2,ProyDia[],8,0)</f>
        <v>0</v>
      </c>
      <c r="DL136" s="36" t="n">
        <f aca="false">SUMIF($C$2:$F$2,EOMONTH(DL$2,-1)+1,$C136:$F136)*VLOOKUP(DL$2,ProyDia[],8,0)</f>
        <v>0</v>
      </c>
      <c r="DM136" s="36" t="n">
        <f aca="false">SUMIF($C$2:$F$2,EOMONTH(DM$2,-1)+1,$C136:$F136)*VLOOKUP(DM$2,ProyDia[],8,0)</f>
        <v>0</v>
      </c>
      <c r="DN136" s="36" t="n">
        <f aca="false">SUMIF($C$2:$F$2,EOMONTH(DN$2,-1)+1,$C136:$F136)*VLOOKUP(DN$2,ProyDia[],8,0)</f>
        <v>0</v>
      </c>
      <c r="DO136" s="36" t="n">
        <f aca="false">SUMIF($C$2:$F$2,EOMONTH(DO$2,-1)+1,$C136:$F136)*VLOOKUP(DO$2,ProyDia[],8,0)</f>
        <v>0</v>
      </c>
      <c r="DP136" s="36" t="n">
        <f aca="false">SUMIF($C$2:$F$2,EOMONTH(DP$2,-1)+1,$C136:$F136)*VLOOKUP(DP$2,ProyDia[],8,0)</f>
        <v>0</v>
      </c>
      <c r="DQ136" s="36" t="n">
        <f aca="false">SUMIF($C$2:$F$2,EOMONTH(DQ$2,-1)+1,$C136:$F136)*VLOOKUP(DQ$2,ProyDia[],8,0)</f>
        <v>0</v>
      </c>
      <c r="DR136" s="36" t="n">
        <f aca="false">SUMIF($C$2:$F$2,EOMONTH(DR$2,-1)+1,$C136:$F136)*VLOOKUP(DR$2,ProyDia[],8,0)</f>
        <v>0</v>
      </c>
      <c r="DS136" s="36" t="n">
        <f aca="false">SUMIF($C$2:$F$2,EOMONTH(DS$2,-1)+1,$C136:$F136)*VLOOKUP(DS$2,ProyDia[],8,0)</f>
        <v>0</v>
      </c>
      <c r="DT136" s="36" t="n">
        <f aca="false">SUMIF($C$2:$F$2,EOMONTH(DT$2,-1)+1,$C136:$F136)*VLOOKUP(DT$2,ProyDia[],8,0)</f>
        <v>0</v>
      </c>
      <c r="DU136" s="36" t="n">
        <f aca="false">SUMIF($C$2:$F$2,EOMONTH(DU$2,-1)+1,$C136:$F136)*VLOOKUP(DU$2,ProyDia[],8,0)</f>
        <v>0</v>
      </c>
      <c r="DV136" s="36" t="n">
        <f aca="false">SUMIF($C$2:$F$2,EOMONTH(DV$2,-1)+1,$C136:$F136)*VLOOKUP(DV$2,ProyDia[],8,0)</f>
        <v>0</v>
      </c>
      <c r="DW136" s="36" t="n">
        <f aca="false">SUMIF($C$2:$F$2,EOMONTH(DW$2,-1)+1,$C136:$F136)*VLOOKUP(DW$2,ProyDia[],8,0)</f>
        <v>0</v>
      </c>
      <c r="DX136" s="36" t="n">
        <f aca="false">SUMIF($C$2:$F$2,EOMONTH(DX$2,-1)+1,$C136:$F136)*VLOOKUP(DX$2,ProyDia[],8,0)</f>
        <v>0</v>
      </c>
    </row>
    <row r="137" customFormat="false" ht="14.4" hidden="false" customHeight="false" outlineLevel="0" collapsed="false">
      <c r="A137" s="34"/>
      <c r="B137" s="34"/>
      <c r="C137" s="34"/>
      <c r="D137" s="34"/>
      <c r="E137" s="34"/>
      <c r="F137" s="34"/>
      <c r="G137" s="28" t="n">
        <f aca="false">SUMIF($C$2:$F$2,EOMONTH(G$2,-1)+1,$C137:$F137)*VLOOKUP(G$2,ProyDia[],8,0)</f>
        <v>0</v>
      </c>
      <c r="H137" s="28" t="n">
        <f aca="false">SUMIF($C$2:$F$2,EOMONTH(H$2,-1)+1,$C137:$F137)*VLOOKUP(H$2,ProyDia[],8,0)</f>
        <v>0</v>
      </c>
      <c r="I137" s="28" t="n">
        <f aca="false">SUMIF($C$2:$F$2,EOMONTH(I$2,-1)+1,$C137:$F137)*VLOOKUP(I$2,ProyDia[],8,0)</f>
        <v>0</v>
      </c>
      <c r="J137" s="28" t="n">
        <f aca="false">SUMIF($C$2:$F$2,EOMONTH(J$2,-1)+1,$C137:$F137)*VLOOKUP(J$2,ProyDia[],8,0)</f>
        <v>0</v>
      </c>
      <c r="K137" s="28" t="n">
        <f aca="false">SUMIF($C$2:$F$2,EOMONTH(K$2,-1)+1,$C137:$F137)*VLOOKUP(K$2,ProyDia[],8,0)</f>
        <v>0</v>
      </c>
      <c r="L137" s="28" t="n">
        <f aca="false">SUMIF($C$2:$F$2,EOMONTH(L$2,-1)+1,$C137:$F137)*VLOOKUP(L$2,ProyDia[],8,0)</f>
        <v>0</v>
      </c>
      <c r="M137" s="28" t="n">
        <f aca="false">SUMIF($C$2:$F$2,EOMONTH(M$2,-1)+1,$C137:$F137)*VLOOKUP(M$2,ProyDia[],8,0)</f>
        <v>0</v>
      </c>
      <c r="N137" s="28" t="n">
        <f aca="false">SUMIF($C$2:$F$2,EOMONTH(N$2,-1)+1,$C137:$F137)*VLOOKUP(N$2,ProyDia[],8,0)</f>
        <v>0</v>
      </c>
      <c r="O137" s="28" t="n">
        <f aca="false">SUMIF($C$2:$F$2,EOMONTH(O$2,-1)+1,$C137:$F137)*VLOOKUP(O$2,ProyDia[],8,0)</f>
        <v>0</v>
      </c>
      <c r="P137" s="28" t="n">
        <f aca="false">SUMIF($C$2:$F$2,EOMONTH(P$2,-1)+1,$C137:$F137)*VLOOKUP(P$2,ProyDia[],8,0)</f>
        <v>0</v>
      </c>
      <c r="Q137" s="28" t="n">
        <f aca="false">SUMIF($C$2:$F$2,EOMONTH(Q$2,-1)+1,$C137:$F137)*VLOOKUP(Q$2,ProyDia[],8,0)</f>
        <v>0</v>
      </c>
      <c r="R137" s="28" t="n">
        <f aca="false">SUMIF($C$2:$F$2,EOMONTH(R$2,-1)+1,$C137:$F137)*VLOOKUP(R$2,ProyDia[],8,0)</f>
        <v>0</v>
      </c>
      <c r="S137" s="28" t="n">
        <f aca="false">SUMIF($C$2:$F$2,EOMONTH(S$2,-1)+1,$C137:$F137)*VLOOKUP(S$2,ProyDia[],8,0)</f>
        <v>0</v>
      </c>
      <c r="T137" s="28" t="n">
        <f aca="false">SUMIF($C$2:$F$2,EOMONTH(T$2,-1)+1,$C137:$F137)*VLOOKUP(T$2,ProyDia[],8,0)</f>
        <v>0</v>
      </c>
      <c r="U137" s="28" t="n">
        <f aca="false">SUMIF($C$2:$F$2,EOMONTH(U$2,-1)+1,$C137:$F137)*VLOOKUP(U$2,ProyDia[],8,0)</f>
        <v>0</v>
      </c>
      <c r="V137" s="28" t="n">
        <f aca="false">SUMIF($C$2:$F$2,EOMONTH(V$2,-1)+1,$C137:$F137)*VLOOKUP(V$2,ProyDia[],8,0)</f>
        <v>0</v>
      </c>
      <c r="W137" s="28" t="n">
        <f aca="false">SUMIF($C$2:$F$2,EOMONTH(W$2,-1)+1,$C137:$F137)*VLOOKUP(W$2,ProyDia[],8,0)</f>
        <v>0</v>
      </c>
      <c r="X137" s="28" t="n">
        <f aca="false">SUMIF($C$2:$F$2,EOMONTH(X$2,-1)+1,$C137:$F137)*VLOOKUP(X$2,ProyDia[],8,0)</f>
        <v>0</v>
      </c>
      <c r="Y137" s="28" t="n">
        <f aca="false">SUMIF($C$2:$F$2,EOMONTH(Y$2,-1)+1,$C137:$F137)*VLOOKUP(Y$2,ProyDia[],8,0)</f>
        <v>0</v>
      </c>
      <c r="Z137" s="28" t="n">
        <f aca="false">SUMIF($C$2:$F$2,EOMONTH(Z$2,-1)+1,$C137:$F137)*VLOOKUP(Z$2,ProyDia[],8,0)</f>
        <v>0</v>
      </c>
      <c r="AA137" s="28" t="n">
        <f aca="false">SUMIF($C$2:$F$2,EOMONTH(AA$2,-1)+1,$C137:$F137)*VLOOKUP(AA$2,ProyDia[],8,0)</f>
        <v>0</v>
      </c>
      <c r="AB137" s="28" t="n">
        <f aca="false">SUMIF($C$2:$F$2,EOMONTH(AB$2,-1)+1,$C137:$F137)*VLOOKUP(AB$2,ProyDia[],8,0)</f>
        <v>0</v>
      </c>
      <c r="AC137" s="28" t="n">
        <f aca="false">SUMIF($C$2:$F$2,EOMONTH(AC$2,-1)+1,$C137:$F137)*VLOOKUP(AC$2,ProyDia[],8,0)</f>
        <v>0</v>
      </c>
      <c r="AD137" s="28" t="n">
        <f aca="false">SUMIF($C$2:$F$2,EOMONTH(AD$2,-1)+1,$C137:$F137)*VLOOKUP(AD$2,ProyDia[],8,0)</f>
        <v>0</v>
      </c>
      <c r="AE137" s="28" t="n">
        <f aca="false">SUMIF($C$2:$F$2,EOMONTH(AE$2,-1)+1,$C137:$F137)*VLOOKUP(AE$2,ProyDia[],8,0)</f>
        <v>0</v>
      </c>
      <c r="AF137" s="28" t="n">
        <f aca="false">SUMIF($C$2:$F$2,EOMONTH(AF$2,-1)+1,$C137:$F137)*VLOOKUP(AF$2,ProyDia[],8,0)</f>
        <v>0</v>
      </c>
      <c r="AG137" s="28" t="n">
        <f aca="false">SUMIF($C$2:$F$2,EOMONTH(AG$2,-1)+1,$C137:$F137)*VLOOKUP(AG$2,ProyDia[],8,0)</f>
        <v>0</v>
      </c>
      <c r="AH137" s="28" t="n">
        <f aca="false">SUMIF($C$2:$F$2,EOMONTH(AH$2,-1)+1,$C137:$F137)*VLOOKUP(AH$2,ProyDia[],8,0)</f>
        <v>0</v>
      </c>
      <c r="AI137" s="28" t="n">
        <f aca="false">SUMIF($C$2:$F$2,EOMONTH(AI$2,-1)+1,$C137:$F137)*VLOOKUP(AI$2,ProyDia[],8,0)</f>
        <v>0</v>
      </c>
      <c r="AJ137" s="28" t="n">
        <f aca="false">SUMIF($C$2:$F$2,EOMONTH(AJ$2,-1)+1,$C137:$F137)*VLOOKUP(AJ$2,ProyDia[],8,0)</f>
        <v>0</v>
      </c>
      <c r="AK137" s="28" t="n">
        <f aca="false">SUMIF($C$2:$F$2,EOMONTH(AK$2,-1)+1,$C137:$F137)*VLOOKUP(AK$2,ProyDia[],8,0)</f>
        <v>0</v>
      </c>
      <c r="AL137" s="28" t="n">
        <f aca="false">SUMIF($C$2:$F$2,EOMONTH(AL$2,-1)+1,$C137:$F137)*VLOOKUP(AL$2,ProyDia[],8,0)</f>
        <v>0</v>
      </c>
      <c r="AM137" s="28" t="n">
        <f aca="false">SUMIF($C$2:$F$2,EOMONTH(AM$2,-1)+1,$C137:$F137)*VLOOKUP(AM$2,ProyDia[],8,0)</f>
        <v>0</v>
      </c>
      <c r="AN137" s="28" t="n">
        <f aca="false">SUMIF($C$2:$F$2,EOMONTH(AN$2,-1)+1,$C137:$F137)*VLOOKUP(AN$2,ProyDia[],8,0)</f>
        <v>0</v>
      </c>
      <c r="AO137" s="28" t="n">
        <f aca="false">SUMIF($C$2:$F$2,EOMONTH(AO$2,-1)+1,$C137:$F137)*VLOOKUP(AO$2,ProyDia[],8,0)</f>
        <v>0</v>
      </c>
      <c r="AP137" s="28" t="n">
        <f aca="false">SUMIF($C$2:$F$2,EOMONTH(AP$2,-1)+1,$C137:$F137)*VLOOKUP(AP$2,ProyDia[],8,0)</f>
        <v>0</v>
      </c>
      <c r="AQ137" s="28" t="n">
        <f aca="false">SUMIF($C$2:$F$2,EOMONTH(AQ$2,-1)+1,$C137:$F137)*VLOOKUP(AQ$2,ProyDia[],8,0)</f>
        <v>0</v>
      </c>
      <c r="AR137" s="28" t="n">
        <f aca="false">SUMIF($C$2:$F$2,EOMONTH(AR$2,-1)+1,$C137:$F137)*VLOOKUP(AR$2,ProyDia[],8,0)</f>
        <v>0</v>
      </c>
      <c r="AS137" s="28" t="n">
        <f aca="false">SUMIF($C$2:$F$2,EOMONTH(AS$2,-1)+1,$C137:$F137)*VLOOKUP(AS$2,ProyDia[],8,0)</f>
        <v>0</v>
      </c>
      <c r="AT137" s="28" t="n">
        <f aca="false">SUMIF($C$2:$F$2,EOMONTH(AT$2,-1)+1,$C137:$F137)*VLOOKUP(AT$2,ProyDia[],8,0)</f>
        <v>0</v>
      </c>
      <c r="AU137" s="28" t="n">
        <f aca="false">SUMIF($C$2:$F$2,EOMONTH(AU$2,-1)+1,$C137:$F137)*VLOOKUP(AU$2,ProyDia[],8,0)</f>
        <v>0</v>
      </c>
      <c r="AV137" s="28" t="n">
        <f aca="false">SUMIF($C$2:$F$2,EOMONTH(AV$2,-1)+1,$C137:$F137)*VLOOKUP(AV$2,ProyDia[],8,0)</f>
        <v>0</v>
      </c>
      <c r="AW137" s="28" t="n">
        <f aca="false">SUMIF($C$2:$F$2,EOMONTH(AW$2,-1)+1,$C137:$F137)*VLOOKUP(AW$2,ProyDia[],8,0)</f>
        <v>0</v>
      </c>
      <c r="AX137" s="28" t="n">
        <f aca="false">SUMIF($C$2:$F$2,EOMONTH(AX$2,-1)+1,$C137:$F137)*VLOOKUP(AX$2,ProyDia[],8,0)</f>
        <v>0</v>
      </c>
      <c r="AY137" s="28" t="n">
        <f aca="false">SUMIF($C$2:$F$2,EOMONTH(AY$2,-1)+1,$C137:$F137)*VLOOKUP(AY$2,ProyDia[],8,0)</f>
        <v>0</v>
      </c>
      <c r="AZ137" s="28" t="n">
        <f aca="false">SUMIF($C$2:$F$2,EOMONTH(AZ$2,-1)+1,$C137:$F137)*VLOOKUP(AZ$2,ProyDia[],8,0)</f>
        <v>0</v>
      </c>
      <c r="BA137" s="28" t="n">
        <f aca="false">SUMIF($C$2:$F$2,EOMONTH(BA$2,-1)+1,$C137:$F137)*VLOOKUP(BA$2,ProyDia[],8,0)</f>
        <v>0</v>
      </c>
      <c r="BB137" s="28" t="n">
        <f aca="false">SUMIF($C$2:$F$2,EOMONTH(BB$2,-1)+1,$C137:$F137)*VLOOKUP(BB$2,ProyDia[],8,0)</f>
        <v>0</v>
      </c>
      <c r="BC137" s="28" t="n">
        <f aca="false">SUMIF($C$2:$F$2,EOMONTH(BC$2,-1)+1,$C137:$F137)*VLOOKUP(BC$2,ProyDia[],8,0)</f>
        <v>0</v>
      </c>
      <c r="BD137" s="28" t="n">
        <f aca="false">SUMIF($C$2:$F$2,EOMONTH(BD$2,-1)+1,$C137:$F137)*VLOOKUP(BD$2,ProyDia[],8,0)</f>
        <v>0</v>
      </c>
      <c r="BE137" s="28" t="n">
        <f aca="false">SUMIF($C$2:$F$2,EOMONTH(BE$2,-1)+1,$C137:$F137)*VLOOKUP(BE$2,ProyDia[],8,0)</f>
        <v>0</v>
      </c>
      <c r="BF137" s="28" t="n">
        <f aca="false">SUMIF($C$2:$F$2,EOMONTH(BF$2,-1)+1,$C137:$F137)*VLOOKUP(BF$2,ProyDia[],8,0)</f>
        <v>0</v>
      </c>
      <c r="BG137" s="28" t="n">
        <f aca="false">SUMIF($C$2:$F$2,EOMONTH(BG$2,-1)+1,$C137:$F137)*VLOOKUP(BG$2,ProyDia[],8,0)</f>
        <v>0</v>
      </c>
      <c r="BH137" s="28" t="n">
        <f aca="false">SUMIF($C$2:$F$2,EOMONTH(BH$2,-1)+1,$C137:$F137)*VLOOKUP(BH$2,ProyDia[],8,0)</f>
        <v>0</v>
      </c>
      <c r="BI137" s="28" t="n">
        <f aca="false">SUMIF($C$2:$F$2,EOMONTH(BI$2,-1)+1,$C137:$F137)*VLOOKUP(BI$2,ProyDia[],8,0)</f>
        <v>0</v>
      </c>
      <c r="BJ137" s="28" t="n">
        <f aca="false">SUMIF($C$2:$F$2,EOMONTH(BJ$2,-1)+1,$C137:$F137)*VLOOKUP(BJ$2,ProyDia[],8,0)</f>
        <v>0</v>
      </c>
      <c r="BK137" s="28" t="n">
        <f aca="false">SUMIF($C$2:$F$2,EOMONTH(BK$2,-1)+1,$C137:$F137)*VLOOKUP(BK$2,ProyDia[],8,0)</f>
        <v>0</v>
      </c>
      <c r="BL137" s="28" t="n">
        <f aca="false">SUMIF($C$2:$F$2,EOMONTH(BL$2,-1)+1,$C137:$F137)*VLOOKUP(BL$2,ProyDia[],8,0)</f>
        <v>0</v>
      </c>
      <c r="BM137" s="28" t="n">
        <f aca="false">SUMIF($C$2:$F$2,EOMONTH(BM$2,-1)+1,$C137:$F137)*VLOOKUP(BM$2,ProyDia[],8,0)</f>
        <v>0</v>
      </c>
      <c r="BN137" s="28" t="n">
        <f aca="false">SUMIF($C$2:$F$2,EOMONTH(BN$2,-1)+1,$C137:$F137)*VLOOKUP(BN$2,ProyDia[],8,0)</f>
        <v>0</v>
      </c>
      <c r="BO137" s="28" t="n">
        <f aca="false">SUMIF($C$2:$F$2,EOMONTH(BO$2,-1)+1,$C137:$F137)*VLOOKUP(BO$2,ProyDia[],8,0)</f>
        <v>0</v>
      </c>
      <c r="BP137" s="28" t="n">
        <f aca="false">SUMIF($C$2:$F$2,EOMONTH(BP$2,-1)+1,$C137:$F137)*VLOOKUP(BP$2,ProyDia[],8,0)</f>
        <v>0</v>
      </c>
      <c r="BQ137" s="28" t="n">
        <f aca="false">SUMIF($C$2:$F$2,EOMONTH(BQ$2,-1)+1,$C137:$F137)*VLOOKUP(BQ$2,ProyDia[],8,0)</f>
        <v>0</v>
      </c>
      <c r="BR137" s="28" t="n">
        <f aca="false">SUMIF($C$2:$F$2,EOMONTH(BR$2,-1)+1,$C137:$F137)*VLOOKUP(BR$2,ProyDia[],8,0)</f>
        <v>0</v>
      </c>
      <c r="BS137" s="28" t="n">
        <f aca="false">SUMIF($C$2:$F$2,EOMONTH(BS$2,-1)+1,$C137:$F137)*VLOOKUP(BS$2,ProyDia[],8,0)</f>
        <v>0</v>
      </c>
      <c r="BT137" s="28" t="n">
        <f aca="false">SUMIF($C$2:$F$2,EOMONTH(BT$2,-1)+1,$C137:$F137)*VLOOKUP(BT$2,ProyDia[],8,0)</f>
        <v>0</v>
      </c>
      <c r="BU137" s="28" t="n">
        <f aca="false">SUMIF($C$2:$F$2,EOMONTH(BU$2,-1)+1,$C137:$F137)*VLOOKUP(BU$2,ProyDia[],8,0)</f>
        <v>0</v>
      </c>
      <c r="BV137" s="28" t="n">
        <f aca="false">SUMIF($C$2:$F$2,EOMONTH(BV$2,-1)+1,$C137:$F137)*VLOOKUP(BV$2,ProyDia[],8,0)</f>
        <v>0</v>
      </c>
      <c r="BW137" s="28" t="n">
        <f aca="false">SUMIF($C$2:$F$2,EOMONTH(BW$2,-1)+1,$C137:$F137)*VLOOKUP(BW$2,ProyDia[],8,0)</f>
        <v>0</v>
      </c>
      <c r="BX137" s="28" t="n">
        <f aca="false">SUMIF($C$2:$F$2,EOMONTH(BX$2,-1)+1,$C137:$F137)*VLOOKUP(BX$2,ProyDia[],8,0)</f>
        <v>0</v>
      </c>
      <c r="BY137" s="28" t="n">
        <f aca="false">SUMIF($C$2:$F$2,EOMONTH(BY$2,-1)+1,$C137:$F137)*VLOOKUP(BY$2,ProyDia[],8,0)</f>
        <v>0</v>
      </c>
      <c r="BZ137" s="28" t="n">
        <f aca="false">SUMIF($C$2:$F$2,EOMONTH(BZ$2,-1)+1,$C137:$F137)*VLOOKUP(BZ$2,ProyDia[],8,0)</f>
        <v>0</v>
      </c>
      <c r="CA137" s="28" t="n">
        <f aca="false">SUMIF($C$2:$F$2,EOMONTH(CA$2,-1)+1,$C137:$F137)*VLOOKUP(CA$2,ProyDia[],8,0)</f>
        <v>0</v>
      </c>
      <c r="CB137" s="28" t="n">
        <f aca="false">SUMIF($C$2:$F$2,EOMONTH(CB$2,-1)+1,$C137:$F137)*VLOOKUP(CB$2,ProyDia[],8,0)</f>
        <v>0</v>
      </c>
      <c r="CC137" s="28" t="n">
        <f aca="false">SUMIF($C$2:$F$2,EOMONTH(CC$2,-1)+1,$C137:$F137)*VLOOKUP(CC$2,ProyDia[],8,0)</f>
        <v>0</v>
      </c>
      <c r="CD137" s="28" t="n">
        <f aca="false">SUMIF($C$2:$F$2,EOMONTH(CD$2,-1)+1,$C137:$F137)*VLOOKUP(CD$2,ProyDia[],8,0)</f>
        <v>0</v>
      </c>
      <c r="CE137" s="28" t="n">
        <f aca="false">SUMIF($C$2:$F$2,EOMONTH(CE$2,-1)+1,$C137:$F137)*VLOOKUP(CE$2,ProyDia[],8,0)</f>
        <v>0</v>
      </c>
      <c r="CF137" s="28" t="n">
        <f aca="false">SUMIF($C$2:$F$2,EOMONTH(CF$2,-1)+1,$C137:$F137)*VLOOKUP(CF$2,ProyDia[],8,0)</f>
        <v>0</v>
      </c>
      <c r="CG137" s="28" t="n">
        <f aca="false">SUMIF($C$2:$F$2,EOMONTH(CG$2,-1)+1,$C137:$F137)*VLOOKUP(CG$2,ProyDia[],8,0)</f>
        <v>0</v>
      </c>
      <c r="CH137" s="28" t="n">
        <f aca="false">SUMIF($C$2:$F$2,EOMONTH(CH$2,-1)+1,$C137:$F137)*VLOOKUP(CH$2,ProyDia[],8,0)</f>
        <v>0</v>
      </c>
      <c r="CI137" s="28" t="n">
        <f aca="false">SUMIF($C$2:$F$2,EOMONTH(CI$2,-1)+1,$C137:$F137)*VLOOKUP(CI$2,ProyDia[],8,0)</f>
        <v>0</v>
      </c>
      <c r="CJ137" s="28" t="n">
        <f aca="false">SUMIF($C$2:$F$2,EOMONTH(CJ$2,-1)+1,$C137:$F137)*VLOOKUP(CJ$2,ProyDia[],8,0)</f>
        <v>0</v>
      </c>
      <c r="CK137" s="28" t="n">
        <f aca="false">SUMIF($C$2:$F$2,EOMONTH(CK$2,-1)+1,$C137:$F137)*VLOOKUP(CK$2,ProyDia[],8,0)</f>
        <v>0</v>
      </c>
      <c r="CL137" s="28" t="n">
        <f aca="false">SUMIF($C$2:$F$2,EOMONTH(CL$2,-1)+1,$C137:$F137)*VLOOKUP(CL$2,ProyDia[],8,0)</f>
        <v>0</v>
      </c>
      <c r="CM137" s="28" t="n">
        <f aca="false">SUMIF($C$2:$F$2,EOMONTH(CM$2,-1)+1,$C137:$F137)*VLOOKUP(CM$2,ProyDia[],8,0)</f>
        <v>0</v>
      </c>
      <c r="CN137" s="28" t="n">
        <f aca="false">SUMIF($C$2:$F$2,EOMONTH(CN$2,-1)+1,$C137:$F137)*VLOOKUP(CN$2,ProyDia[],8,0)</f>
        <v>0</v>
      </c>
      <c r="CO137" s="28" t="n">
        <f aca="false">SUMIF($C$2:$F$2,EOMONTH(CO$2,-1)+1,$C137:$F137)*VLOOKUP(CO$2,ProyDia[],8,0)</f>
        <v>0</v>
      </c>
      <c r="CP137" s="28" t="n">
        <f aca="false">SUMIF($C$2:$F$2,EOMONTH(CP$2,-1)+1,$C137:$F137)*VLOOKUP(CP$2,ProyDia[],8,0)</f>
        <v>0</v>
      </c>
      <c r="CQ137" s="28" t="n">
        <f aca="false">SUMIF($C$2:$F$2,EOMONTH(CQ$2,-1)+1,$C137:$F137)*VLOOKUP(CQ$2,ProyDia[],8,0)</f>
        <v>0</v>
      </c>
      <c r="CR137" s="28" t="n">
        <f aca="false">SUMIF($C$2:$F$2,EOMONTH(CR$2,-1)+1,$C137:$F137)*VLOOKUP(CR$2,ProyDia[],8,0)</f>
        <v>0</v>
      </c>
      <c r="CS137" s="28" t="n">
        <f aca="false">SUMIF($C$2:$F$2,EOMONTH(CS$2,-1)+1,$C137:$F137)*VLOOKUP(CS$2,ProyDia[],8,0)</f>
        <v>0</v>
      </c>
      <c r="CT137" s="28" t="n">
        <f aca="false">SUMIF($C$2:$F$2,EOMONTH(CT$2,-1)+1,$C137:$F137)*VLOOKUP(CT$2,ProyDia[],8,0)</f>
        <v>0</v>
      </c>
      <c r="CU137" s="28" t="n">
        <f aca="false">SUMIF($C$2:$F$2,EOMONTH(CU$2,-1)+1,$C137:$F137)*VLOOKUP(CU$2,ProyDia[],8,0)</f>
        <v>0</v>
      </c>
      <c r="CV137" s="28" t="n">
        <f aca="false">SUMIF($C$2:$F$2,EOMONTH(CV$2,-1)+1,$C137:$F137)*VLOOKUP(CV$2,ProyDia[],8,0)</f>
        <v>0</v>
      </c>
      <c r="CW137" s="28" t="n">
        <f aca="false">SUMIF($C$2:$F$2,EOMONTH(CW$2,-1)+1,$C137:$F137)*VLOOKUP(CW$2,ProyDia[],8,0)</f>
        <v>0</v>
      </c>
      <c r="CX137" s="28" t="n">
        <f aca="false">SUMIF($C$2:$F$2,EOMONTH(CX$2,-1)+1,$C137:$F137)*VLOOKUP(CX$2,ProyDia[],8,0)</f>
        <v>0</v>
      </c>
      <c r="CY137" s="28" t="n">
        <f aca="false">SUMIF($C$2:$F$2,EOMONTH(CY$2,-1)+1,$C137:$F137)*VLOOKUP(CY$2,ProyDia[],8,0)</f>
        <v>0</v>
      </c>
      <c r="CZ137" s="28" t="n">
        <f aca="false">SUMIF($C$2:$F$2,EOMONTH(CZ$2,-1)+1,$C137:$F137)*VLOOKUP(CZ$2,ProyDia[],8,0)</f>
        <v>0</v>
      </c>
      <c r="DA137" s="28" t="n">
        <f aca="false">SUMIF($C$2:$F$2,EOMONTH(DA$2,-1)+1,$C137:$F137)*VLOOKUP(DA$2,ProyDia[],8,0)</f>
        <v>0</v>
      </c>
      <c r="DB137" s="28" t="n">
        <f aca="false">SUMIF($C$2:$F$2,EOMONTH(DB$2,-1)+1,$C137:$F137)*VLOOKUP(DB$2,ProyDia[],8,0)</f>
        <v>0</v>
      </c>
      <c r="DC137" s="28" t="n">
        <f aca="false">SUMIF($C$2:$F$2,EOMONTH(DC$2,-1)+1,$C137:$F137)*VLOOKUP(DC$2,ProyDia[],8,0)</f>
        <v>0</v>
      </c>
      <c r="DD137" s="28" t="n">
        <f aca="false">SUMIF($C$2:$F$2,EOMONTH(DD$2,-1)+1,$C137:$F137)*VLOOKUP(DD$2,ProyDia[],8,0)</f>
        <v>0</v>
      </c>
      <c r="DE137" s="28" t="n">
        <f aca="false">SUMIF($C$2:$F$2,EOMONTH(DE$2,-1)+1,$C137:$F137)*VLOOKUP(DE$2,ProyDia[],8,0)</f>
        <v>0</v>
      </c>
      <c r="DF137" s="28" t="n">
        <f aca="false">SUMIF($C$2:$F$2,EOMONTH(DF$2,-1)+1,$C137:$F137)*VLOOKUP(DF$2,ProyDia[],8,0)</f>
        <v>0</v>
      </c>
      <c r="DG137" s="28" t="n">
        <f aca="false">SUMIF($C$2:$F$2,EOMONTH(DG$2,-1)+1,$C137:$F137)*VLOOKUP(DG$2,ProyDia[],8,0)</f>
        <v>0</v>
      </c>
      <c r="DH137" s="28" t="n">
        <f aca="false">SUMIF($C$2:$F$2,EOMONTH(DH$2,-1)+1,$C137:$F137)*VLOOKUP(DH$2,ProyDia[],8,0)</f>
        <v>0</v>
      </c>
      <c r="DI137" s="28" t="n">
        <f aca="false">SUMIF($C$2:$F$2,EOMONTH(DI$2,-1)+1,$C137:$F137)*VLOOKUP(DI$2,ProyDia[],8,0)</f>
        <v>0</v>
      </c>
      <c r="DJ137" s="28" t="n">
        <f aca="false">SUMIF($C$2:$F$2,EOMONTH(DJ$2,-1)+1,$C137:$F137)*VLOOKUP(DJ$2,ProyDia[],8,0)</f>
        <v>0</v>
      </c>
      <c r="DK137" s="28" t="n">
        <f aca="false">SUMIF($C$2:$F$2,EOMONTH(DK$2,-1)+1,$C137:$F137)*VLOOKUP(DK$2,ProyDia[],8,0)</f>
        <v>0</v>
      </c>
      <c r="DL137" s="28" t="n">
        <f aca="false">SUMIF($C$2:$F$2,EOMONTH(DL$2,-1)+1,$C137:$F137)*VLOOKUP(DL$2,ProyDia[],8,0)</f>
        <v>0</v>
      </c>
      <c r="DM137" s="28" t="n">
        <f aca="false">SUMIF($C$2:$F$2,EOMONTH(DM$2,-1)+1,$C137:$F137)*VLOOKUP(DM$2,ProyDia[],8,0)</f>
        <v>0</v>
      </c>
      <c r="DN137" s="28" t="n">
        <f aca="false">SUMIF($C$2:$F$2,EOMONTH(DN$2,-1)+1,$C137:$F137)*VLOOKUP(DN$2,ProyDia[],8,0)</f>
        <v>0</v>
      </c>
      <c r="DO137" s="28" t="n">
        <f aca="false">SUMIF($C$2:$F$2,EOMONTH(DO$2,-1)+1,$C137:$F137)*VLOOKUP(DO$2,ProyDia[],8,0)</f>
        <v>0</v>
      </c>
      <c r="DP137" s="28" t="n">
        <f aca="false">SUMIF($C$2:$F$2,EOMONTH(DP$2,-1)+1,$C137:$F137)*VLOOKUP(DP$2,ProyDia[],8,0)</f>
        <v>0</v>
      </c>
      <c r="DQ137" s="28" t="n">
        <f aca="false">SUMIF($C$2:$F$2,EOMONTH(DQ$2,-1)+1,$C137:$F137)*VLOOKUP(DQ$2,ProyDia[],8,0)</f>
        <v>0</v>
      </c>
      <c r="DR137" s="28" t="n">
        <f aca="false">SUMIF($C$2:$F$2,EOMONTH(DR$2,-1)+1,$C137:$F137)*VLOOKUP(DR$2,ProyDia[],8,0)</f>
        <v>0</v>
      </c>
      <c r="DS137" s="28" t="n">
        <f aca="false">SUMIF($C$2:$F$2,EOMONTH(DS$2,-1)+1,$C137:$F137)*VLOOKUP(DS$2,ProyDia[],8,0)</f>
        <v>0</v>
      </c>
      <c r="DT137" s="28" t="n">
        <f aca="false">SUMIF($C$2:$F$2,EOMONTH(DT$2,-1)+1,$C137:$F137)*VLOOKUP(DT$2,ProyDia[],8,0)</f>
        <v>0</v>
      </c>
      <c r="DU137" s="28" t="n">
        <f aca="false">SUMIF($C$2:$F$2,EOMONTH(DU$2,-1)+1,$C137:$F137)*VLOOKUP(DU$2,ProyDia[],8,0)</f>
        <v>0</v>
      </c>
      <c r="DV137" s="28" t="n">
        <f aca="false">SUMIF($C$2:$F$2,EOMONTH(DV$2,-1)+1,$C137:$F137)*VLOOKUP(DV$2,ProyDia[],8,0)</f>
        <v>0</v>
      </c>
      <c r="DW137" s="28" t="n">
        <f aca="false">SUMIF($C$2:$F$2,EOMONTH(DW$2,-1)+1,$C137:$F137)*VLOOKUP(DW$2,ProyDia[],8,0)</f>
        <v>0</v>
      </c>
      <c r="DX137" s="28" t="n">
        <f aca="false">SUMIF($C$2:$F$2,EOMONTH(DX$2,-1)+1,$C137:$F137)*VLOOKUP(DX$2,ProyDia[],8,0)</f>
        <v>0</v>
      </c>
    </row>
    <row r="138" customFormat="false" ht="14.4" hidden="false" customHeight="false" outlineLevel="0" collapsed="false">
      <c r="A138" s="35"/>
      <c r="B138" s="35"/>
      <c r="C138" s="35"/>
      <c r="D138" s="35"/>
      <c r="E138" s="35"/>
      <c r="F138" s="35"/>
      <c r="G138" s="36" t="n">
        <f aca="false">SUMIF($C$2:$F$2,EOMONTH(G$2,-1)+1,$C138:$F138)*VLOOKUP(G$2,ProyDia[],8,0)</f>
        <v>0</v>
      </c>
      <c r="H138" s="36" t="n">
        <f aca="false">SUMIF($C$2:$F$2,EOMONTH(H$2,-1)+1,$C138:$F138)*VLOOKUP(H$2,ProyDia[],8,0)</f>
        <v>0</v>
      </c>
      <c r="I138" s="36" t="n">
        <f aca="false">SUMIF($C$2:$F$2,EOMONTH(I$2,-1)+1,$C138:$F138)*VLOOKUP(I$2,ProyDia[],8,0)</f>
        <v>0</v>
      </c>
      <c r="J138" s="36" t="n">
        <f aca="false">SUMIF($C$2:$F$2,EOMONTH(J$2,-1)+1,$C138:$F138)*VLOOKUP(J$2,ProyDia[],8,0)</f>
        <v>0</v>
      </c>
      <c r="K138" s="36" t="n">
        <f aca="false">SUMIF($C$2:$F$2,EOMONTH(K$2,-1)+1,$C138:$F138)*VLOOKUP(K$2,ProyDia[],8,0)</f>
        <v>0</v>
      </c>
      <c r="L138" s="36" t="n">
        <f aca="false">SUMIF($C$2:$F$2,EOMONTH(L$2,-1)+1,$C138:$F138)*VLOOKUP(L$2,ProyDia[],8,0)</f>
        <v>0</v>
      </c>
      <c r="M138" s="36" t="n">
        <f aca="false">SUMIF($C$2:$F$2,EOMONTH(M$2,-1)+1,$C138:$F138)*VLOOKUP(M$2,ProyDia[],8,0)</f>
        <v>0</v>
      </c>
      <c r="N138" s="36" t="n">
        <f aca="false">SUMIF($C$2:$F$2,EOMONTH(N$2,-1)+1,$C138:$F138)*VLOOKUP(N$2,ProyDia[],8,0)</f>
        <v>0</v>
      </c>
      <c r="O138" s="36" t="n">
        <f aca="false">SUMIF($C$2:$F$2,EOMONTH(O$2,-1)+1,$C138:$F138)*VLOOKUP(O$2,ProyDia[],8,0)</f>
        <v>0</v>
      </c>
      <c r="P138" s="36" t="n">
        <f aca="false">SUMIF($C$2:$F$2,EOMONTH(P$2,-1)+1,$C138:$F138)*VLOOKUP(P$2,ProyDia[],8,0)</f>
        <v>0</v>
      </c>
      <c r="Q138" s="36" t="n">
        <f aca="false">SUMIF($C$2:$F$2,EOMONTH(Q$2,-1)+1,$C138:$F138)*VLOOKUP(Q$2,ProyDia[],8,0)</f>
        <v>0</v>
      </c>
      <c r="R138" s="36" t="n">
        <f aca="false">SUMIF($C$2:$F$2,EOMONTH(R$2,-1)+1,$C138:$F138)*VLOOKUP(R$2,ProyDia[],8,0)</f>
        <v>0</v>
      </c>
      <c r="S138" s="36" t="n">
        <f aca="false">SUMIF($C$2:$F$2,EOMONTH(S$2,-1)+1,$C138:$F138)*VLOOKUP(S$2,ProyDia[],8,0)</f>
        <v>0</v>
      </c>
      <c r="T138" s="36" t="n">
        <f aca="false">SUMIF($C$2:$F$2,EOMONTH(T$2,-1)+1,$C138:$F138)*VLOOKUP(T$2,ProyDia[],8,0)</f>
        <v>0</v>
      </c>
      <c r="U138" s="36" t="n">
        <f aca="false">SUMIF($C$2:$F$2,EOMONTH(U$2,-1)+1,$C138:$F138)*VLOOKUP(U$2,ProyDia[],8,0)</f>
        <v>0</v>
      </c>
      <c r="V138" s="36" t="n">
        <f aca="false">SUMIF($C$2:$F$2,EOMONTH(V$2,-1)+1,$C138:$F138)*VLOOKUP(V$2,ProyDia[],8,0)</f>
        <v>0</v>
      </c>
      <c r="W138" s="36" t="n">
        <f aca="false">SUMIF($C$2:$F$2,EOMONTH(W$2,-1)+1,$C138:$F138)*VLOOKUP(W$2,ProyDia[],8,0)</f>
        <v>0</v>
      </c>
      <c r="X138" s="36" t="n">
        <f aca="false">SUMIF($C$2:$F$2,EOMONTH(X$2,-1)+1,$C138:$F138)*VLOOKUP(X$2,ProyDia[],8,0)</f>
        <v>0</v>
      </c>
      <c r="Y138" s="36" t="n">
        <f aca="false">SUMIF($C$2:$F$2,EOMONTH(Y$2,-1)+1,$C138:$F138)*VLOOKUP(Y$2,ProyDia[],8,0)</f>
        <v>0</v>
      </c>
      <c r="Z138" s="36" t="n">
        <f aca="false">SUMIF($C$2:$F$2,EOMONTH(Z$2,-1)+1,$C138:$F138)*VLOOKUP(Z$2,ProyDia[],8,0)</f>
        <v>0</v>
      </c>
      <c r="AA138" s="36" t="n">
        <f aca="false">SUMIF($C$2:$F$2,EOMONTH(AA$2,-1)+1,$C138:$F138)*VLOOKUP(AA$2,ProyDia[],8,0)</f>
        <v>0</v>
      </c>
      <c r="AB138" s="36" t="n">
        <f aca="false">SUMIF($C$2:$F$2,EOMONTH(AB$2,-1)+1,$C138:$F138)*VLOOKUP(AB$2,ProyDia[],8,0)</f>
        <v>0</v>
      </c>
      <c r="AC138" s="36" t="n">
        <f aca="false">SUMIF($C$2:$F$2,EOMONTH(AC$2,-1)+1,$C138:$F138)*VLOOKUP(AC$2,ProyDia[],8,0)</f>
        <v>0</v>
      </c>
      <c r="AD138" s="36" t="n">
        <f aca="false">SUMIF($C$2:$F$2,EOMONTH(AD$2,-1)+1,$C138:$F138)*VLOOKUP(AD$2,ProyDia[],8,0)</f>
        <v>0</v>
      </c>
      <c r="AE138" s="36" t="n">
        <f aca="false">SUMIF($C$2:$F$2,EOMONTH(AE$2,-1)+1,$C138:$F138)*VLOOKUP(AE$2,ProyDia[],8,0)</f>
        <v>0</v>
      </c>
      <c r="AF138" s="36" t="n">
        <f aca="false">SUMIF($C$2:$F$2,EOMONTH(AF$2,-1)+1,$C138:$F138)*VLOOKUP(AF$2,ProyDia[],8,0)</f>
        <v>0</v>
      </c>
      <c r="AG138" s="36" t="n">
        <f aca="false">SUMIF($C$2:$F$2,EOMONTH(AG$2,-1)+1,$C138:$F138)*VLOOKUP(AG$2,ProyDia[],8,0)</f>
        <v>0</v>
      </c>
      <c r="AH138" s="36" t="n">
        <f aca="false">SUMIF($C$2:$F$2,EOMONTH(AH$2,-1)+1,$C138:$F138)*VLOOKUP(AH$2,ProyDia[],8,0)</f>
        <v>0</v>
      </c>
      <c r="AI138" s="36" t="n">
        <f aca="false">SUMIF($C$2:$F$2,EOMONTH(AI$2,-1)+1,$C138:$F138)*VLOOKUP(AI$2,ProyDia[],8,0)</f>
        <v>0</v>
      </c>
      <c r="AJ138" s="36" t="n">
        <f aca="false">SUMIF($C$2:$F$2,EOMONTH(AJ$2,-1)+1,$C138:$F138)*VLOOKUP(AJ$2,ProyDia[],8,0)</f>
        <v>0</v>
      </c>
      <c r="AK138" s="36" t="n">
        <f aca="false">SUMIF($C$2:$F$2,EOMONTH(AK$2,-1)+1,$C138:$F138)*VLOOKUP(AK$2,ProyDia[],8,0)</f>
        <v>0</v>
      </c>
      <c r="AL138" s="36" t="n">
        <f aca="false">SUMIF($C$2:$F$2,EOMONTH(AL$2,-1)+1,$C138:$F138)*VLOOKUP(AL$2,ProyDia[],8,0)</f>
        <v>0</v>
      </c>
      <c r="AM138" s="36" t="n">
        <f aca="false">SUMIF($C$2:$F$2,EOMONTH(AM$2,-1)+1,$C138:$F138)*VLOOKUP(AM$2,ProyDia[],8,0)</f>
        <v>0</v>
      </c>
      <c r="AN138" s="36" t="n">
        <f aca="false">SUMIF($C$2:$F$2,EOMONTH(AN$2,-1)+1,$C138:$F138)*VLOOKUP(AN$2,ProyDia[],8,0)</f>
        <v>0</v>
      </c>
      <c r="AO138" s="36" t="n">
        <f aca="false">SUMIF($C$2:$F$2,EOMONTH(AO$2,-1)+1,$C138:$F138)*VLOOKUP(AO$2,ProyDia[],8,0)</f>
        <v>0</v>
      </c>
      <c r="AP138" s="36" t="n">
        <f aca="false">SUMIF($C$2:$F$2,EOMONTH(AP$2,-1)+1,$C138:$F138)*VLOOKUP(AP$2,ProyDia[],8,0)</f>
        <v>0</v>
      </c>
      <c r="AQ138" s="36" t="n">
        <f aca="false">SUMIF($C$2:$F$2,EOMONTH(AQ$2,-1)+1,$C138:$F138)*VLOOKUP(AQ$2,ProyDia[],8,0)</f>
        <v>0</v>
      </c>
      <c r="AR138" s="36" t="n">
        <f aca="false">SUMIF($C$2:$F$2,EOMONTH(AR$2,-1)+1,$C138:$F138)*VLOOKUP(AR$2,ProyDia[],8,0)</f>
        <v>0</v>
      </c>
      <c r="AS138" s="36" t="n">
        <f aca="false">SUMIF($C$2:$F$2,EOMONTH(AS$2,-1)+1,$C138:$F138)*VLOOKUP(AS$2,ProyDia[],8,0)</f>
        <v>0</v>
      </c>
      <c r="AT138" s="36" t="n">
        <f aca="false">SUMIF($C$2:$F$2,EOMONTH(AT$2,-1)+1,$C138:$F138)*VLOOKUP(AT$2,ProyDia[],8,0)</f>
        <v>0</v>
      </c>
      <c r="AU138" s="36" t="n">
        <f aca="false">SUMIF($C$2:$F$2,EOMONTH(AU$2,-1)+1,$C138:$F138)*VLOOKUP(AU$2,ProyDia[],8,0)</f>
        <v>0</v>
      </c>
      <c r="AV138" s="36" t="n">
        <f aca="false">SUMIF($C$2:$F$2,EOMONTH(AV$2,-1)+1,$C138:$F138)*VLOOKUP(AV$2,ProyDia[],8,0)</f>
        <v>0</v>
      </c>
      <c r="AW138" s="36" t="n">
        <f aca="false">SUMIF($C$2:$F$2,EOMONTH(AW$2,-1)+1,$C138:$F138)*VLOOKUP(AW$2,ProyDia[],8,0)</f>
        <v>0</v>
      </c>
      <c r="AX138" s="36" t="n">
        <f aca="false">SUMIF($C$2:$F$2,EOMONTH(AX$2,-1)+1,$C138:$F138)*VLOOKUP(AX$2,ProyDia[],8,0)</f>
        <v>0</v>
      </c>
      <c r="AY138" s="36" t="n">
        <f aca="false">SUMIF($C$2:$F$2,EOMONTH(AY$2,-1)+1,$C138:$F138)*VLOOKUP(AY$2,ProyDia[],8,0)</f>
        <v>0</v>
      </c>
      <c r="AZ138" s="36" t="n">
        <f aca="false">SUMIF($C$2:$F$2,EOMONTH(AZ$2,-1)+1,$C138:$F138)*VLOOKUP(AZ$2,ProyDia[],8,0)</f>
        <v>0</v>
      </c>
      <c r="BA138" s="36" t="n">
        <f aca="false">SUMIF($C$2:$F$2,EOMONTH(BA$2,-1)+1,$C138:$F138)*VLOOKUP(BA$2,ProyDia[],8,0)</f>
        <v>0</v>
      </c>
      <c r="BB138" s="36" t="n">
        <f aca="false">SUMIF($C$2:$F$2,EOMONTH(BB$2,-1)+1,$C138:$F138)*VLOOKUP(BB$2,ProyDia[],8,0)</f>
        <v>0</v>
      </c>
      <c r="BC138" s="36" t="n">
        <f aca="false">SUMIF($C$2:$F$2,EOMONTH(BC$2,-1)+1,$C138:$F138)*VLOOKUP(BC$2,ProyDia[],8,0)</f>
        <v>0</v>
      </c>
      <c r="BD138" s="36" t="n">
        <f aca="false">SUMIF($C$2:$F$2,EOMONTH(BD$2,-1)+1,$C138:$F138)*VLOOKUP(BD$2,ProyDia[],8,0)</f>
        <v>0</v>
      </c>
      <c r="BE138" s="36" t="n">
        <f aca="false">SUMIF($C$2:$F$2,EOMONTH(BE$2,-1)+1,$C138:$F138)*VLOOKUP(BE$2,ProyDia[],8,0)</f>
        <v>0</v>
      </c>
      <c r="BF138" s="36" t="n">
        <f aca="false">SUMIF($C$2:$F$2,EOMONTH(BF$2,-1)+1,$C138:$F138)*VLOOKUP(BF$2,ProyDia[],8,0)</f>
        <v>0</v>
      </c>
      <c r="BG138" s="36" t="n">
        <f aca="false">SUMIF($C$2:$F$2,EOMONTH(BG$2,-1)+1,$C138:$F138)*VLOOKUP(BG$2,ProyDia[],8,0)</f>
        <v>0</v>
      </c>
      <c r="BH138" s="36" t="n">
        <f aca="false">SUMIF($C$2:$F$2,EOMONTH(BH$2,-1)+1,$C138:$F138)*VLOOKUP(BH$2,ProyDia[],8,0)</f>
        <v>0</v>
      </c>
      <c r="BI138" s="36" t="n">
        <f aca="false">SUMIF($C$2:$F$2,EOMONTH(BI$2,-1)+1,$C138:$F138)*VLOOKUP(BI$2,ProyDia[],8,0)</f>
        <v>0</v>
      </c>
      <c r="BJ138" s="36" t="n">
        <f aca="false">SUMIF($C$2:$F$2,EOMONTH(BJ$2,-1)+1,$C138:$F138)*VLOOKUP(BJ$2,ProyDia[],8,0)</f>
        <v>0</v>
      </c>
      <c r="BK138" s="36" t="n">
        <f aca="false">SUMIF($C$2:$F$2,EOMONTH(BK$2,-1)+1,$C138:$F138)*VLOOKUP(BK$2,ProyDia[],8,0)</f>
        <v>0</v>
      </c>
      <c r="BL138" s="36" t="n">
        <f aca="false">SUMIF($C$2:$F$2,EOMONTH(BL$2,-1)+1,$C138:$F138)*VLOOKUP(BL$2,ProyDia[],8,0)</f>
        <v>0</v>
      </c>
      <c r="BM138" s="36" t="n">
        <f aca="false">SUMIF($C$2:$F$2,EOMONTH(BM$2,-1)+1,$C138:$F138)*VLOOKUP(BM$2,ProyDia[],8,0)</f>
        <v>0</v>
      </c>
      <c r="BN138" s="36" t="n">
        <f aca="false">SUMIF($C$2:$F$2,EOMONTH(BN$2,-1)+1,$C138:$F138)*VLOOKUP(BN$2,ProyDia[],8,0)</f>
        <v>0</v>
      </c>
      <c r="BO138" s="36" t="n">
        <f aca="false">SUMIF($C$2:$F$2,EOMONTH(BO$2,-1)+1,$C138:$F138)*VLOOKUP(BO$2,ProyDia[],8,0)</f>
        <v>0</v>
      </c>
      <c r="BP138" s="36" t="n">
        <f aca="false">SUMIF($C$2:$F$2,EOMONTH(BP$2,-1)+1,$C138:$F138)*VLOOKUP(BP$2,ProyDia[],8,0)</f>
        <v>0</v>
      </c>
      <c r="BQ138" s="36" t="n">
        <f aca="false">SUMIF($C$2:$F$2,EOMONTH(BQ$2,-1)+1,$C138:$F138)*VLOOKUP(BQ$2,ProyDia[],8,0)</f>
        <v>0</v>
      </c>
      <c r="BR138" s="36" t="n">
        <f aca="false">SUMIF($C$2:$F$2,EOMONTH(BR$2,-1)+1,$C138:$F138)*VLOOKUP(BR$2,ProyDia[],8,0)</f>
        <v>0</v>
      </c>
      <c r="BS138" s="36" t="n">
        <f aca="false">SUMIF($C$2:$F$2,EOMONTH(BS$2,-1)+1,$C138:$F138)*VLOOKUP(BS$2,ProyDia[],8,0)</f>
        <v>0</v>
      </c>
      <c r="BT138" s="36" t="n">
        <f aca="false">SUMIF($C$2:$F$2,EOMONTH(BT$2,-1)+1,$C138:$F138)*VLOOKUP(BT$2,ProyDia[],8,0)</f>
        <v>0</v>
      </c>
      <c r="BU138" s="36" t="n">
        <f aca="false">SUMIF($C$2:$F$2,EOMONTH(BU$2,-1)+1,$C138:$F138)*VLOOKUP(BU$2,ProyDia[],8,0)</f>
        <v>0</v>
      </c>
      <c r="BV138" s="36" t="n">
        <f aca="false">SUMIF($C$2:$F$2,EOMONTH(BV$2,-1)+1,$C138:$F138)*VLOOKUP(BV$2,ProyDia[],8,0)</f>
        <v>0</v>
      </c>
      <c r="BW138" s="36" t="n">
        <f aca="false">SUMIF($C$2:$F$2,EOMONTH(BW$2,-1)+1,$C138:$F138)*VLOOKUP(BW$2,ProyDia[],8,0)</f>
        <v>0</v>
      </c>
      <c r="BX138" s="36" t="n">
        <f aca="false">SUMIF($C$2:$F$2,EOMONTH(BX$2,-1)+1,$C138:$F138)*VLOOKUP(BX$2,ProyDia[],8,0)</f>
        <v>0</v>
      </c>
      <c r="BY138" s="36" t="n">
        <f aca="false">SUMIF($C$2:$F$2,EOMONTH(BY$2,-1)+1,$C138:$F138)*VLOOKUP(BY$2,ProyDia[],8,0)</f>
        <v>0</v>
      </c>
      <c r="BZ138" s="36" t="n">
        <f aca="false">SUMIF($C$2:$F$2,EOMONTH(BZ$2,-1)+1,$C138:$F138)*VLOOKUP(BZ$2,ProyDia[],8,0)</f>
        <v>0</v>
      </c>
      <c r="CA138" s="36" t="n">
        <f aca="false">SUMIF($C$2:$F$2,EOMONTH(CA$2,-1)+1,$C138:$F138)*VLOOKUP(CA$2,ProyDia[],8,0)</f>
        <v>0</v>
      </c>
      <c r="CB138" s="36" t="n">
        <f aca="false">SUMIF($C$2:$F$2,EOMONTH(CB$2,-1)+1,$C138:$F138)*VLOOKUP(CB$2,ProyDia[],8,0)</f>
        <v>0</v>
      </c>
      <c r="CC138" s="36" t="n">
        <f aca="false">SUMIF($C$2:$F$2,EOMONTH(CC$2,-1)+1,$C138:$F138)*VLOOKUP(CC$2,ProyDia[],8,0)</f>
        <v>0</v>
      </c>
      <c r="CD138" s="36" t="n">
        <f aca="false">SUMIF($C$2:$F$2,EOMONTH(CD$2,-1)+1,$C138:$F138)*VLOOKUP(CD$2,ProyDia[],8,0)</f>
        <v>0</v>
      </c>
      <c r="CE138" s="36" t="n">
        <f aca="false">SUMIF($C$2:$F$2,EOMONTH(CE$2,-1)+1,$C138:$F138)*VLOOKUP(CE$2,ProyDia[],8,0)</f>
        <v>0</v>
      </c>
      <c r="CF138" s="36" t="n">
        <f aca="false">SUMIF($C$2:$F$2,EOMONTH(CF$2,-1)+1,$C138:$F138)*VLOOKUP(CF$2,ProyDia[],8,0)</f>
        <v>0</v>
      </c>
      <c r="CG138" s="36" t="n">
        <f aca="false">SUMIF($C$2:$F$2,EOMONTH(CG$2,-1)+1,$C138:$F138)*VLOOKUP(CG$2,ProyDia[],8,0)</f>
        <v>0</v>
      </c>
      <c r="CH138" s="36" t="n">
        <f aca="false">SUMIF($C$2:$F$2,EOMONTH(CH$2,-1)+1,$C138:$F138)*VLOOKUP(CH$2,ProyDia[],8,0)</f>
        <v>0</v>
      </c>
      <c r="CI138" s="36" t="n">
        <f aca="false">SUMIF($C$2:$F$2,EOMONTH(CI$2,-1)+1,$C138:$F138)*VLOOKUP(CI$2,ProyDia[],8,0)</f>
        <v>0</v>
      </c>
      <c r="CJ138" s="36" t="n">
        <f aca="false">SUMIF($C$2:$F$2,EOMONTH(CJ$2,-1)+1,$C138:$F138)*VLOOKUP(CJ$2,ProyDia[],8,0)</f>
        <v>0</v>
      </c>
      <c r="CK138" s="36" t="n">
        <f aca="false">SUMIF($C$2:$F$2,EOMONTH(CK$2,-1)+1,$C138:$F138)*VLOOKUP(CK$2,ProyDia[],8,0)</f>
        <v>0</v>
      </c>
      <c r="CL138" s="36" t="n">
        <f aca="false">SUMIF($C$2:$F$2,EOMONTH(CL$2,-1)+1,$C138:$F138)*VLOOKUP(CL$2,ProyDia[],8,0)</f>
        <v>0</v>
      </c>
      <c r="CM138" s="36" t="n">
        <f aca="false">SUMIF($C$2:$F$2,EOMONTH(CM$2,-1)+1,$C138:$F138)*VLOOKUP(CM$2,ProyDia[],8,0)</f>
        <v>0</v>
      </c>
      <c r="CN138" s="36" t="n">
        <f aca="false">SUMIF($C$2:$F$2,EOMONTH(CN$2,-1)+1,$C138:$F138)*VLOOKUP(CN$2,ProyDia[],8,0)</f>
        <v>0</v>
      </c>
      <c r="CO138" s="36" t="n">
        <f aca="false">SUMIF($C$2:$F$2,EOMONTH(CO$2,-1)+1,$C138:$F138)*VLOOKUP(CO$2,ProyDia[],8,0)</f>
        <v>0</v>
      </c>
      <c r="CP138" s="36" t="n">
        <f aca="false">SUMIF($C$2:$F$2,EOMONTH(CP$2,-1)+1,$C138:$F138)*VLOOKUP(CP$2,ProyDia[],8,0)</f>
        <v>0</v>
      </c>
      <c r="CQ138" s="36" t="n">
        <f aca="false">SUMIF($C$2:$F$2,EOMONTH(CQ$2,-1)+1,$C138:$F138)*VLOOKUP(CQ$2,ProyDia[],8,0)</f>
        <v>0</v>
      </c>
      <c r="CR138" s="36" t="n">
        <f aca="false">SUMIF($C$2:$F$2,EOMONTH(CR$2,-1)+1,$C138:$F138)*VLOOKUP(CR$2,ProyDia[],8,0)</f>
        <v>0</v>
      </c>
      <c r="CS138" s="36" t="n">
        <f aca="false">SUMIF($C$2:$F$2,EOMONTH(CS$2,-1)+1,$C138:$F138)*VLOOKUP(CS$2,ProyDia[],8,0)</f>
        <v>0</v>
      </c>
      <c r="CT138" s="36" t="n">
        <f aca="false">SUMIF($C$2:$F$2,EOMONTH(CT$2,-1)+1,$C138:$F138)*VLOOKUP(CT$2,ProyDia[],8,0)</f>
        <v>0</v>
      </c>
      <c r="CU138" s="36" t="n">
        <f aca="false">SUMIF($C$2:$F$2,EOMONTH(CU$2,-1)+1,$C138:$F138)*VLOOKUP(CU$2,ProyDia[],8,0)</f>
        <v>0</v>
      </c>
      <c r="CV138" s="36" t="n">
        <f aca="false">SUMIF($C$2:$F$2,EOMONTH(CV$2,-1)+1,$C138:$F138)*VLOOKUP(CV$2,ProyDia[],8,0)</f>
        <v>0</v>
      </c>
      <c r="CW138" s="36" t="n">
        <f aca="false">SUMIF($C$2:$F$2,EOMONTH(CW$2,-1)+1,$C138:$F138)*VLOOKUP(CW$2,ProyDia[],8,0)</f>
        <v>0</v>
      </c>
      <c r="CX138" s="36" t="n">
        <f aca="false">SUMIF($C$2:$F$2,EOMONTH(CX$2,-1)+1,$C138:$F138)*VLOOKUP(CX$2,ProyDia[],8,0)</f>
        <v>0</v>
      </c>
      <c r="CY138" s="36" t="n">
        <f aca="false">SUMIF($C$2:$F$2,EOMONTH(CY$2,-1)+1,$C138:$F138)*VLOOKUP(CY$2,ProyDia[],8,0)</f>
        <v>0</v>
      </c>
      <c r="CZ138" s="36" t="n">
        <f aca="false">SUMIF($C$2:$F$2,EOMONTH(CZ$2,-1)+1,$C138:$F138)*VLOOKUP(CZ$2,ProyDia[],8,0)</f>
        <v>0</v>
      </c>
      <c r="DA138" s="36" t="n">
        <f aca="false">SUMIF($C$2:$F$2,EOMONTH(DA$2,-1)+1,$C138:$F138)*VLOOKUP(DA$2,ProyDia[],8,0)</f>
        <v>0</v>
      </c>
      <c r="DB138" s="36" t="n">
        <f aca="false">SUMIF($C$2:$F$2,EOMONTH(DB$2,-1)+1,$C138:$F138)*VLOOKUP(DB$2,ProyDia[],8,0)</f>
        <v>0</v>
      </c>
      <c r="DC138" s="36" t="n">
        <f aca="false">SUMIF($C$2:$F$2,EOMONTH(DC$2,-1)+1,$C138:$F138)*VLOOKUP(DC$2,ProyDia[],8,0)</f>
        <v>0</v>
      </c>
      <c r="DD138" s="36" t="n">
        <f aca="false">SUMIF($C$2:$F$2,EOMONTH(DD$2,-1)+1,$C138:$F138)*VLOOKUP(DD$2,ProyDia[],8,0)</f>
        <v>0</v>
      </c>
      <c r="DE138" s="36" t="n">
        <f aca="false">SUMIF($C$2:$F$2,EOMONTH(DE$2,-1)+1,$C138:$F138)*VLOOKUP(DE$2,ProyDia[],8,0)</f>
        <v>0</v>
      </c>
      <c r="DF138" s="36" t="n">
        <f aca="false">SUMIF($C$2:$F$2,EOMONTH(DF$2,-1)+1,$C138:$F138)*VLOOKUP(DF$2,ProyDia[],8,0)</f>
        <v>0</v>
      </c>
      <c r="DG138" s="36" t="n">
        <f aca="false">SUMIF($C$2:$F$2,EOMONTH(DG$2,-1)+1,$C138:$F138)*VLOOKUP(DG$2,ProyDia[],8,0)</f>
        <v>0</v>
      </c>
      <c r="DH138" s="36" t="n">
        <f aca="false">SUMIF($C$2:$F$2,EOMONTH(DH$2,-1)+1,$C138:$F138)*VLOOKUP(DH$2,ProyDia[],8,0)</f>
        <v>0</v>
      </c>
      <c r="DI138" s="36" t="n">
        <f aca="false">SUMIF($C$2:$F$2,EOMONTH(DI$2,-1)+1,$C138:$F138)*VLOOKUP(DI$2,ProyDia[],8,0)</f>
        <v>0</v>
      </c>
      <c r="DJ138" s="36" t="n">
        <f aca="false">SUMIF($C$2:$F$2,EOMONTH(DJ$2,-1)+1,$C138:$F138)*VLOOKUP(DJ$2,ProyDia[],8,0)</f>
        <v>0</v>
      </c>
      <c r="DK138" s="36" t="n">
        <f aca="false">SUMIF($C$2:$F$2,EOMONTH(DK$2,-1)+1,$C138:$F138)*VLOOKUP(DK$2,ProyDia[],8,0)</f>
        <v>0</v>
      </c>
      <c r="DL138" s="36" t="n">
        <f aca="false">SUMIF($C$2:$F$2,EOMONTH(DL$2,-1)+1,$C138:$F138)*VLOOKUP(DL$2,ProyDia[],8,0)</f>
        <v>0</v>
      </c>
      <c r="DM138" s="36" t="n">
        <f aca="false">SUMIF($C$2:$F$2,EOMONTH(DM$2,-1)+1,$C138:$F138)*VLOOKUP(DM$2,ProyDia[],8,0)</f>
        <v>0</v>
      </c>
      <c r="DN138" s="36" t="n">
        <f aca="false">SUMIF($C$2:$F$2,EOMONTH(DN$2,-1)+1,$C138:$F138)*VLOOKUP(DN$2,ProyDia[],8,0)</f>
        <v>0</v>
      </c>
      <c r="DO138" s="36" t="n">
        <f aca="false">SUMIF($C$2:$F$2,EOMONTH(DO$2,-1)+1,$C138:$F138)*VLOOKUP(DO$2,ProyDia[],8,0)</f>
        <v>0</v>
      </c>
      <c r="DP138" s="36" t="n">
        <f aca="false">SUMIF($C$2:$F$2,EOMONTH(DP$2,-1)+1,$C138:$F138)*VLOOKUP(DP$2,ProyDia[],8,0)</f>
        <v>0</v>
      </c>
      <c r="DQ138" s="36" t="n">
        <f aca="false">SUMIF($C$2:$F$2,EOMONTH(DQ$2,-1)+1,$C138:$F138)*VLOOKUP(DQ$2,ProyDia[],8,0)</f>
        <v>0</v>
      </c>
      <c r="DR138" s="36" t="n">
        <f aca="false">SUMIF($C$2:$F$2,EOMONTH(DR$2,-1)+1,$C138:$F138)*VLOOKUP(DR$2,ProyDia[],8,0)</f>
        <v>0</v>
      </c>
      <c r="DS138" s="36" t="n">
        <f aca="false">SUMIF($C$2:$F$2,EOMONTH(DS$2,-1)+1,$C138:$F138)*VLOOKUP(DS$2,ProyDia[],8,0)</f>
        <v>0</v>
      </c>
      <c r="DT138" s="36" t="n">
        <f aca="false">SUMIF($C$2:$F$2,EOMONTH(DT$2,-1)+1,$C138:$F138)*VLOOKUP(DT$2,ProyDia[],8,0)</f>
        <v>0</v>
      </c>
      <c r="DU138" s="36" t="n">
        <f aca="false">SUMIF($C$2:$F$2,EOMONTH(DU$2,-1)+1,$C138:$F138)*VLOOKUP(DU$2,ProyDia[],8,0)</f>
        <v>0</v>
      </c>
      <c r="DV138" s="36" t="n">
        <f aca="false">SUMIF($C$2:$F$2,EOMONTH(DV$2,-1)+1,$C138:$F138)*VLOOKUP(DV$2,ProyDia[],8,0)</f>
        <v>0</v>
      </c>
      <c r="DW138" s="36" t="n">
        <f aca="false">SUMIF($C$2:$F$2,EOMONTH(DW$2,-1)+1,$C138:$F138)*VLOOKUP(DW$2,ProyDia[],8,0)</f>
        <v>0</v>
      </c>
      <c r="DX138" s="36" t="n">
        <f aca="false">SUMIF($C$2:$F$2,EOMONTH(DX$2,-1)+1,$C138:$F138)*VLOOKUP(DX$2,ProyDia[],8,0)</f>
        <v>0</v>
      </c>
    </row>
    <row r="139" customFormat="false" ht="14.4" hidden="false" customHeight="false" outlineLevel="0" collapsed="false">
      <c r="A139" s="34"/>
      <c r="B139" s="34"/>
      <c r="C139" s="34"/>
      <c r="D139" s="34"/>
      <c r="E139" s="34"/>
      <c r="F139" s="34"/>
      <c r="G139" s="28" t="n">
        <f aca="false">SUMIF($C$2:$F$2,EOMONTH(G$2,-1)+1,$C139:$F139)*VLOOKUP(G$2,ProyDia[],8,0)</f>
        <v>0</v>
      </c>
      <c r="H139" s="28" t="n">
        <f aca="false">SUMIF($C$2:$F$2,EOMONTH(H$2,-1)+1,$C139:$F139)*VLOOKUP(H$2,ProyDia[],8,0)</f>
        <v>0</v>
      </c>
      <c r="I139" s="28" t="n">
        <f aca="false">SUMIF($C$2:$F$2,EOMONTH(I$2,-1)+1,$C139:$F139)*VLOOKUP(I$2,ProyDia[],8,0)</f>
        <v>0</v>
      </c>
      <c r="J139" s="28" t="n">
        <f aca="false">SUMIF($C$2:$F$2,EOMONTH(J$2,-1)+1,$C139:$F139)*VLOOKUP(J$2,ProyDia[],8,0)</f>
        <v>0</v>
      </c>
      <c r="K139" s="28" t="n">
        <f aca="false">SUMIF($C$2:$F$2,EOMONTH(K$2,-1)+1,$C139:$F139)*VLOOKUP(K$2,ProyDia[],8,0)</f>
        <v>0</v>
      </c>
      <c r="L139" s="28" t="n">
        <f aca="false">SUMIF($C$2:$F$2,EOMONTH(L$2,-1)+1,$C139:$F139)*VLOOKUP(L$2,ProyDia[],8,0)</f>
        <v>0</v>
      </c>
      <c r="M139" s="28" t="n">
        <f aca="false">SUMIF($C$2:$F$2,EOMONTH(M$2,-1)+1,$C139:$F139)*VLOOKUP(M$2,ProyDia[],8,0)</f>
        <v>0</v>
      </c>
      <c r="N139" s="28" t="n">
        <f aca="false">SUMIF($C$2:$F$2,EOMONTH(N$2,-1)+1,$C139:$F139)*VLOOKUP(N$2,ProyDia[],8,0)</f>
        <v>0</v>
      </c>
      <c r="O139" s="28" t="n">
        <f aca="false">SUMIF($C$2:$F$2,EOMONTH(O$2,-1)+1,$C139:$F139)*VLOOKUP(O$2,ProyDia[],8,0)</f>
        <v>0</v>
      </c>
      <c r="P139" s="28" t="n">
        <f aca="false">SUMIF($C$2:$F$2,EOMONTH(P$2,-1)+1,$C139:$F139)*VLOOKUP(P$2,ProyDia[],8,0)</f>
        <v>0</v>
      </c>
      <c r="Q139" s="28" t="n">
        <f aca="false">SUMIF($C$2:$F$2,EOMONTH(Q$2,-1)+1,$C139:$F139)*VLOOKUP(Q$2,ProyDia[],8,0)</f>
        <v>0</v>
      </c>
      <c r="R139" s="28" t="n">
        <f aca="false">SUMIF($C$2:$F$2,EOMONTH(R$2,-1)+1,$C139:$F139)*VLOOKUP(R$2,ProyDia[],8,0)</f>
        <v>0</v>
      </c>
      <c r="S139" s="28" t="n">
        <f aca="false">SUMIF($C$2:$F$2,EOMONTH(S$2,-1)+1,$C139:$F139)*VLOOKUP(S$2,ProyDia[],8,0)</f>
        <v>0</v>
      </c>
      <c r="T139" s="28" t="n">
        <f aca="false">SUMIF($C$2:$F$2,EOMONTH(T$2,-1)+1,$C139:$F139)*VLOOKUP(T$2,ProyDia[],8,0)</f>
        <v>0</v>
      </c>
      <c r="U139" s="28" t="n">
        <f aca="false">SUMIF($C$2:$F$2,EOMONTH(U$2,-1)+1,$C139:$F139)*VLOOKUP(U$2,ProyDia[],8,0)</f>
        <v>0</v>
      </c>
      <c r="V139" s="28" t="n">
        <f aca="false">SUMIF($C$2:$F$2,EOMONTH(V$2,-1)+1,$C139:$F139)*VLOOKUP(V$2,ProyDia[],8,0)</f>
        <v>0</v>
      </c>
      <c r="W139" s="28" t="n">
        <f aca="false">SUMIF($C$2:$F$2,EOMONTH(W$2,-1)+1,$C139:$F139)*VLOOKUP(W$2,ProyDia[],8,0)</f>
        <v>0</v>
      </c>
      <c r="X139" s="28" t="n">
        <f aca="false">SUMIF($C$2:$F$2,EOMONTH(X$2,-1)+1,$C139:$F139)*VLOOKUP(X$2,ProyDia[],8,0)</f>
        <v>0</v>
      </c>
      <c r="Y139" s="28" t="n">
        <f aca="false">SUMIF($C$2:$F$2,EOMONTH(Y$2,-1)+1,$C139:$F139)*VLOOKUP(Y$2,ProyDia[],8,0)</f>
        <v>0</v>
      </c>
      <c r="Z139" s="28" t="n">
        <f aca="false">SUMIF($C$2:$F$2,EOMONTH(Z$2,-1)+1,$C139:$F139)*VLOOKUP(Z$2,ProyDia[],8,0)</f>
        <v>0</v>
      </c>
      <c r="AA139" s="28" t="n">
        <f aca="false">SUMIF($C$2:$F$2,EOMONTH(AA$2,-1)+1,$C139:$F139)*VLOOKUP(AA$2,ProyDia[],8,0)</f>
        <v>0</v>
      </c>
      <c r="AB139" s="28" t="n">
        <f aca="false">SUMIF($C$2:$F$2,EOMONTH(AB$2,-1)+1,$C139:$F139)*VLOOKUP(AB$2,ProyDia[],8,0)</f>
        <v>0</v>
      </c>
      <c r="AC139" s="28" t="n">
        <f aca="false">SUMIF($C$2:$F$2,EOMONTH(AC$2,-1)+1,$C139:$F139)*VLOOKUP(AC$2,ProyDia[],8,0)</f>
        <v>0</v>
      </c>
      <c r="AD139" s="28" t="n">
        <f aca="false">SUMIF($C$2:$F$2,EOMONTH(AD$2,-1)+1,$C139:$F139)*VLOOKUP(AD$2,ProyDia[],8,0)</f>
        <v>0</v>
      </c>
      <c r="AE139" s="28" t="n">
        <f aca="false">SUMIF($C$2:$F$2,EOMONTH(AE$2,-1)+1,$C139:$F139)*VLOOKUP(AE$2,ProyDia[],8,0)</f>
        <v>0</v>
      </c>
      <c r="AF139" s="28" t="n">
        <f aca="false">SUMIF($C$2:$F$2,EOMONTH(AF$2,-1)+1,$C139:$F139)*VLOOKUP(AF$2,ProyDia[],8,0)</f>
        <v>0</v>
      </c>
      <c r="AG139" s="28" t="n">
        <f aca="false">SUMIF($C$2:$F$2,EOMONTH(AG$2,-1)+1,$C139:$F139)*VLOOKUP(AG$2,ProyDia[],8,0)</f>
        <v>0</v>
      </c>
      <c r="AH139" s="28" t="n">
        <f aca="false">SUMIF($C$2:$F$2,EOMONTH(AH$2,-1)+1,$C139:$F139)*VLOOKUP(AH$2,ProyDia[],8,0)</f>
        <v>0</v>
      </c>
      <c r="AI139" s="28" t="n">
        <f aca="false">SUMIF($C$2:$F$2,EOMONTH(AI$2,-1)+1,$C139:$F139)*VLOOKUP(AI$2,ProyDia[],8,0)</f>
        <v>0</v>
      </c>
      <c r="AJ139" s="28" t="n">
        <f aca="false">SUMIF($C$2:$F$2,EOMONTH(AJ$2,-1)+1,$C139:$F139)*VLOOKUP(AJ$2,ProyDia[],8,0)</f>
        <v>0</v>
      </c>
      <c r="AK139" s="28" t="n">
        <f aca="false">SUMIF($C$2:$F$2,EOMONTH(AK$2,-1)+1,$C139:$F139)*VLOOKUP(AK$2,ProyDia[],8,0)</f>
        <v>0</v>
      </c>
      <c r="AL139" s="28" t="n">
        <f aca="false">SUMIF($C$2:$F$2,EOMONTH(AL$2,-1)+1,$C139:$F139)*VLOOKUP(AL$2,ProyDia[],8,0)</f>
        <v>0</v>
      </c>
      <c r="AM139" s="28" t="n">
        <f aca="false">SUMIF($C$2:$F$2,EOMONTH(AM$2,-1)+1,$C139:$F139)*VLOOKUP(AM$2,ProyDia[],8,0)</f>
        <v>0</v>
      </c>
      <c r="AN139" s="28" t="n">
        <f aca="false">SUMIF($C$2:$F$2,EOMONTH(AN$2,-1)+1,$C139:$F139)*VLOOKUP(AN$2,ProyDia[],8,0)</f>
        <v>0</v>
      </c>
      <c r="AO139" s="28" t="n">
        <f aca="false">SUMIF($C$2:$F$2,EOMONTH(AO$2,-1)+1,$C139:$F139)*VLOOKUP(AO$2,ProyDia[],8,0)</f>
        <v>0</v>
      </c>
      <c r="AP139" s="28" t="n">
        <f aca="false">SUMIF($C$2:$F$2,EOMONTH(AP$2,-1)+1,$C139:$F139)*VLOOKUP(AP$2,ProyDia[],8,0)</f>
        <v>0</v>
      </c>
      <c r="AQ139" s="28" t="n">
        <f aca="false">SUMIF($C$2:$F$2,EOMONTH(AQ$2,-1)+1,$C139:$F139)*VLOOKUP(AQ$2,ProyDia[],8,0)</f>
        <v>0</v>
      </c>
      <c r="AR139" s="28" t="n">
        <f aca="false">SUMIF($C$2:$F$2,EOMONTH(AR$2,-1)+1,$C139:$F139)*VLOOKUP(AR$2,ProyDia[],8,0)</f>
        <v>0</v>
      </c>
      <c r="AS139" s="28" t="n">
        <f aca="false">SUMIF($C$2:$F$2,EOMONTH(AS$2,-1)+1,$C139:$F139)*VLOOKUP(AS$2,ProyDia[],8,0)</f>
        <v>0</v>
      </c>
      <c r="AT139" s="28" t="n">
        <f aca="false">SUMIF($C$2:$F$2,EOMONTH(AT$2,-1)+1,$C139:$F139)*VLOOKUP(AT$2,ProyDia[],8,0)</f>
        <v>0</v>
      </c>
      <c r="AU139" s="28" t="n">
        <f aca="false">SUMIF($C$2:$F$2,EOMONTH(AU$2,-1)+1,$C139:$F139)*VLOOKUP(AU$2,ProyDia[],8,0)</f>
        <v>0</v>
      </c>
      <c r="AV139" s="28" t="n">
        <f aca="false">SUMIF($C$2:$F$2,EOMONTH(AV$2,-1)+1,$C139:$F139)*VLOOKUP(AV$2,ProyDia[],8,0)</f>
        <v>0</v>
      </c>
      <c r="AW139" s="28" t="n">
        <f aca="false">SUMIF($C$2:$F$2,EOMONTH(AW$2,-1)+1,$C139:$F139)*VLOOKUP(AW$2,ProyDia[],8,0)</f>
        <v>0</v>
      </c>
      <c r="AX139" s="28" t="n">
        <f aca="false">SUMIF($C$2:$F$2,EOMONTH(AX$2,-1)+1,$C139:$F139)*VLOOKUP(AX$2,ProyDia[],8,0)</f>
        <v>0</v>
      </c>
      <c r="AY139" s="28" t="n">
        <f aca="false">SUMIF($C$2:$F$2,EOMONTH(AY$2,-1)+1,$C139:$F139)*VLOOKUP(AY$2,ProyDia[],8,0)</f>
        <v>0</v>
      </c>
      <c r="AZ139" s="28" t="n">
        <f aca="false">SUMIF($C$2:$F$2,EOMONTH(AZ$2,-1)+1,$C139:$F139)*VLOOKUP(AZ$2,ProyDia[],8,0)</f>
        <v>0</v>
      </c>
      <c r="BA139" s="28" t="n">
        <f aca="false">SUMIF($C$2:$F$2,EOMONTH(BA$2,-1)+1,$C139:$F139)*VLOOKUP(BA$2,ProyDia[],8,0)</f>
        <v>0</v>
      </c>
      <c r="BB139" s="28" t="n">
        <f aca="false">SUMIF($C$2:$F$2,EOMONTH(BB$2,-1)+1,$C139:$F139)*VLOOKUP(BB$2,ProyDia[],8,0)</f>
        <v>0</v>
      </c>
      <c r="BC139" s="28" t="n">
        <f aca="false">SUMIF($C$2:$F$2,EOMONTH(BC$2,-1)+1,$C139:$F139)*VLOOKUP(BC$2,ProyDia[],8,0)</f>
        <v>0</v>
      </c>
      <c r="BD139" s="28" t="n">
        <f aca="false">SUMIF($C$2:$F$2,EOMONTH(BD$2,-1)+1,$C139:$F139)*VLOOKUP(BD$2,ProyDia[],8,0)</f>
        <v>0</v>
      </c>
      <c r="BE139" s="28" t="n">
        <f aca="false">SUMIF($C$2:$F$2,EOMONTH(BE$2,-1)+1,$C139:$F139)*VLOOKUP(BE$2,ProyDia[],8,0)</f>
        <v>0</v>
      </c>
      <c r="BF139" s="28" t="n">
        <f aca="false">SUMIF($C$2:$F$2,EOMONTH(BF$2,-1)+1,$C139:$F139)*VLOOKUP(BF$2,ProyDia[],8,0)</f>
        <v>0</v>
      </c>
      <c r="BG139" s="28" t="n">
        <f aca="false">SUMIF($C$2:$F$2,EOMONTH(BG$2,-1)+1,$C139:$F139)*VLOOKUP(BG$2,ProyDia[],8,0)</f>
        <v>0</v>
      </c>
      <c r="BH139" s="28" t="n">
        <f aca="false">SUMIF($C$2:$F$2,EOMONTH(BH$2,-1)+1,$C139:$F139)*VLOOKUP(BH$2,ProyDia[],8,0)</f>
        <v>0</v>
      </c>
      <c r="BI139" s="28" t="n">
        <f aca="false">SUMIF($C$2:$F$2,EOMONTH(BI$2,-1)+1,$C139:$F139)*VLOOKUP(BI$2,ProyDia[],8,0)</f>
        <v>0</v>
      </c>
      <c r="BJ139" s="28" t="n">
        <f aca="false">SUMIF($C$2:$F$2,EOMONTH(BJ$2,-1)+1,$C139:$F139)*VLOOKUP(BJ$2,ProyDia[],8,0)</f>
        <v>0</v>
      </c>
      <c r="BK139" s="28" t="n">
        <f aca="false">SUMIF($C$2:$F$2,EOMONTH(BK$2,-1)+1,$C139:$F139)*VLOOKUP(BK$2,ProyDia[],8,0)</f>
        <v>0</v>
      </c>
      <c r="BL139" s="28" t="n">
        <f aca="false">SUMIF($C$2:$F$2,EOMONTH(BL$2,-1)+1,$C139:$F139)*VLOOKUP(BL$2,ProyDia[],8,0)</f>
        <v>0</v>
      </c>
      <c r="BM139" s="28" t="n">
        <f aca="false">SUMIF($C$2:$F$2,EOMONTH(BM$2,-1)+1,$C139:$F139)*VLOOKUP(BM$2,ProyDia[],8,0)</f>
        <v>0</v>
      </c>
      <c r="BN139" s="28" t="n">
        <f aca="false">SUMIF($C$2:$F$2,EOMONTH(BN$2,-1)+1,$C139:$F139)*VLOOKUP(BN$2,ProyDia[],8,0)</f>
        <v>0</v>
      </c>
      <c r="BO139" s="28" t="n">
        <f aca="false">SUMIF($C$2:$F$2,EOMONTH(BO$2,-1)+1,$C139:$F139)*VLOOKUP(BO$2,ProyDia[],8,0)</f>
        <v>0</v>
      </c>
      <c r="BP139" s="28" t="n">
        <f aca="false">SUMIF($C$2:$F$2,EOMONTH(BP$2,-1)+1,$C139:$F139)*VLOOKUP(BP$2,ProyDia[],8,0)</f>
        <v>0</v>
      </c>
      <c r="BQ139" s="28" t="n">
        <f aca="false">SUMIF($C$2:$F$2,EOMONTH(BQ$2,-1)+1,$C139:$F139)*VLOOKUP(BQ$2,ProyDia[],8,0)</f>
        <v>0</v>
      </c>
      <c r="BR139" s="28" t="n">
        <f aca="false">SUMIF($C$2:$F$2,EOMONTH(BR$2,-1)+1,$C139:$F139)*VLOOKUP(BR$2,ProyDia[],8,0)</f>
        <v>0</v>
      </c>
      <c r="BS139" s="28" t="n">
        <f aca="false">SUMIF($C$2:$F$2,EOMONTH(BS$2,-1)+1,$C139:$F139)*VLOOKUP(BS$2,ProyDia[],8,0)</f>
        <v>0</v>
      </c>
      <c r="BT139" s="28" t="n">
        <f aca="false">SUMIF($C$2:$F$2,EOMONTH(BT$2,-1)+1,$C139:$F139)*VLOOKUP(BT$2,ProyDia[],8,0)</f>
        <v>0</v>
      </c>
      <c r="BU139" s="28" t="n">
        <f aca="false">SUMIF($C$2:$F$2,EOMONTH(BU$2,-1)+1,$C139:$F139)*VLOOKUP(BU$2,ProyDia[],8,0)</f>
        <v>0</v>
      </c>
      <c r="BV139" s="28" t="n">
        <f aca="false">SUMIF($C$2:$F$2,EOMONTH(BV$2,-1)+1,$C139:$F139)*VLOOKUP(BV$2,ProyDia[],8,0)</f>
        <v>0</v>
      </c>
      <c r="BW139" s="28" t="n">
        <f aca="false">SUMIF($C$2:$F$2,EOMONTH(BW$2,-1)+1,$C139:$F139)*VLOOKUP(BW$2,ProyDia[],8,0)</f>
        <v>0</v>
      </c>
      <c r="BX139" s="28" t="n">
        <f aca="false">SUMIF($C$2:$F$2,EOMONTH(BX$2,-1)+1,$C139:$F139)*VLOOKUP(BX$2,ProyDia[],8,0)</f>
        <v>0</v>
      </c>
      <c r="BY139" s="28" t="n">
        <f aca="false">SUMIF($C$2:$F$2,EOMONTH(BY$2,-1)+1,$C139:$F139)*VLOOKUP(BY$2,ProyDia[],8,0)</f>
        <v>0</v>
      </c>
      <c r="BZ139" s="28" t="n">
        <f aca="false">SUMIF($C$2:$F$2,EOMONTH(BZ$2,-1)+1,$C139:$F139)*VLOOKUP(BZ$2,ProyDia[],8,0)</f>
        <v>0</v>
      </c>
      <c r="CA139" s="28" t="n">
        <f aca="false">SUMIF($C$2:$F$2,EOMONTH(CA$2,-1)+1,$C139:$F139)*VLOOKUP(CA$2,ProyDia[],8,0)</f>
        <v>0</v>
      </c>
      <c r="CB139" s="28" t="n">
        <f aca="false">SUMIF($C$2:$F$2,EOMONTH(CB$2,-1)+1,$C139:$F139)*VLOOKUP(CB$2,ProyDia[],8,0)</f>
        <v>0</v>
      </c>
      <c r="CC139" s="28" t="n">
        <f aca="false">SUMIF($C$2:$F$2,EOMONTH(CC$2,-1)+1,$C139:$F139)*VLOOKUP(CC$2,ProyDia[],8,0)</f>
        <v>0</v>
      </c>
      <c r="CD139" s="28" t="n">
        <f aca="false">SUMIF($C$2:$F$2,EOMONTH(CD$2,-1)+1,$C139:$F139)*VLOOKUP(CD$2,ProyDia[],8,0)</f>
        <v>0</v>
      </c>
      <c r="CE139" s="28" t="n">
        <f aca="false">SUMIF($C$2:$F$2,EOMONTH(CE$2,-1)+1,$C139:$F139)*VLOOKUP(CE$2,ProyDia[],8,0)</f>
        <v>0</v>
      </c>
      <c r="CF139" s="28" t="n">
        <f aca="false">SUMIF($C$2:$F$2,EOMONTH(CF$2,-1)+1,$C139:$F139)*VLOOKUP(CF$2,ProyDia[],8,0)</f>
        <v>0</v>
      </c>
      <c r="CG139" s="28" t="n">
        <f aca="false">SUMIF($C$2:$F$2,EOMONTH(CG$2,-1)+1,$C139:$F139)*VLOOKUP(CG$2,ProyDia[],8,0)</f>
        <v>0</v>
      </c>
      <c r="CH139" s="28" t="n">
        <f aca="false">SUMIF($C$2:$F$2,EOMONTH(CH$2,-1)+1,$C139:$F139)*VLOOKUP(CH$2,ProyDia[],8,0)</f>
        <v>0</v>
      </c>
      <c r="CI139" s="28" t="n">
        <f aca="false">SUMIF($C$2:$F$2,EOMONTH(CI$2,-1)+1,$C139:$F139)*VLOOKUP(CI$2,ProyDia[],8,0)</f>
        <v>0</v>
      </c>
      <c r="CJ139" s="28" t="n">
        <f aca="false">SUMIF($C$2:$F$2,EOMONTH(CJ$2,-1)+1,$C139:$F139)*VLOOKUP(CJ$2,ProyDia[],8,0)</f>
        <v>0</v>
      </c>
      <c r="CK139" s="28" t="n">
        <f aca="false">SUMIF($C$2:$F$2,EOMONTH(CK$2,-1)+1,$C139:$F139)*VLOOKUP(CK$2,ProyDia[],8,0)</f>
        <v>0</v>
      </c>
      <c r="CL139" s="28" t="n">
        <f aca="false">SUMIF($C$2:$F$2,EOMONTH(CL$2,-1)+1,$C139:$F139)*VLOOKUP(CL$2,ProyDia[],8,0)</f>
        <v>0</v>
      </c>
      <c r="CM139" s="28" t="n">
        <f aca="false">SUMIF($C$2:$F$2,EOMONTH(CM$2,-1)+1,$C139:$F139)*VLOOKUP(CM$2,ProyDia[],8,0)</f>
        <v>0</v>
      </c>
      <c r="CN139" s="28" t="n">
        <f aca="false">SUMIF($C$2:$F$2,EOMONTH(CN$2,-1)+1,$C139:$F139)*VLOOKUP(CN$2,ProyDia[],8,0)</f>
        <v>0</v>
      </c>
      <c r="CO139" s="28" t="n">
        <f aca="false">SUMIF($C$2:$F$2,EOMONTH(CO$2,-1)+1,$C139:$F139)*VLOOKUP(CO$2,ProyDia[],8,0)</f>
        <v>0</v>
      </c>
      <c r="CP139" s="28" t="n">
        <f aca="false">SUMIF($C$2:$F$2,EOMONTH(CP$2,-1)+1,$C139:$F139)*VLOOKUP(CP$2,ProyDia[],8,0)</f>
        <v>0</v>
      </c>
      <c r="CQ139" s="28" t="n">
        <f aca="false">SUMIF($C$2:$F$2,EOMONTH(CQ$2,-1)+1,$C139:$F139)*VLOOKUP(CQ$2,ProyDia[],8,0)</f>
        <v>0</v>
      </c>
      <c r="CR139" s="28" t="n">
        <f aca="false">SUMIF($C$2:$F$2,EOMONTH(CR$2,-1)+1,$C139:$F139)*VLOOKUP(CR$2,ProyDia[],8,0)</f>
        <v>0</v>
      </c>
      <c r="CS139" s="28" t="n">
        <f aca="false">SUMIF($C$2:$F$2,EOMONTH(CS$2,-1)+1,$C139:$F139)*VLOOKUP(CS$2,ProyDia[],8,0)</f>
        <v>0</v>
      </c>
      <c r="CT139" s="28" t="n">
        <f aca="false">SUMIF($C$2:$F$2,EOMONTH(CT$2,-1)+1,$C139:$F139)*VLOOKUP(CT$2,ProyDia[],8,0)</f>
        <v>0</v>
      </c>
      <c r="CU139" s="28" t="n">
        <f aca="false">SUMIF($C$2:$F$2,EOMONTH(CU$2,-1)+1,$C139:$F139)*VLOOKUP(CU$2,ProyDia[],8,0)</f>
        <v>0</v>
      </c>
      <c r="CV139" s="28" t="n">
        <f aca="false">SUMIF($C$2:$F$2,EOMONTH(CV$2,-1)+1,$C139:$F139)*VLOOKUP(CV$2,ProyDia[],8,0)</f>
        <v>0</v>
      </c>
      <c r="CW139" s="28" t="n">
        <f aca="false">SUMIF($C$2:$F$2,EOMONTH(CW$2,-1)+1,$C139:$F139)*VLOOKUP(CW$2,ProyDia[],8,0)</f>
        <v>0</v>
      </c>
      <c r="CX139" s="28" t="n">
        <f aca="false">SUMIF($C$2:$F$2,EOMONTH(CX$2,-1)+1,$C139:$F139)*VLOOKUP(CX$2,ProyDia[],8,0)</f>
        <v>0</v>
      </c>
      <c r="CY139" s="28" t="n">
        <f aca="false">SUMIF($C$2:$F$2,EOMONTH(CY$2,-1)+1,$C139:$F139)*VLOOKUP(CY$2,ProyDia[],8,0)</f>
        <v>0</v>
      </c>
      <c r="CZ139" s="28" t="n">
        <f aca="false">SUMIF($C$2:$F$2,EOMONTH(CZ$2,-1)+1,$C139:$F139)*VLOOKUP(CZ$2,ProyDia[],8,0)</f>
        <v>0</v>
      </c>
      <c r="DA139" s="28" t="n">
        <f aca="false">SUMIF($C$2:$F$2,EOMONTH(DA$2,-1)+1,$C139:$F139)*VLOOKUP(DA$2,ProyDia[],8,0)</f>
        <v>0</v>
      </c>
      <c r="DB139" s="28" t="n">
        <f aca="false">SUMIF($C$2:$F$2,EOMONTH(DB$2,-1)+1,$C139:$F139)*VLOOKUP(DB$2,ProyDia[],8,0)</f>
        <v>0</v>
      </c>
      <c r="DC139" s="28" t="n">
        <f aca="false">SUMIF($C$2:$F$2,EOMONTH(DC$2,-1)+1,$C139:$F139)*VLOOKUP(DC$2,ProyDia[],8,0)</f>
        <v>0</v>
      </c>
      <c r="DD139" s="28" t="n">
        <f aca="false">SUMIF($C$2:$F$2,EOMONTH(DD$2,-1)+1,$C139:$F139)*VLOOKUP(DD$2,ProyDia[],8,0)</f>
        <v>0</v>
      </c>
      <c r="DE139" s="28" t="n">
        <f aca="false">SUMIF($C$2:$F$2,EOMONTH(DE$2,-1)+1,$C139:$F139)*VLOOKUP(DE$2,ProyDia[],8,0)</f>
        <v>0</v>
      </c>
      <c r="DF139" s="28" t="n">
        <f aca="false">SUMIF($C$2:$F$2,EOMONTH(DF$2,-1)+1,$C139:$F139)*VLOOKUP(DF$2,ProyDia[],8,0)</f>
        <v>0</v>
      </c>
      <c r="DG139" s="28" t="n">
        <f aca="false">SUMIF($C$2:$F$2,EOMONTH(DG$2,-1)+1,$C139:$F139)*VLOOKUP(DG$2,ProyDia[],8,0)</f>
        <v>0</v>
      </c>
      <c r="DH139" s="28" t="n">
        <f aca="false">SUMIF($C$2:$F$2,EOMONTH(DH$2,-1)+1,$C139:$F139)*VLOOKUP(DH$2,ProyDia[],8,0)</f>
        <v>0</v>
      </c>
      <c r="DI139" s="28" t="n">
        <f aca="false">SUMIF($C$2:$F$2,EOMONTH(DI$2,-1)+1,$C139:$F139)*VLOOKUP(DI$2,ProyDia[],8,0)</f>
        <v>0</v>
      </c>
      <c r="DJ139" s="28" t="n">
        <f aca="false">SUMIF($C$2:$F$2,EOMONTH(DJ$2,-1)+1,$C139:$F139)*VLOOKUP(DJ$2,ProyDia[],8,0)</f>
        <v>0</v>
      </c>
      <c r="DK139" s="28" t="n">
        <f aca="false">SUMIF($C$2:$F$2,EOMONTH(DK$2,-1)+1,$C139:$F139)*VLOOKUP(DK$2,ProyDia[],8,0)</f>
        <v>0</v>
      </c>
      <c r="DL139" s="28" t="n">
        <f aca="false">SUMIF($C$2:$F$2,EOMONTH(DL$2,-1)+1,$C139:$F139)*VLOOKUP(DL$2,ProyDia[],8,0)</f>
        <v>0</v>
      </c>
      <c r="DM139" s="28" t="n">
        <f aca="false">SUMIF($C$2:$F$2,EOMONTH(DM$2,-1)+1,$C139:$F139)*VLOOKUP(DM$2,ProyDia[],8,0)</f>
        <v>0</v>
      </c>
      <c r="DN139" s="28" t="n">
        <f aca="false">SUMIF($C$2:$F$2,EOMONTH(DN$2,-1)+1,$C139:$F139)*VLOOKUP(DN$2,ProyDia[],8,0)</f>
        <v>0</v>
      </c>
      <c r="DO139" s="28" t="n">
        <f aca="false">SUMIF($C$2:$F$2,EOMONTH(DO$2,-1)+1,$C139:$F139)*VLOOKUP(DO$2,ProyDia[],8,0)</f>
        <v>0</v>
      </c>
      <c r="DP139" s="28" t="n">
        <f aca="false">SUMIF($C$2:$F$2,EOMONTH(DP$2,-1)+1,$C139:$F139)*VLOOKUP(DP$2,ProyDia[],8,0)</f>
        <v>0</v>
      </c>
      <c r="DQ139" s="28" t="n">
        <f aca="false">SUMIF($C$2:$F$2,EOMONTH(DQ$2,-1)+1,$C139:$F139)*VLOOKUP(DQ$2,ProyDia[],8,0)</f>
        <v>0</v>
      </c>
      <c r="DR139" s="28" t="n">
        <f aca="false">SUMIF($C$2:$F$2,EOMONTH(DR$2,-1)+1,$C139:$F139)*VLOOKUP(DR$2,ProyDia[],8,0)</f>
        <v>0</v>
      </c>
      <c r="DS139" s="28" t="n">
        <f aca="false">SUMIF($C$2:$F$2,EOMONTH(DS$2,-1)+1,$C139:$F139)*VLOOKUP(DS$2,ProyDia[],8,0)</f>
        <v>0</v>
      </c>
      <c r="DT139" s="28" t="n">
        <f aca="false">SUMIF($C$2:$F$2,EOMONTH(DT$2,-1)+1,$C139:$F139)*VLOOKUP(DT$2,ProyDia[],8,0)</f>
        <v>0</v>
      </c>
      <c r="DU139" s="28" t="n">
        <f aca="false">SUMIF($C$2:$F$2,EOMONTH(DU$2,-1)+1,$C139:$F139)*VLOOKUP(DU$2,ProyDia[],8,0)</f>
        <v>0</v>
      </c>
      <c r="DV139" s="28" t="n">
        <f aca="false">SUMIF($C$2:$F$2,EOMONTH(DV$2,-1)+1,$C139:$F139)*VLOOKUP(DV$2,ProyDia[],8,0)</f>
        <v>0</v>
      </c>
      <c r="DW139" s="28" t="n">
        <f aca="false">SUMIF($C$2:$F$2,EOMONTH(DW$2,-1)+1,$C139:$F139)*VLOOKUP(DW$2,ProyDia[],8,0)</f>
        <v>0</v>
      </c>
      <c r="DX139" s="28" t="n">
        <f aca="false">SUMIF($C$2:$F$2,EOMONTH(DX$2,-1)+1,$C139:$F139)*VLOOKUP(DX$2,ProyDia[],8,0)</f>
        <v>0</v>
      </c>
    </row>
    <row r="140" customFormat="false" ht="14.4" hidden="false" customHeight="false" outlineLevel="0" collapsed="false">
      <c r="A140" s="35"/>
      <c r="B140" s="35"/>
      <c r="C140" s="35"/>
      <c r="D140" s="35"/>
      <c r="E140" s="35"/>
      <c r="F140" s="35"/>
      <c r="G140" s="36" t="n">
        <f aca="false">SUMIF($C$2:$F$2,EOMONTH(G$2,-1)+1,$C140:$F140)*VLOOKUP(G$2,ProyDia[],8,0)</f>
        <v>0</v>
      </c>
      <c r="H140" s="36" t="n">
        <f aca="false">SUMIF($C$2:$F$2,EOMONTH(H$2,-1)+1,$C140:$F140)*VLOOKUP(H$2,ProyDia[],8,0)</f>
        <v>0</v>
      </c>
      <c r="I140" s="36" t="n">
        <f aca="false">SUMIF($C$2:$F$2,EOMONTH(I$2,-1)+1,$C140:$F140)*VLOOKUP(I$2,ProyDia[],8,0)</f>
        <v>0</v>
      </c>
      <c r="J140" s="36" t="n">
        <f aca="false">SUMIF($C$2:$F$2,EOMONTH(J$2,-1)+1,$C140:$F140)*VLOOKUP(J$2,ProyDia[],8,0)</f>
        <v>0</v>
      </c>
      <c r="K140" s="36" t="n">
        <f aca="false">SUMIF($C$2:$F$2,EOMONTH(K$2,-1)+1,$C140:$F140)*VLOOKUP(K$2,ProyDia[],8,0)</f>
        <v>0</v>
      </c>
      <c r="L140" s="36" t="n">
        <f aca="false">SUMIF($C$2:$F$2,EOMONTH(L$2,-1)+1,$C140:$F140)*VLOOKUP(L$2,ProyDia[],8,0)</f>
        <v>0</v>
      </c>
      <c r="M140" s="36" t="n">
        <f aca="false">SUMIF($C$2:$F$2,EOMONTH(M$2,-1)+1,$C140:$F140)*VLOOKUP(M$2,ProyDia[],8,0)</f>
        <v>0</v>
      </c>
      <c r="N140" s="36" t="n">
        <f aca="false">SUMIF($C$2:$F$2,EOMONTH(N$2,-1)+1,$C140:$F140)*VLOOKUP(N$2,ProyDia[],8,0)</f>
        <v>0</v>
      </c>
      <c r="O140" s="36" t="n">
        <f aca="false">SUMIF($C$2:$F$2,EOMONTH(O$2,-1)+1,$C140:$F140)*VLOOKUP(O$2,ProyDia[],8,0)</f>
        <v>0</v>
      </c>
      <c r="P140" s="36" t="n">
        <f aca="false">SUMIF($C$2:$F$2,EOMONTH(P$2,-1)+1,$C140:$F140)*VLOOKUP(P$2,ProyDia[],8,0)</f>
        <v>0</v>
      </c>
      <c r="Q140" s="36" t="n">
        <f aca="false">SUMIF($C$2:$F$2,EOMONTH(Q$2,-1)+1,$C140:$F140)*VLOOKUP(Q$2,ProyDia[],8,0)</f>
        <v>0</v>
      </c>
      <c r="R140" s="36" t="n">
        <f aca="false">SUMIF($C$2:$F$2,EOMONTH(R$2,-1)+1,$C140:$F140)*VLOOKUP(R$2,ProyDia[],8,0)</f>
        <v>0</v>
      </c>
      <c r="S140" s="36" t="n">
        <f aca="false">SUMIF($C$2:$F$2,EOMONTH(S$2,-1)+1,$C140:$F140)*VLOOKUP(S$2,ProyDia[],8,0)</f>
        <v>0</v>
      </c>
      <c r="T140" s="36" t="n">
        <f aca="false">SUMIF($C$2:$F$2,EOMONTH(T$2,-1)+1,$C140:$F140)*VLOOKUP(T$2,ProyDia[],8,0)</f>
        <v>0</v>
      </c>
      <c r="U140" s="36" t="n">
        <f aca="false">SUMIF($C$2:$F$2,EOMONTH(U$2,-1)+1,$C140:$F140)*VLOOKUP(U$2,ProyDia[],8,0)</f>
        <v>0</v>
      </c>
      <c r="V140" s="36" t="n">
        <f aca="false">SUMIF($C$2:$F$2,EOMONTH(V$2,-1)+1,$C140:$F140)*VLOOKUP(V$2,ProyDia[],8,0)</f>
        <v>0</v>
      </c>
      <c r="W140" s="36" t="n">
        <f aca="false">SUMIF($C$2:$F$2,EOMONTH(W$2,-1)+1,$C140:$F140)*VLOOKUP(W$2,ProyDia[],8,0)</f>
        <v>0</v>
      </c>
      <c r="X140" s="36" t="n">
        <f aca="false">SUMIF($C$2:$F$2,EOMONTH(X$2,-1)+1,$C140:$F140)*VLOOKUP(X$2,ProyDia[],8,0)</f>
        <v>0</v>
      </c>
      <c r="Y140" s="36" t="n">
        <f aca="false">SUMIF($C$2:$F$2,EOMONTH(Y$2,-1)+1,$C140:$F140)*VLOOKUP(Y$2,ProyDia[],8,0)</f>
        <v>0</v>
      </c>
      <c r="Z140" s="36" t="n">
        <f aca="false">SUMIF($C$2:$F$2,EOMONTH(Z$2,-1)+1,$C140:$F140)*VLOOKUP(Z$2,ProyDia[],8,0)</f>
        <v>0</v>
      </c>
      <c r="AA140" s="36" t="n">
        <f aca="false">SUMIF($C$2:$F$2,EOMONTH(AA$2,-1)+1,$C140:$F140)*VLOOKUP(AA$2,ProyDia[],8,0)</f>
        <v>0</v>
      </c>
      <c r="AB140" s="36" t="n">
        <f aca="false">SUMIF($C$2:$F$2,EOMONTH(AB$2,-1)+1,$C140:$F140)*VLOOKUP(AB$2,ProyDia[],8,0)</f>
        <v>0</v>
      </c>
      <c r="AC140" s="36" t="n">
        <f aca="false">SUMIF($C$2:$F$2,EOMONTH(AC$2,-1)+1,$C140:$F140)*VLOOKUP(AC$2,ProyDia[],8,0)</f>
        <v>0</v>
      </c>
      <c r="AD140" s="36" t="n">
        <f aca="false">SUMIF($C$2:$F$2,EOMONTH(AD$2,-1)+1,$C140:$F140)*VLOOKUP(AD$2,ProyDia[],8,0)</f>
        <v>0</v>
      </c>
      <c r="AE140" s="36" t="n">
        <f aca="false">SUMIF($C$2:$F$2,EOMONTH(AE$2,-1)+1,$C140:$F140)*VLOOKUP(AE$2,ProyDia[],8,0)</f>
        <v>0</v>
      </c>
      <c r="AF140" s="36" t="n">
        <f aca="false">SUMIF($C$2:$F$2,EOMONTH(AF$2,-1)+1,$C140:$F140)*VLOOKUP(AF$2,ProyDia[],8,0)</f>
        <v>0</v>
      </c>
      <c r="AG140" s="36" t="n">
        <f aca="false">SUMIF($C$2:$F$2,EOMONTH(AG$2,-1)+1,$C140:$F140)*VLOOKUP(AG$2,ProyDia[],8,0)</f>
        <v>0</v>
      </c>
      <c r="AH140" s="36" t="n">
        <f aca="false">SUMIF($C$2:$F$2,EOMONTH(AH$2,-1)+1,$C140:$F140)*VLOOKUP(AH$2,ProyDia[],8,0)</f>
        <v>0</v>
      </c>
      <c r="AI140" s="36" t="n">
        <f aca="false">SUMIF($C$2:$F$2,EOMONTH(AI$2,-1)+1,$C140:$F140)*VLOOKUP(AI$2,ProyDia[],8,0)</f>
        <v>0</v>
      </c>
      <c r="AJ140" s="36" t="n">
        <f aca="false">SUMIF($C$2:$F$2,EOMONTH(AJ$2,-1)+1,$C140:$F140)*VLOOKUP(AJ$2,ProyDia[],8,0)</f>
        <v>0</v>
      </c>
      <c r="AK140" s="36" t="n">
        <f aca="false">SUMIF($C$2:$F$2,EOMONTH(AK$2,-1)+1,$C140:$F140)*VLOOKUP(AK$2,ProyDia[],8,0)</f>
        <v>0</v>
      </c>
      <c r="AL140" s="36" t="n">
        <f aca="false">SUMIF($C$2:$F$2,EOMONTH(AL$2,-1)+1,$C140:$F140)*VLOOKUP(AL$2,ProyDia[],8,0)</f>
        <v>0</v>
      </c>
      <c r="AM140" s="36" t="n">
        <f aca="false">SUMIF($C$2:$F$2,EOMONTH(AM$2,-1)+1,$C140:$F140)*VLOOKUP(AM$2,ProyDia[],8,0)</f>
        <v>0</v>
      </c>
      <c r="AN140" s="36" t="n">
        <f aca="false">SUMIF($C$2:$F$2,EOMONTH(AN$2,-1)+1,$C140:$F140)*VLOOKUP(AN$2,ProyDia[],8,0)</f>
        <v>0</v>
      </c>
      <c r="AO140" s="36" t="n">
        <f aca="false">SUMIF($C$2:$F$2,EOMONTH(AO$2,-1)+1,$C140:$F140)*VLOOKUP(AO$2,ProyDia[],8,0)</f>
        <v>0</v>
      </c>
      <c r="AP140" s="36" t="n">
        <f aca="false">SUMIF($C$2:$F$2,EOMONTH(AP$2,-1)+1,$C140:$F140)*VLOOKUP(AP$2,ProyDia[],8,0)</f>
        <v>0</v>
      </c>
      <c r="AQ140" s="36" t="n">
        <f aca="false">SUMIF($C$2:$F$2,EOMONTH(AQ$2,-1)+1,$C140:$F140)*VLOOKUP(AQ$2,ProyDia[],8,0)</f>
        <v>0</v>
      </c>
      <c r="AR140" s="36" t="n">
        <f aca="false">SUMIF($C$2:$F$2,EOMONTH(AR$2,-1)+1,$C140:$F140)*VLOOKUP(AR$2,ProyDia[],8,0)</f>
        <v>0</v>
      </c>
      <c r="AS140" s="36" t="n">
        <f aca="false">SUMIF($C$2:$F$2,EOMONTH(AS$2,-1)+1,$C140:$F140)*VLOOKUP(AS$2,ProyDia[],8,0)</f>
        <v>0</v>
      </c>
      <c r="AT140" s="36" t="n">
        <f aca="false">SUMIF($C$2:$F$2,EOMONTH(AT$2,-1)+1,$C140:$F140)*VLOOKUP(AT$2,ProyDia[],8,0)</f>
        <v>0</v>
      </c>
      <c r="AU140" s="36" t="n">
        <f aca="false">SUMIF($C$2:$F$2,EOMONTH(AU$2,-1)+1,$C140:$F140)*VLOOKUP(AU$2,ProyDia[],8,0)</f>
        <v>0</v>
      </c>
      <c r="AV140" s="36" t="n">
        <f aca="false">SUMIF($C$2:$F$2,EOMONTH(AV$2,-1)+1,$C140:$F140)*VLOOKUP(AV$2,ProyDia[],8,0)</f>
        <v>0</v>
      </c>
      <c r="AW140" s="36" t="n">
        <f aca="false">SUMIF($C$2:$F$2,EOMONTH(AW$2,-1)+1,$C140:$F140)*VLOOKUP(AW$2,ProyDia[],8,0)</f>
        <v>0</v>
      </c>
      <c r="AX140" s="36" t="n">
        <f aca="false">SUMIF($C$2:$F$2,EOMONTH(AX$2,-1)+1,$C140:$F140)*VLOOKUP(AX$2,ProyDia[],8,0)</f>
        <v>0</v>
      </c>
      <c r="AY140" s="36" t="n">
        <f aca="false">SUMIF($C$2:$F$2,EOMONTH(AY$2,-1)+1,$C140:$F140)*VLOOKUP(AY$2,ProyDia[],8,0)</f>
        <v>0</v>
      </c>
      <c r="AZ140" s="36" t="n">
        <f aca="false">SUMIF($C$2:$F$2,EOMONTH(AZ$2,-1)+1,$C140:$F140)*VLOOKUP(AZ$2,ProyDia[],8,0)</f>
        <v>0</v>
      </c>
      <c r="BA140" s="36" t="n">
        <f aca="false">SUMIF($C$2:$F$2,EOMONTH(BA$2,-1)+1,$C140:$F140)*VLOOKUP(BA$2,ProyDia[],8,0)</f>
        <v>0</v>
      </c>
      <c r="BB140" s="36" t="n">
        <f aca="false">SUMIF($C$2:$F$2,EOMONTH(BB$2,-1)+1,$C140:$F140)*VLOOKUP(BB$2,ProyDia[],8,0)</f>
        <v>0</v>
      </c>
      <c r="BC140" s="36" t="n">
        <f aca="false">SUMIF($C$2:$F$2,EOMONTH(BC$2,-1)+1,$C140:$F140)*VLOOKUP(BC$2,ProyDia[],8,0)</f>
        <v>0</v>
      </c>
      <c r="BD140" s="36" t="n">
        <f aca="false">SUMIF($C$2:$F$2,EOMONTH(BD$2,-1)+1,$C140:$F140)*VLOOKUP(BD$2,ProyDia[],8,0)</f>
        <v>0</v>
      </c>
      <c r="BE140" s="36" t="n">
        <f aca="false">SUMIF($C$2:$F$2,EOMONTH(BE$2,-1)+1,$C140:$F140)*VLOOKUP(BE$2,ProyDia[],8,0)</f>
        <v>0</v>
      </c>
      <c r="BF140" s="36" t="n">
        <f aca="false">SUMIF($C$2:$F$2,EOMONTH(BF$2,-1)+1,$C140:$F140)*VLOOKUP(BF$2,ProyDia[],8,0)</f>
        <v>0</v>
      </c>
      <c r="BG140" s="36" t="n">
        <f aca="false">SUMIF($C$2:$F$2,EOMONTH(BG$2,-1)+1,$C140:$F140)*VLOOKUP(BG$2,ProyDia[],8,0)</f>
        <v>0</v>
      </c>
      <c r="BH140" s="36" t="n">
        <f aca="false">SUMIF($C$2:$F$2,EOMONTH(BH$2,-1)+1,$C140:$F140)*VLOOKUP(BH$2,ProyDia[],8,0)</f>
        <v>0</v>
      </c>
      <c r="BI140" s="36" t="n">
        <f aca="false">SUMIF($C$2:$F$2,EOMONTH(BI$2,-1)+1,$C140:$F140)*VLOOKUP(BI$2,ProyDia[],8,0)</f>
        <v>0</v>
      </c>
      <c r="BJ140" s="36" t="n">
        <f aca="false">SUMIF($C$2:$F$2,EOMONTH(BJ$2,-1)+1,$C140:$F140)*VLOOKUP(BJ$2,ProyDia[],8,0)</f>
        <v>0</v>
      </c>
      <c r="BK140" s="36" t="n">
        <f aca="false">SUMIF($C$2:$F$2,EOMONTH(BK$2,-1)+1,$C140:$F140)*VLOOKUP(BK$2,ProyDia[],8,0)</f>
        <v>0</v>
      </c>
      <c r="BL140" s="36" t="n">
        <f aca="false">SUMIF($C$2:$F$2,EOMONTH(BL$2,-1)+1,$C140:$F140)*VLOOKUP(BL$2,ProyDia[],8,0)</f>
        <v>0</v>
      </c>
      <c r="BM140" s="36" t="n">
        <f aca="false">SUMIF($C$2:$F$2,EOMONTH(BM$2,-1)+1,$C140:$F140)*VLOOKUP(BM$2,ProyDia[],8,0)</f>
        <v>0</v>
      </c>
      <c r="BN140" s="36" t="n">
        <f aca="false">SUMIF($C$2:$F$2,EOMONTH(BN$2,-1)+1,$C140:$F140)*VLOOKUP(BN$2,ProyDia[],8,0)</f>
        <v>0</v>
      </c>
      <c r="BO140" s="36" t="n">
        <f aca="false">SUMIF($C$2:$F$2,EOMONTH(BO$2,-1)+1,$C140:$F140)*VLOOKUP(BO$2,ProyDia[],8,0)</f>
        <v>0</v>
      </c>
      <c r="BP140" s="36" t="n">
        <f aca="false">SUMIF($C$2:$F$2,EOMONTH(BP$2,-1)+1,$C140:$F140)*VLOOKUP(BP$2,ProyDia[],8,0)</f>
        <v>0</v>
      </c>
      <c r="BQ140" s="36" t="n">
        <f aca="false">SUMIF($C$2:$F$2,EOMONTH(BQ$2,-1)+1,$C140:$F140)*VLOOKUP(BQ$2,ProyDia[],8,0)</f>
        <v>0</v>
      </c>
      <c r="BR140" s="36" t="n">
        <f aca="false">SUMIF($C$2:$F$2,EOMONTH(BR$2,-1)+1,$C140:$F140)*VLOOKUP(BR$2,ProyDia[],8,0)</f>
        <v>0</v>
      </c>
      <c r="BS140" s="36" t="n">
        <f aca="false">SUMIF($C$2:$F$2,EOMONTH(BS$2,-1)+1,$C140:$F140)*VLOOKUP(BS$2,ProyDia[],8,0)</f>
        <v>0</v>
      </c>
      <c r="BT140" s="36" t="n">
        <f aca="false">SUMIF($C$2:$F$2,EOMONTH(BT$2,-1)+1,$C140:$F140)*VLOOKUP(BT$2,ProyDia[],8,0)</f>
        <v>0</v>
      </c>
      <c r="BU140" s="36" t="n">
        <f aca="false">SUMIF($C$2:$F$2,EOMONTH(BU$2,-1)+1,$C140:$F140)*VLOOKUP(BU$2,ProyDia[],8,0)</f>
        <v>0</v>
      </c>
      <c r="BV140" s="36" t="n">
        <f aca="false">SUMIF($C$2:$F$2,EOMONTH(BV$2,-1)+1,$C140:$F140)*VLOOKUP(BV$2,ProyDia[],8,0)</f>
        <v>0</v>
      </c>
      <c r="BW140" s="36" t="n">
        <f aca="false">SUMIF($C$2:$F$2,EOMONTH(BW$2,-1)+1,$C140:$F140)*VLOOKUP(BW$2,ProyDia[],8,0)</f>
        <v>0</v>
      </c>
      <c r="BX140" s="36" t="n">
        <f aca="false">SUMIF($C$2:$F$2,EOMONTH(BX$2,-1)+1,$C140:$F140)*VLOOKUP(BX$2,ProyDia[],8,0)</f>
        <v>0</v>
      </c>
      <c r="BY140" s="36" t="n">
        <f aca="false">SUMIF($C$2:$F$2,EOMONTH(BY$2,-1)+1,$C140:$F140)*VLOOKUP(BY$2,ProyDia[],8,0)</f>
        <v>0</v>
      </c>
      <c r="BZ140" s="36" t="n">
        <f aca="false">SUMIF($C$2:$F$2,EOMONTH(BZ$2,-1)+1,$C140:$F140)*VLOOKUP(BZ$2,ProyDia[],8,0)</f>
        <v>0</v>
      </c>
      <c r="CA140" s="36" t="n">
        <f aca="false">SUMIF($C$2:$F$2,EOMONTH(CA$2,-1)+1,$C140:$F140)*VLOOKUP(CA$2,ProyDia[],8,0)</f>
        <v>0</v>
      </c>
      <c r="CB140" s="36" t="n">
        <f aca="false">SUMIF($C$2:$F$2,EOMONTH(CB$2,-1)+1,$C140:$F140)*VLOOKUP(CB$2,ProyDia[],8,0)</f>
        <v>0</v>
      </c>
      <c r="CC140" s="36" t="n">
        <f aca="false">SUMIF($C$2:$F$2,EOMONTH(CC$2,-1)+1,$C140:$F140)*VLOOKUP(CC$2,ProyDia[],8,0)</f>
        <v>0</v>
      </c>
      <c r="CD140" s="36" t="n">
        <f aca="false">SUMIF($C$2:$F$2,EOMONTH(CD$2,-1)+1,$C140:$F140)*VLOOKUP(CD$2,ProyDia[],8,0)</f>
        <v>0</v>
      </c>
      <c r="CE140" s="36" t="n">
        <f aca="false">SUMIF($C$2:$F$2,EOMONTH(CE$2,-1)+1,$C140:$F140)*VLOOKUP(CE$2,ProyDia[],8,0)</f>
        <v>0</v>
      </c>
      <c r="CF140" s="36" t="n">
        <f aca="false">SUMIF($C$2:$F$2,EOMONTH(CF$2,-1)+1,$C140:$F140)*VLOOKUP(CF$2,ProyDia[],8,0)</f>
        <v>0</v>
      </c>
      <c r="CG140" s="36" t="n">
        <f aca="false">SUMIF($C$2:$F$2,EOMONTH(CG$2,-1)+1,$C140:$F140)*VLOOKUP(CG$2,ProyDia[],8,0)</f>
        <v>0</v>
      </c>
      <c r="CH140" s="36" t="n">
        <f aca="false">SUMIF($C$2:$F$2,EOMONTH(CH$2,-1)+1,$C140:$F140)*VLOOKUP(CH$2,ProyDia[],8,0)</f>
        <v>0</v>
      </c>
      <c r="CI140" s="36" t="n">
        <f aca="false">SUMIF($C$2:$F$2,EOMONTH(CI$2,-1)+1,$C140:$F140)*VLOOKUP(CI$2,ProyDia[],8,0)</f>
        <v>0</v>
      </c>
      <c r="CJ140" s="36" t="n">
        <f aca="false">SUMIF($C$2:$F$2,EOMONTH(CJ$2,-1)+1,$C140:$F140)*VLOOKUP(CJ$2,ProyDia[],8,0)</f>
        <v>0</v>
      </c>
      <c r="CK140" s="36" t="n">
        <f aca="false">SUMIF($C$2:$F$2,EOMONTH(CK$2,-1)+1,$C140:$F140)*VLOOKUP(CK$2,ProyDia[],8,0)</f>
        <v>0</v>
      </c>
      <c r="CL140" s="36" t="n">
        <f aca="false">SUMIF($C$2:$F$2,EOMONTH(CL$2,-1)+1,$C140:$F140)*VLOOKUP(CL$2,ProyDia[],8,0)</f>
        <v>0</v>
      </c>
      <c r="CM140" s="36" t="n">
        <f aca="false">SUMIF($C$2:$F$2,EOMONTH(CM$2,-1)+1,$C140:$F140)*VLOOKUP(CM$2,ProyDia[],8,0)</f>
        <v>0</v>
      </c>
      <c r="CN140" s="36" t="n">
        <f aca="false">SUMIF($C$2:$F$2,EOMONTH(CN$2,-1)+1,$C140:$F140)*VLOOKUP(CN$2,ProyDia[],8,0)</f>
        <v>0</v>
      </c>
      <c r="CO140" s="36" t="n">
        <f aca="false">SUMIF($C$2:$F$2,EOMONTH(CO$2,-1)+1,$C140:$F140)*VLOOKUP(CO$2,ProyDia[],8,0)</f>
        <v>0</v>
      </c>
      <c r="CP140" s="36" t="n">
        <f aca="false">SUMIF($C$2:$F$2,EOMONTH(CP$2,-1)+1,$C140:$F140)*VLOOKUP(CP$2,ProyDia[],8,0)</f>
        <v>0</v>
      </c>
      <c r="CQ140" s="36" t="n">
        <f aca="false">SUMIF($C$2:$F$2,EOMONTH(CQ$2,-1)+1,$C140:$F140)*VLOOKUP(CQ$2,ProyDia[],8,0)</f>
        <v>0</v>
      </c>
      <c r="CR140" s="36" t="n">
        <f aca="false">SUMIF($C$2:$F$2,EOMONTH(CR$2,-1)+1,$C140:$F140)*VLOOKUP(CR$2,ProyDia[],8,0)</f>
        <v>0</v>
      </c>
      <c r="CS140" s="36" t="n">
        <f aca="false">SUMIF($C$2:$F$2,EOMONTH(CS$2,-1)+1,$C140:$F140)*VLOOKUP(CS$2,ProyDia[],8,0)</f>
        <v>0</v>
      </c>
      <c r="CT140" s="36" t="n">
        <f aca="false">SUMIF($C$2:$F$2,EOMONTH(CT$2,-1)+1,$C140:$F140)*VLOOKUP(CT$2,ProyDia[],8,0)</f>
        <v>0</v>
      </c>
      <c r="CU140" s="36" t="n">
        <f aca="false">SUMIF($C$2:$F$2,EOMONTH(CU$2,-1)+1,$C140:$F140)*VLOOKUP(CU$2,ProyDia[],8,0)</f>
        <v>0</v>
      </c>
      <c r="CV140" s="36" t="n">
        <f aca="false">SUMIF($C$2:$F$2,EOMONTH(CV$2,-1)+1,$C140:$F140)*VLOOKUP(CV$2,ProyDia[],8,0)</f>
        <v>0</v>
      </c>
      <c r="CW140" s="36" t="n">
        <f aca="false">SUMIF($C$2:$F$2,EOMONTH(CW$2,-1)+1,$C140:$F140)*VLOOKUP(CW$2,ProyDia[],8,0)</f>
        <v>0</v>
      </c>
      <c r="CX140" s="36" t="n">
        <f aca="false">SUMIF($C$2:$F$2,EOMONTH(CX$2,-1)+1,$C140:$F140)*VLOOKUP(CX$2,ProyDia[],8,0)</f>
        <v>0</v>
      </c>
      <c r="CY140" s="36" t="n">
        <f aca="false">SUMIF($C$2:$F$2,EOMONTH(CY$2,-1)+1,$C140:$F140)*VLOOKUP(CY$2,ProyDia[],8,0)</f>
        <v>0</v>
      </c>
      <c r="CZ140" s="36" t="n">
        <f aca="false">SUMIF($C$2:$F$2,EOMONTH(CZ$2,-1)+1,$C140:$F140)*VLOOKUP(CZ$2,ProyDia[],8,0)</f>
        <v>0</v>
      </c>
      <c r="DA140" s="36" t="n">
        <f aca="false">SUMIF($C$2:$F$2,EOMONTH(DA$2,-1)+1,$C140:$F140)*VLOOKUP(DA$2,ProyDia[],8,0)</f>
        <v>0</v>
      </c>
      <c r="DB140" s="36" t="n">
        <f aca="false">SUMIF($C$2:$F$2,EOMONTH(DB$2,-1)+1,$C140:$F140)*VLOOKUP(DB$2,ProyDia[],8,0)</f>
        <v>0</v>
      </c>
      <c r="DC140" s="36" t="n">
        <f aca="false">SUMIF($C$2:$F$2,EOMONTH(DC$2,-1)+1,$C140:$F140)*VLOOKUP(DC$2,ProyDia[],8,0)</f>
        <v>0</v>
      </c>
      <c r="DD140" s="36" t="n">
        <f aca="false">SUMIF($C$2:$F$2,EOMONTH(DD$2,-1)+1,$C140:$F140)*VLOOKUP(DD$2,ProyDia[],8,0)</f>
        <v>0</v>
      </c>
      <c r="DE140" s="36" t="n">
        <f aca="false">SUMIF($C$2:$F$2,EOMONTH(DE$2,-1)+1,$C140:$F140)*VLOOKUP(DE$2,ProyDia[],8,0)</f>
        <v>0</v>
      </c>
      <c r="DF140" s="36" t="n">
        <f aca="false">SUMIF($C$2:$F$2,EOMONTH(DF$2,-1)+1,$C140:$F140)*VLOOKUP(DF$2,ProyDia[],8,0)</f>
        <v>0</v>
      </c>
      <c r="DG140" s="36" t="n">
        <f aca="false">SUMIF($C$2:$F$2,EOMONTH(DG$2,-1)+1,$C140:$F140)*VLOOKUP(DG$2,ProyDia[],8,0)</f>
        <v>0</v>
      </c>
      <c r="DH140" s="36" t="n">
        <f aca="false">SUMIF($C$2:$F$2,EOMONTH(DH$2,-1)+1,$C140:$F140)*VLOOKUP(DH$2,ProyDia[],8,0)</f>
        <v>0</v>
      </c>
      <c r="DI140" s="36" t="n">
        <f aca="false">SUMIF($C$2:$F$2,EOMONTH(DI$2,-1)+1,$C140:$F140)*VLOOKUP(DI$2,ProyDia[],8,0)</f>
        <v>0</v>
      </c>
      <c r="DJ140" s="36" t="n">
        <f aca="false">SUMIF($C$2:$F$2,EOMONTH(DJ$2,-1)+1,$C140:$F140)*VLOOKUP(DJ$2,ProyDia[],8,0)</f>
        <v>0</v>
      </c>
      <c r="DK140" s="36" t="n">
        <f aca="false">SUMIF($C$2:$F$2,EOMONTH(DK$2,-1)+1,$C140:$F140)*VLOOKUP(DK$2,ProyDia[],8,0)</f>
        <v>0</v>
      </c>
      <c r="DL140" s="36" t="n">
        <f aca="false">SUMIF($C$2:$F$2,EOMONTH(DL$2,-1)+1,$C140:$F140)*VLOOKUP(DL$2,ProyDia[],8,0)</f>
        <v>0</v>
      </c>
      <c r="DM140" s="36" t="n">
        <f aca="false">SUMIF($C$2:$F$2,EOMONTH(DM$2,-1)+1,$C140:$F140)*VLOOKUP(DM$2,ProyDia[],8,0)</f>
        <v>0</v>
      </c>
      <c r="DN140" s="36" t="n">
        <f aca="false">SUMIF($C$2:$F$2,EOMONTH(DN$2,-1)+1,$C140:$F140)*VLOOKUP(DN$2,ProyDia[],8,0)</f>
        <v>0</v>
      </c>
      <c r="DO140" s="36" t="n">
        <f aca="false">SUMIF($C$2:$F$2,EOMONTH(DO$2,-1)+1,$C140:$F140)*VLOOKUP(DO$2,ProyDia[],8,0)</f>
        <v>0</v>
      </c>
      <c r="DP140" s="36" t="n">
        <f aca="false">SUMIF($C$2:$F$2,EOMONTH(DP$2,-1)+1,$C140:$F140)*VLOOKUP(DP$2,ProyDia[],8,0)</f>
        <v>0</v>
      </c>
      <c r="DQ140" s="36" t="n">
        <f aca="false">SUMIF($C$2:$F$2,EOMONTH(DQ$2,-1)+1,$C140:$F140)*VLOOKUP(DQ$2,ProyDia[],8,0)</f>
        <v>0</v>
      </c>
      <c r="DR140" s="36" t="n">
        <f aca="false">SUMIF($C$2:$F$2,EOMONTH(DR$2,-1)+1,$C140:$F140)*VLOOKUP(DR$2,ProyDia[],8,0)</f>
        <v>0</v>
      </c>
      <c r="DS140" s="36" t="n">
        <f aca="false">SUMIF($C$2:$F$2,EOMONTH(DS$2,-1)+1,$C140:$F140)*VLOOKUP(DS$2,ProyDia[],8,0)</f>
        <v>0</v>
      </c>
      <c r="DT140" s="36" t="n">
        <f aca="false">SUMIF($C$2:$F$2,EOMONTH(DT$2,-1)+1,$C140:$F140)*VLOOKUP(DT$2,ProyDia[],8,0)</f>
        <v>0</v>
      </c>
      <c r="DU140" s="36" t="n">
        <f aca="false">SUMIF($C$2:$F$2,EOMONTH(DU$2,-1)+1,$C140:$F140)*VLOOKUP(DU$2,ProyDia[],8,0)</f>
        <v>0</v>
      </c>
      <c r="DV140" s="36" t="n">
        <f aca="false">SUMIF($C$2:$F$2,EOMONTH(DV$2,-1)+1,$C140:$F140)*VLOOKUP(DV$2,ProyDia[],8,0)</f>
        <v>0</v>
      </c>
      <c r="DW140" s="36" t="n">
        <f aca="false">SUMIF($C$2:$F$2,EOMONTH(DW$2,-1)+1,$C140:$F140)*VLOOKUP(DW$2,ProyDia[],8,0)</f>
        <v>0</v>
      </c>
      <c r="DX140" s="36" t="n">
        <f aca="false">SUMIF($C$2:$F$2,EOMONTH(DX$2,-1)+1,$C140:$F140)*VLOOKUP(DX$2,ProyDia[],8,0)</f>
        <v>0</v>
      </c>
    </row>
    <row r="141" customFormat="false" ht="14.4" hidden="false" customHeight="false" outlineLevel="0" collapsed="false">
      <c r="A141" s="34"/>
      <c r="B141" s="34"/>
      <c r="C141" s="34"/>
      <c r="D141" s="34"/>
      <c r="E141" s="34"/>
      <c r="F141" s="34"/>
      <c r="G141" s="28" t="n">
        <f aca="false">SUMIF($C$2:$F$2,EOMONTH(G$2,-1)+1,$C141:$F141)*VLOOKUP(G$2,ProyDia[],8,0)</f>
        <v>0</v>
      </c>
      <c r="H141" s="28" t="n">
        <f aca="false">SUMIF($C$2:$F$2,EOMONTH(H$2,-1)+1,$C141:$F141)*VLOOKUP(H$2,ProyDia[],8,0)</f>
        <v>0</v>
      </c>
      <c r="I141" s="28" t="n">
        <f aca="false">SUMIF($C$2:$F$2,EOMONTH(I$2,-1)+1,$C141:$F141)*VLOOKUP(I$2,ProyDia[],8,0)</f>
        <v>0</v>
      </c>
      <c r="J141" s="28" t="n">
        <f aca="false">SUMIF($C$2:$F$2,EOMONTH(J$2,-1)+1,$C141:$F141)*VLOOKUP(J$2,ProyDia[],8,0)</f>
        <v>0</v>
      </c>
      <c r="K141" s="28" t="n">
        <f aca="false">SUMIF($C$2:$F$2,EOMONTH(K$2,-1)+1,$C141:$F141)*VLOOKUP(K$2,ProyDia[],8,0)</f>
        <v>0</v>
      </c>
      <c r="L141" s="28" t="n">
        <f aca="false">SUMIF($C$2:$F$2,EOMONTH(L$2,-1)+1,$C141:$F141)*VLOOKUP(L$2,ProyDia[],8,0)</f>
        <v>0</v>
      </c>
      <c r="M141" s="28" t="n">
        <f aca="false">SUMIF($C$2:$F$2,EOMONTH(M$2,-1)+1,$C141:$F141)*VLOOKUP(M$2,ProyDia[],8,0)</f>
        <v>0</v>
      </c>
      <c r="N141" s="28" t="n">
        <f aca="false">SUMIF($C$2:$F$2,EOMONTH(N$2,-1)+1,$C141:$F141)*VLOOKUP(N$2,ProyDia[],8,0)</f>
        <v>0</v>
      </c>
      <c r="O141" s="28" t="n">
        <f aca="false">SUMIF($C$2:$F$2,EOMONTH(O$2,-1)+1,$C141:$F141)*VLOOKUP(O$2,ProyDia[],8,0)</f>
        <v>0</v>
      </c>
      <c r="P141" s="28" t="n">
        <f aca="false">SUMIF($C$2:$F$2,EOMONTH(P$2,-1)+1,$C141:$F141)*VLOOKUP(P$2,ProyDia[],8,0)</f>
        <v>0</v>
      </c>
      <c r="Q141" s="28" t="n">
        <f aca="false">SUMIF($C$2:$F$2,EOMONTH(Q$2,-1)+1,$C141:$F141)*VLOOKUP(Q$2,ProyDia[],8,0)</f>
        <v>0</v>
      </c>
      <c r="R141" s="28" t="n">
        <f aca="false">SUMIF($C$2:$F$2,EOMONTH(R$2,-1)+1,$C141:$F141)*VLOOKUP(R$2,ProyDia[],8,0)</f>
        <v>0</v>
      </c>
      <c r="S141" s="28" t="n">
        <f aca="false">SUMIF($C$2:$F$2,EOMONTH(S$2,-1)+1,$C141:$F141)*VLOOKUP(S$2,ProyDia[],8,0)</f>
        <v>0</v>
      </c>
      <c r="T141" s="28" t="n">
        <f aca="false">SUMIF($C$2:$F$2,EOMONTH(T$2,-1)+1,$C141:$F141)*VLOOKUP(T$2,ProyDia[],8,0)</f>
        <v>0</v>
      </c>
      <c r="U141" s="28" t="n">
        <f aca="false">SUMIF($C$2:$F$2,EOMONTH(U$2,-1)+1,$C141:$F141)*VLOOKUP(U$2,ProyDia[],8,0)</f>
        <v>0</v>
      </c>
      <c r="V141" s="28" t="n">
        <f aca="false">SUMIF($C$2:$F$2,EOMONTH(V$2,-1)+1,$C141:$F141)*VLOOKUP(V$2,ProyDia[],8,0)</f>
        <v>0</v>
      </c>
      <c r="W141" s="28" t="n">
        <f aca="false">SUMIF($C$2:$F$2,EOMONTH(W$2,-1)+1,$C141:$F141)*VLOOKUP(W$2,ProyDia[],8,0)</f>
        <v>0</v>
      </c>
      <c r="X141" s="28" t="n">
        <f aca="false">SUMIF($C$2:$F$2,EOMONTH(X$2,-1)+1,$C141:$F141)*VLOOKUP(X$2,ProyDia[],8,0)</f>
        <v>0</v>
      </c>
      <c r="Y141" s="28" t="n">
        <f aca="false">SUMIF($C$2:$F$2,EOMONTH(Y$2,-1)+1,$C141:$F141)*VLOOKUP(Y$2,ProyDia[],8,0)</f>
        <v>0</v>
      </c>
      <c r="Z141" s="28" t="n">
        <f aca="false">SUMIF($C$2:$F$2,EOMONTH(Z$2,-1)+1,$C141:$F141)*VLOOKUP(Z$2,ProyDia[],8,0)</f>
        <v>0</v>
      </c>
      <c r="AA141" s="28" t="n">
        <f aca="false">SUMIF($C$2:$F$2,EOMONTH(AA$2,-1)+1,$C141:$F141)*VLOOKUP(AA$2,ProyDia[],8,0)</f>
        <v>0</v>
      </c>
      <c r="AB141" s="28" t="n">
        <f aca="false">SUMIF($C$2:$F$2,EOMONTH(AB$2,-1)+1,$C141:$F141)*VLOOKUP(AB$2,ProyDia[],8,0)</f>
        <v>0</v>
      </c>
      <c r="AC141" s="28" t="n">
        <f aca="false">SUMIF($C$2:$F$2,EOMONTH(AC$2,-1)+1,$C141:$F141)*VLOOKUP(AC$2,ProyDia[],8,0)</f>
        <v>0</v>
      </c>
      <c r="AD141" s="28" t="n">
        <f aca="false">SUMIF($C$2:$F$2,EOMONTH(AD$2,-1)+1,$C141:$F141)*VLOOKUP(AD$2,ProyDia[],8,0)</f>
        <v>0</v>
      </c>
      <c r="AE141" s="28" t="n">
        <f aca="false">SUMIF($C$2:$F$2,EOMONTH(AE$2,-1)+1,$C141:$F141)*VLOOKUP(AE$2,ProyDia[],8,0)</f>
        <v>0</v>
      </c>
      <c r="AF141" s="28" t="n">
        <f aca="false">SUMIF($C$2:$F$2,EOMONTH(AF$2,-1)+1,$C141:$F141)*VLOOKUP(AF$2,ProyDia[],8,0)</f>
        <v>0</v>
      </c>
      <c r="AG141" s="28" t="n">
        <f aca="false">SUMIF($C$2:$F$2,EOMONTH(AG$2,-1)+1,$C141:$F141)*VLOOKUP(AG$2,ProyDia[],8,0)</f>
        <v>0</v>
      </c>
      <c r="AH141" s="28" t="n">
        <f aca="false">SUMIF($C$2:$F$2,EOMONTH(AH$2,-1)+1,$C141:$F141)*VLOOKUP(AH$2,ProyDia[],8,0)</f>
        <v>0</v>
      </c>
      <c r="AI141" s="28" t="n">
        <f aca="false">SUMIF($C$2:$F$2,EOMONTH(AI$2,-1)+1,$C141:$F141)*VLOOKUP(AI$2,ProyDia[],8,0)</f>
        <v>0</v>
      </c>
      <c r="AJ141" s="28" t="n">
        <f aca="false">SUMIF($C$2:$F$2,EOMONTH(AJ$2,-1)+1,$C141:$F141)*VLOOKUP(AJ$2,ProyDia[],8,0)</f>
        <v>0</v>
      </c>
      <c r="AK141" s="28" t="n">
        <f aca="false">SUMIF($C$2:$F$2,EOMONTH(AK$2,-1)+1,$C141:$F141)*VLOOKUP(AK$2,ProyDia[],8,0)</f>
        <v>0</v>
      </c>
      <c r="AL141" s="28" t="n">
        <f aca="false">SUMIF($C$2:$F$2,EOMONTH(AL$2,-1)+1,$C141:$F141)*VLOOKUP(AL$2,ProyDia[],8,0)</f>
        <v>0</v>
      </c>
      <c r="AM141" s="28" t="n">
        <f aca="false">SUMIF($C$2:$F$2,EOMONTH(AM$2,-1)+1,$C141:$F141)*VLOOKUP(AM$2,ProyDia[],8,0)</f>
        <v>0</v>
      </c>
      <c r="AN141" s="28" t="n">
        <f aca="false">SUMIF($C$2:$F$2,EOMONTH(AN$2,-1)+1,$C141:$F141)*VLOOKUP(AN$2,ProyDia[],8,0)</f>
        <v>0</v>
      </c>
      <c r="AO141" s="28" t="n">
        <f aca="false">SUMIF($C$2:$F$2,EOMONTH(AO$2,-1)+1,$C141:$F141)*VLOOKUP(AO$2,ProyDia[],8,0)</f>
        <v>0</v>
      </c>
      <c r="AP141" s="28" t="n">
        <f aca="false">SUMIF($C$2:$F$2,EOMONTH(AP$2,-1)+1,$C141:$F141)*VLOOKUP(AP$2,ProyDia[],8,0)</f>
        <v>0</v>
      </c>
      <c r="AQ141" s="28" t="n">
        <f aca="false">SUMIF($C$2:$F$2,EOMONTH(AQ$2,-1)+1,$C141:$F141)*VLOOKUP(AQ$2,ProyDia[],8,0)</f>
        <v>0</v>
      </c>
      <c r="AR141" s="28" t="n">
        <f aca="false">SUMIF($C$2:$F$2,EOMONTH(AR$2,-1)+1,$C141:$F141)*VLOOKUP(AR$2,ProyDia[],8,0)</f>
        <v>0</v>
      </c>
      <c r="AS141" s="28" t="n">
        <f aca="false">SUMIF($C$2:$F$2,EOMONTH(AS$2,-1)+1,$C141:$F141)*VLOOKUP(AS$2,ProyDia[],8,0)</f>
        <v>0</v>
      </c>
      <c r="AT141" s="28" t="n">
        <f aca="false">SUMIF($C$2:$F$2,EOMONTH(AT$2,-1)+1,$C141:$F141)*VLOOKUP(AT$2,ProyDia[],8,0)</f>
        <v>0</v>
      </c>
      <c r="AU141" s="28" t="n">
        <f aca="false">SUMIF($C$2:$F$2,EOMONTH(AU$2,-1)+1,$C141:$F141)*VLOOKUP(AU$2,ProyDia[],8,0)</f>
        <v>0</v>
      </c>
      <c r="AV141" s="28" t="n">
        <f aca="false">SUMIF($C$2:$F$2,EOMONTH(AV$2,-1)+1,$C141:$F141)*VLOOKUP(AV$2,ProyDia[],8,0)</f>
        <v>0</v>
      </c>
      <c r="AW141" s="28" t="n">
        <f aca="false">SUMIF($C$2:$F$2,EOMONTH(AW$2,-1)+1,$C141:$F141)*VLOOKUP(AW$2,ProyDia[],8,0)</f>
        <v>0</v>
      </c>
      <c r="AX141" s="28" t="n">
        <f aca="false">SUMIF($C$2:$F$2,EOMONTH(AX$2,-1)+1,$C141:$F141)*VLOOKUP(AX$2,ProyDia[],8,0)</f>
        <v>0</v>
      </c>
      <c r="AY141" s="28" t="n">
        <f aca="false">SUMIF($C$2:$F$2,EOMONTH(AY$2,-1)+1,$C141:$F141)*VLOOKUP(AY$2,ProyDia[],8,0)</f>
        <v>0</v>
      </c>
      <c r="AZ141" s="28" t="n">
        <f aca="false">SUMIF($C$2:$F$2,EOMONTH(AZ$2,-1)+1,$C141:$F141)*VLOOKUP(AZ$2,ProyDia[],8,0)</f>
        <v>0</v>
      </c>
      <c r="BA141" s="28" t="n">
        <f aca="false">SUMIF($C$2:$F$2,EOMONTH(BA$2,-1)+1,$C141:$F141)*VLOOKUP(BA$2,ProyDia[],8,0)</f>
        <v>0</v>
      </c>
      <c r="BB141" s="28" t="n">
        <f aca="false">SUMIF($C$2:$F$2,EOMONTH(BB$2,-1)+1,$C141:$F141)*VLOOKUP(BB$2,ProyDia[],8,0)</f>
        <v>0</v>
      </c>
      <c r="BC141" s="28" t="n">
        <f aca="false">SUMIF($C$2:$F$2,EOMONTH(BC$2,-1)+1,$C141:$F141)*VLOOKUP(BC$2,ProyDia[],8,0)</f>
        <v>0</v>
      </c>
      <c r="BD141" s="28" t="n">
        <f aca="false">SUMIF($C$2:$F$2,EOMONTH(BD$2,-1)+1,$C141:$F141)*VLOOKUP(BD$2,ProyDia[],8,0)</f>
        <v>0</v>
      </c>
      <c r="BE141" s="28" t="n">
        <f aca="false">SUMIF($C$2:$F$2,EOMONTH(BE$2,-1)+1,$C141:$F141)*VLOOKUP(BE$2,ProyDia[],8,0)</f>
        <v>0</v>
      </c>
      <c r="BF141" s="28" t="n">
        <f aca="false">SUMIF($C$2:$F$2,EOMONTH(BF$2,-1)+1,$C141:$F141)*VLOOKUP(BF$2,ProyDia[],8,0)</f>
        <v>0</v>
      </c>
      <c r="BG141" s="28" t="n">
        <f aca="false">SUMIF($C$2:$F$2,EOMONTH(BG$2,-1)+1,$C141:$F141)*VLOOKUP(BG$2,ProyDia[],8,0)</f>
        <v>0</v>
      </c>
      <c r="BH141" s="28" t="n">
        <f aca="false">SUMIF($C$2:$F$2,EOMONTH(BH$2,-1)+1,$C141:$F141)*VLOOKUP(BH$2,ProyDia[],8,0)</f>
        <v>0</v>
      </c>
      <c r="BI141" s="28" t="n">
        <f aca="false">SUMIF($C$2:$F$2,EOMONTH(BI$2,-1)+1,$C141:$F141)*VLOOKUP(BI$2,ProyDia[],8,0)</f>
        <v>0</v>
      </c>
      <c r="BJ141" s="28" t="n">
        <f aca="false">SUMIF($C$2:$F$2,EOMONTH(BJ$2,-1)+1,$C141:$F141)*VLOOKUP(BJ$2,ProyDia[],8,0)</f>
        <v>0</v>
      </c>
      <c r="BK141" s="28" t="n">
        <f aca="false">SUMIF($C$2:$F$2,EOMONTH(BK$2,-1)+1,$C141:$F141)*VLOOKUP(BK$2,ProyDia[],8,0)</f>
        <v>0</v>
      </c>
      <c r="BL141" s="28" t="n">
        <f aca="false">SUMIF($C$2:$F$2,EOMONTH(BL$2,-1)+1,$C141:$F141)*VLOOKUP(BL$2,ProyDia[],8,0)</f>
        <v>0</v>
      </c>
      <c r="BM141" s="28" t="n">
        <f aca="false">SUMIF($C$2:$F$2,EOMONTH(BM$2,-1)+1,$C141:$F141)*VLOOKUP(BM$2,ProyDia[],8,0)</f>
        <v>0</v>
      </c>
      <c r="BN141" s="28" t="n">
        <f aca="false">SUMIF($C$2:$F$2,EOMONTH(BN$2,-1)+1,$C141:$F141)*VLOOKUP(BN$2,ProyDia[],8,0)</f>
        <v>0</v>
      </c>
      <c r="BO141" s="28" t="n">
        <f aca="false">SUMIF($C$2:$F$2,EOMONTH(BO$2,-1)+1,$C141:$F141)*VLOOKUP(BO$2,ProyDia[],8,0)</f>
        <v>0</v>
      </c>
      <c r="BP141" s="28" t="n">
        <f aca="false">SUMIF($C$2:$F$2,EOMONTH(BP$2,-1)+1,$C141:$F141)*VLOOKUP(BP$2,ProyDia[],8,0)</f>
        <v>0</v>
      </c>
      <c r="BQ141" s="28" t="n">
        <f aca="false">SUMIF($C$2:$F$2,EOMONTH(BQ$2,-1)+1,$C141:$F141)*VLOOKUP(BQ$2,ProyDia[],8,0)</f>
        <v>0</v>
      </c>
      <c r="BR141" s="28" t="n">
        <f aca="false">SUMIF($C$2:$F$2,EOMONTH(BR$2,-1)+1,$C141:$F141)*VLOOKUP(BR$2,ProyDia[],8,0)</f>
        <v>0</v>
      </c>
      <c r="BS141" s="28" t="n">
        <f aca="false">SUMIF($C$2:$F$2,EOMONTH(BS$2,-1)+1,$C141:$F141)*VLOOKUP(BS$2,ProyDia[],8,0)</f>
        <v>0</v>
      </c>
      <c r="BT141" s="28" t="n">
        <f aca="false">SUMIF($C$2:$F$2,EOMONTH(BT$2,-1)+1,$C141:$F141)*VLOOKUP(BT$2,ProyDia[],8,0)</f>
        <v>0</v>
      </c>
      <c r="BU141" s="28" t="n">
        <f aca="false">SUMIF($C$2:$F$2,EOMONTH(BU$2,-1)+1,$C141:$F141)*VLOOKUP(BU$2,ProyDia[],8,0)</f>
        <v>0</v>
      </c>
      <c r="BV141" s="28" t="n">
        <f aca="false">SUMIF($C$2:$F$2,EOMONTH(BV$2,-1)+1,$C141:$F141)*VLOOKUP(BV$2,ProyDia[],8,0)</f>
        <v>0</v>
      </c>
      <c r="BW141" s="28" t="n">
        <f aca="false">SUMIF($C$2:$F$2,EOMONTH(BW$2,-1)+1,$C141:$F141)*VLOOKUP(BW$2,ProyDia[],8,0)</f>
        <v>0</v>
      </c>
      <c r="BX141" s="28" t="n">
        <f aca="false">SUMIF($C$2:$F$2,EOMONTH(BX$2,-1)+1,$C141:$F141)*VLOOKUP(BX$2,ProyDia[],8,0)</f>
        <v>0</v>
      </c>
      <c r="BY141" s="28" t="n">
        <f aca="false">SUMIF($C$2:$F$2,EOMONTH(BY$2,-1)+1,$C141:$F141)*VLOOKUP(BY$2,ProyDia[],8,0)</f>
        <v>0</v>
      </c>
      <c r="BZ141" s="28" t="n">
        <f aca="false">SUMIF($C$2:$F$2,EOMONTH(BZ$2,-1)+1,$C141:$F141)*VLOOKUP(BZ$2,ProyDia[],8,0)</f>
        <v>0</v>
      </c>
      <c r="CA141" s="28" t="n">
        <f aca="false">SUMIF($C$2:$F$2,EOMONTH(CA$2,-1)+1,$C141:$F141)*VLOOKUP(CA$2,ProyDia[],8,0)</f>
        <v>0</v>
      </c>
      <c r="CB141" s="28" t="n">
        <f aca="false">SUMIF($C$2:$F$2,EOMONTH(CB$2,-1)+1,$C141:$F141)*VLOOKUP(CB$2,ProyDia[],8,0)</f>
        <v>0</v>
      </c>
      <c r="CC141" s="28" t="n">
        <f aca="false">SUMIF($C$2:$F$2,EOMONTH(CC$2,-1)+1,$C141:$F141)*VLOOKUP(CC$2,ProyDia[],8,0)</f>
        <v>0</v>
      </c>
      <c r="CD141" s="28" t="n">
        <f aca="false">SUMIF($C$2:$F$2,EOMONTH(CD$2,-1)+1,$C141:$F141)*VLOOKUP(CD$2,ProyDia[],8,0)</f>
        <v>0</v>
      </c>
      <c r="CE141" s="28" t="n">
        <f aca="false">SUMIF($C$2:$F$2,EOMONTH(CE$2,-1)+1,$C141:$F141)*VLOOKUP(CE$2,ProyDia[],8,0)</f>
        <v>0</v>
      </c>
      <c r="CF141" s="28" t="n">
        <f aca="false">SUMIF($C$2:$F$2,EOMONTH(CF$2,-1)+1,$C141:$F141)*VLOOKUP(CF$2,ProyDia[],8,0)</f>
        <v>0</v>
      </c>
      <c r="CG141" s="28" t="n">
        <f aca="false">SUMIF($C$2:$F$2,EOMONTH(CG$2,-1)+1,$C141:$F141)*VLOOKUP(CG$2,ProyDia[],8,0)</f>
        <v>0</v>
      </c>
      <c r="CH141" s="28" t="n">
        <f aca="false">SUMIF($C$2:$F$2,EOMONTH(CH$2,-1)+1,$C141:$F141)*VLOOKUP(CH$2,ProyDia[],8,0)</f>
        <v>0</v>
      </c>
      <c r="CI141" s="28" t="n">
        <f aca="false">SUMIF($C$2:$F$2,EOMONTH(CI$2,-1)+1,$C141:$F141)*VLOOKUP(CI$2,ProyDia[],8,0)</f>
        <v>0</v>
      </c>
      <c r="CJ141" s="28" t="n">
        <f aca="false">SUMIF($C$2:$F$2,EOMONTH(CJ$2,-1)+1,$C141:$F141)*VLOOKUP(CJ$2,ProyDia[],8,0)</f>
        <v>0</v>
      </c>
      <c r="CK141" s="28" t="n">
        <f aca="false">SUMIF($C$2:$F$2,EOMONTH(CK$2,-1)+1,$C141:$F141)*VLOOKUP(CK$2,ProyDia[],8,0)</f>
        <v>0</v>
      </c>
      <c r="CL141" s="28" t="n">
        <f aca="false">SUMIF($C$2:$F$2,EOMONTH(CL$2,-1)+1,$C141:$F141)*VLOOKUP(CL$2,ProyDia[],8,0)</f>
        <v>0</v>
      </c>
      <c r="CM141" s="28" t="n">
        <f aca="false">SUMIF($C$2:$F$2,EOMONTH(CM$2,-1)+1,$C141:$F141)*VLOOKUP(CM$2,ProyDia[],8,0)</f>
        <v>0</v>
      </c>
      <c r="CN141" s="28" t="n">
        <f aca="false">SUMIF($C$2:$F$2,EOMONTH(CN$2,-1)+1,$C141:$F141)*VLOOKUP(CN$2,ProyDia[],8,0)</f>
        <v>0</v>
      </c>
      <c r="CO141" s="28" t="n">
        <f aca="false">SUMIF($C$2:$F$2,EOMONTH(CO$2,-1)+1,$C141:$F141)*VLOOKUP(CO$2,ProyDia[],8,0)</f>
        <v>0</v>
      </c>
      <c r="CP141" s="28" t="n">
        <f aca="false">SUMIF($C$2:$F$2,EOMONTH(CP$2,-1)+1,$C141:$F141)*VLOOKUP(CP$2,ProyDia[],8,0)</f>
        <v>0</v>
      </c>
      <c r="CQ141" s="28" t="n">
        <f aca="false">SUMIF($C$2:$F$2,EOMONTH(CQ$2,-1)+1,$C141:$F141)*VLOOKUP(CQ$2,ProyDia[],8,0)</f>
        <v>0</v>
      </c>
      <c r="CR141" s="28" t="n">
        <f aca="false">SUMIF($C$2:$F$2,EOMONTH(CR$2,-1)+1,$C141:$F141)*VLOOKUP(CR$2,ProyDia[],8,0)</f>
        <v>0</v>
      </c>
      <c r="CS141" s="28" t="n">
        <f aca="false">SUMIF($C$2:$F$2,EOMONTH(CS$2,-1)+1,$C141:$F141)*VLOOKUP(CS$2,ProyDia[],8,0)</f>
        <v>0</v>
      </c>
      <c r="CT141" s="28" t="n">
        <f aca="false">SUMIF($C$2:$F$2,EOMONTH(CT$2,-1)+1,$C141:$F141)*VLOOKUP(CT$2,ProyDia[],8,0)</f>
        <v>0</v>
      </c>
      <c r="CU141" s="28" t="n">
        <f aca="false">SUMIF($C$2:$F$2,EOMONTH(CU$2,-1)+1,$C141:$F141)*VLOOKUP(CU$2,ProyDia[],8,0)</f>
        <v>0</v>
      </c>
      <c r="CV141" s="28" t="n">
        <f aca="false">SUMIF($C$2:$F$2,EOMONTH(CV$2,-1)+1,$C141:$F141)*VLOOKUP(CV$2,ProyDia[],8,0)</f>
        <v>0</v>
      </c>
      <c r="CW141" s="28" t="n">
        <f aca="false">SUMIF($C$2:$F$2,EOMONTH(CW$2,-1)+1,$C141:$F141)*VLOOKUP(CW$2,ProyDia[],8,0)</f>
        <v>0</v>
      </c>
      <c r="CX141" s="28" t="n">
        <f aca="false">SUMIF($C$2:$F$2,EOMONTH(CX$2,-1)+1,$C141:$F141)*VLOOKUP(CX$2,ProyDia[],8,0)</f>
        <v>0</v>
      </c>
      <c r="CY141" s="28" t="n">
        <f aca="false">SUMIF($C$2:$F$2,EOMONTH(CY$2,-1)+1,$C141:$F141)*VLOOKUP(CY$2,ProyDia[],8,0)</f>
        <v>0</v>
      </c>
      <c r="CZ141" s="28" t="n">
        <f aca="false">SUMIF($C$2:$F$2,EOMONTH(CZ$2,-1)+1,$C141:$F141)*VLOOKUP(CZ$2,ProyDia[],8,0)</f>
        <v>0</v>
      </c>
      <c r="DA141" s="28" t="n">
        <f aca="false">SUMIF($C$2:$F$2,EOMONTH(DA$2,-1)+1,$C141:$F141)*VLOOKUP(DA$2,ProyDia[],8,0)</f>
        <v>0</v>
      </c>
      <c r="DB141" s="28" t="n">
        <f aca="false">SUMIF($C$2:$F$2,EOMONTH(DB$2,-1)+1,$C141:$F141)*VLOOKUP(DB$2,ProyDia[],8,0)</f>
        <v>0</v>
      </c>
      <c r="DC141" s="28" t="n">
        <f aca="false">SUMIF($C$2:$F$2,EOMONTH(DC$2,-1)+1,$C141:$F141)*VLOOKUP(DC$2,ProyDia[],8,0)</f>
        <v>0</v>
      </c>
      <c r="DD141" s="28" t="n">
        <f aca="false">SUMIF($C$2:$F$2,EOMONTH(DD$2,-1)+1,$C141:$F141)*VLOOKUP(DD$2,ProyDia[],8,0)</f>
        <v>0</v>
      </c>
      <c r="DE141" s="28" t="n">
        <f aca="false">SUMIF($C$2:$F$2,EOMONTH(DE$2,-1)+1,$C141:$F141)*VLOOKUP(DE$2,ProyDia[],8,0)</f>
        <v>0</v>
      </c>
      <c r="DF141" s="28" t="n">
        <f aca="false">SUMIF($C$2:$F$2,EOMONTH(DF$2,-1)+1,$C141:$F141)*VLOOKUP(DF$2,ProyDia[],8,0)</f>
        <v>0</v>
      </c>
      <c r="DG141" s="28" t="n">
        <f aca="false">SUMIF($C$2:$F$2,EOMONTH(DG$2,-1)+1,$C141:$F141)*VLOOKUP(DG$2,ProyDia[],8,0)</f>
        <v>0</v>
      </c>
      <c r="DH141" s="28" t="n">
        <f aca="false">SUMIF($C$2:$F$2,EOMONTH(DH$2,-1)+1,$C141:$F141)*VLOOKUP(DH$2,ProyDia[],8,0)</f>
        <v>0</v>
      </c>
      <c r="DI141" s="28" t="n">
        <f aca="false">SUMIF($C$2:$F$2,EOMONTH(DI$2,-1)+1,$C141:$F141)*VLOOKUP(DI$2,ProyDia[],8,0)</f>
        <v>0</v>
      </c>
      <c r="DJ141" s="28" t="n">
        <f aca="false">SUMIF($C$2:$F$2,EOMONTH(DJ$2,-1)+1,$C141:$F141)*VLOOKUP(DJ$2,ProyDia[],8,0)</f>
        <v>0</v>
      </c>
      <c r="DK141" s="28" t="n">
        <f aca="false">SUMIF($C$2:$F$2,EOMONTH(DK$2,-1)+1,$C141:$F141)*VLOOKUP(DK$2,ProyDia[],8,0)</f>
        <v>0</v>
      </c>
      <c r="DL141" s="28" t="n">
        <f aca="false">SUMIF($C$2:$F$2,EOMONTH(DL$2,-1)+1,$C141:$F141)*VLOOKUP(DL$2,ProyDia[],8,0)</f>
        <v>0</v>
      </c>
      <c r="DM141" s="28" t="n">
        <f aca="false">SUMIF($C$2:$F$2,EOMONTH(DM$2,-1)+1,$C141:$F141)*VLOOKUP(DM$2,ProyDia[],8,0)</f>
        <v>0</v>
      </c>
      <c r="DN141" s="28" t="n">
        <f aca="false">SUMIF($C$2:$F$2,EOMONTH(DN$2,-1)+1,$C141:$F141)*VLOOKUP(DN$2,ProyDia[],8,0)</f>
        <v>0</v>
      </c>
      <c r="DO141" s="28" t="n">
        <f aca="false">SUMIF($C$2:$F$2,EOMONTH(DO$2,-1)+1,$C141:$F141)*VLOOKUP(DO$2,ProyDia[],8,0)</f>
        <v>0</v>
      </c>
      <c r="DP141" s="28" t="n">
        <f aca="false">SUMIF($C$2:$F$2,EOMONTH(DP$2,-1)+1,$C141:$F141)*VLOOKUP(DP$2,ProyDia[],8,0)</f>
        <v>0</v>
      </c>
      <c r="DQ141" s="28" t="n">
        <f aca="false">SUMIF($C$2:$F$2,EOMONTH(DQ$2,-1)+1,$C141:$F141)*VLOOKUP(DQ$2,ProyDia[],8,0)</f>
        <v>0</v>
      </c>
      <c r="DR141" s="28" t="n">
        <f aca="false">SUMIF($C$2:$F$2,EOMONTH(DR$2,-1)+1,$C141:$F141)*VLOOKUP(DR$2,ProyDia[],8,0)</f>
        <v>0</v>
      </c>
      <c r="DS141" s="28" t="n">
        <f aca="false">SUMIF($C$2:$F$2,EOMONTH(DS$2,-1)+1,$C141:$F141)*VLOOKUP(DS$2,ProyDia[],8,0)</f>
        <v>0</v>
      </c>
      <c r="DT141" s="28" t="n">
        <f aca="false">SUMIF($C$2:$F$2,EOMONTH(DT$2,-1)+1,$C141:$F141)*VLOOKUP(DT$2,ProyDia[],8,0)</f>
        <v>0</v>
      </c>
      <c r="DU141" s="28" t="n">
        <f aca="false">SUMIF($C$2:$F$2,EOMONTH(DU$2,-1)+1,$C141:$F141)*VLOOKUP(DU$2,ProyDia[],8,0)</f>
        <v>0</v>
      </c>
      <c r="DV141" s="28" t="n">
        <f aca="false">SUMIF($C$2:$F$2,EOMONTH(DV$2,-1)+1,$C141:$F141)*VLOOKUP(DV$2,ProyDia[],8,0)</f>
        <v>0</v>
      </c>
      <c r="DW141" s="28" t="n">
        <f aca="false">SUMIF($C$2:$F$2,EOMONTH(DW$2,-1)+1,$C141:$F141)*VLOOKUP(DW$2,ProyDia[],8,0)</f>
        <v>0</v>
      </c>
      <c r="DX141" s="28" t="n">
        <f aca="false">SUMIF($C$2:$F$2,EOMONTH(DX$2,-1)+1,$C141:$F141)*VLOOKUP(DX$2,ProyDia[],8,0)</f>
        <v>0</v>
      </c>
    </row>
    <row r="142" customFormat="false" ht="14.4" hidden="false" customHeight="false" outlineLevel="0" collapsed="false">
      <c r="A142" s="35"/>
      <c r="B142" s="35"/>
      <c r="C142" s="35"/>
      <c r="D142" s="35"/>
      <c r="E142" s="35"/>
      <c r="F142" s="35"/>
      <c r="G142" s="36" t="n">
        <f aca="false">SUMIF($C$2:$F$2,EOMONTH(G$2,-1)+1,$C142:$F142)*VLOOKUP(G$2,ProyDia[],8,0)</f>
        <v>0</v>
      </c>
      <c r="H142" s="36" t="n">
        <f aca="false">SUMIF($C$2:$F$2,EOMONTH(H$2,-1)+1,$C142:$F142)*VLOOKUP(H$2,ProyDia[],8,0)</f>
        <v>0</v>
      </c>
      <c r="I142" s="36" t="n">
        <f aca="false">SUMIF($C$2:$F$2,EOMONTH(I$2,-1)+1,$C142:$F142)*VLOOKUP(I$2,ProyDia[],8,0)</f>
        <v>0</v>
      </c>
      <c r="J142" s="36" t="n">
        <f aca="false">SUMIF($C$2:$F$2,EOMONTH(J$2,-1)+1,$C142:$F142)*VLOOKUP(J$2,ProyDia[],8,0)</f>
        <v>0</v>
      </c>
      <c r="K142" s="36" t="n">
        <f aca="false">SUMIF($C$2:$F$2,EOMONTH(K$2,-1)+1,$C142:$F142)*VLOOKUP(K$2,ProyDia[],8,0)</f>
        <v>0</v>
      </c>
      <c r="L142" s="36" t="n">
        <f aca="false">SUMIF($C$2:$F$2,EOMONTH(L$2,-1)+1,$C142:$F142)*VLOOKUP(L$2,ProyDia[],8,0)</f>
        <v>0</v>
      </c>
      <c r="M142" s="36" t="n">
        <f aca="false">SUMIF($C$2:$F$2,EOMONTH(M$2,-1)+1,$C142:$F142)*VLOOKUP(M$2,ProyDia[],8,0)</f>
        <v>0</v>
      </c>
      <c r="N142" s="36" t="n">
        <f aca="false">SUMIF($C$2:$F$2,EOMONTH(N$2,-1)+1,$C142:$F142)*VLOOKUP(N$2,ProyDia[],8,0)</f>
        <v>0</v>
      </c>
      <c r="O142" s="36" t="n">
        <f aca="false">SUMIF($C$2:$F$2,EOMONTH(O$2,-1)+1,$C142:$F142)*VLOOKUP(O$2,ProyDia[],8,0)</f>
        <v>0</v>
      </c>
      <c r="P142" s="36" t="n">
        <f aca="false">SUMIF($C$2:$F$2,EOMONTH(P$2,-1)+1,$C142:$F142)*VLOOKUP(P$2,ProyDia[],8,0)</f>
        <v>0</v>
      </c>
      <c r="Q142" s="36" t="n">
        <f aca="false">SUMIF($C$2:$F$2,EOMONTH(Q$2,-1)+1,$C142:$F142)*VLOOKUP(Q$2,ProyDia[],8,0)</f>
        <v>0</v>
      </c>
      <c r="R142" s="36" t="n">
        <f aca="false">SUMIF($C$2:$F$2,EOMONTH(R$2,-1)+1,$C142:$F142)*VLOOKUP(R$2,ProyDia[],8,0)</f>
        <v>0</v>
      </c>
      <c r="S142" s="36" t="n">
        <f aca="false">SUMIF($C$2:$F$2,EOMONTH(S$2,-1)+1,$C142:$F142)*VLOOKUP(S$2,ProyDia[],8,0)</f>
        <v>0</v>
      </c>
      <c r="T142" s="36" t="n">
        <f aca="false">SUMIF($C$2:$F$2,EOMONTH(T$2,-1)+1,$C142:$F142)*VLOOKUP(T$2,ProyDia[],8,0)</f>
        <v>0</v>
      </c>
      <c r="U142" s="36" t="n">
        <f aca="false">SUMIF($C$2:$F$2,EOMONTH(U$2,-1)+1,$C142:$F142)*VLOOKUP(U$2,ProyDia[],8,0)</f>
        <v>0</v>
      </c>
      <c r="V142" s="36" t="n">
        <f aca="false">SUMIF($C$2:$F$2,EOMONTH(V$2,-1)+1,$C142:$F142)*VLOOKUP(V$2,ProyDia[],8,0)</f>
        <v>0</v>
      </c>
      <c r="W142" s="36" t="n">
        <f aca="false">SUMIF($C$2:$F$2,EOMONTH(W$2,-1)+1,$C142:$F142)*VLOOKUP(W$2,ProyDia[],8,0)</f>
        <v>0</v>
      </c>
      <c r="X142" s="36" t="n">
        <f aca="false">SUMIF($C$2:$F$2,EOMONTH(X$2,-1)+1,$C142:$F142)*VLOOKUP(X$2,ProyDia[],8,0)</f>
        <v>0</v>
      </c>
      <c r="Y142" s="36" t="n">
        <f aca="false">SUMIF($C$2:$F$2,EOMONTH(Y$2,-1)+1,$C142:$F142)*VLOOKUP(Y$2,ProyDia[],8,0)</f>
        <v>0</v>
      </c>
      <c r="Z142" s="36" t="n">
        <f aca="false">SUMIF($C$2:$F$2,EOMONTH(Z$2,-1)+1,$C142:$F142)*VLOOKUP(Z$2,ProyDia[],8,0)</f>
        <v>0</v>
      </c>
      <c r="AA142" s="36" t="n">
        <f aca="false">SUMIF($C$2:$F$2,EOMONTH(AA$2,-1)+1,$C142:$F142)*VLOOKUP(AA$2,ProyDia[],8,0)</f>
        <v>0</v>
      </c>
      <c r="AB142" s="36" t="n">
        <f aca="false">SUMIF($C$2:$F$2,EOMONTH(AB$2,-1)+1,$C142:$F142)*VLOOKUP(AB$2,ProyDia[],8,0)</f>
        <v>0</v>
      </c>
      <c r="AC142" s="36" t="n">
        <f aca="false">SUMIF($C$2:$F$2,EOMONTH(AC$2,-1)+1,$C142:$F142)*VLOOKUP(AC$2,ProyDia[],8,0)</f>
        <v>0</v>
      </c>
      <c r="AD142" s="36" t="n">
        <f aca="false">SUMIF($C$2:$F$2,EOMONTH(AD$2,-1)+1,$C142:$F142)*VLOOKUP(AD$2,ProyDia[],8,0)</f>
        <v>0</v>
      </c>
      <c r="AE142" s="36" t="n">
        <f aca="false">SUMIF($C$2:$F$2,EOMONTH(AE$2,-1)+1,$C142:$F142)*VLOOKUP(AE$2,ProyDia[],8,0)</f>
        <v>0</v>
      </c>
      <c r="AF142" s="36" t="n">
        <f aca="false">SUMIF($C$2:$F$2,EOMONTH(AF$2,-1)+1,$C142:$F142)*VLOOKUP(AF$2,ProyDia[],8,0)</f>
        <v>0</v>
      </c>
      <c r="AG142" s="36" t="n">
        <f aca="false">SUMIF($C$2:$F$2,EOMONTH(AG$2,-1)+1,$C142:$F142)*VLOOKUP(AG$2,ProyDia[],8,0)</f>
        <v>0</v>
      </c>
      <c r="AH142" s="36" t="n">
        <f aca="false">SUMIF($C$2:$F$2,EOMONTH(AH$2,-1)+1,$C142:$F142)*VLOOKUP(AH$2,ProyDia[],8,0)</f>
        <v>0</v>
      </c>
      <c r="AI142" s="36" t="n">
        <f aca="false">SUMIF($C$2:$F$2,EOMONTH(AI$2,-1)+1,$C142:$F142)*VLOOKUP(AI$2,ProyDia[],8,0)</f>
        <v>0</v>
      </c>
      <c r="AJ142" s="36" t="n">
        <f aca="false">SUMIF($C$2:$F$2,EOMONTH(AJ$2,-1)+1,$C142:$F142)*VLOOKUP(AJ$2,ProyDia[],8,0)</f>
        <v>0</v>
      </c>
      <c r="AK142" s="36" t="n">
        <f aca="false">SUMIF($C$2:$F$2,EOMONTH(AK$2,-1)+1,$C142:$F142)*VLOOKUP(AK$2,ProyDia[],8,0)</f>
        <v>0</v>
      </c>
      <c r="AL142" s="36" t="n">
        <f aca="false">SUMIF($C$2:$F$2,EOMONTH(AL$2,-1)+1,$C142:$F142)*VLOOKUP(AL$2,ProyDia[],8,0)</f>
        <v>0</v>
      </c>
      <c r="AM142" s="36" t="n">
        <f aca="false">SUMIF($C$2:$F$2,EOMONTH(AM$2,-1)+1,$C142:$F142)*VLOOKUP(AM$2,ProyDia[],8,0)</f>
        <v>0</v>
      </c>
      <c r="AN142" s="36" t="n">
        <f aca="false">SUMIF($C$2:$F$2,EOMONTH(AN$2,-1)+1,$C142:$F142)*VLOOKUP(AN$2,ProyDia[],8,0)</f>
        <v>0</v>
      </c>
      <c r="AO142" s="36" t="n">
        <f aca="false">SUMIF($C$2:$F$2,EOMONTH(AO$2,-1)+1,$C142:$F142)*VLOOKUP(AO$2,ProyDia[],8,0)</f>
        <v>0</v>
      </c>
      <c r="AP142" s="36" t="n">
        <f aca="false">SUMIF($C$2:$F$2,EOMONTH(AP$2,-1)+1,$C142:$F142)*VLOOKUP(AP$2,ProyDia[],8,0)</f>
        <v>0</v>
      </c>
      <c r="AQ142" s="36" t="n">
        <f aca="false">SUMIF($C$2:$F$2,EOMONTH(AQ$2,-1)+1,$C142:$F142)*VLOOKUP(AQ$2,ProyDia[],8,0)</f>
        <v>0</v>
      </c>
      <c r="AR142" s="36" t="n">
        <f aca="false">SUMIF($C$2:$F$2,EOMONTH(AR$2,-1)+1,$C142:$F142)*VLOOKUP(AR$2,ProyDia[],8,0)</f>
        <v>0</v>
      </c>
      <c r="AS142" s="36" t="n">
        <f aca="false">SUMIF($C$2:$F$2,EOMONTH(AS$2,-1)+1,$C142:$F142)*VLOOKUP(AS$2,ProyDia[],8,0)</f>
        <v>0</v>
      </c>
      <c r="AT142" s="36" t="n">
        <f aca="false">SUMIF($C$2:$F$2,EOMONTH(AT$2,-1)+1,$C142:$F142)*VLOOKUP(AT$2,ProyDia[],8,0)</f>
        <v>0</v>
      </c>
      <c r="AU142" s="36" t="n">
        <f aca="false">SUMIF($C$2:$F$2,EOMONTH(AU$2,-1)+1,$C142:$F142)*VLOOKUP(AU$2,ProyDia[],8,0)</f>
        <v>0</v>
      </c>
      <c r="AV142" s="36" t="n">
        <f aca="false">SUMIF($C$2:$F$2,EOMONTH(AV$2,-1)+1,$C142:$F142)*VLOOKUP(AV$2,ProyDia[],8,0)</f>
        <v>0</v>
      </c>
      <c r="AW142" s="36" t="n">
        <f aca="false">SUMIF($C$2:$F$2,EOMONTH(AW$2,-1)+1,$C142:$F142)*VLOOKUP(AW$2,ProyDia[],8,0)</f>
        <v>0</v>
      </c>
      <c r="AX142" s="36" t="n">
        <f aca="false">SUMIF($C$2:$F$2,EOMONTH(AX$2,-1)+1,$C142:$F142)*VLOOKUP(AX$2,ProyDia[],8,0)</f>
        <v>0</v>
      </c>
      <c r="AY142" s="36" t="n">
        <f aca="false">SUMIF($C$2:$F$2,EOMONTH(AY$2,-1)+1,$C142:$F142)*VLOOKUP(AY$2,ProyDia[],8,0)</f>
        <v>0</v>
      </c>
      <c r="AZ142" s="36" t="n">
        <f aca="false">SUMIF($C$2:$F$2,EOMONTH(AZ$2,-1)+1,$C142:$F142)*VLOOKUP(AZ$2,ProyDia[],8,0)</f>
        <v>0</v>
      </c>
      <c r="BA142" s="36" t="n">
        <f aca="false">SUMIF($C$2:$F$2,EOMONTH(BA$2,-1)+1,$C142:$F142)*VLOOKUP(BA$2,ProyDia[],8,0)</f>
        <v>0</v>
      </c>
      <c r="BB142" s="36" t="n">
        <f aca="false">SUMIF($C$2:$F$2,EOMONTH(BB$2,-1)+1,$C142:$F142)*VLOOKUP(BB$2,ProyDia[],8,0)</f>
        <v>0</v>
      </c>
      <c r="BC142" s="36" t="n">
        <f aca="false">SUMIF($C$2:$F$2,EOMONTH(BC$2,-1)+1,$C142:$F142)*VLOOKUP(BC$2,ProyDia[],8,0)</f>
        <v>0</v>
      </c>
      <c r="BD142" s="36" t="n">
        <f aca="false">SUMIF($C$2:$F$2,EOMONTH(BD$2,-1)+1,$C142:$F142)*VLOOKUP(BD$2,ProyDia[],8,0)</f>
        <v>0</v>
      </c>
      <c r="BE142" s="36" t="n">
        <f aca="false">SUMIF($C$2:$F$2,EOMONTH(BE$2,-1)+1,$C142:$F142)*VLOOKUP(BE$2,ProyDia[],8,0)</f>
        <v>0</v>
      </c>
      <c r="BF142" s="36" t="n">
        <f aca="false">SUMIF($C$2:$F$2,EOMONTH(BF$2,-1)+1,$C142:$F142)*VLOOKUP(BF$2,ProyDia[],8,0)</f>
        <v>0</v>
      </c>
      <c r="BG142" s="36" t="n">
        <f aca="false">SUMIF($C$2:$F$2,EOMONTH(BG$2,-1)+1,$C142:$F142)*VLOOKUP(BG$2,ProyDia[],8,0)</f>
        <v>0</v>
      </c>
      <c r="BH142" s="36" t="n">
        <f aca="false">SUMIF($C$2:$F$2,EOMONTH(BH$2,-1)+1,$C142:$F142)*VLOOKUP(BH$2,ProyDia[],8,0)</f>
        <v>0</v>
      </c>
      <c r="BI142" s="36" t="n">
        <f aca="false">SUMIF($C$2:$F$2,EOMONTH(BI$2,-1)+1,$C142:$F142)*VLOOKUP(BI$2,ProyDia[],8,0)</f>
        <v>0</v>
      </c>
      <c r="BJ142" s="36" t="n">
        <f aca="false">SUMIF($C$2:$F$2,EOMONTH(BJ$2,-1)+1,$C142:$F142)*VLOOKUP(BJ$2,ProyDia[],8,0)</f>
        <v>0</v>
      </c>
      <c r="BK142" s="36" t="n">
        <f aca="false">SUMIF($C$2:$F$2,EOMONTH(BK$2,-1)+1,$C142:$F142)*VLOOKUP(BK$2,ProyDia[],8,0)</f>
        <v>0</v>
      </c>
      <c r="BL142" s="36" t="n">
        <f aca="false">SUMIF($C$2:$F$2,EOMONTH(BL$2,-1)+1,$C142:$F142)*VLOOKUP(BL$2,ProyDia[],8,0)</f>
        <v>0</v>
      </c>
      <c r="BM142" s="36" t="n">
        <f aca="false">SUMIF($C$2:$F$2,EOMONTH(BM$2,-1)+1,$C142:$F142)*VLOOKUP(BM$2,ProyDia[],8,0)</f>
        <v>0</v>
      </c>
      <c r="BN142" s="36" t="n">
        <f aca="false">SUMIF($C$2:$F$2,EOMONTH(BN$2,-1)+1,$C142:$F142)*VLOOKUP(BN$2,ProyDia[],8,0)</f>
        <v>0</v>
      </c>
      <c r="BO142" s="36" t="n">
        <f aca="false">SUMIF($C$2:$F$2,EOMONTH(BO$2,-1)+1,$C142:$F142)*VLOOKUP(BO$2,ProyDia[],8,0)</f>
        <v>0</v>
      </c>
      <c r="BP142" s="36" t="n">
        <f aca="false">SUMIF($C$2:$F$2,EOMONTH(BP$2,-1)+1,$C142:$F142)*VLOOKUP(BP$2,ProyDia[],8,0)</f>
        <v>0</v>
      </c>
      <c r="BQ142" s="36" t="n">
        <f aca="false">SUMIF($C$2:$F$2,EOMONTH(BQ$2,-1)+1,$C142:$F142)*VLOOKUP(BQ$2,ProyDia[],8,0)</f>
        <v>0</v>
      </c>
      <c r="BR142" s="36" t="n">
        <f aca="false">SUMIF($C$2:$F$2,EOMONTH(BR$2,-1)+1,$C142:$F142)*VLOOKUP(BR$2,ProyDia[],8,0)</f>
        <v>0</v>
      </c>
      <c r="BS142" s="36" t="n">
        <f aca="false">SUMIF($C$2:$F$2,EOMONTH(BS$2,-1)+1,$C142:$F142)*VLOOKUP(BS$2,ProyDia[],8,0)</f>
        <v>0</v>
      </c>
      <c r="BT142" s="36" t="n">
        <f aca="false">SUMIF($C$2:$F$2,EOMONTH(BT$2,-1)+1,$C142:$F142)*VLOOKUP(BT$2,ProyDia[],8,0)</f>
        <v>0</v>
      </c>
      <c r="BU142" s="36" t="n">
        <f aca="false">SUMIF($C$2:$F$2,EOMONTH(BU$2,-1)+1,$C142:$F142)*VLOOKUP(BU$2,ProyDia[],8,0)</f>
        <v>0</v>
      </c>
      <c r="BV142" s="36" t="n">
        <f aca="false">SUMIF($C$2:$F$2,EOMONTH(BV$2,-1)+1,$C142:$F142)*VLOOKUP(BV$2,ProyDia[],8,0)</f>
        <v>0</v>
      </c>
      <c r="BW142" s="36" t="n">
        <f aca="false">SUMIF($C$2:$F$2,EOMONTH(BW$2,-1)+1,$C142:$F142)*VLOOKUP(BW$2,ProyDia[],8,0)</f>
        <v>0</v>
      </c>
      <c r="BX142" s="36" t="n">
        <f aca="false">SUMIF($C$2:$F$2,EOMONTH(BX$2,-1)+1,$C142:$F142)*VLOOKUP(BX$2,ProyDia[],8,0)</f>
        <v>0</v>
      </c>
      <c r="BY142" s="36" t="n">
        <f aca="false">SUMIF($C$2:$F$2,EOMONTH(BY$2,-1)+1,$C142:$F142)*VLOOKUP(BY$2,ProyDia[],8,0)</f>
        <v>0</v>
      </c>
      <c r="BZ142" s="36" t="n">
        <f aca="false">SUMIF($C$2:$F$2,EOMONTH(BZ$2,-1)+1,$C142:$F142)*VLOOKUP(BZ$2,ProyDia[],8,0)</f>
        <v>0</v>
      </c>
      <c r="CA142" s="36" t="n">
        <f aca="false">SUMIF($C$2:$F$2,EOMONTH(CA$2,-1)+1,$C142:$F142)*VLOOKUP(CA$2,ProyDia[],8,0)</f>
        <v>0</v>
      </c>
      <c r="CB142" s="36" t="n">
        <f aca="false">SUMIF($C$2:$F$2,EOMONTH(CB$2,-1)+1,$C142:$F142)*VLOOKUP(CB$2,ProyDia[],8,0)</f>
        <v>0</v>
      </c>
      <c r="CC142" s="36" t="n">
        <f aca="false">SUMIF($C$2:$F$2,EOMONTH(CC$2,-1)+1,$C142:$F142)*VLOOKUP(CC$2,ProyDia[],8,0)</f>
        <v>0</v>
      </c>
      <c r="CD142" s="36" t="n">
        <f aca="false">SUMIF($C$2:$F$2,EOMONTH(CD$2,-1)+1,$C142:$F142)*VLOOKUP(CD$2,ProyDia[],8,0)</f>
        <v>0</v>
      </c>
      <c r="CE142" s="36" t="n">
        <f aca="false">SUMIF($C$2:$F$2,EOMONTH(CE$2,-1)+1,$C142:$F142)*VLOOKUP(CE$2,ProyDia[],8,0)</f>
        <v>0</v>
      </c>
      <c r="CF142" s="36" t="n">
        <f aca="false">SUMIF($C$2:$F$2,EOMONTH(CF$2,-1)+1,$C142:$F142)*VLOOKUP(CF$2,ProyDia[],8,0)</f>
        <v>0</v>
      </c>
      <c r="CG142" s="36" t="n">
        <f aca="false">SUMIF($C$2:$F$2,EOMONTH(CG$2,-1)+1,$C142:$F142)*VLOOKUP(CG$2,ProyDia[],8,0)</f>
        <v>0</v>
      </c>
      <c r="CH142" s="36" t="n">
        <f aca="false">SUMIF($C$2:$F$2,EOMONTH(CH$2,-1)+1,$C142:$F142)*VLOOKUP(CH$2,ProyDia[],8,0)</f>
        <v>0</v>
      </c>
      <c r="CI142" s="36" t="n">
        <f aca="false">SUMIF($C$2:$F$2,EOMONTH(CI$2,-1)+1,$C142:$F142)*VLOOKUP(CI$2,ProyDia[],8,0)</f>
        <v>0</v>
      </c>
      <c r="CJ142" s="36" t="n">
        <f aca="false">SUMIF($C$2:$F$2,EOMONTH(CJ$2,-1)+1,$C142:$F142)*VLOOKUP(CJ$2,ProyDia[],8,0)</f>
        <v>0</v>
      </c>
      <c r="CK142" s="36" t="n">
        <f aca="false">SUMIF($C$2:$F$2,EOMONTH(CK$2,-1)+1,$C142:$F142)*VLOOKUP(CK$2,ProyDia[],8,0)</f>
        <v>0</v>
      </c>
      <c r="CL142" s="36" t="n">
        <f aca="false">SUMIF($C$2:$F$2,EOMONTH(CL$2,-1)+1,$C142:$F142)*VLOOKUP(CL$2,ProyDia[],8,0)</f>
        <v>0</v>
      </c>
      <c r="CM142" s="36" t="n">
        <f aca="false">SUMIF($C$2:$F$2,EOMONTH(CM$2,-1)+1,$C142:$F142)*VLOOKUP(CM$2,ProyDia[],8,0)</f>
        <v>0</v>
      </c>
      <c r="CN142" s="36" t="n">
        <f aca="false">SUMIF($C$2:$F$2,EOMONTH(CN$2,-1)+1,$C142:$F142)*VLOOKUP(CN$2,ProyDia[],8,0)</f>
        <v>0</v>
      </c>
      <c r="CO142" s="36" t="n">
        <f aca="false">SUMIF($C$2:$F$2,EOMONTH(CO$2,-1)+1,$C142:$F142)*VLOOKUP(CO$2,ProyDia[],8,0)</f>
        <v>0</v>
      </c>
      <c r="CP142" s="36" t="n">
        <f aca="false">SUMIF($C$2:$F$2,EOMONTH(CP$2,-1)+1,$C142:$F142)*VLOOKUP(CP$2,ProyDia[],8,0)</f>
        <v>0</v>
      </c>
      <c r="CQ142" s="36" t="n">
        <f aca="false">SUMIF($C$2:$F$2,EOMONTH(CQ$2,-1)+1,$C142:$F142)*VLOOKUP(CQ$2,ProyDia[],8,0)</f>
        <v>0</v>
      </c>
      <c r="CR142" s="36" t="n">
        <f aca="false">SUMIF($C$2:$F$2,EOMONTH(CR$2,-1)+1,$C142:$F142)*VLOOKUP(CR$2,ProyDia[],8,0)</f>
        <v>0</v>
      </c>
      <c r="CS142" s="36" t="n">
        <f aca="false">SUMIF($C$2:$F$2,EOMONTH(CS$2,-1)+1,$C142:$F142)*VLOOKUP(CS$2,ProyDia[],8,0)</f>
        <v>0</v>
      </c>
      <c r="CT142" s="36" t="n">
        <f aca="false">SUMIF($C$2:$F$2,EOMONTH(CT$2,-1)+1,$C142:$F142)*VLOOKUP(CT$2,ProyDia[],8,0)</f>
        <v>0</v>
      </c>
      <c r="CU142" s="36" t="n">
        <f aca="false">SUMIF($C$2:$F$2,EOMONTH(CU$2,-1)+1,$C142:$F142)*VLOOKUP(CU$2,ProyDia[],8,0)</f>
        <v>0</v>
      </c>
      <c r="CV142" s="36" t="n">
        <f aca="false">SUMIF($C$2:$F$2,EOMONTH(CV$2,-1)+1,$C142:$F142)*VLOOKUP(CV$2,ProyDia[],8,0)</f>
        <v>0</v>
      </c>
      <c r="CW142" s="36" t="n">
        <f aca="false">SUMIF($C$2:$F$2,EOMONTH(CW$2,-1)+1,$C142:$F142)*VLOOKUP(CW$2,ProyDia[],8,0)</f>
        <v>0</v>
      </c>
      <c r="CX142" s="36" t="n">
        <f aca="false">SUMIF($C$2:$F$2,EOMONTH(CX$2,-1)+1,$C142:$F142)*VLOOKUP(CX$2,ProyDia[],8,0)</f>
        <v>0</v>
      </c>
      <c r="CY142" s="36" t="n">
        <f aca="false">SUMIF($C$2:$F$2,EOMONTH(CY$2,-1)+1,$C142:$F142)*VLOOKUP(CY$2,ProyDia[],8,0)</f>
        <v>0</v>
      </c>
      <c r="CZ142" s="36" t="n">
        <f aca="false">SUMIF($C$2:$F$2,EOMONTH(CZ$2,-1)+1,$C142:$F142)*VLOOKUP(CZ$2,ProyDia[],8,0)</f>
        <v>0</v>
      </c>
      <c r="DA142" s="36" t="n">
        <f aca="false">SUMIF($C$2:$F$2,EOMONTH(DA$2,-1)+1,$C142:$F142)*VLOOKUP(DA$2,ProyDia[],8,0)</f>
        <v>0</v>
      </c>
      <c r="DB142" s="36" t="n">
        <f aca="false">SUMIF($C$2:$F$2,EOMONTH(DB$2,-1)+1,$C142:$F142)*VLOOKUP(DB$2,ProyDia[],8,0)</f>
        <v>0</v>
      </c>
      <c r="DC142" s="36" t="n">
        <f aca="false">SUMIF($C$2:$F$2,EOMONTH(DC$2,-1)+1,$C142:$F142)*VLOOKUP(DC$2,ProyDia[],8,0)</f>
        <v>0</v>
      </c>
      <c r="DD142" s="36" t="n">
        <f aca="false">SUMIF($C$2:$F$2,EOMONTH(DD$2,-1)+1,$C142:$F142)*VLOOKUP(DD$2,ProyDia[],8,0)</f>
        <v>0</v>
      </c>
      <c r="DE142" s="36" t="n">
        <f aca="false">SUMIF($C$2:$F$2,EOMONTH(DE$2,-1)+1,$C142:$F142)*VLOOKUP(DE$2,ProyDia[],8,0)</f>
        <v>0</v>
      </c>
      <c r="DF142" s="36" t="n">
        <f aca="false">SUMIF($C$2:$F$2,EOMONTH(DF$2,-1)+1,$C142:$F142)*VLOOKUP(DF$2,ProyDia[],8,0)</f>
        <v>0</v>
      </c>
      <c r="DG142" s="36" t="n">
        <f aca="false">SUMIF($C$2:$F$2,EOMONTH(DG$2,-1)+1,$C142:$F142)*VLOOKUP(DG$2,ProyDia[],8,0)</f>
        <v>0</v>
      </c>
      <c r="DH142" s="36" t="n">
        <f aca="false">SUMIF($C$2:$F$2,EOMONTH(DH$2,-1)+1,$C142:$F142)*VLOOKUP(DH$2,ProyDia[],8,0)</f>
        <v>0</v>
      </c>
      <c r="DI142" s="36" t="n">
        <f aca="false">SUMIF($C$2:$F$2,EOMONTH(DI$2,-1)+1,$C142:$F142)*VLOOKUP(DI$2,ProyDia[],8,0)</f>
        <v>0</v>
      </c>
      <c r="DJ142" s="36" t="n">
        <f aca="false">SUMIF($C$2:$F$2,EOMONTH(DJ$2,-1)+1,$C142:$F142)*VLOOKUP(DJ$2,ProyDia[],8,0)</f>
        <v>0</v>
      </c>
      <c r="DK142" s="36" t="n">
        <f aca="false">SUMIF($C$2:$F$2,EOMONTH(DK$2,-1)+1,$C142:$F142)*VLOOKUP(DK$2,ProyDia[],8,0)</f>
        <v>0</v>
      </c>
      <c r="DL142" s="36" t="n">
        <f aca="false">SUMIF($C$2:$F$2,EOMONTH(DL$2,-1)+1,$C142:$F142)*VLOOKUP(DL$2,ProyDia[],8,0)</f>
        <v>0</v>
      </c>
      <c r="DM142" s="36" t="n">
        <f aca="false">SUMIF($C$2:$F$2,EOMONTH(DM$2,-1)+1,$C142:$F142)*VLOOKUP(DM$2,ProyDia[],8,0)</f>
        <v>0</v>
      </c>
      <c r="DN142" s="36" t="n">
        <f aca="false">SUMIF($C$2:$F$2,EOMONTH(DN$2,-1)+1,$C142:$F142)*VLOOKUP(DN$2,ProyDia[],8,0)</f>
        <v>0</v>
      </c>
      <c r="DO142" s="36" t="n">
        <f aca="false">SUMIF($C$2:$F$2,EOMONTH(DO$2,-1)+1,$C142:$F142)*VLOOKUP(DO$2,ProyDia[],8,0)</f>
        <v>0</v>
      </c>
      <c r="DP142" s="36" t="n">
        <f aca="false">SUMIF($C$2:$F$2,EOMONTH(DP$2,-1)+1,$C142:$F142)*VLOOKUP(DP$2,ProyDia[],8,0)</f>
        <v>0</v>
      </c>
      <c r="DQ142" s="36" t="n">
        <f aca="false">SUMIF($C$2:$F$2,EOMONTH(DQ$2,-1)+1,$C142:$F142)*VLOOKUP(DQ$2,ProyDia[],8,0)</f>
        <v>0</v>
      </c>
      <c r="DR142" s="36" t="n">
        <f aca="false">SUMIF($C$2:$F$2,EOMONTH(DR$2,-1)+1,$C142:$F142)*VLOOKUP(DR$2,ProyDia[],8,0)</f>
        <v>0</v>
      </c>
      <c r="DS142" s="36" t="n">
        <f aca="false">SUMIF($C$2:$F$2,EOMONTH(DS$2,-1)+1,$C142:$F142)*VLOOKUP(DS$2,ProyDia[],8,0)</f>
        <v>0</v>
      </c>
      <c r="DT142" s="36" t="n">
        <f aca="false">SUMIF($C$2:$F$2,EOMONTH(DT$2,-1)+1,$C142:$F142)*VLOOKUP(DT$2,ProyDia[],8,0)</f>
        <v>0</v>
      </c>
      <c r="DU142" s="36" t="n">
        <f aca="false">SUMIF($C$2:$F$2,EOMONTH(DU$2,-1)+1,$C142:$F142)*VLOOKUP(DU$2,ProyDia[],8,0)</f>
        <v>0</v>
      </c>
      <c r="DV142" s="36" t="n">
        <f aca="false">SUMIF($C$2:$F$2,EOMONTH(DV$2,-1)+1,$C142:$F142)*VLOOKUP(DV$2,ProyDia[],8,0)</f>
        <v>0</v>
      </c>
      <c r="DW142" s="36" t="n">
        <f aca="false">SUMIF($C$2:$F$2,EOMONTH(DW$2,-1)+1,$C142:$F142)*VLOOKUP(DW$2,ProyDia[],8,0)</f>
        <v>0</v>
      </c>
      <c r="DX142" s="36" t="n">
        <f aca="false">SUMIF($C$2:$F$2,EOMONTH(DX$2,-1)+1,$C142:$F142)*VLOOKUP(DX$2,ProyDia[],8,0)</f>
        <v>0</v>
      </c>
    </row>
    <row r="143" customFormat="false" ht="14.4" hidden="false" customHeight="false" outlineLevel="0" collapsed="false">
      <c r="A143" s="34"/>
      <c r="B143" s="34"/>
      <c r="C143" s="34"/>
      <c r="D143" s="34"/>
      <c r="E143" s="34"/>
      <c r="F143" s="34"/>
      <c r="G143" s="28" t="n">
        <f aca="false">SUMIF($C$2:$F$2,EOMONTH(G$2,-1)+1,$C143:$F143)*VLOOKUP(G$2,ProyDia[],8,0)</f>
        <v>0</v>
      </c>
      <c r="H143" s="28" t="n">
        <f aca="false">SUMIF($C$2:$F$2,EOMONTH(H$2,-1)+1,$C143:$F143)*VLOOKUP(H$2,ProyDia[],8,0)</f>
        <v>0</v>
      </c>
      <c r="I143" s="28" t="n">
        <f aca="false">SUMIF($C$2:$F$2,EOMONTH(I$2,-1)+1,$C143:$F143)*VLOOKUP(I$2,ProyDia[],8,0)</f>
        <v>0</v>
      </c>
      <c r="J143" s="28" t="n">
        <f aca="false">SUMIF($C$2:$F$2,EOMONTH(J$2,-1)+1,$C143:$F143)*VLOOKUP(J$2,ProyDia[],8,0)</f>
        <v>0</v>
      </c>
      <c r="K143" s="28" t="n">
        <f aca="false">SUMIF($C$2:$F$2,EOMONTH(K$2,-1)+1,$C143:$F143)*VLOOKUP(K$2,ProyDia[],8,0)</f>
        <v>0</v>
      </c>
      <c r="L143" s="28" t="n">
        <f aca="false">SUMIF($C$2:$F$2,EOMONTH(L$2,-1)+1,$C143:$F143)*VLOOKUP(L$2,ProyDia[],8,0)</f>
        <v>0</v>
      </c>
      <c r="M143" s="28" t="n">
        <f aca="false">SUMIF($C$2:$F$2,EOMONTH(M$2,-1)+1,$C143:$F143)*VLOOKUP(M$2,ProyDia[],8,0)</f>
        <v>0</v>
      </c>
      <c r="N143" s="28" t="n">
        <f aca="false">SUMIF($C$2:$F$2,EOMONTH(N$2,-1)+1,$C143:$F143)*VLOOKUP(N$2,ProyDia[],8,0)</f>
        <v>0</v>
      </c>
      <c r="O143" s="28" t="n">
        <f aca="false">SUMIF($C$2:$F$2,EOMONTH(O$2,-1)+1,$C143:$F143)*VLOOKUP(O$2,ProyDia[],8,0)</f>
        <v>0</v>
      </c>
      <c r="P143" s="28" t="n">
        <f aca="false">SUMIF($C$2:$F$2,EOMONTH(P$2,-1)+1,$C143:$F143)*VLOOKUP(P$2,ProyDia[],8,0)</f>
        <v>0</v>
      </c>
      <c r="Q143" s="28" t="n">
        <f aca="false">SUMIF($C$2:$F$2,EOMONTH(Q$2,-1)+1,$C143:$F143)*VLOOKUP(Q$2,ProyDia[],8,0)</f>
        <v>0</v>
      </c>
      <c r="R143" s="28" t="n">
        <f aca="false">SUMIF($C$2:$F$2,EOMONTH(R$2,-1)+1,$C143:$F143)*VLOOKUP(R$2,ProyDia[],8,0)</f>
        <v>0</v>
      </c>
      <c r="S143" s="28" t="n">
        <f aca="false">SUMIF($C$2:$F$2,EOMONTH(S$2,-1)+1,$C143:$F143)*VLOOKUP(S$2,ProyDia[],8,0)</f>
        <v>0</v>
      </c>
      <c r="T143" s="28" t="n">
        <f aca="false">SUMIF($C$2:$F$2,EOMONTH(T$2,-1)+1,$C143:$F143)*VLOOKUP(T$2,ProyDia[],8,0)</f>
        <v>0</v>
      </c>
      <c r="U143" s="28" t="n">
        <f aca="false">SUMIF($C$2:$F$2,EOMONTH(U$2,-1)+1,$C143:$F143)*VLOOKUP(U$2,ProyDia[],8,0)</f>
        <v>0</v>
      </c>
      <c r="V143" s="28" t="n">
        <f aca="false">SUMIF($C$2:$F$2,EOMONTH(V$2,-1)+1,$C143:$F143)*VLOOKUP(V$2,ProyDia[],8,0)</f>
        <v>0</v>
      </c>
      <c r="W143" s="28" t="n">
        <f aca="false">SUMIF($C$2:$F$2,EOMONTH(W$2,-1)+1,$C143:$F143)*VLOOKUP(W$2,ProyDia[],8,0)</f>
        <v>0</v>
      </c>
      <c r="X143" s="28" t="n">
        <f aca="false">SUMIF($C$2:$F$2,EOMONTH(X$2,-1)+1,$C143:$F143)*VLOOKUP(X$2,ProyDia[],8,0)</f>
        <v>0</v>
      </c>
      <c r="Y143" s="28" t="n">
        <f aca="false">SUMIF($C$2:$F$2,EOMONTH(Y$2,-1)+1,$C143:$F143)*VLOOKUP(Y$2,ProyDia[],8,0)</f>
        <v>0</v>
      </c>
      <c r="Z143" s="28" t="n">
        <f aca="false">SUMIF($C$2:$F$2,EOMONTH(Z$2,-1)+1,$C143:$F143)*VLOOKUP(Z$2,ProyDia[],8,0)</f>
        <v>0</v>
      </c>
      <c r="AA143" s="28" t="n">
        <f aca="false">SUMIF($C$2:$F$2,EOMONTH(AA$2,-1)+1,$C143:$F143)*VLOOKUP(AA$2,ProyDia[],8,0)</f>
        <v>0</v>
      </c>
      <c r="AB143" s="28" t="n">
        <f aca="false">SUMIF($C$2:$F$2,EOMONTH(AB$2,-1)+1,$C143:$F143)*VLOOKUP(AB$2,ProyDia[],8,0)</f>
        <v>0</v>
      </c>
      <c r="AC143" s="28" t="n">
        <f aca="false">SUMIF($C$2:$F$2,EOMONTH(AC$2,-1)+1,$C143:$F143)*VLOOKUP(AC$2,ProyDia[],8,0)</f>
        <v>0</v>
      </c>
      <c r="AD143" s="28" t="n">
        <f aca="false">SUMIF($C$2:$F$2,EOMONTH(AD$2,-1)+1,$C143:$F143)*VLOOKUP(AD$2,ProyDia[],8,0)</f>
        <v>0</v>
      </c>
      <c r="AE143" s="28" t="n">
        <f aca="false">SUMIF($C$2:$F$2,EOMONTH(AE$2,-1)+1,$C143:$F143)*VLOOKUP(AE$2,ProyDia[],8,0)</f>
        <v>0</v>
      </c>
      <c r="AF143" s="28" t="n">
        <f aca="false">SUMIF($C$2:$F$2,EOMONTH(AF$2,-1)+1,$C143:$F143)*VLOOKUP(AF$2,ProyDia[],8,0)</f>
        <v>0</v>
      </c>
      <c r="AG143" s="28" t="n">
        <f aca="false">SUMIF($C$2:$F$2,EOMONTH(AG$2,-1)+1,$C143:$F143)*VLOOKUP(AG$2,ProyDia[],8,0)</f>
        <v>0</v>
      </c>
      <c r="AH143" s="28" t="n">
        <f aca="false">SUMIF($C$2:$F$2,EOMONTH(AH$2,-1)+1,$C143:$F143)*VLOOKUP(AH$2,ProyDia[],8,0)</f>
        <v>0</v>
      </c>
      <c r="AI143" s="28" t="n">
        <f aca="false">SUMIF($C$2:$F$2,EOMONTH(AI$2,-1)+1,$C143:$F143)*VLOOKUP(AI$2,ProyDia[],8,0)</f>
        <v>0</v>
      </c>
      <c r="AJ143" s="28" t="n">
        <f aca="false">SUMIF($C$2:$F$2,EOMONTH(AJ$2,-1)+1,$C143:$F143)*VLOOKUP(AJ$2,ProyDia[],8,0)</f>
        <v>0</v>
      </c>
      <c r="AK143" s="28" t="n">
        <f aca="false">SUMIF($C$2:$F$2,EOMONTH(AK$2,-1)+1,$C143:$F143)*VLOOKUP(AK$2,ProyDia[],8,0)</f>
        <v>0</v>
      </c>
      <c r="AL143" s="28" t="n">
        <f aca="false">SUMIF($C$2:$F$2,EOMONTH(AL$2,-1)+1,$C143:$F143)*VLOOKUP(AL$2,ProyDia[],8,0)</f>
        <v>0</v>
      </c>
      <c r="AM143" s="28" t="n">
        <f aca="false">SUMIF($C$2:$F$2,EOMONTH(AM$2,-1)+1,$C143:$F143)*VLOOKUP(AM$2,ProyDia[],8,0)</f>
        <v>0</v>
      </c>
      <c r="AN143" s="28" t="n">
        <f aca="false">SUMIF($C$2:$F$2,EOMONTH(AN$2,-1)+1,$C143:$F143)*VLOOKUP(AN$2,ProyDia[],8,0)</f>
        <v>0</v>
      </c>
      <c r="AO143" s="28" t="n">
        <f aca="false">SUMIF($C$2:$F$2,EOMONTH(AO$2,-1)+1,$C143:$F143)*VLOOKUP(AO$2,ProyDia[],8,0)</f>
        <v>0</v>
      </c>
      <c r="AP143" s="28" t="n">
        <f aca="false">SUMIF($C$2:$F$2,EOMONTH(AP$2,-1)+1,$C143:$F143)*VLOOKUP(AP$2,ProyDia[],8,0)</f>
        <v>0</v>
      </c>
      <c r="AQ143" s="28" t="n">
        <f aca="false">SUMIF($C$2:$F$2,EOMONTH(AQ$2,-1)+1,$C143:$F143)*VLOOKUP(AQ$2,ProyDia[],8,0)</f>
        <v>0</v>
      </c>
      <c r="AR143" s="28" t="n">
        <f aca="false">SUMIF($C$2:$F$2,EOMONTH(AR$2,-1)+1,$C143:$F143)*VLOOKUP(AR$2,ProyDia[],8,0)</f>
        <v>0</v>
      </c>
      <c r="AS143" s="28" t="n">
        <f aca="false">SUMIF($C$2:$F$2,EOMONTH(AS$2,-1)+1,$C143:$F143)*VLOOKUP(AS$2,ProyDia[],8,0)</f>
        <v>0</v>
      </c>
      <c r="AT143" s="28" t="n">
        <f aca="false">SUMIF($C$2:$F$2,EOMONTH(AT$2,-1)+1,$C143:$F143)*VLOOKUP(AT$2,ProyDia[],8,0)</f>
        <v>0</v>
      </c>
      <c r="AU143" s="28" t="n">
        <f aca="false">SUMIF($C$2:$F$2,EOMONTH(AU$2,-1)+1,$C143:$F143)*VLOOKUP(AU$2,ProyDia[],8,0)</f>
        <v>0</v>
      </c>
      <c r="AV143" s="28" t="n">
        <f aca="false">SUMIF($C$2:$F$2,EOMONTH(AV$2,-1)+1,$C143:$F143)*VLOOKUP(AV$2,ProyDia[],8,0)</f>
        <v>0</v>
      </c>
      <c r="AW143" s="28" t="n">
        <f aca="false">SUMIF($C$2:$F$2,EOMONTH(AW$2,-1)+1,$C143:$F143)*VLOOKUP(AW$2,ProyDia[],8,0)</f>
        <v>0</v>
      </c>
      <c r="AX143" s="28" t="n">
        <f aca="false">SUMIF($C$2:$F$2,EOMONTH(AX$2,-1)+1,$C143:$F143)*VLOOKUP(AX$2,ProyDia[],8,0)</f>
        <v>0</v>
      </c>
      <c r="AY143" s="28" t="n">
        <f aca="false">SUMIF($C$2:$F$2,EOMONTH(AY$2,-1)+1,$C143:$F143)*VLOOKUP(AY$2,ProyDia[],8,0)</f>
        <v>0</v>
      </c>
      <c r="AZ143" s="28" t="n">
        <f aca="false">SUMIF($C$2:$F$2,EOMONTH(AZ$2,-1)+1,$C143:$F143)*VLOOKUP(AZ$2,ProyDia[],8,0)</f>
        <v>0</v>
      </c>
      <c r="BA143" s="28" t="n">
        <f aca="false">SUMIF($C$2:$F$2,EOMONTH(BA$2,-1)+1,$C143:$F143)*VLOOKUP(BA$2,ProyDia[],8,0)</f>
        <v>0</v>
      </c>
      <c r="BB143" s="28" t="n">
        <f aca="false">SUMIF($C$2:$F$2,EOMONTH(BB$2,-1)+1,$C143:$F143)*VLOOKUP(BB$2,ProyDia[],8,0)</f>
        <v>0</v>
      </c>
      <c r="BC143" s="28" t="n">
        <f aca="false">SUMIF($C$2:$F$2,EOMONTH(BC$2,-1)+1,$C143:$F143)*VLOOKUP(BC$2,ProyDia[],8,0)</f>
        <v>0</v>
      </c>
      <c r="BD143" s="28" t="n">
        <f aca="false">SUMIF($C$2:$F$2,EOMONTH(BD$2,-1)+1,$C143:$F143)*VLOOKUP(BD$2,ProyDia[],8,0)</f>
        <v>0</v>
      </c>
      <c r="BE143" s="28" t="n">
        <f aca="false">SUMIF($C$2:$F$2,EOMONTH(BE$2,-1)+1,$C143:$F143)*VLOOKUP(BE$2,ProyDia[],8,0)</f>
        <v>0</v>
      </c>
      <c r="BF143" s="28" t="n">
        <f aca="false">SUMIF($C$2:$F$2,EOMONTH(BF$2,-1)+1,$C143:$F143)*VLOOKUP(BF$2,ProyDia[],8,0)</f>
        <v>0</v>
      </c>
      <c r="BG143" s="28" t="n">
        <f aca="false">SUMIF($C$2:$F$2,EOMONTH(BG$2,-1)+1,$C143:$F143)*VLOOKUP(BG$2,ProyDia[],8,0)</f>
        <v>0</v>
      </c>
      <c r="BH143" s="28" t="n">
        <f aca="false">SUMIF($C$2:$F$2,EOMONTH(BH$2,-1)+1,$C143:$F143)*VLOOKUP(BH$2,ProyDia[],8,0)</f>
        <v>0</v>
      </c>
      <c r="BI143" s="28" t="n">
        <f aca="false">SUMIF($C$2:$F$2,EOMONTH(BI$2,-1)+1,$C143:$F143)*VLOOKUP(BI$2,ProyDia[],8,0)</f>
        <v>0</v>
      </c>
      <c r="BJ143" s="28" t="n">
        <f aca="false">SUMIF($C$2:$F$2,EOMONTH(BJ$2,-1)+1,$C143:$F143)*VLOOKUP(BJ$2,ProyDia[],8,0)</f>
        <v>0</v>
      </c>
      <c r="BK143" s="28" t="n">
        <f aca="false">SUMIF($C$2:$F$2,EOMONTH(BK$2,-1)+1,$C143:$F143)*VLOOKUP(BK$2,ProyDia[],8,0)</f>
        <v>0</v>
      </c>
      <c r="BL143" s="28" t="n">
        <f aca="false">SUMIF($C$2:$F$2,EOMONTH(BL$2,-1)+1,$C143:$F143)*VLOOKUP(BL$2,ProyDia[],8,0)</f>
        <v>0</v>
      </c>
      <c r="BM143" s="28" t="n">
        <f aca="false">SUMIF($C$2:$F$2,EOMONTH(BM$2,-1)+1,$C143:$F143)*VLOOKUP(BM$2,ProyDia[],8,0)</f>
        <v>0</v>
      </c>
      <c r="BN143" s="28" t="n">
        <f aca="false">SUMIF($C$2:$F$2,EOMONTH(BN$2,-1)+1,$C143:$F143)*VLOOKUP(BN$2,ProyDia[],8,0)</f>
        <v>0</v>
      </c>
      <c r="BO143" s="28" t="n">
        <f aca="false">SUMIF($C$2:$F$2,EOMONTH(BO$2,-1)+1,$C143:$F143)*VLOOKUP(BO$2,ProyDia[],8,0)</f>
        <v>0</v>
      </c>
      <c r="BP143" s="28" t="n">
        <f aca="false">SUMIF($C$2:$F$2,EOMONTH(BP$2,-1)+1,$C143:$F143)*VLOOKUP(BP$2,ProyDia[],8,0)</f>
        <v>0</v>
      </c>
      <c r="BQ143" s="28" t="n">
        <f aca="false">SUMIF($C$2:$F$2,EOMONTH(BQ$2,-1)+1,$C143:$F143)*VLOOKUP(BQ$2,ProyDia[],8,0)</f>
        <v>0</v>
      </c>
      <c r="BR143" s="28" t="n">
        <f aca="false">SUMIF($C$2:$F$2,EOMONTH(BR$2,-1)+1,$C143:$F143)*VLOOKUP(BR$2,ProyDia[],8,0)</f>
        <v>0</v>
      </c>
      <c r="BS143" s="28" t="n">
        <f aca="false">SUMIF($C$2:$F$2,EOMONTH(BS$2,-1)+1,$C143:$F143)*VLOOKUP(BS$2,ProyDia[],8,0)</f>
        <v>0</v>
      </c>
      <c r="BT143" s="28" t="n">
        <f aca="false">SUMIF($C$2:$F$2,EOMONTH(BT$2,-1)+1,$C143:$F143)*VLOOKUP(BT$2,ProyDia[],8,0)</f>
        <v>0</v>
      </c>
      <c r="BU143" s="28" t="n">
        <f aca="false">SUMIF($C$2:$F$2,EOMONTH(BU$2,-1)+1,$C143:$F143)*VLOOKUP(BU$2,ProyDia[],8,0)</f>
        <v>0</v>
      </c>
      <c r="BV143" s="28" t="n">
        <f aca="false">SUMIF($C$2:$F$2,EOMONTH(BV$2,-1)+1,$C143:$F143)*VLOOKUP(BV$2,ProyDia[],8,0)</f>
        <v>0</v>
      </c>
      <c r="BW143" s="28" t="n">
        <f aca="false">SUMIF($C$2:$F$2,EOMONTH(BW$2,-1)+1,$C143:$F143)*VLOOKUP(BW$2,ProyDia[],8,0)</f>
        <v>0</v>
      </c>
      <c r="BX143" s="28" t="n">
        <f aca="false">SUMIF($C$2:$F$2,EOMONTH(BX$2,-1)+1,$C143:$F143)*VLOOKUP(BX$2,ProyDia[],8,0)</f>
        <v>0</v>
      </c>
      <c r="BY143" s="28" t="n">
        <f aca="false">SUMIF($C$2:$F$2,EOMONTH(BY$2,-1)+1,$C143:$F143)*VLOOKUP(BY$2,ProyDia[],8,0)</f>
        <v>0</v>
      </c>
      <c r="BZ143" s="28" t="n">
        <f aca="false">SUMIF($C$2:$F$2,EOMONTH(BZ$2,-1)+1,$C143:$F143)*VLOOKUP(BZ$2,ProyDia[],8,0)</f>
        <v>0</v>
      </c>
      <c r="CA143" s="28" t="n">
        <f aca="false">SUMIF($C$2:$F$2,EOMONTH(CA$2,-1)+1,$C143:$F143)*VLOOKUP(CA$2,ProyDia[],8,0)</f>
        <v>0</v>
      </c>
      <c r="CB143" s="28" t="n">
        <f aca="false">SUMIF($C$2:$F$2,EOMONTH(CB$2,-1)+1,$C143:$F143)*VLOOKUP(CB$2,ProyDia[],8,0)</f>
        <v>0</v>
      </c>
      <c r="CC143" s="28" t="n">
        <f aca="false">SUMIF($C$2:$F$2,EOMONTH(CC$2,-1)+1,$C143:$F143)*VLOOKUP(CC$2,ProyDia[],8,0)</f>
        <v>0</v>
      </c>
      <c r="CD143" s="28" t="n">
        <f aca="false">SUMIF($C$2:$F$2,EOMONTH(CD$2,-1)+1,$C143:$F143)*VLOOKUP(CD$2,ProyDia[],8,0)</f>
        <v>0</v>
      </c>
      <c r="CE143" s="28" t="n">
        <f aca="false">SUMIF($C$2:$F$2,EOMONTH(CE$2,-1)+1,$C143:$F143)*VLOOKUP(CE$2,ProyDia[],8,0)</f>
        <v>0</v>
      </c>
      <c r="CF143" s="28" t="n">
        <f aca="false">SUMIF($C$2:$F$2,EOMONTH(CF$2,-1)+1,$C143:$F143)*VLOOKUP(CF$2,ProyDia[],8,0)</f>
        <v>0</v>
      </c>
      <c r="CG143" s="28" t="n">
        <f aca="false">SUMIF($C$2:$F$2,EOMONTH(CG$2,-1)+1,$C143:$F143)*VLOOKUP(CG$2,ProyDia[],8,0)</f>
        <v>0</v>
      </c>
      <c r="CH143" s="28" t="n">
        <f aca="false">SUMIF($C$2:$F$2,EOMONTH(CH$2,-1)+1,$C143:$F143)*VLOOKUP(CH$2,ProyDia[],8,0)</f>
        <v>0</v>
      </c>
      <c r="CI143" s="28" t="n">
        <f aca="false">SUMIF($C$2:$F$2,EOMONTH(CI$2,-1)+1,$C143:$F143)*VLOOKUP(CI$2,ProyDia[],8,0)</f>
        <v>0</v>
      </c>
      <c r="CJ143" s="28" t="n">
        <f aca="false">SUMIF($C$2:$F$2,EOMONTH(CJ$2,-1)+1,$C143:$F143)*VLOOKUP(CJ$2,ProyDia[],8,0)</f>
        <v>0</v>
      </c>
      <c r="CK143" s="28" t="n">
        <f aca="false">SUMIF($C$2:$F$2,EOMONTH(CK$2,-1)+1,$C143:$F143)*VLOOKUP(CK$2,ProyDia[],8,0)</f>
        <v>0</v>
      </c>
      <c r="CL143" s="28" t="n">
        <f aca="false">SUMIF($C$2:$F$2,EOMONTH(CL$2,-1)+1,$C143:$F143)*VLOOKUP(CL$2,ProyDia[],8,0)</f>
        <v>0</v>
      </c>
      <c r="CM143" s="28" t="n">
        <f aca="false">SUMIF($C$2:$F$2,EOMONTH(CM$2,-1)+1,$C143:$F143)*VLOOKUP(CM$2,ProyDia[],8,0)</f>
        <v>0</v>
      </c>
      <c r="CN143" s="28" t="n">
        <f aca="false">SUMIF($C$2:$F$2,EOMONTH(CN$2,-1)+1,$C143:$F143)*VLOOKUP(CN$2,ProyDia[],8,0)</f>
        <v>0</v>
      </c>
      <c r="CO143" s="28" t="n">
        <f aca="false">SUMIF($C$2:$F$2,EOMONTH(CO$2,-1)+1,$C143:$F143)*VLOOKUP(CO$2,ProyDia[],8,0)</f>
        <v>0</v>
      </c>
      <c r="CP143" s="28" t="n">
        <f aca="false">SUMIF($C$2:$F$2,EOMONTH(CP$2,-1)+1,$C143:$F143)*VLOOKUP(CP$2,ProyDia[],8,0)</f>
        <v>0</v>
      </c>
      <c r="CQ143" s="28" t="n">
        <f aca="false">SUMIF($C$2:$F$2,EOMONTH(CQ$2,-1)+1,$C143:$F143)*VLOOKUP(CQ$2,ProyDia[],8,0)</f>
        <v>0</v>
      </c>
      <c r="CR143" s="28" t="n">
        <f aca="false">SUMIF($C$2:$F$2,EOMONTH(CR$2,-1)+1,$C143:$F143)*VLOOKUP(CR$2,ProyDia[],8,0)</f>
        <v>0</v>
      </c>
      <c r="CS143" s="28" t="n">
        <f aca="false">SUMIF($C$2:$F$2,EOMONTH(CS$2,-1)+1,$C143:$F143)*VLOOKUP(CS$2,ProyDia[],8,0)</f>
        <v>0</v>
      </c>
      <c r="CT143" s="28" t="n">
        <f aca="false">SUMIF($C$2:$F$2,EOMONTH(CT$2,-1)+1,$C143:$F143)*VLOOKUP(CT$2,ProyDia[],8,0)</f>
        <v>0</v>
      </c>
      <c r="CU143" s="28" t="n">
        <f aca="false">SUMIF($C$2:$F$2,EOMONTH(CU$2,-1)+1,$C143:$F143)*VLOOKUP(CU$2,ProyDia[],8,0)</f>
        <v>0</v>
      </c>
      <c r="CV143" s="28" t="n">
        <f aca="false">SUMIF($C$2:$F$2,EOMONTH(CV$2,-1)+1,$C143:$F143)*VLOOKUP(CV$2,ProyDia[],8,0)</f>
        <v>0</v>
      </c>
      <c r="CW143" s="28" t="n">
        <f aca="false">SUMIF($C$2:$F$2,EOMONTH(CW$2,-1)+1,$C143:$F143)*VLOOKUP(CW$2,ProyDia[],8,0)</f>
        <v>0</v>
      </c>
      <c r="CX143" s="28" t="n">
        <f aca="false">SUMIF($C$2:$F$2,EOMONTH(CX$2,-1)+1,$C143:$F143)*VLOOKUP(CX$2,ProyDia[],8,0)</f>
        <v>0</v>
      </c>
      <c r="CY143" s="28" t="n">
        <f aca="false">SUMIF($C$2:$F$2,EOMONTH(CY$2,-1)+1,$C143:$F143)*VLOOKUP(CY$2,ProyDia[],8,0)</f>
        <v>0</v>
      </c>
      <c r="CZ143" s="28" t="n">
        <f aca="false">SUMIF($C$2:$F$2,EOMONTH(CZ$2,-1)+1,$C143:$F143)*VLOOKUP(CZ$2,ProyDia[],8,0)</f>
        <v>0</v>
      </c>
      <c r="DA143" s="28" t="n">
        <f aca="false">SUMIF($C$2:$F$2,EOMONTH(DA$2,-1)+1,$C143:$F143)*VLOOKUP(DA$2,ProyDia[],8,0)</f>
        <v>0</v>
      </c>
      <c r="DB143" s="28" t="n">
        <f aca="false">SUMIF($C$2:$F$2,EOMONTH(DB$2,-1)+1,$C143:$F143)*VLOOKUP(DB$2,ProyDia[],8,0)</f>
        <v>0</v>
      </c>
      <c r="DC143" s="28" t="n">
        <f aca="false">SUMIF($C$2:$F$2,EOMONTH(DC$2,-1)+1,$C143:$F143)*VLOOKUP(DC$2,ProyDia[],8,0)</f>
        <v>0</v>
      </c>
      <c r="DD143" s="28" t="n">
        <f aca="false">SUMIF($C$2:$F$2,EOMONTH(DD$2,-1)+1,$C143:$F143)*VLOOKUP(DD$2,ProyDia[],8,0)</f>
        <v>0</v>
      </c>
      <c r="DE143" s="28" t="n">
        <f aca="false">SUMIF($C$2:$F$2,EOMONTH(DE$2,-1)+1,$C143:$F143)*VLOOKUP(DE$2,ProyDia[],8,0)</f>
        <v>0</v>
      </c>
      <c r="DF143" s="28" t="n">
        <f aca="false">SUMIF($C$2:$F$2,EOMONTH(DF$2,-1)+1,$C143:$F143)*VLOOKUP(DF$2,ProyDia[],8,0)</f>
        <v>0</v>
      </c>
      <c r="DG143" s="28" t="n">
        <f aca="false">SUMIF($C$2:$F$2,EOMONTH(DG$2,-1)+1,$C143:$F143)*VLOOKUP(DG$2,ProyDia[],8,0)</f>
        <v>0</v>
      </c>
      <c r="DH143" s="28" t="n">
        <f aca="false">SUMIF($C$2:$F$2,EOMONTH(DH$2,-1)+1,$C143:$F143)*VLOOKUP(DH$2,ProyDia[],8,0)</f>
        <v>0</v>
      </c>
      <c r="DI143" s="28" t="n">
        <f aca="false">SUMIF($C$2:$F$2,EOMONTH(DI$2,-1)+1,$C143:$F143)*VLOOKUP(DI$2,ProyDia[],8,0)</f>
        <v>0</v>
      </c>
      <c r="DJ143" s="28" t="n">
        <f aca="false">SUMIF($C$2:$F$2,EOMONTH(DJ$2,-1)+1,$C143:$F143)*VLOOKUP(DJ$2,ProyDia[],8,0)</f>
        <v>0</v>
      </c>
      <c r="DK143" s="28" t="n">
        <f aca="false">SUMIF($C$2:$F$2,EOMONTH(DK$2,-1)+1,$C143:$F143)*VLOOKUP(DK$2,ProyDia[],8,0)</f>
        <v>0</v>
      </c>
      <c r="DL143" s="28" t="n">
        <f aca="false">SUMIF($C$2:$F$2,EOMONTH(DL$2,-1)+1,$C143:$F143)*VLOOKUP(DL$2,ProyDia[],8,0)</f>
        <v>0</v>
      </c>
      <c r="DM143" s="28" t="n">
        <f aca="false">SUMIF($C$2:$F$2,EOMONTH(DM$2,-1)+1,$C143:$F143)*VLOOKUP(DM$2,ProyDia[],8,0)</f>
        <v>0</v>
      </c>
      <c r="DN143" s="28" t="n">
        <f aca="false">SUMIF($C$2:$F$2,EOMONTH(DN$2,-1)+1,$C143:$F143)*VLOOKUP(DN$2,ProyDia[],8,0)</f>
        <v>0</v>
      </c>
      <c r="DO143" s="28" t="n">
        <f aca="false">SUMIF($C$2:$F$2,EOMONTH(DO$2,-1)+1,$C143:$F143)*VLOOKUP(DO$2,ProyDia[],8,0)</f>
        <v>0</v>
      </c>
      <c r="DP143" s="28" t="n">
        <f aca="false">SUMIF($C$2:$F$2,EOMONTH(DP$2,-1)+1,$C143:$F143)*VLOOKUP(DP$2,ProyDia[],8,0)</f>
        <v>0</v>
      </c>
      <c r="DQ143" s="28" t="n">
        <f aca="false">SUMIF($C$2:$F$2,EOMONTH(DQ$2,-1)+1,$C143:$F143)*VLOOKUP(DQ$2,ProyDia[],8,0)</f>
        <v>0</v>
      </c>
      <c r="DR143" s="28" t="n">
        <f aca="false">SUMIF($C$2:$F$2,EOMONTH(DR$2,-1)+1,$C143:$F143)*VLOOKUP(DR$2,ProyDia[],8,0)</f>
        <v>0</v>
      </c>
      <c r="DS143" s="28" t="n">
        <f aca="false">SUMIF($C$2:$F$2,EOMONTH(DS$2,-1)+1,$C143:$F143)*VLOOKUP(DS$2,ProyDia[],8,0)</f>
        <v>0</v>
      </c>
      <c r="DT143" s="28" t="n">
        <f aca="false">SUMIF($C$2:$F$2,EOMONTH(DT$2,-1)+1,$C143:$F143)*VLOOKUP(DT$2,ProyDia[],8,0)</f>
        <v>0</v>
      </c>
      <c r="DU143" s="28" t="n">
        <f aca="false">SUMIF($C$2:$F$2,EOMONTH(DU$2,-1)+1,$C143:$F143)*VLOOKUP(DU$2,ProyDia[],8,0)</f>
        <v>0</v>
      </c>
      <c r="DV143" s="28" t="n">
        <f aca="false">SUMIF($C$2:$F$2,EOMONTH(DV$2,-1)+1,$C143:$F143)*VLOOKUP(DV$2,ProyDia[],8,0)</f>
        <v>0</v>
      </c>
      <c r="DW143" s="28" t="n">
        <f aca="false">SUMIF($C$2:$F$2,EOMONTH(DW$2,-1)+1,$C143:$F143)*VLOOKUP(DW$2,ProyDia[],8,0)</f>
        <v>0</v>
      </c>
      <c r="DX143" s="28" t="n">
        <f aca="false">SUMIF($C$2:$F$2,EOMONTH(DX$2,-1)+1,$C143:$F143)*VLOOKUP(DX$2,ProyDia[],8,0)</f>
        <v>0</v>
      </c>
    </row>
    <row r="144" customFormat="false" ht="14.4" hidden="false" customHeight="false" outlineLevel="0" collapsed="false">
      <c r="A144" s="35"/>
      <c r="B144" s="35"/>
      <c r="C144" s="35"/>
      <c r="D144" s="35"/>
      <c r="E144" s="35"/>
      <c r="F144" s="35"/>
      <c r="G144" s="36" t="n">
        <f aca="false">SUMIF($C$2:$F$2,EOMONTH(G$2,-1)+1,$C144:$F144)*VLOOKUP(G$2,ProyDia[],8,0)</f>
        <v>0</v>
      </c>
      <c r="H144" s="36" t="n">
        <f aca="false">SUMIF($C$2:$F$2,EOMONTH(H$2,-1)+1,$C144:$F144)*VLOOKUP(H$2,ProyDia[],8,0)</f>
        <v>0</v>
      </c>
      <c r="I144" s="36" t="n">
        <f aca="false">SUMIF($C$2:$F$2,EOMONTH(I$2,-1)+1,$C144:$F144)*VLOOKUP(I$2,ProyDia[],8,0)</f>
        <v>0</v>
      </c>
      <c r="J144" s="36" t="n">
        <f aca="false">SUMIF($C$2:$F$2,EOMONTH(J$2,-1)+1,$C144:$F144)*VLOOKUP(J$2,ProyDia[],8,0)</f>
        <v>0</v>
      </c>
      <c r="K144" s="36" t="n">
        <f aca="false">SUMIF($C$2:$F$2,EOMONTH(K$2,-1)+1,$C144:$F144)*VLOOKUP(K$2,ProyDia[],8,0)</f>
        <v>0</v>
      </c>
      <c r="L144" s="36" t="n">
        <f aca="false">SUMIF($C$2:$F$2,EOMONTH(L$2,-1)+1,$C144:$F144)*VLOOKUP(L$2,ProyDia[],8,0)</f>
        <v>0</v>
      </c>
      <c r="M144" s="36" t="n">
        <f aca="false">SUMIF($C$2:$F$2,EOMONTH(M$2,-1)+1,$C144:$F144)*VLOOKUP(M$2,ProyDia[],8,0)</f>
        <v>0</v>
      </c>
      <c r="N144" s="36" t="n">
        <f aca="false">SUMIF($C$2:$F$2,EOMONTH(N$2,-1)+1,$C144:$F144)*VLOOKUP(N$2,ProyDia[],8,0)</f>
        <v>0</v>
      </c>
      <c r="O144" s="36" t="n">
        <f aca="false">SUMIF($C$2:$F$2,EOMONTH(O$2,-1)+1,$C144:$F144)*VLOOKUP(O$2,ProyDia[],8,0)</f>
        <v>0</v>
      </c>
      <c r="P144" s="36" t="n">
        <f aca="false">SUMIF($C$2:$F$2,EOMONTH(P$2,-1)+1,$C144:$F144)*VLOOKUP(P$2,ProyDia[],8,0)</f>
        <v>0</v>
      </c>
      <c r="Q144" s="36" t="n">
        <f aca="false">SUMIF($C$2:$F$2,EOMONTH(Q$2,-1)+1,$C144:$F144)*VLOOKUP(Q$2,ProyDia[],8,0)</f>
        <v>0</v>
      </c>
      <c r="R144" s="36" t="n">
        <f aca="false">SUMIF($C$2:$F$2,EOMONTH(R$2,-1)+1,$C144:$F144)*VLOOKUP(R$2,ProyDia[],8,0)</f>
        <v>0</v>
      </c>
      <c r="S144" s="36" t="n">
        <f aca="false">SUMIF($C$2:$F$2,EOMONTH(S$2,-1)+1,$C144:$F144)*VLOOKUP(S$2,ProyDia[],8,0)</f>
        <v>0</v>
      </c>
      <c r="T144" s="36" t="n">
        <f aca="false">SUMIF($C$2:$F$2,EOMONTH(T$2,-1)+1,$C144:$F144)*VLOOKUP(T$2,ProyDia[],8,0)</f>
        <v>0</v>
      </c>
      <c r="U144" s="36" t="n">
        <f aca="false">SUMIF($C$2:$F$2,EOMONTH(U$2,-1)+1,$C144:$F144)*VLOOKUP(U$2,ProyDia[],8,0)</f>
        <v>0</v>
      </c>
      <c r="V144" s="36" t="n">
        <f aca="false">SUMIF($C$2:$F$2,EOMONTH(V$2,-1)+1,$C144:$F144)*VLOOKUP(V$2,ProyDia[],8,0)</f>
        <v>0</v>
      </c>
      <c r="W144" s="36" t="n">
        <f aca="false">SUMIF($C$2:$F$2,EOMONTH(W$2,-1)+1,$C144:$F144)*VLOOKUP(W$2,ProyDia[],8,0)</f>
        <v>0</v>
      </c>
      <c r="X144" s="36" t="n">
        <f aca="false">SUMIF($C$2:$F$2,EOMONTH(X$2,-1)+1,$C144:$F144)*VLOOKUP(X$2,ProyDia[],8,0)</f>
        <v>0</v>
      </c>
      <c r="Y144" s="36" t="n">
        <f aca="false">SUMIF($C$2:$F$2,EOMONTH(Y$2,-1)+1,$C144:$F144)*VLOOKUP(Y$2,ProyDia[],8,0)</f>
        <v>0</v>
      </c>
      <c r="Z144" s="36" t="n">
        <f aca="false">SUMIF($C$2:$F$2,EOMONTH(Z$2,-1)+1,$C144:$F144)*VLOOKUP(Z$2,ProyDia[],8,0)</f>
        <v>0</v>
      </c>
      <c r="AA144" s="36" t="n">
        <f aca="false">SUMIF($C$2:$F$2,EOMONTH(AA$2,-1)+1,$C144:$F144)*VLOOKUP(AA$2,ProyDia[],8,0)</f>
        <v>0</v>
      </c>
      <c r="AB144" s="36" t="n">
        <f aca="false">SUMIF($C$2:$F$2,EOMONTH(AB$2,-1)+1,$C144:$F144)*VLOOKUP(AB$2,ProyDia[],8,0)</f>
        <v>0</v>
      </c>
      <c r="AC144" s="36" t="n">
        <f aca="false">SUMIF($C$2:$F$2,EOMONTH(AC$2,-1)+1,$C144:$F144)*VLOOKUP(AC$2,ProyDia[],8,0)</f>
        <v>0</v>
      </c>
      <c r="AD144" s="36" t="n">
        <f aca="false">SUMIF($C$2:$F$2,EOMONTH(AD$2,-1)+1,$C144:$F144)*VLOOKUP(AD$2,ProyDia[],8,0)</f>
        <v>0</v>
      </c>
      <c r="AE144" s="36" t="n">
        <f aca="false">SUMIF($C$2:$F$2,EOMONTH(AE$2,-1)+1,$C144:$F144)*VLOOKUP(AE$2,ProyDia[],8,0)</f>
        <v>0</v>
      </c>
      <c r="AF144" s="36" t="n">
        <f aca="false">SUMIF($C$2:$F$2,EOMONTH(AF$2,-1)+1,$C144:$F144)*VLOOKUP(AF$2,ProyDia[],8,0)</f>
        <v>0</v>
      </c>
      <c r="AG144" s="36" t="n">
        <f aca="false">SUMIF($C$2:$F$2,EOMONTH(AG$2,-1)+1,$C144:$F144)*VLOOKUP(AG$2,ProyDia[],8,0)</f>
        <v>0</v>
      </c>
      <c r="AH144" s="36" t="n">
        <f aca="false">SUMIF($C$2:$F$2,EOMONTH(AH$2,-1)+1,$C144:$F144)*VLOOKUP(AH$2,ProyDia[],8,0)</f>
        <v>0</v>
      </c>
      <c r="AI144" s="36" t="n">
        <f aca="false">SUMIF($C$2:$F$2,EOMONTH(AI$2,-1)+1,$C144:$F144)*VLOOKUP(AI$2,ProyDia[],8,0)</f>
        <v>0</v>
      </c>
      <c r="AJ144" s="36" t="n">
        <f aca="false">SUMIF($C$2:$F$2,EOMONTH(AJ$2,-1)+1,$C144:$F144)*VLOOKUP(AJ$2,ProyDia[],8,0)</f>
        <v>0</v>
      </c>
      <c r="AK144" s="36" t="n">
        <f aca="false">SUMIF($C$2:$F$2,EOMONTH(AK$2,-1)+1,$C144:$F144)*VLOOKUP(AK$2,ProyDia[],8,0)</f>
        <v>0</v>
      </c>
      <c r="AL144" s="36" t="n">
        <f aca="false">SUMIF($C$2:$F$2,EOMONTH(AL$2,-1)+1,$C144:$F144)*VLOOKUP(AL$2,ProyDia[],8,0)</f>
        <v>0</v>
      </c>
      <c r="AM144" s="36" t="n">
        <f aca="false">SUMIF($C$2:$F$2,EOMONTH(AM$2,-1)+1,$C144:$F144)*VLOOKUP(AM$2,ProyDia[],8,0)</f>
        <v>0</v>
      </c>
      <c r="AN144" s="36" t="n">
        <f aca="false">SUMIF($C$2:$F$2,EOMONTH(AN$2,-1)+1,$C144:$F144)*VLOOKUP(AN$2,ProyDia[],8,0)</f>
        <v>0</v>
      </c>
      <c r="AO144" s="36" t="n">
        <f aca="false">SUMIF($C$2:$F$2,EOMONTH(AO$2,-1)+1,$C144:$F144)*VLOOKUP(AO$2,ProyDia[],8,0)</f>
        <v>0</v>
      </c>
      <c r="AP144" s="36" t="n">
        <f aca="false">SUMIF($C$2:$F$2,EOMONTH(AP$2,-1)+1,$C144:$F144)*VLOOKUP(AP$2,ProyDia[],8,0)</f>
        <v>0</v>
      </c>
      <c r="AQ144" s="36" t="n">
        <f aca="false">SUMIF($C$2:$F$2,EOMONTH(AQ$2,-1)+1,$C144:$F144)*VLOOKUP(AQ$2,ProyDia[],8,0)</f>
        <v>0</v>
      </c>
      <c r="AR144" s="36" t="n">
        <f aca="false">SUMIF($C$2:$F$2,EOMONTH(AR$2,-1)+1,$C144:$F144)*VLOOKUP(AR$2,ProyDia[],8,0)</f>
        <v>0</v>
      </c>
      <c r="AS144" s="36" t="n">
        <f aca="false">SUMIF($C$2:$F$2,EOMONTH(AS$2,-1)+1,$C144:$F144)*VLOOKUP(AS$2,ProyDia[],8,0)</f>
        <v>0</v>
      </c>
      <c r="AT144" s="36" t="n">
        <f aca="false">SUMIF($C$2:$F$2,EOMONTH(AT$2,-1)+1,$C144:$F144)*VLOOKUP(AT$2,ProyDia[],8,0)</f>
        <v>0</v>
      </c>
      <c r="AU144" s="36" t="n">
        <f aca="false">SUMIF($C$2:$F$2,EOMONTH(AU$2,-1)+1,$C144:$F144)*VLOOKUP(AU$2,ProyDia[],8,0)</f>
        <v>0</v>
      </c>
      <c r="AV144" s="36" t="n">
        <f aca="false">SUMIF($C$2:$F$2,EOMONTH(AV$2,-1)+1,$C144:$F144)*VLOOKUP(AV$2,ProyDia[],8,0)</f>
        <v>0</v>
      </c>
      <c r="AW144" s="36" t="n">
        <f aca="false">SUMIF($C$2:$F$2,EOMONTH(AW$2,-1)+1,$C144:$F144)*VLOOKUP(AW$2,ProyDia[],8,0)</f>
        <v>0</v>
      </c>
      <c r="AX144" s="36" t="n">
        <f aca="false">SUMIF($C$2:$F$2,EOMONTH(AX$2,-1)+1,$C144:$F144)*VLOOKUP(AX$2,ProyDia[],8,0)</f>
        <v>0</v>
      </c>
      <c r="AY144" s="36" t="n">
        <f aca="false">SUMIF($C$2:$F$2,EOMONTH(AY$2,-1)+1,$C144:$F144)*VLOOKUP(AY$2,ProyDia[],8,0)</f>
        <v>0</v>
      </c>
      <c r="AZ144" s="36" t="n">
        <f aca="false">SUMIF($C$2:$F$2,EOMONTH(AZ$2,-1)+1,$C144:$F144)*VLOOKUP(AZ$2,ProyDia[],8,0)</f>
        <v>0</v>
      </c>
      <c r="BA144" s="36" t="n">
        <f aca="false">SUMIF($C$2:$F$2,EOMONTH(BA$2,-1)+1,$C144:$F144)*VLOOKUP(BA$2,ProyDia[],8,0)</f>
        <v>0</v>
      </c>
      <c r="BB144" s="36" t="n">
        <f aca="false">SUMIF($C$2:$F$2,EOMONTH(BB$2,-1)+1,$C144:$F144)*VLOOKUP(BB$2,ProyDia[],8,0)</f>
        <v>0</v>
      </c>
      <c r="BC144" s="36" t="n">
        <f aca="false">SUMIF($C$2:$F$2,EOMONTH(BC$2,-1)+1,$C144:$F144)*VLOOKUP(BC$2,ProyDia[],8,0)</f>
        <v>0</v>
      </c>
      <c r="BD144" s="36" t="n">
        <f aca="false">SUMIF($C$2:$F$2,EOMONTH(BD$2,-1)+1,$C144:$F144)*VLOOKUP(BD$2,ProyDia[],8,0)</f>
        <v>0</v>
      </c>
      <c r="BE144" s="36" t="n">
        <f aca="false">SUMIF($C$2:$F$2,EOMONTH(BE$2,-1)+1,$C144:$F144)*VLOOKUP(BE$2,ProyDia[],8,0)</f>
        <v>0</v>
      </c>
      <c r="BF144" s="36" t="n">
        <f aca="false">SUMIF($C$2:$F$2,EOMONTH(BF$2,-1)+1,$C144:$F144)*VLOOKUP(BF$2,ProyDia[],8,0)</f>
        <v>0</v>
      </c>
      <c r="BG144" s="36" t="n">
        <f aca="false">SUMIF($C$2:$F$2,EOMONTH(BG$2,-1)+1,$C144:$F144)*VLOOKUP(BG$2,ProyDia[],8,0)</f>
        <v>0</v>
      </c>
      <c r="BH144" s="36" t="n">
        <f aca="false">SUMIF($C$2:$F$2,EOMONTH(BH$2,-1)+1,$C144:$F144)*VLOOKUP(BH$2,ProyDia[],8,0)</f>
        <v>0</v>
      </c>
      <c r="BI144" s="36" t="n">
        <f aca="false">SUMIF($C$2:$F$2,EOMONTH(BI$2,-1)+1,$C144:$F144)*VLOOKUP(BI$2,ProyDia[],8,0)</f>
        <v>0</v>
      </c>
      <c r="BJ144" s="36" t="n">
        <f aca="false">SUMIF($C$2:$F$2,EOMONTH(BJ$2,-1)+1,$C144:$F144)*VLOOKUP(BJ$2,ProyDia[],8,0)</f>
        <v>0</v>
      </c>
      <c r="BK144" s="36" t="n">
        <f aca="false">SUMIF($C$2:$F$2,EOMONTH(BK$2,-1)+1,$C144:$F144)*VLOOKUP(BK$2,ProyDia[],8,0)</f>
        <v>0</v>
      </c>
      <c r="BL144" s="36" t="n">
        <f aca="false">SUMIF($C$2:$F$2,EOMONTH(BL$2,-1)+1,$C144:$F144)*VLOOKUP(BL$2,ProyDia[],8,0)</f>
        <v>0</v>
      </c>
      <c r="BM144" s="36" t="n">
        <f aca="false">SUMIF($C$2:$F$2,EOMONTH(BM$2,-1)+1,$C144:$F144)*VLOOKUP(BM$2,ProyDia[],8,0)</f>
        <v>0</v>
      </c>
      <c r="BN144" s="36" t="n">
        <f aca="false">SUMIF($C$2:$F$2,EOMONTH(BN$2,-1)+1,$C144:$F144)*VLOOKUP(BN$2,ProyDia[],8,0)</f>
        <v>0</v>
      </c>
      <c r="BO144" s="36" t="n">
        <f aca="false">SUMIF($C$2:$F$2,EOMONTH(BO$2,-1)+1,$C144:$F144)*VLOOKUP(BO$2,ProyDia[],8,0)</f>
        <v>0</v>
      </c>
      <c r="BP144" s="36" t="n">
        <f aca="false">SUMIF($C$2:$F$2,EOMONTH(BP$2,-1)+1,$C144:$F144)*VLOOKUP(BP$2,ProyDia[],8,0)</f>
        <v>0</v>
      </c>
      <c r="BQ144" s="36" t="n">
        <f aca="false">SUMIF($C$2:$F$2,EOMONTH(BQ$2,-1)+1,$C144:$F144)*VLOOKUP(BQ$2,ProyDia[],8,0)</f>
        <v>0</v>
      </c>
      <c r="BR144" s="36" t="n">
        <f aca="false">SUMIF($C$2:$F$2,EOMONTH(BR$2,-1)+1,$C144:$F144)*VLOOKUP(BR$2,ProyDia[],8,0)</f>
        <v>0</v>
      </c>
      <c r="BS144" s="36" t="n">
        <f aca="false">SUMIF($C$2:$F$2,EOMONTH(BS$2,-1)+1,$C144:$F144)*VLOOKUP(BS$2,ProyDia[],8,0)</f>
        <v>0</v>
      </c>
      <c r="BT144" s="36" t="n">
        <f aca="false">SUMIF($C$2:$F$2,EOMONTH(BT$2,-1)+1,$C144:$F144)*VLOOKUP(BT$2,ProyDia[],8,0)</f>
        <v>0</v>
      </c>
      <c r="BU144" s="36" t="n">
        <f aca="false">SUMIF($C$2:$F$2,EOMONTH(BU$2,-1)+1,$C144:$F144)*VLOOKUP(BU$2,ProyDia[],8,0)</f>
        <v>0</v>
      </c>
      <c r="BV144" s="36" t="n">
        <f aca="false">SUMIF($C$2:$F$2,EOMONTH(BV$2,-1)+1,$C144:$F144)*VLOOKUP(BV$2,ProyDia[],8,0)</f>
        <v>0</v>
      </c>
      <c r="BW144" s="36" t="n">
        <f aca="false">SUMIF($C$2:$F$2,EOMONTH(BW$2,-1)+1,$C144:$F144)*VLOOKUP(BW$2,ProyDia[],8,0)</f>
        <v>0</v>
      </c>
      <c r="BX144" s="36" t="n">
        <f aca="false">SUMIF($C$2:$F$2,EOMONTH(BX$2,-1)+1,$C144:$F144)*VLOOKUP(BX$2,ProyDia[],8,0)</f>
        <v>0</v>
      </c>
      <c r="BY144" s="36" t="n">
        <f aca="false">SUMIF($C$2:$F$2,EOMONTH(BY$2,-1)+1,$C144:$F144)*VLOOKUP(BY$2,ProyDia[],8,0)</f>
        <v>0</v>
      </c>
      <c r="BZ144" s="36" t="n">
        <f aca="false">SUMIF($C$2:$F$2,EOMONTH(BZ$2,-1)+1,$C144:$F144)*VLOOKUP(BZ$2,ProyDia[],8,0)</f>
        <v>0</v>
      </c>
      <c r="CA144" s="36" t="n">
        <f aca="false">SUMIF($C$2:$F$2,EOMONTH(CA$2,-1)+1,$C144:$F144)*VLOOKUP(CA$2,ProyDia[],8,0)</f>
        <v>0</v>
      </c>
      <c r="CB144" s="36" t="n">
        <f aca="false">SUMIF($C$2:$F$2,EOMONTH(CB$2,-1)+1,$C144:$F144)*VLOOKUP(CB$2,ProyDia[],8,0)</f>
        <v>0</v>
      </c>
      <c r="CC144" s="36" t="n">
        <f aca="false">SUMIF($C$2:$F$2,EOMONTH(CC$2,-1)+1,$C144:$F144)*VLOOKUP(CC$2,ProyDia[],8,0)</f>
        <v>0</v>
      </c>
      <c r="CD144" s="36" t="n">
        <f aca="false">SUMIF($C$2:$F$2,EOMONTH(CD$2,-1)+1,$C144:$F144)*VLOOKUP(CD$2,ProyDia[],8,0)</f>
        <v>0</v>
      </c>
      <c r="CE144" s="36" t="n">
        <f aca="false">SUMIF($C$2:$F$2,EOMONTH(CE$2,-1)+1,$C144:$F144)*VLOOKUP(CE$2,ProyDia[],8,0)</f>
        <v>0</v>
      </c>
      <c r="CF144" s="36" t="n">
        <f aca="false">SUMIF($C$2:$F$2,EOMONTH(CF$2,-1)+1,$C144:$F144)*VLOOKUP(CF$2,ProyDia[],8,0)</f>
        <v>0</v>
      </c>
      <c r="CG144" s="36" t="n">
        <f aca="false">SUMIF($C$2:$F$2,EOMONTH(CG$2,-1)+1,$C144:$F144)*VLOOKUP(CG$2,ProyDia[],8,0)</f>
        <v>0</v>
      </c>
      <c r="CH144" s="36" t="n">
        <f aca="false">SUMIF($C$2:$F$2,EOMONTH(CH$2,-1)+1,$C144:$F144)*VLOOKUP(CH$2,ProyDia[],8,0)</f>
        <v>0</v>
      </c>
      <c r="CI144" s="36" t="n">
        <f aca="false">SUMIF($C$2:$F$2,EOMONTH(CI$2,-1)+1,$C144:$F144)*VLOOKUP(CI$2,ProyDia[],8,0)</f>
        <v>0</v>
      </c>
      <c r="CJ144" s="36" t="n">
        <f aca="false">SUMIF($C$2:$F$2,EOMONTH(CJ$2,-1)+1,$C144:$F144)*VLOOKUP(CJ$2,ProyDia[],8,0)</f>
        <v>0</v>
      </c>
      <c r="CK144" s="36" t="n">
        <f aca="false">SUMIF($C$2:$F$2,EOMONTH(CK$2,-1)+1,$C144:$F144)*VLOOKUP(CK$2,ProyDia[],8,0)</f>
        <v>0</v>
      </c>
      <c r="CL144" s="36" t="n">
        <f aca="false">SUMIF($C$2:$F$2,EOMONTH(CL$2,-1)+1,$C144:$F144)*VLOOKUP(CL$2,ProyDia[],8,0)</f>
        <v>0</v>
      </c>
      <c r="CM144" s="36" t="n">
        <f aca="false">SUMIF($C$2:$F$2,EOMONTH(CM$2,-1)+1,$C144:$F144)*VLOOKUP(CM$2,ProyDia[],8,0)</f>
        <v>0</v>
      </c>
      <c r="CN144" s="36" t="n">
        <f aca="false">SUMIF($C$2:$F$2,EOMONTH(CN$2,-1)+1,$C144:$F144)*VLOOKUP(CN$2,ProyDia[],8,0)</f>
        <v>0</v>
      </c>
      <c r="CO144" s="36" t="n">
        <f aca="false">SUMIF($C$2:$F$2,EOMONTH(CO$2,-1)+1,$C144:$F144)*VLOOKUP(CO$2,ProyDia[],8,0)</f>
        <v>0</v>
      </c>
      <c r="CP144" s="36" t="n">
        <f aca="false">SUMIF($C$2:$F$2,EOMONTH(CP$2,-1)+1,$C144:$F144)*VLOOKUP(CP$2,ProyDia[],8,0)</f>
        <v>0</v>
      </c>
      <c r="CQ144" s="36" t="n">
        <f aca="false">SUMIF($C$2:$F$2,EOMONTH(CQ$2,-1)+1,$C144:$F144)*VLOOKUP(CQ$2,ProyDia[],8,0)</f>
        <v>0</v>
      </c>
      <c r="CR144" s="36" t="n">
        <f aca="false">SUMIF($C$2:$F$2,EOMONTH(CR$2,-1)+1,$C144:$F144)*VLOOKUP(CR$2,ProyDia[],8,0)</f>
        <v>0</v>
      </c>
      <c r="CS144" s="36" t="n">
        <f aca="false">SUMIF($C$2:$F$2,EOMONTH(CS$2,-1)+1,$C144:$F144)*VLOOKUP(CS$2,ProyDia[],8,0)</f>
        <v>0</v>
      </c>
      <c r="CT144" s="36" t="n">
        <f aca="false">SUMIF($C$2:$F$2,EOMONTH(CT$2,-1)+1,$C144:$F144)*VLOOKUP(CT$2,ProyDia[],8,0)</f>
        <v>0</v>
      </c>
      <c r="CU144" s="36" t="n">
        <f aca="false">SUMIF($C$2:$F$2,EOMONTH(CU$2,-1)+1,$C144:$F144)*VLOOKUP(CU$2,ProyDia[],8,0)</f>
        <v>0</v>
      </c>
      <c r="CV144" s="36" t="n">
        <f aca="false">SUMIF($C$2:$F$2,EOMONTH(CV$2,-1)+1,$C144:$F144)*VLOOKUP(CV$2,ProyDia[],8,0)</f>
        <v>0</v>
      </c>
      <c r="CW144" s="36" t="n">
        <f aca="false">SUMIF($C$2:$F$2,EOMONTH(CW$2,-1)+1,$C144:$F144)*VLOOKUP(CW$2,ProyDia[],8,0)</f>
        <v>0</v>
      </c>
      <c r="CX144" s="36" t="n">
        <f aca="false">SUMIF($C$2:$F$2,EOMONTH(CX$2,-1)+1,$C144:$F144)*VLOOKUP(CX$2,ProyDia[],8,0)</f>
        <v>0</v>
      </c>
      <c r="CY144" s="36" t="n">
        <f aca="false">SUMIF($C$2:$F$2,EOMONTH(CY$2,-1)+1,$C144:$F144)*VLOOKUP(CY$2,ProyDia[],8,0)</f>
        <v>0</v>
      </c>
      <c r="CZ144" s="36" t="n">
        <f aca="false">SUMIF($C$2:$F$2,EOMONTH(CZ$2,-1)+1,$C144:$F144)*VLOOKUP(CZ$2,ProyDia[],8,0)</f>
        <v>0</v>
      </c>
      <c r="DA144" s="36" t="n">
        <f aca="false">SUMIF($C$2:$F$2,EOMONTH(DA$2,-1)+1,$C144:$F144)*VLOOKUP(DA$2,ProyDia[],8,0)</f>
        <v>0</v>
      </c>
      <c r="DB144" s="36" t="n">
        <f aca="false">SUMIF($C$2:$F$2,EOMONTH(DB$2,-1)+1,$C144:$F144)*VLOOKUP(DB$2,ProyDia[],8,0)</f>
        <v>0</v>
      </c>
      <c r="DC144" s="36" t="n">
        <f aca="false">SUMIF($C$2:$F$2,EOMONTH(DC$2,-1)+1,$C144:$F144)*VLOOKUP(DC$2,ProyDia[],8,0)</f>
        <v>0</v>
      </c>
      <c r="DD144" s="36" t="n">
        <f aca="false">SUMIF($C$2:$F$2,EOMONTH(DD$2,-1)+1,$C144:$F144)*VLOOKUP(DD$2,ProyDia[],8,0)</f>
        <v>0</v>
      </c>
      <c r="DE144" s="36" t="n">
        <f aca="false">SUMIF($C$2:$F$2,EOMONTH(DE$2,-1)+1,$C144:$F144)*VLOOKUP(DE$2,ProyDia[],8,0)</f>
        <v>0</v>
      </c>
      <c r="DF144" s="36" t="n">
        <f aca="false">SUMIF($C$2:$F$2,EOMONTH(DF$2,-1)+1,$C144:$F144)*VLOOKUP(DF$2,ProyDia[],8,0)</f>
        <v>0</v>
      </c>
      <c r="DG144" s="36" t="n">
        <f aca="false">SUMIF($C$2:$F$2,EOMONTH(DG$2,-1)+1,$C144:$F144)*VLOOKUP(DG$2,ProyDia[],8,0)</f>
        <v>0</v>
      </c>
      <c r="DH144" s="36" t="n">
        <f aca="false">SUMIF($C$2:$F$2,EOMONTH(DH$2,-1)+1,$C144:$F144)*VLOOKUP(DH$2,ProyDia[],8,0)</f>
        <v>0</v>
      </c>
      <c r="DI144" s="36" t="n">
        <f aca="false">SUMIF($C$2:$F$2,EOMONTH(DI$2,-1)+1,$C144:$F144)*VLOOKUP(DI$2,ProyDia[],8,0)</f>
        <v>0</v>
      </c>
      <c r="DJ144" s="36" t="n">
        <f aca="false">SUMIF($C$2:$F$2,EOMONTH(DJ$2,-1)+1,$C144:$F144)*VLOOKUP(DJ$2,ProyDia[],8,0)</f>
        <v>0</v>
      </c>
      <c r="DK144" s="36" t="n">
        <f aca="false">SUMIF($C$2:$F$2,EOMONTH(DK$2,-1)+1,$C144:$F144)*VLOOKUP(DK$2,ProyDia[],8,0)</f>
        <v>0</v>
      </c>
      <c r="DL144" s="36" t="n">
        <f aca="false">SUMIF($C$2:$F$2,EOMONTH(DL$2,-1)+1,$C144:$F144)*VLOOKUP(DL$2,ProyDia[],8,0)</f>
        <v>0</v>
      </c>
      <c r="DM144" s="36" t="n">
        <f aca="false">SUMIF($C$2:$F$2,EOMONTH(DM$2,-1)+1,$C144:$F144)*VLOOKUP(DM$2,ProyDia[],8,0)</f>
        <v>0</v>
      </c>
      <c r="DN144" s="36" t="n">
        <f aca="false">SUMIF($C$2:$F$2,EOMONTH(DN$2,-1)+1,$C144:$F144)*VLOOKUP(DN$2,ProyDia[],8,0)</f>
        <v>0</v>
      </c>
      <c r="DO144" s="36" t="n">
        <f aca="false">SUMIF($C$2:$F$2,EOMONTH(DO$2,-1)+1,$C144:$F144)*VLOOKUP(DO$2,ProyDia[],8,0)</f>
        <v>0</v>
      </c>
      <c r="DP144" s="36" t="n">
        <f aca="false">SUMIF($C$2:$F$2,EOMONTH(DP$2,-1)+1,$C144:$F144)*VLOOKUP(DP$2,ProyDia[],8,0)</f>
        <v>0</v>
      </c>
      <c r="DQ144" s="36" t="n">
        <f aca="false">SUMIF($C$2:$F$2,EOMONTH(DQ$2,-1)+1,$C144:$F144)*VLOOKUP(DQ$2,ProyDia[],8,0)</f>
        <v>0</v>
      </c>
      <c r="DR144" s="36" t="n">
        <f aca="false">SUMIF($C$2:$F$2,EOMONTH(DR$2,-1)+1,$C144:$F144)*VLOOKUP(DR$2,ProyDia[],8,0)</f>
        <v>0</v>
      </c>
      <c r="DS144" s="36" t="n">
        <f aca="false">SUMIF($C$2:$F$2,EOMONTH(DS$2,-1)+1,$C144:$F144)*VLOOKUP(DS$2,ProyDia[],8,0)</f>
        <v>0</v>
      </c>
      <c r="DT144" s="36" t="n">
        <f aca="false">SUMIF($C$2:$F$2,EOMONTH(DT$2,-1)+1,$C144:$F144)*VLOOKUP(DT$2,ProyDia[],8,0)</f>
        <v>0</v>
      </c>
      <c r="DU144" s="36" t="n">
        <f aca="false">SUMIF($C$2:$F$2,EOMONTH(DU$2,-1)+1,$C144:$F144)*VLOOKUP(DU$2,ProyDia[],8,0)</f>
        <v>0</v>
      </c>
      <c r="DV144" s="36" t="n">
        <f aca="false">SUMIF($C$2:$F$2,EOMONTH(DV$2,-1)+1,$C144:$F144)*VLOOKUP(DV$2,ProyDia[],8,0)</f>
        <v>0</v>
      </c>
      <c r="DW144" s="36" t="n">
        <f aca="false">SUMIF($C$2:$F$2,EOMONTH(DW$2,-1)+1,$C144:$F144)*VLOOKUP(DW$2,ProyDia[],8,0)</f>
        <v>0</v>
      </c>
      <c r="DX144" s="36" t="n">
        <f aca="false">SUMIF($C$2:$F$2,EOMONTH(DX$2,-1)+1,$C144:$F144)*VLOOKUP(DX$2,ProyDia[],8,0)</f>
        <v>0</v>
      </c>
    </row>
    <row r="145" customFormat="false" ht="14.4" hidden="false" customHeight="false" outlineLevel="0" collapsed="false">
      <c r="A145" s="34"/>
      <c r="B145" s="34"/>
      <c r="C145" s="34"/>
      <c r="D145" s="34"/>
      <c r="E145" s="34"/>
      <c r="F145" s="34"/>
      <c r="G145" s="28" t="n">
        <f aca="false">SUMIF($C$2:$F$2,EOMONTH(G$2,-1)+1,$C145:$F145)*VLOOKUP(G$2,ProyDia[],8,0)</f>
        <v>0</v>
      </c>
      <c r="H145" s="28" t="n">
        <f aca="false">SUMIF($C$2:$F$2,EOMONTH(H$2,-1)+1,$C145:$F145)*VLOOKUP(H$2,ProyDia[],8,0)</f>
        <v>0</v>
      </c>
      <c r="I145" s="28" t="n">
        <f aca="false">SUMIF($C$2:$F$2,EOMONTH(I$2,-1)+1,$C145:$F145)*VLOOKUP(I$2,ProyDia[],8,0)</f>
        <v>0</v>
      </c>
      <c r="J145" s="28" t="n">
        <f aca="false">SUMIF($C$2:$F$2,EOMONTH(J$2,-1)+1,$C145:$F145)*VLOOKUP(J$2,ProyDia[],8,0)</f>
        <v>0</v>
      </c>
      <c r="K145" s="28" t="n">
        <f aca="false">SUMIF($C$2:$F$2,EOMONTH(K$2,-1)+1,$C145:$F145)*VLOOKUP(K$2,ProyDia[],8,0)</f>
        <v>0</v>
      </c>
      <c r="L145" s="28" t="n">
        <f aca="false">SUMIF($C$2:$F$2,EOMONTH(L$2,-1)+1,$C145:$F145)*VLOOKUP(L$2,ProyDia[],8,0)</f>
        <v>0</v>
      </c>
      <c r="M145" s="28" t="n">
        <f aca="false">SUMIF($C$2:$F$2,EOMONTH(M$2,-1)+1,$C145:$F145)*VLOOKUP(M$2,ProyDia[],8,0)</f>
        <v>0</v>
      </c>
      <c r="N145" s="28" t="n">
        <f aca="false">SUMIF($C$2:$F$2,EOMONTH(N$2,-1)+1,$C145:$F145)*VLOOKUP(N$2,ProyDia[],8,0)</f>
        <v>0</v>
      </c>
      <c r="O145" s="28" t="n">
        <f aca="false">SUMIF($C$2:$F$2,EOMONTH(O$2,-1)+1,$C145:$F145)*VLOOKUP(O$2,ProyDia[],8,0)</f>
        <v>0</v>
      </c>
      <c r="P145" s="28" t="n">
        <f aca="false">SUMIF($C$2:$F$2,EOMONTH(P$2,-1)+1,$C145:$F145)*VLOOKUP(P$2,ProyDia[],8,0)</f>
        <v>0</v>
      </c>
      <c r="Q145" s="28" t="n">
        <f aca="false">SUMIF($C$2:$F$2,EOMONTH(Q$2,-1)+1,$C145:$F145)*VLOOKUP(Q$2,ProyDia[],8,0)</f>
        <v>0</v>
      </c>
      <c r="R145" s="28" t="n">
        <f aca="false">SUMIF($C$2:$F$2,EOMONTH(R$2,-1)+1,$C145:$F145)*VLOOKUP(R$2,ProyDia[],8,0)</f>
        <v>0</v>
      </c>
      <c r="S145" s="28" t="n">
        <f aca="false">SUMIF($C$2:$F$2,EOMONTH(S$2,-1)+1,$C145:$F145)*VLOOKUP(S$2,ProyDia[],8,0)</f>
        <v>0</v>
      </c>
      <c r="T145" s="28" t="n">
        <f aca="false">SUMIF($C$2:$F$2,EOMONTH(T$2,-1)+1,$C145:$F145)*VLOOKUP(T$2,ProyDia[],8,0)</f>
        <v>0</v>
      </c>
      <c r="U145" s="28" t="n">
        <f aca="false">SUMIF($C$2:$F$2,EOMONTH(U$2,-1)+1,$C145:$F145)*VLOOKUP(U$2,ProyDia[],8,0)</f>
        <v>0</v>
      </c>
      <c r="V145" s="28" t="n">
        <f aca="false">SUMIF($C$2:$F$2,EOMONTH(V$2,-1)+1,$C145:$F145)*VLOOKUP(V$2,ProyDia[],8,0)</f>
        <v>0</v>
      </c>
      <c r="W145" s="28" t="n">
        <f aca="false">SUMIF($C$2:$F$2,EOMONTH(W$2,-1)+1,$C145:$F145)*VLOOKUP(W$2,ProyDia[],8,0)</f>
        <v>0</v>
      </c>
      <c r="X145" s="28" t="n">
        <f aca="false">SUMIF($C$2:$F$2,EOMONTH(X$2,-1)+1,$C145:$F145)*VLOOKUP(X$2,ProyDia[],8,0)</f>
        <v>0</v>
      </c>
      <c r="Y145" s="28" t="n">
        <f aca="false">SUMIF($C$2:$F$2,EOMONTH(Y$2,-1)+1,$C145:$F145)*VLOOKUP(Y$2,ProyDia[],8,0)</f>
        <v>0</v>
      </c>
      <c r="Z145" s="28" t="n">
        <f aca="false">SUMIF($C$2:$F$2,EOMONTH(Z$2,-1)+1,$C145:$F145)*VLOOKUP(Z$2,ProyDia[],8,0)</f>
        <v>0</v>
      </c>
      <c r="AA145" s="28" t="n">
        <f aca="false">SUMIF($C$2:$F$2,EOMONTH(AA$2,-1)+1,$C145:$F145)*VLOOKUP(AA$2,ProyDia[],8,0)</f>
        <v>0</v>
      </c>
      <c r="AB145" s="28" t="n">
        <f aca="false">SUMIF($C$2:$F$2,EOMONTH(AB$2,-1)+1,$C145:$F145)*VLOOKUP(AB$2,ProyDia[],8,0)</f>
        <v>0</v>
      </c>
      <c r="AC145" s="28" t="n">
        <f aca="false">SUMIF($C$2:$F$2,EOMONTH(AC$2,-1)+1,$C145:$F145)*VLOOKUP(AC$2,ProyDia[],8,0)</f>
        <v>0</v>
      </c>
      <c r="AD145" s="28" t="n">
        <f aca="false">SUMIF($C$2:$F$2,EOMONTH(AD$2,-1)+1,$C145:$F145)*VLOOKUP(AD$2,ProyDia[],8,0)</f>
        <v>0</v>
      </c>
      <c r="AE145" s="28" t="n">
        <f aca="false">SUMIF($C$2:$F$2,EOMONTH(AE$2,-1)+1,$C145:$F145)*VLOOKUP(AE$2,ProyDia[],8,0)</f>
        <v>0</v>
      </c>
      <c r="AF145" s="28" t="n">
        <f aca="false">SUMIF($C$2:$F$2,EOMONTH(AF$2,-1)+1,$C145:$F145)*VLOOKUP(AF$2,ProyDia[],8,0)</f>
        <v>0</v>
      </c>
      <c r="AG145" s="28" t="n">
        <f aca="false">SUMIF($C$2:$F$2,EOMONTH(AG$2,-1)+1,$C145:$F145)*VLOOKUP(AG$2,ProyDia[],8,0)</f>
        <v>0</v>
      </c>
      <c r="AH145" s="28" t="n">
        <f aca="false">SUMIF($C$2:$F$2,EOMONTH(AH$2,-1)+1,$C145:$F145)*VLOOKUP(AH$2,ProyDia[],8,0)</f>
        <v>0</v>
      </c>
      <c r="AI145" s="28" t="n">
        <f aca="false">SUMIF($C$2:$F$2,EOMONTH(AI$2,-1)+1,$C145:$F145)*VLOOKUP(AI$2,ProyDia[],8,0)</f>
        <v>0</v>
      </c>
      <c r="AJ145" s="28" t="n">
        <f aca="false">SUMIF($C$2:$F$2,EOMONTH(AJ$2,-1)+1,$C145:$F145)*VLOOKUP(AJ$2,ProyDia[],8,0)</f>
        <v>0</v>
      </c>
      <c r="AK145" s="28" t="n">
        <f aca="false">SUMIF($C$2:$F$2,EOMONTH(AK$2,-1)+1,$C145:$F145)*VLOOKUP(AK$2,ProyDia[],8,0)</f>
        <v>0</v>
      </c>
      <c r="AL145" s="28" t="n">
        <f aca="false">SUMIF($C$2:$F$2,EOMONTH(AL$2,-1)+1,$C145:$F145)*VLOOKUP(AL$2,ProyDia[],8,0)</f>
        <v>0</v>
      </c>
      <c r="AM145" s="28" t="n">
        <f aca="false">SUMIF($C$2:$F$2,EOMONTH(AM$2,-1)+1,$C145:$F145)*VLOOKUP(AM$2,ProyDia[],8,0)</f>
        <v>0</v>
      </c>
      <c r="AN145" s="28" t="n">
        <f aca="false">SUMIF($C$2:$F$2,EOMONTH(AN$2,-1)+1,$C145:$F145)*VLOOKUP(AN$2,ProyDia[],8,0)</f>
        <v>0</v>
      </c>
      <c r="AO145" s="28" t="n">
        <f aca="false">SUMIF($C$2:$F$2,EOMONTH(AO$2,-1)+1,$C145:$F145)*VLOOKUP(AO$2,ProyDia[],8,0)</f>
        <v>0</v>
      </c>
      <c r="AP145" s="28" t="n">
        <f aca="false">SUMIF($C$2:$F$2,EOMONTH(AP$2,-1)+1,$C145:$F145)*VLOOKUP(AP$2,ProyDia[],8,0)</f>
        <v>0</v>
      </c>
      <c r="AQ145" s="28" t="n">
        <f aca="false">SUMIF($C$2:$F$2,EOMONTH(AQ$2,-1)+1,$C145:$F145)*VLOOKUP(AQ$2,ProyDia[],8,0)</f>
        <v>0</v>
      </c>
      <c r="AR145" s="28" t="n">
        <f aca="false">SUMIF($C$2:$F$2,EOMONTH(AR$2,-1)+1,$C145:$F145)*VLOOKUP(AR$2,ProyDia[],8,0)</f>
        <v>0</v>
      </c>
      <c r="AS145" s="28" t="n">
        <f aca="false">SUMIF($C$2:$F$2,EOMONTH(AS$2,-1)+1,$C145:$F145)*VLOOKUP(AS$2,ProyDia[],8,0)</f>
        <v>0</v>
      </c>
      <c r="AT145" s="28" t="n">
        <f aca="false">SUMIF($C$2:$F$2,EOMONTH(AT$2,-1)+1,$C145:$F145)*VLOOKUP(AT$2,ProyDia[],8,0)</f>
        <v>0</v>
      </c>
      <c r="AU145" s="28" t="n">
        <f aca="false">SUMIF($C$2:$F$2,EOMONTH(AU$2,-1)+1,$C145:$F145)*VLOOKUP(AU$2,ProyDia[],8,0)</f>
        <v>0</v>
      </c>
      <c r="AV145" s="28" t="n">
        <f aca="false">SUMIF($C$2:$F$2,EOMONTH(AV$2,-1)+1,$C145:$F145)*VLOOKUP(AV$2,ProyDia[],8,0)</f>
        <v>0</v>
      </c>
      <c r="AW145" s="28" t="n">
        <f aca="false">SUMIF($C$2:$F$2,EOMONTH(AW$2,-1)+1,$C145:$F145)*VLOOKUP(AW$2,ProyDia[],8,0)</f>
        <v>0</v>
      </c>
      <c r="AX145" s="28" t="n">
        <f aca="false">SUMIF($C$2:$F$2,EOMONTH(AX$2,-1)+1,$C145:$F145)*VLOOKUP(AX$2,ProyDia[],8,0)</f>
        <v>0</v>
      </c>
      <c r="AY145" s="28" t="n">
        <f aca="false">SUMIF($C$2:$F$2,EOMONTH(AY$2,-1)+1,$C145:$F145)*VLOOKUP(AY$2,ProyDia[],8,0)</f>
        <v>0</v>
      </c>
      <c r="AZ145" s="28" t="n">
        <f aca="false">SUMIF($C$2:$F$2,EOMONTH(AZ$2,-1)+1,$C145:$F145)*VLOOKUP(AZ$2,ProyDia[],8,0)</f>
        <v>0</v>
      </c>
      <c r="BA145" s="28" t="n">
        <f aca="false">SUMIF($C$2:$F$2,EOMONTH(BA$2,-1)+1,$C145:$F145)*VLOOKUP(BA$2,ProyDia[],8,0)</f>
        <v>0</v>
      </c>
      <c r="BB145" s="28" t="n">
        <f aca="false">SUMIF($C$2:$F$2,EOMONTH(BB$2,-1)+1,$C145:$F145)*VLOOKUP(BB$2,ProyDia[],8,0)</f>
        <v>0</v>
      </c>
      <c r="BC145" s="28" t="n">
        <f aca="false">SUMIF($C$2:$F$2,EOMONTH(BC$2,-1)+1,$C145:$F145)*VLOOKUP(BC$2,ProyDia[],8,0)</f>
        <v>0</v>
      </c>
      <c r="BD145" s="28" t="n">
        <f aca="false">SUMIF($C$2:$F$2,EOMONTH(BD$2,-1)+1,$C145:$F145)*VLOOKUP(BD$2,ProyDia[],8,0)</f>
        <v>0</v>
      </c>
      <c r="BE145" s="28" t="n">
        <f aca="false">SUMIF($C$2:$F$2,EOMONTH(BE$2,-1)+1,$C145:$F145)*VLOOKUP(BE$2,ProyDia[],8,0)</f>
        <v>0</v>
      </c>
      <c r="BF145" s="28" t="n">
        <f aca="false">SUMIF($C$2:$F$2,EOMONTH(BF$2,-1)+1,$C145:$F145)*VLOOKUP(BF$2,ProyDia[],8,0)</f>
        <v>0</v>
      </c>
      <c r="BG145" s="28" t="n">
        <f aca="false">SUMIF($C$2:$F$2,EOMONTH(BG$2,-1)+1,$C145:$F145)*VLOOKUP(BG$2,ProyDia[],8,0)</f>
        <v>0</v>
      </c>
      <c r="BH145" s="28" t="n">
        <f aca="false">SUMIF($C$2:$F$2,EOMONTH(BH$2,-1)+1,$C145:$F145)*VLOOKUP(BH$2,ProyDia[],8,0)</f>
        <v>0</v>
      </c>
      <c r="BI145" s="28" t="n">
        <f aca="false">SUMIF($C$2:$F$2,EOMONTH(BI$2,-1)+1,$C145:$F145)*VLOOKUP(BI$2,ProyDia[],8,0)</f>
        <v>0</v>
      </c>
      <c r="BJ145" s="28" t="n">
        <f aca="false">SUMIF($C$2:$F$2,EOMONTH(BJ$2,-1)+1,$C145:$F145)*VLOOKUP(BJ$2,ProyDia[],8,0)</f>
        <v>0</v>
      </c>
      <c r="BK145" s="28" t="n">
        <f aca="false">SUMIF($C$2:$F$2,EOMONTH(BK$2,-1)+1,$C145:$F145)*VLOOKUP(BK$2,ProyDia[],8,0)</f>
        <v>0</v>
      </c>
      <c r="BL145" s="28" t="n">
        <f aca="false">SUMIF($C$2:$F$2,EOMONTH(BL$2,-1)+1,$C145:$F145)*VLOOKUP(BL$2,ProyDia[],8,0)</f>
        <v>0</v>
      </c>
      <c r="BM145" s="28" t="n">
        <f aca="false">SUMIF($C$2:$F$2,EOMONTH(BM$2,-1)+1,$C145:$F145)*VLOOKUP(BM$2,ProyDia[],8,0)</f>
        <v>0</v>
      </c>
      <c r="BN145" s="28" t="n">
        <f aca="false">SUMIF($C$2:$F$2,EOMONTH(BN$2,-1)+1,$C145:$F145)*VLOOKUP(BN$2,ProyDia[],8,0)</f>
        <v>0</v>
      </c>
      <c r="BO145" s="28" t="n">
        <f aca="false">SUMIF($C$2:$F$2,EOMONTH(BO$2,-1)+1,$C145:$F145)*VLOOKUP(BO$2,ProyDia[],8,0)</f>
        <v>0</v>
      </c>
      <c r="BP145" s="28" t="n">
        <f aca="false">SUMIF($C$2:$F$2,EOMONTH(BP$2,-1)+1,$C145:$F145)*VLOOKUP(BP$2,ProyDia[],8,0)</f>
        <v>0</v>
      </c>
      <c r="BQ145" s="28" t="n">
        <f aca="false">SUMIF($C$2:$F$2,EOMONTH(BQ$2,-1)+1,$C145:$F145)*VLOOKUP(BQ$2,ProyDia[],8,0)</f>
        <v>0</v>
      </c>
      <c r="BR145" s="28" t="n">
        <f aca="false">SUMIF($C$2:$F$2,EOMONTH(BR$2,-1)+1,$C145:$F145)*VLOOKUP(BR$2,ProyDia[],8,0)</f>
        <v>0</v>
      </c>
      <c r="BS145" s="28" t="n">
        <f aca="false">SUMIF($C$2:$F$2,EOMONTH(BS$2,-1)+1,$C145:$F145)*VLOOKUP(BS$2,ProyDia[],8,0)</f>
        <v>0</v>
      </c>
      <c r="BT145" s="28" t="n">
        <f aca="false">SUMIF($C$2:$F$2,EOMONTH(BT$2,-1)+1,$C145:$F145)*VLOOKUP(BT$2,ProyDia[],8,0)</f>
        <v>0</v>
      </c>
      <c r="BU145" s="28" t="n">
        <f aca="false">SUMIF($C$2:$F$2,EOMONTH(BU$2,-1)+1,$C145:$F145)*VLOOKUP(BU$2,ProyDia[],8,0)</f>
        <v>0</v>
      </c>
      <c r="BV145" s="28" t="n">
        <f aca="false">SUMIF($C$2:$F$2,EOMONTH(BV$2,-1)+1,$C145:$F145)*VLOOKUP(BV$2,ProyDia[],8,0)</f>
        <v>0</v>
      </c>
      <c r="BW145" s="28" t="n">
        <f aca="false">SUMIF($C$2:$F$2,EOMONTH(BW$2,-1)+1,$C145:$F145)*VLOOKUP(BW$2,ProyDia[],8,0)</f>
        <v>0</v>
      </c>
      <c r="BX145" s="28" t="n">
        <f aca="false">SUMIF($C$2:$F$2,EOMONTH(BX$2,-1)+1,$C145:$F145)*VLOOKUP(BX$2,ProyDia[],8,0)</f>
        <v>0</v>
      </c>
      <c r="BY145" s="28" t="n">
        <f aca="false">SUMIF($C$2:$F$2,EOMONTH(BY$2,-1)+1,$C145:$F145)*VLOOKUP(BY$2,ProyDia[],8,0)</f>
        <v>0</v>
      </c>
      <c r="BZ145" s="28" t="n">
        <f aca="false">SUMIF($C$2:$F$2,EOMONTH(BZ$2,-1)+1,$C145:$F145)*VLOOKUP(BZ$2,ProyDia[],8,0)</f>
        <v>0</v>
      </c>
      <c r="CA145" s="28" t="n">
        <f aca="false">SUMIF($C$2:$F$2,EOMONTH(CA$2,-1)+1,$C145:$F145)*VLOOKUP(CA$2,ProyDia[],8,0)</f>
        <v>0</v>
      </c>
      <c r="CB145" s="28" t="n">
        <f aca="false">SUMIF($C$2:$F$2,EOMONTH(CB$2,-1)+1,$C145:$F145)*VLOOKUP(CB$2,ProyDia[],8,0)</f>
        <v>0</v>
      </c>
      <c r="CC145" s="28" t="n">
        <f aca="false">SUMIF($C$2:$F$2,EOMONTH(CC$2,-1)+1,$C145:$F145)*VLOOKUP(CC$2,ProyDia[],8,0)</f>
        <v>0</v>
      </c>
      <c r="CD145" s="28" t="n">
        <f aca="false">SUMIF($C$2:$F$2,EOMONTH(CD$2,-1)+1,$C145:$F145)*VLOOKUP(CD$2,ProyDia[],8,0)</f>
        <v>0</v>
      </c>
      <c r="CE145" s="28" t="n">
        <f aca="false">SUMIF($C$2:$F$2,EOMONTH(CE$2,-1)+1,$C145:$F145)*VLOOKUP(CE$2,ProyDia[],8,0)</f>
        <v>0</v>
      </c>
      <c r="CF145" s="28" t="n">
        <f aca="false">SUMIF($C$2:$F$2,EOMONTH(CF$2,-1)+1,$C145:$F145)*VLOOKUP(CF$2,ProyDia[],8,0)</f>
        <v>0</v>
      </c>
      <c r="CG145" s="28" t="n">
        <f aca="false">SUMIF($C$2:$F$2,EOMONTH(CG$2,-1)+1,$C145:$F145)*VLOOKUP(CG$2,ProyDia[],8,0)</f>
        <v>0</v>
      </c>
      <c r="CH145" s="28" t="n">
        <f aca="false">SUMIF($C$2:$F$2,EOMONTH(CH$2,-1)+1,$C145:$F145)*VLOOKUP(CH$2,ProyDia[],8,0)</f>
        <v>0</v>
      </c>
      <c r="CI145" s="28" t="n">
        <f aca="false">SUMIF($C$2:$F$2,EOMONTH(CI$2,-1)+1,$C145:$F145)*VLOOKUP(CI$2,ProyDia[],8,0)</f>
        <v>0</v>
      </c>
      <c r="CJ145" s="28" t="n">
        <f aca="false">SUMIF($C$2:$F$2,EOMONTH(CJ$2,-1)+1,$C145:$F145)*VLOOKUP(CJ$2,ProyDia[],8,0)</f>
        <v>0</v>
      </c>
      <c r="CK145" s="28" t="n">
        <f aca="false">SUMIF($C$2:$F$2,EOMONTH(CK$2,-1)+1,$C145:$F145)*VLOOKUP(CK$2,ProyDia[],8,0)</f>
        <v>0</v>
      </c>
      <c r="CL145" s="28" t="n">
        <f aca="false">SUMIF($C$2:$F$2,EOMONTH(CL$2,-1)+1,$C145:$F145)*VLOOKUP(CL$2,ProyDia[],8,0)</f>
        <v>0</v>
      </c>
      <c r="CM145" s="28" t="n">
        <f aca="false">SUMIF($C$2:$F$2,EOMONTH(CM$2,-1)+1,$C145:$F145)*VLOOKUP(CM$2,ProyDia[],8,0)</f>
        <v>0</v>
      </c>
      <c r="CN145" s="28" t="n">
        <f aca="false">SUMIF($C$2:$F$2,EOMONTH(CN$2,-1)+1,$C145:$F145)*VLOOKUP(CN$2,ProyDia[],8,0)</f>
        <v>0</v>
      </c>
      <c r="CO145" s="28" t="n">
        <f aca="false">SUMIF($C$2:$F$2,EOMONTH(CO$2,-1)+1,$C145:$F145)*VLOOKUP(CO$2,ProyDia[],8,0)</f>
        <v>0</v>
      </c>
      <c r="CP145" s="28" t="n">
        <f aca="false">SUMIF($C$2:$F$2,EOMONTH(CP$2,-1)+1,$C145:$F145)*VLOOKUP(CP$2,ProyDia[],8,0)</f>
        <v>0</v>
      </c>
      <c r="CQ145" s="28" t="n">
        <f aca="false">SUMIF($C$2:$F$2,EOMONTH(CQ$2,-1)+1,$C145:$F145)*VLOOKUP(CQ$2,ProyDia[],8,0)</f>
        <v>0</v>
      </c>
      <c r="CR145" s="28" t="n">
        <f aca="false">SUMIF($C$2:$F$2,EOMONTH(CR$2,-1)+1,$C145:$F145)*VLOOKUP(CR$2,ProyDia[],8,0)</f>
        <v>0</v>
      </c>
      <c r="CS145" s="28" t="n">
        <f aca="false">SUMIF($C$2:$F$2,EOMONTH(CS$2,-1)+1,$C145:$F145)*VLOOKUP(CS$2,ProyDia[],8,0)</f>
        <v>0</v>
      </c>
      <c r="CT145" s="28" t="n">
        <f aca="false">SUMIF($C$2:$F$2,EOMONTH(CT$2,-1)+1,$C145:$F145)*VLOOKUP(CT$2,ProyDia[],8,0)</f>
        <v>0</v>
      </c>
      <c r="CU145" s="28" t="n">
        <f aca="false">SUMIF($C$2:$F$2,EOMONTH(CU$2,-1)+1,$C145:$F145)*VLOOKUP(CU$2,ProyDia[],8,0)</f>
        <v>0</v>
      </c>
      <c r="CV145" s="28" t="n">
        <f aca="false">SUMIF($C$2:$F$2,EOMONTH(CV$2,-1)+1,$C145:$F145)*VLOOKUP(CV$2,ProyDia[],8,0)</f>
        <v>0</v>
      </c>
      <c r="CW145" s="28" t="n">
        <f aca="false">SUMIF($C$2:$F$2,EOMONTH(CW$2,-1)+1,$C145:$F145)*VLOOKUP(CW$2,ProyDia[],8,0)</f>
        <v>0</v>
      </c>
      <c r="CX145" s="28" t="n">
        <f aca="false">SUMIF($C$2:$F$2,EOMONTH(CX$2,-1)+1,$C145:$F145)*VLOOKUP(CX$2,ProyDia[],8,0)</f>
        <v>0</v>
      </c>
      <c r="CY145" s="28" t="n">
        <f aca="false">SUMIF($C$2:$F$2,EOMONTH(CY$2,-1)+1,$C145:$F145)*VLOOKUP(CY$2,ProyDia[],8,0)</f>
        <v>0</v>
      </c>
      <c r="CZ145" s="28" t="n">
        <f aca="false">SUMIF($C$2:$F$2,EOMONTH(CZ$2,-1)+1,$C145:$F145)*VLOOKUP(CZ$2,ProyDia[],8,0)</f>
        <v>0</v>
      </c>
      <c r="DA145" s="28" t="n">
        <f aca="false">SUMIF($C$2:$F$2,EOMONTH(DA$2,-1)+1,$C145:$F145)*VLOOKUP(DA$2,ProyDia[],8,0)</f>
        <v>0</v>
      </c>
      <c r="DB145" s="28" t="n">
        <f aca="false">SUMIF($C$2:$F$2,EOMONTH(DB$2,-1)+1,$C145:$F145)*VLOOKUP(DB$2,ProyDia[],8,0)</f>
        <v>0</v>
      </c>
      <c r="DC145" s="28" t="n">
        <f aca="false">SUMIF($C$2:$F$2,EOMONTH(DC$2,-1)+1,$C145:$F145)*VLOOKUP(DC$2,ProyDia[],8,0)</f>
        <v>0</v>
      </c>
      <c r="DD145" s="28" t="n">
        <f aca="false">SUMIF($C$2:$F$2,EOMONTH(DD$2,-1)+1,$C145:$F145)*VLOOKUP(DD$2,ProyDia[],8,0)</f>
        <v>0</v>
      </c>
      <c r="DE145" s="28" t="n">
        <f aca="false">SUMIF($C$2:$F$2,EOMONTH(DE$2,-1)+1,$C145:$F145)*VLOOKUP(DE$2,ProyDia[],8,0)</f>
        <v>0</v>
      </c>
      <c r="DF145" s="28" t="n">
        <f aca="false">SUMIF($C$2:$F$2,EOMONTH(DF$2,-1)+1,$C145:$F145)*VLOOKUP(DF$2,ProyDia[],8,0)</f>
        <v>0</v>
      </c>
      <c r="DG145" s="28" t="n">
        <f aca="false">SUMIF($C$2:$F$2,EOMONTH(DG$2,-1)+1,$C145:$F145)*VLOOKUP(DG$2,ProyDia[],8,0)</f>
        <v>0</v>
      </c>
      <c r="DH145" s="28" t="n">
        <f aca="false">SUMIF($C$2:$F$2,EOMONTH(DH$2,-1)+1,$C145:$F145)*VLOOKUP(DH$2,ProyDia[],8,0)</f>
        <v>0</v>
      </c>
      <c r="DI145" s="28" t="n">
        <f aca="false">SUMIF($C$2:$F$2,EOMONTH(DI$2,-1)+1,$C145:$F145)*VLOOKUP(DI$2,ProyDia[],8,0)</f>
        <v>0</v>
      </c>
      <c r="DJ145" s="28" t="n">
        <f aca="false">SUMIF($C$2:$F$2,EOMONTH(DJ$2,-1)+1,$C145:$F145)*VLOOKUP(DJ$2,ProyDia[],8,0)</f>
        <v>0</v>
      </c>
      <c r="DK145" s="28" t="n">
        <f aca="false">SUMIF($C$2:$F$2,EOMONTH(DK$2,-1)+1,$C145:$F145)*VLOOKUP(DK$2,ProyDia[],8,0)</f>
        <v>0</v>
      </c>
      <c r="DL145" s="28" t="n">
        <f aca="false">SUMIF($C$2:$F$2,EOMONTH(DL$2,-1)+1,$C145:$F145)*VLOOKUP(DL$2,ProyDia[],8,0)</f>
        <v>0</v>
      </c>
      <c r="DM145" s="28" t="n">
        <f aca="false">SUMIF($C$2:$F$2,EOMONTH(DM$2,-1)+1,$C145:$F145)*VLOOKUP(DM$2,ProyDia[],8,0)</f>
        <v>0</v>
      </c>
      <c r="DN145" s="28" t="n">
        <f aca="false">SUMIF($C$2:$F$2,EOMONTH(DN$2,-1)+1,$C145:$F145)*VLOOKUP(DN$2,ProyDia[],8,0)</f>
        <v>0</v>
      </c>
      <c r="DO145" s="28" t="n">
        <f aca="false">SUMIF($C$2:$F$2,EOMONTH(DO$2,-1)+1,$C145:$F145)*VLOOKUP(DO$2,ProyDia[],8,0)</f>
        <v>0</v>
      </c>
      <c r="DP145" s="28" t="n">
        <f aca="false">SUMIF($C$2:$F$2,EOMONTH(DP$2,-1)+1,$C145:$F145)*VLOOKUP(DP$2,ProyDia[],8,0)</f>
        <v>0</v>
      </c>
      <c r="DQ145" s="28" t="n">
        <f aca="false">SUMIF($C$2:$F$2,EOMONTH(DQ$2,-1)+1,$C145:$F145)*VLOOKUP(DQ$2,ProyDia[],8,0)</f>
        <v>0</v>
      </c>
      <c r="DR145" s="28" t="n">
        <f aca="false">SUMIF($C$2:$F$2,EOMONTH(DR$2,-1)+1,$C145:$F145)*VLOOKUP(DR$2,ProyDia[],8,0)</f>
        <v>0</v>
      </c>
      <c r="DS145" s="28" t="n">
        <f aca="false">SUMIF($C$2:$F$2,EOMONTH(DS$2,-1)+1,$C145:$F145)*VLOOKUP(DS$2,ProyDia[],8,0)</f>
        <v>0</v>
      </c>
      <c r="DT145" s="28" t="n">
        <f aca="false">SUMIF($C$2:$F$2,EOMONTH(DT$2,-1)+1,$C145:$F145)*VLOOKUP(DT$2,ProyDia[],8,0)</f>
        <v>0</v>
      </c>
      <c r="DU145" s="28" t="n">
        <f aca="false">SUMIF($C$2:$F$2,EOMONTH(DU$2,-1)+1,$C145:$F145)*VLOOKUP(DU$2,ProyDia[],8,0)</f>
        <v>0</v>
      </c>
      <c r="DV145" s="28" t="n">
        <f aca="false">SUMIF($C$2:$F$2,EOMONTH(DV$2,-1)+1,$C145:$F145)*VLOOKUP(DV$2,ProyDia[],8,0)</f>
        <v>0</v>
      </c>
      <c r="DW145" s="28" t="n">
        <f aca="false">SUMIF($C$2:$F$2,EOMONTH(DW$2,-1)+1,$C145:$F145)*VLOOKUP(DW$2,ProyDia[],8,0)</f>
        <v>0</v>
      </c>
      <c r="DX145" s="28" t="n">
        <f aca="false">SUMIF($C$2:$F$2,EOMONTH(DX$2,-1)+1,$C145:$F145)*VLOOKUP(DX$2,ProyDia[],8,0)</f>
        <v>0</v>
      </c>
    </row>
    <row r="146" customFormat="false" ht="14.4" hidden="false" customHeight="false" outlineLevel="0" collapsed="false">
      <c r="A146" s="35"/>
      <c r="B146" s="35"/>
      <c r="C146" s="35"/>
      <c r="D146" s="35"/>
      <c r="E146" s="35"/>
      <c r="F146" s="35"/>
      <c r="G146" s="36" t="n">
        <f aca="false">SUMIF($C$2:$F$2,EOMONTH(G$2,-1)+1,$C146:$F146)*VLOOKUP(G$2,ProyDia[],8,0)</f>
        <v>0</v>
      </c>
      <c r="H146" s="36" t="n">
        <f aca="false">SUMIF($C$2:$F$2,EOMONTH(H$2,-1)+1,$C146:$F146)*VLOOKUP(H$2,ProyDia[],8,0)</f>
        <v>0</v>
      </c>
      <c r="I146" s="36" t="n">
        <f aca="false">SUMIF($C$2:$F$2,EOMONTH(I$2,-1)+1,$C146:$F146)*VLOOKUP(I$2,ProyDia[],8,0)</f>
        <v>0</v>
      </c>
      <c r="J146" s="36" t="n">
        <f aca="false">SUMIF($C$2:$F$2,EOMONTH(J$2,-1)+1,$C146:$F146)*VLOOKUP(J$2,ProyDia[],8,0)</f>
        <v>0</v>
      </c>
      <c r="K146" s="36" t="n">
        <f aca="false">SUMIF($C$2:$F$2,EOMONTH(K$2,-1)+1,$C146:$F146)*VLOOKUP(K$2,ProyDia[],8,0)</f>
        <v>0</v>
      </c>
      <c r="L146" s="36" t="n">
        <f aca="false">SUMIF($C$2:$F$2,EOMONTH(L$2,-1)+1,$C146:$F146)*VLOOKUP(L$2,ProyDia[],8,0)</f>
        <v>0</v>
      </c>
      <c r="M146" s="36" t="n">
        <f aca="false">SUMIF($C$2:$F$2,EOMONTH(M$2,-1)+1,$C146:$F146)*VLOOKUP(M$2,ProyDia[],8,0)</f>
        <v>0</v>
      </c>
      <c r="N146" s="36" t="n">
        <f aca="false">SUMIF($C$2:$F$2,EOMONTH(N$2,-1)+1,$C146:$F146)*VLOOKUP(N$2,ProyDia[],8,0)</f>
        <v>0</v>
      </c>
      <c r="O146" s="36" t="n">
        <f aca="false">SUMIF($C$2:$F$2,EOMONTH(O$2,-1)+1,$C146:$F146)*VLOOKUP(O$2,ProyDia[],8,0)</f>
        <v>0</v>
      </c>
      <c r="P146" s="36" t="n">
        <f aca="false">SUMIF($C$2:$F$2,EOMONTH(P$2,-1)+1,$C146:$F146)*VLOOKUP(P$2,ProyDia[],8,0)</f>
        <v>0</v>
      </c>
      <c r="Q146" s="36" t="n">
        <f aca="false">SUMIF($C$2:$F$2,EOMONTH(Q$2,-1)+1,$C146:$F146)*VLOOKUP(Q$2,ProyDia[],8,0)</f>
        <v>0</v>
      </c>
      <c r="R146" s="36" t="n">
        <f aca="false">SUMIF($C$2:$F$2,EOMONTH(R$2,-1)+1,$C146:$F146)*VLOOKUP(R$2,ProyDia[],8,0)</f>
        <v>0</v>
      </c>
      <c r="S146" s="36" t="n">
        <f aca="false">SUMIF($C$2:$F$2,EOMONTH(S$2,-1)+1,$C146:$F146)*VLOOKUP(S$2,ProyDia[],8,0)</f>
        <v>0</v>
      </c>
      <c r="T146" s="36" t="n">
        <f aca="false">SUMIF($C$2:$F$2,EOMONTH(T$2,-1)+1,$C146:$F146)*VLOOKUP(T$2,ProyDia[],8,0)</f>
        <v>0</v>
      </c>
      <c r="U146" s="36" t="n">
        <f aca="false">SUMIF($C$2:$F$2,EOMONTH(U$2,-1)+1,$C146:$F146)*VLOOKUP(U$2,ProyDia[],8,0)</f>
        <v>0</v>
      </c>
      <c r="V146" s="36" t="n">
        <f aca="false">SUMIF($C$2:$F$2,EOMONTH(V$2,-1)+1,$C146:$F146)*VLOOKUP(V$2,ProyDia[],8,0)</f>
        <v>0</v>
      </c>
      <c r="W146" s="36" t="n">
        <f aca="false">SUMIF($C$2:$F$2,EOMONTH(W$2,-1)+1,$C146:$F146)*VLOOKUP(W$2,ProyDia[],8,0)</f>
        <v>0</v>
      </c>
      <c r="X146" s="36" t="n">
        <f aca="false">SUMIF($C$2:$F$2,EOMONTH(X$2,-1)+1,$C146:$F146)*VLOOKUP(X$2,ProyDia[],8,0)</f>
        <v>0</v>
      </c>
      <c r="Y146" s="36" t="n">
        <f aca="false">SUMIF($C$2:$F$2,EOMONTH(Y$2,-1)+1,$C146:$F146)*VLOOKUP(Y$2,ProyDia[],8,0)</f>
        <v>0</v>
      </c>
      <c r="Z146" s="36" t="n">
        <f aca="false">SUMIF($C$2:$F$2,EOMONTH(Z$2,-1)+1,$C146:$F146)*VLOOKUP(Z$2,ProyDia[],8,0)</f>
        <v>0</v>
      </c>
      <c r="AA146" s="36" t="n">
        <f aca="false">SUMIF($C$2:$F$2,EOMONTH(AA$2,-1)+1,$C146:$F146)*VLOOKUP(AA$2,ProyDia[],8,0)</f>
        <v>0</v>
      </c>
      <c r="AB146" s="36" t="n">
        <f aca="false">SUMIF($C$2:$F$2,EOMONTH(AB$2,-1)+1,$C146:$F146)*VLOOKUP(AB$2,ProyDia[],8,0)</f>
        <v>0</v>
      </c>
      <c r="AC146" s="36" t="n">
        <f aca="false">SUMIF($C$2:$F$2,EOMONTH(AC$2,-1)+1,$C146:$F146)*VLOOKUP(AC$2,ProyDia[],8,0)</f>
        <v>0</v>
      </c>
      <c r="AD146" s="36" t="n">
        <f aca="false">SUMIF($C$2:$F$2,EOMONTH(AD$2,-1)+1,$C146:$F146)*VLOOKUP(AD$2,ProyDia[],8,0)</f>
        <v>0</v>
      </c>
      <c r="AE146" s="36" t="n">
        <f aca="false">SUMIF($C$2:$F$2,EOMONTH(AE$2,-1)+1,$C146:$F146)*VLOOKUP(AE$2,ProyDia[],8,0)</f>
        <v>0</v>
      </c>
      <c r="AF146" s="36" t="n">
        <f aca="false">SUMIF($C$2:$F$2,EOMONTH(AF$2,-1)+1,$C146:$F146)*VLOOKUP(AF$2,ProyDia[],8,0)</f>
        <v>0</v>
      </c>
      <c r="AG146" s="36" t="n">
        <f aca="false">SUMIF($C$2:$F$2,EOMONTH(AG$2,-1)+1,$C146:$F146)*VLOOKUP(AG$2,ProyDia[],8,0)</f>
        <v>0</v>
      </c>
      <c r="AH146" s="36" t="n">
        <f aca="false">SUMIF($C$2:$F$2,EOMONTH(AH$2,-1)+1,$C146:$F146)*VLOOKUP(AH$2,ProyDia[],8,0)</f>
        <v>0</v>
      </c>
      <c r="AI146" s="36" t="n">
        <f aca="false">SUMIF($C$2:$F$2,EOMONTH(AI$2,-1)+1,$C146:$F146)*VLOOKUP(AI$2,ProyDia[],8,0)</f>
        <v>0</v>
      </c>
      <c r="AJ146" s="36" t="n">
        <f aca="false">SUMIF($C$2:$F$2,EOMONTH(AJ$2,-1)+1,$C146:$F146)*VLOOKUP(AJ$2,ProyDia[],8,0)</f>
        <v>0</v>
      </c>
      <c r="AK146" s="36" t="n">
        <f aca="false">SUMIF($C$2:$F$2,EOMONTH(AK$2,-1)+1,$C146:$F146)*VLOOKUP(AK$2,ProyDia[],8,0)</f>
        <v>0</v>
      </c>
      <c r="AL146" s="36" t="n">
        <f aca="false">SUMIF($C$2:$F$2,EOMONTH(AL$2,-1)+1,$C146:$F146)*VLOOKUP(AL$2,ProyDia[],8,0)</f>
        <v>0</v>
      </c>
      <c r="AM146" s="36" t="n">
        <f aca="false">SUMIF($C$2:$F$2,EOMONTH(AM$2,-1)+1,$C146:$F146)*VLOOKUP(AM$2,ProyDia[],8,0)</f>
        <v>0</v>
      </c>
      <c r="AN146" s="36" t="n">
        <f aca="false">SUMIF($C$2:$F$2,EOMONTH(AN$2,-1)+1,$C146:$F146)*VLOOKUP(AN$2,ProyDia[],8,0)</f>
        <v>0</v>
      </c>
      <c r="AO146" s="36" t="n">
        <f aca="false">SUMIF($C$2:$F$2,EOMONTH(AO$2,-1)+1,$C146:$F146)*VLOOKUP(AO$2,ProyDia[],8,0)</f>
        <v>0</v>
      </c>
      <c r="AP146" s="36" t="n">
        <f aca="false">SUMIF($C$2:$F$2,EOMONTH(AP$2,-1)+1,$C146:$F146)*VLOOKUP(AP$2,ProyDia[],8,0)</f>
        <v>0</v>
      </c>
      <c r="AQ146" s="36" t="n">
        <f aca="false">SUMIF($C$2:$F$2,EOMONTH(AQ$2,-1)+1,$C146:$F146)*VLOOKUP(AQ$2,ProyDia[],8,0)</f>
        <v>0</v>
      </c>
      <c r="AR146" s="36" t="n">
        <f aca="false">SUMIF($C$2:$F$2,EOMONTH(AR$2,-1)+1,$C146:$F146)*VLOOKUP(AR$2,ProyDia[],8,0)</f>
        <v>0</v>
      </c>
      <c r="AS146" s="36" t="n">
        <f aca="false">SUMIF($C$2:$F$2,EOMONTH(AS$2,-1)+1,$C146:$F146)*VLOOKUP(AS$2,ProyDia[],8,0)</f>
        <v>0</v>
      </c>
      <c r="AT146" s="36" t="n">
        <f aca="false">SUMIF($C$2:$F$2,EOMONTH(AT$2,-1)+1,$C146:$F146)*VLOOKUP(AT$2,ProyDia[],8,0)</f>
        <v>0</v>
      </c>
      <c r="AU146" s="36" t="n">
        <f aca="false">SUMIF($C$2:$F$2,EOMONTH(AU$2,-1)+1,$C146:$F146)*VLOOKUP(AU$2,ProyDia[],8,0)</f>
        <v>0</v>
      </c>
      <c r="AV146" s="36" t="n">
        <f aca="false">SUMIF($C$2:$F$2,EOMONTH(AV$2,-1)+1,$C146:$F146)*VLOOKUP(AV$2,ProyDia[],8,0)</f>
        <v>0</v>
      </c>
      <c r="AW146" s="36" t="n">
        <f aca="false">SUMIF($C$2:$F$2,EOMONTH(AW$2,-1)+1,$C146:$F146)*VLOOKUP(AW$2,ProyDia[],8,0)</f>
        <v>0</v>
      </c>
      <c r="AX146" s="36" t="n">
        <f aca="false">SUMIF($C$2:$F$2,EOMONTH(AX$2,-1)+1,$C146:$F146)*VLOOKUP(AX$2,ProyDia[],8,0)</f>
        <v>0</v>
      </c>
      <c r="AY146" s="36" t="n">
        <f aca="false">SUMIF($C$2:$F$2,EOMONTH(AY$2,-1)+1,$C146:$F146)*VLOOKUP(AY$2,ProyDia[],8,0)</f>
        <v>0</v>
      </c>
      <c r="AZ146" s="36" t="n">
        <f aca="false">SUMIF($C$2:$F$2,EOMONTH(AZ$2,-1)+1,$C146:$F146)*VLOOKUP(AZ$2,ProyDia[],8,0)</f>
        <v>0</v>
      </c>
      <c r="BA146" s="36" t="n">
        <f aca="false">SUMIF($C$2:$F$2,EOMONTH(BA$2,-1)+1,$C146:$F146)*VLOOKUP(BA$2,ProyDia[],8,0)</f>
        <v>0</v>
      </c>
      <c r="BB146" s="36" t="n">
        <f aca="false">SUMIF($C$2:$F$2,EOMONTH(BB$2,-1)+1,$C146:$F146)*VLOOKUP(BB$2,ProyDia[],8,0)</f>
        <v>0</v>
      </c>
      <c r="BC146" s="36" t="n">
        <f aca="false">SUMIF($C$2:$F$2,EOMONTH(BC$2,-1)+1,$C146:$F146)*VLOOKUP(BC$2,ProyDia[],8,0)</f>
        <v>0</v>
      </c>
      <c r="BD146" s="36" t="n">
        <f aca="false">SUMIF($C$2:$F$2,EOMONTH(BD$2,-1)+1,$C146:$F146)*VLOOKUP(BD$2,ProyDia[],8,0)</f>
        <v>0</v>
      </c>
      <c r="BE146" s="36" t="n">
        <f aca="false">SUMIF($C$2:$F$2,EOMONTH(BE$2,-1)+1,$C146:$F146)*VLOOKUP(BE$2,ProyDia[],8,0)</f>
        <v>0</v>
      </c>
      <c r="BF146" s="36" t="n">
        <f aca="false">SUMIF($C$2:$F$2,EOMONTH(BF$2,-1)+1,$C146:$F146)*VLOOKUP(BF$2,ProyDia[],8,0)</f>
        <v>0</v>
      </c>
      <c r="BG146" s="36" t="n">
        <f aca="false">SUMIF($C$2:$F$2,EOMONTH(BG$2,-1)+1,$C146:$F146)*VLOOKUP(BG$2,ProyDia[],8,0)</f>
        <v>0</v>
      </c>
      <c r="BH146" s="36" t="n">
        <f aca="false">SUMIF($C$2:$F$2,EOMONTH(BH$2,-1)+1,$C146:$F146)*VLOOKUP(BH$2,ProyDia[],8,0)</f>
        <v>0</v>
      </c>
      <c r="BI146" s="36" t="n">
        <f aca="false">SUMIF($C$2:$F$2,EOMONTH(BI$2,-1)+1,$C146:$F146)*VLOOKUP(BI$2,ProyDia[],8,0)</f>
        <v>0</v>
      </c>
      <c r="BJ146" s="36" t="n">
        <f aca="false">SUMIF($C$2:$F$2,EOMONTH(BJ$2,-1)+1,$C146:$F146)*VLOOKUP(BJ$2,ProyDia[],8,0)</f>
        <v>0</v>
      </c>
      <c r="BK146" s="36" t="n">
        <f aca="false">SUMIF($C$2:$F$2,EOMONTH(BK$2,-1)+1,$C146:$F146)*VLOOKUP(BK$2,ProyDia[],8,0)</f>
        <v>0</v>
      </c>
      <c r="BL146" s="36" t="n">
        <f aca="false">SUMIF($C$2:$F$2,EOMONTH(BL$2,-1)+1,$C146:$F146)*VLOOKUP(BL$2,ProyDia[],8,0)</f>
        <v>0</v>
      </c>
      <c r="BM146" s="36" t="n">
        <f aca="false">SUMIF($C$2:$F$2,EOMONTH(BM$2,-1)+1,$C146:$F146)*VLOOKUP(BM$2,ProyDia[],8,0)</f>
        <v>0</v>
      </c>
      <c r="BN146" s="36" t="n">
        <f aca="false">SUMIF($C$2:$F$2,EOMONTH(BN$2,-1)+1,$C146:$F146)*VLOOKUP(BN$2,ProyDia[],8,0)</f>
        <v>0</v>
      </c>
      <c r="BO146" s="36" t="n">
        <f aca="false">SUMIF($C$2:$F$2,EOMONTH(BO$2,-1)+1,$C146:$F146)*VLOOKUP(BO$2,ProyDia[],8,0)</f>
        <v>0</v>
      </c>
      <c r="BP146" s="36" t="n">
        <f aca="false">SUMIF($C$2:$F$2,EOMONTH(BP$2,-1)+1,$C146:$F146)*VLOOKUP(BP$2,ProyDia[],8,0)</f>
        <v>0</v>
      </c>
      <c r="BQ146" s="36" t="n">
        <f aca="false">SUMIF($C$2:$F$2,EOMONTH(BQ$2,-1)+1,$C146:$F146)*VLOOKUP(BQ$2,ProyDia[],8,0)</f>
        <v>0</v>
      </c>
      <c r="BR146" s="36" t="n">
        <f aca="false">SUMIF($C$2:$F$2,EOMONTH(BR$2,-1)+1,$C146:$F146)*VLOOKUP(BR$2,ProyDia[],8,0)</f>
        <v>0</v>
      </c>
      <c r="BS146" s="36" t="n">
        <f aca="false">SUMIF($C$2:$F$2,EOMONTH(BS$2,-1)+1,$C146:$F146)*VLOOKUP(BS$2,ProyDia[],8,0)</f>
        <v>0</v>
      </c>
      <c r="BT146" s="36" t="n">
        <f aca="false">SUMIF($C$2:$F$2,EOMONTH(BT$2,-1)+1,$C146:$F146)*VLOOKUP(BT$2,ProyDia[],8,0)</f>
        <v>0</v>
      </c>
      <c r="BU146" s="36" t="n">
        <f aca="false">SUMIF($C$2:$F$2,EOMONTH(BU$2,-1)+1,$C146:$F146)*VLOOKUP(BU$2,ProyDia[],8,0)</f>
        <v>0</v>
      </c>
      <c r="BV146" s="36" t="n">
        <f aca="false">SUMIF($C$2:$F$2,EOMONTH(BV$2,-1)+1,$C146:$F146)*VLOOKUP(BV$2,ProyDia[],8,0)</f>
        <v>0</v>
      </c>
      <c r="BW146" s="36" t="n">
        <f aca="false">SUMIF($C$2:$F$2,EOMONTH(BW$2,-1)+1,$C146:$F146)*VLOOKUP(BW$2,ProyDia[],8,0)</f>
        <v>0</v>
      </c>
      <c r="BX146" s="36" t="n">
        <f aca="false">SUMIF($C$2:$F$2,EOMONTH(BX$2,-1)+1,$C146:$F146)*VLOOKUP(BX$2,ProyDia[],8,0)</f>
        <v>0</v>
      </c>
      <c r="BY146" s="36" t="n">
        <f aca="false">SUMIF($C$2:$F$2,EOMONTH(BY$2,-1)+1,$C146:$F146)*VLOOKUP(BY$2,ProyDia[],8,0)</f>
        <v>0</v>
      </c>
      <c r="BZ146" s="36" t="n">
        <f aca="false">SUMIF($C$2:$F$2,EOMONTH(BZ$2,-1)+1,$C146:$F146)*VLOOKUP(BZ$2,ProyDia[],8,0)</f>
        <v>0</v>
      </c>
      <c r="CA146" s="36" t="n">
        <f aca="false">SUMIF($C$2:$F$2,EOMONTH(CA$2,-1)+1,$C146:$F146)*VLOOKUP(CA$2,ProyDia[],8,0)</f>
        <v>0</v>
      </c>
      <c r="CB146" s="36" t="n">
        <f aca="false">SUMIF($C$2:$F$2,EOMONTH(CB$2,-1)+1,$C146:$F146)*VLOOKUP(CB$2,ProyDia[],8,0)</f>
        <v>0</v>
      </c>
      <c r="CC146" s="36" t="n">
        <f aca="false">SUMIF($C$2:$F$2,EOMONTH(CC$2,-1)+1,$C146:$F146)*VLOOKUP(CC$2,ProyDia[],8,0)</f>
        <v>0</v>
      </c>
      <c r="CD146" s="36" t="n">
        <f aca="false">SUMIF($C$2:$F$2,EOMONTH(CD$2,-1)+1,$C146:$F146)*VLOOKUP(CD$2,ProyDia[],8,0)</f>
        <v>0</v>
      </c>
      <c r="CE146" s="36" t="n">
        <f aca="false">SUMIF($C$2:$F$2,EOMONTH(CE$2,-1)+1,$C146:$F146)*VLOOKUP(CE$2,ProyDia[],8,0)</f>
        <v>0</v>
      </c>
      <c r="CF146" s="36" t="n">
        <f aca="false">SUMIF($C$2:$F$2,EOMONTH(CF$2,-1)+1,$C146:$F146)*VLOOKUP(CF$2,ProyDia[],8,0)</f>
        <v>0</v>
      </c>
      <c r="CG146" s="36" t="n">
        <f aca="false">SUMIF($C$2:$F$2,EOMONTH(CG$2,-1)+1,$C146:$F146)*VLOOKUP(CG$2,ProyDia[],8,0)</f>
        <v>0</v>
      </c>
      <c r="CH146" s="36" t="n">
        <f aca="false">SUMIF($C$2:$F$2,EOMONTH(CH$2,-1)+1,$C146:$F146)*VLOOKUP(CH$2,ProyDia[],8,0)</f>
        <v>0</v>
      </c>
      <c r="CI146" s="36" t="n">
        <f aca="false">SUMIF($C$2:$F$2,EOMONTH(CI$2,-1)+1,$C146:$F146)*VLOOKUP(CI$2,ProyDia[],8,0)</f>
        <v>0</v>
      </c>
      <c r="CJ146" s="36" t="n">
        <f aca="false">SUMIF($C$2:$F$2,EOMONTH(CJ$2,-1)+1,$C146:$F146)*VLOOKUP(CJ$2,ProyDia[],8,0)</f>
        <v>0</v>
      </c>
      <c r="CK146" s="36" t="n">
        <f aca="false">SUMIF($C$2:$F$2,EOMONTH(CK$2,-1)+1,$C146:$F146)*VLOOKUP(CK$2,ProyDia[],8,0)</f>
        <v>0</v>
      </c>
      <c r="CL146" s="36" t="n">
        <f aca="false">SUMIF($C$2:$F$2,EOMONTH(CL$2,-1)+1,$C146:$F146)*VLOOKUP(CL$2,ProyDia[],8,0)</f>
        <v>0</v>
      </c>
      <c r="CM146" s="36" t="n">
        <f aca="false">SUMIF($C$2:$F$2,EOMONTH(CM$2,-1)+1,$C146:$F146)*VLOOKUP(CM$2,ProyDia[],8,0)</f>
        <v>0</v>
      </c>
      <c r="CN146" s="36" t="n">
        <f aca="false">SUMIF($C$2:$F$2,EOMONTH(CN$2,-1)+1,$C146:$F146)*VLOOKUP(CN$2,ProyDia[],8,0)</f>
        <v>0</v>
      </c>
      <c r="CO146" s="36" t="n">
        <f aca="false">SUMIF($C$2:$F$2,EOMONTH(CO$2,-1)+1,$C146:$F146)*VLOOKUP(CO$2,ProyDia[],8,0)</f>
        <v>0</v>
      </c>
      <c r="CP146" s="36" t="n">
        <f aca="false">SUMIF($C$2:$F$2,EOMONTH(CP$2,-1)+1,$C146:$F146)*VLOOKUP(CP$2,ProyDia[],8,0)</f>
        <v>0</v>
      </c>
      <c r="CQ146" s="36" t="n">
        <f aca="false">SUMIF($C$2:$F$2,EOMONTH(CQ$2,-1)+1,$C146:$F146)*VLOOKUP(CQ$2,ProyDia[],8,0)</f>
        <v>0</v>
      </c>
      <c r="CR146" s="36" t="n">
        <f aca="false">SUMIF($C$2:$F$2,EOMONTH(CR$2,-1)+1,$C146:$F146)*VLOOKUP(CR$2,ProyDia[],8,0)</f>
        <v>0</v>
      </c>
      <c r="CS146" s="36" t="n">
        <f aca="false">SUMIF($C$2:$F$2,EOMONTH(CS$2,-1)+1,$C146:$F146)*VLOOKUP(CS$2,ProyDia[],8,0)</f>
        <v>0</v>
      </c>
      <c r="CT146" s="36" t="n">
        <f aca="false">SUMIF($C$2:$F$2,EOMONTH(CT$2,-1)+1,$C146:$F146)*VLOOKUP(CT$2,ProyDia[],8,0)</f>
        <v>0</v>
      </c>
      <c r="CU146" s="36" t="n">
        <f aca="false">SUMIF($C$2:$F$2,EOMONTH(CU$2,-1)+1,$C146:$F146)*VLOOKUP(CU$2,ProyDia[],8,0)</f>
        <v>0</v>
      </c>
      <c r="CV146" s="36" t="n">
        <f aca="false">SUMIF($C$2:$F$2,EOMONTH(CV$2,-1)+1,$C146:$F146)*VLOOKUP(CV$2,ProyDia[],8,0)</f>
        <v>0</v>
      </c>
      <c r="CW146" s="36" t="n">
        <f aca="false">SUMIF($C$2:$F$2,EOMONTH(CW$2,-1)+1,$C146:$F146)*VLOOKUP(CW$2,ProyDia[],8,0)</f>
        <v>0</v>
      </c>
      <c r="CX146" s="36" t="n">
        <f aca="false">SUMIF($C$2:$F$2,EOMONTH(CX$2,-1)+1,$C146:$F146)*VLOOKUP(CX$2,ProyDia[],8,0)</f>
        <v>0</v>
      </c>
      <c r="CY146" s="36" t="n">
        <f aca="false">SUMIF($C$2:$F$2,EOMONTH(CY$2,-1)+1,$C146:$F146)*VLOOKUP(CY$2,ProyDia[],8,0)</f>
        <v>0</v>
      </c>
      <c r="CZ146" s="36" t="n">
        <f aca="false">SUMIF($C$2:$F$2,EOMONTH(CZ$2,-1)+1,$C146:$F146)*VLOOKUP(CZ$2,ProyDia[],8,0)</f>
        <v>0</v>
      </c>
      <c r="DA146" s="36" t="n">
        <f aca="false">SUMIF($C$2:$F$2,EOMONTH(DA$2,-1)+1,$C146:$F146)*VLOOKUP(DA$2,ProyDia[],8,0)</f>
        <v>0</v>
      </c>
      <c r="DB146" s="36" t="n">
        <f aca="false">SUMIF($C$2:$F$2,EOMONTH(DB$2,-1)+1,$C146:$F146)*VLOOKUP(DB$2,ProyDia[],8,0)</f>
        <v>0</v>
      </c>
      <c r="DC146" s="36" t="n">
        <f aca="false">SUMIF($C$2:$F$2,EOMONTH(DC$2,-1)+1,$C146:$F146)*VLOOKUP(DC$2,ProyDia[],8,0)</f>
        <v>0</v>
      </c>
      <c r="DD146" s="36" t="n">
        <f aca="false">SUMIF($C$2:$F$2,EOMONTH(DD$2,-1)+1,$C146:$F146)*VLOOKUP(DD$2,ProyDia[],8,0)</f>
        <v>0</v>
      </c>
      <c r="DE146" s="36" t="n">
        <f aca="false">SUMIF($C$2:$F$2,EOMONTH(DE$2,-1)+1,$C146:$F146)*VLOOKUP(DE$2,ProyDia[],8,0)</f>
        <v>0</v>
      </c>
      <c r="DF146" s="36" t="n">
        <f aca="false">SUMIF($C$2:$F$2,EOMONTH(DF$2,-1)+1,$C146:$F146)*VLOOKUP(DF$2,ProyDia[],8,0)</f>
        <v>0</v>
      </c>
      <c r="DG146" s="36" t="n">
        <f aca="false">SUMIF($C$2:$F$2,EOMONTH(DG$2,-1)+1,$C146:$F146)*VLOOKUP(DG$2,ProyDia[],8,0)</f>
        <v>0</v>
      </c>
      <c r="DH146" s="36" t="n">
        <f aca="false">SUMIF($C$2:$F$2,EOMONTH(DH$2,-1)+1,$C146:$F146)*VLOOKUP(DH$2,ProyDia[],8,0)</f>
        <v>0</v>
      </c>
      <c r="DI146" s="36" t="n">
        <f aca="false">SUMIF($C$2:$F$2,EOMONTH(DI$2,-1)+1,$C146:$F146)*VLOOKUP(DI$2,ProyDia[],8,0)</f>
        <v>0</v>
      </c>
      <c r="DJ146" s="36" t="n">
        <f aca="false">SUMIF($C$2:$F$2,EOMONTH(DJ$2,-1)+1,$C146:$F146)*VLOOKUP(DJ$2,ProyDia[],8,0)</f>
        <v>0</v>
      </c>
      <c r="DK146" s="36" t="n">
        <f aca="false">SUMIF($C$2:$F$2,EOMONTH(DK$2,-1)+1,$C146:$F146)*VLOOKUP(DK$2,ProyDia[],8,0)</f>
        <v>0</v>
      </c>
      <c r="DL146" s="36" t="n">
        <f aca="false">SUMIF($C$2:$F$2,EOMONTH(DL$2,-1)+1,$C146:$F146)*VLOOKUP(DL$2,ProyDia[],8,0)</f>
        <v>0</v>
      </c>
      <c r="DM146" s="36" t="n">
        <f aca="false">SUMIF($C$2:$F$2,EOMONTH(DM$2,-1)+1,$C146:$F146)*VLOOKUP(DM$2,ProyDia[],8,0)</f>
        <v>0</v>
      </c>
      <c r="DN146" s="36" t="n">
        <f aca="false">SUMIF($C$2:$F$2,EOMONTH(DN$2,-1)+1,$C146:$F146)*VLOOKUP(DN$2,ProyDia[],8,0)</f>
        <v>0</v>
      </c>
      <c r="DO146" s="36" t="n">
        <f aca="false">SUMIF($C$2:$F$2,EOMONTH(DO$2,-1)+1,$C146:$F146)*VLOOKUP(DO$2,ProyDia[],8,0)</f>
        <v>0</v>
      </c>
      <c r="DP146" s="36" t="n">
        <f aca="false">SUMIF($C$2:$F$2,EOMONTH(DP$2,-1)+1,$C146:$F146)*VLOOKUP(DP$2,ProyDia[],8,0)</f>
        <v>0</v>
      </c>
      <c r="DQ146" s="36" t="n">
        <f aca="false">SUMIF($C$2:$F$2,EOMONTH(DQ$2,-1)+1,$C146:$F146)*VLOOKUP(DQ$2,ProyDia[],8,0)</f>
        <v>0</v>
      </c>
      <c r="DR146" s="36" t="n">
        <f aca="false">SUMIF($C$2:$F$2,EOMONTH(DR$2,-1)+1,$C146:$F146)*VLOOKUP(DR$2,ProyDia[],8,0)</f>
        <v>0</v>
      </c>
      <c r="DS146" s="36" t="n">
        <f aca="false">SUMIF($C$2:$F$2,EOMONTH(DS$2,-1)+1,$C146:$F146)*VLOOKUP(DS$2,ProyDia[],8,0)</f>
        <v>0</v>
      </c>
      <c r="DT146" s="36" t="n">
        <f aca="false">SUMIF($C$2:$F$2,EOMONTH(DT$2,-1)+1,$C146:$F146)*VLOOKUP(DT$2,ProyDia[],8,0)</f>
        <v>0</v>
      </c>
      <c r="DU146" s="36" t="n">
        <f aca="false">SUMIF($C$2:$F$2,EOMONTH(DU$2,-1)+1,$C146:$F146)*VLOOKUP(DU$2,ProyDia[],8,0)</f>
        <v>0</v>
      </c>
      <c r="DV146" s="36" t="n">
        <f aca="false">SUMIF($C$2:$F$2,EOMONTH(DV$2,-1)+1,$C146:$F146)*VLOOKUP(DV$2,ProyDia[],8,0)</f>
        <v>0</v>
      </c>
      <c r="DW146" s="36" t="n">
        <f aca="false">SUMIF($C$2:$F$2,EOMONTH(DW$2,-1)+1,$C146:$F146)*VLOOKUP(DW$2,ProyDia[],8,0)</f>
        <v>0</v>
      </c>
      <c r="DX146" s="36" t="n">
        <f aca="false">SUMIF($C$2:$F$2,EOMONTH(DX$2,-1)+1,$C146:$F146)*VLOOKUP(DX$2,ProyDia[],8,0)</f>
        <v>0</v>
      </c>
    </row>
    <row r="147" customFormat="false" ht="14.4" hidden="false" customHeight="false" outlineLevel="0" collapsed="false">
      <c r="A147" s="34"/>
      <c r="B147" s="34"/>
      <c r="C147" s="34"/>
      <c r="D147" s="34"/>
      <c r="E147" s="34"/>
      <c r="F147" s="34"/>
      <c r="G147" s="28" t="n">
        <f aca="false">SUMIF($C$2:$F$2,EOMONTH(G$2,-1)+1,$C147:$F147)*VLOOKUP(G$2,ProyDia[],8,0)</f>
        <v>0</v>
      </c>
      <c r="H147" s="28" t="n">
        <f aca="false">SUMIF($C$2:$F$2,EOMONTH(H$2,-1)+1,$C147:$F147)*VLOOKUP(H$2,ProyDia[],8,0)</f>
        <v>0</v>
      </c>
      <c r="I147" s="28" t="n">
        <f aca="false">SUMIF($C$2:$F$2,EOMONTH(I$2,-1)+1,$C147:$F147)*VLOOKUP(I$2,ProyDia[],8,0)</f>
        <v>0</v>
      </c>
      <c r="J147" s="28" t="n">
        <f aca="false">SUMIF($C$2:$F$2,EOMONTH(J$2,-1)+1,$C147:$F147)*VLOOKUP(J$2,ProyDia[],8,0)</f>
        <v>0</v>
      </c>
      <c r="K147" s="28" t="n">
        <f aca="false">SUMIF($C$2:$F$2,EOMONTH(K$2,-1)+1,$C147:$F147)*VLOOKUP(K$2,ProyDia[],8,0)</f>
        <v>0</v>
      </c>
      <c r="L147" s="28" t="n">
        <f aca="false">SUMIF($C$2:$F$2,EOMONTH(L$2,-1)+1,$C147:$F147)*VLOOKUP(L$2,ProyDia[],8,0)</f>
        <v>0</v>
      </c>
      <c r="M147" s="28" t="n">
        <f aca="false">SUMIF($C$2:$F$2,EOMONTH(M$2,-1)+1,$C147:$F147)*VLOOKUP(M$2,ProyDia[],8,0)</f>
        <v>0</v>
      </c>
      <c r="N147" s="28" t="n">
        <f aca="false">SUMIF($C$2:$F$2,EOMONTH(N$2,-1)+1,$C147:$F147)*VLOOKUP(N$2,ProyDia[],8,0)</f>
        <v>0</v>
      </c>
      <c r="O147" s="28" t="n">
        <f aca="false">SUMIF($C$2:$F$2,EOMONTH(O$2,-1)+1,$C147:$F147)*VLOOKUP(O$2,ProyDia[],8,0)</f>
        <v>0</v>
      </c>
      <c r="P147" s="28" t="n">
        <f aca="false">SUMIF($C$2:$F$2,EOMONTH(P$2,-1)+1,$C147:$F147)*VLOOKUP(P$2,ProyDia[],8,0)</f>
        <v>0</v>
      </c>
      <c r="Q147" s="28" t="n">
        <f aca="false">SUMIF($C$2:$F$2,EOMONTH(Q$2,-1)+1,$C147:$F147)*VLOOKUP(Q$2,ProyDia[],8,0)</f>
        <v>0</v>
      </c>
      <c r="R147" s="28" t="n">
        <f aca="false">SUMIF($C$2:$F$2,EOMONTH(R$2,-1)+1,$C147:$F147)*VLOOKUP(R$2,ProyDia[],8,0)</f>
        <v>0</v>
      </c>
      <c r="S147" s="28" t="n">
        <f aca="false">SUMIF($C$2:$F$2,EOMONTH(S$2,-1)+1,$C147:$F147)*VLOOKUP(S$2,ProyDia[],8,0)</f>
        <v>0</v>
      </c>
      <c r="T147" s="28" t="n">
        <f aca="false">SUMIF($C$2:$F$2,EOMONTH(T$2,-1)+1,$C147:$F147)*VLOOKUP(T$2,ProyDia[],8,0)</f>
        <v>0</v>
      </c>
      <c r="U147" s="28" t="n">
        <f aca="false">SUMIF($C$2:$F$2,EOMONTH(U$2,-1)+1,$C147:$F147)*VLOOKUP(U$2,ProyDia[],8,0)</f>
        <v>0</v>
      </c>
      <c r="V147" s="28" t="n">
        <f aca="false">SUMIF($C$2:$F$2,EOMONTH(V$2,-1)+1,$C147:$F147)*VLOOKUP(V$2,ProyDia[],8,0)</f>
        <v>0</v>
      </c>
      <c r="W147" s="28" t="n">
        <f aca="false">SUMIF($C$2:$F$2,EOMONTH(W$2,-1)+1,$C147:$F147)*VLOOKUP(W$2,ProyDia[],8,0)</f>
        <v>0</v>
      </c>
      <c r="X147" s="28" t="n">
        <f aca="false">SUMIF($C$2:$F$2,EOMONTH(X$2,-1)+1,$C147:$F147)*VLOOKUP(X$2,ProyDia[],8,0)</f>
        <v>0</v>
      </c>
      <c r="Y147" s="28" t="n">
        <f aca="false">SUMIF($C$2:$F$2,EOMONTH(Y$2,-1)+1,$C147:$F147)*VLOOKUP(Y$2,ProyDia[],8,0)</f>
        <v>0</v>
      </c>
      <c r="Z147" s="28" t="n">
        <f aca="false">SUMIF($C$2:$F$2,EOMONTH(Z$2,-1)+1,$C147:$F147)*VLOOKUP(Z$2,ProyDia[],8,0)</f>
        <v>0</v>
      </c>
      <c r="AA147" s="28" t="n">
        <f aca="false">SUMIF($C$2:$F$2,EOMONTH(AA$2,-1)+1,$C147:$F147)*VLOOKUP(AA$2,ProyDia[],8,0)</f>
        <v>0</v>
      </c>
      <c r="AB147" s="28" t="n">
        <f aca="false">SUMIF($C$2:$F$2,EOMONTH(AB$2,-1)+1,$C147:$F147)*VLOOKUP(AB$2,ProyDia[],8,0)</f>
        <v>0</v>
      </c>
      <c r="AC147" s="28" t="n">
        <f aca="false">SUMIF($C$2:$F$2,EOMONTH(AC$2,-1)+1,$C147:$F147)*VLOOKUP(AC$2,ProyDia[],8,0)</f>
        <v>0</v>
      </c>
      <c r="AD147" s="28" t="n">
        <f aca="false">SUMIF($C$2:$F$2,EOMONTH(AD$2,-1)+1,$C147:$F147)*VLOOKUP(AD$2,ProyDia[],8,0)</f>
        <v>0</v>
      </c>
      <c r="AE147" s="28" t="n">
        <f aca="false">SUMIF($C$2:$F$2,EOMONTH(AE$2,-1)+1,$C147:$F147)*VLOOKUP(AE$2,ProyDia[],8,0)</f>
        <v>0</v>
      </c>
      <c r="AF147" s="28" t="n">
        <f aca="false">SUMIF($C$2:$F$2,EOMONTH(AF$2,-1)+1,$C147:$F147)*VLOOKUP(AF$2,ProyDia[],8,0)</f>
        <v>0</v>
      </c>
      <c r="AG147" s="28" t="n">
        <f aca="false">SUMIF($C$2:$F$2,EOMONTH(AG$2,-1)+1,$C147:$F147)*VLOOKUP(AG$2,ProyDia[],8,0)</f>
        <v>0</v>
      </c>
      <c r="AH147" s="28" t="n">
        <f aca="false">SUMIF($C$2:$F$2,EOMONTH(AH$2,-1)+1,$C147:$F147)*VLOOKUP(AH$2,ProyDia[],8,0)</f>
        <v>0</v>
      </c>
      <c r="AI147" s="28" t="n">
        <f aca="false">SUMIF($C$2:$F$2,EOMONTH(AI$2,-1)+1,$C147:$F147)*VLOOKUP(AI$2,ProyDia[],8,0)</f>
        <v>0</v>
      </c>
      <c r="AJ147" s="28" t="n">
        <f aca="false">SUMIF($C$2:$F$2,EOMONTH(AJ$2,-1)+1,$C147:$F147)*VLOOKUP(AJ$2,ProyDia[],8,0)</f>
        <v>0</v>
      </c>
      <c r="AK147" s="28" t="n">
        <f aca="false">SUMIF($C$2:$F$2,EOMONTH(AK$2,-1)+1,$C147:$F147)*VLOOKUP(AK$2,ProyDia[],8,0)</f>
        <v>0</v>
      </c>
      <c r="AL147" s="28" t="n">
        <f aca="false">SUMIF($C$2:$F$2,EOMONTH(AL$2,-1)+1,$C147:$F147)*VLOOKUP(AL$2,ProyDia[],8,0)</f>
        <v>0</v>
      </c>
      <c r="AM147" s="28" t="n">
        <f aca="false">SUMIF($C$2:$F$2,EOMONTH(AM$2,-1)+1,$C147:$F147)*VLOOKUP(AM$2,ProyDia[],8,0)</f>
        <v>0</v>
      </c>
      <c r="AN147" s="28" t="n">
        <f aca="false">SUMIF($C$2:$F$2,EOMONTH(AN$2,-1)+1,$C147:$F147)*VLOOKUP(AN$2,ProyDia[],8,0)</f>
        <v>0</v>
      </c>
      <c r="AO147" s="28" t="n">
        <f aca="false">SUMIF($C$2:$F$2,EOMONTH(AO$2,-1)+1,$C147:$F147)*VLOOKUP(AO$2,ProyDia[],8,0)</f>
        <v>0</v>
      </c>
      <c r="AP147" s="28" t="n">
        <f aca="false">SUMIF($C$2:$F$2,EOMONTH(AP$2,-1)+1,$C147:$F147)*VLOOKUP(AP$2,ProyDia[],8,0)</f>
        <v>0</v>
      </c>
      <c r="AQ147" s="28" t="n">
        <f aca="false">SUMIF($C$2:$F$2,EOMONTH(AQ$2,-1)+1,$C147:$F147)*VLOOKUP(AQ$2,ProyDia[],8,0)</f>
        <v>0</v>
      </c>
      <c r="AR147" s="28" t="n">
        <f aca="false">SUMIF($C$2:$F$2,EOMONTH(AR$2,-1)+1,$C147:$F147)*VLOOKUP(AR$2,ProyDia[],8,0)</f>
        <v>0</v>
      </c>
      <c r="AS147" s="28" t="n">
        <f aca="false">SUMIF($C$2:$F$2,EOMONTH(AS$2,-1)+1,$C147:$F147)*VLOOKUP(AS$2,ProyDia[],8,0)</f>
        <v>0</v>
      </c>
      <c r="AT147" s="28" t="n">
        <f aca="false">SUMIF($C$2:$F$2,EOMONTH(AT$2,-1)+1,$C147:$F147)*VLOOKUP(AT$2,ProyDia[],8,0)</f>
        <v>0</v>
      </c>
      <c r="AU147" s="28" t="n">
        <f aca="false">SUMIF($C$2:$F$2,EOMONTH(AU$2,-1)+1,$C147:$F147)*VLOOKUP(AU$2,ProyDia[],8,0)</f>
        <v>0</v>
      </c>
      <c r="AV147" s="28" t="n">
        <f aca="false">SUMIF($C$2:$F$2,EOMONTH(AV$2,-1)+1,$C147:$F147)*VLOOKUP(AV$2,ProyDia[],8,0)</f>
        <v>0</v>
      </c>
      <c r="AW147" s="28" t="n">
        <f aca="false">SUMIF($C$2:$F$2,EOMONTH(AW$2,-1)+1,$C147:$F147)*VLOOKUP(AW$2,ProyDia[],8,0)</f>
        <v>0</v>
      </c>
      <c r="AX147" s="28" t="n">
        <f aca="false">SUMIF($C$2:$F$2,EOMONTH(AX$2,-1)+1,$C147:$F147)*VLOOKUP(AX$2,ProyDia[],8,0)</f>
        <v>0</v>
      </c>
      <c r="AY147" s="28" t="n">
        <f aca="false">SUMIF($C$2:$F$2,EOMONTH(AY$2,-1)+1,$C147:$F147)*VLOOKUP(AY$2,ProyDia[],8,0)</f>
        <v>0</v>
      </c>
      <c r="AZ147" s="28" t="n">
        <f aca="false">SUMIF($C$2:$F$2,EOMONTH(AZ$2,-1)+1,$C147:$F147)*VLOOKUP(AZ$2,ProyDia[],8,0)</f>
        <v>0</v>
      </c>
      <c r="BA147" s="28" t="n">
        <f aca="false">SUMIF($C$2:$F$2,EOMONTH(BA$2,-1)+1,$C147:$F147)*VLOOKUP(BA$2,ProyDia[],8,0)</f>
        <v>0</v>
      </c>
      <c r="BB147" s="28" t="n">
        <f aca="false">SUMIF($C$2:$F$2,EOMONTH(BB$2,-1)+1,$C147:$F147)*VLOOKUP(BB$2,ProyDia[],8,0)</f>
        <v>0</v>
      </c>
      <c r="BC147" s="28" t="n">
        <f aca="false">SUMIF($C$2:$F$2,EOMONTH(BC$2,-1)+1,$C147:$F147)*VLOOKUP(BC$2,ProyDia[],8,0)</f>
        <v>0</v>
      </c>
      <c r="BD147" s="28" t="n">
        <f aca="false">SUMIF($C$2:$F$2,EOMONTH(BD$2,-1)+1,$C147:$F147)*VLOOKUP(BD$2,ProyDia[],8,0)</f>
        <v>0</v>
      </c>
      <c r="BE147" s="28" t="n">
        <f aca="false">SUMIF($C$2:$F$2,EOMONTH(BE$2,-1)+1,$C147:$F147)*VLOOKUP(BE$2,ProyDia[],8,0)</f>
        <v>0</v>
      </c>
      <c r="BF147" s="28" t="n">
        <f aca="false">SUMIF($C$2:$F$2,EOMONTH(BF$2,-1)+1,$C147:$F147)*VLOOKUP(BF$2,ProyDia[],8,0)</f>
        <v>0</v>
      </c>
      <c r="BG147" s="28" t="n">
        <f aca="false">SUMIF($C$2:$F$2,EOMONTH(BG$2,-1)+1,$C147:$F147)*VLOOKUP(BG$2,ProyDia[],8,0)</f>
        <v>0</v>
      </c>
      <c r="BH147" s="28" t="n">
        <f aca="false">SUMIF($C$2:$F$2,EOMONTH(BH$2,-1)+1,$C147:$F147)*VLOOKUP(BH$2,ProyDia[],8,0)</f>
        <v>0</v>
      </c>
      <c r="BI147" s="28" t="n">
        <f aca="false">SUMIF($C$2:$F$2,EOMONTH(BI$2,-1)+1,$C147:$F147)*VLOOKUP(BI$2,ProyDia[],8,0)</f>
        <v>0</v>
      </c>
      <c r="BJ147" s="28" t="n">
        <f aca="false">SUMIF($C$2:$F$2,EOMONTH(BJ$2,-1)+1,$C147:$F147)*VLOOKUP(BJ$2,ProyDia[],8,0)</f>
        <v>0</v>
      </c>
      <c r="BK147" s="28" t="n">
        <f aca="false">SUMIF($C$2:$F$2,EOMONTH(BK$2,-1)+1,$C147:$F147)*VLOOKUP(BK$2,ProyDia[],8,0)</f>
        <v>0</v>
      </c>
      <c r="BL147" s="28" t="n">
        <f aca="false">SUMIF($C$2:$F$2,EOMONTH(BL$2,-1)+1,$C147:$F147)*VLOOKUP(BL$2,ProyDia[],8,0)</f>
        <v>0</v>
      </c>
      <c r="BM147" s="28" t="n">
        <f aca="false">SUMIF($C$2:$F$2,EOMONTH(BM$2,-1)+1,$C147:$F147)*VLOOKUP(BM$2,ProyDia[],8,0)</f>
        <v>0</v>
      </c>
      <c r="BN147" s="28" t="n">
        <f aca="false">SUMIF($C$2:$F$2,EOMONTH(BN$2,-1)+1,$C147:$F147)*VLOOKUP(BN$2,ProyDia[],8,0)</f>
        <v>0</v>
      </c>
      <c r="BO147" s="28" t="n">
        <f aca="false">SUMIF($C$2:$F$2,EOMONTH(BO$2,-1)+1,$C147:$F147)*VLOOKUP(BO$2,ProyDia[],8,0)</f>
        <v>0</v>
      </c>
      <c r="BP147" s="28" t="n">
        <f aca="false">SUMIF($C$2:$F$2,EOMONTH(BP$2,-1)+1,$C147:$F147)*VLOOKUP(BP$2,ProyDia[],8,0)</f>
        <v>0</v>
      </c>
      <c r="BQ147" s="28" t="n">
        <f aca="false">SUMIF($C$2:$F$2,EOMONTH(BQ$2,-1)+1,$C147:$F147)*VLOOKUP(BQ$2,ProyDia[],8,0)</f>
        <v>0</v>
      </c>
      <c r="BR147" s="28" t="n">
        <f aca="false">SUMIF($C$2:$F$2,EOMONTH(BR$2,-1)+1,$C147:$F147)*VLOOKUP(BR$2,ProyDia[],8,0)</f>
        <v>0</v>
      </c>
      <c r="BS147" s="28" t="n">
        <f aca="false">SUMIF($C$2:$F$2,EOMONTH(BS$2,-1)+1,$C147:$F147)*VLOOKUP(BS$2,ProyDia[],8,0)</f>
        <v>0</v>
      </c>
      <c r="BT147" s="28" t="n">
        <f aca="false">SUMIF($C$2:$F$2,EOMONTH(BT$2,-1)+1,$C147:$F147)*VLOOKUP(BT$2,ProyDia[],8,0)</f>
        <v>0</v>
      </c>
      <c r="BU147" s="28" t="n">
        <f aca="false">SUMIF($C$2:$F$2,EOMONTH(BU$2,-1)+1,$C147:$F147)*VLOOKUP(BU$2,ProyDia[],8,0)</f>
        <v>0</v>
      </c>
      <c r="BV147" s="28" t="n">
        <f aca="false">SUMIF($C$2:$F$2,EOMONTH(BV$2,-1)+1,$C147:$F147)*VLOOKUP(BV$2,ProyDia[],8,0)</f>
        <v>0</v>
      </c>
      <c r="BW147" s="28" t="n">
        <f aca="false">SUMIF($C$2:$F$2,EOMONTH(BW$2,-1)+1,$C147:$F147)*VLOOKUP(BW$2,ProyDia[],8,0)</f>
        <v>0</v>
      </c>
      <c r="BX147" s="28" t="n">
        <f aca="false">SUMIF($C$2:$F$2,EOMONTH(BX$2,-1)+1,$C147:$F147)*VLOOKUP(BX$2,ProyDia[],8,0)</f>
        <v>0</v>
      </c>
      <c r="BY147" s="28" t="n">
        <f aca="false">SUMIF($C$2:$F$2,EOMONTH(BY$2,-1)+1,$C147:$F147)*VLOOKUP(BY$2,ProyDia[],8,0)</f>
        <v>0</v>
      </c>
      <c r="BZ147" s="28" t="n">
        <f aca="false">SUMIF($C$2:$F$2,EOMONTH(BZ$2,-1)+1,$C147:$F147)*VLOOKUP(BZ$2,ProyDia[],8,0)</f>
        <v>0</v>
      </c>
      <c r="CA147" s="28" t="n">
        <f aca="false">SUMIF($C$2:$F$2,EOMONTH(CA$2,-1)+1,$C147:$F147)*VLOOKUP(CA$2,ProyDia[],8,0)</f>
        <v>0</v>
      </c>
      <c r="CB147" s="28" t="n">
        <f aca="false">SUMIF($C$2:$F$2,EOMONTH(CB$2,-1)+1,$C147:$F147)*VLOOKUP(CB$2,ProyDia[],8,0)</f>
        <v>0</v>
      </c>
      <c r="CC147" s="28" t="n">
        <f aca="false">SUMIF($C$2:$F$2,EOMONTH(CC$2,-1)+1,$C147:$F147)*VLOOKUP(CC$2,ProyDia[],8,0)</f>
        <v>0</v>
      </c>
      <c r="CD147" s="28" t="n">
        <f aca="false">SUMIF($C$2:$F$2,EOMONTH(CD$2,-1)+1,$C147:$F147)*VLOOKUP(CD$2,ProyDia[],8,0)</f>
        <v>0</v>
      </c>
      <c r="CE147" s="28" t="n">
        <f aca="false">SUMIF($C$2:$F$2,EOMONTH(CE$2,-1)+1,$C147:$F147)*VLOOKUP(CE$2,ProyDia[],8,0)</f>
        <v>0</v>
      </c>
      <c r="CF147" s="28" t="n">
        <f aca="false">SUMIF($C$2:$F$2,EOMONTH(CF$2,-1)+1,$C147:$F147)*VLOOKUP(CF$2,ProyDia[],8,0)</f>
        <v>0</v>
      </c>
      <c r="CG147" s="28" t="n">
        <f aca="false">SUMIF($C$2:$F$2,EOMONTH(CG$2,-1)+1,$C147:$F147)*VLOOKUP(CG$2,ProyDia[],8,0)</f>
        <v>0</v>
      </c>
      <c r="CH147" s="28" t="n">
        <f aca="false">SUMIF($C$2:$F$2,EOMONTH(CH$2,-1)+1,$C147:$F147)*VLOOKUP(CH$2,ProyDia[],8,0)</f>
        <v>0</v>
      </c>
      <c r="CI147" s="28" t="n">
        <f aca="false">SUMIF($C$2:$F$2,EOMONTH(CI$2,-1)+1,$C147:$F147)*VLOOKUP(CI$2,ProyDia[],8,0)</f>
        <v>0</v>
      </c>
      <c r="CJ147" s="28" t="n">
        <f aca="false">SUMIF($C$2:$F$2,EOMONTH(CJ$2,-1)+1,$C147:$F147)*VLOOKUP(CJ$2,ProyDia[],8,0)</f>
        <v>0</v>
      </c>
      <c r="CK147" s="28" t="n">
        <f aca="false">SUMIF($C$2:$F$2,EOMONTH(CK$2,-1)+1,$C147:$F147)*VLOOKUP(CK$2,ProyDia[],8,0)</f>
        <v>0</v>
      </c>
      <c r="CL147" s="28" t="n">
        <f aca="false">SUMIF($C$2:$F$2,EOMONTH(CL$2,-1)+1,$C147:$F147)*VLOOKUP(CL$2,ProyDia[],8,0)</f>
        <v>0</v>
      </c>
      <c r="CM147" s="28" t="n">
        <f aca="false">SUMIF($C$2:$F$2,EOMONTH(CM$2,-1)+1,$C147:$F147)*VLOOKUP(CM$2,ProyDia[],8,0)</f>
        <v>0</v>
      </c>
      <c r="CN147" s="28" t="n">
        <f aca="false">SUMIF($C$2:$F$2,EOMONTH(CN$2,-1)+1,$C147:$F147)*VLOOKUP(CN$2,ProyDia[],8,0)</f>
        <v>0</v>
      </c>
      <c r="CO147" s="28" t="n">
        <f aca="false">SUMIF($C$2:$F$2,EOMONTH(CO$2,-1)+1,$C147:$F147)*VLOOKUP(CO$2,ProyDia[],8,0)</f>
        <v>0</v>
      </c>
      <c r="CP147" s="28" t="n">
        <f aca="false">SUMIF($C$2:$F$2,EOMONTH(CP$2,-1)+1,$C147:$F147)*VLOOKUP(CP$2,ProyDia[],8,0)</f>
        <v>0</v>
      </c>
      <c r="CQ147" s="28" t="n">
        <f aca="false">SUMIF($C$2:$F$2,EOMONTH(CQ$2,-1)+1,$C147:$F147)*VLOOKUP(CQ$2,ProyDia[],8,0)</f>
        <v>0</v>
      </c>
      <c r="CR147" s="28" t="n">
        <f aca="false">SUMIF($C$2:$F$2,EOMONTH(CR$2,-1)+1,$C147:$F147)*VLOOKUP(CR$2,ProyDia[],8,0)</f>
        <v>0</v>
      </c>
      <c r="CS147" s="28" t="n">
        <f aca="false">SUMIF($C$2:$F$2,EOMONTH(CS$2,-1)+1,$C147:$F147)*VLOOKUP(CS$2,ProyDia[],8,0)</f>
        <v>0</v>
      </c>
      <c r="CT147" s="28" t="n">
        <f aca="false">SUMIF($C$2:$F$2,EOMONTH(CT$2,-1)+1,$C147:$F147)*VLOOKUP(CT$2,ProyDia[],8,0)</f>
        <v>0</v>
      </c>
      <c r="CU147" s="28" t="n">
        <f aca="false">SUMIF($C$2:$F$2,EOMONTH(CU$2,-1)+1,$C147:$F147)*VLOOKUP(CU$2,ProyDia[],8,0)</f>
        <v>0</v>
      </c>
      <c r="CV147" s="28" t="n">
        <f aca="false">SUMIF($C$2:$F$2,EOMONTH(CV$2,-1)+1,$C147:$F147)*VLOOKUP(CV$2,ProyDia[],8,0)</f>
        <v>0</v>
      </c>
      <c r="CW147" s="28" t="n">
        <f aca="false">SUMIF($C$2:$F$2,EOMONTH(CW$2,-1)+1,$C147:$F147)*VLOOKUP(CW$2,ProyDia[],8,0)</f>
        <v>0</v>
      </c>
      <c r="CX147" s="28" t="n">
        <f aca="false">SUMIF($C$2:$F$2,EOMONTH(CX$2,-1)+1,$C147:$F147)*VLOOKUP(CX$2,ProyDia[],8,0)</f>
        <v>0</v>
      </c>
      <c r="CY147" s="28" t="n">
        <f aca="false">SUMIF($C$2:$F$2,EOMONTH(CY$2,-1)+1,$C147:$F147)*VLOOKUP(CY$2,ProyDia[],8,0)</f>
        <v>0</v>
      </c>
      <c r="CZ147" s="28" t="n">
        <f aca="false">SUMIF($C$2:$F$2,EOMONTH(CZ$2,-1)+1,$C147:$F147)*VLOOKUP(CZ$2,ProyDia[],8,0)</f>
        <v>0</v>
      </c>
      <c r="DA147" s="28" t="n">
        <f aca="false">SUMIF($C$2:$F$2,EOMONTH(DA$2,-1)+1,$C147:$F147)*VLOOKUP(DA$2,ProyDia[],8,0)</f>
        <v>0</v>
      </c>
      <c r="DB147" s="28" t="n">
        <f aca="false">SUMIF($C$2:$F$2,EOMONTH(DB$2,-1)+1,$C147:$F147)*VLOOKUP(DB$2,ProyDia[],8,0)</f>
        <v>0</v>
      </c>
      <c r="DC147" s="28" t="n">
        <f aca="false">SUMIF($C$2:$F$2,EOMONTH(DC$2,-1)+1,$C147:$F147)*VLOOKUP(DC$2,ProyDia[],8,0)</f>
        <v>0</v>
      </c>
      <c r="DD147" s="28" t="n">
        <f aca="false">SUMIF($C$2:$F$2,EOMONTH(DD$2,-1)+1,$C147:$F147)*VLOOKUP(DD$2,ProyDia[],8,0)</f>
        <v>0</v>
      </c>
      <c r="DE147" s="28" t="n">
        <f aca="false">SUMIF($C$2:$F$2,EOMONTH(DE$2,-1)+1,$C147:$F147)*VLOOKUP(DE$2,ProyDia[],8,0)</f>
        <v>0</v>
      </c>
      <c r="DF147" s="28" t="n">
        <f aca="false">SUMIF($C$2:$F$2,EOMONTH(DF$2,-1)+1,$C147:$F147)*VLOOKUP(DF$2,ProyDia[],8,0)</f>
        <v>0</v>
      </c>
      <c r="DG147" s="28" t="n">
        <f aca="false">SUMIF($C$2:$F$2,EOMONTH(DG$2,-1)+1,$C147:$F147)*VLOOKUP(DG$2,ProyDia[],8,0)</f>
        <v>0</v>
      </c>
      <c r="DH147" s="28" t="n">
        <f aca="false">SUMIF($C$2:$F$2,EOMONTH(DH$2,-1)+1,$C147:$F147)*VLOOKUP(DH$2,ProyDia[],8,0)</f>
        <v>0</v>
      </c>
      <c r="DI147" s="28" t="n">
        <f aca="false">SUMIF($C$2:$F$2,EOMONTH(DI$2,-1)+1,$C147:$F147)*VLOOKUP(DI$2,ProyDia[],8,0)</f>
        <v>0</v>
      </c>
      <c r="DJ147" s="28" t="n">
        <f aca="false">SUMIF($C$2:$F$2,EOMONTH(DJ$2,-1)+1,$C147:$F147)*VLOOKUP(DJ$2,ProyDia[],8,0)</f>
        <v>0</v>
      </c>
      <c r="DK147" s="28" t="n">
        <f aca="false">SUMIF($C$2:$F$2,EOMONTH(DK$2,-1)+1,$C147:$F147)*VLOOKUP(DK$2,ProyDia[],8,0)</f>
        <v>0</v>
      </c>
      <c r="DL147" s="28" t="n">
        <f aca="false">SUMIF($C$2:$F$2,EOMONTH(DL$2,-1)+1,$C147:$F147)*VLOOKUP(DL$2,ProyDia[],8,0)</f>
        <v>0</v>
      </c>
      <c r="DM147" s="28" t="n">
        <f aca="false">SUMIF($C$2:$F$2,EOMONTH(DM$2,-1)+1,$C147:$F147)*VLOOKUP(DM$2,ProyDia[],8,0)</f>
        <v>0</v>
      </c>
      <c r="DN147" s="28" t="n">
        <f aca="false">SUMIF($C$2:$F$2,EOMONTH(DN$2,-1)+1,$C147:$F147)*VLOOKUP(DN$2,ProyDia[],8,0)</f>
        <v>0</v>
      </c>
      <c r="DO147" s="28" t="n">
        <f aca="false">SUMIF($C$2:$F$2,EOMONTH(DO$2,-1)+1,$C147:$F147)*VLOOKUP(DO$2,ProyDia[],8,0)</f>
        <v>0</v>
      </c>
      <c r="DP147" s="28" t="n">
        <f aca="false">SUMIF($C$2:$F$2,EOMONTH(DP$2,-1)+1,$C147:$F147)*VLOOKUP(DP$2,ProyDia[],8,0)</f>
        <v>0</v>
      </c>
      <c r="DQ147" s="28" t="n">
        <f aca="false">SUMIF($C$2:$F$2,EOMONTH(DQ$2,-1)+1,$C147:$F147)*VLOOKUP(DQ$2,ProyDia[],8,0)</f>
        <v>0</v>
      </c>
      <c r="DR147" s="28" t="n">
        <f aca="false">SUMIF($C$2:$F$2,EOMONTH(DR$2,-1)+1,$C147:$F147)*VLOOKUP(DR$2,ProyDia[],8,0)</f>
        <v>0</v>
      </c>
      <c r="DS147" s="28" t="n">
        <f aca="false">SUMIF($C$2:$F$2,EOMONTH(DS$2,-1)+1,$C147:$F147)*VLOOKUP(DS$2,ProyDia[],8,0)</f>
        <v>0</v>
      </c>
      <c r="DT147" s="28" t="n">
        <f aca="false">SUMIF($C$2:$F$2,EOMONTH(DT$2,-1)+1,$C147:$F147)*VLOOKUP(DT$2,ProyDia[],8,0)</f>
        <v>0</v>
      </c>
      <c r="DU147" s="28" t="n">
        <f aca="false">SUMIF($C$2:$F$2,EOMONTH(DU$2,-1)+1,$C147:$F147)*VLOOKUP(DU$2,ProyDia[],8,0)</f>
        <v>0</v>
      </c>
      <c r="DV147" s="28" t="n">
        <f aca="false">SUMIF($C$2:$F$2,EOMONTH(DV$2,-1)+1,$C147:$F147)*VLOOKUP(DV$2,ProyDia[],8,0)</f>
        <v>0</v>
      </c>
      <c r="DW147" s="28" t="n">
        <f aca="false">SUMIF($C$2:$F$2,EOMONTH(DW$2,-1)+1,$C147:$F147)*VLOOKUP(DW$2,ProyDia[],8,0)</f>
        <v>0</v>
      </c>
      <c r="DX147" s="28" t="n">
        <f aca="false">SUMIF($C$2:$F$2,EOMONTH(DX$2,-1)+1,$C147:$F147)*VLOOKUP(DX$2,ProyDia[],8,0)</f>
        <v>0</v>
      </c>
    </row>
    <row r="148" customFormat="false" ht="14.4" hidden="false" customHeight="false" outlineLevel="0" collapsed="false">
      <c r="A148" s="35"/>
      <c r="B148" s="35"/>
      <c r="C148" s="35"/>
      <c r="D148" s="35"/>
      <c r="E148" s="35"/>
      <c r="F148" s="35"/>
      <c r="G148" s="36" t="n">
        <f aca="false">SUMIF($C$2:$F$2,EOMONTH(G$2,-1)+1,$C148:$F148)*VLOOKUP(G$2,ProyDia[],8,0)</f>
        <v>0</v>
      </c>
      <c r="H148" s="36" t="n">
        <f aca="false">SUMIF($C$2:$F$2,EOMONTH(H$2,-1)+1,$C148:$F148)*VLOOKUP(H$2,ProyDia[],8,0)</f>
        <v>0</v>
      </c>
      <c r="I148" s="36" t="n">
        <f aca="false">SUMIF($C$2:$F$2,EOMONTH(I$2,-1)+1,$C148:$F148)*VLOOKUP(I$2,ProyDia[],8,0)</f>
        <v>0</v>
      </c>
      <c r="J148" s="36" t="n">
        <f aca="false">SUMIF($C$2:$F$2,EOMONTH(J$2,-1)+1,$C148:$F148)*VLOOKUP(J$2,ProyDia[],8,0)</f>
        <v>0</v>
      </c>
      <c r="K148" s="36" t="n">
        <f aca="false">SUMIF($C$2:$F$2,EOMONTH(K$2,-1)+1,$C148:$F148)*VLOOKUP(K$2,ProyDia[],8,0)</f>
        <v>0</v>
      </c>
      <c r="L148" s="36" t="n">
        <f aca="false">SUMIF($C$2:$F$2,EOMONTH(L$2,-1)+1,$C148:$F148)*VLOOKUP(L$2,ProyDia[],8,0)</f>
        <v>0</v>
      </c>
      <c r="M148" s="36" t="n">
        <f aca="false">SUMIF($C$2:$F$2,EOMONTH(M$2,-1)+1,$C148:$F148)*VLOOKUP(M$2,ProyDia[],8,0)</f>
        <v>0</v>
      </c>
      <c r="N148" s="36" t="n">
        <f aca="false">SUMIF($C$2:$F$2,EOMONTH(N$2,-1)+1,$C148:$F148)*VLOOKUP(N$2,ProyDia[],8,0)</f>
        <v>0</v>
      </c>
      <c r="O148" s="36" t="n">
        <f aca="false">SUMIF($C$2:$F$2,EOMONTH(O$2,-1)+1,$C148:$F148)*VLOOKUP(O$2,ProyDia[],8,0)</f>
        <v>0</v>
      </c>
      <c r="P148" s="36" t="n">
        <f aca="false">SUMIF($C$2:$F$2,EOMONTH(P$2,-1)+1,$C148:$F148)*VLOOKUP(P$2,ProyDia[],8,0)</f>
        <v>0</v>
      </c>
      <c r="Q148" s="36" t="n">
        <f aca="false">SUMIF($C$2:$F$2,EOMONTH(Q$2,-1)+1,$C148:$F148)*VLOOKUP(Q$2,ProyDia[],8,0)</f>
        <v>0</v>
      </c>
      <c r="R148" s="36" t="n">
        <f aca="false">SUMIF($C$2:$F$2,EOMONTH(R$2,-1)+1,$C148:$F148)*VLOOKUP(R$2,ProyDia[],8,0)</f>
        <v>0</v>
      </c>
      <c r="S148" s="36" t="n">
        <f aca="false">SUMIF($C$2:$F$2,EOMONTH(S$2,-1)+1,$C148:$F148)*VLOOKUP(S$2,ProyDia[],8,0)</f>
        <v>0</v>
      </c>
      <c r="T148" s="36" t="n">
        <f aca="false">SUMIF($C$2:$F$2,EOMONTH(T$2,-1)+1,$C148:$F148)*VLOOKUP(T$2,ProyDia[],8,0)</f>
        <v>0</v>
      </c>
      <c r="U148" s="36" t="n">
        <f aca="false">SUMIF($C$2:$F$2,EOMONTH(U$2,-1)+1,$C148:$F148)*VLOOKUP(U$2,ProyDia[],8,0)</f>
        <v>0</v>
      </c>
      <c r="V148" s="36" t="n">
        <f aca="false">SUMIF($C$2:$F$2,EOMONTH(V$2,-1)+1,$C148:$F148)*VLOOKUP(V$2,ProyDia[],8,0)</f>
        <v>0</v>
      </c>
      <c r="W148" s="36" t="n">
        <f aca="false">SUMIF($C$2:$F$2,EOMONTH(W$2,-1)+1,$C148:$F148)*VLOOKUP(W$2,ProyDia[],8,0)</f>
        <v>0</v>
      </c>
      <c r="X148" s="36" t="n">
        <f aca="false">SUMIF($C$2:$F$2,EOMONTH(X$2,-1)+1,$C148:$F148)*VLOOKUP(X$2,ProyDia[],8,0)</f>
        <v>0</v>
      </c>
      <c r="Y148" s="36" t="n">
        <f aca="false">SUMIF($C$2:$F$2,EOMONTH(Y$2,-1)+1,$C148:$F148)*VLOOKUP(Y$2,ProyDia[],8,0)</f>
        <v>0</v>
      </c>
      <c r="Z148" s="36" t="n">
        <f aca="false">SUMIF($C$2:$F$2,EOMONTH(Z$2,-1)+1,$C148:$F148)*VLOOKUP(Z$2,ProyDia[],8,0)</f>
        <v>0</v>
      </c>
      <c r="AA148" s="36" t="n">
        <f aca="false">SUMIF($C$2:$F$2,EOMONTH(AA$2,-1)+1,$C148:$F148)*VLOOKUP(AA$2,ProyDia[],8,0)</f>
        <v>0</v>
      </c>
      <c r="AB148" s="36" t="n">
        <f aca="false">SUMIF($C$2:$F$2,EOMONTH(AB$2,-1)+1,$C148:$F148)*VLOOKUP(AB$2,ProyDia[],8,0)</f>
        <v>0</v>
      </c>
      <c r="AC148" s="36" t="n">
        <f aca="false">SUMIF($C$2:$F$2,EOMONTH(AC$2,-1)+1,$C148:$F148)*VLOOKUP(AC$2,ProyDia[],8,0)</f>
        <v>0</v>
      </c>
      <c r="AD148" s="36" t="n">
        <f aca="false">SUMIF($C$2:$F$2,EOMONTH(AD$2,-1)+1,$C148:$F148)*VLOOKUP(AD$2,ProyDia[],8,0)</f>
        <v>0</v>
      </c>
      <c r="AE148" s="36" t="n">
        <f aca="false">SUMIF($C$2:$F$2,EOMONTH(AE$2,-1)+1,$C148:$F148)*VLOOKUP(AE$2,ProyDia[],8,0)</f>
        <v>0</v>
      </c>
      <c r="AF148" s="36" t="n">
        <f aca="false">SUMIF($C$2:$F$2,EOMONTH(AF$2,-1)+1,$C148:$F148)*VLOOKUP(AF$2,ProyDia[],8,0)</f>
        <v>0</v>
      </c>
      <c r="AG148" s="36" t="n">
        <f aca="false">SUMIF($C$2:$F$2,EOMONTH(AG$2,-1)+1,$C148:$F148)*VLOOKUP(AG$2,ProyDia[],8,0)</f>
        <v>0</v>
      </c>
      <c r="AH148" s="36" t="n">
        <f aca="false">SUMIF($C$2:$F$2,EOMONTH(AH$2,-1)+1,$C148:$F148)*VLOOKUP(AH$2,ProyDia[],8,0)</f>
        <v>0</v>
      </c>
      <c r="AI148" s="36" t="n">
        <f aca="false">SUMIF($C$2:$F$2,EOMONTH(AI$2,-1)+1,$C148:$F148)*VLOOKUP(AI$2,ProyDia[],8,0)</f>
        <v>0</v>
      </c>
      <c r="AJ148" s="36" t="n">
        <f aca="false">SUMIF($C$2:$F$2,EOMONTH(AJ$2,-1)+1,$C148:$F148)*VLOOKUP(AJ$2,ProyDia[],8,0)</f>
        <v>0</v>
      </c>
      <c r="AK148" s="36" t="n">
        <f aca="false">SUMIF($C$2:$F$2,EOMONTH(AK$2,-1)+1,$C148:$F148)*VLOOKUP(AK$2,ProyDia[],8,0)</f>
        <v>0</v>
      </c>
      <c r="AL148" s="36" t="n">
        <f aca="false">SUMIF($C$2:$F$2,EOMONTH(AL$2,-1)+1,$C148:$F148)*VLOOKUP(AL$2,ProyDia[],8,0)</f>
        <v>0</v>
      </c>
      <c r="AM148" s="36" t="n">
        <f aca="false">SUMIF($C$2:$F$2,EOMONTH(AM$2,-1)+1,$C148:$F148)*VLOOKUP(AM$2,ProyDia[],8,0)</f>
        <v>0</v>
      </c>
      <c r="AN148" s="36" t="n">
        <f aca="false">SUMIF($C$2:$F$2,EOMONTH(AN$2,-1)+1,$C148:$F148)*VLOOKUP(AN$2,ProyDia[],8,0)</f>
        <v>0</v>
      </c>
      <c r="AO148" s="36" t="n">
        <f aca="false">SUMIF($C$2:$F$2,EOMONTH(AO$2,-1)+1,$C148:$F148)*VLOOKUP(AO$2,ProyDia[],8,0)</f>
        <v>0</v>
      </c>
      <c r="AP148" s="36" t="n">
        <f aca="false">SUMIF($C$2:$F$2,EOMONTH(AP$2,-1)+1,$C148:$F148)*VLOOKUP(AP$2,ProyDia[],8,0)</f>
        <v>0</v>
      </c>
      <c r="AQ148" s="36" t="n">
        <f aca="false">SUMIF($C$2:$F$2,EOMONTH(AQ$2,-1)+1,$C148:$F148)*VLOOKUP(AQ$2,ProyDia[],8,0)</f>
        <v>0</v>
      </c>
      <c r="AR148" s="36" t="n">
        <f aca="false">SUMIF($C$2:$F$2,EOMONTH(AR$2,-1)+1,$C148:$F148)*VLOOKUP(AR$2,ProyDia[],8,0)</f>
        <v>0</v>
      </c>
      <c r="AS148" s="36" t="n">
        <f aca="false">SUMIF($C$2:$F$2,EOMONTH(AS$2,-1)+1,$C148:$F148)*VLOOKUP(AS$2,ProyDia[],8,0)</f>
        <v>0</v>
      </c>
      <c r="AT148" s="36" t="n">
        <f aca="false">SUMIF($C$2:$F$2,EOMONTH(AT$2,-1)+1,$C148:$F148)*VLOOKUP(AT$2,ProyDia[],8,0)</f>
        <v>0</v>
      </c>
      <c r="AU148" s="36" t="n">
        <f aca="false">SUMIF($C$2:$F$2,EOMONTH(AU$2,-1)+1,$C148:$F148)*VLOOKUP(AU$2,ProyDia[],8,0)</f>
        <v>0</v>
      </c>
      <c r="AV148" s="36" t="n">
        <f aca="false">SUMIF($C$2:$F$2,EOMONTH(AV$2,-1)+1,$C148:$F148)*VLOOKUP(AV$2,ProyDia[],8,0)</f>
        <v>0</v>
      </c>
      <c r="AW148" s="36" t="n">
        <f aca="false">SUMIF($C$2:$F$2,EOMONTH(AW$2,-1)+1,$C148:$F148)*VLOOKUP(AW$2,ProyDia[],8,0)</f>
        <v>0</v>
      </c>
      <c r="AX148" s="36" t="n">
        <f aca="false">SUMIF($C$2:$F$2,EOMONTH(AX$2,-1)+1,$C148:$F148)*VLOOKUP(AX$2,ProyDia[],8,0)</f>
        <v>0</v>
      </c>
      <c r="AY148" s="36" t="n">
        <f aca="false">SUMIF($C$2:$F$2,EOMONTH(AY$2,-1)+1,$C148:$F148)*VLOOKUP(AY$2,ProyDia[],8,0)</f>
        <v>0</v>
      </c>
      <c r="AZ148" s="36" t="n">
        <f aca="false">SUMIF($C$2:$F$2,EOMONTH(AZ$2,-1)+1,$C148:$F148)*VLOOKUP(AZ$2,ProyDia[],8,0)</f>
        <v>0</v>
      </c>
      <c r="BA148" s="36" t="n">
        <f aca="false">SUMIF($C$2:$F$2,EOMONTH(BA$2,-1)+1,$C148:$F148)*VLOOKUP(BA$2,ProyDia[],8,0)</f>
        <v>0</v>
      </c>
      <c r="BB148" s="36" t="n">
        <f aca="false">SUMIF($C$2:$F$2,EOMONTH(BB$2,-1)+1,$C148:$F148)*VLOOKUP(BB$2,ProyDia[],8,0)</f>
        <v>0</v>
      </c>
      <c r="BC148" s="36" t="n">
        <f aca="false">SUMIF($C$2:$F$2,EOMONTH(BC$2,-1)+1,$C148:$F148)*VLOOKUP(BC$2,ProyDia[],8,0)</f>
        <v>0</v>
      </c>
      <c r="BD148" s="36" t="n">
        <f aca="false">SUMIF($C$2:$F$2,EOMONTH(BD$2,-1)+1,$C148:$F148)*VLOOKUP(BD$2,ProyDia[],8,0)</f>
        <v>0</v>
      </c>
      <c r="BE148" s="36" t="n">
        <f aca="false">SUMIF($C$2:$F$2,EOMONTH(BE$2,-1)+1,$C148:$F148)*VLOOKUP(BE$2,ProyDia[],8,0)</f>
        <v>0</v>
      </c>
      <c r="BF148" s="36" t="n">
        <f aca="false">SUMIF($C$2:$F$2,EOMONTH(BF$2,-1)+1,$C148:$F148)*VLOOKUP(BF$2,ProyDia[],8,0)</f>
        <v>0</v>
      </c>
      <c r="BG148" s="36" t="n">
        <f aca="false">SUMIF($C$2:$F$2,EOMONTH(BG$2,-1)+1,$C148:$F148)*VLOOKUP(BG$2,ProyDia[],8,0)</f>
        <v>0</v>
      </c>
      <c r="BH148" s="36" t="n">
        <f aca="false">SUMIF($C$2:$F$2,EOMONTH(BH$2,-1)+1,$C148:$F148)*VLOOKUP(BH$2,ProyDia[],8,0)</f>
        <v>0</v>
      </c>
      <c r="BI148" s="36" t="n">
        <f aca="false">SUMIF($C$2:$F$2,EOMONTH(BI$2,-1)+1,$C148:$F148)*VLOOKUP(BI$2,ProyDia[],8,0)</f>
        <v>0</v>
      </c>
      <c r="BJ148" s="36" t="n">
        <f aca="false">SUMIF($C$2:$F$2,EOMONTH(BJ$2,-1)+1,$C148:$F148)*VLOOKUP(BJ$2,ProyDia[],8,0)</f>
        <v>0</v>
      </c>
      <c r="BK148" s="36" t="n">
        <f aca="false">SUMIF($C$2:$F$2,EOMONTH(BK$2,-1)+1,$C148:$F148)*VLOOKUP(BK$2,ProyDia[],8,0)</f>
        <v>0</v>
      </c>
      <c r="BL148" s="36" t="n">
        <f aca="false">SUMIF($C$2:$F$2,EOMONTH(BL$2,-1)+1,$C148:$F148)*VLOOKUP(BL$2,ProyDia[],8,0)</f>
        <v>0</v>
      </c>
      <c r="BM148" s="36" t="n">
        <f aca="false">SUMIF($C$2:$F$2,EOMONTH(BM$2,-1)+1,$C148:$F148)*VLOOKUP(BM$2,ProyDia[],8,0)</f>
        <v>0</v>
      </c>
      <c r="BN148" s="36" t="n">
        <f aca="false">SUMIF($C$2:$F$2,EOMONTH(BN$2,-1)+1,$C148:$F148)*VLOOKUP(BN$2,ProyDia[],8,0)</f>
        <v>0</v>
      </c>
      <c r="BO148" s="36" t="n">
        <f aca="false">SUMIF($C$2:$F$2,EOMONTH(BO$2,-1)+1,$C148:$F148)*VLOOKUP(BO$2,ProyDia[],8,0)</f>
        <v>0</v>
      </c>
      <c r="BP148" s="36" t="n">
        <f aca="false">SUMIF($C$2:$F$2,EOMONTH(BP$2,-1)+1,$C148:$F148)*VLOOKUP(BP$2,ProyDia[],8,0)</f>
        <v>0</v>
      </c>
      <c r="BQ148" s="36" t="n">
        <f aca="false">SUMIF($C$2:$F$2,EOMONTH(BQ$2,-1)+1,$C148:$F148)*VLOOKUP(BQ$2,ProyDia[],8,0)</f>
        <v>0</v>
      </c>
      <c r="BR148" s="36" t="n">
        <f aca="false">SUMIF($C$2:$F$2,EOMONTH(BR$2,-1)+1,$C148:$F148)*VLOOKUP(BR$2,ProyDia[],8,0)</f>
        <v>0</v>
      </c>
      <c r="BS148" s="36" t="n">
        <f aca="false">SUMIF($C$2:$F$2,EOMONTH(BS$2,-1)+1,$C148:$F148)*VLOOKUP(BS$2,ProyDia[],8,0)</f>
        <v>0</v>
      </c>
      <c r="BT148" s="36" t="n">
        <f aca="false">SUMIF($C$2:$F$2,EOMONTH(BT$2,-1)+1,$C148:$F148)*VLOOKUP(BT$2,ProyDia[],8,0)</f>
        <v>0</v>
      </c>
      <c r="BU148" s="36" t="n">
        <f aca="false">SUMIF($C$2:$F$2,EOMONTH(BU$2,-1)+1,$C148:$F148)*VLOOKUP(BU$2,ProyDia[],8,0)</f>
        <v>0</v>
      </c>
      <c r="BV148" s="36" t="n">
        <f aca="false">SUMIF($C$2:$F$2,EOMONTH(BV$2,-1)+1,$C148:$F148)*VLOOKUP(BV$2,ProyDia[],8,0)</f>
        <v>0</v>
      </c>
      <c r="BW148" s="36" t="n">
        <f aca="false">SUMIF($C$2:$F$2,EOMONTH(BW$2,-1)+1,$C148:$F148)*VLOOKUP(BW$2,ProyDia[],8,0)</f>
        <v>0</v>
      </c>
      <c r="BX148" s="36" t="n">
        <f aca="false">SUMIF($C$2:$F$2,EOMONTH(BX$2,-1)+1,$C148:$F148)*VLOOKUP(BX$2,ProyDia[],8,0)</f>
        <v>0</v>
      </c>
      <c r="BY148" s="36" t="n">
        <f aca="false">SUMIF($C$2:$F$2,EOMONTH(BY$2,-1)+1,$C148:$F148)*VLOOKUP(BY$2,ProyDia[],8,0)</f>
        <v>0</v>
      </c>
      <c r="BZ148" s="36" t="n">
        <f aca="false">SUMIF($C$2:$F$2,EOMONTH(BZ$2,-1)+1,$C148:$F148)*VLOOKUP(BZ$2,ProyDia[],8,0)</f>
        <v>0</v>
      </c>
      <c r="CA148" s="36" t="n">
        <f aca="false">SUMIF($C$2:$F$2,EOMONTH(CA$2,-1)+1,$C148:$F148)*VLOOKUP(CA$2,ProyDia[],8,0)</f>
        <v>0</v>
      </c>
      <c r="CB148" s="36" t="n">
        <f aca="false">SUMIF($C$2:$F$2,EOMONTH(CB$2,-1)+1,$C148:$F148)*VLOOKUP(CB$2,ProyDia[],8,0)</f>
        <v>0</v>
      </c>
      <c r="CC148" s="36" t="n">
        <f aca="false">SUMIF($C$2:$F$2,EOMONTH(CC$2,-1)+1,$C148:$F148)*VLOOKUP(CC$2,ProyDia[],8,0)</f>
        <v>0</v>
      </c>
      <c r="CD148" s="36" t="n">
        <f aca="false">SUMIF($C$2:$F$2,EOMONTH(CD$2,-1)+1,$C148:$F148)*VLOOKUP(CD$2,ProyDia[],8,0)</f>
        <v>0</v>
      </c>
      <c r="CE148" s="36" t="n">
        <f aca="false">SUMIF($C$2:$F$2,EOMONTH(CE$2,-1)+1,$C148:$F148)*VLOOKUP(CE$2,ProyDia[],8,0)</f>
        <v>0</v>
      </c>
      <c r="CF148" s="36" t="n">
        <f aca="false">SUMIF($C$2:$F$2,EOMONTH(CF$2,-1)+1,$C148:$F148)*VLOOKUP(CF$2,ProyDia[],8,0)</f>
        <v>0</v>
      </c>
      <c r="CG148" s="36" t="n">
        <f aca="false">SUMIF($C$2:$F$2,EOMONTH(CG$2,-1)+1,$C148:$F148)*VLOOKUP(CG$2,ProyDia[],8,0)</f>
        <v>0</v>
      </c>
      <c r="CH148" s="36" t="n">
        <f aca="false">SUMIF($C$2:$F$2,EOMONTH(CH$2,-1)+1,$C148:$F148)*VLOOKUP(CH$2,ProyDia[],8,0)</f>
        <v>0</v>
      </c>
      <c r="CI148" s="36" t="n">
        <f aca="false">SUMIF($C$2:$F$2,EOMONTH(CI$2,-1)+1,$C148:$F148)*VLOOKUP(CI$2,ProyDia[],8,0)</f>
        <v>0</v>
      </c>
      <c r="CJ148" s="36" t="n">
        <f aca="false">SUMIF($C$2:$F$2,EOMONTH(CJ$2,-1)+1,$C148:$F148)*VLOOKUP(CJ$2,ProyDia[],8,0)</f>
        <v>0</v>
      </c>
      <c r="CK148" s="36" t="n">
        <f aca="false">SUMIF($C$2:$F$2,EOMONTH(CK$2,-1)+1,$C148:$F148)*VLOOKUP(CK$2,ProyDia[],8,0)</f>
        <v>0</v>
      </c>
      <c r="CL148" s="36" t="n">
        <f aca="false">SUMIF($C$2:$F$2,EOMONTH(CL$2,-1)+1,$C148:$F148)*VLOOKUP(CL$2,ProyDia[],8,0)</f>
        <v>0</v>
      </c>
      <c r="CM148" s="36" t="n">
        <f aca="false">SUMIF($C$2:$F$2,EOMONTH(CM$2,-1)+1,$C148:$F148)*VLOOKUP(CM$2,ProyDia[],8,0)</f>
        <v>0</v>
      </c>
      <c r="CN148" s="36" t="n">
        <f aca="false">SUMIF($C$2:$F$2,EOMONTH(CN$2,-1)+1,$C148:$F148)*VLOOKUP(CN$2,ProyDia[],8,0)</f>
        <v>0</v>
      </c>
      <c r="CO148" s="36" t="n">
        <f aca="false">SUMIF($C$2:$F$2,EOMONTH(CO$2,-1)+1,$C148:$F148)*VLOOKUP(CO$2,ProyDia[],8,0)</f>
        <v>0</v>
      </c>
      <c r="CP148" s="36" t="n">
        <f aca="false">SUMIF($C$2:$F$2,EOMONTH(CP$2,-1)+1,$C148:$F148)*VLOOKUP(CP$2,ProyDia[],8,0)</f>
        <v>0</v>
      </c>
      <c r="CQ148" s="36" t="n">
        <f aca="false">SUMIF($C$2:$F$2,EOMONTH(CQ$2,-1)+1,$C148:$F148)*VLOOKUP(CQ$2,ProyDia[],8,0)</f>
        <v>0</v>
      </c>
      <c r="CR148" s="36" t="n">
        <f aca="false">SUMIF($C$2:$F$2,EOMONTH(CR$2,-1)+1,$C148:$F148)*VLOOKUP(CR$2,ProyDia[],8,0)</f>
        <v>0</v>
      </c>
      <c r="CS148" s="36" t="n">
        <f aca="false">SUMIF($C$2:$F$2,EOMONTH(CS$2,-1)+1,$C148:$F148)*VLOOKUP(CS$2,ProyDia[],8,0)</f>
        <v>0</v>
      </c>
      <c r="CT148" s="36" t="n">
        <f aca="false">SUMIF($C$2:$F$2,EOMONTH(CT$2,-1)+1,$C148:$F148)*VLOOKUP(CT$2,ProyDia[],8,0)</f>
        <v>0</v>
      </c>
      <c r="CU148" s="36" t="n">
        <f aca="false">SUMIF($C$2:$F$2,EOMONTH(CU$2,-1)+1,$C148:$F148)*VLOOKUP(CU$2,ProyDia[],8,0)</f>
        <v>0</v>
      </c>
      <c r="CV148" s="36" t="n">
        <f aca="false">SUMIF($C$2:$F$2,EOMONTH(CV$2,-1)+1,$C148:$F148)*VLOOKUP(CV$2,ProyDia[],8,0)</f>
        <v>0</v>
      </c>
      <c r="CW148" s="36" t="n">
        <f aca="false">SUMIF($C$2:$F$2,EOMONTH(CW$2,-1)+1,$C148:$F148)*VLOOKUP(CW$2,ProyDia[],8,0)</f>
        <v>0</v>
      </c>
      <c r="CX148" s="36" t="n">
        <f aca="false">SUMIF($C$2:$F$2,EOMONTH(CX$2,-1)+1,$C148:$F148)*VLOOKUP(CX$2,ProyDia[],8,0)</f>
        <v>0</v>
      </c>
      <c r="CY148" s="36" t="n">
        <f aca="false">SUMIF($C$2:$F$2,EOMONTH(CY$2,-1)+1,$C148:$F148)*VLOOKUP(CY$2,ProyDia[],8,0)</f>
        <v>0</v>
      </c>
      <c r="CZ148" s="36" t="n">
        <f aca="false">SUMIF($C$2:$F$2,EOMONTH(CZ$2,-1)+1,$C148:$F148)*VLOOKUP(CZ$2,ProyDia[],8,0)</f>
        <v>0</v>
      </c>
      <c r="DA148" s="36" t="n">
        <f aca="false">SUMIF($C$2:$F$2,EOMONTH(DA$2,-1)+1,$C148:$F148)*VLOOKUP(DA$2,ProyDia[],8,0)</f>
        <v>0</v>
      </c>
      <c r="DB148" s="36" t="n">
        <f aca="false">SUMIF($C$2:$F$2,EOMONTH(DB$2,-1)+1,$C148:$F148)*VLOOKUP(DB$2,ProyDia[],8,0)</f>
        <v>0</v>
      </c>
      <c r="DC148" s="36" t="n">
        <f aca="false">SUMIF($C$2:$F$2,EOMONTH(DC$2,-1)+1,$C148:$F148)*VLOOKUP(DC$2,ProyDia[],8,0)</f>
        <v>0</v>
      </c>
      <c r="DD148" s="36" t="n">
        <f aca="false">SUMIF($C$2:$F$2,EOMONTH(DD$2,-1)+1,$C148:$F148)*VLOOKUP(DD$2,ProyDia[],8,0)</f>
        <v>0</v>
      </c>
      <c r="DE148" s="36" t="n">
        <f aca="false">SUMIF($C$2:$F$2,EOMONTH(DE$2,-1)+1,$C148:$F148)*VLOOKUP(DE$2,ProyDia[],8,0)</f>
        <v>0</v>
      </c>
      <c r="DF148" s="36" t="n">
        <f aca="false">SUMIF($C$2:$F$2,EOMONTH(DF$2,-1)+1,$C148:$F148)*VLOOKUP(DF$2,ProyDia[],8,0)</f>
        <v>0</v>
      </c>
      <c r="DG148" s="36" t="n">
        <f aca="false">SUMIF($C$2:$F$2,EOMONTH(DG$2,-1)+1,$C148:$F148)*VLOOKUP(DG$2,ProyDia[],8,0)</f>
        <v>0</v>
      </c>
      <c r="DH148" s="36" t="n">
        <f aca="false">SUMIF($C$2:$F$2,EOMONTH(DH$2,-1)+1,$C148:$F148)*VLOOKUP(DH$2,ProyDia[],8,0)</f>
        <v>0</v>
      </c>
      <c r="DI148" s="36" t="n">
        <f aca="false">SUMIF($C$2:$F$2,EOMONTH(DI$2,-1)+1,$C148:$F148)*VLOOKUP(DI$2,ProyDia[],8,0)</f>
        <v>0</v>
      </c>
      <c r="DJ148" s="36" t="n">
        <f aca="false">SUMIF($C$2:$F$2,EOMONTH(DJ$2,-1)+1,$C148:$F148)*VLOOKUP(DJ$2,ProyDia[],8,0)</f>
        <v>0</v>
      </c>
      <c r="DK148" s="36" t="n">
        <f aca="false">SUMIF($C$2:$F$2,EOMONTH(DK$2,-1)+1,$C148:$F148)*VLOOKUP(DK$2,ProyDia[],8,0)</f>
        <v>0</v>
      </c>
      <c r="DL148" s="36" t="n">
        <f aca="false">SUMIF($C$2:$F$2,EOMONTH(DL$2,-1)+1,$C148:$F148)*VLOOKUP(DL$2,ProyDia[],8,0)</f>
        <v>0</v>
      </c>
      <c r="DM148" s="36" t="n">
        <f aca="false">SUMIF($C$2:$F$2,EOMONTH(DM$2,-1)+1,$C148:$F148)*VLOOKUP(DM$2,ProyDia[],8,0)</f>
        <v>0</v>
      </c>
      <c r="DN148" s="36" t="n">
        <f aca="false">SUMIF($C$2:$F$2,EOMONTH(DN$2,-1)+1,$C148:$F148)*VLOOKUP(DN$2,ProyDia[],8,0)</f>
        <v>0</v>
      </c>
      <c r="DO148" s="36" t="n">
        <f aca="false">SUMIF($C$2:$F$2,EOMONTH(DO$2,-1)+1,$C148:$F148)*VLOOKUP(DO$2,ProyDia[],8,0)</f>
        <v>0</v>
      </c>
      <c r="DP148" s="36" t="n">
        <f aca="false">SUMIF($C$2:$F$2,EOMONTH(DP$2,-1)+1,$C148:$F148)*VLOOKUP(DP$2,ProyDia[],8,0)</f>
        <v>0</v>
      </c>
      <c r="DQ148" s="36" t="n">
        <f aca="false">SUMIF($C$2:$F$2,EOMONTH(DQ$2,-1)+1,$C148:$F148)*VLOOKUP(DQ$2,ProyDia[],8,0)</f>
        <v>0</v>
      </c>
      <c r="DR148" s="36" t="n">
        <f aca="false">SUMIF($C$2:$F$2,EOMONTH(DR$2,-1)+1,$C148:$F148)*VLOOKUP(DR$2,ProyDia[],8,0)</f>
        <v>0</v>
      </c>
      <c r="DS148" s="36" t="n">
        <f aca="false">SUMIF($C$2:$F$2,EOMONTH(DS$2,-1)+1,$C148:$F148)*VLOOKUP(DS$2,ProyDia[],8,0)</f>
        <v>0</v>
      </c>
      <c r="DT148" s="36" t="n">
        <f aca="false">SUMIF($C$2:$F$2,EOMONTH(DT$2,-1)+1,$C148:$F148)*VLOOKUP(DT$2,ProyDia[],8,0)</f>
        <v>0</v>
      </c>
      <c r="DU148" s="36" t="n">
        <f aca="false">SUMIF($C$2:$F$2,EOMONTH(DU$2,-1)+1,$C148:$F148)*VLOOKUP(DU$2,ProyDia[],8,0)</f>
        <v>0</v>
      </c>
      <c r="DV148" s="36" t="n">
        <f aca="false">SUMIF($C$2:$F$2,EOMONTH(DV$2,-1)+1,$C148:$F148)*VLOOKUP(DV$2,ProyDia[],8,0)</f>
        <v>0</v>
      </c>
      <c r="DW148" s="36" t="n">
        <f aca="false">SUMIF($C$2:$F$2,EOMONTH(DW$2,-1)+1,$C148:$F148)*VLOOKUP(DW$2,ProyDia[],8,0)</f>
        <v>0</v>
      </c>
      <c r="DX148" s="36" t="n">
        <f aca="false">SUMIF($C$2:$F$2,EOMONTH(DX$2,-1)+1,$C148:$F148)*VLOOKUP(DX$2,ProyDia[],8,0)</f>
        <v>0</v>
      </c>
    </row>
    <row r="149" customFormat="false" ht="14.4" hidden="false" customHeight="false" outlineLevel="0" collapsed="false">
      <c r="A149" s="34"/>
      <c r="B149" s="34"/>
      <c r="C149" s="34"/>
      <c r="D149" s="34"/>
      <c r="E149" s="34"/>
      <c r="F149" s="34"/>
      <c r="G149" s="28" t="n">
        <f aca="false">SUMIF($C$2:$F$2,EOMONTH(G$2,-1)+1,$C149:$F149)*VLOOKUP(G$2,ProyDia[],8,0)</f>
        <v>0</v>
      </c>
      <c r="H149" s="28" t="n">
        <f aca="false">SUMIF($C$2:$F$2,EOMONTH(H$2,-1)+1,$C149:$F149)*VLOOKUP(H$2,ProyDia[],8,0)</f>
        <v>0</v>
      </c>
      <c r="I149" s="28" t="n">
        <f aca="false">SUMIF($C$2:$F$2,EOMONTH(I$2,-1)+1,$C149:$F149)*VLOOKUP(I$2,ProyDia[],8,0)</f>
        <v>0</v>
      </c>
      <c r="J149" s="28" t="n">
        <f aca="false">SUMIF($C$2:$F$2,EOMONTH(J$2,-1)+1,$C149:$F149)*VLOOKUP(J$2,ProyDia[],8,0)</f>
        <v>0</v>
      </c>
      <c r="K149" s="28" t="n">
        <f aca="false">SUMIF($C$2:$F$2,EOMONTH(K$2,-1)+1,$C149:$F149)*VLOOKUP(K$2,ProyDia[],8,0)</f>
        <v>0</v>
      </c>
      <c r="L149" s="28" t="n">
        <f aca="false">SUMIF($C$2:$F$2,EOMONTH(L$2,-1)+1,$C149:$F149)*VLOOKUP(L$2,ProyDia[],8,0)</f>
        <v>0</v>
      </c>
      <c r="M149" s="28" t="n">
        <f aca="false">SUMIF($C$2:$F$2,EOMONTH(M$2,-1)+1,$C149:$F149)*VLOOKUP(M$2,ProyDia[],8,0)</f>
        <v>0</v>
      </c>
      <c r="N149" s="28" t="n">
        <f aca="false">SUMIF($C$2:$F$2,EOMONTH(N$2,-1)+1,$C149:$F149)*VLOOKUP(N$2,ProyDia[],8,0)</f>
        <v>0</v>
      </c>
      <c r="O149" s="28" t="n">
        <f aca="false">SUMIF($C$2:$F$2,EOMONTH(O$2,-1)+1,$C149:$F149)*VLOOKUP(O$2,ProyDia[],8,0)</f>
        <v>0</v>
      </c>
      <c r="P149" s="28" t="n">
        <f aca="false">SUMIF($C$2:$F$2,EOMONTH(P$2,-1)+1,$C149:$F149)*VLOOKUP(P$2,ProyDia[],8,0)</f>
        <v>0</v>
      </c>
      <c r="Q149" s="28" t="n">
        <f aca="false">SUMIF($C$2:$F$2,EOMONTH(Q$2,-1)+1,$C149:$F149)*VLOOKUP(Q$2,ProyDia[],8,0)</f>
        <v>0</v>
      </c>
      <c r="R149" s="28" t="n">
        <f aca="false">SUMIF($C$2:$F$2,EOMONTH(R$2,-1)+1,$C149:$F149)*VLOOKUP(R$2,ProyDia[],8,0)</f>
        <v>0</v>
      </c>
      <c r="S149" s="28" t="n">
        <f aca="false">SUMIF($C$2:$F$2,EOMONTH(S$2,-1)+1,$C149:$F149)*VLOOKUP(S$2,ProyDia[],8,0)</f>
        <v>0</v>
      </c>
      <c r="T149" s="28" t="n">
        <f aca="false">SUMIF($C$2:$F$2,EOMONTH(T$2,-1)+1,$C149:$F149)*VLOOKUP(T$2,ProyDia[],8,0)</f>
        <v>0</v>
      </c>
      <c r="U149" s="28" t="n">
        <f aca="false">SUMIF($C$2:$F$2,EOMONTH(U$2,-1)+1,$C149:$F149)*VLOOKUP(U$2,ProyDia[],8,0)</f>
        <v>0</v>
      </c>
      <c r="V149" s="28" t="n">
        <f aca="false">SUMIF($C$2:$F$2,EOMONTH(V$2,-1)+1,$C149:$F149)*VLOOKUP(V$2,ProyDia[],8,0)</f>
        <v>0</v>
      </c>
      <c r="W149" s="28" t="n">
        <f aca="false">SUMIF($C$2:$F$2,EOMONTH(W$2,-1)+1,$C149:$F149)*VLOOKUP(W$2,ProyDia[],8,0)</f>
        <v>0</v>
      </c>
      <c r="X149" s="28" t="n">
        <f aca="false">SUMIF($C$2:$F$2,EOMONTH(X$2,-1)+1,$C149:$F149)*VLOOKUP(X$2,ProyDia[],8,0)</f>
        <v>0</v>
      </c>
      <c r="Y149" s="28" t="n">
        <f aca="false">SUMIF($C$2:$F$2,EOMONTH(Y$2,-1)+1,$C149:$F149)*VLOOKUP(Y$2,ProyDia[],8,0)</f>
        <v>0</v>
      </c>
      <c r="Z149" s="28" t="n">
        <f aca="false">SUMIF($C$2:$F$2,EOMONTH(Z$2,-1)+1,$C149:$F149)*VLOOKUP(Z$2,ProyDia[],8,0)</f>
        <v>0</v>
      </c>
      <c r="AA149" s="28" t="n">
        <f aca="false">SUMIF($C$2:$F$2,EOMONTH(AA$2,-1)+1,$C149:$F149)*VLOOKUP(AA$2,ProyDia[],8,0)</f>
        <v>0</v>
      </c>
      <c r="AB149" s="28" t="n">
        <f aca="false">SUMIF($C$2:$F$2,EOMONTH(AB$2,-1)+1,$C149:$F149)*VLOOKUP(AB$2,ProyDia[],8,0)</f>
        <v>0</v>
      </c>
      <c r="AC149" s="28" t="n">
        <f aca="false">SUMIF($C$2:$F$2,EOMONTH(AC$2,-1)+1,$C149:$F149)*VLOOKUP(AC$2,ProyDia[],8,0)</f>
        <v>0</v>
      </c>
      <c r="AD149" s="28" t="n">
        <f aca="false">SUMIF($C$2:$F$2,EOMONTH(AD$2,-1)+1,$C149:$F149)*VLOOKUP(AD$2,ProyDia[],8,0)</f>
        <v>0</v>
      </c>
      <c r="AE149" s="28" t="n">
        <f aca="false">SUMIF($C$2:$F$2,EOMONTH(AE$2,-1)+1,$C149:$F149)*VLOOKUP(AE$2,ProyDia[],8,0)</f>
        <v>0</v>
      </c>
      <c r="AF149" s="28" t="n">
        <f aca="false">SUMIF($C$2:$F$2,EOMONTH(AF$2,-1)+1,$C149:$F149)*VLOOKUP(AF$2,ProyDia[],8,0)</f>
        <v>0</v>
      </c>
      <c r="AG149" s="28" t="n">
        <f aca="false">SUMIF($C$2:$F$2,EOMONTH(AG$2,-1)+1,$C149:$F149)*VLOOKUP(AG$2,ProyDia[],8,0)</f>
        <v>0</v>
      </c>
      <c r="AH149" s="28" t="n">
        <f aca="false">SUMIF($C$2:$F$2,EOMONTH(AH$2,-1)+1,$C149:$F149)*VLOOKUP(AH$2,ProyDia[],8,0)</f>
        <v>0</v>
      </c>
      <c r="AI149" s="28" t="n">
        <f aca="false">SUMIF($C$2:$F$2,EOMONTH(AI$2,-1)+1,$C149:$F149)*VLOOKUP(AI$2,ProyDia[],8,0)</f>
        <v>0</v>
      </c>
      <c r="AJ149" s="28" t="n">
        <f aca="false">SUMIF($C$2:$F$2,EOMONTH(AJ$2,-1)+1,$C149:$F149)*VLOOKUP(AJ$2,ProyDia[],8,0)</f>
        <v>0</v>
      </c>
      <c r="AK149" s="28" t="n">
        <f aca="false">SUMIF($C$2:$F$2,EOMONTH(AK$2,-1)+1,$C149:$F149)*VLOOKUP(AK$2,ProyDia[],8,0)</f>
        <v>0</v>
      </c>
      <c r="AL149" s="28" t="n">
        <f aca="false">SUMIF($C$2:$F$2,EOMONTH(AL$2,-1)+1,$C149:$F149)*VLOOKUP(AL$2,ProyDia[],8,0)</f>
        <v>0</v>
      </c>
      <c r="AM149" s="28" t="n">
        <f aca="false">SUMIF($C$2:$F$2,EOMONTH(AM$2,-1)+1,$C149:$F149)*VLOOKUP(AM$2,ProyDia[],8,0)</f>
        <v>0</v>
      </c>
      <c r="AN149" s="28" t="n">
        <f aca="false">SUMIF($C$2:$F$2,EOMONTH(AN$2,-1)+1,$C149:$F149)*VLOOKUP(AN$2,ProyDia[],8,0)</f>
        <v>0</v>
      </c>
      <c r="AO149" s="28" t="n">
        <f aca="false">SUMIF($C$2:$F$2,EOMONTH(AO$2,-1)+1,$C149:$F149)*VLOOKUP(AO$2,ProyDia[],8,0)</f>
        <v>0</v>
      </c>
      <c r="AP149" s="28" t="n">
        <f aca="false">SUMIF($C$2:$F$2,EOMONTH(AP$2,-1)+1,$C149:$F149)*VLOOKUP(AP$2,ProyDia[],8,0)</f>
        <v>0</v>
      </c>
      <c r="AQ149" s="28" t="n">
        <f aca="false">SUMIF($C$2:$F$2,EOMONTH(AQ$2,-1)+1,$C149:$F149)*VLOOKUP(AQ$2,ProyDia[],8,0)</f>
        <v>0</v>
      </c>
      <c r="AR149" s="28" t="n">
        <f aca="false">SUMIF($C$2:$F$2,EOMONTH(AR$2,-1)+1,$C149:$F149)*VLOOKUP(AR$2,ProyDia[],8,0)</f>
        <v>0</v>
      </c>
      <c r="AS149" s="28" t="n">
        <f aca="false">SUMIF($C$2:$F$2,EOMONTH(AS$2,-1)+1,$C149:$F149)*VLOOKUP(AS$2,ProyDia[],8,0)</f>
        <v>0</v>
      </c>
      <c r="AT149" s="28" t="n">
        <f aca="false">SUMIF($C$2:$F$2,EOMONTH(AT$2,-1)+1,$C149:$F149)*VLOOKUP(AT$2,ProyDia[],8,0)</f>
        <v>0</v>
      </c>
      <c r="AU149" s="28" t="n">
        <f aca="false">SUMIF($C$2:$F$2,EOMONTH(AU$2,-1)+1,$C149:$F149)*VLOOKUP(AU$2,ProyDia[],8,0)</f>
        <v>0</v>
      </c>
      <c r="AV149" s="28" t="n">
        <f aca="false">SUMIF($C$2:$F$2,EOMONTH(AV$2,-1)+1,$C149:$F149)*VLOOKUP(AV$2,ProyDia[],8,0)</f>
        <v>0</v>
      </c>
      <c r="AW149" s="28" t="n">
        <f aca="false">SUMIF($C$2:$F$2,EOMONTH(AW$2,-1)+1,$C149:$F149)*VLOOKUP(AW$2,ProyDia[],8,0)</f>
        <v>0</v>
      </c>
      <c r="AX149" s="28" t="n">
        <f aca="false">SUMIF($C$2:$F$2,EOMONTH(AX$2,-1)+1,$C149:$F149)*VLOOKUP(AX$2,ProyDia[],8,0)</f>
        <v>0</v>
      </c>
      <c r="AY149" s="28" t="n">
        <f aca="false">SUMIF($C$2:$F$2,EOMONTH(AY$2,-1)+1,$C149:$F149)*VLOOKUP(AY$2,ProyDia[],8,0)</f>
        <v>0</v>
      </c>
      <c r="AZ149" s="28" t="n">
        <f aca="false">SUMIF($C$2:$F$2,EOMONTH(AZ$2,-1)+1,$C149:$F149)*VLOOKUP(AZ$2,ProyDia[],8,0)</f>
        <v>0</v>
      </c>
      <c r="BA149" s="28" t="n">
        <f aca="false">SUMIF($C$2:$F$2,EOMONTH(BA$2,-1)+1,$C149:$F149)*VLOOKUP(BA$2,ProyDia[],8,0)</f>
        <v>0</v>
      </c>
      <c r="BB149" s="28" t="n">
        <f aca="false">SUMIF($C$2:$F$2,EOMONTH(BB$2,-1)+1,$C149:$F149)*VLOOKUP(BB$2,ProyDia[],8,0)</f>
        <v>0</v>
      </c>
      <c r="BC149" s="28" t="n">
        <f aca="false">SUMIF($C$2:$F$2,EOMONTH(BC$2,-1)+1,$C149:$F149)*VLOOKUP(BC$2,ProyDia[],8,0)</f>
        <v>0</v>
      </c>
      <c r="BD149" s="28" t="n">
        <f aca="false">SUMIF($C$2:$F$2,EOMONTH(BD$2,-1)+1,$C149:$F149)*VLOOKUP(BD$2,ProyDia[],8,0)</f>
        <v>0</v>
      </c>
      <c r="BE149" s="28" t="n">
        <f aca="false">SUMIF($C$2:$F$2,EOMONTH(BE$2,-1)+1,$C149:$F149)*VLOOKUP(BE$2,ProyDia[],8,0)</f>
        <v>0</v>
      </c>
      <c r="BF149" s="28" t="n">
        <f aca="false">SUMIF($C$2:$F$2,EOMONTH(BF$2,-1)+1,$C149:$F149)*VLOOKUP(BF$2,ProyDia[],8,0)</f>
        <v>0</v>
      </c>
      <c r="BG149" s="28" t="n">
        <f aca="false">SUMIF($C$2:$F$2,EOMONTH(BG$2,-1)+1,$C149:$F149)*VLOOKUP(BG$2,ProyDia[],8,0)</f>
        <v>0</v>
      </c>
      <c r="BH149" s="28" t="n">
        <f aca="false">SUMIF($C$2:$F$2,EOMONTH(BH$2,-1)+1,$C149:$F149)*VLOOKUP(BH$2,ProyDia[],8,0)</f>
        <v>0</v>
      </c>
      <c r="BI149" s="28" t="n">
        <f aca="false">SUMIF($C$2:$F$2,EOMONTH(BI$2,-1)+1,$C149:$F149)*VLOOKUP(BI$2,ProyDia[],8,0)</f>
        <v>0</v>
      </c>
      <c r="BJ149" s="28" t="n">
        <f aca="false">SUMIF($C$2:$F$2,EOMONTH(BJ$2,-1)+1,$C149:$F149)*VLOOKUP(BJ$2,ProyDia[],8,0)</f>
        <v>0</v>
      </c>
      <c r="BK149" s="28" t="n">
        <f aca="false">SUMIF($C$2:$F$2,EOMONTH(BK$2,-1)+1,$C149:$F149)*VLOOKUP(BK$2,ProyDia[],8,0)</f>
        <v>0</v>
      </c>
      <c r="BL149" s="28" t="n">
        <f aca="false">SUMIF($C$2:$F$2,EOMONTH(BL$2,-1)+1,$C149:$F149)*VLOOKUP(BL$2,ProyDia[],8,0)</f>
        <v>0</v>
      </c>
      <c r="BM149" s="28" t="n">
        <f aca="false">SUMIF($C$2:$F$2,EOMONTH(BM$2,-1)+1,$C149:$F149)*VLOOKUP(BM$2,ProyDia[],8,0)</f>
        <v>0</v>
      </c>
      <c r="BN149" s="28" t="n">
        <f aca="false">SUMIF($C$2:$F$2,EOMONTH(BN$2,-1)+1,$C149:$F149)*VLOOKUP(BN$2,ProyDia[],8,0)</f>
        <v>0</v>
      </c>
      <c r="BO149" s="28" t="n">
        <f aca="false">SUMIF($C$2:$F$2,EOMONTH(BO$2,-1)+1,$C149:$F149)*VLOOKUP(BO$2,ProyDia[],8,0)</f>
        <v>0</v>
      </c>
      <c r="BP149" s="28" t="n">
        <f aca="false">SUMIF($C$2:$F$2,EOMONTH(BP$2,-1)+1,$C149:$F149)*VLOOKUP(BP$2,ProyDia[],8,0)</f>
        <v>0</v>
      </c>
      <c r="BQ149" s="28" t="n">
        <f aca="false">SUMIF($C$2:$F$2,EOMONTH(BQ$2,-1)+1,$C149:$F149)*VLOOKUP(BQ$2,ProyDia[],8,0)</f>
        <v>0</v>
      </c>
      <c r="BR149" s="28" t="n">
        <f aca="false">SUMIF($C$2:$F$2,EOMONTH(BR$2,-1)+1,$C149:$F149)*VLOOKUP(BR$2,ProyDia[],8,0)</f>
        <v>0</v>
      </c>
      <c r="BS149" s="28" t="n">
        <f aca="false">SUMIF($C$2:$F$2,EOMONTH(BS$2,-1)+1,$C149:$F149)*VLOOKUP(BS$2,ProyDia[],8,0)</f>
        <v>0</v>
      </c>
      <c r="BT149" s="28" t="n">
        <f aca="false">SUMIF($C$2:$F$2,EOMONTH(BT$2,-1)+1,$C149:$F149)*VLOOKUP(BT$2,ProyDia[],8,0)</f>
        <v>0</v>
      </c>
      <c r="BU149" s="28" t="n">
        <f aca="false">SUMIF($C$2:$F$2,EOMONTH(BU$2,-1)+1,$C149:$F149)*VLOOKUP(BU$2,ProyDia[],8,0)</f>
        <v>0</v>
      </c>
      <c r="BV149" s="28" t="n">
        <f aca="false">SUMIF($C$2:$F$2,EOMONTH(BV$2,-1)+1,$C149:$F149)*VLOOKUP(BV$2,ProyDia[],8,0)</f>
        <v>0</v>
      </c>
      <c r="BW149" s="28" t="n">
        <f aca="false">SUMIF($C$2:$F$2,EOMONTH(BW$2,-1)+1,$C149:$F149)*VLOOKUP(BW$2,ProyDia[],8,0)</f>
        <v>0</v>
      </c>
      <c r="BX149" s="28" t="n">
        <f aca="false">SUMIF($C$2:$F$2,EOMONTH(BX$2,-1)+1,$C149:$F149)*VLOOKUP(BX$2,ProyDia[],8,0)</f>
        <v>0</v>
      </c>
      <c r="BY149" s="28" t="n">
        <f aca="false">SUMIF($C$2:$F$2,EOMONTH(BY$2,-1)+1,$C149:$F149)*VLOOKUP(BY$2,ProyDia[],8,0)</f>
        <v>0</v>
      </c>
      <c r="BZ149" s="28" t="n">
        <f aca="false">SUMIF($C$2:$F$2,EOMONTH(BZ$2,-1)+1,$C149:$F149)*VLOOKUP(BZ$2,ProyDia[],8,0)</f>
        <v>0</v>
      </c>
      <c r="CA149" s="28" t="n">
        <f aca="false">SUMIF($C$2:$F$2,EOMONTH(CA$2,-1)+1,$C149:$F149)*VLOOKUP(CA$2,ProyDia[],8,0)</f>
        <v>0</v>
      </c>
      <c r="CB149" s="28" t="n">
        <f aca="false">SUMIF($C$2:$F$2,EOMONTH(CB$2,-1)+1,$C149:$F149)*VLOOKUP(CB$2,ProyDia[],8,0)</f>
        <v>0</v>
      </c>
      <c r="CC149" s="28" t="n">
        <f aca="false">SUMIF($C$2:$F$2,EOMONTH(CC$2,-1)+1,$C149:$F149)*VLOOKUP(CC$2,ProyDia[],8,0)</f>
        <v>0</v>
      </c>
      <c r="CD149" s="28" t="n">
        <f aca="false">SUMIF($C$2:$F$2,EOMONTH(CD$2,-1)+1,$C149:$F149)*VLOOKUP(CD$2,ProyDia[],8,0)</f>
        <v>0</v>
      </c>
      <c r="CE149" s="28" t="n">
        <f aca="false">SUMIF($C$2:$F$2,EOMONTH(CE$2,-1)+1,$C149:$F149)*VLOOKUP(CE$2,ProyDia[],8,0)</f>
        <v>0</v>
      </c>
      <c r="CF149" s="28" t="n">
        <f aca="false">SUMIF($C$2:$F$2,EOMONTH(CF$2,-1)+1,$C149:$F149)*VLOOKUP(CF$2,ProyDia[],8,0)</f>
        <v>0</v>
      </c>
      <c r="CG149" s="28" t="n">
        <f aca="false">SUMIF($C$2:$F$2,EOMONTH(CG$2,-1)+1,$C149:$F149)*VLOOKUP(CG$2,ProyDia[],8,0)</f>
        <v>0</v>
      </c>
      <c r="CH149" s="28" t="n">
        <f aca="false">SUMIF($C$2:$F$2,EOMONTH(CH$2,-1)+1,$C149:$F149)*VLOOKUP(CH$2,ProyDia[],8,0)</f>
        <v>0</v>
      </c>
      <c r="CI149" s="28" t="n">
        <f aca="false">SUMIF($C$2:$F$2,EOMONTH(CI$2,-1)+1,$C149:$F149)*VLOOKUP(CI$2,ProyDia[],8,0)</f>
        <v>0</v>
      </c>
      <c r="CJ149" s="28" t="n">
        <f aca="false">SUMIF($C$2:$F$2,EOMONTH(CJ$2,-1)+1,$C149:$F149)*VLOOKUP(CJ$2,ProyDia[],8,0)</f>
        <v>0</v>
      </c>
      <c r="CK149" s="28" t="n">
        <f aca="false">SUMIF($C$2:$F$2,EOMONTH(CK$2,-1)+1,$C149:$F149)*VLOOKUP(CK$2,ProyDia[],8,0)</f>
        <v>0</v>
      </c>
      <c r="CL149" s="28" t="n">
        <f aca="false">SUMIF($C$2:$F$2,EOMONTH(CL$2,-1)+1,$C149:$F149)*VLOOKUP(CL$2,ProyDia[],8,0)</f>
        <v>0</v>
      </c>
      <c r="CM149" s="28" t="n">
        <f aca="false">SUMIF($C$2:$F$2,EOMONTH(CM$2,-1)+1,$C149:$F149)*VLOOKUP(CM$2,ProyDia[],8,0)</f>
        <v>0</v>
      </c>
      <c r="CN149" s="28" t="n">
        <f aca="false">SUMIF($C$2:$F$2,EOMONTH(CN$2,-1)+1,$C149:$F149)*VLOOKUP(CN$2,ProyDia[],8,0)</f>
        <v>0</v>
      </c>
      <c r="CO149" s="28" t="n">
        <f aca="false">SUMIF($C$2:$F$2,EOMONTH(CO$2,-1)+1,$C149:$F149)*VLOOKUP(CO$2,ProyDia[],8,0)</f>
        <v>0</v>
      </c>
      <c r="CP149" s="28" t="n">
        <f aca="false">SUMIF($C$2:$F$2,EOMONTH(CP$2,-1)+1,$C149:$F149)*VLOOKUP(CP$2,ProyDia[],8,0)</f>
        <v>0</v>
      </c>
      <c r="CQ149" s="28" t="n">
        <f aca="false">SUMIF($C$2:$F$2,EOMONTH(CQ$2,-1)+1,$C149:$F149)*VLOOKUP(CQ$2,ProyDia[],8,0)</f>
        <v>0</v>
      </c>
      <c r="CR149" s="28" t="n">
        <f aca="false">SUMIF($C$2:$F$2,EOMONTH(CR$2,-1)+1,$C149:$F149)*VLOOKUP(CR$2,ProyDia[],8,0)</f>
        <v>0</v>
      </c>
      <c r="CS149" s="28" t="n">
        <f aca="false">SUMIF($C$2:$F$2,EOMONTH(CS$2,-1)+1,$C149:$F149)*VLOOKUP(CS$2,ProyDia[],8,0)</f>
        <v>0</v>
      </c>
      <c r="CT149" s="28" t="n">
        <f aca="false">SUMIF($C$2:$F$2,EOMONTH(CT$2,-1)+1,$C149:$F149)*VLOOKUP(CT$2,ProyDia[],8,0)</f>
        <v>0</v>
      </c>
      <c r="CU149" s="28" t="n">
        <f aca="false">SUMIF($C$2:$F$2,EOMONTH(CU$2,-1)+1,$C149:$F149)*VLOOKUP(CU$2,ProyDia[],8,0)</f>
        <v>0</v>
      </c>
      <c r="CV149" s="28" t="n">
        <f aca="false">SUMIF($C$2:$F$2,EOMONTH(CV$2,-1)+1,$C149:$F149)*VLOOKUP(CV$2,ProyDia[],8,0)</f>
        <v>0</v>
      </c>
      <c r="CW149" s="28" t="n">
        <f aca="false">SUMIF($C$2:$F$2,EOMONTH(CW$2,-1)+1,$C149:$F149)*VLOOKUP(CW$2,ProyDia[],8,0)</f>
        <v>0</v>
      </c>
      <c r="CX149" s="28" t="n">
        <f aca="false">SUMIF($C$2:$F$2,EOMONTH(CX$2,-1)+1,$C149:$F149)*VLOOKUP(CX$2,ProyDia[],8,0)</f>
        <v>0</v>
      </c>
      <c r="CY149" s="28" t="n">
        <f aca="false">SUMIF($C$2:$F$2,EOMONTH(CY$2,-1)+1,$C149:$F149)*VLOOKUP(CY$2,ProyDia[],8,0)</f>
        <v>0</v>
      </c>
      <c r="CZ149" s="28" t="n">
        <f aca="false">SUMIF($C$2:$F$2,EOMONTH(CZ$2,-1)+1,$C149:$F149)*VLOOKUP(CZ$2,ProyDia[],8,0)</f>
        <v>0</v>
      </c>
      <c r="DA149" s="28" t="n">
        <f aca="false">SUMIF($C$2:$F$2,EOMONTH(DA$2,-1)+1,$C149:$F149)*VLOOKUP(DA$2,ProyDia[],8,0)</f>
        <v>0</v>
      </c>
      <c r="DB149" s="28" t="n">
        <f aca="false">SUMIF($C$2:$F$2,EOMONTH(DB$2,-1)+1,$C149:$F149)*VLOOKUP(DB$2,ProyDia[],8,0)</f>
        <v>0</v>
      </c>
      <c r="DC149" s="28" t="n">
        <f aca="false">SUMIF($C$2:$F$2,EOMONTH(DC$2,-1)+1,$C149:$F149)*VLOOKUP(DC$2,ProyDia[],8,0)</f>
        <v>0</v>
      </c>
      <c r="DD149" s="28" t="n">
        <f aca="false">SUMIF($C$2:$F$2,EOMONTH(DD$2,-1)+1,$C149:$F149)*VLOOKUP(DD$2,ProyDia[],8,0)</f>
        <v>0</v>
      </c>
      <c r="DE149" s="28" t="n">
        <f aca="false">SUMIF($C$2:$F$2,EOMONTH(DE$2,-1)+1,$C149:$F149)*VLOOKUP(DE$2,ProyDia[],8,0)</f>
        <v>0</v>
      </c>
      <c r="DF149" s="28" t="n">
        <f aca="false">SUMIF($C$2:$F$2,EOMONTH(DF$2,-1)+1,$C149:$F149)*VLOOKUP(DF$2,ProyDia[],8,0)</f>
        <v>0</v>
      </c>
      <c r="DG149" s="28" t="n">
        <f aca="false">SUMIF($C$2:$F$2,EOMONTH(DG$2,-1)+1,$C149:$F149)*VLOOKUP(DG$2,ProyDia[],8,0)</f>
        <v>0</v>
      </c>
      <c r="DH149" s="28" t="n">
        <f aca="false">SUMIF($C$2:$F$2,EOMONTH(DH$2,-1)+1,$C149:$F149)*VLOOKUP(DH$2,ProyDia[],8,0)</f>
        <v>0</v>
      </c>
      <c r="DI149" s="28" t="n">
        <f aca="false">SUMIF($C$2:$F$2,EOMONTH(DI$2,-1)+1,$C149:$F149)*VLOOKUP(DI$2,ProyDia[],8,0)</f>
        <v>0</v>
      </c>
      <c r="DJ149" s="28" t="n">
        <f aca="false">SUMIF($C$2:$F$2,EOMONTH(DJ$2,-1)+1,$C149:$F149)*VLOOKUP(DJ$2,ProyDia[],8,0)</f>
        <v>0</v>
      </c>
      <c r="DK149" s="28" t="n">
        <f aca="false">SUMIF($C$2:$F$2,EOMONTH(DK$2,-1)+1,$C149:$F149)*VLOOKUP(DK$2,ProyDia[],8,0)</f>
        <v>0</v>
      </c>
      <c r="DL149" s="28" t="n">
        <f aca="false">SUMIF($C$2:$F$2,EOMONTH(DL$2,-1)+1,$C149:$F149)*VLOOKUP(DL$2,ProyDia[],8,0)</f>
        <v>0</v>
      </c>
      <c r="DM149" s="28" t="n">
        <f aca="false">SUMIF($C$2:$F$2,EOMONTH(DM$2,-1)+1,$C149:$F149)*VLOOKUP(DM$2,ProyDia[],8,0)</f>
        <v>0</v>
      </c>
      <c r="DN149" s="28" t="n">
        <f aca="false">SUMIF($C$2:$F$2,EOMONTH(DN$2,-1)+1,$C149:$F149)*VLOOKUP(DN$2,ProyDia[],8,0)</f>
        <v>0</v>
      </c>
      <c r="DO149" s="28" t="n">
        <f aca="false">SUMIF($C$2:$F$2,EOMONTH(DO$2,-1)+1,$C149:$F149)*VLOOKUP(DO$2,ProyDia[],8,0)</f>
        <v>0</v>
      </c>
      <c r="DP149" s="28" t="n">
        <f aca="false">SUMIF($C$2:$F$2,EOMONTH(DP$2,-1)+1,$C149:$F149)*VLOOKUP(DP$2,ProyDia[],8,0)</f>
        <v>0</v>
      </c>
      <c r="DQ149" s="28" t="n">
        <f aca="false">SUMIF($C$2:$F$2,EOMONTH(DQ$2,-1)+1,$C149:$F149)*VLOOKUP(DQ$2,ProyDia[],8,0)</f>
        <v>0</v>
      </c>
      <c r="DR149" s="28" t="n">
        <f aca="false">SUMIF($C$2:$F$2,EOMONTH(DR$2,-1)+1,$C149:$F149)*VLOOKUP(DR$2,ProyDia[],8,0)</f>
        <v>0</v>
      </c>
      <c r="DS149" s="28" t="n">
        <f aca="false">SUMIF($C$2:$F$2,EOMONTH(DS$2,-1)+1,$C149:$F149)*VLOOKUP(DS$2,ProyDia[],8,0)</f>
        <v>0</v>
      </c>
      <c r="DT149" s="28" t="n">
        <f aca="false">SUMIF($C$2:$F$2,EOMONTH(DT$2,-1)+1,$C149:$F149)*VLOOKUP(DT$2,ProyDia[],8,0)</f>
        <v>0</v>
      </c>
      <c r="DU149" s="28" t="n">
        <f aca="false">SUMIF($C$2:$F$2,EOMONTH(DU$2,-1)+1,$C149:$F149)*VLOOKUP(DU$2,ProyDia[],8,0)</f>
        <v>0</v>
      </c>
      <c r="DV149" s="28" t="n">
        <f aca="false">SUMIF($C$2:$F$2,EOMONTH(DV$2,-1)+1,$C149:$F149)*VLOOKUP(DV$2,ProyDia[],8,0)</f>
        <v>0</v>
      </c>
      <c r="DW149" s="28" t="n">
        <f aca="false">SUMIF($C$2:$F$2,EOMONTH(DW$2,-1)+1,$C149:$F149)*VLOOKUP(DW$2,ProyDia[],8,0)</f>
        <v>0</v>
      </c>
      <c r="DX149" s="28" t="n">
        <f aca="false">SUMIF($C$2:$F$2,EOMONTH(DX$2,-1)+1,$C149:$F149)*VLOOKUP(DX$2,ProyDia[],8,0)</f>
        <v>0</v>
      </c>
    </row>
    <row r="150" customFormat="false" ht="14.4" hidden="false" customHeight="false" outlineLevel="0" collapsed="false">
      <c r="A150" s="35"/>
      <c r="B150" s="35"/>
      <c r="C150" s="35"/>
      <c r="D150" s="35"/>
      <c r="E150" s="35"/>
      <c r="F150" s="35"/>
      <c r="G150" s="36" t="n">
        <f aca="false">SUMIF($C$2:$F$2,EOMONTH(G$2,-1)+1,$C150:$F150)*VLOOKUP(G$2,ProyDia[],8,0)</f>
        <v>0</v>
      </c>
      <c r="H150" s="36" t="n">
        <f aca="false">SUMIF($C$2:$F$2,EOMONTH(H$2,-1)+1,$C150:$F150)*VLOOKUP(H$2,ProyDia[],8,0)</f>
        <v>0</v>
      </c>
      <c r="I150" s="36" t="n">
        <f aca="false">SUMIF($C$2:$F$2,EOMONTH(I$2,-1)+1,$C150:$F150)*VLOOKUP(I$2,ProyDia[],8,0)</f>
        <v>0</v>
      </c>
      <c r="J150" s="36" t="n">
        <f aca="false">SUMIF($C$2:$F$2,EOMONTH(J$2,-1)+1,$C150:$F150)*VLOOKUP(J$2,ProyDia[],8,0)</f>
        <v>0</v>
      </c>
      <c r="K150" s="36" t="n">
        <f aca="false">SUMIF($C$2:$F$2,EOMONTH(K$2,-1)+1,$C150:$F150)*VLOOKUP(K$2,ProyDia[],8,0)</f>
        <v>0</v>
      </c>
      <c r="L150" s="36" t="n">
        <f aca="false">SUMIF($C$2:$F$2,EOMONTH(L$2,-1)+1,$C150:$F150)*VLOOKUP(L$2,ProyDia[],8,0)</f>
        <v>0</v>
      </c>
      <c r="M150" s="36" t="n">
        <f aca="false">SUMIF($C$2:$F$2,EOMONTH(M$2,-1)+1,$C150:$F150)*VLOOKUP(M$2,ProyDia[],8,0)</f>
        <v>0</v>
      </c>
      <c r="N150" s="36" t="n">
        <f aca="false">SUMIF($C$2:$F$2,EOMONTH(N$2,-1)+1,$C150:$F150)*VLOOKUP(N$2,ProyDia[],8,0)</f>
        <v>0</v>
      </c>
      <c r="O150" s="36" t="n">
        <f aca="false">SUMIF($C$2:$F$2,EOMONTH(O$2,-1)+1,$C150:$F150)*VLOOKUP(O$2,ProyDia[],8,0)</f>
        <v>0</v>
      </c>
      <c r="P150" s="36" t="n">
        <f aca="false">SUMIF($C$2:$F$2,EOMONTH(P$2,-1)+1,$C150:$F150)*VLOOKUP(P$2,ProyDia[],8,0)</f>
        <v>0</v>
      </c>
      <c r="Q150" s="36" t="n">
        <f aca="false">SUMIF($C$2:$F$2,EOMONTH(Q$2,-1)+1,$C150:$F150)*VLOOKUP(Q$2,ProyDia[],8,0)</f>
        <v>0</v>
      </c>
      <c r="R150" s="36" t="n">
        <f aca="false">SUMIF($C$2:$F$2,EOMONTH(R$2,-1)+1,$C150:$F150)*VLOOKUP(R$2,ProyDia[],8,0)</f>
        <v>0</v>
      </c>
      <c r="S150" s="36" t="n">
        <f aca="false">SUMIF($C$2:$F$2,EOMONTH(S$2,-1)+1,$C150:$F150)*VLOOKUP(S$2,ProyDia[],8,0)</f>
        <v>0</v>
      </c>
      <c r="T150" s="36" t="n">
        <f aca="false">SUMIF($C$2:$F$2,EOMONTH(T$2,-1)+1,$C150:$F150)*VLOOKUP(T$2,ProyDia[],8,0)</f>
        <v>0</v>
      </c>
      <c r="U150" s="36" t="n">
        <f aca="false">SUMIF($C$2:$F$2,EOMONTH(U$2,-1)+1,$C150:$F150)*VLOOKUP(U$2,ProyDia[],8,0)</f>
        <v>0</v>
      </c>
      <c r="V150" s="36" t="n">
        <f aca="false">SUMIF($C$2:$F$2,EOMONTH(V$2,-1)+1,$C150:$F150)*VLOOKUP(V$2,ProyDia[],8,0)</f>
        <v>0</v>
      </c>
      <c r="W150" s="36" t="n">
        <f aca="false">SUMIF($C$2:$F$2,EOMONTH(W$2,-1)+1,$C150:$F150)*VLOOKUP(W$2,ProyDia[],8,0)</f>
        <v>0</v>
      </c>
      <c r="X150" s="36" t="n">
        <f aca="false">SUMIF($C$2:$F$2,EOMONTH(X$2,-1)+1,$C150:$F150)*VLOOKUP(X$2,ProyDia[],8,0)</f>
        <v>0</v>
      </c>
      <c r="Y150" s="36" t="n">
        <f aca="false">SUMIF($C$2:$F$2,EOMONTH(Y$2,-1)+1,$C150:$F150)*VLOOKUP(Y$2,ProyDia[],8,0)</f>
        <v>0</v>
      </c>
      <c r="Z150" s="36" t="n">
        <f aca="false">SUMIF($C$2:$F$2,EOMONTH(Z$2,-1)+1,$C150:$F150)*VLOOKUP(Z$2,ProyDia[],8,0)</f>
        <v>0</v>
      </c>
      <c r="AA150" s="36" t="n">
        <f aca="false">SUMIF($C$2:$F$2,EOMONTH(AA$2,-1)+1,$C150:$F150)*VLOOKUP(AA$2,ProyDia[],8,0)</f>
        <v>0</v>
      </c>
      <c r="AB150" s="36" t="n">
        <f aca="false">SUMIF($C$2:$F$2,EOMONTH(AB$2,-1)+1,$C150:$F150)*VLOOKUP(AB$2,ProyDia[],8,0)</f>
        <v>0</v>
      </c>
      <c r="AC150" s="36" t="n">
        <f aca="false">SUMIF($C$2:$F$2,EOMONTH(AC$2,-1)+1,$C150:$F150)*VLOOKUP(AC$2,ProyDia[],8,0)</f>
        <v>0</v>
      </c>
      <c r="AD150" s="36" t="n">
        <f aca="false">SUMIF($C$2:$F$2,EOMONTH(AD$2,-1)+1,$C150:$F150)*VLOOKUP(AD$2,ProyDia[],8,0)</f>
        <v>0</v>
      </c>
      <c r="AE150" s="36" t="n">
        <f aca="false">SUMIF($C$2:$F$2,EOMONTH(AE$2,-1)+1,$C150:$F150)*VLOOKUP(AE$2,ProyDia[],8,0)</f>
        <v>0</v>
      </c>
      <c r="AF150" s="36" t="n">
        <f aca="false">SUMIF($C$2:$F$2,EOMONTH(AF$2,-1)+1,$C150:$F150)*VLOOKUP(AF$2,ProyDia[],8,0)</f>
        <v>0</v>
      </c>
      <c r="AG150" s="36" t="n">
        <f aca="false">SUMIF($C$2:$F$2,EOMONTH(AG$2,-1)+1,$C150:$F150)*VLOOKUP(AG$2,ProyDia[],8,0)</f>
        <v>0</v>
      </c>
      <c r="AH150" s="36" t="n">
        <f aca="false">SUMIF($C$2:$F$2,EOMONTH(AH$2,-1)+1,$C150:$F150)*VLOOKUP(AH$2,ProyDia[],8,0)</f>
        <v>0</v>
      </c>
      <c r="AI150" s="36" t="n">
        <f aca="false">SUMIF($C$2:$F$2,EOMONTH(AI$2,-1)+1,$C150:$F150)*VLOOKUP(AI$2,ProyDia[],8,0)</f>
        <v>0</v>
      </c>
      <c r="AJ150" s="36" t="n">
        <f aca="false">SUMIF($C$2:$F$2,EOMONTH(AJ$2,-1)+1,$C150:$F150)*VLOOKUP(AJ$2,ProyDia[],8,0)</f>
        <v>0</v>
      </c>
      <c r="AK150" s="36" t="n">
        <f aca="false">SUMIF($C$2:$F$2,EOMONTH(AK$2,-1)+1,$C150:$F150)*VLOOKUP(AK$2,ProyDia[],8,0)</f>
        <v>0</v>
      </c>
      <c r="AL150" s="36" t="n">
        <f aca="false">SUMIF($C$2:$F$2,EOMONTH(AL$2,-1)+1,$C150:$F150)*VLOOKUP(AL$2,ProyDia[],8,0)</f>
        <v>0</v>
      </c>
      <c r="AM150" s="36" t="n">
        <f aca="false">SUMIF($C$2:$F$2,EOMONTH(AM$2,-1)+1,$C150:$F150)*VLOOKUP(AM$2,ProyDia[],8,0)</f>
        <v>0</v>
      </c>
      <c r="AN150" s="36" t="n">
        <f aca="false">SUMIF($C$2:$F$2,EOMONTH(AN$2,-1)+1,$C150:$F150)*VLOOKUP(AN$2,ProyDia[],8,0)</f>
        <v>0</v>
      </c>
      <c r="AO150" s="36" t="n">
        <f aca="false">SUMIF($C$2:$F$2,EOMONTH(AO$2,-1)+1,$C150:$F150)*VLOOKUP(AO$2,ProyDia[],8,0)</f>
        <v>0</v>
      </c>
      <c r="AP150" s="36" t="n">
        <f aca="false">SUMIF($C$2:$F$2,EOMONTH(AP$2,-1)+1,$C150:$F150)*VLOOKUP(AP$2,ProyDia[],8,0)</f>
        <v>0</v>
      </c>
      <c r="AQ150" s="36" t="n">
        <f aca="false">SUMIF($C$2:$F$2,EOMONTH(AQ$2,-1)+1,$C150:$F150)*VLOOKUP(AQ$2,ProyDia[],8,0)</f>
        <v>0</v>
      </c>
      <c r="AR150" s="36" t="n">
        <f aca="false">SUMIF($C$2:$F$2,EOMONTH(AR$2,-1)+1,$C150:$F150)*VLOOKUP(AR$2,ProyDia[],8,0)</f>
        <v>0</v>
      </c>
      <c r="AS150" s="36" t="n">
        <f aca="false">SUMIF($C$2:$F$2,EOMONTH(AS$2,-1)+1,$C150:$F150)*VLOOKUP(AS$2,ProyDia[],8,0)</f>
        <v>0</v>
      </c>
      <c r="AT150" s="36" t="n">
        <f aca="false">SUMIF($C$2:$F$2,EOMONTH(AT$2,-1)+1,$C150:$F150)*VLOOKUP(AT$2,ProyDia[],8,0)</f>
        <v>0</v>
      </c>
      <c r="AU150" s="36" t="n">
        <f aca="false">SUMIF($C$2:$F$2,EOMONTH(AU$2,-1)+1,$C150:$F150)*VLOOKUP(AU$2,ProyDia[],8,0)</f>
        <v>0</v>
      </c>
      <c r="AV150" s="36" t="n">
        <f aca="false">SUMIF($C$2:$F$2,EOMONTH(AV$2,-1)+1,$C150:$F150)*VLOOKUP(AV$2,ProyDia[],8,0)</f>
        <v>0</v>
      </c>
      <c r="AW150" s="36" t="n">
        <f aca="false">SUMIF($C$2:$F$2,EOMONTH(AW$2,-1)+1,$C150:$F150)*VLOOKUP(AW$2,ProyDia[],8,0)</f>
        <v>0</v>
      </c>
      <c r="AX150" s="36" t="n">
        <f aca="false">SUMIF($C$2:$F$2,EOMONTH(AX$2,-1)+1,$C150:$F150)*VLOOKUP(AX$2,ProyDia[],8,0)</f>
        <v>0</v>
      </c>
      <c r="AY150" s="36" t="n">
        <f aca="false">SUMIF($C$2:$F$2,EOMONTH(AY$2,-1)+1,$C150:$F150)*VLOOKUP(AY$2,ProyDia[],8,0)</f>
        <v>0</v>
      </c>
      <c r="AZ150" s="36" t="n">
        <f aca="false">SUMIF($C$2:$F$2,EOMONTH(AZ$2,-1)+1,$C150:$F150)*VLOOKUP(AZ$2,ProyDia[],8,0)</f>
        <v>0</v>
      </c>
      <c r="BA150" s="36" t="n">
        <f aca="false">SUMIF($C$2:$F$2,EOMONTH(BA$2,-1)+1,$C150:$F150)*VLOOKUP(BA$2,ProyDia[],8,0)</f>
        <v>0</v>
      </c>
      <c r="BB150" s="36" t="n">
        <f aca="false">SUMIF($C$2:$F$2,EOMONTH(BB$2,-1)+1,$C150:$F150)*VLOOKUP(BB$2,ProyDia[],8,0)</f>
        <v>0</v>
      </c>
      <c r="BC150" s="36" t="n">
        <f aca="false">SUMIF($C$2:$F$2,EOMONTH(BC$2,-1)+1,$C150:$F150)*VLOOKUP(BC$2,ProyDia[],8,0)</f>
        <v>0</v>
      </c>
      <c r="BD150" s="36" t="n">
        <f aca="false">SUMIF($C$2:$F$2,EOMONTH(BD$2,-1)+1,$C150:$F150)*VLOOKUP(BD$2,ProyDia[],8,0)</f>
        <v>0</v>
      </c>
      <c r="BE150" s="36" t="n">
        <f aca="false">SUMIF($C$2:$F$2,EOMONTH(BE$2,-1)+1,$C150:$F150)*VLOOKUP(BE$2,ProyDia[],8,0)</f>
        <v>0</v>
      </c>
      <c r="BF150" s="36" t="n">
        <f aca="false">SUMIF($C$2:$F$2,EOMONTH(BF$2,-1)+1,$C150:$F150)*VLOOKUP(BF$2,ProyDia[],8,0)</f>
        <v>0</v>
      </c>
      <c r="BG150" s="36" t="n">
        <f aca="false">SUMIF($C$2:$F$2,EOMONTH(BG$2,-1)+1,$C150:$F150)*VLOOKUP(BG$2,ProyDia[],8,0)</f>
        <v>0</v>
      </c>
      <c r="BH150" s="36" t="n">
        <f aca="false">SUMIF($C$2:$F$2,EOMONTH(BH$2,-1)+1,$C150:$F150)*VLOOKUP(BH$2,ProyDia[],8,0)</f>
        <v>0</v>
      </c>
      <c r="BI150" s="36" t="n">
        <f aca="false">SUMIF($C$2:$F$2,EOMONTH(BI$2,-1)+1,$C150:$F150)*VLOOKUP(BI$2,ProyDia[],8,0)</f>
        <v>0</v>
      </c>
      <c r="BJ150" s="36" t="n">
        <f aca="false">SUMIF($C$2:$F$2,EOMONTH(BJ$2,-1)+1,$C150:$F150)*VLOOKUP(BJ$2,ProyDia[],8,0)</f>
        <v>0</v>
      </c>
      <c r="BK150" s="36" t="n">
        <f aca="false">SUMIF($C$2:$F$2,EOMONTH(BK$2,-1)+1,$C150:$F150)*VLOOKUP(BK$2,ProyDia[],8,0)</f>
        <v>0</v>
      </c>
      <c r="BL150" s="36" t="n">
        <f aca="false">SUMIF($C$2:$F$2,EOMONTH(BL$2,-1)+1,$C150:$F150)*VLOOKUP(BL$2,ProyDia[],8,0)</f>
        <v>0</v>
      </c>
      <c r="BM150" s="36" t="n">
        <f aca="false">SUMIF($C$2:$F$2,EOMONTH(BM$2,-1)+1,$C150:$F150)*VLOOKUP(BM$2,ProyDia[],8,0)</f>
        <v>0</v>
      </c>
      <c r="BN150" s="36" t="n">
        <f aca="false">SUMIF($C$2:$F$2,EOMONTH(BN$2,-1)+1,$C150:$F150)*VLOOKUP(BN$2,ProyDia[],8,0)</f>
        <v>0</v>
      </c>
      <c r="BO150" s="36" t="n">
        <f aca="false">SUMIF($C$2:$F$2,EOMONTH(BO$2,-1)+1,$C150:$F150)*VLOOKUP(BO$2,ProyDia[],8,0)</f>
        <v>0</v>
      </c>
      <c r="BP150" s="36" t="n">
        <f aca="false">SUMIF($C$2:$F$2,EOMONTH(BP$2,-1)+1,$C150:$F150)*VLOOKUP(BP$2,ProyDia[],8,0)</f>
        <v>0</v>
      </c>
      <c r="BQ150" s="36" t="n">
        <f aca="false">SUMIF($C$2:$F$2,EOMONTH(BQ$2,-1)+1,$C150:$F150)*VLOOKUP(BQ$2,ProyDia[],8,0)</f>
        <v>0</v>
      </c>
      <c r="BR150" s="36" t="n">
        <f aca="false">SUMIF($C$2:$F$2,EOMONTH(BR$2,-1)+1,$C150:$F150)*VLOOKUP(BR$2,ProyDia[],8,0)</f>
        <v>0</v>
      </c>
      <c r="BS150" s="36" t="n">
        <f aca="false">SUMIF($C$2:$F$2,EOMONTH(BS$2,-1)+1,$C150:$F150)*VLOOKUP(BS$2,ProyDia[],8,0)</f>
        <v>0</v>
      </c>
      <c r="BT150" s="36" t="n">
        <f aca="false">SUMIF($C$2:$F$2,EOMONTH(BT$2,-1)+1,$C150:$F150)*VLOOKUP(BT$2,ProyDia[],8,0)</f>
        <v>0</v>
      </c>
      <c r="BU150" s="36" t="n">
        <f aca="false">SUMIF($C$2:$F$2,EOMONTH(BU$2,-1)+1,$C150:$F150)*VLOOKUP(BU$2,ProyDia[],8,0)</f>
        <v>0</v>
      </c>
      <c r="BV150" s="36" t="n">
        <f aca="false">SUMIF($C$2:$F$2,EOMONTH(BV$2,-1)+1,$C150:$F150)*VLOOKUP(BV$2,ProyDia[],8,0)</f>
        <v>0</v>
      </c>
      <c r="BW150" s="36" t="n">
        <f aca="false">SUMIF($C$2:$F$2,EOMONTH(BW$2,-1)+1,$C150:$F150)*VLOOKUP(BW$2,ProyDia[],8,0)</f>
        <v>0</v>
      </c>
      <c r="BX150" s="36" t="n">
        <f aca="false">SUMIF($C$2:$F$2,EOMONTH(BX$2,-1)+1,$C150:$F150)*VLOOKUP(BX$2,ProyDia[],8,0)</f>
        <v>0</v>
      </c>
      <c r="BY150" s="36" t="n">
        <f aca="false">SUMIF($C$2:$F$2,EOMONTH(BY$2,-1)+1,$C150:$F150)*VLOOKUP(BY$2,ProyDia[],8,0)</f>
        <v>0</v>
      </c>
      <c r="BZ150" s="36" t="n">
        <f aca="false">SUMIF($C$2:$F$2,EOMONTH(BZ$2,-1)+1,$C150:$F150)*VLOOKUP(BZ$2,ProyDia[],8,0)</f>
        <v>0</v>
      </c>
      <c r="CA150" s="36" t="n">
        <f aca="false">SUMIF($C$2:$F$2,EOMONTH(CA$2,-1)+1,$C150:$F150)*VLOOKUP(CA$2,ProyDia[],8,0)</f>
        <v>0</v>
      </c>
      <c r="CB150" s="36" t="n">
        <f aca="false">SUMIF($C$2:$F$2,EOMONTH(CB$2,-1)+1,$C150:$F150)*VLOOKUP(CB$2,ProyDia[],8,0)</f>
        <v>0</v>
      </c>
      <c r="CC150" s="36" t="n">
        <f aca="false">SUMIF($C$2:$F$2,EOMONTH(CC$2,-1)+1,$C150:$F150)*VLOOKUP(CC$2,ProyDia[],8,0)</f>
        <v>0</v>
      </c>
      <c r="CD150" s="36" t="n">
        <f aca="false">SUMIF($C$2:$F$2,EOMONTH(CD$2,-1)+1,$C150:$F150)*VLOOKUP(CD$2,ProyDia[],8,0)</f>
        <v>0</v>
      </c>
      <c r="CE150" s="36" t="n">
        <f aca="false">SUMIF($C$2:$F$2,EOMONTH(CE$2,-1)+1,$C150:$F150)*VLOOKUP(CE$2,ProyDia[],8,0)</f>
        <v>0</v>
      </c>
      <c r="CF150" s="36" t="n">
        <f aca="false">SUMIF($C$2:$F$2,EOMONTH(CF$2,-1)+1,$C150:$F150)*VLOOKUP(CF$2,ProyDia[],8,0)</f>
        <v>0</v>
      </c>
      <c r="CG150" s="36" t="n">
        <f aca="false">SUMIF($C$2:$F$2,EOMONTH(CG$2,-1)+1,$C150:$F150)*VLOOKUP(CG$2,ProyDia[],8,0)</f>
        <v>0</v>
      </c>
      <c r="CH150" s="36" t="n">
        <f aca="false">SUMIF($C$2:$F$2,EOMONTH(CH$2,-1)+1,$C150:$F150)*VLOOKUP(CH$2,ProyDia[],8,0)</f>
        <v>0</v>
      </c>
      <c r="CI150" s="36" t="n">
        <f aca="false">SUMIF($C$2:$F$2,EOMONTH(CI$2,-1)+1,$C150:$F150)*VLOOKUP(CI$2,ProyDia[],8,0)</f>
        <v>0</v>
      </c>
      <c r="CJ150" s="36" t="n">
        <f aca="false">SUMIF($C$2:$F$2,EOMONTH(CJ$2,-1)+1,$C150:$F150)*VLOOKUP(CJ$2,ProyDia[],8,0)</f>
        <v>0</v>
      </c>
      <c r="CK150" s="36" t="n">
        <f aca="false">SUMIF($C$2:$F$2,EOMONTH(CK$2,-1)+1,$C150:$F150)*VLOOKUP(CK$2,ProyDia[],8,0)</f>
        <v>0</v>
      </c>
      <c r="CL150" s="36" t="n">
        <f aca="false">SUMIF($C$2:$F$2,EOMONTH(CL$2,-1)+1,$C150:$F150)*VLOOKUP(CL$2,ProyDia[],8,0)</f>
        <v>0</v>
      </c>
      <c r="CM150" s="36" t="n">
        <f aca="false">SUMIF($C$2:$F$2,EOMONTH(CM$2,-1)+1,$C150:$F150)*VLOOKUP(CM$2,ProyDia[],8,0)</f>
        <v>0</v>
      </c>
      <c r="CN150" s="36" t="n">
        <f aca="false">SUMIF($C$2:$F$2,EOMONTH(CN$2,-1)+1,$C150:$F150)*VLOOKUP(CN$2,ProyDia[],8,0)</f>
        <v>0</v>
      </c>
      <c r="CO150" s="36" t="n">
        <f aca="false">SUMIF($C$2:$F$2,EOMONTH(CO$2,-1)+1,$C150:$F150)*VLOOKUP(CO$2,ProyDia[],8,0)</f>
        <v>0</v>
      </c>
      <c r="CP150" s="36" t="n">
        <f aca="false">SUMIF($C$2:$F$2,EOMONTH(CP$2,-1)+1,$C150:$F150)*VLOOKUP(CP$2,ProyDia[],8,0)</f>
        <v>0</v>
      </c>
      <c r="CQ150" s="36" t="n">
        <f aca="false">SUMIF($C$2:$F$2,EOMONTH(CQ$2,-1)+1,$C150:$F150)*VLOOKUP(CQ$2,ProyDia[],8,0)</f>
        <v>0</v>
      </c>
      <c r="CR150" s="36" t="n">
        <f aca="false">SUMIF($C$2:$F$2,EOMONTH(CR$2,-1)+1,$C150:$F150)*VLOOKUP(CR$2,ProyDia[],8,0)</f>
        <v>0</v>
      </c>
      <c r="CS150" s="36" t="n">
        <f aca="false">SUMIF($C$2:$F$2,EOMONTH(CS$2,-1)+1,$C150:$F150)*VLOOKUP(CS$2,ProyDia[],8,0)</f>
        <v>0</v>
      </c>
      <c r="CT150" s="36" t="n">
        <f aca="false">SUMIF($C$2:$F$2,EOMONTH(CT$2,-1)+1,$C150:$F150)*VLOOKUP(CT$2,ProyDia[],8,0)</f>
        <v>0</v>
      </c>
      <c r="CU150" s="36" t="n">
        <f aca="false">SUMIF($C$2:$F$2,EOMONTH(CU$2,-1)+1,$C150:$F150)*VLOOKUP(CU$2,ProyDia[],8,0)</f>
        <v>0</v>
      </c>
      <c r="CV150" s="36" t="n">
        <f aca="false">SUMIF($C$2:$F$2,EOMONTH(CV$2,-1)+1,$C150:$F150)*VLOOKUP(CV$2,ProyDia[],8,0)</f>
        <v>0</v>
      </c>
      <c r="CW150" s="36" t="n">
        <f aca="false">SUMIF($C$2:$F$2,EOMONTH(CW$2,-1)+1,$C150:$F150)*VLOOKUP(CW$2,ProyDia[],8,0)</f>
        <v>0</v>
      </c>
      <c r="CX150" s="36" t="n">
        <f aca="false">SUMIF($C$2:$F$2,EOMONTH(CX$2,-1)+1,$C150:$F150)*VLOOKUP(CX$2,ProyDia[],8,0)</f>
        <v>0</v>
      </c>
      <c r="CY150" s="36" t="n">
        <f aca="false">SUMIF($C$2:$F$2,EOMONTH(CY$2,-1)+1,$C150:$F150)*VLOOKUP(CY$2,ProyDia[],8,0)</f>
        <v>0</v>
      </c>
      <c r="CZ150" s="36" t="n">
        <f aca="false">SUMIF($C$2:$F$2,EOMONTH(CZ$2,-1)+1,$C150:$F150)*VLOOKUP(CZ$2,ProyDia[],8,0)</f>
        <v>0</v>
      </c>
      <c r="DA150" s="36" t="n">
        <f aca="false">SUMIF($C$2:$F$2,EOMONTH(DA$2,-1)+1,$C150:$F150)*VLOOKUP(DA$2,ProyDia[],8,0)</f>
        <v>0</v>
      </c>
      <c r="DB150" s="36" t="n">
        <f aca="false">SUMIF($C$2:$F$2,EOMONTH(DB$2,-1)+1,$C150:$F150)*VLOOKUP(DB$2,ProyDia[],8,0)</f>
        <v>0</v>
      </c>
      <c r="DC150" s="36" t="n">
        <f aca="false">SUMIF($C$2:$F$2,EOMONTH(DC$2,-1)+1,$C150:$F150)*VLOOKUP(DC$2,ProyDia[],8,0)</f>
        <v>0</v>
      </c>
      <c r="DD150" s="36" t="n">
        <f aca="false">SUMIF($C$2:$F$2,EOMONTH(DD$2,-1)+1,$C150:$F150)*VLOOKUP(DD$2,ProyDia[],8,0)</f>
        <v>0</v>
      </c>
      <c r="DE150" s="36" t="n">
        <f aca="false">SUMIF($C$2:$F$2,EOMONTH(DE$2,-1)+1,$C150:$F150)*VLOOKUP(DE$2,ProyDia[],8,0)</f>
        <v>0</v>
      </c>
      <c r="DF150" s="36" t="n">
        <f aca="false">SUMIF($C$2:$F$2,EOMONTH(DF$2,-1)+1,$C150:$F150)*VLOOKUP(DF$2,ProyDia[],8,0)</f>
        <v>0</v>
      </c>
      <c r="DG150" s="36" t="n">
        <f aca="false">SUMIF($C$2:$F$2,EOMONTH(DG$2,-1)+1,$C150:$F150)*VLOOKUP(DG$2,ProyDia[],8,0)</f>
        <v>0</v>
      </c>
      <c r="DH150" s="36" t="n">
        <f aca="false">SUMIF($C$2:$F$2,EOMONTH(DH$2,-1)+1,$C150:$F150)*VLOOKUP(DH$2,ProyDia[],8,0)</f>
        <v>0</v>
      </c>
      <c r="DI150" s="36" t="n">
        <f aca="false">SUMIF($C$2:$F$2,EOMONTH(DI$2,-1)+1,$C150:$F150)*VLOOKUP(DI$2,ProyDia[],8,0)</f>
        <v>0</v>
      </c>
      <c r="DJ150" s="36" t="n">
        <f aca="false">SUMIF($C$2:$F$2,EOMONTH(DJ$2,-1)+1,$C150:$F150)*VLOOKUP(DJ$2,ProyDia[],8,0)</f>
        <v>0</v>
      </c>
      <c r="DK150" s="36" t="n">
        <f aca="false">SUMIF($C$2:$F$2,EOMONTH(DK$2,-1)+1,$C150:$F150)*VLOOKUP(DK$2,ProyDia[],8,0)</f>
        <v>0</v>
      </c>
      <c r="DL150" s="36" t="n">
        <f aca="false">SUMIF($C$2:$F$2,EOMONTH(DL$2,-1)+1,$C150:$F150)*VLOOKUP(DL$2,ProyDia[],8,0)</f>
        <v>0</v>
      </c>
      <c r="DM150" s="36" t="n">
        <f aca="false">SUMIF($C$2:$F$2,EOMONTH(DM$2,-1)+1,$C150:$F150)*VLOOKUP(DM$2,ProyDia[],8,0)</f>
        <v>0</v>
      </c>
      <c r="DN150" s="36" t="n">
        <f aca="false">SUMIF($C$2:$F$2,EOMONTH(DN$2,-1)+1,$C150:$F150)*VLOOKUP(DN$2,ProyDia[],8,0)</f>
        <v>0</v>
      </c>
      <c r="DO150" s="36" t="n">
        <f aca="false">SUMIF($C$2:$F$2,EOMONTH(DO$2,-1)+1,$C150:$F150)*VLOOKUP(DO$2,ProyDia[],8,0)</f>
        <v>0</v>
      </c>
      <c r="DP150" s="36" t="n">
        <f aca="false">SUMIF($C$2:$F$2,EOMONTH(DP$2,-1)+1,$C150:$F150)*VLOOKUP(DP$2,ProyDia[],8,0)</f>
        <v>0</v>
      </c>
      <c r="DQ150" s="36" t="n">
        <f aca="false">SUMIF($C$2:$F$2,EOMONTH(DQ$2,-1)+1,$C150:$F150)*VLOOKUP(DQ$2,ProyDia[],8,0)</f>
        <v>0</v>
      </c>
      <c r="DR150" s="36" t="n">
        <f aca="false">SUMIF($C$2:$F$2,EOMONTH(DR$2,-1)+1,$C150:$F150)*VLOOKUP(DR$2,ProyDia[],8,0)</f>
        <v>0</v>
      </c>
      <c r="DS150" s="36" t="n">
        <f aca="false">SUMIF($C$2:$F$2,EOMONTH(DS$2,-1)+1,$C150:$F150)*VLOOKUP(DS$2,ProyDia[],8,0)</f>
        <v>0</v>
      </c>
      <c r="DT150" s="36" t="n">
        <f aca="false">SUMIF($C$2:$F$2,EOMONTH(DT$2,-1)+1,$C150:$F150)*VLOOKUP(DT$2,ProyDia[],8,0)</f>
        <v>0</v>
      </c>
      <c r="DU150" s="36" t="n">
        <f aca="false">SUMIF($C$2:$F$2,EOMONTH(DU$2,-1)+1,$C150:$F150)*VLOOKUP(DU$2,ProyDia[],8,0)</f>
        <v>0</v>
      </c>
      <c r="DV150" s="36" t="n">
        <f aca="false">SUMIF($C$2:$F$2,EOMONTH(DV$2,-1)+1,$C150:$F150)*VLOOKUP(DV$2,ProyDia[],8,0)</f>
        <v>0</v>
      </c>
      <c r="DW150" s="36" t="n">
        <f aca="false">SUMIF($C$2:$F$2,EOMONTH(DW$2,-1)+1,$C150:$F150)*VLOOKUP(DW$2,ProyDia[],8,0)</f>
        <v>0</v>
      </c>
      <c r="DX150" s="36" t="n">
        <f aca="false">SUMIF($C$2:$F$2,EOMONTH(DX$2,-1)+1,$C150:$F150)*VLOOKUP(DX$2,ProyDia[],8,0)</f>
        <v>0</v>
      </c>
    </row>
    <row r="151" customFormat="false" ht="14.4" hidden="false" customHeight="false" outlineLevel="0" collapsed="false">
      <c r="A151" s="34"/>
      <c r="B151" s="34"/>
      <c r="C151" s="34"/>
      <c r="D151" s="34"/>
      <c r="E151" s="34"/>
      <c r="F151" s="34"/>
      <c r="G151" s="28" t="n">
        <f aca="false">SUMIF($C$2:$F$2,EOMONTH(G$2,-1)+1,$C151:$F151)*VLOOKUP(G$2,ProyDia[],8,0)</f>
        <v>0</v>
      </c>
      <c r="H151" s="28" t="n">
        <f aca="false">SUMIF($C$2:$F$2,EOMONTH(H$2,-1)+1,$C151:$F151)*VLOOKUP(H$2,ProyDia[],8,0)</f>
        <v>0</v>
      </c>
      <c r="I151" s="28" t="n">
        <f aca="false">SUMIF($C$2:$F$2,EOMONTH(I$2,-1)+1,$C151:$F151)*VLOOKUP(I$2,ProyDia[],8,0)</f>
        <v>0</v>
      </c>
      <c r="J151" s="28" t="n">
        <f aca="false">SUMIF($C$2:$F$2,EOMONTH(J$2,-1)+1,$C151:$F151)*VLOOKUP(J$2,ProyDia[],8,0)</f>
        <v>0</v>
      </c>
      <c r="K151" s="28" t="n">
        <f aca="false">SUMIF($C$2:$F$2,EOMONTH(K$2,-1)+1,$C151:$F151)*VLOOKUP(K$2,ProyDia[],8,0)</f>
        <v>0</v>
      </c>
      <c r="L151" s="28" t="n">
        <f aca="false">SUMIF($C$2:$F$2,EOMONTH(L$2,-1)+1,$C151:$F151)*VLOOKUP(L$2,ProyDia[],8,0)</f>
        <v>0</v>
      </c>
      <c r="M151" s="28" t="n">
        <f aca="false">SUMIF($C$2:$F$2,EOMONTH(M$2,-1)+1,$C151:$F151)*VLOOKUP(M$2,ProyDia[],8,0)</f>
        <v>0</v>
      </c>
      <c r="N151" s="28" t="n">
        <f aca="false">SUMIF($C$2:$F$2,EOMONTH(N$2,-1)+1,$C151:$F151)*VLOOKUP(N$2,ProyDia[],8,0)</f>
        <v>0</v>
      </c>
      <c r="O151" s="28" t="n">
        <f aca="false">SUMIF($C$2:$F$2,EOMONTH(O$2,-1)+1,$C151:$F151)*VLOOKUP(O$2,ProyDia[],8,0)</f>
        <v>0</v>
      </c>
      <c r="P151" s="28" t="n">
        <f aca="false">SUMIF($C$2:$F$2,EOMONTH(P$2,-1)+1,$C151:$F151)*VLOOKUP(P$2,ProyDia[],8,0)</f>
        <v>0</v>
      </c>
      <c r="Q151" s="28" t="n">
        <f aca="false">SUMIF($C$2:$F$2,EOMONTH(Q$2,-1)+1,$C151:$F151)*VLOOKUP(Q$2,ProyDia[],8,0)</f>
        <v>0</v>
      </c>
      <c r="R151" s="28" t="n">
        <f aca="false">SUMIF($C$2:$F$2,EOMONTH(R$2,-1)+1,$C151:$F151)*VLOOKUP(R$2,ProyDia[],8,0)</f>
        <v>0</v>
      </c>
      <c r="S151" s="28" t="n">
        <f aca="false">SUMIF($C$2:$F$2,EOMONTH(S$2,-1)+1,$C151:$F151)*VLOOKUP(S$2,ProyDia[],8,0)</f>
        <v>0</v>
      </c>
      <c r="T151" s="28" t="n">
        <f aca="false">SUMIF($C$2:$F$2,EOMONTH(T$2,-1)+1,$C151:$F151)*VLOOKUP(T$2,ProyDia[],8,0)</f>
        <v>0</v>
      </c>
      <c r="U151" s="28" t="n">
        <f aca="false">SUMIF($C$2:$F$2,EOMONTH(U$2,-1)+1,$C151:$F151)*VLOOKUP(U$2,ProyDia[],8,0)</f>
        <v>0</v>
      </c>
      <c r="V151" s="28" t="n">
        <f aca="false">SUMIF($C$2:$F$2,EOMONTH(V$2,-1)+1,$C151:$F151)*VLOOKUP(V$2,ProyDia[],8,0)</f>
        <v>0</v>
      </c>
      <c r="W151" s="28" t="n">
        <f aca="false">SUMIF($C$2:$F$2,EOMONTH(W$2,-1)+1,$C151:$F151)*VLOOKUP(W$2,ProyDia[],8,0)</f>
        <v>0</v>
      </c>
      <c r="X151" s="28" t="n">
        <f aca="false">SUMIF($C$2:$F$2,EOMONTH(X$2,-1)+1,$C151:$F151)*VLOOKUP(X$2,ProyDia[],8,0)</f>
        <v>0</v>
      </c>
      <c r="Y151" s="28" t="n">
        <f aca="false">SUMIF($C$2:$F$2,EOMONTH(Y$2,-1)+1,$C151:$F151)*VLOOKUP(Y$2,ProyDia[],8,0)</f>
        <v>0</v>
      </c>
      <c r="Z151" s="28" t="n">
        <f aca="false">SUMIF($C$2:$F$2,EOMONTH(Z$2,-1)+1,$C151:$F151)*VLOOKUP(Z$2,ProyDia[],8,0)</f>
        <v>0</v>
      </c>
      <c r="AA151" s="28" t="n">
        <f aca="false">SUMIF($C$2:$F$2,EOMONTH(AA$2,-1)+1,$C151:$F151)*VLOOKUP(AA$2,ProyDia[],8,0)</f>
        <v>0</v>
      </c>
      <c r="AB151" s="28" t="n">
        <f aca="false">SUMIF($C$2:$F$2,EOMONTH(AB$2,-1)+1,$C151:$F151)*VLOOKUP(AB$2,ProyDia[],8,0)</f>
        <v>0</v>
      </c>
      <c r="AC151" s="28" t="n">
        <f aca="false">SUMIF($C$2:$F$2,EOMONTH(AC$2,-1)+1,$C151:$F151)*VLOOKUP(AC$2,ProyDia[],8,0)</f>
        <v>0</v>
      </c>
      <c r="AD151" s="28" t="n">
        <f aca="false">SUMIF($C$2:$F$2,EOMONTH(AD$2,-1)+1,$C151:$F151)*VLOOKUP(AD$2,ProyDia[],8,0)</f>
        <v>0</v>
      </c>
      <c r="AE151" s="28" t="n">
        <f aca="false">SUMIF($C$2:$F$2,EOMONTH(AE$2,-1)+1,$C151:$F151)*VLOOKUP(AE$2,ProyDia[],8,0)</f>
        <v>0</v>
      </c>
      <c r="AF151" s="28" t="n">
        <f aca="false">SUMIF($C$2:$F$2,EOMONTH(AF$2,-1)+1,$C151:$F151)*VLOOKUP(AF$2,ProyDia[],8,0)</f>
        <v>0</v>
      </c>
      <c r="AG151" s="28" t="n">
        <f aca="false">SUMIF($C$2:$F$2,EOMONTH(AG$2,-1)+1,$C151:$F151)*VLOOKUP(AG$2,ProyDia[],8,0)</f>
        <v>0</v>
      </c>
      <c r="AH151" s="28" t="n">
        <f aca="false">SUMIF($C$2:$F$2,EOMONTH(AH$2,-1)+1,$C151:$F151)*VLOOKUP(AH$2,ProyDia[],8,0)</f>
        <v>0</v>
      </c>
      <c r="AI151" s="28" t="n">
        <f aca="false">SUMIF($C$2:$F$2,EOMONTH(AI$2,-1)+1,$C151:$F151)*VLOOKUP(AI$2,ProyDia[],8,0)</f>
        <v>0</v>
      </c>
      <c r="AJ151" s="28" t="n">
        <f aca="false">SUMIF($C$2:$F$2,EOMONTH(AJ$2,-1)+1,$C151:$F151)*VLOOKUP(AJ$2,ProyDia[],8,0)</f>
        <v>0</v>
      </c>
      <c r="AK151" s="28" t="n">
        <f aca="false">SUMIF($C$2:$F$2,EOMONTH(AK$2,-1)+1,$C151:$F151)*VLOOKUP(AK$2,ProyDia[],8,0)</f>
        <v>0</v>
      </c>
      <c r="AL151" s="28" t="n">
        <f aca="false">SUMIF($C$2:$F$2,EOMONTH(AL$2,-1)+1,$C151:$F151)*VLOOKUP(AL$2,ProyDia[],8,0)</f>
        <v>0</v>
      </c>
      <c r="AM151" s="28" t="n">
        <f aca="false">SUMIF($C$2:$F$2,EOMONTH(AM$2,-1)+1,$C151:$F151)*VLOOKUP(AM$2,ProyDia[],8,0)</f>
        <v>0</v>
      </c>
      <c r="AN151" s="28" t="n">
        <f aca="false">SUMIF($C$2:$F$2,EOMONTH(AN$2,-1)+1,$C151:$F151)*VLOOKUP(AN$2,ProyDia[],8,0)</f>
        <v>0</v>
      </c>
      <c r="AO151" s="28" t="n">
        <f aca="false">SUMIF($C$2:$F$2,EOMONTH(AO$2,-1)+1,$C151:$F151)*VLOOKUP(AO$2,ProyDia[],8,0)</f>
        <v>0</v>
      </c>
      <c r="AP151" s="28" t="n">
        <f aca="false">SUMIF($C$2:$F$2,EOMONTH(AP$2,-1)+1,$C151:$F151)*VLOOKUP(AP$2,ProyDia[],8,0)</f>
        <v>0</v>
      </c>
      <c r="AQ151" s="28" t="n">
        <f aca="false">SUMIF($C$2:$F$2,EOMONTH(AQ$2,-1)+1,$C151:$F151)*VLOOKUP(AQ$2,ProyDia[],8,0)</f>
        <v>0</v>
      </c>
      <c r="AR151" s="28" t="n">
        <f aca="false">SUMIF($C$2:$F$2,EOMONTH(AR$2,-1)+1,$C151:$F151)*VLOOKUP(AR$2,ProyDia[],8,0)</f>
        <v>0</v>
      </c>
      <c r="AS151" s="28" t="n">
        <f aca="false">SUMIF($C$2:$F$2,EOMONTH(AS$2,-1)+1,$C151:$F151)*VLOOKUP(AS$2,ProyDia[],8,0)</f>
        <v>0</v>
      </c>
      <c r="AT151" s="28" t="n">
        <f aca="false">SUMIF($C$2:$F$2,EOMONTH(AT$2,-1)+1,$C151:$F151)*VLOOKUP(AT$2,ProyDia[],8,0)</f>
        <v>0</v>
      </c>
      <c r="AU151" s="28" t="n">
        <f aca="false">SUMIF($C$2:$F$2,EOMONTH(AU$2,-1)+1,$C151:$F151)*VLOOKUP(AU$2,ProyDia[],8,0)</f>
        <v>0</v>
      </c>
      <c r="AV151" s="28" t="n">
        <f aca="false">SUMIF($C$2:$F$2,EOMONTH(AV$2,-1)+1,$C151:$F151)*VLOOKUP(AV$2,ProyDia[],8,0)</f>
        <v>0</v>
      </c>
      <c r="AW151" s="28" t="n">
        <f aca="false">SUMIF($C$2:$F$2,EOMONTH(AW$2,-1)+1,$C151:$F151)*VLOOKUP(AW$2,ProyDia[],8,0)</f>
        <v>0</v>
      </c>
      <c r="AX151" s="28" t="n">
        <f aca="false">SUMIF($C$2:$F$2,EOMONTH(AX$2,-1)+1,$C151:$F151)*VLOOKUP(AX$2,ProyDia[],8,0)</f>
        <v>0</v>
      </c>
      <c r="AY151" s="28" t="n">
        <f aca="false">SUMIF($C$2:$F$2,EOMONTH(AY$2,-1)+1,$C151:$F151)*VLOOKUP(AY$2,ProyDia[],8,0)</f>
        <v>0</v>
      </c>
      <c r="AZ151" s="28" t="n">
        <f aca="false">SUMIF($C$2:$F$2,EOMONTH(AZ$2,-1)+1,$C151:$F151)*VLOOKUP(AZ$2,ProyDia[],8,0)</f>
        <v>0</v>
      </c>
      <c r="BA151" s="28" t="n">
        <f aca="false">SUMIF($C$2:$F$2,EOMONTH(BA$2,-1)+1,$C151:$F151)*VLOOKUP(BA$2,ProyDia[],8,0)</f>
        <v>0</v>
      </c>
      <c r="BB151" s="28" t="n">
        <f aca="false">SUMIF($C$2:$F$2,EOMONTH(BB$2,-1)+1,$C151:$F151)*VLOOKUP(BB$2,ProyDia[],8,0)</f>
        <v>0</v>
      </c>
      <c r="BC151" s="28" t="n">
        <f aca="false">SUMIF($C$2:$F$2,EOMONTH(BC$2,-1)+1,$C151:$F151)*VLOOKUP(BC$2,ProyDia[],8,0)</f>
        <v>0</v>
      </c>
      <c r="BD151" s="28" t="n">
        <f aca="false">SUMIF($C$2:$F$2,EOMONTH(BD$2,-1)+1,$C151:$F151)*VLOOKUP(BD$2,ProyDia[],8,0)</f>
        <v>0</v>
      </c>
      <c r="BE151" s="28" t="n">
        <f aca="false">SUMIF($C$2:$F$2,EOMONTH(BE$2,-1)+1,$C151:$F151)*VLOOKUP(BE$2,ProyDia[],8,0)</f>
        <v>0</v>
      </c>
      <c r="BF151" s="28" t="n">
        <f aca="false">SUMIF($C$2:$F$2,EOMONTH(BF$2,-1)+1,$C151:$F151)*VLOOKUP(BF$2,ProyDia[],8,0)</f>
        <v>0</v>
      </c>
      <c r="BG151" s="28" t="n">
        <f aca="false">SUMIF($C$2:$F$2,EOMONTH(BG$2,-1)+1,$C151:$F151)*VLOOKUP(BG$2,ProyDia[],8,0)</f>
        <v>0</v>
      </c>
      <c r="BH151" s="28" t="n">
        <f aca="false">SUMIF($C$2:$F$2,EOMONTH(BH$2,-1)+1,$C151:$F151)*VLOOKUP(BH$2,ProyDia[],8,0)</f>
        <v>0</v>
      </c>
      <c r="BI151" s="28" t="n">
        <f aca="false">SUMIF($C$2:$F$2,EOMONTH(BI$2,-1)+1,$C151:$F151)*VLOOKUP(BI$2,ProyDia[],8,0)</f>
        <v>0</v>
      </c>
      <c r="BJ151" s="28" t="n">
        <f aca="false">SUMIF($C$2:$F$2,EOMONTH(BJ$2,-1)+1,$C151:$F151)*VLOOKUP(BJ$2,ProyDia[],8,0)</f>
        <v>0</v>
      </c>
      <c r="BK151" s="28" t="n">
        <f aca="false">SUMIF($C$2:$F$2,EOMONTH(BK$2,-1)+1,$C151:$F151)*VLOOKUP(BK$2,ProyDia[],8,0)</f>
        <v>0</v>
      </c>
      <c r="BL151" s="28" t="n">
        <f aca="false">SUMIF($C$2:$F$2,EOMONTH(BL$2,-1)+1,$C151:$F151)*VLOOKUP(BL$2,ProyDia[],8,0)</f>
        <v>0</v>
      </c>
      <c r="BM151" s="28" t="n">
        <f aca="false">SUMIF($C$2:$F$2,EOMONTH(BM$2,-1)+1,$C151:$F151)*VLOOKUP(BM$2,ProyDia[],8,0)</f>
        <v>0</v>
      </c>
      <c r="BN151" s="28" t="n">
        <f aca="false">SUMIF($C$2:$F$2,EOMONTH(BN$2,-1)+1,$C151:$F151)*VLOOKUP(BN$2,ProyDia[],8,0)</f>
        <v>0</v>
      </c>
      <c r="BO151" s="28" t="n">
        <f aca="false">SUMIF($C$2:$F$2,EOMONTH(BO$2,-1)+1,$C151:$F151)*VLOOKUP(BO$2,ProyDia[],8,0)</f>
        <v>0</v>
      </c>
      <c r="BP151" s="28" t="n">
        <f aca="false">SUMIF($C$2:$F$2,EOMONTH(BP$2,-1)+1,$C151:$F151)*VLOOKUP(BP$2,ProyDia[],8,0)</f>
        <v>0</v>
      </c>
      <c r="BQ151" s="28" t="n">
        <f aca="false">SUMIF($C$2:$F$2,EOMONTH(BQ$2,-1)+1,$C151:$F151)*VLOOKUP(BQ$2,ProyDia[],8,0)</f>
        <v>0</v>
      </c>
      <c r="BR151" s="28" t="n">
        <f aca="false">SUMIF($C$2:$F$2,EOMONTH(BR$2,-1)+1,$C151:$F151)*VLOOKUP(BR$2,ProyDia[],8,0)</f>
        <v>0</v>
      </c>
      <c r="BS151" s="28" t="n">
        <f aca="false">SUMIF($C$2:$F$2,EOMONTH(BS$2,-1)+1,$C151:$F151)*VLOOKUP(BS$2,ProyDia[],8,0)</f>
        <v>0</v>
      </c>
      <c r="BT151" s="28" t="n">
        <f aca="false">SUMIF($C$2:$F$2,EOMONTH(BT$2,-1)+1,$C151:$F151)*VLOOKUP(BT$2,ProyDia[],8,0)</f>
        <v>0</v>
      </c>
      <c r="BU151" s="28" t="n">
        <f aca="false">SUMIF($C$2:$F$2,EOMONTH(BU$2,-1)+1,$C151:$F151)*VLOOKUP(BU$2,ProyDia[],8,0)</f>
        <v>0</v>
      </c>
      <c r="BV151" s="28" t="n">
        <f aca="false">SUMIF($C$2:$F$2,EOMONTH(BV$2,-1)+1,$C151:$F151)*VLOOKUP(BV$2,ProyDia[],8,0)</f>
        <v>0</v>
      </c>
      <c r="BW151" s="28" t="n">
        <f aca="false">SUMIF($C$2:$F$2,EOMONTH(BW$2,-1)+1,$C151:$F151)*VLOOKUP(BW$2,ProyDia[],8,0)</f>
        <v>0</v>
      </c>
      <c r="BX151" s="28" t="n">
        <f aca="false">SUMIF($C$2:$F$2,EOMONTH(BX$2,-1)+1,$C151:$F151)*VLOOKUP(BX$2,ProyDia[],8,0)</f>
        <v>0</v>
      </c>
      <c r="BY151" s="28" t="n">
        <f aca="false">SUMIF($C$2:$F$2,EOMONTH(BY$2,-1)+1,$C151:$F151)*VLOOKUP(BY$2,ProyDia[],8,0)</f>
        <v>0</v>
      </c>
      <c r="BZ151" s="28" t="n">
        <f aca="false">SUMIF($C$2:$F$2,EOMONTH(BZ$2,-1)+1,$C151:$F151)*VLOOKUP(BZ$2,ProyDia[],8,0)</f>
        <v>0</v>
      </c>
      <c r="CA151" s="28" t="n">
        <f aca="false">SUMIF($C$2:$F$2,EOMONTH(CA$2,-1)+1,$C151:$F151)*VLOOKUP(CA$2,ProyDia[],8,0)</f>
        <v>0</v>
      </c>
      <c r="CB151" s="28" t="n">
        <f aca="false">SUMIF($C$2:$F$2,EOMONTH(CB$2,-1)+1,$C151:$F151)*VLOOKUP(CB$2,ProyDia[],8,0)</f>
        <v>0</v>
      </c>
      <c r="CC151" s="28" t="n">
        <f aca="false">SUMIF($C$2:$F$2,EOMONTH(CC$2,-1)+1,$C151:$F151)*VLOOKUP(CC$2,ProyDia[],8,0)</f>
        <v>0</v>
      </c>
      <c r="CD151" s="28" t="n">
        <f aca="false">SUMIF($C$2:$F$2,EOMONTH(CD$2,-1)+1,$C151:$F151)*VLOOKUP(CD$2,ProyDia[],8,0)</f>
        <v>0</v>
      </c>
      <c r="CE151" s="28" t="n">
        <f aca="false">SUMIF($C$2:$F$2,EOMONTH(CE$2,-1)+1,$C151:$F151)*VLOOKUP(CE$2,ProyDia[],8,0)</f>
        <v>0</v>
      </c>
      <c r="CF151" s="28" t="n">
        <f aca="false">SUMIF($C$2:$F$2,EOMONTH(CF$2,-1)+1,$C151:$F151)*VLOOKUP(CF$2,ProyDia[],8,0)</f>
        <v>0</v>
      </c>
      <c r="CG151" s="28" t="n">
        <f aca="false">SUMIF($C$2:$F$2,EOMONTH(CG$2,-1)+1,$C151:$F151)*VLOOKUP(CG$2,ProyDia[],8,0)</f>
        <v>0</v>
      </c>
      <c r="CH151" s="28" t="n">
        <f aca="false">SUMIF($C$2:$F$2,EOMONTH(CH$2,-1)+1,$C151:$F151)*VLOOKUP(CH$2,ProyDia[],8,0)</f>
        <v>0</v>
      </c>
      <c r="CI151" s="28" t="n">
        <f aca="false">SUMIF($C$2:$F$2,EOMONTH(CI$2,-1)+1,$C151:$F151)*VLOOKUP(CI$2,ProyDia[],8,0)</f>
        <v>0</v>
      </c>
      <c r="CJ151" s="28" t="n">
        <f aca="false">SUMIF($C$2:$F$2,EOMONTH(CJ$2,-1)+1,$C151:$F151)*VLOOKUP(CJ$2,ProyDia[],8,0)</f>
        <v>0</v>
      </c>
      <c r="CK151" s="28" t="n">
        <f aca="false">SUMIF($C$2:$F$2,EOMONTH(CK$2,-1)+1,$C151:$F151)*VLOOKUP(CK$2,ProyDia[],8,0)</f>
        <v>0</v>
      </c>
      <c r="CL151" s="28" t="n">
        <f aca="false">SUMIF($C$2:$F$2,EOMONTH(CL$2,-1)+1,$C151:$F151)*VLOOKUP(CL$2,ProyDia[],8,0)</f>
        <v>0</v>
      </c>
      <c r="CM151" s="28" t="n">
        <f aca="false">SUMIF($C$2:$F$2,EOMONTH(CM$2,-1)+1,$C151:$F151)*VLOOKUP(CM$2,ProyDia[],8,0)</f>
        <v>0</v>
      </c>
      <c r="CN151" s="28" t="n">
        <f aca="false">SUMIF($C$2:$F$2,EOMONTH(CN$2,-1)+1,$C151:$F151)*VLOOKUP(CN$2,ProyDia[],8,0)</f>
        <v>0</v>
      </c>
      <c r="CO151" s="28" t="n">
        <f aca="false">SUMIF($C$2:$F$2,EOMONTH(CO$2,-1)+1,$C151:$F151)*VLOOKUP(CO$2,ProyDia[],8,0)</f>
        <v>0</v>
      </c>
      <c r="CP151" s="28" t="n">
        <f aca="false">SUMIF($C$2:$F$2,EOMONTH(CP$2,-1)+1,$C151:$F151)*VLOOKUP(CP$2,ProyDia[],8,0)</f>
        <v>0</v>
      </c>
      <c r="CQ151" s="28" t="n">
        <f aca="false">SUMIF($C$2:$F$2,EOMONTH(CQ$2,-1)+1,$C151:$F151)*VLOOKUP(CQ$2,ProyDia[],8,0)</f>
        <v>0</v>
      </c>
      <c r="CR151" s="28" t="n">
        <f aca="false">SUMIF($C$2:$F$2,EOMONTH(CR$2,-1)+1,$C151:$F151)*VLOOKUP(CR$2,ProyDia[],8,0)</f>
        <v>0</v>
      </c>
      <c r="CS151" s="28" t="n">
        <f aca="false">SUMIF($C$2:$F$2,EOMONTH(CS$2,-1)+1,$C151:$F151)*VLOOKUP(CS$2,ProyDia[],8,0)</f>
        <v>0</v>
      </c>
      <c r="CT151" s="28" t="n">
        <f aca="false">SUMIF($C$2:$F$2,EOMONTH(CT$2,-1)+1,$C151:$F151)*VLOOKUP(CT$2,ProyDia[],8,0)</f>
        <v>0</v>
      </c>
      <c r="CU151" s="28" t="n">
        <f aca="false">SUMIF($C$2:$F$2,EOMONTH(CU$2,-1)+1,$C151:$F151)*VLOOKUP(CU$2,ProyDia[],8,0)</f>
        <v>0</v>
      </c>
      <c r="CV151" s="28" t="n">
        <f aca="false">SUMIF($C$2:$F$2,EOMONTH(CV$2,-1)+1,$C151:$F151)*VLOOKUP(CV$2,ProyDia[],8,0)</f>
        <v>0</v>
      </c>
      <c r="CW151" s="28" t="n">
        <f aca="false">SUMIF($C$2:$F$2,EOMONTH(CW$2,-1)+1,$C151:$F151)*VLOOKUP(CW$2,ProyDia[],8,0)</f>
        <v>0</v>
      </c>
      <c r="CX151" s="28" t="n">
        <f aca="false">SUMIF($C$2:$F$2,EOMONTH(CX$2,-1)+1,$C151:$F151)*VLOOKUP(CX$2,ProyDia[],8,0)</f>
        <v>0</v>
      </c>
      <c r="CY151" s="28" t="n">
        <f aca="false">SUMIF($C$2:$F$2,EOMONTH(CY$2,-1)+1,$C151:$F151)*VLOOKUP(CY$2,ProyDia[],8,0)</f>
        <v>0</v>
      </c>
      <c r="CZ151" s="28" t="n">
        <f aca="false">SUMIF($C$2:$F$2,EOMONTH(CZ$2,-1)+1,$C151:$F151)*VLOOKUP(CZ$2,ProyDia[],8,0)</f>
        <v>0</v>
      </c>
      <c r="DA151" s="28" t="n">
        <f aca="false">SUMIF($C$2:$F$2,EOMONTH(DA$2,-1)+1,$C151:$F151)*VLOOKUP(DA$2,ProyDia[],8,0)</f>
        <v>0</v>
      </c>
      <c r="DB151" s="28" t="n">
        <f aca="false">SUMIF($C$2:$F$2,EOMONTH(DB$2,-1)+1,$C151:$F151)*VLOOKUP(DB$2,ProyDia[],8,0)</f>
        <v>0</v>
      </c>
      <c r="DC151" s="28" t="n">
        <f aca="false">SUMIF($C$2:$F$2,EOMONTH(DC$2,-1)+1,$C151:$F151)*VLOOKUP(DC$2,ProyDia[],8,0)</f>
        <v>0</v>
      </c>
      <c r="DD151" s="28" t="n">
        <f aca="false">SUMIF($C$2:$F$2,EOMONTH(DD$2,-1)+1,$C151:$F151)*VLOOKUP(DD$2,ProyDia[],8,0)</f>
        <v>0</v>
      </c>
      <c r="DE151" s="28" t="n">
        <f aca="false">SUMIF($C$2:$F$2,EOMONTH(DE$2,-1)+1,$C151:$F151)*VLOOKUP(DE$2,ProyDia[],8,0)</f>
        <v>0</v>
      </c>
      <c r="DF151" s="28" t="n">
        <f aca="false">SUMIF($C$2:$F$2,EOMONTH(DF$2,-1)+1,$C151:$F151)*VLOOKUP(DF$2,ProyDia[],8,0)</f>
        <v>0</v>
      </c>
      <c r="DG151" s="28" t="n">
        <f aca="false">SUMIF($C$2:$F$2,EOMONTH(DG$2,-1)+1,$C151:$F151)*VLOOKUP(DG$2,ProyDia[],8,0)</f>
        <v>0</v>
      </c>
      <c r="DH151" s="28" t="n">
        <f aca="false">SUMIF($C$2:$F$2,EOMONTH(DH$2,-1)+1,$C151:$F151)*VLOOKUP(DH$2,ProyDia[],8,0)</f>
        <v>0</v>
      </c>
      <c r="DI151" s="28" t="n">
        <f aca="false">SUMIF($C$2:$F$2,EOMONTH(DI$2,-1)+1,$C151:$F151)*VLOOKUP(DI$2,ProyDia[],8,0)</f>
        <v>0</v>
      </c>
      <c r="DJ151" s="28" t="n">
        <f aca="false">SUMIF($C$2:$F$2,EOMONTH(DJ$2,-1)+1,$C151:$F151)*VLOOKUP(DJ$2,ProyDia[],8,0)</f>
        <v>0</v>
      </c>
      <c r="DK151" s="28" t="n">
        <f aca="false">SUMIF($C$2:$F$2,EOMONTH(DK$2,-1)+1,$C151:$F151)*VLOOKUP(DK$2,ProyDia[],8,0)</f>
        <v>0</v>
      </c>
      <c r="DL151" s="28" t="n">
        <f aca="false">SUMIF($C$2:$F$2,EOMONTH(DL$2,-1)+1,$C151:$F151)*VLOOKUP(DL$2,ProyDia[],8,0)</f>
        <v>0</v>
      </c>
      <c r="DM151" s="28" t="n">
        <f aca="false">SUMIF($C$2:$F$2,EOMONTH(DM$2,-1)+1,$C151:$F151)*VLOOKUP(DM$2,ProyDia[],8,0)</f>
        <v>0</v>
      </c>
      <c r="DN151" s="28" t="n">
        <f aca="false">SUMIF($C$2:$F$2,EOMONTH(DN$2,-1)+1,$C151:$F151)*VLOOKUP(DN$2,ProyDia[],8,0)</f>
        <v>0</v>
      </c>
      <c r="DO151" s="28" t="n">
        <f aca="false">SUMIF($C$2:$F$2,EOMONTH(DO$2,-1)+1,$C151:$F151)*VLOOKUP(DO$2,ProyDia[],8,0)</f>
        <v>0</v>
      </c>
      <c r="DP151" s="28" t="n">
        <f aca="false">SUMIF($C$2:$F$2,EOMONTH(DP$2,-1)+1,$C151:$F151)*VLOOKUP(DP$2,ProyDia[],8,0)</f>
        <v>0</v>
      </c>
      <c r="DQ151" s="28" t="n">
        <f aca="false">SUMIF($C$2:$F$2,EOMONTH(DQ$2,-1)+1,$C151:$F151)*VLOOKUP(DQ$2,ProyDia[],8,0)</f>
        <v>0</v>
      </c>
      <c r="DR151" s="28" t="n">
        <f aca="false">SUMIF($C$2:$F$2,EOMONTH(DR$2,-1)+1,$C151:$F151)*VLOOKUP(DR$2,ProyDia[],8,0)</f>
        <v>0</v>
      </c>
      <c r="DS151" s="28" t="n">
        <f aca="false">SUMIF($C$2:$F$2,EOMONTH(DS$2,-1)+1,$C151:$F151)*VLOOKUP(DS$2,ProyDia[],8,0)</f>
        <v>0</v>
      </c>
      <c r="DT151" s="28" t="n">
        <f aca="false">SUMIF($C$2:$F$2,EOMONTH(DT$2,-1)+1,$C151:$F151)*VLOOKUP(DT$2,ProyDia[],8,0)</f>
        <v>0</v>
      </c>
      <c r="DU151" s="28" t="n">
        <f aca="false">SUMIF($C$2:$F$2,EOMONTH(DU$2,-1)+1,$C151:$F151)*VLOOKUP(DU$2,ProyDia[],8,0)</f>
        <v>0</v>
      </c>
      <c r="DV151" s="28" t="n">
        <f aca="false">SUMIF($C$2:$F$2,EOMONTH(DV$2,-1)+1,$C151:$F151)*VLOOKUP(DV$2,ProyDia[],8,0)</f>
        <v>0</v>
      </c>
      <c r="DW151" s="28" t="n">
        <f aca="false">SUMIF($C$2:$F$2,EOMONTH(DW$2,-1)+1,$C151:$F151)*VLOOKUP(DW$2,ProyDia[],8,0)</f>
        <v>0</v>
      </c>
      <c r="DX151" s="28" t="n">
        <f aca="false">SUMIF($C$2:$F$2,EOMONTH(DX$2,-1)+1,$C151:$F151)*VLOOKUP(DX$2,ProyDia[],8,0)</f>
        <v>0</v>
      </c>
    </row>
    <row r="152" customFormat="false" ht="14.4" hidden="false" customHeight="false" outlineLevel="0" collapsed="false">
      <c r="A152" s="35"/>
      <c r="B152" s="35"/>
      <c r="C152" s="35"/>
      <c r="D152" s="35"/>
      <c r="E152" s="35"/>
      <c r="F152" s="35"/>
      <c r="G152" s="36" t="n">
        <f aca="false">SUMIF($C$2:$F$2,EOMONTH(G$2,-1)+1,$C152:$F152)*VLOOKUP(G$2,ProyDia[],8,0)</f>
        <v>0</v>
      </c>
      <c r="H152" s="36" t="n">
        <f aca="false">SUMIF($C$2:$F$2,EOMONTH(H$2,-1)+1,$C152:$F152)*VLOOKUP(H$2,ProyDia[],8,0)</f>
        <v>0</v>
      </c>
      <c r="I152" s="36" t="n">
        <f aca="false">SUMIF($C$2:$F$2,EOMONTH(I$2,-1)+1,$C152:$F152)*VLOOKUP(I$2,ProyDia[],8,0)</f>
        <v>0</v>
      </c>
      <c r="J152" s="36" t="n">
        <f aca="false">SUMIF($C$2:$F$2,EOMONTH(J$2,-1)+1,$C152:$F152)*VLOOKUP(J$2,ProyDia[],8,0)</f>
        <v>0</v>
      </c>
      <c r="K152" s="36" t="n">
        <f aca="false">SUMIF($C$2:$F$2,EOMONTH(K$2,-1)+1,$C152:$F152)*VLOOKUP(K$2,ProyDia[],8,0)</f>
        <v>0</v>
      </c>
      <c r="L152" s="36" t="n">
        <f aca="false">SUMIF($C$2:$F$2,EOMONTH(L$2,-1)+1,$C152:$F152)*VLOOKUP(L$2,ProyDia[],8,0)</f>
        <v>0</v>
      </c>
      <c r="M152" s="36" t="n">
        <f aca="false">SUMIF($C$2:$F$2,EOMONTH(M$2,-1)+1,$C152:$F152)*VLOOKUP(M$2,ProyDia[],8,0)</f>
        <v>0</v>
      </c>
      <c r="N152" s="36" t="n">
        <f aca="false">SUMIF($C$2:$F$2,EOMONTH(N$2,-1)+1,$C152:$F152)*VLOOKUP(N$2,ProyDia[],8,0)</f>
        <v>0</v>
      </c>
      <c r="O152" s="36" t="n">
        <f aca="false">SUMIF($C$2:$F$2,EOMONTH(O$2,-1)+1,$C152:$F152)*VLOOKUP(O$2,ProyDia[],8,0)</f>
        <v>0</v>
      </c>
      <c r="P152" s="36" t="n">
        <f aca="false">SUMIF($C$2:$F$2,EOMONTH(P$2,-1)+1,$C152:$F152)*VLOOKUP(P$2,ProyDia[],8,0)</f>
        <v>0</v>
      </c>
      <c r="Q152" s="36" t="n">
        <f aca="false">SUMIF($C$2:$F$2,EOMONTH(Q$2,-1)+1,$C152:$F152)*VLOOKUP(Q$2,ProyDia[],8,0)</f>
        <v>0</v>
      </c>
      <c r="R152" s="36" t="n">
        <f aca="false">SUMIF($C$2:$F$2,EOMONTH(R$2,-1)+1,$C152:$F152)*VLOOKUP(R$2,ProyDia[],8,0)</f>
        <v>0</v>
      </c>
      <c r="S152" s="36" t="n">
        <f aca="false">SUMIF($C$2:$F$2,EOMONTH(S$2,-1)+1,$C152:$F152)*VLOOKUP(S$2,ProyDia[],8,0)</f>
        <v>0</v>
      </c>
      <c r="T152" s="36" t="n">
        <f aca="false">SUMIF($C$2:$F$2,EOMONTH(T$2,-1)+1,$C152:$F152)*VLOOKUP(T$2,ProyDia[],8,0)</f>
        <v>0</v>
      </c>
      <c r="U152" s="36" t="n">
        <f aca="false">SUMIF($C$2:$F$2,EOMONTH(U$2,-1)+1,$C152:$F152)*VLOOKUP(U$2,ProyDia[],8,0)</f>
        <v>0</v>
      </c>
      <c r="V152" s="36" t="n">
        <f aca="false">SUMIF($C$2:$F$2,EOMONTH(V$2,-1)+1,$C152:$F152)*VLOOKUP(V$2,ProyDia[],8,0)</f>
        <v>0</v>
      </c>
      <c r="W152" s="36" t="n">
        <f aca="false">SUMIF($C$2:$F$2,EOMONTH(W$2,-1)+1,$C152:$F152)*VLOOKUP(W$2,ProyDia[],8,0)</f>
        <v>0</v>
      </c>
      <c r="X152" s="36" t="n">
        <f aca="false">SUMIF($C$2:$F$2,EOMONTH(X$2,-1)+1,$C152:$F152)*VLOOKUP(X$2,ProyDia[],8,0)</f>
        <v>0</v>
      </c>
      <c r="Y152" s="36" t="n">
        <f aca="false">SUMIF($C$2:$F$2,EOMONTH(Y$2,-1)+1,$C152:$F152)*VLOOKUP(Y$2,ProyDia[],8,0)</f>
        <v>0</v>
      </c>
      <c r="Z152" s="36" t="n">
        <f aca="false">SUMIF($C$2:$F$2,EOMONTH(Z$2,-1)+1,$C152:$F152)*VLOOKUP(Z$2,ProyDia[],8,0)</f>
        <v>0</v>
      </c>
      <c r="AA152" s="36" t="n">
        <f aca="false">SUMIF($C$2:$F$2,EOMONTH(AA$2,-1)+1,$C152:$F152)*VLOOKUP(AA$2,ProyDia[],8,0)</f>
        <v>0</v>
      </c>
      <c r="AB152" s="36" t="n">
        <f aca="false">SUMIF($C$2:$F$2,EOMONTH(AB$2,-1)+1,$C152:$F152)*VLOOKUP(AB$2,ProyDia[],8,0)</f>
        <v>0</v>
      </c>
      <c r="AC152" s="36" t="n">
        <f aca="false">SUMIF($C$2:$F$2,EOMONTH(AC$2,-1)+1,$C152:$F152)*VLOOKUP(AC$2,ProyDia[],8,0)</f>
        <v>0</v>
      </c>
      <c r="AD152" s="36" t="n">
        <f aca="false">SUMIF($C$2:$F$2,EOMONTH(AD$2,-1)+1,$C152:$F152)*VLOOKUP(AD$2,ProyDia[],8,0)</f>
        <v>0</v>
      </c>
      <c r="AE152" s="36" t="n">
        <f aca="false">SUMIF($C$2:$F$2,EOMONTH(AE$2,-1)+1,$C152:$F152)*VLOOKUP(AE$2,ProyDia[],8,0)</f>
        <v>0</v>
      </c>
      <c r="AF152" s="36" t="n">
        <f aca="false">SUMIF($C$2:$F$2,EOMONTH(AF$2,-1)+1,$C152:$F152)*VLOOKUP(AF$2,ProyDia[],8,0)</f>
        <v>0</v>
      </c>
      <c r="AG152" s="36" t="n">
        <f aca="false">SUMIF($C$2:$F$2,EOMONTH(AG$2,-1)+1,$C152:$F152)*VLOOKUP(AG$2,ProyDia[],8,0)</f>
        <v>0</v>
      </c>
      <c r="AH152" s="36" t="n">
        <f aca="false">SUMIF($C$2:$F$2,EOMONTH(AH$2,-1)+1,$C152:$F152)*VLOOKUP(AH$2,ProyDia[],8,0)</f>
        <v>0</v>
      </c>
      <c r="AI152" s="36" t="n">
        <f aca="false">SUMIF($C$2:$F$2,EOMONTH(AI$2,-1)+1,$C152:$F152)*VLOOKUP(AI$2,ProyDia[],8,0)</f>
        <v>0</v>
      </c>
      <c r="AJ152" s="36" t="n">
        <f aca="false">SUMIF($C$2:$F$2,EOMONTH(AJ$2,-1)+1,$C152:$F152)*VLOOKUP(AJ$2,ProyDia[],8,0)</f>
        <v>0</v>
      </c>
      <c r="AK152" s="36" t="n">
        <f aca="false">SUMIF($C$2:$F$2,EOMONTH(AK$2,-1)+1,$C152:$F152)*VLOOKUP(AK$2,ProyDia[],8,0)</f>
        <v>0</v>
      </c>
      <c r="AL152" s="36" t="n">
        <f aca="false">SUMIF($C$2:$F$2,EOMONTH(AL$2,-1)+1,$C152:$F152)*VLOOKUP(AL$2,ProyDia[],8,0)</f>
        <v>0</v>
      </c>
      <c r="AM152" s="36" t="n">
        <f aca="false">SUMIF($C$2:$F$2,EOMONTH(AM$2,-1)+1,$C152:$F152)*VLOOKUP(AM$2,ProyDia[],8,0)</f>
        <v>0</v>
      </c>
      <c r="AN152" s="36" t="n">
        <f aca="false">SUMIF($C$2:$F$2,EOMONTH(AN$2,-1)+1,$C152:$F152)*VLOOKUP(AN$2,ProyDia[],8,0)</f>
        <v>0</v>
      </c>
      <c r="AO152" s="36" t="n">
        <f aca="false">SUMIF($C$2:$F$2,EOMONTH(AO$2,-1)+1,$C152:$F152)*VLOOKUP(AO$2,ProyDia[],8,0)</f>
        <v>0</v>
      </c>
      <c r="AP152" s="36" t="n">
        <f aca="false">SUMIF($C$2:$F$2,EOMONTH(AP$2,-1)+1,$C152:$F152)*VLOOKUP(AP$2,ProyDia[],8,0)</f>
        <v>0</v>
      </c>
      <c r="AQ152" s="36" t="n">
        <f aca="false">SUMIF($C$2:$F$2,EOMONTH(AQ$2,-1)+1,$C152:$F152)*VLOOKUP(AQ$2,ProyDia[],8,0)</f>
        <v>0</v>
      </c>
      <c r="AR152" s="36" t="n">
        <f aca="false">SUMIF($C$2:$F$2,EOMONTH(AR$2,-1)+1,$C152:$F152)*VLOOKUP(AR$2,ProyDia[],8,0)</f>
        <v>0</v>
      </c>
      <c r="AS152" s="36" t="n">
        <f aca="false">SUMIF($C$2:$F$2,EOMONTH(AS$2,-1)+1,$C152:$F152)*VLOOKUP(AS$2,ProyDia[],8,0)</f>
        <v>0</v>
      </c>
      <c r="AT152" s="36" t="n">
        <f aca="false">SUMIF($C$2:$F$2,EOMONTH(AT$2,-1)+1,$C152:$F152)*VLOOKUP(AT$2,ProyDia[],8,0)</f>
        <v>0</v>
      </c>
      <c r="AU152" s="36" t="n">
        <f aca="false">SUMIF($C$2:$F$2,EOMONTH(AU$2,-1)+1,$C152:$F152)*VLOOKUP(AU$2,ProyDia[],8,0)</f>
        <v>0</v>
      </c>
      <c r="AV152" s="36" t="n">
        <f aca="false">SUMIF($C$2:$F$2,EOMONTH(AV$2,-1)+1,$C152:$F152)*VLOOKUP(AV$2,ProyDia[],8,0)</f>
        <v>0</v>
      </c>
      <c r="AW152" s="36" t="n">
        <f aca="false">SUMIF($C$2:$F$2,EOMONTH(AW$2,-1)+1,$C152:$F152)*VLOOKUP(AW$2,ProyDia[],8,0)</f>
        <v>0</v>
      </c>
      <c r="AX152" s="36" t="n">
        <f aca="false">SUMIF($C$2:$F$2,EOMONTH(AX$2,-1)+1,$C152:$F152)*VLOOKUP(AX$2,ProyDia[],8,0)</f>
        <v>0</v>
      </c>
      <c r="AY152" s="36" t="n">
        <f aca="false">SUMIF($C$2:$F$2,EOMONTH(AY$2,-1)+1,$C152:$F152)*VLOOKUP(AY$2,ProyDia[],8,0)</f>
        <v>0</v>
      </c>
      <c r="AZ152" s="36" t="n">
        <f aca="false">SUMIF($C$2:$F$2,EOMONTH(AZ$2,-1)+1,$C152:$F152)*VLOOKUP(AZ$2,ProyDia[],8,0)</f>
        <v>0</v>
      </c>
      <c r="BA152" s="36" t="n">
        <f aca="false">SUMIF($C$2:$F$2,EOMONTH(BA$2,-1)+1,$C152:$F152)*VLOOKUP(BA$2,ProyDia[],8,0)</f>
        <v>0</v>
      </c>
      <c r="BB152" s="36" t="n">
        <f aca="false">SUMIF($C$2:$F$2,EOMONTH(BB$2,-1)+1,$C152:$F152)*VLOOKUP(BB$2,ProyDia[],8,0)</f>
        <v>0</v>
      </c>
      <c r="BC152" s="36" t="n">
        <f aca="false">SUMIF($C$2:$F$2,EOMONTH(BC$2,-1)+1,$C152:$F152)*VLOOKUP(BC$2,ProyDia[],8,0)</f>
        <v>0</v>
      </c>
      <c r="BD152" s="36" t="n">
        <f aca="false">SUMIF($C$2:$F$2,EOMONTH(BD$2,-1)+1,$C152:$F152)*VLOOKUP(BD$2,ProyDia[],8,0)</f>
        <v>0</v>
      </c>
      <c r="BE152" s="36" t="n">
        <f aca="false">SUMIF($C$2:$F$2,EOMONTH(BE$2,-1)+1,$C152:$F152)*VLOOKUP(BE$2,ProyDia[],8,0)</f>
        <v>0</v>
      </c>
      <c r="BF152" s="36" t="n">
        <f aca="false">SUMIF($C$2:$F$2,EOMONTH(BF$2,-1)+1,$C152:$F152)*VLOOKUP(BF$2,ProyDia[],8,0)</f>
        <v>0</v>
      </c>
      <c r="BG152" s="36" t="n">
        <f aca="false">SUMIF($C$2:$F$2,EOMONTH(BG$2,-1)+1,$C152:$F152)*VLOOKUP(BG$2,ProyDia[],8,0)</f>
        <v>0</v>
      </c>
      <c r="BH152" s="36" t="n">
        <f aca="false">SUMIF($C$2:$F$2,EOMONTH(BH$2,-1)+1,$C152:$F152)*VLOOKUP(BH$2,ProyDia[],8,0)</f>
        <v>0</v>
      </c>
      <c r="BI152" s="36" t="n">
        <f aca="false">SUMIF($C$2:$F$2,EOMONTH(BI$2,-1)+1,$C152:$F152)*VLOOKUP(BI$2,ProyDia[],8,0)</f>
        <v>0</v>
      </c>
      <c r="BJ152" s="36" t="n">
        <f aca="false">SUMIF($C$2:$F$2,EOMONTH(BJ$2,-1)+1,$C152:$F152)*VLOOKUP(BJ$2,ProyDia[],8,0)</f>
        <v>0</v>
      </c>
      <c r="BK152" s="36" t="n">
        <f aca="false">SUMIF($C$2:$F$2,EOMONTH(BK$2,-1)+1,$C152:$F152)*VLOOKUP(BK$2,ProyDia[],8,0)</f>
        <v>0</v>
      </c>
      <c r="BL152" s="36" t="n">
        <f aca="false">SUMIF($C$2:$F$2,EOMONTH(BL$2,-1)+1,$C152:$F152)*VLOOKUP(BL$2,ProyDia[],8,0)</f>
        <v>0</v>
      </c>
      <c r="BM152" s="36" t="n">
        <f aca="false">SUMIF($C$2:$F$2,EOMONTH(BM$2,-1)+1,$C152:$F152)*VLOOKUP(BM$2,ProyDia[],8,0)</f>
        <v>0</v>
      </c>
      <c r="BN152" s="36" t="n">
        <f aca="false">SUMIF($C$2:$F$2,EOMONTH(BN$2,-1)+1,$C152:$F152)*VLOOKUP(BN$2,ProyDia[],8,0)</f>
        <v>0</v>
      </c>
      <c r="BO152" s="36" t="n">
        <f aca="false">SUMIF($C$2:$F$2,EOMONTH(BO$2,-1)+1,$C152:$F152)*VLOOKUP(BO$2,ProyDia[],8,0)</f>
        <v>0</v>
      </c>
      <c r="BP152" s="36" t="n">
        <f aca="false">SUMIF($C$2:$F$2,EOMONTH(BP$2,-1)+1,$C152:$F152)*VLOOKUP(BP$2,ProyDia[],8,0)</f>
        <v>0</v>
      </c>
      <c r="BQ152" s="36" t="n">
        <f aca="false">SUMIF($C$2:$F$2,EOMONTH(BQ$2,-1)+1,$C152:$F152)*VLOOKUP(BQ$2,ProyDia[],8,0)</f>
        <v>0</v>
      </c>
      <c r="BR152" s="36" t="n">
        <f aca="false">SUMIF($C$2:$F$2,EOMONTH(BR$2,-1)+1,$C152:$F152)*VLOOKUP(BR$2,ProyDia[],8,0)</f>
        <v>0</v>
      </c>
      <c r="BS152" s="36" t="n">
        <f aca="false">SUMIF($C$2:$F$2,EOMONTH(BS$2,-1)+1,$C152:$F152)*VLOOKUP(BS$2,ProyDia[],8,0)</f>
        <v>0</v>
      </c>
      <c r="BT152" s="36" t="n">
        <f aca="false">SUMIF($C$2:$F$2,EOMONTH(BT$2,-1)+1,$C152:$F152)*VLOOKUP(BT$2,ProyDia[],8,0)</f>
        <v>0</v>
      </c>
      <c r="BU152" s="36" t="n">
        <f aca="false">SUMIF($C$2:$F$2,EOMONTH(BU$2,-1)+1,$C152:$F152)*VLOOKUP(BU$2,ProyDia[],8,0)</f>
        <v>0</v>
      </c>
      <c r="BV152" s="36" t="n">
        <f aca="false">SUMIF($C$2:$F$2,EOMONTH(BV$2,-1)+1,$C152:$F152)*VLOOKUP(BV$2,ProyDia[],8,0)</f>
        <v>0</v>
      </c>
      <c r="BW152" s="36" t="n">
        <f aca="false">SUMIF($C$2:$F$2,EOMONTH(BW$2,-1)+1,$C152:$F152)*VLOOKUP(BW$2,ProyDia[],8,0)</f>
        <v>0</v>
      </c>
      <c r="BX152" s="36" t="n">
        <f aca="false">SUMIF($C$2:$F$2,EOMONTH(BX$2,-1)+1,$C152:$F152)*VLOOKUP(BX$2,ProyDia[],8,0)</f>
        <v>0</v>
      </c>
      <c r="BY152" s="36" t="n">
        <f aca="false">SUMIF($C$2:$F$2,EOMONTH(BY$2,-1)+1,$C152:$F152)*VLOOKUP(BY$2,ProyDia[],8,0)</f>
        <v>0</v>
      </c>
      <c r="BZ152" s="36" t="n">
        <f aca="false">SUMIF($C$2:$F$2,EOMONTH(BZ$2,-1)+1,$C152:$F152)*VLOOKUP(BZ$2,ProyDia[],8,0)</f>
        <v>0</v>
      </c>
      <c r="CA152" s="36" t="n">
        <f aca="false">SUMIF($C$2:$F$2,EOMONTH(CA$2,-1)+1,$C152:$F152)*VLOOKUP(CA$2,ProyDia[],8,0)</f>
        <v>0</v>
      </c>
      <c r="CB152" s="36" t="n">
        <f aca="false">SUMIF($C$2:$F$2,EOMONTH(CB$2,-1)+1,$C152:$F152)*VLOOKUP(CB$2,ProyDia[],8,0)</f>
        <v>0</v>
      </c>
      <c r="CC152" s="36" t="n">
        <f aca="false">SUMIF($C$2:$F$2,EOMONTH(CC$2,-1)+1,$C152:$F152)*VLOOKUP(CC$2,ProyDia[],8,0)</f>
        <v>0</v>
      </c>
      <c r="CD152" s="36" t="n">
        <f aca="false">SUMIF($C$2:$F$2,EOMONTH(CD$2,-1)+1,$C152:$F152)*VLOOKUP(CD$2,ProyDia[],8,0)</f>
        <v>0</v>
      </c>
      <c r="CE152" s="36" t="n">
        <f aca="false">SUMIF($C$2:$F$2,EOMONTH(CE$2,-1)+1,$C152:$F152)*VLOOKUP(CE$2,ProyDia[],8,0)</f>
        <v>0</v>
      </c>
      <c r="CF152" s="36" t="n">
        <f aca="false">SUMIF($C$2:$F$2,EOMONTH(CF$2,-1)+1,$C152:$F152)*VLOOKUP(CF$2,ProyDia[],8,0)</f>
        <v>0</v>
      </c>
      <c r="CG152" s="36" t="n">
        <f aca="false">SUMIF($C$2:$F$2,EOMONTH(CG$2,-1)+1,$C152:$F152)*VLOOKUP(CG$2,ProyDia[],8,0)</f>
        <v>0</v>
      </c>
      <c r="CH152" s="36" t="n">
        <f aca="false">SUMIF($C$2:$F$2,EOMONTH(CH$2,-1)+1,$C152:$F152)*VLOOKUP(CH$2,ProyDia[],8,0)</f>
        <v>0</v>
      </c>
      <c r="CI152" s="36" t="n">
        <f aca="false">SUMIF($C$2:$F$2,EOMONTH(CI$2,-1)+1,$C152:$F152)*VLOOKUP(CI$2,ProyDia[],8,0)</f>
        <v>0</v>
      </c>
      <c r="CJ152" s="36" t="n">
        <f aca="false">SUMIF($C$2:$F$2,EOMONTH(CJ$2,-1)+1,$C152:$F152)*VLOOKUP(CJ$2,ProyDia[],8,0)</f>
        <v>0</v>
      </c>
      <c r="CK152" s="36" t="n">
        <f aca="false">SUMIF($C$2:$F$2,EOMONTH(CK$2,-1)+1,$C152:$F152)*VLOOKUP(CK$2,ProyDia[],8,0)</f>
        <v>0</v>
      </c>
      <c r="CL152" s="36" t="n">
        <f aca="false">SUMIF($C$2:$F$2,EOMONTH(CL$2,-1)+1,$C152:$F152)*VLOOKUP(CL$2,ProyDia[],8,0)</f>
        <v>0</v>
      </c>
      <c r="CM152" s="36" t="n">
        <f aca="false">SUMIF($C$2:$F$2,EOMONTH(CM$2,-1)+1,$C152:$F152)*VLOOKUP(CM$2,ProyDia[],8,0)</f>
        <v>0</v>
      </c>
      <c r="CN152" s="36" t="n">
        <f aca="false">SUMIF($C$2:$F$2,EOMONTH(CN$2,-1)+1,$C152:$F152)*VLOOKUP(CN$2,ProyDia[],8,0)</f>
        <v>0</v>
      </c>
      <c r="CO152" s="36" t="n">
        <f aca="false">SUMIF($C$2:$F$2,EOMONTH(CO$2,-1)+1,$C152:$F152)*VLOOKUP(CO$2,ProyDia[],8,0)</f>
        <v>0</v>
      </c>
      <c r="CP152" s="36" t="n">
        <f aca="false">SUMIF($C$2:$F$2,EOMONTH(CP$2,-1)+1,$C152:$F152)*VLOOKUP(CP$2,ProyDia[],8,0)</f>
        <v>0</v>
      </c>
      <c r="CQ152" s="36" t="n">
        <f aca="false">SUMIF($C$2:$F$2,EOMONTH(CQ$2,-1)+1,$C152:$F152)*VLOOKUP(CQ$2,ProyDia[],8,0)</f>
        <v>0</v>
      </c>
      <c r="CR152" s="36" t="n">
        <f aca="false">SUMIF($C$2:$F$2,EOMONTH(CR$2,-1)+1,$C152:$F152)*VLOOKUP(CR$2,ProyDia[],8,0)</f>
        <v>0</v>
      </c>
      <c r="CS152" s="36" t="n">
        <f aca="false">SUMIF($C$2:$F$2,EOMONTH(CS$2,-1)+1,$C152:$F152)*VLOOKUP(CS$2,ProyDia[],8,0)</f>
        <v>0</v>
      </c>
      <c r="CT152" s="36" t="n">
        <f aca="false">SUMIF($C$2:$F$2,EOMONTH(CT$2,-1)+1,$C152:$F152)*VLOOKUP(CT$2,ProyDia[],8,0)</f>
        <v>0</v>
      </c>
      <c r="CU152" s="36" t="n">
        <f aca="false">SUMIF($C$2:$F$2,EOMONTH(CU$2,-1)+1,$C152:$F152)*VLOOKUP(CU$2,ProyDia[],8,0)</f>
        <v>0</v>
      </c>
      <c r="CV152" s="36" t="n">
        <f aca="false">SUMIF($C$2:$F$2,EOMONTH(CV$2,-1)+1,$C152:$F152)*VLOOKUP(CV$2,ProyDia[],8,0)</f>
        <v>0</v>
      </c>
      <c r="CW152" s="36" t="n">
        <f aca="false">SUMIF($C$2:$F$2,EOMONTH(CW$2,-1)+1,$C152:$F152)*VLOOKUP(CW$2,ProyDia[],8,0)</f>
        <v>0</v>
      </c>
      <c r="CX152" s="36" t="n">
        <f aca="false">SUMIF($C$2:$F$2,EOMONTH(CX$2,-1)+1,$C152:$F152)*VLOOKUP(CX$2,ProyDia[],8,0)</f>
        <v>0</v>
      </c>
      <c r="CY152" s="36" t="n">
        <f aca="false">SUMIF($C$2:$F$2,EOMONTH(CY$2,-1)+1,$C152:$F152)*VLOOKUP(CY$2,ProyDia[],8,0)</f>
        <v>0</v>
      </c>
      <c r="CZ152" s="36" t="n">
        <f aca="false">SUMIF($C$2:$F$2,EOMONTH(CZ$2,-1)+1,$C152:$F152)*VLOOKUP(CZ$2,ProyDia[],8,0)</f>
        <v>0</v>
      </c>
      <c r="DA152" s="36" t="n">
        <f aca="false">SUMIF($C$2:$F$2,EOMONTH(DA$2,-1)+1,$C152:$F152)*VLOOKUP(DA$2,ProyDia[],8,0)</f>
        <v>0</v>
      </c>
      <c r="DB152" s="36" t="n">
        <f aca="false">SUMIF($C$2:$F$2,EOMONTH(DB$2,-1)+1,$C152:$F152)*VLOOKUP(DB$2,ProyDia[],8,0)</f>
        <v>0</v>
      </c>
      <c r="DC152" s="36" t="n">
        <f aca="false">SUMIF($C$2:$F$2,EOMONTH(DC$2,-1)+1,$C152:$F152)*VLOOKUP(DC$2,ProyDia[],8,0)</f>
        <v>0</v>
      </c>
      <c r="DD152" s="36" t="n">
        <f aca="false">SUMIF($C$2:$F$2,EOMONTH(DD$2,-1)+1,$C152:$F152)*VLOOKUP(DD$2,ProyDia[],8,0)</f>
        <v>0</v>
      </c>
      <c r="DE152" s="36" t="n">
        <f aca="false">SUMIF($C$2:$F$2,EOMONTH(DE$2,-1)+1,$C152:$F152)*VLOOKUP(DE$2,ProyDia[],8,0)</f>
        <v>0</v>
      </c>
      <c r="DF152" s="36" t="n">
        <f aca="false">SUMIF($C$2:$F$2,EOMONTH(DF$2,-1)+1,$C152:$F152)*VLOOKUP(DF$2,ProyDia[],8,0)</f>
        <v>0</v>
      </c>
      <c r="DG152" s="36" t="n">
        <f aca="false">SUMIF($C$2:$F$2,EOMONTH(DG$2,-1)+1,$C152:$F152)*VLOOKUP(DG$2,ProyDia[],8,0)</f>
        <v>0</v>
      </c>
      <c r="DH152" s="36" t="n">
        <f aca="false">SUMIF($C$2:$F$2,EOMONTH(DH$2,-1)+1,$C152:$F152)*VLOOKUP(DH$2,ProyDia[],8,0)</f>
        <v>0</v>
      </c>
      <c r="DI152" s="36" t="n">
        <f aca="false">SUMIF($C$2:$F$2,EOMONTH(DI$2,-1)+1,$C152:$F152)*VLOOKUP(DI$2,ProyDia[],8,0)</f>
        <v>0</v>
      </c>
      <c r="DJ152" s="36" t="n">
        <f aca="false">SUMIF($C$2:$F$2,EOMONTH(DJ$2,-1)+1,$C152:$F152)*VLOOKUP(DJ$2,ProyDia[],8,0)</f>
        <v>0</v>
      </c>
      <c r="DK152" s="36" t="n">
        <f aca="false">SUMIF($C$2:$F$2,EOMONTH(DK$2,-1)+1,$C152:$F152)*VLOOKUP(DK$2,ProyDia[],8,0)</f>
        <v>0</v>
      </c>
      <c r="DL152" s="36" t="n">
        <f aca="false">SUMIF($C$2:$F$2,EOMONTH(DL$2,-1)+1,$C152:$F152)*VLOOKUP(DL$2,ProyDia[],8,0)</f>
        <v>0</v>
      </c>
      <c r="DM152" s="36" t="n">
        <f aca="false">SUMIF($C$2:$F$2,EOMONTH(DM$2,-1)+1,$C152:$F152)*VLOOKUP(DM$2,ProyDia[],8,0)</f>
        <v>0</v>
      </c>
      <c r="DN152" s="36" t="n">
        <f aca="false">SUMIF($C$2:$F$2,EOMONTH(DN$2,-1)+1,$C152:$F152)*VLOOKUP(DN$2,ProyDia[],8,0)</f>
        <v>0</v>
      </c>
      <c r="DO152" s="36" t="n">
        <f aca="false">SUMIF($C$2:$F$2,EOMONTH(DO$2,-1)+1,$C152:$F152)*VLOOKUP(DO$2,ProyDia[],8,0)</f>
        <v>0</v>
      </c>
      <c r="DP152" s="36" t="n">
        <f aca="false">SUMIF($C$2:$F$2,EOMONTH(DP$2,-1)+1,$C152:$F152)*VLOOKUP(DP$2,ProyDia[],8,0)</f>
        <v>0</v>
      </c>
      <c r="DQ152" s="36" t="n">
        <f aca="false">SUMIF($C$2:$F$2,EOMONTH(DQ$2,-1)+1,$C152:$F152)*VLOOKUP(DQ$2,ProyDia[],8,0)</f>
        <v>0</v>
      </c>
      <c r="DR152" s="36" t="n">
        <f aca="false">SUMIF($C$2:$F$2,EOMONTH(DR$2,-1)+1,$C152:$F152)*VLOOKUP(DR$2,ProyDia[],8,0)</f>
        <v>0</v>
      </c>
      <c r="DS152" s="36" t="n">
        <f aca="false">SUMIF($C$2:$F$2,EOMONTH(DS$2,-1)+1,$C152:$F152)*VLOOKUP(DS$2,ProyDia[],8,0)</f>
        <v>0</v>
      </c>
      <c r="DT152" s="36" t="n">
        <f aca="false">SUMIF($C$2:$F$2,EOMONTH(DT$2,-1)+1,$C152:$F152)*VLOOKUP(DT$2,ProyDia[],8,0)</f>
        <v>0</v>
      </c>
      <c r="DU152" s="36" t="n">
        <f aca="false">SUMIF($C$2:$F$2,EOMONTH(DU$2,-1)+1,$C152:$F152)*VLOOKUP(DU$2,ProyDia[],8,0)</f>
        <v>0</v>
      </c>
      <c r="DV152" s="36" t="n">
        <f aca="false">SUMIF($C$2:$F$2,EOMONTH(DV$2,-1)+1,$C152:$F152)*VLOOKUP(DV$2,ProyDia[],8,0)</f>
        <v>0</v>
      </c>
      <c r="DW152" s="36" t="n">
        <f aca="false">SUMIF($C$2:$F$2,EOMONTH(DW$2,-1)+1,$C152:$F152)*VLOOKUP(DW$2,ProyDia[],8,0)</f>
        <v>0</v>
      </c>
      <c r="DX152" s="36" t="n">
        <f aca="false">SUMIF($C$2:$F$2,EOMONTH(DX$2,-1)+1,$C152:$F152)*VLOOKUP(DX$2,ProyDia[],8,0)</f>
        <v>0</v>
      </c>
    </row>
    <row r="153" customFormat="false" ht="14.4" hidden="false" customHeight="false" outlineLevel="0" collapsed="false">
      <c r="A153" s="34"/>
      <c r="B153" s="34"/>
      <c r="C153" s="34"/>
      <c r="D153" s="34"/>
      <c r="E153" s="34"/>
      <c r="F153" s="34"/>
      <c r="G153" s="28" t="n">
        <f aca="false">SUMIF($C$2:$F$2,EOMONTH(G$2,-1)+1,$C153:$F153)*VLOOKUP(G$2,ProyDia[],8,0)</f>
        <v>0</v>
      </c>
      <c r="H153" s="28" t="n">
        <f aca="false">SUMIF($C$2:$F$2,EOMONTH(H$2,-1)+1,$C153:$F153)*VLOOKUP(H$2,ProyDia[],8,0)</f>
        <v>0</v>
      </c>
      <c r="I153" s="28" t="n">
        <f aca="false">SUMIF($C$2:$F$2,EOMONTH(I$2,-1)+1,$C153:$F153)*VLOOKUP(I$2,ProyDia[],8,0)</f>
        <v>0</v>
      </c>
      <c r="J153" s="28" t="n">
        <f aca="false">SUMIF($C$2:$F$2,EOMONTH(J$2,-1)+1,$C153:$F153)*VLOOKUP(J$2,ProyDia[],8,0)</f>
        <v>0</v>
      </c>
      <c r="K153" s="28" t="n">
        <f aca="false">SUMIF($C$2:$F$2,EOMONTH(K$2,-1)+1,$C153:$F153)*VLOOKUP(K$2,ProyDia[],8,0)</f>
        <v>0</v>
      </c>
      <c r="L153" s="28" t="n">
        <f aca="false">SUMIF($C$2:$F$2,EOMONTH(L$2,-1)+1,$C153:$F153)*VLOOKUP(L$2,ProyDia[],8,0)</f>
        <v>0</v>
      </c>
      <c r="M153" s="28" t="n">
        <f aca="false">SUMIF($C$2:$F$2,EOMONTH(M$2,-1)+1,$C153:$F153)*VLOOKUP(M$2,ProyDia[],8,0)</f>
        <v>0</v>
      </c>
      <c r="N153" s="28" t="n">
        <f aca="false">SUMIF($C$2:$F$2,EOMONTH(N$2,-1)+1,$C153:$F153)*VLOOKUP(N$2,ProyDia[],8,0)</f>
        <v>0</v>
      </c>
      <c r="O153" s="28" t="n">
        <f aca="false">SUMIF($C$2:$F$2,EOMONTH(O$2,-1)+1,$C153:$F153)*VLOOKUP(O$2,ProyDia[],8,0)</f>
        <v>0</v>
      </c>
      <c r="P153" s="28" t="n">
        <f aca="false">SUMIF($C$2:$F$2,EOMONTH(P$2,-1)+1,$C153:$F153)*VLOOKUP(P$2,ProyDia[],8,0)</f>
        <v>0</v>
      </c>
      <c r="Q153" s="28" t="n">
        <f aca="false">SUMIF($C$2:$F$2,EOMONTH(Q$2,-1)+1,$C153:$F153)*VLOOKUP(Q$2,ProyDia[],8,0)</f>
        <v>0</v>
      </c>
      <c r="R153" s="28" t="n">
        <f aca="false">SUMIF($C$2:$F$2,EOMONTH(R$2,-1)+1,$C153:$F153)*VLOOKUP(R$2,ProyDia[],8,0)</f>
        <v>0</v>
      </c>
      <c r="S153" s="28" t="n">
        <f aca="false">SUMIF($C$2:$F$2,EOMONTH(S$2,-1)+1,$C153:$F153)*VLOOKUP(S$2,ProyDia[],8,0)</f>
        <v>0</v>
      </c>
      <c r="T153" s="28" t="n">
        <f aca="false">SUMIF($C$2:$F$2,EOMONTH(T$2,-1)+1,$C153:$F153)*VLOOKUP(T$2,ProyDia[],8,0)</f>
        <v>0</v>
      </c>
      <c r="U153" s="28" t="n">
        <f aca="false">SUMIF($C$2:$F$2,EOMONTH(U$2,-1)+1,$C153:$F153)*VLOOKUP(U$2,ProyDia[],8,0)</f>
        <v>0</v>
      </c>
      <c r="V153" s="28" t="n">
        <f aca="false">SUMIF($C$2:$F$2,EOMONTH(V$2,-1)+1,$C153:$F153)*VLOOKUP(V$2,ProyDia[],8,0)</f>
        <v>0</v>
      </c>
      <c r="W153" s="28" t="n">
        <f aca="false">SUMIF($C$2:$F$2,EOMONTH(W$2,-1)+1,$C153:$F153)*VLOOKUP(W$2,ProyDia[],8,0)</f>
        <v>0</v>
      </c>
      <c r="X153" s="28" t="n">
        <f aca="false">SUMIF($C$2:$F$2,EOMONTH(X$2,-1)+1,$C153:$F153)*VLOOKUP(X$2,ProyDia[],8,0)</f>
        <v>0</v>
      </c>
      <c r="Y153" s="28" t="n">
        <f aca="false">SUMIF($C$2:$F$2,EOMONTH(Y$2,-1)+1,$C153:$F153)*VLOOKUP(Y$2,ProyDia[],8,0)</f>
        <v>0</v>
      </c>
      <c r="Z153" s="28" t="n">
        <f aca="false">SUMIF($C$2:$F$2,EOMONTH(Z$2,-1)+1,$C153:$F153)*VLOOKUP(Z$2,ProyDia[],8,0)</f>
        <v>0</v>
      </c>
      <c r="AA153" s="28" t="n">
        <f aca="false">SUMIF($C$2:$F$2,EOMONTH(AA$2,-1)+1,$C153:$F153)*VLOOKUP(AA$2,ProyDia[],8,0)</f>
        <v>0</v>
      </c>
      <c r="AB153" s="28" t="n">
        <f aca="false">SUMIF($C$2:$F$2,EOMONTH(AB$2,-1)+1,$C153:$F153)*VLOOKUP(AB$2,ProyDia[],8,0)</f>
        <v>0</v>
      </c>
      <c r="AC153" s="28" t="n">
        <f aca="false">SUMIF($C$2:$F$2,EOMONTH(AC$2,-1)+1,$C153:$F153)*VLOOKUP(AC$2,ProyDia[],8,0)</f>
        <v>0</v>
      </c>
      <c r="AD153" s="28" t="n">
        <f aca="false">SUMIF($C$2:$F$2,EOMONTH(AD$2,-1)+1,$C153:$F153)*VLOOKUP(AD$2,ProyDia[],8,0)</f>
        <v>0</v>
      </c>
      <c r="AE153" s="28" t="n">
        <f aca="false">SUMIF($C$2:$F$2,EOMONTH(AE$2,-1)+1,$C153:$F153)*VLOOKUP(AE$2,ProyDia[],8,0)</f>
        <v>0</v>
      </c>
      <c r="AF153" s="28" t="n">
        <f aca="false">SUMIF($C$2:$F$2,EOMONTH(AF$2,-1)+1,$C153:$F153)*VLOOKUP(AF$2,ProyDia[],8,0)</f>
        <v>0</v>
      </c>
      <c r="AG153" s="28" t="n">
        <f aca="false">SUMIF($C$2:$F$2,EOMONTH(AG$2,-1)+1,$C153:$F153)*VLOOKUP(AG$2,ProyDia[],8,0)</f>
        <v>0</v>
      </c>
      <c r="AH153" s="28" t="n">
        <f aca="false">SUMIF($C$2:$F$2,EOMONTH(AH$2,-1)+1,$C153:$F153)*VLOOKUP(AH$2,ProyDia[],8,0)</f>
        <v>0</v>
      </c>
      <c r="AI153" s="28" t="n">
        <f aca="false">SUMIF($C$2:$F$2,EOMONTH(AI$2,-1)+1,$C153:$F153)*VLOOKUP(AI$2,ProyDia[],8,0)</f>
        <v>0</v>
      </c>
      <c r="AJ153" s="28" t="n">
        <f aca="false">SUMIF($C$2:$F$2,EOMONTH(AJ$2,-1)+1,$C153:$F153)*VLOOKUP(AJ$2,ProyDia[],8,0)</f>
        <v>0</v>
      </c>
      <c r="AK153" s="28" t="n">
        <f aca="false">SUMIF($C$2:$F$2,EOMONTH(AK$2,-1)+1,$C153:$F153)*VLOOKUP(AK$2,ProyDia[],8,0)</f>
        <v>0</v>
      </c>
      <c r="AL153" s="28" t="n">
        <f aca="false">SUMIF($C$2:$F$2,EOMONTH(AL$2,-1)+1,$C153:$F153)*VLOOKUP(AL$2,ProyDia[],8,0)</f>
        <v>0</v>
      </c>
      <c r="AM153" s="28" t="n">
        <f aca="false">SUMIF($C$2:$F$2,EOMONTH(AM$2,-1)+1,$C153:$F153)*VLOOKUP(AM$2,ProyDia[],8,0)</f>
        <v>0</v>
      </c>
      <c r="AN153" s="28" t="n">
        <f aca="false">SUMIF($C$2:$F$2,EOMONTH(AN$2,-1)+1,$C153:$F153)*VLOOKUP(AN$2,ProyDia[],8,0)</f>
        <v>0</v>
      </c>
      <c r="AO153" s="28" t="n">
        <f aca="false">SUMIF($C$2:$F$2,EOMONTH(AO$2,-1)+1,$C153:$F153)*VLOOKUP(AO$2,ProyDia[],8,0)</f>
        <v>0</v>
      </c>
      <c r="AP153" s="28" t="n">
        <f aca="false">SUMIF($C$2:$F$2,EOMONTH(AP$2,-1)+1,$C153:$F153)*VLOOKUP(AP$2,ProyDia[],8,0)</f>
        <v>0</v>
      </c>
      <c r="AQ153" s="28" t="n">
        <f aca="false">SUMIF($C$2:$F$2,EOMONTH(AQ$2,-1)+1,$C153:$F153)*VLOOKUP(AQ$2,ProyDia[],8,0)</f>
        <v>0</v>
      </c>
      <c r="AR153" s="28" t="n">
        <f aca="false">SUMIF($C$2:$F$2,EOMONTH(AR$2,-1)+1,$C153:$F153)*VLOOKUP(AR$2,ProyDia[],8,0)</f>
        <v>0</v>
      </c>
      <c r="AS153" s="28" t="n">
        <f aca="false">SUMIF($C$2:$F$2,EOMONTH(AS$2,-1)+1,$C153:$F153)*VLOOKUP(AS$2,ProyDia[],8,0)</f>
        <v>0</v>
      </c>
      <c r="AT153" s="28" t="n">
        <f aca="false">SUMIF($C$2:$F$2,EOMONTH(AT$2,-1)+1,$C153:$F153)*VLOOKUP(AT$2,ProyDia[],8,0)</f>
        <v>0</v>
      </c>
      <c r="AU153" s="28" t="n">
        <f aca="false">SUMIF($C$2:$F$2,EOMONTH(AU$2,-1)+1,$C153:$F153)*VLOOKUP(AU$2,ProyDia[],8,0)</f>
        <v>0</v>
      </c>
      <c r="AV153" s="28" t="n">
        <f aca="false">SUMIF($C$2:$F$2,EOMONTH(AV$2,-1)+1,$C153:$F153)*VLOOKUP(AV$2,ProyDia[],8,0)</f>
        <v>0</v>
      </c>
      <c r="AW153" s="28" t="n">
        <f aca="false">SUMIF($C$2:$F$2,EOMONTH(AW$2,-1)+1,$C153:$F153)*VLOOKUP(AW$2,ProyDia[],8,0)</f>
        <v>0</v>
      </c>
      <c r="AX153" s="28" t="n">
        <f aca="false">SUMIF($C$2:$F$2,EOMONTH(AX$2,-1)+1,$C153:$F153)*VLOOKUP(AX$2,ProyDia[],8,0)</f>
        <v>0</v>
      </c>
      <c r="AY153" s="28" t="n">
        <f aca="false">SUMIF($C$2:$F$2,EOMONTH(AY$2,-1)+1,$C153:$F153)*VLOOKUP(AY$2,ProyDia[],8,0)</f>
        <v>0</v>
      </c>
      <c r="AZ153" s="28" t="n">
        <f aca="false">SUMIF($C$2:$F$2,EOMONTH(AZ$2,-1)+1,$C153:$F153)*VLOOKUP(AZ$2,ProyDia[],8,0)</f>
        <v>0</v>
      </c>
      <c r="BA153" s="28" t="n">
        <f aca="false">SUMIF($C$2:$F$2,EOMONTH(BA$2,-1)+1,$C153:$F153)*VLOOKUP(BA$2,ProyDia[],8,0)</f>
        <v>0</v>
      </c>
      <c r="BB153" s="28" t="n">
        <f aca="false">SUMIF($C$2:$F$2,EOMONTH(BB$2,-1)+1,$C153:$F153)*VLOOKUP(BB$2,ProyDia[],8,0)</f>
        <v>0</v>
      </c>
      <c r="BC153" s="28" t="n">
        <f aca="false">SUMIF($C$2:$F$2,EOMONTH(BC$2,-1)+1,$C153:$F153)*VLOOKUP(BC$2,ProyDia[],8,0)</f>
        <v>0</v>
      </c>
      <c r="BD153" s="28" t="n">
        <f aca="false">SUMIF($C$2:$F$2,EOMONTH(BD$2,-1)+1,$C153:$F153)*VLOOKUP(BD$2,ProyDia[],8,0)</f>
        <v>0</v>
      </c>
      <c r="BE153" s="28" t="n">
        <f aca="false">SUMIF($C$2:$F$2,EOMONTH(BE$2,-1)+1,$C153:$F153)*VLOOKUP(BE$2,ProyDia[],8,0)</f>
        <v>0</v>
      </c>
      <c r="BF153" s="28" t="n">
        <f aca="false">SUMIF($C$2:$F$2,EOMONTH(BF$2,-1)+1,$C153:$F153)*VLOOKUP(BF$2,ProyDia[],8,0)</f>
        <v>0</v>
      </c>
      <c r="BG153" s="28" t="n">
        <f aca="false">SUMIF($C$2:$F$2,EOMONTH(BG$2,-1)+1,$C153:$F153)*VLOOKUP(BG$2,ProyDia[],8,0)</f>
        <v>0</v>
      </c>
      <c r="BH153" s="28" t="n">
        <f aca="false">SUMIF($C$2:$F$2,EOMONTH(BH$2,-1)+1,$C153:$F153)*VLOOKUP(BH$2,ProyDia[],8,0)</f>
        <v>0</v>
      </c>
      <c r="BI153" s="28" t="n">
        <f aca="false">SUMIF($C$2:$F$2,EOMONTH(BI$2,-1)+1,$C153:$F153)*VLOOKUP(BI$2,ProyDia[],8,0)</f>
        <v>0</v>
      </c>
      <c r="BJ153" s="28" t="n">
        <f aca="false">SUMIF($C$2:$F$2,EOMONTH(BJ$2,-1)+1,$C153:$F153)*VLOOKUP(BJ$2,ProyDia[],8,0)</f>
        <v>0</v>
      </c>
      <c r="BK153" s="28" t="n">
        <f aca="false">SUMIF($C$2:$F$2,EOMONTH(BK$2,-1)+1,$C153:$F153)*VLOOKUP(BK$2,ProyDia[],8,0)</f>
        <v>0</v>
      </c>
      <c r="BL153" s="28" t="n">
        <f aca="false">SUMIF($C$2:$F$2,EOMONTH(BL$2,-1)+1,$C153:$F153)*VLOOKUP(BL$2,ProyDia[],8,0)</f>
        <v>0</v>
      </c>
      <c r="BM153" s="28" t="n">
        <f aca="false">SUMIF($C$2:$F$2,EOMONTH(BM$2,-1)+1,$C153:$F153)*VLOOKUP(BM$2,ProyDia[],8,0)</f>
        <v>0</v>
      </c>
      <c r="BN153" s="28" t="n">
        <f aca="false">SUMIF($C$2:$F$2,EOMONTH(BN$2,-1)+1,$C153:$F153)*VLOOKUP(BN$2,ProyDia[],8,0)</f>
        <v>0</v>
      </c>
      <c r="BO153" s="28" t="n">
        <f aca="false">SUMIF($C$2:$F$2,EOMONTH(BO$2,-1)+1,$C153:$F153)*VLOOKUP(BO$2,ProyDia[],8,0)</f>
        <v>0</v>
      </c>
      <c r="BP153" s="28" t="n">
        <f aca="false">SUMIF($C$2:$F$2,EOMONTH(BP$2,-1)+1,$C153:$F153)*VLOOKUP(BP$2,ProyDia[],8,0)</f>
        <v>0</v>
      </c>
      <c r="BQ153" s="28" t="n">
        <f aca="false">SUMIF($C$2:$F$2,EOMONTH(BQ$2,-1)+1,$C153:$F153)*VLOOKUP(BQ$2,ProyDia[],8,0)</f>
        <v>0</v>
      </c>
      <c r="BR153" s="28" t="n">
        <f aca="false">SUMIF($C$2:$F$2,EOMONTH(BR$2,-1)+1,$C153:$F153)*VLOOKUP(BR$2,ProyDia[],8,0)</f>
        <v>0</v>
      </c>
      <c r="BS153" s="28" t="n">
        <f aca="false">SUMIF($C$2:$F$2,EOMONTH(BS$2,-1)+1,$C153:$F153)*VLOOKUP(BS$2,ProyDia[],8,0)</f>
        <v>0</v>
      </c>
      <c r="BT153" s="28" t="n">
        <f aca="false">SUMIF($C$2:$F$2,EOMONTH(BT$2,-1)+1,$C153:$F153)*VLOOKUP(BT$2,ProyDia[],8,0)</f>
        <v>0</v>
      </c>
      <c r="BU153" s="28" t="n">
        <f aca="false">SUMIF($C$2:$F$2,EOMONTH(BU$2,-1)+1,$C153:$F153)*VLOOKUP(BU$2,ProyDia[],8,0)</f>
        <v>0</v>
      </c>
      <c r="BV153" s="28" t="n">
        <f aca="false">SUMIF($C$2:$F$2,EOMONTH(BV$2,-1)+1,$C153:$F153)*VLOOKUP(BV$2,ProyDia[],8,0)</f>
        <v>0</v>
      </c>
      <c r="BW153" s="28" t="n">
        <f aca="false">SUMIF($C$2:$F$2,EOMONTH(BW$2,-1)+1,$C153:$F153)*VLOOKUP(BW$2,ProyDia[],8,0)</f>
        <v>0</v>
      </c>
      <c r="BX153" s="28" t="n">
        <f aca="false">SUMIF($C$2:$F$2,EOMONTH(BX$2,-1)+1,$C153:$F153)*VLOOKUP(BX$2,ProyDia[],8,0)</f>
        <v>0</v>
      </c>
      <c r="BY153" s="28" t="n">
        <f aca="false">SUMIF($C$2:$F$2,EOMONTH(BY$2,-1)+1,$C153:$F153)*VLOOKUP(BY$2,ProyDia[],8,0)</f>
        <v>0</v>
      </c>
      <c r="BZ153" s="28" t="n">
        <f aca="false">SUMIF($C$2:$F$2,EOMONTH(BZ$2,-1)+1,$C153:$F153)*VLOOKUP(BZ$2,ProyDia[],8,0)</f>
        <v>0</v>
      </c>
      <c r="CA153" s="28" t="n">
        <f aca="false">SUMIF($C$2:$F$2,EOMONTH(CA$2,-1)+1,$C153:$F153)*VLOOKUP(CA$2,ProyDia[],8,0)</f>
        <v>0</v>
      </c>
      <c r="CB153" s="28" t="n">
        <f aca="false">SUMIF($C$2:$F$2,EOMONTH(CB$2,-1)+1,$C153:$F153)*VLOOKUP(CB$2,ProyDia[],8,0)</f>
        <v>0</v>
      </c>
      <c r="CC153" s="28" t="n">
        <f aca="false">SUMIF($C$2:$F$2,EOMONTH(CC$2,-1)+1,$C153:$F153)*VLOOKUP(CC$2,ProyDia[],8,0)</f>
        <v>0</v>
      </c>
      <c r="CD153" s="28" t="n">
        <f aca="false">SUMIF($C$2:$F$2,EOMONTH(CD$2,-1)+1,$C153:$F153)*VLOOKUP(CD$2,ProyDia[],8,0)</f>
        <v>0</v>
      </c>
      <c r="CE153" s="28" t="n">
        <f aca="false">SUMIF($C$2:$F$2,EOMONTH(CE$2,-1)+1,$C153:$F153)*VLOOKUP(CE$2,ProyDia[],8,0)</f>
        <v>0</v>
      </c>
      <c r="CF153" s="28" t="n">
        <f aca="false">SUMIF($C$2:$F$2,EOMONTH(CF$2,-1)+1,$C153:$F153)*VLOOKUP(CF$2,ProyDia[],8,0)</f>
        <v>0</v>
      </c>
      <c r="CG153" s="28" t="n">
        <f aca="false">SUMIF($C$2:$F$2,EOMONTH(CG$2,-1)+1,$C153:$F153)*VLOOKUP(CG$2,ProyDia[],8,0)</f>
        <v>0</v>
      </c>
      <c r="CH153" s="28" t="n">
        <f aca="false">SUMIF($C$2:$F$2,EOMONTH(CH$2,-1)+1,$C153:$F153)*VLOOKUP(CH$2,ProyDia[],8,0)</f>
        <v>0</v>
      </c>
      <c r="CI153" s="28" t="n">
        <f aca="false">SUMIF($C$2:$F$2,EOMONTH(CI$2,-1)+1,$C153:$F153)*VLOOKUP(CI$2,ProyDia[],8,0)</f>
        <v>0</v>
      </c>
      <c r="CJ153" s="28" t="n">
        <f aca="false">SUMIF($C$2:$F$2,EOMONTH(CJ$2,-1)+1,$C153:$F153)*VLOOKUP(CJ$2,ProyDia[],8,0)</f>
        <v>0</v>
      </c>
      <c r="CK153" s="28" t="n">
        <f aca="false">SUMIF($C$2:$F$2,EOMONTH(CK$2,-1)+1,$C153:$F153)*VLOOKUP(CK$2,ProyDia[],8,0)</f>
        <v>0</v>
      </c>
      <c r="CL153" s="28" t="n">
        <f aca="false">SUMIF($C$2:$F$2,EOMONTH(CL$2,-1)+1,$C153:$F153)*VLOOKUP(CL$2,ProyDia[],8,0)</f>
        <v>0</v>
      </c>
      <c r="CM153" s="28" t="n">
        <f aca="false">SUMIF($C$2:$F$2,EOMONTH(CM$2,-1)+1,$C153:$F153)*VLOOKUP(CM$2,ProyDia[],8,0)</f>
        <v>0</v>
      </c>
      <c r="CN153" s="28" t="n">
        <f aca="false">SUMIF($C$2:$F$2,EOMONTH(CN$2,-1)+1,$C153:$F153)*VLOOKUP(CN$2,ProyDia[],8,0)</f>
        <v>0</v>
      </c>
      <c r="CO153" s="28" t="n">
        <f aca="false">SUMIF($C$2:$F$2,EOMONTH(CO$2,-1)+1,$C153:$F153)*VLOOKUP(CO$2,ProyDia[],8,0)</f>
        <v>0</v>
      </c>
      <c r="CP153" s="28" t="n">
        <f aca="false">SUMIF($C$2:$F$2,EOMONTH(CP$2,-1)+1,$C153:$F153)*VLOOKUP(CP$2,ProyDia[],8,0)</f>
        <v>0</v>
      </c>
      <c r="CQ153" s="28" t="n">
        <f aca="false">SUMIF($C$2:$F$2,EOMONTH(CQ$2,-1)+1,$C153:$F153)*VLOOKUP(CQ$2,ProyDia[],8,0)</f>
        <v>0</v>
      </c>
      <c r="CR153" s="28" t="n">
        <f aca="false">SUMIF($C$2:$F$2,EOMONTH(CR$2,-1)+1,$C153:$F153)*VLOOKUP(CR$2,ProyDia[],8,0)</f>
        <v>0</v>
      </c>
      <c r="CS153" s="28" t="n">
        <f aca="false">SUMIF($C$2:$F$2,EOMONTH(CS$2,-1)+1,$C153:$F153)*VLOOKUP(CS$2,ProyDia[],8,0)</f>
        <v>0</v>
      </c>
      <c r="CT153" s="28" t="n">
        <f aca="false">SUMIF($C$2:$F$2,EOMONTH(CT$2,-1)+1,$C153:$F153)*VLOOKUP(CT$2,ProyDia[],8,0)</f>
        <v>0</v>
      </c>
      <c r="CU153" s="28" t="n">
        <f aca="false">SUMIF($C$2:$F$2,EOMONTH(CU$2,-1)+1,$C153:$F153)*VLOOKUP(CU$2,ProyDia[],8,0)</f>
        <v>0</v>
      </c>
      <c r="CV153" s="28" t="n">
        <f aca="false">SUMIF($C$2:$F$2,EOMONTH(CV$2,-1)+1,$C153:$F153)*VLOOKUP(CV$2,ProyDia[],8,0)</f>
        <v>0</v>
      </c>
      <c r="CW153" s="28" t="n">
        <f aca="false">SUMIF($C$2:$F$2,EOMONTH(CW$2,-1)+1,$C153:$F153)*VLOOKUP(CW$2,ProyDia[],8,0)</f>
        <v>0</v>
      </c>
      <c r="CX153" s="28" t="n">
        <f aca="false">SUMIF($C$2:$F$2,EOMONTH(CX$2,-1)+1,$C153:$F153)*VLOOKUP(CX$2,ProyDia[],8,0)</f>
        <v>0</v>
      </c>
      <c r="CY153" s="28" t="n">
        <f aca="false">SUMIF($C$2:$F$2,EOMONTH(CY$2,-1)+1,$C153:$F153)*VLOOKUP(CY$2,ProyDia[],8,0)</f>
        <v>0</v>
      </c>
      <c r="CZ153" s="28" t="n">
        <f aca="false">SUMIF($C$2:$F$2,EOMONTH(CZ$2,-1)+1,$C153:$F153)*VLOOKUP(CZ$2,ProyDia[],8,0)</f>
        <v>0</v>
      </c>
      <c r="DA153" s="28" t="n">
        <f aca="false">SUMIF($C$2:$F$2,EOMONTH(DA$2,-1)+1,$C153:$F153)*VLOOKUP(DA$2,ProyDia[],8,0)</f>
        <v>0</v>
      </c>
      <c r="DB153" s="28" t="n">
        <f aca="false">SUMIF($C$2:$F$2,EOMONTH(DB$2,-1)+1,$C153:$F153)*VLOOKUP(DB$2,ProyDia[],8,0)</f>
        <v>0</v>
      </c>
      <c r="DC153" s="28" t="n">
        <f aca="false">SUMIF($C$2:$F$2,EOMONTH(DC$2,-1)+1,$C153:$F153)*VLOOKUP(DC$2,ProyDia[],8,0)</f>
        <v>0</v>
      </c>
      <c r="DD153" s="28" t="n">
        <f aca="false">SUMIF($C$2:$F$2,EOMONTH(DD$2,-1)+1,$C153:$F153)*VLOOKUP(DD$2,ProyDia[],8,0)</f>
        <v>0</v>
      </c>
      <c r="DE153" s="28" t="n">
        <f aca="false">SUMIF($C$2:$F$2,EOMONTH(DE$2,-1)+1,$C153:$F153)*VLOOKUP(DE$2,ProyDia[],8,0)</f>
        <v>0</v>
      </c>
      <c r="DF153" s="28" t="n">
        <f aca="false">SUMIF($C$2:$F$2,EOMONTH(DF$2,-1)+1,$C153:$F153)*VLOOKUP(DF$2,ProyDia[],8,0)</f>
        <v>0</v>
      </c>
      <c r="DG153" s="28" t="n">
        <f aca="false">SUMIF($C$2:$F$2,EOMONTH(DG$2,-1)+1,$C153:$F153)*VLOOKUP(DG$2,ProyDia[],8,0)</f>
        <v>0</v>
      </c>
      <c r="DH153" s="28" t="n">
        <f aca="false">SUMIF($C$2:$F$2,EOMONTH(DH$2,-1)+1,$C153:$F153)*VLOOKUP(DH$2,ProyDia[],8,0)</f>
        <v>0</v>
      </c>
      <c r="DI153" s="28" t="n">
        <f aca="false">SUMIF($C$2:$F$2,EOMONTH(DI$2,-1)+1,$C153:$F153)*VLOOKUP(DI$2,ProyDia[],8,0)</f>
        <v>0</v>
      </c>
      <c r="DJ153" s="28" t="n">
        <f aca="false">SUMIF($C$2:$F$2,EOMONTH(DJ$2,-1)+1,$C153:$F153)*VLOOKUP(DJ$2,ProyDia[],8,0)</f>
        <v>0</v>
      </c>
      <c r="DK153" s="28" t="n">
        <f aca="false">SUMIF($C$2:$F$2,EOMONTH(DK$2,-1)+1,$C153:$F153)*VLOOKUP(DK$2,ProyDia[],8,0)</f>
        <v>0</v>
      </c>
      <c r="DL153" s="28" t="n">
        <f aca="false">SUMIF($C$2:$F$2,EOMONTH(DL$2,-1)+1,$C153:$F153)*VLOOKUP(DL$2,ProyDia[],8,0)</f>
        <v>0</v>
      </c>
      <c r="DM153" s="28" t="n">
        <f aca="false">SUMIF($C$2:$F$2,EOMONTH(DM$2,-1)+1,$C153:$F153)*VLOOKUP(DM$2,ProyDia[],8,0)</f>
        <v>0</v>
      </c>
      <c r="DN153" s="28" t="n">
        <f aca="false">SUMIF($C$2:$F$2,EOMONTH(DN$2,-1)+1,$C153:$F153)*VLOOKUP(DN$2,ProyDia[],8,0)</f>
        <v>0</v>
      </c>
      <c r="DO153" s="28" t="n">
        <f aca="false">SUMIF($C$2:$F$2,EOMONTH(DO$2,-1)+1,$C153:$F153)*VLOOKUP(DO$2,ProyDia[],8,0)</f>
        <v>0</v>
      </c>
      <c r="DP153" s="28" t="n">
        <f aca="false">SUMIF($C$2:$F$2,EOMONTH(DP$2,-1)+1,$C153:$F153)*VLOOKUP(DP$2,ProyDia[],8,0)</f>
        <v>0</v>
      </c>
      <c r="DQ153" s="28" t="n">
        <f aca="false">SUMIF($C$2:$F$2,EOMONTH(DQ$2,-1)+1,$C153:$F153)*VLOOKUP(DQ$2,ProyDia[],8,0)</f>
        <v>0</v>
      </c>
      <c r="DR153" s="28" t="n">
        <f aca="false">SUMIF($C$2:$F$2,EOMONTH(DR$2,-1)+1,$C153:$F153)*VLOOKUP(DR$2,ProyDia[],8,0)</f>
        <v>0</v>
      </c>
      <c r="DS153" s="28" t="n">
        <f aca="false">SUMIF($C$2:$F$2,EOMONTH(DS$2,-1)+1,$C153:$F153)*VLOOKUP(DS$2,ProyDia[],8,0)</f>
        <v>0</v>
      </c>
      <c r="DT153" s="28" t="n">
        <f aca="false">SUMIF($C$2:$F$2,EOMONTH(DT$2,-1)+1,$C153:$F153)*VLOOKUP(DT$2,ProyDia[],8,0)</f>
        <v>0</v>
      </c>
      <c r="DU153" s="28" t="n">
        <f aca="false">SUMIF($C$2:$F$2,EOMONTH(DU$2,-1)+1,$C153:$F153)*VLOOKUP(DU$2,ProyDia[],8,0)</f>
        <v>0</v>
      </c>
      <c r="DV153" s="28" t="n">
        <f aca="false">SUMIF($C$2:$F$2,EOMONTH(DV$2,-1)+1,$C153:$F153)*VLOOKUP(DV$2,ProyDia[],8,0)</f>
        <v>0</v>
      </c>
      <c r="DW153" s="28" t="n">
        <f aca="false">SUMIF($C$2:$F$2,EOMONTH(DW$2,-1)+1,$C153:$F153)*VLOOKUP(DW$2,ProyDia[],8,0)</f>
        <v>0</v>
      </c>
      <c r="DX153" s="28" t="n">
        <f aca="false">SUMIF($C$2:$F$2,EOMONTH(DX$2,-1)+1,$C153:$F153)*VLOOKUP(DX$2,ProyDia[],8,0)</f>
        <v>0</v>
      </c>
    </row>
    <row r="154" customFormat="false" ht="14.4" hidden="false" customHeight="false" outlineLevel="0" collapsed="false">
      <c r="A154" s="35"/>
      <c r="B154" s="35"/>
      <c r="C154" s="35"/>
      <c r="D154" s="35"/>
      <c r="E154" s="35"/>
      <c r="F154" s="35"/>
      <c r="G154" s="36" t="n">
        <f aca="false">SUMIF($C$2:$F$2,EOMONTH(G$2,-1)+1,$C154:$F154)*VLOOKUP(G$2,ProyDia[],8,0)</f>
        <v>0</v>
      </c>
      <c r="H154" s="36" t="n">
        <f aca="false">SUMIF($C$2:$F$2,EOMONTH(H$2,-1)+1,$C154:$F154)*VLOOKUP(H$2,ProyDia[],8,0)</f>
        <v>0</v>
      </c>
      <c r="I154" s="36" t="n">
        <f aca="false">SUMIF($C$2:$F$2,EOMONTH(I$2,-1)+1,$C154:$F154)*VLOOKUP(I$2,ProyDia[],8,0)</f>
        <v>0</v>
      </c>
      <c r="J154" s="36" t="n">
        <f aca="false">SUMIF($C$2:$F$2,EOMONTH(J$2,-1)+1,$C154:$F154)*VLOOKUP(J$2,ProyDia[],8,0)</f>
        <v>0</v>
      </c>
      <c r="K154" s="36" t="n">
        <f aca="false">SUMIF($C$2:$F$2,EOMONTH(K$2,-1)+1,$C154:$F154)*VLOOKUP(K$2,ProyDia[],8,0)</f>
        <v>0</v>
      </c>
      <c r="L154" s="36" t="n">
        <f aca="false">SUMIF($C$2:$F$2,EOMONTH(L$2,-1)+1,$C154:$F154)*VLOOKUP(L$2,ProyDia[],8,0)</f>
        <v>0</v>
      </c>
      <c r="M154" s="36" t="n">
        <f aca="false">SUMIF($C$2:$F$2,EOMONTH(M$2,-1)+1,$C154:$F154)*VLOOKUP(M$2,ProyDia[],8,0)</f>
        <v>0</v>
      </c>
      <c r="N154" s="36" t="n">
        <f aca="false">SUMIF($C$2:$F$2,EOMONTH(N$2,-1)+1,$C154:$F154)*VLOOKUP(N$2,ProyDia[],8,0)</f>
        <v>0</v>
      </c>
      <c r="O154" s="36" t="n">
        <f aca="false">SUMIF($C$2:$F$2,EOMONTH(O$2,-1)+1,$C154:$F154)*VLOOKUP(O$2,ProyDia[],8,0)</f>
        <v>0</v>
      </c>
      <c r="P154" s="36" t="n">
        <f aca="false">SUMIF($C$2:$F$2,EOMONTH(P$2,-1)+1,$C154:$F154)*VLOOKUP(P$2,ProyDia[],8,0)</f>
        <v>0</v>
      </c>
      <c r="Q154" s="36" t="n">
        <f aca="false">SUMIF($C$2:$F$2,EOMONTH(Q$2,-1)+1,$C154:$F154)*VLOOKUP(Q$2,ProyDia[],8,0)</f>
        <v>0</v>
      </c>
      <c r="R154" s="36" t="n">
        <f aca="false">SUMIF($C$2:$F$2,EOMONTH(R$2,-1)+1,$C154:$F154)*VLOOKUP(R$2,ProyDia[],8,0)</f>
        <v>0</v>
      </c>
      <c r="S154" s="36" t="n">
        <f aca="false">SUMIF($C$2:$F$2,EOMONTH(S$2,-1)+1,$C154:$F154)*VLOOKUP(S$2,ProyDia[],8,0)</f>
        <v>0</v>
      </c>
      <c r="T154" s="36" t="n">
        <f aca="false">SUMIF($C$2:$F$2,EOMONTH(T$2,-1)+1,$C154:$F154)*VLOOKUP(T$2,ProyDia[],8,0)</f>
        <v>0</v>
      </c>
      <c r="U154" s="36" t="n">
        <f aca="false">SUMIF($C$2:$F$2,EOMONTH(U$2,-1)+1,$C154:$F154)*VLOOKUP(U$2,ProyDia[],8,0)</f>
        <v>0</v>
      </c>
      <c r="V154" s="36" t="n">
        <f aca="false">SUMIF($C$2:$F$2,EOMONTH(V$2,-1)+1,$C154:$F154)*VLOOKUP(V$2,ProyDia[],8,0)</f>
        <v>0</v>
      </c>
      <c r="W154" s="36" t="n">
        <f aca="false">SUMIF($C$2:$F$2,EOMONTH(W$2,-1)+1,$C154:$F154)*VLOOKUP(W$2,ProyDia[],8,0)</f>
        <v>0</v>
      </c>
      <c r="X154" s="36" t="n">
        <f aca="false">SUMIF($C$2:$F$2,EOMONTH(X$2,-1)+1,$C154:$F154)*VLOOKUP(X$2,ProyDia[],8,0)</f>
        <v>0</v>
      </c>
      <c r="Y154" s="36" t="n">
        <f aca="false">SUMIF($C$2:$F$2,EOMONTH(Y$2,-1)+1,$C154:$F154)*VLOOKUP(Y$2,ProyDia[],8,0)</f>
        <v>0</v>
      </c>
      <c r="Z154" s="36" t="n">
        <f aca="false">SUMIF($C$2:$F$2,EOMONTH(Z$2,-1)+1,$C154:$F154)*VLOOKUP(Z$2,ProyDia[],8,0)</f>
        <v>0</v>
      </c>
      <c r="AA154" s="36" t="n">
        <f aca="false">SUMIF($C$2:$F$2,EOMONTH(AA$2,-1)+1,$C154:$F154)*VLOOKUP(AA$2,ProyDia[],8,0)</f>
        <v>0</v>
      </c>
      <c r="AB154" s="36" t="n">
        <f aca="false">SUMIF($C$2:$F$2,EOMONTH(AB$2,-1)+1,$C154:$F154)*VLOOKUP(AB$2,ProyDia[],8,0)</f>
        <v>0</v>
      </c>
      <c r="AC154" s="36" t="n">
        <f aca="false">SUMIF($C$2:$F$2,EOMONTH(AC$2,-1)+1,$C154:$F154)*VLOOKUP(AC$2,ProyDia[],8,0)</f>
        <v>0</v>
      </c>
      <c r="AD154" s="36" t="n">
        <f aca="false">SUMIF($C$2:$F$2,EOMONTH(AD$2,-1)+1,$C154:$F154)*VLOOKUP(AD$2,ProyDia[],8,0)</f>
        <v>0</v>
      </c>
      <c r="AE154" s="36" t="n">
        <f aca="false">SUMIF($C$2:$F$2,EOMONTH(AE$2,-1)+1,$C154:$F154)*VLOOKUP(AE$2,ProyDia[],8,0)</f>
        <v>0</v>
      </c>
      <c r="AF154" s="36" t="n">
        <f aca="false">SUMIF($C$2:$F$2,EOMONTH(AF$2,-1)+1,$C154:$F154)*VLOOKUP(AF$2,ProyDia[],8,0)</f>
        <v>0</v>
      </c>
      <c r="AG154" s="36" t="n">
        <f aca="false">SUMIF($C$2:$F$2,EOMONTH(AG$2,-1)+1,$C154:$F154)*VLOOKUP(AG$2,ProyDia[],8,0)</f>
        <v>0</v>
      </c>
      <c r="AH154" s="36" t="n">
        <f aca="false">SUMIF($C$2:$F$2,EOMONTH(AH$2,-1)+1,$C154:$F154)*VLOOKUP(AH$2,ProyDia[],8,0)</f>
        <v>0</v>
      </c>
      <c r="AI154" s="36" t="n">
        <f aca="false">SUMIF($C$2:$F$2,EOMONTH(AI$2,-1)+1,$C154:$F154)*VLOOKUP(AI$2,ProyDia[],8,0)</f>
        <v>0</v>
      </c>
      <c r="AJ154" s="36" t="n">
        <f aca="false">SUMIF($C$2:$F$2,EOMONTH(AJ$2,-1)+1,$C154:$F154)*VLOOKUP(AJ$2,ProyDia[],8,0)</f>
        <v>0</v>
      </c>
      <c r="AK154" s="36" t="n">
        <f aca="false">SUMIF($C$2:$F$2,EOMONTH(AK$2,-1)+1,$C154:$F154)*VLOOKUP(AK$2,ProyDia[],8,0)</f>
        <v>0</v>
      </c>
      <c r="AL154" s="36" t="n">
        <f aca="false">SUMIF($C$2:$F$2,EOMONTH(AL$2,-1)+1,$C154:$F154)*VLOOKUP(AL$2,ProyDia[],8,0)</f>
        <v>0</v>
      </c>
      <c r="AM154" s="36" t="n">
        <f aca="false">SUMIF($C$2:$F$2,EOMONTH(AM$2,-1)+1,$C154:$F154)*VLOOKUP(AM$2,ProyDia[],8,0)</f>
        <v>0</v>
      </c>
      <c r="AN154" s="36" t="n">
        <f aca="false">SUMIF($C$2:$F$2,EOMONTH(AN$2,-1)+1,$C154:$F154)*VLOOKUP(AN$2,ProyDia[],8,0)</f>
        <v>0</v>
      </c>
      <c r="AO154" s="36" t="n">
        <f aca="false">SUMIF($C$2:$F$2,EOMONTH(AO$2,-1)+1,$C154:$F154)*VLOOKUP(AO$2,ProyDia[],8,0)</f>
        <v>0</v>
      </c>
      <c r="AP154" s="36" t="n">
        <f aca="false">SUMIF($C$2:$F$2,EOMONTH(AP$2,-1)+1,$C154:$F154)*VLOOKUP(AP$2,ProyDia[],8,0)</f>
        <v>0</v>
      </c>
      <c r="AQ154" s="36" t="n">
        <f aca="false">SUMIF($C$2:$F$2,EOMONTH(AQ$2,-1)+1,$C154:$F154)*VLOOKUP(AQ$2,ProyDia[],8,0)</f>
        <v>0</v>
      </c>
      <c r="AR154" s="36" t="n">
        <f aca="false">SUMIF($C$2:$F$2,EOMONTH(AR$2,-1)+1,$C154:$F154)*VLOOKUP(AR$2,ProyDia[],8,0)</f>
        <v>0</v>
      </c>
      <c r="AS154" s="36" t="n">
        <f aca="false">SUMIF($C$2:$F$2,EOMONTH(AS$2,-1)+1,$C154:$F154)*VLOOKUP(AS$2,ProyDia[],8,0)</f>
        <v>0</v>
      </c>
      <c r="AT154" s="36" t="n">
        <f aca="false">SUMIF($C$2:$F$2,EOMONTH(AT$2,-1)+1,$C154:$F154)*VLOOKUP(AT$2,ProyDia[],8,0)</f>
        <v>0</v>
      </c>
      <c r="AU154" s="36" t="n">
        <f aca="false">SUMIF($C$2:$F$2,EOMONTH(AU$2,-1)+1,$C154:$F154)*VLOOKUP(AU$2,ProyDia[],8,0)</f>
        <v>0</v>
      </c>
      <c r="AV154" s="36" t="n">
        <f aca="false">SUMIF($C$2:$F$2,EOMONTH(AV$2,-1)+1,$C154:$F154)*VLOOKUP(AV$2,ProyDia[],8,0)</f>
        <v>0</v>
      </c>
      <c r="AW154" s="36" t="n">
        <f aca="false">SUMIF($C$2:$F$2,EOMONTH(AW$2,-1)+1,$C154:$F154)*VLOOKUP(AW$2,ProyDia[],8,0)</f>
        <v>0</v>
      </c>
      <c r="AX154" s="36" t="n">
        <f aca="false">SUMIF($C$2:$F$2,EOMONTH(AX$2,-1)+1,$C154:$F154)*VLOOKUP(AX$2,ProyDia[],8,0)</f>
        <v>0</v>
      </c>
      <c r="AY154" s="36" t="n">
        <f aca="false">SUMIF($C$2:$F$2,EOMONTH(AY$2,-1)+1,$C154:$F154)*VLOOKUP(AY$2,ProyDia[],8,0)</f>
        <v>0</v>
      </c>
      <c r="AZ154" s="36" t="n">
        <f aca="false">SUMIF($C$2:$F$2,EOMONTH(AZ$2,-1)+1,$C154:$F154)*VLOOKUP(AZ$2,ProyDia[],8,0)</f>
        <v>0</v>
      </c>
      <c r="BA154" s="36" t="n">
        <f aca="false">SUMIF($C$2:$F$2,EOMONTH(BA$2,-1)+1,$C154:$F154)*VLOOKUP(BA$2,ProyDia[],8,0)</f>
        <v>0</v>
      </c>
      <c r="BB154" s="36" t="n">
        <f aca="false">SUMIF($C$2:$F$2,EOMONTH(BB$2,-1)+1,$C154:$F154)*VLOOKUP(BB$2,ProyDia[],8,0)</f>
        <v>0</v>
      </c>
      <c r="BC154" s="36" t="n">
        <f aca="false">SUMIF($C$2:$F$2,EOMONTH(BC$2,-1)+1,$C154:$F154)*VLOOKUP(BC$2,ProyDia[],8,0)</f>
        <v>0</v>
      </c>
      <c r="BD154" s="36" t="n">
        <f aca="false">SUMIF($C$2:$F$2,EOMONTH(BD$2,-1)+1,$C154:$F154)*VLOOKUP(BD$2,ProyDia[],8,0)</f>
        <v>0</v>
      </c>
      <c r="BE154" s="36" t="n">
        <f aca="false">SUMIF($C$2:$F$2,EOMONTH(BE$2,-1)+1,$C154:$F154)*VLOOKUP(BE$2,ProyDia[],8,0)</f>
        <v>0</v>
      </c>
      <c r="BF154" s="36" t="n">
        <f aca="false">SUMIF($C$2:$F$2,EOMONTH(BF$2,-1)+1,$C154:$F154)*VLOOKUP(BF$2,ProyDia[],8,0)</f>
        <v>0</v>
      </c>
      <c r="BG154" s="36" t="n">
        <f aca="false">SUMIF($C$2:$F$2,EOMONTH(BG$2,-1)+1,$C154:$F154)*VLOOKUP(BG$2,ProyDia[],8,0)</f>
        <v>0</v>
      </c>
      <c r="BH154" s="36" t="n">
        <f aca="false">SUMIF($C$2:$F$2,EOMONTH(BH$2,-1)+1,$C154:$F154)*VLOOKUP(BH$2,ProyDia[],8,0)</f>
        <v>0</v>
      </c>
      <c r="BI154" s="36" t="n">
        <f aca="false">SUMIF($C$2:$F$2,EOMONTH(BI$2,-1)+1,$C154:$F154)*VLOOKUP(BI$2,ProyDia[],8,0)</f>
        <v>0</v>
      </c>
      <c r="BJ154" s="36" t="n">
        <f aca="false">SUMIF($C$2:$F$2,EOMONTH(BJ$2,-1)+1,$C154:$F154)*VLOOKUP(BJ$2,ProyDia[],8,0)</f>
        <v>0</v>
      </c>
      <c r="BK154" s="36" t="n">
        <f aca="false">SUMIF($C$2:$F$2,EOMONTH(BK$2,-1)+1,$C154:$F154)*VLOOKUP(BK$2,ProyDia[],8,0)</f>
        <v>0</v>
      </c>
      <c r="BL154" s="36" t="n">
        <f aca="false">SUMIF($C$2:$F$2,EOMONTH(BL$2,-1)+1,$C154:$F154)*VLOOKUP(BL$2,ProyDia[],8,0)</f>
        <v>0</v>
      </c>
      <c r="BM154" s="36" t="n">
        <f aca="false">SUMIF($C$2:$F$2,EOMONTH(BM$2,-1)+1,$C154:$F154)*VLOOKUP(BM$2,ProyDia[],8,0)</f>
        <v>0</v>
      </c>
      <c r="BN154" s="36" t="n">
        <f aca="false">SUMIF($C$2:$F$2,EOMONTH(BN$2,-1)+1,$C154:$F154)*VLOOKUP(BN$2,ProyDia[],8,0)</f>
        <v>0</v>
      </c>
      <c r="BO154" s="36" t="n">
        <f aca="false">SUMIF($C$2:$F$2,EOMONTH(BO$2,-1)+1,$C154:$F154)*VLOOKUP(BO$2,ProyDia[],8,0)</f>
        <v>0</v>
      </c>
      <c r="BP154" s="36" t="n">
        <f aca="false">SUMIF($C$2:$F$2,EOMONTH(BP$2,-1)+1,$C154:$F154)*VLOOKUP(BP$2,ProyDia[],8,0)</f>
        <v>0</v>
      </c>
      <c r="BQ154" s="36" t="n">
        <f aca="false">SUMIF($C$2:$F$2,EOMONTH(BQ$2,-1)+1,$C154:$F154)*VLOOKUP(BQ$2,ProyDia[],8,0)</f>
        <v>0</v>
      </c>
      <c r="BR154" s="36" t="n">
        <f aca="false">SUMIF($C$2:$F$2,EOMONTH(BR$2,-1)+1,$C154:$F154)*VLOOKUP(BR$2,ProyDia[],8,0)</f>
        <v>0</v>
      </c>
      <c r="BS154" s="36" t="n">
        <f aca="false">SUMIF($C$2:$F$2,EOMONTH(BS$2,-1)+1,$C154:$F154)*VLOOKUP(BS$2,ProyDia[],8,0)</f>
        <v>0</v>
      </c>
      <c r="BT154" s="36" t="n">
        <f aca="false">SUMIF($C$2:$F$2,EOMONTH(BT$2,-1)+1,$C154:$F154)*VLOOKUP(BT$2,ProyDia[],8,0)</f>
        <v>0</v>
      </c>
      <c r="BU154" s="36" t="n">
        <f aca="false">SUMIF($C$2:$F$2,EOMONTH(BU$2,-1)+1,$C154:$F154)*VLOOKUP(BU$2,ProyDia[],8,0)</f>
        <v>0</v>
      </c>
      <c r="BV154" s="36" t="n">
        <f aca="false">SUMIF($C$2:$F$2,EOMONTH(BV$2,-1)+1,$C154:$F154)*VLOOKUP(BV$2,ProyDia[],8,0)</f>
        <v>0</v>
      </c>
      <c r="BW154" s="36" t="n">
        <f aca="false">SUMIF($C$2:$F$2,EOMONTH(BW$2,-1)+1,$C154:$F154)*VLOOKUP(BW$2,ProyDia[],8,0)</f>
        <v>0</v>
      </c>
      <c r="BX154" s="36" t="n">
        <f aca="false">SUMIF($C$2:$F$2,EOMONTH(BX$2,-1)+1,$C154:$F154)*VLOOKUP(BX$2,ProyDia[],8,0)</f>
        <v>0</v>
      </c>
      <c r="BY154" s="36" t="n">
        <f aca="false">SUMIF($C$2:$F$2,EOMONTH(BY$2,-1)+1,$C154:$F154)*VLOOKUP(BY$2,ProyDia[],8,0)</f>
        <v>0</v>
      </c>
      <c r="BZ154" s="36" t="n">
        <f aca="false">SUMIF($C$2:$F$2,EOMONTH(BZ$2,-1)+1,$C154:$F154)*VLOOKUP(BZ$2,ProyDia[],8,0)</f>
        <v>0</v>
      </c>
      <c r="CA154" s="36" t="n">
        <f aca="false">SUMIF($C$2:$F$2,EOMONTH(CA$2,-1)+1,$C154:$F154)*VLOOKUP(CA$2,ProyDia[],8,0)</f>
        <v>0</v>
      </c>
      <c r="CB154" s="36" t="n">
        <f aca="false">SUMIF($C$2:$F$2,EOMONTH(CB$2,-1)+1,$C154:$F154)*VLOOKUP(CB$2,ProyDia[],8,0)</f>
        <v>0</v>
      </c>
      <c r="CC154" s="36" t="n">
        <f aca="false">SUMIF($C$2:$F$2,EOMONTH(CC$2,-1)+1,$C154:$F154)*VLOOKUP(CC$2,ProyDia[],8,0)</f>
        <v>0</v>
      </c>
      <c r="CD154" s="36" t="n">
        <f aca="false">SUMIF($C$2:$F$2,EOMONTH(CD$2,-1)+1,$C154:$F154)*VLOOKUP(CD$2,ProyDia[],8,0)</f>
        <v>0</v>
      </c>
      <c r="CE154" s="36" t="n">
        <f aca="false">SUMIF($C$2:$F$2,EOMONTH(CE$2,-1)+1,$C154:$F154)*VLOOKUP(CE$2,ProyDia[],8,0)</f>
        <v>0</v>
      </c>
      <c r="CF154" s="36" t="n">
        <f aca="false">SUMIF($C$2:$F$2,EOMONTH(CF$2,-1)+1,$C154:$F154)*VLOOKUP(CF$2,ProyDia[],8,0)</f>
        <v>0</v>
      </c>
      <c r="CG154" s="36" t="n">
        <f aca="false">SUMIF($C$2:$F$2,EOMONTH(CG$2,-1)+1,$C154:$F154)*VLOOKUP(CG$2,ProyDia[],8,0)</f>
        <v>0</v>
      </c>
      <c r="CH154" s="36" t="n">
        <f aca="false">SUMIF($C$2:$F$2,EOMONTH(CH$2,-1)+1,$C154:$F154)*VLOOKUP(CH$2,ProyDia[],8,0)</f>
        <v>0</v>
      </c>
      <c r="CI154" s="36" t="n">
        <f aca="false">SUMIF($C$2:$F$2,EOMONTH(CI$2,-1)+1,$C154:$F154)*VLOOKUP(CI$2,ProyDia[],8,0)</f>
        <v>0</v>
      </c>
      <c r="CJ154" s="36" t="n">
        <f aca="false">SUMIF($C$2:$F$2,EOMONTH(CJ$2,-1)+1,$C154:$F154)*VLOOKUP(CJ$2,ProyDia[],8,0)</f>
        <v>0</v>
      </c>
      <c r="CK154" s="36" t="n">
        <f aca="false">SUMIF($C$2:$F$2,EOMONTH(CK$2,-1)+1,$C154:$F154)*VLOOKUP(CK$2,ProyDia[],8,0)</f>
        <v>0</v>
      </c>
      <c r="CL154" s="36" t="n">
        <f aca="false">SUMIF($C$2:$F$2,EOMONTH(CL$2,-1)+1,$C154:$F154)*VLOOKUP(CL$2,ProyDia[],8,0)</f>
        <v>0</v>
      </c>
      <c r="CM154" s="36" t="n">
        <f aca="false">SUMIF($C$2:$F$2,EOMONTH(CM$2,-1)+1,$C154:$F154)*VLOOKUP(CM$2,ProyDia[],8,0)</f>
        <v>0</v>
      </c>
      <c r="CN154" s="36" t="n">
        <f aca="false">SUMIF($C$2:$F$2,EOMONTH(CN$2,-1)+1,$C154:$F154)*VLOOKUP(CN$2,ProyDia[],8,0)</f>
        <v>0</v>
      </c>
      <c r="CO154" s="36" t="n">
        <f aca="false">SUMIF($C$2:$F$2,EOMONTH(CO$2,-1)+1,$C154:$F154)*VLOOKUP(CO$2,ProyDia[],8,0)</f>
        <v>0</v>
      </c>
      <c r="CP154" s="36" t="n">
        <f aca="false">SUMIF($C$2:$F$2,EOMONTH(CP$2,-1)+1,$C154:$F154)*VLOOKUP(CP$2,ProyDia[],8,0)</f>
        <v>0</v>
      </c>
      <c r="CQ154" s="36" t="n">
        <f aca="false">SUMIF($C$2:$F$2,EOMONTH(CQ$2,-1)+1,$C154:$F154)*VLOOKUP(CQ$2,ProyDia[],8,0)</f>
        <v>0</v>
      </c>
      <c r="CR154" s="36" t="n">
        <f aca="false">SUMIF($C$2:$F$2,EOMONTH(CR$2,-1)+1,$C154:$F154)*VLOOKUP(CR$2,ProyDia[],8,0)</f>
        <v>0</v>
      </c>
      <c r="CS154" s="36" t="n">
        <f aca="false">SUMIF($C$2:$F$2,EOMONTH(CS$2,-1)+1,$C154:$F154)*VLOOKUP(CS$2,ProyDia[],8,0)</f>
        <v>0</v>
      </c>
      <c r="CT154" s="36" t="n">
        <f aca="false">SUMIF($C$2:$F$2,EOMONTH(CT$2,-1)+1,$C154:$F154)*VLOOKUP(CT$2,ProyDia[],8,0)</f>
        <v>0</v>
      </c>
      <c r="CU154" s="36" t="n">
        <f aca="false">SUMIF($C$2:$F$2,EOMONTH(CU$2,-1)+1,$C154:$F154)*VLOOKUP(CU$2,ProyDia[],8,0)</f>
        <v>0</v>
      </c>
      <c r="CV154" s="36" t="n">
        <f aca="false">SUMIF($C$2:$F$2,EOMONTH(CV$2,-1)+1,$C154:$F154)*VLOOKUP(CV$2,ProyDia[],8,0)</f>
        <v>0</v>
      </c>
      <c r="CW154" s="36" t="n">
        <f aca="false">SUMIF($C$2:$F$2,EOMONTH(CW$2,-1)+1,$C154:$F154)*VLOOKUP(CW$2,ProyDia[],8,0)</f>
        <v>0</v>
      </c>
      <c r="CX154" s="36" t="n">
        <f aca="false">SUMIF($C$2:$F$2,EOMONTH(CX$2,-1)+1,$C154:$F154)*VLOOKUP(CX$2,ProyDia[],8,0)</f>
        <v>0</v>
      </c>
      <c r="CY154" s="36" t="n">
        <f aca="false">SUMIF($C$2:$F$2,EOMONTH(CY$2,-1)+1,$C154:$F154)*VLOOKUP(CY$2,ProyDia[],8,0)</f>
        <v>0</v>
      </c>
      <c r="CZ154" s="36" t="n">
        <f aca="false">SUMIF($C$2:$F$2,EOMONTH(CZ$2,-1)+1,$C154:$F154)*VLOOKUP(CZ$2,ProyDia[],8,0)</f>
        <v>0</v>
      </c>
      <c r="DA154" s="36" t="n">
        <f aca="false">SUMIF($C$2:$F$2,EOMONTH(DA$2,-1)+1,$C154:$F154)*VLOOKUP(DA$2,ProyDia[],8,0)</f>
        <v>0</v>
      </c>
      <c r="DB154" s="36" t="n">
        <f aca="false">SUMIF($C$2:$F$2,EOMONTH(DB$2,-1)+1,$C154:$F154)*VLOOKUP(DB$2,ProyDia[],8,0)</f>
        <v>0</v>
      </c>
      <c r="DC154" s="36" t="n">
        <f aca="false">SUMIF($C$2:$F$2,EOMONTH(DC$2,-1)+1,$C154:$F154)*VLOOKUP(DC$2,ProyDia[],8,0)</f>
        <v>0</v>
      </c>
      <c r="DD154" s="36" t="n">
        <f aca="false">SUMIF($C$2:$F$2,EOMONTH(DD$2,-1)+1,$C154:$F154)*VLOOKUP(DD$2,ProyDia[],8,0)</f>
        <v>0</v>
      </c>
      <c r="DE154" s="36" t="n">
        <f aca="false">SUMIF($C$2:$F$2,EOMONTH(DE$2,-1)+1,$C154:$F154)*VLOOKUP(DE$2,ProyDia[],8,0)</f>
        <v>0</v>
      </c>
      <c r="DF154" s="36" t="n">
        <f aca="false">SUMIF($C$2:$F$2,EOMONTH(DF$2,-1)+1,$C154:$F154)*VLOOKUP(DF$2,ProyDia[],8,0)</f>
        <v>0</v>
      </c>
      <c r="DG154" s="36" t="n">
        <f aca="false">SUMIF($C$2:$F$2,EOMONTH(DG$2,-1)+1,$C154:$F154)*VLOOKUP(DG$2,ProyDia[],8,0)</f>
        <v>0</v>
      </c>
      <c r="DH154" s="36" t="n">
        <f aca="false">SUMIF($C$2:$F$2,EOMONTH(DH$2,-1)+1,$C154:$F154)*VLOOKUP(DH$2,ProyDia[],8,0)</f>
        <v>0</v>
      </c>
      <c r="DI154" s="36" t="n">
        <f aca="false">SUMIF($C$2:$F$2,EOMONTH(DI$2,-1)+1,$C154:$F154)*VLOOKUP(DI$2,ProyDia[],8,0)</f>
        <v>0</v>
      </c>
      <c r="DJ154" s="36" t="n">
        <f aca="false">SUMIF($C$2:$F$2,EOMONTH(DJ$2,-1)+1,$C154:$F154)*VLOOKUP(DJ$2,ProyDia[],8,0)</f>
        <v>0</v>
      </c>
      <c r="DK154" s="36" t="n">
        <f aca="false">SUMIF($C$2:$F$2,EOMONTH(DK$2,-1)+1,$C154:$F154)*VLOOKUP(DK$2,ProyDia[],8,0)</f>
        <v>0</v>
      </c>
      <c r="DL154" s="36" t="n">
        <f aca="false">SUMIF($C$2:$F$2,EOMONTH(DL$2,-1)+1,$C154:$F154)*VLOOKUP(DL$2,ProyDia[],8,0)</f>
        <v>0</v>
      </c>
      <c r="DM154" s="36" t="n">
        <f aca="false">SUMIF($C$2:$F$2,EOMONTH(DM$2,-1)+1,$C154:$F154)*VLOOKUP(DM$2,ProyDia[],8,0)</f>
        <v>0</v>
      </c>
      <c r="DN154" s="36" t="n">
        <f aca="false">SUMIF($C$2:$F$2,EOMONTH(DN$2,-1)+1,$C154:$F154)*VLOOKUP(DN$2,ProyDia[],8,0)</f>
        <v>0</v>
      </c>
      <c r="DO154" s="36" t="n">
        <f aca="false">SUMIF($C$2:$F$2,EOMONTH(DO$2,-1)+1,$C154:$F154)*VLOOKUP(DO$2,ProyDia[],8,0)</f>
        <v>0</v>
      </c>
      <c r="DP154" s="36" t="n">
        <f aca="false">SUMIF($C$2:$F$2,EOMONTH(DP$2,-1)+1,$C154:$F154)*VLOOKUP(DP$2,ProyDia[],8,0)</f>
        <v>0</v>
      </c>
      <c r="DQ154" s="36" t="n">
        <f aca="false">SUMIF($C$2:$F$2,EOMONTH(DQ$2,-1)+1,$C154:$F154)*VLOOKUP(DQ$2,ProyDia[],8,0)</f>
        <v>0</v>
      </c>
      <c r="DR154" s="36" t="n">
        <f aca="false">SUMIF($C$2:$F$2,EOMONTH(DR$2,-1)+1,$C154:$F154)*VLOOKUP(DR$2,ProyDia[],8,0)</f>
        <v>0</v>
      </c>
      <c r="DS154" s="36" t="n">
        <f aca="false">SUMIF($C$2:$F$2,EOMONTH(DS$2,-1)+1,$C154:$F154)*VLOOKUP(DS$2,ProyDia[],8,0)</f>
        <v>0</v>
      </c>
      <c r="DT154" s="36" t="n">
        <f aca="false">SUMIF($C$2:$F$2,EOMONTH(DT$2,-1)+1,$C154:$F154)*VLOOKUP(DT$2,ProyDia[],8,0)</f>
        <v>0</v>
      </c>
      <c r="DU154" s="36" t="n">
        <f aca="false">SUMIF($C$2:$F$2,EOMONTH(DU$2,-1)+1,$C154:$F154)*VLOOKUP(DU$2,ProyDia[],8,0)</f>
        <v>0</v>
      </c>
      <c r="DV154" s="36" t="n">
        <f aca="false">SUMIF($C$2:$F$2,EOMONTH(DV$2,-1)+1,$C154:$F154)*VLOOKUP(DV$2,ProyDia[],8,0)</f>
        <v>0</v>
      </c>
      <c r="DW154" s="36" t="n">
        <f aca="false">SUMIF($C$2:$F$2,EOMONTH(DW$2,-1)+1,$C154:$F154)*VLOOKUP(DW$2,ProyDia[],8,0)</f>
        <v>0</v>
      </c>
      <c r="DX154" s="36" t="n">
        <f aca="false">SUMIF($C$2:$F$2,EOMONTH(DX$2,-1)+1,$C154:$F154)*VLOOKUP(DX$2,ProyDia[],8,0)</f>
        <v>0</v>
      </c>
    </row>
    <row r="155" customFormat="false" ht="14.4" hidden="false" customHeight="false" outlineLevel="0" collapsed="false">
      <c r="A155" s="34"/>
      <c r="B155" s="34"/>
      <c r="C155" s="34"/>
      <c r="D155" s="34"/>
      <c r="E155" s="34"/>
      <c r="F155" s="34"/>
      <c r="G155" s="28" t="n">
        <f aca="false">SUMIF($C$2:$F$2,EOMONTH(G$2,-1)+1,$C155:$F155)*VLOOKUP(G$2,ProyDia[],8,0)</f>
        <v>0</v>
      </c>
      <c r="H155" s="28" t="n">
        <f aca="false">SUMIF($C$2:$F$2,EOMONTH(H$2,-1)+1,$C155:$F155)*VLOOKUP(H$2,ProyDia[],8,0)</f>
        <v>0</v>
      </c>
      <c r="I155" s="28" t="n">
        <f aca="false">SUMIF($C$2:$F$2,EOMONTH(I$2,-1)+1,$C155:$F155)*VLOOKUP(I$2,ProyDia[],8,0)</f>
        <v>0</v>
      </c>
      <c r="J155" s="28" t="n">
        <f aca="false">SUMIF($C$2:$F$2,EOMONTH(J$2,-1)+1,$C155:$F155)*VLOOKUP(J$2,ProyDia[],8,0)</f>
        <v>0</v>
      </c>
      <c r="K155" s="28" t="n">
        <f aca="false">SUMIF($C$2:$F$2,EOMONTH(K$2,-1)+1,$C155:$F155)*VLOOKUP(K$2,ProyDia[],8,0)</f>
        <v>0</v>
      </c>
      <c r="L155" s="28" t="n">
        <f aca="false">SUMIF($C$2:$F$2,EOMONTH(L$2,-1)+1,$C155:$F155)*VLOOKUP(L$2,ProyDia[],8,0)</f>
        <v>0</v>
      </c>
      <c r="M155" s="28" t="n">
        <f aca="false">SUMIF($C$2:$F$2,EOMONTH(M$2,-1)+1,$C155:$F155)*VLOOKUP(M$2,ProyDia[],8,0)</f>
        <v>0</v>
      </c>
      <c r="N155" s="28" t="n">
        <f aca="false">SUMIF($C$2:$F$2,EOMONTH(N$2,-1)+1,$C155:$F155)*VLOOKUP(N$2,ProyDia[],8,0)</f>
        <v>0</v>
      </c>
      <c r="O155" s="28" t="n">
        <f aca="false">SUMIF($C$2:$F$2,EOMONTH(O$2,-1)+1,$C155:$F155)*VLOOKUP(O$2,ProyDia[],8,0)</f>
        <v>0</v>
      </c>
      <c r="P155" s="28" t="n">
        <f aca="false">SUMIF($C$2:$F$2,EOMONTH(P$2,-1)+1,$C155:$F155)*VLOOKUP(P$2,ProyDia[],8,0)</f>
        <v>0</v>
      </c>
      <c r="Q155" s="28" t="n">
        <f aca="false">SUMIF($C$2:$F$2,EOMONTH(Q$2,-1)+1,$C155:$F155)*VLOOKUP(Q$2,ProyDia[],8,0)</f>
        <v>0</v>
      </c>
      <c r="R155" s="28" t="n">
        <f aca="false">SUMIF($C$2:$F$2,EOMONTH(R$2,-1)+1,$C155:$F155)*VLOOKUP(R$2,ProyDia[],8,0)</f>
        <v>0</v>
      </c>
      <c r="S155" s="28" t="n">
        <f aca="false">SUMIF($C$2:$F$2,EOMONTH(S$2,-1)+1,$C155:$F155)*VLOOKUP(S$2,ProyDia[],8,0)</f>
        <v>0</v>
      </c>
      <c r="T155" s="28" t="n">
        <f aca="false">SUMIF($C$2:$F$2,EOMONTH(T$2,-1)+1,$C155:$F155)*VLOOKUP(T$2,ProyDia[],8,0)</f>
        <v>0</v>
      </c>
      <c r="U155" s="28" t="n">
        <f aca="false">SUMIF($C$2:$F$2,EOMONTH(U$2,-1)+1,$C155:$F155)*VLOOKUP(U$2,ProyDia[],8,0)</f>
        <v>0</v>
      </c>
      <c r="V155" s="28" t="n">
        <f aca="false">SUMIF($C$2:$F$2,EOMONTH(V$2,-1)+1,$C155:$F155)*VLOOKUP(V$2,ProyDia[],8,0)</f>
        <v>0</v>
      </c>
      <c r="W155" s="28" t="n">
        <f aca="false">SUMIF($C$2:$F$2,EOMONTH(W$2,-1)+1,$C155:$F155)*VLOOKUP(W$2,ProyDia[],8,0)</f>
        <v>0</v>
      </c>
      <c r="X155" s="28" t="n">
        <f aca="false">SUMIF($C$2:$F$2,EOMONTH(X$2,-1)+1,$C155:$F155)*VLOOKUP(X$2,ProyDia[],8,0)</f>
        <v>0</v>
      </c>
      <c r="Y155" s="28" t="n">
        <f aca="false">SUMIF($C$2:$F$2,EOMONTH(Y$2,-1)+1,$C155:$F155)*VLOOKUP(Y$2,ProyDia[],8,0)</f>
        <v>0</v>
      </c>
      <c r="Z155" s="28" t="n">
        <f aca="false">SUMIF($C$2:$F$2,EOMONTH(Z$2,-1)+1,$C155:$F155)*VLOOKUP(Z$2,ProyDia[],8,0)</f>
        <v>0</v>
      </c>
      <c r="AA155" s="28" t="n">
        <f aca="false">SUMIF($C$2:$F$2,EOMONTH(AA$2,-1)+1,$C155:$F155)*VLOOKUP(AA$2,ProyDia[],8,0)</f>
        <v>0</v>
      </c>
      <c r="AB155" s="28" t="n">
        <f aca="false">SUMIF($C$2:$F$2,EOMONTH(AB$2,-1)+1,$C155:$F155)*VLOOKUP(AB$2,ProyDia[],8,0)</f>
        <v>0</v>
      </c>
      <c r="AC155" s="28" t="n">
        <f aca="false">SUMIF($C$2:$F$2,EOMONTH(AC$2,-1)+1,$C155:$F155)*VLOOKUP(AC$2,ProyDia[],8,0)</f>
        <v>0</v>
      </c>
      <c r="AD155" s="28" t="n">
        <f aca="false">SUMIF($C$2:$F$2,EOMONTH(AD$2,-1)+1,$C155:$F155)*VLOOKUP(AD$2,ProyDia[],8,0)</f>
        <v>0</v>
      </c>
      <c r="AE155" s="28" t="n">
        <f aca="false">SUMIF($C$2:$F$2,EOMONTH(AE$2,-1)+1,$C155:$F155)*VLOOKUP(AE$2,ProyDia[],8,0)</f>
        <v>0</v>
      </c>
      <c r="AF155" s="28" t="n">
        <f aca="false">SUMIF($C$2:$F$2,EOMONTH(AF$2,-1)+1,$C155:$F155)*VLOOKUP(AF$2,ProyDia[],8,0)</f>
        <v>0</v>
      </c>
      <c r="AG155" s="28" t="n">
        <f aca="false">SUMIF($C$2:$F$2,EOMONTH(AG$2,-1)+1,$C155:$F155)*VLOOKUP(AG$2,ProyDia[],8,0)</f>
        <v>0</v>
      </c>
      <c r="AH155" s="28" t="n">
        <f aca="false">SUMIF($C$2:$F$2,EOMONTH(AH$2,-1)+1,$C155:$F155)*VLOOKUP(AH$2,ProyDia[],8,0)</f>
        <v>0</v>
      </c>
      <c r="AI155" s="28" t="n">
        <f aca="false">SUMIF($C$2:$F$2,EOMONTH(AI$2,-1)+1,$C155:$F155)*VLOOKUP(AI$2,ProyDia[],8,0)</f>
        <v>0</v>
      </c>
      <c r="AJ155" s="28" t="n">
        <f aca="false">SUMIF($C$2:$F$2,EOMONTH(AJ$2,-1)+1,$C155:$F155)*VLOOKUP(AJ$2,ProyDia[],8,0)</f>
        <v>0</v>
      </c>
      <c r="AK155" s="28" t="n">
        <f aca="false">SUMIF($C$2:$F$2,EOMONTH(AK$2,-1)+1,$C155:$F155)*VLOOKUP(AK$2,ProyDia[],8,0)</f>
        <v>0</v>
      </c>
      <c r="AL155" s="28" t="n">
        <f aca="false">SUMIF($C$2:$F$2,EOMONTH(AL$2,-1)+1,$C155:$F155)*VLOOKUP(AL$2,ProyDia[],8,0)</f>
        <v>0</v>
      </c>
      <c r="AM155" s="28" t="n">
        <f aca="false">SUMIF($C$2:$F$2,EOMONTH(AM$2,-1)+1,$C155:$F155)*VLOOKUP(AM$2,ProyDia[],8,0)</f>
        <v>0</v>
      </c>
      <c r="AN155" s="28" t="n">
        <f aca="false">SUMIF($C$2:$F$2,EOMONTH(AN$2,-1)+1,$C155:$F155)*VLOOKUP(AN$2,ProyDia[],8,0)</f>
        <v>0</v>
      </c>
      <c r="AO155" s="28" t="n">
        <f aca="false">SUMIF($C$2:$F$2,EOMONTH(AO$2,-1)+1,$C155:$F155)*VLOOKUP(AO$2,ProyDia[],8,0)</f>
        <v>0</v>
      </c>
      <c r="AP155" s="28" t="n">
        <f aca="false">SUMIF($C$2:$F$2,EOMONTH(AP$2,-1)+1,$C155:$F155)*VLOOKUP(AP$2,ProyDia[],8,0)</f>
        <v>0</v>
      </c>
      <c r="AQ155" s="28" t="n">
        <f aca="false">SUMIF($C$2:$F$2,EOMONTH(AQ$2,-1)+1,$C155:$F155)*VLOOKUP(AQ$2,ProyDia[],8,0)</f>
        <v>0</v>
      </c>
      <c r="AR155" s="28" t="n">
        <f aca="false">SUMIF($C$2:$F$2,EOMONTH(AR$2,-1)+1,$C155:$F155)*VLOOKUP(AR$2,ProyDia[],8,0)</f>
        <v>0</v>
      </c>
      <c r="AS155" s="28" t="n">
        <f aca="false">SUMIF($C$2:$F$2,EOMONTH(AS$2,-1)+1,$C155:$F155)*VLOOKUP(AS$2,ProyDia[],8,0)</f>
        <v>0</v>
      </c>
      <c r="AT155" s="28" t="n">
        <f aca="false">SUMIF($C$2:$F$2,EOMONTH(AT$2,-1)+1,$C155:$F155)*VLOOKUP(AT$2,ProyDia[],8,0)</f>
        <v>0</v>
      </c>
      <c r="AU155" s="28" t="n">
        <f aca="false">SUMIF($C$2:$F$2,EOMONTH(AU$2,-1)+1,$C155:$F155)*VLOOKUP(AU$2,ProyDia[],8,0)</f>
        <v>0</v>
      </c>
      <c r="AV155" s="28" t="n">
        <f aca="false">SUMIF($C$2:$F$2,EOMONTH(AV$2,-1)+1,$C155:$F155)*VLOOKUP(AV$2,ProyDia[],8,0)</f>
        <v>0</v>
      </c>
      <c r="AW155" s="28" t="n">
        <f aca="false">SUMIF($C$2:$F$2,EOMONTH(AW$2,-1)+1,$C155:$F155)*VLOOKUP(AW$2,ProyDia[],8,0)</f>
        <v>0</v>
      </c>
      <c r="AX155" s="28" t="n">
        <f aca="false">SUMIF($C$2:$F$2,EOMONTH(AX$2,-1)+1,$C155:$F155)*VLOOKUP(AX$2,ProyDia[],8,0)</f>
        <v>0</v>
      </c>
      <c r="AY155" s="28" t="n">
        <f aca="false">SUMIF($C$2:$F$2,EOMONTH(AY$2,-1)+1,$C155:$F155)*VLOOKUP(AY$2,ProyDia[],8,0)</f>
        <v>0</v>
      </c>
      <c r="AZ155" s="28" t="n">
        <f aca="false">SUMIF($C$2:$F$2,EOMONTH(AZ$2,-1)+1,$C155:$F155)*VLOOKUP(AZ$2,ProyDia[],8,0)</f>
        <v>0</v>
      </c>
      <c r="BA155" s="28" t="n">
        <f aca="false">SUMIF($C$2:$F$2,EOMONTH(BA$2,-1)+1,$C155:$F155)*VLOOKUP(BA$2,ProyDia[],8,0)</f>
        <v>0</v>
      </c>
      <c r="BB155" s="28" t="n">
        <f aca="false">SUMIF($C$2:$F$2,EOMONTH(BB$2,-1)+1,$C155:$F155)*VLOOKUP(BB$2,ProyDia[],8,0)</f>
        <v>0</v>
      </c>
      <c r="BC155" s="28" t="n">
        <f aca="false">SUMIF($C$2:$F$2,EOMONTH(BC$2,-1)+1,$C155:$F155)*VLOOKUP(BC$2,ProyDia[],8,0)</f>
        <v>0</v>
      </c>
      <c r="BD155" s="28" t="n">
        <f aca="false">SUMIF($C$2:$F$2,EOMONTH(BD$2,-1)+1,$C155:$F155)*VLOOKUP(BD$2,ProyDia[],8,0)</f>
        <v>0</v>
      </c>
      <c r="BE155" s="28" t="n">
        <f aca="false">SUMIF($C$2:$F$2,EOMONTH(BE$2,-1)+1,$C155:$F155)*VLOOKUP(BE$2,ProyDia[],8,0)</f>
        <v>0</v>
      </c>
      <c r="BF155" s="28" t="n">
        <f aca="false">SUMIF($C$2:$F$2,EOMONTH(BF$2,-1)+1,$C155:$F155)*VLOOKUP(BF$2,ProyDia[],8,0)</f>
        <v>0</v>
      </c>
      <c r="BG155" s="28" t="n">
        <f aca="false">SUMIF($C$2:$F$2,EOMONTH(BG$2,-1)+1,$C155:$F155)*VLOOKUP(BG$2,ProyDia[],8,0)</f>
        <v>0</v>
      </c>
      <c r="BH155" s="28" t="n">
        <f aca="false">SUMIF($C$2:$F$2,EOMONTH(BH$2,-1)+1,$C155:$F155)*VLOOKUP(BH$2,ProyDia[],8,0)</f>
        <v>0</v>
      </c>
      <c r="BI155" s="28" t="n">
        <f aca="false">SUMIF($C$2:$F$2,EOMONTH(BI$2,-1)+1,$C155:$F155)*VLOOKUP(BI$2,ProyDia[],8,0)</f>
        <v>0</v>
      </c>
      <c r="BJ155" s="28" t="n">
        <f aca="false">SUMIF($C$2:$F$2,EOMONTH(BJ$2,-1)+1,$C155:$F155)*VLOOKUP(BJ$2,ProyDia[],8,0)</f>
        <v>0</v>
      </c>
      <c r="BK155" s="28" t="n">
        <f aca="false">SUMIF($C$2:$F$2,EOMONTH(BK$2,-1)+1,$C155:$F155)*VLOOKUP(BK$2,ProyDia[],8,0)</f>
        <v>0</v>
      </c>
      <c r="BL155" s="28" t="n">
        <f aca="false">SUMIF($C$2:$F$2,EOMONTH(BL$2,-1)+1,$C155:$F155)*VLOOKUP(BL$2,ProyDia[],8,0)</f>
        <v>0</v>
      </c>
      <c r="BM155" s="28" t="n">
        <f aca="false">SUMIF($C$2:$F$2,EOMONTH(BM$2,-1)+1,$C155:$F155)*VLOOKUP(BM$2,ProyDia[],8,0)</f>
        <v>0</v>
      </c>
      <c r="BN155" s="28" t="n">
        <f aca="false">SUMIF($C$2:$F$2,EOMONTH(BN$2,-1)+1,$C155:$F155)*VLOOKUP(BN$2,ProyDia[],8,0)</f>
        <v>0</v>
      </c>
      <c r="BO155" s="28" t="n">
        <f aca="false">SUMIF($C$2:$F$2,EOMONTH(BO$2,-1)+1,$C155:$F155)*VLOOKUP(BO$2,ProyDia[],8,0)</f>
        <v>0</v>
      </c>
      <c r="BP155" s="28" t="n">
        <f aca="false">SUMIF($C$2:$F$2,EOMONTH(BP$2,-1)+1,$C155:$F155)*VLOOKUP(BP$2,ProyDia[],8,0)</f>
        <v>0</v>
      </c>
      <c r="BQ155" s="28" t="n">
        <f aca="false">SUMIF($C$2:$F$2,EOMONTH(BQ$2,-1)+1,$C155:$F155)*VLOOKUP(BQ$2,ProyDia[],8,0)</f>
        <v>0</v>
      </c>
      <c r="BR155" s="28" t="n">
        <f aca="false">SUMIF($C$2:$F$2,EOMONTH(BR$2,-1)+1,$C155:$F155)*VLOOKUP(BR$2,ProyDia[],8,0)</f>
        <v>0</v>
      </c>
      <c r="BS155" s="28" t="n">
        <f aca="false">SUMIF($C$2:$F$2,EOMONTH(BS$2,-1)+1,$C155:$F155)*VLOOKUP(BS$2,ProyDia[],8,0)</f>
        <v>0</v>
      </c>
      <c r="BT155" s="28" t="n">
        <f aca="false">SUMIF($C$2:$F$2,EOMONTH(BT$2,-1)+1,$C155:$F155)*VLOOKUP(BT$2,ProyDia[],8,0)</f>
        <v>0</v>
      </c>
      <c r="BU155" s="28" t="n">
        <f aca="false">SUMIF($C$2:$F$2,EOMONTH(BU$2,-1)+1,$C155:$F155)*VLOOKUP(BU$2,ProyDia[],8,0)</f>
        <v>0</v>
      </c>
      <c r="BV155" s="28" t="n">
        <f aca="false">SUMIF($C$2:$F$2,EOMONTH(BV$2,-1)+1,$C155:$F155)*VLOOKUP(BV$2,ProyDia[],8,0)</f>
        <v>0</v>
      </c>
      <c r="BW155" s="28" t="n">
        <f aca="false">SUMIF($C$2:$F$2,EOMONTH(BW$2,-1)+1,$C155:$F155)*VLOOKUP(BW$2,ProyDia[],8,0)</f>
        <v>0</v>
      </c>
      <c r="BX155" s="28" t="n">
        <f aca="false">SUMIF($C$2:$F$2,EOMONTH(BX$2,-1)+1,$C155:$F155)*VLOOKUP(BX$2,ProyDia[],8,0)</f>
        <v>0</v>
      </c>
      <c r="BY155" s="28" t="n">
        <f aca="false">SUMIF($C$2:$F$2,EOMONTH(BY$2,-1)+1,$C155:$F155)*VLOOKUP(BY$2,ProyDia[],8,0)</f>
        <v>0</v>
      </c>
      <c r="BZ155" s="28" t="n">
        <f aca="false">SUMIF($C$2:$F$2,EOMONTH(BZ$2,-1)+1,$C155:$F155)*VLOOKUP(BZ$2,ProyDia[],8,0)</f>
        <v>0</v>
      </c>
      <c r="CA155" s="28" t="n">
        <f aca="false">SUMIF($C$2:$F$2,EOMONTH(CA$2,-1)+1,$C155:$F155)*VLOOKUP(CA$2,ProyDia[],8,0)</f>
        <v>0</v>
      </c>
      <c r="CB155" s="28" t="n">
        <f aca="false">SUMIF($C$2:$F$2,EOMONTH(CB$2,-1)+1,$C155:$F155)*VLOOKUP(CB$2,ProyDia[],8,0)</f>
        <v>0</v>
      </c>
      <c r="CC155" s="28" t="n">
        <f aca="false">SUMIF($C$2:$F$2,EOMONTH(CC$2,-1)+1,$C155:$F155)*VLOOKUP(CC$2,ProyDia[],8,0)</f>
        <v>0</v>
      </c>
      <c r="CD155" s="28" t="n">
        <f aca="false">SUMIF($C$2:$F$2,EOMONTH(CD$2,-1)+1,$C155:$F155)*VLOOKUP(CD$2,ProyDia[],8,0)</f>
        <v>0</v>
      </c>
      <c r="CE155" s="28" t="n">
        <f aca="false">SUMIF($C$2:$F$2,EOMONTH(CE$2,-1)+1,$C155:$F155)*VLOOKUP(CE$2,ProyDia[],8,0)</f>
        <v>0</v>
      </c>
      <c r="CF155" s="28" t="n">
        <f aca="false">SUMIF($C$2:$F$2,EOMONTH(CF$2,-1)+1,$C155:$F155)*VLOOKUP(CF$2,ProyDia[],8,0)</f>
        <v>0</v>
      </c>
      <c r="CG155" s="28" t="n">
        <f aca="false">SUMIF($C$2:$F$2,EOMONTH(CG$2,-1)+1,$C155:$F155)*VLOOKUP(CG$2,ProyDia[],8,0)</f>
        <v>0</v>
      </c>
      <c r="CH155" s="28" t="n">
        <f aca="false">SUMIF($C$2:$F$2,EOMONTH(CH$2,-1)+1,$C155:$F155)*VLOOKUP(CH$2,ProyDia[],8,0)</f>
        <v>0</v>
      </c>
      <c r="CI155" s="28" t="n">
        <f aca="false">SUMIF($C$2:$F$2,EOMONTH(CI$2,-1)+1,$C155:$F155)*VLOOKUP(CI$2,ProyDia[],8,0)</f>
        <v>0</v>
      </c>
      <c r="CJ155" s="28" t="n">
        <f aca="false">SUMIF($C$2:$F$2,EOMONTH(CJ$2,-1)+1,$C155:$F155)*VLOOKUP(CJ$2,ProyDia[],8,0)</f>
        <v>0</v>
      </c>
      <c r="CK155" s="28" t="n">
        <f aca="false">SUMIF($C$2:$F$2,EOMONTH(CK$2,-1)+1,$C155:$F155)*VLOOKUP(CK$2,ProyDia[],8,0)</f>
        <v>0</v>
      </c>
      <c r="CL155" s="28" t="n">
        <f aca="false">SUMIF($C$2:$F$2,EOMONTH(CL$2,-1)+1,$C155:$F155)*VLOOKUP(CL$2,ProyDia[],8,0)</f>
        <v>0</v>
      </c>
      <c r="CM155" s="28" t="n">
        <f aca="false">SUMIF($C$2:$F$2,EOMONTH(CM$2,-1)+1,$C155:$F155)*VLOOKUP(CM$2,ProyDia[],8,0)</f>
        <v>0</v>
      </c>
      <c r="CN155" s="28" t="n">
        <f aca="false">SUMIF($C$2:$F$2,EOMONTH(CN$2,-1)+1,$C155:$F155)*VLOOKUP(CN$2,ProyDia[],8,0)</f>
        <v>0</v>
      </c>
      <c r="CO155" s="28" t="n">
        <f aca="false">SUMIF($C$2:$F$2,EOMONTH(CO$2,-1)+1,$C155:$F155)*VLOOKUP(CO$2,ProyDia[],8,0)</f>
        <v>0</v>
      </c>
      <c r="CP155" s="28" t="n">
        <f aca="false">SUMIF($C$2:$F$2,EOMONTH(CP$2,-1)+1,$C155:$F155)*VLOOKUP(CP$2,ProyDia[],8,0)</f>
        <v>0</v>
      </c>
      <c r="CQ155" s="28" t="n">
        <f aca="false">SUMIF($C$2:$F$2,EOMONTH(CQ$2,-1)+1,$C155:$F155)*VLOOKUP(CQ$2,ProyDia[],8,0)</f>
        <v>0</v>
      </c>
      <c r="CR155" s="28" t="n">
        <f aca="false">SUMIF($C$2:$F$2,EOMONTH(CR$2,-1)+1,$C155:$F155)*VLOOKUP(CR$2,ProyDia[],8,0)</f>
        <v>0</v>
      </c>
      <c r="CS155" s="28" t="n">
        <f aca="false">SUMIF($C$2:$F$2,EOMONTH(CS$2,-1)+1,$C155:$F155)*VLOOKUP(CS$2,ProyDia[],8,0)</f>
        <v>0</v>
      </c>
      <c r="CT155" s="28" t="n">
        <f aca="false">SUMIF($C$2:$F$2,EOMONTH(CT$2,-1)+1,$C155:$F155)*VLOOKUP(CT$2,ProyDia[],8,0)</f>
        <v>0</v>
      </c>
      <c r="CU155" s="28" t="n">
        <f aca="false">SUMIF($C$2:$F$2,EOMONTH(CU$2,-1)+1,$C155:$F155)*VLOOKUP(CU$2,ProyDia[],8,0)</f>
        <v>0</v>
      </c>
      <c r="CV155" s="28" t="n">
        <f aca="false">SUMIF($C$2:$F$2,EOMONTH(CV$2,-1)+1,$C155:$F155)*VLOOKUP(CV$2,ProyDia[],8,0)</f>
        <v>0</v>
      </c>
      <c r="CW155" s="28" t="n">
        <f aca="false">SUMIF($C$2:$F$2,EOMONTH(CW$2,-1)+1,$C155:$F155)*VLOOKUP(CW$2,ProyDia[],8,0)</f>
        <v>0</v>
      </c>
      <c r="CX155" s="28" t="n">
        <f aca="false">SUMIF($C$2:$F$2,EOMONTH(CX$2,-1)+1,$C155:$F155)*VLOOKUP(CX$2,ProyDia[],8,0)</f>
        <v>0</v>
      </c>
      <c r="CY155" s="28" t="n">
        <f aca="false">SUMIF($C$2:$F$2,EOMONTH(CY$2,-1)+1,$C155:$F155)*VLOOKUP(CY$2,ProyDia[],8,0)</f>
        <v>0</v>
      </c>
      <c r="CZ155" s="28" t="n">
        <f aca="false">SUMIF($C$2:$F$2,EOMONTH(CZ$2,-1)+1,$C155:$F155)*VLOOKUP(CZ$2,ProyDia[],8,0)</f>
        <v>0</v>
      </c>
      <c r="DA155" s="28" t="n">
        <f aca="false">SUMIF($C$2:$F$2,EOMONTH(DA$2,-1)+1,$C155:$F155)*VLOOKUP(DA$2,ProyDia[],8,0)</f>
        <v>0</v>
      </c>
      <c r="DB155" s="28" t="n">
        <f aca="false">SUMIF($C$2:$F$2,EOMONTH(DB$2,-1)+1,$C155:$F155)*VLOOKUP(DB$2,ProyDia[],8,0)</f>
        <v>0</v>
      </c>
      <c r="DC155" s="28" t="n">
        <f aca="false">SUMIF($C$2:$F$2,EOMONTH(DC$2,-1)+1,$C155:$F155)*VLOOKUP(DC$2,ProyDia[],8,0)</f>
        <v>0</v>
      </c>
      <c r="DD155" s="28" t="n">
        <f aca="false">SUMIF($C$2:$F$2,EOMONTH(DD$2,-1)+1,$C155:$F155)*VLOOKUP(DD$2,ProyDia[],8,0)</f>
        <v>0</v>
      </c>
      <c r="DE155" s="28" t="n">
        <f aca="false">SUMIF($C$2:$F$2,EOMONTH(DE$2,-1)+1,$C155:$F155)*VLOOKUP(DE$2,ProyDia[],8,0)</f>
        <v>0</v>
      </c>
      <c r="DF155" s="28" t="n">
        <f aca="false">SUMIF($C$2:$F$2,EOMONTH(DF$2,-1)+1,$C155:$F155)*VLOOKUP(DF$2,ProyDia[],8,0)</f>
        <v>0</v>
      </c>
      <c r="DG155" s="28" t="n">
        <f aca="false">SUMIF($C$2:$F$2,EOMONTH(DG$2,-1)+1,$C155:$F155)*VLOOKUP(DG$2,ProyDia[],8,0)</f>
        <v>0</v>
      </c>
      <c r="DH155" s="28" t="n">
        <f aca="false">SUMIF($C$2:$F$2,EOMONTH(DH$2,-1)+1,$C155:$F155)*VLOOKUP(DH$2,ProyDia[],8,0)</f>
        <v>0</v>
      </c>
      <c r="DI155" s="28" t="n">
        <f aca="false">SUMIF($C$2:$F$2,EOMONTH(DI$2,-1)+1,$C155:$F155)*VLOOKUP(DI$2,ProyDia[],8,0)</f>
        <v>0</v>
      </c>
      <c r="DJ155" s="28" t="n">
        <f aca="false">SUMIF($C$2:$F$2,EOMONTH(DJ$2,-1)+1,$C155:$F155)*VLOOKUP(DJ$2,ProyDia[],8,0)</f>
        <v>0</v>
      </c>
      <c r="DK155" s="28" t="n">
        <f aca="false">SUMIF($C$2:$F$2,EOMONTH(DK$2,-1)+1,$C155:$F155)*VLOOKUP(DK$2,ProyDia[],8,0)</f>
        <v>0</v>
      </c>
      <c r="DL155" s="28" t="n">
        <f aca="false">SUMIF($C$2:$F$2,EOMONTH(DL$2,-1)+1,$C155:$F155)*VLOOKUP(DL$2,ProyDia[],8,0)</f>
        <v>0</v>
      </c>
      <c r="DM155" s="28" t="n">
        <f aca="false">SUMIF($C$2:$F$2,EOMONTH(DM$2,-1)+1,$C155:$F155)*VLOOKUP(DM$2,ProyDia[],8,0)</f>
        <v>0</v>
      </c>
      <c r="DN155" s="28" t="n">
        <f aca="false">SUMIF($C$2:$F$2,EOMONTH(DN$2,-1)+1,$C155:$F155)*VLOOKUP(DN$2,ProyDia[],8,0)</f>
        <v>0</v>
      </c>
      <c r="DO155" s="28" t="n">
        <f aca="false">SUMIF($C$2:$F$2,EOMONTH(DO$2,-1)+1,$C155:$F155)*VLOOKUP(DO$2,ProyDia[],8,0)</f>
        <v>0</v>
      </c>
      <c r="DP155" s="28" t="n">
        <f aca="false">SUMIF($C$2:$F$2,EOMONTH(DP$2,-1)+1,$C155:$F155)*VLOOKUP(DP$2,ProyDia[],8,0)</f>
        <v>0</v>
      </c>
      <c r="DQ155" s="28" t="n">
        <f aca="false">SUMIF($C$2:$F$2,EOMONTH(DQ$2,-1)+1,$C155:$F155)*VLOOKUP(DQ$2,ProyDia[],8,0)</f>
        <v>0</v>
      </c>
      <c r="DR155" s="28" t="n">
        <f aca="false">SUMIF($C$2:$F$2,EOMONTH(DR$2,-1)+1,$C155:$F155)*VLOOKUP(DR$2,ProyDia[],8,0)</f>
        <v>0</v>
      </c>
      <c r="DS155" s="28" t="n">
        <f aca="false">SUMIF($C$2:$F$2,EOMONTH(DS$2,-1)+1,$C155:$F155)*VLOOKUP(DS$2,ProyDia[],8,0)</f>
        <v>0</v>
      </c>
      <c r="DT155" s="28" t="n">
        <f aca="false">SUMIF($C$2:$F$2,EOMONTH(DT$2,-1)+1,$C155:$F155)*VLOOKUP(DT$2,ProyDia[],8,0)</f>
        <v>0</v>
      </c>
      <c r="DU155" s="28" t="n">
        <f aca="false">SUMIF($C$2:$F$2,EOMONTH(DU$2,-1)+1,$C155:$F155)*VLOOKUP(DU$2,ProyDia[],8,0)</f>
        <v>0</v>
      </c>
      <c r="DV155" s="28" t="n">
        <f aca="false">SUMIF($C$2:$F$2,EOMONTH(DV$2,-1)+1,$C155:$F155)*VLOOKUP(DV$2,ProyDia[],8,0)</f>
        <v>0</v>
      </c>
      <c r="DW155" s="28" t="n">
        <f aca="false">SUMIF($C$2:$F$2,EOMONTH(DW$2,-1)+1,$C155:$F155)*VLOOKUP(DW$2,ProyDia[],8,0)</f>
        <v>0</v>
      </c>
      <c r="DX155" s="28" t="n">
        <f aca="false">SUMIF($C$2:$F$2,EOMONTH(DX$2,-1)+1,$C155:$F155)*VLOOKUP(DX$2,ProyDia[],8,0)</f>
        <v>0</v>
      </c>
    </row>
    <row r="156" customFormat="false" ht="14.4" hidden="false" customHeight="false" outlineLevel="0" collapsed="false">
      <c r="A156" s="35"/>
      <c r="B156" s="35"/>
      <c r="C156" s="35"/>
      <c r="D156" s="35"/>
      <c r="E156" s="35"/>
      <c r="F156" s="35"/>
      <c r="G156" s="36" t="n">
        <f aca="false">SUMIF($C$2:$F$2,EOMONTH(G$2,-1)+1,$C156:$F156)*VLOOKUP(G$2,ProyDia[],8,0)</f>
        <v>0</v>
      </c>
      <c r="H156" s="36" t="n">
        <f aca="false">SUMIF($C$2:$F$2,EOMONTH(H$2,-1)+1,$C156:$F156)*VLOOKUP(H$2,ProyDia[],8,0)</f>
        <v>0</v>
      </c>
      <c r="I156" s="36" t="n">
        <f aca="false">SUMIF($C$2:$F$2,EOMONTH(I$2,-1)+1,$C156:$F156)*VLOOKUP(I$2,ProyDia[],8,0)</f>
        <v>0</v>
      </c>
      <c r="J156" s="36" t="n">
        <f aca="false">SUMIF($C$2:$F$2,EOMONTH(J$2,-1)+1,$C156:$F156)*VLOOKUP(J$2,ProyDia[],8,0)</f>
        <v>0</v>
      </c>
      <c r="K156" s="36" t="n">
        <f aca="false">SUMIF($C$2:$F$2,EOMONTH(K$2,-1)+1,$C156:$F156)*VLOOKUP(K$2,ProyDia[],8,0)</f>
        <v>0</v>
      </c>
      <c r="L156" s="36" t="n">
        <f aca="false">SUMIF($C$2:$F$2,EOMONTH(L$2,-1)+1,$C156:$F156)*VLOOKUP(L$2,ProyDia[],8,0)</f>
        <v>0</v>
      </c>
      <c r="M156" s="36" t="n">
        <f aca="false">SUMIF($C$2:$F$2,EOMONTH(M$2,-1)+1,$C156:$F156)*VLOOKUP(M$2,ProyDia[],8,0)</f>
        <v>0</v>
      </c>
      <c r="N156" s="36" t="n">
        <f aca="false">SUMIF($C$2:$F$2,EOMONTH(N$2,-1)+1,$C156:$F156)*VLOOKUP(N$2,ProyDia[],8,0)</f>
        <v>0</v>
      </c>
      <c r="O156" s="36" t="n">
        <f aca="false">SUMIF($C$2:$F$2,EOMONTH(O$2,-1)+1,$C156:$F156)*VLOOKUP(O$2,ProyDia[],8,0)</f>
        <v>0</v>
      </c>
      <c r="P156" s="36" t="n">
        <f aca="false">SUMIF($C$2:$F$2,EOMONTH(P$2,-1)+1,$C156:$F156)*VLOOKUP(P$2,ProyDia[],8,0)</f>
        <v>0</v>
      </c>
      <c r="Q156" s="36" t="n">
        <f aca="false">SUMIF($C$2:$F$2,EOMONTH(Q$2,-1)+1,$C156:$F156)*VLOOKUP(Q$2,ProyDia[],8,0)</f>
        <v>0</v>
      </c>
      <c r="R156" s="36" t="n">
        <f aca="false">SUMIF($C$2:$F$2,EOMONTH(R$2,-1)+1,$C156:$F156)*VLOOKUP(R$2,ProyDia[],8,0)</f>
        <v>0</v>
      </c>
      <c r="S156" s="36" t="n">
        <f aca="false">SUMIF($C$2:$F$2,EOMONTH(S$2,-1)+1,$C156:$F156)*VLOOKUP(S$2,ProyDia[],8,0)</f>
        <v>0</v>
      </c>
      <c r="T156" s="36" t="n">
        <f aca="false">SUMIF($C$2:$F$2,EOMONTH(T$2,-1)+1,$C156:$F156)*VLOOKUP(T$2,ProyDia[],8,0)</f>
        <v>0</v>
      </c>
      <c r="U156" s="36" t="n">
        <f aca="false">SUMIF($C$2:$F$2,EOMONTH(U$2,-1)+1,$C156:$F156)*VLOOKUP(U$2,ProyDia[],8,0)</f>
        <v>0</v>
      </c>
      <c r="V156" s="36" t="n">
        <f aca="false">SUMIF($C$2:$F$2,EOMONTH(V$2,-1)+1,$C156:$F156)*VLOOKUP(V$2,ProyDia[],8,0)</f>
        <v>0</v>
      </c>
      <c r="W156" s="36" t="n">
        <f aca="false">SUMIF($C$2:$F$2,EOMONTH(W$2,-1)+1,$C156:$F156)*VLOOKUP(W$2,ProyDia[],8,0)</f>
        <v>0</v>
      </c>
      <c r="X156" s="36" t="n">
        <f aca="false">SUMIF($C$2:$F$2,EOMONTH(X$2,-1)+1,$C156:$F156)*VLOOKUP(X$2,ProyDia[],8,0)</f>
        <v>0</v>
      </c>
      <c r="Y156" s="36" t="n">
        <f aca="false">SUMIF($C$2:$F$2,EOMONTH(Y$2,-1)+1,$C156:$F156)*VLOOKUP(Y$2,ProyDia[],8,0)</f>
        <v>0</v>
      </c>
      <c r="Z156" s="36" t="n">
        <f aca="false">SUMIF($C$2:$F$2,EOMONTH(Z$2,-1)+1,$C156:$F156)*VLOOKUP(Z$2,ProyDia[],8,0)</f>
        <v>0</v>
      </c>
      <c r="AA156" s="36" t="n">
        <f aca="false">SUMIF($C$2:$F$2,EOMONTH(AA$2,-1)+1,$C156:$F156)*VLOOKUP(AA$2,ProyDia[],8,0)</f>
        <v>0</v>
      </c>
      <c r="AB156" s="36" t="n">
        <f aca="false">SUMIF($C$2:$F$2,EOMONTH(AB$2,-1)+1,$C156:$F156)*VLOOKUP(AB$2,ProyDia[],8,0)</f>
        <v>0</v>
      </c>
      <c r="AC156" s="36" t="n">
        <f aca="false">SUMIF($C$2:$F$2,EOMONTH(AC$2,-1)+1,$C156:$F156)*VLOOKUP(AC$2,ProyDia[],8,0)</f>
        <v>0</v>
      </c>
      <c r="AD156" s="36" t="n">
        <f aca="false">SUMIF($C$2:$F$2,EOMONTH(AD$2,-1)+1,$C156:$F156)*VLOOKUP(AD$2,ProyDia[],8,0)</f>
        <v>0</v>
      </c>
      <c r="AE156" s="36" t="n">
        <f aca="false">SUMIF($C$2:$F$2,EOMONTH(AE$2,-1)+1,$C156:$F156)*VLOOKUP(AE$2,ProyDia[],8,0)</f>
        <v>0</v>
      </c>
      <c r="AF156" s="36" t="n">
        <f aca="false">SUMIF($C$2:$F$2,EOMONTH(AF$2,-1)+1,$C156:$F156)*VLOOKUP(AF$2,ProyDia[],8,0)</f>
        <v>0</v>
      </c>
      <c r="AG156" s="36" t="n">
        <f aca="false">SUMIF($C$2:$F$2,EOMONTH(AG$2,-1)+1,$C156:$F156)*VLOOKUP(AG$2,ProyDia[],8,0)</f>
        <v>0</v>
      </c>
      <c r="AH156" s="36" t="n">
        <f aca="false">SUMIF($C$2:$F$2,EOMONTH(AH$2,-1)+1,$C156:$F156)*VLOOKUP(AH$2,ProyDia[],8,0)</f>
        <v>0</v>
      </c>
      <c r="AI156" s="36" t="n">
        <f aca="false">SUMIF($C$2:$F$2,EOMONTH(AI$2,-1)+1,$C156:$F156)*VLOOKUP(AI$2,ProyDia[],8,0)</f>
        <v>0</v>
      </c>
      <c r="AJ156" s="36" t="n">
        <f aca="false">SUMIF($C$2:$F$2,EOMONTH(AJ$2,-1)+1,$C156:$F156)*VLOOKUP(AJ$2,ProyDia[],8,0)</f>
        <v>0</v>
      </c>
      <c r="AK156" s="36" t="n">
        <f aca="false">SUMIF($C$2:$F$2,EOMONTH(AK$2,-1)+1,$C156:$F156)*VLOOKUP(AK$2,ProyDia[],8,0)</f>
        <v>0</v>
      </c>
      <c r="AL156" s="36" t="n">
        <f aca="false">SUMIF($C$2:$F$2,EOMONTH(AL$2,-1)+1,$C156:$F156)*VLOOKUP(AL$2,ProyDia[],8,0)</f>
        <v>0</v>
      </c>
      <c r="AM156" s="36" t="n">
        <f aca="false">SUMIF($C$2:$F$2,EOMONTH(AM$2,-1)+1,$C156:$F156)*VLOOKUP(AM$2,ProyDia[],8,0)</f>
        <v>0</v>
      </c>
      <c r="AN156" s="36" t="n">
        <f aca="false">SUMIF($C$2:$F$2,EOMONTH(AN$2,-1)+1,$C156:$F156)*VLOOKUP(AN$2,ProyDia[],8,0)</f>
        <v>0</v>
      </c>
      <c r="AO156" s="36" t="n">
        <f aca="false">SUMIF($C$2:$F$2,EOMONTH(AO$2,-1)+1,$C156:$F156)*VLOOKUP(AO$2,ProyDia[],8,0)</f>
        <v>0</v>
      </c>
      <c r="AP156" s="36" t="n">
        <f aca="false">SUMIF($C$2:$F$2,EOMONTH(AP$2,-1)+1,$C156:$F156)*VLOOKUP(AP$2,ProyDia[],8,0)</f>
        <v>0</v>
      </c>
      <c r="AQ156" s="36" t="n">
        <f aca="false">SUMIF($C$2:$F$2,EOMONTH(AQ$2,-1)+1,$C156:$F156)*VLOOKUP(AQ$2,ProyDia[],8,0)</f>
        <v>0</v>
      </c>
      <c r="AR156" s="36" t="n">
        <f aca="false">SUMIF($C$2:$F$2,EOMONTH(AR$2,-1)+1,$C156:$F156)*VLOOKUP(AR$2,ProyDia[],8,0)</f>
        <v>0</v>
      </c>
      <c r="AS156" s="36" t="n">
        <f aca="false">SUMIF($C$2:$F$2,EOMONTH(AS$2,-1)+1,$C156:$F156)*VLOOKUP(AS$2,ProyDia[],8,0)</f>
        <v>0</v>
      </c>
      <c r="AT156" s="36" t="n">
        <f aca="false">SUMIF($C$2:$F$2,EOMONTH(AT$2,-1)+1,$C156:$F156)*VLOOKUP(AT$2,ProyDia[],8,0)</f>
        <v>0</v>
      </c>
      <c r="AU156" s="36" t="n">
        <f aca="false">SUMIF($C$2:$F$2,EOMONTH(AU$2,-1)+1,$C156:$F156)*VLOOKUP(AU$2,ProyDia[],8,0)</f>
        <v>0</v>
      </c>
      <c r="AV156" s="36" t="n">
        <f aca="false">SUMIF($C$2:$F$2,EOMONTH(AV$2,-1)+1,$C156:$F156)*VLOOKUP(AV$2,ProyDia[],8,0)</f>
        <v>0</v>
      </c>
      <c r="AW156" s="36" t="n">
        <f aca="false">SUMIF($C$2:$F$2,EOMONTH(AW$2,-1)+1,$C156:$F156)*VLOOKUP(AW$2,ProyDia[],8,0)</f>
        <v>0</v>
      </c>
      <c r="AX156" s="36" t="n">
        <f aca="false">SUMIF($C$2:$F$2,EOMONTH(AX$2,-1)+1,$C156:$F156)*VLOOKUP(AX$2,ProyDia[],8,0)</f>
        <v>0</v>
      </c>
      <c r="AY156" s="36" t="n">
        <f aca="false">SUMIF($C$2:$F$2,EOMONTH(AY$2,-1)+1,$C156:$F156)*VLOOKUP(AY$2,ProyDia[],8,0)</f>
        <v>0</v>
      </c>
      <c r="AZ156" s="36" t="n">
        <f aca="false">SUMIF($C$2:$F$2,EOMONTH(AZ$2,-1)+1,$C156:$F156)*VLOOKUP(AZ$2,ProyDia[],8,0)</f>
        <v>0</v>
      </c>
      <c r="BA156" s="36" t="n">
        <f aca="false">SUMIF($C$2:$F$2,EOMONTH(BA$2,-1)+1,$C156:$F156)*VLOOKUP(BA$2,ProyDia[],8,0)</f>
        <v>0</v>
      </c>
      <c r="BB156" s="36" t="n">
        <f aca="false">SUMIF($C$2:$F$2,EOMONTH(BB$2,-1)+1,$C156:$F156)*VLOOKUP(BB$2,ProyDia[],8,0)</f>
        <v>0</v>
      </c>
      <c r="BC156" s="36" t="n">
        <f aca="false">SUMIF($C$2:$F$2,EOMONTH(BC$2,-1)+1,$C156:$F156)*VLOOKUP(BC$2,ProyDia[],8,0)</f>
        <v>0</v>
      </c>
      <c r="BD156" s="36" t="n">
        <f aca="false">SUMIF($C$2:$F$2,EOMONTH(BD$2,-1)+1,$C156:$F156)*VLOOKUP(BD$2,ProyDia[],8,0)</f>
        <v>0</v>
      </c>
      <c r="BE156" s="36" t="n">
        <f aca="false">SUMIF($C$2:$F$2,EOMONTH(BE$2,-1)+1,$C156:$F156)*VLOOKUP(BE$2,ProyDia[],8,0)</f>
        <v>0</v>
      </c>
      <c r="BF156" s="36" t="n">
        <f aca="false">SUMIF($C$2:$F$2,EOMONTH(BF$2,-1)+1,$C156:$F156)*VLOOKUP(BF$2,ProyDia[],8,0)</f>
        <v>0</v>
      </c>
      <c r="BG156" s="36" t="n">
        <f aca="false">SUMIF($C$2:$F$2,EOMONTH(BG$2,-1)+1,$C156:$F156)*VLOOKUP(BG$2,ProyDia[],8,0)</f>
        <v>0</v>
      </c>
      <c r="BH156" s="36" t="n">
        <f aca="false">SUMIF($C$2:$F$2,EOMONTH(BH$2,-1)+1,$C156:$F156)*VLOOKUP(BH$2,ProyDia[],8,0)</f>
        <v>0</v>
      </c>
      <c r="BI156" s="36" t="n">
        <f aca="false">SUMIF($C$2:$F$2,EOMONTH(BI$2,-1)+1,$C156:$F156)*VLOOKUP(BI$2,ProyDia[],8,0)</f>
        <v>0</v>
      </c>
      <c r="BJ156" s="36" t="n">
        <f aca="false">SUMIF($C$2:$F$2,EOMONTH(BJ$2,-1)+1,$C156:$F156)*VLOOKUP(BJ$2,ProyDia[],8,0)</f>
        <v>0</v>
      </c>
      <c r="BK156" s="36" t="n">
        <f aca="false">SUMIF($C$2:$F$2,EOMONTH(BK$2,-1)+1,$C156:$F156)*VLOOKUP(BK$2,ProyDia[],8,0)</f>
        <v>0</v>
      </c>
      <c r="BL156" s="36" t="n">
        <f aca="false">SUMIF($C$2:$F$2,EOMONTH(BL$2,-1)+1,$C156:$F156)*VLOOKUP(BL$2,ProyDia[],8,0)</f>
        <v>0</v>
      </c>
      <c r="BM156" s="36" t="n">
        <f aca="false">SUMIF($C$2:$F$2,EOMONTH(BM$2,-1)+1,$C156:$F156)*VLOOKUP(BM$2,ProyDia[],8,0)</f>
        <v>0</v>
      </c>
      <c r="BN156" s="36" t="n">
        <f aca="false">SUMIF($C$2:$F$2,EOMONTH(BN$2,-1)+1,$C156:$F156)*VLOOKUP(BN$2,ProyDia[],8,0)</f>
        <v>0</v>
      </c>
      <c r="BO156" s="36" t="n">
        <f aca="false">SUMIF($C$2:$F$2,EOMONTH(BO$2,-1)+1,$C156:$F156)*VLOOKUP(BO$2,ProyDia[],8,0)</f>
        <v>0</v>
      </c>
      <c r="BP156" s="36" t="n">
        <f aca="false">SUMIF($C$2:$F$2,EOMONTH(BP$2,-1)+1,$C156:$F156)*VLOOKUP(BP$2,ProyDia[],8,0)</f>
        <v>0</v>
      </c>
      <c r="BQ156" s="36" t="n">
        <f aca="false">SUMIF($C$2:$F$2,EOMONTH(BQ$2,-1)+1,$C156:$F156)*VLOOKUP(BQ$2,ProyDia[],8,0)</f>
        <v>0</v>
      </c>
      <c r="BR156" s="36" t="n">
        <f aca="false">SUMIF($C$2:$F$2,EOMONTH(BR$2,-1)+1,$C156:$F156)*VLOOKUP(BR$2,ProyDia[],8,0)</f>
        <v>0</v>
      </c>
      <c r="BS156" s="36" t="n">
        <f aca="false">SUMIF($C$2:$F$2,EOMONTH(BS$2,-1)+1,$C156:$F156)*VLOOKUP(BS$2,ProyDia[],8,0)</f>
        <v>0</v>
      </c>
      <c r="BT156" s="36" t="n">
        <f aca="false">SUMIF($C$2:$F$2,EOMONTH(BT$2,-1)+1,$C156:$F156)*VLOOKUP(BT$2,ProyDia[],8,0)</f>
        <v>0</v>
      </c>
      <c r="BU156" s="36" t="n">
        <f aca="false">SUMIF($C$2:$F$2,EOMONTH(BU$2,-1)+1,$C156:$F156)*VLOOKUP(BU$2,ProyDia[],8,0)</f>
        <v>0</v>
      </c>
      <c r="BV156" s="36" t="n">
        <f aca="false">SUMIF($C$2:$F$2,EOMONTH(BV$2,-1)+1,$C156:$F156)*VLOOKUP(BV$2,ProyDia[],8,0)</f>
        <v>0</v>
      </c>
      <c r="BW156" s="36" t="n">
        <f aca="false">SUMIF($C$2:$F$2,EOMONTH(BW$2,-1)+1,$C156:$F156)*VLOOKUP(BW$2,ProyDia[],8,0)</f>
        <v>0</v>
      </c>
      <c r="BX156" s="36" t="n">
        <f aca="false">SUMIF($C$2:$F$2,EOMONTH(BX$2,-1)+1,$C156:$F156)*VLOOKUP(BX$2,ProyDia[],8,0)</f>
        <v>0</v>
      </c>
      <c r="BY156" s="36" t="n">
        <f aca="false">SUMIF($C$2:$F$2,EOMONTH(BY$2,-1)+1,$C156:$F156)*VLOOKUP(BY$2,ProyDia[],8,0)</f>
        <v>0</v>
      </c>
      <c r="BZ156" s="36" t="n">
        <f aca="false">SUMIF($C$2:$F$2,EOMONTH(BZ$2,-1)+1,$C156:$F156)*VLOOKUP(BZ$2,ProyDia[],8,0)</f>
        <v>0</v>
      </c>
      <c r="CA156" s="36" t="n">
        <f aca="false">SUMIF($C$2:$F$2,EOMONTH(CA$2,-1)+1,$C156:$F156)*VLOOKUP(CA$2,ProyDia[],8,0)</f>
        <v>0</v>
      </c>
      <c r="CB156" s="36" t="n">
        <f aca="false">SUMIF($C$2:$F$2,EOMONTH(CB$2,-1)+1,$C156:$F156)*VLOOKUP(CB$2,ProyDia[],8,0)</f>
        <v>0</v>
      </c>
      <c r="CC156" s="36" t="n">
        <f aca="false">SUMIF($C$2:$F$2,EOMONTH(CC$2,-1)+1,$C156:$F156)*VLOOKUP(CC$2,ProyDia[],8,0)</f>
        <v>0</v>
      </c>
      <c r="CD156" s="36" t="n">
        <f aca="false">SUMIF($C$2:$F$2,EOMONTH(CD$2,-1)+1,$C156:$F156)*VLOOKUP(CD$2,ProyDia[],8,0)</f>
        <v>0</v>
      </c>
      <c r="CE156" s="36" t="n">
        <f aca="false">SUMIF($C$2:$F$2,EOMONTH(CE$2,-1)+1,$C156:$F156)*VLOOKUP(CE$2,ProyDia[],8,0)</f>
        <v>0</v>
      </c>
      <c r="CF156" s="36" t="n">
        <f aca="false">SUMIF($C$2:$F$2,EOMONTH(CF$2,-1)+1,$C156:$F156)*VLOOKUP(CF$2,ProyDia[],8,0)</f>
        <v>0</v>
      </c>
      <c r="CG156" s="36" t="n">
        <f aca="false">SUMIF($C$2:$F$2,EOMONTH(CG$2,-1)+1,$C156:$F156)*VLOOKUP(CG$2,ProyDia[],8,0)</f>
        <v>0</v>
      </c>
      <c r="CH156" s="36" t="n">
        <f aca="false">SUMIF($C$2:$F$2,EOMONTH(CH$2,-1)+1,$C156:$F156)*VLOOKUP(CH$2,ProyDia[],8,0)</f>
        <v>0</v>
      </c>
      <c r="CI156" s="36" t="n">
        <f aca="false">SUMIF($C$2:$F$2,EOMONTH(CI$2,-1)+1,$C156:$F156)*VLOOKUP(CI$2,ProyDia[],8,0)</f>
        <v>0</v>
      </c>
      <c r="CJ156" s="36" t="n">
        <f aca="false">SUMIF($C$2:$F$2,EOMONTH(CJ$2,-1)+1,$C156:$F156)*VLOOKUP(CJ$2,ProyDia[],8,0)</f>
        <v>0</v>
      </c>
      <c r="CK156" s="36" t="n">
        <f aca="false">SUMIF($C$2:$F$2,EOMONTH(CK$2,-1)+1,$C156:$F156)*VLOOKUP(CK$2,ProyDia[],8,0)</f>
        <v>0</v>
      </c>
      <c r="CL156" s="36" t="n">
        <f aca="false">SUMIF($C$2:$F$2,EOMONTH(CL$2,-1)+1,$C156:$F156)*VLOOKUP(CL$2,ProyDia[],8,0)</f>
        <v>0</v>
      </c>
      <c r="CM156" s="36" t="n">
        <f aca="false">SUMIF($C$2:$F$2,EOMONTH(CM$2,-1)+1,$C156:$F156)*VLOOKUP(CM$2,ProyDia[],8,0)</f>
        <v>0</v>
      </c>
      <c r="CN156" s="36" t="n">
        <f aca="false">SUMIF($C$2:$F$2,EOMONTH(CN$2,-1)+1,$C156:$F156)*VLOOKUP(CN$2,ProyDia[],8,0)</f>
        <v>0</v>
      </c>
      <c r="CO156" s="36" t="n">
        <f aca="false">SUMIF($C$2:$F$2,EOMONTH(CO$2,-1)+1,$C156:$F156)*VLOOKUP(CO$2,ProyDia[],8,0)</f>
        <v>0</v>
      </c>
      <c r="CP156" s="36" t="n">
        <f aca="false">SUMIF($C$2:$F$2,EOMONTH(CP$2,-1)+1,$C156:$F156)*VLOOKUP(CP$2,ProyDia[],8,0)</f>
        <v>0</v>
      </c>
      <c r="CQ156" s="36" t="n">
        <f aca="false">SUMIF($C$2:$F$2,EOMONTH(CQ$2,-1)+1,$C156:$F156)*VLOOKUP(CQ$2,ProyDia[],8,0)</f>
        <v>0</v>
      </c>
      <c r="CR156" s="36" t="n">
        <f aca="false">SUMIF($C$2:$F$2,EOMONTH(CR$2,-1)+1,$C156:$F156)*VLOOKUP(CR$2,ProyDia[],8,0)</f>
        <v>0</v>
      </c>
      <c r="CS156" s="36" t="n">
        <f aca="false">SUMIF($C$2:$F$2,EOMONTH(CS$2,-1)+1,$C156:$F156)*VLOOKUP(CS$2,ProyDia[],8,0)</f>
        <v>0</v>
      </c>
      <c r="CT156" s="36" t="n">
        <f aca="false">SUMIF($C$2:$F$2,EOMONTH(CT$2,-1)+1,$C156:$F156)*VLOOKUP(CT$2,ProyDia[],8,0)</f>
        <v>0</v>
      </c>
      <c r="CU156" s="36" t="n">
        <f aca="false">SUMIF($C$2:$F$2,EOMONTH(CU$2,-1)+1,$C156:$F156)*VLOOKUP(CU$2,ProyDia[],8,0)</f>
        <v>0</v>
      </c>
      <c r="CV156" s="36" t="n">
        <f aca="false">SUMIF($C$2:$F$2,EOMONTH(CV$2,-1)+1,$C156:$F156)*VLOOKUP(CV$2,ProyDia[],8,0)</f>
        <v>0</v>
      </c>
      <c r="CW156" s="36" t="n">
        <f aca="false">SUMIF($C$2:$F$2,EOMONTH(CW$2,-1)+1,$C156:$F156)*VLOOKUP(CW$2,ProyDia[],8,0)</f>
        <v>0</v>
      </c>
      <c r="CX156" s="36" t="n">
        <f aca="false">SUMIF($C$2:$F$2,EOMONTH(CX$2,-1)+1,$C156:$F156)*VLOOKUP(CX$2,ProyDia[],8,0)</f>
        <v>0</v>
      </c>
      <c r="CY156" s="36" t="n">
        <f aca="false">SUMIF($C$2:$F$2,EOMONTH(CY$2,-1)+1,$C156:$F156)*VLOOKUP(CY$2,ProyDia[],8,0)</f>
        <v>0</v>
      </c>
      <c r="CZ156" s="36" t="n">
        <f aca="false">SUMIF($C$2:$F$2,EOMONTH(CZ$2,-1)+1,$C156:$F156)*VLOOKUP(CZ$2,ProyDia[],8,0)</f>
        <v>0</v>
      </c>
      <c r="DA156" s="36" t="n">
        <f aca="false">SUMIF($C$2:$F$2,EOMONTH(DA$2,-1)+1,$C156:$F156)*VLOOKUP(DA$2,ProyDia[],8,0)</f>
        <v>0</v>
      </c>
      <c r="DB156" s="36" t="n">
        <f aca="false">SUMIF($C$2:$F$2,EOMONTH(DB$2,-1)+1,$C156:$F156)*VLOOKUP(DB$2,ProyDia[],8,0)</f>
        <v>0</v>
      </c>
      <c r="DC156" s="36" t="n">
        <f aca="false">SUMIF($C$2:$F$2,EOMONTH(DC$2,-1)+1,$C156:$F156)*VLOOKUP(DC$2,ProyDia[],8,0)</f>
        <v>0</v>
      </c>
      <c r="DD156" s="36" t="n">
        <f aca="false">SUMIF($C$2:$F$2,EOMONTH(DD$2,-1)+1,$C156:$F156)*VLOOKUP(DD$2,ProyDia[],8,0)</f>
        <v>0</v>
      </c>
      <c r="DE156" s="36" t="n">
        <f aca="false">SUMIF($C$2:$F$2,EOMONTH(DE$2,-1)+1,$C156:$F156)*VLOOKUP(DE$2,ProyDia[],8,0)</f>
        <v>0</v>
      </c>
      <c r="DF156" s="36" t="n">
        <f aca="false">SUMIF($C$2:$F$2,EOMONTH(DF$2,-1)+1,$C156:$F156)*VLOOKUP(DF$2,ProyDia[],8,0)</f>
        <v>0</v>
      </c>
      <c r="DG156" s="36" t="n">
        <f aca="false">SUMIF($C$2:$F$2,EOMONTH(DG$2,-1)+1,$C156:$F156)*VLOOKUP(DG$2,ProyDia[],8,0)</f>
        <v>0</v>
      </c>
      <c r="DH156" s="36" t="n">
        <f aca="false">SUMIF($C$2:$F$2,EOMONTH(DH$2,-1)+1,$C156:$F156)*VLOOKUP(DH$2,ProyDia[],8,0)</f>
        <v>0</v>
      </c>
      <c r="DI156" s="36" t="n">
        <f aca="false">SUMIF($C$2:$F$2,EOMONTH(DI$2,-1)+1,$C156:$F156)*VLOOKUP(DI$2,ProyDia[],8,0)</f>
        <v>0</v>
      </c>
      <c r="DJ156" s="36" t="n">
        <f aca="false">SUMIF($C$2:$F$2,EOMONTH(DJ$2,-1)+1,$C156:$F156)*VLOOKUP(DJ$2,ProyDia[],8,0)</f>
        <v>0</v>
      </c>
      <c r="DK156" s="36" t="n">
        <f aca="false">SUMIF($C$2:$F$2,EOMONTH(DK$2,-1)+1,$C156:$F156)*VLOOKUP(DK$2,ProyDia[],8,0)</f>
        <v>0</v>
      </c>
      <c r="DL156" s="36" t="n">
        <f aca="false">SUMIF($C$2:$F$2,EOMONTH(DL$2,-1)+1,$C156:$F156)*VLOOKUP(DL$2,ProyDia[],8,0)</f>
        <v>0</v>
      </c>
      <c r="DM156" s="36" t="n">
        <f aca="false">SUMIF($C$2:$F$2,EOMONTH(DM$2,-1)+1,$C156:$F156)*VLOOKUP(DM$2,ProyDia[],8,0)</f>
        <v>0</v>
      </c>
      <c r="DN156" s="36" t="n">
        <f aca="false">SUMIF($C$2:$F$2,EOMONTH(DN$2,-1)+1,$C156:$F156)*VLOOKUP(DN$2,ProyDia[],8,0)</f>
        <v>0</v>
      </c>
      <c r="DO156" s="36" t="n">
        <f aca="false">SUMIF($C$2:$F$2,EOMONTH(DO$2,-1)+1,$C156:$F156)*VLOOKUP(DO$2,ProyDia[],8,0)</f>
        <v>0</v>
      </c>
      <c r="DP156" s="36" t="n">
        <f aca="false">SUMIF($C$2:$F$2,EOMONTH(DP$2,-1)+1,$C156:$F156)*VLOOKUP(DP$2,ProyDia[],8,0)</f>
        <v>0</v>
      </c>
      <c r="DQ156" s="36" t="n">
        <f aca="false">SUMIF($C$2:$F$2,EOMONTH(DQ$2,-1)+1,$C156:$F156)*VLOOKUP(DQ$2,ProyDia[],8,0)</f>
        <v>0</v>
      </c>
      <c r="DR156" s="36" t="n">
        <f aca="false">SUMIF($C$2:$F$2,EOMONTH(DR$2,-1)+1,$C156:$F156)*VLOOKUP(DR$2,ProyDia[],8,0)</f>
        <v>0</v>
      </c>
      <c r="DS156" s="36" t="n">
        <f aca="false">SUMIF($C$2:$F$2,EOMONTH(DS$2,-1)+1,$C156:$F156)*VLOOKUP(DS$2,ProyDia[],8,0)</f>
        <v>0</v>
      </c>
      <c r="DT156" s="36" t="n">
        <f aca="false">SUMIF($C$2:$F$2,EOMONTH(DT$2,-1)+1,$C156:$F156)*VLOOKUP(DT$2,ProyDia[],8,0)</f>
        <v>0</v>
      </c>
      <c r="DU156" s="36" t="n">
        <f aca="false">SUMIF($C$2:$F$2,EOMONTH(DU$2,-1)+1,$C156:$F156)*VLOOKUP(DU$2,ProyDia[],8,0)</f>
        <v>0</v>
      </c>
      <c r="DV156" s="36" t="n">
        <f aca="false">SUMIF($C$2:$F$2,EOMONTH(DV$2,-1)+1,$C156:$F156)*VLOOKUP(DV$2,ProyDia[],8,0)</f>
        <v>0</v>
      </c>
      <c r="DW156" s="36" t="n">
        <f aca="false">SUMIF($C$2:$F$2,EOMONTH(DW$2,-1)+1,$C156:$F156)*VLOOKUP(DW$2,ProyDia[],8,0)</f>
        <v>0</v>
      </c>
      <c r="DX156" s="36" t="n">
        <f aca="false">SUMIF($C$2:$F$2,EOMONTH(DX$2,-1)+1,$C156:$F156)*VLOOKUP(DX$2,ProyDia[],8,0)</f>
        <v>0</v>
      </c>
    </row>
    <row r="157" customFormat="false" ht="14.4" hidden="false" customHeight="false" outlineLevel="0" collapsed="false">
      <c r="A157" s="34"/>
      <c r="B157" s="34"/>
      <c r="C157" s="34"/>
      <c r="D157" s="34"/>
      <c r="E157" s="34"/>
      <c r="F157" s="34"/>
      <c r="G157" s="28" t="n">
        <f aca="false">SUMIF($C$2:$F$2,EOMONTH(G$2,-1)+1,$C157:$F157)*VLOOKUP(G$2,ProyDia[],8,0)</f>
        <v>0</v>
      </c>
      <c r="H157" s="28" t="n">
        <f aca="false">SUMIF($C$2:$F$2,EOMONTH(H$2,-1)+1,$C157:$F157)*VLOOKUP(H$2,ProyDia[],8,0)</f>
        <v>0</v>
      </c>
      <c r="I157" s="28" t="n">
        <f aca="false">SUMIF($C$2:$F$2,EOMONTH(I$2,-1)+1,$C157:$F157)*VLOOKUP(I$2,ProyDia[],8,0)</f>
        <v>0</v>
      </c>
      <c r="J157" s="28" t="n">
        <f aca="false">SUMIF($C$2:$F$2,EOMONTH(J$2,-1)+1,$C157:$F157)*VLOOKUP(J$2,ProyDia[],8,0)</f>
        <v>0</v>
      </c>
      <c r="K157" s="28" t="n">
        <f aca="false">SUMIF($C$2:$F$2,EOMONTH(K$2,-1)+1,$C157:$F157)*VLOOKUP(K$2,ProyDia[],8,0)</f>
        <v>0</v>
      </c>
      <c r="L157" s="28" t="n">
        <f aca="false">SUMIF($C$2:$F$2,EOMONTH(L$2,-1)+1,$C157:$F157)*VLOOKUP(L$2,ProyDia[],8,0)</f>
        <v>0</v>
      </c>
      <c r="M157" s="28" t="n">
        <f aca="false">SUMIF($C$2:$F$2,EOMONTH(M$2,-1)+1,$C157:$F157)*VLOOKUP(M$2,ProyDia[],8,0)</f>
        <v>0</v>
      </c>
      <c r="N157" s="28" t="n">
        <f aca="false">SUMIF($C$2:$F$2,EOMONTH(N$2,-1)+1,$C157:$F157)*VLOOKUP(N$2,ProyDia[],8,0)</f>
        <v>0</v>
      </c>
      <c r="O157" s="28" t="n">
        <f aca="false">SUMIF($C$2:$F$2,EOMONTH(O$2,-1)+1,$C157:$F157)*VLOOKUP(O$2,ProyDia[],8,0)</f>
        <v>0</v>
      </c>
      <c r="P157" s="28" t="n">
        <f aca="false">SUMIF($C$2:$F$2,EOMONTH(P$2,-1)+1,$C157:$F157)*VLOOKUP(P$2,ProyDia[],8,0)</f>
        <v>0</v>
      </c>
      <c r="Q157" s="28" t="n">
        <f aca="false">SUMIF($C$2:$F$2,EOMONTH(Q$2,-1)+1,$C157:$F157)*VLOOKUP(Q$2,ProyDia[],8,0)</f>
        <v>0</v>
      </c>
      <c r="R157" s="28" t="n">
        <f aca="false">SUMIF($C$2:$F$2,EOMONTH(R$2,-1)+1,$C157:$F157)*VLOOKUP(R$2,ProyDia[],8,0)</f>
        <v>0</v>
      </c>
      <c r="S157" s="28" t="n">
        <f aca="false">SUMIF($C$2:$F$2,EOMONTH(S$2,-1)+1,$C157:$F157)*VLOOKUP(S$2,ProyDia[],8,0)</f>
        <v>0</v>
      </c>
      <c r="T157" s="28" t="n">
        <f aca="false">SUMIF($C$2:$F$2,EOMONTH(T$2,-1)+1,$C157:$F157)*VLOOKUP(T$2,ProyDia[],8,0)</f>
        <v>0</v>
      </c>
      <c r="U157" s="28" t="n">
        <f aca="false">SUMIF($C$2:$F$2,EOMONTH(U$2,-1)+1,$C157:$F157)*VLOOKUP(U$2,ProyDia[],8,0)</f>
        <v>0</v>
      </c>
      <c r="V157" s="28" t="n">
        <f aca="false">SUMIF($C$2:$F$2,EOMONTH(V$2,-1)+1,$C157:$F157)*VLOOKUP(V$2,ProyDia[],8,0)</f>
        <v>0</v>
      </c>
      <c r="W157" s="28" t="n">
        <f aca="false">SUMIF($C$2:$F$2,EOMONTH(W$2,-1)+1,$C157:$F157)*VLOOKUP(W$2,ProyDia[],8,0)</f>
        <v>0</v>
      </c>
      <c r="X157" s="28" t="n">
        <f aca="false">SUMIF($C$2:$F$2,EOMONTH(X$2,-1)+1,$C157:$F157)*VLOOKUP(X$2,ProyDia[],8,0)</f>
        <v>0</v>
      </c>
      <c r="Y157" s="28" t="n">
        <f aca="false">SUMIF($C$2:$F$2,EOMONTH(Y$2,-1)+1,$C157:$F157)*VLOOKUP(Y$2,ProyDia[],8,0)</f>
        <v>0</v>
      </c>
      <c r="Z157" s="28" t="n">
        <f aca="false">SUMIF($C$2:$F$2,EOMONTH(Z$2,-1)+1,$C157:$F157)*VLOOKUP(Z$2,ProyDia[],8,0)</f>
        <v>0</v>
      </c>
      <c r="AA157" s="28" t="n">
        <f aca="false">SUMIF($C$2:$F$2,EOMONTH(AA$2,-1)+1,$C157:$F157)*VLOOKUP(AA$2,ProyDia[],8,0)</f>
        <v>0</v>
      </c>
      <c r="AB157" s="28" t="n">
        <f aca="false">SUMIF($C$2:$F$2,EOMONTH(AB$2,-1)+1,$C157:$F157)*VLOOKUP(AB$2,ProyDia[],8,0)</f>
        <v>0</v>
      </c>
      <c r="AC157" s="28" t="n">
        <f aca="false">SUMIF($C$2:$F$2,EOMONTH(AC$2,-1)+1,$C157:$F157)*VLOOKUP(AC$2,ProyDia[],8,0)</f>
        <v>0</v>
      </c>
      <c r="AD157" s="28" t="n">
        <f aca="false">SUMIF($C$2:$F$2,EOMONTH(AD$2,-1)+1,$C157:$F157)*VLOOKUP(AD$2,ProyDia[],8,0)</f>
        <v>0</v>
      </c>
      <c r="AE157" s="28" t="n">
        <f aca="false">SUMIF($C$2:$F$2,EOMONTH(AE$2,-1)+1,$C157:$F157)*VLOOKUP(AE$2,ProyDia[],8,0)</f>
        <v>0</v>
      </c>
      <c r="AF157" s="28" t="n">
        <f aca="false">SUMIF($C$2:$F$2,EOMONTH(AF$2,-1)+1,$C157:$F157)*VLOOKUP(AF$2,ProyDia[],8,0)</f>
        <v>0</v>
      </c>
      <c r="AG157" s="28" t="n">
        <f aca="false">SUMIF($C$2:$F$2,EOMONTH(AG$2,-1)+1,$C157:$F157)*VLOOKUP(AG$2,ProyDia[],8,0)</f>
        <v>0</v>
      </c>
      <c r="AH157" s="28" t="n">
        <f aca="false">SUMIF($C$2:$F$2,EOMONTH(AH$2,-1)+1,$C157:$F157)*VLOOKUP(AH$2,ProyDia[],8,0)</f>
        <v>0</v>
      </c>
      <c r="AI157" s="28" t="n">
        <f aca="false">SUMIF($C$2:$F$2,EOMONTH(AI$2,-1)+1,$C157:$F157)*VLOOKUP(AI$2,ProyDia[],8,0)</f>
        <v>0</v>
      </c>
      <c r="AJ157" s="28" t="n">
        <f aca="false">SUMIF($C$2:$F$2,EOMONTH(AJ$2,-1)+1,$C157:$F157)*VLOOKUP(AJ$2,ProyDia[],8,0)</f>
        <v>0</v>
      </c>
      <c r="AK157" s="28" t="n">
        <f aca="false">SUMIF($C$2:$F$2,EOMONTH(AK$2,-1)+1,$C157:$F157)*VLOOKUP(AK$2,ProyDia[],8,0)</f>
        <v>0</v>
      </c>
      <c r="AL157" s="28" t="n">
        <f aca="false">SUMIF($C$2:$F$2,EOMONTH(AL$2,-1)+1,$C157:$F157)*VLOOKUP(AL$2,ProyDia[],8,0)</f>
        <v>0</v>
      </c>
      <c r="AM157" s="28" t="n">
        <f aca="false">SUMIF($C$2:$F$2,EOMONTH(AM$2,-1)+1,$C157:$F157)*VLOOKUP(AM$2,ProyDia[],8,0)</f>
        <v>0</v>
      </c>
      <c r="AN157" s="28" t="n">
        <f aca="false">SUMIF($C$2:$F$2,EOMONTH(AN$2,-1)+1,$C157:$F157)*VLOOKUP(AN$2,ProyDia[],8,0)</f>
        <v>0</v>
      </c>
      <c r="AO157" s="28" t="n">
        <f aca="false">SUMIF($C$2:$F$2,EOMONTH(AO$2,-1)+1,$C157:$F157)*VLOOKUP(AO$2,ProyDia[],8,0)</f>
        <v>0</v>
      </c>
      <c r="AP157" s="28" t="n">
        <f aca="false">SUMIF($C$2:$F$2,EOMONTH(AP$2,-1)+1,$C157:$F157)*VLOOKUP(AP$2,ProyDia[],8,0)</f>
        <v>0</v>
      </c>
      <c r="AQ157" s="28" t="n">
        <f aca="false">SUMIF($C$2:$F$2,EOMONTH(AQ$2,-1)+1,$C157:$F157)*VLOOKUP(AQ$2,ProyDia[],8,0)</f>
        <v>0</v>
      </c>
      <c r="AR157" s="28" t="n">
        <f aca="false">SUMIF($C$2:$F$2,EOMONTH(AR$2,-1)+1,$C157:$F157)*VLOOKUP(AR$2,ProyDia[],8,0)</f>
        <v>0</v>
      </c>
      <c r="AS157" s="28" t="n">
        <f aca="false">SUMIF($C$2:$F$2,EOMONTH(AS$2,-1)+1,$C157:$F157)*VLOOKUP(AS$2,ProyDia[],8,0)</f>
        <v>0</v>
      </c>
      <c r="AT157" s="28" t="n">
        <f aca="false">SUMIF($C$2:$F$2,EOMONTH(AT$2,-1)+1,$C157:$F157)*VLOOKUP(AT$2,ProyDia[],8,0)</f>
        <v>0</v>
      </c>
      <c r="AU157" s="28" t="n">
        <f aca="false">SUMIF($C$2:$F$2,EOMONTH(AU$2,-1)+1,$C157:$F157)*VLOOKUP(AU$2,ProyDia[],8,0)</f>
        <v>0</v>
      </c>
      <c r="AV157" s="28" t="n">
        <f aca="false">SUMIF($C$2:$F$2,EOMONTH(AV$2,-1)+1,$C157:$F157)*VLOOKUP(AV$2,ProyDia[],8,0)</f>
        <v>0</v>
      </c>
      <c r="AW157" s="28" t="n">
        <f aca="false">SUMIF($C$2:$F$2,EOMONTH(AW$2,-1)+1,$C157:$F157)*VLOOKUP(AW$2,ProyDia[],8,0)</f>
        <v>0</v>
      </c>
      <c r="AX157" s="28" t="n">
        <f aca="false">SUMIF($C$2:$F$2,EOMONTH(AX$2,-1)+1,$C157:$F157)*VLOOKUP(AX$2,ProyDia[],8,0)</f>
        <v>0</v>
      </c>
      <c r="AY157" s="28" t="n">
        <f aca="false">SUMIF($C$2:$F$2,EOMONTH(AY$2,-1)+1,$C157:$F157)*VLOOKUP(AY$2,ProyDia[],8,0)</f>
        <v>0</v>
      </c>
      <c r="AZ157" s="28" t="n">
        <f aca="false">SUMIF($C$2:$F$2,EOMONTH(AZ$2,-1)+1,$C157:$F157)*VLOOKUP(AZ$2,ProyDia[],8,0)</f>
        <v>0</v>
      </c>
      <c r="BA157" s="28" t="n">
        <f aca="false">SUMIF($C$2:$F$2,EOMONTH(BA$2,-1)+1,$C157:$F157)*VLOOKUP(BA$2,ProyDia[],8,0)</f>
        <v>0</v>
      </c>
      <c r="BB157" s="28" t="n">
        <f aca="false">SUMIF($C$2:$F$2,EOMONTH(BB$2,-1)+1,$C157:$F157)*VLOOKUP(BB$2,ProyDia[],8,0)</f>
        <v>0</v>
      </c>
      <c r="BC157" s="28" t="n">
        <f aca="false">SUMIF($C$2:$F$2,EOMONTH(BC$2,-1)+1,$C157:$F157)*VLOOKUP(BC$2,ProyDia[],8,0)</f>
        <v>0</v>
      </c>
      <c r="BD157" s="28" t="n">
        <f aca="false">SUMIF($C$2:$F$2,EOMONTH(BD$2,-1)+1,$C157:$F157)*VLOOKUP(BD$2,ProyDia[],8,0)</f>
        <v>0</v>
      </c>
      <c r="BE157" s="28" t="n">
        <f aca="false">SUMIF($C$2:$F$2,EOMONTH(BE$2,-1)+1,$C157:$F157)*VLOOKUP(BE$2,ProyDia[],8,0)</f>
        <v>0</v>
      </c>
      <c r="BF157" s="28" t="n">
        <f aca="false">SUMIF($C$2:$F$2,EOMONTH(BF$2,-1)+1,$C157:$F157)*VLOOKUP(BF$2,ProyDia[],8,0)</f>
        <v>0</v>
      </c>
      <c r="BG157" s="28" t="n">
        <f aca="false">SUMIF($C$2:$F$2,EOMONTH(BG$2,-1)+1,$C157:$F157)*VLOOKUP(BG$2,ProyDia[],8,0)</f>
        <v>0</v>
      </c>
      <c r="BH157" s="28" t="n">
        <f aca="false">SUMIF($C$2:$F$2,EOMONTH(BH$2,-1)+1,$C157:$F157)*VLOOKUP(BH$2,ProyDia[],8,0)</f>
        <v>0</v>
      </c>
      <c r="BI157" s="28" t="n">
        <f aca="false">SUMIF($C$2:$F$2,EOMONTH(BI$2,-1)+1,$C157:$F157)*VLOOKUP(BI$2,ProyDia[],8,0)</f>
        <v>0</v>
      </c>
      <c r="BJ157" s="28" t="n">
        <f aca="false">SUMIF($C$2:$F$2,EOMONTH(BJ$2,-1)+1,$C157:$F157)*VLOOKUP(BJ$2,ProyDia[],8,0)</f>
        <v>0</v>
      </c>
      <c r="BK157" s="28" t="n">
        <f aca="false">SUMIF($C$2:$F$2,EOMONTH(BK$2,-1)+1,$C157:$F157)*VLOOKUP(BK$2,ProyDia[],8,0)</f>
        <v>0</v>
      </c>
      <c r="BL157" s="28" t="n">
        <f aca="false">SUMIF($C$2:$F$2,EOMONTH(BL$2,-1)+1,$C157:$F157)*VLOOKUP(BL$2,ProyDia[],8,0)</f>
        <v>0</v>
      </c>
      <c r="BM157" s="28" t="n">
        <f aca="false">SUMIF($C$2:$F$2,EOMONTH(BM$2,-1)+1,$C157:$F157)*VLOOKUP(BM$2,ProyDia[],8,0)</f>
        <v>0</v>
      </c>
      <c r="BN157" s="28" t="n">
        <f aca="false">SUMIF($C$2:$F$2,EOMONTH(BN$2,-1)+1,$C157:$F157)*VLOOKUP(BN$2,ProyDia[],8,0)</f>
        <v>0</v>
      </c>
      <c r="BO157" s="28" t="n">
        <f aca="false">SUMIF($C$2:$F$2,EOMONTH(BO$2,-1)+1,$C157:$F157)*VLOOKUP(BO$2,ProyDia[],8,0)</f>
        <v>0</v>
      </c>
      <c r="BP157" s="28" t="n">
        <f aca="false">SUMIF($C$2:$F$2,EOMONTH(BP$2,-1)+1,$C157:$F157)*VLOOKUP(BP$2,ProyDia[],8,0)</f>
        <v>0</v>
      </c>
      <c r="BQ157" s="28" t="n">
        <f aca="false">SUMIF($C$2:$F$2,EOMONTH(BQ$2,-1)+1,$C157:$F157)*VLOOKUP(BQ$2,ProyDia[],8,0)</f>
        <v>0</v>
      </c>
      <c r="BR157" s="28" t="n">
        <f aca="false">SUMIF($C$2:$F$2,EOMONTH(BR$2,-1)+1,$C157:$F157)*VLOOKUP(BR$2,ProyDia[],8,0)</f>
        <v>0</v>
      </c>
      <c r="BS157" s="28" t="n">
        <f aca="false">SUMIF($C$2:$F$2,EOMONTH(BS$2,-1)+1,$C157:$F157)*VLOOKUP(BS$2,ProyDia[],8,0)</f>
        <v>0</v>
      </c>
      <c r="BT157" s="28" t="n">
        <f aca="false">SUMIF($C$2:$F$2,EOMONTH(BT$2,-1)+1,$C157:$F157)*VLOOKUP(BT$2,ProyDia[],8,0)</f>
        <v>0</v>
      </c>
      <c r="BU157" s="28" t="n">
        <f aca="false">SUMIF($C$2:$F$2,EOMONTH(BU$2,-1)+1,$C157:$F157)*VLOOKUP(BU$2,ProyDia[],8,0)</f>
        <v>0</v>
      </c>
      <c r="BV157" s="28" t="n">
        <f aca="false">SUMIF($C$2:$F$2,EOMONTH(BV$2,-1)+1,$C157:$F157)*VLOOKUP(BV$2,ProyDia[],8,0)</f>
        <v>0</v>
      </c>
      <c r="BW157" s="28" t="n">
        <f aca="false">SUMIF($C$2:$F$2,EOMONTH(BW$2,-1)+1,$C157:$F157)*VLOOKUP(BW$2,ProyDia[],8,0)</f>
        <v>0</v>
      </c>
      <c r="BX157" s="28" t="n">
        <f aca="false">SUMIF($C$2:$F$2,EOMONTH(BX$2,-1)+1,$C157:$F157)*VLOOKUP(BX$2,ProyDia[],8,0)</f>
        <v>0</v>
      </c>
      <c r="BY157" s="28" t="n">
        <f aca="false">SUMIF($C$2:$F$2,EOMONTH(BY$2,-1)+1,$C157:$F157)*VLOOKUP(BY$2,ProyDia[],8,0)</f>
        <v>0</v>
      </c>
      <c r="BZ157" s="28" t="n">
        <f aca="false">SUMIF($C$2:$F$2,EOMONTH(BZ$2,-1)+1,$C157:$F157)*VLOOKUP(BZ$2,ProyDia[],8,0)</f>
        <v>0</v>
      </c>
      <c r="CA157" s="28" t="n">
        <f aca="false">SUMIF($C$2:$F$2,EOMONTH(CA$2,-1)+1,$C157:$F157)*VLOOKUP(CA$2,ProyDia[],8,0)</f>
        <v>0</v>
      </c>
      <c r="CB157" s="28" t="n">
        <f aca="false">SUMIF($C$2:$F$2,EOMONTH(CB$2,-1)+1,$C157:$F157)*VLOOKUP(CB$2,ProyDia[],8,0)</f>
        <v>0</v>
      </c>
      <c r="CC157" s="28" t="n">
        <f aca="false">SUMIF($C$2:$F$2,EOMONTH(CC$2,-1)+1,$C157:$F157)*VLOOKUP(CC$2,ProyDia[],8,0)</f>
        <v>0</v>
      </c>
      <c r="CD157" s="28" t="n">
        <f aca="false">SUMIF($C$2:$F$2,EOMONTH(CD$2,-1)+1,$C157:$F157)*VLOOKUP(CD$2,ProyDia[],8,0)</f>
        <v>0</v>
      </c>
      <c r="CE157" s="28" t="n">
        <f aca="false">SUMIF($C$2:$F$2,EOMONTH(CE$2,-1)+1,$C157:$F157)*VLOOKUP(CE$2,ProyDia[],8,0)</f>
        <v>0</v>
      </c>
      <c r="CF157" s="28" t="n">
        <f aca="false">SUMIF($C$2:$F$2,EOMONTH(CF$2,-1)+1,$C157:$F157)*VLOOKUP(CF$2,ProyDia[],8,0)</f>
        <v>0</v>
      </c>
      <c r="CG157" s="28" t="n">
        <f aca="false">SUMIF($C$2:$F$2,EOMONTH(CG$2,-1)+1,$C157:$F157)*VLOOKUP(CG$2,ProyDia[],8,0)</f>
        <v>0</v>
      </c>
      <c r="CH157" s="28" t="n">
        <f aca="false">SUMIF($C$2:$F$2,EOMONTH(CH$2,-1)+1,$C157:$F157)*VLOOKUP(CH$2,ProyDia[],8,0)</f>
        <v>0</v>
      </c>
      <c r="CI157" s="28" t="n">
        <f aca="false">SUMIF($C$2:$F$2,EOMONTH(CI$2,-1)+1,$C157:$F157)*VLOOKUP(CI$2,ProyDia[],8,0)</f>
        <v>0</v>
      </c>
      <c r="CJ157" s="28" t="n">
        <f aca="false">SUMIF($C$2:$F$2,EOMONTH(CJ$2,-1)+1,$C157:$F157)*VLOOKUP(CJ$2,ProyDia[],8,0)</f>
        <v>0</v>
      </c>
      <c r="CK157" s="28" t="n">
        <f aca="false">SUMIF($C$2:$F$2,EOMONTH(CK$2,-1)+1,$C157:$F157)*VLOOKUP(CK$2,ProyDia[],8,0)</f>
        <v>0</v>
      </c>
      <c r="CL157" s="28" t="n">
        <f aca="false">SUMIF($C$2:$F$2,EOMONTH(CL$2,-1)+1,$C157:$F157)*VLOOKUP(CL$2,ProyDia[],8,0)</f>
        <v>0</v>
      </c>
      <c r="CM157" s="28" t="n">
        <f aca="false">SUMIF($C$2:$F$2,EOMONTH(CM$2,-1)+1,$C157:$F157)*VLOOKUP(CM$2,ProyDia[],8,0)</f>
        <v>0</v>
      </c>
      <c r="CN157" s="28" t="n">
        <f aca="false">SUMIF($C$2:$F$2,EOMONTH(CN$2,-1)+1,$C157:$F157)*VLOOKUP(CN$2,ProyDia[],8,0)</f>
        <v>0</v>
      </c>
      <c r="CO157" s="28" t="n">
        <f aca="false">SUMIF($C$2:$F$2,EOMONTH(CO$2,-1)+1,$C157:$F157)*VLOOKUP(CO$2,ProyDia[],8,0)</f>
        <v>0</v>
      </c>
      <c r="CP157" s="28" t="n">
        <f aca="false">SUMIF($C$2:$F$2,EOMONTH(CP$2,-1)+1,$C157:$F157)*VLOOKUP(CP$2,ProyDia[],8,0)</f>
        <v>0</v>
      </c>
      <c r="CQ157" s="28" t="n">
        <f aca="false">SUMIF($C$2:$F$2,EOMONTH(CQ$2,-1)+1,$C157:$F157)*VLOOKUP(CQ$2,ProyDia[],8,0)</f>
        <v>0</v>
      </c>
      <c r="CR157" s="28" t="n">
        <f aca="false">SUMIF($C$2:$F$2,EOMONTH(CR$2,-1)+1,$C157:$F157)*VLOOKUP(CR$2,ProyDia[],8,0)</f>
        <v>0</v>
      </c>
      <c r="CS157" s="28" t="n">
        <f aca="false">SUMIF($C$2:$F$2,EOMONTH(CS$2,-1)+1,$C157:$F157)*VLOOKUP(CS$2,ProyDia[],8,0)</f>
        <v>0</v>
      </c>
      <c r="CT157" s="28" t="n">
        <f aca="false">SUMIF($C$2:$F$2,EOMONTH(CT$2,-1)+1,$C157:$F157)*VLOOKUP(CT$2,ProyDia[],8,0)</f>
        <v>0</v>
      </c>
      <c r="CU157" s="28" t="n">
        <f aca="false">SUMIF($C$2:$F$2,EOMONTH(CU$2,-1)+1,$C157:$F157)*VLOOKUP(CU$2,ProyDia[],8,0)</f>
        <v>0</v>
      </c>
      <c r="CV157" s="28" t="n">
        <f aca="false">SUMIF($C$2:$F$2,EOMONTH(CV$2,-1)+1,$C157:$F157)*VLOOKUP(CV$2,ProyDia[],8,0)</f>
        <v>0</v>
      </c>
      <c r="CW157" s="28" t="n">
        <f aca="false">SUMIF($C$2:$F$2,EOMONTH(CW$2,-1)+1,$C157:$F157)*VLOOKUP(CW$2,ProyDia[],8,0)</f>
        <v>0</v>
      </c>
      <c r="CX157" s="28" t="n">
        <f aca="false">SUMIF($C$2:$F$2,EOMONTH(CX$2,-1)+1,$C157:$F157)*VLOOKUP(CX$2,ProyDia[],8,0)</f>
        <v>0</v>
      </c>
      <c r="CY157" s="28" t="n">
        <f aca="false">SUMIF($C$2:$F$2,EOMONTH(CY$2,-1)+1,$C157:$F157)*VLOOKUP(CY$2,ProyDia[],8,0)</f>
        <v>0</v>
      </c>
      <c r="CZ157" s="28" t="n">
        <f aca="false">SUMIF($C$2:$F$2,EOMONTH(CZ$2,-1)+1,$C157:$F157)*VLOOKUP(CZ$2,ProyDia[],8,0)</f>
        <v>0</v>
      </c>
      <c r="DA157" s="28" t="n">
        <f aca="false">SUMIF($C$2:$F$2,EOMONTH(DA$2,-1)+1,$C157:$F157)*VLOOKUP(DA$2,ProyDia[],8,0)</f>
        <v>0</v>
      </c>
      <c r="DB157" s="28" t="n">
        <f aca="false">SUMIF($C$2:$F$2,EOMONTH(DB$2,-1)+1,$C157:$F157)*VLOOKUP(DB$2,ProyDia[],8,0)</f>
        <v>0</v>
      </c>
      <c r="DC157" s="28" t="n">
        <f aca="false">SUMIF($C$2:$F$2,EOMONTH(DC$2,-1)+1,$C157:$F157)*VLOOKUP(DC$2,ProyDia[],8,0)</f>
        <v>0</v>
      </c>
      <c r="DD157" s="28" t="n">
        <f aca="false">SUMIF($C$2:$F$2,EOMONTH(DD$2,-1)+1,$C157:$F157)*VLOOKUP(DD$2,ProyDia[],8,0)</f>
        <v>0</v>
      </c>
      <c r="DE157" s="28" t="n">
        <f aca="false">SUMIF($C$2:$F$2,EOMONTH(DE$2,-1)+1,$C157:$F157)*VLOOKUP(DE$2,ProyDia[],8,0)</f>
        <v>0</v>
      </c>
      <c r="DF157" s="28" t="n">
        <f aca="false">SUMIF($C$2:$F$2,EOMONTH(DF$2,-1)+1,$C157:$F157)*VLOOKUP(DF$2,ProyDia[],8,0)</f>
        <v>0</v>
      </c>
      <c r="DG157" s="28" t="n">
        <f aca="false">SUMIF($C$2:$F$2,EOMONTH(DG$2,-1)+1,$C157:$F157)*VLOOKUP(DG$2,ProyDia[],8,0)</f>
        <v>0</v>
      </c>
      <c r="DH157" s="28" t="n">
        <f aca="false">SUMIF($C$2:$F$2,EOMONTH(DH$2,-1)+1,$C157:$F157)*VLOOKUP(DH$2,ProyDia[],8,0)</f>
        <v>0</v>
      </c>
      <c r="DI157" s="28" t="n">
        <f aca="false">SUMIF($C$2:$F$2,EOMONTH(DI$2,-1)+1,$C157:$F157)*VLOOKUP(DI$2,ProyDia[],8,0)</f>
        <v>0</v>
      </c>
      <c r="DJ157" s="28" t="n">
        <f aca="false">SUMIF($C$2:$F$2,EOMONTH(DJ$2,-1)+1,$C157:$F157)*VLOOKUP(DJ$2,ProyDia[],8,0)</f>
        <v>0</v>
      </c>
      <c r="DK157" s="28" t="n">
        <f aca="false">SUMIF($C$2:$F$2,EOMONTH(DK$2,-1)+1,$C157:$F157)*VLOOKUP(DK$2,ProyDia[],8,0)</f>
        <v>0</v>
      </c>
      <c r="DL157" s="28" t="n">
        <f aca="false">SUMIF($C$2:$F$2,EOMONTH(DL$2,-1)+1,$C157:$F157)*VLOOKUP(DL$2,ProyDia[],8,0)</f>
        <v>0</v>
      </c>
      <c r="DM157" s="28" t="n">
        <f aca="false">SUMIF($C$2:$F$2,EOMONTH(DM$2,-1)+1,$C157:$F157)*VLOOKUP(DM$2,ProyDia[],8,0)</f>
        <v>0</v>
      </c>
      <c r="DN157" s="28" t="n">
        <f aca="false">SUMIF($C$2:$F$2,EOMONTH(DN$2,-1)+1,$C157:$F157)*VLOOKUP(DN$2,ProyDia[],8,0)</f>
        <v>0</v>
      </c>
      <c r="DO157" s="28" t="n">
        <f aca="false">SUMIF($C$2:$F$2,EOMONTH(DO$2,-1)+1,$C157:$F157)*VLOOKUP(DO$2,ProyDia[],8,0)</f>
        <v>0</v>
      </c>
      <c r="DP157" s="28" t="n">
        <f aca="false">SUMIF($C$2:$F$2,EOMONTH(DP$2,-1)+1,$C157:$F157)*VLOOKUP(DP$2,ProyDia[],8,0)</f>
        <v>0</v>
      </c>
      <c r="DQ157" s="28" t="n">
        <f aca="false">SUMIF($C$2:$F$2,EOMONTH(DQ$2,-1)+1,$C157:$F157)*VLOOKUP(DQ$2,ProyDia[],8,0)</f>
        <v>0</v>
      </c>
      <c r="DR157" s="28" t="n">
        <f aca="false">SUMIF($C$2:$F$2,EOMONTH(DR$2,-1)+1,$C157:$F157)*VLOOKUP(DR$2,ProyDia[],8,0)</f>
        <v>0</v>
      </c>
      <c r="DS157" s="28" t="n">
        <f aca="false">SUMIF($C$2:$F$2,EOMONTH(DS$2,-1)+1,$C157:$F157)*VLOOKUP(DS$2,ProyDia[],8,0)</f>
        <v>0</v>
      </c>
      <c r="DT157" s="28" t="n">
        <f aca="false">SUMIF($C$2:$F$2,EOMONTH(DT$2,-1)+1,$C157:$F157)*VLOOKUP(DT$2,ProyDia[],8,0)</f>
        <v>0</v>
      </c>
      <c r="DU157" s="28" t="n">
        <f aca="false">SUMIF($C$2:$F$2,EOMONTH(DU$2,-1)+1,$C157:$F157)*VLOOKUP(DU$2,ProyDia[],8,0)</f>
        <v>0</v>
      </c>
      <c r="DV157" s="28" t="n">
        <f aca="false">SUMIF($C$2:$F$2,EOMONTH(DV$2,-1)+1,$C157:$F157)*VLOOKUP(DV$2,ProyDia[],8,0)</f>
        <v>0</v>
      </c>
      <c r="DW157" s="28" t="n">
        <f aca="false">SUMIF($C$2:$F$2,EOMONTH(DW$2,-1)+1,$C157:$F157)*VLOOKUP(DW$2,ProyDia[],8,0)</f>
        <v>0</v>
      </c>
      <c r="DX157" s="28" t="n">
        <f aca="false">SUMIF($C$2:$F$2,EOMONTH(DX$2,-1)+1,$C157:$F157)*VLOOKUP(DX$2,ProyDia[],8,0)</f>
        <v>0</v>
      </c>
    </row>
    <row r="158" customFormat="false" ht="14.4" hidden="false" customHeight="false" outlineLevel="0" collapsed="false">
      <c r="A158" s="35"/>
      <c r="B158" s="35"/>
      <c r="C158" s="35"/>
      <c r="D158" s="35"/>
      <c r="E158" s="35"/>
      <c r="F158" s="35"/>
      <c r="G158" s="36" t="n">
        <f aca="false">SUMIF($C$2:$F$2,EOMONTH(G$2,-1)+1,$C158:$F158)*VLOOKUP(G$2,ProyDia[],8,0)</f>
        <v>0</v>
      </c>
      <c r="H158" s="36" t="n">
        <f aca="false">SUMIF($C$2:$F$2,EOMONTH(H$2,-1)+1,$C158:$F158)*VLOOKUP(H$2,ProyDia[],8,0)</f>
        <v>0</v>
      </c>
      <c r="I158" s="36" t="n">
        <f aca="false">SUMIF($C$2:$F$2,EOMONTH(I$2,-1)+1,$C158:$F158)*VLOOKUP(I$2,ProyDia[],8,0)</f>
        <v>0</v>
      </c>
      <c r="J158" s="36" t="n">
        <f aca="false">SUMIF($C$2:$F$2,EOMONTH(J$2,-1)+1,$C158:$F158)*VLOOKUP(J$2,ProyDia[],8,0)</f>
        <v>0</v>
      </c>
      <c r="K158" s="36" t="n">
        <f aca="false">SUMIF($C$2:$F$2,EOMONTH(K$2,-1)+1,$C158:$F158)*VLOOKUP(K$2,ProyDia[],8,0)</f>
        <v>0</v>
      </c>
      <c r="L158" s="36" t="n">
        <f aca="false">SUMIF($C$2:$F$2,EOMONTH(L$2,-1)+1,$C158:$F158)*VLOOKUP(L$2,ProyDia[],8,0)</f>
        <v>0</v>
      </c>
      <c r="M158" s="36" t="n">
        <f aca="false">SUMIF($C$2:$F$2,EOMONTH(M$2,-1)+1,$C158:$F158)*VLOOKUP(M$2,ProyDia[],8,0)</f>
        <v>0</v>
      </c>
      <c r="N158" s="36" t="n">
        <f aca="false">SUMIF($C$2:$F$2,EOMONTH(N$2,-1)+1,$C158:$F158)*VLOOKUP(N$2,ProyDia[],8,0)</f>
        <v>0</v>
      </c>
      <c r="O158" s="36" t="n">
        <f aca="false">SUMIF($C$2:$F$2,EOMONTH(O$2,-1)+1,$C158:$F158)*VLOOKUP(O$2,ProyDia[],8,0)</f>
        <v>0</v>
      </c>
      <c r="P158" s="36" t="n">
        <f aca="false">SUMIF($C$2:$F$2,EOMONTH(P$2,-1)+1,$C158:$F158)*VLOOKUP(P$2,ProyDia[],8,0)</f>
        <v>0</v>
      </c>
      <c r="Q158" s="36" t="n">
        <f aca="false">SUMIF($C$2:$F$2,EOMONTH(Q$2,-1)+1,$C158:$F158)*VLOOKUP(Q$2,ProyDia[],8,0)</f>
        <v>0</v>
      </c>
      <c r="R158" s="36" t="n">
        <f aca="false">SUMIF($C$2:$F$2,EOMONTH(R$2,-1)+1,$C158:$F158)*VLOOKUP(R$2,ProyDia[],8,0)</f>
        <v>0</v>
      </c>
      <c r="S158" s="36" t="n">
        <f aca="false">SUMIF($C$2:$F$2,EOMONTH(S$2,-1)+1,$C158:$F158)*VLOOKUP(S$2,ProyDia[],8,0)</f>
        <v>0</v>
      </c>
      <c r="T158" s="36" t="n">
        <f aca="false">SUMIF($C$2:$F$2,EOMONTH(T$2,-1)+1,$C158:$F158)*VLOOKUP(T$2,ProyDia[],8,0)</f>
        <v>0</v>
      </c>
      <c r="U158" s="36" t="n">
        <f aca="false">SUMIF($C$2:$F$2,EOMONTH(U$2,-1)+1,$C158:$F158)*VLOOKUP(U$2,ProyDia[],8,0)</f>
        <v>0</v>
      </c>
      <c r="V158" s="36" t="n">
        <f aca="false">SUMIF($C$2:$F$2,EOMONTH(V$2,-1)+1,$C158:$F158)*VLOOKUP(V$2,ProyDia[],8,0)</f>
        <v>0</v>
      </c>
      <c r="W158" s="36" t="n">
        <f aca="false">SUMIF($C$2:$F$2,EOMONTH(W$2,-1)+1,$C158:$F158)*VLOOKUP(W$2,ProyDia[],8,0)</f>
        <v>0</v>
      </c>
      <c r="X158" s="36" t="n">
        <f aca="false">SUMIF($C$2:$F$2,EOMONTH(X$2,-1)+1,$C158:$F158)*VLOOKUP(X$2,ProyDia[],8,0)</f>
        <v>0</v>
      </c>
      <c r="Y158" s="36" t="n">
        <f aca="false">SUMIF($C$2:$F$2,EOMONTH(Y$2,-1)+1,$C158:$F158)*VLOOKUP(Y$2,ProyDia[],8,0)</f>
        <v>0</v>
      </c>
      <c r="Z158" s="36" t="n">
        <f aca="false">SUMIF($C$2:$F$2,EOMONTH(Z$2,-1)+1,$C158:$F158)*VLOOKUP(Z$2,ProyDia[],8,0)</f>
        <v>0</v>
      </c>
      <c r="AA158" s="36" t="n">
        <f aca="false">SUMIF($C$2:$F$2,EOMONTH(AA$2,-1)+1,$C158:$F158)*VLOOKUP(AA$2,ProyDia[],8,0)</f>
        <v>0</v>
      </c>
      <c r="AB158" s="36" t="n">
        <f aca="false">SUMIF($C$2:$F$2,EOMONTH(AB$2,-1)+1,$C158:$F158)*VLOOKUP(AB$2,ProyDia[],8,0)</f>
        <v>0</v>
      </c>
      <c r="AC158" s="36" t="n">
        <f aca="false">SUMIF($C$2:$F$2,EOMONTH(AC$2,-1)+1,$C158:$F158)*VLOOKUP(AC$2,ProyDia[],8,0)</f>
        <v>0</v>
      </c>
      <c r="AD158" s="36" t="n">
        <f aca="false">SUMIF($C$2:$F$2,EOMONTH(AD$2,-1)+1,$C158:$F158)*VLOOKUP(AD$2,ProyDia[],8,0)</f>
        <v>0</v>
      </c>
      <c r="AE158" s="36" t="n">
        <f aca="false">SUMIF($C$2:$F$2,EOMONTH(AE$2,-1)+1,$C158:$F158)*VLOOKUP(AE$2,ProyDia[],8,0)</f>
        <v>0</v>
      </c>
      <c r="AF158" s="36" t="n">
        <f aca="false">SUMIF($C$2:$F$2,EOMONTH(AF$2,-1)+1,$C158:$F158)*VLOOKUP(AF$2,ProyDia[],8,0)</f>
        <v>0</v>
      </c>
      <c r="AG158" s="36" t="n">
        <f aca="false">SUMIF($C$2:$F$2,EOMONTH(AG$2,-1)+1,$C158:$F158)*VLOOKUP(AG$2,ProyDia[],8,0)</f>
        <v>0</v>
      </c>
      <c r="AH158" s="36" t="n">
        <f aca="false">SUMIF($C$2:$F$2,EOMONTH(AH$2,-1)+1,$C158:$F158)*VLOOKUP(AH$2,ProyDia[],8,0)</f>
        <v>0</v>
      </c>
      <c r="AI158" s="36" t="n">
        <f aca="false">SUMIF($C$2:$F$2,EOMONTH(AI$2,-1)+1,$C158:$F158)*VLOOKUP(AI$2,ProyDia[],8,0)</f>
        <v>0</v>
      </c>
      <c r="AJ158" s="36" t="n">
        <f aca="false">SUMIF($C$2:$F$2,EOMONTH(AJ$2,-1)+1,$C158:$F158)*VLOOKUP(AJ$2,ProyDia[],8,0)</f>
        <v>0</v>
      </c>
      <c r="AK158" s="36" t="n">
        <f aca="false">SUMIF($C$2:$F$2,EOMONTH(AK$2,-1)+1,$C158:$F158)*VLOOKUP(AK$2,ProyDia[],8,0)</f>
        <v>0</v>
      </c>
      <c r="AL158" s="36" t="n">
        <f aca="false">SUMIF($C$2:$F$2,EOMONTH(AL$2,-1)+1,$C158:$F158)*VLOOKUP(AL$2,ProyDia[],8,0)</f>
        <v>0</v>
      </c>
      <c r="AM158" s="36" t="n">
        <f aca="false">SUMIF($C$2:$F$2,EOMONTH(AM$2,-1)+1,$C158:$F158)*VLOOKUP(AM$2,ProyDia[],8,0)</f>
        <v>0</v>
      </c>
      <c r="AN158" s="36" t="n">
        <f aca="false">SUMIF($C$2:$F$2,EOMONTH(AN$2,-1)+1,$C158:$F158)*VLOOKUP(AN$2,ProyDia[],8,0)</f>
        <v>0</v>
      </c>
      <c r="AO158" s="36" t="n">
        <f aca="false">SUMIF($C$2:$F$2,EOMONTH(AO$2,-1)+1,$C158:$F158)*VLOOKUP(AO$2,ProyDia[],8,0)</f>
        <v>0</v>
      </c>
      <c r="AP158" s="36" t="n">
        <f aca="false">SUMIF($C$2:$F$2,EOMONTH(AP$2,-1)+1,$C158:$F158)*VLOOKUP(AP$2,ProyDia[],8,0)</f>
        <v>0</v>
      </c>
      <c r="AQ158" s="36" t="n">
        <f aca="false">SUMIF($C$2:$F$2,EOMONTH(AQ$2,-1)+1,$C158:$F158)*VLOOKUP(AQ$2,ProyDia[],8,0)</f>
        <v>0</v>
      </c>
      <c r="AR158" s="36" t="n">
        <f aca="false">SUMIF($C$2:$F$2,EOMONTH(AR$2,-1)+1,$C158:$F158)*VLOOKUP(AR$2,ProyDia[],8,0)</f>
        <v>0</v>
      </c>
      <c r="AS158" s="36" t="n">
        <f aca="false">SUMIF($C$2:$F$2,EOMONTH(AS$2,-1)+1,$C158:$F158)*VLOOKUP(AS$2,ProyDia[],8,0)</f>
        <v>0</v>
      </c>
      <c r="AT158" s="36" t="n">
        <f aca="false">SUMIF($C$2:$F$2,EOMONTH(AT$2,-1)+1,$C158:$F158)*VLOOKUP(AT$2,ProyDia[],8,0)</f>
        <v>0</v>
      </c>
      <c r="AU158" s="36" t="n">
        <f aca="false">SUMIF($C$2:$F$2,EOMONTH(AU$2,-1)+1,$C158:$F158)*VLOOKUP(AU$2,ProyDia[],8,0)</f>
        <v>0</v>
      </c>
      <c r="AV158" s="36" t="n">
        <f aca="false">SUMIF($C$2:$F$2,EOMONTH(AV$2,-1)+1,$C158:$F158)*VLOOKUP(AV$2,ProyDia[],8,0)</f>
        <v>0</v>
      </c>
      <c r="AW158" s="36" t="n">
        <f aca="false">SUMIF($C$2:$F$2,EOMONTH(AW$2,-1)+1,$C158:$F158)*VLOOKUP(AW$2,ProyDia[],8,0)</f>
        <v>0</v>
      </c>
      <c r="AX158" s="36" t="n">
        <f aca="false">SUMIF($C$2:$F$2,EOMONTH(AX$2,-1)+1,$C158:$F158)*VLOOKUP(AX$2,ProyDia[],8,0)</f>
        <v>0</v>
      </c>
      <c r="AY158" s="36" t="n">
        <f aca="false">SUMIF($C$2:$F$2,EOMONTH(AY$2,-1)+1,$C158:$F158)*VLOOKUP(AY$2,ProyDia[],8,0)</f>
        <v>0</v>
      </c>
      <c r="AZ158" s="36" t="n">
        <f aca="false">SUMIF($C$2:$F$2,EOMONTH(AZ$2,-1)+1,$C158:$F158)*VLOOKUP(AZ$2,ProyDia[],8,0)</f>
        <v>0</v>
      </c>
      <c r="BA158" s="36" t="n">
        <f aca="false">SUMIF($C$2:$F$2,EOMONTH(BA$2,-1)+1,$C158:$F158)*VLOOKUP(BA$2,ProyDia[],8,0)</f>
        <v>0</v>
      </c>
      <c r="BB158" s="36" t="n">
        <f aca="false">SUMIF($C$2:$F$2,EOMONTH(BB$2,-1)+1,$C158:$F158)*VLOOKUP(BB$2,ProyDia[],8,0)</f>
        <v>0</v>
      </c>
      <c r="BC158" s="36" t="n">
        <f aca="false">SUMIF($C$2:$F$2,EOMONTH(BC$2,-1)+1,$C158:$F158)*VLOOKUP(BC$2,ProyDia[],8,0)</f>
        <v>0</v>
      </c>
      <c r="BD158" s="36" t="n">
        <f aca="false">SUMIF($C$2:$F$2,EOMONTH(BD$2,-1)+1,$C158:$F158)*VLOOKUP(BD$2,ProyDia[],8,0)</f>
        <v>0</v>
      </c>
      <c r="BE158" s="36" t="n">
        <f aca="false">SUMIF($C$2:$F$2,EOMONTH(BE$2,-1)+1,$C158:$F158)*VLOOKUP(BE$2,ProyDia[],8,0)</f>
        <v>0</v>
      </c>
      <c r="BF158" s="36" t="n">
        <f aca="false">SUMIF($C$2:$F$2,EOMONTH(BF$2,-1)+1,$C158:$F158)*VLOOKUP(BF$2,ProyDia[],8,0)</f>
        <v>0</v>
      </c>
      <c r="BG158" s="36" t="n">
        <f aca="false">SUMIF($C$2:$F$2,EOMONTH(BG$2,-1)+1,$C158:$F158)*VLOOKUP(BG$2,ProyDia[],8,0)</f>
        <v>0</v>
      </c>
      <c r="BH158" s="36" t="n">
        <f aca="false">SUMIF($C$2:$F$2,EOMONTH(BH$2,-1)+1,$C158:$F158)*VLOOKUP(BH$2,ProyDia[],8,0)</f>
        <v>0</v>
      </c>
      <c r="BI158" s="36" t="n">
        <f aca="false">SUMIF($C$2:$F$2,EOMONTH(BI$2,-1)+1,$C158:$F158)*VLOOKUP(BI$2,ProyDia[],8,0)</f>
        <v>0</v>
      </c>
      <c r="BJ158" s="36" t="n">
        <f aca="false">SUMIF($C$2:$F$2,EOMONTH(BJ$2,-1)+1,$C158:$F158)*VLOOKUP(BJ$2,ProyDia[],8,0)</f>
        <v>0</v>
      </c>
      <c r="BK158" s="36" t="n">
        <f aca="false">SUMIF($C$2:$F$2,EOMONTH(BK$2,-1)+1,$C158:$F158)*VLOOKUP(BK$2,ProyDia[],8,0)</f>
        <v>0</v>
      </c>
      <c r="BL158" s="36" t="n">
        <f aca="false">SUMIF($C$2:$F$2,EOMONTH(BL$2,-1)+1,$C158:$F158)*VLOOKUP(BL$2,ProyDia[],8,0)</f>
        <v>0</v>
      </c>
      <c r="BM158" s="36" t="n">
        <f aca="false">SUMIF($C$2:$F$2,EOMONTH(BM$2,-1)+1,$C158:$F158)*VLOOKUP(BM$2,ProyDia[],8,0)</f>
        <v>0</v>
      </c>
      <c r="BN158" s="36" t="n">
        <f aca="false">SUMIF($C$2:$F$2,EOMONTH(BN$2,-1)+1,$C158:$F158)*VLOOKUP(BN$2,ProyDia[],8,0)</f>
        <v>0</v>
      </c>
      <c r="BO158" s="36" t="n">
        <f aca="false">SUMIF($C$2:$F$2,EOMONTH(BO$2,-1)+1,$C158:$F158)*VLOOKUP(BO$2,ProyDia[],8,0)</f>
        <v>0</v>
      </c>
      <c r="BP158" s="36" t="n">
        <f aca="false">SUMIF($C$2:$F$2,EOMONTH(BP$2,-1)+1,$C158:$F158)*VLOOKUP(BP$2,ProyDia[],8,0)</f>
        <v>0</v>
      </c>
      <c r="BQ158" s="36" t="n">
        <f aca="false">SUMIF($C$2:$F$2,EOMONTH(BQ$2,-1)+1,$C158:$F158)*VLOOKUP(BQ$2,ProyDia[],8,0)</f>
        <v>0</v>
      </c>
      <c r="BR158" s="36" t="n">
        <f aca="false">SUMIF($C$2:$F$2,EOMONTH(BR$2,-1)+1,$C158:$F158)*VLOOKUP(BR$2,ProyDia[],8,0)</f>
        <v>0</v>
      </c>
      <c r="BS158" s="36" t="n">
        <f aca="false">SUMIF($C$2:$F$2,EOMONTH(BS$2,-1)+1,$C158:$F158)*VLOOKUP(BS$2,ProyDia[],8,0)</f>
        <v>0</v>
      </c>
      <c r="BT158" s="36" t="n">
        <f aca="false">SUMIF($C$2:$F$2,EOMONTH(BT$2,-1)+1,$C158:$F158)*VLOOKUP(BT$2,ProyDia[],8,0)</f>
        <v>0</v>
      </c>
      <c r="BU158" s="36" t="n">
        <f aca="false">SUMIF($C$2:$F$2,EOMONTH(BU$2,-1)+1,$C158:$F158)*VLOOKUP(BU$2,ProyDia[],8,0)</f>
        <v>0</v>
      </c>
      <c r="BV158" s="36" t="n">
        <f aca="false">SUMIF($C$2:$F$2,EOMONTH(BV$2,-1)+1,$C158:$F158)*VLOOKUP(BV$2,ProyDia[],8,0)</f>
        <v>0</v>
      </c>
      <c r="BW158" s="36" t="n">
        <f aca="false">SUMIF($C$2:$F$2,EOMONTH(BW$2,-1)+1,$C158:$F158)*VLOOKUP(BW$2,ProyDia[],8,0)</f>
        <v>0</v>
      </c>
      <c r="BX158" s="36" t="n">
        <f aca="false">SUMIF($C$2:$F$2,EOMONTH(BX$2,-1)+1,$C158:$F158)*VLOOKUP(BX$2,ProyDia[],8,0)</f>
        <v>0</v>
      </c>
      <c r="BY158" s="36" t="n">
        <f aca="false">SUMIF($C$2:$F$2,EOMONTH(BY$2,-1)+1,$C158:$F158)*VLOOKUP(BY$2,ProyDia[],8,0)</f>
        <v>0</v>
      </c>
      <c r="BZ158" s="36" t="n">
        <f aca="false">SUMIF($C$2:$F$2,EOMONTH(BZ$2,-1)+1,$C158:$F158)*VLOOKUP(BZ$2,ProyDia[],8,0)</f>
        <v>0</v>
      </c>
      <c r="CA158" s="36" t="n">
        <f aca="false">SUMIF($C$2:$F$2,EOMONTH(CA$2,-1)+1,$C158:$F158)*VLOOKUP(CA$2,ProyDia[],8,0)</f>
        <v>0</v>
      </c>
      <c r="CB158" s="36" t="n">
        <f aca="false">SUMIF($C$2:$F$2,EOMONTH(CB$2,-1)+1,$C158:$F158)*VLOOKUP(CB$2,ProyDia[],8,0)</f>
        <v>0</v>
      </c>
      <c r="CC158" s="36" t="n">
        <f aca="false">SUMIF($C$2:$F$2,EOMONTH(CC$2,-1)+1,$C158:$F158)*VLOOKUP(CC$2,ProyDia[],8,0)</f>
        <v>0</v>
      </c>
      <c r="CD158" s="36" t="n">
        <f aca="false">SUMIF($C$2:$F$2,EOMONTH(CD$2,-1)+1,$C158:$F158)*VLOOKUP(CD$2,ProyDia[],8,0)</f>
        <v>0</v>
      </c>
      <c r="CE158" s="36" t="n">
        <f aca="false">SUMIF($C$2:$F$2,EOMONTH(CE$2,-1)+1,$C158:$F158)*VLOOKUP(CE$2,ProyDia[],8,0)</f>
        <v>0</v>
      </c>
      <c r="CF158" s="36" t="n">
        <f aca="false">SUMIF($C$2:$F$2,EOMONTH(CF$2,-1)+1,$C158:$F158)*VLOOKUP(CF$2,ProyDia[],8,0)</f>
        <v>0</v>
      </c>
      <c r="CG158" s="36" t="n">
        <f aca="false">SUMIF($C$2:$F$2,EOMONTH(CG$2,-1)+1,$C158:$F158)*VLOOKUP(CG$2,ProyDia[],8,0)</f>
        <v>0</v>
      </c>
      <c r="CH158" s="36" t="n">
        <f aca="false">SUMIF($C$2:$F$2,EOMONTH(CH$2,-1)+1,$C158:$F158)*VLOOKUP(CH$2,ProyDia[],8,0)</f>
        <v>0</v>
      </c>
      <c r="CI158" s="36" t="n">
        <f aca="false">SUMIF($C$2:$F$2,EOMONTH(CI$2,-1)+1,$C158:$F158)*VLOOKUP(CI$2,ProyDia[],8,0)</f>
        <v>0</v>
      </c>
      <c r="CJ158" s="36" t="n">
        <f aca="false">SUMIF($C$2:$F$2,EOMONTH(CJ$2,-1)+1,$C158:$F158)*VLOOKUP(CJ$2,ProyDia[],8,0)</f>
        <v>0</v>
      </c>
      <c r="CK158" s="36" t="n">
        <f aca="false">SUMIF($C$2:$F$2,EOMONTH(CK$2,-1)+1,$C158:$F158)*VLOOKUP(CK$2,ProyDia[],8,0)</f>
        <v>0</v>
      </c>
      <c r="CL158" s="36" t="n">
        <f aca="false">SUMIF($C$2:$F$2,EOMONTH(CL$2,-1)+1,$C158:$F158)*VLOOKUP(CL$2,ProyDia[],8,0)</f>
        <v>0</v>
      </c>
      <c r="CM158" s="36" t="n">
        <f aca="false">SUMIF($C$2:$F$2,EOMONTH(CM$2,-1)+1,$C158:$F158)*VLOOKUP(CM$2,ProyDia[],8,0)</f>
        <v>0</v>
      </c>
      <c r="CN158" s="36" t="n">
        <f aca="false">SUMIF($C$2:$F$2,EOMONTH(CN$2,-1)+1,$C158:$F158)*VLOOKUP(CN$2,ProyDia[],8,0)</f>
        <v>0</v>
      </c>
      <c r="CO158" s="36" t="n">
        <f aca="false">SUMIF($C$2:$F$2,EOMONTH(CO$2,-1)+1,$C158:$F158)*VLOOKUP(CO$2,ProyDia[],8,0)</f>
        <v>0</v>
      </c>
      <c r="CP158" s="36" t="n">
        <f aca="false">SUMIF($C$2:$F$2,EOMONTH(CP$2,-1)+1,$C158:$F158)*VLOOKUP(CP$2,ProyDia[],8,0)</f>
        <v>0</v>
      </c>
      <c r="CQ158" s="36" t="n">
        <f aca="false">SUMIF($C$2:$F$2,EOMONTH(CQ$2,-1)+1,$C158:$F158)*VLOOKUP(CQ$2,ProyDia[],8,0)</f>
        <v>0</v>
      </c>
      <c r="CR158" s="36" t="n">
        <f aca="false">SUMIF($C$2:$F$2,EOMONTH(CR$2,-1)+1,$C158:$F158)*VLOOKUP(CR$2,ProyDia[],8,0)</f>
        <v>0</v>
      </c>
      <c r="CS158" s="36" t="n">
        <f aca="false">SUMIF($C$2:$F$2,EOMONTH(CS$2,-1)+1,$C158:$F158)*VLOOKUP(CS$2,ProyDia[],8,0)</f>
        <v>0</v>
      </c>
      <c r="CT158" s="36" t="n">
        <f aca="false">SUMIF($C$2:$F$2,EOMONTH(CT$2,-1)+1,$C158:$F158)*VLOOKUP(CT$2,ProyDia[],8,0)</f>
        <v>0</v>
      </c>
      <c r="CU158" s="36" t="n">
        <f aca="false">SUMIF($C$2:$F$2,EOMONTH(CU$2,-1)+1,$C158:$F158)*VLOOKUP(CU$2,ProyDia[],8,0)</f>
        <v>0</v>
      </c>
      <c r="CV158" s="36" t="n">
        <f aca="false">SUMIF($C$2:$F$2,EOMONTH(CV$2,-1)+1,$C158:$F158)*VLOOKUP(CV$2,ProyDia[],8,0)</f>
        <v>0</v>
      </c>
      <c r="CW158" s="36" t="n">
        <f aca="false">SUMIF($C$2:$F$2,EOMONTH(CW$2,-1)+1,$C158:$F158)*VLOOKUP(CW$2,ProyDia[],8,0)</f>
        <v>0</v>
      </c>
      <c r="CX158" s="36" t="n">
        <f aca="false">SUMIF($C$2:$F$2,EOMONTH(CX$2,-1)+1,$C158:$F158)*VLOOKUP(CX$2,ProyDia[],8,0)</f>
        <v>0</v>
      </c>
      <c r="CY158" s="36" t="n">
        <f aca="false">SUMIF($C$2:$F$2,EOMONTH(CY$2,-1)+1,$C158:$F158)*VLOOKUP(CY$2,ProyDia[],8,0)</f>
        <v>0</v>
      </c>
      <c r="CZ158" s="36" t="n">
        <f aca="false">SUMIF($C$2:$F$2,EOMONTH(CZ$2,-1)+1,$C158:$F158)*VLOOKUP(CZ$2,ProyDia[],8,0)</f>
        <v>0</v>
      </c>
      <c r="DA158" s="36" t="n">
        <f aca="false">SUMIF($C$2:$F$2,EOMONTH(DA$2,-1)+1,$C158:$F158)*VLOOKUP(DA$2,ProyDia[],8,0)</f>
        <v>0</v>
      </c>
      <c r="DB158" s="36" t="n">
        <f aca="false">SUMIF($C$2:$F$2,EOMONTH(DB$2,-1)+1,$C158:$F158)*VLOOKUP(DB$2,ProyDia[],8,0)</f>
        <v>0</v>
      </c>
      <c r="DC158" s="36" t="n">
        <f aca="false">SUMIF($C$2:$F$2,EOMONTH(DC$2,-1)+1,$C158:$F158)*VLOOKUP(DC$2,ProyDia[],8,0)</f>
        <v>0</v>
      </c>
      <c r="DD158" s="36" t="n">
        <f aca="false">SUMIF($C$2:$F$2,EOMONTH(DD$2,-1)+1,$C158:$F158)*VLOOKUP(DD$2,ProyDia[],8,0)</f>
        <v>0</v>
      </c>
      <c r="DE158" s="36" t="n">
        <f aca="false">SUMIF($C$2:$F$2,EOMONTH(DE$2,-1)+1,$C158:$F158)*VLOOKUP(DE$2,ProyDia[],8,0)</f>
        <v>0</v>
      </c>
      <c r="DF158" s="36" t="n">
        <f aca="false">SUMIF($C$2:$F$2,EOMONTH(DF$2,-1)+1,$C158:$F158)*VLOOKUP(DF$2,ProyDia[],8,0)</f>
        <v>0</v>
      </c>
      <c r="DG158" s="36" t="n">
        <f aca="false">SUMIF($C$2:$F$2,EOMONTH(DG$2,-1)+1,$C158:$F158)*VLOOKUP(DG$2,ProyDia[],8,0)</f>
        <v>0</v>
      </c>
      <c r="DH158" s="36" t="n">
        <f aca="false">SUMIF($C$2:$F$2,EOMONTH(DH$2,-1)+1,$C158:$F158)*VLOOKUP(DH$2,ProyDia[],8,0)</f>
        <v>0</v>
      </c>
      <c r="DI158" s="36" t="n">
        <f aca="false">SUMIF($C$2:$F$2,EOMONTH(DI$2,-1)+1,$C158:$F158)*VLOOKUP(DI$2,ProyDia[],8,0)</f>
        <v>0</v>
      </c>
      <c r="DJ158" s="36" t="n">
        <f aca="false">SUMIF($C$2:$F$2,EOMONTH(DJ$2,-1)+1,$C158:$F158)*VLOOKUP(DJ$2,ProyDia[],8,0)</f>
        <v>0</v>
      </c>
      <c r="DK158" s="36" t="n">
        <f aca="false">SUMIF($C$2:$F$2,EOMONTH(DK$2,-1)+1,$C158:$F158)*VLOOKUP(DK$2,ProyDia[],8,0)</f>
        <v>0</v>
      </c>
      <c r="DL158" s="36" t="n">
        <f aca="false">SUMIF($C$2:$F$2,EOMONTH(DL$2,-1)+1,$C158:$F158)*VLOOKUP(DL$2,ProyDia[],8,0)</f>
        <v>0</v>
      </c>
      <c r="DM158" s="36" t="n">
        <f aca="false">SUMIF($C$2:$F$2,EOMONTH(DM$2,-1)+1,$C158:$F158)*VLOOKUP(DM$2,ProyDia[],8,0)</f>
        <v>0</v>
      </c>
      <c r="DN158" s="36" t="n">
        <f aca="false">SUMIF($C$2:$F$2,EOMONTH(DN$2,-1)+1,$C158:$F158)*VLOOKUP(DN$2,ProyDia[],8,0)</f>
        <v>0</v>
      </c>
      <c r="DO158" s="36" t="n">
        <f aca="false">SUMIF($C$2:$F$2,EOMONTH(DO$2,-1)+1,$C158:$F158)*VLOOKUP(DO$2,ProyDia[],8,0)</f>
        <v>0</v>
      </c>
      <c r="DP158" s="36" t="n">
        <f aca="false">SUMIF($C$2:$F$2,EOMONTH(DP$2,-1)+1,$C158:$F158)*VLOOKUP(DP$2,ProyDia[],8,0)</f>
        <v>0</v>
      </c>
      <c r="DQ158" s="36" t="n">
        <f aca="false">SUMIF($C$2:$F$2,EOMONTH(DQ$2,-1)+1,$C158:$F158)*VLOOKUP(DQ$2,ProyDia[],8,0)</f>
        <v>0</v>
      </c>
      <c r="DR158" s="36" t="n">
        <f aca="false">SUMIF($C$2:$F$2,EOMONTH(DR$2,-1)+1,$C158:$F158)*VLOOKUP(DR$2,ProyDia[],8,0)</f>
        <v>0</v>
      </c>
      <c r="DS158" s="36" t="n">
        <f aca="false">SUMIF($C$2:$F$2,EOMONTH(DS$2,-1)+1,$C158:$F158)*VLOOKUP(DS$2,ProyDia[],8,0)</f>
        <v>0</v>
      </c>
      <c r="DT158" s="36" t="n">
        <f aca="false">SUMIF($C$2:$F$2,EOMONTH(DT$2,-1)+1,$C158:$F158)*VLOOKUP(DT$2,ProyDia[],8,0)</f>
        <v>0</v>
      </c>
      <c r="DU158" s="36" t="n">
        <f aca="false">SUMIF($C$2:$F$2,EOMONTH(DU$2,-1)+1,$C158:$F158)*VLOOKUP(DU$2,ProyDia[],8,0)</f>
        <v>0</v>
      </c>
      <c r="DV158" s="36" t="n">
        <f aca="false">SUMIF($C$2:$F$2,EOMONTH(DV$2,-1)+1,$C158:$F158)*VLOOKUP(DV$2,ProyDia[],8,0)</f>
        <v>0</v>
      </c>
      <c r="DW158" s="36" t="n">
        <f aca="false">SUMIF($C$2:$F$2,EOMONTH(DW$2,-1)+1,$C158:$F158)*VLOOKUP(DW$2,ProyDia[],8,0)</f>
        <v>0</v>
      </c>
      <c r="DX158" s="36" t="n">
        <f aca="false">SUMIF($C$2:$F$2,EOMONTH(DX$2,-1)+1,$C158:$F158)*VLOOKUP(DX$2,ProyDia[],8,0)</f>
        <v>0</v>
      </c>
    </row>
    <row r="159" customFormat="false" ht="14.4" hidden="false" customHeight="false" outlineLevel="0" collapsed="false">
      <c r="A159" s="34"/>
      <c r="B159" s="34"/>
      <c r="C159" s="34"/>
      <c r="D159" s="34"/>
      <c r="E159" s="34"/>
      <c r="F159" s="34"/>
      <c r="G159" s="28" t="n">
        <f aca="false">SUMIF($C$2:$F$2,EOMONTH(G$2,-1)+1,$C159:$F159)*VLOOKUP(G$2,ProyDia[],8,0)</f>
        <v>0</v>
      </c>
      <c r="H159" s="28" t="n">
        <f aca="false">SUMIF($C$2:$F$2,EOMONTH(H$2,-1)+1,$C159:$F159)*VLOOKUP(H$2,ProyDia[],8,0)</f>
        <v>0</v>
      </c>
      <c r="I159" s="28" t="n">
        <f aca="false">SUMIF($C$2:$F$2,EOMONTH(I$2,-1)+1,$C159:$F159)*VLOOKUP(I$2,ProyDia[],8,0)</f>
        <v>0</v>
      </c>
      <c r="J159" s="28" t="n">
        <f aca="false">SUMIF($C$2:$F$2,EOMONTH(J$2,-1)+1,$C159:$F159)*VLOOKUP(J$2,ProyDia[],8,0)</f>
        <v>0</v>
      </c>
      <c r="K159" s="28" t="n">
        <f aca="false">SUMIF($C$2:$F$2,EOMONTH(K$2,-1)+1,$C159:$F159)*VLOOKUP(K$2,ProyDia[],8,0)</f>
        <v>0</v>
      </c>
      <c r="L159" s="28" t="n">
        <f aca="false">SUMIF($C$2:$F$2,EOMONTH(L$2,-1)+1,$C159:$F159)*VLOOKUP(L$2,ProyDia[],8,0)</f>
        <v>0</v>
      </c>
      <c r="M159" s="28" t="n">
        <f aca="false">SUMIF($C$2:$F$2,EOMONTH(M$2,-1)+1,$C159:$F159)*VLOOKUP(M$2,ProyDia[],8,0)</f>
        <v>0</v>
      </c>
      <c r="N159" s="28" t="n">
        <f aca="false">SUMIF($C$2:$F$2,EOMONTH(N$2,-1)+1,$C159:$F159)*VLOOKUP(N$2,ProyDia[],8,0)</f>
        <v>0</v>
      </c>
      <c r="O159" s="28" t="n">
        <f aca="false">SUMIF($C$2:$F$2,EOMONTH(O$2,-1)+1,$C159:$F159)*VLOOKUP(O$2,ProyDia[],8,0)</f>
        <v>0</v>
      </c>
      <c r="P159" s="28" t="n">
        <f aca="false">SUMIF($C$2:$F$2,EOMONTH(P$2,-1)+1,$C159:$F159)*VLOOKUP(P$2,ProyDia[],8,0)</f>
        <v>0</v>
      </c>
      <c r="Q159" s="28" t="n">
        <f aca="false">SUMIF($C$2:$F$2,EOMONTH(Q$2,-1)+1,$C159:$F159)*VLOOKUP(Q$2,ProyDia[],8,0)</f>
        <v>0</v>
      </c>
      <c r="R159" s="28" t="n">
        <f aca="false">SUMIF($C$2:$F$2,EOMONTH(R$2,-1)+1,$C159:$F159)*VLOOKUP(R$2,ProyDia[],8,0)</f>
        <v>0</v>
      </c>
      <c r="S159" s="28" t="n">
        <f aca="false">SUMIF($C$2:$F$2,EOMONTH(S$2,-1)+1,$C159:$F159)*VLOOKUP(S$2,ProyDia[],8,0)</f>
        <v>0</v>
      </c>
      <c r="T159" s="28" t="n">
        <f aca="false">SUMIF($C$2:$F$2,EOMONTH(T$2,-1)+1,$C159:$F159)*VLOOKUP(T$2,ProyDia[],8,0)</f>
        <v>0</v>
      </c>
      <c r="U159" s="28" t="n">
        <f aca="false">SUMIF($C$2:$F$2,EOMONTH(U$2,-1)+1,$C159:$F159)*VLOOKUP(U$2,ProyDia[],8,0)</f>
        <v>0</v>
      </c>
      <c r="V159" s="28" t="n">
        <f aca="false">SUMIF($C$2:$F$2,EOMONTH(V$2,-1)+1,$C159:$F159)*VLOOKUP(V$2,ProyDia[],8,0)</f>
        <v>0</v>
      </c>
      <c r="W159" s="28" t="n">
        <f aca="false">SUMIF($C$2:$F$2,EOMONTH(W$2,-1)+1,$C159:$F159)*VLOOKUP(W$2,ProyDia[],8,0)</f>
        <v>0</v>
      </c>
      <c r="X159" s="28" t="n">
        <f aca="false">SUMIF($C$2:$F$2,EOMONTH(X$2,-1)+1,$C159:$F159)*VLOOKUP(X$2,ProyDia[],8,0)</f>
        <v>0</v>
      </c>
      <c r="Y159" s="28" t="n">
        <f aca="false">SUMIF($C$2:$F$2,EOMONTH(Y$2,-1)+1,$C159:$F159)*VLOOKUP(Y$2,ProyDia[],8,0)</f>
        <v>0</v>
      </c>
      <c r="Z159" s="28" t="n">
        <f aca="false">SUMIF($C$2:$F$2,EOMONTH(Z$2,-1)+1,$C159:$F159)*VLOOKUP(Z$2,ProyDia[],8,0)</f>
        <v>0</v>
      </c>
      <c r="AA159" s="28" t="n">
        <f aca="false">SUMIF($C$2:$F$2,EOMONTH(AA$2,-1)+1,$C159:$F159)*VLOOKUP(AA$2,ProyDia[],8,0)</f>
        <v>0</v>
      </c>
      <c r="AB159" s="28" t="n">
        <f aca="false">SUMIF($C$2:$F$2,EOMONTH(AB$2,-1)+1,$C159:$F159)*VLOOKUP(AB$2,ProyDia[],8,0)</f>
        <v>0</v>
      </c>
      <c r="AC159" s="28" t="n">
        <f aca="false">SUMIF($C$2:$F$2,EOMONTH(AC$2,-1)+1,$C159:$F159)*VLOOKUP(AC$2,ProyDia[],8,0)</f>
        <v>0</v>
      </c>
      <c r="AD159" s="28" t="n">
        <f aca="false">SUMIF($C$2:$F$2,EOMONTH(AD$2,-1)+1,$C159:$F159)*VLOOKUP(AD$2,ProyDia[],8,0)</f>
        <v>0</v>
      </c>
      <c r="AE159" s="28" t="n">
        <f aca="false">SUMIF($C$2:$F$2,EOMONTH(AE$2,-1)+1,$C159:$F159)*VLOOKUP(AE$2,ProyDia[],8,0)</f>
        <v>0</v>
      </c>
      <c r="AF159" s="28" t="n">
        <f aca="false">SUMIF($C$2:$F$2,EOMONTH(AF$2,-1)+1,$C159:$F159)*VLOOKUP(AF$2,ProyDia[],8,0)</f>
        <v>0</v>
      </c>
      <c r="AG159" s="28" t="n">
        <f aca="false">SUMIF($C$2:$F$2,EOMONTH(AG$2,-1)+1,$C159:$F159)*VLOOKUP(AG$2,ProyDia[],8,0)</f>
        <v>0</v>
      </c>
      <c r="AH159" s="28" t="n">
        <f aca="false">SUMIF($C$2:$F$2,EOMONTH(AH$2,-1)+1,$C159:$F159)*VLOOKUP(AH$2,ProyDia[],8,0)</f>
        <v>0</v>
      </c>
      <c r="AI159" s="28" t="n">
        <f aca="false">SUMIF($C$2:$F$2,EOMONTH(AI$2,-1)+1,$C159:$F159)*VLOOKUP(AI$2,ProyDia[],8,0)</f>
        <v>0</v>
      </c>
      <c r="AJ159" s="28" t="n">
        <f aca="false">SUMIF($C$2:$F$2,EOMONTH(AJ$2,-1)+1,$C159:$F159)*VLOOKUP(AJ$2,ProyDia[],8,0)</f>
        <v>0</v>
      </c>
      <c r="AK159" s="28" t="n">
        <f aca="false">SUMIF($C$2:$F$2,EOMONTH(AK$2,-1)+1,$C159:$F159)*VLOOKUP(AK$2,ProyDia[],8,0)</f>
        <v>0</v>
      </c>
      <c r="AL159" s="28" t="n">
        <f aca="false">SUMIF($C$2:$F$2,EOMONTH(AL$2,-1)+1,$C159:$F159)*VLOOKUP(AL$2,ProyDia[],8,0)</f>
        <v>0</v>
      </c>
      <c r="AM159" s="28" t="n">
        <f aca="false">SUMIF($C$2:$F$2,EOMONTH(AM$2,-1)+1,$C159:$F159)*VLOOKUP(AM$2,ProyDia[],8,0)</f>
        <v>0</v>
      </c>
      <c r="AN159" s="28" t="n">
        <f aca="false">SUMIF($C$2:$F$2,EOMONTH(AN$2,-1)+1,$C159:$F159)*VLOOKUP(AN$2,ProyDia[],8,0)</f>
        <v>0</v>
      </c>
      <c r="AO159" s="28" t="n">
        <f aca="false">SUMIF($C$2:$F$2,EOMONTH(AO$2,-1)+1,$C159:$F159)*VLOOKUP(AO$2,ProyDia[],8,0)</f>
        <v>0</v>
      </c>
      <c r="AP159" s="28" t="n">
        <f aca="false">SUMIF($C$2:$F$2,EOMONTH(AP$2,-1)+1,$C159:$F159)*VLOOKUP(AP$2,ProyDia[],8,0)</f>
        <v>0</v>
      </c>
      <c r="AQ159" s="28" t="n">
        <f aca="false">SUMIF($C$2:$F$2,EOMONTH(AQ$2,-1)+1,$C159:$F159)*VLOOKUP(AQ$2,ProyDia[],8,0)</f>
        <v>0</v>
      </c>
      <c r="AR159" s="28" t="n">
        <f aca="false">SUMIF($C$2:$F$2,EOMONTH(AR$2,-1)+1,$C159:$F159)*VLOOKUP(AR$2,ProyDia[],8,0)</f>
        <v>0</v>
      </c>
      <c r="AS159" s="28" t="n">
        <f aca="false">SUMIF($C$2:$F$2,EOMONTH(AS$2,-1)+1,$C159:$F159)*VLOOKUP(AS$2,ProyDia[],8,0)</f>
        <v>0</v>
      </c>
      <c r="AT159" s="28" t="n">
        <f aca="false">SUMIF($C$2:$F$2,EOMONTH(AT$2,-1)+1,$C159:$F159)*VLOOKUP(AT$2,ProyDia[],8,0)</f>
        <v>0</v>
      </c>
      <c r="AU159" s="28" t="n">
        <f aca="false">SUMIF($C$2:$F$2,EOMONTH(AU$2,-1)+1,$C159:$F159)*VLOOKUP(AU$2,ProyDia[],8,0)</f>
        <v>0</v>
      </c>
      <c r="AV159" s="28" t="n">
        <f aca="false">SUMIF($C$2:$F$2,EOMONTH(AV$2,-1)+1,$C159:$F159)*VLOOKUP(AV$2,ProyDia[],8,0)</f>
        <v>0</v>
      </c>
      <c r="AW159" s="28" t="n">
        <f aca="false">SUMIF($C$2:$F$2,EOMONTH(AW$2,-1)+1,$C159:$F159)*VLOOKUP(AW$2,ProyDia[],8,0)</f>
        <v>0</v>
      </c>
      <c r="AX159" s="28" t="n">
        <f aca="false">SUMIF($C$2:$F$2,EOMONTH(AX$2,-1)+1,$C159:$F159)*VLOOKUP(AX$2,ProyDia[],8,0)</f>
        <v>0</v>
      </c>
      <c r="AY159" s="28" t="n">
        <f aca="false">SUMIF($C$2:$F$2,EOMONTH(AY$2,-1)+1,$C159:$F159)*VLOOKUP(AY$2,ProyDia[],8,0)</f>
        <v>0</v>
      </c>
      <c r="AZ159" s="28" t="n">
        <f aca="false">SUMIF($C$2:$F$2,EOMONTH(AZ$2,-1)+1,$C159:$F159)*VLOOKUP(AZ$2,ProyDia[],8,0)</f>
        <v>0</v>
      </c>
      <c r="BA159" s="28" t="n">
        <f aca="false">SUMIF($C$2:$F$2,EOMONTH(BA$2,-1)+1,$C159:$F159)*VLOOKUP(BA$2,ProyDia[],8,0)</f>
        <v>0</v>
      </c>
      <c r="BB159" s="28" t="n">
        <f aca="false">SUMIF($C$2:$F$2,EOMONTH(BB$2,-1)+1,$C159:$F159)*VLOOKUP(BB$2,ProyDia[],8,0)</f>
        <v>0</v>
      </c>
      <c r="BC159" s="28" t="n">
        <f aca="false">SUMIF($C$2:$F$2,EOMONTH(BC$2,-1)+1,$C159:$F159)*VLOOKUP(BC$2,ProyDia[],8,0)</f>
        <v>0</v>
      </c>
      <c r="BD159" s="28" t="n">
        <f aca="false">SUMIF($C$2:$F$2,EOMONTH(BD$2,-1)+1,$C159:$F159)*VLOOKUP(BD$2,ProyDia[],8,0)</f>
        <v>0</v>
      </c>
      <c r="BE159" s="28" t="n">
        <f aca="false">SUMIF($C$2:$F$2,EOMONTH(BE$2,-1)+1,$C159:$F159)*VLOOKUP(BE$2,ProyDia[],8,0)</f>
        <v>0</v>
      </c>
      <c r="BF159" s="28" t="n">
        <f aca="false">SUMIF($C$2:$F$2,EOMONTH(BF$2,-1)+1,$C159:$F159)*VLOOKUP(BF$2,ProyDia[],8,0)</f>
        <v>0</v>
      </c>
      <c r="BG159" s="28" t="n">
        <f aca="false">SUMIF($C$2:$F$2,EOMONTH(BG$2,-1)+1,$C159:$F159)*VLOOKUP(BG$2,ProyDia[],8,0)</f>
        <v>0</v>
      </c>
      <c r="BH159" s="28" t="n">
        <f aca="false">SUMIF($C$2:$F$2,EOMONTH(BH$2,-1)+1,$C159:$F159)*VLOOKUP(BH$2,ProyDia[],8,0)</f>
        <v>0</v>
      </c>
      <c r="BI159" s="28" t="n">
        <f aca="false">SUMIF($C$2:$F$2,EOMONTH(BI$2,-1)+1,$C159:$F159)*VLOOKUP(BI$2,ProyDia[],8,0)</f>
        <v>0</v>
      </c>
      <c r="BJ159" s="28" t="n">
        <f aca="false">SUMIF($C$2:$F$2,EOMONTH(BJ$2,-1)+1,$C159:$F159)*VLOOKUP(BJ$2,ProyDia[],8,0)</f>
        <v>0</v>
      </c>
      <c r="BK159" s="28" t="n">
        <f aca="false">SUMIF($C$2:$F$2,EOMONTH(BK$2,-1)+1,$C159:$F159)*VLOOKUP(BK$2,ProyDia[],8,0)</f>
        <v>0</v>
      </c>
      <c r="BL159" s="28" t="n">
        <f aca="false">SUMIF($C$2:$F$2,EOMONTH(BL$2,-1)+1,$C159:$F159)*VLOOKUP(BL$2,ProyDia[],8,0)</f>
        <v>0</v>
      </c>
      <c r="BM159" s="28" t="n">
        <f aca="false">SUMIF($C$2:$F$2,EOMONTH(BM$2,-1)+1,$C159:$F159)*VLOOKUP(BM$2,ProyDia[],8,0)</f>
        <v>0</v>
      </c>
      <c r="BN159" s="28" t="n">
        <f aca="false">SUMIF($C$2:$F$2,EOMONTH(BN$2,-1)+1,$C159:$F159)*VLOOKUP(BN$2,ProyDia[],8,0)</f>
        <v>0</v>
      </c>
      <c r="BO159" s="28" t="n">
        <f aca="false">SUMIF($C$2:$F$2,EOMONTH(BO$2,-1)+1,$C159:$F159)*VLOOKUP(BO$2,ProyDia[],8,0)</f>
        <v>0</v>
      </c>
      <c r="BP159" s="28" t="n">
        <f aca="false">SUMIF($C$2:$F$2,EOMONTH(BP$2,-1)+1,$C159:$F159)*VLOOKUP(BP$2,ProyDia[],8,0)</f>
        <v>0</v>
      </c>
      <c r="BQ159" s="28" t="n">
        <f aca="false">SUMIF($C$2:$F$2,EOMONTH(BQ$2,-1)+1,$C159:$F159)*VLOOKUP(BQ$2,ProyDia[],8,0)</f>
        <v>0</v>
      </c>
      <c r="BR159" s="28" t="n">
        <f aca="false">SUMIF($C$2:$F$2,EOMONTH(BR$2,-1)+1,$C159:$F159)*VLOOKUP(BR$2,ProyDia[],8,0)</f>
        <v>0</v>
      </c>
      <c r="BS159" s="28" t="n">
        <f aca="false">SUMIF($C$2:$F$2,EOMONTH(BS$2,-1)+1,$C159:$F159)*VLOOKUP(BS$2,ProyDia[],8,0)</f>
        <v>0</v>
      </c>
      <c r="BT159" s="28" t="n">
        <f aca="false">SUMIF($C$2:$F$2,EOMONTH(BT$2,-1)+1,$C159:$F159)*VLOOKUP(BT$2,ProyDia[],8,0)</f>
        <v>0</v>
      </c>
      <c r="BU159" s="28" t="n">
        <f aca="false">SUMIF($C$2:$F$2,EOMONTH(BU$2,-1)+1,$C159:$F159)*VLOOKUP(BU$2,ProyDia[],8,0)</f>
        <v>0</v>
      </c>
      <c r="BV159" s="28" t="n">
        <f aca="false">SUMIF($C$2:$F$2,EOMONTH(BV$2,-1)+1,$C159:$F159)*VLOOKUP(BV$2,ProyDia[],8,0)</f>
        <v>0</v>
      </c>
      <c r="BW159" s="28" t="n">
        <f aca="false">SUMIF($C$2:$F$2,EOMONTH(BW$2,-1)+1,$C159:$F159)*VLOOKUP(BW$2,ProyDia[],8,0)</f>
        <v>0</v>
      </c>
      <c r="BX159" s="28" t="n">
        <f aca="false">SUMIF($C$2:$F$2,EOMONTH(BX$2,-1)+1,$C159:$F159)*VLOOKUP(BX$2,ProyDia[],8,0)</f>
        <v>0</v>
      </c>
      <c r="BY159" s="28" t="n">
        <f aca="false">SUMIF($C$2:$F$2,EOMONTH(BY$2,-1)+1,$C159:$F159)*VLOOKUP(BY$2,ProyDia[],8,0)</f>
        <v>0</v>
      </c>
      <c r="BZ159" s="28" t="n">
        <f aca="false">SUMIF($C$2:$F$2,EOMONTH(BZ$2,-1)+1,$C159:$F159)*VLOOKUP(BZ$2,ProyDia[],8,0)</f>
        <v>0</v>
      </c>
      <c r="CA159" s="28" t="n">
        <f aca="false">SUMIF($C$2:$F$2,EOMONTH(CA$2,-1)+1,$C159:$F159)*VLOOKUP(CA$2,ProyDia[],8,0)</f>
        <v>0</v>
      </c>
      <c r="CB159" s="28" t="n">
        <f aca="false">SUMIF($C$2:$F$2,EOMONTH(CB$2,-1)+1,$C159:$F159)*VLOOKUP(CB$2,ProyDia[],8,0)</f>
        <v>0</v>
      </c>
      <c r="CC159" s="28" t="n">
        <f aca="false">SUMIF($C$2:$F$2,EOMONTH(CC$2,-1)+1,$C159:$F159)*VLOOKUP(CC$2,ProyDia[],8,0)</f>
        <v>0</v>
      </c>
      <c r="CD159" s="28" t="n">
        <f aca="false">SUMIF($C$2:$F$2,EOMONTH(CD$2,-1)+1,$C159:$F159)*VLOOKUP(CD$2,ProyDia[],8,0)</f>
        <v>0</v>
      </c>
      <c r="CE159" s="28" t="n">
        <f aca="false">SUMIF($C$2:$F$2,EOMONTH(CE$2,-1)+1,$C159:$F159)*VLOOKUP(CE$2,ProyDia[],8,0)</f>
        <v>0</v>
      </c>
      <c r="CF159" s="28" t="n">
        <f aca="false">SUMIF($C$2:$F$2,EOMONTH(CF$2,-1)+1,$C159:$F159)*VLOOKUP(CF$2,ProyDia[],8,0)</f>
        <v>0</v>
      </c>
      <c r="CG159" s="28" t="n">
        <f aca="false">SUMIF($C$2:$F$2,EOMONTH(CG$2,-1)+1,$C159:$F159)*VLOOKUP(CG$2,ProyDia[],8,0)</f>
        <v>0</v>
      </c>
      <c r="CH159" s="28" t="n">
        <f aca="false">SUMIF($C$2:$F$2,EOMONTH(CH$2,-1)+1,$C159:$F159)*VLOOKUP(CH$2,ProyDia[],8,0)</f>
        <v>0</v>
      </c>
      <c r="CI159" s="28" t="n">
        <f aca="false">SUMIF($C$2:$F$2,EOMONTH(CI$2,-1)+1,$C159:$F159)*VLOOKUP(CI$2,ProyDia[],8,0)</f>
        <v>0</v>
      </c>
      <c r="CJ159" s="28" t="n">
        <f aca="false">SUMIF($C$2:$F$2,EOMONTH(CJ$2,-1)+1,$C159:$F159)*VLOOKUP(CJ$2,ProyDia[],8,0)</f>
        <v>0</v>
      </c>
      <c r="CK159" s="28" t="n">
        <f aca="false">SUMIF($C$2:$F$2,EOMONTH(CK$2,-1)+1,$C159:$F159)*VLOOKUP(CK$2,ProyDia[],8,0)</f>
        <v>0</v>
      </c>
      <c r="CL159" s="28" t="n">
        <f aca="false">SUMIF($C$2:$F$2,EOMONTH(CL$2,-1)+1,$C159:$F159)*VLOOKUP(CL$2,ProyDia[],8,0)</f>
        <v>0</v>
      </c>
      <c r="CM159" s="28" t="n">
        <f aca="false">SUMIF($C$2:$F$2,EOMONTH(CM$2,-1)+1,$C159:$F159)*VLOOKUP(CM$2,ProyDia[],8,0)</f>
        <v>0</v>
      </c>
      <c r="CN159" s="28" t="n">
        <f aca="false">SUMIF($C$2:$F$2,EOMONTH(CN$2,-1)+1,$C159:$F159)*VLOOKUP(CN$2,ProyDia[],8,0)</f>
        <v>0</v>
      </c>
      <c r="CO159" s="28" t="n">
        <f aca="false">SUMIF($C$2:$F$2,EOMONTH(CO$2,-1)+1,$C159:$F159)*VLOOKUP(CO$2,ProyDia[],8,0)</f>
        <v>0</v>
      </c>
      <c r="CP159" s="28" t="n">
        <f aca="false">SUMIF($C$2:$F$2,EOMONTH(CP$2,-1)+1,$C159:$F159)*VLOOKUP(CP$2,ProyDia[],8,0)</f>
        <v>0</v>
      </c>
      <c r="CQ159" s="28" t="n">
        <f aca="false">SUMIF($C$2:$F$2,EOMONTH(CQ$2,-1)+1,$C159:$F159)*VLOOKUP(CQ$2,ProyDia[],8,0)</f>
        <v>0</v>
      </c>
      <c r="CR159" s="28" t="n">
        <f aca="false">SUMIF($C$2:$F$2,EOMONTH(CR$2,-1)+1,$C159:$F159)*VLOOKUP(CR$2,ProyDia[],8,0)</f>
        <v>0</v>
      </c>
      <c r="CS159" s="28" t="n">
        <f aca="false">SUMIF($C$2:$F$2,EOMONTH(CS$2,-1)+1,$C159:$F159)*VLOOKUP(CS$2,ProyDia[],8,0)</f>
        <v>0</v>
      </c>
      <c r="CT159" s="28" t="n">
        <f aca="false">SUMIF($C$2:$F$2,EOMONTH(CT$2,-1)+1,$C159:$F159)*VLOOKUP(CT$2,ProyDia[],8,0)</f>
        <v>0</v>
      </c>
      <c r="CU159" s="28" t="n">
        <f aca="false">SUMIF($C$2:$F$2,EOMONTH(CU$2,-1)+1,$C159:$F159)*VLOOKUP(CU$2,ProyDia[],8,0)</f>
        <v>0</v>
      </c>
      <c r="CV159" s="28" t="n">
        <f aca="false">SUMIF($C$2:$F$2,EOMONTH(CV$2,-1)+1,$C159:$F159)*VLOOKUP(CV$2,ProyDia[],8,0)</f>
        <v>0</v>
      </c>
      <c r="CW159" s="28" t="n">
        <f aca="false">SUMIF($C$2:$F$2,EOMONTH(CW$2,-1)+1,$C159:$F159)*VLOOKUP(CW$2,ProyDia[],8,0)</f>
        <v>0</v>
      </c>
      <c r="CX159" s="28" t="n">
        <f aca="false">SUMIF($C$2:$F$2,EOMONTH(CX$2,-1)+1,$C159:$F159)*VLOOKUP(CX$2,ProyDia[],8,0)</f>
        <v>0</v>
      </c>
      <c r="CY159" s="28" t="n">
        <f aca="false">SUMIF($C$2:$F$2,EOMONTH(CY$2,-1)+1,$C159:$F159)*VLOOKUP(CY$2,ProyDia[],8,0)</f>
        <v>0</v>
      </c>
      <c r="CZ159" s="28" t="n">
        <f aca="false">SUMIF($C$2:$F$2,EOMONTH(CZ$2,-1)+1,$C159:$F159)*VLOOKUP(CZ$2,ProyDia[],8,0)</f>
        <v>0</v>
      </c>
      <c r="DA159" s="28" t="n">
        <f aca="false">SUMIF($C$2:$F$2,EOMONTH(DA$2,-1)+1,$C159:$F159)*VLOOKUP(DA$2,ProyDia[],8,0)</f>
        <v>0</v>
      </c>
      <c r="DB159" s="28" t="n">
        <f aca="false">SUMIF($C$2:$F$2,EOMONTH(DB$2,-1)+1,$C159:$F159)*VLOOKUP(DB$2,ProyDia[],8,0)</f>
        <v>0</v>
      </c>
      <c r="DC159" s="28" t="n">
        <f aca="false">SUMIF($C$2:$F$2,EOMONTH(DC$2,-1)+1,$C159:$F159)*VLOOKUP(DC$2,ProyDia[],8,0)</f>
        <v>0</v>
      </c>
      <c r="DD159" s="28" t="n">
        <f aca="false">SUMIF($C$2:$F$2,EOMONTH(DD$2,-1)+1,$C159:$F159)*VLOOKUP(DD$2,ProyDia[],8,0)</f>
        <v>0</v>
      </c>
      <c r="DE159" s="28" t="n">
        <f aca="false">SUMIF($C$2:$F$2,EOMONTH(DE$2,-1)+1,$C159:$F159)*VLOOKUP(DE$2,ProyDia[],8,0)</f>
        <v>0</v>
      </c>
      <c r="DF159" s="28" t="n">
        <f aca="false">SUMIF($C$2:$F$2,EOMONTH(DF$2,-1)+1,$C159:$F159)*VLOOKUP(DF$2,ProyDia[],8,0)</f>
        <v>0</v>
      </c>
      <c r="DG159" s="28" t="n">
        <f aca="false">SUMIF($C$2:$F$2,EOMONTH(DG$2,-1)+1,$C159:$F159)*VLOOKUP(DG$2,ProyDia[],8,0)</f>
        <v>0</v>
      </c>
      <c r="DH159" s="28" t="n">
        <f aca="false">SUMIF($C$2:$F$2,EOMONTH(DH$2,-1)+1,$C159:$F159)*VLOOKUP(DH$2,ProyDia[],8,0)</f>
        <v>0</v>
      </c>
      <c r="DI159" s="28" t="n">
        <f aca="false">SUMIF($C$2:$F$2,EOMONTH(DI$2,-1)+1,$C159:$F159)*VLOOKUP(DI$2,ProyDia[],8,0)</f>
        <v>0</v>
      </c>
      <c r="DJ159" s="28" t="n">
        <f aca="false">SUMIF($C$2:$F$2,EOMONTH(DJ$2,-1)+1,$C159:$F159)*VLOOKUP(DJ$2,ProyDia[],8,0)</f>
        <v>0</v>
      </c>
      <c r="DK159" s="28" t="n">
        <f aca="false">SUMIF($C$2:$F$2,EOMONTH(DK$2,-1)+1,$C159:$F159)*VLOOKUP(DK$2,ProyDia[],8,0)</f>
        <v>0</v>
      </c>
      <c r="DL159" s="28" t="n">
        <f aca="false">SUMIF($C$2:$F$2,EOMONTH(DL$2,-1)+1,$C159:$F159)*VLOOKUP(DL$2,ProyDia[],8,0)</f>
        <v>0</v>
      </c>
      <c r="DM159" s="28" t="n">
        <f aca="false">SUMIF($C$2:$F$2,EOMONTH(DM$2,-1)+1,$C159:$F159)*VLOOKUP(DM$2,ProyDia[],8,0)</f>
        <v>0</v>
      </c>
      <c r="DN159" s="28" t="n">
        <f aca="false">SUMIF($C$2:$F$2,EOMONTH(DN$2,-1)+1,$C159:$F159)*VLOOKUP(DN$2,ProyDia[],8,0)</f>
        <v>0</v>
      </c>
      <c r="DO159" s="28" t="n">
        <f aca="false">SUMIF($C$2:$F$2,EOMONTH(DO$2,-1)+1,$C159:$F159)*VLOOKUP(DO$2,ProyDia[],8,0)</f>
        <v>0</v>
      </c>
      <c r="DP159" s="28" t="n">
        <f aca="false">SUMIF($C$2:$F$2,EOMONTH(DP$2,-1)+1,$C159:$F159)*VLOOKUP(DP$2,ProyDia[],8,0)</f>
        <v>0</v>
      </c>
      <c r="DQ159" s="28" t="n">
        <f aca="false">SUMIF($C$2:$F$2,EOMONTH(DQ$2,-1)+1,$C159:$F159)*VLOOKUP(DQ$2,ProyDia[],8,0)</f>
        <v>0</v>
      </c>
      <c r="DR159" s="28" t="n">
        <f aca="false">SUMIF($C$2:$F$2,EOMONTH(DR$2,-1)+1,$C159:$F159)*VLOOKUP(DR$2,ProyDia[],8,0)</f>
        <v>0</v>
      </c>
      <c r="DS159" s="28" t="n">
        <f aca="false">SUMIF($C$2:$F$2,EOMONTH(DS$2,-1)+1,$C159:$F159)*VLOOKUP(DS$2,ProyDia[],8,0)</f>
        <v>0</v>
      </c>
      <c r="DT159" s="28" t="n">
        <f aca="false">SUMIF($C$2:$F$2,EOMONTH(DT$2,-1)+1,$C159:$F159)*VLOOKUP(DT$2,ProyDia[],8,0)</f>
        <v>0</v>
      </c>
      <c r="DU159" s="28" t="n">
        <f aca="false">SUMIF($C$2:$F$2,EOMONTH(DU$2,-1)+1,$C159:$F159)*VLOOKUP(DU$2,ProyDia[],8,0)</f>
        <v>0</v>
      </c>
      <c r="DV159" s="28" t="n">
        <f aca="false">SUMIF($C$2:$F$2,EOMONTH(DV$2,-1)+1,$C159:$F159)*VLOOKUP(DV$2,ProyDia[],8,0)</f>
        <v>0</v>
      </c>
      <c r="DW159" s="28" t="n">
        <f aca="false">SUMIF($C$2:$F$2,EOMONTH(DW$2,-1)+1,$C159:$F159)*VLOOKUP(DW$2,ProyDia[],8,0)</f>
        <v>0</v>
      </c>
      <c r="DX159" s="28" t="n">
        <f aca="false">SUMIF($C$2:$F$2,EOMONTH(DX$2,-1)+1,$C159:$F159)*VLOOKUP(DX$2,ProyDia[],8,0)</f>
        <v>0</v>
      </c>
    </row>
    <row r="160" customFormat="false" ht="14.4" hidden="false" customHeight="false" outlineLevel="0" collapsed="false">
      <c r="A160" s="35"/>
      <c r="B160" s="35"/>
      <c r="C160" s="35"/>
      <c r="D160" s="35"/>
      <c r="E160" s="35"/>
      <c r="F160" s="35"/>
      <c r="G160" s="36" t="n">
        <f aca="false">SUMIF($C$2:$F$2,EOMONTH(G$2,-1)+1,$C160:$F160)*VLOOKUP(G$2,ProyDia[],8,0)</f>
        <v>0</v>
      </c>
      <c r="H160" s="36" t="n">
        <f aca="false">SUMIF($C$2:$F$2,EOMONTH(H$2,-1)+1,$C160:$F160)*VLOOKUP(H$2,ProyDia[],8,0)</f>
        <v>0</v>
      </c>
      <c r="I160" s="36" t="n">
        <f aca="false">SUMIF($C$2:$F$2,EOMONTH(I$2,-1)+1,$C160:$F160)*VLOOKUP(I$2,ProyDia[],8,0)</f>
        <v>0</v>
      </c>
      <c r="J160" s="36" t="n">
        <f aca="false">SUMIF($C$2:$F$2,EOMONTH(J$2,-1)+1,$C160:$F160)*VLOOKUP(J$2,ProyDia[],8,0)</f>
        <v>0</v>
      </c>
      <c r="K160" s="36" t="n">
        <f aca="false">SUMIF($C$2:$F$2,EOMONTH(K$2,-1)+1,$C160:$F160)*VLOOKUP(K$2,ProyDia[],8,0)</f>
        <v>0</v>
      </c>
      <c r="L160" s="36" t="n">
        <f aca="false">SUMIF($C$2:$F$2,EOMONTH(L$2,-1)+1,$C160:$F160)*VLOOKUP(L$2,ProyDia[],8,0)</f>
        <v>0</v>
      </c>
      <c r="M160" s="36" t="n">
        <f aca="false">SUMIF($C$2:$F$2,EOMONTH(M$2,-1)+1,$C160:$F160)*VLOOKUP(M$2,ProyDia[],8,0)</f>
        <v>0</v>
      </c>
      <c r="N160" s="36" t="n">
        <f aca="false">SUMIF($C$2:$F$2,EOMONTH(N$2,-1)+1,$C160:$F160)*VLOOKUP(N$2,ProyDia[],8,0)</f>
        <v>0</v>
      </c>
      <c r="O160" s="36" t="n">
        <f aca="false">SUMIF($C$2:$F$2,EOMONTH(O$2,-1)+1,$C160:$F160)*VLOOKUP(O$2,ProyDia[],8,0)</f>
        <v>0</v>
      </c>
      <c r="P160" s="36" t="n">
        <f aca="false">SUMIF($C$2:$F$2,EOMONTH(P$2,-1)+1,$C160:$F160)*VLOOKUP(P$2,ProyDia[],8,0)</f>
        <v>0</v>
      </c>
      <c r="Q160" s="36" t="n">
        <f aca="false">SUMIF($C$2:$F$2,EOMONTH(Q$2,-1)+1,$C160:$F160)*VLOOKUP(Q$2,ProyDia[],8,0)</f>
        <v>0</v>
      </c>
      <c r="R160" s="36" t="n">
        <f aca="false">SUMIF($C$2:$F$2,EOMONTH(R$2,-1)+1,$C160:$F160)*VLOOKUP(R$2,ProyDia[],8,0)</f>
        <v>0</v>
      </c>
      <c r="S160" s="36" t="n">
        <f aca="false">SUMIF($C$2:$F$2,EOMONTH(S$2,-1)+1,$C160:$F160)*VLOOKUP(S$2,ProyDia[],8,0)</f>
        <v>0</v>
      </c>
      <c r="T160" s="36" t="n">
        <f aca="false">SUMIF($C$2:$F$2,EOMONTH(T$2,-1)+1,$C160:$F160)*VLOOKUP(T$2,ProyDia[],8,0)</f>
        <v>0</v>
      </c>
      <c r="U160" s="36" t="n">
        <f aca="false">SUMIF($C$2:$F$2,EOMONTH(U$2,-1)+1,$C160:$F160)*VLOOKUP(U$2,ProyDia[],8,0)</f>
        <v>0</v>
      </c>
      <c r="V160" s="36" t="n">
        <f aca="false">SUMIF($C$2:$F$2,EOMONTH(V$2,-1)+1,$C160:$F160)*VLOOKUP(V$2,ProyDia[],8,0)</f>
        <v>0</v>
      </c>
      <c r="W160" s="36" t="n">
        <f aca="false">SUMIF($C$2:$F$2,EOMONTH(W$2,-1)+1,$C160:$F160)*VLOOKUP(W$2,ProyDia[],8,0)</f>
        <v>0</v>
      </c>
      <c r="X160" s="36" t="n">
        <f aca="false">SUMIF($C$2:$F$2,EOMONTH(X$2,-1)+1,$C160:$F160)*VLOOKUP(X$2,ProyDia[],8,0)</f>
        <v>0</v>
      </c>
      <c r="Y160" s="36" t="n">
        <f aca="false">SUMIF($C$2:$F$2,EOMONTH(Y$2,-1)+1,$C160:$F160)*VLOOKUP(Y$2,ProyDia[],8,0)</f>
        <v>0</v>
      </c>
      <c r="Z160" s="36" t="n">
        <f aca="false">SUMIF($C$2:$F$2,EOMONTH(Z$2,-1)+1,$C160:$F160)*VLOOKUP(Z$2,ProyDia[],8,0)</f>
        <v>0</v>
      </c>
      <c r="AA160" s="36" t="n">
        <f aca="false">SUMIF($C$2:$F$2,EOMONTH(AA$2,-1)+1,$C160:$F160)*VLOOKUP(AA$2,ProyDia[],8,0)</f>
        <v>0</v>
      </c>
      <c r="AB160" s="36" t="n">
        <f aca="false">SUMIF($C$2:$F$2,EOMONTH(AB$2,-1)+1,$C160:$F160)*VLOOKUP(AB$2,ProyDia[],8,0)</f>
        <v>0</v>
      </c>
      <c r="AC160" s="36" t="n">
        <f aca="false">SUMIF($C$2:$F$2,EOMONTH(AC$2,-1)+1,$C160:$F160)*VLOOKUP(AC$2,ProyDia[],8,0)</f>
        <v>0</v>
      </c>
      <c r="AD160" s="36" t="n">
        <f aca="false">SUMIF($C$2:$F$2,EOMONTH(AD$2,-1)+1,$C160:$F160)*VLOOKUP(AD$2,ProyDia[],8,0)</f>
        <v>0</v>
      </c>
      <c r="AE160" s="36" t="n">
        <f aca="false">SUMIF($C$2:$F$2,EOMONTH(AE$2,-1)+1,$C160:$F160)*VLOOKUP(AE$2,ProyDia[],8,0)</f>
        <v>0</v>
      </c>
      <c r="AF160" s="36" t="n">
        <f aca="false">SUMIF($C$2:$F$2,EOMONTH(AF$2,-1)+1,$C160:$F160)*VLOOKUP(AF$2,ProyDia[],8,0)</f>
        <v>0</v>
      </c>
      <c r="AG160" s="36" t="n">
        <f aca="false">SUMIF($C$2:$F$2,EOMONTH(AG$2,-1)+1,$C160:$F160)*VLOOKUP(AG$2,ProyDia[],8,0)</f>
        <v>0</v>
      </c>
      <c r="AH160" s="36" t="n">
        <f aca="false">SUMIF($C$2:$F$2,EOMONTH(AH$2,-1)+1,$C160:$F160)*VLOOKUP(AH$2,ProyDia[],8,0)</f>
        <v>0</v>
      </c>
      <c r="AI160" s="36" t="n">
        <f aca="false">SUMIF($C$2:$F$2,EOMONTH(AI$2,-1)+1,$C160:$F160)*VLOOKUP(AI$2,ProyDia[],8,0)</f>
        <v>0</v>
      </c>
      <c r="AJ160" s="36" t="n">
        <f aca="false">SUMIF($C$2:$F$2,EOMONTH(AJ$2,-1)+1,$C160:$F160)*VLOOKUP(AJ$2,ProyDia[],8,0)</f>
        <v>0</v>
      </c>
      <c r="AK160" s="36" t="n">
        <f aca="false">SUMIF($C$2:$F$2,EOMONTH(AK$2,-1)+1,$C160:$F160)*VLOOKUP(AK$2,ProyDia[],8,0)</f>
        <v>0</v>
      </c>
      <c r="AL160" s="36" t="n">
        <f aca="false">SUMIF($C$2:$F$2,EOMONTH(AL$2,-1)+1,$C160:$F160)*VLOOKUP(AL$2,ProyDia[],8,0)</f>
        <v>0</v>
      </c>
      <c r="AM160" s="36" t="n">
        <f aca="false">SUMIF($C$2:$F$2,EOMONTH(AM$2,-1)+1,$C160:$F160)*VLOOKUP(AM$2,ProyDia[],8,0)</f>
        <v>0</v>
      </c>
      <c r="AN160" s="36" t="n">
        <f aca="false">SUMIF($C$2:$F$2,EOMONTH(AN$2,-1)+1,$C160:$F160)*VLOOKUP(AN$2,ProyDia[],8,0)</f>
        <v>0</v>
      </c>
      <c r="AO160" s="36" t="n">
        <f aca="false">SUMIF($C$2:$F$2,EOMONTH(AO$2,-1)+1,$C160:$F160)*VLOOKUP(AO$2,ProyDia[],8,0)</f>
        <v>0</v>
      </c>
      <c r="AP160" s="36" t="n">
        <f aca="false">SUMIF($C$2:$F$2,EOMONTH(AP$2,-1)+1,$C160:$F160)*VLOOKUP(AP$2,ProyDia[],8,0)</f>
        <v>0</v>
      </c>
      <c r="AQ160" s="36" t="n">
        <f aca="false">SUMIF($C$2:$F$2,EOMONTH(AQ$2,-1)+1,$C160:$F160)*VLOOKUP(AQ$2,ProyDia[],8,0)</f>
        <v>0</v>
      </c>
      <c r="AR160" s="36" t="n">
        <f aca="false">SUMIF($C$2:$F$2,EOMONTH(AR$2,-1)+1,$C160:$F160)*VLOOKUP(AR$2,ProyDia[],8,0)</f>
        <v>0</v>
      </c>
      <c r="AS160" s="36" t="n">
        <f aca="false">SUMIF($C$2:$F$2,EOMONTH(AS$2,-1)+1,$C160:$F160)*VLOOKUP(AS$2,ProyDia[],8,0)</f>
        <v>0</v>
      </c>
      <c r="AT160" s="36" t="n">
        <f aca="false">SUMIF($C$2:$F$2,EOMONTH(AT$2,-1)+1,$C160:$F160)*VLOOKUP(AT$2,ProyDia[],8,0)</f>
        <v>0</v>
      </c>
      <c r="AU160" s="36" t="n">
        <f aca="false">SUMIF($C$2:$F$2,EOMONTH(AU$2,-1)+1,$C160:$F160)*VLOOKUP(AU$2,ProyDia[],8,0)</f>
        <v>0</v>
      </c>
      <c r="AV160" s="36" t="n">
        <f aca="false">SUMIF($C$2:$F$2,EOMONTH(AV$2,-1)+1,$C160:$F160)*VLOOKUP(AV$2,ProyDia[],8,0)</f>
        <v>0</v>
      </c>
      <c r="AW160" s="36" t="n">
        <f aca="false">SUMIF($C$2:$F$2,EOMONTH(AW$2,-1)+1,$C160:$F160)*VLOOKUP(AW$2,ProyDia[],8,0)</f>
        <v>0</v>
      </c>
      <c r="AX160" s="36" t="n">
        <f aca="false">SUMIF($C$2:$F$2,EOMONTH(AX$2,-1)+1,$C160:$F160)*VLOOKUP(AX$2,ProyDia[],8,0)</f>
        <v>0</v>
      </c>
      <c r="AY160" s="36" t="n">
        <f aca="false">SUMIF($C$2:$F$2,EOMONTH(AY$2,-1)+1,$C160:$F160)*VLOOKUP(AY$2,ProyDia[],8,0)</f>
        <v>0</v>
      </c>
      <c r="AZ160" s="36" t="n">
        <f aca="false">SUMIF($C$2:$F$2,EOMONTH(AZ$2,-1)+1,$C160:$F160)*VLOOKUP(AZ$2,ProyDia[],8,0)</f>
        <v>0</v>
      </c>
      <c r="BA160" s="36" t="n">
        <f aca="false">SUMIF($C$2:$F$2,EOMONTH(BA$2,-1)+1,$C160:$F160)*VLOOKUP(BA$2,ProyDia[],8,0)</f>
        <v>0</v>
      </c>
      <c r="BB160" s="36" t="n">
        <f aca="false">SUMIF($C$2:$F$2,EOMONTH(BB$2,-1)+1,$C160:$F160)*VLOOKUP(BB$2,ProyDia[],8,0)</f>
        <v>0</v>
      </c>
      <c r="BC160" s="36" t="n">
        <f aca="false">SUMIF($C$2:$F$2,EOMONTH(BC$2,-1)+1,$C160:$F160)*VLOOKUP(BC$2,ProyDia[],8,0)</f>
        <v>0</v>
      </c>
      <c r="BD160" s="36" t="n">
        <f aca="false">SUMIF($C$2:$F$2,EOMONTH(BD$2,-1)+1,$C160:$F160)*VLOOKUP(BD$2,ProyDia[],8,0)</f>
        <v>0</v>
      </c>
      <c r="BE160" s="36" t="n">
        <f aca="false">SUMIF($C$2:$F$2,EOMONTH(BE$2,-1)+1,$C160:$F160)*VLOOKUP(BE$2,ProyDia[],8,0)</f>
        <v>0</v>
      </c>
      <c r="BF160" s="36" t="n">
        <f aca="false">SUMIF($C$2:$F$2,EOMONTH(BF$2,-1)+1,$C160:$F160)*VLOOKUP(BF$2,ProyDia[],8,0)</f>
        <v>0</v>
      </c>
      <c r="BG160" s="36" t="n">
        <f aca="false">SUMIF($C$2:$F$2,EOMONTH(BG$2,-1)+1,$C160:$F160)*VLOOKUP(BG$2,ProyDia[],8,0)</f>
        <v>0</v>
      </c>
      <c r="BH160" s="36" t="n">
        <f aca="false">SUMIF($C$2:$F$2,EOMONTH(BH$2,-1)+1,$C160:$F160)*VLOOKUP(BH$2,ProyDia[],8,0)</f>
        <v>0</v>
      </c>
      <c r="BI160" s="36" t="n">
        <f aca="false">SUMIF($C$2:$F$2,EOMONTH(BI$2,-1)+1,$C160:$F160)*VLOOKUP(BI$2,ProyDia[],8,0)</f>
        <v>0</v>
      </c>
      <c r="BJ160" s="36" t="n">
        <f aca="false">SUMIF($C$2:$F$2,EOMONTH(BJ$2,-1)+1,$C160:$F160)*VLOOKUP(BJ$2,ProyDia[],8,0)</f>
        <v>0</v>
      </c>
      <c r="BK160" s="36" t="n">
        <f aca="false">SUMIF($C$2:$F$2,EOMONTH(BK$2,-1)+1,$C160:$F160)*VLOOKUP(BK$2,ProyDia[],8,0)</f>
        <v>0</v>
      </c>
      <c r="BL160" s="36" t="n">
        <f aca="false">SUMIF($C$2:$F$2,EOMONTH(BL$2,-1)+1,$C160:$F160)*VLOOKUP(BL$2,ProyDia[],8,0)</f>
        <v>0</v>
      </c>
      <c r="BM160" s="36" t="n">
        <f aca="false">SUMIF($C$2:$F$2,EOMONTH(BM$2,-1)+1,$C160:$F160)*VLOOKUP(BM$2,ProyDia[],8,0)</f>
        <v>0</v>
      </c>
      <c r="BN160" s="36" t="n">
        <f aca="false">SUMIF($C$2:$F$2,EOMONTH(BN$2,-1)+1,$C160:$F160)*VLOOKUP(BN$2,ProyDia[],8,0)</f>
        <v>0</v>
      </c>
      <c r="BO160" s="36" t="n">
        <f aca="false">SUMIF($C$2:$F$2,EOMONTH(BO$2,-1)+1,$C160:$F160)*VLOOKUP(BO$2,ProyDia[],8,0)</f>
        <v>0</v>
      </c>
      <c r="BP160" s="36" t="n">
        <f aca="false">SUMIF($C$2:$F$2,EOMONTH(BP$2,-1)+1,$C160:$F160)*VLOOKUP(BP$2,ProyDia[],8,0)</f>
        <v>0</v>
      </c>
      <c r="BQ160" s="36" t="n">
        <f aca="false">SUMIF($C$2:$F$2,EOMONTH(BQ$2,-1)+1,$C160:$F160)*VLOOKUP(BQ$2,ProyDia[],8,0)</f>
        <v>0</v>
      </c>
      <c r="BR160" s="36" t="n">
        <f aca="false">SUMIF($C$2:$F$2,EOMONTH(BR$2,-1)+1,$C160:$F160)*VLOOKUP(BR$2,ProyDia[],8,0)</f>
        <v>0</v>
      </c>
      <c r="BS160" s="36" t="n">
        <f aca="false">SUMIF($C$2:$F$2,EOMONTH(BS$2,-1)+1,$C160:$F160)*VLOOKUP(BS$2,ProyDia[],8,0)</f>
        <v>0</v>
      </c>
      <c r="BT160" s="36" t="n">
        <f aca="false">SUMIF($C$2:$F$2,EOMONTH(BT$2,-1)+1,$C160:$F160)*VLOOKUP(BT$2,ProyDia[],8,0)</f>
        <v>0</v>
      </c>
      <c r="BU160" s="36" t="n">
        <f aca="false">SUMIF($C$2:$F$2,EOMONTH(BU$2,-1)+1,$C160:$F160)*VLOOKUP(BU$2,ProyDia[],8,0)</f>
        <v>0</v>
      </c>
      <c r="BV160" s="36" t="n">
        <f aca="false">SUMIF($C$2:$F$2,EOMONTH(BV$2,-1)+1,$C160:$F160)*VLOOKUP(BV$2,ProyDia[],8,0)</f>
        <v>0</v>
      </c>
      <c r="BW160" s="36" t="n">
        <f aca="false">SUMIF($C$2:$F$2,EOMONTH(BW$2,-1)+1,$C160:$F160)*VLOOKUP(BW$2,ProyDia[],8,0)</f>
        <v>0</v>
      </c>
      <c r="BX160" s="36" t="n">
        <f aca="false">SUMIF($C$2:$F$2,EOMONTH(BX$2,-1)+1,$C160:$F160)*VLOOKUP(BX$2,ProyDia[],8,0)</f>
        <v>0</v>
      </c>
      <c r="BY160" s="36" t="n">
        <f aca="false">SUMIF($C$2:$F$2,EOMONTH(BY$2,-1)+1,$C160:$F160)*VLOOKUP(BY$2,ProyDia[],8,0)</f>
        <v>0</v>
      </c>
      <c r="BZ160" s="36" t="n">
        <f aca="false">SUMIF($C$2:$F$2,EOMONTH(BZ$2,-1)+1,$C160:$F160)*VLOOKUP(BZ$2,ProyDia[],8,0)</f>
        <v>0</v>
      </c>
      <c r="CA160" s="36" t="n">
        <f aca="false">SUMIF($C$2:$F$2,EOMONTH(CA$2,-1)+1,$C160:$F160)*VLOOKUP(CA$2,ProyDia[],8,0)</f>
        <v>0</v>
      </c>
      <c r="CB160" s="36" t="n">
        <f aca="false">SUMIF($C$2:$F$2,EOMONTH(CB$2,-1)+1,$C160:$F160)*VLOOKUP(CB$2,ProyDia[],8,0)</f>
        <v>0</v>
      </c>
      <c r="CC160" s="36" t="n">
        <f aca="false">SUMIF($C$2:$F$2,EOMONTH(CC$2,-1)+1,$C160:$F160)*VLOOKUP(CC$2,ProyDia[],8,0)</f>
        <v>0</v>
      </c>
      <c r="CD160" s="36" t="n">
        <f aca="false">SUMIF($C$2:$F$2,EOMONTH(CD$2,-1)+1,$C160:$F160)*VLOOKUP(CD$2,ProyDia[],8,0)</f>
        <v>0</v>
      </c>
      <c r="CE160" s="36" t="n">
        <f aca="false">SUMIF($C$2:$F$2,EOMONTH(CE$2,-1)+1,$C160:$F160)*VLOOKUP(CE$2,ProyDia[],8,0)</f>
        <v>0</v>
      </c>
      <c r="CF160" s="36" t="n">
        <f aca="false">SUMIF($C$2:$F$2,EOMONTH(CF$2,-1)+1,$C160:$F160)*VLOOKUP(CF$2,ProyDia[],8,0)</f>
        <v>0</v>
      </c>
      <c r="CG160" s="36" t="n">
        <f aca="false">SUMIF($C$2:$F$2,EOMONTH(CG$2,-1)+1,$C160:$F160)*VLOOKUP(CG$2,ProyDia[],8,0)</f>
        <v>0</v>
      </c>
      <c r="CH160" s="36" t="n">
        <f aca="false">SUMIF($C$2:$F$2,EOMONTH(CH$2,-1)+1,$C160:$F160)*VLOOKUP(CH$2,ProyDia[],8,0)</f>
        <v>0</v>
      </c>
      <c r="CI160" s="36" t="n">
        <f aca="false">SUMIF($C$2:$F$2,EOMONTH(CI$2,-1)+1,$C160:$F160)*VLOOKUP(CI$2,ProyDia[],8,0)</f>
        <v>0</v>
      </c>
      <c r="CJ160" s="36" t="n">
        <f aca="false">SUMIF($C$2:$F$2,EOMONTH(CJ$2,-1)+1,$C160:$F160)*VLOOKUP(CJ$2,ProyDia[],8,0)</f>
        <v>0</v>
      </c>
      <c r="CK160" s="36" t="n">
        <f aca="false">SUMIF($C$2:$F$2,EOMONTH(CK$2,-1)+1,$C160:$F160)*VLOOKUP(CK$2,ProyDia[],8,0)</f>
        <v>0</v>
      </c>
      <c r="CL160" s="36" t="n">
        <f aca="false">SUMIF($C$2:$F$2,EOMONTH(CL$2,-1)+1,$C160:$F160)*VLOOKUP(CL$2,ProyDia[],8,0)</f>
        <v>0</v>
      </c>
      <c r="CM160" s="36" t="n">
        <f aca="false">SUMIF($C$2:$F$2,EOMONTH(CM$2,-1)+1,$C160:$F160)*VLOOKUP(CM$2,ProyDia[],8,0)</f>
        <v>0</v>
      </c>
      <c r="CN160" s="36" t="n">
        <f aca="false">SUMIF($C$2:$F$2,EOMONTH(CN$2,-1)+1,$C160:$F160)*VLOOKUP(CN$2,ProyDia[],8,0)</f>
        <v>0</v>
      </c>
      <c r="CO160" s="36" t="n">
        <f aca="false">SUMIF($C$2:$F$2,EOMONTH(CO$2,-1)+1,$C160:$F160)*VLOOKUP(CO$2,ProyDia[],8,0)</f>
        <v>0</v>
      </c>
      <c r="CP160" s="36" t="n">
        <f aca="false">SUMIF($C$2:$F$2,EOMONTH(CP$2,-1)+1,$C160:$F160)*VLOOKUP(CP$2,ProyDia[],8,0)</f>
        <v>0</v>
      </c>
      <c r="CQ160" s="36" t="n">
        <f aca="false">SUMIF($C$2:$F$2,EOMONTH(CQ$2,-1)+1,$C160:$F160)*VLOOKUP(CQ$2,ProyDia[],8,0)</f>
        <v>0</v>
      </c>
      <c r="CR160" s="36" t="n">
        <f aca="false">SUMIF($C$2:$F$2,EOMONTH(CR$2,-1)+1,$C160:$F160)*VLOOKUP(CR$2,ProyDia[],8,0)</f>
        <v>0</v>
      </c>
      <c r="CS160" s="36" t="n">
        <f aca="false">SUMIF($C$2:$F$2,EOMONTH(CS$2,-1)+1,$C160:$F160)*VLOOKUP(CS$2,ProyDia[],8,0)</f>
        <v>0</v>
      </c>
      <c r="CT160" s="36" t="n">
        <f aca="false">SUMIF($C$2:$F$2,EOMONTH(CT$2,-1)+1,$C160:$F160)*VLOOKUP(CT$2,ProyDia[],8,0)</f>
        <v>0</v>
      </c>
      <c r="CU160" s="36" t="n">
        <f aca="false">SUMIF($C$2:$F$2,EOMONTH(CU$2,-1)+1,$C160:$F160)*VLOOKUP(CU$2,ProyDia[],8,0)</f>
        <v>0</v>
      </c>
      <c r="CV160" s="36" t="n">
        <f aca="false">SUMIF($C$2:$F$2,EOMONTH(CV$2,-1)+1,$C160:$F160)*VLOOKUP(CV$2,ProyDia[],8,0)</f>
        <v>0</v>
      </c>
      <c r="CW160" s="36" t="n">
        <f aca="false">SUMIF($C$2:$F$2,EOMONTH(CW$2,-1)+1,$C160:$F160)*VLOOKUP(CW$2,ProyDia[],8,0)</f>
        <v>0</v>
      </c>
      <c r="CX160" s="36" t="n">
        <f aca="false">SUMIF($C$2:$F$2,EOMONTH(CX$2,-1)+1,$C160:$F160)*VLOOKUP(CX$2,ProyDia[],8,0)</f>
        <v>0</v>
      </c>
      <c r="CY160" s="36" t="n">
        <f aca="false">SUMIF($C$2:$F$2,EOMONTH(CY$2,-1)+1,$C160:$F160)*VLOOKUP(CY$2,ProyDia[],8,0)</f>
        <v>0</v>
      </c>
      <c r="CZ160" s="36" t="n">
        <f aca="false">SUMIF($C$2:$F$2,EOMONTH(CZ$2,-1)+1,$C160:$F160)*VLOOKUP(CZ$2,ProyDia[],8,0)</f>
        <v>0</v>
      </c>
      <c r="DA160" s="36" t="n">
        <f aca="false">SUMIF($C$2:$F$2,EOMONTH(DA$2,-1)+1,$C160:$F160)*VLOOKUP(DA$2,ProyDia[],8,0)</f>
        <v>0</v>
      </c>
      <c r="DB160" s="36" t="n">
        <f aca="false">SUMIF($C$2:$F$2,EOMONTH(DB$2,-1)+1,$C160:$F160)*VLOOKUP(DB$2,ProyDia[],8,0)</f>
        <v>0</v>
      </c>
      <c r="DC160" s="36" t="n">
        <f aca="false">SUMIF($C$2:$F$2,EOMONTH(DC$2,-1)+1,$C160:$F160)*VLOOKUP(DC$2,ProyDia[],8,0)</f>
        <v>0</v>
      </c>
      <c r="DD160" s="36" t="n">
        <f aca="false">SUMIF($C$2:$F$2,EOMONTH(DD$2,-1)+1,$C160:$F160)*VLOOKUP(DD$2,ProyDia[],8,0)</f>
        <v>0</v>
      </c>
      <c r="DE160" s="36" t="n">
        <f aca="false">SUMIF($C$2:$F$2,EOMONTH(DE$2,-1)+1,$C160:$F160)*VLOOKUP(DE$2,ProyDia[],8,0)</f>
        <v>0</v>
      </c>
      <c r="DF160" s="36" t="n">
        <f aca="false">SUMIF($C$2:$F$2,EOMONTH(DF$2,-1)+1,$C160:$F160)*VLOOKUP(DF$2,ProyDia[],8,0)</f>
        <v>0</v>
      </c>
      <c r="DG160" s="36" t="n">
        <f aca="false">SUMIF($C$2:$F$2,EOMONTH(DG$2,-1)+1,$C160:$F160)*VLOOKUP(DG$2,ProyDia[],8,0)</f>
        <v>0</v>
      </c>
      <c r="DH160" s="36" t="n">
        <f aca="false">SUMIF($C$2:$F$2,EOMONTH(DH$2,-1)+1,$C160:$F160)*VLOOKUP(DH$2,ProyDia[],8,0)</f>
        <v>0</v>
      </c>
      <c r="DI160" s="36" t="n">
        <f aca="false">SUMIF($C$2:$F$2,EOMONTH(DI$2,-1)+1,$C160:$F160)*VLOOKUP(DI$2,ProyDia[],8,0)</f>
        <v>0</v>
      </c>
      <c r="DJ160" s="36" t="n">
        <f aca="false">SUMIF($C$2:$F$2,EOMONTH(DJ$2,-1)+1,$C160:$F160)*VLOOKUP(DJ$2,ProyDia[],8,0)</f>
        <v>0</v>
      </c>
      <c r="DK160" s="36" t="n">
        <f aca="false">SUMIF($C$2:$F$2,EOMONTH(DK$2,-1)+1,$C160:$F160)*VLOOKUP(DK$2,ProyDia[],8,0)</f>
        <v>0</v>
      </c>
      <c r="DL160" s="36" t="n">
        <f aca="false">SUMIF($C$2:$F$2,EOMONTH(DL$2,-1)+1,$C160:$F160)*VLOOKUP(DL$2,ProyDia[],8,0)</f>
        <v>0</v>
      </c>
      <c r="DM160" s="36" t="n">
        <f aca="false">SUMIF($C$2:$F$2,EOMONTH(DM$2,-1)+1,$C160:$F160)*VLOOKUP(DM$2,ProyDia[],8,0)</f>
        <v>0</v>
      </c>
      <c r="DN160" s="36" t="n">
        <f aca="false">SUMIF($C$2:$F$2,EOMONTH(DN$2,-1)+1,$C160:$F160)*VLOOKUP(DN$2,ProyDia[],8,0)</f>
        <v>0</v>
      </c>
      <c r="DO160" s="36" t="n">
        <f aca="false">SUMIF($C$2:$F$2,EOMONTH(DO$2,-1)+1,$C160:$F160)*VLOOKUP(DO$2,ProyDia[],8,0)</f>
        <v>0</v>
      </c>
      <c r="DP160" s="36" t="n">
        <f aca="false">SUMIF($C$2:$F$2,EOMONTH(DP$2,-1)+1,$C160:$F160)*VLOOKUP(DP$2,ProyDia[],8,0)</f>
        <v>0</v>
      </c>
      <c r="DQ160" s="36" t="n">
        <f aca="false">SUMIF($C$2:$F$2,EOMONTH(DQ$2,-1)+1,$C160:$F160)*VLOOKUP(DQ$2,ProyDia[],8,0)</f>
        <v>0</v>
      </c>
      <c r="DR160" s="36" t="n">
        <f aca="false">SUMIF($C$2:$F$2,EOMONTH(DR$2,-1)+1,$C160:$F160)*VLOOKUP(DR$2,ProyDia[],8,0)</f>
        <v>0</v>
      </c>
      <c r="DS160" s="36" t="n">
        <f aca="false">SUMIF($C$2:$F$2,EOMONTH(DS$2,-1)+1,$C160:$F160)*VLOOKUP(DS$2,ProyDia[],8,0)</f>
        <v>0</v>
      </c>
      <c r="DT160" s="36" t="n">
        <f aca="false">SUMIF($C$2:$F$2,EOMONTH(DT$2,-1)+1,$C160:$F160)*VLOOKUP(DT$2,ProyDia[],8,0)</f>
        <v>0</v>
      </c>
      <c r="DU160" s="36" t="n">
        <f aca="false">SUMIF($C$2:$F$2,EOMONTH(DU$2,-1)+1,$C160:$F160)*VLOOKUP(DU$2,ProyDia[],8,0)</f>
        <v>0</v>
      </c>
      <c r="DV160" s="36" t="n">
        <f aca="false">SUMIF($C$2:$F$2,EOMONTH(DV$2,-1)+1,$C160:$F160)*VLOOKUP(DV$2,ProyDia[],8,0)</f>
        <v>0</v>
      </c>
      <c r="DW160" s="36" t="n">
        <f aca="false">SUMIF($C$2:$F$2,EOMONTH(DW$2,-1)+1,$C160:$F160)*VLOOKUP(DW$2,ProyDia[],8,0)</f>
        <v>0</v>
      </c>
      <c r="DX160" s="36" t="n">
        <f aca="false">SUMIF($C$2:$F$2,EOMONTH(DX$2,-1)+1,$C160:$F160)*VLOOKUP(DX$2,ProyDia[],8,0)</f>
        <v>0</v>
      </c>
    </row>
    <row r="161" customFormat="false" ht="14.4" hidden="false" customHeight="false" outlineLevel="0" collapsed="false">
      <c r="A161" s="34"/>
      <c r="B161" s="34"/>
      <c r="C161" s="34"/>
      <c r="D161" s="34"/>
      <c r="E161" s="34"/>
      <c r="F161" s="34"/>
      <c r="G161" s="28" t="n">
        <f aca="false">SUMIF($C$2:$F$2,EOMONTH(G$2,-1)+1,$C161:$F161)*VLOOKUP(G$2,ProyDia[],8,0)</f>
        <v>0</v>
      </c>
      <c r="H161" s="28" t="n">
        <f aca="false">SUMIF($C$2:$F$2,EOMONTH(H$2,-1)+1,$C161:$F161)*VLOOKUP(H$2,ProyDia[],8,0)</f>
        <v>0</v>
      </c>
      <c r="I161" s="28" t="n">
        <f aca="false">SUMIF($C$2:$F$2,EOMONTH(I$2,-1)+1,$C161:$F161)*VLOOKUP(I$2,ProyDia[],8,0)</f>
        <v>0</v>
      </c>
      <c r="J161" s="28" t="n">
        <f aca="false">SUMIF($C$2:$F$2,EOMONTH(J$2,-1)+1,$C161:$F161)*VLOOKUP(J$2,ProyDia[],8,0)</f>
        <v>0</v>
      </c>
      <c r="K161" s="28" t="n">
        <f aca="false">SUMIF($C$2:$F$2,EOMONTH(K$2,-1)+1,$C161:$F161)*VLOOKUP(K$2,ProyDia[],8,0)</f>
        <v>0</v>
      </c>
      <c r="L161" s="28" t="n">
        <f aca="false">SUMIF($C$2:$F$2,EOMONTH(L$2,-1)+1,$C161:$F161)*VLOOKUP(L$2,ProyDia[],8,0)</f>
        <v>0</v>
      </c>
      <c r="M161" s="28" t="n">
        <f aca="false">SUMIF($C$2:$F$2,EOMONTH(M$2,-1)+1,$C161:$F161)*VLOOKUP(M$2,ProyDia[],8,0)</f>
        <v>0</v>
      </c>
      <c r="N161" s="28" t="n">
        <f aca="false">SUMIF($C$2:$F$2,EOMONTH(N$2,-1)+1,$C161:$F161)*VLOOKUP(N$2,ProyDia[],8,0)</f>
        <v>0</v>
      </c>
      <c r="O161" s="28" t="n">
        <f aca="false">SUMIF($C$2:$F$2,EOMONTH(O$2,-1)+1,$C161:$F161)*VLOOKUP(O$2,ProyDia[],8,0)</f>
        <v>0</v>
      </c>
      <c r="P161" s="28" t="n">
        <f aca="false">SUMIF($C$2:$F$2,EOMONTH(P$2,-1)+1,$C161:$F161)*VLOOKUP(P$2,ProyDia[],8,0)</f>
        <v>0</v>
      </c>
      <c r="Q161" s="28" t="n">
        <f aca="false">SUMIF($C$2:$F$2,EOMONTH(Q$2,-1)+1,$C161:$F161)*VLOOKUP(Q$2,ProyDia[],8,0)</f>
        <v>0</v>
      </c>
      <c r="R161" s="28" t="n">
        <f aca="false">SUMIF($C$2:$F$2,EOMONTH(R$2,-1)+1,$C161:$F161)*VLOOKUP(R$2,ProyDia[],8,0)</f>
        <v>0</v>
      </c>
      <c r="S161" s="28" t="n">
        <f aca="false">SUMIF($C$2:$F$2,EOMONTH(S$2,-1)+1,$C161:$F161)*VLOOKUP(S$2,ProyDia[],8,0)</f>
        <v>0</v>
      </c>
      <c r="T161" s="28" t="n">
        <f aca="false">SUMIF($C$2:$F$2,EOMONTH(T$2,-1)+1,$C161:$F161)*VLOOKUP(T$2,ProyDia[],8,0)</f>
        <v>0</v>
      </c>
      <c r="U161" s="28" t="n">
        <f aca="false">SUMIF($C$2:$F$2,EOMONTH(U$2,-1)+1,$C161:$F161)*VLOOKUP(U$2,ProyDia[],8,0)</f>
        <v>0</v>
      </c>
      <c r="V161" s="28" t="n">
        <f aca="false">SUMIF($C$2:$F$2,EOMONTH(V$2,-1)+1,$C161:$F161)*VLOOKUP(V$2,ProyDia[],8,0)</f>
        <v>0</v>
      </c>
      <c r="W161" s="28" t="n">
        <f aca="false">SUMIF($C$2:$F$2,EOMONTH(W$2,-1)+1,$C161:$F161)*VLOOKUP(W$2,ProyDia[],8,0)</f>
        <v>0</v>
      </c>
      <c r="X161" s="28" t="n">
        <f aca="false">SUMIF($C$2:$F$2,EOMONTH(X$2,-1)+1,$C161:$F161)*VLOOKUP(X$2,ProyDia[],8,0)</f>
        <v>0</v>
      </c>
      <c r="Y161" s="28" t="n">
        <f aca="false">SUMIF($C$2:$F$2,EOMONTH(Y$2,-1)+1,$C161:$F161)*VLOOKUP(Y$2,ProyDia[],8,0)</f>
        <v>0</v>
      </c>
      <c r="Z161" s="28" t="n">
        <f aca="false">SUMIF($C$2:$F$2,EOMONTH(Z$2,-1)+1,$C161:$F161)*VLOOKUP(Z$2,ProyDia[],8,0)</f>
        <v>0</v>
      </c>
      <c r="AA161" s="28" t="n">
        <f aca="false">SUMIF($C$2:$F$2,EOMONTH(AA$2,-1)+1,$C161:$F161)*VLOOKUP(AA$2,ProyDia[],8,0)</f>
        <v>0</v>
      </c>
      <c r="AB161" s="28" t="n">
        <f aca="false">SUMIF($C$2:$F$2,EOMONTH(AB$2,-1)+1,$C161:$F161)*VLOOKUP(AB$2,ProyDia[],8,0)</f>
        <v>0</v>
      </c>
      <c r="AC161" s="28" t="n">
        <f aca="false">SUMIF($C$2:$F$2,EOMONTH(AC$2,-1)+1,$C161:$F161)*VLOOKUP(AC$2,ProyDia[],8,0)</f>
        <v>0</v>
      </c>
      <c r="AD161" s="28" t="n">
        <f aca="false">SUMIF($C$2:$F$2,EOMONTH(AD$2,-1)+1,$C161:$F161)*VLOOKUP(AD$2,ProyDia[],8,0)</f>
        <v>0</v>
      </c>
      <c r="AE161" s="28" t="n">
        <f aca="false">SUMIF($C$2:$F$2,EOMONTH(AE$2,-1)+1,$C161:$F161)*VLOOKUP(AE$2,ProyDia[],8,0)</f>
        <v>0</v>
      </c>
      <c r="AF161" s="28" t="n">
        <f aca="false">SUMIF($C$2:$F$2,EOMONTH(AF$2,-1)+1,$C161:$F161)*VLOOKUP(AF$2,ProyDia[],8,0)</f>
        <v>0</v>
      </c>
      <c r="AG161" s="28" t="n">
        <f aca="false">SUMIF($C$2:$F$2,EOMONTH(AG$2,-1)+1,$C161:$F161)*VLOOKUP(AG$2,ProyDia[],8,0)</f>
        <v>0</v>
      </c>
      <c r="AH161" s="28" t="n">
        <f aca="false">SUMIF($C$2:$F$2,EOMONTH(AH$2,-1)+1,$C161:$F161)*VLOOKUP(AH$2,ProyDia[],8,0)</f>
        <v>0</v>
      </c>
      <c r="AI161" s="28" t="n">
        <f aca="false">SUMIF($C$2:$F$2,EOMONTH(AI$2,-1)+1,$C161:$F161)*VLOOKUP(AI$2,ProyDia[],8,0)</f>
        <v>0</v>
      </c>
      <c r="AJ161" s="28" t="n">
        <f aca="false">SUMIF($C$2:$F$2,EOMONTH(AJ$2,-1)+1,$C161:$F161)*VLOOKUP(AJ$2,ProyDia[],8,0)</f>
        <v>0</v>
      </c>
      <c r="AK161" s="28" t="n">
        <f aca="false">SUMIF($C$2:$F$2,EOMONTH(AK$2,-1)+1,$C161:$F161)*VLOOKUP(AK$2,ProyDia[],8,0)</f>
        <v>0</v>
      </c>
      <c r="AL161" s="28" t="n">
        <f aca="false">SUMIF($C$2:$F$2,EOMONTH(AL$2,-1)+1,$C161:$F161)*VLOOKUP(AL$2,ProyDia[],8,0)</f>
        <v>0</v>
      </c>
      <c r="AM161" s="28" t="n">
        <f aca="false">SUMIF($C$2:$F$2,EOMONTH(AM$2,-1)+1,$C161:$F161)*VLOOKUP(AM$2,ProyDia[],8,0)</f>
        <v>0</v>
      </c>
      <c r="AN161" s="28" t="n">
        <f aca="false">SUMIF($C$2:$F$2,EOMONTH(AN$2,-1)+1,$C161:$F161)*VLOOKUP(AN$2,ProyDia[],8,0)</f>
        <v>0</v>
      </c>
      <c r="AO161" s="28" t="n">
        <f aca="false">SUMIF($C$2:$F$2,EOMONTH(AO$2,-1)+1,$C161:$F161)*VLOOKUP(AO$2,ProyDia[],8,0)</f>
        <v>0</v>
      </c>
      <c r="AP161" s="28" t="n">
        <f aca="false">SUMIF($C$2:$F$2,EOMONTH(AP$2,-1)+1,$C161:$F161)*VLOOKUP(AP$2,ProyDia[],8,0)</f>
        <v>0</v>
      </c>
      <c r="AQ161" s="28" t="n">
        <f aca="false">SUMIF($C$2:$F$2,EOMONTH(AQ$2,-1)+1,$C161:$F161)*VLOOKUP(AQ$2,ProyDia[],8,0)</f>
        <v>0</v>
      </c>
      <c r="AR161" s="28" t="n">
        <f aca="false">SUMIF($C$2:$F$2,EOMONTH(AR$2,-1)+1,$C161:$F161)*VLOOKUP(AR$2,ProyDia[],8,0)</f>
        <v>0</v>
      </c>
      <c r="AS161" s="28" t="n">
        <f aca="false">SUMIF($C$2:$F$2,EOMONTH(AS$2,-1)+1,$C161:$F161)*VLOOKUP(AS$2,ProyDia[],8,0)</f>
        <v>0</v>
      </c>
      <c r="AT161" s="28" t="n">
        <f aca="false">SUMIF($C$2:$F$2,EOMONTH(AT$2,-1)+1,$C161:$F161)*VLOOKUP(AT$2,ProyDia[],8,0)</f>
        <v>0</v>
      </c>
      <c r="AU161" s="28" t="n">
        <f aca="false">SUMIF($C$2:$F$2,EOMONTH(AU$2,-1)+1,$C161:$F161)*VLOOKUP(AU$2,ProyDia[],8,0)</f>
        <v>0</v>
      </c>
      <c r="AV161" s="28" t="n">
        <f aca="false">SUMIF($C$2:$F$2,EOMONTH(AV$2,-1)+1,$C161:$F161)*VLOOKUP(AV$2,ProyDia[],8,0)</f>
        <v>0</v>
      </c>
      <c r="AW161" s="28" t="n">
        <f aca="false">SUMIF($C$2:$F$2,EOMONTH(AW$2,-1)+1,$C161:$F161)*VLOOKUP(AW$2,ProyDia[],8,0)</f>
        <v>0</v>
      </c>
      <c r="AX161" s="28" t="n">
        <f aca="false">SUMIF($C$2:$F$2,EOMONTH(AX$2,-1)+1,$C161:$F161)*VLOOKUP(AX$2,ProyDia[],8,0)</f>
        <v>0</v>
      </c>
      <c r="AY161" s="28" t="n">
        <f aca="false">SUMIF($C$2:$F$2,EOMONTH(AY$2,-1)+1,$C161:$F161)*VLOOKUP(AY$2,ProyDia[],8,0)</f>
        <v>0</v>
      </c>
      <c r="AZ161" s="28" t="n">
        <f aca="false">SUMIF($C$2:$F$2,EOMONTH(AZ$2,-1)+1,$C161:$F161)*VLOOKUP(AZ$2,ProyDia[],8,0)</f>
        <v>0</v>
      </c>
      <c r="BA161" s="28" t="n">
        <f aca="false">SUMIF($C$2:$F$2,EOMONTH(BA$2,-1)+1,$C161:$F161)*VLOOKUP(BA$2,ProyDia[],8,0)</f>
        <v>0</v>
      </c>
      <c r="BB161" s="28" t="n">
        <f aca="false">SUMIF($C$2:$F$2,EOMONTH(BB$2,-1)+1,$C161:$F161)*VLOOKUP(BB$2,ProyDia[],8,0)</f>
        <v>0</v>
      </c>
      <c r="BC161" s="28" t="n">
        <f aca="false">SUMIF($C$2:$F$2,EOMONTH(BC$2,-1)+1,$C161:$F161)*VLOOKUP(BC$2,ProyDia[],8,0)</f>
        <v>0</v>
      </c>
      <c r="BD161" s="28" t="n">
        <f aca="false">SUMIF($C$2:$F$2,EOMONTH(BD$2,-1)+1,$C161:$F161)*VLOOKUP(BD$2,ProyDia[],8,0)</f>
        <v>0</v>
      </c>
      <c r="BE161" s="28" t="n">
        <f aca="false">SUMIF($C$2:$F$2,EOMONTH(BE$2,-1)+1,$C161:$F161)*VLOOKUP(BE$2,ProyDia[],8,0)</f>
        <v>0</v>
      </c>
      <c r="BF161" s="28" t="n">
        <f aca="false">SUMIF($C$2:$F$2,EOMONTH(BF$2,-1)+1,$C161:$F161)*VLOOKUP(BF$2,ProyDia[],8,0)</f>
        <v>0</v>
      </c>
      <c r="BG161" s="28" t="n">
        <f aca="false">SUMIF($C$2:$F$2,EOMONTH(BG$2,-1)+1,$C161:$F161)*VLOOKUP(BG$2,ProyDia[],8,0)</f>
        <v>0</v>
      </c>
      <c r="BH161" s="28" t="n">
        <f aca="false">SUMIF($C$2:$F$2,EOMONTH(BH$2,-1)+1,$C161:$F161)*VLOOKUP(BH$2,ProyDia[],8,0)</f>
        <v>0</v>
      </c>
      <c r="BI161" s="28" t="n">
        <f aca="false">SUMIF($C$2:$F$2,EOMONTH(BI$2,-1)+1,$C161:$F161)*VLOOKUP(BI$2,ProyDia[],8,0)</f>
        <v>0</v>
      </c>
      <c r="BJ161" s="28" t="n">
        <f aca="false">SUMIF($C$2:$F$2,EOMONTH(BJ$2,-1)+1,$C161:$F161)*VLOOKUP(BJ$2,ProyDia[],8,0)</f>
        <v>0</v>
      </c>
      <c r="BK161" s="28" t="n">
        <f aca="false">SUMIF($C$2:$F$2,EOMONTH(BK$2,-1)+1,$C161:$F161)*VLOOKUP(BK$2,ProyDia[],8,0)</f>
        <v>0</v>
      </c>
      <c r="BL161" s="28" t="n">
        <f aca="false">SUMIF($C$2:$F$2,EOMONTH(BL$2,-1)+1,$C161:$F161)*VLOOKUP(BL$2,ProyDia[],8,0)</f>
        <v>0</v>
      </c>
      <c r="BM161" s="28" t="n">
        <f aca="false">SUMIF($C$2:$F$2,EOMONTH(BM$2,-1)+1,$C161:$F161)*VLOOKUP(BM$2,ProyDia[],8,0)</f>
        <v>0</v>
      </c>
      <c r="BN161" s="28" t="n">
        <f aca="false">SUMIF($C$2:$F$2,EOMONTH(BN$2,-1)+1,$C161:$F161)*VLOOKUP(BN$2,ProyDia[],8,0)</f>
        <v>0</v>
      </c>
      <c r="BO161" s="28" t="n">
        <f aca="false">SUMIF($C$2:$F$2,EOMONTH(BO$2,-1)+1,$C161:$F161)*VLOOKUP(BO$2,ProyDia[],8,0)</f>
        <v>0</v>
      </c>
      <c r="BP161" s="28" t="n">
        <f aca="false">SUMIF($C$2:$F$2,EOMONTH(BP$2,-1)+1,$C161:$F161)*VLOOKUP(BP$2,ProyDia[],8,0)</f>
        <v>0</v>
      </c>
      <c r="BQ161" s="28" t="n">
        <f aca="false">SUMIF($C$2:$F$2,EOMONTH(BQ$2,-1)+1,$C161:$F161)*VLOOKUP(BQ$2,ProyDia[],8,0)</f>
        <v>0</v>
      </c>
      <c r="BR161" s="28" t="n">
        <f aca="false">SUMIF($C$2:$F$2,EOMONTH(BR$2,-1)+1,$C161:$F161)*VLOOKUP(BR$2,ProyDia[],8,0)</f>
        <v>0</v>
      </c>
      <c r="BS161" s="28" t="n">
        <f aca="false">SUMIF($C$2:$F$2,EOMONTH(BS$2,-1)+1,$C161:$F161)*VLOOKUP(BS$2,ProyDia[],8,0)</f>
        <v>0</v>
      </c>
      <c r="BT161" s="28" t="n">
        <f aca="false">SUMIF($C$2:$F$2,EOMONTH(BT$2,-1)+1,$C161:$F161)*VLOOKUP(BT$2,ProyDia[],8,0)</f>
        <v>0</v>
      </c>
      <c r="BU161" s="28" t="n">
        <f aca="false">SUMIF($C$2:$F$2,EOMONTH(BU$2,-1)+1,$C161:$F161)*VLOOKUP(BU$2,ProyDia[],8,0)</f>
        <v>0</v>
      </c>
      <c r="BV161" s="28" t="n">
        <f aca="false">SUMIF($C$2:$F$2,EOMONTH(BV$2,-1)+1,$C161:$F161)*VLOOKUP(BV$2,ProyDia[],8,0)</f>
        <v>0</v>
      </c>
      <c r="BW161" s="28" t="n">
        <f aca="false">SUMIF($C$2:$F$2,EOMONTH(BW$2,-1)+1,$C161:$F161)*VLOOKUP(BW$2,ProyDia[],8,0)</f>
        <v>0</v>
      </c>
      <c r="BX161" s="28" t="n">
        <f aca="false">SUMIF($C$2:$F$2,EOMONTH(BX$2,-1)+1,$C161:$F161)*VLOOKUP(BX$2,ProyDia[],8,0)</f>
        <v>0</v>
      </c>
      <c r="BY161" s="28" t="n">
        <f aca="false">SUMIF($C$2:$F$2,EOMONTH(BY$2,-1)+1,$C161:$F161)*VLOOKUP(BY$2,ProyDia[],8,0)</f>
        <v>0</v>
      </c>
      <c r="BZ161" s="28" t="n">
        <f aca="false">SUMIF($C$2:$F$2,EOMONTH(BZ$2,-1)+1,$C161:$F161)*VLOOKUP(BZ$2,ProyDia[],8,0)</f>
        <v>0</v>
      </c>
      <c r="CA161" s="28" t="n">
        <f aca="false">SUMIF($C$2:$F$2,EOMONTH(CA$2,-1)+1,$C161:$F161)*VLOOKUP(CA$2,ProyDia[],8,0)</f>
        <v>0</v>
      </c>
      <c r="CB161" s="28" t="n">
        <f aca="false">SUMIF($C$2:$F$2,EOMONTH(CB$2,-1)+1,$C161:$F161)*VLOOKUP(CB$2,ProyDia[],8,0)</f>
        <v>0</v>
      </c>
      <c r="CC161" s="28" t="n">
        <f aca="false">SUMIF($C$2:$F$2,EOMONTH(CC$2,-1)+1,$C161:$F161)*VLOOKUP(CC$2,ProyDia[],8,0)</f>
        <v>0</v>
      </c>
      <c r="CD161" s="28" t="n">
        <f aca="false">SUMIF($C$2:$F$2,EOMONTH(CD$2,-1)+1,$C161:$F161)*VLOOKUP(CD$2,ProyDia[],8,0)</f>
        <v>0</v>
      </c>
      <c r="CE161" s="28" t="n">
        <f aca="false">SUMIF($C$2:$F$2,EOMONTH(CE$2,-1)+1,$C161:$F161)*VLOOKUP(CE$2,ProyDia[],8,0)</f>
        <v>0</v>
      </c>
      <c r="CF161" s="28" t="n">
        <f aca="false">SUMIF($C$2:$F$2,EOMONTH(CF$2,-1)+1,$C161:$F161)*VLOOKUP(CF$2,ProyDia[],8,0)</f>
        <v>0</v>
      </c>
      <c r="CG161" s="28" t="n">
        <f aca="false">SUMIF($C$2:$F$2,EOMONTH(CG$2,-1)+1,$C161:$F161)*VLOOKUP(CG$2,ProyDia[],8,0)</f>
        <v>0</v>
      </c>
      <c r="CH161" s="28" t="n">
        <f aca="false">SUMIF($C$2:$F$2,EOMONTH(CH$2,-1)+1,$C161:$F161)*VLOOKUP(CH$2,ProyDia[],8,0)</f>
        <v>0</v>
      </c>
      <c r="CI161" s="28" t="n">
        <f aca="false">SUMIF($C$2:$F$2,EOMONTH(CI$2,-1)+1,$C161:$F161)*VLOOKUP(CI$2,ProyDia[],8,0)</f>
        <v>0</v>
      </c>
      <c r="CJ161" s="28" t="n">
        <f aca="false">SUMIF($C$2:$F$2,EOMONTH(CJ$2,-1)+1,$C161:$F161)*VLOOKUP(CJ$2,ProyDia[],8,0)</f>
        <v>0</v>
      </c>
      <c r="CK161" s="28" t="n">
        <f aca="false">SUMIF($C$2:$F$2,EOMONTH(CK$2,-1)+1,$C161:$F161)*VLOOKUP(CK$2,ProyDia[],8,0)</f>
        <v>0</v>
      </c>
      <c r="CL161" s="28" t="n">
        <f aca="false">SUMIF($C$2:$F$2,EOMONTH(CL$2,-1)+1,$C161:$F161)*VLOOKUP(CL$2,ProyDia[],8,0)</f>
        <v>0</v>
      </c>
      <c r="CM161" s="28" t="n">
        <f aca="false">SUMIF($C$2:$F$2,EOMONTH(CM$2,-1)+1,$C161:$F161)*VLOOKUP(CM$2,ProyDia[],8,0)</f>
        <v>0</v>
      </c>
      <c r="CN161" s="28" t="n">
        <f aca="false">SUMIF($C$2:$F$2,EOMONTH(CN$2,-1)+1,$C161:$F161)*VLOOKUP(CN$2,ProyDia[],8,0)</f>
        <v>0</v>
      </c>
      <c r="CO161" s="28" t="n">
        <f aca="false">SUMIF($C$2:$F$2,EOMONTH(CO$2,-1)+1,$C161:$F161)*VLOOKUP(CO$2,ProyDia[],8,0)</f>
        <v>0</v>
      </c>
      <c r="CP161" s="28" t="n">
        <f aca="false">SUMIF($C$2:$F$2,EOMONTH(CP$2,-1)+1,$C161:$F161)*VLOOKUP(CP$2,ProyDia[],8,0)</f>
        <v>0</v>
      </c>
      <c r="CQ161" s="28" t="n">
        <f aca="false">SUMIF($C$2:$F$2,EOMONTH(CQ$2,-1)+1,$C161:$F161)*VLOOKUP(CQ$2,ProyDia[],8,0)</f>
        <v>0</v>
      </c>
      <c r="CR161" s="28" t="n">
        <f aca="false">SUMIF($C$2:$F$2,EOMONTH(CR$2,-1)+1,$C161:$F161)*VLOOKUP(CR$2,ProyDia[],8,0)</f>
        <v>0</v>
      </c>
      <c r="CS161" s="28" t="n">
        <f aca="false">SUMIF($C$2:$F$2,EOMONTH(CS$2,-1)+1,$C161:$F161)*VLOOKUP(CS$2,ProyDia[],8,0)</f>
        <v>0</v>
      </c>
      <c r="CT161" s="28" t="n">
        <f aca="false">SUMIF($C$2:$F$2,EOMONTH(CT$2,-1)+1,$C161:$F161)*VLOOKUP(CT$2,ProyDia[],8,0)</f>
        <v>0</v>
      </c>
      <c r="CU161" s="28" t="n">
        <f aca="false">SUMIF($C$2:$F$2,EOMONTH(CU$2,-1)+1,$C161:$F161)*VLOOKUP(CU$2,ProyDia[],8,0)</f>
        <v>0</v>
      </c>
      <c r="CV161" s="28" t="n">
        <f aca="false">SUMIF($C$2:$F$2,EOMONTH(CV$2,-1)+1,$C161:$F161)*VLOOKUP(CV$2,ProyDia[],8,0)</f>
        <v>0</v>
      </c>
      <c r="CW161" s="28" t="n">
        <f aca="false">SUMIF($C$2:$F$2,EOMONTH(CW$2,-1)+1,$C161:$F161)*VLOOKUP(CW$2,ProyDia[],8,0)</f>
        <v>0</v>
      </c>
      <c r="CX161" s="28" t="n">
        <f aca="false">SUMIF($C$2:$F$2,EOMONTH(CX$2,-1)+1,$C161:$F161)*VLOOKUP(CX$2,ProyDia[],8,0)</f>
        <v>0</v>
      </c>
      <c r="CY161" s="28" t="n">
        <f aca="false">SUMIF($C$2:$F$2,EOMONTH(CY$2,-1)+1,$C161:$F161)*VLOOKUP(CY$2,ProyDia[],8,0)</f>
        <v>0</v>
      </c>
      <c r="CZ161" s="28" t="n">
        <f aca="false">SUMIF($C$2:$F$2,EOMONTH(CZ$2,-1)+1,$C161:$F161)*VLOOKUP(CZ$2,ProyDia[],8,0)</f>
        <v>0</v>
      </c>
      <c r="DA161" s="28" t="n">
        <f aca="false">SUMIF($C$2:$F$2,EOMONTH(DA$2,-1)+1,$C161:$F161)*VLOOKUP(DA$2,ProyDia[],8,0)</f>
        <v>0</v>
      </c>
      <c r="DB161" s="28" t="n">
        <f aca="false">SUMIF($C$2:$F$2,EOMONTH(DB$2,-1)+1,$C161:$F161)*VLOOKUP(DB$2,ProyDia[],8,0)</f>
        <v>0</v>
      </c>
      <c r="DC161" s="28" t="n">
        <f aca="false">SUMIF($C$2:$F$2,EOMONTH(DC$2,-1)+1,$C161:$F161)*VLOOKUP(DC$2,ProyDia[],8,0)</f>
        <v>0</v>
      </c>
      <c r="DD161" s="28" t="n">
        <f aca="false">SUMIF($C$2:$F$2,EOMONTH(DD$2,-1)+1,$C161:$F161)*VLOOKUP(DD$2,ProyDia[],8,0)</f>
        <v>0</v>
      </c>
      <c r="DE161" s="28" t="n">
        <f aca="false">SUMIF($C$2:$F$2,EOMONTH(DE$2,-1)+1,$C161:$F161)*VLOOKUP(DE$2,ProyDia[],8,0)</f>
        <v>0</v>
      </c>
      <c r="DF161" s="28" t="n">
        <f aca="false">SUMIF($C$2:$F$2,EOMONTH(DF$2,-1)+1,$C161:$F161)*VLOOKUP(DF$2,ProyDia[],8,0)</f>
        <v>0</v>
      </c>
      <c r="DG161" s="28" t="n">
        <f aca="false">SUMIF($C$2:$F$2,EOMONTH(DG$2,-1)+1,$C161:$F161)*VLOOKUP(DG$2,ProyDia[],8,0)</f>
        <v>0</v>
      </c>
      <c r="DH161" s="28" t="n">
        <f aca="false">SUMIF($C$2:$F$2,EOMONTH(DH$2,-1)+1,$C161:$F161)*VLOOKUP(DH$2,ProyDia[],8,0)</f>
        <v>0</v>
      </c>
      <c r="DI161" s="28" t="n">
        <f aca="false">SUMIF($C$2:$F$2,EOMONTH(DI$2,-1)+1,$C161:$F161)*VLOOKUP(DI$2,ProyDia[],8,0)</f>
        <v>0</v>
      </c>
      <c r="DJ161" s="28" t="n">
        <f aca="false">SUMIF($C$2:$F$2,EOMONTH(DJ$2,-1)+1,$C161:$F161)*VLOOKUP(DJ$2,ProyDia[],8,0)</f>
        <v>0</v>
      </c>
      <c r="DK161" s="28" t="n">
        <f aca="false">SUMIF($C$2:$F$2,EOMONTH(DK$2,-1)+1,$C161:$F161)*VLOOKUP(DK$2,ProyDia[],8,0)</f>
        <v>0</v>
      </c>
      <c r="DL161" s="28" t="n">
        <f aca="false">SUMIF($C$2:$F$2,EOMONTH(DL$2,-1)+1,$C161:$F161)*VLOOKUP(DL$2,ProyDia[],8,0)</f>
        <v>0</v>
      </c>
      <c r="DM161" s="28" t="n">
        <f aca="false">SUMIF($C$2:$F$2,EOMONTH(DM$2,-1)+1,$C161:$F161)*VLOOKUP(DM$2,ProyDia[],8,0)</f>
        <v>0</v>
      </c>
      <c r="DN161" s="28" t="n">
        <f aca="false">SUMIF($C$2:$F$2,EOMONTH(DN$2,-1)+1,$C161:$F161)*VLOOKUP(DN$2,ProyDia[],8,0)</f>
        <v>0</v>
      </c>
      <c r="DO161" s="28" t="n">
        <f aca="false">SUMIF($C$2:$F$2,EOMONTH(DO$2,-1)+1,$C161:$F161)*VLOOKUP(DO$2,ProyDia[],8,0)</f>
        <v>0</v>
      </c>
      <c r="DP161" s="28" t="n">
        <f aca="false">SUMIF($C$2:$F$2,EOMONTH(DP$2,-1)+1,$C161:$F161)*VLOOKUP(DP$2,ProyDia[],8,0)</f>
        <v>0</v>
      </c>
      <c r="DQ161" s="28" t="n">
        <f aca="false">SUMIF($C$2:$F$2,EOMONTH(DQ$2,-1)+1,$C161:$F161)*VLOOKUP(DQ$2,ProyDia[],8,0)</f>
        <v>0</v>
      </c>
      <c r="DR161" s="28" t="n">
        <f aca="false">SUMIF($C$2:$F$2,EOMONTH(DR$2,-1)+1,$C161:$F161)*VLOOKUP(DR$2,ProyDia[],8,0)</f>
        <v>0</v>
      </c>
      <c r="DS161" s="28" t="n">
        <f aca="false">SUMIF($C$2:$F$2,EOMONTH(DS$2,-1)+1,$C161:$F161)*VLOOKUP(DS$2,ProyDia[],8,0)</f>
        <v>0</v>
      </c>
      <c r="DT161" s="28" t="n">
        <f aca="false">SUMIF($C$2:$F$2,EOMONTH(DT$2,-1)+1,$C161:$F161)*VLOOKUP(DT$2,ProyDia[],8,0)</f>
        <v>0</v>
      </c>
      <c r="DU161" s="28" t="n">
        <f aca="false">SUMIF($C$2:$F$2,EOMONTH(DU$2,-1)+1,$C161:$F161)*VLOOKUP(DU$2,ProyDia[],8,0)</f>
        <v>0</v>
      </c>
      <c r="DV161" s="28" t="n">
        <f aca="false">SUMIF($C$2:$F$2,EOMONTH(DV$2,-1)+1,$C161:$F161)*VLOOKUP(DV$2,ProyDia[],8,0)</f>
        <v>0</v>
      </c>
      <c r="DW161" s="28" t="n">
        <f aca="false">SUMIF($C$2:$F$2,EOMONTH(DW$2,-1)+1,$C161:$F161)*VLOOKUP(DW$2,ProyDia[],8,0)</f>
        <v>0</v>
      </c>
      <c r="DX161" s="28" t="n">
        <f aca="false">SUMIF($C$2:$F$2,EOMONTH(DX$2,-1)+1,$C161:$F161)*VLOOKUP(DX$2,ProyDia[],8,0)</f>
        <v>0</v>
      </c>
    </row>
    <row r="162" customFormat="false" ht="14.4" hidden="false" customHeight="false" outlineLevel="0" collapsed="false">
      <c r="A162" s="35"/>
      <c r="B162" s="35"/>
      <c r="C162" s="35"/>
      <c r="D162" s="35"/>
      <c r="E162" s="35"/>
      <c r="F162" s="35"/>
      <c r="G162" s="36" t="n">
        <f aca="false">SUMIF($C$2:$F$2,EOMONTH(G$2,-1)+1,$C162:$F162)*VLOOKUP(G$2,ProyDia[],8,0)</f>
        <v>0</v>
      </c>
      <c r="H162" s="36" t="n">
        <f aca="false">SUMIF($C$2:$F$2,EOMONTH(H$2,-1)+1,$C162:$F162)*VLOOKUP(H$2,ProyDia[],8,0)</f>
        <v>0</v>
      </c>
      <c r="I162" s="36" t="n">
        <f aca="false">SUMIF($C$2:$F$2,EOMONTH(I$2,-1)+1,$C162:$F162)*VLOOKUP(I$2,ProyDia[],8,0)</f>
        <v>0</v>
      </c>
      <c r="J162" s="36" t="n">
        <f aca="false">SUMIF($C$2:$F$2,EOMONTH(J$2,-1)+1,$C162:$F162)*VLOOKUP(J$2,ProyDia[],8,0)</f>
        <v>0</v>
      </c>
      <c r="K162" s="36" t="n">
        <f aca="false">SUMIF($C$2:$F$2,EOMONTH(K$2,-1)+1,$C162:$F162)*VLOOKUP(K$2,ProyDia[],8,0)</f>
        <v>0</v>
      </c>
      <c r="L162" s="36" t="n">
        <f aca="false">SUMIF($C$2:$F$2,EOMONTH(L$2,-1)+1,$C162:$F162)*VLOOKUP(L$2,ProyDia[],8,0)</f>
        <v>0</v>
      </c>
      <c r="M162" s="36" t="n">
        <f aca="false">SUMIF($C$2:$F$2,EOMONTH(M$2,-1)+1,$C162:$F162)*VLOOKUP(M$2,ProyDia[],8,0)</f>
        <v>0</v>
      </c>
      <c r="N162" s="36" t="n">
        <f aca="false">SUMIF($C$2:$F$2,EOMONTH(N$2,-1)+1,$C162:$F162)*VLOOKUP(N$2,ProyDia[],8,0)</f>
        <v>0</v>
      </c>
      <c r="O162" s="36" t="n">
        <f aca="false">SUMIF($C$2:$F$2,EOMONTH(O$2,-1)+1,$C162:$F162)*VLOOKUP(O$2,ProyDia[],8,0)</f>
        <v>0</v>
      </c>
      <c r="P162" s="36" t="n">
        <f aca="false">SUMIF($C$2:$F$2,EOMONTH(P$2,-1)+1,$C162:$F162)*VLOOKUP(P$2,ProyDia[],8,0)</f>
        <v>0</v>
      </c>
      <c r="Q162" s="36" t="n">
        <f aca="false">SUMIF($C$2:$F$2,EOMONTH(Q$2,-1)+1,$C162:$F162)*VLOOKUP(Q$2,ProyDia[],8,0)</f>
        <v>0</v>
      </c>
      <c r="R162" s="36" t="n">
        <f aca="false">SUMIF($C$2:$F$2,EOMONTH(R$2,-1)+1,$C162:$F162)*VLOOKUP(R$2,ProyDia[],8,0)</f>
        <v>0</v>
      </c>
      <c r="S162" s="36" t="n">
        <f aca="false">SUMIF($C$2:$F$2,EOMONTH(S$2,-1)+1,$C162:$F162)*VLOOKUP(S$2,ProyDia[],8,0)</f>
        <v>0</v>
      </c>
      <c r="T162" s="36" t="n">
        <f aca="false">SUMIF($C$2:$F$2,EOMONTH(T$2,-1)+1,$C162:$F162)*VLOOKUP(T$2,ProyDia[],8,0)</f>
        <v>0</v>
      </c>
      <c r="U162" s="36" t="n">
        <f aca="false">SUMIF($C$2:$F$2,EOMONTH(U$2,-1)+1,$C162:$F162)*VLOOKUP(U$2,ProyDia[],8,0)</f>
        <v>0</v>
      </c>
      <c r="V162" s="36" t="n">
        <f aca="false">SUMIF($C$2:$F$2,EOMONTH(V$2,-1)+1,$C162:$F162)*VLOOKUP(V$2,ProyDia[],8,0)</f>
        <v>0</v>
      </c>
      <c r="W162" s="36" t="n">
        <f aca="false">SUMIF($C$2:$F$2,EOMONTH(W$2,-1)+1,$C162:$F162)*VLOOKUP(W$2,ProyDia[],8,0)</f>
        <v>0</v>
      </c>
      <c r="X162" s="36" t="n">
        <f aca="false">SUMIF($C$2:$F$2,EOMONTH(X$2,-1)+1,$C162:$F162)*VLOOKUP(X$2,ProyDia[],8,0)</f>
        <v>0</v>
      </c>
      <c r="Y162" s="36" t="n">
        <f aca="false">SUMIF($C$2:$F$2,EOMONTH(Y$2,-1)+1,$C162:$F162)*VLOOKUP(Y$2,ProyDia[],8,0)</f>
        <v>0</v>
      </c>
      <c r="Z162" s="36" t="n">
        <f aca="false">SUMIF($C$2:$F$2,EOMONTH(Z$2,-1)+1,$C162:$F162)*VLOOKUP(Z$2,ProyDia[],8,0)</f>
        <v>0</v>
      </c>
      <c r="AA162" s="36" t="n">
        <f aca="false">SUMIF($C$2:$F$2,EOMONTH(AA$2,-1)+1,$C162:$F162)*VLOOKUP(AA$2,ProyDia[],8,0)</f>
        <v>0</v>
      </c>
      <c r="AB162" s="36" t="n">
        <f aca="false">SUMIF($C$2:$F$2,EOMONTH(AB$2,-1)+1,$C162:$F162)*VLOOKUP(AB$2,ProyDia[],8,0)</f>
        <v>0</v>
      </c>
      <c r="AC162" s="36" t="n">
        <f aca="false">SUMIF($C$2:$F$2,EOMONTH(AC$2,-1)+1,$C162:$F162)*VLOOKUP(AC$2,ProyDia[],8,0)</f>
        <v>0</v>
      </c>
      <c r="AD162" s="36" t="n">
        <f aca="false">SUMIF($C$2:$F$2,EOMONTH(AD$2,-1)+1,$C162:$F162)*VLOOKUP(AD$2,ProyDia[],8,0)</f>
        <v>0</v>
      </c>
      <c r="AE162" s="36" t="n">
        <f aca="false">SUMIF($C$2:$F$2,EOMONTH(AE$2,-1)+1,$C162:$F162)*VLOOKUP(AE$2,ProyDia[],8,0)</f>
        <v>0</v>
      </c>
      <c r="AF162" s="36" t="n">
        <f aca="false">SUMIF($C$2:$F$2,EOMONTH(AF$2,-1)+1,$C162:$F162)*VLOOKUP(AF$2,ProyDia[],8,0)</f>
        <v>0</v>
      </c>
      <c r="AG162" s="36" t="n">
        <f aca="false">SUMIF($C$2:$F$2,EOMONTH(AG$2,-1)+1,$C162:$F162)*VLOOKUP(AG$2,ProyDia[],8,0)</f>
        <v>0</v>
      </c>
      <c r="AH162" s="36" t="n">
        <f aca="false">SUMIF($C$2:$F$2,EOMONTH(AH$2,-1)+1,$C162:$F162)*VLOOKUP(AH$2,ProyDia[],8,0)</f>
        <v>0</v>
      </c>
      <c r="AI162" s="36" t="n">
        <f aca="false">SUMIF($C$2:$F$2,EOMONTH(AI$2,-1)+1,$C162:$F162)*VLOOKUP(AI$2,ProyDia[],8,0)</f>
        <v>0</v>
      </c>
      <c r="AJ162" s="36" t="n">
        <f aca="false">SUMIF($C$2:$F$2,EOMONTH(AJ$2,-1)+1,$C162:$F162)*VLOOKUP(AJ$2,ProyDia[],8,0)</f>
        <v>0</v>
      </c>
      <c r="AK162" s="36" t="n">
        <f aca="false">SUMIF($C$2:$F$2,EOMONTH(AK$2,-1)+1,$C162:$F162)*VLOOKUP(AK$2,ProyDia[],8,0)</f>
        <v>0</v>
      </c>
      <c r="AL162" s="36" t="n">
        <f aca="false">SUMIF($C$2:$F$2,EOMONTH(AL$2,-1)+1,$C162:$F162)*VLOOKUP(AL$2,ProyDia[],8,0)</f>
        <v>0</v>
      </c>
      <c r="AM162" s="36" t="n">
        <f aca="false">SUMIF($C$2:$F$2,EOMONTH(AM$2,-1)+1,$C162:$F162)*VLOOKUP(AM$2,ProyDia[],8,0)</f>
        <v>0</v>
      </c>
      <c r="AN162" s="36" t="n">
        <f aca="false">SUMIF($C$2:$F$2,EOMONTH(AN$2,-1)+1,$C162:$F162)*VLOOKUP(AN$2,ProyDia[],8,0)</f>
        <v>0</v>
      </c>
      <c r="AO162" s="36" t="n">
        <f aca="false">SUMIF($C$2:$F$2,EOMONTH(AO$2,-1)+1,$C162:$F162)*VLOOKUP(AO$2,ProyDia[],8,0)</f>
        <v>0</v>
      </c>
      <c r="AP162" s="36" t="n">
        <f aca="false">SUMIF($C$2:$F$2,EOMONTH(AP$2,-1)+1,$C162:$F162)*VLOOKUP(AP$2,ProyDia[],8,0)</f>
        <v>0</v>
      </c>
      <c r="AQ162" s="36" t="n">
        <f aca="false">SUMIF($C$2:$F$2,EOMONTH(AQ$2,-1)+1,$C162:$F162)*VLOOKUP(AQ$2,ProyDia[],8,0)</f>
        <v>0</v>
      </c>
      <c r="AR162" s="36" t="n">
        <f aca="false">SUMIF($C$2:$F$2,EOMONTH(AR$2,-1)+1,$C162:$F162)*VLOOKUP(AR$2,ProyDia[],8,0)</f>
        <v>0</v>
      </c>
      <c r="AS162" s="36" t="n">
        <f aca="false">SUMIF($C$2:$F$2,EOMONTH(AS$2,-1)+1,$C162:$F162)*VLOOKUP(AS$2,ProyDia[],8,0)</f>
        <v>0</v>
      </c>
      <c r="AT162" s="36" t="n">
        <f aca="false">SUMIF($C$2:$F$2,EOMONTH(AT$2,-1)+1,$C162:$F162)*VLOOKUP(AT$2,ProyDia[],8,0)</f>
        <v>0</v>
      </c>
      <c r="AU162" s="36" t="n">
        <f aca="false">SUMIF($C$2:$F$2,EOMONTH(AU$2,-1)+1,$C162:$F162)*VLOOKUP(AU$2,ProyDia[],8,0)</f>
        <v>0</v>
      </c>
      <c r="AV162" s="36" t="n">
        <f aca="false">SUMIF($C$2:$F$2,EOMONTH(AV$2,-1)+1,$C162:$F162)*VLOOKUP(AV$2,ProyDia[],8,0)</f>
        <v>0</v>
      </c>
      <c r="AW162" s="36" t="n">
        <f aca="false">SUMIF($C$2:$F$2,EOMONTH(AW$2,-1)+1,$C162:$F162)*VLOOKUP(AW$2,ProyDia[],8,0)</f>
        <v>0</v>
      </c>
      <c r="AX162" s="36" t="n">
        <f aca="false">SUMIF($C$2:$F$2,EOMONTH(AX$2,-1)+1,$C162:$F162)*VLOOKUP(AX$2,ProyDia[],8,0)</f>
        <v>0</v>
      </c>
      <c r="AY162" s="36" t="n">
        <f aca="false">SUMIF($C$2:$F$2,EOMONTH(AY$2,-1)+1,$C162:$F162)*VLOOKUP(AY$2,ProyDia[],8,0)</f>
        <v>0</v>
      </c>
      <c r="AZ162" s="36" t="n">
        <f aca="false">SUMIF($C$2:$F$2,EOMONTH(AZ$2,-1)+1,$C162:$F162)*VLOOKUP(AZ$2,ProyDia[],8,0)</f>
        <v>0</v>
      </c>
      <c r="BA162" s="36" t="n">
        <f aca="false">SUMIF($C$2:$F$2,EOMONTH(BA$2,-1)+1,$C162:$F162)*VLOOKUP(BA$2,ProyDia[],8,0)</f>
        <v>0</v>
      </c>
      <c r="BB162" s="36" t="n">
        <f aca="false">SUMIF($C$2:$F$2,EOMONTH(BB$2,-1)+1,$C162:$F162)*VLOOKUP(BB$2,ProyDia[],8,0)</f>
        <v>0</v>
      </c>
      <c r="BC162" s="36" t="n">
        <f aca="false">SUMIF($C$2:$F$2,EOMONTH(BC$2,-1)+1,$C162:$F162)*VLOOKUP(BC$2,ProyDia[],8,0)</f>
        <v>0</v>
      </c>
      <c r="BD162" s="36" t="n">
        <f aca="false">SUMIF($C$2:$F$2,EOMONTH(BD$2,-1)+1,$C162:$F162)*VLOOKUP(BD$2,ProyDia[],8,0)</f>
        <v>0</v>
      </c>
      <c r="BE162" s="36" t="n">
        <f aca="false">SUMIF($C$2:$F$2,EOMONTH(BE$2,-1)+1,$C162:$F162)*VLOOKUP(BE$2,ProyDia[],8,0)</f>
        <v>0</v>
      </c>
      <c r="BF162" s="36" t="n">
        <f aca="false">SUMIF($C$2:$F$2,EOMONTH(BF$2,-1)+1,$C162:$F162)*VLOOKUP(BF$2,ProyDia[],8,0)</f>
        <v>0</v>
      </c>
      <c r="BG162" s="36" t="n">
        <f aca="false">SUMIF($C$2:$F$2,EOMONTH(BG$2,-1)+1,$C162:$F162)*VLOOKUP(BG$2,ProyDia[],8,0)</f>
        <v>0</v>
      </c>
      <c r="BH162" s="36" t="n">
        <f aca="false">SUMIF($C$2:$F$2,EOMONTH(BH$2,-1)+1,$C162:$F162)*VLOOKUP(BH$2,ProyDia[],8,0)</f>
        <v>0</v>
      </c>
      <c r="BI162" s="36" t="n">
        <f aca="false">SUMIF($C$2:$F$2,EOMONTH(BI$2,-1)+1,$C162:$F162)*VLOOKUP(BI$2,ProyDia[],8,0)</f>
        <v>0</v>
      </c>
      <c r="BJ162" s="36" t="n">
        <f aca="false">SUMIF($C$2:$F$2,EOMONTH(BJ$2,-1)+1,$C162:$F162)*VLOOKUP(BJ$2,ProyDia[],8,0)</f>
        <v>0</v>
      </c>
      <c r="BK162" s="36" t="n">
        <f aca="false">SUMIF($C$2:$F$2,EOMONTH(BK$2,-1)+1,$C162:$F162)*VLOOKUP(BK$2,ProyDia[],8,0)</f>
        <v>0</v>
      </c>
      <c r="BL162" s="36" t="n">
        <f aca="false">SUMIF($C$2:$F$2,EOMONTH(BL$2,-1)+1,$C162:$F162)*VLOOKUP(BL$2,ProyDia[],8,0)</f>
        <v>0</v>
      </c>
      <c r="BM162" s="36" t="n">
        <f aca="false">SUMIF($C$2:$F$2,EOMONTH(BM$2,-1)+1,$C162:$F162)*VLOOKUP(BM$2,ProyDia[],8,0)</f>
        <v>0</v>
      </c>
      <c r="BN162" s="36" t="n">
        <f aca="false">SUMIF($C$2:$F$2,EOMONTH(BN$2,-1)+1,$C162:$F162)*VLOOKUP(BN$2,ProyDia[],8,0)</f>
        <v>0</v>
      </c>
      <c r="BO162" s="36" t="n">
        <f aca="false">SUMIF($C$2:$F$2,EOMONTH(BO$2,-1)+1,$C162:$F162)*VLOOKUP(BO$2,ProyDia[],8,0)</f>
        <v>0</v>
      </c>
      <c r="BP162" s="36" t="n">
        <f aca="false">SUMIF($C$2:$F$2,EOMONTH(BP$2,-1)+1,$C162:$F162)*VLOOKUP(BP$2,ProyDia[],8,0)</f>
        <v>0</v>
      </c>
      <c r="BQ162" s="36" t="n">
        <f aca="false">SUMIF($C$2:$F$2,EOMONTH(BQ$2,-1)+1,$C162:$F162)*VLOOKUP(BQ$2,ProyDia[],8,0)</f>
        <v>0</v>
      </c>
      <c r="BR162" s="36" t="n">
        <f aca="false">SUMIF($C$2:$F$2,EOMONTH(BR$2,-1)+1,$C162:$F162)*VLOOKUP(BR$2,ProyDia[],8,0)</f>
        <v>0</v>
      </c>
      <c r="BS162" s="36" t="n">
        <f aca="false">SUMIF($C$2:$F$2,EOMONTH(BS$2,-1)+1,$C162:$F162)*VLOOKUP(BS$2,ProyDia[],8,0)</f>
        <v>0</v>
      </c>
      <c r="BT162" s="36" t="n">
        <f aca="false">SUMIF($C$2:$F$2,EOMONTH(BT$2,-1)+1,$C162:$F162)*VLOOKUP(BT$2,ProyDia[],8,0)</f>
        <v>0</v>
      </c>
      <c r="BU162" s="36" t="n">
        <f aca="false">SUMIF($C$2:$F$2,EOMONTH(BU$2,-1)+1,$C162:$F162)*VLOOKUP(BU$2,ProyDia[],8,0)</f>
        <v>0</v>
      </c>
      <c r="BV162" s="36" t="n">
        <f aca="false">SUMIF($C$2:$F$2,EOMONTH(BV$2,-1)+1,$C162:$F162)*VLOOKUP(BV$2,ProyDia[],8,0)</f>
        <v>0</v>
      </c>
      <c r="BW162" s="36" t="n">
        <f aca="false">SUMIF($C$2:$F$2,EOMONTH(BW$2,-1)+1,$C162:$F162)*VLOOKUP(BW$2,ProyDia[],8,0)</f>
        <v>0</v>
      </c>
      <c r="BX162" s="36" t="n">
        <f aca="false">SUMIF($C$2:$F$2,EOMONTH(BX$2,-1)+1,$C162:$F162)*VLOOKUP(BX$2,ProyDia[],8,0)</f>
        <v>0</v>
      </c>
      <c r="BY162" s="36" t="n">
        <f aca="false">SUMIF($C$2:$F$2,EOMONTH(BY$2,-1)+1,$C162:$F162)*VLOOKUP(BY$2,ProyDia[],8,0)</f>
        <v>0</v>
      </c>
      <c r="BZ162" s="36" t="n">
        <f aca="false">SUMIF($C$2:$F$2,EOMONTH(BZ$2,-1)+1,$C162:$F162)*VLOOKUP(BZ$2,ProyDia[],8,0)</f>
        <v>0</v>
      </c>
      <c r="CA162" s="36" t="n">
        <f aca="false">SUMIF($C$2:$F$2,EOMONTH(CA$2,-1)+1,$C162:$F162)*VLOOKUP(CA$2,ProyDia[],8,0)</f>
        <v>0</v>
      </c>
      <c r="CB162" s="36" t="n">
        <f aca="false">SUMIF($C$2:$F$2,EOMONTH(CB$2,-1)+1,$C162:$F162)*VLOOKUP(CB$2,ProyDia[],8,0)</f>
        <v>0</v>
      </c>
      <c r="CC162" s="36" t="n">
        <f aca="false">SUMIF($C$2:$F$2,EOMONTH(CC$2,-1)+1,$C162:$F162)*VLOOKUP(CC$2,ProyDia[],8,0)</f>
        <v>0</v>
      </c>
      <c r="CD162" s="36" t="n">
        <f aca="false">SUMIF($C$2:$F$2,EOMONTH(CD$2,-1)+1,$C162:$F162)*VLOOKUP(CD$2,ProyDia[],8,0)</f>
        <v>0</v>
      </c>
      <c r="CE162" s="36" t="n">
        <f aca="false">SUMIF($C$2:$F$2,EOMONTH(CE$2,-1)+1,$C162:$F162)*VLOOKUP(CE$2,ProyDia[],8,0)</f>
        <v>0</v>
      </c>
      <c r="CF162" s="36" t="n">
        <f aca="false">SUMIF($C$2:$F$2,EOMONTH(CF$2,-1)+1,$C162:$F162)*VLOOKUP(CF$2,ProyDia[],8,0)</f>
        <v>0</v>
      </c>
      <c r="CG162" s="36" t="n">
        <f aca="false">SUMIF($C$2:$F$2,EOMONTH(CG$2,-1)+1,$C162:$F162)*VLOOKUP(CG$2,ProyDia[],8,0)</f>
        <v>0</v>
      </c>
      <c r="CH162" s="36" t="n">
        <f aca="false">SUMIF($C$2:$F$2,EOMONTH(CH$2,-1)+1,$C162:$F162)*VLOOKUP(CH$2,ProyDia[],8,0)</f>
        <v>0</v>
      </c>
      <c r="CI162" s="36" t="n">
        <f aca="false">SUMIF($C$2:$F$2,EOMONTH(CI$2,-1)+1,$C162:$F162)*VLOOKUP(CI$2,ProyDia[],8,0)</f>
        <v>0</v>
      </c>
      <c r="CJ162" s="36" t="n">
        <f aca="false">SUMIF($C$2:$F$2,EOMONTH(CJ$2,-1)+1,$C162:$F162)*VLOOKUP(CJ$2,ProyDia[],8,0)</f>
        <v>0</v>
      </c>
      <c r="CK162" s="36" t="n">
        <f aca="false">SUMIF($C$2:$F$2,EOMONTH(CK$2,-1)+1,$C162:$F162)*VLOOKUP(CK$2,ProyDia[],8,0)</f>
        <v>0</v>
      </c>
      <c r="CL162" s="36" t="n">
        <f aca="false">SUMIF($C$2:$F$2,EOMONTH(CL$2,-1)+1,$C162:$F162)*VLOOKUP(CL$2,ProyDia[],8,0)</f>
        <v>0</v>
      </c>
      <c r="CM162" s="36" t="n">
        <f aca="false">SUMIF($C$2:$F$2,EOMONTH(CM$2,-1)+1,$C162:$F162)*VLOOKUP(CM$2,ProyDia[],8,0)</f>
        <v>0</v>
      </c>
      <c r="CN162" s="36" t="n">
        <f aca="false">SUMIF($C$2:$F$2,EOMONTH(CN$2,-1)+1,$C162:$F162)*VLOOKUP(CN$2,ProyDia[],8,0)</f>
        <v>0</v>
      </c>
      <c r="CO162" s="36" t="n">
        <f aca="false">SUMIF($C$2:$F$2,EOMONTH(CO$2,-1)+1,$C162:$F162)*VLOOKUP(CO$2,ProyDia[],8,0)</f>
        <v>0</v>
      </c>
      <c r="CP162" s="36" t="n">
        <f aca="false">SUMIF($C$2:$F$2,EOMONTH(CP$2,-1)+1,$C162:$F162)*VLOOKUP(CP$2,ProyDia[],8,0)</f>
        <v>0</v>
      </c>
      <c r="CQ162" s="36" t="n">
        <f aca="false">SUMIF($C$2:$F$2,EOMONTH(CQ$2,-1)+1,$C162:$F162)*VLOOKUP(CQ$2,ProyDia[],8,0)</f>
        <v>0</v>
      </c>
      <c r="CR162" s="36" t="n">
        <f aca="false">SUMIF($C$2:$F$2,EOMONTH(CR$2,-1)+1,$C162:$F162)*VLOOKUP(CR$2,ProyDia[],8,0)</f>
        <v>0</v>
      </c>
      <c r="CS162" s="36" t="n">
        <f aca="false">SUMIF($C$2:$F$2,EOMONTH(CS$2,-1)+1,$C162:$F162)*VLOOKUP(CS$2,ProyDia[],8,0)</f>
        <v>0</v>
      </c>
      <c r="CT162" s="36" t="n">
        <f aca="false">SUMIF($C$2:$F$2,EOMONTH(CT$2,-1)+1,$C162:$F162)*VLOOKUP(CT$2,ProyDia[],8,0)</f>
        <v>0</v>
      </c>
      <c r="CU162" s="36" t="n">
        <f aca="false">SUMIF($C$2:$F$2,EOMONTH(CU$2,-1)+1,$C162:$F162)*VLOOKUP(CU$2,ProyDia[],8,0)</f>
        <v>0</v>
      </c>
      <c r="CV162" s="36" t="n">
        <f aca="false">SUMIF($C$2:$F$2,EOMONTH(CV$2,-1)+1,$C162:$F162)*VLOOKUP(CV$2,ProyDia[],8,0)</f>
        <v>0</v>
      </c>
      <c r="CW162" s="36" t="n">
        <f aca="false">SUMIF($C$2:$F$2,EOMONTH(CW$2,-1)+1,$C162:$F162)*VLOOKUP(CW$2,ProyDia[],8,0)</f>
        <v>0</v>
      </c>
      <c r="CX162" s="36" t="n">
        <f aca="false">SUMIF($C$2:$F$2,EOMONTH(CX$2,-1)+1,$C162:$F162)*VLOOKUP(CX$2,ProyDia[],8,0)</f>
        <v>0</v>
      </c>
      <c r="CY162" s="36" t="n">
        <f aca="false">SUMIF($C$2:$F$2,EOMONTH(CY$2,-1)+1,$C162:$F162)*VLOOKUP(CY$2,ProyDia[],8,0)</f>
        <v>0</v>
      </c>
      <c r="CZ162" s="36" t="n">
        <f aca="false">SUMIF($C$2:$F$2,EOMONTH(CZ$2,-1)+1,$C162:$F162)*VLOOKUP(CZ$2,ProyDia[],8,0)</f>
        <v>0</v>
      </c>
      <c r="DA162" s="36" t="n">
        <f aca="false">SUMIF($C$2:$F$2,EOMONTH(DA$2,-1)+1,$C162:$F162)*VLOOKUP(DA$2,ProyDia[],8,0)</f>
        <v>0</v>
      </c>
      <c r="DB162" s="36" t="n">
        <f aca="false">SUMIF($C$2:$F$2,EOMONTH(DB$2,-1)+1,$C162:$F162)*VLOOKUP(DB$2,ProyDia[],8,0)</f>
        <v>0</v>
      </c>
      <c r="DC162" s="36" t="n">
        <f aca="false">SUMIF($C$2:$F$2,EOMONTH(DC$2,-1)+1,$C162:$F162)*VLOOKUP(DC$2,ProyDia[],8,0)</f>
        <v>0</v>
      </c>
      <c r="DD162" s="36" t="n">
        <f aca="false">SUMIF($C$2:$F$2,EOMONTH(DD$2,-1)+1,$C162:$F162)*VLOOKUP(DD$2,ProyDia[],8,0)</f>
        <v>0</v>
      </c>
      <c r="DE162" s="36" t="n">
        <f aca="false">SUMIF($C$2:$F$2,EOMONTH(DE$2,-1)+1,$C162:$F162)*VLOOKUP(DE$2,ProyDia[],8,0)</f>
        <v>0</v>
      </c>
      <c r="DF162" s="36" t="n">
        <f aca="false">SUMIF($C$2:$F$2,EOMONTH(DF$2,-1)+1,$C162:$F162)*VLOOKUP(DF$2,ProyDia[],8,0)</f>
        <v>0</v>
      </c>
      <c r="DG162" s="36" t="n">
        <f aca="false">SUMIF($C$2:$F$2,EOMONTH(DG$2,-1)+1,$C162:$F162)*VLOOKUP(DG$2,ProyDia[],8,0)</f>
        <v>0</v>
      </c>
      <c r="DH162" s="36" t="n">
        <f aca="false">SUMIF($C$2:$F$2,EOMONTH(DH$2,-1)+1,$C162:$F162)*VLOOKUP(DH$2,ProyDia[],8,0)</f>
        <v>0</v>
      </c>
      <c r="DI162" s="36" t="n">
        <f aca="false">SUMIF($C$2:$F$2,EOMONTH(DI$2,-1)+1,$C162:$F162)*VLOOKUP(DI$2,ProyDia[],8,0)</f>
        <v>0</v>
      </c>
      <c r="DJ162" s="36" t="n">
        <f aca="false">SUMIF($C$2:$F$2,EOMONTH(DJ$2,-1)+1,$C162:$F162)*VLOOKUP(DJ$2,ProyDia[],8,0)</f>
        <v>0</v>
      </c>
      <c r="DK162" s="36" t="n">
        <f aca="false">SUMIF($C$2:$F$2,EOMONTH(DK$2,-1)+1,$C162:$F162)*VLOOKUP(DK$2,ProyDia[],8,0)</f>
        <v>0</v>
      </c>
      <c r="DL162" s="36" t="n">
        <f aca="false">SUMIF($C$2:$F$2,EOMONTH(DL$2,-1)+1,$C162:$F162)*VLOOKUP(DL$2,ProyDia[],8,0)</f>
        <v>0</v>
      </c>
      <c r="DM162" s="36" t="n">
        <f aca="false">SUMIF($C$2:$F$2,EOMONTH(DM$2,-1)+1,$C162:$F162)*VLOOKUP(DM$2,ProyDia[],8,0)</f>
        <v>0</v>
      </c>
      <c r="DN162" s="36" t="n">
        <f aca="false">SUMIF($C$2:$F$2,EOMONTH(DN$2,-1)+1,$C162:$F162)*VLOOKUP(DN$2,ProyDia[],8,0)</f>
        <v>0</v>
      </c>
      <c r="DO162" s="36" t="n">
        <f aca="false">SUMIF($C$2:$F$2,EOMONTH(DO$2,-1)+1,$C162:$F162)*VLOOKUP(DO$2,ProyDia[],8,0)</f>
        <v>0</v>
      </c>
      <c r="DP162" s="36" t="n">
        <f aca="false">SUMIF($C$2:$F$2,EOMONTH(DP$2,-1)+1,$C162:$F162)*VLOOKUP(DP$2,ProyDia[],8,0)</f>
        <v>0</v>
      </c>
      <c r="DQ162" s="36" t="n">
        <f aca="false">SUMIF($C$2:$F$2,EOMONTH(DQ$2,-1)+1,$C162:$F162)*VLOOKUP(DQ$2,ProyDia[],8,0)</f>
        <v>0</v>
      </c>
      <c r="DR162" s="36" t="n">
        <f aca="false">SUMIF($C$2:$F$2,EOMONTH(DR$2,-1)+1,$C162:$F162)*VLOOKUP(DR$2,ProyDia[],8,0)</f>
        <v>0</v>
      </c>
      <c r="DS162" s="36" t="n">
        <f aca="false">SUMIF($C$2:$F$2,EOMONTH(DS$2,-1)+1,$C162:$F162)*VLOOKUP(DS$2,ProyDia[],8,0)</f>
        <v>0</v>
      </c>
      <c r="DT162" s="36" t="n">
        <f aca="false">SUMIF($C$2:$F$2,EOMONTH(DT$2,-1)+1,$C162:$F162)*VLOOKUP(DT$2,ProyDia[],8,0)</f>
        <v>0</v>
      </c>
      <c r="DU162" s="36" t="n">
        <f aca="false">SUMIF($C$2:$F$2,EOMONTH(DU$2,-1)+1,$C162:$F162)*VLOOKUP(DU$2,ProyDia[],8,0)</f>
        <v>0</v>
      </c>
      <c r="DV162" s="36" t="n">
        <f aca="false">SUMIF($C$2:$F$2,EOMONTH(DV$2,-1)+1,$C162:$F162)*VLOOKUP(DV$2,ProyDia[],8,0)</f>
        <v>0</v>
      </c>
      <c r="DW162" s="36" t="n">
        <f aca="false">SUMIF($C$2:$F$2,EOMONTH(DW$2,-1)+1,$C162:$F162)*VLOOKUP(DW$2,ProyDia[],8,0)</f>
        <v>0</v>
      </c>
      <c r="DX162" s="36" t="n">
        <f aca="false">SUMIF($C$2:$F$2,EOMONTH(DX$2,-1)+1,$C162:$F162)*VLOOKUP(DX$2,ProyDia[],8,0)</f>
        <v>0</v>
      </c>
    </row>
    <row r="163" customFormat="false" ht="14.4" hidden="false" customHeight="false" outlineLevel="0" collapsed="false">
      <c r="A163" s="34"/>
      <c r="B163" s="34"/>
      <c r="C163" s="34"/>
      <c r="D163" s="34"/>
      <c r="E163" s="34"/>
      <c r="F163" s="34"/>
      <c r="G163" s="28" t="n">
        <f aca="false">SUMIF($C$2:$F$2,EOMONTH(G$2,-1)+1,$C163:$F163)*VLOOKUP(G$2,ProyDia[],8,0)</f>
        <v>0</v>
      </c>
      <c r="H163" s="28" t="n">
        <f aca="false">SUMIF($C$2:$F$2,EOMONTH(H$2,-1)+1,$C163:$F163)*VLOOKUP(H$2,ProyDia[],8,0)</f>
        <v>0</v>
      </c>
      <c r="I163" s="28" t="n">
        <f aca="false">SUMIF($C$2:$F$2,EOMONTH(I$2,-1)+1,$C163:$F163)*VLOOKUP(I$2,ProyDia[],8,0)</f>
        <v>0</v>
      </c>
      <c r="J163" s="28" t="n">
        <f aca="false">SUMIF($C$2:$F$2,EOMONTH(J$2,-1)+1,$C163:$F163)*VLOOKUP(J$2,ProyDia[],8,0)</f>
        <v>0</v>
      </c>
      <c r="K163" s="28" t="n">
        <f aca="false">SUMIF($C$2:$F$2,EOMONTH(K$2,-1)+1,$C163:$F163)*VLOOKUP(K$2,ProyDia[],8,0)</f>
        <v>0</v>
      </c>
      <c r="L163" s="28" t="n">
        <f aca="false">SUMIF($C$2:$F$2,EOMONTH(L$2,-1)+1,$C163:$F163)*VLOOKUP(L$2,ProyDia[],8,0)</f>
        <v>0</v>
      </c>
      <c r="M163" s="28" t="n">
        <f aca="false">SUMIF($C$2:$F$2,EOMONTH(M$2,-1)+1,$C163:$F163)*VLOOKUP(M$2,ProyDia[],8,0)</f>
        <v>0</v>
      </c>
      <c r="N163" s="28" t="n">
        <f aca="false">SUMIF($C$2:$F$2,EOMONTH(N$2,-1)+1,$C163:$F163)*VLOOKUP(N$2,ProyDia[],8,0)</f>
        <v>0</v>
      </c>
      <c r="O163" s="28" t="n">
        <f aca="false">SUMIF($C$2:$F$2,EOMONTH(O$2,-1)+1,$C163:$F163)*VLOOKUP(O$2,ProyDia[],8,0)</f>
        <v>0</v>
      </c>
      <c r="P163" s="28" t="n">
        <f aca="false">SUMIF($C$2:$F$2,EOMONTH(P$2,-1)+1,$C163:$F163)*VLOOKUP(P$2,ProyDia[],8,0)</f>
        <v>0</v>
      </c>
      <c r="Q163" s="28" t="n">
        <f aca="false">SUMIF($C$2:$F$2,EOMONTH(Q$2,-1)+1,$C163:$F163)*VLOOKUP(Q$2,ProyDia[],8,0)</f>
        <v>0</v>
      </c>
      <c r="R163" s="28" t="n">
        <f aca="false">SUMIF($C$2:$F$2,EOMONTH(R$2,-1)+1,$C163:$F163)*VLOOKUP(R$2,ProyDia[],8,0)</f>
        <v>0</v>
      </c>
      <c r="S163" s="28" t="n">
        <f aca="false">SUMIF($C$2:$F$2,EOMONTH(S$2,-1)+1,$C163:$F163)*VLOOKUP(S$2,ProyDia[],8,0)</f>
        <v>0</v>
      </c>
      <c r="T163" s="28" t="n">
        <f aca="false">SUMIF($C$2:$F$2,EOMONTH(T$2,-1)+1,$C163:$F163)*VLOOKUP(T$2,ProyDia[],8,0)</f>
        <v>0</v>
      </c>
      <c r="U163" s="28" t="n">
        <f aca="false">SUMIF($C$2:$F$2,EOMONTH(U$2,-1)+1,$C163:$F163)*VLOOKUP(U$2,ProyDia[],8,0)</f>
        <v>0</v>
      </c>
      <c r="V163" s="28" t="n">
        <f aca="false">SUMIF($C$2:$F$2,EOMONTH(V$2,-1)+1,$C163:$F163)*VLOOKUP(V$2,ProyDia[],8,0)</f>
        <v>0</v>
      </c>
      <c r="W163" s="28" t="n">
        <f aca="false">SUMIF($C$2:$F$2,EOMONTH(W$2,-1)+1,$C163:$F163)*VLOOKUP(W$2,ProyDia[],8,0)</f>
        <v>0</v>
      </c>
      <c r="X163" s="28" t="n">
        <f aca="false">SUMIF($C$2:$F$2,EOMONTH(X$2,-1)+1,$C163:$F163)*VLOOKUP(X$2,ProyDia[],8,0)</f>
        <v>0</v>
      </c>
      <c r="Y163" s="28" t="n">
        <f aca="false">SUMIF($C$2:$F$2,EOMONTH(Y$2,-1)+1,$C163:$F163)*VLOOKUP(Y$2,ProyDia[],8,0)</f>
        <v>0</v>
      </c>
      <c r="Z163" s="28" t="n">
        <f aca="false">SUMIF($C$2:$F$2,EOMONTH(Z$2,-1)+1,$C163:$F163)*VLOOKUP(Z$2,ProyDia[],8,0)</f>
        <v>0</v>
      </c>
      <c r="AA163" s="28" t="n">
        <f aca="false">SUMIF($C$2:$F$2,EOMONTH(AA$2,-1)+1,$C163:$F163)*VLOOKUP(AA$2,ProyDia[],8,0)</f>
        <v>0</v>
      </c>
      <c r="AB163" s="28" t="n">
        <f aca="false">SUMIF($C$2:$F$2,EOMONTH(AB$2,-1)+1,$C163:$F163)*VLOOKUP(AB$2,ProyDia[],8,0)</f>
        <v>0</v>
      </c>
      <c r="AC163" s="28" t="n">
        <f aca="false">SUMIF($C$2:$F$2,EOMONTH(AC$2,-1)+1,$C163:$F163)*VLOOKUP(AC$2,ProyDia[],8,0)</f>
        <v>0</v>
      </c>
      <c r="AD163" s="28" t="n">
        <f aca="false">SUMIF($C$2:$F$2,EOMONTH(AD$2,-1)+1,$C163:$F163)*VLOOKUP(AD$2,ProyDia[],8,0)</f>
        <v>0</v>
      </c>
      <c r="AE163" s="28" t="n">
        <f aca="false">SUMIF($C$2:$F$2,EOMONTH(AE$2,-1)+1,$C163:$F163)*VLOOKUP(AE$2,ProyDia[],8,0)</f>
        <v>0</v>
      </c>
      <c r="AF163" s="28" t="n">
        <f aca="false">SUMIF($C$2:$F$2,EOMONTH(AF$2,-1)+1,$C163:$F163)*VLOOKUP(AF$2,ProyDia[],8,0)</f>
        <v>0</v>
      </c>
      <c r="AG163" s="28" t="n">
        <f aca="false">SUMIF($C$2:$F$2,EOMONTH(AG$2,-1)+1,$C163:$F163)*VLOOKUP(AG$2,ProyDia[],8,0)</f>
        <v>0</v>
      </c>
      <c r="AH163" s="28" t="n">
        <f aca="false">SUMIF($C$2:$F$2,EOMONTH(AH$2,-1)+1,$C163:$F163)*VLOOKUP(AH$2,ProyDia[],8,0)</f>
        <v>0</v>
      </c>
      <c r="AI163" s="28" t="n">
        <f aca="false">SUMIF($C$2:$F$2,EOMONTH(AI$2,-1)+1,$C163:$F163)*VLOOKUP(AI$2,ProyDia[],8,0)</f>
        <v>0</v>
      </c>
      <c r="AJ163" s="28" t="n">
        <f aca="false">SUMIF($C$2:$F$2,EOMONTH(AJ$2,-1)+1,$C163:$F163)*VLOOKUP(AJ$2,ProyDia[],8,0)</f>
        <v>0</v>
      </c>
      <c r="AK163" s="28" t="n">
        <f aca="false">SUMIF($C$2:$F$2,EOMONTH(AK$2,-1)+1,$C163:$F163)*VLOOKUP(AK$2,ProyDia[],8,0)</f>
        <v>0</v>
      </c>
      <c r="AL163" s="28" t="n">
        <f aca="false">SUMIF($C$2:$F$2,EOMONTH(AL$2,-1)+1,$C163:$F163)*VLOOKUP(AL$2,ProyDia[],8,0)</f>
        <v>0</v>
      </c>
      <c r="AM163" s="28" t="n">
        <f aca="false">SUMIF($C$2:$F$2,EOMONTH(AM$2,-1)+1,$C163:$F163)*VLOOKUP(AM$2,ProyDia[],8,0)</f>
        <v>0</v>
      </c>
      <c r="AN163" s="28" t="n">
        <f aca="false">SUMIF($C$2:$F$2,EOMONTH(AN$2,-1)+1,$C163:$F163)*VLOOKUP(AN$2,ProyDia[],8,0)</f>
        <v>0</v>
      </c>
      <c r="AO163" s="28" t="n">
        <f aca="false">SUMIF($C$2:$F$2,EOMONTH(AO$2,-1)+1,$C163:$F163)*VLOOKUP(AO$2,ProyDia[],8,0)</f>
        <v>0</v>
      </c>
      <c r="AP163" s="28" t="n">
        <f aca="false">SUMIF($C$2:$F$2,EOMONTH(AP$2,-1)+1,$C163:$F163)*VLOOKUP(AP$2,ProyDia[],8,0)</f>
        <v>0</v>
      </c>
      <c r="AQ163" s="28" t="n">
        <f aca="false">SUMIF($C$2:$F$2,EOMONTH(AQ$2,-1)+1,$C163:$F163)*VLOOKUP(AQ$2,ProyDia[],8,0)</f>
        <v>0</v>
      </c>
      <c r="AR163" s="28" t="n">
        <f aca="false">SUMIF($C$2:$F$2,EOMONTH(AR$2,-1)+1,$C163:$F163)*VLOOKUP(AR$2,ProyDia[],8,0)</f>
        <v>0</v>
      </c>
      <c r="AS163" s="28" t="n">
        <f aca="false">SUMIF($C$2:$F$2,EOMONTH(AS$2,-1)+1,$C163:$F163)*VLOOKUP(AS$2,ProyDia[],8,0)</f>
        <v>0</v>
      </c>
      <c r="AT163" s="28" t="n">
        <f aca="false">SUMIF($C$2:$F$2,EOMONTH(AT$2,-1)+1,$C163:$F163)*VLOOKUP(AT$2,ProyDia[],8,0)</f>
        <v>0</v>
      </c>
      <c r="AU163" s="28" t="n">
        <f aca="false">SUMIF($C$2:$F$2,EOMONTH(AU$2,-1)+1,$C163:$F163)*VLOOKUP(AU$2,ProyDia[],8,0)</f>
        <v>0</v>
      </c>
      <c r="AV163" s="28" t="n">
        <f aca="false">SUMIF($C$2:$F$2,EOMONTH(AV$2,-1)+1,$C163:$F163)*VLOOKUP(AV$2,ProyDia[],8,0)</f>
        <v>0</v>
      </c>
      <c r="AW163" s="28" t="n">
        <f aca="false">SUMIF($C$2:$F$2,EOMONTH(AW$2,-1)+1,$C163:$F163)*VLOOKUP(AW$2,ProyDia[],8,0)</f>
        <v>0</v>
      </c>
      <c r="AX163" s="28" t="n">
        <f aca="false">SUMIF($C$2:$F$2,EOMONTH(AX$2,-1)+1,$C163:$F163)*VLOOKUP(AX$2,ProyDia[],8,0)</f>
        <v>0</v>
      </c>
      <c r="AY163" s="28" t="n">
        <f aca="false">SUMIF($C$2:$F$2,EOMONTH(AY$2,-1)+1,$C163:$F163)*VLOOKUP(AY$2,ProyDia[],8,0)</f>
        <v>0</v>
      </c>
      <c r="AZ163" s="28" t="n">
        <f aca="false">SUMIF($C$2:$F$2,EOMONTH(AZ$2,-1)+1,$C163:$F163)*VLOOKUP(AZ$2,ProyDia[],8,0)</f>
        <v>0</v>
      </c>
      <c r="BA163" s="28" t="n">
        <f aca="false">SUMIF($C$2:$F$2,EOMONTH(BA$2,-1)+1,$C163:$F163)*VLOOKUP(BA$2,ProyDia[],8,0)</f>
        <v>0</v>
      </c>
      <c r="BB163" s="28" t="n">
        <f aca="false">SUMIF($C$2:$F$2,EOMONTH(BB$2,-1)+1,$C163:$F163)*VLOOKUP(BB$2,ProyDia[],8,0)</f>
        <v>0</v>
      </c>
      <c r="BC163" s="28" t="n">
        <f aca="false">SUMIF($C$2:$F$2,EOMONTH(BC$2,-1)+1,$C163:$F163)*VLOOKUP(BC$2,ProyDia[],8,0)</f>
        <v>0</v>
      </c>
      <c r="BD163" s="28" t="n">
        <f aca="false">SUMIF($C$2:$F$2,EOMONTH(BD$2,-1)+1,$C163:$F163)*VLOOKUP(BD$2,ProyDia[],8,0)</f>
        <v>0</v>
      </c>
      <c r="BE163" s="28" t="n">
        <f aca="false">SUMIF($C$2:$F$2,EOMONTH(BE$2,-1)+1,$C163:$F163)*VLOOKUP(BE$2,ProyDia[],8,0)</f>
        <v>0</v>
      </c>
      <c r="BF163" s="28" t="n">
        <f aca="false">SUMIF($C$2:$F$2,EOMONTH(BF$2,-1)+1,$C163:$F163)*VLOOKUP(BF$2,ProyDia[],8,0)</f>
        <v>0</v>
      </c>
      <c r="BG163" s="28" t="n">
        <f aca="false">SUMIF($C$2:$F$2,EOMONTH(BG$2,-1)+1,$C163:$F163)*VLOOKUP(BG$2,ProyDia[],8,0)</f>
        <v>0</v>
      </c>
      <c r="BH163" s="28" t="n">
        <f aca="false">SUMIF($C$2:$F$2,EOMONTH(BH$2,-1)+1,$C163:$F163)*VLOOKUP(BH$2,ProyDia[],8,0)</f>
        <v>0</v>
      </c>
      <c r="BI163" s="28" t="n">
        <f aca="false">SUMIF($C$2:$F$2,EOMONTH(BI$2,-1)+1,$C163:$F163)*VLOOKUP(BI$2,ProyDia[],8,0)</f>
        <v>0</v>
      </c>
      <c r="BJ163" s="28" t="n">
        <f aca="false">SUMIF($C$2:$F$2,EOMONTH(BJ$2,-1)+1,$C163:$F163)*VLOOKUP(BJ$2,ProyDia[],8,0)</f>
        <v>0</v>
      </c>
      <c r="BK163" s="28" t="n">
        <f aca="false">SUMIF($C$2:$F$2,EOMONTH(BK$2,-1)+1,$C163:$F163)*VLOOKUP(BK$2,ProyDia[],8,0)</f>
        <v>0</v>
      </c>
      <c r="BL163" s="28" t="n">
        <f aca="false">SUMIF($C$2:$F$2,EOMONTH(BL$2,-1)+1,$C163:$F163)*VLOOKUP(BL$2,ProyDia[],8,0)</f>
        <v>0</v>
      </c>
      <c r="BM163" s="28" t="n">
        <f aca="false">SUMIF($C$2:$F$2,EOMONTH(BM$2,-1)+1,$C163:$F163)*VLOOKUP(BM$2,ProyDia[],8,0)</f>
        <v>0</v>
      </c>
      <c r="BN163" s="28" t="n">
        <f aca="false">SUMIF($C$2:$F$2,EOMONTH(BN$2,-1)+1,$C163:$F163)*VLOOKUP(BN$2,ProyDia[],8,0)</f>
        <v>0</v>
      </c>
      <c r="BO163" s="28" t="n">
        <f aca="false">SUMIF($C$2:$F$2,EOMONTH(BO$2,-1)+1,$C163:$F163)*VLOOKUP(BO$2,ProyDia[],8,0)</f>
        <v>0</v>
      </c>
      <c r="BP163" s="28" t="n">
        <f aca="false">SUMIF($C$2:$F$2,EOMONTH(BP$2,-1)+1,$C163:$F163)*VLOOKUP(BP$2,ProyDia[],8,0)</f>
        <v>0</v>
      </c>
      <c r="BQ163" s="28" t="n">
        <f aca="false">SUMIF($C$2:$F$2,EOMONTH(BQ$2,-1)+1,$C163:$F163)*VLOOKUP(BQ$2,ProyDia[],8,0)</f>
        <v>0</v>
      </c>
      <c r="BR163" s="28" t="n">
        <f aca="false">SUMIF($C$2:$F$2,EOMONTH(BR$2,-1)+1,$C163:$F163)*VLOOKUP(BR$2,ProyDia[],8,0)</f>
        <v>0</v>
      </c>
      <c r="BS163" s="28" t="n">
        <f aca="false">SUMIF($C$2:$F$2,EOMONTH(BS$2,-1)+1,$C163:$F163)*VLOOKUP(BS$2,ProyDia[],8,0)</f>
        <v>0</v>
      </c>
      <c r="BT163" s="28" t="n">
        <f aca="false">SUMIF($C$2:$F$2,EOMONTH(BT$2,-1)+1,$C163:$F163)*VLOOKUP(BT$2,ProyDia[],8,0)</f>
        <v>0</v>
      </c>
      <c r="BU163" s="28" t="n">
        <f aca="false">SUMIF($C$2:$F$2,EOMONTH(BU$2,-1)+1,$C163:$F163)*VLOOKUP(BU$2,ProyDia[],8,0)</f>
        <v>0</v>
      </c>
      <c r="BV163" s="28" t="n">
        <f aca="false">SUMIF($C$2:$F$2,EOMONTH(BV$2,-1)+1,$C163:$F163)*VLOOKUP(BV$2,ProyDia[],8,0)</f>
        <v>0</v>
      </c>
      <c r="BW163" s="28" t="n">
        <f aca="false">SUMIF($C$2:$F$2,EOMONTH(BW$2,-1)+1,$C163:$F163)*VLOOKUP(BW$2,ProyDia[],8,0)</f>
        <v>0</v>
      </c>
      <c r="BX163" s="28" t="n">
        <f aca="false">SUMIF($C$2:$F$2,EOMONTH(BX$2,-1)+1,$C163:$F163)*VLOOKUP(BX$2,ProyDia[],8,0)</f>
        <v>0</v>
      </c>
      <c r="BY163" s="28" t="n">
        <f aca="false">SUMIF($C$2:$F$2,EOMONTH(BY$2,-1)+1,$C163:$F163)*VLOOKUP(BY$2,ProyDia[],8,0)</f>
        <v>0</v>
      </c>
      <c r="BZ163" s="28" t="n">
        <f aca="false">SUMIF($C$2:$F$2,EOMONTH(BZ$2,-1)+1,$C163:$F163)*VLOOKUP(BZ$2,ProyDia[],8,0)</f>
        <v>0</v>
      </c>
      <c r="CA163" s="28" t="n">
        <f aca="false">SUMIF($C$2:$F$2,EOMONTH(CA$2,-1)+1,$C163:$F163)*VLOOKUP(CA$2,ProyDia[],8,0)</f>
        <v>0</v>
      </c>
      <c r="CB163" s="28" t="n">
        <f aca="false">SUMIF($C$2:$F$2,EOMONTH(CB$2,-1)+1,$C163:$F163)*VLOOKUP(CB$2,ProyDia[],8,0)</f>
        <v>0</v>
      </c>
      <c r="CC163" s="28" t="n">
        <f aca="false">SUMIF($C$2:$F$2,EOMONTH(CC$2,-1)+1,$C163:$F163)*VLOOKUP(CC$2,ProyDia[],8,0)</f>
        <v>0</v>
      </c>
      <c r="CD163" s="28" t="n">
        <f aca="false">SUMIF($C$2:$F$2,EOMONTH(CD$2,-1)+1,$C163:$F163)*VLOOKUP(CD$2,ProyDia[],8,0)</f>
        <v>0</v>
      </c>
      <c r="CE163" s="28" t="n">
        <f aca="false">SUMIF($C$2:$F$2,EOMONTH(CE$2,-1)+1,$C163:$F163)*VLOOKUP(CE$2,ProyDia[],8,0)</f>
        <v>0</v>
      </c>
      <c r="CF163" s="28" t="n">
        <f aca="false">SUMIF($C$2:$F$2,EOMONTH(CF$2,-1)+1,$C163:$F163)*VLOOKUP(CF$2,ProyDia[],8,0)</f>
        <v>0</v>
      </c>
      <c r="CG163" s="28" t="n">
        <f aca="false">SUMIF($C$2:$F$2,EOMONTH(CG$2,-1)+1,$C163:$F163)*VLOOKUP(CG$2,ProyDia[],8,0)</f>
        <v>0</v>
      </c>
      <c r="CH163" s="28" t="n">
        <f aca="false">SUMIF($C$2:$F$2,EOMONTH(CH$2,-1)+1,$C163:$F163)*VLOOKUP(CH$2,ProyDia[],8,0)</f>
        <v>0</v>
      </c>
      <c r="CI163" s="28" t="n">
        <f aca="false">SUMIF($C$2:$F$2,EOMONTH(CI$2,-1)+1,$C163:$F163)*VLOOKUP(CI$2,ProyDia[],8,0)</f>
        <v>0</v>
      </c>
      <c r="CJ163" s="28" t="n">
        <f aca="false">SUMIF($C$2:$F$2,EOMONTH(CJ$2,-1)+1,$C163:$F163)*VLOOKUP(CJ$2,ProyDia[],8,0)</f>
        <v>0</v>
      </c>
      <c r="CK163" s="28" t="n">
        <f aca="false">SUMIF($C$2:$F$2,EOMONTH(CK$2,-1)+1,$C163:$F163)*VLOOKUP(CK$2,ProyDia[],8,0)</f>
        <v>0</v>
      </c>
      <c r="CL163" s="28" t="n">
        <f aca="false">SUMIF($C$2:$F$2,EOMONTH(CL$2,-1)+1,$C163:$F163)*VLOOKUP(CL$2,ProyDia[],8,0)</f>
        <v>0</v>
      </c>
      <c r="CM163" s="28" t="n">
        <f aca="false">SUMIF($C$2:$F$2,EOMONTH(CM$2,-1)+1,$C163:$F163)*VLOOKUP(CM$2,ProyDia[],8,0)</f>
        <v>0</v>
      </c>
      <c r="CN163" s="28" t="n">
        <f aca="false">SUMIF($C$2:$F$2,EOMONTH(CN$2,-1)+1,$C163:$F163)*VLOOKUP(CN$2,ProyDia[],8,0)</f>
        <v>0</v>
      </c>
      <c r="CO163" s="28" t="n">
        <f aca="false">SUMIF($C$2:$F$2,EOMONTH(CO$2,-1)+1,$C163:$F163)*VLOOKUP(CO$2,ProyDia[],8,0)</f>
        <v>0</v>
      </c>
      <c r="CP163" s="28" t="n">
        <f aca="false">SUMIF($C$2:$F$2,EOMONTH(CP$2,-1)+1,$C163:$F163)*VLOOKUP(CP$2,ProyDia[],8,0)</f>
        <v>0</v>
      </c>
      <c r="CQ163" s="28" t="n">
        <f aca="false">SUMIF($C$2:$F$2,EOMONTH(CQ$2,-1)+1,$C163:$F163)*VLOOKUP(CQ$2,ProyDia[],8,0)</f>
        <v>0</v>
      </c>
      <c r="CR163" s="28" t="n">
        <f aca="false">SUMIF($C$2:$F$2,EOMONTH(CR$2,-1)+1,$C163:$F163)*VLOOKUP(CR$2,ProyDia[],8,0)</f>
        <v>0</v>
      </c>
      <c r="CS163" s="28" t="n">
        <f aca="false">SUMIF($C$2:$F$2,EOMONTH(CS$2,-1)+1,$C163:$F163)*VLOOKUP(CS$2,ProyDia[],8,0)</f>
        <v>0</v>
      </c>
      <c r="CT163" s="28" t="n">
        <f aca="false">SUMIF($C$2:$F$2,EOMONTH(CT$2,-1)+1,$C163:$F163)*VLOOKUP(CT$2,ProyDia[],8,0)</f>
        <v>0</v>
      </c>
      <c r="CU163" s="28" t="n">
        <f aca="false">SUMIF($C$2:$F$2,EOMONTH(CU$2,-1)+1,$C163:$F163)*VLOOKUP(CU$2,ProyDia[],8,0)</f>
        <v>0</v>
      </c>
      <c r="CV163" s="28" t="n">
        <f aca="false">SUMIF($C$2:$F$2,EOMONTH(CV$2,-1)+1,$C163:$F163)*VLOOKUP(CV$2,ProyDia[],8,0)</f>
        <v>0</v>
      </c>
      <c r="CW163" s="28" t="n">
        <f aca="false">SUMIF($C$2:$F$2,EOMONTH(CW$2,-1)+1,$C163:$F163)*VLOOKUP(CW$2,ProyDia[],8,0)</f>
        <v>0</v>
      </c>
      <c r="CX163" s="28" t="n">
        <f aca="false">SUMIF($C$2:$F$2,EOMONTH(CX$2,-1)+1,$C163:$F163)*VLOOKUP(CX$2,ProyDia[],8,0)</f>
        <v>0</v>
      </c>
      <c r="CY163" s="28" t="n">
        <f aca="false">SUMIF($C$2:$F$2,EOMONTH(CY$2,-1)+1,$C163:$F163)*VLOOKUP(CY$2,ProyDia[],8,0)</f>
        <v>0</v>
      </c>
      <c r="CZ163" s="28" t="n">
        <f aca="false">SUMIF($C$2:$F$2,EOMONTH(CZ$2,-1)+1,$C163:$F163)*VLOOKUP(CZ$2,ProyDia[],8,0)</f>
        <v>0</v>
      </c>
      <c r="DA163" s="28" t="n">
        <f aca="false">SUMIF($C$2:$F$2,EOMONTH(DA$2,-1)+1,$C163:$F163)*VLOOKUP(DA$2,ProyDia[],8,0)</f>
        <v>0</v>
      </c>
      <c r="DB163" s="28" t="n">
        <f aca="false">SUMIF($C$2:$F$2,EOMONTH(DB$2,-1)+1,$C163:$F163)*VLOOKUP(DB$2,ProyDia[],8,0)</f>
        <v>0</v>
      </c>
      <c r="DC163" s="28" t="n">
        <f aca="false">SUMIF($C$2:$F$2,EOMONTH(DC$2,-1)+1,$C163:$F163)*VLOOKUP(DC$2,ProyDia[],8,0)</f>
        <v>0</v>
      </c>
      <c r="DD163" s="28" t="n">
        <f aca="false">SUMIF($C$2:$F$2,EOMONTH(DD$2,-1)+1,$C163:$F163)*VLOOKUP(DD$2,ProyDia[],8,0)</f>
        <v>0</v>
      </c>
      <c r="DE163" s="28" t="n">
        <f aca="false">SUMIF($C$2:$F$2,EOMONTH(DE$2,-1)+1,$C163:$F163)*VLOOKUP(DE$2,ProyDia[],8,0)</f>
        <v>0</v>
      </c>
      <c r="DF163" s="28" t="n">
        <f aca="false">SUMIF($C$2:$F$2,EOMONTH(DF$2,-1)+1,$C163:$F163)*VLOOKUP(DF$2,ProyDia[],8,0)</f>
        <v>0</v>
      </c>
      <c r="DG163" s="28" t="n">
        <f aca="false">SUMIF($C$2:$F$2,EOMONTH(DG$2,-1)+1,$C163:$F163)*VLOOKUP(DG$2,ProyDia[],8,0)</f>
        <v>0</v>
      </c>
      <c r="DH163" s="28" t="n">
        <f aca="false">SUMIF($C$2:$F$2,EOMONTH(DH$2,-1)+1,$C163:$F163)*VLOOKUP(DH$2,ProyDia[],8,0)</f>
        <v>0</v>
      </c>
      <c r="DI163" s="28" t="n">
        <f aca="false">SUMIF($C$2:$F$2,EOMONTH(DI$2,-1)+1,$C163:$F163)*VLOOKUP(DI$2,ProyDia[],8,0)</f>
        <v>0</v>
      </c>
      <c r="DJ163" s="28" t="n">
        <f aca="false">SUMIF($C$2:$F$2,EOMONTH(DJ$2,-1)+1,$C163:$F163)*VLOOKUP(DJ$2,ProyDia[],8,0)</f>
        <v>0</v>
      </c>
      <c r="DK163" s="28" t="n">
        <f aca="false">SUMIF($C$2:$F$2,EOMONTH(DK$2,-1)+1,$C163:$F163)*VLOOKUP(DK$2,ProyDia[],8,0)</f>
        <v>0</v>
      </c>
      <c r="DL163" s="28" t="n">
        <f aca="false">SUMIF($C$2:$F$2,EOMONTH(DL$2,-1)+1,$C163:$F163)*VLOOKUP(DL$2,ProyDia[],8,0)</f>
        <v>0</v>
      </c>
      <c r="DM163" s="28" t="n">
        <f aca="false">SUMIF($C$2:$F$2,EOMONTH(DM$2,-1)+1,$C163:$F163)*VLOOKUP(DM$2,ProyDia[],8,0)</f>
        <v>0</v>
      </c>
      <c r="DN163" s="28" t="n">
        <f aca="false">SUMIF($C$2:$F$2,EOMONTH(DN$2,-1)+1,$C163:$F163)*VLOOKUP(DN$2,ProyDia[],8,0)</f>
        <v>0</v>
      </c>
      <c r="DO163" s="28" t="n">
        <f aca="false">SUMIF($C$2:$F$2,EOMONTH(DO$2,-1)+1,$C163:$F163)*VLOOKUP(DO$2,ProyDia[],8,0)</f>
        <v>0</v>
      </c>
      <c r="DP163" s="28" t="n">
        <f aca="false">SUMIF($C$2:$F$2,EOMONTH(DP$2,-1)+1,$C163:$F163)*VLOOKUP(DP$2,ProyDia[],8,0)</f>
        <v>0</v>
      </c>
      <c r="DQ163" s="28" t="n">
        <f aca="false">SUMIF($C$2:$F$2,EOMONTH(DQ$2,-1)+1,$C163:$F163)*VLOOKUP(DQ$2,ProyDia[],8,0)</f>
        <v>0</v>
      </c>
      <c r="DR163" s="28" t="n">
        <f aca="false">SUMIF($C$2:$F$2,EOMONTH(DR$2,-1)+1,$C163:$F163)*VLOOKUP(DR$2,ProyDia[],8,0)</f>
        <v>0</v>
      </c>
      <c r="DS163" s="28" t="n">
        <f aca="false">SUMIF($C$2:$F$2,EOMONTH(DS$2,-1)+1,$C163:$F163)*VLOOKUP(DS$2,ProyDia[],8,0)</f>
        <v>0</v>
      </c>
      <c r="DT163" s="28" t="n">
        <f aca="false">SUMIF($C$2:$F$2,EOMONTH(DT$2,-1)+1,$C163:$F163)*VLOOKUP(DT$2,ProyDia[],8,0)</f>
        <v>0</v>
      </c>
      <c r="DU163" s="28" t="n">
        <f aca="false">SUMIF($C$2:$F$2,EOMONTH(DU$2,-1)+1,$C163:$F163)*VLOOKUP(DU$2,ProyDia[],8,0)</f>
        <v>0</v>
      </c>
      <c r="DV163" s="28" t="n">
        <f aca="false">SUMIF($C$2:$F$2,EOMONTH(DV$2,-1)+1,$C163:$F163)*VLOOKUP(DV$2,ProyDia[],8,0)</f>
        <v>0</v>
      </c>
      <c r="DW163" s="28" t="n">
        <f aca="false">SUMIF($C$2:$F$2,EOMONTH(DW$2,-1)+1,$C163:$F163)*VLOOKUP(DW$2,ProyDia[],8,0)</f>
        <v>0</v>
      </c>
      <c r="DX163" s="28" t="n">
        <f aca="false">SUMIF($C$2:$F$2,EOMONTH(DX$2,-1)+1,$C163:$F163)*VLOOKUP(DX$2,ProyDia[],8,0)</f>
        <v>0</v>
      </c>
    </row>
  </sheetData>
  <mergeCells count="6">
    <mergeCell ref="A1:A2"/>
    <mergeCell ref="B1:B2"/>
    <mergeCell ref="G1:AJ1"/>
    <mergeCell ref="AK1:BO1"/>
    <mergeCell ref="BP1:CS1"/>
    <mergeCell ref="CT1:DX1"/>
  </mergeCells>
  <printOptions headings="false" gridLines="false" gridLinesSet="true" horizontalCentered="false" verticalCentered="false"/>
  <pageMargins left="0.7" right="0.7" top="0.75" bottom="0.75" header="0.511805555555555" footer="0.51180555555555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1297</TotalTime>
  <Application>LibreOffice/6.3.2.2$Windows_X86_64 LibreOffice_project/98b30e735bda24bc04ab42594c85f7fd8be07b9c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2019-09-11T15:10:43Z</dcterms:created>
  <dc:creator>Mauricio Bassi G.</dc:creator>
  <dc:description/>
  <dc:language>es-CL</dc:language>
  <cp:lastModifiedBy/>
  <dcterms:modified xsi:type="dcterms:W3CDTF">2019-10-13T16:11:31Z</dcterms:modified>
  <cp:revision>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0</vt:bool>
  </property>
  <property fmtid="{D5CDD505-2E9C-101B-9397-08002B2CF9AE}" pid="5" name="LinksUpToDate">
    <vt:bool>0</vt:bool>
  </property>
  <property fmtid="{D5CDD505-2E9C-101B-9397-08002B2CF9AE}" pid="6" name="ScaleCrop">
    <vt:bool>0</vt:bool>
  </property>
  <property fmtid="{D5CDD505-2E9C-101B-9397-08002B2CF9AE}" pid="7" name="ShareDoc">
    <vt:bool>0</vt:bool>
  </property>
</Properties>
</file>