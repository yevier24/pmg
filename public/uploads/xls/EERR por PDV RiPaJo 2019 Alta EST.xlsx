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1.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Users\mauri\OneDrive\Desktop\Error\Andes Retail\"/>
    </mc:Choice>
  </mc:AlternateContent>
  <xr:revisionPtr revIDLastSave="0" documentId="8_{FC96528D-639F-4385-A68A-0C866C06E6E7}" xr6:coauthVersionLast="44" xr6:coauthVersionMax="44" xr10:uidLastSave="{00000000-0000-0000-0000-000000000000}"/>
  <bookViews>
    <workbookView xWindow="-108" yWindow="-108" windowWidth="23256" windowHeight="12576" tabRatio="524" xr2:uid="{28690932-23ED-4FB2-9B6F-827986321B84}"/>
  </bookViews>
  <sheets>
    <sheet name="Temporada Alta PPT" sheetId="10" r:id="rId1"/>
    <sheet name="Temporada Baja PPT" sheetId="18" state="hidden" r:id="rId2"/>
    <sheet name="Temporada Alta" sheetId="1" state="hidden" r:id="rId3"/>
    <sheet name="Temporada Baja" sheetId="12" state="hidden" r:id="rId4"/>
    <sheet name="Modelos" sheetId="6" r:id="rId5"/>
    <sheet name="Estructuras" sheetId="2" r:id="rId6"/>
    <sheet name="Sup" sheetId="4" state="hidden" r:id="rId7"/>
    <sheet name="Ventas" sheetId="9" r:id="rId8"/>
    <sheet name="Valores" sheetId="3" r:id="rId9"/>
    <sheet name="Supuestos" sheetId="8" r:id="rId10"/>
    <sheet name="Variables" sheetId="17" r:id="rId11"/>
  </sheets>
  <definedNames>
    <definedName name="_xlnm._FilterDatabase" localSheetId="2" hidden="1">'Temporada Alta'!$A$4:$W$44</definedName>
    <definedName name="_xlnm._FilterDatabase" localSheetId="0" hidden="1">'Temporada Alta PPT'!$A$4:$AE$114</definedName>
    <definedName name="_xlnm._FilterDatabase" localSheetId="3" hidden="1">'Temporada Baja'!$A$4:$V$4</definedName>
    <definedName name="_xlnm._FilterDatabase" localSheetId="1" hidden="1">'Temporada Baja PPT'!$A$4:$W$4</definedName>
    <definedName name="Modelo" localSheetId="0">Modelos[Clave]</definedName>
    <definedName name="Modelo" localSheetId="3">Modelos[Clave]</definedName>
    <definedName name="Modelo" localSheetId="1">Modelos[Clave]</definedName>
    <definedName name="Modelo">Modelos[Clave]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L29" i="2" l="1"/>
  <c r="K29" i="2"/>
  <c r="I29" i="2"/>
  <c r="H29" i="2"/>
  <c r="G29" i="2"/>
  <c r="F29" i="2"/>
  <c r="E29" i="2"/>
  <c r="D29" i="2"/>
  <c r="J29" i="2"/>
  <c r="F3" i="10" l="1"/>
  <c r="C3" i="10"/>
  <c r="F63" i="2" l="1"/>
  <c r="E63" i="2"/>
  <c r="L63" i="2" l="1"/>
  <c r="K63" i="2"/>
  <c r="J63" i="2"/>
  <c r="I63" i="2"/>
  <c r="H63" i="2"/>
  <c r="G63" i="2"/>
  <c r="M63" i="2" s="1"/>
  <c r="M84" i="10" l="1"/>
  <c r="M83" i="10"/>
  <c r="M82" i="10"/>
  <c r="M81" i="10"/>
  <c r="M80" i="10"/>
  <c r="M79" i="10"/>
  <c r="M78" i="10"/>
  <c r="M77" i="10"/>
  <c r="M75" i="10"/>
  <c r="M74" i="10"/>
  <c r="M73" i="10"/>
  <c r="M72" i="10"/>
  <c r="M71" i="10"/>
  <c r="M70" i="10"/>
  <c r="M69" i="10"/>
  <c r="M68" i="10"/>
  <c r="M67" i="10"/>
  <c r="M52" i="10"/>
  <c r="M40" i="10"/>
  <c r="M39" i="10"/>
  <c r="M38" i="10"/>
  <c r="M37" i="10"/>
  <c r="M36" i="10"/>
  <c r="M35" i="10"/>
  <c r="M34" i="10"/>
  <c r="M33" i="10"/>
  <c r="M32" i="10"/>
  <c r="M31" i="10"/>
  <c r="M30" i="10"/>
  <c r="M29" i="10"/>
  <c r="M28" i="10"/>
  <c r="M24" i="10"/>
  <c r="M23" i="10"/>
  <c r="M22" i="10"/>
  <c r="M16" i="10"/>
  <c r="M10" i="10"/>
  <c r="S114" i="10" l="1"/>
  <c r="R114" i="10"/>
  <c r="S113" i="10"/>
  <c r="R113" i="10"/>
  <c r="S112" i="10"/>
  <c r="R112" i="10"/>
  <c r="S111" i="10"/>
  <c r="R111" i="10"/>
  <c r="S110" i="10"/>
  <c r="R110" i="10"/>
  <c r="S109" i="10"/>
  <c r="R109" i="10"/>
  <c r="S108" i="10"/>
  <c r="R108" i="10"/>
  <c r="S107" i="10"/>
  <c r="R107" i="10"/>
  <c r="S106" i="10"/>
  <c r="R106" i="10"/>
  <c r="S105" i="10"/>
  <c r="R105" i="10"/>
  <c r="S104" i="10"/>
  <c r="R104" i="10"/>
  <c r="S103" i="10"/>
  <c r="R103" i="10"/>
  <c r="S102" i="10"/>
  <c r="R102" i="10"/>
  <c r="S101" i="10"/>
  <c r="R101" i="10"/>
  <c r="S100" i="10"/>
  <c r="R100" i="10"/>
  <c r="S99" i="10"/>
  <c r="R99" i="10"/>
  <c r="S98" i="10"/>
  <c r="R98" i="10"/>
  <c r="S97" i="10"/>
  <c r="R97" i="10"/>
  <c r="S96" i="10"/>
  <c r="R96" i="10"/>
  <c r="S95" i="10"/>
  <c r="R95" i="10"/>
  <c r="S94" i="10"/>
  <c r="R94" i="10"/>
  <c r="S93" i="10"/>
  <c r="R93" i="10"/>
  <c r="S92" i="10"/>
  <c r="S91" i="10"/>
  <c r="R91" i="10"/>
  <c r="S90" i="10"/>
  <c r="R90" i="10"/>
  <c r="S89" i="10"/>
  <c r="R89" i="10"/>
  <c r="S88" i="10"/>
  <c r="R88" i="10"/>
  <c r="S87" i="10"/>
  <c r="R87" i="10"/>
  <c r="S86" i="10"/>
  <c r="R86" i="10"/>
  <c r="S85" i="10"/>
  <c r="R85" i="10"/>
  <c r="S84" i="10"/>
  <c r="R84" i="10"/>
  <c r="S83" i="10"/>
  <c r="R83" i="10"/>
  <c r="S82" i="10"/>
  <c r="R82" i="10"/>
  <c r="S81" i="10"/>
  <c r="R81" i="10"/>
  <c r="S80" i="10"/>
  <c r="R80" i="10"/>
  <c r="S79" i="10"/>
  <c r="R79" i="10"/>
  <c r="S78" i="10"/>
  <c r="R78" i="10"/>
  <c r="S77" i="10"/>
  <c r="R77" i="10"/>
  <c r="S76" i="10"/>
  <c r="R76" i="10"/>
  <c r="S75" i="10"/>
  <c r="R75" i="10"/>
  <c r="S74" i="10"/>
  <c r="R74" i="10"/>
  <c r="S73" i="10"/>
  <c r="R73" i="10"/>
  <c r="S72" i="10"/>
  <c r="R72" i="10"/>
  <c r="S71" i="10"/>
  <c r="R71" i="10"/>
  <c r="S70" i="10"/>
  <c r="R70" i="10"/>
  <c r="S69" i="10"/>
  <c r="R69" i="10"/>
  <c r="S68" i="10"/>
  <c r="R68" i="10"/>
  <c r="S67" i="10"/>
  <c r="R67" i="10"/>
  <c r="S66" i="10"/>
  <c r="S65" i="10"/>
  <c r="S64" i="10"/>
  <c r="S63" i="10"/>
  <c r="S62" i="10"/>
  <c r="S61" i="10"/>
  <c r="S60" i="10"/>
  <c r="S59" i="10"/>
  <c r="S58" i="10"/>
  <c r="S57" i="10"/>
  <c r="S56" i="10"/>
  <c r="S55" i="10"/>
  <c r="R55" i="10"/>
  <c r="S54" i="10"/>
  <c r="S53" i="10"/>
  <c r="S52" i="10"/>
  <c r="R52" i="10"/>
  <c r="S51" i="10"/>
  <c r="S50" i="10"/>
  <c r="S49" i="10"/>
  <c r="S48" i="10"/>
  <c r="S47" i="10"/>
  <c r="S44" i="10"/>
  <c r="S43" i="10"/>
  <c r="S42" i="10"/>
  <c r="S40" i="10"/>
  <c r="R40" i="10"/>
  <c r="S39" i="10"/>
  <c r="S38" i="10"/>
  <c r="S37" i="10"/>
  <c r="R37" i="10"/>
  <c r="S36" i="10"/>
  <c r="R36" i="10"/>
  <c r="S35" i="10"/>
  <c r="R35" i="10"/>
  <c r="S34" i="10"/>
  <c r="R34" i="10"/>
  <c r="S33" i="10"/>
  <c r="R33" i="10"/>
  <c r="S32" i="10"/>
  <c r="R32" i="10"/>
  <c r="S31" i="10"/>
  <c r="R31" i="10"/>
  <c r="S30" i="10"/>
  <c r="R30" i="10"/>
  <c r="S29" i="10"/>
  <c r="R29" i="10"/>
  <c r="S28" i="10"/>
  <c r="R28" i="10"/>
  <c r="S27" i="10"/>
  <c r="S26" i="10"/>
  <c r="S25" i="10"/>
  <c r="S24" i="10"/>
  <c r="R24" i="10"/>
  <c r="S23" i="10"/>
  <c r="R23" i="10"/>
  <c r="S22" i="10"/>
  <c r="R22" i="10"/>
  <c r="S21" i="10"/>
  <c r="S20" i="10"/>
  <c r="S19" i="10"/>
  <c r="S17" i="10"/>
  <c r="S16" i="10"/>
  <c r="R16" i="10"/>
  <c r="S15" i="10"/>
  <c r="S14" i="10"/>
  <c r="S13" i="10"/>
  <c r="S11" i="10"/>
  <c r="S10" i="10"/>
  <c r="R10" i="10"/>
  <c r="S9" i="10"/>
  <c r="S8" i="10"/>
  <c r="S6" i="10"/>
  <c r="N39" i="10"/>
  <c r="Z39" i="10"/>
  <c r="O39" i="10" l="1"/>
  <c r="P39" i="10" s="1"/>
  <c r="Z38" i="10"/>
  <c r="N38" i="10"/>
  <c r="Z40" i="10"/>
  <c r="N40" i="10"/>
  <c r="X39" i="10" l="1"/>
  <c r="Y39" i="10" s="1"/>
  <c r="O38" i="10"/>
  <c r="P38" i="10" s="1"/>
  <c r="O40" i="10"/>
  <c r="P40" i="10" s="1"/>
  <c r="F11" i="3"/>
  <c r="K11" i="3" s="1"/>
  <c r="L11" i="3" s="1"/>
  <c r="F10" i="3"/>
  <c r="K10" i="3" s="1"/>
  <c r="L10" i="3" s="1"/>
  <c r="F9" i="3"/>
  <c r="F8" i="3"/>
  <c r="F7" i="3"/>
  <c r="F6" i="3"/>
  <c r="F5" i="3"/>
  <c r="X38" i="10" l="1"/>
  <c r="Y38" i="10" s="1"/>
  <c r="X40" i="10"/>
  <c r="Y40" i="10" s="1"/>
  <c r="U7" i="17"/>
  <c r="U6" i="17"/>
  <c r="U5" i="17"/>
  <c r="G84" i="18" l="1"/>
  <c r="G83" i="18"/>
  <c r="G82" i="18"/>
  <c r="G81" i="18"/>
  <c r="G80" i="18"/>
  <c r="G79" i="18"/>
  <c r="G78" i="18"/>
  <c r="G77" i="18"/>
  <c r="G76" i="18"/>
  <c r="G75" i="18"/>
  <c r="G74" i="18"/>
  <c r="G73" i="18"/>
  <c r="G72" i="18"/>
  <c r="G71" i="18"/>
  <c r="G70" i="18"/>
  <c r="G69" i="18"/>
  <c r="G68" i="18"/>
  <c r="G67" i="18"/>
  <c r="G66" i="18"/>
  <c r="G65" i="18"/>
  <c r="G64" i="18"/>
  <c r="T64" i="18" s="1"/>
  <c r="G63" i="18"/>
  <c r="G62" i="18"/>
  <c r="G61" i="18"/>
  <c r="G60" i="18"/>
  <c r="G59" i="18"/>
  <c r="G58" i="18"/>
  <c r="G57" i="18"/>
  <c r="G56" i="18"/>
  <c r="G55" i="18"/>
  <c r="G54" i="18"/>
  <c r="G53" i="18"/>
  <c r="G52" i="18"/>
  <c r="G51" i="18"/>
  <c r="G50" i="18"/>
  <c r="G49" i="18"/>
  <c r="G48" i="18"/>
  <c r="T48" i="18" s="1"/>
  <c r="G47" i="18"/>
  <c r="G46" i="18"/>
  <c r="T46" i="18" s="1"/>
  <c r="G45" i="18"/>
  <c r="G44" i="18"/>
  <c r="G43" i="18"/>
  <c r="G42" i="18"/>
  <c r="G41" i="18"/>
  <c r="T41" i="18" s="1"/>
  <c r="G40" i="18"/>
  <c r="G39" i="18"/>
  <c r="T39" i="18" s="1"/>
  <c r="G38" i="18"/>
  <c r="G37" i="18"/>
  <c r="G36" i="18"/>
  <c r="G35" i="18"/>
  <c r="T35" i="18" s="1"/>
  <c r="G34" i="18"/>
  <c r="G33" i="18"/>
  <c r="T33" i="18" s="1"/>
  <c r="G32" i="18"/>
  <c r="T32" i="18" s="1"/>
  <c r="G31" i="18"/>
  <c r="T31" i="18" s="1"/>
  <c r="G30" i="18"/>
  <c r="G29" i="18"/>
  <c r="T29" i="18" s="1"/>
  <c r="G28" i="18"/>
  <c r="G27" i="18"/>
  <c r="G26" i="18"/>
  <c r="T26" i="18" s="1"/>
  <c r="G25" i="18"/>
  <c r="G24" i="18"/>
  <c r="G23" i="18"/>
  <c r="T23" i="18" s="1"/>
  <c r="G22" i="18"/>
  <c r="G21" i="18"/>
  <c r="T21" i="18" s="1"/>
  <c r="G20" i="18"/>
  <c r="G19" i="18"/>
  <c r="G18" i="18"/>
  <c r="G17" i="18"/>
  <c r="T17" i="18" s="1"/>
  <c r="G16" i="18"/>
  <c r="G15" i="18"/>
  <c r="G14" i="18"/>
  <c r="G13" i="18"/>
  <c r="G12" i="18"/>
  <c r="G11" i="18"/>
  <c r="G10" i="18"/>
  <c r="T10" i="18" s="1"/>
  <c r="G9" i="18"/>
  <c r="T9" i="18" s="1"/>
  <c r="G8" i="18"/>
  <c r="G7" i="18"/>
  <c r="T7" i="18" s="1"/>
  <c r="G6" i="18"/>
  <c r="G5" i="18"/>
  <c r="T5" i="18" s="1"/>
  <c r="T82" i="18"/>
  <c r="T81" i="18"/>
  <c r="T77" i="18"/>
  <c r="T75" i="18"/>
  <c r="T72" i="18"/>
  <c r="T66" i="18"/>
  <c r="T65" i="18"/>
  <c r="T62" i="18"/>
  <c r="T61" i="18"/>
  <c r="T56" i="18"/>
  <c r="T55" i="18"/>
  <c r="T52" i="18"/>
  <c r="T50" i="18"/>
  <c r="T49" i="18"/>
  <c r="T40" i="18"/>
  <c r="T36" i="18"/>
  <c r="T34" i="18"/>
  <c r="T30" i="18"/>
  <c r="T25" i="18"/>
  <c r="T20" i="18"/>
  <c r="T18" i="18"/>
  <c r="T13" i="18"/>
  <c r="L114" i="10"/>
  <c r="M114" i="10" s="1"/>
  <c r="L111" i="10"/>
  <c r="M111" i="10" s="1"/>
  <c r="L104" i="10"/>
  <c r="M104" i="10" s="1"/>
  <c r="L103" i="10"/>
  <c r="M103" i="10" s="1"/>
  <c r="L100" i="10"/>
  <c r="M100" i="10" s="1"/>
  <c r="L98" i="10"/>
  <c r="M98" i="10" s="1"/>
  <c r="D89" i="9"/>
  <c r="D90" i="9"/>
  <c r="D91" i="9"/>
  <c r="G111" i="18" s="1"/>
  <c r="D92" i="9"/>
  <c r="D93" i="9"/>
  <c r="D94" i="9"/>
  <c r="D95" i="9"/>
  <c r="D96" i="9"/>
  <c r="D97" i="9"/>
  <c r="D98" i="9"/>
  <c r="D99" i="9"/>
  <c r="D100" i="9"/>
  <c r="D101" i="9"/>
  <c r="D102" i="9"/>
  <c r="D103" i="9"/>
  <c r="D104" i="9"/>
  <c r="D105" i="9"/>
  <c r="D106" i="9"/>
  <c r="D107" i="9"/>
  <c r="D108" i="9"/>
  <c r="D109" i="9"/>
  <c r="D110" i="9"/>
  <c r="L107" i="10" s="1"/>
  <c r="M107" i="10" s="1"/>
  <c r="D111" i="9"/>
  <c r="D112" i="9"/>
  <c r="D113" i="9"/>
  <c r="D114" i="9"/>
  <c r="D115" i="9"/>
  <c r="D116" i="9"/>
  <c r="D117"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H89" i="9"/>
  <c r="H90" i="9"/>
  <c r="H91" i="9"/>
  <c r="H92" i="9"/>
  <c r="H93" i="9"/>
  <c r="H94" i="9"/>
  <c r="H95" i="9"/>
  <c r="H96" i="9"/>
  <c r="H97" i="9"/>
  <c r="H98" i="9"/>
  <c r="H99" i="9"/>
  <c r="H100" i="9"/>
  <c r="H101" i="9"/>
  <c r="H102" i="9"/>
  <c r="H103" i="9"/>
  <c r="H104" i="9"/>
  <c r="H105" i="9"/>
  <c r="H106" i="9"/>
  <c r="H107" i="9"/>
  <c r="H108" i="9"/>
  <c r="H109" i="9"/>
  <c r="H110" i="9"/>
  <c r="H111" i="9"/>
  <c r="H112" i="9"/>
  <c r="H113" i="9"/>
  <c r="H114" i="9"/>
  <c r="H115" i="9"/>
  <c r="H116" i="9"/>
  <c r="H117" i="9"/>
  <c r="L63" i="10"/>
  <c r="M63" i="10" s="1"/>
  <c r="D88" i="9"/>
  <c r="G88" i="9"/>
  <c r="H88" i="9"/>
  <c r="D53" i="9"/>
  <c r="D54" i="9"/>
  <c r="D55" i="9"/>
  <c r="D56" i="9"/>
  <c r="D57" i="9"/>
  <c r="D58" i="9"/>
  <c r="D59" i="9"/>
  <c r="D60" i="9"/>
  <c r="D61" i="9"/>
  <c r="D62" i="9"/>
  <c r="D63" i="9"/>
  <c r="D64" i="9"/>
  <c r="D65" i="9"/>
  <c r="D66" i="9"/>
  <c r="D67" i="9"/>
  <c r="D68" i="9"/>
  <c r="D69" i="9"/>
  <c r="D70" i="9"/>
  <c r="D71" i="9"/>
  <c r="D72" i="9"/>
  <c r="D73" i="9"/>
  <c r="D74" i="9"/>
  <c r="D75" i="9"/>
  <c r="D76" i="9"/>
  <c r="D77" i="9"/>
  <c r="D78" i="9"/>
  <c r="D79" i="9"/>
  <c r="D80" i="9"/>
  <c r="D81" i="9"/>
  <c r="D82" i="9"/>
  <c r="D83" i="9"/>
  <c r="D84" i="9"/>
  <c r="D85" i="9"/>
  <c r="D86" i="9"/>
  <c r="D87"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D45" i="9"/>
  <c r="D46" i="9"/>
  <c r="D47" i="9"/>
  <c r="D48" i="9"/>
  <c r="D49" i="9"/>
  <c r="D50" i="9"/>
  <c r="D51" i="9"/>
  <c r="D52" i="9"/>
  <c r="G45" i="9"/>
  <c r="G46" i="9"/>
  <c r="G47" i="9"/>
  <c r="G48" i="9"/>
  <c r="G49" i="9"/>
  <c r="G50" i="9"/>
  <c r="G51" i="9"/>
  <c r="G52" i="9"/>
  <c r="H45" i="9"/>
  <c r="H46" i="9"/>
  <c r="H47" i="9"/>
  <c r="H48" i="9"/>
  <c r="H49" i="9"/>
  <c r="H50" i="9"/>
  <c r="H51" i="9"/>
  <c r="H52" i="9"/>
  <c r="D44" i="9"/>
  <c r="G44" i="9"/>
  <c r="H44" i="9"/>
  <c r="D16" i="9"/>
  <c r="D3" i="9"/>
  <c r="L82" i="10" s="1"/>
  <c r="D4" i="9"/>
  <c r="D5" i="9"/>
  <c r="D6" i="9"/>
  <c r="D7" i="9"/>
  <c r="D8" i="9"/>
  <c r="D9" i="9"/>
  <c r="D10" i="9"/>
  <c r="D11" i="9"/>
  <c r="D12" i="9"/>
  <c r="D13" i="9"/>
  <c r="L67" i="10" s="1"/>
  <c r="D14" i="9"/>
  <c r="D15" i="9"/>
  <c r="D17" i="9"/>
  <c r="D18" i="9"/>
  <c r="D19" i="9"/>
  <c r="D20" i="9"/>
  <c r="D21" i="9"/>
  <c r="D22" i="9"/>
  <c r="D23" i="9"/>
  <c r="D24" i="9"/>
  <c r="D25" i="9"/>
  <c r="D26" i="9"/>
  <c r="D27" i="9"/>
  <c r="D28" i="9"/>
  <c r="D29" i="9"/>
  <c r="D30" i="9"/>
  <c r="D31" i="9"/>
  <c r="D32" i="9"/>
  <c r="D33" i="9"/>
  <c r="D34" i="9"/>
  <c r="D35" i="9"/>
  <c r="D36" i="9"/>
  <c r="D37" i="9"/>
  <c r="D38" i="9"/>
  <c r="D39" i="9"/>
  <c r="D40" i="9"/>
  <c r="D41" i="9"/>
  <c r="D42" i="9"/>
  <c r="D43" i="9"/>
  <c r="N111" i="18" l="1"/>
  <c r="O111" i="18"/>
  <c r="G96" i="18"/>
  <c r="L105" i="10"/>
  <c r="M105" i="10" s="1"/>
  <c r="G97" i="18"/>
  <c r="T97" i="18" s="1"/>
  <c r="G98" i="18"/>
  <c r="G99" i="18"/>
  <c r="L106" i="10"/>
  <c r="M106" i="10" s="1"/>
  <c r="L108" i="10"/>
  <c r="M108" i="10" s="1"/>
  <c r="G100" i="18"/>
  <c r="L109" i="10"/>
  <c r="M109" i="10" s="1"/>
  <c r="G85" i="18"/>
  <c r="G101" i="18"/>
  <c r="L110" i="10"/>
  <c r="M110" i="10" s="1"/>
  <c r="G86" i="18"/>
  <c r="G102" i="18"/>
  <c r="T102" i="18" s="1"/>
  <c r="G87" i="18"/>
  <c r="T87" i="18" s="1"/>
  <c r="G103" i="18"/>
  <c r="L112" i="10"/>
  <c r="M112" i="10" s="1"/>
  <c r="G88" i="18"/>
  <c r="T88" i="18" s="1"/>
  <c r="G104" i="18"/>
  <c r="T104" i="18" s="1"/>
  <c r="L113" i="10"/>
  <c r="M113" i="10" s="1"/>
  <c r="G89" i="18"/>
  <c r="G105" i="18"/>
  <c r="G90" i="18"/>
  <c r="G106" i="18"/>
  <c r="L99" i="10"/>
  <c r="M99" i="10" s="1"/>
  <c r="G91" i="18"/>
  <c r="T91" i="18" s="1"/>
  <c r="G107" i="18"/>
  <c r="T107" i="18" s="1"/>
  <c r="O110" i="18"/>
  <c r="G92" i="18"/>
  <c r="G108" i="18"/>
  <c r="Q108" i="18" s="1"/>
  <c r="L101" i="10"/>
  <c r="M101" i="10" s="1"/>
  <c r="G93" i="18"/>
  <c r="T93" i="18" s="1"/>
  <c r="G109" i="18"/>
  <c r="T109" i="18" s="1"/>
  <c r="L102" i="10"/>
  <c r="M102" i="10" s="1"/>
  <c r="G94" i="18"/>
  <c r="O94" i="18" s="1"/>
  <c r="G110" i="18"/>
  <c r="Q110" i="18" s="1"/>
  <c r="G95" i="18"/>
  <c r="T114" i="10"/>
  <c r="Z103" i="10"/>
  <c r="U114" i="10"/>
  <c r="V114" i="10"/>
  <c r="W114" i="10"/>
  <c r="Z98" i="10"/>
  <c r="Z114" i="10"/>
  <c r="Z107" i="10"/>
  <c r="AB114" i="10"/>
  <c r="Z100" i="10"/>
  <c r="Z111" i="10"/>
  <c r="Z104" i="10"/>
  <c r="T12" i="18"/>
  <c r="N25" i="18"/>
  <c r="Q40" i="18"/>
  <c r="V59" i="18"/>
  <c r="T6" i="18"/>
  <c r="V10" i="18"/>
  <c r="P21" i="18"/>
  <c r="V23" i="18"/>
  <c r="V7" i="18"/>
  <c r="O48" i="18"/>
  <c r="O18" i="18"/>
  <c r="V5" i="18"/>
  <c r="V19" i="18"/>
  <c r="P5" i="18"/>
  <c r="P105" i="18"/>
  <c r="N47" i="18"/>
  <c r="P61" i="18"/>
  <c r="Q34" i="18"/>
  <c r="Q19" i="18"/>
  <c r="O41" i="18"/>
  <c r="N32" i="18"/>
  <c r="V26" i="18"/>
  <c r="N18" i="18"/>
  <c r="O72" i="18"/>
  <c r="P37" i="18"/>
  <c r="N15" i="18"/>
  <c r="P35" i="18"/>
  <c r="Q6" i="18"/>
  <c r="V14" i="18"/>
  <c r="N6" i="18"/>
  <c r="P25" i="18"/>
  <c r="N74" i="18"/>
  <c r="V20" i="18"/>
  <c r="P6" i="18"/>
  <c r="Q10" i="18"/>
  <c r="V32" i="18"/>
  <c r="O20" i="18"/>
  <c r="O36" i="18"/>
  <c r="N20" i="18"/>
  <c r="O9" i="18"/>
  <c r="V25" i="18"/>
  <c r="V9" i="18"/>
  <c r="O6" i="18"/>
  <c r="Q35" i="18"/>
  <c r="N105" i="18"/>
  <c r="O37" i="18"/>
  <c r="O25" i="18"/>
  <c r="V12" i="18"/>
  <c r="V37" i="18"/>
  <c r="V36" i="18"/>
  <c r="Q21" i="18"/>
  <c r="Q5" i="18"/>
  <c r="N10" i="18"/>
  <c r="V51" i="18"/>
  <c r="V35" i="18"/>
  <c r="V34" i="18"/>
  <c r="Q26" i="18"/>
  <c r="V98" i="18"/>
  <c r="V40" i="18"/>
  <c r="Q14" i="18"/>
  <c r="Q66" i="18"/>
  <c r="P26" i="18"/>
  <c r="O21" i="18"/>
  <c r="P10" i="18"/>
  <c r="O5" i="18"/>
  <c r="Q9" i="18"/>
  <c r="V87" i="18"/>
  <c r="N58" i="18"/>
  <c r="P36" i="18"/>
  <c r="N5" i="18"/>
  <c r="Q37" i="18"/>
  <c r="V33" i="18"/>
  <c r="N26" i="18"/>
  <c r="Q25" i="18"/>
  <c r="P20" i="18"/>
  <c r="V18" i="18"/>
  <c r="O15" i="18"/>
  <c r="P14" i="18"/>
  <c r="O100" i="18"/>
  <c r="P58" i="18"/>
  <c r="V50" i="18"/>
  <c r="V49" i="18"/>
  <c r="O47" i="18"/>
  <c r="Q61" i="18"/>
  <c r="P9" i="18"/>
  <c r="P100" i="18"/>
  <c r="P38" i="18"/>
  <c r="P8" i="18"/>
  <c r="P13" i="18"/>
  <c r="Q23" i="18"/>
  <c r="Q78" i="18"/>
  <c r="T11" i="18"/>
  <c r="N11" i="18"/>
  <c r="Q11" i="18"/>
  <c r="P11" i="18"/>
  <c r="O11" i="18"/>
  <c r="V30" i="18"/>
  <c r="V11" i="18"/>
  <c r="V6" i="18"/>
  <c r="Q33" i="18"/>
  <c r="O35" i="18"/>
  <c r="O38" i="18"/>
  <c r="Q47" i="18"/>
  <c r="Q49" i="18"/>
  <c r="Q89" i="18"/>
  <c r="N9" i="18"/>
  <c r="V39" i="18"/>
  <c r="O61" i="18"/>
  <c r="N35" i="18"/>
  <c r="Q7" i="18"/>
  <c r="Q17" i="18"/>
  <c r="N24" i="18"/>
  <c r="Q44" i="18"/>
  <c r="N72" i="18"/>
  <c r="V56" i="18"/>
  <c r="P12" i="18"/>
  <c r="P67" i="18"/>
  <c r="N14" i="18"/>
  <c r="V55" i="18"/>
  <c r="Q13" i="18"/>
  <c r="Q51" i="18"/>
  <c r="V82" i="18"/>
  <c r="O14" i="18"/>
  <c r="N19" i="18"/>
  <c r="P32" i="18"/>
  <c r="O39" i="18"/>
  <c r="Q98" i="18"/>
  <c r="Q8" i="18"/>
  <c r="P109" i="18"/>
  <c r="O19" i="18"/>
  <c r="O24" i="18"/>
  <c r="V27" i="18"/>
  <c r="T27" i="18"/>
  <c r="Q27" i="18"/>
  <c r="P27" i="18"/>
  <c r="O27" i="18"/>
  <c r="N27" i="18"/>
  <c r="N36" i="18"/>
  <c r="P39" i="18"/>
  <c r="V41" i="18"/>
  <c r="P89" i="18"/>
  <c r="V28" i="18"/>
  <c r="P19" i="18"/>
  <c r="T22" i="18"/>
  <c r="Q22" i="18"/>
  <c r="P22" i="18"/>
  <c r="O22" i="18"/>
  <c r="N22" i="18"/>
  <c r="P24" i="18"/>
  <c r="O55" i="18"/>
  <c r="V17" i="18"/>
  <c r="Q24" i="18"/>
  <c r="O45" i="18"/>
  <c r="V45" i="18"/>
  <c r="T45" i="18"/>
  <c r="Q45" i="18"/>
  <c r="P45" i="18"/>
  <c r="N45" i="18"/>
  <c r="Q50" i="18"/>
  <c r="P55" i="18"/>
  <c r="V91" i="18"/>
  <c r="O8" i="18"/>
  <c r="N89" i="18"/>
  <c r="N8" i="18"/>
  <c r="O13" i="18"/>
  <c r="P18" i="18"/>
  <c r="N34" i="18"/>
  <c r="Q18" i="18"/>
  <c r="O49" i="18"/>
  <c r="Q32" i="18"/>
  <c r="O34" i="18"/>
  <c r="V42" i="18"/>
  <c r="T70" i="18"/>
  <c r="Q70" i="18"/>
  <c r="P70" i="18"/>
  <c r="O70" i="18"/>
  <c r="N70" i="18"/>
  <c r="V70" i="18"/>
  <c r="P84" i="18"/>
  <c r="Q92" i="18"/>
  <c r="P92" i="18"/>
  <c r="O92" i="18"/>
  <c r="N92" i="18"/>
  <c r="V92" i="18"/>
  <c r="T92" i="18"/>
  <c r="V16" i="18"/>
  <c r="T16" i="18"/>
  <c r="P16" i="18"/>
  <c r="O16" i="18"/>
  <c r="Q16" i="18"/>
  <c r="N16" i="18"/>
  <c r="V22" i="18"/>
  <c r="P34" i="18"/>
  <c r="N48" i="18"/>
  <c r="V63" i="18"/>
  <c r="T63" i="18"/>
  <c r="Q63" i="18"/>
  <c r="P63" i="18"/>
  <c r="O63" i="18"/>
  <c r="N63" i="18"/>
  <c r="T8" i="18"/>
  <c r="V31" i="18"/>
  <c r="P31" i="18"/>
  <c r="O42" i="18"/>
  <c r="Q72" i="18"/>
  <c r="O77" i="18"/>
  <c r="V81" i="18"/>
  <c r="Q94" i="18"/>
  <c r="Q105" i="18"/>
  <c r="Q60" i="18"/>
  <c r="O60" i="18"/>
  <c r="N60" i="18"/>
  <c r="T24" i="18"/>
  <c r="O10" i="18"/>
  <c r="V13" i="18"/>
  <c r="P15" i="18"/>
  <c r="T19" i="18"/>
  <c r="Q20" i="18"/>
  <c r="N21" i="18"/>
  <c r="O26" i="18"/>
  <c r="N46" i="18"/>
  <c r="V58" i="18"/>
  <c r="O68" i="18"/>
  <c r="N79" i="18"/>
  <c r="N83" i="18"/>
  <c r="N88" i="18"/>
  <c r="T103" i="18"/>
  <c r="V29" i="18"/>
  <c r="V8" i="18"/>
  <c r="T14" i="18"/>
  <c r="Q15" i="18"/>
  <c r="V24" i="18"/>
  <c r="V38" i="18"/>
  <c r="O46" i="18"/>
  <c r="P68" i="18"/>
  <c r="O79" i="18"/>
  <c r="P83" i="18"/>
  <c r="T86" i="18"/>
  <c r="Q86" i="18"/>
  <c r="P86" i="18"/>
  <c r="O86" i="18"/>
  <c r="N86" i="18"/>
  <c r="V86" i="18"/>
  <c r="V103" i="18"/>
  <c r="O43" i="18"/>
  <c r="P33" i="18"/>
  <c r="P46" i="18"/>
  <c r="V54" i="18"/>
  <c r="N57" i="18"/>
  <c r="T59" i="18"/>
  <c r="Q59" i="18"/>
  <c r="P59" i="18"/>
  <c r="O59" i="18"/>
  <c r="N59" i="18"/>
  <c r="V66" i="18"/>
  <c r="P77" i="18"/>
  <c r="V80" i="18"/>
  <c r="T80" i="18"/>
  <c r="Q80" i="18"/>
  <c r="P80" i="18"/>
  <c r="O80" i="18"/>
  <c r="N80" i="18"/>
  <c r="N90" i="18"/>
  <c r="O28" i="18"/>
  <c r="P97" i="18"/>
  <c r="N28" i="18"/>
  <c r="N40" i="18"/>
  <c r="N44" i="18"/>
  <c r="Q46" i="18"/>
  <c r="N56" i="18"/>
  <c r="O57" i="18"/>
  <c r="P60" i="18"/>
  <c r="Q65" i="18"/>
  <c r="Q71" i="18"/>
  <c r="P71" i="18"/>
  <c r="O71" i="18"/>
  <c r="N71" i="18"/>
  <c r="O88" i="18"/>
  <c r="N99" i="18"/>
  <c r="N104" i="18"/>
  <c r="T15" i="18"/>
  <c r="N17" i="18"/>
  <c r="P28" i="18"/>
  <c r="N29" i="18"/>
  <c r="N43" i="18"/>
  <c r="P44" i="18"/>
  <c r="P49" i="18"/>
  <c r="N49" i="18"/>
  <c r="O53" i="18"/>
  <c r="P57" i="18"/>
  <c r="V64" i="18"/>
  <c r="Q64" i="18"/>
  <c r="P64" i="18"/>
  <c r="O64" i="18"/>
  <c r="N64" i="18"/>
  <c r="Q88" i="18"/>
  <c r="O93" i="18"/>
  <c r="V97" i="18"/>
  <c r="P99" i="18"/>
  <c r="Q103" i="18"/>
  <c r="P103" i="18"/>
  <c r="O103" i="18"/>
  <c r="N103" i="18"/>
  <c r="N12" i="18"/>
  <c r="O17" i="18"/>
  <c r="Q28" i="18"/>
  <c r="O29" i="18"/>
  <c r="N30" i="18"/>
  <c r="Q39" i="18"/>
  <c r="N39" i="18"/>
  <c r="N42" i="18"/>
  <c r="P43" i="18"/>
  <c r="V48" i="18"/>
  <c r="Q48" i="18"/>
  <c r="P48" i="18"/>
  <c r="Q57" i="18"/>
  <c r="T60" i="18"/>
  <c r="N73" i="18"/>
  <c r="V75" i="18"/>
  <c r="N95" i="18"/>
  <c r="N106" i="18"/>
  <c r="O44" i="18"/>
  <c r="N7" i="18"/>
  <c r="O12" i="18"/>
  <c r="V15" i="18"/>
  <c r="P17" i="18"/>
  <c r="N23" i="18"/>
  <c r="P29" i="18"/>
  <c r="O30" i="18"/>
  <c r="N31" i="18"/>
  <c r="T38" i="18"/>
  <c r="Q38" i="18"/>
  <c r="N38" i="18"/>
  <c r="N41" i="18"/>
  <c r="P42" i="18"/>
  <c r="Q43" i="18"/>
  <c r="N52" i="18"/>
  <c r="V53" i="18"/>
  <c r="Q55" i="18"/>
  <c r="N55" i="18"/>
  <c r="O56" i="18"/>
  <c r="V65" i="18"/>
  <c r="N67" i="18"/>
  <c r="P73" i="18"/>
  <c r="Q82" i="18"/>
  <c r="O95" i="18"/>
  <c r="O104" i="18"/>
  <c r="O23" i="18"/>
  <c r="Q29" i="18"/>
  <c r="P30" i="18"/>
  <c r="O31" i="18"/>
  <c r="Q42" i="18"/>
  <c r="T44" i="18"/>
  <c r="N51" i="18"/>
  <c r="O52" i="18"/>
  <c r="P56" i="18"/>
  <c r="V60" i="18"/>
  <c r="N62" i="18"/>
  <c r="O67" i="18"/>
  <c r="Q73" i="18"/>
  <c r="Q76" i="18"/>
  <c r="P76" i="18"/>
  <c r="O76" i="18"/>
  <c r="N76" i="18"/>
  <c r="V76" i="18"/>
  <c r="T76" i="18"/>
  <c r="P93" i="18"/>
  <c r="V96" i="18"/>
  <c r="T96" i="18"/>
  <c r="Q96" i="18"/>
  <c r="P96" i="18"/>
  <c r="O96" i="18"/>
  <c r="N96" i="18"/>
  <c r="Q104" i="18"/>
  <c r="O109" i="18"/>
  <c r="O7" i="18"/>
  <c r="P7" i="18"/>
  <c r="Q12" i="18"/>
  <c r="N13" i="18"/>
  <c r="V21" i="18"/>
  <c r="P23" i="18"/>
  <c r="T28" i="18"/>
  <c r="Q30" i="18"/>
  <c r="Q31" i="18"/>
  <c r="O32" i="18"/>
  <c r="N33" i="18"/>
  <c r="O40" i="18"/>
  <c r="P41" i="18"/>
  <c r="T43" i="18"/>
  <c r="V47" i="18"/>
  <c r="T47" i="18"/>
  <c r="P47" i="18"/>
  <c r="N50" i="18"/>
  <c r="O51" i="18"/>
  <c r="P52" i="18"/>
  <c r="Q56" i="18"/>
  <c r="O62" i="18"/>
  <c r="T71" i="18"/>
  <c r="P65" i="18"/>
  <c r="P98" i="18"/>
  <c r="P82" i="18"/>
  <c r="P66" i="18"/>
  <c r="P50" i="18"/>
  <c r="V101" i="18"/>
  <c r="O98" i="18"/>
  <c r="V85" i="18"/>
  <c r="O82" i="18"/>
  <c r="V69" i="18"/>
  <c r="O66" i="18"/>
  <c r="V106" i="18"/>
  <c r="N98" i="18"/>
  <c r="Q97" i="18"/>
  <c r="V90" i="18"/>
  <c r="N82" i="18"/>
  <c r="Q81" i="18"/>
  <c r="V74" i="18"/>
  <c r="N66" i="18"/>
  <c r="V100" i="18"/>
  <c r="V84" i="18"/>
  <c r="V68" i="18"/>
  <c r="V52" i="18"/>
  <c r="V105" i="18"/>
  <c r="P101" i="18"/>
  <c r="V99" i="18"/>
  <c r="P85" i="18"/>
  <c r="V83" i="18"/>
  <c r="P69" i="18"/>
  <c r="V67" i="18"/>
  <c r="P53" i="18"/>
  <c r="P106" i="18"/>
  <c r="V104" i="18"/>
  <c r="O101" i="18"/>
  <c r="V88" i="18"/>
  <c r="O85" i="18"/>
  <c r="P74" i="18"/>
  <c r="V72" i="18"/>
  <c r="O69" i="18"/>
  <c r="N84" i="18"/>
  <c r="Q83" i="18"/>
  <c r="P78" i="18"/>
  <c r="O73" i="18"/>
  <c r="N68" i="18"/>
  <c r="Q67" i="18"/>
  <c r="P62" i="18"/>
  <c r="P104" i="18"/>
  <c r="O99" i="18"/>
  <c r="P88" i="18"/>
  <c r="O83" i="18"/>
  <c r="N78" i="18"/>
  <c r="P72" i="18"/>
  <c r="O33" i="18"/>
  <c r="P40" i="18"/>
  <c r="Q41" i="18"/>
  <c r="T42" i="18"/>
  <c r="V43" i="18"/>
  <c r="V44" i="18"/>
  <c r="O50" i="18"/>
  <c r="P51" i="18"/>
  <c r="T54" i="18"/>
  <c r="Q54" i="18"/>
  <c r="P54" i="18"/>
  <c r="O54" i="18"/>
  <c r="N54" i="18"/>
  <c r="Q62" i="18"/>
  <c r="V71" i="18"/>
  <c r="O78" i="18"/>
  <c r="P81" i="18"/>
  <c r="O84" i="18"/>
  <c r="Q87" i="18"/>
  <c r="P87" i="18"/>
  <c r="O87" i="18"/>
  <c r="N87" i="18"/>
  <c r="Q77" i="18"/>
  <c r="Q93" i="18"/>
  <c r="N94" i="18"/>
  <c r="Q109" i="18"/>
  <c r="N110" i="18"/>
  <c r="O89" i="18"/>
  <c r="P94" i="18"/>
  <c r="T98" i="18"/>
  <c r="Q99" i="18"/>
  <c r="N100" i="18"/>
  <c r="O105" i="18"/>
  <c r="P110" i="18"/>
  <c r="Q36" i="18"/>
  <c r="N37" i="18"/>
  <c r="T51" i="18"/>
  <c r="Q52" i="18"/>
  <c r="N53" i="18"/>
  <c r="O58" i="18"/>
  <c r="V61" i="18"/>
  <c r="T67" i="18"/>
  <c r="Q68" i="18"/>
  <c r="N69" i="18"/>
  <c r="O74" i="18"/>
  <c r="V77" i="18"/>
  <c r="P79" i="18"/>
  <c r="T83" i="18"/>
  <c r="Q84" i="18"/>
  <c r="N85" i="18"/>
  <c r="O90" i="18"/>
  <c r="V93" i="18"/>
  <c r="P95" i="18"/>
  <c r="T99" i="18"/>
  <c r="Q100" i="18"/>
  <c r="N101" i="18"/>
  <c r="O106" i="18"/>
  <c r="V109" i="18"/>
  <c r="P111" i="18"/>
  <c r="T78" i="18"/>
  <c r="Q79" i="18"/>
  <c r="P90" i="18"/>
  <c r="T94" i="18"/>
  <c r="Q95" i="18"/>
  <c r="T110" i="18"/>
  <c r="Q111" i="18"/>
  <c r="T57" i="18"/>
  <c r="Q58" i="18"/>
  <c r="T73" i="18"/>
  <c r="Q74" i="18"/>
  <c r="N75" i="18"/>
  <c r="T89" i="18"/>
  <c r="Q90" i="18"/>
  <c r="N91" i="18"/>
  <c r="T105" i="18"/>
  <c r="Q106" i="18"/>
  <c r="N107" i="18"/>
  <c r="V46" i="18"/>
  <c r="Q53" i="18"/>
  <c r="V62" i="18"/>
  <c r="T68" i="18"/>
  <c r="Q69" i="18"/>
  <c r="O75" i="18"/>
  <c r="V78" i="18"/>
  <c r="T84" i="18"/>
  <c r="Q85" i="18"/>
  <c r="O91" i="18"/>
  <c r="V94" i="18"/>
  <c r="T100" i="18"/>
  <c r="Q101" i="18"/>
  <c r="O107" i="18"/>
  <c r="V110" i="18"/>
  <c r="V57" i="18"/>
  <c r="N65" i="18"/>
  <c r="V73" i="18"/>
  <c r="P75" i="18"/>
  <c r="T79" i="18"/>
  <c r="N81" i="18"/>
  <c r="V89" i="18"/>
  <c r="P91" i="18"/>
  <c r="T95" i="18"/>
  <c r="N97" i="18"/>
  <c r="P107" i="18"/>
  <c r="T111" i="18"/>
  <c r="T58" i="18"/>
  <c r="O65" i="18"/>
  <c r="T74" i="18"/>
  <c r="Q75" i="18"/>
  <c r="O81" i="18"/>
  <c r="T90" i="18"/>
  <c r="Q91" i="18"/>
  <c r="O97" i="18"/>
  <c r="T106" i="18"/>
  <c r="Q107" i="18"/>
  <c r="T37" i="18"/>
  <c r="T53" i="18"/>
  <c r="T69" i="18"/>
  <c r="V79" i="18"/>
  <c r="T85" i="18"/>
  <c r="V95" i="18"/>
  <c r="T101" i="18"/>
  <c r="V111" i="18"/>
  <c r="N61" i="18"/>
  <c r="N77" i="18"/>
  <c r="N93" i="18"/>
  <c r="N109" i="18"/>
  <c r="L52" i="10"/>
  <c r="L68" i="10"/>
  <c r="L84" i="10"/>
  <c r="L51" i="10"/>
  <c r="M51" i="10" s="1"/>
  <c r="L53" i="10"/>
  <c r="M53" i="10" s="1"/>
  <c r="L69" i="10"/>
  <c r="L85" i="10"/>
  <c r="M85" i="10" s="1"/>
  <c r="L54" i="10"/>
  <c r="M54" i="10" s="1"/>
  <c r="L70" i="10"/>
  <c r="L86" i="10"/>
  <c r="M86" i="10" s="1"/>
  <c r="L55" i="10"/>
  <c r="M55" i="10" s="1"/>
  <c r="L71" i="10"/>
  <c r="L87" i="10"/>
  <c r="M87" i="10" s="1"/>
  <c r="L56" i="10"/>
  <c r="M56" i="10" s="1"/>
  <c r="L72" i="10"/>
  <c r="L88" i="10"/>
  <c r="M88" i="10" s="1"/>
  <c r="L41" i="10"/>
  <c r="M41" i="10" s="1"/>
  <c r="L57" i="10"/>
  <c r="M57" i="10" s="1"/>
  <c r="L73" i="10"/>
  <c r="L89" i="10"/>
  <c r="M89" i="10" s="1"/>
  <c r="L83" i="10"/>
  <c r="L42" i="10"/>
  <c r="M42" i="10" s="1"/>
  <c r="L58" i="10"/>
  <c r="M58" i="10" s="1"/>
  <c r="L74" i="10"/>
  <c r="L90" i="10"/>
  <c r="M90" i="10" s="1"/>
  <c r="L43" i="10"/>
  <c r="M43" i="10" s="1"/>
  <c r="L59" i="10"/>
  <c r="M59" i="10" s="1"/>
  <c r="L75" i="10"/>
  <c r="L91" i="10"/>
  <c r="M91" i="10" s="1"/>
  <c r="L44" i="10"/>
  <c r="M44" i="10" s="1"/>
  <c r="L60" i="10"/>
  <c r="M60" i="10" s="1"/>
  <c r="L76" i="10"/>
  <c r="M76" i="10" s="1"/>
  <c r="L92" i="10"/>
  <c r="M92" i="10" s="1"/>
  <c r="L45" i="10"/>
  <c r="M45" i="10" s="1"/>
  <c r="L61" i="10"/>
  <c r="M61" i="10" s="1"/>
  <c r="L77" i="10"/>
  <c r="L93" i="10"/>
  <c r="M93" i="10" s="1"/>
  <c r="L46" i="10"/>
  <c r="M46" i="10" s="1"/>
  <c r="L62" i="10"/>
  <c r="M62" i="10" s="1"/>
  <c r="L78" i="10"/>
  <c r="L94" i="10"/>
  <c r="M94" i="10" s="1"/>
  <c r="L79" i="10"/>
  <c r="L95" i="10"/>
  <c r="M95" i="10" s="1"/>
  <c r="L47" i="10"/>
  <c r="M47" i="10" s="1"/>
  <c r="L48" i="10"/>
  <c r="M48" i="10" s="1"/>
  <c r="L64" i="10"/>
  <c r="M64" i="10" s="1"/>
  <c r="L80" i="10"/>
  <c r="L96" i="10"/>
  <c r="M96" i="10" s="1"/>
  <c r="L49" i="10"/>
  <c r="M49" i="10" s="1"/>
  <c r="L65" i="10"/>
  <c r="M65" i="10" s="1"/>
  <c r="L81" i="10"/>
  <c r="L97" i="10"/>
  <c r="M97" i="10" s="1"/>
  <c r="L15" i="10"/>
  <c r="M15" i="10" s="1"/>
  <c r="L50" i="10"/>
  <c r="M50" i="10" s="1"/>
  <c r="L66" i="10"/>
  <c r="M66" i="10" s="1"/>
  <c r="Z67" i="10"/>
  <c r="Z63" i="10"/>
  <c r="S42" i="12"/>
  <c r="S41" i="12"/>
  <c r="S39" i="12"/>
  <c r="AD3" i="12"/>
  <c r="C28" i="3"/>
  <c r="C27" i="3"/>
  <c r="C26" i="3"/>
  <c r="C25" i="3"/>
  <c r="B28" i="3"/>
  <c r="N25" i="8"/>
  <c r="S9" i="8"/>
  <c r="S10" i="8"/>
  <c r="P9" i="8"/>
  <c r="P10" i="8"/>
  <c r="Q9" i="8"/>
  <c r="Q10" i="8"/>
  <c r="R9" i="8"/>
  <c r="R10" i="8"/>
  <c r="M9" i="8"/>
  <c r="M10" i="8"/>
  <c r="M11" i="8"/>
  <c r="M12" i="8"/>
  <c r="M13" i="8"/>
  <c r="M14" i="8"/>
  <c r="M15" i="8"/>
  <c r="M16" i="8"/>
  <c r="M17" i="8"/>
  <c r="M18" i="8"/>
  <c r="M19" i="8"/>
  <c r="M20" i="8"/>
  <c r="L9" i="8"/>
  <c r="L10" i="8"/>
  <c r="L11" i="8"/>
  <c r="L12" i="8"/>
  <c r="L13" i="8"/>
  <c r="L14" i="8"/>
  <c r="L15" i="8"/>
  <c r="L16" i="8"/>
  <c r="L17" i="8"/>
  <c r="L18" i="8"/>
  <c r="L19" i="8"/>
  <c r="L20" i="8"/>
  <c r="K9" i="8"/>
  <c r="K10" i="8"/>
  <c r="K11" i="8"/>
  <c r="K12" i="8"/>
  <c r="K13" i="8"/>
  <c r="K14" i="8"/>
  <c r="K15" i="8"/>
  <c r="K16" i="8"/>
  <c r="K17" i="8"/>
  <c r="K18" i="8"/>
  <c r="K19" i="8"/>
  <c r="K20" i="8"/>
  <c r="J9" i="8"/>
  <c r="J10" i="8"/>
  <c r="J11" i="8"/>
  <c r="J12" i="8"/>
  <c r="J13" i="8"/>
  <c r="J14" i="8"/>
  <c r="J15" i="8"/>
  <c r="J16" i="8"/>
  <c r="J17" i="8"/>
  <c r="J18" i="8"/>
  <c r="J19" i="8"/>
  <c r="J20" i="8"/>
  <c r="H21" i="8"/>
  <c r="I9" i="8"/>
  <c r="J6" i="8"/>
  <c r="I6" i="8"/>
  <c r="H6" i="8"/>
  <c r="G6" i="8"/>
  <c r="G13" i="1"/>
  <c r="T13" i="1" s="1"/>
  <c r="G14" i="1"/>
  <c r="T14" i="1" s="1"/>
  <c r="G15" i="1"/>
  <c r="G18" i="1"/>
  <c r="T18" i="1" s="1"/>
  <c r="G24" i="1"/>
  <c r="T24" i="1" s="1"/>
  <c r="G29" i="1"/>
  <c r="T29" i="1" s="1"/>
  <c r="G30" i="1"/>
  <c r="T30" i="1" s="1"/>
  <c r="G33" i="1"/>
  <c r="T33" i="1" s="1"/>
  <c r="G5" i="1"/>
  <c r="T5" i="1" s="1"/>
  <c r="H3" i="9"/>
  <c r="H4" i="9"/>
  <c r="H5" i="9"/>
  <c r="H6" i="9"/>
  <c r="H7" i="9"/>
  <c r="H8" i="9"/>
  <c r="H9" i="9"/>
  <c r="H10" i="9"/>
  <c r="H11" i="9"/>
  <c r="H12" i="9"/>
  <c r="H13" i="9"/>
  <c r="H14" i="9"/>
  <c r="H15" i="9"/>
  <c r="F8" i="12" s="1"/>
  <c r="H16" i="9"/>
  <c r="F35" i="12" s="1"/>
  <c r="H17" i="9"/>
  <c r="H18" i="9"/>
  <c r="H19" i="9"/>
  <c r="F23" i="12" s="1"/>
  <c r="H20" i="9"/>
  <c r="H21" i="9"/>
  <c r="H22" i="9"/>
  <c r="H23" i="9"/>
  <c r="H24" i="9"/>
  <c r="H25" i="9"/>
  <c r="H26" i="9"/>
  <c r="H27" i="9"/>
  <c r="H28" i="9"/>
  <c r="H29" i="9"/>
  <c r="H30" i="9"/>
  <c r="H31" i="9"/>
  <c r="F24" i="12" s="1"/>
  <c r="H32" i="9"/>
  <c r="F36" i="12" s="1"/>
  <c r="H33" i="9"/>
  <c r="H34" i="9"/>
  <c r="H35" i="9"/>
  <c r="H36" i="9"/>
  <c r="H37" i="9"/>
  <c r="H38" i="9"/>
  <c r="H39" i="9"/>
  <c r="H40" i="9"/>
  <c r="H41" i="9"/>
  <c r="H42" i="9"/>
  <c r="H43" i="9"/>
  <c r="G4" i="9"/>
  <c r="G21" i="1" s="1"/>
  <c r="G5" i="9"/>
  <c r="G6" i="9"/>
  <c r="F40" i="12" s="1"/>
  <c r="G7" i="9"/>
  <c r="G8" i="9"/>
  <c r="G34" i="1" s="1"/>
  <c r="G9" i="9"/>
  <c r="L33" i="10" s="1"/>
  <c r="G10" i="9"/>
  <c r="G11" i="9"/>
  <c r="G12" i="9"/>
  <c r="G38" i="1" s="1"/>
  <c r="G13" i="9"/>
  <c r="L25" i="10" s="1"/>
  <c r="M25" i="10" s="1"/>
  <c r="G14" i="9"/>
  <c r="L22" i="10" s="1"/>
  <c r="G15" i="9"/>
  <c r="L13" i="10" s="1"/>
  <c r="M13" i="10" s="1"/>
  <c r="G16" i="9"/>
  <c r="L32" i="10" s="1"/>
  <c r="G17" i="9"/>
  <c r="L16" i="10" s="1"/>
  <c r="G18" i="9"/>
  <c r="L9" i="10" s="1"/>
  <c r="M9" i="10" s="1"/>
  <c r="G19" i="9"/>
  <c r="G20" i="9"/>
  <c r="L11" i="10" s="1"/>
  <c r="M11" i="10" s="1"/>
  <c r="G21" i="9"/>
  <c r="L27" i="10" s="1"/>
  <c r="M27" i="10" s="1"/>
  <c r="G22" i="9"/>
  <c r="G23" i="9"/>
  <c r="L6" i="10" s="1"/>
  <c r="M6" i="10" s="1"/>
  <c r="G24" i="9"/>
  <c r="G28" i="1" s="1"/>
  <c r="G25" i="9"/>
  <c r="L10" i="10" s="1"/>
  <c r="G26" i="9"/>
  <c r="F6" i="12" s="1"/>
  <c r="G27" i="9"/>
  <c r="L29" i="10" s="1"/>
  <c r="G28" i="9"/>
  <c r="L26" i="10" s="1"/>
  <c r="M26" i="10" s="1"/>
  <c r="G29" i="9"/>
  <c r="G31" i="1" s="1"/>
  <c r="G30" i="9"/>
  <c r="L14" i="10" s="1"/>
  <c r="M14" i="10" s="1"/>
  <c r="G31" i="9"/>
  <c r="G17" i="1" s="1"/>
  <c r="G32" i="9"/>
  <c r="G36" i="1" s="1"/>
  <c r="G33" i="9"/>
  <c r="L18" i="10" s="1"/>
  <c r="M18" i="10" s="1"/>
  <c r="G34" i="9"/>
  <c r="G20" i="1" s="1"/>
  <c r="G35" i="9"/>
  <c r="L24" i="10" s="1"/>
  <c r="G36" i="9"/>
  <c r="G35" i="1" s="1"/>
  <c r="G37" i="9"/>
  <c r="G19" i="1" s="1"/>
  <c r="G38" i="9"/>
  <c r="L23" i="10" s="1"/>
  <c r="G39" i="9"/>
  <c r="G40" i="9"/>
  <c r="L7" i="10" s="1"/>
  <c r="M7" i="10" s="1"/>
  <c r="G41" i="9"/>
  <c r="L8" i="10" s="1"/>
  <c r="M8" i="10" s="1"/>
  <c r="G42" i="9"/>
  <c r="G43" i="9"/>
  <c r="G3" i="9"/>
  <c r="G37" i="1" s="1"/>
  <c r="I19" i="8"/>
  <c r="I17" i="8"/>
  <c r="I16" i="8"/>
  <c r="I15" i="8"/>
  <c r="I18" i="8"/>
  <c r="I20" i="8"/>
  <c r="I14" i="8"/>
  <c r="I13" i="8"/>
  <c r="I12" i="8"/>
  <c r="I11" i="8"/>
  <c r="I10" i="8"/>
  <c r="I21" i="8"/>
  <c r="AE3" i="1"/>
  <c r="T43" i="1"/>
  <c r="T42" i="1"/>
  <c r="T41" i="1"/>
  <c r="T40" i="1"/>
  <c r="T39" i="1"/>
  <c r="M26" i="1"/>
  <c r="L7" i="2"/>
  <c r="K7" i="2"/>
  <c r="J7" i="2"/>
  <c r="L6" i="2"/>
  <c r="L8" i="2"/>
  <c r="K6" i="2"/>
  <c r="K8" i="2" s="1"/>
  <c r="J6" i="2"/>
  <c r="J8" i="2"/>
  <c r="K54" i="2"/>
  <c r="K20" i="2"/>
  <c r="F54" i="2"/>
  <c r="F20" i="2"/>
  <c r="F7" i="2"/>
  <c r="F6" i="2"/>
  <c r="M22" i="1"/>
  <c r="L54" i="2"/>
  <c r="J54" i="2"/>
  <c r="I54" i="2"/>
  <c r="L20" i="2"/>
  <c r="J20" i="2"/>
  <c r="I20" i="2"/>
  <c r="I7" i="2"/>
  <c r="I6" i="2"/>
  <c r="I8" i="2" s="1"/>
  <c r="K9" i="3"/>
  <c r="L9" i="3" s="1"/>
  <c r="K8" i="3"/>
  <c r="L8" i="3" s="1"/>
  <c r="K7" i="3"/>
  <c r="L7" i="3" s="1"/>
  <c r="K6" i="3"/>
  <c r="L6" i="3" s="1"/>
  <c r="K5" i="3"/>
  <c r="L5" i="3" s="1"/>
  <c r="F4" i="3"/>
  <c r="K4" i="3" s="1"/>
  <c r="L4" i="3" s="1"/>
  <c r="F3" i="3"/>
  <c r="K3" i="3" s="1"/>
  <c r="L3" i="3" s="1"/>
  <c r="F2" i="3"/>
  <c r="K2" i="3" s="1"/>
  <c r="L2" i="3" s="1"/>
  <c r="B28" i="2"/>
  <c r="B27" i="2"/>
  <c r="H54" i="2"/>
  <c r="G54" i="2"/>
  <c r="E54" i="2"/>
  <c r="D54" i="2"/>
  <c r="C54" i="2"/>
  <c r="H20" i="2"/>
  <c r="G20" i="2"/>
  <c r="E20" i="2"/>
  <c r="D20" i="2"/>
  <c r="C20" i="2"/>
  <c r="H7" i="2"/>
  <c r="G7" i="2"/>
  <c r="E7" i="2"/>
  <c r="D7" i="2"/>
  <c r="D8" i="2" s="1"/>
  <c r="D14" i="2" s="1"/>
  <c r="C7" i="2"/>
  <c r="H6" i="2"/>
  <c r="G6" i="2"/>
  <c r="E6" i="2"/>
  <c r="D6" i="2"/>
  <c r="C6" i="2"/>
  <c r="Q18" i="3"/>
  <c r="O18" i="3"/>
  <c r="N18" i="3"/>
  <c r="Q17" i="3"/>
  <c r="O17" i="3"/>
  <c r="N17" i="3"/>
  <c r="Q16" i="3"/>
  <c r="O16" i="3"/>
  <c r="N16" i="3"/>
  <c r="Q15" i="3"/>
  <c r="O15" i="3"/>
  <c r="N15" i="3"/>
  <c r="Q14" i="3"/>
  <c r="O14" i="3"/>
  <c r="N14" i="3"/>
  <c r="Q13" i="3"/>
  <c r="O13" i="3"/>
  <c r="N13" i="3"/>
  <c r="Q12" i="3"/>
  <c r="O12" i="3"/>
  <c r="N12" i="3"/>
  <c r="Q11" i="3"/>
  <c r="O11" i="3"/>
  <c r="N11" i="3"/>
  <c r="C10" i="3"/>
  <c r="C9" i="3"/>
  <c r="C3" i="3"/>
  <c r="Z78" i="10" l="1"/>
  <c r="Z74" i="10"/>
  <c r="Z110" i="10"/>
  <c r="Z66" i="10"/>
  <c r="Z62" i="10"/>
  <c r="Z58" i="10"/>
  <c r="Z69" i="10"/>
  <c r="N69" i="10"/>
  <c r="O69" i="10" s="1"/>
  <c r="P69" i="10" s="1"/>
  <c r="X69" i="10" s="1"/>
  <c r="Y69" i="10" s="1"/>
  <c r="Z83" i="10"/>
  <c r="N83" i="10"/>
  <c r="O83" i="10" s="1"/>
  <c r="P83" i="10" s="1"/>
  <c r="Z53" i="10"/>
  <c r="Z99" i="10"/>
  <c r="Z109" i="10"/>
  <c r="N109" i="10"/>
  <c r="O109" i="10" s="1"/>
  <c r="P109" i="10" s="1"/>
  <c r="X109" i="10" s="1"/>
  <c r="Y109" i="10" s="1"/>
  <c r="Z97" i="10"/>
  <c r="Z77" i="10"/>
  <c r="Z89" i="10"/>
  <c r="Z51" i="10"/>
  <c r="N51" i="10"/>
  <c r="O51" i="10" s="1"/>
  <c r="P51" i="10" s="1"/>
  <c r="Z81" i="10"/>
  <c r="N81" i="10"/>
  <c r="O81" i="10" s="1"/>
  <c r="P81" i="10" s="1"/>
  <c r="Z61" i="10"/>
  <c r="Z73" i="10"/>
  <c r="Z84" i="10"/>
  <c r="Z108" i="10"/>
  <c r="Z65" i="10"/>
  <c r="Z45" i="10"/>
  <c r="N45" i="10"/>
  <c r="O45" i="10" s="1"/>
  <c r="P45" i="10" s="1"/>
  <c r="X45" i="10" s="1"/>
  <c r="Y45" i="10" s="1"/>
  <c r="Z57" i="10"/>
  <c r="N57" i="10"/>
  <c r="O57" i="10" s="1"/>
  <c r="P57" i="10" s="1"/>
  <c r="Z68" i="10"/>
  <c r="N68" i="10"/>
  <c r="O68" i="10" s="1"/>
  <c r="P68" i="10" s="1"/>
  <c r="X68" i="10" s="1"/>
  <c r="Y68" i="10" s="1"/>
  <c r="Z79" i="10"/>
  <c r="Z49" i="10"/>
  <c r="Z92" i="10"/>
  <c r="Z41" i="10"/>
  <c r="Z52" i="10"/>
  <c r="Z70" i="10"/>
  <c r="N70" i="10"/>
  <c r="O70" i="10" s="1"/>
  <c r="P70" i="10" s="1"/>
  <c r="X70" i="10" s="1"/>
  <c r="Y70" i="10" s="1"/>
  <c r="Z106" i="10"/>
  <c r="AB113" i="10"/>
  <c r="N113" i="10"/>
  <c r="O113" i="10" s="1"/>
  <c r="P113" i="10" s="1"/>
  <c r="X113" i="10" s="1"/>
  <c r="Y113" i="10" s="1"/>
  <c r="Z60" i="10"/>
  <c r="W113" i="10"/>
  <c r="Z64" i="10"/>
  <c r="Z56" i="10"/>
  <c r="Z102" i="10"/>
  <c r="Z105" i="10"/>
  <c r="Z48" i="10"/>
  <c r="N48" i="10"/>
  <c r="O48" i="10" s="1"/>
  <c r="P48" i="10" s="1"/>
  <c r="Z112" i="10"/>
  <c r="N112" i="10"/>
  <c r="O112" i="10" s="1"/>
  <c r="P112" i="10" s="1"/>
  <c r="X112" i="10" s="1"/>
  <c r="Y112" i="10" s="1"/>
  <c r="T113" i="10"/>
  <c r="Z101" i="10"/>
  <c r="Z113" i="10"/>
  <c r="V113" i="10"/>
  <c r="U113" i="10"/>
  <c r="V102" i="18"/>
  <c r="T108" i="18"/>
  <c r="N102" i="18"/>
  <c r="V108" i="18"/>
  <c r="O102" i="18"/>
  <c r="N108" i="18"/>
  <c r="P102" i="18"/>
  <c r="O108" i="18"/>
  <c r="Q102" i="18"/>
  <c r="P108" i="18"/>
  <c r="V107" i="18"/>
  <c r="F8" i="2"/>
  <c r="C8" i="2"/>
  <c r="C14" i="2" s="1"/>
  <c r="C22" i="2" s="1"/>
  <c r="J14" i="2"/>
  <c r="J23" i="2" s="1"/>
  <c r="L14" i="2"/>
  <c r="L28" i="2" s="1"/>
  <c r="F14" i="2"/>
  <c r="I14" i="2"/>
  <c r="I23" i="2" s="1"/>
  <c r="G8" i="2"/>
  <c r="E8" i="2"/>
  <c r="H8" i="2"/>
  <c r="H14" i="2" s="1"/>
  <c r="L23" i="2"/>
  <c r="L27" i="2"/>
  <c r="K14" i="2"/>
  <c r="C29" i="2"/>
  <c r="C23" i="2"/>
  <c r="C21" i="2"/>
  <c r="D23" i="2"/>
  <c r="D22" i="2"/>
  <c r="D27" i="2"/>
  <c r="D28" i="2"/>
  <c r="D21" i="2"/>
  <c r="F27" i="2"/>
  <c r="F21" i="2"/>
  <c r="G14" i="2"/>
  <c r="F23" i="2"/>
  <c r="E14" i="2"/>
  <c r="J28" i="2"/>
  <c r="J21" i="2"/>
  <c r="J22" i="2"/>
  <c r="J27" i="2"/>
  <c r="M27" i="1"/>
  <c r="L20" i="12"/>
  <c r="L32" i="12"/>
  <c r="L21" i="12"/>
  <c r="L26" i="12"/>
  <c r="L36" i="12"/>
  <c r="L24" i="12"/>
  <c r="H59" i="18"/>
  <c r="I59" i="18" s="1"/>
  <c r="L19" i="12"/>
  <c r="M11" i="1"/>
  <c r="M41" i="1"/>
  <c r="M42" i="1"/>
  <c r="M13" i="1"/>
  <c r="M14" i="1"/>
  <c r="M25" i="1"/>
  <c r="N85" i="10"/>
  <c r="O85" i="10" s="1"/>
  <c r="P85" i="10" s="1"/>
  <c r="X85" i="10" s="1"/>
  <c r="Y85" i="10" s="1"/>
  <c r="H111" i="18"/>
  <c r="I111" i="18" s="1"/>
  <c r="J111" i="18" s="1"/>
  <c r="K111" i="18" s="1"/>
  <c r="H88" i="18"/>
  <c r="I88" i="18" s="1"/>
  <c r="J88" i="18" s="1"/>
  <c r="K88" i="18" s="1"/>
  <c r="H93" i="18"/>
  <c r="I93" i="18" s="1"/>
  <c r="J93" i="18" s="1"/>
  <c r="K93" i="18" s="1"/>
  <c r="H12" i="18"/>
  <c r="I12" i="18" s="1"/>
  <c r="J12" i="18" s="1"/>
  <c r="K12" i="18" s="1"/>
  <c r="H28" i="18"/>
  <c r="I28" i="18" s="1"/>
  <c r="N50" i="10"/>
  <c r="O50" i="10" s="1"/>
  <c r="P50" i="10" s="1"/>
  <c r="N46" i="10"/>
  <c r="O46" i="10" s="1"/>
  <c r="P46" i="10" s="1"/>
  <c r="N42" i="10"/>
  <c r="O42" i="10" s="1"/>
  <c r="P42" i="10" s="1"/>
  <c r="H7" i="18"/>
  <c r="I7" i="18" s="1"/>
  <c r="J7" i="18" s="1"/>
  <c r="K7" i="18" s="1"/>
  <c r="H6" i="18"/>
  <c r="I6" i="18" s="1"/>
  <c r="J6" i="18" s="1"/>
  <c r="K6" i="18" s="1"/>
  <c r="N106" i="10"/>
  <c r="O106" i="10" s="1"/>
  <c r="P106" i="10" s="1"/>
  <c r="X106" i="10" s="1"/>
  <c r="Y106" i="10" s="1"/>
  <c r="H95" i="18"/>
  <c r="I95" i="18" s="1"/>
  <c r="J95" i="18" s="1"/>
  <c r="K95" i="18" s="1"/>
  <c r="H5" i="18"/>
  <c r="I5" i="18" s="1"/>
  <c r="J5" i="18" s="1"/>
  <c r="K5" i="18" s="1"/>
  <c r="N82" i="10"/>
  <c r="O82" i="10" s="1"/>
  <c r="P82" i="10" s="1"/>
  <c r="H94" i="18"/>
  <c r="I94" i="18" s="1"/>
  <c r="J94" i="18" s="1"/>
  <c r="K94" i="18" s="1"/>
  <c r="H64" i="18"/>
  <c r="I64" i="18" s="1"/>
  <c r="J64" i="18" s="1"/>
  <c r="K64" i="18" s="1"/>
  <c r="H14" i="18"/>
  <c r="I14" i="18" s="1"/>
  <c r="H42" i="18"/>
  <c r="I42" i="18" s="1"/>
  <c r="J42" i="18" s="1"/>
  <c r="K42" i="18" s="1"/>
  <c r="N103" i="10"/>
  <c r="O103" i="10" s="1"/>
  <c r="P103" i="10" s="1"/>
  <c r="X103" i="10" s="1"/>
  <c r="Y103" i="10" s="1"/>
  <c r="H79" i="18"/>
  <c r="I79" i="18" s="1"/>
  <c r="J79" i="18" s="1"/>
  <c r="K79" i="18" s="1"/>
  <c r="H77" i="18"/>
  <c r="I77" i="18" s="1"/>
  <c r="J77" i="18" s="1"/>
  <c r="K77" i="18" s="1"/>
  <c r="H96" i="18"/>
  <c r="I96" i="18" s="1"/>
  <c r="H35" i="18"/>
  <c r="I35" i="18" s="1"/>
  <c r="J35" i="18" s="1"/>
  <c r="K35" i="18" s="1"/>
  <c r="H80" i="18"/>
  <c r="I80" i="18" s="1"/>
  <c r="J80" i="18" s="1"/>
  <c r="K80" i="18" s="1"/>
  <c r="H70" i="18"/>
  <c r="I70" i="18" s="1"/>
  <c r="J70" i="18" s="1"/>
  <c r="K70" i="18" s="1"/>
  <c r="H72" i="18"/>
  <c r="I72" i="18" s="1"/>
  <c r="J72" i="18" s="1"/>
  <c r="K72" i="18" s="1"/>
  <c r="H8" i="18"/>
  <c r="I8" i="18" s="1"/>
  <c r="J8" i="18" s="1"/>
  <c r="K8" i="18" s="1"/>
  <c r="H19" i="18"/>
  <c r="I19" i="18" s="1"/>
  <c r="J19" i="18" s="1"/>
  <c r="K19" i="18" s="1"/>
  <c r="H106" i="18"/>
  <c r="I106" i="18" s="1"/>
  <c r="J106" i="18" s="1"/>
  <c r="K106" i="18" s="1"/>
  <c r="R106" i="18" s="1"/>
  <c r="S106" i="18" s="1"/>
  <c r="H100" i="18"/>
  <c r="I100" i="18" s="1"/>
  <c r="H83" i="18"/>
  <c r="I83" i="18" s="1"/>
  <c r="J83" i="18" s="1"/>
  <c r="K83" i="18" s="1"/>
  <c r="R83" i="18" s="1"/>
  <c r="S83" i="18" s="1"/>
  <c r="M77" i="18"/>
  <c r="M60" i="18"/>
  <c r="H37" i="18"/>
  <c r="I37" i="18" s="1"/>
  <c r="M32" i="18"/>
  <c r="H21" i="18"/>
  <c r="I21" i="18" s="1"/>
  <c r="J21" i="18" s="1"/>
  <c r="K21" i="18" s="1"/>
  <c r="R21" i="18" s="1"/>
  <c r="S21" i="18" s="1"/>
  <c r="M15" i="18"/>
  <c r="H10" i="18"/>
  <c r="I10" i="18" s="1"/>
  <c r="J10" i="18" s="1"/>
  <c r="K10" i="18" s="1"/>
  <c r="R10" i="18" s="1"/>
  <c r="S10" i="18" s="1"/>
  <c r="M21" i="18"/>
  <c r="M72" i="18"/>
  <c r="M111" i="18"/>
  <c r="M105" i="18"/>
  <c r="M99" i="18"/>
  <c r="M88" i="18"/>
  <c r="M71" i="18"/>
  <c r="H66" i="18"/>
  <c r="I66" i="18" s="1"/>
  <c r="J66" i="18" s="1"/>
  <c r="K66" i="18" s="1"/>
  <c r="R66" i="18" s="1"/>
  <c r="S66" i="18" s="1"/>
  <c r="H54" i="18"/>
  <c r="I54" i="18" s="1"/>
  <c r="J54" i="18" s="1"/>
  <c r="K54" i="18" s="1"/>
  <c r="R54" i="18" s="1"/>
  <c r="S54" i="18" s="1"/>
  <c r="M49" i="18"/>
  <c r="M42" i="18"/>
  <c r="H26" i="18"/>
  <c r="I26" i="18" s="1"/>
  <c r="J26" i="18" s="1"/>
  <c r="K26" i="18" s="1"/>
  <c r="R26" i="18" s="1"/>
  <c r="S26" i="18" s="1"/>
  <c r="M9" i="18"/>
  <c r="M54" i="18"/>
  <c r="M93" i="18"/>
  <c r="M82" i="18"/>
  <c r="M76" i="18"/>
  <c r="M59" i="18"/>
  <c r="M53" i="18"/>
  <c r="M36" i="18"/>
  <c r="M31" i="18"/>
  <c r="M20" i="18"/>
  <c r="M14" i="18"/>
  <c r="H89" i="18"/>
  <c r="I89" i="18" s="1"/>
  <c r="J89" i="18" s="1"/>
  <c r="K89" i="18" s="1"/>
  <c r="R89" i="18" s="1"/>
  <c r="S89" i="18" s="1"/>
  <c r="M110" i="18"/>
  <c r="H105" i="18"/>
  <c r="I105" i="18" s="1"/>
  <c r="J105" i="18" s="1"/>
  <c r="K105" i="18" s="1"/>
  <c r="R105" i="18" s="1"/>
  <c r="S105" i="18" s="1"/>
  <c r="H99" i="18"/>
  <c r="I99" i="18" s="1"/>
  <c r="J99" i="18" s="1"/>
  <c r="K99" i="18" s="1"/>
  <c r="R99" i="18" s="1"/>
  <c r="S99" i="18" s="1"/>
  <c r="M70" i="18"/>
  <c r="M65" i="18"/>
  <c r="M48" i="18"/>
  <c r="M41" i="18"/>
  <c r="M25" i="18"/>
  <c r="M8" i="18"/>
  <c r="M98" i="18"/>
  <c r="M92" i="18"/>
  <c r="M87" i="18"/>
  <c r="H82" i="18"/>
  <c r="I82" i="18" s="1"/>
  <c r="J82" i="18" s="1"/>
  <c r="K82" i="18" s="1"/>
  <c r="R82" i="18" s="1"/>
  <c r="S82" i="18" s="1"/>
  <c r="M75" i="18"/>
  <c r="M58" i="18"/>
  <c r="H53" i="18"/>
  <c r="I53" i="18" s="1"/>
  <c r="J53" i="18" s="1"/>
  <c r="K53" i="18" s="1"/>
  <c r="R53" i="18" s="1"/>
  <c r="S53" i="18" s="1"/>
  <c r="H36" i="18"/>
  <c r="I36" i="18" s="1"/>
  <c r="J36" i="18" s="1"/>
  <c r="K36" i="18" s="1"/>
  <c r="R36" i="18" s="1"/>
  <c r="S36" i="18" s="1"/>
  <c r="H20" i="18"/>
  <c r="I20" i="18" s="1"/>
  <c r="J20" i="18" s="1"/>
  <c r="K20" i="18" s="1"/>
  <c r="R20" i="18" s="1"/>
  <c r="S20" i="18" s="1"/>
  <c r="M104" i="18"/>
  <c r="M69" i="18"/>
  <c r="H65" i="18"/>
  <c r="I65" i="18" s="1"/>
  <c r="J65" i="18" s="1"/>
  <c r="K65" i="18" s="1"/>
  <c r="R65" i="18" s="1"/>
  <c r="S65" i="18" s="1"/>
  <c r="M47" i="18"/>
  <c r="M35" i="18"/>
  <c r="M30" i="18"/>
  <c r="H25" i="18"/>
  <c r="I25" i="18" s="1"/>
  <c r="J25" i="18" s="1"/>
  <c r="K25" i="18" s="1"/>
  <c r="R25" i="18" s="1"/>
  <c r="S25" i="18" s="1"/>
  <c r="M19" i="18"/>
  <c r="M13" i="18"/>
  <c r="M16" i="18"/>
  <c r="M94" i="18"/>
  <c r="M109" i="18"/>
  <c r="H98" i="18"/>
  <c r="I98" i="18" s="1"/>
  <c r="J98" i="18" s="1"/>
  <c r="K98" i="18" s="1"/>
  <c r="R98" i="18" s="1"/>
  <c r="S98" i="18" s="1"/>
  <c r="M91" i="18"/>
  <c r="M86" i="18"/>
  <c r="M81" i="18"/>
  <c r="H75" i="18"/>
  <c r="I75" i="18" s="1"/>
  <c r="J75" i="18" s="1"/>
  <c r="K75" i="18" s="1"/>
  <c r="M64" i="18"/>
  <c r="H58" i="18"/>
  <c r="I58" i="18" s="1"/>
  <c r="J58" i="18" s="1"/>
  <c r="K58" i="18" s="1"/>
  <c r="R58" i="18" s="1"/>
  <c r="S58" i="18" s="1"/>
  <c r="M52" i="18"/>
  <c r="M40" i="18"/>
  <c r="M24" i="18"/>
  <c r="M7" i="18"/>
  <c r="H33" i="18"/>
  <c r="I33" i="18" s="1"/>
  <c r="M103" i="18"/>
  <c r="H69" i="18"/>
  <c r="I69" i="18" s="1"/>
  <c r="J69" i="18" s="1"/>
  <c r="K69" i="18" s="1"/>
  <c r="R69" i="18" s="1"/>
  <c r="S69" i="18" s="1"/>
  <c r="M57" i="18"/>
  <c r="H30" i="18"/>
  <c r="I30" i="18" s="1"/>
  <c r="J30" i="18" s="1"/>
  <c r="K30" i="18" s="1"/>
  <c r="H13" i="18"/>
  <c r="I13" i="18" s="1"/>
  <c r="J13" i="18" s="1"/>
  <c r="K13" i="18" s="1"/>
  <c r="R13" i="18" s="1"/>
  <c r="S13" i="18" s="1"/>
  <c r="M10" i="18"/>
  <c r="M108" i="18"/>
  <c r="M97" i="18"/>
  <c r="H91" i="18"/>
  <c r="I91" i="18" s="1"/>
  <c r="J91" i="18" s="1"/>
  <c r="K91" i="18" s="1"/>
  <c r="M85" i="18"/>
  <c r="H81" i="18"/>
  <c r="I81" i="18" s="1"/>
  <c r="J81" i="18" s="1"/>
  <c r="K81" i="18" s="1"/>
  <c r="R81" i="18" s="1"/>
  <c r="S81" i="18" s="1"/>
  <c r="M74" i="18"/>
  <c r="M68" i="18"/>
  <c r="M63" i="18"/>
  <c r="H52" i="18"/>
  <c r="I52" i="18" s="1"/>
  <c r="M46" i="18"/>
  <c r="M18" i="18"/>
  <c r="M12" i="18"/>
  <c r="M6" i="18"/>
  <c r="M102" i="18"/>
  <c r="M80" i="18"/>
  <c r="M51" i="18"/>
  <c r="M39" i="18"/>
  <c r="M34" i="18"/>
  <c r="M29" i="18"/>
  <c r="M23" i="18"/>
  <c r="M107" i="18"/>
  <c r="H97" i="18"/>
  <c r="I97" i="18" s="1"/>
  <c r="J97" i="18" s="1"/>
  <c r="K97" i="18" s="1"/>
  <c r="R97" i="18" s="1"/>
  <c r="S97" i="18" s="1"/>
  <c r="M90" i="18"/>
  <c r="H85" i="18"/>
  <c r="I85" i="18" s="1"/>
  <c r="J85" i="18" s="1"/>
  <c r="K85" i="18" s="1"/>
  <c r="R85" i="18" s="1"/>
  <c r="S85" i="18" s="1"/>
  <c r="H74" i="18"/>
  <c r="I74" i="18" s="1"/>
  <c r="H68" i="18"/>
  <c r="I68" i="18" s="1"/>
  <c r="M56" i="18"/>
  <c r="H46" i="18"/>
  <c r="I46" i="18" s="1"/>
  <c r="J46" i="18" s="1"/>
  <c r="K46" i="18" s="1"/>
  <c r="H18" i="18"/>
  <c r="I18" i="18" s="1"/>
  <c r="M11" i="18"/>
  <c r="M5" i="18"/>
  <c r="H50" i="18"/>
  <c r="I50" i="18" s="1"/>
  <c r="J50" i="18" s="1"/>
  <c r="K50" i="18" s="1"/>
  <c r="R50" i="18" s="1"/>
  <c r="S50" i="18" s="1"/>
  <c r="M101" i="18"/>
  <c r="M96" i="18"/>
  <c r="M84" i="18"/>
  <c r="M79" i="18"/>
  <c r="M73" i="18"/>
  <c r="M67" i="18"/>
  <c r="M62" i="18"/>
  <c r="H51" i="18"/>
  <c r="I51" i="18" s="1"/>
  <c r="J51" i="18" s="1"/>
  <c r="K51" i="18" s="1"/>
  <c r="R51" i="18" s="1"/>
  <c r="S51" i="18" s="1"/>
  <c r="M45" i="18"/>
  <c r="M38" i="18"/>
  <c r="H34" i="18"/>
  <c r="I34" i="18" s="1"/>
  <c r="J34" i="18" s="1"/>
  <c r="K34" i="18" s="1"/>
  <c r="R34" i="18" s="1"/>
  <c r="S34" i="18" s="1"/>
  <c r="M28" i="18"/>
  <c r="M22" i="18"/>
  <c r="M66" i="18"/>
  <c r="H107" i="18"/>
  <c r="I107" i="18" s="1"/>
  <c r="J107" i="18" s="1"/>
  <c r="K107" i="18" s="1"/>
  <c r="H90" i="18"/>
  <c r="I90" i="18" s="1"/>
  <c r="J90" i="18" s="1"/>
  <c r="K90" i="18" s="1"/>
  <c r="R90" i="18" s="1"/>
  <c r="S90" i="18" s="1"/>
  <c r="M17" i="18"/>
  <c r="H11" i="18"/>
  <c r="I11" i="18" s="1"/>
  <c r="J11" i="18" s="1"/>
  <c r="K11" i="18" s="1"/>
  <c r="H101" i="18"/>
  <c r="I101" i="18" s="1"/>
  <c r="J101" i="18" s="1"/>
  <c r="K101" i="18" s="1"/>
  <c r="R101" i="18" s="1"/>
  <c r="S101" i="18" s="1"/>
  <c r="M95" i="18"/>
  <c r="M89" i="18"/>
  <c r="H84" i="18"/>
  <c r="I84" i="18" s="1"/>
  <c r="M78" i="18"/>
  <c r="H73" i="18"/>
  <c r="I73" i="18" s="1"/>
  <c r="J73" i="18" s="1"/>
  <c r="K73" i="18" s="1"/>
  <c r="R73" i="18" s="1"/>
  <c r="S73" i="18" s="1"/>
  <c r="H67" i="18"/>
  <c r="I67" i="18" s="1"/>
  <c r="J67" i="18" s="1"/>
  <c r="K67" i="18" s="1"/>
  <c r="R67" i="18" s="1"/>
  <c r="S67" i="18" s="1"/>
  <c r="M55" i="18"/>
  <c r="M50" i="18"/>
  <c r="M44" i="18"/>
  <c r="H38" i="18"/>
  <c r="I38" i="18" s="1"/>
  <c r="J38" i="18" s="1"/>
  <c r="K38" i="18" s="1"/>
  <c r="M33" i="18"/>
  <c r="M27" i="18"/>
  <c r="M26" i="18"/>
  <c r="M106" i="18"/>
  <c r="M100" i="18"/>
  <c r="M83" i="18"/>
  <c r="M61" i="18"/>
  <c r="M37" i="18"/>
  <c r="M43" i="18"/>
  <c r="H49" i="18"/>
  <c r="I49" i="18" s="1"/>
  <c r="J49" i="18" s="1"/>
  <c r="K49" i="18" s="1"/>
  <c r="H43" i="18"/>
  <c r="I43" i="18" s="1"/>
  <c r="J43" i="18" s="1"/>
  <c r="K43" i="18" s="1"/>
  <c r="H48" i="18"/>
  <c r="I48" i="18" s="1"/>
  <c r="J48" i="18" s="1"/>
  <c r="K48" i="18" s="1"/>
  <c r="R48" i="18" s="1"/>
  <c r="S48" i="18" s="1"/>
  <c r="N110" i="10"/>
  <c r="O110" i="10" s="1"/>
  <c r="P110" i="10" s="1"/>
  <c r="X110" i="10" s="1"/>
  <c r="Y110" i="10" s="1"/>
  <c r="N96" i="10"/>
  <c r="O96" i="10" s="1"/>
  <c r="P96" i="10" s="1"/>
  <c r="N76" i="10"/>
  <c r="O76" i="10" s="1"/>
  <c r="P76" i="10" s="1"/>
  <c r="X76" i="10" s="1"/>
  <c r="Y76" i="10" s="1"/>
  <c r="N88" i="10"/>
  <c r="O88" i="10" s="1"/>
  <c r="P88" i="10" s="1"/>
  <c r="H78" i="18"/>
  <c r="I78" i="18" s="1"/>
  <c r="J78" i="18" s="1"/>
  <c r="K78" i="18" s="1"/>
  <c r="H103" i="18"/>
  <c r="I103" i="18" s="1"/>
  <c r="J103" i="18" s="1"/>
  <c r="K103" i="18" s="1"/>
  <c r="H27" i="18"/>
  <c r="I27" i="18" s="1"/>
  <c r="J27" i="18" s="1"/>
  <c r="K27" i="18" s="1"/>
  <c r="H9" i="18"/>
  <c r="I9" i="18" s="1"/>
  <c r="J9" i="18" s="1"/>
  <c r="K9" i="18" s="1"/>
  <c r="R9" i="18" s="1"/>
  <c r="S9" i="18" s="1"/>
  <c r="N104" i="10"/>
  <c r="O104" i="10" s="1"/>
  <c r="P104" i="10" s="1"/>
  <c r="X104" i="10" s="1"/>
  <c r="Y104" i="10" s="1"/>
  <c r="N53" i="10"/>
  <c r="O53" i="10" s="1"/>
  <c r="P53" i="10" s="1"/>
  <c r="X53" i="10" s="1"/>
  <c r="Y53" i="10" s="1"/>
  <c r="N80" i="10"/>
  <c r="O80" i="10" s="1"/>
  <c r="P80" i="10" s="1"/>
  <c r="N72" i="10"/>
  <c r="O72" i="10" s="1"/>
  <c r="P72" i="10" s="1"/>
  <c r="H61" i="18"/>
  <c r="I61" i="18" s="1"/>
  <c r="J61" i="18" s="1"/>
  <c r="K61" i="18" s="1"/>
  <c r="H76" i="18"/>
  <c r="I76" i="18" s="1"/>
  <c r="J76" i="18" s="1"/>
  <c r="K76" i="18" s="1"/>
  <c r="H31" i="18"/>
  <c r="I31" i="18" s="1"/>
  <c r="J31" i="18" s="1"/>
  <c r="K31" i="18" s="1"/>
  <c r="N44" i="10"/>
  <c r="O44" i="10" s="1"/>
  <c r="P44" i="10" s="1"/>
  <c r="X44" i="10" s="1"/>
  <c r="Y44" i="10" s="1"/>
  <c r="H56" i="18"/>
  <c r="I56" i="18" s="1"/>
  <c r="J56" i="18" s="1"/>
  <c r="K56" i="18" s="1"/>
  <c r="H55" i="18"/>
  <c r="I55" i="18" s="1"/>
  <c r="J55" i="18" s="1"/>
  <c r="K55" i="18" s="1"/>
  <c r="H41" i="18"/>
  <c r="I41" i="18" s="1"/>
  <c r="J41" i="18" s="1"/>
  <c r="K41" i="18" s="1"/>
  <c r="R41" i="18" s="1"/>
  <c r="S41" i="18" s="1"/>
  <c r="N101" i="10"/>
  <c r="O101" i="10" s="1"/>
  <c r="P101" i="10" s="1"/>
  <c r="X101" i="10" s="1"/>
  <c r="Y101" i="10" s="1"/>
  <c r="H16" i="18"/>
  <c r="I16" i="18" s="1"/>
  <c r="J16" i="18" s="1"/>
  <c r="K16" i="18" s="1"/>
  <c r="R16" i="18" s="1"/>
  <c r="S16" i="18" s="1"/>
  <c r="L13" i="12"/>
  <c r="N86" i="10"/>
  <c r="O86" i="10" s="1"/>
  <c r="P86" i="10" s="1"/>
  <c r="X86" i="10" s="1"/>
  <c r="Y86" i="10" s="1"/>
  <c r="N91" i="10"/>
  <c r="O91" i="10" s="1"/>
  <c r="P91" i="10" s="1"/>
  <c r="X91" i="10" s="1"/>
  <c r="Y91" i="10" s="1"/>
  <c r="N87" i="10"/>
  <c r="O87" i="10" s="1"/>
  <c r="P87" i="10" s="1"/>
  <c r="X87" i="10" s="1"/>
  <c r="Y87" i="10" s="1"/>
  <c r="H23" i="18"/>
  <c r="I23" i="18" s="1"/>
  <c r="J23" i="18" s="1"/>
  <c r="K23" i="18" s="1"/>
  <c r="H32" i="18"/>
  <c r="I32" i="18" s="1"/>
  <c r="J32" i="18" s="1"/>
  <c r="K32" i="18" s="1"/>
  <c r="R32" i="18" s="1"/>
  <c r="S32" i="18" s="1"/>
  <c r="N111" i="10"/>
  <c r="O111" i="10" s="1"/>
  <c r="P111" i="10" s="1"/>
  <c r="X111" i="10" s="1"/>
  <c r="Y111" i="10" s="1"/>
  <c r="N114" i="10"/>
  <c r="O114" i="10" s="1"/>
  <c r="P114" i="10" s="1"/>
  <c r="X114" i="10" s="1"/>
  <c r="Y114" i="10" s="1"/>
  <c r="L31" i="12"/>
  <c r="M43" i="1"/>
  <c r="M15" i="1"/>
  <c r="M28" i="1"/>
  <c r="L33" i="12"/>
  <c r="L37" i="12"/>
  <c r="H39" i="1"/>
  <c r="I39" i="1" s="1"/>
  <c r="J39" i="1" s="1"/>
  <c r="K39" i="1" s="1"/>
  <c r="R39" i="1" s="1"/>
  <c r="S39" i="1" s="1"/>
  <c r="M16" i="1"/>
  <c r="M30" i="1"/>
  <c r="L27" i="12"/>
  <c r="L38" i="12"/>
  <c r="H40" i="1"/>
  <c r="I40" i="1" s="1"/>
  <c r="J40" i="1" s="1"/>
  <c r="M17" i="1"/>
  <c r="M31" i="1"/>
  <c r="L16" i="12"/>
  <c r="L39" i="12"/>
  <c r="H43" i="1"/>
  <c r="I43" i="1" s="1"/>
  <c r="J43" i="1" s="1"/>
  <c r="M18" i="1"/>
  <c r="M32" i="1"/>
  <c r="L22" i="12"/>
  <c r="L40" i="12"/>
  <c r="H41" i="1"/>
  <c r="I41" i="1" s="1"/>
  <c r="J41" i="1" s="1"/>
  <c r="M19" i="1"/>
  <c r="M29" i="1"/>
  <c r="L28" i="12"/>
  <c r="L7" i="12"/>
  <c r="L42" i="12"/>
  <c r="M20" i="1"/>
  <c r="M33" i="1"/>
  <c r="L34" i="12"/>
  <c r="L9" i="12"/>
  <c r="G39" i="12"/>
  <c r="H39" i="12" s="1"/>
  <c r="I39" i="12" s="1"/>
  <c r="M21" i="1"/>
  <c r="M34" i="1"/>
  <c r="L17" i="12"/>
  <c r="M6" i="1"/>
  <c r="L43" i="12"/>
  <c r="M38" i="1"/>
  <c r="M35" i="1"/>
  <c r="L23" i="12"/>
  <c r="H42" i="1"/>
  <c r="I42" i="1" s="1"/>
  <c r="J42" i="1" s="1"/>
  <c r="G41" i="12"/>
  <c r="H41" i="12" s="1"/>
  <c r="I41" i="12" s="1"/>
  <c r="J41" i="12" s="1"/>
  <c r="Q41" i="12" s="1"/>
  <c r="R41" i="12" s="1"/>
  <c r="M39" i="1"/>
  <c r="M36" i="1"/>
  <c r="L29" i="12"/>
  <c r="M7" i="1"/>
  <c r="M40" i="1"/>
  <c r="M37" i="1"/>
  <c r="L35" i="12"/>
  <c r="M8" i="1"/>
  <c r="L41" i="12"/>
  <c r="M23" i="1"/>
  <c r="L14" i="12"/>
  <c r="L18" i="12"/>
  <c r="M9" i="1"/>
  <c r="G42" i="12"/>
  <c r="H42" i="12" s="1"/>
  <c r="I42" i="12" s="1"/>
  <c r="M24" i="1"/>
  <c r="L25" i="12"/>
  <c r="L30" i="12"/>
  <c r="M10" i="1"/>
  <c r="N55" i="10"/>
  <c r="O55" i="10" s="1"/>
  <c r="P55" i="10" s="1"/>
  <c r="X55" i="10" s="1"/>
  <c r="Y55" i="10" s="1"/>
  <c r="N47" i="10"/>
  <c r="O47" i="10" s="1"/>
  <c r="P47" i="10" s="1"/>
  <c r="N75" i="10"/>
  <c r="O75" i="10" s="1"/>
  <c r="P75" i="10" s="1"/>
  <c r="X75" i="10" s="1"/>
  <c r="Y75" i="10" s="1"/>
  <c r="H62" i="18"/>
  <c r="I62" i="18" s="1"/>
  <c r="J62" i="18" s="1"/>
  <c r="K62" i="18" s="1"/>
  <c r="H104" i="18"/>
  <c r="I104" i="18" s="1"/>
  <c r="J104" i="18" s="1"/>
  <c r="K104" i="18" s="1"/>
  <c r="H87" i="18"/>
  <c r="I87" i="18" s="1"/>
  <c r="J87" i="18" s="1"/>
  <c r="K87" i="18" s="1"/>
  <c r="H40" i="18"/>
  <c r="I40" i="18" s="1"/>
  <c r="J40" i="18" s="1"/>
  <c r="K40" i="18" s="1"/>
  <c r="H86" i="18"/>
  <c r="I86" i="18" s="1"/>
  <c r="J86" i="18" s="1"/>
  <c r="K86" i="18" s="1"/>
  <c r="H44" i="18"/>
  <c r="I44" i="18" s="1"/>
  <c r="J44" i="18" s="1"/>
  <c r="K44" i="18" s="1"/>
  <c r="H92" i="18"/>
  <c r="I92" i="18" s="1"/>
  <c r="J92" i="18" s="1"/>
  <c r="K92" i="18" s="1"/>
  <c r="H22" i="18"/>
  <c r="I22" i="18" s="1"/>
  <c r="J22" i="18" s="1"/>
  <c r="K22" i="18" s="1"/>
  <c r="N107" i="10"/>
  <c r="O107" i="10" s="1"/>
  <c r="P107" i="10" s="1"/>
  <c r="X107" i="10" s="1"/>
  <c r="Y107" i="10" s="1"/>
  <c r="N63" i="10"/>
  <c r="O63" i="10" s="1"/>
  <c r="P63" i="10" s="1"/>
  <c r="N71" i="10"/>
  <c r="O71" i="10" s="1"/>
  <c r="P71" i="10" s="1"/>
  <c r="X71" i="10" s="1"/>
  <c r="Y71" i="10" s="1"/>
  <c r="N95" i="10"/>
  <c r="O95" i="10" s="1"/>
  <c r="P95" i="10" s="1"/>
  <c r="H109" i="18"/>
  <c r="I109" i="18" s="1"/>
  <c r="J109" i="18" s="1"/>
  <c r="K109" i="18" s="1"/>
  <c r="H47" i="18"/>
  <c r="I47" i="18" s="1"/>
  <c r="J47" i="18" s="1"/>
  <c r="K47" i="18" s="1"/>
  <c r="H39" i="18"/>
  <c r="I39" i="18" s="1"/>
  <c r="J39" i="18" s="1"/>
  <c r="K39" i="18" s="1"/>
  <c r="H17" i="18"/>
  <c r="I17" i="18" s="1"/>
  <c r="J17" i="18" s="1"/>
  <c r="K17" i="18" s="1"/>
  <c r="N108" i="10"/>
  <c r="O108" i="10" s="1"/>
  <c r="P108" i="10" s="1"/>
  <c r="X108" i="10" s="1"/>
  <c r="Y108" i="10" s="1"/>
  <c r="H60" i="18"/>
  <c r="I60" i="18" s="1"/>
  <c r="J60" i="18" s="1"/>
  <c r="K60" i="18" s="1"/>
  <c r="G40" i="12"/>
  <c r="H40" i="12" s="1"/>
  <c r="I40" i="12" s="1"/>
  <c r="J40" i="12" s="1"/>
  <c r="N89" i="10"/>
  <c r="O89" i="10" s="1"/>
  <c r="P89" i="10" s="1"/>
  <c r="N43" i="10"/>
  <c r="O43" i="10" s="1"/>
  <c r="P43" i="10" s="1"/>
  <c r="X43" i="10" s="1"/>
  <c r="Y43" i="10" s="1"/>
  <c r="H15" i="18"/>
  <c r="I15" i="18" s="1"/>
  <c r="J15" i="18" s="1"/>
  <c r="K15" i="18" s="1"/>
  <c r="H29" i="18"/>
  <c r="I29" i="18" s="1"/>
  <c r="J29" i="18" s="1"/>
  <c r="K29" i="18" s="1"/>
  <c r="H102" i="18"/>
  <c r="I102" i="18" s="1"/>
  <c r="J102" i="18" s="1"/>
  <c r="K102" i="18" s="1"/>
  <c r="H71" i="18"/>
  <c r="I71" i="18" s="1"/>
  <c r="J71" i="18" s="1"/>
  <c r="K71" i="18" s="1"/>
  <c r="N102" i="10"/>
  <c r="O102" i="10" s="1"/>
  <c r="P102" i="10" s="1"/>
  <c r="X102" i="10" s="1"/>
  <c r="Y102" i="10" s="1"/>
  <c r="H57" i="18"/>
  <c r="I57" i="18" s="1"/>
  <c r="J57" i="18" s="1"/>
  <c r="K57" i="18" s="1"/>
  <c r="R57" i="18" s="1"/>
  <c r="S57" i="18" s="1"/>
  <c r="N59" i="10"/>
  <c r="O59" i="10" s="1"/>
  <c r="P59" i="10" s="1"/>
  <c r="X59" i="10" s="1"/>
  <c r="Y59" i="10" s="1"/>
  <c r="N90" i="10"/>
  <c r="O90" i="10" s="1"/>
  <c r="P90" i="10" s="1"/>
  <c r="H24" i="18"/>
  <c r="I24" i="18" s="1"/>
  <c r="J24" i="18" s="1"/>
  <c r="K24" i="18" s="1"/>
  <c r="H108" i="18"/>
  <c r="I108" i="18" s="1"/>
  <c r="J108" i="18" s="1"/>
  <c r="K108" i="18" s="1"/>
  <c r="H63" i="18"/>
  <c r="I63" i="18" s="1"/>
  <c r="J63" i="18" s="1"/>
  <c r="K63" i="18" s="1"/>
  <c r="H45" i="18"/>
  <c r="I45" i="18" s="1"/>
  <c r="J45" i="18" s="1"/>
  <c r="K45" i="18" s="1"/>
  <c r="N105" i="10"/>
  <c r="O105" i="10" s="1"/>
  <c r="P105" i="10" s="1"/>
  <c r="X105" i="10" s="1"/>
  <c r="Y105" i="10" s="1"/>
  <c r="N99" i="10"/>
  <c r="O99" i="10" s="1"/>
  <c r="P99" i="10" s="1"/>
  <c r="X99" i="10" s="1"/>
  <c r="Y99" i="10" s="1"/>
  <c r="N98" i="10"/>
  <c r="O98" i="10" s="1"/>
  <c r="P98" i="10" s="1"/>
  <c r="X98" i="10" s="1"/>
  <c r="Y98" i="10" s="1"/>
  <c r="N54" i="10"/>
  <c r="O54" i="10" s="1"/>
  <c r="P54" i="10" s="1"/>
  <c r="X54" i="10" s="1"/>
  <c r="Y54" i="10" s="1"/>
  <c r="H110" i="18"/>
  <c r="I110" i="18" s="1"/>
  <c r="J110" i="18" s="1"/>
  <c r="K110" i="18" s="1"/>
  <c r="N100" i="10"/>
  <c r="O100" i="10" s="1"/>
  <c r="P100" i="10" s="1"/>
  <c r="X100" i="10" s="1"/>
  <c r="Y100" i="10" s="1"/>
  <c r="L8" i="12"/>
  <c r="L10" i="12"/>
  <c r="L11" i="12"/>
  <c r="L12" i="12"/>
  <c r="L6" i="12"/>
  <c r="L15" i="12"/>
  <c r="Z42" i="10"/>
  <c r="J28" i="18"/>
  <c r="K28" i="18" s="1"/>
  <c r="J59" i="18"/>
  <c r="K59" i="18" s="1"/>
  <c r="J14" i="18"/>
  <c r="K14" i="18" s="1"/>
  <c r="J96" i="18"/>
  <c r="K96" i="18" s="1"/>
  <c r="J33" i="18"/>
  <c r="K33" i="18" s="1"/>
  <c r="Z95" i="10"/>
  <c r="N73" i="10"/>
  <c r="O73" i="10" s="1"/>
  <c r="P73" i="10" s="1"/>
  <c r="N74" i="10"/>
  <c r="O74" i="10" s="1"/>
  <c r="P74" i="10" s="1"/>
  <c r="Z46" i="10"/>
  <c r="N77" i="10"/>
  <c r="O77" i="10" s="1"/>
  <c r="P77" i="10" s="1"/>
  <c r="X77" i="10" s="1"/>
  <c r="Y77" i="10" s="1"/>
  <c r="Z44" i="10"/>
  <c r="N92" i="10"/>
  <c r="O92" i="10" s="1"/>
  <c r="P92" i="10" s="1"/>
  <c r="X92" i="10" s="1"/>
  <c r="Y92" i="10" s="1"/>
  <c r="N61" i="10"/>
  <c r="O61" i="10" s="1"/>
  <c r="P61" i="10" s="1"/>
  <c r="X61" i="10" s="1"/>
  <c r="Y61" i="10" s="1"/>
  <c r="N60" i="10"/>
  <c r="O60" i="10" s="1"/>
  <c r="P60" i="10" s="1"/>
  <c r="X60" i="10" s="1"/>
  <c r="Y60" i="10" s="1"/>
  <c r="N58" i="10"/>
  <c r="O58" i="10" s="1"/>
  <c r="P58" i="10" s="1"/>
  <c r="Z72" i="10"/>
  <c r="Z76" i="10"/>
  <c r="N64" i="10"/>
  <c r="O64" i="10" s="1"/>
  <c r="P64" i="10" s="1"/>
  <c r="L35" i="10"/>
  <c r="N93" i="10"/>
  <c r="O93" i="10" s="1"/>
  <c r="P93" i="10" s="1"/>
  <c r="X93" i="10" s="1"/>
  <c r="Y93" i="10" s="1"/>
  <c r="L30" i="10"/>
  <c r="L19" i="10"/>
  <c r="M19" i="10" s="1"/>
  <c r="Z88" i="10"/>
  <c r="Z54" i="10"/>
  <c r="Z93" i="10"/>
  <c r="L37" i="10"/>
  <c r="L34" i="10"/>
  <c r="L21" i="10"/>
  <c r="M21" i="10" s="1"/>
  <c r="L5" i="10"/>
  <c r="Z96" i="10"/>
  <c r="G12" i="1"/>
  <c r="T12" i="1" s="1"/>
  <c r="L12" i="10"/>
  <c r="M12" i="10" s="1"/>
  <c r="F31" i="12"/>
  <c r="G31" i="12" s="1"/>
  <c r="H31" i="12" s="1"/>
  <c r="H18" i="1"/>
  <c r="I18" i="1" s="1"/>
  <c r="J18" i="1" s="1"/>
  <c r="K18" i="1" s="1"/>
  <c r="L31" i="10"/>
  <c r="L36" i="10"/>
  <c r="L20" i="10"/>
  <c r="M20" i="10" s="1"/>
  <c r="L17" i="10"/>
  <c r="M17" i="10" s="1"/>
  <c r="L28" i="10"/>
  <c r="Z85" i="10"/>
  <c r="Z91" i="10"/>
  <c r="N79" i="10"/>
  <c r="O79" i="10" s="1"/>
  <c r="P79" i="10" s="1"/>
  <c r="Z80" i="10"/>
  <c r="N67" i="10"/>
  <c r="O67" i="10" s="1"/>
  <c r="P67" i="10" s="1"/>
  <c r="N52" i="10"/>
  <c r="O52" i="10" s="1"/>
  <c r="P52" i="10" s="1"/>
  <c r="X52" i="10" s="1"/>
  <c r="Y52" i="10" s="1"/>
  <c r="Z50" i="10"/>
  <c r="Z75" i="10"/>
  <c r="N65" i="10"/>
  <c r="O65" i="10" s="1"/>
  <c r="P65" i="10" s="1"/>
  <c r="N49" i="10"/>
  <c r="O49" i="10" s="1"/>
  <c r="P49" i="10" s="1"/>
  <c r="Z86" i="10"/>
  <c r="N62" i="10"/>
  <c r="O62" i="10" s="1"/>
  <c r="P62" i="10" s="1"/>
  <c r="Z55" i="10"/>
  <c r="N66" i="10"/>
  <c r="O66" i="10" s="1"/>
  <c r="P66" i="10" s="1"/>
  <c r="H24" i="1"/>
  <c r="I24" i="1" s="1"/>
  <c r="J24" i="1" s="1"/>
  <c r="K24" i="1" s="1"/>
  <c r="Z82" i="10"/>
  <c r="Z47" i="10"/>
  <c r="F37" i="12"/>
  <c r="S37" i="12" s="1"/>
  <c r="N41" i="10"/>
  <c r="O41" i="10" s="1"/>
  <c r="P41" i="10" s="1"/>
  <c r="Z43" i="10"/>
  <c r="Z59" i="10"/>
  <c r="Z87" i="10"/>
  <c r="Z71" i="10"/>
  <c r="H5" i="1"/>
  <c r="I5" i="1" s="1"/>
  <c r="J5" i="1" s="1"/>
  <c r="K5" i="1" s="1"/>
  <c r="R5" i="1" s="1"/>
  <c r="S5" i="1" s="1"/>
  <c r="Z90" i="10"/>
  <c r="N97" i="10"/>
  <c r="O97" i="10" s="1"/>
  <c r="P97" i="10" s="1"/>
  <c r="N94" i="10"/>
  <c r="O94" i="10" s="1"/>
  <c r="P94" i="10" s="1"/>
  <c r="N78" i="10"/>
  <c r="O78" i="10" s="1"/>
  <c r="P78" i="10" s="1"/>
  <c r="N56" i="10"/>
  <c r="O56" i="10" s="1"/>
  <c r="P56" i="10" s="1"/>
  <c r="F11" i="12"/>
  <c r="S11" i="12" s="1"/>
  <c r="Z94" i="10"/>
  <c r="N84" i="10"/>
  <c r="O84" i="10" s="1"/>
  <c r="P84" i="10" s="1"/>
  <c r="X84" i="10" s="1"/>
  <c r="Y84" i="10" s="1"/>
  <c r="F9" i="12"/>
  <c r="S9" i="12" s="1"/>
  <c r="H13" i="1"/>
  <c r="I13" i="1" s="1"/>
  <c r="J13" i="1" s="1"/>
  <c r="F33" i="12"/>
  <c r="G33" i="12" s="1"/>
  <c r="H33" i="12" s="1"/>
  <c r="F16" i="12"/>
  <c r="G16" i="12" s="1"/>
  <c r="H16" i="12" s="1"/>
  <c r="I16" i="12" s="1"/>
  <c r="J16" i="12" s="1"/>
  <c r="F27" i="12"/>
  <c r="G27" i="12" s="1"/>
  <c r="H27" i="12" s="1"/>
  <c r="I27" i="12" s="1"/>
  <c r="F17" i="12"/>
  <c r="S17" i="12" s="1"/>
  <c r="F22" i="12"/>
  <c r="G22" i="12" s="1"/>
  <c r="F21" i="12"/>
  <c r="S21" i="12" s="1"/>
  <c r="F18" i="12"/>
  <c r="S18" i="12" s="1"/>
  <c r="F34" i="12"/>
  <c r="S34" i="12" s="1"/>
  <c r="F5" i="12"/>
  <c r="G5" i="12" s="1"/>
  <c r="H5" i="12" s="1"/>
  <c r="F19" i="12"/>
  <c r="S19" i="12" s="1"/>
  <c r="F25" i="12"/>
  <c r="S25" i="12" s="1"/>
  <c r="T17" i="1"/>
  <c r="H17" i="1"/>
  <c r="I17" i="1" s="1"/>
  <c r="J17" i="1" s="1"/>
  <c r="K17" i="1" s="1"/>
  <c r="T31" i="1"/>
  <c r="H31" i="1"/>
  <c r="I31" i="1" s="1"/>
  <c r="J31" i="1" s="1"/>
  <c r="K31" i="1" s="1"/>
  <c r="H37" i="1"/>
  <c r="I37" i="1" s="1"/>
  <c r="J37" i="1" s="1"/>
  <c r="T37" i="1"/>
  <c r="H38" i="1"/>
  <c r="I38" i="1" s="1"/>
  <c r="J38" i="1" s="1"/>
  <c r="T38" i="1"/>
  <c r="T28" i="1"/>
  <c r="H28" i="1"/>
  <c r="I28" i="1" s="1"/>
  <c r="J28" i="1" s="1"/>
  <c r="K28" i="1" s="1"/>
  <c r="T34" i="1"/>
  <c r="H34" i="1"/>
  <c r="I34" i="1" s="1"/>
  <c r="J34" i="1" s="1"/>
  <c r="K34" i="1" s="1"/>
  <c r="S35" i="12"/>
  <c r="G35" i="12"/>
  <c r="H35" i="12" s="1"/>
  <c r="I35" i="12" s="1"/>
  <c r="G36" i="12"/>
  <c r="H36" i="12" s="1"/>
  <c r="I36" i="12" s="1"/>
  <c r="J36" i="12" s="1"/>
  <c r="Q36" i="12" s="1"/>
  <c r="R36" i="12" s="1"/>
  <c r="S36" i="12"/>
  <c r="S24" i="12"/>
  <c r="G24" i="12"/>
  <c r="H24" i="12" s="1"/>
  <c r="I24" i="12" s="1"/>
  <c r="J24" i="12" s="1"/>
  <c r="S8" i="12"/>
  <c r="G8" i="12"/>
  <c r="H8" i="12" s="1"/>
  <c r="I8" i="12" s="1"/>
  <c r="J8" i="12" s="1"/>
  <c r="S31" i="12"/>
  <c r="T21" i="1"/>
  <c r="H21" i="1"/>
  <c r="I21" i="1" s="1"/>
  <c r="J21" i="1" s="1"/>
  <c r="K21" i="1" s="1"/>
  <c r="T20" i="1"/>
  <c r="H20" i="1"/>
  <c r="I20" i="1" s="1"/>
  <c r="J20" i="1" s="1"/>
  <c r="K20" i="1" s="1"/>
  <c r="T19" i="1"/>
  <c r="H19" i="1"/>
  <c r="I19" i="1" s="1"/>
  <c r="J19" i="1" s="1"/>
  <c r="H35" i="1"/>
  <c r="I35" i="1" s="1"/>
  <c r="J35" i="1" s="1"/>
  <c r="K35" i="1" s="1"/>
  <c r="T35" i="1"/>
  <c r="H36" i="1"/>
  <c r="I36" i="1" s="1"/>
  <c r="J36" i="1" s="1"/>
  <c r="K36" i="1" s="1"/>
  <c r="T36" i="1"/>
  <c r="G32" i="1"/>
  <c r="T32" i="1" s="1"/>
  <c r="G16" i="1"/>
  <c r="F12" i="12"/>
  <c r="F20" i="12"/>
  <c r="G20" i="12" s="1"/>
  <c r="H20" i="12" s="1"/>
  <c r="I20" i="12" s="1"/>
  <c r="F38" i="12"/>
  <c r="S38" i="12" s="1"/>
  <c r="F14" i="12"/>
  <c r="F28" i="12"/>
  <c r="F43" i="12"/>
  <c r="F7" i="12"/>
  <c r="G27" i="1"/>
  <c r="H27" i="1" s="1"/>
  <c r="I27" i="1" s="1"/>
  <c r="G11" i="1"/>
  <c r="H11" i="1" s="1"/>
  <c r="I11" i="1" s="1"/>
  <c r="J11" i="1" s="1"/>
  <c r="S40" i="12"/>
  <c r="F13" i="12"/>
  <c r="F30" i="12"/>
  <c r="G25" i="1"/>
  <c r="H25" i="1" s="1"/>
  <c r="I25" i="1" s="1"/>
  <c r="J25" i="1" s="1"/>
  <c r="K25" i="1" s="1"/>
  <c r="G10" i="1"/>
  <c r="H10" i="1" s="1"/>
  <c r="I10" i="1" s="1"/>
  <c r="J10" i="1" s="1"/>
  <c r="F10" i="12"/>
  <c r="F26" i="12"/>
  <c r="G26" i="1"/>
  <c r="G9" i="1"/>
  <c r="F29" i="12"/>
  <c r="G8" i="1"/>
  <c r="H30" i="1"/>
  <c r="I30" i="1" s="1"/>
  <c r="J30" i="1" s="1"/>
  <c r="K30" i="1" s="1"/>
  <c r="G23" i="1"/>
  <c r="G7" i="1"/>
  <c r="F15" i="12"/>
  <c r="G22" i="1"/>
  <c r="G6" i="1"/>
  <c r="H14" i="1"/>
  <c r="I14" i="1" s="1"/>
  <c r="J14" i="1" s="1"/>
  <c r="K14" i="1" s="1"/>
  <c r="F32" i="12"/>
  <c r="G6" i="12"/>
  <c r="H6" i="12" s="1"/>
  <c r="I6" i="12" s="1"/>
  <c r="J6" i="12" s="1"/>
  <c r="H33" i="1"/>
  <c r="I33" i="1" s="1"/>
  <c r="H15" i="1"/>
  <c r="I15" i="1" s="1"/>
  <c r="T15" i="1"/>
  <c r="G23" i="12"/>
  <c r="H23" i="12" s="1"/>
  <c r="N33" i="10"/>
  <c r="O33" i="10" s="1"/>
  <c r="P33" i="10" s="1"/>
  <c r="X33" i="10" s="1"/>
  <c r="Y33" i="10" s="1"/>
  <c r="Z33" i="10"/>
  <c r="N18" i="10"/>
  <c r="O18" i="10" s="1"/>
  <c r="P18" i="10" s="1"/>
  <c r="X18" i="10" s="1"/>
  <c r="Y18" i="10" s="1"/>
  <c r="Z18" i="10"/>
  <c r="S23" i="12"/>
  <c r="N6" i="10"/>
  <c r="O6" i="10" s="1"/>
  <c r="P6" i="10" s="1"/>
  <c r="X6" i="10" s="1"/>
  <c r="Y6" i="10" s="1"/>
  <c r="Z6" i="10"/>
  <c r="Z22" i="10"/>
  <c r="N22" i="10"/>
  <c r="O22" i="10" s="1"/>
  <c r="P22" i="10" s="1"/>
  <c r="X22" i="10" s="1"/>
  <c r="Y22" i="10" s="1"/>
  <c r="H29" i="1"/>
  <c r="I29" i="1" s="1"/>
  <c r="J29" i="1" s="1"/>
  <c r="K29" i="1" s="1"/>
  <c r="Z7" i="10"/>
  <c r="N7" i="10"/>
  <c r="O7" i="10" s="1"/>
  <c r="P7" i="10" s="1"/>
  <c r="X7" i="10" s="1"/>
  <c r="Y7" i="10" s="1"/>
  <c r="Z23" i="10"/>
  <c r="N23" i="10"/>
  <c r="O23" i="10" s="1"/>
  <c r="P23" i="10" s="1"/>
  <c r="X23" i="10" s="1"/>
  <c r="Y23" i="10" s="1"/>
  <c r="Z8" i="10"/>
  <c r="N8" i="10"/>
  <c r="O8" i="10" s="1"/>
  <c r="P8" i="10" s="1"/>
  <c r="X8" i="10" s="1"/>
  <c r="Y8" i="10" s="1"/>
  <c r="Z24" i="10"/>
  <c r="N24" i="10"/>
  <c r="O24" i="10" s="1"/>
  <c r="P24" i="10" s="1"/>
  <c r="X24" i="10" s="1"/>
  <c r="Y24" i="10" s="1"/>
  <c r="Z9" i="10"/>
  <c r="N9" i="10"/>
  <c r="O9" i="10" s="1"/>
  <c r="P9" i="10" s="1"/>
  <c r="X9" i="10" s="1"/>
  <c r="Y9" i="10" s="1"/>
  <c r="Z25" i="10"/>
  <c r="N25" i="10"/>
  <c r="O25" i="10" s="1"/>
  <c r="P25" i="10" s="1"/>
  <c r="X25" i="10" s="1"/>
  <c r="Y25" i="10" s="1"/>
  <c r="Z10" i="10"/>
  <c r="N10" i="10"/>
  <c r="O10" i="10" s="1"/>
  <c r="P10" i="10" s="1"/>
  <c r="X10" i="10" s="1"/>
  <c r="Y10" i="10" s="1"/>
  <c r="Z26" i="10"/>
  <c r="N26" i="10"/>
  <c r="O26" i="10" s="1"/>
  <c r="P26" i="10" s="1"/>
  <c r="X26" i="10" s="1"/>
  <c r="Y26" i="10" s="1"/>
  <c r="Z11" i="10"/>
  <c r="N11" i="10"/>
  <c r="O11" i="10" s="1"/>
  <c r="P11" i="10" s="1"/>
  <c r="X11" i="10" s="1"/>
  <c r="Y11" i="10" s="1"/>
  <c r="Z27" i="10"/>
  <c r="N27" i="10"/>
  <c r="O27" i="10" s="1"/>
  <c r="P27" i="10" s="1"/>
  <c r="X27" i="10" s="1"/>
  <c r="Y27" i="10" s="1"/>
  <c r="S6" i="12"/>
  <c r="Z13" i="10"/>
  <c r="N13" i="10"/>
  <c r="O13" i="10" s="1"/>
  <c r="P13" i="10" s="1"/>
  <c r="X13" i="10" s="1"/>
  <c r="Y13" i="10" s="1"/>
  <c r="Z29" i="10"/>
  <c r="N29" i="10"/>
  <c r="O29" i="10" s="1"/>
  <c r="P29" i="10" s="1"/>
  <c r="X29" i="10" s="1"/>
  <c r="Y29" i="10" s="1"/>
  <c r="Z14" i="10"/>
  <c r="N14" i="10"/>
  <c r="O14" i="10" s="1"/>
  <c r="P14" i="10" s="1"/>
  <c r="X14" i="10" s="1"/>
  <c r="Y14" i="10" s="1"/>
  <c r="Z15" i="10"/>
  <c r="N15" i="10"/>
  <c r="O15" i="10" s="1"/>
  <c r="P15" i="10" s="1"/>
  <c r="X15" i="10" s="1"/>
  <c r="Y15" i="10" s="1"/>
  <c r="Z16" i="10"/>
  <c r="N16" i="10"/>
  <c r="O16" i="10" s="1"/>
  <c r="P16" i="10" s="1"/>
  <c r="X16" i="10" s="1"/>
  <c r="Y16" i="10" s="1"/>
  <c r="Z32" i="10"/>
  <c r="N32" i="10"/>
  <c r="O32" i="10" s="1"/>
  <c r="P32" i="10" s="1"/>
  <c r="X32" i="10" s="1"/>
  <c r="Y32" i="10" s="1"/>
  <c r="L22" i="2" l="1"/>
  <c r="L25" i="2" s="1"/>
  <c r="L21" i="2"/>
  <c r="I22" i="2"/>
  <c r="H21" i="2"/>
  <c r="M5" i="10"/>
  <c r="N36" i="10"/>
  <c r="O36" i="10" s="1"/>
  <c r="P36" i="10" s="1"/>
  <c r="X36" i="10" s="1"/>
  <c r="Y36" i="10" s="1"/>
  <c r="Z31" i="10"/>
  <c r="N12" i="10"/>
  <c r="O12" i="10" s="1"/>
  <c r="P12" i="10" s="1"/>
  <c r="X12" i="10" s="1"/>
  <c r="Y12" i="10" s="1"/>
  <c r="Z30" i="10"/>
  <c r="N20" i="10"/>
  <c r="O20" i="10" s="1"/>
  <c r="P20" i="10" s="1"/>
  <c r="X20" i="10" s="1"/>
  <c r="Y20" i="10" s="1"/>
  <c r="N28" i="10"/>
  <c r="O28" i="10" s="1"/>
  <c r="P28" i="10" s="1"/>
  <c r="X28" i="10" s="1"/>
  <c r="Y28" i="10" s="1"/>
  <c r="N17" i="10"/>
  <c r="O17" i="10" s="1"/>
  <c r="P17" i="10" s="1"/>
  <c r="X17" i="10" s="1"/>
  <c r="Y17" i="10" s="1"/>
  <c r="W39" i="10"/>
  <c r="AB39" i="10"/>
  <c r="T39" i="10"/>
  <c r="V39" i="10"/>
  <c r="U39" i="10"/>
  <c r="T38" i="10"/>
  <c r="U38" i="10"/>
  <c r="V38" i="10"/>
  <c r="W38" i="10"/>
  <c r="AB38" i="10"/>
  <c r="U40" i="10"/>
  <c r="V40" i="10"/>
  <c r="W40" i="10"/>
  <c r="T40" i="10"/>
  <c r="AB40" i="10"/>
  <c r="Z34" i="10"/>
  <c r="T34" i="10"/>
  <c r="I28" i="2"/>
  <c r="I21" i="2"/>
  <c r="H28" i="2"/>
  <c r="C28" i="2"/>
  <c r="C27" i="2"/>
  <c r="C30" i="2" s="1"/>
  <c r="D25" i="2"/>
  <c r="D26" i="2" s="1"/>
  <c r="D2" i="2" s="1"/>
  <c r="H27" i="2"/>
  <c r="H23" i="2"/>
  <c r="I27" i="2"/>
  <c r="I25" i="2"/>
  <c r="C25" i="2"/>
  <c r="C26" i="2" s="1"/>
  <c r="C2" i="2" s="1"/>
  <c r="F22" i="2"/>
  <c r="F25" i="2" s="1"/>
  <c r="F26" i="2" s="1"/>
  <c r="F2" i="2" s="1"/>
  <c r="F28" i="2"/>
  <c r="F30" i="2" s="1"/>
  <c r="H22" i="2"/>
  <c r="H25" i="2" s="1"/>
  <c r="J25" i="2"/>
  <c r="J26" i="2" s="1"/>
  <c r="J2" i="2" s="1"/>
  <c r="J30" i="2"/>
  <c r="J55" i="2" s="1"/>
  <c r="J60" i="2" s="1"/>
  <c r="E27" i="2"/>
  <c r="E22" i="2"/>
  <c r="E23" i="2"/>
  <c r="E21" i="2"/>
  <c r="E28" i="2"/>
  <c r="C33" i="2"/>
  <c r="K23" i="2"/>
  <c r="K22" i="2"/>
  <c r="K28" i="2"/>
  <c r="K21" i="2"/>
  <c r="K27" i="2"/>
  <c r="G22" i="2"/>
  <c r="G28" i="2"/>
  <c r="G21" i="2"/>
  <c r="G27" i="2"/>
  <c r="G23" i="2"/>
  <c r="D30" i="2"/>
  <c r="L30" i="2"/>
  <c r="K43" i="1"/>
  <c r="R43" i="1" s="1"/>
  <c r="S43" i="1" s="1"/>
  <c r="K41" i="1"/>
  <c r="R41" i="1" s="1"/>
  <c r="S41" i="1" s="1"/>
  <c r="J39" i="12"/>
  <c r="Q39" i="12" s="1"/>
  <c r="R39" i="12" s="1"/>
  <c r="K40" i="1"/>
  <c r="R40" i="1" s="1"/>
  <c r="S40" i="1" s="1"/>
  <c r="K42" i="1"/>
  <c r="R42" i="1" s="1"/>
  <c r="S42" i="1" s="1"/>
  <c r="J42" i="12"/>
  <c r="Q42" i="12" s="1"/>
  <c r="R42" i="12" s="1"/>
  <c r="J68" i="18"/>
  <c r="K68" i="18" s="1"/>
  <c r="J37" i="18"/>
  <c r="K37" i="18" s="1"/>
  <c r="J74" i="18"/>
  <c r="K74" i="18" s="1"/>
  <c r="J84" i="18"/>
  <c r="K84" i="18" s="1"/>
  <c r="J100" i="18"/>
  <c r="K100" i="18" s="1"/>
  <c r="R100" i="18" s="1"/>
  <c r="S100" i="18" s="1"/>
  <c r="J18" i="18"/>
  <c r="K18" i="18" s="1"/>
  <c r="J52" i="18"/>
  <c r="K52" i="18" s="1"/>
  <c r="U112" i="10"/>
  <c r="U109" i="10"/>
  <c r="W109" i="10"/>
  <c r="W104" i="10"/>
  <c r="T112" i="10"/>
  <c r="AB99" i="10"/>
  <c r="V112" i="10"/>
  <c r="U111" i="10"/>
  <c r="U106" i="10"/>
  <c r="W99" i="10"/>
  <c r="AB102" i="10"/>
  <c r="AB100" i="10"/>
  <c r="U101" i="10"/>
  <c r="V103" i="10"/>
  <c r="U98" i="10"/>
  <c r="W98" i="10"/>
  <c r="AB98" i="10"/>
  <c r="W102" i="10"/>
  <c r="AB111" i="10"/>
  <c r="U100" i="10"/>
  <c r="W100" i="10"/>
  <c r="U104" i="10"/>
  <c r="W105" i="10"/>
  <c r="AB106" i="10"/>
  <c r="U102" i="10"/>
  <c r="U99" i="10"/>
  <c r="V108" i="10"/>
  <c r="AB105" i="10"/>
  <c r="T105" i="10"/>
  <c r="V105" i="10"/>
  <c r="T110" i="10"/>
  <c r="U105" i="10"/>
  <c r="W107" i="10"/>
  <c r="AB108" i="10"/>
  <c r="T107" i="10"/>
  <c r="V107" i="10"/>
  <c r="V111" i="10"/>
  <c r="AB104" i="10"/>
  <c r="AB110" i="10"/>
  <c r="T109" i="10"/>
  <c r="V109" i="10"/>
  <c r="V106" i="10"/>
  <c r="V101" i="10"/>
  <c r="AB107" i="10"/>
  <c r="AB109" i="10"/>
  <c r="W112" i="10"/>
  <c r="AB112" i="10"/>
  <c r="T111" i="10"/>
  <c r="T108" i="10"/>
  <c r="T103" i="10"/>
  <c r="W110" i="10"/>
  <c r="W108" i="10"/>
  <c r="V110" i="10"/>
  <c r="T98" i="10"/>
  <c r="V98" i="10"/>
  <c r="V104" i="10"/>
  <c r="V99" i="10"/>
  <c r="U110" i="10"/>
  <c r="T104" i="10"/>
  <c r="T99" i="10"/>
  <c r="AB101" i="10"/>
  <c r="T100" i="10"/>
  <c r="V100" i="10"/>
  <c r="T106" i="10"/>
  <c r="T101" i="10"/>
  <c r="W101" i="10"/>
  <c r="W103" i="10"/>
  <c r="AB103" i="10"/>
  <c r="T102" i="10"/>
  <c r="V102" i="10"/>
  <c r="W111" i="10"/>
  <c r="W106" i="10"/>
  <c r="U103" i="10"/>
  <c r="U108" i="10"/>
  <c r="U107" i="10"/>
  <c r="R5" i="18"/>
  <c r="S5" i="18" s="1"/>
  <c r="R77" i="18"/>
  <c r="S77" i="18" s="1"/>
  <c r="R15" i="18"/>
  <c r="S15" i="18" s="1"/>
  <c r="R44" i="18"/>
  <c r="S44" i="18" s="1"/>
  <c r="R8" i="18"/>
  <c r="S8" i="18" s="1"/>
  <c r="R110" i="18"/>
  <c r="S110" i="18" s="1"/>
  <c r="R29" i="18"/>
  <c r="S29" i="18" s="1"/>
  <c r="R55" i="18"/>
  <c r="S55" i="18" s="1"/>
  <c r="R60" i="18"/>
  <c r="S60" i="18" s="1"/>
  <c r="R22" i="18"/>
  <c r="S22" i="18" s="1"/>
  <c r="R31" i="18"/>
  <c r="S31" i="18" s="1"/>
  <c r="R62" i="18"/>
  <c r="S62" i="18" s="1"/>
  <c r="R40" i="18"/>
  <c r="S40" i="18" s="1"/>
  <c r="R30" i="18"/>
  <c r="S30" i="18" s="1"/>
  <c r="R92" i="18"/>
  <c r="S92" i="18" s="1"/>
  <c r="R56" i="18"/>
  <c r="S56" i="18" s="1"/>
  <c r="R108" i="18"/>
  <c r="S108" i="18" s="1"/>
  <c r="R103" i="18"/>
  <c r="S103" i="18" s="1"/>
  <c r="R59" i="18"/>
  <c r="S59" i="18" s="1"/>
  <c r="R28" i="18"/>
  <c r="S28" i="18" s="1"/>
  <c r="R43" i="18"/>
  <c r="S43" i="18" s="1"/>
  <c r="R91" i="18"/>
  <c r="S91" i="18" s="1"/>
  <c r="R6" i="18"/>
  <c r="S6" i="18" s="1"/>
  <c r="R109" i="18"/>
  <c r="S109" i="18" s="1"/>
  <c r="R61" i="18"/>
  <c r="S61" i="18" s="1"/>
  <c r="R64" i="18"/>
  <c r="S64" i="18" s="1"/>
  <c r="R24" i="18"/>
  <c r="S24" i="18" s="1"/>
  <c r="R72" i="18"/>
  <c r="S72" i="18" s="1"/>
  <c r="R104" i="18"/>
  <c r="S104" i="18" s="1"/>
  <c r="R87" i="18"/>
  <c r="S87" i="18" s="1"/>
  <c r="R19" i="18"/>
  <c r="S19" i="18" s="1"/>
  <c r="R47" i="18"/>
  <c r="S47" i="18" s="1"/>
  <c r="R45" i="18"/>
  <c r="S45" i="18" s="1"/>
  <c r="R111" i="18"/>
  <c r="S111" i="18" s="1"/>
  <c r="R39" i="18"/>
  <c r="S39" i="18" s="1"/>
  <c r="R96" i="18"/>
  <c r="S96" i="18" s="1"/>
  <c r="R93" i="18"/>
  <c r="S93" i="18" s="1"/>
  <c r="R63" i="18"/>
  <c r="S63" i="18" s="1"/>
  <c r="R76" i="18"/>
  <c r="S76" i="18" s="1"/>
  <c r="R78" i="18"/>
  <c r="S78" i="18" s="1"/>
  <c r="R35" i="18"/>
  <c r="S35" i="18" s="1"/>
  <c r="R46" i="18"/>
  <c r="S46" i="18" s="1"/>
  <c r="R17" i="18"/>
  <c r="S17" i="18" s="1"/>
  <c r="R88" i="18"/>
  <c r="S88" i="18" s="1"/>
  <c r="R102" i="18"/>
  <c r="S102" i="18" s="1"/>
  <c r="R95" i="18"/>
  <c r="S95" i="18" s="1"/>
  <c r="R107" i="18"/>
  <c r="S107" i="18" s="1"/>
  <c r="R33" i="18"/>
  <c r="S33" i="18" s="1"/>
  <c r="R38" i="18"/>
  <c r="S38" i="18" s="1"/>
  <c r="R49" i="18"/>
  <c r="S49" i="18" s="1"/>
  <c r="R94" i="18"/>
  <c r="S94" i="18" s="1"/>
  <c r="R7" i="18"/>
  <c r="S7" i="18" s="1"/>
  <c r="R71" i="18"/>
  <c r="S71" i="18" s="1"/>
  <c r="R70" i="18"/>
  <c r="S70" i="18" s="1"/>
  <c r="R12" i="18"/>
  <c r="S12" i="18" s="1"/>
  <c r="R11" i="18"/>
  <c r="S11" i="18" s="1"/>
  <c r="R27" i="18"/>
  <c r="S27" i="18" s="1"/>
  <c r="R42" i="18"/>
  <c r="S42" i="18" s="1"/>
  <c r="R14" i="18"/>
  <c r="S14" i="18" s="1"/>
  <c r="R75" i="18"/>
  <c r="S75" i="18" s="1"/>
  <c r="R79" i="18"/>
  <c r="S79" i="18" s="1"/>
  <c r="R80" i="18"/>
  <c r="S80" i="18" s="1"/>
  <c r="R86" i="18"/>
  <c r="S86" i="18" s="1"/>
  <c r="R23" i="18"/>
  <c r="S23" i="18" s="1"/>
  <c r="K13" i="1"/>
  <c r="R13" i="1" s="1"/>
  <c r="S13" i="1" s="1"/>
  <c r="Z28" i="10"/>
  <c r="G34" i="12"/>
  <c r="H34" i="12" s="1"/>
  <c r="I34" i="12" s="1"/>
  <c r="J34" i="12" s="1"/>
  <c r="W89" i="10"/>
  <c r="S5" i="12"/>
  <c r="N21" i="10"/>
  <c r="O21" i="10" s="1"/>
  <c r="P21" i="10" s="1"/>
  <c r="X21" i="10" s="1"/>
  <c r="Y21" i="10" s="1"/>
  <c r="U89" i="10"/>
  <c r="W90" i="10"/>
  <c r="W85" i="10"/>
  <c r="T86" i="10"/>
  <c r="U93" i="10"/>
  <c r="V85" i="10"/>
  <c r="AB91" i="10"/>
  <c r="U97" i="10"/>
  <c r="U96" i="10"/>
  <c r="W91" i="10"/>
  <c r="W86" i="10"/>
  <c r="G9" i="12"/>
  <c r="H9" i="12" s="1"/>
  <c r="I9" i="12" s="1"/>
  <c r="J9" i="12" s="1"/>
  <c r="Q9" i="12" s="1"/>
  <c r="R9" i="12" s="1"/>
  <c r="AB95" i="10"/>
  <c r="V88" i="10"/>
  <c r="W97" i="10"/>
  <c r="V93" i="10"/>
  <c r="Z5" i="10"/>
  <c r="AB86" i="10"/>
  <c r="T87" i="10"/>
  <c r="AB94" i="10"/>
  <c r="T89" i="10"/>
  <c r="W92" i="10"/>
  <c r="U91" i="10"/>
  <c r="T95" i="10"/>
  <c r="V96" i="10"/>
  <c r="U86" i="10"/>
  <c r="AB92" i="10"/>
  <c r="W94" i="10"/>
  <c r="AB88" i="10"/>
  <c r="W96" i="10"/>
  <c r="T88" i="10"/>
  <c r="AB89" i="10"/>
  <c r="V94" i="10"/>
  <c r="T90" i="10"/>
  <c r="AB96" i="10"/>
  <c r="U92" i="10"/>
  <c r="V91" i="10"/>
  <c r="AB87" i="10"/>
  <c r="U88" i="10"/>
  <c r="V86" i="10"/>
  <c r="W88" i="10"/>
  <c r="T85" i="10"/>
  <c r="W93" i="10"/>
  <c r="U87" i="10"/>
  <c r="H12" i="1"/>
  <c r="I12" i="1" s="1"/>
  <c r="J12" i="1" s="1"/>
  <c r="K12" i="1" s="1"/>
  <c r="R12" i="1" s="1"/>
  <c r="S12" i="1" s="1"/>
  <c r="N5" i="10"/>
  <c r="O5" i="10" s="1"/>
  <c r="P5" i="10" s="1"/>
  <c r="X5" i="10" s="1"/>
  <c r="Y5" i="10" s="1"/>
  <c r="T92" i="10"/>
  <c r="T96" i="10"/>
  <c r="AB90" i="10"/>
  <c r="V89" i="10"/>
  <c r="V97" i="10"/>
  <c r="V95" i="10"/>
  <c r="W95" i="10"/>
  <c r="AB97" i="10"/>
  <c r="AB93" i="10"/>
  <c r="V81" i="10"/>
  <c r="W87" i="10"/>
  <c r="U85" i="10"/>
  <c r="AB85" i="10"/>
  <c r="T94" i="10"/>
  <c r="T93" i="10"/>
  <c r="T97" i="10"/>
  <c r="T91" i="10"/>
  <c r="U90" i="10"/>
  <c r="V92" i="10"/>
  <c r="V90" i="10"/>
  <c r="V87" i="10"/>
  <c r="U95" i="10"/>
  <c r="U94" i="10"/>
  <c r="U65" i="10"/>
  <c r="AB64" i="10"/>
  <c r="V63" i="10"/>
  <c r="U78" i="10"/>
  <c r="T59" i="10"/>
  <c r="T69" i="10"/>
  <c r="V72" i="10"/>
  <c r="T70" i="10"/>
  <c r="U70" i="10"/>
  <c r="AB51" i="10"/>
  <c r="T75" i="10"/>
  <c r="V45" i="10"/>
  <c r="AB44" i="10"/>
  <c r="U52" i="10"/>
  <c r="AB81" i="10"/>
  <c r="U46" i="10"/>
  <c r="T50" i="10"/>
  <c r="W62" i="10"/>
  <c r="W60" i="10"/>
  <c r="U75" i="10"/>
  <c r="AB73" i="10"/>
  <c r="V69" i="10"/>
  <c r="AB53" i="10"/>
  <c r="AB59" i="10"/>
  <c r="V46" i="10"/>
  <c r="AB55" i="10"/>
  <c r="W76" i="10"/>
  <c r="AB50" i="10"/>
  <c r="T43" i="10"/>
  <c r="U53" i="10"/>
  <c r="AB47" i="10"/>
  <c r="U60" i="10"/>
  <c r="AB78" i="10"/>
  <c r="V75" i="10"/>
  <c r="U48" i="10"/>
  <c r="V55" i="10"/>
  <c r="V61" i="10"/>
  <c r="T52" i="10"/>
  <c r="V57" i="10"/>
  <c r="W55" i="10"/>
  <c r="T83" i="10"/>
  <c r="V51" i="10"/>
  <c r="U47" i="10"/>
  <c r="T56" i="10"/>
  <c r="AB48" i="10"/>
  <c r="T51" i="10"/>
  <c r="V74" i="10"/>
  <c r="AB79" i="10"/>
  <c r="T57" i="10"/>
  <c r="T65" i="10"/>
  <c r="V67" i="10"/>
  <c r="V80" i="10"/>
  <c r="AB69" i="10"/>
  <c r="AB75" i="10"/>
  <c r="U57" i="10"/>
  <c r="U68" i="10"/>
  <c r="U67" i="10"/>
  <c r="W47" i="10"/>
  <c r="T47" i="10"/>
  <c r="V42" i="10"/>
  <c r="V41" i="10"/>
  <c r="W70" i="10"/>
  <c r="AB56" i="10"/>
  <c r="W63" i="10"/>
  <c r="T79" i="10"/>
  <c r="W54" i="10"/>
  <c r="T67" i="10"/>
  <c r="AB42" i="10"/>
  <c r="V71" i="10"/>
  <c r="V77" i="10"/>
  <c r="AB60" i="10"/>
  <c r="AB71" i="10"/>
  <c r="U72" i="10"/>
  <c r="T80" i="10"/>
  <c r="T41" i="10"/>
  <c r="N30" i="10"/>
  <c r="O30" i="10" s="1"/>
  <c r="P30" i="10" s="1"/>
  <c r="X30" i="10" s="1"/>
  <c r="Y30" i="10" s="1"/>
  <c r="V66" i="10"/>
  <c r="U44" i="10"/>
  <c r="AB84" i="10"/>
  <c r="V56" i="10"/>
  <c r="AB57" i="10"/>
  <c r="W78" i="10"/>
  <c r="U51" i="10"/>
  <c r="W65" i="10"/>
  <c r="T72" i="10"/>
  <c r="AB82" i="10"/>
  <c r="AB66" i="10"/>
  <c r="V79" i="10"/>
  <c r="V44" i="10"/>
  <c r="V62" i="10"/>
  <c r="V73" i="10"/>
  <c r="U63" i="10"/>
  <c r="W59" i="10"/>
  <c r="T63" i="10"/>
  <c r="T46" i="10"/>
  <c r="V84" i="10"/>
  <c r="T60" i="10"/>
  <c r="AB43" i="10"/>
  <c r="U49" i="10"/>
  <c r="W50" i="10"/>
  <c r="W51" i="10"/>
  <c r="T58" i="10"/>
  <c r="W72" i="10"/>
  <c r="U64" i="10"/>
  <c r="U55" i="10"/>
  <c r="T68" i="10"/>
  <c r="U84" i="10"/>
  <c r="T73" i="10"/>
  <c r="U79" i="10"/>
  <c r="U82" i="10"/>
  <c r="W83" i="10"/>
  <c r="U76" i="10"/>
  <c r="U54" i="10"/>
  <c r="U83" i="10"/>
  <c r="V59" i="10"/>
  <c r="AB65" i="10"/>
  <c r="U42" i="10"/>
  <c r="U43" i="10"/>
  <c r="U80" i="10"/>
  <c r="AB58" i="10"/>
  <c r="U58" i="10"/>
  <c r="V47" i="10"/>
  <c r="U73" i="10"/>
  <c r="W79" i="10"/>
  <c r="U61" i="10"/>
  <c r="T48" i="10"/>
  <c r="AB45" i="10"/>
  <c r="W81" i="10"/>
  <c r="U41" i="10"/>
  <c r="U69" i="10"/>
  <c r="W56" i="10"/>
  <c r="T76" i="10"/>
  <c r="W52" i="10"/>
  <c r="AB46" i="10"/>
  <c r="W43" i="10"/>
  <c r="V60" i="10"/>
  <c r="W84" i="10"/>
  <c r="W68" i="10"/>
  <c r="AB76" i="10"/>
  <c r="T74" i="10"/>
  <c r="W48" i="10"/>
  <c r="W66" i="10"/>
  <c r="T66" i="10"/>
  <c r="J27" i="12"/>
  <c r="Q27" i="12" s="1"/>
  <c r="R27" i="12" s="1"/>
  <c r="T53" i="10"/>
  <c r="T62" i="10"/>
  <c r="AB72" i="10"/>
  <c r="W57" i="10"/>
  <c r="W46" i="10"/>
  <c r="U74" i="10"/>
  <c r="V48" i="10"/>
  <c r="AB61" i="10"/>
  <c r="AB52" i="10"/>
  <c r="U71" i="10"/>
  <c r="V53" i="10"/>
  <c r="W42" i="10"/>
  <c r="V78" i="10"/>
  <c r="AB77" i="10"/>
  <c r="W80" i="10"/>
  <c r="T81" i="10"/>
  <c r="W82" i="10"/>
  <c r="T71" i="10"/>
  <c r="T49" i="10"/>
  <c r="W61" i="10"/>
  <c r="AB62" i="10"/>
  <c r="W45" i="10"/>
  <c r="U66" i="10"/>
  <c r="W67" i="10"/>
  <c r="T78" i="10"/>
  <c r="T64" i="10"/>
  <c r="U50" i="10"/>
  <c r="U45" i="10"/>
  <c r="T44" i="10"/>
  <c r="T82" i="10"/>
  <c r="W53" i="10"/>
  <c r="W58" i="10"/>
  <c r="V54" i="10"/>
  <c r="AB74" i="10"/>
  <c r="AB67" i="10"/>
  <c r="AB54" i="10"/>
  <c r="T84" i="10"/>
  <c r="W74" i="10"/>
  <c r="V83" i="10"/>
  <c r="W49" i="10"/>
  <c r="T45" i="10"/>
  <c r="AB49" i="10"/>
  <c r="T77" i="10"/>
  <c r="U62" i="10"/>
  <c r="V58" i="10"/>
  <c r="W41" i="10"/>
  <c r="T61" i="10"/>
  <c r="W71" i="10"/>
  <c r="W75" i="10"/>
  <c r="U77" i="10"/>
  <c r="U81" i="10"/>
  <c r="V50" i="10"/>
  <c r="T54" i="10"/>
  <c r="AB41" i="10"/>
  <c r="AB68" i="10"/>
  <c r="V76" i="10"/>
  <c r="AB83" i="10"/>
  <c r="AB70" i="10"/>
  <c r="V52" i="10"/>
  <c r="AB63" i="10"/>
  <c r="V65" i="10"/>
  <c r="W73" i="10"/>
  <c r="W44" i="10"/>
  <c r="V64" i="10"/>
  <c r="T42" i="10"/>
  <c r="W69" i="10"/>
  <c r="AB80" i="10"/>
  <c r="W64" i="10"/>
  <c r="W77" i="10"/>
  <c r="V49" i="10"/>
  <c r="U56" i="10"/>
  <c r="T55" i="10"/>
  <c r="V82" i="10"/>
  <c r="U59" i="10"/>
  <c r="V43" i="10"/>
  <c r="V70" i="10"/>
  <c r="V68" i="10"/>
  <c r="S27" i="12"/>
  <c r="Z12" i="10"/>
  <c r="J35" i="12"/>
  <c r="Q35" i="12" s="1"/>
  <c r="R35" i="12" s="1"/>
  <c r="G17" i="12"/>
  <c r="H17" i="12" s="1"/>
  <c r="I17" i="12" s="1"/>
  <c r="J17" i="12" s="1"/>
  <c r="Q17" i="12" s="1"/>
  <c r="R17" i="12" s="1"/>
  <c r="K38" i="1"/>
  <c r="R38" i="1" s="1"/>
  <c r="S38" i="1" s="1"/>
  <c r="H22" i="12"/>
  <c r="I22" i="12" s="1"/>
  <c r="S22" i="12"/>
  <c r="G21" i="12"/>
  <c r="H21" i="12" s="1"/>
  <c r="I21" i="12" s="1"/>
  <c r="J21" i="12" s="1"/>
  <c r="Q21" i="12" s="1"/>
  <c r="R21" i="12" s="1"/>
  <c r="G37" i="12"/>
  <c r="H37" i="12" s="1"/>
  <c r="I37" i="12" s="1"/>
  <c r="J37" i="12" s="1"/>
  <c r="Q37" i="12" s="1"/>
  <c r="R37" i="12" s="1"/>
  <c r="S33" i="12"/>
  <c r="G11" i="12"/>
  <c r="H11" i="12" s="1"/>
  <c r="I11" i="12" s="1"/>
  <c r="J11" i="12" s="1"/>
  <c r="Q11" i="12" s="1"/>
  <c r="R11" i="12" s="1"/>
  <c r="G19" i="12"/>
  <c r="H19" i="12" s="1"/>
  <c r="S16" i="12"/>
  <c r="Z37" i="10"/>
  <c r="N37" i="10"/>
  <c r="O37" i="10" s="1"/>
  <c r="P37" i="10" s="1"/>
  <c r="X37" i="10" s="1"/>
  <c r="Y37" i="10" s="1"/>
  <c r="G25" i="12"/>
  <c r="H25" i="12" s="1"/>
  <c r="I25" i="12" s="1"/>
  <c r="J25" i="12" s="1"/>
  <c r="Q25" i="12" s="1"/>
  <c r="R25" i="12" s="1"/>
  <c r="N34" i="10"/>
  <c r="O34" i="10" s="1"/>
  <c r="P34" i="10" s="1"/>
  <c r="X34" i="10" s="1"/>
  <c r="Y34" i="10" s="1"/>
  <c r="T11" i="1"/>
  <c r="K19" i="1"/>
  <c r="R19" i="1" s="1"/>
  <c r="S19" i="1" s="1"/>
  <c r="N31" i="10"/>
  <c r="O31" i="10" s="1"/>
  <c r="P31" i="10" s="1"/>
  <c r="X31" i="10" s="1"/>
  <c r="Y31" i="10" s="1"/>
  <c r="Z20" i="10"/>
  <c r="T25" i="1"/>
  <c r="Z17" i="10"/>
  <c r="G18" i="12"/>
  <c r="H18" i="12" s="1"/>
  <c r="I18" i="12" s="1"/>
  <c r="J18" i="12" s="1"/>
  <c r="Q18" i="12" s="1"/>
  <c r="R18" i="12" s="1"/>
  <c r="AB35" i="10"/>
  <c r="N13" i="12"/>
  <c r="Z36" i="10"/>
  <c r="V29" i="1"/>
  <c r="S20" i="12"/>
  <c r="K11" i="1"/>
  <c r="R11" i="1" s="1"/>
  <c r="S11" i="1" s="1"/>
  <c r="V22" i="1"/>
  <c r="AB33" i="10"/>
  <c r="V9" i="1"/>
  <c r="O12" i="1"/>
  <c r="M8" i="12"/>
  <c r="N8" i="12"/>
  <c r="U23" i="12"/>
  <c r="O7" i="12"/>
  <c r="O38" i="12"/>
  <c r="J20" i="12"/>
  <c r="Q20" i="12" s="1"/>
  <c r="R20" i="12" s="1"/>
  <c r="Q27" i="1"/>
  <c r="G38" i="12"/>
  <c r="H38" i="12" s="1"/>
  <c r="I38" i="12" s="1"/>
  <c r="J38" i="12" s="1"/>
  <c r="Q38" i="12" s="1"/>
  <c r="R38" i="12" s="1"/>
  <c r="I33" i="12"/>
  <c r="J33" i="12" s="1"/>
  <c r="Q33" i="12" s="1"/>
  <c r="R33" i="12" s="1"/>
  <c r="O24" i="1"/>
  <c r="Z21" i="10"/>
  <c r="Q26" i="1"/>
  <c r="P39" i="1"/>
  <c r="P30" i="1"/>
  <c r="N18" i="1"/>
  <c r="N30" i="1"/>
  <c r="N25" i="1"/>
  <c r="T8" i="10"/>
  <c r="O35" i="1"/>
  <c r="T16" i="10"/>
  <c r="W28" i="10"/>
  <c r="U7" i="10"/>
  <c r="P23" i="1"/>
  <c r="N40" i="1"/>
  <c r="P27" i="1"/>
  <c r="O23" i="1"/>
  <c r="O13" i="1"/>
  <c r="P26" i="1"/>
  <c r="N26" i="1"/>
  <c r="Q8" i="1"/>
  <c r="P12" i="1"/>
  <c r="V15" i="1"/>
  <c r="Q40" i="1"/>
  <c r="Q7" i="1"/>
  <c r="Q22" i="1"/>
  <c r="O22" i="1"/>
  <c r="N42" i="1"/>
  <c r="O37" i="1"/>
  <c r="U36" i="10"/>
  <c r="T22" i="10"/>
  <c r="Z35" i="10"/>
  <c r="V21" i="1"/>
  <c r="V35" i="1"/>
  <c r="V26" i="1"/>
  <c r="O8" i="1"/>
  <c r="O10" i="1"/>
  <c r="Q15" i="1"/>
  <c r="G44" i="1"/>
  <c r="N35" i="10"/>
  <c r="O35" i="10" s="1"/>
  <c r="P35" i="10" s="1"/>
  <c r="X35" i="10" s="1"/>
  <c r="Y35" i="10" s="1"/>
  <c r="Q24" i="1"/>
  <c r="Q19" i="1"/>
  <c r="V17" i="1"/>
  <c r="O7" i="1"/>
  <c r="P5" i="1"/>
  <c r="N33" i="1"/>
  <c r="N37" i="1"/>
  <c r="O25" i="1"/>
  <c r="V34" i="1"/>
  <c r="M25" i="12"/>
  <c r="O18" i="1"/>
  <c r="V38" i="1"/>
  <c r="Z19" i="10"/>
  <c r="O20" i="1"/>
  <c r="Q38" i="1"/>
  <c r="N36" i="1"/>
  <c r="N8" i="1"/>
  <c r="Q25" i="1"/>
  <c r="O11" i="1"/>
  <c r="P34" i="1"/>
  <c r="N29" i="1"/>
  <c r="AB27" i="10"/>
  <c r="N19" i="10"/>
  <c r="O19" i="10" s="1"/>
  <c r="P19" i="10" s="1"/>
  <c r="X19" i="10" s="1"/>
  <c r="Y19" i="10" s="1"/>
  <c r="Q39" i="1"/>
  <c r="V43" i="1"/>
  <c r="N23" i="1"/>
  <c r="O27" i="1"/>
  <c r="T27" i="1"/>
  <c r="O41" i="1"/>
  <c r="O19" i="1"/>
  <c r="N39" i="1"/>
  <c r="Q9" i="1"/>
  <c r="O43" i="1"/>
  <c r="O15" i="1"/>
  <c r="Q42" i="1"/>
  <c r="V42" i="1"/>
  <c r="V39" i="1"/>
  <c r="P19" i="1"/>
  <c r="N27" i="1"/>
  <c r="P7" i="1"/>
  <c r="Q29" i="1"/>
  <c r="V14" i="1"/>
  <c r="N24" i="1"/>
  <c r="P28" i="1"/>
  <c r="P35" i="1"/>
  <c r="O5" i="1"/>
  <c r="N9" i="1"/>
  <c r="N6" i="1"/>
  <c r="K37" i="1"/>
  <c r="R37" i="1" s="1"/>
  <c r="S37" i="1" s="1"/>
  <c r="P32" i="1"/>
  <c r="P43" i="1"/>
  <c r="V5" i="1"/>
  <c r="V8" i="1"/>
  <c r="O6" i="1"/>
  <c r="O28" i="1"/>
  <c r="P37" i="1"/>
  <c r="V40" i="1"/>
  <c r="Q31" i="1"/>
  <c r="N7" i="1"/>
  <c r="U31" i="10"/>
  <c r="V7" i="1"/>
  <c r="H32" i="1"/>
  <c r="I32" i="1" s="1"/>
  <c r="J32" i="1" s="1"/>
  <c r="K32" i="1" s="1"/>
  <c r="R32" i="1" s="1"/>
  <c r="S32" i="1" s="1"/>
  <c r="Q35" i="1"/>
  <c r="Q11" i="1"/>
  <c r="P10" i="1"/>
  <c r="P16" i="1"/>
  <c r="N14" i="1"/>
  <c r="O29" i="1"/>
  <c r="O31" i="1"/>
  <c r="N32" i="1"/>
  <c r="O39" i="1"/>
  <c r="V13" i="1"/>
  <c r="V33" i="1"/>
  <c r="Q32" i="1"/>
  <c r="N43" i="1"/>
  <c r="P22" i="1"/>
  <c r="N11" i="1"/>
  <c r="V25" i="1"/>
  <c r="P15" i="1"/>
  <c r="V10" i="1"/>
  <c r="P29" i="1"/>
  <c r="Q14" i="1"/>
  <c r="V11" i="1"/>
  <c r="I31" i="12"/>
  <c r="J31" i="12" s="1"/>
  <c r="Q31" i="12" s="1"/>
  <c r="R31" i="12" s="1"/>
  <c r="N16" i="12"/>
  <c r="M26" i="12"/>
  <c r="N18" i="12"/>
  <c r="V37" i="10"/>
  <c r="V29" i="10"/>
  <c r="T21" i="10"/>
  <c r="V9" i="10"/>
  <c r="AB34" i="10"/>
  <c r="U18" i="10"/>
  <c r="AB31" i="10"/>
  <c r="T30" i="10"/>
  <c r="U12" i="10"/>
  <c r="W35" i="10"/>
  <c r="P23" i="12"/>
  <c r="N12" i="12"/>
  <c r="M33" i="12"/>
  <c r="M37" i="12"/>
  <c r="P33" i="12"/>
  <c r="M15" i="12"/>
  <c r="M12" i="12"/>
  <c r="O9" i="12"/>
  <c r="P17" i="12"/>
  <c r="O15" i="12"/>
  <c r="P17" i="1"/>
  <c r="Q18" i="1"/>
  <c r="P40" i="1"/>
  <c r="N16" i="1"/>
  <c r="V23" i="1"/>
  <c r="V19" i="1"/>
  <c r="Q12" i="1"/>
  <c r="Q16" i="1"/>
  <c r="V30" i="1"/>
  <c r="P42" i="1"/>
  <c r="T10" i="1"/>
  <c r="G14" i="12"/>
  <c r="H14" i="12" s="1"/>
  <c r="I14" i="12" s="1"/>
  <c r="J14" i="12" s="1"/>
  <c r="Q14" i="12" s="1"/>
  <c r="R14" i="12" s="1"/>
  <c r="S14" i="12"/>
  <c r="U32" i="10"/>
  <c r="V34" i="10"/>
  <c r="W6" i="10"/>
  <c r="W36" i="10"/>
  <c r="W21" i="10"/>
  <c r="W8" i="10"/>
  <c r="AB22" i="10"/>
  <c r="V33" i="10"/>
  <c r="V35" i="10"/>
  <c r="AB5" i="10"/>
  <c r="T37" i="10"/>
  <c r="M27" i="12"/>
  <c r="M34" i="12"/>
  <c r="M23" i="12"/>
  <c r="P29" i="12"/>
  <c r="M38" i="12"/>
  <c r="O36" i="12"/>
  <c r="U31" i="12"/>
  <c r="P19" i="12"/>
  <c r="M17" i="12"/>
  <c r="O35" i="12"/>
  <c r="P6" i="12"/>
  <c r="O14" i="12"/>
  <c r="N20" i="1"/>
  <c r="V6" i="1"/>
  <c r="N17" i="1"/>
  <c r="N21" i="1"/>
  <c r="V31" i="1"/>
  <c r="Q36" i="1"/>
  <c r="T36" i="10"/>
  <c r="AB21" i="10"/>
  <c r="T24" i="10"/>
  <c r="V7" i="10"/>
  <c r="U5" i="12"/>
  <c r="O5" i="12"/>
  <c r="U34" i="12"/>
  <c r="O22" i="12"/>
  <c r="O23" i="12"/>
  <c r="P7" i="12"/>
  <c r="N33" i="12"/>
  <c r="U19" i="12"/>
  <c r="O25" i="12"/>
  <c r="O27" i="12"/>
  <c r="O41" i="12"/>
  <c r="U41" i="12"/>
  <c r="P18" i="12"/>
  <c r="O6" i="12"/>
  <c r="S28" i="12"/>
  <c r="G28" i="12"/>
  <c r="H28" i="12" s="1"/>
  <c r="T31" i="10"/>
  <c r="T35" i="10"/>
  <c r="T29" i="10"/>
  <c r="U16" i="10"/>
  <c r="V14" i="10"/>
  <c r="AB11" i="10"/>
  <c r="U28" i="10"/>
  <c r="T15" i="10"/>
  <c r="U10" i="10"/>
  <c r="U14" i="10"/>
  <c r="V12" i="10"/>
  <c r="M43" i="12"/>
  <c r="M39" i="12"/>
  <c r="N34" i="12"/>
  <c r="U22" i="12"/>
  <c r="N23" i="12"/>
  <c r="O17" i="12"/>
  <c r="N38" i="12"/>
  <c r="P43" i="12"/>
  <c r="U28" i="12"/>
  <c r="O32" i="12"/>
  <c r="O40" i="12"/>
  <c r="N26" i="12"/>
  <c r="N29" i="12"/>
  <c r="U9" i="12"/>
  <c r="O29" i="12"/>
  <c r="O9" i="1"/>
  <c r="N35" i="1"/>
  <c r="N28" i="1"/>
  <c r="O32" i="1"/>
  <c r="P21" i="1"/>
  <c r="N31" i="1"/>
  <c r="N13" i="1"/>
  <c r="V27" i="1"/>
  <c r="S30" i="12"/>
  <c r="G30" i="12"/>
  <c r="H30" i="12" s="1"/>
  <c r="N9" i="12"/>
  <c r="M28" i="12"/>
  <c r="U37" i="12"/>
  <c r="N15" i="12"/>
  <c r="U35" i="12"/>
  <c r="AB9" i="10"/>
  <c r="T5" i="10"/>
  <c r="AB19" i="10"/>
  <c r="W19" i="10"/>
  <c r="W11" i="10"/>
  <c r="AB6" i="10"/>
  <c r="T6" i="10"/>
  <c r="T23" i="10"/>
  <c r="T33" i="10"/>
  <c r="V23" i="10"/>
  <c r="U20" i="10"/>
  <c r="AB20" i="10"/>
  <c r="U10" i="12"/>
  <c r="O34" i="12"/>
  <c r="N22" i="12"/>
  <c r="N5" i="12"/>
  <c r="U42" i="12"/>
  <c r="U40" i="12"/>
  <c r="P8" i="12"/>
  <c r="P10" i="12"/>
  <c r="M29" i="12"/>
  <c r="U18" i="12"/>
  <c r="U21" i="12"/>
  <c r="O37" i="12"/>
  <c r="U16" i="12"/>
  <c r="N38" i="1"/>
  <c r="P36" i="1"/>
  <c r="Q13" i="1"/>
  <c r="P13" i="1"/>
  <c r="Q21" i="1"/>
  <c r="O36" i="1"/>
  <c r="P31" i="1"/>
  <c r="O21" i="1"/>
  <c r="Q41" i="1"/>
  <c r="V12" i="1"/>
  <c r="T8" i="1"/>
  <c r="H8" i="1"/>
  <c r="I8" i="1" s="1"/>
  <c r="J8" i="1" s="1"/>
  <c r="K8" i="1" s="1"/>
  <c r="R8" i="1" s="1"/>
  <c r="S8" i="1" s="1"/>
  <c r="G13" i="12"/>
  <c r="H13" i="12" s="1"/>
  <c r="S13" i="12"/>
  <c r="AB7" i="10"/>
  <c r="U24" i="10"/>
  <c r="W37" i="10"/>
  <c r="T13" i="10"/>
  <c r="W16" i="10"/>
  <c r="V8" i="10"/>
  <c r="AB36" i="10"/>
  <c r="AB26" i="10"/>
  <c r="W31" i="10"/>
  <c r="W15" i="10"/>
  <c r="V25" i="10"/>
  <c r="O19" i="12"/>
  <c r="P22" i="12"/>
  <c r="U36" i="12"/>
  <c r="O21" i="12"/>
  <c r="P35" i="12"/>
  <c r="M19" i="12"/>
  <c r="N31" i="12"/>
  <c r="O28" i="12"/>
  <c r="P41" i="12"/>
  <c r="M18" i="12"/>
  <c r="P31" i="12"/>
  <c r="O12" i="12"/>
  <c r="V24" i="1"/>
  <c r="O16" i="1"/>
  <c r="Q17" i="1"/>
  <c r="P25" i="1"/>
  <c r="Q10" i="1"/>
  <c r="O40" i="1"/>
  <c r="P41" i="1"/>
  <c r="N22" i="1"/>
  <c r="S32" i="12"/>
  <c r="G32" i="12"/>
  <c r="H32" i="12" s="1"/>
  <c r="I32" i="12" s="1"/>
  <c r="J32" i="12" s="1"/>
  <c r="Q32" i="12" s="1"/>
  <c r="R32" i="12" s="1"/>
  <c r="U26" i="12"/>
  <c r="U9" i="10"/>
  <c r="W32" i="10"/>
  <c r="AB14" i="10"/>
  <c r="V26" i="10"/>
  <c r="U6" i="10"/>
  <c r="T10" i="10"/>
  <c r="U5" i="10"/>
  <c r="V10" i="10"/>
  <c r="AB23" i="10"/>
  <c r="AB28" i="10"/>
  <c r="P26" i="12"/>
  <c r="P12" i="12"/>
  <c r="M22" i="12"/>
  <c r="P13" i="12"/>
  <c r="P15" i="12"/>
  <c r="M9" i="12"/>
  <c r="N20" i="12"/>
  <c r="N17" i="12"/>
  <c r="N35" i="12"/>
  <c r="M7" i="12"/>
  <c r="U43" i="12"/>
  <c r="O38" i="1"/>
  <c r="N19" i="1"/>
  <c r="P8" i="1"/>
  <c r="P9" i="1"/>
  <c r="O14" i="1"/>
  <c r="N5" i="1"/>
  <c r="Q30" i="1"/>
  <c r="Q37" i="1"/>
  <c r="O34" i="1"/>
  <c r="S12" i="12"/>
  <c r="G12" i="12"/>
  <c r="H12" i="12" s="1"/>
  <c r="I12" i="12" s="1"/>
  <c r="J12" i="12" s="1"/>
  <c r="T27" i="10"/>
  <c r="AB12" i="10"/>
  <c r="U34" i="10"/>
  <c r="V16" i="10"/>
  <c r="V36" i="10"/>
  <c r="V32" i="10"/>
  <c r="W13" i="10"/>
  <c r="AB13" i="10"/>
  <c r="V5" i="10"/>
  <c r="U25" i="10"/>
  <c r="W7" i="10"/>
  <c r="M30" i="12"/>
  <c r="P34" i="12"/>
  <c r="N19" i="12"/>
  <c r="O43" i="12"/>
  <c r="U11" i="12"/>
  <c r="U8" i="12"/>
  <c r="M20" i="12"/>
  <c r="N27" i="12"/>
  <c r="M35" i="12"/>
  <c r="O11" i="12"/>
  <c r="P9" i="12"/>
  <c r="U14" i="12"/>
  <c r="N7" i="12"/>
  <c r="S29" i="12"/>
  <c r="G29" i="12"/>
  <c r="H29" i="12" s="1"/>
  <c r="P11" i="1"/>
  <c r="T16" i="1"/>
  <c r="H16" i="1"/>
  <c r="I16" i="1" s="1"/>
  <c r="T14" i="10"/>
  <c r="AB37" i="10"/>
  <c r="V6" i="10"/>
  <c r="T18" i="10"/>
  <c r="U13" i="10"/>
  <c r="AB16" i="10"/>
  <c r="U15" i="10"/>
  <c r="T7" i="10"/>
  <c r="W33" i="10"/>
  <c r="W12" i="10"/>
  <c r="M5" i="12"/>
  <c r="N10" i="12"/>
  <c r="M16" i="12"/>
  <c r="P30" i="12"/>
  <c r="M6" i="12"/>
  <c r="P39" i="12"/>
  <c r="M42" i="12"/>
  <c r="M14" i="12"/>
  <c r="U32" i="12"/>
  <c r="M32" i="12"/>
  <c r="O30" i="12"/>
  <c r="P5" i="12"/>
  <c r="P6" i="1"/>
  <c r="P33" i="1"/>
  <c r="O17" i="1"/>
  <c r="O30" i="1"/>
  <c r="O42" i="1"/>
  <c r="Q23" i="1"/>
  <c r="Q28" i="1"/>
  <c r="H6" i="1"/>
  <c r="I6" i="1" s="1"/>
  <c r="T6" i="1"/>
  <c r="V30" i="10"/>
  <c r="K10" i="1"/>
  <c r="R10" i="1" s="1"/>
  <c r="S10" i="1" s="1"/>
  <c r="U37" i="10"/>
  <c r="V19" i="10"/>
  <c r="AB17" i="10"/>
  <c r="W14" i="10"/>
  <c r="V21" i="10"/>
  <c r="U8" i="10"/>
  <c r="W18" i="10"/>
  <c r="AB18" i="10"/>
  <c r="AB8" i="10"/>
  <c r="U35" i="10"/>
  <c r="AB15" i="10"/>
  <c r="N21" i="12"/>
  <c r="O20" i="12"/>
  <c r="M36" i="12"/>
  <c r="N40" i="12"/>
  <c r="O33" i="12"/>
  <c r="M41" i="12"/>
  <c r="U29" i="12"/>
  <c r="U15" i="12"/>
  <c r="P20" i="12"/>
  <c r="N30" i="12"/>
  <c r="N32" i="12"/>
  <c r="T22" i="1"/>
  <c r="H22" i="1"/>
  <c r="I22" i="1" s="1"/>
  <c r="J22" i="1" s="1"/>
  <c r="K22" i="1" s="1"/>
  <c r="R22" i="1" s="1"/>
  <c r="S22" i="1" s="1"/>
  <c r="W22" i="10"/>
  <c r="U29" i="10"/>
  <c r="W24" i="10"/>
  <c r="V13" i="10"/>
  <c r="T20" i="10"/>
  <c r="V20" i="10"/>
  <c r="W10" i="10"/>
  <c r="W5" i="10"/>
  <c r="V17" i="10"/>
  <c r="M31" i="12"/>
  <c r="N14" i="12"/>
  <c r="O39" i="12"/>
  <c r="M11" i="12"/>
  <c r="N28" i="12"/>
  <c r="P25" i="12"/>
  <c r="P11" i="12"/>
  <c r="M10" i="12"/>
  <c r="O18" i="12"/>
  <c r="O26" i="12"/>
  <c r="V16" i="1"/>
  <c r="N10" i="1"/>
  <c r="Q33" i="1"/>
  <c r="P38" i="1"/>
  <c r="V20" i="1"/>
  <c r="Q20" i="1"/>
  <c r="G15" i="12"/>
  <c r="H15" i="12" s="1"/>
  <c r="I15" i="12" s="1"/>
  <c r="J15" i="12" s="1"/>
  <c r="Q15" i="12" s="1"/>
  <c r="R15" i="12" s="1"/>
  <c r="S15" i="12"/>
  <c r="H9" i="1"/>
  <c r="I9" i="1" s="1"/>
  <c r="T9" i="1"/>
  <c r="I5" i="12"/>
  <c r="J5" i="12" s="1"/>
  <c r="Q5" i="12" s="1"/>
  <c r="R5" i="12" s="1"/>
  <c r="T9" i="10"/>
  <c r="AB25" i="10"/>
  <c r="W9" i="10"/>
  <c r="V11" i="10"/>
  <c r="U26" i="10"/>
  <c r="V18" i="10"/>
  <c r="U23" i="10"/>
  <c r="W23" i="10"/>
  <c r="T12" i="10"/>
  <c r="T17" i="10"/>
  <c r="T19" i="10"/>
  <c r="N11" i="12"/>
  <c r="U39" i="12"/>
  <c r="N24" i="12"/>
  <c r="P38" i="12"/>
  <c r="P36" i="12"/>
  <c r="U20" i="12"/>
  <c r="P14" i="12"/>
  <c r="P16" i="12"/>
  <c r="U7" i="12"/>
  <c r="M13" i="12"/>
  <c r="U13" i="12"/>
  <c r="H26" i="1"/>
  <c r="I26" i="1" s="1"/>
  <c r="J26" i="1" s="1"/>
  <c r="K26" i="1" s="1"/>
  <c r="T26" i="1"/>
  <c r="G7" i="12"/>
  <c r="H7" i="12" s="1"/>
  <c r="I7" i="12" s="1"/>
  <c r="J7" i="12" s="1"/>
  <c r="Q7" i="12" s="1"/>
  <c r="R7" i="12" s="1"/>
  <c r="S7" i="12"/>
  <c r="W17" i="10"/>
  <c r="U27" i="10"/>
  <c r="AB30" i="10"/>
  <c r="U21" i="10"/>
  <c r="W29" i="10"/>
  <c r="AB24" i="10"/>
  <c r="T28" i="10"/>
  <c r="V28" i="10"/>
  <c r="V15" i="10"/>
  <c r="U22" i="10"/>
  <c r="P42" i="12"/>
  <c r="U17" i="12"/>
  <c r="O8" i="12"/>
  <c r="P27" i="12"/>
  <c r="N25" i="12"/>
  <c r="U25" i="12"/>
  <c r="N42" i="12"/>
  <c r="P21" i="12"/>
  <c r="U33" i="12"/>
  <c r="U6" i="12"/>
  <c r="N43" i="12"/>
  <c r="P24" i="1"/>
  <c r="Q5" i="1"/>
  <c r="V41" i="1"/>
  <c r="P20" i="1"/>
  <c r="V36" i="1"/>
  <c r="P18" i="1"/>
  <c r="O26" i="1"/>
  <c r="Q43" i="1"/>
  <c r="O33" i="1"/>
  <c r="Q6" i="1"/>
  <c r="U24" i="12"/>
  <c r="W30" i="10"/>
  <c r="T11" i="10"/>
  <c r="W26" i="10"/>
  <c r="AB10" i="10"/>
  <c r="W25" i="10"/>
  <c r="O24" i="12"/>
  <c r="P28" i="12"/>
  <c r="M40" i="12"/>
  <c r="P32" i="12"/>
  <c r="U27" i="12"/>
  <c r="U30" i="12"/>
  <c r="U38" i="12"/>
  <c r="N37" i="12"/>
  <c r="O13" i="12"/>
  <c r="O16" i="12"/>
  <c r="U12" i="12"/>
  <c r="N34" i="1"/>
  <c r="T7" i="1"/>
  <c r="H7" i="1"/>
  <c r="I7" i="1" s="1"/>
  <c r="J7" i="1" s="1"/>
  <c r="K7" i="1" s="1"/>
  <c r="R7" i="1" s="1"/>
  <c r="S7" i="1" s="1"/>
  <c r="G26" i="12"/>
  <c r="H26" i="12" s="1"/>
  <c r="I26" i="12" s="1"/>
  <c r="J26" i="12" s="1"/>
  <c r="Q26" i="12" s="1"/>
  <c r="R26" i="12" s="1"/>
  <c r="S26" i="12"/>
  <c r="U19" i="10"/>
  <c r="V24" i="10"/>
  <c r="AB32" i="10"/>
  <c r="V31" i="10"/>
  <c r="U33" i="10"/>
  <c r="W20" i="10"/>
  <c r="V27" i="10"/>
  <c r="V22" i="10"/>
  <c r="T32" i="10"/>
  <c r="T26" i="10"/>
  <c r="U11" i="10"/>
  <c r="W34" i="10"/>
  <c r="AB29" i="10"/>
  <c r="W27" i="10"/>
  <c r="T25" i="10"/>
  <c r="U17" i="10"/>
  <c r="U30" i="10"/>
  <c r="O42" i="12"/>
  <c r="O10" i="12"/>
  <c r="N36" i="12"/>
  <c r="P40" i="12"/>
  <c r="N39" i="12"/>
  <c r="P37" i="12"/>
  <c r="F44" i="12"/>
  <c r="O31" i="12"/>
  <c r="N41" i="12"/>
  <c r="M21" i="12"/>
  <c r="M24" i="12"/>
  <c r="N6" i="12"/>
  <c r="P24" i="12"/>
  <c r="N41" i="1"/>
  <c r="N12" i="1"/>
  <c r="N15" i="1"/>
  <c r="V18" i="1"/>
  <c r="P14" i="1"/>
  <c r="V32" i="1"/>
  <c r="V37" i="1"/>
  <c r="Q34" i="1"/>
  <c r="V28" i="1"/>
  <c r="T23" i="1"/>
  <c r="H23" i="1"/>
  <c r="I23" i="1" s="1"/>
  <c r="J23" i="1" s="1"/>
  <c r="K23" i="1" s="1"/>
  <c r="R23" i="1" s="1"/>
  <c r="S23" i="1" s="1"/>
  <c r="G10" i="12"/>
  <c r="H10" i="12" s="1"/>
  <c r="I10" i="12" s="1"/>
  <c r="J10" i="12" s="1"/>
  <c r="Q10" i="12" s="1"/>
  <c r="R10" i="12" s="1"/>
  <c r="S10" i="12"/>
  <c r="S43" i="12"/>
  <c r="G43" i="12"/>
  <c r="H43" i="12" s="1"/>
  <c r="I43" i="12" s="1"/>
  <c r="J43" i="12" s="1"/>
  <c r="Q43" i="12" s="1"/>
  <c r="R43" i="12" s="1"/>
  <c r="R36" i="1"/>
  <c r="S36" i="1" s="1"/>
  <c r="J27" i="1"/>
  <c r="K27" i="1" s="1"/>
  <c r="J15" i="1"/>
  <c r="K15" i="1" s="1"/>
  <c r="J33" i="1"/>
  <c r="K33" i="1" s="1"/>
  <c r="Q16" i="12"/>
  <c r="R16" i="12" s="1"/>
  <c r="Q40" i="12"/>
  <c r="R40" i="12" s="1"/>
  <c r="Q8" i="12"/>
  <c r="R8" i="12" s="1"/>
  <c r="Q24" i="12"/>
  <c r="R24" i="12" s="1"/>
  <c r="Q6" i="12"/>
  <c r="I23" i="12"/>
  <c r="J23" i="12" s="1"/>
  <c r="X94" i="10"/>
  <c r="Y94" i="10" s="1"/>
  <c r="X56" i="10"/>
  <c r="Y56" i="10" s="1"/>
  <c r="X67" i="10"/>
  <c r="Y67" i="10" s="1"/>
  <c r="X88" i="10"/>
  <c r="Y88" i="10" s="1"/>
  <c r="X97" i="10"/>
  <c r="Y97" i="10" s="1"/>
  <c r="X46" i="10"/>
  <c r="Y46" i="10" s="1"/>
  <c r="X48" i="10"/>
  <c r="Y48" i="10" s="1"/>
  <c r="X83" i="10"/>
  <c r="Y83" i="10" s="1"/>
  <c r="X89" i="10"/>
  <c r="Y89" i="10" s="1"/>
  <c r="X62" i="10"/>
  <c r="Y62" i="10" s="1"/>
  <c r="X63" i="10"/>
  <c r="Y63" i="10" s="1"/>
  <c r="X79" i="10"/>
  <c r="Y79" i="10" s="1"/>
  <c r="X74" i="10"/>
  <c r="Y74" i="10" s="1"/>
  <c r="X50" i="10"/>
  <c r="Y50" i="10" s="1"/>
  <c r="X95" i="10"/>
  <c r="Y95" i="10" s="1"/>
  <c r="X64" i="10"/>
  <c r="Y64" i="10" s="1"/>
  <c r="X96" i="10"/>
  <c r="Y96" i="10" s="1"/>
  <c r="X47" i="10"/>
  <c r="Y47" i="10" s="1"/>
  <c r="X51" i="10"/>
  <c r="Y51" i="10" s="1"/>
  <c r="X73" i="10"/>
  <c r="Y73" i="10" s="1"/>
  <c r="X82" i="10"/>
  <c r="Y82" i="10" s="1"/>
  <c r="X78" i="10"/>
  <c r="Y78" i="10" s="1"/>
  <c r="X80" i="10"/>
  <c r="Y80" i="10" s="1"/>
  <c r="X49" i="10"/>
  <c r="Y49" i="10" s="1"/>
  <c r="X66" i="10"/>
  <c r="Y66" i="10" s="1"/>
  <c r="X57" i="10"/>
  <c r="Y57" i="10" s="1"/>
  <c r="X42" i="10"/>
  <c r="Y42" i="10" s="1"/>
  <c r="X58" i="10"/>
  <c r="Y58" i="10" s="1"/>
  <c r="X41" i="10"/>
  <c r="Y41" i="10" s="1"/>
  <c r="X90" i="10"/>
  <c r="Y90" i="10" s="1"/>
  <c r="X81" i="10"/>
  <c r="Y81" i="10" s="1"/>
  <c r="X72" i="10"/>
  <c r="Y72" i="10" s="1"/>
  <c r="X65" i="10"/>
  <c r="Y65" i="10" s="1"/>
  <c r="R31" i="1"/>
  <c r="S31" i="1" s="1"/>
  <c r="R29" i="1"/>
  <c r="S29" i="1" s="1"/>
  <c r="R20" i="1"/>
  <c r="S20" i="1" s="1"/>
  <c r="R24" i="1"/>
  <c r="S24" i="1" s="1"/>
  <c r="R34" i="1"/>
  <c r="S34" i="1" s="1"/>
  <c r="R25" i="1"/>
  <c r="S25" i="1" s="1"/>
  <c r="R21" i="1"/>
  <c r="S21" i="1" s="1"/>
  <c r="R28" i="1"/>
  <c r="S28" i="1" s="1"/>
  <c r="R35" i="1"/>
  <c r="S35" i="1" s="1"/>
  <c r="R18" i="1"/>
  <c r="S18" i="1" s="1"/>
  <c r="R14" i="1"/>
  <c r="S14" i="1" s="1"/>
  <c r="R17" i="1"/>
  <c r="S17" i="1" s="1"/>
  <c r="R30" i="1"/>
  <c r="S30" i="1" s="1"/>
  <c r="L26" i="2" l="1"/>
  <c r="L2" i="2" s="1"/>
  <c r="L55" i="2"/>
  <c r="L60" i="2" s="1"/>
  <c r="J46" i="2"/>
  <c r="J47" i="2" s="1"/>
  <c r="J61" i="2" s="1"/>
  <c r="I26" i="2"/>
  <c r="I2" i="2" s="1"/>
  <c r="I30" i="2"/>
  <c r="I55" i="2" s="1"/>
  <c r="I60" i="2" s="1"/>
  <c r="H30" i="2"/>
  <c r="I46" i="2"/>
  <c r="I47" i="2" s="1"/>
  <c r="I61" i="2" s="1"/>
  <c r="H26" i="2"/>
  <c r="H2" i="2" s="1"/>
  <c r="D46" i="2"/>
  <c r="D53" i="2" s="1"/>
  <c r="E25" i="2"/>
  <c r="E26" i="2" s="1"/>
  <c r="E2" i="2" s="1"/>
  <c r="D55" i="2"/>
  <c r="L46" i="2"/>
  <c r="L53" i="2" s="1"/>
  <c r="F46" i="2"/>
  <c r="F47" i="2" s="1"/>
  <c r="G25" i="2"/>
  <c r="G26" i="2" s="1"/>
  <c r="G2" i="2" s="1"/>
  <c r="K25" i="2"/>
  <c r="K26" i="2" s="1"/>
  <c r="K2" i="2" s="1"/>
  <c r="C46" i="2"/>
  <c r="C47" i="2" s="1"/>
  <c r="C48" i="2" s="1"/>
  <c r="K30" i="2"/>
  <c r="G30" i="2"/>
  <c r="E30" i="2"/>
  <c r="C55" i="2"/>
  <c r="F55" i="2"/>
  <c r="F60" i="2" s="1"/>
  <c r="I53" i="2"/>
  <c r="H55" i="2"/>
  <c r="H60" i="2" s="1"/>
  <c r="H46" i="2"/>
  <c r="R18" i="18"/>
  <c r="S18" i="18" s="1"/>
  <c r="R84" i="18"/>
  <c r="S84" i="18" s="1"/>
  <c r="R74" i="18"/>
  <c r="S74" i="18" s="1"/>
  <c r="R37" i="18"/>
  <c r="S37" i="18" s="1"/>
  <c r="R52" i="18"/>
  <c r="S52" i="18" s="1"/>
  <c r="R68" i="18"/>
  <c r="S68" i="18" s="1"/>
  <c r="J22" i="12"/>
  <c r="Q22" i="12" s="1"/>
  <c r="R22" i="12" s="1"/>
  <c r="O44" i="1"/>
  <c r="Q44" i="1"/>
  <c r="Q12" i="12"/>
  <c r="R12" i="12" s="1"/>
  <c r="N44" i="12"/>
  <c r="H44" i="1"/>
  <c r="O44" i="12"/>
  <c r="U44" i="12"/>
  <c r="P44" i="12"/>
  <c r="N44" i="1"/>
  <c r="I30" i="12"/>
  <c r="J30" i="12" s="1"/>
  <c r="R26" i="1"/>
  <c r="S26" i="1" s="1"/>
  <c r="P44" i="1"/>
  <c r="V44" i="1"/>
  <c r="I28" i="12"/>
  <c r="J28" i="12" s="1"/>
  <c r="M44" i="12"/>
  <c r="I44" i="1"/>
  <c r="T44" i="1"/>
  <c r="J16" i="1"/>
  <c r="K16" i="1" s="1"/>
  <c r="R16" i="1" s="1"/>
  <c r="S16" i="1" s="1"/>
  <c r="J6" i="1"/>
  <c r="G44" i="12"/>
  <c r="J9" i="1"/>
  <c r="K9" i="1" s="1"/>
  <c r="I29" i="12"/>
  <c r="J29" i="12" s="1"/>
  <c r="Q29" i="12" s="1"/>
  <c r="R29" i="12" s="1"/>
  <c r="S44" i="12"/>
  <c r="I13" i="12"/>
  <c r="J13" i="12" s="1"/>
  <c r="R27" i="1"/>
  <c r="S27" i="1" s="1"/>
  <c r="Q23" i="12"/>
  <c r="R23" i="12" s="1"/>
  <c r="R33" i="1"/>
  <c r="S33" i="1" s="1"/>
  <c r="R6" i="12"/>
  <c r="Q34" i="12"/>
  <c r="R34" i="12" s="1"/>
  <c r="I19" i="12"/>
  <c r="H44" i="12"/>
  <c r="R15" i="1"/>
  <c r="S15" i="1" s="1"/>
  <c r="J53" i="2" l="1"/>
  <c r="K55" i="2"/>
  <c r="K60" i="2" s="1"/>
  <c r="F48" i="2"/>
  <c r="T6" i="6" s="1"/>
  <c r="F61" i="2"/>
  <c r="I48" i="2"/>
  <c r="T9" i="6" s="1"/>
  <c r="J48" i="2"/>
  <c r="T10" i="6" s="1"/>
  <c r="F53" i="2"/>
  <c r="D47" i="2"/>
  <c r="D48" i="2" s="1"/>
  <c r="T4" i="6" s="1"/>
  <c r="E46" i="2"/>
  <c r="E47" i="2" s="1"/>
  <c r="C53" i="2"/>
  <c r="L47" i="2"/>
  <c r="L61" i="2" s="1"/>
  <c r="G46" i="2"/>
  <c r="I3" i="2"/>
  <c r="I49" i="2"/>
  <c r="D49" i="2"/>
  <c r="D50" i="2" s="1"/>
  <c r="D3" i="2"/>
  <c r="A2" i="4" s="1"/>
  <c r="E55" i="2"/>
  <c r="K46" i="2"/>
  <c r="H47" i="2"/>
  <c r="H61" i="2" s="1"/>
  <c r="H53" i="2"/>
  <c r="C3" i="2"/>
  <c r="C49" i="2"/>
  <c r="C50" i="2" s="1"/>
  <c r="C58" i="2" s="1"/>
  <c r="F49" i="2"/>
  <c r="F3" i="2"/>
  <c r="G55" i="2"/>
  <c r="G60" i="2" s="1"/>
  <c r="J44" i="1"/>
  <c r="R9" i="1"/>
  <c r="S9" i="1" s="1"/>
  <c r="I44" i="12"/>
  <c r="Q13" i="12"/>
  <c r="R13" i="12" s="1"/>
  <c r="K6" i="1"/>
  <c r="Q30" i="12"/>
  <c r="R30" i="12" s="1"/>
  <c r="Q28" i="12"/>
  <c r="R28" i="12" s="1"/>
  <c r="J19" i="12"/>
  <c r="J49" i="2" l="1"/>
  <c r="E53" i="2"/>
  <c r="E60" i="2"/>
  <c r="M60" i="2" s="1"/>
  <c r="J3" i="2"/>
  <c r="E48" i="2"/>
  <c r="T5" i="6" s="1"/>
  <c r="E61" i="2"/>
  <c r="F50" i="2"/>
  <c r="F58" i="2" s="1"/>
  <c r="F62" i="2"/>
  <c r="I50" i="2"/>
  <c r="I58" i="2" s="1"/>
  <c r="I62" i="2"/>
  <c r="J50" i="2"/>
  <c r="J58" i="2" s="1"/>
  <c r="J62" i="2"/>
  <c r="H48" i="2"/>
  <c r="T8" i="6" s="1"/>
  <c r="L48" i="2"/>
  <c r="L3" i="2" s="1"/>
  <c r="D58" i="2"/>
  <c r="S4" i="6"/>
  <c r="G53" i="2"/>
  <c r="G47" i="2"/>
  <c r="G61" i="2" s="1"/>
  <c r="L101" i="18"/>
  <c r="L77" i="18"/>
  <c r="L65" i="18"/>
  <c r="L53" i="18"/>
  <c r="L41" i="18"/>
  <c r="L31" i="18"/>
  <c r="L9" i="18"/>
  <c r="L75" i="18"/>
  <c r="L52" i="18"/>
  <c r="L40" i="18"/>
  <c r="L19" i="18"/>
  <c r="L18" i="18"/>
  <c r="L6" i="18"/>
  <c r="L10" i="18"/>
  <c r="L100" i="18"/>
  <c r="L88" i="18"/>
  <c r="L76" i="18"/>
  <c r="L64" i="18"/>
  <c r="L20" i="18"/>
  <c r="L8" i="18"/>
  <c r="L30" i="18"/>
  <c r="L29" i="18"/>
  <c r="L21" i="18"/>
  <c r="L99" i="18"/>
  <c r="L63" i="18"/>
  <c r="L111" i="18"/>
  <c r="L98" i="18"/>
  <c r="L87" i="18"/>
  <c r="L51" i="18"/>
  <c r="L7" i="18"/>
  <c r="L110" i="18"/>
  <c r="L86" i="18"/>
  <c r="L74" i="18"/>
  <c r="L62" i="18"/>
  <c r="L39" i="18"/>
  <c r="L97" i="18"/>
  <c r="L85" i="18"/>
  <c r="L73" i="18"/>
  <c r="L50" i="18"/>
  <c r="L38" i="18"/>
  <c r="L28" i="18"/>
  <c r="L5" i="18"/>
  <c r="L96" i="18"/>
  <c r="L61" i="18"/>
  <c r="L37" i="18"/>
  <c r="L27" i="18"/>
  <c r="L17" i="18"/>
  <c r="L49" i="18"/>
  <c r="L26" i="18"/>
  <c r="L16" i="18"/>
  <c r="L109" i="18"/>
  <c r="L84" i="18"/>
  <c r="L108" i="18"/>
  <c r="L95" i="18"/>
  <c r="L83" i="18"/>
  <c r="L72" i="18"/>
  <c r="L60" i="18"/>
  <c r="L107" i="18"/>
  <c r="L94" i="18"/>
  <c r="L71" i="18"/>
  <c r="L59" i="18"/>
  <c r="L48" i="18"/>
  <c r="L36" i="18"/>
  <c r="L15" i="18"/>
  <c r="L82" i="18"/>
  <c r="L70" i="18"/>
  <c r="L58" i="18"/>
  <c r="L47" i="18"/>
  <c r="L35" i="18"/>
  <c r="L25" i="18"/>
  <c r="L14" i="18"/>
  <c r="L80" i="18"/>
  <c r="L23" i="18"/>
  <c r="L43" i="18"/>
  <c r="L54" i="18"/>
  <c r="L106" i="18"/>
  <c r="L93" i="18"/>
  <c r="L69" i="18"/>
  <c r="L57" i="18"/>
  <c r="L24" i="18"/>
  <c r="L91" i="18"/>
  <c r="L34" i="18"/>
  <c r="L33" i="18"/>
  <c r="L42" i="18"/>
  <c r="L105" i="18"/>
  <c r="L92" i="18"/>
  <c r="L81" i="18"/>
  <c r="L68" i="18"/>
  <c r="L46" i="18"/>
  <c r="L13" i="18"/>
  <c r="L67" i="18"/>
  <c r="L45" i="18"/>
  <c r="L12" i="18"/>
  <c r="L102" i="18"/>
  <c r="L56" i="18"/>
  <c r="L104" i="18"/>
  <c r="L79" i="18"/>
  <c r="L44" i="18"/>
  <c r="L22" i="18"/>
  <c r="L11" i="18"/>
  <c r="L103" i="18"/>
  <c r="L90" i="18"/>
  <c r="L78" i="18"/>
  <c r="L66" i="18"/>
  <c r="L55" i="18"/>
  <c r="L89" i="18"/>
  <c r="L32" i="18"/>
  <c r="K37" i="12"/>
  <c r="K21" i="12"/>
  <c r="K5" i="12"/>
  <c r="L35" i="1"/>
  <c r="L29" i="1"/>
  <c r="L23" i="1"/>
  <c r="L21" i="1"/>
  <c r="K38" i="12"/>
  <c r="L22" i="1"/>
  <c r="K36" i="12"/>
  <c r="K20" i="12"/>
  <c r="L19" i="1"/>
  <c r="L13" i="1"/>
  <c r="K35" i="12"/>
  <c r="K19" i="12"/>
  <c r="V19" i="12" s="1"/>
  <c r="L33" i="1"/>
  <c r="L40" i="1"/>
  <c r="L41" i="1"/>
  <c r="L9" i="1"/>
  <c r="U9" i="1" s="1"/>
  <c r="X9" i="1" s="1"/>
  <c r="L42" i="1"/>
  <c r="K34" i="12"/>
  <c r="K18" i="12"/>
  <c r="L39" i="1"/>
  <c r="L5" i="1"/>
  <c r="L20" i="1"/>
  <c r="L7" i="1"/>
  <c r="K22" i="12"/>
  <c r="K33" i="12"/>
  <c r="K17" i="12"/>
  <c r="L34" i="1"/>
  <c r="L28" i="1"/>
  <c r="L8" i="1"/>
  <c r="K32" i="12"/>
  <c r="K16" i="12"/>
  <c r="L18" i="1"/>
  <c r="L12" i="1"/>
  <c r="L38" i="1"/>
  <c r="L10" i="1"/>
  <c r="K31" i="12"/>
  <c r="K15" i="12"/>
  <c r="L17" i="1"/>
  <c r="L36" i="1"/>
  <c r="K43" i="12"/>
  <c r="K30" i="12"/>
  <c r="V30" i="12" s="1"/>
  <c r="K14" i="12"/>
  <c r="L6" i="1"/>
  <c r="W6" i="1" s="1"/>
  <c r="L25" i="1"/>
  <c r="K29" i="12"/>
  <c r="K13" i="12"/>
  <c r="V13" i="12" s="1"/>
  <c r="L32" i="1"/>
  <c r="L43" i="1"/>
  <c r="L15" i="1"/>
  <c r="K6" i="12"/>
  <c r="K42" i="12"/>
  <c r="K28" i="12"/>
  <c r="V28" i="12" s="1"/>
  <c r="K12" i="12"/>
  <c r="L16" i="1"/>
  <c r="L27" i="1"/>
  <c r="L14" i="1"/>
  <c r="L26" i="1"/>
  <c r="K27" i="12"/>
  <c r="K11" i="12"/>
  <c r="L11" i="1"/>
  <c r="K41" i="12"/>
  <c r="K26" i="12"/>
  <c r="K10" i="12"/>
  <c r="L31" i="1"/>
  <c r="L24" i="1"/>
  <c r="K40" i="12"/>
  <c r="K25" i="12"/>
  <c r="K9" i="12"/>
  <c r="K24" i="12"/>
  <c r="K8" i="12"/>
  <c r="L30" i="1"/>
  <c r="L37" i="1"/>
  <c r="K39" i="12"/>
  <c r="K23" i="12"/>
  <c r="K7" i="12"/>
  <c r="H3" i="2"/>
  <c r="K53" i="2"/>
  <c r="K47" i="2"/>
  <c r="K61" i="2" s="1"/>
  <c r="E49" i="2"/>
  <c r="E3" i="2"/>
  <c r="R6" i="1"/>
  <c r="K44" i="1"/>
  <c r="Q19" i="12"/>
  <c r="J44" i="12"/>
  <c r="S9" i="6" l="1"/>
  <c r="S6" i="6"/>
  <c r="H49" i="2"/>
  <c r="T12" i="6"/>
  <c r="L49" i="2"/>
  <c r="S10" i="6"/>
  <c r="E50" i="2"/>
  <c r="E62" i="2"/>
  <c r="H50" i="2"/>
  <c r="H62" i="2"/>
  <c r="L50" i="2"/>
  <c r="L62" i="2"/>
  <c r="G48" i="2"/>
  <c r="T7" i="6" s="1"/>
  <c r="K48" i="2"/>
  <c r="T11" i="6" s="1"/>
  <c r="Q33" i="10"/>
  <c r="AC33" i="10" s="1"/>
  <c r="Q52" i="10"/>
  <c r="AA52" i="10" s="1"/>
  <c r="AD52" i="10" s="1"/>
  <c r="Q16" i="10"/>
  <c r="AC16" i="10" s="1"/>
  <c r="Q84" i="10"/>
  <c r="AC84" i="10" s="1"/>
  <c r="Q94" i="10"/>
  <c r="AC94" i="10" s="1"/>
  <c r="Q62" i="10"/>
  <c r="AC62" i="10" s="1"/>
  <c r="Q93" i="10"/>
  <c r="AC93" i="10" s="1"/>
  <c r="Q60" i="10"/>
  <c r="AC60" i="10" s="1"/>
  <c r="Q91" i="10"/>
  <c r="AC91" i="10" s="1"/>
  <c r="Q42" i="10"/>
  <c r="AC42" i="10" s="1"/>
  <c r="Q8" i="10"/>
  <c r="AC8" i="10" s="1"/>
  <c r="Q20" i="10"/>
  <c r="AC20" i="10" s="1"/>
  <c r="Q105" i="10"/>
  <c r="AA105" i="10" s="1"/>
  <c r="AD105" i="10" s="1"/>
  <c r="Q67" i="10"/>
  <c r="AC67" i="10" s="1"/>
  <c r="Q56" i="10"/>
  <c r="AC56" i="10" s="1"/>
  <c r="Q103" i="10"/>
  <c r="AC103" i="10" s="1"/>
  <c r="Q39" i="10"/>
  <c r="AC39" i="10" s="1"/>
  <c r="Q102" i="10"/>
  <c r="AC102" i="10" s="1"/>
  <c r="Q21" i="10"/>
  <c r="AC21" i="10" s="1"/>
  <c r="Q98" i="10"/>
  <c r="AA98" i="10" s="1"/>
  <c r="AD98" i="10" s="1"/>
  <c r="Q66" i="10"/>
  <c r="AC66" i="10" s="1"/>
  <c r="Q50" i="10"/>
  <c r="AC50" i="10" s="1"/>
  <c r="Q34" i="10"/>
  <c r="AA34" i="10" s="1"/>
  <c r="AD34" i="10" s="1"/>
  <c r="Q112" i="10"/>
  <c r="AA112" i="10" s="1"/>
  <c r="AD112" i="10" s="1"/>
  <c r="Q111" i="10"/>
  <c r="AC111" i="10" s="1"/>
  <c r="Q95" i="10"/>
  <c r="AA95" i="10" s="1"/>
  <c r="AD95" i="10" s="1"/>
  <c r="Q47" i="10"/>
  <c r="AC47" i="10" s="1"/>
  <c r="Q15" i="10"/>
  <c r="AC15" i="10" s="1"/>
  <c r="Q110" i="10"/>
  <c r="AC110" i="10" s="1"/>
  <c r="Q46" i="10"/>
  <c r="AC46" i="10" s="1"/>
  <c r="Q30" i="10"/>
  <c r="AA30" i="10" s="1"/>
  <c r="AD30" i="10" s="1"/>
  <c r="Q19" i="10"/>
  <c r="AC19" i="10" s="1"/>
  <c r="Q61" i="10"/>
  <c r="AC61" i="10" s="1"/>
  <c r="Q45" i="10"/>
  <c r="AC45" i="10" s="1"/>
  <c r="Q85" i="10"/>
  <c r="AA85" i="10" s="1"/>
  <c r="AD85" i="10" s="1"/>
  <c r="Q68" i="10"/>
  <c r="AA68" i="10" s="1"/>
  <c r="AD68" i="10" s="1"/>
  <c r="Q108" i="10"/>
  <c r="AC108" i="10" s="1"/>
  <c r="Q92" i="10"/>
  <c r="AC92" i="10" s="1"/>
  <c r="Q76" i="10"/>
  <c r="AC76" i="10" s="1"/>
  <c r="Q44" i="10"/>
  <c r="AC44" i="10" s="1"/>
  <c r="Q75" i="10"/>
  <c r="AA75" i="10" s="1"/>
  <c r="AD75" i="10" s="1"/>
  <c r="Q59" i="10"/>
  <c r="AC59" i="10" s="1"/>
  <c r="Q43" i="10"/>
  <c r="AC43" i="10" s="1"/>
  <c r="Q27" i="10"/>
  <c r="AC27" i="10" s="1"/>
  <c r="Q11" i="10"/>
  <c r="AC11" i="10" s="1"/>
  <c r="Q10" i="10"/>
  <c r="AA10" i="10" s="1"/>
  <c r="AD10" i="10" s="1"/>
  <c r="Q5" i="10"/>
  <c r="AC5" i="10" s="1"/>
  <c r="Q35" i="10"/>
  <c r="AA35" i="10" s="1"/>
  <c r="AD35" i="10" s="1"/>
  <c r="Q106" i="10"/>
  <c r="AC106" i="10" s="1"/>
  <c r="Q58" i="10"/>
  <c r="AC58" i="10" s="1"/>
  <c r="Q26" i="10"/>
  <c r="AC26" i="10" s="1"/>
  <c r="Q57" i="10"/>
  <c r="AC57" i="10" s="1"/>
  <c r="Q25" i="10"/>
  <c r="AC25" i="10" s="1"/>
  <c r="Q9" i="10"/>
  <c r="AC9" i="10" s="1"/>
  <c r="Q88" i="10"/>
  <c r="AA88" i="10" s="1"/>
  <c r="AD88" i="10" s="1"/>
  <c r="Q87" i="10"/>
  <c r="AC87" i="10" s="1"/>
  <c r="Q7" i="10"/>
  <c r="AC7" i="10" s="1"/>
  <c r="Q53" i="10"/>
  <c r="AC53" i="10" s="1"/>
  <c r="Q99" i="10"/>
  <c r="AA99" i="10" s="1"/>
  <c r="AD99" i="10" s="1"/>
  <c r="Q54" i="10"/>
  <c r="AC54" i="10" s="1"/>
  <c r="Q38" i="10"/>
  <c r="AC38" i="10" s="1"/>
  <c r="Q22" i="10"/>
  <c r="AA22" i="10" s="1"/>
  <c r="AD22" i="10" s="1"/>
  <c r="Q6" i="10"/>
  <c r="AC6" i="10" s="1"/>
  <c r="Q101" i="10"/>
  <c r="AA101" i="10" s="1"/>
  <c r="AD101" i="10" s="1"/>
  <c r="E58" i="2"/>
  <c r="S5" i="6"/>
  <c r="L58" i="2"/>
  <c r="S12" i="6"/>
  <c r="H58" i="2"/>
  <c r="S8" i="6"/>
  <c r="R18" i="10"/>
  <c r="R9" i="10"/>
  <c r="R42" i="10"/>
  <c r="R8" i="10"/>
  <c r="R7" i="10"/>
  <c r="R5" i="10"/>
  <c r="R46" i="10"/>
  <c r="R21" i="10"/>
  <c r="R45" i="10"/>
  <c r="T30" i="12"/>
  <c r="W30" i="12" s="1"/>
  <c r="X30" i="12" s="1"/>
  <c r="G49" i="2"/>
  <c r="G3" i="2"/>
  <c r="T13" i="12"/>
  <c r="W13" i="12" s="1"/>
  <c r="X13" i="12" s="1"/>
  <c r="T28" i="12"/>
  <c r="W28" i="12" s="1"/>
  <c r="X28" i="12" s="1"/>
  <c r="K3" i="2"/>
  <c r="K49" i="2"/>
  <c r="K62" i="2" s="1"/>
  <c r="V23" i="12"/>
  <c r="T23" i="12"/>
  <c r="W23" i="12" s="1"/>
  <c r="T35" i="12"/>
  <c r="W35" i="12" s="1"/>
  <c r="V35" i="12"/>
  <c r="W44" i="18"/>
  <c r="U44" i="18"/>
  <c r="X44" i="18" s="1"/>
  <c r="W51" i="18"/>
  <c r="U51" i="18"/>
  <c r="X51" i="18" s="1"/>
  <c r="W10" i="18"/>
  <c r="U10" i="18"/>
  <c r="X10" i="18" s="1"/>
  <c r="W65" i="18"/>
  <c r="U65" i="18"/>
  <c r="X65" i="18" s="1"/>
  <c r="W26" i="1"/>
  <c r="U26" i="1"/>
  <c r="X26" i="1" s="1"/>
  <c r="T17" i="12"/>
  <c r="W17" i="12" s="1"/>
  <c r="V17" i="12"/>
  <c r="W13" i="1"/>
  <c r="U13" i="1"/>
  <c r="X13" i="1" s="1"/>
  <c r="W79" i="18"/>
  <c r="U79" i="18"/>
  <c r="X79" i="18" s="1"/>
  <c r="W23" i="18"/>
  <c r="U23" i="18"/>
  <c r="X23" i="18" s="1"/>
  <c r="W15" i="18"/>
  <c r="U15" i="18"/>
  <c r="X15" i="18" s="1"/>
  <c r="W87" i="18"/>
  <c r="U87" i="18"/>
  <c r="X87" i="18" s="1"/>
  <c r="W30" i="18"/>
  <c r="U30" i="18"/>
  <c r="X30" i="18" s="1"/>
  <c r="W19" i="18"/>
  <c r="U19" i="18"/>
  <c r="X19" i="18" s="1"/>
  <c r="W77" i="18"/>
  <c r="U77" i="18"/>
  <c r="X77" i="18" s="1"/>
  <c r="W34" i="18"/>
  <c r="U34" i="18"/>
  <c r="X34" i="18" s="1"/>
  <c r="W41" i="18"/>
  <c r="U41" i="18"/>
  <c r="X41" i="18" s="1"/>
  <c r="V7" i="12"/>
  <c r="T7" i="12"/>
  <c r="W7" i="12" s="1"/>
  <c r="W53" i="18"/>
  <c r="U53" i="18"/>
  <c r="X53" i="18" s="1"/>
  <c r="W80" i="18"/>
  <c r="U80" i="18"/>
  <c r="X80" i="18" s="1"/>
  <c r="W36" i="18"/>
  <c r="U36" i="18"/>
  <c r="X36" i="18" s="1"/>
  <c r="W98" i="18"/>
  <c r="U98" i="18"/>
  <c r="X98" i="18" s="1"/>
  <c r="W40" i="18"/>
  <c r="U40" i="18"/>
  <c r="X40" i="18" s="1"/>
  <c r="W101" i="18"/>
  <c r="U101" i="18"/>
  <c r="X101" i="18" s="1"/>
  <c r="W37" i="1"/>
  <c r="U37" i="1"/>
  <c r="X37" i="1" s="1"/>
  <c r="T43" i="12"/>
  <c r="W43" i="12" s="1"/>
  <c r="V43" i="12"/>
  <c r="V33" i="12"/>
  <c r="T33" i="12"/>
  <c r="W33" i="12" s="1"/>
  <c r="U19" i="1"/>
  <c r="X19" i="1" s="1"/>
  <c r="W19" i="1"/>
  <c r="W104" i="18"/>
  <c r="U104" i="18"/>
  <c r="X104" i="18" s="1"/>
  <c r="W13" i="18"/>
  <c r="U13" i="18"/>
  <c r="X13" i="18" s="1"/>
  <c r="W30" i="1"/>
  <c r="U30" i="1"/>
  <c r="X30" i="1" s="1"/>
  <c r="W36" i="1"/>
  <c r="U36" i="1"/>
  <c r="X36" i="1" s="1"/>
  <c r="T20" i="12"/>
  <c r="W20" i="12" s="1"/>
  <c r="V20" i="12"/>
  <c r="W55" i="18"/>
  <c r="U55" i="18"/>
  <c r="X55" i="18" s="1"/>
  <c r="W46" i="18"/>
  <c r="U46" i="18"/>
  <c r="X46" i="18" s="1"/>
  <c r="W48" i="18"/>
  <c r="U48" i="18"/>
  <c r="X48" i="18" s="1"/>
  <c r="W5" i="18"/>
  <c r="U5" i="18"/>
  <c r="X5" i="18" s="1"/>
  <c r="W111" i="18"/>
  <c r="U111" i="18"/>
  <c r="X111" i="18" s="1"/>
  <c r="W52" i="18"/>
  <c r="U52" i="18"/>
  <c r="X52" i="18" s="1"/>
  <c r="W33" i="1"/>
  <c r="U33" i="1"/>
  <c r="X33" i="1" s="1"/>
  <c r="W70" i="18"/>
  <c r="U70" i="18"/>
  <c r="X70" i="18" s="1"/>
  <c r="U14" i="1"/>
  <c r="X14" i="1" s="1"/>
  <c r="W14" i="1"/>
  <c r="W27" i="1"/>
  <c r="U27" i="1"/>
  <c r="X27" i="1" s="1"/>
  <c r="V22" i="12"/>
  <c r="T22" i="12"/>
  <c r="W22" i="12" s="1"/>
  <c r="M5" i="1"/>
  <c r="T8" i="12"/>
  <c r="W8" i="12" s="1"/>
  <c r="V8" i="12"/>
  <c r="W16" i="1"/>
  <c r="U16" i="1"/>
  <c r="X16" i="1" s="1"/>
  <c r="W17" i="1"/>
  <c r="U17" i="1"/>
  <c r="X17" i="1" s="1"/>
  <c r="U7" i="1"/>
  <c r="X7" i="1" s="1"/>
  <c r="W7" i="1"/>
  <c r="V36" i="12"/>
  <c r="T36" i="12"/>
  <c r="W36" i="12" s="1"/>
  <c r="W66" i="18"/>
  <c r="U66" i="18"/>
  <c r="X66" i="18" s="1"/>
  <c r="W56" i="18"/>
  <c r="U56" i="18"/>
  <c r="X56" i="18" s="1"/>
  <c r="W68" i="18"/>
  <c r="U68" i="18"/>
  <c r="X68" i="18" s="1"/>
  <c r="W59" i="18"/>
  <c r="U59" i="18"/>
  <c r="X59" i="18" s="1"/>
  <c r="W28" i="18"/>
  <c r="U28" i="18"/>
  <c r="X28" i="18" s="1"/>
  <c r="W63" i="18"/>
  <c r="U63" i="18"/>
  <c r="X63" i="18" s="1"/>
  <c r="W75" i="18"/>
  <c r="U75" i="18"/>
  <c r="X75" i="18" s="1"/>
  <c r="W109" i="18"/>
  <c r="U109" i="18"/>
  <c r="X109" i="18" s="1"/>
  <c r="V11" i="12"/>
  <c r="T11" i="12"/>
  <c r="W11" i="12" s="1"/>
  <c r="W102" i="18"/>
  <c r="U102" i="18"/>
  <c r="X102" i="18" s="1"/>
  <c r="W99" i="18"/>
  <c r="U99" i="18"/>
  <c r="X99" i="18" s="1"/>
  <c r="W11" i="18"/>
  <c r="U11" i="18"/>
  <c r="X11" i="18" s="1"/>
  <c r="W89" i="18"/>
  <c r="U89" i="18"/>
  <c r="X89" i="18" s="1"/>
  <c r="V14" i="12"/>
  <c r="T14" i="12"/>
  <c r="W14" i="12" s="1"/>
  <c r="V15" i="12"/>
  <c r="T15" i="12"/>
  <c r="W15" i="12" s="1"/>
  <c r="W78" i="18"/>
  <c r="U78" i="18"/>
  <c r="X78" i="18" s="1"/>
  <c r="W81" i="18"/>
  <c r="U81" i="18"/>
  <c r="X81" i="18" s="1"/>
  <c r="W71" i="18"/>
  <c r="U71" i="18"/>
  <c r="X71" i="18" s="1"/>
  <c r="W38" i="18"/>
  <c r="U38" i="18"/>
  <c r="X38" i="18" s="1"/>
  <c r="T9" i="12"/>
  <c r="W9" i="12" s="1"/>
  <c r="V9" i="12"/>
  <c r="T31" i="12"/>
  <c r="W31" i="12" s="1"/>
  <c r="V31" i="12"/>
  <c r="W5" i="1"/>
  <c r="V38" i="12"/>
  <c r="T38" i="12"/>
  <c r="W38" i="12" s="1"/>
  <c r="W90" i="18"/>
  <c r="U90" i="18"/>
  <c r="X90" i="18" s="1"/>
  <c r="W92" i="18"/>
  <c r="U92" i="18"/>
  <c r="X92" i="18" s="1"/>
  <c r="W24" i="18"/>
  <c r="U24" i="18"/>
  <c r="X24" i="18" s="1"/>
  <c r="W94" i="18"/>
  <c r="U94" i="18"/>
  <c r="X94" i="18" s="1"/>
  <c r="W50" i="18"/>
  <c r="U50" i="18"/>
  <c r="X50" i="18" s="1"/>
  <c r="W21" i="18"/>
  <c r="U21" i="18"/>
  <c r="X21" i="18" s="1"/>
  <c r="U11" i="1"/>
  <c r="X11" i="1" s="1"/>
  <c r="W11" i="1"/>
  <c r="W110" i="18"/>
  <c r="U110" i="18"/>
  <c r="X110" i="18" s="1"/>
  <c r="W21" i="1"/>
  <c r="U21" i="1"/>
  <c r="X21" i="1" s="1"/>
  <c r="W103" i="18"/>
  <c r="U103" i="18"/>
  <c r="X103" i="18" s="1"/>
  <c r="W105" i="18"/>
  <c r="U105" i="18"/>
  <c r="X105" i="18" s="1"/>
  <c r="W57" i="18"/>
  <c r="U57" i="18"/>
  <c r="X57" i="18" s="1"/>
  <c r="W107" i="18"/>
  <c r="U107" i="18"/>
  <c r="X107" i="18" s="1"/>
  <c r="W17" i="18"/>
  <c r="U17" i="18"/>
  <c r="X17" i="18" s="1"/>
  <c r="W73" i="18"/>
  <c r="U73" i="18"/>
  <c r="X73" i="18" s="1"/>
  <c r="W6" i="18"/>
  <c r="U6" i="18"/>
  <c r="X6" i="18" s="1"/>
  <c r="W25" i="1"/>
  <c r="U25" i="1"/>
  <c r="X25" i="1" s="1"/>
  <c r="W43" i="18"/>
  <c r="U43" i="18"/>
  <c r="X43" i="18" s="1"/>
  <c r="W100" i="18"/>
  <c r="U100" i="18"/>
  <c r="X100" i="18" s="1"/>
  <c r="T27" i="12"/>
  <c r="W27" i="12" s="1"/>
  <c r="V27" i="12"/>
  <c r="V12" i="12"/>
  <c r="T12" i="12"/>
  <c r="W12" i="12" s="1"/>
  <c r="U22" i="1"/>
  <c r="X22" i="1" s="1"/>
  <c r="W22" i="1"/>
  <c r="U39" i="1"/>
  <c r="X39" i="1" s="1"/>
  <c r="W39" i="1"/>
  <c r="V40" i="12"/>
  <c r="T40" i="12"/>
  <c r="W40" i="12" s="1"/>
  <c r="V6" i="12"/>
  <c r="T6" i="12"/>
  <c r="W6" i="12" s="1"/>
  <c r="W38" i="1"/>
  <c r="U38" i="1"/>
  <c r="X38" i="1" s="1"/>
  <c r="V18" i="12"/>
  <c r="T18" i="12"/>
  <c r="W18" i="12" s="1"/>
  <c r="W23" i="1"/>
  <c r="U23" i="1"/>
  <c r="X23" i="1" s="1"/>
  <c r="W69" i="18"/>
  <c r="U69" i="18"/>
  <c r="X69" i="18" s="1"/>
  <c r="W60" i="18"/>
  <c r="U60" i="18"/>
  <c r="X60" i="18" s="1"/>
  <c r="W27" i="18"/>
  <c r="U27" i="18"/>
  <c r="X27" i="18" s="1"/>
  <c r="W85" i="18"/>
  <c r="U85" i="18"/>
  <c r="X85" i="18" s="1"/>
  <c r="W18" i="18"/>
  <c r="U18" i="18"/>
  <c r="X18" i="18" s="1"/>
  <c r="W7" i="18"/>
  <c r="U7" i="18"/>
  <c r="X7" i="18" s="1"/>
  <c r="V34" i="12"/>
  <c r="T34" i="12"/>
  <c r="W34" i="12" s="1"/>
  <c r="W12" i="18"/>
  <c r="U12" i="18"/>
  <c r="X12" i="18" s="1"/>
  <c r="W42" i="18"/>
  <c r="U42" i="18"/>
  <c r="X42" i="18" s="1"/>
  <c r="W93" i="18"/>
  <c r="U93" i="18"/>
  <c r="X93" i="18" s="1"/>
  <c r="W14" i="18"/>
  <c r="U14" i="18"/>
  <c r="X14" i="18" s="1"/>
  <c r="W72" i="18"/>
  <c r="U72" i="18"/>
  <c r="X72" i="18" s="1"/>
  <c r="W37" i="18"/>
  <c r="U37" i="18"/>
  <c r="X37" i="18" s="1"/>
  <c r="W97" i="18"/>
  <c r="U97" i="18"/>
  <c r="X97" i="18" s="1"/>
  <c r="W8" i="18"/>
  <c r="U8" i="18"/>
  <c r="X8" i="18" s="1"/>
  <c r="U20" i="1"/>
  <c r="X20" i="1" s="1"/>
  <c r="W20" i="1"/>
  <c r="U24" i="1"/>
  <c r="X24" i="1" s="1"/>
  <c r="W24" i="1"/>
  <c r="W15" i="1"/>
  <c r="U15" i="1"/>
  <c r="X15" i="1" s="1"/>
  <c r="U29" i="1"/>
  <c r="X29" i="1" s="1"/>
  <c r="W29" i="1"/>
  <c r="U31" i="1"/>
  <c r="X31" i="1" s="1"/>
  <c r="W31" i="1"/>
  <c r="W43" i="1"/>
  <c r="U43" i="1"/>
  <c r="X43" i="1" s="1"/>
  <c r="W18" i="1"/>
  <c r="U18" i="1"/>
  <c r="X18" i="1" s="1"/>
  <c r="W42" i="1"/>
  <c r="U42" i="1"/>
  <c r="X42" i="1" s="1"/>
  <c r="W35" i="1"/>
  <c r="U35" i="1"/>
  <c r="X35" i="1" s="1"/>
  <c r="W45" i="18"/>
  <c r="U45" i="18"/>
  <c r="X45" i="18" s="1"/>
  <c r="W106" i="18"/>
  <c r="U106" i="18"/>
  <c r="X106" i="18" s="1"/>
  <c r="W25" i="18"/>
  <c r="U25" i="18"/>
  <c r="X25" i="18" s="1"/>
  <c r="W83" i="18"/>
  <c r="U83" i="18"/>
  <c r="X83" i="18" s="1"/>
  <c r="W61" i="18"/>
  <c r="U61" i="18"/>
  <c r="X61" i="18" s="1"/>
  <c r="W39" i="18"/>
  <c r="U39" i="18"/>
  <c r="X39" i="18" s="1"/>
  <c r="W29" i="18"/>
  <c r="U29" i="18"/>
  <c r="X29" i="18" s="1"/>
  <c r="U20" i="18"/>
  <c r="X20" i="18" s="1"/>
  <c r="W20" i="18"/>
  <c r="W49" i="18"/>
  <c r="U49" i="18"/>
  <c r="X49" i="18" s="1"/>
  <c r="U34" i="1"/>
  <c r="X34" i="1" s="1"/>
  <c r="W34" i="1"/>
  <c r="W91" i="18"/>
  <c r="U91" i="18"/>
  <c r="X91" i="18" s="1"/>
  <c r="L44" i="1"/>
  <c r="W9" i="1"/>
  <c r="Y9" i="1" s="1"/>
  <c r="W67" i="18"/>
  <c r="U67" i="18"/>
  <c r="X67" i="18" s="1"/>
  <c r="W33" i="18"/>
  <c r="U33" i="18"/>
  <c r="X33" i="18" s="1"/>
  <c r="W35" i="18"/>
  <c r="U35" i="18"/>
  <c r="X35" i="18" s="1"/>
  <c r="W95" i="18"/>
  <c r="U95" i="18"/>
  <c r="X95" i="18" s="1"/>
  <c r="W96" i="18"/>
  <c r="U96" i="18"/>
  <c r="X96" i="18" s="1"/>
  <c r="W62" i="18"/>
  <c r="U62" i="18"/>
  <c r="X62" i="18" s="1"/>
  <c r="W64" i="18"/>
  <c r="U64" i="18"/>
  <c r="X64" i="18" s="1"/>
  <c r="W32" i="18"/>
  <c r="U32" i="18"/>
  <c r="X32" i="18" s="1"/>
  <c r="W22" i="18"/>
  <c r="U22" i="18"/>
  <c r="X22" i="18" s="1"/>
  <c r="W16" i="18"/>
  <c r="U16" i="18"/>
  <c r="X16" i="18" s="1"/>
  <c r="W74" i="18"/>
  <c r="U74" i="18"/>
  <c r="X74" i="18" s="1"/>
  <c r="W76" i="18"/>
  <c r="U76" i="18"/>
  <c r="X76" i="18" s="1"/>
  <c r="W9" i="18"/>
  <c r="U9" i="18"/>
  <c r="X9" i="18" s="1"/>
  <c r="W28" i="1"/>
  <c r="U28" i="1"/>
  <c r="X28" i="1" s="1"/>
  <c r="W82" i="18"/>
  <c r="U82" i="18"/>
  <c r="X82" i="18" s="1"/>
  <c r="T39" i="12"/>
  <c r="W39" i="12" s="1"/>
  <c r="V39" i="12"/>
  <c r="V24" i="12"/>
  <c r="T24" i="12"/>
  <c r="W24" i="12" s="1"/>
  <c r="V25" i="12"/>
  <c r="T25" i="12"/>
  <c r="W25" i="12" s="1"/>
  <c r="V42" i="12"/>
  <c r="T42" i="12"/>
  <c r="W42" i="12" s="1"/>
  <c r="U10" i="1"/>
  <c r="X10" i="1" s="1"/>
  <c r="W10" i="1"/>
  <c r="V10" i="12"/>
  <c r="T10" i="12"/>
  <c r="W10" i="12" s="1"/>
  <c r="W32" i="1"/>
  <c r="U32" i="1"/>
  <c r="X32" i="1" s="1"/>
  <c r="T16" i="12"/>
  <c r="W16" i="12" s="1"/>
  <c r="V16" i="12"/>
  <c r="K44" i="12"/>
  <c r="V26" i="12"/>
  <c r="T26" i="12"/>
  <c r="W26" i="12" s="1"/>
  <c r="T32" i="12"/>
  <c r="W32" i="12" s="1"/>
  <c r="V32" i="12"/>
  <c r="W41" i="1"/>
  <c r="U41" i="1"/>
  <c r="X41" i="1" s="1"/>
  <c r="V21" i="12"/>
  <c r="T21" i="12"/>
  <c r="W21" i="12" s="1"/>
  <c r="W54" i="18"/>
  <c r="U54" i="18"/>
  <c r="X54" i="18" s="1"/>
  <c r="W47" i="18"/>
  <c r="U47" i="18"/>
  <c r="X47" i="18" s="1"/>
  <c r="W108" i="18"/>
  <c r="U108" i="18"/>
  <c r="X108" i="18" s="1"/>
  <c r="V41" i="12"/>
  <c r="T41" i="12"/>
  <c r="W41" i="12" s="1"/>
  <c r="V29" i="12"/>
  <c r="T29" i="12"/>
  <c r="W29" i="12" s="1"/>
  <c r="U8" i="1"/>
  <c r="X8" i="1" s="1"/>
  <c r="W8" i="1"/>
  <c r="W40" i="1"/>
  <c r="U40" i="1"/>
  <c r="X40" i="1" s="1"/>
  <c r="V37" i="12"/>
  <c r="T37" i="12"/>
  <c r="W37" i="12" s="1"/>
  <c r="W58" i="18"/>
  <c r="U58" i="18"/>
  <c r="X58" i="18" s="1"/>
  <c r="W84" i="18"/>
  <c r="U84" i="18"/>
  <c r="X84" i="18" s="1"/>
  <c r="W26" i="18"/>
  <c r="U26" i="18"/>
  <c r="X26" i="18" s="1"/>
  <c r="W86" i="18"/>
  <c r="U86" i="18"/>
  <c r="X86" i="18" s="1"/>
  <c r="W88" i="18"/>
  <c r="U88" i="18"/>
  <c r="X88" i="18" s="1"/>
  <c r="W31" i="18"/>
  <c r="U31" i="18"/>
  <c r="X31" i="18" s="1"/>
  <c r="S6" i="1"/>
  <c r="R44" i="1"/>
  <c r="R19" i="12"/>
  <c r="Q44" i="12"/>
  <c r="AA33" i="10" l="1"/>
  <c r="AD33" i="10" s="1"/>
  <c r="AA102" i="10"/>
  <c r="AD102" i="10" s="1"/>
  <c r="AC52" i="10"/>
  <c r="AA84" i="10"/>
  <c r="AD84" i="10" s="1"/>
  <c r="AA94" i="10"/>
  <c r="AD94" i="10" s="1"/>
  <c r="AA108" i="10"/>
  <c r="AD108" i="10" s="1"/>
  <c r="AE108" i="10" s="1"/>
  <c r="AA93" i="10"/>
  <c r="AD93" i="10" s="1"/>
  <c r="AA76" i="10"/>
  <c r="AD76" i="10" s="1"/>
  <c r="AC34" i="10"/>
  <c r="AC112" i="10"/>
  <c r="AA16" i="10"/>
  <c r="AD16" i="10" s="1"/>
  <c r="AC85" i="10"/>
  <c r="AA21" i="10"/>
  <c r="AD21" i="10" s="1"/>
  <c r="G50" i="2"/>
  <c r="G58" i="2" s="1"/>
  <c r="G62" i="2"/>
  <c r="M62" i="2" s="1"/>
  <c r="AA91" i="10"/>
  <c r="AD91" i="10" s="1"/>
  <c r="AE91" i="10" s="1"/>
  <c r="M61" i="2"/>
  <c r="AA42" i="10"/>
  <c r="AD42" i="10" s="1"/>
  <c r="AE42" i="10" s="1"/>
  <c r="AC95" i="10"/>
  <c r="AE95" i="10" s="1"/>
  <c r="Y62" i="18"/>
  <c r="AC88" i="10"/>
  <c r="AE88" i="10" s="1"/>
  <c r="AA111" i="10"/>
  <c r="AD111" i="10" s="1"/>
  <c r="AE111" i="10" s="1"/>
  <c r="AC75" i="10"/>
  <c r="Y19" i="1"/>
  <c r="AC98" i="10"/>
  <c r="AC68" i="10"/>
  <c r="AE68" i="10" s="1"/>
  <c r="AA9" i="10"/>
  <c r="AD9" i="10" s="1"/>
  <c r="AA8" i="10"/>
  <c r="AD8" i="10" s="1"/>
  <c r="AA87" i="10"/>
  <c r="AD87" i="10" s="1"/>
  <c r="AE87" i="10" s="1"/>
  <c r="AC22" i="10"/>
  <c r="AE22" i="10" s="1"/>
  <c r="AA103" i="10"/>
  <c r="AD103" i="10" s="1"/>
  <c r="AC10" i="10"/>
  <c r="AE10" i="10" s="1"/>
  <c r="AA67" i="10"/>
  <c r="AD67" i="10" s="1"/>
  <c r="AE67" i="10" s="1"/>
  <c r="AC99" i="10"/>
  <c r="AE99" i="10" s="1"/>
  <c r="AC35" i="10"/>
  <c r="AE35" i="10" s="1"/>
  <c r="AA106" i="10"/>
  <c r="AD106" i="10" s="1"/>
  <c r="AE106" i="10" s="1"/>
  <c r="AC101" i="10"/>
  <c r="AE101" i="10" s="1"/>
  <c r="AA110" i="10"/>
  <c r="AD110" i="10" s="1"/>
  <c r="AE110" i="10" s="1"/>
  <c r="AC105" i="10"/>
  <c r="AE105" i="10" s="1"/>
  <c r="AC30" i="10"/>
  <c r="AE30" i="10" s="1"/>
  <c r="Q114" i="10"/>
  <c r="Q82" i="10"/>
  <c r="Q18" i="10"/>
  <c r="AC18" i="10" s="1"/>
  <c r="Q83" i="10"/>
  <c r="Q113" i="10"/>
  <c r="Q97" i="10"/>
  <c r="Q81" i="10"/>
  <c r="Q65" i="10"/>
  <c r="AC65" i="10" s="1"/>
  <c r="Q49" i="10"/>
  <c r="AC49" i="10" s="1"/>
  <c r="Q17" i="10"/>
  <c r="AC17" i="10" s="1"/>
  <c r="Q96" i="10"/>
  <c r="Q80" i="10"/>
  <c r="Q64" i="10"/>
  <c r="AC64" i="10" s="1"/>
  <c r="Q48" i="10"/>
  <c r="AC48" i="10" s="1"/>
  <c r="Q32" i="10"/>
  <c r="Q79" i="10"/>
  <c r="Q63" i="10"/>
  <c r="AC63" i="10" s="1"/>
  <c r="Q31" i="10"/>
  <c r="Q36" i="10"/>
  <c r="Q78" i="10"/>
  <c r="Q14" i="10"/>
  <c r="AC14" i="10" s="1"/>
  <c r="Q109" i="10"/>
  <c r="Q77" i="10"/>
  <c r="Q29" i="10"/>
  <c r="Q13" i="10"/>
  <c r="AC13" i="10" s="1"/>
  <c r="Q28" i="10"/>
  <c r="Q12" i="10"/>
  <c r="AC12" i="10" s="1"/>
  <c r="Q37" i="10"/>
  <c r="Q107" i="10"/>
  <c r="Q90" i="10"/>
  <c r="Q74" i="10"/>
  <c r="Q89" i="10"/>
  <c r="Q73" i="10"/>
  <c r="Q41" i="10"/>
  <c r="AC41" i="10" s="1"/>
  <c r="Q69" i="10"/>
  <c r="Q104" i="10"/>
  <c r="Q72" i="10"/>
  <c r="Q40" i="10"/>
  <c r="Q24" i="10"/>
  <c r="Q100" i="10"/>
  <c r="Q71" i="10"/>
  <c r="Q55" i="10"/>
  <c r="Q23" i="10"/>
  <c r="Q86" i="10"/>
  <c r="Q70" i="10"/>
  <c r="Q51" i="10"/>
  <c r="AC51" i="10" s="1"/>
  <c r="S12" i="10"/>
  <c r="S41" i="10"/>
  <c r="R50" i="10"/>
  <c r="AA50" i="10" s="1"/>
  <c r="AD50" i="10" s="1"/>
  <c r="AE50" i="10" s="1"/>
  <c r="R17" i="10"/>
  <c r="R57" i="10"/>
  <c r="AA57" i="10" s="1"/>
  <c r="AD57" i="10" s="1"/>
  <c r="AE57" i="10" s="1"/>
  <c r="R49" i="10"/>
  <c r="R6" i="10"/>
  <c r="AA6" i="10" s="1"/>
  <c r="AD6" i="10" s="1"/>
  <c r="R64" i="10"/>
  <c r="R48" i="10"/>
  <c r="R39" i="10"/>
  <c r="AA39" i="10" s="1"/>
  <c r="AD39" i="10" s="1"/>
  <c r="AE39" i="10" s="1"/>
  <c r="R15" i="10"/>
  <c r="AA15" i="10" s="1"/>
  <c r="AD15" i="10" s="1"/>
  <c r="AE15" i="10" s="1"/>
  <c r="R63" i="10"/>
  <c r="R47" i="10"/>
  <c r="AA47" i="10" s="1"/>
  <c r="AD47" i="10" s="1"/>
  <c r="AE47" i="10" s="1"/>
  <c r="R14" i="10"/>
  <c r="R13" i="10"/>
  <c r="R53" i="10"/>
  <c r="AA53" i="10" s="1"/>
  <c r="AD53" i="10" s="1"/>
  <c r="AE53" i="10" s="1"/>
  <c r="R43" i="10"/>
  <c r="AA43" i="10" s="1"/>
  <c r="AD43" i="10" s="1"/>
  <c r="AE43" i="10" s="1"/>
  <c r="R92" i="10"/>
  <c r="AA92" i="10" s="1"/>
  <c r="AD92" i="10" s="1"/>
  <c r="AE92" i="10" s="1"/>
  <c r="R60" i="10"/>
  <c r="AA60" i="10" s="1"/>
  <c r="AD60" i="10" s="1"/>
  <c r="AE60" i="10" s="1"/>
  <c r="R44" i="10"/>
  <c r="AA44" i="10" s="1"/>
  <c r="AD44" i="10" s="1"/>
  <c r="AE44" i="10" s="1"/>
  <c r="R59" i="10"/>
  <c r="AA59" i="10" s="1"/>
  <c r="AD59" i="10" s="1"/>
  <c r="AE59" i="10" s="1"/>
  <c r="R51" i="10"/>
  <c r="S7" i="6"/>
  <c r="Y10" i="18"/>
  <c r="Y16" i="18"/>
  <c r="Y33" i="18"/>
  <c r="Y96" i="18"/>
  <c r="Y87" i="18"/>
  <c r="Y53" i="18"/>
  <c r="X41" i="12"/>
  <c r="Y41" i="1"/>
  <c r="Y76" i="18"/>
  <c r="Y22" i="1"/>
  <c r="Y10" i="1"/>
  <c r="Y30" i="18"/>
  <c r="AE33" i="10"/>
  <c r="X16" i="12"/>
  <c r="AE76" i="10"/>
  <c r="Y13" i="1"/>
  <c r="AE52" i="10"/>
  <c r="X32" i="12"/>
  <c r="Y64" i="18"/>
  <c r="Y20" i="1"/>
  <c r="X39" i="12"/>
  <c r="X17" i="12"/>
  <c r="Y74" i="18"/>
  <c r="Y67" i="18"/>
  <c r="Y49" i="18"/>
  <c r="Y39" i="1"/>
  <c r="Y99" i="18"/>
  <c r="AE9" i="10"/>
  <c r="Y82" i="18"/>
  <c r="AE16" i="10"/>
  <c r="Y28" i="1"/>
  <c r="Y9" i="18"/>
  <c r="Y95" i="18"/>
  <c r="AE75" i="10"/>
  <c r="Y26" i="1"/>
  <c r="Y65" i="18"/>
  <c r="Y104" i="18"/>
  <c r="X31" i="12"/>
  <c r="Y68" i="18"/>
  <c r="Y24" i="1"/>
  <c r="X9" i="12"/>
  <c r="Y78" i="18"/>
  <c r="Y8" i="1"/>
  <c r="Y31" i="1"/>
  <c r="Y12" i="18"/>
  <c r="Y27" i="18"/>
  <c r="Y23" i="1"/>
  <c r="AE93" i="10"/>
  <c r="Y24" i="18"/>
  <c r="X42" i="12"/>
  <c r="AE98" i="10"/>
  <c r="Y14" i="1"/>
  <c r="X20" i="12"/>
  <c r="X43" i="12"/>
  <c r="Y32" i="18"/>
  <c r="Y35" i="18"/>
  <c r="Y91" i="18"/>
  <c r="Y7" i="1"/>
  <c r="Y80" i="18"/>
  <c r="Y79" i="18"/>
  <c r="Y88" i="18"/>
  <c r="X25" i="12"/>
  <c r="Y29" i="18"/>
  <c r="Y45" i="18"/>
  <c r="Y29" i="1"/>
  <c r="Y97" i="18"/>
  <c r="X18" i="12"/>
  <c r="Y73" i="18"/>
  <c r="Y103" i="18"/>
  <c r="Y92" i="18"/>
  <c r="Y38" i="18"/>
  <c r="X15" i="12"/>
  <c r="Y102" i="18"/>
  <c r="Y63" i="18"/>
  <c r="Y56" i="18"/>
  <c r="X22" i="12"/>
  <c r="Y46" i="18"/>
  <c r="Y98" i="18"/>
  <c r="X27" i="12"/>
  <c r="AE94" i="10"/>
  <c r="Y108" i="18"/>
  <c r="X26" i="12"/>
  <c r="X24" i="12"/>
  <c r="Y39" i="18"/>
  <c r="Y15" i="1"/>
  <c r="Y37" i="18"/>
  <c r="X34" i="12"/>
  <c r="Y60" i="18"/>
  <c r="Y38" i="1"/>
  <c r="Y17" i="18"/>
  <c r="Y21" i="1"/>
  <c r="Y21" i="18"/>
  <c r="X14" i="12"/>
  <c r="Y28" i="18"/>
  <c r="Y66" i="18"/>
  <c r="Y27" i="1"/>
  <c r="Y111" i="18"/>
  <c r="X7" i="12"/>
  <c r="X35" i="12"/>
  <c r="Y86" i="18"/>
  <c r="Y47" i="18"/>
  <c r="Y34" i="1"/>
  <c r="Y61" i="18"/>
  <c r="Y35" i="1"/>
  <c r="Y7" i="18"/>
  <c r="X6" i="12"/>
  <c r="Y100" i="18"/>
  <c r="Y50" i="18"/>
  <c r="Y90" i="18"/>
  <c r="AE34" i="10"/>
  <c r="X36" i="12"/>
  <c r="Y5" i="18"/>
  <c r="Y55" i="18"/>
  <c r="X33" i="12"/>
  <c r="Y41" i="18"/>
  <c r="Y77" i="18"/>
  <c r="Y15" i="18"/>
  <c r="X23" i="12"/>
  <c r="X37" i="12"/>
  <c r="Y54" i="18"/>
  <c r="Y42" i="1"/>
  <c r="Y72" i="18"/>
  <c r="Y18" i="18"/>
  <c r="Y69" i="18"/>
  <c r="X40" i="12"/>
  <c r="Y43" i="18"/>
  <c r="Y107" i="18"/>
  <c r="L5" i="12"/>
  <c r="M12" i="1"/>
  <c r="U12" i="1" s="1"/>
  <c r="X38" i="12"/>
  <c r="Y71" i="18"/>
  <c r="Y89" i="18"/>
  <c r="X11" i="12"/>
  <c r="Y34" i="18"/>
  <c r="Y19" i="18"/>
  <c r="Y23" i="18"/>
  <c r="AE112" i="10"/>
  <c r="Y26" i="18"/>
  <c r="Y40" i="1"/>
  <c r="Y32" i="1"/>
  <c r="Y83" i="18"/>
  <c r="Y18" i="1"/>
  <c r="Y14" i="18"/>
  <c r="AE103" i="10"/>
  <c r="Y25" i="1"/>
  <c r="Y110" i="18"/>
  <c r="U5" i="1"/>
  <c r="X5" i="1" s="1"/>
  <c r="Y5" i="1" s="1"/>
  <c r="Y59" i="18"/>
  <c r="Y17" i="1"/>
  <c r="Y36" i="1"/>
  <c r="Y37" i="1"/>
  <c r="Y101" i="18"/>
  <c r="Y36" i="18"/>
  <c r="AE102" i="10"/>
  <c r="AE85" i="10"/>
  <c r="Y20" i="18"/>
  <c r="Y84" i="18"/>
  <c r="AE84" i="10"/>
  <c r="X10" i="12"/>
  <c r="Y25" i="18"/>
  <c r="Y43" i="1"/>
  <c r="Y93" i="18"/>
  <c r="Y6" i="18"/>
  <c r="Y57" i="18"/>
  <c r="Y94" i="18"/>
  <c r="Y11" i="18"/>
  <c r="Y109" i="18"/>
  <c r="Y75" i="18"/>
  <c r="Y16" i="1"/>
  <c r="Y70" i="18"/>
  <c r="Y48" i="18"/>
  <c r="Y30" i="1"/>
  <c r="Y40" i="18"/>
  <c r="AE8" i="10"/>
  <c r="Y31" i="18"/>
  <c r="Y58" i="18"/>
  <c r="X29" i="12"/>
  <c r="X21" i="12"/>
  <c r="Y106" i="18"/>
  <c r="Y8" i="18"/>
  <c r="Y42" i="18"/>
  <c r="Y85" i="18"/>
  <c r="X12" i="12"/>
  <c r="Y105" i="18"/>
  <c r="Y81" i="18"/>
  <c r="Y33" i="1"/>
  <c r="Y52" i="18"/>
  <c r="Y13" i="18"/>
  <c r="Y22" i="18"/>
  <c r="Y11" i="1"/>
  <c r="X8" i="12"/>
  <c r="AE21" i="10"/>
  <c r="Y51" i="18"/>
  <c r="Y44" i="18"/>
  <c r="K50" i="2"/>
  <c r="S44" i="1"/>
  <c r="U6" i="1"/>
  <c r="R44" i="12"/>
  <c r="T19" i="12"/>
  <c r="AA49" i="10" l="1"/>
  <c r="AD49" i="10" s="1"/>
  <c r="AE49" i="10" s="1"/>
  <c r="AA13" i="10"/>
  <c r="AD13" i="10" s="1"/>
  <c r="AE13" i="10" s="1"/>
  <c r="AA64" i="10"/>
  <c r="AD64" i="10" s="1"/>
  <c r="AE64" i="10" s="1"/>
  <c r="AA48" i="10"/>
  <c r="AD48" i="10" s="1"/>
  <c r="AE48" i="10" s="1"/>
  <c r="AA63" i="10"/>
  <c r="AD63" i="10" s="1"/>
  <c r="AE63" i="10" s="1"/>
  <c r="AA14" i="10"/>
  <c r="AD14" i="10" s="1"/>
  <c r="AE14" i="10" s="1"/>
  <c r="AA17" i="10"/>
  <c r="AD17" i="10" s="1"/>
  <c r="AE17" i="10" s="1"/>
  <c r="AA51" i="10"/>
  <c r="AD51" i="10" s="1"/>
  <c r="AE51" i="10" s="1"/>
  <c r="AA23" i="10"/>
  <c r="AD23" i="10" s="1"/>
  <c r="AC23" i="10"/>
  <c r="AC96" i="10"/>
  <c r="AA96" i="10"/>
  <c r="AD96" i="10" s="1"/>
  <c r="AC37" i="10"/>
  <c r="AA37" i="10"/>
  <c r="AD37" i="10" s="1"/>
  <c r="AC55" i="10"/>
  <c r="AA55" i="10"/>
  <c r="AD55" i="10" s="1"/>
  <c r="AA28" i="10"/>
  <c r="AD28" i="10" s="1"/>
  <c r="AC28" i="10"/>
  <c r="AC71" i="10"/>
  <c r="AA71" i="10"/>
  <c r="AD71" i="10" s="1"/>
  <c r="AA100" i="10"/>
  <c r="AD100" i="10" s="1"/>
  <c r="AC100" i="10"/>
  <c r="AA29" i="10"/>
  <c r="AD29" i="10" s="1"/>
  <c r="AC29" i="10"/>
  <c r="AA24" i="10"/>
  <c r="AD24" i="10" s="1"/>
  <c r="AC24" i="10"/>
  <c r="AA77" i="10"/>
  <c r="AD77" i="10" s="1"/>
  <c r="AC77" i="10"/>
  <c r="AC81" i="10"/>
  <c r="AA81" i="10"/>
  <c r="AD81" i="10" s="1"/>
  <c r="AC40" i="10"/>
  <c r="AA40" i="10"/>
  <c r="AD40" i="10" s="1"/>
  <c r="AC109" i="10"/>
  <c r="AA109" i="10"/>
  <c r="AD109" i="10" s="1"/>
  <c r="AA97" i="10"/>
  <c r="AD97" i="10" s="1"/>
  <c r="AC97" i="10"/>
  <c r="AA72" i="10"/>
  <c r="AD72" i="10" s="1"/>
  <c r="AC72" i="10"/>
  <c r="AA113" i="10"/>
  <c r="AD113" i="10" s="1"/>
  <c r="AC113" i="10"/>
  <c r="AC104" i="10"/>
  <c r="AA104" i="10"/>
  <c r="AD104" i="10" s="1"/>
  <c r="AC78" i="10"/>
  <c r="AA78" i="10"/>
  <c r="AD78" i="10" s="1"/>
  <c r="AC83" i="10"/>
  <c r="AA83" i="10"/>
  <c r="AD83" i="10" s="1"/>
  <c r="AC80" i="10"/>
  <c r="AA80" i="10"/>
  <c r="AD80" i="10" s="1"/>
  <c r="AA69" i="10"/>
  <c r="AD69" i="10" s="1"/>
  <c r="AC69" i="10"/>
  <c r="AC36" i="10"/>
  <c r="AA36" i="10"/>
  <c r="AD36" i="10" s="1"/>
  <c r="AC31" i="10"/>
  <c r="AA31" i="10"/>
  <c r="AD31" i="10" s="1"/>
  <c r="AA82" i="10"/>
  <c r="AD82" i="10" s="1"/>
  <c r="AC82" i="10"/>
  <c r="AA73" i="10"/>
  <c r="AD73" i="10" s="1"/>
  <c r="AC73" i="10"/>
  <c r="AC114" i="10"/>
  <c r="AA114" i="10"/>
  <c r="AD114" i="10" s="1"/>
  <c r="AC89" i="10"/>
  <c r="AA89" i="10"/>
  <c r="AD89" i="10" s="1"/>
  <c r="AC79" i="10"/>
  <c r="AA79" i="10"/>
  <c r="AD79" i="10" s="1"/>
  <c r="AA86" i="10"/>
  <c r="AD86" i="10" s="1"/>
  <c r="AC86" i="10"/>
  <c r="AA74" i="10"/>
  <c r="AD74" i="10" s="1"/>
  <c r="AC74" i="10"/>
  <c r="AA32" i="10"/>
  <c r="AD32" i="10" s="1"/>
  <c r="AC32" i="10"/>
  <c r="AA90" i="10"/>
  <c r="AD90" i="10" s="1"/>
  <c r="AC90" i="10"/>
  <c r="AC70" i="10"/>
  <c r="AA70" i="10"/>
  <c r="AD70" i="10" s="1"/>
  <c r="AC107" i="10"/>
  <c r="AA107" i="10"/>
  <c r="AD107" i="10" s="1"/>
  <c r="K58" i="2"/>
  <c r="M58" i="2" s="1"/>
  <c r="S11" i="6"/>
  <c r="R41" i="10"/>
  <c r="AA41" i="10" s="1"/>
  <c r="AD41" i="10" s="1"/>
  <c r="AE41" i="10" s="1"/>
  <c r="R12" i="10"/>
  <c r="AA12" i="10" s="1"/>
  <c r="AD12" i="10" s="1"/>
  <c r="AE12" i="10" s="1"/>
  <c r="M44" i="1"/>
  <c r="X12" i="1"/>
  <c r="W12" i="1"/>
  <c r="L44" i="12"/>
  <c r="T5" i="12"/>
  <c r="T44" i="12" s="1"/>
  <c r="X6" i="1"/>
  <c r="U44" i="1"/>
  <c r="W19" i="12"/>
  <c r="AE6" i="10"/>
  <c r="AE104" i="10" l="1"/>
  <c r="AE70" i="10"/>
  <c r="AE109" i="10"/>
  <c r="AE72" i="10"/>
  <c r="AE100" i="10"/>
  <c r="AE36" i="10"/>
  <c r="AE71" i="10"/>
  <c r="AE90" i="10"/>
  <c r="AE97" i="10"/>
  <c r="AE86" i="10"/>
  <c r="AE69" i="10"/>
  <c r="AE28" i="10"/>
  <c r="AE79" i="10"/>
  <c r="AE80" i="10"/>
  <c r="AE40" i="10"/>
  <c r="AE55" i="10"/>
  <c r="AE82" i="10"/>
  <c r="AE89" i="10"/>
  <c r="AE83" i="10"/>
  <c r="AE81" i="10"/>
  <c r="AE37" i="10"/>
  <c r="AE29" i="10"/>
  <c r="AE32" i="10"/>
  <c r="AE107" i="10"/>
  <c r="AE114" i="10"/>
  <c r="AE78" i="10"/>
  <c r="AE96" i="10"/>
  <c r="AE31" i="10"/>
  <c r="AE77" i="10"/>
  <c r="AE113" i="10"/>
  <c r="AE74" i="10"/>
  <c r="AE73" i="10"/>
  <c r="AE24" i="10"/>
  <c r="AE23" i="10"/>
  <c r="R26" i="10"/>
  <c r="AA26" i="10" s="1"/>
  <c r="AD26" i="10" s="1"/>
  <c r="AE26" i="10" s="1"/>
  <c r="S18" i="10"/>
  <c r="AA18" i="10" s="1"/>
  <c r="AD18" i="10" s="1"/>
  <c r="AE18" i="10" s="1"/>
  <c r="R66" i="10"/>
  <c r="AA66" i="10" s="1"/>
  <c r="AD66" i="10" s="1"/>
  <c r="AE66" i="10" s="1"/>
  <c r="R58" i="10"/>
  <c r="AA58" i="10" s="1"/>
  <c r="AD58" i="10" s="1"/>
  <c r="AE58" i="10" s="1"/>
  <c r="S5" i="10"/>
  <c r="AA5" i="10" s="1"/>
  <c r="AD5" i="10" s="1"/>
  <c r="AE5" i="10" s="1"/>
  <c r="R25" i="10"/>
  <c r="AA25" i="10" s="1"/>
  <c r="AD25" i="10" s="1"/>
  <c r="AE25" i="10" s="1"/>
  <c r="R65" i="10"/>
  <c r="AA65" i="10" s="1"/>
  <c r="AD65" i="10" s="1"/>
  <c r="AE65" i="10" s="1"/>
  <c r="S7" i="10"/>
  <c r="AA7" i="10" s="1"/>
  <c r="AD7" i="10" s="1"/>
  <c r="AE7" i="10" s="1"/>
  <c r="R56" i="10"/>
  <c r="AA56" i="10" s="1"/>
  <c r="AD56" i="10" s="1"/>
  <c r="AE56" i="10" s="1"/>
  <c r="S46" i="10"/>
  <c r="AA46" i="10" s="1"/>
  <c r="AD46" i="10" s="1"/>
  <c r="AE46" i="10" s="1"/>
  <c r="R38" i="10"/>
  <c r="AA38" i="10" s="1"/>
  <c r="AD38" i="10" s="1"/>
  <c r="AE38" i="10" s="1"/>
  <c r="R62" i="10"/>
  <c r="AA62" i="10" s="1"/>
  <c r="AD62" i="10" s="1"/>
  <c r="AE62" i="10" s="1"/>
  <c r="R54" i="10"/>
  <c r="AA54" i="10" s="1"/>
  <c r="AD54" i="10" s="1"/>
  <c r="AE54" i="10" s="1"/>
  <c r="S45" i="10"/>
  <c r="AA45" i="10" s="1"/>
  <c r="AD45" i="10" s="1"/>
  <c r="AE45" i="10" s="1"/>
  <c r="R11" i="10"/>
  <c r="AA11" i="10" s="1"/>
  <c r="AD11" i="10" s="1"/>
  <c r="AE11" i="10" s="1"/>
  <c r="R61" i="10"/>
  <c r="AA61" i="10" s="1"/>
  <c r="AD61" i="10" s="1"/>
  <c r="AE61" i="10" s="1"/>
  <c r="R20" i="10"/>
  <c r="AA20" i="10" s="1"/>
  <c r="AD20" i="10" s="1"/>
  <c r="AE20" i="10" s="1"/>
  <c r="R27" i="10"/>
  <c r="AA27" i="10" s="1"/>
  <c r="AD27" i="10" s="1"/>
  <c r="AE27" i="10" s="1"/>
  <c r="R19" i="10"/>
  <c r="AA19" i="10" s="1"/>
  <c r="AD19" i="10" s="1"/>
  <c r="AE19" i="10" s="1"/>
  <c r="W5" i="12"/>
  <c r="V5" i="12"/>
  <c r="V44" i="12" s="1"/>
  <c r="Y12" i="1"/>
  <c r="W44" i="1"/>
  <c r="Y6" i="1"/>
  <c r="Y44" i="1" s="1"/>
  <c r="X44" i="1"/>
  <c r="X19" i="12"/>
  <c r="W44" i="12"/>
  <c r="X5" i="12" l="1"/>
  <c r="X44"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Mauricio Bassi G.</author>
  </authors>
  <commentList>
    <comment ref="C4" authorId="0" shapeId="0" xr:uid="{AAADB563-C9DF-4D63-A4C4-59CAC870DE3E}">
      <text>
        <r>
          <rPr>
            <b/>
            <sz val="9"/>
            <color indexed="81"/>
            <rFont val="Tahoma"/>
            <family val="2"/>
          </rPr>
          <t>Cambio mensual</t>
        </r>
      </text>
    </comment>
  </commentList>
</comments>
</file>

<file path=xl/sharedStrings.xml><?xml version="1.0" encoding="utf-8"?>
<sst xmlns="http://schemas.openxmlformats.org/spreadsheetml/2006/main" count="1885" uniqueCount="336">
  <si>
    <t>Sucursal</t>
  </si>
  <si>
    <t>Costanera Center</t>
  </si>
  <si>
    <t>Talca</t>
  </si>
  <si>
    <t>Marina Arauco</t>
  </si>
  <si>
    <t>La Calera</t>
  </si>
  <si>
    <t>Mall Concepcion</t>
  </si>
  <si>
    <t>Antofagasta</t>
  </si>
  <si>
    <t>Florida Center</t>
  </si>
  <si>
    <t>Plaza Egana</t>
  </si>
  <si>
    <t>Los Andes</t>
  </si>
  <si>
    <t>Temuco</t>
  </si>
  <si>
    <t>Plaza Vespucio</t>
  </si>
  <si>
    <t>Portal Temuco</t>
  </si>
  <si>
    <t>El Trebol</t>
  </si>
  <si>
    <t>Puente</t>
  </si>
  <si>
    <t>Maipu</t>
  </si>
  <si>
    <t>M.Costanera P.Montt</t>
  </si>
  <si>
    <t>Plaza Oeste</t>
  </si>
  <si>
    <t>Vina</t>
  </si>
  <si>
    <t>Curico</t>
  </si>
  <si>
    <t>La Serena</t>
  </si>
  <si>
    <t>Rancagua</t>
  </si>
  <si>
    <t>Iquique</t>
  </si>
  <si>
    <t>Los Angeles</t>
  </si>
  <si>
    <t>Nueva Valdivia Store</t>
  </si>
  <si>
    <t>Quilpue</t>
  </si>
  <si>
    <t>Valparaiso</t>
  </si>
  <si>
    <t>Copiapo</t>
  </si>
  <si>
    <t>San Bernardo</t>
  </si>
  <si>
    <t>Huechuraba</t>
  </si>
  <si>
    <t>Concepcion 2</t>
  </si>
  <si>
    <t>Parque Arauco</t>
  </si>
  <si>
    <t>Nueva Alameda</t>
  </si>
  <si>
    <t>Crillon</t>
  </si>
  <si>
    <t>Chillan</t>
  </si>
  <si>
    <t>Mall Calama</t>
  </si>
  <si>
    <t>Alto las Condes</t>
  </si>
  <si>
    <t>Huerfanos</t>
  </si>
  <si>
    <t>Concepcion</t>
  </si>
  <si>
    <t>Plaza Tobalaba</t>
  </si>
  <si>
    <t>Margen Operacional</t>
  </si>
  <si>
    <t>Bodegaje</t>
  </si>
  <si>
    <t>Packing</t>
  </si>
  <si>
    <t>Picking</t>
  </si>
  <si>
    <t>Transporte</t>
  </si>
  <si>
    <t>Gastos de Administración</t>
  </si>
  <si>
    <t>Cargo</t>
  </si>
  <si>
    <t>Líquido Aproximado</t>
  </si>
  <si>
    <t>Costo Empresa</t>
  </si>
  <si>
    <t>Tipo de Contrato</t>
  </si>
  <si>
    <t>Plazo Fijo</t>
  </si>
  <si>
    <t>Sueldo Base</t>
  </si>
  <si>
    <t>HHEE Domingos</t>
  </si>
  <si>
    <t>HHEE Feriados</t>
  </si>
  <si>
    <t>Gratificación Mensual</t>
  </si>
  <si>
    <t>TOTAL IMPONIBLE</t>
  </si>
  <si>
    <t>Movilización</t>
  </si>
  <si>
    <t>Colación</t>
  </si>
  <si>
    <t>Ruta</t>
  </si>
  <si>
    <t>TOTAL NO IMPONIBLE</t>
  </si>
  <si>
    <t>TOTAL HABERES</t>
  </si>
  <si>
    <t>Salud</t>
  </si>
  <si>
    <t>AFP</t>
  </si>
  <si>
    <t>Seguro de Cesantía</t>
  </si>
  <si>
    <t>Impuesto Único</t>
  </si>
  <si>
    <t>Mutualidad</t>
  </si>
  <si>
    <t>SIS</t>
  </si>
  <si>
    <t>Provisión Vacaciones</t>
  </si>
  <si>
    <t>Provisión Desahucio</t>
  </si>
  <si>
    <t>Provisión IPAS</t>
  </si>
  <si>
    <t>Provisión Aguinaldos</t>
  </si>
  <si>
    <t>Forma de Pago</t>
  </si>
  <si>
    <t>Certificación Laboral</t>
  </si>
  <si>
    <t>Uniformes</t>
  </si>
  <si>
    <t>Implementos de Seguridad</t>
  </si>
  <si>
    <t>Ruta, Gastos y Viajes</t>
  </si>
  <si>
    <t>Credenciales</t>
  </si>
  <si>
    <t>Seguro Complementario</t>
  </si>
  <si>
    <t>Comunicaciones Celulares</t>
  </si>
  <si>
    <t>Dispositivo Móvil</t>
  </si>
  <si>
    <t>Notebook - Tablet</t>
  </si>
  <si>
    <t>COSTO EMPRESA</t>
  </si>
  <si>
    <t>Administración</t>
  </si>
  <si>
    <t>COSTE EMPRESA NETO</t>
  </si>
  <si>
    <t>Comisión</t>
  </si>
  <si>
    <t>COSTO SERVICIO</t>
  </si>
  <si>
    <t>Costo Fijo</t>
  </si>
  <si>
    <t>Costo Variable</t>
  </si>
  <si>
    <t>Provisiones</t>
  </si>
  <si>
    <t>Item</t>
  </si>
  <si>
    <t>Fecha</t>
  </si>
  <si>
    <t>Monto</t>
  </si>
  <si>
    <t>Base</t>
  </si>
  <si>
    <t>Bono</t>
  </si>
  <si>
    <t>Cotización</t>
  </si>
  <si>
    <t>Hora</t>
  </si>
  <si>
    <t>Domingo</t>
  </si>
  <si>
    <t>Renta desde</t>
  </si>
  <si>
    <t>Renta hasta</t>
  </si>
  <si>
    <t>Factor</t>
  </si>
  <si>
    <t>Rebaja</t>
  </si>
  <si>
    <t>Feriado Legal</t>
  </si>
  <si>
    <t>S. Mínimo</t>
  </si>
  <si>
    <t>Gratificación</t>
  </si>
  <si>
    <t>UF</t>
  </si>
  <si>
    <t>UTM</t>
  </si>
  <si>
    <t>AFC</t>
  </si>
  <si>
    <t>Tope Todos</t>
  </si>
  <si>
    <t>Tope AFC</t>
  </si>
  <si>
    <t>%</t>
  </si>
  <si>
    <t>Código</t>
  </si>
  <si>
    <t>Capital</t>
  </si>
  <si>
    <t>Cuprum</t>
  </si>
  <si>
    <t>Habitat</t>
  </si>
  <si>
    <t>PlanVital</t>
  </si>
  <si>
    <t>Provida</t>
  </si>
  <si>
    <t>Modelo</t>
  </si>
  <si>
    <t>KAM</t>
  </si>
  <si>
    <t>Pablo</t>
  </si>
  <si>
    <t>Alexis</t>
  </si>
  <si>
    <t>Amapola</t>
  </si>
  <si>
    <t>TOTAL</t>
  </si>
  <si>
    <t>Comisión Ripley</t>
  </si>
  <si>
    <t>Venta Promedio</t>
  </si>
  <si>
    <t>Var. Supervisión</t>
  </si>
  <si>
    <t>Supervisión</t>
  </si>
  <si>
    <t>Bono Meta</t>
  </si>
  <si>
    <t>Costo Mercadería</t>
  </si>
  <si>
    <t>Merma</t>
  </si>
  <si>
    <t>Formato</t>
  </si>
  <si>
    <t>Lun</t>
  </si>
  <si>
    <t>Mar</t>
  </si>
  <si>
    <t>Mie</t>
  </si>
  <si>
    <t>Jue</t>
  </si>
  <si>
    <t>Vie</t>
  </si>
  <si>
    <t>Sab</t>
  </si>
  <si>
    <t>Dom</t>
  </si>
  <si>
    <t>Bloques</t>
  </si>
  <si>
    <t>AM</t>
  </si>
  <si>
    <t>Desde</t>
  </si>
  <si>
    <t>Hasta</t>
  </si>
  <si>
    <t>Cierre</t>
  </si>
  <si>
    <t>Tarde 1</t>
  </si>
  <si>
    <t>Tarde 2</t>
  </si>
  <si>
    <t>Todos</t>
  </si>
  <si>
    <t>Tipo PDV</t>
  </si>
  <si>
    <t>Horas / Día</t>
  </si>
  <si>
    <t>Full - Completo</t>
  </si>
  <si>
    <t>Part - Completo</t>
  </si>
  <si>
    <t>Venta - Reposición</t>
  </si>
  <si>
    <t>Rol</t>
  </si>
  <si>
    <t>Comentarios</t>
  </si>
  <si>
    <t>Costo Oussourcing</t>
  </si>
  <si>
    <t>Costo EST</t>
  </si>
  <si>
    <t>Full 1 Tienda</t>
  </si>
  <si>
    <t>Incremento Vta</t>
  </si>
  <si>
    <t>Clave</t>
  </si>
  <si>
    <t>Modelo PDV</t>
  </si>
  <si>
    <t>Incremento de Venta</t>
  </si>
  <si>
    <t>Venta Total</t>
  </si>
  <si>
    <t>Vendedor / Reposición</t>
  </si>
  <si>
    <t>Tipo</t>
  </si>
  <si>
    <t>EST</t>
  </si>
  <si>
    <t>Sup.</t>
  </si>
  <si>
    <t>Resultado Actual</t>
  </si>
  <si>
    <t>Resultado Modelo</t>
  </si>
  <si>
    <t>Diferencial</t>
  </si>
  <si>
    <t>Mall - Part - VSD</t>
  </si>
  <si>
    <t>Q Tiendas</t>
  </si>
  <si>
    <t>Total</t>
  </si>
  <si>
    <t>Calle - Part - SD</t>
  </si>
  <si>
    <t>Muebles</t>
  </si>
  <si>
    <t>Mínimo Visitas al mes (Días)</t>
  </si>
  <si>
    <t>Peso Temporada Alta en Costos</t>
  </si>
  <si>
    <t>Porcentaje Costos Ripley</t>
  </si>
  <si>
    <t>Etiquetas de fila</t>
  </si>
  <si>
    <t>Arica</t>
  </si>
  <si>
    <t>Coquimbo</t>
  </si>
  <si>
    <t>Los Dominicos</t>
  </si>
  <si>
    <t>San Fernando</t>
  </si>
  <si>
    <t>Temporada Alta</t>
  </si>
  <si>
    <t>Temporada Baja</t>
  </si>
  <si>
    <t>Margen Tienda</t>
  </si>
  <si>
    <t>Mes</t>
  </si>
  <si>
    <t>Enero</t>
  </si>
  <si>
    <t>Febrero</t>
  </si>
  <si>
    <t>Marzo</t>
  </si>
  <si>
    <t>Abril</t>
  </si>
  <si>
    <t>Mayo</t>
  </si>
  <si>
    <t>Junio</t>
  </si>
  <si>
    <t>Julio</t>
  </si>
  <si>
    <t>Agosto</t>
  </si>
  <si>
    <t>Septiembre</t>
  </si>
  <si>
    <t>Octubre</t>
  </si>
  <si>
    <t>Noviembre</t>
  </si>
  <si>
    <t>Diciembre</t>
  </si>
  <si>
    <t>Peso</t>
  </si>
  <si>
    <t>Normalizado</t>
  </si>
  <si>
    <t>Promedio Alta</t>
  </si>
  <si>
    <t>Promedio Baja</t>
  </si>
  <si>
    <t>Temporada</t>
  </si>
  <si>
    <t>Mall - Full - Completo</t>
  </si>
  <si>
    <t>Retail</t>
  </si>
  <si>
    <t>Compañía</t>
  </si>
  <si>
    <t>Almuerzo</t>
  </si>
  <si>
    <t>Viña</t>
  </si>
  <si>
    <t>Venta Promedio Temporada Alta</t>
  </si>
  <si>
    <t>Calle - Part - LMVS</t>
  </si>
  <si>
    <t>Mall - Ruta - SD</t>
  </si>
  <si>
    <t>Outsourcing</t>
  </si>
  <si>
    <t>Ruta Visual</t>
  </si>
  <si>
    <t>Calle - Ruta - Completo</t>
  </si>
  <si>
    <t>Cadena</t>
  </si>
  <si>
    <t>Ripley</t>
  </si>
  <si>
    <t>París</t>
  </si>
  <si>
    <t>% Administración</t>
  </si>
  <si>
    <t>Comisión de Venta</t>
  </si>
  <si>
    <t>Otros</t>
  </si>
  <si>
    <t>Comisión Retail</t>
  </si>
  <si>
    <t>Temporada Alta Tabla</t>
  </si>
  <si>
    <t>Temporada Baja Tabla</t>
  </si>
  <si>
    <t>Ene</t>
  </si>
  <si>
    <t>Feb</t>
  </si>
  <si>
    <t>Abr</t>
  </si>
  <si>
    <t>May</t>
  </si>
  <si>
    <t>Jun</t>
  </si>
  <si>
    <t>Jul</t>
  </si>
  <si>
    <t>Ago</t>
  </si>
  <si>
    <t>Sep</t>
  </si>
  <si>
    <t>Oct</t>
  </si>
  <si>
    <t>Nov</t>
  </si>
  <si>
    <t>Dic</t>
  </si>
  <si>
    <t>A</t>
  </si>
  <si>
    <t>B</t>
  </si>
  <si>
    <t>Temuco Centro</t>
  </si>
  <si>
    <t>Portal Belloto</t>
  </si>
  <si>
    <t>Plaza La Serena</t>
  </si>
  <si>
    <t>Barros Arana</t>
  </si>
  <si>
    <t>Arauco Maipu</t>
  </si>
  <si>
    <t>El Roble</t>
  </si>
  <si>
    <t>Portal Osorno</t>
  </si>
  <si>
    <t>Alto Las Condes</t>
  </si>
  <si>
    <t>Plaza Del Trebol</t>
  </si>
  <si>
    <t>Puerto Montt</t>
  </si>
  <si>
    <t>Ovalle</t>
  </si>
  <si>
    <t>Quilicura</t>
  </si>
  <si>
    <t>Quilin</t>
  </si>
  <si>
    <t>Portal Nunoa</t>
  </si>
  <si>
    <t>Mall Paseo Estacion</t>
  </si>
  <si>
    <t>La Dehesa</t>
  </si>
  <si>
    <t>Centrorex Rancagua</t>
  </si>
  <si>
    <t>Lyon</t>
  </si>
  <si>
    <t>Alameda</t>
  </si>
  <si>
    <t>Bandera</t>
  </si>
  <si>
    <t>Independencia</t>
  </si>
  <si>
    <t>San Antonio</t>
  </si>
  <si>
    <t>Ahumada</t>
  </si>
  <si>
    <t>Calama</t>
  </si>
  <si>
    <t xml:space="preserve"> La Serena</t>
  </si>
  <si>
    <t xml:space="preserve"> Quilin</t>
  </si>
  <si>
    <t xml:space="preserve"> Quillota</t>
  </si>
  <si>
    <t xml:space="preserve"> ViEURa Del Mar</t>
  </si>
  <si>
    <t xml:space="preserve"> Maipu</t>
  </si>
  <si>
    <t xml:space="preserve"> Florida Center</t>
  </si>
  <si>
    <t xml:space="preserve"> San Bernardo</t>
  </si>
  <si>
    <t xml:space="preserve"> Puente Alto</t>
  </si>
  <si>
    <t xml:space="preserve"> Puente</t>
  </si>
  <si>
    <t xml:space="preserve"> Mall Plaza Alam</t>
  </si>
  <si>
    <t xml:space="preserve"> Iquique</t>
  </si>
  <si>
    <t xml:space="preserve"> Chillan</t>
  </si>
  <si>
    <t xml:space="preserve"> Arica</t>
  </si>
  <si>
    <t xml:space="preserve"> Copiapo</t>
  </si>
  <si>
    <t xml:space="preserve"> San Felipe</t>
  </si>
  <si>
    <t xml:space="preserve"> Talca</t>
  </si>
  <si>
    <t xml:space="preserve"> Concepcion</t>
  </si>
  <si>
    <t xml:space="preserve"> Rancagua</t>
  </si>
  <si>
    <t xml:space="preserve"> Coronel</t>
  </si>
  <si>
    <t xml:space="preserve"> Temuco</t>
  </si>
  <si>
    <t xml:space="preserve"> Melipilla</t>
  </si>
  <si>
    <t xml:space="preserve"> Antofagasta</t>
  </si>
  <si>
    <t xml:space="preserve"> Talcahuano</t>
  </si>
  <si>
    <t xml:space="preserve"> Los Andes</t>
  </si>
  <si>
    <t xml:space="preserve"> Ovalle</t>
  </si>
  <si>
    <t xml:space="preserve"> Linares</t>
  </si>
  <si>
    <t xml:space="preserve"> Valdivia</t>
  </si>
  <si>
    <t xml:space="preserve"> Plaza Vespucio</t>
  </si>
  <si>
    <t xml:space="preserve"> San Antonio</t>
  </si>
  <si>
    <t>Mega Johnson</t>
  </si>
  <si>
    <t>Johnson</t>
  </si>
  <si>
    <t>Part - 3 días</t>
  </si>
  <si>
    <t>Part - 2 días</t>
  </si>
  <si>
    <t>Supervisor Regiones</t>
  </si>
  <si>
    <t>Supervisor Santiago</t>
  </si>
  <si>
    <t>Supervisor Part</t>
  </si>
  <si>
    <t>Vendedor Full</t>
  </si>
  <si>
    <t>Vendedor 2 días</t>
  </si>
  <si>
    <t>Vendedor 3 días</t>
  </si>
  <si>
    <t>Vendedor 1/2 Full</t>
  </si>
  <si>
    <t>Vendedor 1/2 2 días</t>
  </si>
  <si>
    <t>Vendedor 1/2 3 días</t>
  </si>
  <si>
    <t>N/A</t>
  </si>
  <si>
    <t>Part</t>
  </si>
  <si>
    <t>Full</t>
  </si>
  <si>
    <t>Full - 2 días</t>
  </si>
  <si>
    <t>Full - 3 días</t>
  </si>
  <si>
    <t>Tarde 01 - Tarde 02 - Cierre</t>
  </si>
  <si>
    <t>Jefe del Proyecto</t>
  </si>
  <si>
    <t>Bono Supervisión</t>
  </si>
  <si>
    <t>Bono Cualitativo</t>
  </si>
  <si>
    <t>Asignación Inventario</t>
  </si>
  <si>
    <t>Comunicaciones</t>
  </si>
  <si>
    <t>Part 1 Tienda</t>
  </si>
  <si>
    <t>Vendedor / Reposición 01</t>
  </si>
  <si>
    <t>Vendedor / Reposición 02</t>
  </si>
  <si>
    <t>Q</t>
  </si>
  <si>
    <t xml:space="preserve"> Viña Del Mar</t>
  </si>
  <si>
    <t xml:space="preserve"> Maipu Plaza</t>
  </si>
  <si>
    <t>Sup.
Días
Se,</t>
  </si>
  <si>
    <t>Zona/Ciudad</t>
  </si>
  <si>
    <t>Viña del Mar</t>
  </si>
  <si>
    <t>Concepción</t>
  </si>
  <si>
    <t>Valdivia</t>
  </si>
  <si>
    <t>Copiapó</t>
  </si>
  <si>
    <t>Santiago 01</t>
  </si>
  <si>
    <t>Santiago 02</t>
  </si>
  <si>
    <t>Santiago 03</t>
  </si>
  <si>
    <t>Tipo Supervisión</t>
  </si>
  <si>
    <t>VI-VII</t>
  </si>
  <si>
    <t>V° Interior</t>
  </si>
  <si>
    <t>Modelo PDV 1</t>
  </si>
  <si>
    <t>Modelo PDV 2</t>
  </si>
  <si>
    <t>Costo Total</t>
  </si>
  <si>
    <t>Licencia Software Asistencia</t>
  </si>
  <si>
    <t>Licencia Software Ventas</t>
  </si>
  <si>
    <t>Margen</t>
  </si>
  <si>
    <t>Apps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</si>
</sst>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Red]&quot;$&quot;\-#,##0"/>
    <numFmt numFmtId="42" formatCode="_ &quot;$&quot;* #,##0_ ;_ &quot;$&quot;* \-#,##0_ ;_ &quot;$&quot;* &quot;-&quot;_ ;_ @_ "/>
    <numFmt numFmtId="41" formatCode="_ * #,##0_ ;_ * \-#,##0_ ;_ * &quot;-&quot;_ ;_ @_ "/>
    <numFmt numFmtId="44" formatCode="_ &quot;$&quot;* #,##0.00_ ;_ &quot;$&quot;* \-#,##0.00_ ;_ &quot;$&quot;* &quot;-&quot;??_ ;_ @_ "/>
    <numFmt numFmtId="164" formatCode="[$$-340A]#,##0;[Red][$$-340A]#,##0"/>
    <numFmt numFmtId="165" formatCode="_-&quot;$&quot;\ * #,##0_-;\-&quot;$&quot;\ * #,##0_-;_-&quot;$&quot;\ * &quot;-&quot;??_-;_-@_-"/>
    <numFmt numFmtId="166" formatCode="0.00\ &quot;UTM&quot;"/>
    <numFmt numFmtId="167" formatCode="_ &quot;$&quot;* #,##0.00_ ;_ &quot;$&quot;* \-#,##0.00_ ;_ &quot;$&quot;* &quot;-&quot;_ ;_ @_ "/>
  </numFmts>
  <fonts count="13" x14ac:knownFonts="1">
    <font>
      <sz val="11"/>
      <color theme="1"/>
      <name val="Calibri"/>
      <family val="2"/>
      <scheme val="minor"/>
    </font>
    <font>
      <sz val="11"/>
      <color theme="1"/>
      <name val="Calibri"/>
      <family val="2"/>
      <scheme val="minor"/>
    </font>
    <font>
      <b/>
      <sz val="11"/>
      <color theme="1"/>
      <name val="Calibri"/>
      <family val="2"/>
      <scheme val="minor"/>
    </font>
    <font>
      <b/>
      <sz val="10"/>
      <color theme="2"/>
      <name val="Calibri"/>
      <family val="2"/>
      <scheme val="minor"/>
    </font>
    <font>
      <sz val="10"/>
      <color theme="1"/>
      <name val="Calibri"/>
      <family val="2"/>
      <scheme val="minor"/>
    </font>
    <font>
      <b/>
      <sz val="9"/>
      <color theme="0"/>
      <name val="Calibri"/>
      <family val="2"/>
      <scheme val="minor"/>
    </font>
    <font>
      <b/>
      <sz val="12"/>
      <color theme="1"/>
      <name val="Calibri"/>
      <family val="2"/>
      <scheme val="minor"/>
    </font>
    <font>
      <b/>
      <sz val="9"/>
      <color theme="1"/>
      <name val="Calibri"/>
      <family val="2"/>
      <scheme val="minor"/>
    </font>
    <font>
      <sz val="9"/>
      <color theme="1"/>
      <name val="Calibri"/>
      <family val="2"/>
      <scheme val="minor"/>
    </font>
    <font>
      <sz val="11"/>
      <name val="Calibri Light"/>
      <family val="2"/>
    </font>
    <font>
      <b/>
      <sz val="9"/>
      <color indexed="81"/>
      <name val="Tahoma"/>
      <family val="2"/>
    </font>
    <font>
      <b/>
      <sz val="10"/>
      <color theme="1"/>
      <name val="Calibri"/>
      <family val="2"/>
      <scheme val="minor"/>
    </font>
    <font>
      <b/>
      <sz val="12"/>
      <color theme="0"/>
      <name val="Calibri"/>
      <family val="2"/>
      <scheme val="minor"/>
    </font>
  </fonts>
  <fills count="12">
    <fill>
      <patternFill patternType="none"/>
    </fill>
    <fill>
      <patternFill patternType="gray125"/>
    </fill>
    <fill>
      <patternFill patternType="solid">
        <fgColor theme="6" tint="-0.499984740745262"/>
        <bgColor theme="6"/>
      </patternFill>
    </fill>
    <fill>
      <patternFill patternType="solid">
        <fgColor theme="0" tint="-4.9989318521683403E-2"/>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tint="0.34998626667073579"/>
        <bgColor theme="6" tint="0.59999389629810485"/>
      </patternFill>
    </fill>
    <fill>
      <patternFill patternType="solid">
        <fgColor theme="7" tint="0.39997558519241921"/>
        <bgColor indexed="64"/>
      </patternFill>
    </fill>
    <fill>
      <patternFill patternType="solid">
        <fgColor theme="2"/>
        <bgColor indexed="64"/>
      </patternFill>
    </fill>
    <fill>
      <patternFill patternType="solid">
        <fgColor theme="7" tint="0.39997558519241921"/>
        <bgColor indexed="65"/>
      </patternFill>
    </fill>
    <fill>
      <patternFill patternType="solid">
        <fgColor theme="7"/>
        <bgColor indexed="64"/>
      </patternFill>
    </fill>
  </fills>
  <borders count="5">
    <border>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0"/>
      </bottom>
      <diagonal/>
    </border>
    <border>
      <left/>
      <right/>
      <top style="thin">
        <color theme="0"/>
      </top>
      <bottom style="thin">
        <color theme="0"/>
      </bottom>
      <diagonal/>
    </border>
    <border>
      <left/>
      <right style="thin">
        <color theme="0" tint="-0.24994659260841701"/>
      </right>
      <top/>
      <bottom/>
      <diagonal/>
    </border>
  </borders>
  <cellStyleXfs count="6">
    <xf numFmtId="0" fontId="0" fillId="0" borderId="0"/>
    <xf numFmtId="41"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9" fontId="1" fillId="0" borderId="0" applyFont="0" applyFill="0" applyBorder="0" applyAlignment="0" applyProtection="0"/>
    <xf numFmtId="0" fontId="1" fillId="10" borderId="0" applyNumberFormat="0" applyBorder="0" applyAlignment="0" applyProtection="0"/>
  </cellStyleXfs>
  <cellXfs count="62">
    <xf numFmtId="0" fontId="0" fillId="0" borderId="0" xfId="0"/>
    <xf numFmtId="0" fontId="5" fillId="4" borderId="2" xfId="0" applyFont="1" applyFill="1" applyBorder="1" applyAlignment="1">
      <alignment horizontal="center"/>
    </xf>
    <xf numFmtId="164" fontId="6" fillId="5" borderId="3" xfId="0" applyNumberFormat="1" applyFont="1" applyFill="1" applyBorder="1" applyAlignment="1">
      <alignment horizontal="center"/>
    </xf>
    <xf numFmtId="164" fontId="7" fillId="6" borderId="3" xfId="0" applyNumberFormat="1" applyFont="1" applyFill="1" applyBorder="1" applyAlignment="1">
      <alignment horizontal="center"/>
    </xf>
    <xf numFmtId="164" fontId="8" fillId="5" borderId="3" xfId="0" applyNumberFormat="1" applyFont="1" applyFill="1" applyBorder="1" applyAlignment="1">
      <alignment horizontal="center"/>
    </xf>
    <xf numFmtId="164" fontId="8" fillId="6" borderId="3" xfId="0" applyNumberFormat="1" applyFont="1" applyFill="1" applyBorder="1" applyAlignment="1">
      <alignment horizontal="center"/>
    </xf>
    <xf numFmtId="0" fontId="8" fillId="5" borderId="3" xfId="1" applyNumberFormat="1" applyFont="1" applyFill="1" applyBorder="1" applyAlignment="1">
      <alignment horizontal="center"/>
    </xf>
    <xf numFmtId="0" fontId="8" fillId="6" borderId="3" xfId="0" applyFont="1" applyFill="1" applyBorder="1" applyAlignment="1">
      <alignment horizontal="center"/>
    </xf>
    <xf numFmtId="164" fontId="5" fillId="7" borderId="3" xfId="0" applyNumberFormat="1" applyFont="1" applyFill="1" applyBorder="1" applyAlignment="1">
      <alignment horizontal="center"/>
    </xf>
    <xf numFmtId="10" fontId="8" fillId="6" borderId="3" xfId="4" applyNumberFormat="1" applyFont="1" applyFill="1" applyBorder="1" applyAlignment="1">
      <alignment horizontal="center"/>
    </xf>
    <xf numFmtId="10" fontId="8" fillId="5" borderId="3" xfId="4" applyNumberFormat="1" applyFont="1" applyFill="1" applyBorder="1" applyAlignment="1">
      <alignment horizontal="center"/>
    </xf>
    <xf numFmtId="42" fontId="8" fillId="5" borderId="3" xfId="3" applyFont="1" applyFill="1" applyBorder="1" applyAlignment="1">
      <alignment horizontal="center"/>
    </xf>
    <xf numFmtId="42" fontId="8" fillId="6" borderId="3" xfId="3" applyFont="1" applyFill="1" applyBorder="1" applyAlignment="1">
      <alignment horizontal="center"/>
    </xf>
    <xf numFmtId="10" fontId="5" fillId="7" borderId="3" xfId="4" applyNumberFormat="1" applyFont="1" applyFill="1" applyBorder="1" applyAlignment="1">
      <alignment horizontal="center"/>
    </xf>
    <xf numFmtId="14" fontId="4" fillId="0" borderId="0" xfId="0" applyNumberFormat="1" applyFont="1" applyAlignment="1">
      <alignment horizontal="center"/>
    </xf>
    <xf numFmtId="14" fontId="0" fillId="0" borderId="0" xfId="0" applyNumberFormat="1"/>
    <xf numFmtId="42" fontId="0" fillId="0" borderId="0" xfId="3" applyFont="1"/>
    <xf numFmtId="165" fontId="0" fillId="0" borderId="0" xfId="2" applyNumberFormat="1" applyFont="1"/>
    <xf numFmtId="0" fontId="0" fillId="0" borderId="0" xfId="0" applyAlignment="1">
      <alignment horizontal="center"/>
    </xf>
    <xf numFmtId="166" fontId="9" fillId="0" borderId="0" xfId="0" applyNumberFormat="1" applyFont="1"/>
    <xf numFmtId="10" fontId="9" fillId="0" borderId="0" xfId="4" applyNumberFormat="1" applyFont="1"/>
    <xf numFmtId="167" fontId="2" fillId="8" borderId="0" xfId="3" applyNumberFormat="1" applyFont="1" applyFill="1"/>
    <xf numFmtId="42" fontId="2" fillId="8" borderId="0" xfId="3" applyFont="1" applyFill="1"/>
    <xf numFmtId="10" fontId="0" fillId="0" borderId="0" xfId="4" applyNumberFormat="1" applyFont="1"/>
    <xf numFmtId="165" fontId="9" fillId="0" borderId="0" xfId="0" applyNumberFormat="1" applyFont="1"/>
    <xf numFmtId="10" fontId="0" fillId="0" borderId="0" xfId="4" applyNumberFormat="1" applyFont="1" applyAlignment="1">
      <alignment horizontal="center"/>
    </xf>
    <xf numFmtId="0" fontId="0" fillId="0" borderId="0" xfId="4" applyNumberFormat="1" applyFont="1" applyAlignment="1">
      <alignment horizontal="center"/>
    </xf>
    <xf numFmtId="0" fontId="0" fillId="0" borderId="0" xfId="4" quotePrefix="1" applyNumberFormat="1" applyFont="1" applyAlignment="1">
      <alignment horizontal="center"/>
    </xf>
    <xf numFmtId="42" fontId="3" fillId="2" borderId="1" xfId="3" applyFont="1" applyFill="1" applyBorder="1" applyAlignment="1">
      <alignment horizontal="center"/>
    </xf>
    <xf numFmtId="42" fontId="4" fillId="3" borderId="0" xfId="3" applyFont="1" applyFill="1"/>
    <xf numFmtId="42" fontId="4" fillId="9" borderId="0" xfId="3" applyFont="1" applyFill="1"/>
    <xf numFmtId="9" fontId="3" fillId="2" borderId="1" xfId="4" applyFont="1" applyFill="1" applyBorder="1" applyAlignment="1">
      <alignment horizontal="center"/>
    </xf>
    <xf numFmtId="0" fontId="4" fillId="3" borderId="0" xfId="3" applyNumberFormat="1" applyFont="1" applyFill="1" applyAlignment="1">
      <alignment horizontal="center"/>
    </xf>
    <xf numFmtId="0" fontId="4" fillId="9" borderId="0" xfId="3" applyNumberFormat="1" applyFont="1" applyFill="1" applyAlignment="1">
      <alignment horizontal="center"/>
    </xf>
    <xf numFmtId="0" fontId="0" fillId="0" borderId="0" xfId="0" applyNumberFormat="1" applyAlignment="1">
      <alignment horizontal="center"/>
    </xf>
    <xf numFmtId="20" fontId="0" fillId="0" borderId="0" xfId="0" applyNumberFormat="1" applyAlignment="1">
      <alignment horizontal="center"/>
    </xf>
    <xf numFmtId="9" fontId="0" fillId="0" borderId="0" xfId="4" applyFont="1" applyAlignment="1">
      <alignment horizontal="center"/>
    </xf>
    <xf numFmtId="0" fontId="0" fillId="0" borderId="0" xfId="0" applyAlignment="1">
      <alignment horizontal="left"/>
    </xf>
    <xf numFmtId="42" fontId="3" fillId="2" borderId="1" xfId="3" applyFont="1" applyFill="1" applyBorder="1" applyAlignment="1">
      <alignment horizontal="center" vertical="top" wrapText="1"/>
    </xf>
    <xf numFmtId="0" fontId="0" fillId="0" borderId="0" xfId="0" applyAlignment="1">
      <alignment horizontal="center" vertical="top" wrapText="1"/>
    </xf>
    <xf numFmtId="9" fontId="3" fillId="2" borderId="1" xfId="3" applyNumberFormat="1" applyFont="1" applyFill="1" applyBorder="1" applyAlignment="1">
      <alignment horizontal="center"/>
    </xf>
    <xf numFmtId="42" fontId="11" fillId="3" borderId="0" xfId="3" applyFont="1" applyFill="1"/>
    <xf numFmtId="42" fontId="11" fillId="9" borderId="0" xfId="3" applyFont="1" applyFill="1"/>
    <xf numFmtId="6" fontId="1" fillId="10" borderId="0" xfId="5" applyNumberFormat="1" applyBorder="1" applyAlignment="1">
      <alignment horizontal="center"/>
    </xf>
    <xf numFmtId="9" fontId="1" fillId="10" borderId="0" xfId="4" applyFill="1" applyBorder="1" applyAlignment="1">
      <alignment horizontal="center"/>
    </xf>
    <xf numFmtId="9" fontId="0" fillId="0" borderId="0" xfId="0" applyNumberFormat="1"/>
    <xf numFmtId="42" fontId="0" fillId="0" borderId="0" xfId="0" applyNumberFormat="1"/>
    <xf numFmtId="9" fontId="0" fillId="0" borderId="0" xfId="4" applyFont="1"/>
    <xf numFmtId="2" fontId="0" fillId="0" borderId="0" xfId="0" applyNumberFormat="1"/>
    <xf numFmtId="9" fontId="0" fillId="0" borderId="0" xfId="0" applyNumberFormat="1" applyAlignment="1">
      <alignment horizontal="center"/>
    </xf>
    <xf numFmtId="9" fontId="0" fillId="11" borderId="0" xfId="0" applyNumberFormat="1" applyFill="1" applyAlignment="1">
      <alignment horizontal="center"/>
    </xf>
    <xf numFmtId="0" fontId="0" fillId="0" borderId="0" xfId="1" applyNumberFormat="1" applyFont="1" applyAlignment="1">
      <alignment horizontal="center"/>
    </xf>
    <xf numFmtId="42" fontId="0" fillId="0" borderId="0" xfId="3" applyFont="1" applyFill="1"/>
    <xf numFmtId="0" fontId="0" fillId="0" borderId="0" xfId="0" applyNumberFormat="1"/>
    <xf numFmtId="9" fontId="0" fillId="0" borderId="0" xfId="0" applyNumberFormat="1" applyFill="1" applyAlignment="1">
      <alignment horizontal="center"/>
    </xf>
    <xf numFmtId="0" fontId="3" fillId="2" borderId="1" xfId="3" applyNumberFormat="1" applyFont="1" applyFill="1" applyBorder="1" applyAlignment="1">
      <alignment horizontal="center" vertical="top" wrapText="1"/>
    </xf>
    <xf numFmtId="42" fontId="0" fillId="0" borderId="0" xfId="3" applyFont="1" applyAlignment="1">
      <alignment horizontal="center"/>
    </xf>
    <xf numFmtId="0" fontId="0" fillId="0" borderId="0" xfId="0" applyNumberFormat="1" applyFill="1" applyAlignment="1">
      <alignment horizontal="center"/>
    </xf>
    <xf numFmtId="0" fontId="5" fillId="7" borderId="3" xfId="0" applyNumberFormat="1" applyFont="1" applyFill="1" applyBorder="1" applyAlignment="1">
      <alignment horizontal="center"/>
    </xf>
    <xf numFmtId="164" fontId="12" fillId="7" borderId="3" xfId="0" applyNumberFormat="1" applyFont="1" applyFill="1" applyBorder="1" applyAlignment="1">
      <alignment horizontal="center"/>
    </xf>
    <xf numFmtId="42" fontId="3" fillId="2" borderId="0" xfId="3" applyFont="1" applyFill="1" applyBorder="1" applyAlignment="1">
      <alignment horizontal="center"/>
    </xf>
    <xf numFmtId="42" fontId="3" fillId="2" borderId="4" xfId="3" applyFont="1" applyFill="1" applyBorder="1" applyAlignment="1">
      <alignment horizontal="center"/>
    </xf>
  </cellXfs>
  <cellStyles count="6">
    <cellStyle name="60% - Énfasis4" xfId="5" builtinId="44"/>
    <cellStyle name="Millares [0]" xfId="1" builtinId="6"/>
    <cellStyle name="Moneda" xfId="2" builtinId="4"/>
    <cellStyle name="Moneda [0]" xfId="3" builtinId="7"/>
    <cellStyle name="Normal" xfId="0" builtinId="0"/>
    <cellStyle name="Porcentaje" xfId="4" builtinId="5"/>
  </cellStyles>
  <dxfs count="88">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font>
        <b val="0"/>
        <i val="0"/>
        <strike val="0"/>
        <condense val="0"/>
        <extend val="0"/>
        <outline val="0"/>
        <shadow val="0"/>
        <u val="none"/>
        <vertAlign val="baseline"/>
        <sz val="11"/>
        <color theme="1"/>
        <name val="Calibri"/>
        <family val="2"/>
        <scheme val="minor"/>
      </font>
    </dxf>
    <dxf>
      <numFmt numFmtId="32" formatCode="_ &quot;$&quot;* #,##0_ ;_ &quot;$&quot;* \-#,##0_ ;_ &quot;$&quot;* &quot;-&quot;_ ;_ @_ "/>
    </dxf>
    <dxf>
      <font>
        <b val="0"/>
        <i val="0"/>
        <strike val="0"/>
        <condense val="0"/>
        <extend val="0"/>
        <outline val="0"/>
        <shadow val="0"/>
        <u val="none"/>
        <vertAlign val="baseline"/>
        <sz val="11"/>
        <color theme="1"/>
        <name val="Calibri"/>
        <family val="2"/>
        <scheme val="minor"/>
      </font>
    </dxf>
    <dxf>
      <numFmt numFmtId="32" formatCode="_ &quot;$&quot;* #,##0_ ;_ &quot;$&quot;* \-#,##0_ ;_ &quot;$&quot;* &quot;-&quot;_ ;_ @_ "/>
    </dxf>
    <dxf>
      <font>
        <b val="0"/>
        <i val="0"/>
        <strike val="0"/>
        <condense val="0"/>
        <extend val="0"/>
        <outline val="0"/>
        <shadow val="0"/>
        <u val="none"/>
        <vertAlign val="baseline"/>
        <sz val="11"/>
        <color theme="1"/>
        <name val="Calibri"/>
        <family val="2"/>
        <scheme val="minor"/>
      </font>
    </dxf>
    <dxf>
      <numFmt numFmtId="32" formatCode="_ &quot;$&quot;* #,##0_ ;_ &quot;$&quot;* \-#,##0_ ;_ &quot;$&quot;* &quot;-&quot;_ ;_ @_ "/>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0"/>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0"/>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0"/>
        <color theme="1"/>
        <name val="Calibri"/>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auto="1"/>
        <name val="Calibri Light"/>
        <scheme val="none"/>
      </font>
      <numFmt numFmtId="165" formatCode="_-&quot;$&quot;\ * #,##0_-;\-&quot;$&quot;\ * #,##0_-;_-&quot;$&quot;\ * &quot;-&quot;??_-;_-@_-"/>
      <fill>
        <patternFill patternType="none">
          <fgColor indexed="64"/>
          <bgColor auto="1"/>
        </patternFill>
      </fill>
    </dxf>
    <dxf>
      <font>
        <b val="0"/>
        <i val="0"/>
        <strike val="0"/>
        <condense val="0"/>
        <extend val="0"/>
        <outline val="0"/>
        <shadow val="0"/>
        <u val="none"/>
        <vertAlign val="baseline"/>
        <sz val="11"/>
        <color auto="1"/>
        <name val="Calibri Light"/>
        <scheme val="none"/>
      </font>
      <numFmt numFmtId="14" formatCode="0.00%"/>
      <fill>
        <patternFill patternType="none">
          <fgColor indexed="64"/>
          <bgColor auto="1"/>
        </patternFill>
      </fill>
    </dxf>
    <dxf>
      <font>
        <b val="0"/>
        <i val="0"/>
        <strike val="0"/>
        <condense val="0"/>
        <extend val="0"/>
        <outline val="0"/>
        <shadow val="0"/>
        <u val="none"/>
        <vertAlign val="baseline"/>
        <sz val="11"/>
        <color auto="1"/>
        <name val="Calibri Light"/>
        <scheme val="none"/>
      </font>
      <numFmt numFmtId="165" formatCode="_-&quot;$&quot;\ * #,##0_-;\-&quot;$&quot;\ * #,##0_-;_-&quot;$&quot;\ * &quot;-&quot;??_-;_-@_-"/>
      <fill>
        <patternFill patternType="none">
          <fgColor indexed="64"/>
          <bgColor auto="1"/>
        </patternFill>
      </fill>
    </dxf>
    <dxf>
      <font>
        <b val="0"/>
        <i val="0"/>
        <strike val="0"/>
        <condense val="0"/>
        <extend val="0"/>
        <outline val="0"/>
        <shadow val="0"/>
        <u val="none"/>
        <vertAlign val="baseline"/>
        <sz val="11"/>
        <color auto="1"/>
        <name val="Calibri Light"/>
        <scheme val="none"/>
      </font>
      <numFmt numFmtId="165" formatCode="_-&quot;$&quot;\ * #,##0_-;\-&quot;$&quot;\ * #,##0_-;_-&quot;$&quot;\ * &quot;-&quot;??_-;_-@_-"/>
      <fill>
        <patternFill patternType="none">
          <fgColor indexed="64"/>
          <bgColor auto="1"/>
        </patternFill>
      </fill>
    </dxf>
    <dxf>
      <font>
        <strike val="0"/>
        <outline val="0"/>
        <shadow val="0"/>
        <u val="none"/>
        <vertAlign val="baseline"/>
        <sz val="11"/>
        <color auto="1"/>
        <name val="Calibri Light"/>
        <scheme val="none"/>
      </font>
      <fill>
        <patternFill patternType="none">
          <fgColor indexed="64"/>
          <bgColor auto="1"/>
        </patternFill>
      </fill>
    </dxf>
    <dxf>
      <font>
        <b val="0"/>
        <i val="0"/>
        <strike val="0"/>
        <condense val="0"/>
        <extend val="0"/>
        <outline val="0"/>
        <shadow val="0"/>
        <u val="none"/>
        <vertAlign val="baseline"/>
        <sz val="10"/>
        <color theme="1"/>
        <name val="Calibri"/>
        <family val="2"/>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auto="1"/>
        <name val="Calibri Light"/>
        <scheme val="none"/>
      </font>
      <numFmt numFmtId="166" formatCode="0.00\ &quot;UTM&quot;"/>
      <fill>
        <patternFill patternType="none">
          <fgColor indexed="64"/>
          <bgColor auto="1"/>
        </patternFill>
      </fill>
    </dxf>
    <dxf>
      <font>
        <b val="0"/>
        <i val="0"/>
        <strike val="0"/>
        <condense val="0"/>
        <extend val="0"/>
        <outline val="0"/>
        <shadow val="0"/>
        <u val="none"/>
        <vertAlign val="baseline"/>
        <sz val="11"/>
        <color auto="1"/>
        <name val="Calibri Light"/>
        <scheme val="none"/>
      </font>
      <numFmt numFmtId="14" formatCode="0.00%"/>
      <fill>
        <patternFill patternType="none">
          <fgColor indexed="64"/>
          <bgColor auto="1"/>
        </patternFill>
      </fill>
    </dxf>
    <dxf>
      <font>
        <b val="0"/>
        <i val="0"/>
        <strike val="0"/>
        <condense val="0"/>
        <extend val="0"/>
        <outline val="0"/>
        <shadow val="0"/>
        <u val="none"/>
        <vertAlign val="baseline"/>
        <sz val="11"/>
        <color auto="1"/>
        <name val="Calibri Light"/>
        <scheme val="none"/>
      </font>
      <numFmt numFmtId="166" formatCode="0.00\ &quot;UTM&quot;"/>
      <fill>
        <patternFill patternType="none">
          <fgColor indexed="64"/>
          <bgColor auto="1"/>
        </patternFill>
      </fill>
    </dxf>
    <dxf>
      <font>
        <b val="0"/>
        <i val="0"/>
        <strike val="0"/>
        <condense val="0"/>
        <extend val="0"/>
        <outline val="0"/>
        <shadow val="0"/>
        <u val="none"/>
        <vertAlign val="baseline"/>
        <sz val="11"/>
        <color auto="1"/>
        <name val="Calibri Light"/>
        <scheme val="none"/>
      </font>
      <numFmt numFmtId="166" formatCode="0.00\ &quot;UTM&quot;"/>
      <fill>
        <patternFill patternType="none">
          <fgColor indexed="64"/>
          <bgColor auto="1"/>
        </patternFill>
      </fill>
    </dxf>
    <dxf>
      <font>
        <strike val="0"/>
        <outline val="0"/>
        <shadow val="0"/>
        <u val="none"/>
        <vertAlign val="baseline"/>
        <sz val="11"/>
        <color auto="1"/>
        <name val="Calibri Light"/>
        <scheme val="none"/>
      </font>
      <fill>
        <patternFill patternType="none">
          <fgColor indexed="64"/>
          <bgColor auto="1"/>
        </patternFill>
      </fill>
    </dxf>
    <dxf>
      <font>
        <b val="0"/>
        <i val="0"/>
        <strike val="0"/>
        <condense val="0"/>
        <extend val="0"/>
        <outline val="0"/>
        <shadow val="0"/>
        <u val="none"/>
        <vertAlign val="baseline"/>
        <sz val="10"/>
        <color theme="1"/>
        <name val="Calibri"/>
        <family val="2"/>
        <scheme val="minor"/>
      </font>
      <numFmt numFmtId="19" formatCode="dd/mm/yyyy"/>
      <alignment horizontal="center" vertical="bottom" textRotation="0" wrapText="0" indent="0" justifyLastLine="0" shrinkToFit="0" readingOrder="0"/>
    </dxf>
    <dxf>
      <numFmt numFmtId="165" formatCode="_-&quot;$&quot;\ * #,##0_-;\-&quot;$&quot;\ * #,##0_-;_-&quot;$&quot;\ * &quot;-&quot;??_-;_-@_-"/>
    </dxf>
    <dxf>
      <numFmt numFmtId="165" formatCode="_-&quot;$&quot;\ * #,##0_-;\-&quot;$&quot;\ * #,##0_-;_-&quot;$&quot;\ * &quot;-&quot;??_-;_-@_-"/>
    </dxf>
    <dxf>
      <alignment horizontal="center" vertical="bottom" textRotation="0" wrapText="0" indent="0" justifyLastLine="0" shrinkToFit="0" readingOrder="0"/>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font>
        <b val="0"/>
        <i val="0"/>
        <strike val="0"/>
        <condense val="0"/>
        <extend val="0"/>
        <outline val="0"/>
        <shadow val="0"/>
        <u val="none"/>
        <vertAlign val="baseline"/>
        <sz val="11"/>
        <color theme="1"/>
        <name val="Calibri"/>
        <scheme val="minor"/>
      </font>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dxf>
    <dxf>
      <font>
        <color rgb="FF9C0006"/>
      </font>
      <fill>
        <patternFill>
          <bgColor rgb="FFFFC7CE"/>
        </patternFill>
      </fil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left" vertical="bottom" textRotation="0" wrapText="0" indent="0" justifyLastLine="0" shrinkToFit="0" readingOrder="0"/>
    </dxf>
    <dxf>
      <alignment horizontal="center" vertical="bottom"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574DA53-9D75-4C6A-BB6F-C3F4FAE78F4E}" name="Modelos" displayName="Modelos" ref="F3:W12" totalsRowShown="0" headerRowDxfId="77">
  <tableColumns count="18">
    <tableColumn id="18" xr3:uid="{40334B93-1F35-4F97-8469-17A897B5F742}" name="Clave" dataDxfId="76">
      <calculatedColumnFormula>_xlfn.CONCAT(Modelos[[#This Row],[Tipo PDV]]," - ",Modelos[[#This Row],[Formato]])</calculatedColumnFormula>
    </tableColumn>
    <tableColumn id="19" xr3:uid="{8A2E247E-3397-427D-BFF2-AD6877E7DE28}" name="Mínimo Visitas al mes (Días)" dataDxfId="75">
      <calculatedColumnFormula>SUM(Modelos[[#This Row],[Lun]:[Dom]])*4</calculatedColumnFormula>
    </tableColumn>
    <tableColumn id="12" xr3:uid="{05C58DEF-31C5-4A00-A5EF-E80E855B6DE2}" name="Tipo PDV" dataDxfId="74"/>
    <tableColumn id="1" xr3:uid="{B0FF2807-DE1C-4307-AEF1-B6D59F6F143A}" name="Formato"/>
    <tableColumn id="2" xr3:uid="{B4786911-0C6B-4360-A208-5EBA5AE9A391}" name="Horas / Día"/>
    <tableColumn id="3" xr3:uid="{9ED999B9-456D-4A24-97F9-1C82944B1502}" name="Lun" dataDxfId="73"/>
    <tableColumn id="4" xr3:uid="{2CD80A84-46A4-42DD-BA8F-9E8921887815}" name="Mar" dataDxfId="72"/>
    <tableColumn id="5" xr3:uid="{90A81F87-4D5C-4379-8D4E-2B72BD057985}" name="Mie" dataDxfId="71"/>
    <tableColumn id="6" xr3:uid="{A2550ED4-25FE-42BA-AE1B-9D4F778C00B9}" name="Jue" dataDxfId="70"/>
    <tableColumn id="7" xr3:uid="{CD6F03E9-1430-4B6E-828E-5D04C6E0B6FD}" name="Vie" dataDxfId="69"/>
    <tableColumn id="8" xr3:uid="{97D6E659-1671-451B-B8B7-4608EB5E742A}" name="Sab" dataDxfId="68"/>
    <tableColumn id="9" xr3:uid="{06B0BD97-6C66-4F8F-8228-E655D5B02351}" name="Dom" dataDxfId="67"/>
    <tableColumn id="11" xr3:uid="{182F2DBF-09F6-40B8-AD47-3E7382E96E54}" name="Bloques" dataDxfId="66"/>
    <tableColumn id="13" xr3:uid="{D2B280C5-9CA4-4CD5-9DA8-25637985E9E6}" name="Costo Oussourcing" dataCellStyle="Moneda [0]"/>
    <tableColumn id="16" xr3:uid="{8D4CD1C6-581D-4E83-B422-D8EDE9904413}" name="Costo EST" dataDxfId="65" dataCellStyle="Moneda [0]">
      <calculatedColumnFormula>(Estructuras!D$48-Estructuras!D$55)*1.15</calculatedColumnFormula>
    </tableColumn>
    <tableColumn id="14" xr3:uid="{B21BE304-9A04-4B18-BCD9-A6942C49B883}" name="Rol" dataDxfId="64"/>
    <tableColumn id="15" xr3:uid="{3A57DE00-EFDF-46A1-ACED-89A9D19B7C81}" name="Comentarios" dataDxfId="63"/>
    <tableColumn id="17" xr3:uid="{98198FA8-CA75-4777-BF24-1C205714FF9C}" name="Incremento Vta" dataDxfId="62" dataCellStyle="Porcentaje"/>
  </tableColumns>
  <tableStyleInfo name="TableStyleMedium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458CFD0-2CA0-4073-B6E9-57968AFF0D06}" name="Tabla8" displayName="Tabla8" ref="A3:C8" totalsRowShown="0">
  <tableColumns count="3">
    <tableColumn id="1" xr3:uid="{EA9A5786-D795-45DE-988A-89FDF361F02C}" name="Bloques"/>
    <tableColumn id="2" xr3:uid="{0D194EF9-3DFF-4CC3-AA56-EB71824AF0B1}" name="Desde" dataDxfId="61"/>
    <tableColumn id="3" xr3:uid="{5734A259-5BCB-4FEE-8314-4247520AE5AB}" name="Hasta" dataDxfId="60"/>
  </tableColumns>
  <tableStyleInfo name="TableStyleMedium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C25DE5-6979-4E35-87EB-8B0A5D1F9F91}" name="Tabla13" displayName="Tabla13" ref="A15:B30" totalsRowShown="0">
  <autoFilter ref="A15:B30" xr:uid="{032929BB-4A63-41C7-9430-541FD5C9E89D}"/>
  <tableColumns count="2">
    <tableColumn id="1" xr3:uid="{7058035E-C08F-452F-A9BE-BD3C6A9E8F02}" name="Zona/Ciudad"/>
    <tableColumn id="2" xr3:uid="{7B4B6705-056C-4D69-B402-47C1A0B454B5}" name="Monto" dataCellStyle="Moneda [0]"/>
  </tableColumns>
  <tableStyleInfo name="TableStyleMedium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67DE1DE-2BC3-4D89-9929-C6DB07BCAACF}" name="Tabla12" displayName="Tabla12" ref="B2:H117" totalsRowShown="0" headerRowDxfId="59" dataDxfId="58" headerRowCellStyle="Moneda [0]" dataCellStyle="Moneda [0]">
  <autoFilter ref="B2:H117" xr:uid="{5A592CC8-1A71-404E-8B20-4B941DB1D92E}"/>
  <tableColumns count="7">
    <tableColumn id="1" xr3:uid="{21F731FF-9352-43FD-831C-43E025E9D194}" name="Cadena"/>
    <tableColumn id="2" xr3:uid="{0D08C66D-8B66-443D-B678-765FBED95EE6}" name="Etiquetas de fila"/>
    <tableColumn id="7" xr3:uid="{2274B204-84E6-400C-9C76-F1A323F76408}" name="Clave" dataDxfId="57">
      <calculatedColumnFormula>CONCATENATE(Tabla12[[#This Row],[Cadena]],Tabla12[[#This Row],[Etiquetas de fila]])</calculatedColumnFormula>
    </tableColumn>
    <tableColumn id="3" xr3:uid="{1F123312-CE53-407B-BCDD-273C77A219BD}" name="Temporada Alta" dataDxfId="56" dataCellStyle="Moneda [0]"/>
    <tableColumn id="4" xr3:uid="{5E1E2F08-F5E5-4CF5-832F-8AB97D67CD28}" name="Temporada Baja" dataDxfId="55" dataCellStyle="Moneda [0]"/>
    <tableColumn id="5" xr3:uid="{BF296400-6A2D-443A-BE59-F895E073A4AE}" name="Temporada Alta Tabla" dataDxfId="54" dataCellStyle="Moneda [0]">
      <calculatedColumnFormula>+E3/0.65</calculatedColumnFormula>
    </tableColumn>
    <tableColumn id="6" xr3:uid="{73226F87-5DD7-4559-A1B5-2919E50399B6}" name="Temporada Baja Tabla" dataDxfId="53" dataCellStyle="Moneda [0]">
      <calculatedColumnFormula>+F3/0.65</calculatedColumnFormula>
    </tableColumn>
  </tableColumns>
  <tableStyleInfo name="TableStyleMedium1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82907A-BBB5-4C61-92DB-5BDE6F14622B}" name="Tabla1" displayName="Tabla1" ref="A1:C10" totalsRowShown="0">
  <autoFilter ref="A1:C10" xr:uid="{194B38C1-B2D0-4188-8B8D-D3C62147D926}"/>
  <tableColumns count="3">
    <tableColumn id="1" xr3:uid="{4F156554-C90F-4F62-A2B5-9E1440E861A9}" name="Item"/>
    <tableColumn id="2" xr3:uid="{3B9BDBDD-72F3-4FD9-8BA7-28060F5F6355}" name="Fecha" dataDxfId="51"/>
    <tableColumn id="3" xr3:uid="{ED34C6E2-A25B-42E5-B8B8-98E36E62A53A}" name="Monto"/>
  </tableColumns>
  <tableStyleInfo name="TableStyleMedium1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CEA3A5-C461-4649-826C-C48A18F5AFCC}" name="AFP" displayName="AFP" ref="A12:C18" totalsRowShown="0">
  <autoFilter ref="A12:C18" xr:uid="{FC140E97-E1E1-439E-A662-41D0A868B66F}"/>
  <tableColumns count="3">
    <tableColumn id="1" xr3:uid="{9D3B57BC-FBB3-47A7-BD14-DC541247A41A}" name="AFP"/>
    <tableColumn id="2" xr3:uid="{63848514-933A-4348-9C9A-436FF9DD4C40}" name="%" dataDxfId="50"/>
    <tableColumn id="3" xr3:uid="{9888B23B-7808-4C30-BFDE-358025D614BB}" name="Código" dataDxfId="49" dataCellStyle="Porcentaje"/>
  </tableColumns>
  <tableStyleInfo name="TableStyleMedium1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292A5CB-07E0-4F3C-9208-08B96FBD10FB}" name="Cargos" displayName="Cargos" ref="E1:L11" totalsRowShown="0">
  <autoFilter ref="E1:L11" xr:uid="{15FEF294-2A64-4DA8-A428-874392C1AA61}"/>
  <tableColumns count="8">
    <tableColumn id="1" xr3:uid="{52C4092F-2450-4F87-97FD-F358BE8BC958}" name="Cargo"/>
    <tableColumn id="2" xr3:uid="{0ABFC02B-FB73-43F3-AC38-9065F22E8FA2}" name="Base" dataDxfId="48" dataCellStyle="Moneda">
      <calculatedColumnFormula>Estructuras!#REF!</calculatedColumnFormula>
    </tableColumn>
    <tableColumn id="3" xr3:uid="{A63E532A-E5E9-45EF-8AA0-517A81449561}" name="Bono" dataDxfId="47" dataCellStyle="Moneda"/>
    <tableColumn id="4" xr3:uid="{619C186D-1258-48D7-B65B-F678A4D3FA6D}" name="Movilización" dataDxfId="46" dataCellStyle="Moneda"/>
    <tableColumn id="5" xr3:uid="{13183151-7DDB-4794-B70D-746D2B3C6F49}" name="Colación" dataDxfId="45" dataCellStyle="Moneda"/>
    <tableColumn id="6" xr3:uid="{FA4E2111-F432-4E10-9138-952FE85A28F3}" name="Cotización" dataDxfId="44"/>
    <tableColumn id="7" xr3:uid="{C03B662A-EB6D-49D8-9F2E-6EE28C03DB7A}" name="Hora" dataDxfId="43" dataCellStyle="Moneda">
      <calculatedColumnFormula>(#REF!/180)*(28/30)*1.5</calculatedColumnFormula>
    </tableColumn>
    <tableColumn id="8" xr3:uid="{900B6C99-511C-4679-BA7F-BDD032DD7E2D}" name="Domingo" dataDxfId="42" dataCellStyle="Moneda">
      <calculatedColumnFormula>ROUND(Cargos[[#This Row],[Hora]]*130%,0)</calculatedColumnFormula>
    </tableColumn>
  </tableColumns>
  <tableStyleInfo name="TableStyleMedium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4DC6D51-5DFB-4566-AAD9-C22D914E37B5}" name="Imp_UTM" displayName="Imp_UTM" ref="N1:Q9" totalsRowShown="0" headerRowDxfId="41" dataDxfId="40">
  <autoFilter ref="N1:Q9" xr:uid="{9D3C141C-7EBA-4CD7-8811-92AE80E3A4F4}"/>
  <tableColumns count="4">
    <tableColumn id="1" xr3:uid="{A668A368-7D69-43B8-B46B-2511022A9520}" name="Renta desde" dataDxfId="39"/>
    <tableColumn id="2" xr3:uid="{EBF011E2-148A-4580-AE7B-20B073F1F521}" name="Renta hasta" dataDxfId="38"/>
    <tableColumn id="3" xr3:uid="{F35EFE3B-0D61-4556-A16A-AA73A3CF0CE6}" name="Factor" dataDxfId="37" dataCellStyle="Porcentaje"/>
    <tableColumn id="4" xr3:uid="{CA04B368-F696-4C7E-9549-689B3486DD46}" name="Rebaja" dataDxfId="36"/>
  </tableColumns>
  <tableStyleInfo name="TableStyleMedium1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1B3B810-728F-4955-A51F-0CF58200C75A}" name="Impuesto" displayName="Impuesto" ref="N10:Q18" totalsRowShown="0" headerRowDxfId="35" dataDxfId="34">
  <autoFilter ref="N10:Q18" xr:uid="{190EFFE5-74A6-40A7-BFD3-223011D395A6}"/>
  <tableColumns count="4">
    <tableColumn id="1" xr3:uid="{CFB104B3-17D5-4843-83EF-74B46E843C8C}" name="Renta desde" dataDxfId="33">
      <calculatedColumnFormula>N2*$C$5</calculatedColumnFormula>
    </tableColumn>
    <tableColumn id="2" xr3:uid="{81B6F743-209A-4FC2-BA71-B9CD650B5FFF}" name="Renta hasta" dataDxfId="32">
      <calculatedColumnFormula>O2*$C$5</calculatedColumnFormula>
    </tableColumn>
    <tableColumn id="3" xr3:uid="{56226F61-24C6-442D-945B-3AF2BD46CD0C}" name="Factor" dataDxfId="31" dataCellStyle="Porcentaje"/>
    <tableColumn id="4" xr3:uid="{F21B113B-E5F7-4611-9DD7-2F6F9CF49E02}" name="Rebaja" dataDxfId="30">
      <calculatedColumnFormula>ROUND(Q2*$C$5,0)</calculatedColumnFormula>
    </tableColumn>
  </tableColumns>
  <tableStyleInfo name="TableStyleMedium1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7A44891-7139-45A5-B94E-CA85B5129BEB}" name="Feriado" displayName="Feriado" ref="S1:S18" totalsRowShown="0" headerRowDxfId="29" dataDxfId="28">
  <autoFilter ref="S1:S18" xr:uid="{F7B6C69F-69D1-43BF-A452-31AF14298008}"/>
  <tableColumns count="1">
    <tableColumn id="1" xr3:uid="{5AD8F5C1-8C99-4719-B8AE-1A17F50CF28A}" name="Feriado Legal" dataDxfId="27"/>
  </tableColumns>
  <tableStyleInfo name="TableStyleMedium1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743919-A382-437C-889C-7FB28699AE98}" name="Tabla9" displayName="Tabla9" ref="G8:M21" totalsRowCount="1">
  <autoFilter ref="G8:M20" xr:uid="{C4B8D0D6-F528-4E89-BFC7-9B55E029F45A}"/>
  <tableColumns count="7">
    <tableColumn id="1" xr3:uid="{EB45581C-5BD1-4CE0-A93C-5A06028E129F}" name="Mes" totalsRowLabel="Total"/>
    <tableColumn id="2" xr3:uid="{DE1CAB9F-AB33-4116-BF36-8260EF1A1628}" name="Peso" totalsRowFunction="sum"/>
    <tableColumn id="3" xr3:uid="{EE2086AE-F78D-41AD-BA25-11B3A0D82182}" name="Normalizado" totalsRowFunction="count" dataCellStyle="Porcentaje">
      <calculatedColumnFormula>Tabla9[[#This Row],[Peso]]/Tabla9[[#Totals],[Peso]]</calculatedColumnFormula>
    </tableColumn>
    <tableColumn id="4" xr3:uid="{8723214B-9DB4-4D6B-BB7F-1EAD08E7CCAE}" name="Bodegaje" totalsRowDxfId="26" dataCellStyle="Moneda [0]" totalsRowCellStyle="Moneda [0]">
      <calculatedColumnFormula>+$G$6*Tabla9[[#This Row],[Normalizado]]</calculatedColumnFormula>
    </tableColumn>
    <tableColumn id="5" xr3:uid="{2C365774-786D-437F-BC4B-88B244AC9F96}" name="Packing" dataDxfId="25" totalsRowDxfId="24" dataCellStyle="Moneda [0]" totalsRowCellStyle="Moneda [0]">
      <calculatedColumnFormula>$H$6*Tabla9[[#This Row],[Normalizado]]</calculatedColumnFormula>
    </tableColumn>
    <tableColumn id="6" xr3:uid="{36B6606F-E0DA-47C1-9AEB-F94CB1909BCE}" name="Picking" dataDxfId="23" totalsRowDxfId="22" dataCellStyle="Moneda [0]" totalsRowCellStyle="Moneda [0]">
      <calculatedColumnFormula>$I$6*Tabla9[[#This Row],[Normalizado]]</calculatedColumnFormula>
    </tableColumn>
    <tableColumn id="7" xr3:uid="{928C9070-3CE0-4960-9279-59C005CD5B3D}" name="Transporte" dataDxfId="21" totalsRowDxfId="20" dataCellStyle="Moneda [0]" totalsRowCellStyle="Moneda [0]">
      <calculatedColumnFormula>$J$6*Tabla9[[#This Row],[Normalizado]]</calculatedColumnFormula>
    </tableColumn>
  </tableColumns>
  <tableStyleInfo name="TableStyleMedium1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D29B07B-73D7-4684-98DC-E4C4EFEA6726}" name="Tabla10" displayName="Tabla10" ref="O8:S10" totalsRowShown="0">
  <autoFilter ref="O8:S10" xr:uid="{3C6C8552-890F-44F6-A489-68954E924DCF}"/>
  <tableColumns count="5">
    <tableColumn id="1" xr3:uid="{D2D3E98B-F5A8-4B70-9AD2-C7E0A2578C9B}" name="Temporada"/>
    <tableColumn id="2" xr3:uid="{8EEAF162-957C-4407-B9B5-2F2988D3E405}" name="Bodegaje" dataDxfId="19">
      <calculatedColumnFormula>AVERAGE(J9:J10,J17:J20)</calculatedColumnFormula>
    </tableColumn>
    <tableColumn id="3" xr3:uid="{A3DAAA8C-FA45-4953-9EFF-7BEAA0DFC0E4}" name="Packing" dataDxfId="18">
      <calculatedColumnFormula>AVERAGE(K9:K10,K17:K20)</calculatedColumnFormula>
    </tableColumn>
    <tableColumn id="4" xr3:uid="{C793D8E0-18EE-4C08-BC20-4F6540019D83}" name="Picking" dataDxfId="17">
      <calculatedColumnFormula>AVERAGE(L9:L10,L17:L20)</calculatedColumnFormula>
    </tableColumn>
    <tableColumn id="5" xr3:uid="{20CD95EF-8B30-4C5E-B265-DB02CF60EA2F}" name="Transporte" dataDxfId="16">
      <calculatedColumnFormula>AVERAGE(M9:M10,M17:M20)</calculatedColumnFormula>
    </tableColumn>
  </tableColumns>
  <tableStyleInfo name="TableStyleMedium1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5FCBFAF-F2FD-4D95-B6F8-6C4FDCFA3961}" name="Tabla11" displayName="Tabla11" ref="B4:Q9" totalsRowShown="0" headerRowDxfId="15">
  <autoFilter ref="B4:Q9" xr:uid="{5C7B253E-AC0D-4CA7-B54C-BA38168F508D}"/>
  <tableColumns count="16">
    <tableColumn id="1" xr3:uid="{C441C41A-6790-4206-A733-CC628D13B6FC}" name="Cadena"/>
    <tableColumn id="2" xr3:uid="{38B41A95-625D-4BFC-8007-39769F2438A3}" name="% Administración" dataDxfId="14"/>
    <tableColumn id="3" xr3:uid="{F1ED8B8E-5862-4B05-ACD0-7C8D52875A63}" name="Comisión de Venta" dataDxfId="13"/>
    <tableColumn id="4" xr3:uid="{046B3C8B-7966-4F8B-AA74-F7481EFFCCAD}" name="Merma" dataDxfId="12"/>
    <tableColumn id="5" xr3:uid="{168B6CC5-24CB-4A5A-BBE9-0AC80298D0F6}" name="Ene" dataDxfId="11"/>
    <tableColumn id="6" xr3:uid="{5E278CB7-A0A6-4C5A-A4FE-5D816F5A49BE}" name="Feb" dataDxfId="10"/>
    <tableColumn id="7" xr3:uid="{178EE4C4-CAFA-4DDD-A85C-4F80C957B6C4}" name="Mar" dataDxfId="9"/>
    <tableColumn id="8" xr3:uid="{A4334C7A-10E4-4125-8010-0DC368A38858}" name="Abr" dataDxfId="8"/>
    <tableColumn id="9" xr3:uid="{FBF364F2-B5E7-47B7-B0E4-CD1DD69301EE}" name="May" dataDxfId="7"/>
    <tableColumn id="10" xr3:uid="{77F04D8D-8F2E-4B89-940C-C41F7C085C0C}" name="Jun" dataDxfId="6"/>
    <tableColumn id="11" xr3:uid="{3A860894-AD85-4DA5-B5AC-C24A1A500E50}" name="Jul" dataDxfId="5"/>
    <tableColumn id="12" xr3:uid="{F766D7F8-3117-4ACC-803E-B013C44F4567}" name="Ago" dataDxfId="4"/>
    <tableColumn id="13" xr3:uid="{454C6C3D-EBDA-4AB4-8763-8F3A53189C90}" name="Sep" dataDxfId="3"/>
    <tableColumn id="14" xr3:uid="{2E2FFD52-F150-4DB9-98E4-E2D8AA4FAE74}" name="Oct" dataDxfId="2"/>
    <tableColumn id="15" xr3:uid="{B6DDB99A-DBC8-4339-832B-49907D4257E0}" name="Nov" dataDxfId="1"/>
    <tableColumn id="16" xr3:uid="{39F85B06-EE2D-4112-A3F3-35AF8A8EA7F3}" name="Dic" dataDxfId="0"/>
  </tableColumns>
  <tableStyleInfo name="TableStyleMedium1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vmlDrawing" Target="../drawings/vmlDrawing1.vml"/><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C7CDE-8EAC-4D46-8FD2-6323F78DBA0F}">
  <dimension ref="A1:AI114"/>
  <sheetViews>
    <sheetView showGridLines="0" tabSelected="1" topLeftCell="P1" zoomScale="90" zoomScaleNormal="90" workbookViewId="0">
      <selection activeCell="AD5" sqref="AD5"/>
    </sheetView>
  </sheetViews>
  <sheetFormatPr baseColWidth="10" defaultRowHeight="14.4" outlineLevelCol="1" x14ac:dyDescent="0.3"/>
  <cols>
    <col min="1" max="1" width="21.6640625" style="57" customWidth="1" outlineLevel="1"/>
    <col min="2" max="2" width="12" style="34" customWidth="1" outlineLevel="1"/>
    <col min="3" max="3" width="7.88671875" style="34" customWidth="1" outlineLevel="1"/>
    <col min="4" max="4" width="16.33203125" style="34" customWidth="1" outlineLevel="1"/>
    <col min="5" max="5" width="12" style="34" customWidth="1" outlineLevel="1"/>
    <col min="6" max="6" width="7.88671875" style="34" customWidth="1" outlineLevel="1"/>
    <col min="7" max="7" width="6.33203125" style="34" customWidth="1" outlineLevel="1"/>
    <col min="8" max="8" width="19.33203125" style="34" customWidth="1" outlineLevel="1"/>
    <col min="9" max="9" width="12.109375" style="34" customWidth="1" outlineLevel="1"/>
    <col min="10" max="10" width="12.109375" style="34" bestFit="1" customWidth="1"/>
    <col min="11" max="11" width="19.44140625" style="34" bestFit="1" customWidth="1"/>
    <col min="12" max="12" width="13.33203125" style="16" customWidth="1"/>
    <col min="13" max="13" width="12" style="16" customWidth="1"/>
    <col min="14" max="15" width="15" style="16" customWidth="1"/>
    <col min="16" max="16" width="12" style="16" customWidth="1"/>
    <col min="17" max="18" width="15" style="16" customWidth="1"/>
    <col min="19" max="19" width="15.109375" style="16" customWidth="1"/>
    <col min="20" max="20" width="13.109375" style="16" customWidth="1"/>
    <col min="21" max="21" width="11.6640625" style="16" customWidth="1"/>
    <col min="22" max="22" width="11.33203125" style="16" customWidth="1"/>
    <col min="23" max="23" width="14.5546875" style="16" customWidth="1"/>
    <col min="24" max="24" width="14.6640625" style="16" customWidth="1"/>
    <col min="25" max="26" width="11.6640625" style="16" customWidth="1"/>
    <col min="27" max="27" width="14.5546875" style="16" customWidth="1"/>
    <col min="28" max="28" width="14.109375" style="16" customWidth="1"/>
    <col min="29" max="31" width="13.6640625" style="16" customWidth="1"/>
  </cols>
  <sheetData>
    <row r="1" spans="1:35" x14ac:dyDescent="0.3">
      <c r="A1" s="18"/>
      <c r="B1" s="18"/>
      <c r="D1" s="18"/>
      <c r="E1" s="18"/>
      <c r="F1" s="18"/>
      <c r="G1" s="18"/>
      <c r="H1" s="18"/>
      <c r="I1" s="18"/>
      <c r="J1" s="18"/>
      <c r="K1" s="18"/>
      <c r="L1" s="23"/>
    </row>
    <row r="2" spans="1:35" x14ac:dyDescent="0.3">
      <c r="A2" s="18"/>
      <c r="B2" s="18"/>
      <c r="D2" s="18"/>
      <c r="E2" s="18"/>
      <c r="F2" s="18"/>
      <c r="G2" s="18"/>
      <c r="H2" s="18"/>
      <c r="I2" s="18"/>
      <c r="J2" s="18"/>
      <c r="K2" s="18"/>
      <c r="T2" s="28">
        <v>2206451.6129032257</v>
      </c>
      <c r="U2" s="28">
        <v>429032.25806451612</v>
      </c>
      <c r="V2" s="28">
        <v>2206451.6129032257</v>
      </c>
      <c r="W2" s="28">
        <v>3064516.1290322579</v>
      </c>
      <c r="X2" s="31">
        <v>0.4</v>
      </c>
      <c r="Z2" s="28">
        <v>310000</v>
      </c>
      <c r="AB2" s="28">
        <v>3519400</v>
      </c>
    </row>
    <row r="3" spans="1:35" x14ac:dyDescent="0.3">
      <c r="A3" s="18"/>
      <c r="B3" s="18"/>
      <c r="C3" s="34">
        <f>SUM(C5:C114)</f>
        <v>43</v>
      </c>
      <c r="D3" s="18"/>
      <c r="E3" s="18"/>
      <c r="F3" s="34">
        <f>SUM(F5:F114)</f>
        <v>7</v>
      </c>
      <c r="G3" s="18"/>
      <c r="H3" s="18"/>
      <c r="I3" s="18"/>
      <c r="J3" s="18"/>
      <c r="K3" s="18"/>
      <c r="AH3" s="45"/>
      <c r="AI3" s="45"/>
    </row>
    <row r="4" spans="1:35" s="39" customFormat="1" ht="44.25" customHeight="1" x14ac:dyDescent="0.3">
      <c r="A4" s="38" t="s">
        <v>329</v>
      </c>
      <c r="B4" s="38" t="s">
        <v>161</v>
      </c>
      <c r="C4" s="55" t="s">
        <v>314</v>
      </c>
      <c r="D4" s="38" t="s">
        <v>330</v>
      </c>
      <c r="E4" s="38" t="s">
        <v>161</v>
      </c>
      <c r="F4" s="38" t="s">
        <v>314</v>
      </c>
      <c r="G4" s="38" t="s">
        <v>317</v>
      </c>
      <c r="H4" s="38" t="s">
        <v>326</v>
      </c>
      <c r="I4" s="38" t="s">
        <v>318</v>
      </c>
      <c r="J4" s="38" t="s">
        <v>212</v>
      </c>
      <c r="K4" s="38" t="s">
        <v>0</v>
      </c>
      <c r="L4" s="38" t="s">
        <v>123</v>
      </c>
      <c r="M4" s="38" t="s">
        <v>158</v>
      </c>
      <c r="N4" s="38" t="s">
        <v>159</v>
      </c>
      <c r="O4" s="38" t="s">
        <v>218</v>
      </c>
      <c r="P4" s="38" t="s">
        <v>182</v>
      </c>
      <c r="Q4" s="38" t="s">
        <v>125</v>
      </c>
      <c r="R4" s="38" t="s">
        <v>312</v>
      </c>
      <c r="S4" s="38" t="s">
        <v>313</v>
      </c>
      <c r="T4" s="38" t="s">
        <v>41</v>
      </c>
      <c r="U4" s="38" t="s">
        <v>42</v>
      </c>
      <c r="V4" s="38" t="s">
        <v>43</v>
      </c>
      <c r="W4" s="38" t="s">
        <v>44</v>
      </c>
      <c r="X4" s="38" t="s">
        <v>127</v>
      </c>
      <c r="Y4" s="38" t="s">
        <v>128</v>
      </c>
      <c r="Z4" s="38" t="s">
        <v>171</v>
      </c>
      <c r="AA4" s="38" t="s">
        <v>40</v>
      </c>
      <c r="AB4" s="38" t="s">
        <v>45</v>
      </c>
      <c r="AC4" s="38" t="s">
        <v>164</v>
      </c>
      <c r="AD4" s="38" t="s">
        <v>165</v>
      </c>
      <c r="AE4" s="38" t="s">
        <v>166</v>
      </c>
    </row>
    <row r="5" spans="1:35" x14ac:dyDescent="0.3">
      <c r="A5" s="29" t="s">
        <v>297</v>
      </c>
      <c r="B5" s="29" t="s">
        <v>209</v>
      </c>
      <c r="C5" s="32">
        <v>1</v>
      </c>
      <c r="D5" s="29" t="s">
        <v>299</v>
      </c>
      <c r="E5" s="29" t="s">
        <v>209</v>
      </c>
      <c r="F5" s="32">
        <v>1</v>
      </c>
      <c r="G5" s="32">
        <v>2</v>
      </c>
      <c r="H5" s="29" t="s">
        <v>291</v>
      </c>
      <c r="I5" s="32" t="s">
        <v>319</v>
      </c>
      <c r="J5" s="32" t="s">
        <v>213</v>
      </c>
      <c r="K5" s="32" t="s">
        <v>3</v>
      </c>
      <c r="L5" s="29">
        <f>IFERROR(VLOOKUP(CONCATENATE(J5,K5),Ventas!D:H,4,0),0)</f>
        <v>3692307.692307692</v>
      </c>
      <c r="M5" s="29">
        <f>IF(SUM(C5,F5)&gt;0,L5*0.1,0)</f>
        <v>369230.76923076925</v>
      </c>
      <c r="N5" s="41">
        <f>SUM(L5:M5)</f>
        <v>4061538.461538461</v>
      </c>
      <c r="O5" s="29">
        <f>N5*IFERROR(VLOOKUP(J5,Tabla11[],3,0),0)</f>
        <v>1421538.4615384613</v>
      </c>
      <c r="P5" s="29">
        <f>N5-O5</f>
        <v>2640000</v>
      </c>
      <c r="Q5" s="29">
        <f>IFERROR(G5/SUMIF(I:I,I5,G:G),0)*VLOOKUP(H5,Modelos[],14,0)+IFERROR(G5/SUMIF(I:I,I5,G:G),0)*VLOOKUP(I5,Tabla13[],2,0)</f>
        <v>82422.041694078958</v>
      </c>
      <c r="R5" s="29">
        <f>IFERROR(VLOOKUP(A5,Modelos[],IF(B5="EST",15,14),0),0)*C5</f>
        <v>310333.7890625</v>
      </c>
      <c r="S5" s="29">
        <f>IFERROR(VLOOKUP(D5,Modelos[],IF(E5="EST",15,14),0),0)*F5</f>
        <v>204526.80039749993</v>
      </c>
      <c r="T5" s="29">
        <f>IF($L5&lt;0,0,IFERROR((T$2*IFERROR(VLOOKUP(J5,Tabla11[],2,0),0))*($L5/SUM($L$5:$L$46)),0))</f>
        <v>21188.573872456531</v>
      </c>
      <c r="U5" s="29">
        <f>IF($L5&lt;0,0,IFERROR((U$2*IFERROR(VLOOKUP(J5,Tabla11[],2,0),0))*($L5/SUM($L$5:$L$46)),0))</f>
        <v>4120.0004751998804</v>
      </c>
      <c r="V5" s="29">
        <f>IF($L5&lt;0,0,IFERROR((V$2*IFERROR(VLOOKUP(J5,Tabla11[],2,0),0))*($L5/SUM($L$5:$L$46)),0))</f>
        <v>21188.573872456531</v>
      </c>
      <c r="W5" s="29">
        <f>IF($L5&lt;0,0,IFERROR((W$2*IFERROR(VLOOKUP(J5,Tabla11[],2,0),0))*($L5/SUM($L$5:$L$46)),0))</f>
        <v>29428.574822856292</v>
      </c>
      <c r="X5" s="29">
        <f>P5*$X$2</f>
        <v>1056000</v>
      </c>
      <c r="Y5" s="29">
        <f>+X5*IFERROR(VLOOKUP(J5,Tabla11[],4,0),0)</f>
        <v>158400</v>
      </c>
      <c r="Z5" s="29">
        <f>IF(L5&gt;0,$Z$2/12,0)</f>
        <v>25833.333333333332</v>
      </c>
      <c r="AA5" s="29">
        <f>P5-SUM(Q5:Z5)</f>
        <v>726558.31246961863</v>
      </c>
      <c r="AB5" s="29">
        <f>IF($L5&lt;0,0,IFERROR((AB$2*IFERROR(VLOOKUP(J5,Tabla11[],2,0),0))*($L5/SUM($L$5:$L$46)),0))</f>
        <v>33796.828559772352</v>
      </c>
      <c r="AC5" s="29">
        <f>L5-L5*IFERROR(VLOOKUP(J5,Tabla11[],3,0),0)-Q5-T5-U5-V5-W5-L5*$X$2-(L5*$X$2)*IFERROR(VLOOKUP(J5,Tabla11[],4,0),0)-AB5-Z5</f>
        <v>483560.53490830812</v>
      </c>
      <c r="AD5" s="29">
        <f>AA5-AB5</f>
        <v>692761.48390984628</v>
      </c>
      <c r="AE5" s="29">
        <f>ROUND(AD5-AC5,9)</f>
        <v>209200.94900153801</v>
      </c>
    </row>
    <row r="6" spans="1:35" x14ac:dyDescent="0.3">
      <c r="A6" s="30" t="s">
        <v>299</v>
      </c>
      <c r="B6" s="30" t="s">
        <v>209</v>
      </c>
      <c r="C6" s="33">
        <v>1</v>
      </c>
      <c r="D6" s="30"/>
      <c r="E6" s="30" t="s">
        <v>209</v>
      </c>
      <c r="F6" s="33"/>
      <c r="G6" s="33">
        <v>0</v>
      </c>
      <c r="H6" s="33" t="s">
        <v>291</v>
      </c>
      <c r="I6" s="33" t="s">
        <v>243</v>
      </c>
      <c r="J6" s="33" t="s">
        <v>213</v>
      </c>
      <c r="K6" s="33" t="s">
        <v>16</v>
      </c>
      <c r="L6" s="29">
        <f>IFERROR(VLOOKUP(CONCATENATE(J6,K6),Ventas!D:H,4,0),0)</f>
        <v>2895783.076923077</v>
      </c>
      <c r="M6" s="30">
        <f t="shared" ref="M6:M69" si="0">IF(SUM(C6,F6)&gt;0,L6*0.1,0)</f>
        <v>289578.30769230769</v>
      </c>
      <c r="N6" s="42">
        <f t="shared" ref="N6:N40" si="1">SUM(L6:M6)</f>
        <v>3185361.3846153845</v>
      </c>
      <c r="O6" s="30">
        <f>N6*IFERROR(VLOOKUP(J6,Tabla11[],3,0),0)</f>
        <v>1114876.4846153846</v>
      </c>
      <c r="P6" s="30">
        <f t="shared" ref="P6:P40" si="2">N6-O6</f>
        <v>2070484.9</v>
      </c>
      <c r="Q6" s="29">
        <f>IFERROR(G6/SUMIF(I:I,I6,G:G),0)*VLOOKUP(H6,Modelos[],14,0)+IFERROR(G6/SUMIF(I:I,I6,G:G),0)*VLOOKUP(I6,Tabla13[],2,0)</f>
        <v>0</v>
      </c>
      <c r="R6" s="30">
        <f>IFERROR(VLOOKUP(A6,Modelos[],IF(B6="EST",15,14),0),0)*C6</f>
        <v>204526.80039749993</v>
      </c>
      <c r="S6" s="30">
        <f>IFERROR(VLOOKUP(D6,Modelos[],IF(E6="EST",15,14),0),0)*F6</f>
        <v>0</v>
      </c>
      <c r="T6" s="30">
        <f>IF($L6&lt;0,0,IFERROR((T$2*IFERROR(VLOOKUP(J6,Tabla11[],2,0),0))*($L6/SUM($L$5:$L$46)),0))</f>
        <v>16617.659945248397</v>
      </c>
      <c r="U6" s="30">
        <f>IF($L6&lt;0,0,IFERROR((U$2*IFERROR(VLOOKUP(J6,Tabla11[],2,0),0))*($L6/SUM($L$5:$L$46)),0))</f>
        <v>3231.2116560205218</v>
      </c>
      <c r="V6" s="30">
        <f>IF($L6&lt;0,0,IFERROR((V$2*IFERROR(VLOOKUP(J6,Tabla11[],2,0),0))*($L6/SUM($L$5:$L$46)),0))</f>
        <v>16617.659945248397</v>
      </c>
      <c r="W6" s="30">
        <f>IF($L6&lt;0,0,IFERROR((W$2*IFERROR(VLOOKUP(J6,Tabla11[],2,0),0))*($L6/SUM($L$5:$L$46)),0))</f>
        <v>23080.083257289443</v>
      </c>
      <c r="X6" s="30">
        <f t="shared" ref="X6:X40" si="3">P6*$X$2</f>
        <v>828193.96</v>
      </c>
      <c r="Y6" s="30">
        <f>+X6*IFERROR(VLOOKUP(J6,Tabla11[],4,0),0)</f>
        <v>124229.09399999998</v>
      </c>
      <c r="Z6" s="30">
        <f t="shared" ref="Z6:Z40" si="4">IF(L6&gt;0,$Z$2/12,0)</f>
        <v>25833.333333333332</v>
      </c>
      <c r="AA6" s="30">
        <f t="shared" ref="AA6:AA40" si="5">P6-SUM(Q6:Z6)</f>
        <v>828155.09746535984</v>
      </c>
      <c r="AB6" s="30">
        <f>IF($L6&lt;0,0,IFERROR((AB$2*IFERROR(VLOOKUP(J6,Tabla11[],2,0),0))*($L6/SUM($L$5:$L$46)),0))</f>
        <v>26505.993636703563</v>
      </c>
      <c r="AC6" s="30">
        <f>L6-L6*IFERROR(VLOOKUP(J6,Tabla11[],3,0),0)-Q6-T6-U6-V6-W6-L6*$X$2-(L6*$X$2)*IFERROR(VLOOKUP(J6,Tabla11[],4,0),0)-AB6-Z6</f>
        <v>438312.8428415411</v>
      </c>
      <c r="AD6" s="30">
        <f t="shared" ref="AD6:AD40" si="6">AA6-AB6</f>
        <v>801649.10382865625</v>
      </c>
      <c r="AE6" s="30">
        <f t="shared" ref="AE6:AE40" si="7">ROUND(AD6-AC6,9)</f>
        <v>363336.26098711498</v>
      </c>
    </row>
    <row r="7" spans="1:35" x14ac:dyDescent="0.3">
      <c r="A7" s="29" t="s">
        <v>297</v>
      </c>
      <c r="B7" s="29" t="s">
        <v>209</v>
      </c>
      <c r="C7" s="32">
        <v>1</v>
      </c>
      <c r="D7" s="29" t="s">
        <v>299</v>
      </c>
      <c r="E7" s="29" t="s">
        <v>209</v>
      </c>
      <c r="F7" s="32">
        <v>1</v>
      </c>
      <c r="G7" s="32">
        <v>1</v>
      </c>
      <c r="H7" s="32" t="s">
        <v>291</v>
      </c>
      <c r="I7" s="32" t="s">
        <v>327</v>
      </c>
      <c r="J7" s="32" t="s">
        <v>213</v>
      </c>
      <c r="K7" s="32" t="s">
        <v>2</v>
      </c>
      <c r="L7" s="29">
        <f>IFERROR(VLOOKUP(CONCATENATE(J7,K7),Ventas!D:H,4,0),0)</f>
        <v>2875784.6153846155</v>
      </c>
      <c r="M7" s="29">
        <f t="shared" si="0"/>
        <v>287578.46153846156</v>
      </c>
      <c r="N7" s="41">
        <f t="shared" si="1"/>
        <v>3163363.076923077</v>
      </c>
      <c r="O7" s="29">
        <f>N7*IFERROR(VLOOKUP(J7,Tabla11[],3,0),0)</f>
        <v>1107177.0769230768</v>
      </c>
      <c r="P7" s="29">
        <f t="shared" si="2"/>
        <v>2056186.0000000002</v>
      </c>
      <c r="Q7" s="29">
        <f>IFERROR(G7/SUMIF(I:I,I7,G:G),0)*VLOOKUP(H7,Modelos[],14,0)+IFERROR(G7/SUMIF(I:I,I7,G:G),0)*VLOOKUP(I7,Tabla13[],2,0)</f>
        <v>51647.61153492648</v>
      </c>
      <c r="R7" s="29">
        <f>IFERROR(VLOOKUP(A7,Modelos[],IF(B7="EST",15,14),0),0)*C7</f>
        <v>310333.7890625</v>
      </c>
      <c r="S7" s="29">
        <f>IFERROR(VLOOKUP(D7,Modelos[],IF(E7="EST",15,14),0),0)*F7</f>
        <v>204526.80039749993</v>
      </c>
      <c r="T7" s="29">
        <f>IF($L7&lt;0,0,IFERROR((T$2*IFERROR(VLOOKUP(J7,Tabla11[],2,0),0))*($L7/SUM($L$5:$L$46)),0))</f>
        <v>16502.897332011707</v>
      </c>
      <c r="U7" s="29">
        <f>IF($L7&lt;0,0,IFERROR((U$2*IFERROR(VLOOKUP(J7,Tabla11[],2,0),0))*($L7/SUM($L$5:$L$46)),0))</f>
        <v>3208.8967034467205</v>
      </c>
      <c r="V7" s="29">
        <f>IF($L7&lt;0,0,IFERROR((V$2*IFERROR(VLOOKUP(J7,Tabla11[],2,0),0))*($L7/SUM($L$5:$L$46)),0))</f>
        <v>16502.897332011707</v>
      </c>
      <c r="W7" s="29">
        <f>IF($L7&lt;0,0,IFERROR((W$2*IFERROR(VLOOKUP(J7,Tabla11[],2,0),0))*($L7/SUM($L$5:$L$46)),0))</f>
        <v>22920.690738905148</v>
      </c>
      <c r="X7" s="29">
        <f t="shared" si="3"/>
        <v>822474.40000000014</v>
      </c>
      <c r="Y7" s="29">
        <f>+X7*IFERROR(VLOOKUP(J7,Tabla11[],4,0),0)</f>
        <v>123371.16000000002</v>
      </c>
      <c r="Z7" s="29">
        <f t="shared" si="4"/>
        <v>25833.333333333332</v>
      </c>
      <c r="AA7" s="29">
        <f t="shared" si="5"/>
        <v>458863.52356536523</v>
      </c>
      <c r="AB7" s="29">
        <f>IF($L7&lt;0,0,IFERROR((AB$2*IFERROR(VLOOKUP(J7,Tabla11[],2,0),0))*($L7/SUM($L$5:$L$46)),0))</f>
        <v>26322.941564016699</v>
      </c>
      <c r="AC7" s="29">
        <f>L7-L7*IFERROR(VLOOKUP(J7,Tabla11[],3,0),0)-Q7-T7-U7-V7-W7-L7*$X$2-(L7*$X$2)*IFERROR(VLOOKUP(J7,Tabla11[],4,0),0)-AB7-Z7</f>
        <v>383459.80838442483</v>
      </c>
      <c r="AD7" s="29">
        <f t="shared" si="6"/>
        <v>432540.58200134855</v>
      </c>
      <c r="AE7" s="29">
        <f t="shared" si="7"/>
        <v>49080.773616924002</v>
      </c>
    </row>
    <row r="8" spans="1:35" x14ac:dyDescent="0.3">
      <c r="A8" s="30" t="s">
        <v>297</v>
      </c>
      <c r="B8" s="30" t="s">
        <v>209</v>
      </c>
      <c r="C8" s="33">
        <v>1</v>
      </c>
      <c r="D8" s="30"/>
      <c r="E8" s="30" t="s">
        <v>209</v>
      </c>
      <c r="F8" s="33"/>
      <c r="G8" s="33">
        <v>3</v>
      </c>
      <c r="H8" s="33" t="s">
        <v>293</v>
      </c>
      <c r="I8" s="33" t="s">
        <v>10</v>
      </c>
      <c r="J8" s="33" t="s">
        <v>213</v>
      </c>
      <c r="K8" s="33" t="s">
        <v>10</v>
      </c>
      <c r="L8" s="29">
        <f>IFERROR(VLOOKUP(CONCATENATE(J8,K8),Ventas!D:H,4,0),0)</f>
        <v>2814513.846153846</v>
      </c>
      <c r="M8" s="30">
        <f t="shared" si="0"/>
        <v>281451.38461538462</v>
      </c>
      <c r="N8" s="42">
        <f t="shared" si="1"/>
        <v>3095965.2307692305</v>
      </c>
      <c r="O8" s="30">
        <f>N8*IFERROR(VLOOKUP(J8,Tabla11[],3,0),0)</f>
        <v>1083587.8307692306</v>
      </c>
      <c r="P8" s="30">
        <f t="shared" si="2"/>
        <v>2012377.4</v>
      </c>
      <c r="Q8" s="29">
        <f>IFERROR(G8/SUMIF(I:I,I8,G:G),0)*VLOOKUP(H8,Modelos[],14,0)+IFERROR(G8/SUMIF(I:I,I8,G:G),0)*VLOOKUP(I8,Tabla13[],2,0)</f>
        <v>65246.162840073535</v>
      </c>
      <c r="R8" s="30">
        <f>IFERROR(VLOOKUP(A8,Modelos[],IF(B8="EST",15,14),0),0)*C8</f>
        <v>310333.7890625</v>
      </c>
      <c r="S8" s="30">
        <f>IFERROR(VLOOKUP(D8,Modelos[],IF(E8="EST",15,14),0),0)*F8</f>
        <v>0</v>
      </c>
      <c r="T8" s="30">
        <f>IF($L8&lt;0,0,IFERROR((T$2*IFERROR(VLOOKUP(J8,Tabla11[],2,0),0))*($L8/SUM($L$5:$L$46)),0))</f>
        <v>16151.290605743183</v>
      </c>
      <c r="U8" s="30">
        <f>IF($L8&lt;0,0,IFERROR((U$2*IFERROR(VLOOKUP(J8,Tabla11[],2,0),0))*($L8/SUM($L$5:$L$46)),0))</f>
        <v>3140.5287288945078</v>
      </c>
      <c r="V8" s="30">
        <f>IF($L8&lt;0,0,IFERROR((V$2*IFERROR(VLOOKUP(J8,Tabla11[],2,0),0))*($L8/SUM($L$5:$L$46)),0))</f>
        <v>16151.290605743183</v>
      </c>
      <c r="W8" s="30">
        <f>IF($L8&lt;0,0,IFERROR((W$2*IFERROR(VLOOKUP(J8,Tabla11[],2,0),0))*($L8/SUM($L$5:$L$46)),0))</f>
        <v>22432.348063532201</v>
      </c>
      <c r="X8" s="30">
        <f t="shared" si="3"/>
        <v>804950.96</v>
      </c>
      <c r="Y8" s="30">
        <f>+X8*IFERROR(VLOOKUP(J8,Tabla11[],4,0),0)</f>
        <v>120742.64399999999</v>
      </c>
      <c r="Z8" s="30">
        <f t="shared" si="4"/>
        <v>25833.333333333332</v>
      </c>
      <c r="AA8" s="30">
        <f t="shared" si="5"/>
        <v>627395.05276018009</v>
      </c>
      <c r="AB8" s="30">
        <f>IF($L8&lt;0,0,IFERROR((AB$2*IFERROR(VLOOKUP(J8,Tabla11[],2,0),0))*($L8/SUM($L$5:$L$46)),0))</f>
        <v>25762.111358091075</v>
      </c>
      <c r="AC8" s="30">
        <f>L8-L8*IFERROR(VLOOKUP(J8,Tabla11[],3,0),0)-Q8-T8-U8-V8-W8-L8*$X$2-(L8*$X$2)*IFERROR(VLOOKUP(J8,Tabla11[],4,0),0)-AB8-Z8</f>
        <v>360040.56523381989</v>
      </c>
      <c r="AD8" s="30">
        <f t="shared" si="6"/>
        <v>601632.94140208897</v>
      </c>
      <c r="AE8" s="30">
        <f t="shared" si="7"/>
        <v>241592.37616826899</v>
      </c>
    </row>
    <row r="9" spans="1:35" x14ac:dyDescent="0.3">
      <c r="A9" s="29" t="s">
        <v>297</v>
      </c>
      <c r="B9" s="29" t="s">
        <v>209</v>
      </c>
      <c r="C9" s="32">
        <v>1</v>
      </c>
      <c r="D9" s="29"/>
      <c r="E9" s="29" t="s">
        <v>209</v>
      </c>
      <c r="F9" s="32"/>
      <c r="G9" s="32">
        <v>3</v>
      </c>
      <c r="H9" s="32" t="s">
        <v>291</v>
      </c>
      <c r="I9" s="32" t="s">
        <v>328</v>
      </c>
      <c r="J9" s="32" t="s">
        <v>213</v>
      </c>
      <c r="K9" s="32" t="s">
        <v>4</v>
      </c>
      <c r="L9" s="29">
        <f>IFERROR(VLOOKUP(CONCATENATE(J9,K9),Ventas!D:H,4,0),0)</f>
        <v>2704320</v>
      </c>
      <c r="M9" s="29">
        <f t="shared" si="0"/>
        <v>270432</v>
      </c>
      <c r="N9" s="41">
        <f t="shared" si="1"/>
        <v>2974752</v>
      </c>
      <c r="O9" s="29">
        <f>N9*IFERROR(VLOOKUP(J9,Tabla11[],3,0),0)</f>
        <v>1041163.2</v>
      </c>
      <c r="P9" s="29">
        <f t="shared" si="2"/>
        <v>1933588.8</v>
      </c>
      <c r="Q9" s="29">
        <f>IFERROR(G9/SUMIF(I:I,I9,G:G),0)*VLOOKUP(H9,Modelos[],14,0)+IFERROR(G9/SUMIF(I:I,I9,G:G),0)*VLOOKUP(I9,Tabla13[],2,0)</f>
        <v>179573.44202008931</v>
      </c>
      <c r="R9" s="29">
        <f>IFERROR(VLOOKUP(A9,Modelos[],IF(B9="EST",15,14),0),0)*C9</f>
        <v>310333.7890625</v>
      </c>
      <c r="S9" s="29">
        <f>IFERROR(VLOOKUP(D9,Modelos[],IF(E9="EST",15,14),0),0)*F9</f>
        <v>0</v>
      </c>
      <c r="T9" s="29">
        <f>IF($L9&lt;0,0,IFERROR((T$2*IFERROR(VLOOKUP(J9,Tabla11[],2,0),0))*($L9/SUM($L$5:$L$46)),0))</f>
        <v>15518.935275664611</v>
      </c>
      <c r="U9" s="29">
        <f>IF($L9&lt;0,0,IFERROR((U$2*IFERROR(VLOOKUP(J9,Tabla11[],2,0),0))*($L9/SUM($L$5:$L$46)),0))</f>
        <v>3017.5707480458964</v>
      </c>
      <c r="V9" s="29">
        <f>IF($L9&lt;0,0,IFERROR((V$2*IFERROR(VLOOKUP(J9,Tabla11[],2,0),0))*($L9/SUM($L$5:$L$46)),0))</f>
        <v>15518.935275664611</v>
      </c>
      <c r="W9" s="29">
        <f>IF($L9&lt;0,0,IFERROR((W$2*IFERROR(VLOOKUP(J9,Tabla11[],2,0),0))*($L9/SUM($L$5:$L$46)),0))</f>
        <v>21554.076771756405</v>
      </c>
      <c r="X9" s="29">
        <f t="shared" si="3"/>
        <v>773435.52</v>
      </c>
      <c r="Y9" s="29">
        <f>+X9*IFERROR(VLOOKUP(J9,Tabla11[],4,0),0)</f>
        <v>116015.32799999999</v>
      </c>
      <c r="Z9" s="29">
        <f t="shared" si="4"/>
        <v>25833.333333333332</v>
      </c>
      <c r="AA9" s="29">
        <f t="shared" si="5"/>
        <v>472787.86951294588</v>
      </c>
      <c r="AB9" s="29">
        <f>IF($L9&lt;0,0,IFERROR((AB$2*IFERROR(VLOOKUP(J9,Tabla11[],2,0),0))*($L9/SUM($L$5:$L$46)),0))</f>
        <v>24753.473173748465</v>
      </c>
      <c r="AC9" s="29">
        <f>L9-L9*IFERROR(VLOOKUP(J9,Tabla11[],3,0),0)-Q9-T9-U9-V9-W9-L9*$X$2-(L9*$X$2)*IFERROR(VLOOKUP(J9,Tabla11[],4,0),0)-AB9-Z9</f>
        <v>228051.03340169755</v>
      </c>
      <c r="AD9" s="29">
        <f t="shared" si="6"/>
        <v>448034.39633919741</v>
      </c>
      <c r="AE9" s="29">
        <f t="shared" si="7"/>
        <v>219983.3629375</v>
      </c>
    </row>
    <row r="10" spans="1:35" x14ac:dyDescent="0.3">
      <c r="A10" s="30"/>
      <c r="B10" s="30" t="s">
        <v>209</v>
      </c>
      <c r="C10" s="33"/>
      <c r="D10" s="30"/>
      <c r="E10" s="30" t="s">
        <v>209</v>
      </c>
      <c r="F10" s="33"/>
      <c r="G10" s="33">
        <v>3</v>
      </c>
      <c r="H10" s="33" t="s">
        <v>291</v>
      </c>
      <c r="I10" s="33" t="s">
        <v>320</v>
      </c>
      <c r="J10" s="33" t="s">
        <v>213</v>
      </c>
      <c r="K10" s="33" t="s">
        <v>5</v>
      </c>
      <c r="L10" s="29">
        <f>IFERROR(VLOOKUP(CONCATENATE(J10,K10),Ventas!D:H,4,0),0)</f>
        <v>2604672.3076923075</v>
      </c>
      <c r="M10" s="30">
        <f t="shared" si="0"/>
        <v>0</v>
      </c>
      <c r="N10" s="42">
        <f t="shared" si="1"/>
        <v>2604672.3076923075</v>
      </c>
      <c r="O10" s="30">
        <f>N10*IFERROR(VLOOKUP(J10,Tabla11[],3,0),0)</f>
        <v>911635.30769230763</v>
      </c>
      <c r="P10" s="30">
        <f t="shared" si="2"/>
        <v>1693037</v>
      </c>
      <c r="Q10" s="29">
        <f>IFERROR(G10/SUMIF(I:I,I10,G:G),0)*VLOOKUP(H10,Modelos[],14,0)+IFERROR(G10/SUMIF(I:I,I10,G:G),0)*VLOOKUP(I10,Tabla13[],2,0)</f>
        <v>106001.17451171877</v>
      </c>
      <c r="R10" s="30">
        <f>IFERROR(VLOOKUP(A10,Modelos[],IF(B10="EST",15,14),0),0)*C10</f>
        <v>0</v>
      </c>
      <c r="S10" s="30">
        <f>IFERROR(VLOOKUP(D10,Modelos[],IF(E10="EST",15,14),0),0)*F10</f>
        <v>0</v>
      </c>
      <c r="T10" s="30">
        <f>IF($L10&lt;0,0,IFERROR((T$2*IFERROR(VLOOKUP(J10,Tabla11[],2,0),0))*($L10/SUM($L$5:$L$46)),0))</f>
        <v>14947.099809709243</v>
      </c>
      <c r="U10" s="30">
        <f>IF($L10&lt;0,0,IFERROR((U$2*IFERROR(VLOOKUP(J10,Tabla11[],2,0),0))*($L10/SUM($L$5:$L$46)),0))</f>
        <v>2906.3805185545752</v>
      </c>
      <c r="V10" s="30">
        <f>IF($L10&lt;0,0,IFERROR((V$2*IFERROR(VLOOKUP(J10,Tabla11[],2,0),0))*($L10/SUM($L$5:$L$46)),0))</f>
        <v>14947.099809709243</v>
      </c>
      <c r="W10" s="30">
        <f>IF($L10&lt;0,0,IFERROR((W$2*IFERROR(VLOOKUP(J10,Tabla11[],2,0),0))*($L10/SUM($L$5:$L$46)),0))</f>
        <v>20759.860846818396</v>
      </c>
      <c r="X10" s="30">
        <f t="shared" si="3"/>
        <v>677214.8</v>
      </c>
      <c r="Y10" s="30">
        <f>+X10*IFERROR(VLOOKUP(J10,Tabla11[],4,0),0)</f>
        <v>101582.22</v>
      </c>
      <c r="Z10" s="30">
        <f t="shared" si="4"/>
        <v>25833.333333333332</v>
      </c>
      <c r="AA10" s="30">
        <f t="shared" si="5"/>
        <v>728845.03117015644</v>
      </c>
      <c r="AB10" s="30">
        <f>IF($L10&lt;0,0,IFERROR((AB$2*IFERROR(VLOOKUP(J10,Tabla11[],2,0),0))*($L10/SUM($L$5:$L$46)),0))</f>
        <v>23841.367180979709</v>
      </c>
      <c r="AC10" s="30">
        <f>L10-L10*IFERROR(VLOOKUP(J10,Tabla11[],3,0),0)-Q10-T10-U10-V10-W10-L10*$X$2-(L10*$X$2)*IFERROR(VLOOKUP(J10,Tabla11[],4,0),0)-AB10-Z10</f>
        <v>285651.42245071538</v>
      </c>
      <c r="AD10" s="30">
        <f t="shared" si="6"/>
        <v>705003.66398917674</v>
      </c>
      <c r="AE10" s="30">
        <f t="shared" si="7"/>
        <v>419352.24153846101</v>
      </c>
    </row>
    <row r="11" spans="1:35" x14ac:dyDescent="0.3">
      <c r="A11" s="29" t="s">
        <v>298</v>
      </c>
      <c r="B11" s="29" t="s">
        <v>209</v>
      </c>
      <c r="C11" s="32">
        <v>1</v>
      </c>
      <c r="D11" s="29"/>
      <c r="E11" s="29" t="s">
        <v>209</v>
      </c>
      <c r="F11" s="32"/>
      <c r="G11" s="32">
        <v>2</v>
      </c>
      <c r="H11" s="32" t="s">
        <v>291</v>
      </c>
      <c r="I11" s="32" t="s">
        <v>328</v>
      </c>
      <c r="J11" s="32" t="s">
        <v>213</v>
      </c>
      <c r="K11" s="32" t="s">
        <v>9</v>
      </c>
      <c r="L11" s="29">
        <f>IFERROR(VLOOKUP(CONCATENATE(J11,K11),Ventas!D:H,4,0),0)</f>
        <v>2542166.153846154</v>
      </c>
      <c r="M11" s="29">
        <f t="shared" si="0"/>
        <v>254216.6153846154</v>
      </c>
      <c r="N11" s="41">
        <f t="shared" si="1"/>
        <v>2796382.7692307695</v>
      </c>
      <c r="O11" s="29">
        <f>N11*IFERROR(VLOOKUP(J11,Tabla11[],3,0),0)</f>
        <v>978733.9692307692</v>
      </c>
      <c r="P11" s="29">
        <f t="shared" si="2"/>
        <v>1817648.8000000003</v>
      </c>
      <c r="Q11" s="29">
        <f>IFERROR(G11/SUMIF(I:I,I11,G:G),0)*VLOOKUP(H11,Modelos[],14,0)+IFERROR(G11/SUMIF(I:I,I11,G:G),0)*VLOOKUP(I11,Tabla13[],2,0)</f>
        <v>119715.62801339287</v>
      </c>
      <c r="R11" s="29">
        <f>IFERROR(VLOOKUP(A11,Modelos[],IF(B11="EST",15,14),0),0)*C11</f>
        <v>154393.46562500001</v>
      </c>
      <c r="S11" s="29">
        <f>IFERROR(VLOOKUP(D11,Modelos[],IF(E11="EST",15,14),0),0)*F11</f>
        <v>0</v>
      </c>
      <c r="T11" s="29">
        <f>IF($L11&lt;0,0,IFERROR((T$2*IFERROR(VLOOKUP(J11,Tabla11[],2,0),0))*($L11/SUM($L$5:$L$46)),0))</f>
        <v>14588.403739765898</v>
      </c>
      <c r="U11" s="29">
        <f>IF($L11&lt;0,0,IFERROR((U$2*IFERROR(VLOOKUP(J11,Tabla11[],2,0),0))*($L11/SUM($L$5:$L$46)),0))</f>
        <v>2836.6340605100359</v>
      </c>
      <c r="V11" s="29">
        <f>IF($L11&lt;0,0,IFERROR((V$2*IFERROR(VLOOKUP(J11,Tabla11[],2,0),0))*($L11/SUM($L$5:$L$46)),0))</f>
        <v>14588.403739765898</v>
      </c>
      <c r="W11" s="29">
        <f>IF($L11&lt;0,0,IFERROR((W$2*IFERROR(VLOOKUP(J11,Tabla11[],2,0),0))*($L11/SUM($L$5:$L$46)),0))</f>
        <v>20261.671860785969</v>
      </c>
      <c r="X11" s="29">
        <f t="shared" si="3"/>
        <v>727059.52000000014</v>
      </c>
      <c r="Y11" s="29">
        <f>+X11*IFERROR(VLOOKUP(J11,Tabla11[],4,0),0)</f>
        <v>109058.92800000001</v>
      </c>
      <c r="Z11" s="29">
        <f t="shared" si="4"/>
        <v>25833.333333333332</v>
      </c>
      <c r="AA11" s="29">
        <f t="shared" si="5"/>
        <v>629312.81162744621</v>
      </c>
      <c r="AB11" s="29">
        <f>IF($L11&lt;0,0,IFERROR((AB$2*IFERROR(VLOOKUP(J11,Tabla11[],2,0),0))*($L11/SUM($L$5:$L$46)),0))</f>
        <v>23269.229119498468</v>
      </c>
      <c r="AC11" s="29">
        <f>L11-L11*IFERROR(VLOOKUP(J11,Tabla11[],3,0),0)-Q11-T11-U11-V11-W11-L11*$X$2-(L11*$X$2)*IFERROR(VLOOKUP(J11,Tabla11[],4,0),0)-AB11-Z11</f>
        <v>261918.26536371661</v>
      </c>
      <c r="AD11" s="29">
        <f t="shared" si="6"/>
        <v>606043.58250794769</v>
      </c>
      <c r="AE11" s="29">
        <f t="shared" si="7"/>
        <v>344125.317144231</v>
      </c>
    </row>
    <row r="12" spans="1:35" x14ac:dyDescent="0.3">
      <c r="A12" s="30" t="s">
        <v>294</v>
      </c>
      <c r="B12" s="30" t="s">
        <v>209</v>
      </c>
      <c r="C12" s="33">
        <v>1</v>
      </c>
      <c r="D12" s="30" t="s">
        <v>295</v>
      </c>
      <c r="E12" s="30" t="s">
        <v>209</v>
      </c>
      <c r="F12" s="33">
        <v>1</v>
      </c>
      <c r="G12" s="33">
        <v>2</v>
      </c>
      <c r="H12" s="33" t="s">
        <v>292</v>
      </c>
      <c r="I12" s="33" t="s">
        <v>323</v>
      </c>
      <c r="J12" s="33" t="s">
        <v>213</v>
      </c>
      <c r="K12" s="33" t="s">
        <v>1</v>
      </c>
      <c r="L12" s="29">
        <f>IFERROR(VLOOKUP(CONCATENATE(J12,K12),Ventas!D:H,4,0),0)</f>
        <v>2331083.076923077</v>
      </c>
      <c r="M12" s="30">
        <f t="shared" si="0"/>
        <v>233108.30769230772</v>
      </c>
      <c r="N12" s="42">
        <f t="shared" si="1"/>
        <v>2564191.3846153845</v>
      </c>
      <c r="O12" s="30">
        <f>N12*IFERROR(VLOOKUP(J12,Tabla11[],3,0),0)</f>
        <v>897466.98461538448</v>
      </c>
      <c r="P12" s="30">
        <f t="shared" si="2"/>
        <v>1666724.4</v>
      </c>
      <c r="Q12" s="29">
        <f>IFERROR(G12/SUMIF(I:I,I12,G:G),0)*VLOOKUP(H12,Modelos[],14,0)+IFERROR(G12/SUMIF(I:I,I12,G:G),0)*VLOOKUP(I12,Tabla13[],2,0)</f>
        <v>46336.65841346154</v>
      </c>
      <c r="R12" s="30">
        <f>IFERROR(VLOOKUP(A12,Modelos[],IF(B12="EST",15,14),0),0)*C12</f>
        <v>598680.58796874993</v>
      </c>
      <c r="S12" s="30">
        <f>IFERROR(VLOOKUP(D12,Modelos[],IF(E12="EST",15,14),0),0)*F12</f>
        <v>281148.89140624995</v>
      </c>
      <c r="T12" s="30">
        <f>IF($L12&lt;0,0,IFERROR((T$2*IFERROR(VLOOKUP(J12,Tabla11[],2,0),0))*($L12/SUM($L$5:$L$46)),0))</f>
        <v>13377.088285767344</v>
      </c>
      <c r="U12" s="30">
        <f>IF($L12&lt;0,0,IFERROR((U$2*IFERROR(VLOOKUP(J12,Tabla11[],2,0),0))*($L12/SUM($L$5:$L$46)),0))</f>
        <v>2601.1005000103169</v>
      </c>
      <c r="V12" s="30">
        <f>IF($L12&lt;0,0,IFERROR((V$2*IFERROR(VLOOKUP(J12,Tabla11[],2,0),0))*($L12/SUM($L$5:$L$46)),0))</f>
        <v>13377.088285767344</v>
      </c>
      <c r="W12" s="30">
        <f>IF($L12&lt;0,0,IFERROR((W$2*IFERROR(VLOOKUP(J12,Tabla11[],2,0),0))*($L12/SUM($L$5:$L$46)),0))</f>
        <v>18579.289285787978</v>
      </c>
      <c r="X12" s="30">
        <f t="shared" si="3"/>
        <v>666689.76</v>
      </c>
      <c r="Y12" s="30">
        <f>+X12*IFERROR(VLOOKUP(J12,Tabla11[],4,0),0)</f>
        <v>100003.46399999999</v>
      </c>
      <c r="Z12" s="30">
        <f t="shared" si="4"/>
        <v>25833.333333333332</v>
      </c>
      <c r="AA12" s="30">
        <f t="shared" si="5"/>
        <v>-99902.86147912778</v>
      </c>
      <c r="AB12" s="30">
        <f>IF($L12&lt;0,0,IFERROR((AB$2*IFERROR(VLOOKUP(J12,Tabla11[],2,0),0))*($L12/SUM($L$5:$L$46)),0))</f>
        <v>21337.12075878388</v>
      </c>
      <c r="AC12" s="30">
        <f>L12-L12*IFERROR(VLOOKUP(J12,Tabla11[],3,0),0)-Q12-T12-U12-V12-W12-L12*$X$2-(L12*$X$2)*IFERROR(VLOOKUP(J12,Tabla11[],4,0),0)-AB12-Z12</f>
        <v>301464.10575247271</v>
      </c>
      <c r="AD12" s="30">
        <f t="shared" si="6"/>
        <v>-121239.98223791167</v>
      </c>
      <c r="AE12" s="30">
        <f t="shared" si="7"/>
        <v>-422704.08799038403</v>
      </c>
    </row>
    <row r="13" spans="1:35" x14ac:dyDescent="0.3">
      <c r="A13" s="29" t="s">
        <v>299</v>
      </c>
      <c r="B13" s="29" t="s">
        <v>209</v>
      </c>
      <c r="C13" s="32">
        <v>1</v>
      </c>
      <c r="D13" s="29"/>
      <c r="E13" s="29" t="s">
        <v>209</v>
      </c>
      <c r="F13" s="32"/>
      <c r="G13" s="32">
        <v>3</v>
      </c>
      <c r="H13" s="32" t="s">
        <v>292</v>
      </c>
      <c r="I13" s="32" t="s">
        <v>324</v>
      </c>
      <c r="J13" s="32" t="s">
        <v>213</v>
      </c>
      <c r="K13" s="32" t="s">
        <v>7</v>
      </c>
      <c r="L13" s="29">
        <f>IFERROR(VLOOKUP(CONCATENATE(J13,K13),Ventas!D:H,4,0),0)</f>
        <v>2069249.2307692308</v>
      </c>
      <c r="M13" s="29">
        <f t="shared" si="0"/>
        <v>206924.92307692309</v>
      </c>
      <c r="N13" s="41">
        <f t="shared" si="1"/>
        <v>2276174.153846154</v>
      </c>
      <c r="O13" s="29">
        <f>N13*IFERROR(VLOOKUP(J13,Tabla11[],3,0),0)</f>
        <v>796660.9538461538</v>
      </c>
      <c r="P13" s="29">
        <f t="shared" si="2"/>
        <v>1479513.2000000002</v>
      </c>
      <c r="Q13" s="29">
        <f>IFERROR(G13/SUMIF(I:I,I13,G:G),0)*VLOOKUP(H13,Modelos[],14,0)+IFERROR(G13/SUMIF(I:I,I13,G:G),0)*VLOOKUP(I13,Tabla13[],2,0)</f>
        <v>69504.987620192318</v>
      </c>
      <c r="R13" s="29">
        <f>IFERROR(VLOOKUP(A13,Modelos[],IF(B13="EST",15,14),0),0)*C13</f>
        <v>204526.80039749993</v>
      </c>
      <c r="S13" s="29">
        <f>IFERROR(VLOOKUP(D13,Modelos[],IF(E13="EST",15,14),0),0)*F13</f>
        <v>0</v>
      </c>
      <c r="T13" s="29">
        <f>IF($L13&lt;0,0,IFERROR((T$2*IFERROR(VLOOKUP(J13,Tabla11[],2,0),0))*($L13/SUM($L$5:$L$46)),0))</f>
        <v>11874.535883891876</v>
      </c>
      <c r="U13" s="29">
        <f>IF($L13&lt;0,0,IFERROR((U$2*IFERROR(VLOOKUP(J13,Tabla11[],2,0),0))*($L13/SUM($L$5:$L$46)),0))</f>
        <v>2308.9375329789759</v>
      </c>
      <c r="V13" s="29">
        <f>IF($L13&lt;0,0,IFERROR((V$2*IFERROR(VLOOKUP(J13,Tabla11[],2,0),0))*($L13/SUM($L$5:$L$46)),0))</f>
        <v>11874.535883891876</v>
      </c>
      <c r="W13" s="29">
        <f>IF($L13&lt;0,0,IFERROR((W$2*IFERROR(VLOOKUP(J13,Tabla11[],2,0),0))*($L13/SUM($L$5:$L$46)),0))</f>
        <v>16492.410949849829</v>
      </c>
      <c r="X13" s="29">
        <f t="shared" si="3"/>
        <v>591805.28000000014</v>
      </c>
      <c r="Y13" s="29">
        <f>+X13*IFERROR(VLOOKUP(J13,Tabla11[],4,0),0)</f>
        <v>88770.792000000016</v>
      </c>
      <c r="Z13" s="29">
        <f t="shared" si="4"/>
        <v>25833.333333333332</v>
      </c>
      <c r="AA13" s="29">
        <f t="shared" si="5"/>
        <v>456521.58639836195</v>
      </c>
      <c r="AB13" s="29">
        <f>IF($L13&lt;0,0,IFERROR((AB$2*IFERROR(VLOOKUP(J13,Tabla11[],2,0),0))*($L13/SUM($L$5:$L$46)),0))</f>
        <v>18940.474989515224</v>
      </c>
      <c r="AC13" s="29">
        <f>L13-L13*IFERROR(VLOOKUP(J13,Tabla11[],3,0),0)-Q13-T13-U13-V13-W13-L13*$X$2-(L13*$X$2)*IFERROR(VLOOKUP(J13,Tabla11[],4,0),0)-AB13-Z13</f>
        <v>236328.13765250033</v>
      </c>
      <c r="AD13" s="29">
        <f t="shared" si="6"/>
        <v>437581.11140884674</v>
      </c>
      <c r="AE13" s="29">
        <f t="shared" si="7"/>
        <v>201252.97375634601</v>
      </c>
    </row>
    <row r="14" spans="1:35" x14ac:dyDescent="0.3">
      <c r="A14" s="30" t="s">
        <v>299</v>
      </c>
      <c r="B14" s="30" t="s">
        <v>209</v>
      </c>
      <c r="C14" s="33">
        <v>1</v>
      </c>
      <c r="D14" s="30"/>
      <c r="E14" s="30" t="s">
        <v>209</v>
      </c>
      <c r="F14" s="33"/>
      <c r="G14" s="33">
        <v>2</v>
      </c>
      <c r="H14" s="33" t="s">
        <v>292</v>
      </c>
      <c r="I14" s="33" t="s">
        <v>323</v>
      </c>
      <c r="J14" s="33" t="s">
        <v>213</v>
      </c>
      <c r="K14" s="33" t="s">
        <v>8</v>
      </c>
      <c r="L14" s="29">
        <f>IFERROR(VLOOKUP(CONCATENATE(J14,K14),Ventas!D:H,4,0),0)</f>
        <v>1873333.846153846</v>
      </c>
      <c r="M14" s="30">
        <f t="shared" si="0"/>
        <v>187333.38461538462</v>
      </c>
      <c r="N14" s="42">
        <f t="shared" si="1"/>
        <v>2060667.2307692305</v>
      </c>
      <c r="O14" s="30">
        <f>N14*IFERROR(VLOOKUP(J14,Tabla11[],3,0),0)</f>
        <v>721233.53076923068</v>
      </c>
      <c r="P14" s="30">
        <f t="shared" si="2"/>
        <v>1339433.6999999997</v>
      </c>
      <c r="Q14" s="29">
        <f>IFERROR(G14/SUMIF(I:I,I14,G:G),0)*VLOOKUP(H14,Modelos[],14,0)+IFERROR(G14/SUMIF(I:I,I14,G:G),0)*VLOOKUP(I14,Tabla13[],2,0)</f>
        <v>46336.65841346154</v>
      </c>
      <c r="R14" s="30">
        <f>IFERROR(VLOOKUP(A14,Modelos[],IF(B14="EST",15,14),0),0)*C14</f>
        <v>204526.80039749993</v>
      </c>
      <c r="S14" s="30">
        <f>IFERROR(VLOOKUP(D14,Modelos[],IF(E14="EST",15,14),0),0)*F14</f>
        <v>0</v>
      </c>
      <c r="T14" s="30">
        <f>IF($L14&lt;0,0,IFERROR((T$2*IFERROR(VLOOKUP(J14,Tabla11[],2,0),0))*($L14/SUM($L$5:$L$46)),0))</f>
        <v>10750.261325646885</v>
      </c>
      <c r="U14" s="30">
        <f>IF($L14&lt;0,0,IFERROR((U$2*IFERROR(VLOOKUP(J14,Tabla11[],2,0),0))*($L14/SUM($L$5:$L$46)),0))</f>
        <v>2090.3285910980053</v>
      </c>
      <c r="V14" s="30">
        <f>IF($L14&lt;0,0,IFERROR((V$2*IFERROR(VLOOKUP(J14,Tabla11[],2,0),0))*($L14/SUM($L$5:$L$46)),0))</f>
        <v>10750.261325646885</v>
      </c>
      <c r="W14" s="30">
        <f>IF($L14&lt;0,0,IFERROR((W$2*IFERROR(VLOOKUP(J14,Tabla11[],2,0),0))*($L14/SUM($L$5:$L$46)),0))</f>
        <v>14930.918507842896</v>
      </c>
      <c r="X14" s="30">
        <f t="shared" si="3"/>
        <v>535773.47999999986</v>
      </c>
      <c r="Y14" s="30">
        <f>+X14*IFERROR(VLOOKUP(J14,Tabla11[],4,0),0)</f>
        <v>80366.021999999983</v>
      </c>
      <c r="Z14" s="30">
        <f t="shared" si="4"/>
        <v>25833.333333333332</v>
      </c>
      <c r="AA14" s="30">
        <f t="shared" si="5"/>
        <v>408075.63610547036</v>
      </c>
      <c r="AB14" s="30">
        <f>IF($L14&lt;0,0,IFERROR((AB$2*IFERROR(VLOOKUP(J14,Tabla11[],2,0),0))*($L14/SUM($L$5:$L$46)),0))</f>
        <v>17147.201184121801</v>
      </c>
      <c r="AC14" s="30">
        <f>L14-L14*IFERROR(VLOOKUP(J14,Tabla11[],3,0),0)-Q14-T14-U14-V14-W14-L14*$X$2-(L14*$X$2)*IFERROR(VLOOKUP(J14,Tabla11[],4,0),0)-AB14-Z14</f>
        <v>228094.46808807924</v>
      </c>
      <c r="AD14" s="30">
        <f t="shared" si="6"/>
        <v>390928.43492134858</v>
      </c>
      <c r="AE14" s="30">
        <f t="shared" si="7"/>
        <v>162833.96683326899</v>
      </c>
    </row>
    <row r="15" spans="1:35" x14ac:dyDescent="0.3">
      <c r="A15" s="29" t="s">
        <v>299</v>
      </c>
      <c r="B15" s="29" t="s">
        <v>209</v>
      </c>
      <c r="C15" s="32">
        <v>1</v>
      </c>
      <c r="D15" s="29"/>
      <c r="E15" s="29" t="s">
        <v>209</v>
      </c>
      <c r="F15" s="32"/>
      <c r="G15" s="32">
        <v>3</v>
      </c>
      <c r="H15" s="32" t="s">
        <v>291</v>
      </c>
      <c r="I15" s="32" t="s">
        <v>20</v>
      </c>
      <c r="J15" s="32" t="s">
        <v>213</v>
      </c>
      <c r="K15" s="32" t="s">
        <v>20</v>
      </c>
      <c r="L15" s="29">
        <f>IFERROR(VLOOKUP(CONCATENATE(J15,K15),Ventas!D:H,4,0),0)</f>
        <v>1668596.923076923</v>
      </c>
      <c r="M15" s="29">
        <f t="shared" si="0"/>
        <v>166859.69230769231</v>
      </c>
      <c r="N15" s="41">
        <f t="shared" si="1"/>
        <v>1835456.6153846153</v>
      </c>
      <c r="O15" s="29">
        <f>N15*IFERROR(VLOOKUP(J15,Tabla11[],3,0),0)</f>
        <v>642409.81538461533</v>
      </c>
      <c r="P15" s="29">
        <f t="shared" si="2"/>
        <v>1193046.7999999998</v>
      </c>
      <c r="Q15" s="29">
        <f>IFERROR(G15/SUMIF(I:I,I15,G:G),0)*VLOOKUP(H15,Modelos[],14,0)+IFERROR(G15/SUMIF(I:I,I15,G:G),0)*VLOOKUP(I15,Tabla13[],2,0)</f>
        <v>161601.87921875002</v>
      </c>
      <c r="R15" s="29">
        <f>IFERROR(VLOOKUP(A15,Modelos[],IF(B15="EST",15,14),0),0)*C15</f>
        <v>204526.80039749993</v>
      </c>
      <c r="S15" s="29">
        <f>IFERROR(VLOOKUP(D15,Modelos[],IF(E15="EST",15,14),0),0)*F15</f>
        <v>0</v>
      </c>
      <c r="T15" s="29">
        <f>IF($L15&lt;0,0,IFERROR((T$2*IFERROR(VLOOKUP(J15,Tabla11[],2,0),0))*($L15/SUM($L$5:$L$46)),0))</f>
        <v>9575.3637329916182</v>
      </c>
      <c r="U15" s="29">
        <f>IF($L15&lt;0,0,IFERROR((U$2*IFERROR(VLOOKUP(J15,Tabla11[],2,0),0))*($L15/SUM($L$5:$L$46)),0))</f>
        <v>1861.8762814150368</v>
      </c>
      <c r="V15" s="29">
        <f>IF($L15&lt;0,0,IFERROR((V$2*IFERROR(VLOOKUP(J15,Tabla11[],2,0),0))*($L15/SUM($L$5:$L$46)),0))</f>
        <v>9575.3637329916182</v>
      </c>
      <c r="W15" s="29">
        <f>IF($L15&lt;0,0,IFERROR((W$2*IFERROR(VLOOKUP(J15,Tabla11[],2,0),0))*($L15/SUM($L$5:$L$46)),0))</f>
        <v>13299.116295821692</v>
      </c>
      <c r="X15" s="29">
        <f t="shared" si="3"/>
        <v>477218.72</v>
      </c>
      <c r="Y15" s="29">
        <f>+X15*IFERROR(VLOOKUP(J15,Tabla11[],4,0),0)</f>
        <v>71582.80799999999</v>
      </c>
      <c r="Z15" s="29">
        <f t="shared" si="4"/>
        <v>25833.333333333332</v>
      </c>
      <c r="AA15" s="29">
        <f t="shared" si="5"/>
        <v>217971.53900719655</v>
      </c>
      <c r="AB15" s="29">
        <f>IF($L15&lt;0,0,IFERROR((AB$2*IFERROR(VLOOKUP(J15,Tabla11[],2,0),0))*($L15/SUM($L$5:$L$46)),0))</f>
        <v>15273.181122494323</v>
      </c>
      <c r="AC15" s="29">
        <f>L15-L15*IFERROR(VLOOKUP(J15,Tabla11[],3,0),0)-Q15-T15-U15-V15-W15-L15*$X$2-(L15*$X$2)*IFERROR(VLOOKUP(J15,Tabla11[],4,0),0)-AB15-Z15</f>
        <v>80013.301666817686</v>
      </c>
      <c r="AD15" s="29">
        <f t="shared" si="6"/>
        <v>202698.35788470221</v>
      </c>
      <c r="AE15" s="29">
        <f t="shared" si="7"/>
        <v>122685.05621788499</v>
      </c>
    </row>
    <row r="16" spans="1:35" x14ac:dyDescent="0.3">
      <c r="A16" s="30"/>
      <c r="B16" s="30" t="s">
        <v>209</v>
      </c>
      <c r="C16" s="33"/>
      <c r="D16" s="30"/>
      <c r="E16" s="30" t="s">
        <v>209</v>
      </c>
      <c r="F16" s="33"/>
      <c r="G16" s="33">
        <v>3</v>
      </c>
      <c r="H16" s="33" t="s">
        <v>293</v>
      </c>
      <c r="I16" s="33" t="s">
        <v>22</v>
      </c>
      <c r="J16" s="33" t="s">
        <v>213</v>
      </c>
      <c r="K16" s="33" t="s">
        <v>22</v>
      </c>
      <c r="L16" s="29">
        <f>IFERROR(VLOOKUP(CONCATENATE(J16,K16),Ventas!D:H,4,0),0)</f>
        <v>1667378.4615384615</v>
      </c>
      <c r="M16" s="30">
        <f t="shared" si="0"/>
        <v>0</v>
      </c>
      <c r="N16" s="42">
        <f t="shared" si="1"/>
        <v>1667378.4615384615</v>
      </c>
      <c r="O16" s="30">
        <f>N16*IFERROR(VLOOKUP(J16,Tabla11[],3,0),0)</f>
        <v>583582.4615384615</v>
      </c>
      <c r="P16" s="30">
        <f t="shared" si="2"/>
        <v>1083796</v>
      </c>
      <c r="Q16" s="29">
        <f>IFERROR(G16/SUMIF(I:I,I16,G:G),0)*VLOOKUP(H16,Modelos[],14,0)+IFERROR(G16/SUMIF(I:I,I16,G:G),0)*VLOOKUP(I16,Tabla13[],2,0)</f>
        <v>134909.41869791667</v>
      </c>
      <c r="R16" s="30">
        <f>IFERROR(VLOOKUP(A16,Modelos[],IF(B16="EST",15,14),0),0)*C16</f>
        <v>0</v>
      </c>
      <c r="S16" s="30">
        <f>IFERROR(VLOOKUP(D16,Modelos[],IF(E16="EST",15,14),0),0)*F16</f>
        <v>0</v>
      </c>
      <c r="T16" s="30">
        <f>IF($L16&lt;0,0,IFERROR((T$2*IFERROR(VLOOKUP(J16,Tabla11[],2,0),0))*($L16/SUM($L$5:$L$46)),0))</f>
        <v>9568.3715036137073</v>
      </c>
      <c r="U16" s="30">
        <f>IF($L16&lt;0,0,IFERROR((U$2*IFERROR(VLOOKUP(J16,Tabla11[],2,0),0))*($L16/SUM($L$5:$L$46)),0))</f>
        <v>1860.5166812582208</v>
      </c>
      <c r="V16" s="30">
        <f>IF($L16&lt;0,0,IFERROR((V$2*IFERROR(VLOOKUP(J16,Tabla11[],2,0),0))*($L16/SUM($L$5:$L$46)),0))</f>
        <v>9568.3715036137073</v>
      </c>
      <c r="W16" s="30">
        <f>IF($L16&lt;0,0,IFERROR((W$2*IFERROR(VLOOKUP(J16,Tabla11[],2,0),0))*($L16/SUM($L$5:$L$46)),0))</f>
        <v>13289.404866130149</v>
      </c>
      <c r="X16" s="30">
        <f t="shared" si="3"/>
        <v>433518.4</v>
      </c>
      <c r="Y16" s="30">
        <f>+X16*IFERROR(VLOOKUP(J16,Tabla11[],4,0),0)</f>
        <v>65027.76</v>
      </c>
      <c r="Z16" s="30">
        <f t="shared" si="4"/>
        <v>25833.333333333332</v>
      </c>
      <c r="AA16" s="30">
        <f t="shared" si="5"/>
        <v>390220.42341413407</v>
      </c>
      <c r="AB16" s="30">
        <f>IF($L16&lt;0,0,IFERROR((AB$2*IFERROR(VLOOKUP(J16,Tabla11[],2,0),0))*($L16/SUM($L$5:$L$46)),0))</f>
        <v>15262.028169069599</v>
      </c>
      <c r="AC16" s="30">
        <f>L16-L16*IFERROR(VLOOKUP(J16,Tabla11[],3,0),0)-Q16-T16-U16-V16-W16-L16*$X$2-(L16*$X$2)*IFERROR(VLOOKUP(J16,Tabla11[],4,0),0)-AB16-Z16</f>
        <v>106510.46293737231</v>
      </c>
      <c r="AD16" s="30">
        <f t="shared" si="6"/>
        <v>374958.39524506446</v>
      </c>
      <c r="AE16" s="30">
        <f t="shared" si="7"/>
        <v>268447.93230769201</v>
      </c>
    </row>
    <row r="17" spans="1:31" x14ac:dyDescent="0.3">
      <c r="A17" s="29" t="s">
        <v>299</v>
      </c>
      <c r="B17" s="29" t="s">
        <v>209</v>
      </c>
      <c r="C17" s="32">
        <v>1</v>
      </c>
      <c r="D17" s="29"/>
      <c r="E17" s="29" t="s">
        <v>209</v>
      </c>
      <c r="F17" s="32"/>
      <c r="G17" s="32">
        <v>3</v>
      </c>
      <c r="H17" s="32" t="s">
        <v>292</v>
      </c>
      <c r="I17" s="32" t="s">
        <v>324</v>
      </c>
      <c r="J17" s="32" t="s">
        <v>213</v>
      </c>
      <c r="K17" s="32" t="s">
        <v>17</v>
      </c>
      <c r="L17" s="29">
        <f>IFERROR(VLOOKUP(CONCATENATE(J17,K17),Ventas!D:H,4,0),0)</f>
        <v>1665920</v>
      </c>
      <c r="M17" s="29">
        <f t="shared" si="0"/>
        <v>166592</v>
      </c>
      <c r="N17" s="41">
        <f t="shared" si="1"/>
        <v>1832512</v>
      </c>
      <c r="O17" s="29">
        <f>N17*IFERROR(VLOOKUP(J17,Tabla11[],3,0),0)</f>
        <v>641379.19999999995</v>
      </c>
      <c r="P17" s="29">
        <f t="shared" si="2"/>
        <v>1191132.8</v>
      </c>
      <c r="Q17" s="29">
        <f>IFERROR(G17/SUMIF(I:I,I17,G:G),0)*VLOOKUP(H17,Modelos[],14,0)+IFERROR(G17/SUMIF(I:I,I17,G:G),0)*VLOOKUP(I17,Tabla13[],2,0)</f>
        <v>69504.987620192318</v>
      </c>
      <c r="R17" s="29">
        <f>IFERROR(VLOOKUP(A17,Modelos[],IF(B17="EST",15,14),0),0)*C17</f>
        <v>204526.80039749993</v>
      </c>
      <c r="S17" s="29">
        <f>IFERROR(VLOOKUP(D17,Modelos[],IF(E17="EST",15,14),0),0)*F17</f>
        <v>0</v>
      </c>
      <c r="T17" s="29">
        <f>IF($L17&lt;0,0,IFERROR((T$2*IFERROR(VLOOKUP(J17,Tabla11[],2,0),0))*($L17/SUM($L$5:$L$46)),0))</f>
        <v>9560.002016934086</v>
      </c>
      <c r="U17" s="29">
        <f>IF($L17&lt;0,0,IFERROR((U$2*IFERROR(VLOOKUP(J17,Tabla11[],2,0),0))*($L17/SUM($L$5:$L$46)),0))</f>
        <v>1858.889281070517</v>
      </c>
      <c r="V17" s="29">
        <f>IF($L17&lt;0,0,IFERROR((V$2*IFERROR(VLOOKUP(J17,Tabla11[],2,0),0))*($L17/SUM($L$5:$L$46)),0))</f>
        <v>9560.002016934086</v>
      </c>
      <c r="W17" s="29">
        <f>IF($L17&lt;0,0,IFERROR((W$2*IFERROR(VLOOKUP(J17,Tabla11[],2,0),0))*($L17/SUM($L$5:$L$46)),0))</f>
        <v>13277.780579075121</v>
      </c>
      <c r="X17" s="29">
        <f t="shared" si="3"/>
        <v>476453.12000000005</v>
      </c>
      <c r="Y17" s="29">
        <f>+X17*IFERROR(VLOOKUP(J17,Tabla11[],4,0),0)</f>
        <v>71467.968000000008</v>
      </c>
      <c r="Z17" s="29">
        <f t="shared" si="4"/>
        <v>25833.333333333332</v>
      </c>
      <c r="AA17" s="29">
        <f t="shared" si="5"/>
        <v>309089.91675496055</v>
      </c>
      <c r="AB17" s="29">
        <f>IF($L17&lt;0,0,IFERROR((AB$2*IFERROR(VLOOKUP(J17,Tabla11[],2,0),0))*($L17/SUM($L$5:$L$46)),0))</f>
        <v>15248.678421788489</v>
      </c>
      <c r="AC17" s="29">
        <f>L17-L17*IFERROR(VLOOKUP(J17,Tabla11[],3,0),0)-Q17-T17-U17-V17-W17-L17*$X$2-(L17*$X$2)*IFERROR(VLOOKUP(J17,Tabla11[],4,0),0)-AB17-Z17</f>
        <v>171681.12673067194</v>
      </c>
      <c r="AD17" s="29">
        <f t="shared" si="6"/>
        <v>293841.23833317205</v>
      </c>
      <c r="AE17" s="29">
        <f t="shared" si="7"/>
        <v>122160.11160249999</v>
      </c>
    </row>
    <row r="18" spans="1:31" x14ac:dyDescent="0.3">
      <c r="A18" s="30" t="s">
        <v>297</v>
      </c>
      <c r="B18" s="30" t="s">
        <v>209</v>
      </c>
      <c r="C18" s="33">
        <v>1</v>
      </c>
      <c r="D18" s="30" t="s">
        <v>299</v>
      </c>
      <c r="E18" s="30" t="s">
        <v>209</v>
      </c>
      <c r="F18" s="33">
        <v>1</v>
      </c>
      <c r="G18" s="33">
        <v>3</v>
      </c>
      <c r="H18" s="33" t="s">
        <v>292</v>
      </c>
      <c r="I18" s="33" t="s">
        <v>324</v>
      </c>
      <c r="J18" s="33" t="s">
        <v>213</v>
      </c>
      <c r="K18" s="33" t="s">
        <v>11</v>
      </c>
      <c r="L18" s="29">
        <f>IFERROR(VLOOKUP(CONCATENATE(J18,K18),Ventas!D:H,4,0),0)</f>
        <v>1610832.3076923077</v>
      </c>
      <c r="M18" s="30">
        <f t="shared" si="0"/>
        <v>161083.23076923078</v>
      </c>
      <c r="N18" s="42">
        <f t="shared" si="1"/>
        <v>1771915.5384615385</v>
      </c>
      <c r="O18" s="30">
        <f>N18*IFERROR(VLOOKUP(J18,Tabla11[],3,0),0)</f>
        <v>620170.4384615384</v>
      </c>
      <c r="P18" s="30">
        <f t="shared" si="2"/>
        <v>1151745.1000000001</v>
      </c>
      <c r="Q18" s="29">
        <f>IFERROR(G18/SUMIF(I:I,I18,G:G),0)*VLOOKUP(H18,Modelos[],14,0)+IFERROR(G18/SUMIF(I:I,I18,G:G),0)*VLOOKUP(I18,Tabla13[],2,0)</f>
        <v>69504.987620192318</v>
      </c>
      <c r="R18" s="30">
        <f>IFERROR(VLOOKUP(A18,Modelos[],IF(B18="EST",15,14),0),0)*C18</f>
        <v>310333.7890625</v>
      </c>
      <c r="S18" s="30">
        <f>IFERROR(VLOOKUP(D18,Modelos[],IF(E18="EST",15,14),0),0)*F18</f>
        <v>204526.80039749993</v>
      </c>
      <c r="T18" s="30">
        <f>IF($L18&lt;0,0,IFERROR((T$2*IFERROR(VLOOKUP(J18,Tabla11[],2,0),0))*($L18/SUM($L$5:$L$46)),0))</f>
        <v>9243.8773233294833</v>
      </c>
      <c r="U18" s="30">
        <f>IF($L18&lt;0,0,IFERROR((U$2*IFERROR(VLOOKUP(J18,Tabla11[],2,0),0))*($L18/SUM($L$5:$L$46)),0))</f>
        <v>1797.4205906473994</v>
      </c>
      <c r="V18" s="30">
        <f>IF($L18&lt;0,0,IFERROR((V$2*IFERROR(VLOOKUP(J18,Tabla11[],2,0),0))*($L18/SUM($L$5:$L$46)),0))</f>
        <v>9243.8773233294833</v>
      </c>
      <c r="W18" s="30">
        <f>IF($L18&lt;0,0,IFERROR((W$2*IFERROR(VLOOKUP(J18,Tabla11[],2,0),0))*($L18/SUM($L$5:$L$46)),0))</f>
        <v>12838.718504624281</v>
      </c>
      <c r="X18" s="30">
        <f t="shared" si="3"/>
        <v>460698.04000000004</v>
      </c>
      <c r="Y18" s="30">
        <f>+X18*IFERROR(VLOOKUP(J18,Tabla11[],4,0),0)</f>
        <v>69104.706000000006</v>
      </c>
      <c r="Z18" s="30">
        <f t="shared" si="4"/>
        <v>25833.333333333332</v>
      </c>
      <c r="AA18" s="30">
        <f t="shared" si="5"/>
        <v>-21380.450155456085</v>
      </c>
      <c r="AB18" s="30">
        <f>IF($L18&lt;0,0,IFERROR((AB$2*IFERROR(VLOOKUP(J18,Tabla11[],2,0),0))*($L18/SUM($L$5:$L$46)),0))</f>
        <v>14744.443821688586</v>
      </c>
      <c r="AC18" s="30">
        <f>L18-L18*IFERROR(VLOOKUP(J18,Tabla11[],3,0),0)-Q18-T18-U18-V18-W18-L18*$X$2-(L18*$X$2)*IFERROR(VLOOKUP(J18,Tabla11[],4,0),0)-AB18-Z18</f>
        <v>162851.47994439365</v>
      </c>
      <c r="AD18" s="30">
        <f t="shared" si="6"/>
        <v>-36124.893977144675</v>
      </c>
      <c r="AE18" s="30">
        <f t="shared" si="7"/>
        <v>-198976.373921538</v>
      </c>
    </row>
    <row r="19" spans="1:31" x14ac:dyDescent="0.3">
      <c r="A19" s="29" t="s">
        <v>298</v>
      </c>
      <c r="B19" s="29" t="s">
        <v>209</v>
      </c>
      <c r="C19" s="32">
        <v>1</v>
      </c>
      <c r="D19" s="29"/>
      <c r="E19" s="29" t="s">
        <v>209</v>
      </c>
      <c r="F19" s="32"/>
      <c r="G19" s="32">
        <v>3</v>
      </c>
      <c r="H19" s="32" t="s">
        <v>291</v>
      </c>
      <c r="I19" s="32" t="s">
        <v>327</v>
      </c>
      <c r="J19" s="32" t="s">
        <v>213</v>
      </c>
      <c r="K19" s="32" t="s">
        <v>21</v>
      </c>
      <c r="L19" s="29">
        <f>IFERROR(VLOOKUP(CONCATENATE(J19,K19),Ventas!D:H,4,0),0)</f>
        <v>1504930.7692307692</v>
      </c>
      <c r="M19" s="29">
        <f t="shared" si="0"/>
        <v>150493.07692307694</v>
      </c>
      <c r="N19" s="41">
        <f t="shared" si="1"/>
        <v>1655423.8461538462</v>
      </c>
      <c r="O19" s="29">
        <f>N19*IFERROR(VLOOKUP(J19,Tabla11[],3,0),0)</f>
        <v>579398.34615384613</v>
      </c>
      <c r="P19" s="29">
        <f t="shared" si="2"/>
        <v>1076025.5</v>
      </c>
      <c r="Q19" s="29">
        <f>IFERROR(G19/SUMIF(I:I,I19,G:G),0)*VLOOKUP(H19,Modelos[],14,0)+IFERROR(G19/SUMIF(I:I,I19,G:G),0)*VLOOKUP(I19,Tabla13[],2,0)</f>
        <v>154942.83460477943</v>
      </c>
      <c r="R19" s="29">
        <f>IFERROR(VLOOKUP(A19,Modelos[],IF(B19="EST",15,14),0),0)*C19</f>
        <v>154393.46562500001</v>
      </c>
      <c r="S19" s="29">
        <f>IFERROR(VLOOKUP(D19,Modelos[],IF(E19="EST",15,14),0),0)*F19</f>
        <v>0</v>
      </c>
      <c r="T19" s="29">
        <f>IF($L19&lt;0,0,IFERROR((T$2*IFERROR(VLOOKUP(J19,Tabla11[],2,0),0))*($L19/SUM($L$5:$L$46)),0))</f>
        <v>8636.1537103776409</v>
      </c>
      <c r="U19" s="29">
        <f>IF($L19&lt;0,0,IFERROR((U$2*IFERROR(VLOOKUP(J19,Tabla11[],2,0),0))*($L19/SUM($L$5:$L$46)),0))</f>
        <v>1679.2521103512081</v>
      </c>
      <c r="V19" s="29">
        <f>IF($L19&lt;0,0,IFERROR((V$2*IFERROR(VLOOKUP(J19,Tabla11[],2,0),0))*($L19/SUM($L$5:$L$46)),0))</f>
        <v>8636.1537103776409</v>
      </c>
      <c r="W19" s="29">
        <f>IF($L19&lt;0,0,IFERROR((W$2*IFERROR(VLOOKUP(J19,Tabla11[],2,0),0))*($L19/SUM($L$5:$L$46)),0))</f>
        <v>11994.657931080057</v>
      </c>
      <c r="X19" s="29">
        <f t="shared" si="3"/>
        <v>430410.2</v>
      </c>
      <c r="Y19" s="29">
        <f>+X19*IFERROR(VLOOKUP(J19,Tabla11[],4,0),0)</f>
        <v>64561.53</v>
      </c>
      <c r="Z19" s="29">
        <f t="shared" si="4"/>
        <v>25833.333333333332</v>
      </c>
      <c r="AA19" s="29">
        <f t="shared" si="5"/>
        <v>214937.91897470062</v>
      </c>
      <c r="AB19" s="29">
        <f>IF($L19&lt;0,0,IFERROR((AB$2*IFERROR(VLOOKUP(J19,Tabla11[],2,0),0))*($L19/SUM($L$5:$L$46)),0))</f>
        <v>13775.094450546714</v>
      </c>
      <c r="AC19" s="29">
        <f>L19-L19*IFERROR(VLOOKUP(J19,Tabla11[],3,0),0)-Q19-T19-U19-V19-W19-L19*$X$2-(L19*$X$2)*IFERROR(VLOOKUP(J19,Tabla11[],4,0),0)-AB19-Z19</f>
        <v>60439.366302999973</v>
      </c>
      <c r="AD19" s="29">
        <f t="shared" si="6"/>
        <v>201162.8245241539</v>
      </c>
      <c r="AE19" s="29">
        <f t="shared" si="7"/>
        <v>140723.458221154</v>
      </c>
    </row>
    <row r="20" spans="1:31" x14ac:dyDescent="0.3">
      <c r="A20" s="30" t="s">
        <v>298</v>
      </c>
      <c r="B20" s="30" t="s">
        <v>209</v>
      </c>
      <c r="C20" s="33">
        <v>0.5</v>
      </c>
      <c r="D20" s="30"/>
      <c r="E20" s="30" t="s">
        <v>209</v>
      </c>
      <c r="F20" s="33"/>
      <c r="G20" s="33">
        <v>3</v>
      </c>
      <c r="H20" s="33" t="s">
        <v>293</v>
      </c>
      <c r="I20" s="33" t="s">
        <v>10</v>
      </c>
      <c r="J20" s="33" t="s">
        <v>213</v>
      </c>
      <c r="K20" s="33" t="s">
        <v>12</v>
      </c>
      <c r="L20" s="29">
        <f>IFERROR(VLOOKUP(CONCATENATE(J20,K20),Ventas!D:H,4,0),0)</f>
        <v>1466126.1538461538</v>
      </c>
      <c r="M20" s="30">
        <f t="shared" si="0"/>
        <v>146612.61538461538</v>
      </c>
      <c r="N20" s="42">
        <f t="shared" si="1"/>
        <v>1612738.769230769</v>
      </c>
      <c r="O20" s="30">
        <f>N20*IFERROR(VLOOKUP(J20,Tabla11[],3,0),0)</f>
        <v>564458.56923076906</v>
      </c>
      <c r="P20" s="30">
        <f t="shared" si="2"/>
        <v>1048280.2</v>
      </c>
      <c r="Q20" s="29">
        <f>IFERROR(G20/SUMIF(I:I,I20,G:G),0)*VLOOKUP(H20,Modelos[],14,0)+IFERROR(G20/SUMIF(I:I,I20,G:G),0)*VLOOKUP(I20,Tabla13[],2,0)</f>
        <v>65246.162840073535</v>
      </c>
      <c r="R20" s="30">
        <f>IFERROR(VLOOKUP(A20,Modelos[],IF(B20="EST",15,14),0),0)*C20</f>
        <v>77196.732812500006</v>
      </c>
      <c r="S20" s="30">
        <f>IFERROR(VLOOKUP(D20,Modelos[],IF(E20="EST",15,14),0),0)*F20</f>
        <v>0</v>
      </c>
      <c r="T20" s="30">
        <f>IF($L20&lt;0,0,IFERROR((T$2*IFERROR(VLOOKUP(J20,Tabla11[],2,0),0))*($L20/SUM($L$5:$L$46)),0))</f>
        <v>8413.4706275505705</v>
      </c>
      <c r="U20" s="30">
        <f>IF($L20&lt;0,0,IFERROR((U$2*IFERROR(VLOOKUP(J20,Tabla11[],2,0),0))*($L20/SUM($L$5:$L$46)),0))</f>
        <v>1635.9526220237219</v>
      </c>
      <c r="V20" s="30">
        <f>IF($L20&lt;0,0,IFERROR((V$2*IFERROR(VLOOKUP(J20,Tabla11[],2,0),0))*($L20/SUM($L$5:$L$46)),0))</f>
        <v>8413.4706275505705</v>
      </c>
      <c r="W20" s="30">
        <f>IF($L20&lt;0,0,IFERROR((W$2*IFERROR(VLOOKUP(J20,Tabla11[],2,0),0))*($L20/SUM($L$5:$L$46)),0))</f>
        <v>11685.375871598013</v>
      </c>
      <c r="X20" s="30">
        <f t="shared" si="3"/>
        <v>419312.08</v>
      </c>
      <c r="Y20" s="30">
        <f>+X20*IFERROR(VLOOKUP(J20,Tabla11[],4,0),0)</f>
        <v>62896.811999999998</v>
      </c>
      <c r="Z20" s="30">
        <f t="shared" si="4"/>
        <v>25833.333333333332</v>
      </c>
      <c r="AA20" s="30">
        <f t="shared" si="5"/>
        <v>367646.80926537013</v>
      </c>
      <c r="AB20" s="30">
        <f>IF($L20&lt;0,0,IFERROR((AB$2*IFERROR(VLOOKUP(J20,Tabla11[],2,0),0))*($L20/SUM($L$5:$L$46)),0))</f>
        <v>13419.903864395406</v>
      </c>
      <c r="AC20" s="30">
        <f>L20-L20*IFERROR(VLOOKUP(J20,Tabla11[],3,0),0)-Q20-T20-U20-V20-W20-L20*$X$2-(L20*$X$2)*IFERROR(VLOOKUP(J20,Tabla11[],4,0),0)-AB20-Z20</f>
        <v>143916.29944424392</v>
      </c>
      <c r="AD20" s="30">
        <f t="shared" si="6"/>
        <v>354226.90540097473</v>
      </c>
      <c r="AE20" s="30">
        <f t="shared" si="7"/>
        <v>210310.60595673099</v>
      </c>
    </row>
    <row r="21" spans="1:31" x14ac:dyDescent="0.3">
      <c r="A21" s="29" t="s">
        <v>297</v>
      </c>
      <c r="B21" s="29" t="s">
        <v>209</v>
      </c>
      <c r="C21" s="32">
        <v>1</v>
      </c>
      <c r="D21" s="29"/>
      <c r="E21" s="29" t="s">
        <v>209</v>
      </c>
      <c r="F21" s="32"/>
      <c r="G21" s="32">
        <v>3</v>
      </c>
      <c r="H21" s="32" t="s">
        <v>293</v>
      </c>
      <c r="I21" s="32" t="s">
        <v>6</v>
      </c>
      <c r="J21" s="32" t="s">
        <v>213</v>
      </c>
      <c r="K21" s="32" t="s">
        <v>6</v>
      </c>
      <c r="L21" s="29">
        <f>IFERROR(VLOOKUP(CONCATENATE(J21,K21),Ventas!D:H,4,0),0)</f>
        <v>1413012.3076923077</v>
      </c>
      <c r="M21" s="29">
        <f t="shared" si="0"/>
        <v>141301.23076923078</v>
      </c>
      <c r="N21" s="41">
        <f t="shared" si="1"/>
        <v>1554313.5384615385</v>
      </c>
      <c r="O21" s="29">
        <f>N21*IFERROR(VLOOKUP(J21,Tabla11[],3,0),0)</f>
        <v>544009.73846153845</v>
      </c>
      <c r="P21" s="29">
        <f t="shared" si="2"/>
        <v>1010303.8</v>
      </c>
      <c r="Q21" s="29">
        <f>IFERROR(G21/SUMIF(I:I,I21,G:G),0)*VLOOKUP(H21,Modelos[],14,0)+IFERROR(G21/SUMIF(I:I,I21,G:G),0)*VLOOKUP(I21,Tabla13[],2,0)</f>
        <v>121576.08536458333</v>
      </c>
      <c r="R21" s="29">
        <f>IFERROR(VLOOKUP(A21,Modelos[],IF(B21="EST",15,14),0),0)*C21</f>
        <v>310333.7890625</v>
      </c>
      <c r="S21" s="29">
        <f>IFERROR(VLOOKUP(D21,Modelos[],IF(E21="EST",15,14),0),0)*F21</f>
        <v>0</v>
      </c>
      <c r="T21" s="29">
        <f>IF($L21&lt;0,0,IFERROR((T$2*IFERROR(VLOOKUP(J21,Tabla11[],2,0),0))*($L21/SUM($L$5:$L$46)),0))</f>
        <v>8108.6729923952835</v>
      </c>
      <c r="U21" s="29">
        <f>IF($L21&lt;0,0,IFERROR((U$2*IFERROR(VLOOKUP(J21,Tabla11[],2,0),0))*($L21/SUM($L$5:$L$46)),0))</f>
        <v>1576.6864151879718</v>
      </c>
      <c r="V21" s="29">
        <f>IF($L21&lt;0,0,IFERROR((V$2*IFERROR(VLOOKUP(J21,Tabla11[],2,0),0))*($L21/SUM($L$5:$L$46)),0))</f>
        <v>8108.6729923952835</v>
      </c>
      <c r="W21" s="29">
        <f>IF($L21&lt;0,0,IFERROR((W$2*IFERROR(VLOOKUP(J21,Tabla11[],2,0),0))*($L21/SUM($L$5:$L$46)),0))</f>
        <v>11262.045822771226</v>
      </c>
      <c r="X21" s="29">
        <f t="shared" si="3"/>
        <v>404121.52</v>
      </c>
      <c r="Y21" s="29">
        <f>+X21*IFERROR(VLOOKUP(J21,Tabla11[],4,0),0)</f>
        <v>60618.228000000003</v>
      </c>
      <c r="Z21" s="29">
        <f t="shared" si="4"/>
        <v>25833.333333333332</v>
      </c>
      <c r="AA21" s="29">
        <f t="shared" si="5"/>
        <v>58764.766016833601</v>
      </c>
      <c r="AB21" s="29">
        <f>IF($L21&lt;0,0,IFERROR((AB$2*IFERROR(VLOOKUP(J21,Tabla11[],2,0),0))*($L21/SUM($L$5:$L$46)),0))</f>
        <v>12933.736485563082</v>
      </c>
      <c r="AC21" s="29">
        <f>L21-L21*IFERROR(VLOOKUP(J21,Tabla11[],3,0),0)-Q21-T21-U21-V21-W21-L21*$X$2-(L21*$X$2)*IFERROR(VLOOKUP(J21,Tabla11[],4,0),0)-AB21-Z21</f>
        <v>79073.105055308944</v>
      </c>
      <c r="AD21" s="29">
        <f t="shared" si="6"/>
        <v>45831.02953127052</v>
      </c>
      <c r="AE21" s="29">
        <f t="shared" si="7"/>
        <v>-33242.075524038002</v>
      </c>
    </row>
    <row r="22" spans="1:31" x14ac:dyDescent="0.3">
      <c r="A22" s="30"/>
      <c r="B22" s="30" t="s">
        <v>209</v>
      </c>
      <c r="C22" s="33"/>
      <c r="D22" s="30"/>
      <c r="E22" s="30" t="s">
        <v>209</v>
      </c>
      <c r="F22" s="33"/>
      <c r="G22" s="33">
        <v>3</v>
      </c>
      <c r="H22" s="33" t="s">
        <v>291</v>
      </c>
      <c r="I22" s="33" t="s">
        <v>320</v>
      </c>
      <c r="J22" s="33" t="s">
        <v>213</v>
      </c>
      <c r="K22" s="33" t="s">
        <v>13</v>
      </c>
      <c r="L22" s="29">
        <f>IFERROR(VLOOKUP(CONCATENATE(J22,K22),Ventas!D:H,4,0),0)</f>
        <v>1302190.7692307692</v>
      </c>
      <c r="M22" s="30">
        <f t="shared" si="0"/>
        <v>0</v>
      </c>
      <c r="N22" s="42">
        <f t="shared" si="1"/>
        <v>1302190.7692307692</v>
      </c>
      <c r="O22" s="30">
        <f>N22*IFERROR(VLOOKUP(J22,Tabla11[],3,0),0)</f>
        <v>455766.76923076919</v>
      </c>
      <c r="P22" s="30">
        <f t="shared" si="2"/>
        <v>846424</v>
      </c>
      <c r="Q22" s="29">
        <f>IFERROR(G22/SUMIF(I:I,I22,G:G),0)*VLOOKUP(H22,Modelos[],14,0)+IFERROR(G22/SUMIF(I:I,I22,G:G),0)*VLOOKUP(I22,Tabla13[],2,0)</f>
        <v>106001.17451171877</v>
      </c>
      <c r="R22" s="30">
        <f>IFERROR(VLOOKUP(A22,Modelos[],IF(B22="EST",15,14),0),0)*C22</f>
        <v>0</v>
      </c>
      <c r="S22" s="30">
        <f>IFERROR(VLOOKUP(D22,Modelos[],IF(E22="EST",15,14),0),0)*F22</f>
        <v>0</v>
      </c>
      <c r="T22" s="30">
        <f>IF($L22&lt;0,0,IFERROR((T$2*IFERROR(VLOOKUP(J22,Tabla11[],2,0),0))*($L22/SUM($L$5:$L$46)),0))</f>
        <v>7472.715604758394</v>
      </c>
      <c r="U22" s="30">
        <f>IF($L22&lt;0,0,IFERROR((U$2*IFERROR(VLOOKUP(J22,Tabla11[],2,0),0))*($L22/SUM($L$5:$L$46)),0))</f>
        <v>1453.0280342585766</v>
      </c>
      <c r="V22" s="30">
        <f>IF($L22&lt;0,0,IFERROR((V$2*IFERROR(VLOOKUP(J22,Tabla11[],2,0),0))*($L22/SUM($L$5:$L$46)),0))</f>
        <v>7472.715604758394</v>
      </c>
      <c r="W22" s="30">
        <f>IF($L22&lt;0,0,IFERROR((W$2*IFERROR(VLOOKUP(J22,Tabla11[],2,0),0))*($L22/SUM($L$5:$L$46)),0))</f>
        <v>10378.771673275547</v>
      </c>
      <c r="X22" s="30">
        <f t="shared" si="3"/>
        <v>338569.60000000003</v>
      </c>
      <c r="Y22" s="30">
        <f>+X22*IFERROR(VLOOKUP(J22,Tabla11[],4,0),0)</f>
        <v>50785.440000000002</v>
      </c>
      <c r="Z22" s="30">
        <f t="shared" si="4"/>
        <v>25833.333333333332</v>
      </c>
      <c r="AA22" s="30">
        <f t="shared" si="5"/>
        <v>298457.22123789694</v>
      </c>
      <c r="AB22" s="30">
        <f>IF($L22&lt;0,0,IFERROR((AB$2*IFERROR(VLOOKUP(J22,Tabla11[],2,0),0))*($L22/SUM($L$5:$L$46)),0))</f>
        <v>11919.352840365314</v>
      </c>
      <c r="AC22" s="30">
        <f>L22-L22*IFERROR(VLOOKUP(J22,Tabla11[],3,0),0)-Q22-T22-U22-V22-W22-L22*$X$2-(L22*$X$2)*IFERROR(VLOOKUP(J22,Tabla11[],4,0),0)-AB22-Z22</f>
        <v>76885.154551377796</v>
      </c>
      <c r="AD22" s="30">
        <f t="shared" si="6"/>
        <v>286537.86839753162</v>
      </c>
      <c r="AE22" s="30">
        <f t="shared" si="7"/>
        <v>209652.71384615399</v>
      </c>
    </row>
    <row r="23" spans="1:31" x14ac:dyDescent="0.3">
      <c r="A23" s="29"/>
      <c r="B23" s="29" t="s">
        <v>209</v>
      </c>
      <c r="C23" s="32"/>
      <c r="D23" s="29"/>
      <c r="E23" s="29" t="s">
        <v>209</v>
      </c>
      <c r="F23" s="32"/>
      <c r="G23" s="32">
        <v>3</v>
      </c>
      <c r="H23" s="32" t="s">
        <v>292</v>
      </c>
      <c r="I23" s="32" t="s">
        <v>325</v>
      </c>
      <c r="J23" s="32" t="s">
        <v>213</v>
      </c>
      <c r="K23" s="32" t="s">
        <v>28</v>
      </c>
      <c r="L23" s="29">
        <f>IFERROR(VLOOKUP(CONCATENATE(J23,K23),Ventas!D:H,4,0),0)</f>
        <v>1170487.6923076923</v>
      </c>
      <c r="M23" s="29">
        <f t="shared" si="0"/>
        <v>0</v>
      </c>
      <c r="N23" s="41">
        <f t="shared" si="1"/>
        <v>1170487.6923076923</v>
      </c>
      <c r="O23" s="29">
        <f>N23*IFERROR(VLOOKUP(J23,Tabla11[],3,0),0)</f>
        <v>409670.69230769225</v>
      </c>
      <c r="P23" s="29">
        <f t="shared" si="2"/>
        <v>760817</v>
      </c>
      <c r="Q23" s="29">
        <f>IFERROR(G23/SUMIF(I:I,I23,G:G),0)*VLOOKUP(H23,Modelos[],14,0)+IFERROR(G23/SUMIF(I:I,I23,G:G),0)*VLOOKUP(I23,Tabla13[],2,0)</f>
        <v>73262.013978040544</v>
      </c>
      <c r="R23" s="29">
        <f>IFERROR(VLOOKUP(A23,Modelos[],IF(B23="EST",15,14),0),0)*C23</f>
        <v>0</v>
      </c>
      <c r="S23" s="29">
        <f>IFERROR(VLOOKUP(D23,Modelos[],IF(E23="EST",15,14),0),0)*F23</f>
        <v>0</v>
      </c>
      <c r="T23" s="29">
        <f>IF($L23&lt;0,0,IFERROR((T$2*IFERROR(VLOOKUP(J23,Tabla11[],2,0),0))*($L23/SUM($L$5:$L$46)),0))</f>
        <v>6716.928003300316</v>
      </c>
      <c r="U23" s="29">
        <f>IF($L23&lt;0,0,IFERROR((U$2*IFERROR(VLOOKUP(J23,Tabla11[],2,0),0))*($L23/SUM($L$5:$L$46)),0))</f>
        <v>1306.0693339750615</v>
      </c>
      <c r="V23" s="29">
        <f>IF($L23&lt;0,0,IFERROR((V$2*IFERROR(VLOOKUP(J23,Tabla11[],2,0),0))*($L23/SUM($L$5:$L$46)),0))</f>
        <v>6716.928003300316</v>
      </c>
      <c r="W23" s="29">
        <f>IF($L23&lt;0,0,IFERROR((W$2*IFERROR(VLOOKUP(J23,Tabla11[],2,0),0))*($L23/SUM($L$5:$L$46)),0))</f>
        <v>9329.066671250439</v>
      </c>
      <c r="X23" s="29">
        <f t="shared" si="3"/>
        <v>304326.8</v>
      </c>
      <c r="Y23" s="29">
        <f>+X23*IFERROR(VLOOKUP(J23,Tabla11[],4,0),0)</f>
        <v>45649.02</v>
      </c>
      <c r="Z23" s="29">
        <f t="shared" si="4"/>
        <v>25833.333333333332</v>
      </c>
      <c r="AA23" s="29">
        <f t="shared" si="5"/>
        <v>287676.8406768</v>
      </c>
      <c r="AB23" s="29">
        <f>IF($L23&lt;0,0,IFERROR((AB$2*IFERROR(VLOOKUP(J23,Tabla11[],2,0),0))*($L23/SUM($L$5:$L$46)),0))</f>
        <v>10713.834047650134</v>
      </c>
      <c r="AC23" s="29">
        <f>L23-L23*IFERROR(VLOOKUP(J23,Tabla11[],3,0),0)-Q23-T23-U23-V23-W23-L23*$X$2-(L23*$X$2)*IFERROR(VLOOKUP(J23,Tabla11[],4,0),0)-AB23-Z23</f>
        <v>88514.488167611387</v>
      </c>
      <c r="AD23" s="29">
        <f t="shared" si="6"/>
        <v>276963.00662914984</v>
      </c>
      <c r="AE23" s="29">
        <f t="shared" si="7"/>
        <v>188448.51846153801</v>
      </c>
    </row>
    <row r="24" spans="1:31" x14ac:dyDescent="0.3">
      <c r="A24" s="30"/>
      <c r="B24" s="30" t="s">
        <v>209</v>
      </c>
      <c r="C24" s="33"/>
      <c r="D24" s="30"/>
      <c r="E24" s="30" t="s">
        <v>209</v>
      </c>
      <c r="F24" s="33"/>
      <c r="G24" s="33">
        <v>3</v>
      </c>
      <c r="H24" s="33" t="s">
        <v>292</v>
      </c>
      <c r="I24" s="33" t="s">
        <v>325</v>
      </c>
      <c r="J24" s="33" t="s">
        <v>213</v>
      </c>
      <c r="K24" s="33" t="s">
        <v>14</v>
      </c>
      <c r="L24" s="29">
        <f>IFERROR(VLOOKUP(CONCATENATE(J24,K24),Ventas!D:H,4,0),0)</f>
        <v>1122784.6153846153</v>
      </c>
      <c r="M24" s="30">
        <f t="shared" si="0"/>
        <v>0</v>
      </c>
      <c r="N24" s="42">
        <f t="shared" si="1"/>
        <v>1122784.6153846153</v>
      </c>
      <c r="O24" s="30">
        <f>N24*IFERROR(VLOOKUP(J24,Tabla11[],3,0),0)</f>
        <v>392974.61538461532</v>
      </c>
      <c r="P24" s="30">
        <f t="shared" si="2"/>
        <v>729810</v>
      </c>
      <c r="Q24" s="29">
        <f>IFERROR(G24/SUMIF(I:I,I24,G:G),0)*VLOOKUP(H24,Modelos[],14,0)+IFERROR(G24/SUMIF(I:I,I24,G:G),0)*VLOOKUP(I24,Tabla13[],2,0)</f>
        <v>73262.013978040544</v>
      </c>
      <c r="R24" s="30">
        <f>IFERROR(VLOOKUP(A24,Modelos[],IF(B24="EST",15,14),0),0)*C24</f>
        <v>0</v>
      </c>
      <c r="S24" s="30">
        <f>IFERROR(VLOOKUP(D24,Modelos[],IF(E24="EST",15,14),0),0)*F24</f>
        <v>0</v>
      </c>
      <c r="T24" s="30">
        <f>IF($L24&lt;0,0,IFERROR((T$2*IFERROR(VLOOKUP(J24,Tabla11[],2,0),0))*($L24/SUM($L$5:$L$46)),0))</f>
        <v>6443.1804574406242</v>
      </c>
      <c r="U24" s="30">
        <f>IF($L24&lt;0,0,IFERROR((U$2*IFERROR(VLOOKUP(J24,Tabla11[],2,0),0))*($L24/SUM($L$5:$L$46)),0))</f>
        <v>1252.8406445023436</v>
      </c>
      <c r="V24" s="30">
        <f>IF($L24&lt;0,0,IFERROR((V$2*IFERROR(VLOOKUP(J24,Tabla11[],2,0),0))*($L24/SUM($L$5:$L$46)),0))</f>
        <v>6443.1804574406242</v>
      </c>
      <c r="W24" s="30">
        <f>IF($L24&lt;0,0,IFERROR((W$2*IFERROR(VLOOKUP(J24,Tabla11[],2,0),0))*($L24/SUM($L$5:$L$46)),0))</f>
        <v>8948.8617464453127</v>
      </c>
      <c r="X24" s="30">
        <f t="shared" si="3"/>
        <v>291924</v>
      </c>
      <c r="Y24" s="30">
        <f>+X24*IFERROR(VLOOKUP(J24,Tabla11[],4,0),0)</f>
        <v>43788.6</v>
      </c>
      <c r="Z24" s="30">
        <f t="shared" si="4"/>
        <v>25833.333333333332</v>
      </c>
      <c r="AA24" s="30">
        <f t="shared" si="5"/>
        <v>271913.98938279727</v>
      </c>
      <c r="AB24" s="30">
        <f>IF($L24&lt;0,0,IFERROR((AB$2*IFERROR(VLOOKUP(J24,Tabla11[],2,0),0))*($L24/SUM($L$5:$L$46)),0))</f>
        <v>10277.193104669775</v>
      </c>
      <c r="AC24" s="30">
        <f>L24-L24*IFERROR(VLOOKUP(J24,Tabla11[],3,0),0)-Q24-T24-U24-V24-W24-L24*$X$2-(L24*$X$2)*IFERROR(VLOOKUP(J24,Tabla11[],4,0),0)-AB24-Z24</f>
        <v>80868.473201204353</v>
      </c>
      <c r="AD24" s="30">
        <f t="shared" si="6"/>
        <v>261636.7962781275</v>
      </c>
      <c r="AE24" s="30">
        <f t="shared" si="7"/>
        <v>180768.323076923</v>
      </c>
    </row>
    <row r="25" spans="1:31" x14ac:dyDescent="0.3">
      <c r="A25" s="29" t="s">
        <v>298</v>
      </c>
      <c r="B25" s="29" t="s">
        <v>209</v>
      </c>
      <c r="C25" s="32">
        <v>1</v>
      </c>
      <c r="D25" s="29"/>
      <c r="E25" s="29" t="s">
        <v>209</v>
      </c>
      <c r="F25" s="32"/>
      <c r="G25" s="32">
        <v>1</v>
      </c>
      <c r="H25" s="32" t="s">
        <v>291</v>
      </c>
      <c r="I25" s="32" t="s">
        <v>327</v>
      </c>
      <c r="J25" s="32" t="s">
        <v>213</v>
      </c>
      <c r="K25" s="32" t="s">
        <v>19</v>
      </c>
      <c r="L25" s="29">
        <f>IFERROR(VLOOKUP(CONCATENATE(J25,K25),Ventas!D:H,4,0),0)</f>
        <v>1109549.2307692308</v>
      </c>
      <c r="M25" s="29">
        <f t="shared" si="0"/>
        <v>110954.92307692308</v>
      </c>
      <c r="N25" s="41">
        <f t="shared" si="1"/>
        <v>1220504.1538461538</v>
      </c>
      <c r="O25" s="29">
        <f>N25*IFERROR(VLOOKUP(J25,Tabla11[],3,0),0)</f>
        <v>427176.4538461538</v>
      </c>
      <c r="P25" s="29">
        <f t="shared" si="2"/>
        <v>793327.7</v>
      </c>
      <c r="Q25" s="29">
        <f>IFERROR(G25/SUMIF(I:I,I25,G:G),0)*VLOOKUP(H25,Modelos[],14,0)+IFERROR(G25/SUMIF(I:I,I25,G:G),0)*VLOOKUP(I25,Tabla13[],2,0)</f>
        <v>51647.61153492648</v>
      </c>
      <c r="R25" s="29">
        <f>IFERROR(VLOOKUP(A25,Modelos[],IF(B25="EST",15,14),0),0)*C25</f>
        <v>154393.46562500001</v>
      </c>
      <c r="S25" s="29">
        <f>IFERROR(VLOOKUP(D25,Modelos[],IF(E25="EST",15,14),0),0)*F25</f>
        <v>0</v>
      </c>
      <c r="T25" s="29">
        <f>IF($L25&lt;0,0,IFERROR((T$2*IFERROR(VLOOKUP(J25,Tabla11[],2,0),0))*($L25/SUM($L$5:$L$46)),0))</f>
        <v>6367.2282486803151</v>
      </c>
      <c r="U25" s="29">
        <f>IF($L25&lt;0,0,IFERROR((U$2*IFERROR(VLOOKUP(J25,Tabla11[],2,0),0))*($L25/SUM($L$5:$L$46)),0))</f>
        <v>1238.0721594656168</v>
      </c>
      <c r="V25" s="29">
        <f>IF($L25&lt;0,0,IFERROR((V$2*IFERROR(VLOOKUP(J25,Tabla11[],2,0),0))*($L25/SUM($L$5:$L$46)),0))</f>
        <v>6367.2282486803151</v>
      </c>
      <c r="W25" s="29">
        <f>IF($L25&lt;0,0,IFERROR((W$2*IFERROR(VLOOKUP(J25,Tabla11[],2,0),0))*($L25/SUM($L$5:$L$46)),0))</f>
        <v>8843.3725676115482</v>
      </c>
      <c r="X25" s="29">
        <f t="shared" si="3"/>
        <v>317331.08</v>
      </c>
      <c r="Y25" s="29">
        <f>+X25*IFERROR(VLOOKUP(J25,Tabla11[],4,0),0)</f>
        <v>47599.662000000004</v>
      </c>
      <c r="Z25" s="29">
        <f t="shared" si="4"/>
        <v>25833.333333333332</v>
      </c>
      <c r="AA25" s="29">
        <f t="shared" si="5"/>
        <v>173706.64628230233</v>
      </c>
      <c r="AB25" s="29">
        <f>IF($L25&lt;0,0,IFERROR((AB$2*IFERROR(VLOOKUP(J25,Tabla11[],2,0),0))*($L25/SUM($L$5:$L$46)),0))</f>
        <v>10156.045556294892</v>
      </c>
      <c r="AC25" s="29">
        <f>L25-L25*IFERROR(VLOOKUP(J25,Tabla11[],3,0),0)-Q25-T25-U25-V25-W25-L25*$X$2-(L25*$X$2)*IFERROR(VLOOKUP(J25,Tabla11[],4,0),0)-AB25-Z25</f>
        <v>100361.46219716128</v>
      </c>
      <c r="AD25" s="29">
        <f t="shared" si="6"/>
        <v>163550.60072600743</v>
      </c>
      <c r="AE25" s="29">
        <f t="shared" si="7"/>
        <v>63189.138528846001</v>
      </c>
    </row>
    <row r="26" spans="1:31" x14ac:dyDescent="0.3">
      <c r="A26" s="30" t="s">
        <v>298</v>
      </c>
      <c r="B26" s="30" t="s">
        <v>209</v>
      </c>
      <c r="C26" s="33">
        <v>1</v>
      </c>
      <c r="D26" s="30"/>
      <c r="E26" s="30" t="s">
        <v>209</v>
      </c>
      <c r="F26" s="33"/>
      <c r="G26" s="33">
        <v>0</v>
      </c>
      <c r="H26" s="33" t="s">
        <v>291</v>
      </c>
      <c r="I26" s="33" t="s">
        <v>321</v>
      </c>
      <c r="J26" s="33" t="s">
        <v>213</v>
      </c>
      <c r="K26" s="33" t="s">
        <v>24</v>
      </c>
      <c r="L26" s="29">
        <f>IFERROR(VLOOKUP(CONCATENATE(J26,K26),Ventas!D:H,4,0),0)</f>
        <v>1106101.5384615385</v>
      </c>
      <c r="M26" s="30">
        <f t="shared" si="0"/>
        <v>110610.15384615386</v>
      </c>
      <c r="N26" s="42">
        <f t="shared" si="1"/>
        <v>1216711.6923076923</v>
      </c>
      <c r="O26" s="30">
        <f>N26*IFERROR(VLOOKUP(J26,Tabla11[],3,0),0)</f>
        <v>425849.09230769228</v>
      </c>
      <c r="P26" s="30">
        <f t="shared" si="2"/>
        <v>790862.6</v>
      </c>
      <c r="Q26" s="29">
        <f>IFERROR(G26/SUMIF(I:I,I26,G:G),0)*VLOOKUP(H26,Modelos[],14,0)+IFERROR(G26/SUMIF(I:I,I26,G:G),0)*VLOOKUP(I26,Tabla13[],2,0)</f>
        <v>0</v>
      </c>
      <c r="R26" s="30">
        <f>IFERROR(VLOOKUP(A26,Modelos[],IF(B26="EST",15,14),0),0)*C26</f>
        <v>154393.46562500001</v>
      </c>
      <c r="S26" s="30">
        <f>IFERROR(VLOOKUP(D26,Modelos[],IF(E26="EST",15,14),0),0)*F26</f>
        <v>0</v>
      </c>
      <c r="T26" s="30">
        <f>IF($L26&lt;0,0,IFERROR((T$2*IFERROR(VLOOKUP(J26,Tabla11[],2,0),0))*($L26/SUM($L$5:$L$46)),0))</f>
        <v>6347.4434178269094</v>
      </c>
      <c r="U26" s="30">
        <f>IF($L26&lt;0,0,IFERROR((U$2*IFERROR(VLOOKUP(J26,Tabla11[],2,0),0))*($L26/SUM($L$5:$L$46)),0))</f>
        <v>1234.225109021899</v>
      </c>
      <c r="V26" s="30">
        <f>IF($L26&lt;0,0,IFERROR((V$2*IFERROR(VLOOKUP(J26,Tabla11[],2,0),0))*($L26/SUM($L$5:$L$46)),0))</f>
        <v>6347.4434178269094</v>
      </c>
      <c r="W26" s="30">
        <f>IF($L26&lt;0,0,IFERROR((W$2*IFERROR(VLOOKUP(J26,Tabla11[],2,0),0))*($L26/SUM($L$5:$L$46)),0))</f>
        <v>8815.8936358707069</v>
      </c>
      <c r="X26" s="30">
        <f t="shared" si="3"/>
        <v>316345.04000000004</v>
      </c>
      <c r="Y26" s="30">
        <f>+X26*IFERROR(VLOOKUP(J26,Tabla11[],4,0),0)</f>
        <v>47451.756000000001</v>
      </c>
      <c r="Z26" s="30">
        <f t="shared" si="4"/>
        <v>25833.333333333332</v>
      </c>
      <c r="AA26" s="30">
        <f t="shared" si="5"/>
        <v>224093.99946112011</v>
      </c>
      <c r="AB26" s="30">
        <f>IF($L26&lt;0,0,IFERROR((AB$2*IFERROR(VLOOKUP(J26,Tabla11[],2,0),0))*($L26/SUM($L$5:$L$46)),0))</f>
        <v>10124.487767627204</v>
      </c>
      <c r="AC26" s="30">
        <f>L26-L26*IFERROR(VLOOKUP(J26,Tabla11[],3,0),0)-Q26-T26-U26-V26-W26-L26*$X$2-(L26*$X$2)*IFERROR(VLOOKUP(J26,Tabla11[],4,0),0)-AB26-Z26</f>
        <v>151456.46562618538</v>
      </c>
      <c r="AD26" s="30">
        <f t="shared" si="6"/>
        <v>213969.51169349291</v>
      </c>
      <c r="AE26" s="30">
        <f t="shared" si="7"/>
        <v>62513.046067308002</v>
      </c>
    </row>
    <row r="27" spans="1:31" x14ac:dyDescent="0.3">
      <c r="A27" s="29" t="s">
        <v>298</v>
      </c>
      <c r="B27" s="29" t="s">
        <v>209</v>
      </c>
      <c r="C27" s="32">
        <v>1</v>
      </c>
      <c r="D27" s="29"/>
      <c r="E27" s="29" t="s">
        <v>209</v>
      </c>
      <c r="F27" s="32"/>
      <c r="G27" s="32">
        <v>2</v>
      </c>
      <c r="H27" s="32" t="s">
        <v>291</v>
      </c>
      <c r="I27" s="32" t="s">
        <v>320</v>
      </c>
      <c r="J27" s="32" t="s">
        <v>213</v>
      </c>
      <c r="K27" s="32" t="s">
        <v>23</v>
      </c>
      <c r="L27" s="29">
        <f>IFERROR(VLOOKUP(CONCATENATE(J27,K27),Ventas!D:H,4,0),0)</f>
        <v>1027076.923076923</v>
      </c>
      <c r="M27" s="29">
        <f t="shared" si="0"/>
        <v>102707.69230769231</v>
      </c>
      <c r="N27" s="41">
        <f t="shared" si="1"/>
        <v>1129784.6153846153</v>
      </c>
      <c r="O27" s="29">
        <f>N27*IFERROR(VLOOKUP(J27,Tabla11[],3,0),0)</f>
        <v>395424.61538461532</v>
      </c>
      <c r="P27" s="29">
        <f t="shared" si="2"/>
        <v>734360</v>
      </c>
      <c r="Q27" s="29">
        <f>IFERROR(G27/SUMIF(I:I,I27,G:G),0)*VLOOKUP(H27,Modelos[],14,0)+IFERROR(G27/SUMIF(I:I,I27,G:G),0)*VLOOKUP(I27,Tabla13[],2,0)</f>
        <v>70667.449674479169</v>
      </c>
      <c r="R27" s="29">
        <f>IFERROR(VLOOKUP(A27,Modelos[],IF(B27="EST",15,14),0),0)*C27</f>
        <v>154393.46562500001</v>
      </c>
      <c r="S27" s="29">
        <f>IFERROR(VLOOKUP(D27,Modelos[],IF(E27="EST",15,14),0),0)*F27</f>
        <v>0</v>
      </c>
      <c r="T27" s="29">
        <f>IF($L27&lt;0,0,IFERROR((T$2*IFERROR(VLOOKUP(J27,Tabla11[],2,0),0))*($L27/SUM($L$5:$L$46)),0))</f>
        <v>5893.9549655216579</v>
      </c>
      <c r="U27" s="29">
        <f>IF($L27&lt;0,0,IFERROR((U$2*IFERROR(VLOOKUP(J27,Tabla11[],2,0),0))*($L27/SUM($L$5:$L$46)),0))</f>
        <v>1146.0467988514336</v>
      </c>
      <c r="V27" s="29">
        <f>IF($L27&lt;0,0,IFERROR((V$2*IFERROR(VLOOKUP(J27,Tabla11[],2,0),0))*($L27/SUM($L$5:$L$46)),0))</f>
        <v>5893.9549655216579</v>
      </c>
      <c r="W27" s="29">
        <f>IF($L27&lt;0,0,IFERROR((W$2*IFERROR(VLOOKUP(J27,Tabla11[],2,0),0))*($L27/SUM($L$5:$L$46)),0))</f>
        <v>8186.0485632245245</v>
      </c>
      <c r="X27" s="29">
        <f t="shared" si="3"/>
        <v>293744</v>
      </c>
      <c r="Y27" s="29">
        <f>+X27*IFERROR(VLOOKUP(J27,Tabla11[],4,0),0)</f>
        <v>44061.599999999999</v>
      </c>
      <c r="Z27" s="29">
        <f t="shared" si="4"/>
        <v>25833.333333333332</v>
      </c>
      <c r="AA27" s="29">
        <f t="shared" si="5"/>
        <v>124540.14607406815</v>
      </c>
      <c r="AB27" s="29">
        <f>IF($L27&lt;0,0,IFERROR((AB$2*IFERROR(VLOOKUP(J27,Tabla11[],2,0),0))*($L27/SUM($L$5:$L$46)),0))</f>
        <v>9401.1511443766758</v>
      </c>
      <c r="AC27" s="29">
        <f>L27-L27*IFERROR(VLOOKUP(J27,Tabla11[],3,0),0)-Q27-T27-U27-V27-W27-L27*$X$2-(L27*$X$2)*IFERROR(VLOOKUP(J27,Tabla11[],4,0),0)-AB27-Z27</f>
        <v>68122.675939306821</v>
      </c>
      <c r="AD27" s="29">
        <f t="shared" si="6"/>
        <v>115138.99492969147</v>
      </c>
      <c r="AE27" s="29">
        <f t="shared" si="7"/>
        <v>47016.318990385</v>
      </c>
    </row>
    <row r="28" spans="1:31" x14ac:dyDescent="0.3">
      <c r="A28" s="30"/>
      <c r="B28" s="30" t="s">
        <v>209</v>
      </c>
      <c r="C28" s="33"/>
      <c r="D28" s="30"/>
      <c r="E28" s="30" t="s">
        <v>209</v>
      </c>
      <c r="F28" s="33"/>
      <c r="G28" s="33">
        <v>3</v>
      </c>
      <c r="H28" s="33" t="s">
        <v>292</v>
      </c>
      <c r="I28" s="33" t="s">
        <v>324</v>
      </c>
      <c r="J28" s="33" t="s">
        <v>213</v>
      </c>
      <c r="K28" s="33" t="s">
        <v>15</v>
      </c>
      <c r="L28" s="29">
        <f>IFERROR(VLOOKUP(CONCATENATE(J28,K28),Ventas!D:H,4,0),0)</f>
        <v>977453.84615384613</v>
      </c>
      <c r="M28" s="30">
        <f t="shared" si="0"/>
        <v>0</v>
      </c>
      <c r="N28" s="42">
        <f t="shared" si="1"/>
        <v>977453.84615384613</v>
      </c>
      <c r="O28" s="30">
        <f>N28*IFERROR(VLOOKUP(J28,Tabla11[],3,0),0)</f>
        <v>342108.84615384613</v>
      </c>
      <c r="P28" s="30">
        <f t="shared" si="2"/>
        <v>635345</v>
      </c>
      <c r="Q28" s="29">
        <f>IFERROR(G28/SUMIF(I:I,I28,G:G),0)*VLOOKUP(H28,Modelos[],14,0)+IFERROR(G28/SUMIF(I:I,I28,G:G),0)*VLOOKUP(I28,Tabla13[],2,0)</f>
        <v>69504.987620192318</v>
      </c>
      <c r="R28" s="30">
        <f>IFERROR(VLOOKUP(A28,Modelos[],IF(B28="EST",15,14),0),0)*C28</f>
        <v>0</v>
      </c>
      <c r="S28" s="30">
        <f>IFERROR(VLOOKUP(D28,Modelos[],IF(E28="EST",15,14),0),0)*F28</f>
        <v>0</v>
      </c>
      <c r="T28" s="30">
        <f>IF($L28&lt;0,0,IFERROR((T$2*IFERROR(VLOOKUP(J28,Tabla11[],2,0),0))*($L28/SUM($L$5:$L$46)),0))</f>
        <v>5609.1893612482891</v>
      </c>
      <c r="U28" s="30">
        <f>IF($L28&lt;0,0,IFERROR((U$2*IFERROR(VLOOKUP(J28,Tabla11[],2,0),0))*($L28/SUM($L$5:$L$46)),0))</f>
        <v>1090.6757091316117</v>
      </c>
      <c r="V28" s="30">
        <f>IF($L28&lt;0,0,IFERROR((V$2*IFERROR(VLOOKUP(J28,Tabla11[],2,0),0))*($L28/SUM($L$5:$L$46)),0))</f>
        <v>5609.1893612482891</v>
      </c>
      <c r="W28" s="30">
        <f>IF($L28&lt;0,0,IFERROR((W$2*IFERROR(VLOOKUP(J28,Tabla11[],2,0),0))*($L28/SUM($L$5:$L$46)),0))</f>
        <v>7790.5407795115125</v>
      </c>
      <c r="X28" s="30">
        <f t="shared" si="3"/>
        <v>254138</v>
      </c>
      <c r="Y28" s="30">
        <f>+X28*IFERROR(VLOOKUP(J28,Tabla11[],4,0),0)</f>
        <v>38120.699999999997</v>
      </c>
      <c r="Z28" s="30">
        <f t="shared" si="4"/>
        <v>25833.333333333332</v>
      </c>
      <c r="AA28" s="30">
        <f t="shared" si="5"/>
        <v>227648.38383533468</v>
      </c>
      <c r="AB28" s="30">
        <f>IF($L28&lt;0,0,IFERROR((AB$2*IFERROR(VLOOKUP(J28,Tabla11[],2,0),0))*($L28/SUM($L$5:$L$46)),0))</f>
        <v>8946.9358505452365</v>
      </c>
      <c r="AC28" s="30">
        <f>L28-L28*IFERROR(VLOOKUP(J28,Tabla11[],3,0),0)-Q28-T28-U28-V28-W28-L28*$X$2-(L28*$X$2)*IFERROR(VLOOKUP(J28,Tabla11[],4,0),0)-AB28-Z28</f>
        <v>61331.378754020043</v>
      </c>
      <c r="AD28" s="30">
        <f t="shared" si="6"/>
        <v>218701.44798478944</v>
      </c>
      <c r="AE28" s="30">
        <f t="shared" si="7"/>
        <v>157370.069230769</v>
      </c>
    </row>
    <row r="29" spans="1:31" x14ac:dyDescent="0.3">
      <c r="A29" s="29"/>
      <c r="B29" s="29" t="s">
        <v>209</v>
      </c>
      <c r="C29" s="32"/>
      <c r="D29" s="29"/>
      <c r="E29" s="29" t="s">
        <v>209</v>
      </c>
      <c r="F29" s="32"/>
      <c r="G29" s="32">
        <v>3</v>
      </c>
      <c r="H29" s="32" t="s">
        <v>292</v>
      </c>
      <c r="I29" s="32" t="s">
        <v>325</v>
      </c>
      <c r="J29" s="32" t="s">
        <v>213</v>
      </c>
      <c r="K29" s="32" t="s">
        <v>32</v>
      </c>
      <c r="L29" s="29">
        <f>IFERROR(VLOOKUP(CONCATENATE(J29,K29),Ventas!D:H,4,0),0)</f>
        <v>965001.53846153838</v>
      </c>
      <c r="M29" s="29">
        <f t="shared" si="0"/>
        <v>0</v>
      </c>
      <c r="N29" s="41">
        <f t="shared" si="1"/>
        <v>965001.53846153838</v>
      </c>
      <c r="O29" s="29">
        <f>N29*IFERROR(VLOOKUP(J29,Tabla11[],3,0),0)</f>
        <v>337750.53846153844</v>
      </c>
      <c r="P29" s="29">
        <f t="shared" si="2"/>
        <v>627251</v>
      </c>
      <c r="Q29" s="29">
        <f>IFERROR(G29/SUMIF(I:I,I29,G:G),0)*VLOOKUP(H29,Modelos[],14,0)+IFERROR(G29/SUMIF(I:I,I29,G:G),0)*VLOOKUP(I29,Tabla13[],2,0)</f>
        <v>73262.013978040544</v>
      </c>
      <c r="R29" s="29">
        <f>IFERROR(VLOOKUP(A29,Modelos[],IF(B29="EST",15,14),0),0)*C29</f>
        <v>0</v>
      </c>
      <c r="S29" s="29">
        <f>IFERROR(VLOOKUP(D29,Modelos[],IF(E29="EST",15,14),0),0)*F29</f>
        <v>0</v>
      </c>
      <c r="T29" s="29">
        <f>IF($L29&lt;0,0,IFERROR((T$2*IFERROR(VLOOKUP(J29,Tabla11[],2,0),0))*($L29/SUM($L$5:$L$46)),0))</f>
        <v>5537.7308958634285</v>
      </c>
      <c r="U29" s="29">
        <f>IF($L29&lt;0,0,IFERROR((U$2*IFERROR(VLOOKUP(J29,Tabla11[],2,0),0))*($L29/SUM($L$5:$L$46)),0))</f>
        <v>1076.7810075290001</v>
      </c>
      <c r="V29" s="29">
        <f>IF($L29&lt;0,0,IFERROR((V$2*IFERROR(VLOOKUP(J29,Tabla11[],2,0),0))*($L29/SUM($L$5:$L$46)),0))</f>
        <v>5537.7308958634285</v>
      </c>
      <c r="W29" s="29">
        <f>IF($L29&lt;0,0,IFERROR((W$2*IFERROR(VLOOKUP(J29,Tabla11[],2,0),0))*($L29/SUM($L$5:$L$46)),0))</f>
        <v>7691.2929109214292</v>
      </c>
      <c r="X29" s="29">
        <f t="shared" si="3"/>
        <v>250900.40000000002</v>
      </c>
      <c r="Y29" s="29">
        <f>+X29*IFERROR(VLOOKUP(J29,Tabla11[],4,0),0)</f>
        <v>37635.060000000005</v>
      </c>
      <c r="Z29" s="29">
        <f t="shared" si="4"/>
        <v>25833.333333333332</v>
      </c>
      <c r="AA29" s="29">
        <f t="shared" si="5"/>
        <v>219776.65697844885</v>
      </c>
      <c r="AB29" s="29">
        <f>IF($L29&lt;0,0,IFERROR((AB$2*IFERROR(VLOOKUP(J29,Tabla11[],2,0),0))*($L29/SUM($L$5:$L$46)),0))</f>
        <v>8832.9560462274021</v>
      </c>
      <c r="AC29" s="29">
        <f>L29-L29*IFERROR(VLOOKUP(J29,Tabla11[],3,0),0)-Q29-T29-U29-V29-W29-L29*$X$2-(L29*$X$2)*IFERROR(VLOOKUP(J29,Tabla11[],4,0),0)-AB29-Z29</f>
        <v>55578.453239913899</v>
      </c>
      <c r="AD29" s="29">
        <f t="shared" si="6"/>
        <v>210943.70093222146</v>
      </c>
      <c r="AE29" s="29">
        <f t="shared" si="7"/>
        <v>155365.24769230801</v>
      </c>
    </row>
    <row r="30" spans="1:31" x14ac:dyDescent="0.3">
      <c r="A30" s="30"/>
      <c r="B30" s="30" t="s">
        <v>209</v>
      </c>
      <c r="C30" s="33"/>
      <c r="D30" s="30"/>
      <c r="E30" s="30" t="s">
        <v>209</v>
      </c>
      <c r="F30" s="33"/>
      <c r="G30" s="33">
        <v>3</v>
      </c>
      <c r="H30" s="33" t="s">
        <v>291</v>
      </c>
      <c r="I30" s="33" t="s">
        <v>319</v>
      </c>
      <c r="J30" s="33" t="s">
        <v>213</v>
      </c>
      <c r="K30" s="33" t="s">
        <v>26</v>
      </c>
      <c r="L30" s="29">
        <f>IFERROR(VLOOKUP(CONCATENATE(J30,K30),Ventas!D:H,4,0),0)</f>
        <v>928841.53846153838</v>
      </c>
      <c r="M30" s="30">
        <f t="shared" si="0"/>
        <v>0</v>
      </c>
      <c r="N30" s="42">
        <f t="shared" si="1"/>
        <v>928841.53846153838</v>
      </c>
      <c r="O30" s="30">
        <f>N30*IFERROR(VLOOKUP(J30,Tabla11[],3,0),0)</f>
        <v>325094.53846153844</v>
      </c>
      <c r="P30" s="30">
        <f t="shared" si="2"/>
        <v>603747</v>
      </c>
      <c r="Q30" s="29">
        <f>IFERROR(G30/SUMIF(I:I,I30,G:G),0)*VLOOKUP(H30,Modelos[],14,0)+IFERROR(G30/SUMIF(I:I,I30,G:G),0)*VLOOKUP(I30,Tabla13[],2,0)</f>
        <v>123633.06254111843</v>
      </c>
      <c r="R30" s="30">
        <f>IFERROR(VLOOKUP(A30,Modelos[],IF(B30="EST",15,14),0),0)*C30</f>
        <v>0</v>
      </c>
      <c r="S30" s="30">
        <f>IFERROR(VLOOKUP(D30,Modelos[],IF(E30="EST",15,14),0),0)*F30</f>
        <v>0</v>
      </c>
      <c r="T30" s="30">
        <f>IF($L30&lt;0,0,IFERROR((T$2*IFERROR(VLOOKUP(J30,Tabla11[],2,0),0))*($L30/SUM($L$5:$L$46)),0))</f>
        <v>5330.2241290725051</v>
      </c>
      <c r="U30" s="30">
        <f>IF($L30&lt;0,0,IFERROR((U$2*IFERROR(VLOOKUP(J30,Tabla11[],2,0),0))*($L30/SUM($L$5:$L$46)),0))</f>
        <v>1036.4324695418759</v>
      </c>
      <c r="V30" s="30">
        <f>IF($L30&lt;0,0,IFERROR((V$2*IFERROR(VLOOKUP(J30,Tabla11[],2,0),0))*($L30/SUM($L$5:$L$46)),0))</f>
        <v>5330.2241290725051</v>
      </c>
      <c r="W30" s="30">
        <f>IF($L30&lt;0,0,IFERROR((W$2*IFERROR(VLOOKUP(J30,Tabla11[],2,0),0))*($L30/SUM($L$5:$L$46)),0))</f>
        <v>7403.0890681562569</v>
      </c>
      <c r="X30" s="30">
        <f t="shared" si="3"/>
        <v>241498.80000000002</v>
      </c>
      <c r="Y30" s="30">
        <f>+X30*IFERROR(VLOOKUP(J30,Tabla11[],4,0),0)</f>
        <v>36224.82</v>
      </c>
      <c r="Z30" s="30">
        <f t="shared" si="4"/>
        <v>25833.333333333332</v>
      </c>
      <c r="AA30" s="30">
        <f t="shared" si="5"/>
        <v>157457.0143297051</v>
      </c>
      <c r="AB30" s="30">
        <f>IF($L30&lt;0,0,IFERROR((AB$2*IFERROR(VLOOKUP(J30,Tabla11[],2,0),0))*($L30/SUM($L$5:$L$46)),0))</f>
        <v>8501.9724385320333</v>
      </c>
      <c r="AC30" s="30">
        <f>L30-L30*IFERROR(VLOOKUP(J30,Tabla11[],3,0),0)-Q30-T30-U30-V30-W30-L30*$X$2-(L30*$X$2)*IFERROR(VLOOKUP(J30,Tabla11[],4,0),0)-AB30-Z30</f>
        <v>-588.44580113458505</v>
      </c>
      <c r="AD30" s="30">
        <f t="shared" si="6"/>
        <v>148955.04189117305</v>
      </c>
      <c r="AE30" s="30">
        <f t="shared" si="7"/>
        <v>149543.487692308</v>
      </c>
    </row>
    <row r="31" spans="1:31" x14ac:dyDescent="0.3">
      <c r="A31" s="29"/>
      <c r="B31" s="29" t="s">
        <v>209</v>
      </c>
      <c r="C31" s="32"/>
      <c r="D31" s="29"/>
      <c r="E31" s="29" t="s">
        <v>209</v>
      </c>
      <c r="F31" s="32"/>
      <c r="G31" s="32">
        <v>3</v>
      </c>
      <c r="H31" s="32" t="s">
        <v>292</v>
      </c>
      <c r="I31" s="32" t="s">
        <v>323</v>
      </c>
      <c r="J31" s="32" t="s">
        <v>213</v>
      </c>
      <c r="K31" s="32" t="s">
        <v>31</v>
      </c>
      <c r="L31" s="29">
        <f>IFERROR(VLOOKUP(CONCATENATE(J31,K31),Ventas!D:H,4,0),0)</f>
        <v>877984.61538461538</v>
      </c>
      <c r="M31" s="29">
        <f t="shared" si="0"/>
        <v>0</v>
      </c>
      <c r="N31" s="41">
        <f t="shared" si="1"/>
        <v>877984.61538461538</v>
      </c>
      <c r="O31" s="29">
        <f>N31*IFERROR(VLOOKUP(J31,Tabla11[],3,0),0)</f>
        <v>307294.61538461538</v>
      </c>
      <c r="P31" s="29">
        <f t="shared" si="2"/>
        <v>570690</v>
      </c>
      <c r="Q31" s="29">
        <f>IFERROR(G31/SUMIF(I:I,I31,G:G),0)*VLOOKUP(H31,Modelos[],14,0)+IFERROR(G31/SUMIF(I:I,I31,G:G),0)*VLOOKUP(I31,Tabla13[],2,0)</f>
        <v>69504.987620192318</v>
      </c>
      <c r="R31" s="29">
        <f>IFERROR(VLOOKUP(A31,Modelos[],IF(B31="EST",15,14),0),0)*C31</f>
        <v>0</v>
      </c>
      <c r="S31" s="29">
        <f>IFERROR(VLOOKUP(D31,Modelos[],IF(E31="EST",15,14),0),0)*F31</f>
        <v>0</v>
      </c>
      <c r="T31" s="29">
        <f>IF($L31&lt;0,0,IFERROR((T$2*IFERROR(VLOOKUP(J31,Tabla11[],2,0),0))*($L31/SUM($L$5:$L$46)),0))</f>
        <v>5038.3780096967575</v>
      </c>
      <c r="U31" s="29">
        <f>IF($L31&lt;0,0,IFERROR((U$2*IFERROR(VLOOKUP(J31,Tabla11[],2,0),0))*($L31/SUM($L$5:$L$46)),0))</f>
        <v>979.68461299659168</v>
      </c>
      <c r="V31" s="29">
        <f>IF($L31&lt;0,0,IFERROR((V$2*IFERROR(VLOOKUP(J31,Tabla11[],2,0),0))*($L31/SUM($L$5:$L$46)),0))</f>
        <v>5038.3780096967575</v>
      </c>
      <c r="W31" s="29">
        <f>IF($L31&lt;0,0,IFERROR((W$2*IFERROR(VLOOKUP(J31,Tabla11[],2,0),0))*($L31/SUM($L$5:$L$46)),0))</f>
        <v>6997.7472356899407</v>
      </c>
      <c r="X31" s="29">
        <f t="shared" si="3"/>
        <v>228276</v>
      </c>
      <c r="Y31" s="29">
        <f>+X31*IFERROR(VLOOKUP(J31,Tabla11[],4,0),0)</f>
        <v>34241.4</v>
      </c>
      <c r="Z31" s="29">
        <f t="shared" si="4"/>
        <v>25833.333333333332</v>
      </c>
      <c r="AA31" s="29">
        <f t="shared" si="5"/>
        <v>194780.09117839433</v>
      </c>
      <c r="AB31" s="29">
        <f>IF($L31&lt;0,0,IFERROR((AB$2*IFERROR(VLOOKUP(J31,Tabla11[],2,0),0))*($L31/SUM($L$5:$L$46)),0))</f>
        <v>8036.4633711568686</v>
      </c>
      <c r="AC31" s="29">
        <f>L31-L31*IFERROR(VLOOKUP(J31,Tabla11[],3,0),0)-Q31-T31-U31-V31-W31-L31*$X$2-(L31*$X$2)*IFERROR(VLOOKUP(J31,Tabla11[],4,0),0)-AB31-Z31</f>
        <v>45388.104730314226</v>
      </c>
      <c r="AD31" s="29">
        <f t="shared" si="6"/>
        <v>186743.62780723747</v>
      </c>
      <c r="AE31" s="29">
        <f t="shared" si="7"/>
        <v>141355.52307692301</v>
      </c>
    </row>
    <row r="32" spans="1:31" x14ac:dyDescent="0.3">
      <c r="A32" s="30"/>
      <c r="B32" s="30" t="s">
        <v>209</v>
      </c>
      <c r="C32" s="33"/>
      <c r="D32" s="30"/>
      <c r="E32" s="30" t="s">
        <v>209</v>
      </c>
      <c r="F32" s="33"/>
      <c r="G32" s="33">
        <v>3</v>
      </c>
      <c r="H32" s="33" t="s">
        <v>292</v>
      </c>
      <c r="I32" s="33" t="s">
        <v>323</v>
      </c>
      <c r="J32" s="33" t="s">
        <v>213</v>
      </c>
      <c r="K32" s="33" t="s">
        <v>29</v>
      </c>
      <c r="L32" s="29">
        <f>IFERROR(VLOOKUP(CONCATENATE(J32,K32),Ventas!D:H,4,0),0)</f>
        <v>850635.38461538462</v>
      </c>
      <c r="M32" s="30">
        <f t="shared" si="0"/>
        <v>0</v>
      </c>
      <c r="N32" s="42">
        <f t="shared" si="1"/>
        <v>850635.38461538462</v>
      </c>
      <c r="O32" s="30">
        <f>N32*IFERROR(VLOOKUP(J32,Tabla11[],3,0),0)</f>
        <v>297722.38461538462</v>
      </c>
      <c r="P32" s="30">
        <f t="shared" si="2"/>
        <v>552913</v>
      </c>
      <c r="Q32" s="29">
        <f>IFERROR(G32/SUMIF(I:I,I32,G:G),0)*VLOOKUP(H32,Modelos[],14,0)+IFERROR(G32/SUMIF(I:I,I32,G:G),0)*VLOOKUP(I32,Tabla13[],2,0)</f>
        <v>69504.987620192318</v>
      </c>
      <c r="R32" s="30">
        <f>IFERROR(VLOOKUP(A32,Modelos[],IF(B32="EST",15,14),0),0)*C32</f>
        <v>0</v>
      </c>
      <c r="S32" s="30">
        <f>IFERROR(VLOOKUP(D32,Modelos[],IF(E32="EST",15,14),0),0)*F32</f>
        <v>0</v>
      </c>
      <c r="T32" s="30">
        <f>IF($L32&lt;0,0,IFERROR((T$2*IFERROR(VLOOKUP(J32,Tabla11[],2,0),0))*($L32/SUM($L$5:$L$46)),0))</f>
        <v>4881.432477308982</v>
      </c>
      <c r="U32" s="30">
        <f>IF($L32&lt;0,0,IFERROR((U$2*IFERROR(VLOOKUP(J32,Tabla11[],2,0),0))*($L32/SUM($L$5:$L$46)),0))</f>
        <v>949.16742614341319</v>
      </c>
      <c r="V32" s="30">
        <f>IF($L32&lt;0,0,IFERROR((V$2*IFERROR(VLOOKUP(J32,Tabla11[],2,0),0))*($L32/SUM($L$5:$L$46)),0))</f>
        <v>4881.432477308982</v>
      </c>
      <c r="W32" s="30">
        <f>IF($L32&lt;0,0,IFERROR((W$2*IFERROR(VLOOKUP(J32,Tabla11[],2,0),0))*($L32/SUM($L$5:$L$46)),0))</f>
        <v>6779.7673295958084</v>
      </c>
      <c r="X32" s="30">
        <f t="shared" si="3"/>
        <v>221165.2</v>
      </c>
      <c r="Y32" s="30">
        <f>+X32*IFERROR(VLOOKUP(J32,Tabla11[],4,0),0)</f>
        <v>33174.78</v>
      </c>
      <c r="Z32" s="30">
        <f t="shared" si="4"/>
        <v>25833.333333333332</v>
      </c>
      <c r="AA32" s="30">
        <f t="shared" si="5"/>
        <v>185742.89933611715</v>
      </c>
      <c r="AB32" s="30">
        <f>IF($L32&lt;0,0,IFERROR((AB$2*IFERROR(VLOOKUP(J32,Tabla11[],2,0),0))*($L32/SUM($L$5:$L$46)),0))</f>
        <v>7786.1274456122546</v>
      </c>
      <c r="AC32" s="30">
        <f>L32-L32*IFERROR(VLOOKUP(J32,Tabla11[],3,0),0)-Q32-T32-U32-V32-W32-L32*$X$2-(L32*$X$2)*IFERROR(VLOOKUP(J32,Tabla11[],4,0),0)-AB32-Z32</f>
        <v>41004.474967427974</v>
      </c>
      <c r="AD32" s="30">
        <f t="shared" si="6"/>
        <v>177956.7718905049</v>
      </c>
      <c r="AE32" s="30">
        <f t="shared" si="7"/>
        <v>136952.296923077</v>
      </c>
    </row>
    <row r="33" spans="1:31" x14ac:dyDescent="0.3">
      <c r="A33" s="29"/>
      <c r="B33" s="29" t="s">
        <v>209</v>
      </c>
      <c r="C33" s="32"/>
      <c r="D33" s="29"/>
      <c r="E33" s="29" t="s">
        <v>209</v>
      </c>
      <c r="F33" s="32"/>
      <c r="G33" s="32">
        <v>3</v>
      </c>
      <c r="H33" s="32" t="s">
        <v>293</v>
      </c>
      <c r="I33" s="32" t="s">
        <v>322</v>
      </c>
      <c r="J33" s="32" t="s">
        <v>213</v>
      </c>
      <c r="K33" s="32" t="s">
        <v>27</v>
      </c>
      <c r="L33" s="29">
        <f>IFERROR(VLOOKUP(CONCATENATE(J33,K33),Ventas!D:H,4,0),0)</f>
        <v>827649.23076923075</v>
      </c>
      <c r="M33" s="29">
        <f t="shared" si="0"/>
        <v>0</v>
      </c>
      <c r="N33" s="41">
        <f t="shared" si="1"/>
        <v>827649.23076923075</v>
      </c>
      <c r="O33" s="29">
        <f>N33*IFERROR(VLOOKUP(J33,Tabla11[],3,0),0)</f>
        <v>289677.23076923075</v>
      </c>
      <c r="P33" s="29">
        <f t="shared" si="2"/>
        <v>537972</v>
      </c>
      <c r="Q33" s="29">
        <f>IFERROR(G33/SUMIF(I:I,I33,G:G),0)*VLOOKUP(H33,Modelos[],14,0)+IFERROR(G33/SUMIF(I:I,I33,G:G),0)*VLOOKUP(I33,Tabla13[],2,0)</f>
        <v>128242.75203125</v>
      </c>
      <c r="R33" s="29">
        <f>IFERROR(VLOOKUP(A33,Modelos[],IF(B33="EST",15,14),0),0)*C33</f>
        <v>0</v>
      </c>
      <c r="S33" s="29">
        <f>IFERROR(VLOOKUP(D33,Modelos[],IF(E33="EST",15,14),0),0)*F33</f>
        <v>0</v>
      </c>
      <c r="T33" s="29">
        <f>IF($L33&lt;0,0,IFERROR((T$2*IFERROR(VLOOKUP(J33,Tabla11[],2,0),0))*($L33/SUM($L$5:$L$46)),0))</f>
        <v>4749.5247763804937</v>
      </c>
      <c r="U33" s="29">
        <f>IF($L33&lt;0,0,IFERROR((U$2*IFERROR(VLOOKUP(J33,Tabla11[],2,0),0))*($L33/SUM($L$5:$L$46)),0))</f>
        <v>923.51870651842933</v>
      </c>
      <c r="V33" s="29">
        <f>IF($L33&lt;0,0,IFERROR((V$2*IFERROR(VLOOKUP(J33,Tabla11[],2,0),0))*($L33/SUM($L$5:$L$46)),0))</f>
        <v>4749.5247763804937</v>
      </c>
      <c r="W33" s="29">
        <f>IF($L33&lt;0,0,IFERROR((W$2*IFERROR(VLOOKUP(J33,Tabla11[],2,0),0))*($L33/SUM($L$5:$L$46)),0))</f>
        <v>6596.5621894173519</v>
      </c>
      <c r="X33" s="29">
        <f t="shared" si="3"/>
        <v>215188.80000000002</v>
      </c>
      <c r="Y33" s="29">
        <f>+X33*IFERROR(VLOOKUP(J33,Tabla11[],4,0),0)</f>
        <v>32278.32</v>
      </c>
      <c r="Z33" s="29">
        <f t="shared" si="4"/>
        <v>25833.333333333332</v>
      </c>
      <c r="AA33" s="29">
        <f t="shared" si="5"/>
        <v>119409.66418671992</v>
      </c>
      <c r="AB33" s="29">
        <f>IF($L33&lt;0,0,IFERROR((AB$2*IFERROR(VLOOKUP(J33,Tabla11[],2,0),0))*($L33/SUM($L$5:$L$46)),0))</f>
        <v>7575.7281058157723</v>
      </c>
      <c r="AC33" s="29">
        <f>L33-L33*IFERROR(VLOOKUP(J33,Tabla11[],3,0),0)-Q33-T33-U33-V33-W33-L33*$X$2-(L33*$X$2)*IFERROR(VLOOKUP(J33,Tabla11[],4,0),0)-AB33-Z33</f>
        <v>-21417.59007294209</v>
      </c>
      <c r="AD33" s="29">
        <f t="shared" si="6"/>
        <v>111833.93608090415</v>
      </c>
      <c r="AE33" s="29">
        <f t="shared" si="7"/>
        <v>133251.526153846</v>
      </c>
    </row>
    <row r="34" spans="1:31" x14ac:dyDescent="0.3">
      <c r="A34" s="30"/>
      <c r="B34" s="30" t="s">
        <v>209</v>
      </c>
      <c r="C34" s="33"/>
      <c r="D34" s="30"/>
      <c r="E34" s="30" t="s">
        <v>209</v>
      </c>
      <c r="F34" s="33"/>
      <c r="G34" s="33">
        <v>3</v>
      </c>
      <c r="H34" s="33" t="s">
        <v>291</v>
      </c>
      <c r="I34" s="33" t="s">
        <v>320</v>
      </c>
      <c r="J34" s="33" t="s">
        <v>213</v>
      </c>
      <c r="K34" s="33" t="s">
        <v>30</v>
      </c>
      <c r="L34" s="29">
        <f>IFERROR(VLOOKUP(CONCATENATE(J34,K34),Ventas!D:H,4,0),0)</f>
        <v>459901.53846153844</v>
      </c>
      <c r="M34" s="30">
        <f t="shared" si="0"/>
        <v>0</v>
      </c>
      <c r="N34" s="42">
        <f t="shared" si="1"/>
        <v>459901.53846153844</v>
      </c>
      <c r="O34" s="30">
        <f>N34*IFERROR(VLOOKUP(J34,Tabla11[],3,0),0)</f>
        <v>160965.53846153844</v>
      </c>
      <c r="P34" s="30">
        <f t="shared" si="2"/>
        <v>298936</v>
      </c>
      <c r="Q34" s="29">
        <f>IFERROR(G34/SUMIF(I:I,I34,G:G),0)*VLOOKUP(H34,Modelos[],14,0)+IFERROR(G34/SUMIF(I:I,I34,G:G),0)*VLOOKUP(I34,Tabla13[],2,0)</f>
        <v>106001.17451171877</v>
      </c>
      <c r="R34" s="30">
        <f>IFERROR(VLOOKUP(A34,Modelos[],IF(B34="EST",15,14),0),0)*C34</f>
        <v>0</v>
      </c>
      <c r="S34" s="30">
        <f>IFERROR(VLOOKUP(D34,Modelos[],IF(E34="EST",15,14),0),0)*F34</f>
        <v>0</v>
      </c>
      <c r="T34" s="30">
        <f>IF($L34&lt;0,0,IFERROR((T$2*IFERROR(VLOOKUP(J34,Tabla11[],2,0),0))*($L34/SUM($L$5:$L$46)),0))</f>
        <v>2639.1781329736104</v>
      </c>
      <c r="U34" s="30">
        <f>IF($L34&lt;0,0,IFERROR((U$2*IFERROR(VLOOKUP(J34,Tabla11[],2,0),0))*($L34/SUM($L$5:$L$46)),0))</f>
        <v>513.17352585597985</v>
      </c>
      <c r="V34" s="30">
        <f>IF($L34&lt;0,0,IFERROR((V$2*IFERROR(VLOOKUP(J34,Tabla11[],2,0),0))*($L34/SUM($L$5:$L$46)),0))</f>
        <v>2639.1781329736104</v>
      </c>
      <c r="W34" s="30">
        <f>IF($L34&lt;0,0,IFERROR((W$2*IFERROR(VLOOKUP(J34,Tabla11[],2,0),0))*($L34/SUM($L$5:$L$46)),0))</f>
        <v>3665.5251846855699</v>
      </c>
      <c r="X34" s="30">
        <f t="shared" si="3"/>
        <v>119574.40000000001</v>
      </c>
      <c r="Y34" s="30">
        <f>+X34*IFERROR(VLOOKUP(J34,Tabla11[],4,0),0)</f>
        <v>17936.16</v>
      </c>
      <c r="Z34" s="30">
        <f t="shared" si="4"/>
        <v>25833.333333333332</v>
      </c>
      <c r="AA34" s="30">
        <f t="shared" si="5"/>
        <v>20133.877178459137</v>
      </c>
      <c r="AB34" s="30">
        <f>IF($L34&lt;0,0,IFERROR((AB$2*IFERROR(VLOOKUP(J34,Tabla11[],2,0),0))*($L34/SUM($L$5:$L$46)),0))</f>
        <v>4209.6203093100448</v>
      </c>
      <c r="AC34" s="30">
        <f>L34-L34*IFERROR(VLOOKUP(J34,Tabla11[],3,0),0)-Q34-T34-U34-V34-W34-L34*$X$2-(L34*$X$2)*IFERROR(VLOOKUP(J34,Tabla11[],4,0),0)-AB34-Z34</f>
        <v>-58119.89082315861</v>
      </c>
      <c r="AD34" s="30">
        <f t="shared" si="6"/>
        <v>15924.256869149092</v>
      </c>
      <c r="AE34" s="30">
        <f t="shared" si="7"/>
        <v>74044.147692308004</v>
      </c>
    </row>
    <row r="35" spans="1:31" x14ac:dyDescent="0.3">
      <c r="A35" s="29"/>
      <c r="B35" s="29" t="s">
        <v>209</v>
      </c>
      <c r="C35" s="32"/>
      <c r="D35" s="29"/>
      <c r="E35" s="29" t="s">
        <v>209</v>
      </c>
      <c r="F35" s="32"/>
      <c r="G35" s="32">
        <v>3</v>
      </c>
      <c r="H35" s="32" t="s">
        <v>291</v>
      </c>
      <c r="I35" s="32" t="s">
        <v>319</v>
      </c>
      <c r="J35" s="32" t="s">
        <v>213</v>
      </c>
      <c r="K35" s="32" t="s">
        <v>25</v>
      </c>
      <c r="L35" s="29">
        <f>IFERROR(VLOOKUP(CONCATENATE(J35,K35),Ventas!D:H,4,0),0)</f>
        <v>375944.61538461538</v>
      </c>
      <c r="M35" s="29">
        <f t="shared" si="0"/>
        <v>0</v>
      </c>
      <c r="N35" s="41">
        <f t="shared" si="1"/>
        <v>375944.61538461538</v>
      </c>
      <c r="O35" s="29">
        <f>N35*IFERROR(VLOOKUP(J35,Tabla11[],3,0),0)</f>
        <v>131580.61538461538</v>
      </c>
      <c r="P35" s="29">
        <f t="shared" si="2"/>
        <v>244364</v>
      </c>
      <c r="Q35" s="29">
        <f>IFERROR(G35/SUMIF(I:I,I35,G:G),0)*VLOOKUP(H35,Modelos[],14,0)+IFERROR(G35/SUMIF(I:I,I35,G:G),0)*VLOOKUP(I35,Tabla13[],2,0)</f>
        <v>123633.06254111843</v>
      </c>
      <c r="R35" s="29">
        <f>IFERROR(VLOOKUP(A35,Modelos[],IF(B35="EST",15,14),0),0)*C35</f>
        <v>0</v>
      </c>
      <c r="S35" s="29">
        <f>IFERROR(VLOOKUP(D35,Modelos[],IF(E35="EST",15,14),0),0)*F35</f>
        <v>0</v>
      </c>
      <c r="T35" s="29">
        <f>IF($L35&lt;0,0,IFERROR((T$2*IFERROR(VLOOKUP(J35,Tabla11[],2,0),0))*($L35/SUM($L$5:$L$46)),0))</f>
        <v>2157.3852774037364</v>
      </c>
      <c r="U35" s="29">
        <f>IF($L35&lt;0,0,IFERROR((U$2*IFERROR(VLOOKUP(J35,Tabla11[],2,0),0))*($L35/SUM($L$5:$L$46)),0))</f>
        <v>419.49158171739316</v>
      </c>
      <c r="V35" s="29">
        <f>IF($L35&lt;0,0,IFERROR((V$2*IFERROR(VLOOKUP(J35,Tabla11[],2,0),0))*($L35/SUM($L$5:$L$46)),0))</f>
        <v>2157.3852774037364</v>
      </c>
      <c r="W35" s="29">
        <f>IF($L35&lt;0,0,IFERROR((W$2*IFERROR(VLOOKUP(J35,Tabla11[],2,0),0))*($L35/SUM($L$5:$L$46)),0))</f>
        <v>2996.3684408385225</v>
      </c>
      <c r="X35" s="29">
        <f t="shared" si="3"/>
        <v>97745.600000000006</v>
      </c>
      <c r="Y35" s="29">
        <f>+X35*IFERROR(VLOOKUP(J35,Tabla11[],4,0),0)</f>
        <v>14661.84</v>
      </c>
      <c r="Z35" s="29">
        <f t="shared" si="4"/>
        <v>25833.333333333332</v>
      </c>
      <c r="AA35" s="29">
        <f t="shared" si="5"/>
        <v>-25240.466451815155</v>
      </c>
      <c r="AB35" s="29">
        <f>IF($L35&lt;0,0,IFERROR((AB$2*IFERROR(VLOOKUP(J35,Tabla11[],2,0),0))*($L35/SUM($L$5:$L$46)),0))</f>
        <v>3441.1367559084215</v>
      </c>
      <c r="AC35" s="29">
        <f>L35-L35*IFERROR(VLOOKUP(J35,Tabla11[],3,0),0)-Q35-T35-U35-V35-W35-L35*$X$2-(L35*$X$2)*IFERROR(VLOOKUP(J35,Tabla11[],4,0),0)-AB35-Z35</f>
        <v>-89208.686284646654</v>
      </c>
      <c r="AD35" s="29">
        <f t="shared" si="6"/>
        <v>-28681.603207723576</v>
      </c>
      <c r="AE35" s="29">
        <f t="shared" si="7"/>
        <v>60527.083076923001</v>
      </c>
    </row>
    <row r="36" spans="1:31" x14ac:dyDescent="0.3">
      <c r="A36" s="30"/>
      <c r="B36" s="30" t="s">
        <v>209</v>
      </c>
      <c r="C36" s="33"/>
      <c r="D36" s="30"/>
      <c r="E36" s="30" t="s">
        <v>209</v>
      </c>
      <c r="F36" s="33"/>
      <c r="G36" s="33">
        <v>0</v>
      </c>
      <c r="H36" s="33" t="s">
        <v>292</v>
      </c>
      <c r="I36" s="33" t="s">
        <v>324</v>
      </c>
      <c r="J36" s="33" t="s">
        <v>213</v>
      </c>
      <c r="K36" s="33" t="s">
        <v>39</v>
      </c>
      <c r="L36" s="29">
        <f>IFERROR(VLOOKUP(CONCATENATE(J36,K36),Ventas!D:H,4,0),0)</f>
        <v>61570.769230769227</v>
      </c>
      <c r="M36" s="30">
        <f t="shared" si="0"/>
        <v>0</v>
      </c>
      <c r="N36" s="42">
        <f t="shared" si="1"/>
        <v>61570.769230769227</v>
      </c>
      <c r="O36" s="30">
        <f>N36*IFERROR(VLOOKUP(J36,Tabla11[],3,0),0)</f>
        <v>21549.769230769227</v>
      </c>
      <c r="P36" s="30">
        <f t="shared" si="2"/>
        <v>40021</v>
      </c>
      <c r="Q36" s="29">
        <f>IFERROR(G36/SUMIF(I:I,I36,G:G),0)*VLOOKUP(H36,Modelos[],14,0)+IFERROR(G36/SUMIF(I:I,I36,G:G),0)*VLOOKUP(I36,Tabla13[],2,0)</f>
        <v>0</v>
      </c>
      <c r="R36" s="30">
        <f>IFERROR(VLOOKUP(A36,Modelos[],IF(B36="EST",15,14),0),0)*C36</f>
        <v>0</v>
      </c>
      <c r="S36" s="30">
        <f>IFERROR(VLOOKUP(D36,Modelos[],IF(E36="EST",15,14),0),0)*F36</f>
        <v>0</v>
      </c>
      <c r="T36" s="30">
        <f>IF($L36&lt;0,0,IFERROR((T$2*IFERROR(VLOOKUP(J36,Tabla11[],2,0),0))*($L36/SUM($L$5:$L$46)),0))</f>
        <v>353.32829789565949</v>
      </c>
      <c r="U36" s="30">
        <f>IF($L36&lt;0,0,IFERROR((U$2*IFERROR(VLOOKUP(J36,Tabla11[],2,0),0))*($L36/SUM($L$5:$L$46)),0))</f>
        <v>68.702724590822669</v>
      </c>
      <c r="V36" s="30">
        <f>IF($L36&lt;0,0,IFERROR((V$2*IFERROR(VLOOKUP(J36,Tabla11[],2,0),0))*($L36/SUM($L$5:$L$46)),0))</f>
        <v>353.32829789565949</v>
      </c>
      <c r="W36" s="30">
        <f>IF($L36&lt;0,0,IFERROR((W$2*IFERROR(VLOOKUP(J36,Tabla11[],2,0),0))*($L36/SUM($L$5:$L$46)),0))</f>
        <v>490.73374707730483</v>
      </c>
      <c r="X36" s="30">
        <f t="shared" si="3"/>
        <v>16008.400000000001</v>
      </c>
      <c r="Y36" s="30">
        <f>+X36*IFERROR(VLOOKUP(J36,Tabla11[],4,0),0)</f>
        <v>2401.2600000000002</v>
      </c>
      <c r="Z36" s="30">
        <f t="shared" si="4"/>
        <v>25833.333333333332</v>
      </c>
      <c r="AA36" s="30">
        <f t="shared" si="5"/>
        <v>-5488.0864007927739</v>
      </c>
      <c r="AB36" s="30">
        <f>IF($L36&lt;0,0,IFERROR((AB$2*IFERROR(VLOOKUP(J36,Tabla11[],2,0),0))*($L36/SUM($L$5:$L$46)),0))</f>
        <v>563.5761982461039</v>
      </c>
      <c r="AC36" s="30">
        <f>L36-L36*IFERROR(VLOOKUP(J36,Tabla11[],3,0),0)-Q36-T36-U36-V36-W36-L36*$X$2-(L36*$X$2)*IFERROR(VLOOKUP(J36,Tabla11[],4,0),0)-AB36-Z36</f>
        <v>-15964.556445192724</v>
      </c>
      <c r="AD36" s="30">
        <f t="shared" si="6"/>
        <v>-6051.6625990388775</v>
      </c>
      <c r="AE36" s="30">
        <f t="shared" si="7"/>
        <v>9912.8938461540001</v>
      </c>
    </row>
    <row r="37" spans="1:31" x14ac:dyDescent="0.3">
      <c r="A37" s="29"/>
      <c r="B37" s="29" t="s">
        <v>209</v>
      </c>
      <c r="C37" s="32"/>
      <c r="D37" s="29"/>
      <c r="E37" s="29" t="s">
        <v>209</v>
      </c>
      <c r="F37" s="32"/>
      <c r="G37" s="32">
        <v>0</v>
      </c>
      <c r="H37" s="32" t="s">
        <v>292</v>
      </c>
      <c r="I37" s="32" t="s">
        <v>323</v>
      </c>
      <c r="J37" s="32" t="s">
        <v>213</v>
      </c>
      <c r="K37" s="32" t="s">
        <v>36</v>
      </c>
      <c r="L37" s="29">
        <f>IFERROR(VLOOKUP(CONCATENATE(J37,K37),Ventas!D:H,4,0),0)</f>
        <v>27861.538461538461</v>
      </c>
      <c r="M37" s="29">
        <f t="shared" si="0"/>
        <v>0</v>
      </c>
      <c r="N37" s="41">
        <f t="shared" si="1"/>
        <v>27861.538461538461</v>
      </c>
      <c r="O37" s="29">
        <f>N37*IFERROR(VLOOKUP(J37,Tabla11[],3,0),0)</f>
        <v>9751.538461538461</v>
      </c>
      <c r="P37" s="29">
        <f t="shared" si="2"/>
        <v>18110</v>
      </c>
      <c r="Q37" s="29">
        <f>IFERROR(G37/SUMIF(I:I,I37,G:G),0)*VLOOKUP(H37,Modelos[],14,0)+IFERROR(G37/SUMIF(I:I,I37,G:G),0)*VLOOKUP(I37,Tabla13[],2,0)</f>
        <v>0</v>
      </c>
      <c r="R37" s="29">
        <f>IFERROR(VLOOKUP(A37,Modelos[],IF(B37="EST",15,14),0),0)*C37</f>
        <v>0</v>
      </c>
      <c r="S37" s="29">
        <f>IFERROR(VLOOKUP(D37,Modelos[],IF(E37="EST",15,14),0),0)*F37</f>
        <v>0</v>
      </c>
      <c r="T37" s="29">
        <f>IF($L37&lt;0,0,IFERROR((T$2*IFERROR(VLOOKUP(J37,Tabla11[],2,0),0))*($L37/SUM($L$5:$L$46)),0))</f>
        <v>159.88544701257823</v>
      </c>
      <c r="U37" s="29">
        <f>IF($L37&lt;0,0,IFERROR((U$2*IFERROR(VLOOKUP(J37,Tabla11[],2,0),0))*($L37/SUM($L$5:$L$46)),0))</f>
        <v>31.088836919112435</v>
      </c>
      <c r="V37" s="29">
        <f>IF($L37&lt;0,0,IFERROR((V$2*IFERROR(VLOOKUP(J37,Tabla11[],2,0),0))*($L37/SUM($L$5:$L$46)),0))</f>
        <v>159.88544701257823</v>
      </c>
      <c r="W37" s="29">
        <f>IF($L37&lt;0,0,IFERROR((W$2*IFERROR(VLOOKUP(J37,Tabla11[],2,0),0))*($L37/SUM($L$5:$L$46)),0))</f>
        <v>222.0631208508031</v>
      </c>
      <c r="X37" s="29">
        <f t="shared" si="3"/>
        <v>7244</v>
      </c>
      <c r="Y37" s="29">
        <f>+X37*IFERROR(VLOOKUP(J37,Tabla11[],4,0),0)</f>
        <v>1086.5999999999999</v>
      </c>
      <c r="Z37" s="29">
        <f t="shared" si="4"/>
        <v>25833.333333333332</v>
      </c>
      <c r="AA37" s="29">
        <f t="shared" si="5"/>
        <v>-16626.856185128403</v>
      </c>
      <c r="AB37" s="29">
        <f>IF($L37&lt;0,0,IFERROR((AB$2*IFERROR(VLOOKUP(J37,Tabla11[],2,0),0))*($L37/SUM($L$5:$L$46)),0))</f>
        <v>255.02523550728222</v>
      </c>
      <c r="AC37" s="29">
        <f>L37-L37*IFERROR(VLOOKUP(J37,Tabla11[],3,0),0)-Q37-T37-U37-V37-W37-L37*$X$2-(L37*$X$2)*IFERROR(VLOOKUP(J37,Tabla11[],4,0),0)-AB37-Z37</f>
        <v>-21367.589112943377</v>
      </c>
      <c r="AD37" s="29">
        <f t="shared" si="6"/>
        <v>-16881.881420635684</v>
      </c>
      <c r="AE37" s="29">
        <f t="shared" si="7"/>
        <v>4485.7076923080003</v>
      </c>
    </row>
    <row r="38" spans="1:31" x14ac:dyDescent="0.3">
      <c r="A38" s="30" t="s">
        <v>298</v>
      </c>
      <c r="B38" s="30" t="s">
        <v>209</v>
      </c>
      <c r="C38" s="33">
        <v>1</v>
      </c>
      <c r="D38" s="30"/>
      <c r="E38" s="30" t="s">
        <v>209</v>
      </c>
      <c r="F38" s="33"/>
      <c r="G38" s="33">
        <v>3</v>
      </c>
      <c r="H38" s="33" t="s">
        <v>291</v>
      </c>
      <c r="I38" s="33" t="s">
        <v>20</v>
      </c>
      <c r="J38" s="33" t="s">
        <v>213</v>
      </c>
      <c r="K38" s="33" t="s">
        <v>177</v>
      </c>
      <c r="L38" s="29">
        <v>1000000</v>
      </c>
      <c r="M38" s="30">
        <f t="shared" si="0"/>
        <v>100000</v>
      </c>
      <c r="N38" s="42">
        <f t="shared" ref="N38:N39" si="8">SUM(L38:M38)</f>
        <v>1100000</v>
      </c>
      <c r="O38" s="30">
        <f>N38*IFERROR(VLOOKUP(J38,Tabla11[],3,0),0)</f>
        <v>385000</v>
      </c>
      <c r="P38" s="30">
        <f t="shared" ref="P38:P39" si="9">N38-O38</f>
        <v>715000</v>
      </c>
      <c r="Q38" s="29">
        <f>IFERROR(G38/SUMIF(I:I,I38,G:G),0)*VLOOKUP(H38,Modelos[],14,0)+IFERROR(G38/SUMIF(I:I,I38,G:G),0)*VLOOKUP(I38,Tabla13[],2,0)</f>
        <v>161601.87921875002</v>
      </c>
      <c r="R38" s="30">
        <f>IFERROR(VLOOKUP(A38,Modelos[],IF(B38="EST",15,14),0),0)*C38</f>
        <v>154393.46562500001</v>
      </c>
      <c r="S38" s="30">
        <f>IFERROR(VLOOKUP(D38,Modelos[],IF(E38="EST",15,14),0),0)*F38</f>
        <v>0</v>
      </c>
      <c r="T38" s="30">
        <f>IF($L38&lt;0,0,IFERROR((T$2*IFERROR(VLOOKUP(J38,Tabla11[],2,0),0))*($L38/SUM($L$5:$L$46)),0))</f>
        <v>5738.5720904569771</v>
      </c>
      <c r="U38" s="30">
        <f>IF($L38&lt;0,0,IFERROR((U$2*IFERROR(VLOOKUP(J38,Tabla11[],2,0),0))*($L38/SUM($L$5:$L$46)),0))</f>
        <v>1115.833462033301</v>
      </c>
      <c r="V38" s="30">
        <f>IF($L38&lt;0,0,IFERROR((V$2*IFERROR(VLOOKUP(J38,Tabla11[],2,0),0))*($L38/SUM($L$5:$L$46)),0))</f>
        <v>5738.5720904569771</v>
      </c>
      <c r="W38" s="30">
        <f>IF($L38&lt;0,0,IFERROR((W$2*IFERROR(VLOOKUP(J38,Tabla11[],2,0),0))*($L38/SUM($L$5:$L$46)),0))</f>
        <v>7970.2390145235786</v>
      </c>
      <c r="X38" s="30">
        <f t="shared" ref="X38:X39" si="10">P38*$X$2</f>
        <v>286000</v>
      </c>
      <c r="Y38" s="30">
        <f>+X38*IFERROR(VLOOKUP(J38,Tabla11[],4,0),0)</f>
        <v>42900</v>
      </c>
      <c r="Z38" s="30">
        <f t="shared" ref="Z38:Z39" si="11">IF(L38&gt;0,$Z$2/12,0)</f>
        <v>25833.333333333332</v>
      </c>
      <c r="AA38" s="30">
        <f t="shared" ref="AA38:AA39" si="12">P38-SUM(Q38:Z38)</f>
        <v>23708.105165445828</v>
      </c>
      <c r="AB38" s="30">
        <f>IF($L38&lt;0,0,IFERROR((AB$2*IFERROR(VLOOKUP(J38,Tabla11[],2,0),0))*($L38/SUM($L$5:$L$46)),0))</f>
        <v>9153.3077349383457</v>
      </c>
      <c r="AC38" s="30">
        <f>L38-L38*IFERROR(VLOOKUP(J38,Tabla11[],3,0),0)-Q38-T38-U38-V38-W38-L38*$X$2-(L38*$X$2)*IFERROR(VLOOKUP(J38,Tabla11[],4,0),0)-AB38-Z38</f>
        <v>-27151.736944492524</v>
      </c>
      <c r="AD38" s="30">
        <f t="shared" ref="AD38:AD39" si="13">AA38-AB38</f>
        <v>14554.797430507482</v>
      </c>
      <c r="AE38" s="30">
        <f t="shared" ref="AE38:AE39" si="14">ROUND(AD38-AC38,9)</f>
        <v>41706.534375000003</v>
      </c>
    </row>
    <row r="39" spans="1:31" x14ac:dyDescent="0.3">
      <c r="A39" s="29" t="s">
        <v>299</v>
      </c>
      <c r="B39" s="29" t="s">
        <v>209</v>
      </c>
      <c r="C39" s="32">
        <v>1</v>
      </c>
      <c r="D39" s="29"/>
      <c r="E39" s="29" t="s">
        <v>209</v>
      </c>
      <c r="F39" s="32"/>
      <c r="G39" s="32">
        <v>3</v>
      </c>
      <c r="H39" s="32" t="s">
        <v>293</v>
      </c>
      <c r="I39" s="32" t="s">
        <v>176</v>
      </c>
      <c r="J39" s="32" t="s">
        <v>213</v>
      </c>
      <c r="K39" s="32" t="s">
        <v>176</v>
      </c>
      <c r="L39" s="29">
        <v>1000000</v>
      </c>
      <c r="M39" s="29">
        <f t="shared" si="0"/>
        <v>100000</v>
      </c>
      <c r="N39" s="41">
        <f t="shared" si="8"/>
        <v>1100000</v>
      </c>
      <c r="O39" s="29">
        <f>N39*IFERROR(VLOOKUP(J39,Tabla11[],3,0),0)</f>
        <v>385000</v>
      </c>
      <c r="P39" s="29">
        <f t="shared" si="9"/>
        <v>715000</v>
      </c>
      <c r="Q39" s="29">
        <f>IFERROR(G39/SUMIF(I:I,I39,G:G),0)*VLOOKUP(H39,Modelos[],14,0)+IFERROR(G39/SUMIF(I:I,I39,G:G),0)*VLOOKUP(I39,Tabla13[],2,0)</f>
        <v>121576.08536458333</v>
      </c>
      <c r="R39" s="29">
        <f>IFERROR(VLOOKUP(A39,Modelos[],IF(B39="EST",15,14),0),0)*C39</f>
        <v>204526.80039749993</v>
      </c>
      <c r="S39" s="29">
        <f>IFERROR(VLOOKUP(D39,Modelos[],IF(E39="EST",15,14),0),0)*F39</f>
        <v>0</v>
      </c>
      <c r="T39" s="29">
        <f>IF($L39&lt;0,0,IFERROR((T$2*IFERROR(VLOOKUP(J39,Tabla11[],2,0),0))*($L39/SUM($L$5:$L$46)),0))</f>
        <v>5738.5720904569771</v>
      </c>
      <c r="U39" s="29">
        <f>IF($L39&lt;0,0,IFERROR((U$2*IFERROR(VLOOKUP(J39,Tabla11[],2,0),0))*($L39/SUM($L$5:$L$46)),0))</f>
        <v>1115.833462033301</v>
      </c>
      <c r="V39" s="29">
        <f>IF($L39&lt;0,0,IFERROR((V$2*IFERROR(VLOOKUP(J39,Tabla11[],2,0),0))*($L39/SUM($L$5:$L$46)),0))</f>
        <v>5738.5720904569771</v>
      </c>
      <c r="W39" s="29">
        <f>IF($L39&lt;0,0,IFERROR((W$2*IFERROR(VLOOKUP(J39,Tabla11[],2,0),0))*($L39/SUM($L$5:$L$46)),0))</f>
        <v>7970.2390145235786</v>
      </c>
      <c r="X39" s="29">
        <f t="shared" si="10"/>
        <v>286000</v>
      </c>
      <c r="Y39" s="29">
        <f>+X39*IFERROR(VLOOKUP(J39,Tabla11[],4,0),0)</f>
        <v>42900</v>
      </c>
      <c r="Z39" s="29">
        <f t="shared" si="11"/>
        <v>25833.333333333332</v>
      </c>
      <c r="AA39" s="29">
        <f t="shared" si="12"/>
        <v>13600.564247112605</v>
      </c>
      <c r="AB39" s="29">
        <f>IF($L39&lt;0,0,IFERROR((AB$2*IFERROR(VLOOKUP(J39,Tabla11[],2,0),0))*($L39/SUM($L$5:$L$46)),0))</f>
        <v>9153.3077349383457</v>
      </c>
      <c r="AC39" s="29">
        <f>L39-L39*IFERROR(VLOOKUP(J39,Tabla11[],3,0),0)-Q39-T39-U39-V39-W39-L39*$X$2-(L39*$X$2)*IFERROR(VLOOKUP(J39,Tabla11[],4,0),0)-AB39-Z39</f>
        <v>12874.056909674229</v>
      </c>
      <c r="AD39" s="29">
        <f t="shared" si="13"/>
        <v>4447.2565121742591</v>
      </c>
      <c r="AE39" s="29">
        <f t="shared" si="14"/>
        <v>-8426.8003974999992</v>
      </c>
    </row>
    <row r="40" spans="1:31" x14ac:dyDescent="0.3">
      <c r="A40" s="30"/>
      <c r="B40" s="30" t="s">
        <v>209</v>
      </c>
      <c r="C40" s="33"/>
      <c r="D40" s="30"/>
      <c r="E40" s="30" t="s">
        <v>209</v>
      </c>
      <c r="F40" s="33"/>
      <c r="G40" s="33">
        <v>3</v>
      </c>
      <c r="H40" s="33" t="s">
        <v>292</v>
      </c>
      <c r="I40" s="33" t="s">
        <v>323</v>
      </c>
      <c r="J40" s="33" t="s">
        <v>213</v>
      </c>
      <c r="K40" s="33" t="s">
        <v>178</v>
      </c>
      <c r="L40" s="29">
        <v>1000000</v>
      </c>
      <c r="M40" s="30">
        <f t="shared" si="0"/>
        <v>0</v>
      </c>
      <c r="N40" s="42">
        <f t="shared" si="1"/>
        <v>1000000</v>
      </c>
      <c r="O40" s="30">
        <f>N40*IFERROR(VLOOKUP(J40,Tabla11[],3,0),0)</f>
        <v>350000</v>
      </c>
      <c r="P40" s="30">
        <f t="shared" si="2"/>
        <v>650000</v>
      </c>
      <c r="Q40" s="29">
        <f>IFERROR(G40/SUMIF(I:I,I40,G:G),0)*VLOOKUP(H40,Modelos[],14,0)+IFERROR(G40/SUMIF(I:I,I40,G:G),0)*VLOOKUP(I40,Tabla13[],2,0)</f>
        <v>69504.987620192318</v>
      </c>
      <c r="R40" s="30">
        <f>IFERROR(VLOOKUP(A40,Modelos[],IF(B40="EST",15,14),0),0)*C40</f>
        <v>0</v>
      </c>
      <c r="S40" s="30">
        <f>IFERROR(VLOOKUP(D40,Modelos[],IF(E40="EST",15,14),0),0)*F40</f>
        <v>0</v>
      </c>
      <c r="T40" s="30">
        <f>IF($L40&lt;0,0,IFERROR((T$2*IFERROR(VLOOKUP(J40,Tabla11[],2,0),0))*($L40/SUM($L$5:$L$46)),0))</f>
        <v>5738.5720904569771</v>
      </c>
      <c r="U40" s="30">
        <f>IF($L40&lt;0,0,IFERROR((U$2*IFERROR(VLOOKUP(J40,Tabla11[],2,0),0))*($L40/SUM($L$5:$L$46)),0))</f>
        <v>1115.833462033301</v>
      </c>
      <c r="V40" s="30">
        <f>IF($L40&lt;0,0,IFERROR((V$2*IFERROR(VLOOKUP(J40,Tabla11[],2,0),0))*($L40/SUM($L$5:$L$46)),0))</f>
        <v>5738.5720904569771</v>
      </c>
      <c r="W40" s="30">
        <f>IF($L40&lt;0,0,IFERROR((W$2*IFERROR(VLOOKUP(J40,Tabla11[],2,0),0))*($L40/SUM($L$5:$L$46)),0))</f>
        <v>7970.2390145235786</v>
      </c>
      <c r="X40" s="30">
        <f t="shared" si="3"/>
        <v>260000</v>
      </c>
      <c r="Y40" s="30">
        <f>+X40*IFERROR(VLOOKUP(J40,Tabla11[],4,0),0)</f>
        <v>39000</v>
      </c>
      <c r="Z40" s="30">
        <f t="shared" si="4"/>
        <v>25833.333333333332</v>
      </c>
      <c r="AA40" s="30">
        <f t="shared" si="5"/>
        <v>235098.46238900354</v>
      </c>
      <c r="AB40" s="30">
        <f>IF($L40&lt;0,0,IFERROR((AB$2*IFERROR(VLOOKUP(J40,Tabla11[],2,0),0))*($L40/SUM($L$5:$L$46)),0))</f>
        <v>9153.3077349383457</v>
      </c>
      <c r="AC40" s="30">
        <f>L40-L40*IFERROR(VLOOKUP(J40,Tabla11[],3,0),0)-Q40-T40-U40-V40-W40-L40*$X$2-(L40*$X$2)*IFERROR(VLOOKUP(J40,Tabla11[],4,0),0)-AB40-Z40</f>
        <v>64945.154654065191</v>
      </c>
      <c r="AD40" s="30">
        <f t="shared" si="6"/>
        <v>225945.15465406521</v>
      </c>
      <c r="AE40" s="30">
        <f t="shared" si="7"/>
        <v>161000</v>
      </c>
    </row>
    <row r="41" spans="1:31" x14ac:dyDescent="0.3">
      <c r="A41" s="29" t="s">
        <v>294</v>
      </c>
      <c r="B41" s="29" t="s">
        <v>209</v>
      </c>
      <c r="C41" s="32">
        <v>1</v>
      </c>
      <c r="D41" s="29" t="s">
        <v>295</v>
      </c>
      <c r="E41" s="29" t="s">
        <v>209</v>
      </c>
      <c r="F41" s="32">
        <v>1</v>
      </c>
      <c r="G41" s="32">
        <v>2</v>
      </c>
      <c r="H41" s="32" t="s">
        <v>292</v>
      </c>
      <c r="I41" s="32" t="s">
        <v>323</v>
      </c>
      <c r="J41" s="32" t="s">
        <v>214</v>
      </c>
      <c r="K41" s="32" t="s">
        <v>1</v>
      </c>
      <c r="L41" s="29">
        <f>IFERROR(VLOOKUP(CONCATENATE(J41,K41),Ventas!D:H,4,0),0)</f>
        <v>4567765.384615384</v>
      </c>
      <c r="M41" s="29">
        <f t="shared" si="0"/>
        <v>456776.53846153844</v>
      </c>
      <c r="N41" s="41">
        <f t="shared" ref="N41:N97" si="15">SUM(L41:M41)</f>
        <v>5024541.9230769221</v>
      </c>
      <c r="O41" s="29">
        <f>N41*IFERROR(VLOOKUP(J41,Tabla11[],3,0),0)</f>
        <v>1758589.6730769225</v>
      </c>
      <c r="P41" s="29">
        <f t="shared" ref="P41:P97" si="16">N41-O41</f>
        <v>3265952.2499999995</v>
      </c>
      <c r="Q41" s="29">
        <f>IFERROR(G41/SUMIF(I:I,I41,G:G),0)*VLOOKUP(H41,Modelos[],14,0)+IFERROR(G41/SUMIF(I:I,I41,G:G),0)*VLOOKUP(I41,Tabla13[],2,0)</f>
        <v>46336.65841346154</v>
      </c>
      <c r="R41" s="29">
        <f>IFERROR(VLOOKUP(A41,Modelos[],IF(B41="EST",15,14),0),0)*C41</f>
        <v>598680.58796874993</v>
      </c>
      <c r="S41" s="29">
        <f>IFERROR(VLOOKUP(D41,Modelos[],IF(E41="EST",15,14),0),0)*F41</f>
        <v>281148.89140624995</v>
      </c>
      <c r="T41" s="29">
        <f>IF($L41&lt;0,0,IFERROR((T$2*IFERROR(VLOOKUP(J41,Tabla11[],2,0),0))*($L41/SUM($L$5:$L$46)),0))</f>
        <v>43123.709630560494</v>
      </c>
      <c r="U41" s="29">
        <f>IF($L41&lt;0,0,IFERROR((U$2*IFERROR(VLOOKUP(J41,Tabla11[],2,0),0))*($L41/SUM($L$5:$L$46)),0))</f>
        <v>8385.165761497874</v>
      </c>
      <c r="V41" s="29">
        <f>IF($L41&lt;0,0,IFERROR((V$2*IFERROR(VLOOKUP(J41,Tabla11[],2,0),0))*($L41/SUM($L$5:$L$46)),0))</f>
        <v>43123.709630560494</v>
      </c>
      <c r="W41" s="29">
        <f>IF($L41&lt;0,0,IFERROR((W$2*IFERROR(VLOOKUP(J41,Tabla11[],2,0),0))*($L41/SUM($L$5:$L$46)),0))</f>
        <v>59894.041153556238</v>
      </c>
      <c r="X41" s="29">
        <f t="shared" ref="X41:X97" si="17">P41*$X$2</f>
        <v>1306380.8999999999</v>
      </c>
      <c r="Y41" s="29">
        <f>+X41*IFERROR(VLOOKUP(J41,Tabla11[],4,0),0)</f>
        <v>195957.13499999998</v>
      </c>
      <c r="Z41" s="29">
        <f t="shared" ref="Z41:Z97" si="18">IF(L41&gt;0,$Z$2/12,0)</f>
        <v>25833.333333333332</v>
      </c>
      <c r="AA41" s="29">
        <f t="shared" ref="AA41:AA97" si="19">P41-SUM(Q41:Z41)</f>
        <v>657088.11770202965</v>
      </c>
      <c r="AB41" s="29">
        <f>IF($L41&lt;0,0,IFERROR((AB$2*IFERROR(VLOOKUP(J41,Tabla11[],2,0),0))*($L41/SUM($L$5:$L$46)),0))</f>
        <v>68784.460436953697</v>
      </c>
      <c r="AC41" s="29">
        <f>L41-L41*IFERROR(VLOOKUP(J41,Tabla11[],3,0),0)-Q41-T41-U41-V41-W41-L41*$X$2-(L41*$X$2)*IFERROR(VLOOKUP(J41,Tabla11[],4,0),0)-AB41-Z41</f>
        <v>572394.34471699956</v>
      </c>
      <c r="AD41" s="29">
        <f t="shared" ref="AD41:AD97" si="20">AA41-AB41</f>
        <v>588303.65726507595</v>
      </c>
      <c r="AE41" s="29">
        <f t="shared" ref="AE41:AE97" si="21">ROUND(AD41-AC41,9)</f>
        <v>15909.312548076001</v>
      </c>
    </row>
    <row r="42" spans="1:31" x14ac:dyDescent="0.3">
      <c r="A42" s="30" t="s">
        <v>297</v>
      </c>
      <c r="B42" s="30" t="s">
        <v>209</v>
      </c>
      <c r="C42" s="33">
        <v>1</v>
      </c>
      <c r="D42" s="30"/>
      <c r="E42" s="30" t="s">
        <v>209</v>
      </c>
      <c r="F42" s="33"/>
      <c r="G42" s="33">
        <v>3</v>
      </c>
      <c r="H42" s="33" t="s">
        <v>293</v>
      </c>
      <c r="I42" s="33" t="s">
        <v>10</v>
      </c>
      <c r="J42" s="33" t="s">
        <v>214</v>
      </c>
      <c r="K42" s="33" t="s">
        <v>234</v>
      </c>
      <c r="L42" s="29">
        <f>IFERROR(VLOOKUP(CONCATENATE(J42,K42),Ventas!D:H,4,0),0)</f>
        <v>3442858.6649334151</v>
      </c>
      <c r="M42" s="30">
        <f t="shared" si="0"/>
        <v>344285.86649334151</v>
      </c>
      <c r="N42" s="42">
        <f t="shared" si="15"/>
        <v>3787144.5314267566</v>
      </c>
      <c r="O42" s="30">
        <f>N42*IFERROR(VLOOKUP(J42,Tabla11[],3,0),0)</f>
        <v>1325500.5859993647</v>
      </c>
      <c r="P42" s="30">
        <f t="shared" si="16"/>
        <v>2461643.9454273917</v>
      </c>
      <c r="Q42" s="29">
        <f>IFERROR(G42/SUMIF(I:I,I42,G:G),0)*VLOOKUP(H42,Modelos[],14,0)+IFERROR(G42/SUMIF(I:I,I42,G:G),0)*VLOOKUP(I42,Tabla13[],2,0)</f>
        <v>65246.162840073535</v>
      </c>
      <c r="R42" s="30">
        <f>IFERROR(VLOOKUP(A42,Modelos[],IF(B42="EST",15,14),0),0)*C42</f>
        <v>310333.7890625</v>
      </c>
      <c r="S42" s="30">
        <f>IFERROR(VLOOKUP(D42,Modelos[],IF(E42="EST",15,14),0),0)*F42</f>
        <v>0</v>
      </c>
      <c r="T42" s="30">
        <f>IF($L42&lt;0,0,IFERROR((T$2*IFERROR(VLOOKUP(J42,Tabla11[],2,0),0))*($L42/SUM($L$5:$L$46)),0))</f>
        <v>32503.604030474773</v>
      </c>
      <c r="U42" s="30">
        <f>IF($L42&lt;0,0,IFERROR((U$2*IFERROR(VLOOKUP(J42,Tabla11[],2,0),0))*($L42/SUM($L$5:$L$46)),0))</f>
        <v>6320.1452281478732</v>
      </c>
      <c r="V42" s="30">
        <f>IF($L42&lt;0,0,IFERROR((V$2*IFERROR(VLOOKUP(J42,Tabla11[],2,0),0))*($L42/SUM($L$5:$L$46)),0))</f>
        <v>32503.604030474773</v>
      </c>
      <c r="W42" s="30">
        <f>IF($L42&lt;0,0,IFERROR((W$2*IFERROR(VLOOKUP(J42,Tabla11[],2,0),0))*($L42/SUM($L$5:$L$46)),0))</f>
        <v>45143.894486770521</v>
      </c>
      <c r="X42" s="30">
        <f t="shared" si="17"/>
        <v>984657.57817095669</v>
      </c>
      <c r="Y42" s="30">
        <f>+X42*IFERROR(VLOOKUP(J42,Tabla11[],4,0),0)</f>
        <v>147698.6367256435</v>
      </c>
      <c r="Z42" s="30">
        <f t="shared" si="18"/>
        <v>25833.333333333332</v>
      </c>
      <c r="AA42" s="30">
        <f t="shared" si="19"/>
        <v>811403.19751901692</v>
      </c>
      <c r="AB42" s="30">
        <f>IF($L42&lt;0,0,IFERROR((AB$2*IFERROR(VLOOKUP(J42,Tabla11[],2,0),0))*($L42/SUM($L$5:$L$46)),0))</f>
        <v>51844.864104831009</v>
      </c>
      <c r="AC42" s="30">
        <f>L42-L42*IFERROR(VLOOKUP(J42,Tabla11[],3,0),0)-Q42-T42-U42-V42-W42-L42*$X$2-(L42*$X$2)*IFERROR(VLOOKUP(J42,Tabla11[],4,0),0)-AB42-Z42</f>
        <v>394747.53828324348</v>
      </c>
      <c r="AD42" s="30">
        <f t="shared" si="20"/>
        <v>759558.33341418591</v>
      </c>
      <c r="AE42" s="30">
        <f t="shared" si="21"/>
        <v>364810.79513094202</v>
      </c>
    </row>
    <row r="43" spans="1:31" x14ac:dyDescent="0.3">
      <c r="A43" s="29" t="s">
        <v>299</v>
      </c>
      <c r="B43" s="29" t="s">
        <v>209</v>
      </c>
      <c r="C43" s="32">
        <v>1</v>
      </c>
      <c r="D43" s="29"/>
      <c r="E43" s="29" t="s">
        <v>209</v>
      </c>
      <c r="F43" s="32"/>
      <c r="G43" s="32">
        <v>1</v>
      </c>
      <c r="H43" s="32" t="s">
        <v>291</v>
      </c>
      <c r="I43" s="32" t="s">
        <v>327</v>
      </c>
      <c r="J43" s="32" t="s">
        <v>214</v>
      </c>
      <c r="K43" s="32" t="s">
        <v>2</v>
      </c>
      <c r="L43" s="29">
        <f>IFERROR(VLOOKUP(CONCATENATE(J43,K43),Ventas!D:H,4,0),0)</f>
        <v>3334663.2159944186</v>
      </c>
      <c r="M43" s="29">
        <f t="shared" si="0"/>
        <v>333466.32159944187</v>
      </c>
      <c r="N43" s="41">
        <f t="shared" si="15"/>
        <v>3668129.5375938606</v>
      </c>
      <c r="O43" s="29">
        <f>N43*IFERROR(VLOOKUP(J43,Tabla11[],3,0),0)</f>
        <v>1283845.3381578512</v>
      </c>
      <c r="P43" s="29">
        <f t="shared" si="16"/>
        <v>2384284.1994360094</v>
      </c>
      <c r="Q43" s="29">
        <f>IFERROR(G43/SUMIF(I:I,I43,G:G),0)*VLOOKUP(H43,Modelos[],14,0)+IFERROR(G43/SUMIF(I:I,I43,G:G),0)*VLOOKUP(I43,Tabla13[],2,0)</f>
        <v>51647.61153492648</v>
      </c>
      <c r="R43" s="29">
        <f>IFERROR(VLOOKUP(A43,Modelos[],IF(B43="EST",15,14),0),0)*C43</f>
        <v>204526.80039749993</v>
      </c>
      <c r="S43" s="29">
        <f>IFERROR(VLOOKUP(D43,Modelos[],IF(E43="EST",15,14),0),0)*F43</f>
        <v>0</v>
      </c>
      <c r="T43" s="29">
        <f>IF($L43&lt;0,0,IFERROR((T$2*IFERROR(VLOOKUP(J43,Tabla11[],2,0),0))*($L43/SUM($L$5:$L$46)),0))</f>
        <v>31482.144141333312</v>
      </c>
      <c r="U43" s="29">
        <f>IF($L43&lt;0,0,IFERROR((U$2*IFERROR(VLOOKUP(J43,Tabla11[],2,0),0))*($L43/SUM($L$5:$L$46)),0))</f>
        <v>6121.5280274814786</v>
      </c>
      <c r="V43" s="29">
        <f>IF($L43&lt;0,0,IFERROR((V$2*IFERROR(VLOOKUP(J43,Tabla11[],2,0),0))*($L43/SUM($L$5:$L$46)),0))</f>
        <v>31482.144141333312</v>
      </c>
      <c r="W43" s="29">
        <f>IF($L43&lt;0,0,IFERROR((W$2*IFERROR(VLOOKUP(J43,Tabla11[],2,0),0))*($L43/SUM($L$5:$L$46)),0))</f>
        <v>43725.200196296268</v>
      </c>
      <c r="X43" s="29">
        <f t="shared" si="17"/>
        <v>953713.6797744038</v>
      </c>
      <c r="Y43" s="29">
        <f>+X43*IFERROR(VLOOKUP(J43,Tabla11[],4,0),0)</f>
        <v>143057.05196616056</v>
      </c>
      <c r="Z43" s="29">
        <f t="shared" si="18"/>
        <v>25833.333333333332</v>
      </c>
      <c r="AA43" s="29">
        <f t="shared" si="19"/>
        <v>892694.7059232411</v>
      </c>
      <c r="AB43" s="29">
        <f>IF($L43&lt;0,0,IFERROR((AB$2*IFERROR(VLOOKUP(J43,Tabla11[],2,0),0))*($L43/SUM($L$5:$L$46)),0))</f>
        <v>50215.584807328407</v>
      </c>
      <c r="AC43" s="29">
        <f>L43-L43*IFERROR(VLOOKUP(J43,Tabla11[],3,0),0)-Q43-T43-U43-V43-W43-L43*$X$2-(L43*$X$2)*IFERROR(VLOOKUP(J43,Tabla11[],4,0),0)-AB43-Z43</f>
        <v>393078.46485690679</v>
      </c>
      <c r="AD43" s="29">
        <f t="shared" si="20"/>
        <v>842479.12111591268</v>
      </c>
      <c r="AE43" s="29">
        <f t="shared" si="21"/>
        <v>449400.65625900601</v>
      </c>
    </row>
    <row r="44" spans="1:31" x14ac:dyDescent="0.3">
      <c r="A44" s="30" t="s">
        <v>299</v>
      </c>
      <c r="B44" s="30" t="s">
        <v>209</v>
      </c>
      <c r="C44" s="33">
        <v>1</v>
      </c>
      <c r="D44" s="30"/>
      <c r="E44" s="30" t="s">
        <v>209</v>
      </c>
      <c r="F44" s="33"/>
      <c r="G44" s="33">
        <v>3</v>
      </c>
      <c r="H44" s="33" t="s">
        <v>291</v>
      </c>
      <c r="I44" s="33" t="s">
        <v>319</v>
      </c>
      <c r="J44" s="33" t="s">
        <v>214</v>
      </c>
      <c r="K44" s="33" t="s">
        <v>235</v>
      </c>
      <c r="L44" s="29">
        <f>IFERROR(VLOOKUP(CONCATENATE(J44,K44),Ventas!D:H,4,0),0)</f>
        <v>3341243.0534751858</v>
      </c>
      <c r="M44" s="30">
        <f t="shared" si="0"/>
        <v>334124.30534751859</v>
      </c>
      <c r="N44" s="42">
        <f t="shared" si="15"/>
        <v>3675367.3588227043</v>
      </c>
      <c r="O44" s="30">
        <f>N44*IFERROR(VLOOKUP(J44,Tabla11[],3,0),0)</f>
        <v>1286378.5755879465</v>
      </c>
      <c r="P44" s="30">
        <f t="shared" si="16"/>
        <v>2388988.7832347578</v>
      </c>
      <c r="Q44" s="29">
        <f>IFERROR(G44/SUMIF(I:I,I44,G:G),0)*VLOOKUP(H44,Modelos[],14,0)+IFERROR(G44/SUMIF(I:I,I44,G:G),0)*VLOOKUP(I44,Tabla13[],2,0)</f>
        <v>123633.06254111843</v>
      </c>
      <c r="R44" s="30">
        <f>IFERROR(VLOOKUP(A44,Modelos[],IF(B44="EST",15,14),0),0)*C44</f>
        <v>204526.80039749993</v>
      </c>
      <c r="S44" s="30">
        <f>IFERROR(VLOOKUP(D44,Modelos[],IF(E44="EST",15,14),0),0)*F44</f>
        <v>0</v>
      </c>
      <c r="T44" s="30">
        <f>IF($L44&lt;0,0,IFERROR((T$2*IFERROR(VLOOKUP(J44,Tabla11[],2,0),0))*($L44/SUM($L$5:$L$46)),0))</f>
        <v>31544.263575464618</v>
      </c>
      <c r="U44" s="30">
        <f>IF($L44&lt;0,0,IFERROR((U$2*IFERROR(VLOOKUP(J44,Tabla11[],2,0),0))*($L44/SUM($L$5:$L$46)),0))</f>
        <v>6133.6068063403436</v>
      </c>
      <c r="V44" s="30">
        <f>IF($L44&lt;0,0,IFERROR((V$2*IFERROR(VLOOKUP(J44,Tabla11[],2,0),0))*($L44/SUM($L$5:$L$46)),0))</f>
        <v>31544.263575464618</v>
      </c>
      <c r="W44" s="30">
        <f>IF($L44&lt;0,0,IFERROR((W$2*IFERROR(VLOOKUP(J44,Tabla11[],2,0),0))*($L44/SUM($L$5:$L$46)),0))</f>
        <v>43811.477188145305</v>
      </c>
      <c r="X44" s="30">
        <f t="shared" si="17"/>
        <v>955595.5132939032</v>
      </c>
      <c r="Y44" s="30">
        <f>+X44*IFERROR(VLOOKUP(J44,Tabla11[],4,0),0)</f>
        <v>143339.32699408548</v>
      </c>
      <c r="Z44" s="30">
        <f t="shared" si="18"/>
        <v>25833.333333333332</v>
      </c>
      <c r="AA44" s="30">
        <f t="shared" si="19"/>
        <v>823027.13552940264</v>
      </c>
      <c r="AB44" s="30">
        <f>IF($L44&lt;0,0,IFERROR((AB$2*IFERROR(VLOOKUP(J44,Tabla11[],2,0),0))*($L44/SUM($L$5:$L$46)),0))</f>
        <v>50314.668392575972</v>
      </c>
      <c r="AC44" s="30">
        <f>L44-L44*IFERROR(VLOOKUP(J44,Tabla11[],3,0),0)-Q44-T44-U44-V44-W44-L44*$X$2-(L44*$X$2)*IFERROR(VLOOKUP(J44,Tabla11[],4,0),0)-AB44-Z44</f>
        <v>322021.50474784244</v>
      </c>
      <c r="AD44" s="30">
        <f t="shared" si="20"/>
        <v>772712.46713682672</v>
      </c>
      <c r="AE44" s="30">
        <f t="shared" si="21"/>
        <v>450690.96238898399</v>
      </c>
    </row>
    <row r="45" spans="1:31" x14ac:dyDescent="0.3">
      <c r="A45" s="29" t="s">
        <v>297</v>
      </c>
      <c r="B45" s="29" t="s">
        <v>209</v>
      </c>
      <c r="C45" s="32">
        <v>1</v>
      </c>
      <c r="D45" s="29" t="s">
        <v>299</v>
      </c>
      <c r="E45" s="29" t="s">
        <v>209</v>
      </c>
      <c r="F45" s="32">
        <v>1</v>
      </c>
      <c r="G45" s="32">
        <v>3</v>
      </c>
      <c r="H45" s="32" t="s">
        <v>291</v>
      </c>
      <c r="I45" s="32" t="s">
        <v>20</v>
      </c>
      <c r="J45" s="32" t="s">
        <v>214</v>
      </c>
      <c r="K45" s="32" t="s">
        <v>236</v>
      </c>
      <c r="L45" s="29">
        <f>IFERROR(VLOOKUP(CONCATENATE(J45,K45),Ventas!D:H,4,0),0)</f>
        <v>2567354.5790075557</v>
      </c>
      <c r="M45" s="29">
        <f t="shared" si="0"/>
        <v>256735.45790075557</v>
      </c>
      <c r="N45" s="41">
        <f t="shared" si="15"/>
        <v>2824090.0369083113</v>
      </c>
      <c r="O45" s="29">
        <f>N45*IFERROR(VLOOKUP(J45,Tabla11[],3,0),0)</f>
        <v>988431.51291790884</v>
      </c>
      <c r="P45" s="29">
        <f t="shared" si="16"/>
        <v>1835658.5239904025</v>
      </c>
      <c r="Q45" s="29">
        <f>IFERROR(G45/SUMIF(I:I,I45,G:G),0)*VLOOKUP(H45,Modelos[],14,0)+IFERROR(G45/SUMIF(I:I,I45,G:G),0)*VLOOKUP(I45,Tabla13[],2,0)</f>
        <v>161601.87921875002</v>
      </c>
      <c r="R45" s="29">
        <f>IFERROR(VLOOKUP(A45,Modelos[],IF(B45="EST",15,14),0),0)*C45</f>
        <v>310333.7890625</v>
      </c>
      <c r="S45" s="29">
        <f>IFERROR(VLOOKUP(D45,Modelos[],IF(E45="EST",15,14),0),0)*F45</f>
        <v>204526.80039749993</v>
      </c>
      <c r="T45" s="29">
        <f>IF($L45&lt;0,0,IFERROR((T$2*IFERROR(VLOOKUP(J45,Tabla11[],2,0),0))*($L45/SUM($L$5:$L$46)),0))</f>
        <v>24238.077935593017</v>
      </c>
      <c r="U45" s="29">
        <f>IF($L45&lt;0,0,IFERROR((U$2*IFERROR(VLOOKUP(J45,Tabla11[],2,0),0))*($L45/SUM($L$5:$L$46)),0))</f>
        <v>4712.9595985875321</v>
      </c>
      <c r="V45" s="29">
        <f>IF($L45&lt;0,0,IFERROR((V$2*IFERROR(VLOOKUP(J45,Tabla11[],2,0),0))*($L45/SUM($L$5:$L$46)),0))</f>
        <v>24238.077935593017</v>
      </c>
      <c r="W45" s="29">
        <f>IF($L45&lt;0,0,IFERROR((W$2*IFERROR(VLOOKUP(J45,Tabla11[],2,0),0))*($L45/SUM($L$5:$L$46)),0))</f>
        <v>33663.997132768083</v>
      </c>
      <c r="X45" s="29">
        <f t="shared" si="17"/>
        <v>734263.40959616099</v>
      </c>
      <c r="Y45" s="29">
        <f>+X45*IFERROR(VLOOKUP(J45,Tabla11[],4,0),0)</f>
        <v>110139.51143942414</v>
      </c>
      <c r="Z45" s="29">
        <f t="shared" si="18"/>
        <v>25833.333333333332</v>
      </c>
      <c r="AA45" s="29">
        <f t="shared" si="19"/>
        <v>202106.68834019266</v>
      </c>
      <c r="AB45" s="29">
        <f>IF($L45&lt;0,0,IFERROR((AB$2*IFERROR(VLOOKUP(J45,Tabla11[],2,0),0))*($L45/SUM($L$5:$L$46)),0))</f>
        <v>38660.939124010358</v>
      </c>
      <c r="AC45" s="29">
        <f>L45-L45*IFERROR(VLOOKUP(J45,Tabla11[],3,0),0)-Q45-T45-U45-V45-W45-L45*$X$2-(L45*$X$2)*IFERROR(VLOOKUP(J45,Tabla11[],4,0),0)-AB45-Z45</f>
        <v>174848.10573280026</v>
      </c>
      <c r="AD45" s="29">
        <f t="shared" si="20"/>
        <v>163445.7492161823</v>
      </c>
      <c r="AE45" s="29">
        <f t="shared" si="21"/>
        <v>-11402.356516618</v>
      </c>
    </row>
    <row r="46" spans="1:31" x14ac:dyDescent="0.3">
      <c r="A46" s="30" t="s">
        <v>297</v>
      </c>
      <c r="B46" s="30" t="s">
        <v>209</v>
      </c>
      <c r="C46" s="33">
        <v>1</v>
      </c>
      <c r="D46" s="30" t="s">
        <v>299</v>
      </c>
      <c r="E46" s="30" t="s">
        <v>209</v>
      </c>
      <c r="F46" s="33">
        <v>1</v>
      </c>
      <c r="G46" s="33">
        <v>2</v>
      </c>
      <c r="H46" s="33" t="s">
        <v>291</v>
      </c>
      <c r="I46" s="33" t="s">
        <v>319</v>
      </c>
      <c r="J46" s="33" t="s">
        <v>214</v>
      </c>
      <c r="K46" s="33" t="s">
        <v>3</v>
      </c>
      <c r="L46" s="29">
        <f>IFERROR(VLOOKUP(CONCATENATE(J46,K46),Ventas!D:H,4,0),0)</f>
        <v>3054985.7419290417</v>
      </c>
      <c r="M46" s="30">
        <f t="shared" si="0"/>
        <v>305498.57419290417</v>
      </c>
      <c r="N46" s="42">
        <f t="shared" si="15"/>
        <v>3360484.3161219461</v>
      </c>
      <c r="O46" s="30">
        <f>N46*IFERROR(VLOOKUP(J46,Tabla11[],3,0),0)</f>
        <v>1176169.510642681</v>
      </c>
      <c r="P46" s="30">
        <f t="shared" si="16"/>
        <v>2184314.8054792648</v>
      </c>
      <c r="Q46" s="29">
        <f>IFERROR(G46/SUMIF(I:I,I46,G:G),0)*VLOOKUP(H46,Modelos[],14,0)+IFERROR(G46/SUMIF(I:I,I46,G:G),0)*VLOOKUP(I46,Tabla13[],2,0)</f>
        <v>82422.041694078958</v>
      </c>
      <c r="R46" s="30">
        <f>IFERROR(VLOOKUP(A46,Modelos[],IF(B46="EST",15,14),0),0)*C46</f>
        <v>310333.7890625</v>
      </c>
      <c r="S46" s="30">
        <f>IFERROR(VLOOKUP(D46,Modelos[],IF(E46="EST",15,14),0),0)*F46</f>
        <v>204526.80039749993</v>
      </c>
      <c r="T46" s="30">
        <f>IF($L46&lt;0,0,IFERROR((T$2*IFERROR(VLOOKUP(J46,Tabla11[],2,0),0))*($L46/SUM($L$5:$L$46)),0))</f>
        <v>28841.743602718641</v>
      </c>
      <c r="U46" s="30">
        <f>IF($L46&lt;0,0,IFERROR((U$2*IFERROR(VLOOKUP(J46,Tabla11[],2,0),0))*($L46/SUM($L$5:$L$46)),0))</f>
        <v>5608.1168116397366</v>
      </c>
      <c r="V46" s="30">
        <f>IF($L46&lt;0,0,IFERROR((V$2*IFERROR(VLOOKUP(J46,Tabla11[],2,0),0))*($L46/SUM($L$5:$L$46)),0))</f>
        <v>28841.743602718641</v>
      </c>
      <c r="W46" s="30">
        <f>IF($L46&lt;0,0,IFERROR((W$2*IFERROR(VLOOKUP(J46,Tabla11[],2,0),0))*($L46/SUM($L$5:$L$46)),0))</f>
        <v>40057.977225998111</v>
      </c>
      <c r="X46" s="30">
        <f t="shared" si="17"/>
        <v>873725.92219170602</v>
      </c>
      <c r="Y46" s="30">
        <f>+X46*IFERROR(VLOOKUP(J46,Tabla11[],4,0),0)</f>
        <v>131058.8883287559</v>
      </c>
      <c r="Z46" s="30">
        <f t="shared" si="18"/>
        <v>25833.333333333332</v>
      </c>
      <c r="AA46" s="30">
        <f t="shared" si="19"/>
        <v>453064.44922831561</v>
      </c>
      <c r="AB46" s="30">
        <f>IF($L46&lt;0,0,IFERROR((AB$2*IFERROR(VLOOKUP(J46,Tabla11[],2,0),0))*($L46/SUM($L$5:$L$46)),0))</f>
        <v>46004.014700258012</v>
      </c>
      <c r="AC46" s="30">
        <f>L46-L46*IFERROR(VLOOKUP(J46,Tabla11[],3,0),0)-Q46-T46-U46-V46-W46-L46*$X$2-(L46*$X$2)*IFERROR(VLOOKUP(J46,Tabla11[],4,0),0)-AB46-Z46</f>
        <v>322838.31999577244</v>
      </c>
      <c r="AD46" s="30">
        <f t="shared" si="20"/>
        <v>407060.43452805758</v>
      </c>
      <c r="AE46" s="30">
        <f t="shared" si="21"/>
        <v>84222.114532285006</v>
      </c>
    </row>
    <row r="47" spans="1:31" x14ac:dyDescent="0.3">
      <c r="A47" s="29" t="s">
        <v>299</v>
      </c>
      <c r="B47" s="29" t="s">
        <v>209</v>
      </c>
      <c r="C47" s="32">
        <v>1</v>
      </c>
      <c r="D47" s="29"/>
      <c r="E47" s="29" t="s">
        <v>209</v>
      </c>
      <c r="F47" s="32"/>
      <c r="G47" s="32">
        <v>3</v>
      </c>
      <c r="H47" s="32" t="s">
        <v>291</v>
      </c>
      <c r="I47" s="32" t="s">
        <v>320</v>
      </c>
      <c r="J47" s="32" t="s">
        <v>214</v>
      </c>
      <c r="K47" s="32" t="s">
        <v>237</v>
      </c>
      <c r="L47" s="29">
        <f>IFERROR(VLOOKUP(CONCATENATE(J47,K47),Ventas!D:H,4,0),0)</f>
        <v>1566761.6571980852</v>
      </c>
      <c r="M47" s="29">
        <f t="shared" si="0"/>
        <v>156676.16571980852</v>
      </c>
      <c r="N47" s="41">
        <f t="shared" si="15"/>
        <v>1723437.8229178938</v>
      </c>
      <c r="O47" s="29">
        <f>N47*IFERROR(VLOOKUP(J47,Tabla11[],3,0),0)</f>
        <v>603203.2380212628</v>
      </c>
      <c r="P47" s="29">
        <f t="shared" si="16"/>
        <v>1120234.5848966311</v>
      </c>
      <c r="Q47" s="29">
        <f>IFERROR(G47/SUMIF(I:I,I47,G:G),0)*VLOOKUP(H47,Modelos[],14,0)+IFERROR(G47/SUMIF(I:I,I47,G:G),0)*VLOOKUP(I47,Tabla13[],2,0)</f>
        <v>106001.17451171877</v>
      </c>
      <c r="R47" s="29">
        <f>IFERROR(VLOOKUP(A47,Modelos[],IF(B47="EST",15,14),0),0)*C47</f>
        <v>204526.80039749993</v>
      </c>
      <c r="S47" s="29">
        <f>IFERROR(VLOOKUP(D47,Modelos[],IF(E47="EST",15,14),0),0)*F47</f>
        <v>0</v>
      </c>
      <c r="T47" s="29">
        <f>IF($L47&lt;0,0,IFERROR((T$2*IFERROR(VLOOKUP(J47,Tabla11[],2,0),0))*($L47/SUM($L$5:$L$46)),0))</f>
        <v>14791.603568972505</v>
      </c>
      <c r="U47" s="29">
        <f>IF($L47&lt;0,0,IFERROR((U$2*IFERROR(VLOOKUP(J47,Tabla11[],2,0),0))*($L47/SUM($L$5:$L$46)),0))</f>
        <v>2876.1451384113211</v>
      </c>
      <c r="V47" s="29">
        <f>IF($L47&lt;0,0,IFERROR((V$2*IFERROR(VLOOKUP(J47,Tabla11[],2,0),0))*($L47/SUM($L$5:$L$46)),0))</f>
        <v>14791.603568972505</v>
      </c>
      <c r="W47" s="29">
        <f>IF($L47&lt;0,0,IFERROR((W$2*IFERROR(VLOOKUP(J47,Tabla11[],2,0),0))*($L47/SUM($L$5:$L$46)),0))</f>
        <v>20543.893845795148</v>
      </c>
      <c r="X47" s="29">
        <f t="shared" si="17"/>
        <v>448093.83395865245</v>
      </c>
      <c r="Y47" s="29">
        <f>+X47*IFERROR(VLOOKUP(J47,Tabla11[],4,0),0)</f>
        <v>67214.075093797859</v>
      </c>
      <c r="Z47" s="29">
        <f t="shared" si="18"/>
        <v>25833.333333333332</v>
      </c>
      <c r="AA47" s="29">
        <f t="shared" si="19"/>
        <v>215562.12147947715</v>
      </c>
      <c r="AB47" s="29">
        <f>IF($L47&lt;0,0,IFERROR((AB$2*IFERROR(VLOOKUP(J47,Tabla11[],2,0),0))*($L47/SUM($L$5:$L$46)),0))</f>
        <v>23593.342947659316</v>
      </c>
      <c r="AC47" s="29">
        <f>L47-L47*IFERROR(VLOOKUP(J47,Tabla11[],3,0),0)-Q47-T47-U47-V47-W47-L47*$X$2-(L47*$X$2)*IFERROR(VLOOKUP(J47,Tabla11[],4,0),0)-AB47-Z47</f>
        <v>89253.617952773217</v>
      </c>
      <c r="AD47" s="29">
        <f t="shared" si="20"/>
        <v>191968.77853181784</v>
      </c>
      <c r="AE47" s="29">
        <f t="shared" si="21"/>
        <v>102715.160579045</v>
      </c>
    </row>
    <row r="48" spans="1:31" x14ac:dyDescent="0.3">
      <c r="A48" s="30" t="s">
        <v>299</v>
      </c>
      <c r="B48" s="30" t="s">
        <v>209</v>
      </c>
      <c r="C48" s="33">
        <v>1</v>
      </c>
      <c r="D48" s="30"/>
      <c r="E48" s="30" t="s">
        <v>209</v>
      </c>
      <c r="F48" s="33"/>
      <c r="G48" s="33">
        <v>3</v>
      </c>
      <c r="H48" s="33" t="s">
        <v>292</v>
      </c>
      <c r="I48" s="33" t="s">
        <v>324</v>
      </c>
      <c r="J48" s="33" t="s">
        <v>214</v>
      </c>
      <c r="K48" s="33" t="s">
        <v>238</v>
      </c>
      <c r="L48" s="29">
        <f>IFERROR(VLOOKUP(CONCATENATE(J48,K48),Ventas!D:H,4,0),0)</f>
        <v>1872861.2293994429</v>
      </c>
      <c r="M48" s="30">
        <f t="shared" si="0"/>
        <v>187286.1229399443</v>
      </c>
      <c r="N48" s="42">
        <f t="shared" si="15"/>
        <v>2060147.3523393872</v>
      </c>
      <c r="O48" s="30">
        <f>N48*IFERROR(VLOOKUP(J48,Tabla11[],3,0),0)</f>
        <v>721051.57331878552</v>
      </c>
      <c r="P48" s="30">
        <f t="shared" si="16"/>
        <v>1339095.7790206017</v>
      </c>
      <c r="Q48" s="29">
        <f>IFERROR(G48/SUMIF(I:I,I48,G:G),0)*VLOOKUP(H48,Modelos[],14,0)+IFERROR(G48/SUMIF(I:I,I48,G:G),0)*VLOOKUP(I48,Tabla13[],2,0)</f>
        <v>69504.987620192318</v>
      </c>
      <c r="R48" s="30">
        <f>IFERROR(VLOOKUP(A48,Modelos[],IF(B48="EST",15,14),0),0)*C48</f>
        <v>204526.80039749993</v>
      </c>
      <c r="S48" s="30">
        <f>IFERROR(VLOOKUP(D48,Modelos[],IF(E48="EST",15,14),0),0)*F48</f>
        <v>0</v>
      </c>
      <c r="T48" s="30">
        <f>IF($L48&lt;0,0,IFERROR((T$2*IFERROR(VLOOKUP(J48,Tabla11[],2,0),0))*($L48/SUM($L$5:$L$46)),0))</f>
        <v>17681.451877318057</v>
      </c>
      <c r="U48" s="30">
        <f>IF($L48&lt;0,0,IFERROR((U$2*IFERROR(VLOOKUP(J48,Tabla11[],2,0),0))*($L48/SUM($L$5:$L$46)),0))</f>
        <v>3438.0600872562891</v>
      </c>
      <c r="V48" s="30">
        <f>IF($L48&lt;0,0,IFERROR((V$2*IFERROR(VLOOKUP(J48,Tabla11[],2,0),0))*($L48/SUM($L$5:$L$46)),0))</f>
        <v>17681.451877318057</v>
      </c>
      <c r="W48" s="30">
        <f>IF($L48&lt;0,0,IFERROR((W$2*IFERROR(VLOOKUP(J48,Tabla11[],2,0),0))*($L48/SUM($L$5:$L$46)),0))</f>
        <v>24557.572051830633</v>
      </c>
      <c r="X48" s="30">
        <f t="shared" si="17"/>
        <v>535638.31160824071</v>
      </c>
      <c r="Y48" s="30">
        <f>+X48*IFERROR(VLOOKUP(J48,Tabla11[],4,0),0)</f>
        <v>80345.7467412361</v>
      </c>
      <c r="Z48" s="30">
        <f t="shared" si="18"/>
        <v>25833.333333333332</v>
      </c>
      <c r="AA48" s="30">
        <f t="shared" si="19"/>
        <v>359888.0634263762</v>
      </c>
      <c r="AB48" s="30">
        <f>IF($L48&lt;0,0,IFERROR((AB$2*IFERROR(VLOOKUP(J48,Tabla11[],2,0),0))*($L48/SUM($L$5:$L$46)),0))</f>
        <v>28202.794646901002</v>
      </c>
      <c r="AC48" s="30">
        <f>L48-L48*IFERROR(VLOOKUP(J48,Tabla11[],3,0),0)-Q48-T48-U48-V48-W48-L48*$X$2-(L48*$X$2)*IFERROR(VLOOKUP(J48,Tabla11[],4,0),0)-AB48-Z48</f>
        <v>168943.98209174437</v>
      </c>
      <c r="AD48" s="30">
        <f t="shared" si="20"/>
        <v>331685.26877947518</v>
      </c>
      <c r="AE48" s="30">
        <f t="shared" si="21"/>
        <v>162741.28668773099</v>
      </c>
    </row>
    <row r="49" spans="1:31" x14ac:dyDescent="0.3">
      <c r="A49" s="29" t="s">
        <v>299</v>
      </c>
      <c r="B49" s="29" t="s">
        <v>209</v>
      </c>
      <c r="C49" s="32">
        <v>1</v>
      </c>
      <c r="D49" s="29"/>
      <c r="E49" s="29" t="s">
        <v>209</v>
      </c>
      <c r="F49" s="32"/>
      <c r="G49" s="32">
        <v>3</v>
      </c>
      <c r="H49" s="32" t="s">
        <v>292</v>
      </c>
      <c r="I49" s="32" t="s">
        <v>324</v>
      </c>
      <c r="J49" s="32" t="s">
        <v>214</v>
      </c>
      <c r="K49" s="32" t="s">
        <v>17</v>
      </c>
      <c r="L49" s="29">
        <f>IFERROR(VLOOKUP(CONCATENATE(J49,K49),Ventas!D:H,4,0),0)</f>
        <v>2791786.7101022843</v>
      </c>
      <c r="M49" s="29">
        <f t="shared" si="0"/>
        <v>279178.67101022846</v>
      </c>
      <c r="N49" s="41">
        <f t="shared" si="15"/>
        <v>3070965.3811125127</v>
      </c>
      <c r="O49" s="29">
        <f>N49*IFERROR(VLOOKUP(J49,Tabla11[],3,0),0)</f>
        <v>1074837.8833893794</v>
      </c>
      <c r="P49" s="29">
        <f t="shared" si="16"/>
        <v>1996127.4977231333</v>
      </c>
      <c r="Q49" s="29">
        <f>IFERROR(G49/SUMIF(I:I,I49,G:G),0)*VLOOKUP(H49,Modelos[],14,0)+IFERROR(G49/SUMIF(I:I,I49,G:G),0)*VLOOKUP(I49,Tabla13[],2,0)</f>
        <v>69504.987620192318</v>
      </c>
      <c r="R49" s="29">
        <f>IFERROR(VLOOKUP(A49,Modelos[],IF(B49="EST",15,14),0),0)*C49</f>
        <v>204526.80039749993</v>
      </c>
      <c r="S49" s="29">
        <f>IFERROR(VLOOKUP(D49,Modelos[],IF(E49="EST",15,14),0),0)*F49</f>
        <v>0</v>
      </c>
      <c r="T49" s="29">
        <f>IF($L49&lt;0,0,IFERROR((T$2*IFERROR(VLOOKUP(J49,Tabla11[],2,0),0))*($L49/SUM($L$5:$L$46)),0))</f>
        <v>26356.914004909195</v>
      </c>
      <c r="U49" s="29">
        <f>IF($L49&lt;0,0,IFERROR((U$2*IFERROR(VLOOKUP(J49,Tabla11[],2,0),0))*($L49/SUM($L$5:$L$46)),0))</f>
        <v>5124.9555009545666</v>
      </c>
      <c r="V49" s="29">
        <f>IF($L49&lt;0,0,IFERROR((V$2*IFERROR(VLOOKUP(J49,Tabla11[],2,0),0))*($L49/SUM($L$5:$L$46)),0))</f>
        <v>26356.914004909195</v>
      </c>
      <c r="W49" s="29">
        <f>IF($L49&lt;0,0,IFERROR((W$2*IFERROR(VLOOKUP(J49,Tabla11[],2,0),0))*($L49/SUM($L$5:$L$46)),0))</f>
        <v>36606.825006818326</v>
      </c>
      <c r="X49" s="29">
        <f t="shared" si="17"/>
        <v>798450.99908925337</v>
      </c>
      <c r="Y49" s="29">
        <f>+X49*IFERROR(VLOOKUP(J49,Tabla11[],4,0),0)</f>
        <v>119767.649863388</v>
      </c>
      <c r="Z49" s="29">
        <f t="shared" si="18"/>
        <v>25833.333333333332</v>
      </c>
      <c r="AA49" s="29">
        <f t="shared" si="19"/>
        <v>683598.1189018751</v>
      </c>
      <c r="AB49" s="29">
        <f>IF($L49&lt;0,0,IFERROR((AB$2*IFERROR(VLOOKUP(J49,Tabla11[],2,0),0))*($L49/SUM($L$5:$L$46)),0))</f>
        <v>42040.587976830422</v>
      </c>
      <c r="AC49" s="29">
        <f>L49-L49*IFERROR(VLOOKUP(J49,Tabla11[],3,0),0)-Q49-T49-U49-V49-W49-L49*$X$2-(L49*$X$2)*IFERROR(VLOOKUP(J49,Tabla11[],4,0),0)-AB49-Z49</f>
        <v>298614.95747148682</v>
      </c>
      <c r="AD49" s="29">
        <f t="shared" si="20"/>
        <v>641557.53092504467</v>
      </c>
      <c r="AE49" s="29">
        <f t="shared" si="21"/>
        <v>342942.57345355803</v>
      </c>
    </row>
    <row r="50" spans="1:31" x14ac:dyDescent="0.3">
      <c r="A50" s="30" t="s">
        <v>299</v>
      </c>
      <c r="B50" s="30" t="s">
        <v>209</v>
      </c>
      <c r="C50" s="33">
        <v>1</v>
      </c>
      <c r="D50" s="30"/>
      <c r="E50" s="30" t="s">
        <v>209</v>
      </c>
      <c r="F50" s="33"/>
      <c r="G50" s="33">
        <v>3</v>
      </c>
      <c r="H50" s="33" t="s">
        <v>291</v>
      </c>
      <c r="I50" s="32" t="s">
        <v>327</v>
      </c>
      <c r="J50" s="33" t="s">
        <v>214</v>
      </c>
      <c r="K50" s="33" t="s">
        <v>21</v>
      </c>
      <c r="L50" s="29">
        <f>IFERROR(VLOOKUP(CONCATENATE(J50,K50),Ventas!D:H,4,0),0)</f>
        <v>1818867.0435137262</v>
      </c>
      <c r="M50" s="30">
        <f t="shared" si="0"/>
        <v>181886.70435137264</v>
      </c>
      <c r="N50" s="42">
        <f t="shared" si="15"/>
        <v>2000753.7478650988</v>
      </c>
      <c r="O50" s="30">
        <f>N50*IFERROR(VLOOKUP(J50,Tabla11[],3,0),0)</f>
        <v>700263.81175278453</v>
      </c>
      <c r="P50" s="30">
        <f t="shared" si="16"/>
        <v>1300489.9361123142</v>
      </c>
      <c r="Q50" s="29">
        <f>IFERROR(G50/SUMIF(I:I,I50,G:G),0)*VLOOKUP(H50,Modelos[],14,0)+IFERROR(G50/SUMIF(I:I,I50,G:G),0)*VLOOKUP(I50,Tabla13[],2,0)</f>
        <v>154942.83460477943</v>
      </c>
      <c r="R50" s="30">
        <f>IFERROR(VLOOKUP(A50,Modelos[],IF(B50="EST",15,14),0),0)*C50</f>
        <v>204526.80039749993</v>
      </c>
      <c r="S50" s="30">
        <f>IFERROR(VLOOKUP(D50,Modelos[],IF(E50="EST",15,14),0),0)*F50</f>
        <v>0</v>
      </c>
      <c r="T50" s="30">
        <f>IF($L50&lt;0,0,IFERROR((T$2*IFERROR(VLOOKUP(J50,Tabla11[],2,0),0))*($L50/SUM($L$5:$L$46)),0))</f>
        <v>17171.699427746873</v>
      </c>
      <c r="U50" s="30">
        <f>IF($L50&lt;0,0,IFERROR((U$2*IFERROR(VLOOKUP(J50,Tabla11[],2,0),0))*($L50/SUM($L$5:$L$46)),0))</f>
        <v>3338.9415553952258</v>
      </c>
      <c r="V50" s="30">
        <f>IF($L50&lt;0,0,IFERROR((V$2*IFERROR(VLOOKUP(J50,Tabla11[],2,0),0))*($L50/SUM($L$5:$L$46)),0))</f>
        <v>17171.699427746873</v>
      </c>
      <c r="W50" s="30">
        <f>IF($L50&lt;0,0,IFERROR((W$2*IFERROR(VLOOKUP(J50,Tabla11[],2,0),0))*($L50/SUM($L$5:$L$46)),0))</f>
        <v>23849.582538537325</v>
      </c>
      <c r="X50" s="30">
        <f t="shared" si="17"/>
        <v>520195.97444492573</v>
      </c>
      <c r="Y50" s="30">
        <f>+X50*IFERROR(VLOOKUP(J50,Tabla11[],4,0),0)</f>
        <v>78029.39616673885</v>
      </c>
      <c r="Z50" s="30">
        <f t="shared" si="18"/>
        <v>25833.333333333332</v>
      </c>
      <c r="AA50" s="30">
        <f t="shared" si="19"/>
        <v>255429.67421561072</v>
      </c>
      <c r="AB50" s="30">
        <f>IF($L50&lt;0,0,IFERROR((AB$2*IFERROR(VLOOKUP(J50,Tabla11[],2,0),0))*($L50/SUM($L$5:$L$46)),0))</f>
        <v>27389.71415126291</v>
      </c>
      <c r="AC50" s="30">
        <f>L50-L50*IFERROR(VLOOKUP(J50,Tabla11[],3,0),0)-Q50-T50-U50-V50-W50-L50*$X$2-(L50*$X$2)*IFERROR(VLOOKUP(J50,Tabla11[],4,0),0)-AB50-Z50</f>
        <v>75886.933228805967</v>
      </c>
      <c r="AD50" s="30">
        <f t="shared" si="20"/>
        <v>228039.9600643478</v>
      </c>
      <c r="AE50" s="30">
        <f t="shared" si="21"/>
        <v>152153.026835542</v>
      </c>
    </row>
    <row r="51" spans="1:31" x14ac:dyDescent="0.3">
      <c r="A51" s="29" t="s">
        <v>299</v>
      </c>
      <c r="B51" s="29" t="s">
        <v>209</v>
      </c>
      <c r="C51" s="32">
        <v>1</v>
      </c>
      <c r="D51" s="29"/>
      <c r="E51" s="29" t="s">
        <v>209</v>
      </c>
      <c r="F51" s="32"/>
      <c r="G51" s="32">
        <v>3</v>
      </c>
      <c r="H51" s="32" t="s">
        <v>292</v>
      </c>
      <c r="I51" s="32" t="s">
        <v>323</v>
      </c>
      <c r="J51" s="32" t="s">
        <v>214</v>
      </c>
      <c r="K51" s="32" t="s">
        <v>31</v>
      </c>
      <c r="L51" s="29">
        <f>IFERROR(VLOOKUP(CONCATENATE(J51,K51),Ventas!D:H,4,0),0)</f>
        <v>3194512.2824686486</v>
      </c>
      <c r="M51" s="29">
        <f t="shared" si="0"/>
        <v>319451.22824686486</v>
      </c>
      <c r="N51" s="41">
        <f t="shared" si="15"/>
        <v>3513963.5107155135</v>
      </c>
      <c r="O51" s="29">
        <f>N51*IFERROR(VLOOKUP(J51,Tabla11[],3,0),0)</f>
        <v>1229887.2287504296</v>
      </c>
      <c r="P51" s="29">
        <f t="shared" si="16"/>
        <v>2284076.2819650839</v>
      </c>
      <c r="Q51" s="29">
        <f>IFERROR(G51/SUMIF(I:I,I51,G:G),0)*VLOOKUP(H51,Modelos[],14,0)+IFERROR(G51/SUMIF(I:I,I51,G:G),0)*VLOOKUP(I51,Tabla13[],2,0)</f>
        <v>69504.987620192318</v>
      </c>
      <c r="R51" s="29">
        <f>IFERROR(VLOOKUP(A51,Modelos[],IF(B51="EST",15,14),0),0)*C51</f>
        <v>204526.80039749993</v>
      </c>
      <c r="S51" s="29">
        <f>IFERROR(VLOOKUP(D51,Modelos[],IF(E51="EST",15,14),0),0)*F51</f>
        <v>0</v>
      </c>
      <c r="T51" s="29">
        <f>IF($L51&lt;0,0,IFERROR((T$2*IFERROR(VLOOKUP(J51,Tabla11[],2,0),0))*($L51/SUM($L$5:$L$46)),0))</f>
        <v>30158.996463439566</v>
      </c>
      <c r="U51" s="29">
        <f>IF($L51&lt;0,0,IFERROR((U$2*IFERROR(VLOOKUP(J51,Tabla11[],2,0),0))*($L51/SUM($L$5:$L$46)),0))</f>
        <v>5864.2493123354725</v>
      </c>
      <c r="V51" s="29">
        <f>IF($L51&lt;0,0,IFERROR((V$2*IFERROR(VLOOKUP(J51,Tabla11[],2,0),0))*($L51/SUM($L$5:$L$46)),0))</f>
        <v>30158.996463439566</v>
      </c>
      <c r="W51" s="29">
        <f>IF($L51&lt;0,0,IFERROR((W$2*IFERROR(VLOOKUP(J51,Tabla11[],2,0),0))*($L51/SUM($L$5:$L$46)),0))</f>
        <v>41887.495088110511</v>
      </c>
      <c r="X51" s="29">
        <f t="shared" si="17"/>
        <v>913630.51278603356</v>
      </c>
      <c r="Y51" s="29">
        <f>+X51*IFERROR(VLOOKUP(J51,Tabla11[],4,0),0)</f>
        <v>137044.57691790504</v>
      </c>
      <c r="Z51" s="29">
        <f t="shared" si="18"/>
        <v>25833.333333333332</v>
      </c>
      <c r="AA51" s="29">
        <f t="shared" si="19"/>
        <v>825466.33358279476</v>
      </c>
      <c r="AB51" s="29">
        <f>IF($L51&lt;0,0,IFERROR((AB$2*IFERROR(VLOOKUP(J51,Tabla11[],2,0),0))*($L51/SUM($L$5:$L$46)),0))</f>
        <v>48105.098490589269</v>
      </c>
      <c r="AC51" s="29">
        <f>L51-L51*IFERROR(VLOOKUP(J51,Tabla11[],3,0),0)-Q51-T51-U51-V51-W51-L51*$X$2-(L51*$X$2)*IFERROR(VLOOKUP(J51,Tabla11[],4,0),0)-AB51-Z51</f>
        <v>355444.17689760315</v>
      </c>
      <c r="AD51" s="29">
        <f t="shared" si="20"/>
        <v>777361.23509220546</v>
      </c>
      <c r="AE51" s="29">
        <f t="shared" si="21"/>
        <v>421917.05819460202</v>
      </c>
    </row>
    <row r="52" spans="1:31" x14ac:dyDescent="0.3">
      <c r="A52" s="30"/>
      <c r="B52" s="30" t="s">
        <v>209</v>
      </c>
      <c r="C52" s="33"/>
      <c r="D52" s="30"/>
      <c r="E52" s="30" t="s">
        <v>209</v>
      </c>
      <c r="F52" s="33"/>
      <c r="G52" s="33">
        <v>3</v>
      </c>
      <c r="H52" s="33" t="s">
        <v>293</v>
      </c>
      <c r="I52" s="33" t="s">
        <v>322</v>
      </c>
      <c r="J52" s="33" t="s">
        <v>214</v>
      </c>
      <c r="K52" s="33" t="s">
        <v>27</v>
      </c>
      <c r="L52" s="29">
        <f>IFERROR(VLOOKUP(CONCATENATE(J52,K52),Ventas!D:H,4,0),0)</f>
        <v>2835397.7938877204</v>
      </c>
      <c r="M52" s="30">
        <f t="shared" si="0"/>
        <v>0</v>
      </c>
      <c r="N52" s="42">
        <f t="shared" si="15"/>
        <v>2835397.7938877204</v>
      </c>
      <c r="O52" s="30">
        <f>N52*IFERROR(VLOOKUP(J52,Tabla11[],3,0),0)</f>
        <v>992389.22786070209</v>
      </c>
      <c r="P52" s="30">
        <f t="shared" si="16"/>
        <v>1843008.5660270182</v>
      </c>
      <c r="Q52" s="29">
        <f>IFERROR(G52/SUMIF(I:I,I52,G:G),0)*VLOOKUP(H52,Modelos[],14,0)+IFERROR(G52/SUMIF(I:I,I52,G:G),0)*VLOOKUP(I52,Tabla13[],2,0)</f>
        <v>128242.75203125</v>
      </c>
      <c r="R52" s="30">
        <f>IFERROR(VLOOKUP(A52,Modelos[],IF(B52="EST",15,14),0),0)*C52</f>
        <v>0</v>
      </c>
      <c r="S52" s="30">
        <f>IFERROR(VLOOKUP(D52,Modelos[],IF(E52="EST",15,14),0),0)*F52</f>
        <v>0</v>
      </c>
      <c r="T52" s="30">
        <f>IF($L52&lt;0,0,IFERROR((T$2*IFERROR(VLOOKUP(J52,Tabla11[],2,0),0))*($L52/SUM($L$5:$L$46)),0))</f>
        <v>26768.640868152095</v>
      </c>
      <c r="U52" s="30">
        <f>IF($L52&lt;0,0,IFERROR((U$2*IFERROR(VLOOKUP(J52,Tabla11[],2,0),0))*($L52/SUM($L$5:$L$46)),0))</f>
        <v>5205.0135021406859</v>
      </c>
      <c r="V52" s="30">
        <f>IF($L52&lt;0,0,IFERROR((V$2*IFERROR(VLOOKUP(J52,Tabla11[],2,0),0))*($L52/SUM($L$5:$L$46)),0))</f>
        <v>26768.640868152095</v>
      </c>
      <c r="W52" s="30">
        <f>IF($L52&lt;0,0,IFERROR((W$2*IFERROR(VLOOKUP(J52,Tabla11[],2,0),0))*($L52/SUM($L$5:$L$46)),0))</f>
        <v>37178.667872433471</v>
      </c>
      <c r="X52" s="30">
        <f t="shared" si="17"/>
        <v>737203.4264108073</v>
      </c>
      <c r="Y52" s="30">
        <f>+X52*IFERROR(VLOOKUP(J52,Tabla11[],4,0),0)</f>
        <v>110580.51396162109</v>
      </c>
      <c r="Z52" s="30">
        <f t="shared" si="18"/>
        <v>25833.333333333332</v>
      </c>
      <c r="AA52" s="30">
        <f t="shared" si="19"/>
        <v>745227.5771791283</v>
      </c>
      <c r="AB52" s="30">
        <f>IF($L52&lt;0,0,IFERROR((AB$2*IFERROR(VLOOKUP(J52,Tabla11[],2,0),0))*($L52/SUM($L$5:$L$46)),0))</f>
        <v>42697.312789658034</v>
      </c>
      <c r="AC52" s="30">
        <f>L52-L52*IFERROR(VLOOKUP(J52,Tabla11[],3,0),0)-Q52-T52-U52-V52-W52-L52*$X$2-(L52*$X$2)*IFERROR(VLOOKUP(J52,Tabla11[],4,0),0)-AB52-Z52</f>
        <v>246031.21957354722</v>
      </c>
      <c r="AD52" s="30">
        <f t="shared" si="20"/>
        <v>702530.26438947022</v>
      </c>
      <c r="AE52" s="30">
        <f t="shared" si="21"/>
        <v>456499.04481592297</v>
      </c>
    </row>
    <row r="53" spans="1:31" x14ac:dyDescent="0.3">
      <c r="A53" s="29" t="s">
        <v>299</v>
      </c>
      <c r="B53" s="29" t="s">
        <v>209</v>
      </c>
      <c r="C53" s="32">
        <v>0.67</v>
      </c>
      <c r="D53" s="29"/>
      <c r="E53" s="29" t="s">
        <v>209</v>
      </c>
      <c r="F53" s="32"/>
      <c r="G53" s="32">
        <v>0</v>
      </c>
      <c r="H53" s="32" t="s">
        <v>291</v>
      </c>
      <c r="I53" s="32" t="s">
        <v>320</v>
      </c>
      <c r="J53" s="32" t="s">
        <v>214</v>
      </c>
      <c r="K53" s="32" t="s">
        <v>239</v>
      </c>
      <c r="L53" s="29">
        <f>IFERROR(VLOOKUP(CONCATENATE(J53,K53),Ventas!D:H,4,0),0)</f>
        <v>1776096.1239615695</v>
      </c>
      <c r="M53" s="29">
        <f t="shared" si="0"/>
        <v>177609.61239615697</v>
      </c>
      <c r="N53" s="41">
        <f t="shared" si="15"/>
        <v>1953705.7363577264</v>
      </c>
      <c r="O53" s="29">
        <f>N53*IFERROR(VLOOKUP(J53,Tabla11[],3,0),0)</f>
        <v>683797.00772520422</v>
      </c>
      <c r="P53" s="29">
        <f t="shared" si="16"/>
        <v>1269908.7286325223</v>
      </c>
      <c r="Q53" s="29">
        <f>IFERROR(G53/SUMIF(I:I,I53,G:G),0)*VLOOKUP(H53,Modelos[],14,0)+IFERROR(G53/SUMIF(I:I,I53,G:G),0)*VLOOKUP(I53,Tabla13[],2,0)</f>
        <v>0</v>
      </c>
      <c r="R53" s="29">
        <f>IFERROR(VLOOKUP(A53,Modelos[],IF(B53="EST",15,14),0),0)*C53</f>
        <v>137032.95626632497</v>
      </c>
      <c r="S53" s="29">
        <f>IFERROR(VLOOKUP(D53,Modelos[],IF(E53="EST",15,14),0),0)*F53</f>
        <v>0</v>
      </c>
      <c r="T53" s="29">
        <f>IF($L53&lt;0,0,IFERROR((T$2*IFERROR(VLOOKUP(J53,Tabla11[],2,0),0))*($L53/SUM($L$5:$L$46)),0))</f>
        <v>16767.90445140866</v>
      </c>
      <c r="U53" s="29">
        <f>IF($L53&lt;0,0,IFERROR((U$2*IFERROR(VLOOKUP(J53,Tabla11[],2,0),0))*($L53/SUM($L$5:$L$46)),0))</f>
        <v>3260.4258655516846</v>
      </c>
      <c r="V53" s="29">
        <f>IF($L53&lt;0,0,IFERROR((V$2*IFERROR(VLOOKUP(J53,Tabla11[],2,0),0))*($L53/SUM($L$5:$L$46)),0))</f>
        <v>16767.90445140866</v>
      </c>
      <c r="W53" s="29">
        <f>IF($L53&lt;0,0,IFERROR((W$2*IFERROR(VLOOKUP(J53,Tabla11[],2,0),0))*($L53/SUM($L$5:$L$46)),0))</f>
        <v>23288.756182512028</v>
      </c>
      <c r="X53" s="29">
        <f t="shared" si="17"/>
        <v>507963.49145300896</v>
      </c>
      <c r="Y53" s="29">
        <f>+X53*IFERROR(VLOOKUP(J53,Tabla11[],4,0),0)</f>
        <v>76194.523717951335</v>
      </c>
      <c r="Z53" s="29">
        <f t="shared" si="18"/>
        <v>25833.333333333332</v>
      </c>
      <c r="AA53" s="29">
        <f t="shared" si="19"/>
        <v>462799.43291102257</v>
      </c>
      <c r="AB53" s="29">
        <f>IF($L53&lt;0,0,IFERROR((AB$2*IFERROR(VLOOKUP(J53,Tabla11[],2,0),0))*($L53/SUM($L$5:$L$46)),0))</f>
        <v>26745.641092323349</v>
      </c>
      <c r="AC53" s="29">
        <f>L53-L53*IFERROR(VLOOKUP(J53,Tabla11[],3,0),0)-Q53-T53-U53-V53-W53-L53*$X$2-(L53*$X$2)*IFERROR(VLOOKUP(J53,Tabla11[],4,0),0)-AB53-Z53</f>
        <v>224794.2981761604</v>
      </c>
      <c r="AD53" s="29">
        <f t="shared" si="20"/>
        <v>436053.79181869922</v>
      </c>
      <c r="AE53" s="29">
        <f t="shared" si="21"/>
        <v>211259.49364253899</v>
      </c>
    </row>
    <row r="54" spans="1:31" x14ac:dyDescent="0.3">
      <c r="A54" s="30" t="s">
        <v>298</v>
      </c>
      <c r="B54" s="30" t="s">
        <v>209</v>
      </c>
      <c r="C54" s="33">
        <v>1</v>
      </c>
      <c r="D54" s="30"/>
      <c r="E54" s="30" t="s">
        <v>209</v>
      </c>
      <c r="F54" s="33"/>
      <c r="G54" s="33">
        <v>0</v>
      </c>
      <c r="H54" s="33" t="s">
        <v>291</v>
      </c>
      <c r="I54" s="33" t="s">
        <v>243</v>
      </c>
      <c r="J54" s="33" t="s">
        <v>214</v>
      </c>
      <c r="K54" s="33" t="s">
        <v>240</v>
      </c>
      <c r="L54" s="29">
        <f>IFERROR(VLOOKUP(CONCATENATE(J54,K54),Ventas!D:H,4,0),0)</f>
        <v>604188.7356498536</v>
      </c>
      <c r="M54" s="30">
        <f t="shared" si="0"/>
        <v>60418.873564985362</v>
      </c>
      <c r="N54" s="42">
        <f t="shared" si="15"/>
        <v>664607.60921483894</v>
      </c>
      <c r="O54" s="30">
        <f>N54*IFERROR(VLOOKUP(J54,Tabla11[],3,0),0)</f>
        <v>232612.66322519362</v>
      </c>
      <c r="P54" s="30">
        <f t="shared" si="16"/>
        <v>431994.94598964532</v>
      </c>
      <c r="Q54" s="29">
        <f>IFERROR(G54/SUMIF(I:I,I54,G:G),0)*VLOOKUP(H54,Modelos[],14,0)+IFERROR(G54/SUMIF(I:I,I54,G:G),0)*VLOOKUP(I54,Tabla13[],2,0)</f>
        <v>0</v>
      </c>
      <c r="R54" s="30">
        <f>IFERROR(VLOOKUP(A54,Modelos[],IF(B54="EST",15,14),0),0)*C54</f>
        <v>154393.46562500001</v>
      </c>
      <c r="S54" s="30">
        <f>IFERROR(VLOOKUP(D54,Modelos[],IF(E54="EST",15,14),0),0)*F54</f>
        <v>0</v>
      </c>
      <c r="T54" s="30">
        <f>IF($L54&lt;0,0,IFERROR((T$2*IFERROR(VLOOKUP(J54,Tabla11[],2,0),0))*($L54/SUM($L$5:$L$46)),0))</f>
        <v>5704.0713356195365</v>
      </c>
      <c r="U54" s="30">
        <f>IF($L54&lt;0,0,IFERROR((U$2*IFERROR(VLOOKUP(J54,Tabla11[],2,0),0))*($L54/SUM($L$5:$L$46)),0))</f>
        <v>1109.1249819260211</v>
      </c>
      <c r="V54" s="30">
        <f>IF($L54&lt;0,0,IFERROR((V$2*IFERROR(VLOOKUP(J54,Tabla11[],2,0),0))*($L54/SUM($L$5:$L$46)),0))</f>
        <v>5704.0713356195365</v>
      </c>
      <c r="W54" s="30">
        <f>IF($L54&lt;0,0,IFERROR((W$2*IFERROR(VLOOKUP(J54,Tabla11[],2,0),0))*($L54/SUM($L$5:$L$46)),0))</f>
        <v>7922.3212994715786</v>
      </c>
      <c r="X54" s="30">
        <f t="shared" si="17"/>
        <v>172797.97839585814</v>
      </c>
      <c r="Y54" s="30">
        <f>+X54*IFERROR(VLOOKUP(J54,Tabla11[],4,0),0)</f>
        <v>25919.696759378719</v>
      </c>
      <c r="Z54" s="30">
        <f t="shared" si="18"/>
        <v>25833.333333333332</v>
      </c>
      <c r="AA54" s="30">
        <f t="shared" si="19"/>
        <v>32610.882923438447</v>
      </c>
      <c r="AB54" s="30">
        <f>IF($L54&lt;0,0,IFERROR((AB$2*IFERROR(VLOOKUP(J54,Tabla11[],2,0),0))*($L54/SUM($L$5:$L$46)),0))</f>
        <v>9098.2773160228262</v>
      </c>
      <c r="AC54" s="30">
        <f>L54-L54*IFERROR(VLOOKUP(J54,Tabla11[],3,0),0)-Q54-T54-U54-V54-W54-L54*$X$2-(L54*$X$2)*IFERROR(VLOOKUP(J54,Tabla11[],4,0),0)-AB54-Z54</f>
        <v>59424.660171479365</v>
      </c>
      <c r="AD54" s="30">
        <f t="shared" si="20"/>
        <v>23512.605607415622</v>
      </c>
      <c r="AE54" s="30">
        <f t="shared" si="21"/>
        <v>-35912.054564063998</v>
      </c>
    </row>
    <row r="55" spans="1:31" x14ac:dyDescent="0.3">
      <c r="A55" s="29"/>
      <c r="B55" s="29" t="s">
        <v>209</v>
      </c>
      <c r="C55" s="32"/>
      <c r="D55" s="29"/>
      <c r="E55" s="29" t="s">
        <v>209</v>
      </c>
      <c r="F55" s="32"/>
      <c r="G55" s="32">
        <v>3</v>
      </c>
      <c r="H55" s="32" t="s">
        <v>292</v>
      </c>
      <c r="I55" s="32" t="s">
        <v>323</v>
      </c>
      <c r="J55" s="32" t="s">
        <v>214</v>
      </c>
      <c r="K55" s="32" t="s">
        <v>241</v>
      </c>
      <c r="L55" s="29">
        <f>IFERROR(VLOOKUP(CONCATENATE(J55,K55),Ventas!D:H,4,0),0)</f>
        <v>2826371.7585687586</v>
      </c>
      <c r="M55" s="29">
        <f t="shared" si="0"/>
        <v>0</v>
      </c>
      <c r="N55" s="41">
        <f t="shared" si="15"/>
        <v>2826371.7585687586</v>
      </c>
      <c r="O55" s="29">
        <f>N55*IFERROR(VLOOKUP(J55,Tabla11[],3,0),0)</f>
        <v>989230.11549906549</v>
      </c>
      <c r="P55" s="29">
        <f t="shared" si="16"/>
        <v>1837141.6430696931</v>
      </c>
      <c r="Q55" s="29">
        <f>IFERROR(G55/SUMIF(I:I,I55,G:G),0)*VLOOKUP(H55,Modelos[],14,0)+IFERROR(G55/SUMIF(I:I,I55,G:G),0)*VLOOKUP(I55,Tabla13[],2,0)</f>
        <v>69504.987620192318</v>
      </c>
      <c r="R55" s="29">
        <f>IFERROR(VLOOKUP(A55,Modelos[],IF(B55="EST",15,14),0),0)*C55</f>
        <v>0</v>
      </c>
      <c r="S55" s="29">
        <f>IFERROR(VLOOKUP(D55,Modelos[],IF(E55="EST",15,14),0),0)*F55</f>
        <v>0</v>
      </c>
      <c r="T55" s="29">
        <f>IF($L55&lt;0,0,IFERROR((T$2*IFERROR(VLOOKUP(J55,Tabla11[],2,0),0))*($L55/SUM($L$5:$L$46)),0))</f>
        <v>26683.427181932337</v>
      </c>
      <c r="U55" s="29">
        <f>IF($L55&lt;0,0,IFERROR((U$2*IFERROR(VLOOKUP(J55,Tabla11[],2,0),0))*($L55/SUM($L$5:$L$46)),0))</f>
        <v>5188.4441742646222</v>
      </c>
      <c r="V55" s="29">
        <f>IF($L55&lt;0,0,IFERROR((V$2*IFERROR(VLOOKUP(J55,Tabla11[],2,0),0))*($L55/SUM($L$5:$L$46)),0))</f>
        <v>26683.427181932337</v>
      </c>
      <c r="W55" s="29">
        <f>IF($L55&lt;0,0,IFERROR((W$2*IFERROR(VLOOKUP(J55,Tabla11[],2,0),0))*($L55/SUM($L$5:$L$46)),0))</f>
        <v>37060.315530461579</v>
      </c>
      <c r="X55" s="29">
        <f t="shared" si="17"/>
        <v>734856.65722787729</v>
      </c>
      <c r="Y55" s="29">
        <f>+X55*IFERROR(VLOOKUP(J55,Tabla11[],4,0),0)</f>
        <v>110228.49858418159</v>
      </c>
      <c r="Z55" s="29">
        <f t="shared" si="18"/>
        <v>25833.333333333332</v>
      </c>
      <c r="AA55" s="29">
        <f t="shared" si="19"/>
        <v>801102.55223551777</v>
      </c>
      <c r="AB55" s="29">
        <f>IF($L55&lt;0,0,IFERROR((AB$2*IFERROR(VLOOKUP(J55,Tabla11[],2,0),0))*($L55/SUM($L$5:$L$46)),0))</f>
        <v>42561.392724369492</v>
      </c>
      <c r="AC55" s="29">
        <f>L55-L55*IFERROR(VLOOKUP(J55,Tabla11[],3,0),0)-Q55-T55-U55-V55-W55-L55*$X$2-(L55*$X$2)*IFERROR(VLOOKUP(J55,Tabla11[],4,0),0)-AB55-Z55</f>
        <v>303495.30638157809</v>
      </c>
      <c r="AD55" s="29">
        <f t="shared" si="20"/>
        <v>758541.15951114823</v>
      </c>
      <c r="AE55" s="29">
        <f t="shared" si="21"/>
        <v>455045.85312957002</v>
      </c>
    </row>
    <row r="56" spans="1:31" x14ac:dyDescent="0.3">
      <c r="A56" s="30" t="s">
        <v>298</v>
      </c>
      <c r="B56" s="30" t="s">
        <v>209</v>
      </c>
      <c r="C56" s="33">
        <v>1</v>
      </c>
      <c r="D56" s="30"/>
      <c r="E56" s="30" t="s">
        <v>209</v>
      </c>
      <c r="F56" s="33"/>
      <c r="G56" s="33">
        <v>3</v>
      </c>
      <c r="H56" s="33" t="s">
        <v>293</v>
      </c>
      <c r="I56" s="33" t="s">
        <v>176</v>
      </c>
      <c r="J56" s="33" t="s">
        <v>214</v>
      </c>
      <c r="K56" s="33" t="s">
        <v>176</v>
      </c>
      <c r="L56" s="29">
        <f>IFERROR(VLOOKUP(CONCATENATE(J56,K56),Ventas!D:H,4,0),0)</f>
        <v>3326239.4432772994</v>
      </c>
      <c r="M56" s="30">
        <f t="shared" si="0"/>
        <v>332623.94432772999</v>
      </c>
      <c r="N56" s="42">
        <f t="shared" si="15"/>
        <v>3658863.3876050292</v>
      </c>
      <c r="O56" s="30">
        <f>N56*IFERROR(VLOOKUP(J56,Tabla11[],3,0),0)</f>
        <v>1280602.1856617602</v>
      </c>
      <c r="P56" s="30">
        <f t="shared" si="16"/>
        <v>2378261.201943269</v>
      </c>
      <c r="Q56" s="29">
        <f>IFERROR(G56/SUMIF(I:I,I56,G:G),0)*VLOOKUP(H56,Modelos[],14,0)+IFERROR(G56/SUMIF(I:I,I56,G:G),0)*VLOOKUP(I56,Tabla13[],2,0)</f>
        <v>121576.08536458333</v>
      </c>
      <c r="R56" s="30">
        <f>IFERROR(VLOOKUP(A56,Modelos[],IF(B56="EST",15,14),0),0)*C56</f>
        <v>154393.46562500001</v>
      </c>
      <c r="S56" s="30">
        <f>IFERROR(VLOOKUP(D56,Modelos[],IF(E56="EST",15,14),0),0)*F56</f>
        <v>0</v>
      </c>
      <c r="T56" s="30">
        <f>IF($L56&lt;0,0,IFERROR((T$2*IFERROR(VLOOKUP(J56,Tabla11[],2,0),0))*($L56/SUM($L$5:$L$46)),0))</f>
        <v>31402.616342057459</v>
      </c>
      <c r="U56" s="30">
        <f>IF($L56&lt;0,0,IFERROR((U$2*IFERROR(VLOOKUP(J56,Tabla11[],2,0),0))*($L56/SUM($L$5:$L$46)),0))</f>
        <v>6106.0642887333961</v>
      </c>
      <c r="V56" s="30">
        <f>IF($L56&lt;0,0,IFERROR((V$2*IFERROR(VLOOKUP(J56,Tabla11[],2,0),0))*($L56/SUM($L$5:$L$46)),0))</f>
        <v>31402.616342057459</v>
      </c>
      <c r="W56" s="30">
        <f>IF($L56&lt;0,0,IFERROR((W$2*IFERROR(VLOOKUP(J56,Tabla11[],2,0),0))*($L56/SUM($L$5:$L$46)),0))</f>
        <v>43614.744919524252</v>
      </c>
      <c r="X56" s="30">
        <f t="shared" si="17"/>
        <v>951304.48077730765</v>
      </c>
      <c r="Y56" s="30">
        <f>+X56*IFERROR(VLOOKUP(J56,Tabla11[],4,0),0)</f>
        <v>142695.67211659614</v>
      </c>
      <c r="Z56" s="30">
        <f t="shared" si="18"/>
        <v>25833.333333333332</v>
      </c>
      <c r="AA56" s="30">
        <f t="shared" si="19"/>
        <v>869932.12283407594</v>
      </c>
      <c r="AB56" s="30">
        <f>IF($L56&lt;0,0,IFERROR((AB$2*IFERROR(VLOOKUP(J56,Tabla11[],2,0),0))*($L56/SUM($L$5:$L$46)),0))</f>
        <v>50088.734014347203</v>
      </c>
      <c r="AC56" s="30">
        <f>L56-L56*IFERROR(VLOOKUP(J56,Tabla11[],3,0),0)-Q56-T56-U56-V56-W56-L56*$X$2-(L56*$X$2)*IFERROR(VLOOKUP(J56,Tabla11[],4,0),0)-AB56-Z56</f>
        <v>321961.2996180504</v>
      </c>
      <c r="AD56" s="30">
        <f t="shared" si="20"/>
        <v>819843.38881972875</v>
      </c>
      <c r="AE56" s="30">
        <f t="shared" si="21"/>
        <v>497882.089201678</v>
      </c>
    </row>
    <row r="57" spans="1:31" x14ac:dyDescent="0.3">
      <c r="A57" s="29" t="s">
        <v>299</v>
      </c>
      <c r="B57" s="29" t="s">
        <v>209</v>
      </c>
      <c r="C57" s="32">
        <v>1</v>
      </c>
      <c r="D57" s="29"/>
      <c r="E57" s="29" t="s">
        <v>209</v>
      </c>
      <c r="F57" s="32"/>
      <c r="G57" s="32">
        <v>3</v>
      </c>
      <c r="H57" s="32" t="s">
        <v>291</v>
      </c>
      <c r="I57" s="32" t="s">
        <v>320</v>
      </c>
      <c r="J57" s="32" t="s">
        <v>214</v>
      </c>
      <c r="K57" s="32" t="s">
        <v>242</v>
      </c>
      <c r="L57" s="29">
        <f>IFERROR(VLOOKUP(CONCATENATE(J57,K57),Ventas!D:H,4,0),0)</f>
        <v>1697412.3328837568</v>
      </c>
      <c r="M57" s="29">
        <f t="shared" si="0"/>
        <v>169741.23328837569</v>
      </c>
      <c r="N57" s="41">
        <f t="shared" si="15"/>
        <v>1867153.5661721325</v>
      </c>
      <c r="O57" s="29">
        <f>N57*IFERROR(VLOOKUP(J57,Tabla11[],3,0),0)</f>
        <v>653503.74816024629</v>
      </c>
      <c r="P57" s="29">
        <f t="shared" si="16"/>
        <v>1213649.8180118862</v>
      </c>
      <c r="Q57" s="29">
        <f>IFERROR(G57/SUMIF(I:I,I57,G:G),0)*VLOOKUP(H57,Modelos[],14,0)+IFERROR(G57/SUMIF(I:I,I57,G:G),0)*VLOOKUP(I57,Tabla13[],2,0)</f>
        <v>106001.17451171877</v>
      </c>
      <c r="R57" s="29">
        <f>IFERROR(VLOOKUP(A57,Modelos[],IF(B57="EST",15,14),0),0)*C57</f>
        <v>204526.80039749993</v>
      </c>
      <c r="S57" s="29">
        <f>IFERROR(VLOOKUP(D57,Modelos[],IF(E57="EST",15,14),0),0)*F57</f>
        <v>0</v>
      </c>
      <c r="T57" s="29">
        <f>IF($L57&lt;0,0,IFERROR((T$2*IFERROR(VLOOKUP(J57,Tabla11[],2,0),0))*($L57/SUM($L$5:$L$46)),0))</f>
        <v>16025.060484312704</v>
      </c>
      <c r="U57" s="29">
        <f>IF($L57&lt;0,0,IFERROR((U$2*IFERROR(VLOOKUP(J57,Tabla11[],2,0),0))*($L57/SUM($L$5:$L$46)),0))</f>
        <v>3115.9839830608039</v>
      </c>
      <c r="V57" s="29">
        <f>IF($L57&lt;0,0,IFERROR((V$2*IFERROR(VLOOKUP(J57,Tabla11[],2,0),0))*($L57/SUM($L$5:$L$46)),0))</f>
        <v>16025.060484312704</v>
      </c>
      <c r="W57" s="29">
        <f>IF($L57&lt;0,0,IFERROR((W$2*IFERROR(VLOOKUP(J57,Tabla11[],2,0),0))*($L57/SUM($L$5:$L$46)),0))</f>
        <v>22257.028450434311</v>
      </c>
      <c r="X57" s="29">
        <f t="shared" si="17"/>
        <v>485459.92720475449</v>
      </c>
      <c r="Y57" s="29">
        <f>+X57*IFERROR(VLOOKUP(J57,Tabla11[],4,0),0)</f>
        <v>72818.989080713174</v>
      </c>
      <c r="Z57" s="29">
        <f t="shared" si="18"/>
        <v>25833.333333333332</v>
      </c>
      <c r="AA57" s="29">
        <f t="shared" si="19"/>
        <v>261586.46008174599</v>
      </c>
      <c r="AB57" s="29">
        <f>IF($L57&lt;0,0,IFERROR((AB$2*IFERROR(VLOOKUP(J57,Tabla11[],2,0),0))*($L57/SUM($L$5:$L$46)),0))</f>
        <v>25560.768039812781</v>
      </c>
      <c r="AC57" s="29">
        <f>L57-L57*IFERROR(VLOOKUP(J57,Tabla11[],3,0),0)-Q57-T57-U57-V57-W57-L57*$X$2-(L57*$X$2)*IFERROR(VLOOKUP(J57,Tabla11[],4,0),0)-AB57-Z57</f>
        <v>107689.93396092842</v>
      </c>
      <c r="AD57" s="29">
        <f t="shared" si="20"/>
        <v>236025.69204193322</v>
      </c>
      <c r="AE57" s="29">
        <f t="shared" si="21"/>
        <v>128335.758081005</v>
      </c>
    </row>
    <row r="58" spans="1:31" x14ac:dyDescent="0.3">
      <c r="A58" s="30" t="s">
        <v>298</v>
      </c>
      <c r="B58" s="30" t="s">
        <v>209</v>
      </c>
      <c r="C58" s="33">
        <v>1</v>
      </c>
      <c r="D58" s="30"/>
      <c r="E58" s="30" t="s">
        <v>209</v>
      </c>
      <c r="F58" s="33"/>
      <c r="G58" s="33">
        <v>2</v>
      </c>
      <c r="H58" s="33" t="s">
        <v>291</v>
      </c>
      <c r="I58" s="33" t="s">
        <v>320</v>
      </c>
      <c r="J58" s="33" t="s">
        <v>214</v>
      </c>
      <c r="K58" s="33" t="s">
        <v>23</v>
      </c>
      <c r="L58" s="29">
        <f>IFERROR(VLOOKUP(CONCATENATE(J58,K58),Ventas!D:H,4,0),0)</f>
        <v>1498375.6081667484</v>
      </c>
      <c r="M58" s="30">
        <f t="shared" si="0"/>
        <v>149837.56081667484</v>
      </c>
      <c r="N58" s="42">
        <f t="shared" si="15"/>
        <v>1648213.1689834232</v>
      </c>
      <c r="O58" s="30">
        <f>N58*IFERROR(VLOOKUP(J58,Tabla11[],3,0),0)</f>
        <v>576874.60914419801</v>
      </c>
      <c r="P58" s="30">
        <f t="shared" si="16"/>
        <v>1071338.5598392251</v>
      </c>
      <c r="Q58" s="29">
        <f>IFERROR(G58/SUMIF(I:I,I58,G:G),0)*VLOOKUP(H58,Modelos[],14,0)+IFERROR(G58/SUMIF(I:I,I58,G:G),0)*VLOOKUP(I58,Tabla13[],2,0)</f>
        <v>70667.449674479169</v>
      </c>
      <c r="R58" s="30">
        <f>IFERROR(VLOOKUP(A58,Modelos[],IF(B58="EST",15,14),0),0)*C58</f>
        <v>154393.46562500001</v>
      </c>
      <c r="S58" s="30">
        <f>IFERROR(VLOOKUP(D58,Modelos[],IF(E58="EST",15,14),0),0)*F58</f>
        <v>0</v>
      </c>
      <c r="T58" s="30">
        <f>IF($L58&lt;0,0,IFERROR((T$2*IFERROR(VLOOKUP(J58,Tabla11[],2,0),0))*($L58/SUM($L$5:$L$46)),0))</f>
        <v>14145.979314464748</v>
      </c>
      <c r="U58" s="30">
        <f>IF($L58&lt;0,0,IFERROR((U$2*IFERROR(VLOOKUP(J58,Tabla11[],2,0),0))*($L58/SUM($L$5:$L$46)),0))</f>
        <v>2750.6070889237012</v>
      </c>
      <c r="V58" s="30">
        <f>IF($L58&lt;0,0,IFERROR((V$2*IFERROR(VLOOKUP(J58,Tabla11[],2,0),0))*($L58/SUM($L$5:$L$46)),0))</f>
        <v>14145.979314464748</v>
      </c>
      <c r="W58" s="30">
        <f>IF($L58&lt;0,0,IFERROR((W$2*IFERROR(VLOOKUP(J58,Tabla11[],2,0),0))*($L58/SUM($L$5:$L$46)),0))</f>
        <v>19647.193492312152</v>
      </c>
      <c r="X58" s="30">
        <f t="shared" si="17"/>
        <v>428535.42393569008</v>
      </c>
      <c r="Y58" s="30">
        <f>+X58*IFERROR(VLOOKUP(J58,Tabla11[],4,0),0)</f>
        <v>64280.313590353508</v>
      </c>
      <c r="Z58" s="30">
        <f t="shared" si="18"/>
        <v>25833.333333333332</v>
      </c>
      <c r="AA58" s="30">
        <f t="shared" si="19"/>
        <v>276938.81447020371</v>
      </c>
      <c r="AB58" s="30">
        <f>IF($L58&lt;0,0,IFERROR((AB$2*IFERROR(VLOOKUP(J58,Tabla11[],2,0),0))*($L58/SUM($L$5:$L$46)),0))</f>
        <v>22563.540169285738</v>
      </c>
      <c r="AC58" s="30">
        <f>L58-L58*IFERROR(VLOOKUP(J58,Tabla11[],3,0),0)-Q58-T58-U58-V58-W58-L58*$X$2-(L58*$X$2)*IFERROR(VLOOKUP(J58,Tabla11[],4,0),0)-AB58-Z58</f>
        <v>114937.28316441875</v>
      </c>
      <c r="AD58" s="30">
        <f t="shared" si="20"/>
        <v>254375.27430091798</v>
      </c>
      <c r="AE58" s="30">
        <f t="shared" si="21"/>
        <v>139437.99113649901</v>
      </c>
    </row>
    <row r="59" spans="1:31" x14ac:dyDescent="0.3">
      <c r="A59" s="29" t="s">
        <v>299</v>
      </c>
      <c r="B59" s="29" t="s">
        <v>209</v>
      </c>
      <c r="C59" s="32">
        <v>1</v>
      </c>
      <c r="D59" s="29"/>
      <c r="E59" s="29" t="s">
        <v>209</v>
      </c>
      <c r="F59" s="32"/>
      <c r="G59" s="32">
        <v>0</v>
      </c>
      <c r="H59" s="32" t="s">
        <v>291</v>
      </c>
      <c r="I59" s="32" t="s">
        <v>243</v>
      </c>
      <c r="J59" s="32" t="s">
        <v>214</v>
      </c>
      <c r="K59" s="32" t="s">
        <v>243</v>
      </c>
      <c r="L59" s="29">
        <f>IFERROR(VLOOKUP(CONCATENATE(J59,K59),Ventas!D:H,4,0),0)</f>
        <v>1811710.2352989099</v>
      </c>
      <c r="M59" s="29">
        <f t="shared" si="0"/>
        <v>181171.02352989101</v>
      </c>
      <c r="N59" s="41">
        <f t="shared" si="15"/>
        <v>1992881.2588288009</v>
      </c>
      <c r="O59" s="29">
        <f>N59*IFERROR(VLOOKUP(J59,Tabla11[],3,0),0)</f>
        <v>697508.44059008022</v>
      </c>
      <c r="P59" s="29">
        <f t="shared" si="16"/>
        <v>1295372.8182387208</v>
      </c>
      <c r="Q59" s="29">
        <f>IFERROR(G59/SUMIF(I:I,I59,G:G),0)*VLOOKUP(H59,Modelos[],14,0)+IFERROR(G59/SUMIF(I:I,I59,G:G),0)*VLOOKUP(I59,Tabla13[],2,0)</f>
        <v>0</v>
      </c>
      <c r="R59" s="29">
        <f>IFERROR(VLOOKUP(A59,Modelos[],IF(B59="EST",15,14),0),0)*C59</f>
        <v>204526.80039749993</v>
      </c>
      <c r="S59" s="29">
        <f>IFERROR(VLOOKUP(D59,Modelos[],IF(E59="EST",15,14),0),0)*F59</f>
        <v>0</v>
      </c>
      <c r="T59" s="29">
        <f>IF($L59&lt;0,0,IFERROR((T$2*IFERROR(VLOOKUP(J59,Tabla11[],2,0),0))*($L59/SUM($L$5:$L$46)),0))</f>
        <v>17104.132884076123</v>
      </c>
      <c r="U59" s="29">
        <f>IF($L59&lt;0,0,IFERROR((U$2*IFERROR(VLOOKUP(J59,Tabla11[],2,0),0))*($L59/SUM($L$5:$L$46)),0))</f>
        <v>3325.8036163481356</v>
      </c>
      <c r="V59" s="29">
        <f>IF($L59&lt;0,0,IFERROR((V$2*IFERROR(VLOOKUP(J59,Tabla11[],2,0),0))*($L59/SUM($L$5:$L$46)),0))</f>
        <v>17104.132884076123</v>
      </c>
      <c r="W59" s="29">
        <f>IF($L59&lt;0,0,IFERROR((W$2*IFERROR(VLOOKUP(J59,Tabla11[],2,0),0))*($L59/SUM($L$5:$L$46)),0))</f>
        <v>23755.740116772395</v>
      </c>
      <c r="X59" s="29">
        <f t="shared" si="17"/>
        <v>518149.12729548832</v>
      </c>
      <c r="Y59" s="29">
        <f>+X59*IFERROR(VLOOKUP(J59,Tabla11[],4,0),0)</f>
        <v>77722.36909432325</v>
      </c>
      <c r="Z59" s="29">
        <f t="shared" si="18"/>
        <v>25833.333333333332</v>
      </c>
      <c r="AA59" s="29">
        <f t="shared" si="19"/>
        <v>407851.37861680309</v>
      </c>
      <c r="AB59" s="29">
        <f>IF($L59&lt;0,0,IFERROR((AB$2*IFERROR(VLOOKUP(J59,Tabla11[],2,0),0))*($L59/SUM($L$5:$L$46)),0))</f>
        <v>27281.942155537181</v>
      </c>
      <c r="AC59" s="29">
        <f>L59-L59*IFERROR(VLOOKUP(J59,Tabla11[],3,0),0)-Q59-T59-U59-V59-W59-L59*$X$2-(L59*$X$2)*IFERROR(VLOOKUP(J59,Tabla11[],4,0),0)-AB59-Z59</f>
        <v>229819.85971664943</v>
      </c>
      <c r="AD59" s="29">
        <f t="shared" si="20"/>
        <v>380569.4364612659</v>
      </c>
      <c r="AE59" s="29">
        <f t="shared" si="21"/>
        <v>150749.576744616</v>
      </c>
    </row>
    <row r="60" spans="1:31" x14ac:dyDescent="0.3">
      <c r="A60" s="30" t="s">
        <v>299</v>
      </c>
      <c r="B60" s="30" t="s">
        <v>209</v>
      </c>
      <c r="C60" s="33">
        <v>1</v>
      </c>
      <c r="D60" s="30"/>
      <c r="E60" s="30" t="s">
        <v>209</v>
      </c>
      <c r="F60" s="33"/>
      <c r="G60" s="33">
        <v>3</v>
      </c>
      <c r="H60" s="33" t="s">
        <v>293</v>
      </c>
      <c r="I60" s="33" t="s">
        <v>6</v>
      </c>
      <c r="J60" s="33" t="s">
        <v>214</v>
      </c>
      <c r="K60" s="33" t="s">
        <v>6</v>
      </c>
      <c r="L60" s="29">
        <f>IFERROR(VLOOKUP(CONCATENATE(J60,K60),Ventas!D:H,4,0),0)</f>
        <v>2263023.856810037</v>
      </c>
      <c r="M60" s="30">
        <f t="shared" si="0"/>
        <v>226302.38568100371</v>
      </c>
      <c r="N60" s="42">
        <f t="shared" si="15"/>
        <v>2489326.2424910408</v>
      </c>
      <c r="O60" s="30">
        <f>N60*IFERROR(VLOOKUP(J60,Tabla11[],3,0),0)</f>
        <v>871264.18487186427</v>
      </c>
      <c r="P60" s="30">
        <f t="shared" si="16"/>
        <v>1618062.0576191766</v>
      </c>
      <c r="Q60" s="29">
        <f>IFERROR(G60/SUMIF(I:I,I60,G:G),0)*VLOOKUP(H60,Modelos[],14,0)+IFERROR(G60/SUMIF(I:I,I60,G:G),0)*VLOOKUP(I60,Tabla13[],2,0)</f>
        <v>121576.08536458333</v>
      </c>
      <c r="R60" s="30">
        <f>IFERROR(VLOOKUP(A60,Modelos[],IF(B60="EST",15,14),0),0)*C60</f>
        <v>204526.80039749993</v>
      </c>
      <c r="S60" s="30">
        <f>IFERROR(VLOOKUP(D60,Modelos[],IF(E60="EST",15,14),0),0)*F60</f>
        <v>0</v>
      </c>
      <c r="T60" s="30">
        <f>IF($L60&lt;0,0,IFERROR((T$2*IFERROR(VLOOKUP(J60,Tabla11[],2,0),0))*($L60/SUM($L$5:$L$46)),0))</f>
        <v>21364.929121972498</v>
      </c>
      <c r="U60" s="30">
        <f>IF($L60&lt;0,0,IFERROR((U$2*IFERROR(VLOOKUP(J60,Tabla11[],2,0),0))*($L60/SUM($L$5:$L$46)),0))</f>
        <v>4154.2917737168755</v>
      </c>
      <c r="V60" s="30">
        <f>IF($L60&lt;0,0,IFERROR((V$2*IFERROR(VLOOKUP(J60,Tabla11[],2,0),0))*($L60/SUM($L$5:$L$46)),0))</f>
        <v>21364.929121972498</v>
      </c>
      <c r="W60" s="30">
        <f>IF($L60&lt;0,0,IFERROR((W$2*IFERROR(VLOOKUP(J60,Tabla11[],2,0),0))*($L60/SUM($L$5:$L$46)),0))</f>
        <v>29673.512669406249</v>
      </c>
      <c r="X60" s="30">
        <f t="shared" si="17"/>
        <v>647224.82304767065</v>
      </c>
      <c r="Y60" s="30">
        <f>+X60*IFERROR(VLOOKUP(J60,Tabla11[],4,0),0)</f>
        <v>97083.723457150598</v>
      </c>
      <c r="Z60" s="30">
        <f t="shared" si="18"/>
        <v>25833.333333333332</v>
      </c>
      <c r="AA60" s="30">
        <f t="shared" si="19"/>
        <v>445259.6293318707</v>
      </c>
      <c r="AB60" s="30">
        <f>IF($L60&lt;0,0,IFERROR((AB$2*IFERROR(VLOOKUP(J60,Tabla11[],2,0),0))*($L60/SUM($L$5:$L$46)),0))</f>
        <v>34078.123948946944</v>
      </c>
      <c r="AC60" s="30">
        <f>L60-L60*IFERROR(VLOOKUP(J60,Tabla11[],3,0),0)-Q60-T60-U60-V60-W60-L60*$X$2-(L60*$X$2)*IFERROR(VLOOKUP(J60,Tabla11[],4,0),0)-AB60-Z60</f>
        <v>171929.32745997488</v>
      </c>
      <c r="AD60" s="30">
        <f t="shared" si="20"/>
        <v>411181.50538292376</v>
      </c>
      <c r="AE60" s="30">
        <f t="shared" si="21"/>
        <v>239252.17792294899</v>
      </c>
    </row>
    <row r="61" spans="1:31" x14ac:dyDescent="0.3">
      <c r="A61" s="29" t="s">
        <v>298</v>
      </c>
      <c r="B61" s="29" t="s">
        <v>209</v>
      </c>
      <c r="C61" s="32">
        <v>1</v>
      </c>
      <c r="D61" s="29"/>
      <c r="E61" s="29" t="s">
        <v>209</v>
      </c>
      <c r="F61" s="32"/>
      <c r="G61" s="32">
        <v>1</v>
      </c>
      <c r="H61" s="32" t="s">
        <v>291</v>
      </c>
      <c r="I61" s="32" t="s">
        <v>327</v>
      </c>
      <c r="J61" s="32" t="s">
        <v>214</v>
      </c>
      <c r="K61" s="32" t="s">
        <v>19</v>
      </c>
      <c r="L61" s="29">
        <f>IFERROR(VLOOKUP(CONCATENATE(J61,K61),Ventas!D:H,4,0),0)</f>
        <v>1941595.8319838147</v>
      </c>
      <c r="M61" s="29">
        <f t="shared" si="0"/>
        <v>194159.58319838147</v>
      </c>
      <c r="N61" s="41">
        <f t="shared" si="15"/>
        <v>2135755.4151821961</v>
      </c>
      <c r="O61" s="29">
        <f>N61*IFERROR(VLOOKUP(J61,Tabla11[],3,0),0)</f>
        <v>747514.39531376853</v>
      </c>
      <c r="P61" s="29">
        <f t="shared" si="16"/>
        <v>1388241.0198684274</v>
      </c>
      <c r="Q61" s="29">
        <f>IFERROR(G61/SUMIF(I:I,I61,G:G),0)*VLOOKUP(H61,Modelos[],14,0)+IFERROR(G61/SUMIF(I:I,I61,G:G),0)*VLOOKUP(I61,Tabla13[],2,0)</f>
        <v>51647.61153492648</v>
      </c>
      <c r="R61" s="29">
        <f>IFERROR(VLOOKUP(A61,Modelos[],IF(B61="EST",15,14),0),0)*C61</f>
        <v>154393.46562500001</v>
      </c>
      <c r="S61" s="29">
        <f>IFERROR(VLOOKUP(D61,Modelos[],IF(E61="EST",15,14),0),0)*F61</f>
        <v>0</v>
      </c>
      <c r="T61" s="29">
        <f>IF($L61&lt;0,0,IFERROR((T$2*IFERROR(VLOOKUP(J61,Tabla11[],2,0),0))*($L61/SUM($L$5:$L$46)),0))</f>
        <v>18330.366782931145</v>
      </c>
      <c r="U61" s="29">
        <f>IF($L61&lt;0,0,IFERROR((U$2*IFERROR(VLOOKUP(J61,Tabla11[],2,0),0))*($L61/SUM($L$5:$L$46)),0))</f>
        <v>3564.2379855699451</v>
      </c>
      <c r="V61" s="29">
        <f>IF($L61&lt;0,0,IFERROR((V$2*IFERROR(VLOOKUP(J61,Tabla11[],2,0),0))*($L61/SUM($L$5:$L$46)),0))</f>
        <v>18330.366782931145</v>
      </c>
      <c r="W61" s="29">
        <f>IF($L61&lt;0,0,IFERROR((W$2*IFERROR(VLOOKUP(J61,Tabla11[],2,0),0))*($L61/SUM($L$5:$L$46)),0))</f>
        <v>25458.842754071036</v>
      </c>
      <c r="X61" s="29">
        <f t="shared" si="17"/>
        <v>555296.40794737102</v>
      </c>
      <c r="Y61" s="29">
        <f>+X61*IFERROR(VLOOKUP(J61,Tabla11[],4,0),0)</f>
        <v>83294.461192105649</v>
      </c>
      <c r="Z61" s="29">
        <f t="shared" si="18"/>
        <v>25833.333333333332</v>
      </c>
      <c r="AA61" s="29">
        <f t="shared" si="19"/>
        <v>452091.92593018757</v>
      </c>
      <c r="AB61" s="29">
        <f>IF($L61&lt;0,0,IFERROR((AB$2*IFERROR(VLOOKUP(J61,Tabla11[],2,0),0))*($L61/SUM($L$5:$L$46)),0))</f>
        <v>29237.846177357958</v>
      </c>
      <c r="AC61" s="29">
        <f>L61-L61*IFERROR(VLOOKUP(J61,Tabla11[],3,0),0)-Q61-T61-U61-V61-W61-L61*$X$2-(L61*$X$2)*IFERROR(VLOOKUP(J61,Tabla11[],4,0),0)-AB61-Z61</f>
        <v>196500.60272580359</v>
      </c>
      <c r="AD61" s="29">
        <f t="shared" si="20"/>
        <v>422854.07975282962</v>
      </c>
      <c r="AE61" s="29">
        <f t="shared" si="21"/>
        <v>226353.47702702601</v>
      </c>
    </row>
    <row r="62" spans="1:31" x14ac:dyDescent="0.3">
      <c r="A62" s="30" t="s">
        <v>298</v>
      </c>
      <c r="B62" s="30" t="s">
        <v>209</v>
      </c>
      <c r="C62" s="33">
        <v>0.5</v>
      </c>
      <c r="D62" s="30"/>
      <c r="E62" s="30" t="s">
        <v>209</v>
      </c>
      <c r="F62" s="33"/>
      <c r="G62" s="33">
        <v>3</v>
      </c>
      <c r="H62" s="33" t="s">
        <v>293</v>
      </c>
      <c r="I62" s="33" t="s">
        <v>10</v>
      </c>
      <c r="J62" s="33" t="s">
        <v>214</v>
      </c>
      <c r="K62" s="33" t="s">
        <v>12</v>
      </c>
      <c r="L62" s="29">
        <f>IFERROR(VLOOKUP(CONCATENATE(J62,K62),Ventas!D:H,4,0),0)</f>
        <v>1494248.291491125</v>
      </c>
      <c r="M62" s="30">
        <f t="shared" si="0"/>
        <v>149424.82914911251</v>
      </c>
      <c r="N62" s="42">
        <f t="shared" si="15"/>
        <v>1643673.1206402376</v>
      </c>
      <c r="O62" s="30">
        <f>N62*IFERROR(VLOOKUP(J62,Tabla11[],3,0),0)</f>
        <v>575285.59222408314</v>
      </c>
      <c r="P62" s="30">
        <f t="shared" si="16"/>
        <v>1068387.5284161544</v>
      </c>
      <c r="Q62" s="29">
        <f>IFERROR(G62/SUMIF(I:I,I62,G:G),0)*VLOOKUP(H62,Modelos[],14,0)+IFERROR(G62/SUMIF(I:I,I62,G:G),0)*VLOOKUP(I62,Tabla13[],2,0)</f>
        <v>65246.162840073535</v>
      </c>
      <c r="R62" s="30">
        <f>IFERROR(VLOOKUP(A62,Modelos[],IF(B62="EST",15,14),0),0)*C62</f>
        <v>77196.732812500006</v>
      </c>
      <c r="S62" s="30">
        <f>IFERROR(VLOOKUP(D62,Modelos[],IF(E62="EST",15,14),0),0)*F62</f>
        <v>0</v>
      </c>
      <c r="T62" s="30">
        <f>IF($L62&lt;0,0,IFERROR((T$2*IFERROR(VLOOKUP(J62,Tabla11[],2,0),0))*($L62/SUM($L$5:$L$46)),0))</f>
        <v>14107.013826773016</v>
      </c>
      <c r="U62" s="30">
        <f>IF($L62&lt;0,0,IFERROR((U$2*IFERROR(VLOOKUP(J62,Tabla11[],2,0),0))*($L62/SUM($L$5:$L$46)),0))</f>
        <v>2743.0304663169759</v>
      </c>
      <c r="V62" s="30">
        <f>IF($L62&lt;0,0,IFERROR((V$2*IFERROR(VLOOKUP(J62,Tabla11[],2,0),0))*($L62/SUM($L$5:$L$46)),0))</f>
        <v>14107.013826773016</v>
      </c>
      <c r="W62" s="30">
        <f>IF($L62&lt;0,0,IFERROR((W$2*IFERROR(VLOOKUP(J62,Tabla11[],2,0),0))*($L62/SUM($L$5:$L$46)),0))</f>
        <v>19593.074759406969</v>
      </c>
      <c r="X62" s="30">
        <f t="shared" si="17"/>
        <v>427355.01136646181</v>
      </c>
      <c r="Y62" s="30">
        <f>+X62*IFERROR(VLOOKUP(J62,Tabla11[],4,0),0)</f>
        <v>64103.251704969269</v>
      </c>
      <c r="Z62" s="30">
        <f t="shared" si="18"/>
        <v>25833.333333333332</v>
      </c>
      <c r="AA62" s="30">
        <f t="shared" si="19"/>
        <v>358102.90347954642</v>
      </c>
      <c r="AB62" s="30">
        <f>IF($L62&lt;0,0,IFERROR((AB$2*IFERROR(VLOOKUP(J62,Tabla11[],2,0),0))*($L62/SUM($L$5:$L$46)),0))</f>
        <v>22501.388279536459</v>
      </c>
      <c r="AC62" s="30">
        <f>L62-L62*IFERROR(VLOOKUP(J62,Tabla11[],3,0),0)-Q62-T62-U62-V62-W62-L62*$X$2-(L62*$X$2)*IFERROR(VLOOKUP(J62,Tabla11[],4,0),0)-AB62-Z62</f>
        <v>119776.15805110031</v>
      </c>
      <c r="AD62" s="30">
        <f t="shared" si="20"/>
        <v>335601.51520000998</v>
      </c>
      <c r="AE62" s="30">
        <f t="shared" si="21"/>
        <v>215825.35714891</v>
      </c>
    </row>
    <row r="63" spans="1:31" x14ac:dyDescent="0.3">
      <c r="A63" s="29" t="s">
        <v>299</v>
      </c>
      <c r="B63" s="29" t="s">
        <v>209</v>
      </c>
      <c r="C63" s="32">
        <v>1</v>
      </c>
      <c r="D63" s="29"/>
      <c r="E63" s="29" t="s">
        <v>209</v>
      </c>
      <c r="F63" s="32"/>
      <c r="G63" s="32">
        <v>3</v>
      </c>
      <c r="H63" s="32" t="s">
        <v>292</v>
      </c>
      <c r="I63" s="32" t="s">
        <v>324</v>
      </c>
      <c r="J63" s="32" t="s">
        <v>214</v>
      </c>
      <c r="K63" s="32" t="s">
        <v>11</v>
      </c>
      <c r="L63" s="29">
        <f>IFERROR(VLOOKUP(CONCATENATE(J63,K63),Ventas!D:H,4,0),0)</f>
        <v>1358193.8501771048</v>
      </c>
      <c r="M63" s="29">
        <f t="shared" si="0"/>
        <v>135819.38501771048</v>
      </c>
      <c r="N63" s="41">
        <f t="shared" si="15"/>
        <v>1494013.2351948153</v>
      </c>
      <c r="O63" s="29">
        <f>N63*IFERROR(VLOOKUP(J63,Tabla11[],3,0),0)</f>
        <v>522904.63231818535</v>
      </c>
      <c r="P63" s="29">
        <f t="shared" si="16"/>
        <v>971108.60287662991</v>
      </c>
      <c r="Q63" s="29">
        <f>IFERROR(G63/SUMIF(I:I,I63,G:G),0)*VLOOKUP(H63,Modelos[],14,0)+IFERROR(G63/SUMIF(I:I,I63,G:G),0)*VLOOKUP(I63,Tabla13[],2,0)</f>
        <v>69504.987620192318</v>
      </c>
      <c r="R63" s="29">
        <f>IFERROR(VLOOKUP(A63,Modelos[],IF(B63="EST",15,14),0),0)*C63</f>
        <v>204526.80039749993</v>
      </c>
      <c r="S63" s="29">
        <f>IFERROR(VLOOKUP(D63,Modelos[],IF(E63="EST",15,14),0),0)*F63</f>
        <v>0</v>
      </c>
      <c r="T63" s="29">
        <f>IF($L63&lt;0,0,IFERROR((T$2*IFERROR(VLOOKUP(J63,Tabla11[],2,0),0))*($L63/SUM($L$5:$L$46)),0))</f>
        <v>12822.540626609307</v>
      </c>
      <c r="U63" s="29">
        <f>IF($L63&lt;0,0,IFERROR((U$2*IFERROR(VLOOKUP(J63,Tabla11[],2,0),0))*($L63/SUM($L$5:$L$46)),0))</f>
        <v>2493.2717885073657</v>
      </c>
      <c r="V63" s="29">
        <f>IF($L63&lt;0,0,IFERROR((V$2*IFERROR(VLOOKUP(J63,Tabla11[],2,0),0))*($L63/SUM($L$5:$L$46)),0))</f>
        <v>12822.540626609307</v>
      </c>
      <c r="W63" s="29">
        <f>IF($L63&lt;0,0,IFERROR((W$2*IFERROR(VLOOKUP(J63,Tabla11[],2,0),0))*($L63/SUM($L$5:$L$46)),0))</f>
        <v>17809.084203624039</v>
      </c>
      <c r="X63" s="29">
        <f t="shared" si="17"/>
        <v>388443.44115065201</v>
      </c>
      <c r="Y63" s="29">
        <f>+X63*IFERROR(VLOOKUP(J63,Tabla11[],4,0),0)</f>
        <v>58266.516172597803</v>
      </c>
      <c r="Z63" s="29">
        <f t="shared" si="18"/>
        <v>25833.333333333332</v>
      </c>
      <c r="AA63" s="29">
        <f t="shared" si="19"/>
        <v>178586.0869570045</v>
      </c>
      <c r="AB63" s="29">
        <f>IF($L63&lt;0,0,IFERROR((AB$2*IFERROR(VLOOKUP(J63,Tabla11[],2,0),0))*($L63/SUM($L$5:$L$46)),0))</f>
        <v>20452.589677192293</v>
      </c>
      <c r="AC63" s="29">
        <f>L63-L63*IFERROR(VLOOKUP(J63,Tabla11[],3,0),0)-Q63-T63-U63-V63-W63-L63*$X$2-(L63*$X$2)*IFERROR(VLOOKUP(J63,Tabla11[],4,0),0)-AB63-Z63</f>
        <v>96318.483657581921</v>
      </c>
      <c r="AD63" s="29">
        <f t="shared" si="20"/>
        <v>158133.4972798122</v>
      </c>
      <c r="AE63" s="29">
        <f t="shared" si="21"/>
        <v>61815.013622229999</v>
      </c>
    </row>
    <row r="64" spans="1:31" x14ac:dyDescent="0.3">
      <c r="A64" s="30" t="s">
        <v>299</v>
      </c>
      <c r="B64" s="30" t="s">
        <v>209</v>
      </c>
      <c r="C64" s="33">
        <v>1</v>
      </c>
      <c r="D64" s="30"/>
      <c r="E64" s="30" t="s">
        <v>209</v>
      </c>
      <c r="F64" s="33"/>
      <c r="G64" s="33">
        <v>3</v>
      </c>
      <c r="H64" s="33" t="s">
        <v>292</v>
      </c>
      <c r="I64" s="33" t="s">
        <v>324</v>
      </c>
      <c r="J64" s="33" t="s">
        <v>214</v>
      </c>
      <c r="K64" s="33" t="s">
        <v>7</v>
      </c>
      <c r="L64" s="29">
        <f>IFERROR(VLOOKUP(CONCATENATE(J64,K64),Ventas!D:H,4,0),0)</f>
        <v>1302181.8474639528</v>
      </c>
      <c r="M64" s="30">
        <f t="shared" si="0"/>
        <v>130218.18474639529</v>
      </c>
      <c r="N64" s="42">
        <f t="shared" si="15"/>
        <v>1432400.0322103482</v>
      </c>
      <c r="O64" s="30">
        <f>N64*IFERROR(VLOOKUP(J64,Tabla11[],3,0),0)</f>
        <v>501340.01127362181</v>
      </c>
      <c r="P64" s="30">
        <f t="shared" si="16"/>
        <v>931060.02093672636</v>
      </c>
      <c r="Q64" s="29">
        <f>IFERROR(G64/SUMIF(I:I,I64,G:G),0)*VLOOKUP(H64,Modelos[],14,0)+IFERROR(G64/SUMIF(I:I,I64,G:G),0)*VLOOKUP(I64,Tabla13[],2,0)</f>
        <v>69504.987620192318</v>
      </c>
      <c r="R64" s="30">
        <f>IFERROR(VLOOKUP(A64,Modelos[],IF(B64="EST",15,14),0),0)*C64</f>
        <v>204526.80039749993</v>
      </c>
      <c r="S64" s="30">
        <f>IFERROR(VLOOKUP(D64,Modelos[],IF(E64="EST",15,14),0),0)*F64</f>
        <v>0</v>
      </c>
      <c r="T64" s="30">
        <f>IF($L64&lt;0,0,IFERROR((T$2*IFERROR(VLOOKUP(J64,Tabla11[],2,0),0))*($L64/SUM($L$5:$L$46)),0))</f>
        <v>12293.738217237855</v>
      </c>
      <c r="U64" s="30">
        <f>IF($L64&lt;0,0,IFERROR((U$2*IFERROR(VLOOKUP(J64,Tabla11[],2,0),0))*($L64/SUM($L$5:$L$46)),0))</f>
        <v>2390.44909779625</v>
      </c>
      <c r="V64" s="30">
        <f>IF($L64&lt;0,0,IFERROR((V$2*IFERROR(VLOOKUP(J64,Tabla11[],2,0),0))*($L64/SUM($L$5:$L$46)),0))</f>
        <v>12293.738217237855</v>
      </c>
      <c r="W64" s="30">
        <f>IF($L64&lt;0,0,IFERROR((W$2*IFERROR(VLOOKUP(J64,Tabla11[],2,0),0))*($L64/SUM($L$5:$L$46)),0))</f>
        <v>17074.636412830354</v>
      </c>
      <c r="X64" s="30">
        <f t="shared" si="17"/>
        <v>372424.00837469054</v>
      </c>
      <c r="Y64" s="30">
        <f>+X64*IFERROR(VLOOKUP(J64,Tabla11[],4,0),0)</f>
        <v>55863.601256203583</v>
      </c>
      <c r="Z64" s="30">
        <f t="shared" si="18"/>
        <v>25833.333333333332</v>
      </c>
      <c r="AA64" s="30">
        <f t="shared" si="19"/>
        <v>158854.72800970427</v>
      </c>
      <c r="AB64" s="30">
        <f>IF($L64&lt;0,0,IFERROR((AB$2*IFERROR(VLOOKUP(J64,Tabla11[],2,0),0))*($L64/SUM($L$5:$L$46)),0))</f>
        <v>19609.123548744948</v>
      </c>
      <c r="AC64" s="30">
        <f>L64-L64*IFERROR(VLOOKUP(J64,Tabla11[],3,0),0)-Q64-T64-U64-V64-W64-L64*$X$2-(L64*$X$2)*IFERROR(VLOOKUP(J64,Tabla11[],4,0),0)-AB64-Z64</f>
        <v>88414.544570778191</v>
      </c>
      <c r="AD64" s="30">
        <f t="shared" si="20"/>
        <v>139245.60446095932</v>
      </c>
      <c r="AE64" s="30">
        <f t="shared" si="21"/>
        <v>50831.059890181001</v>
      </c>
    </row>
    <row r="65" spans="1:31" x14ac:dyDescent="0.3">
      <c r="A65" s="29" t="s">
        <v>298</v>
      </c>
      <c r="B65" s="29" t="s">
        <v>209</v>
      </c>
      <c r="C65" s="32">
        <v>1</v>
      </c>
      <c r="D65" s="29"/>
      <c r="E65" s="29" t="s">
        <v>209</v>
      </c>
      <c r="F65" s="32"/>
      <c r="G65" s="32">
        <v>3</v>
      </c>
      <c r="H65" s="32" t="s">
        <v>292</v>
      </c>
      <c r="I65" s="32" t="s">
        <v>324</v>
      </c>
      <c r="J65" s="32" t="s">
        <v>214</v>
      </c>
      <c r="K65" s="32" t="s">
        <v>39</v>
      </c>
      <c r="L65" s="29">
        <f>IFERROR(VLOOKUP(CONCATENATE(J65,K65),Ventas!D:H,4,0),0)</f>
        <v>1817360.5966382495</v>
      </c>
      <c r="M65" s="29">
        <f t="shared" si="0"/>
        <v>181736.05966382497</v>
      </c>
      <c r="N65" s="41">
        <f t="shared" si="15"/>
        <v>1999096.6563020744</v>
      </c>
      <c r="O65" s="29">
        <f>N65*IFERROR(VLOOKUP(J65,Tabla11[],3,0),0)</f>
        <v>699683.82970572601</v>
      </c>
      <c r="P65" s="29">
        <f t="shared" si="16"/>
        <v>1299412.8265963485</v>
      </c>
      <c r="Q65" s="29">
        <f>IFERROR(G65/SUMIF(I:I,I65,G:G),0)*VLOOKUP(H65,Modelos[],14,0)+IFERROR(G65/SUMIF(I:I,I65,G:G),0)*VLOOKUP(I65,Tabla13[],2,0)</f>
        <v>69504.987620192318</v>
      </c>
      <c r="R65" s="29">
        <f>IFERROR(VLOOKUP(A65,Modelos[],IF(B65="EST",15,14),0),0)*C65</f>
        <v>154393.46562500001</v>
      </c>
      <c r="S65" s="29">
        <f>IFERROR(VLOOKUP(D65,Modelos[],IF(E65="EST",15,14),0),0)*F65</f>
        <v>0</v>
      </c>
      <c r="T65" s="29">
        <f>IF($L65&lt;0,0,IFERROR((T$2*IFERROR(VLOOKUP(J65,Tabla11[],2,0),0))*($L65/SUM($L$5:$L$46)),0))</f>
        <v>17157.477248593204</v>
      </c>
      <c r="U65" s="29">
        <f>IF($L65&lt;0,0,IFERROR((U$2*IFERROR(VLOOKUP(J65,Tabla11[],2,0),0))*($L65/SUM($L$5:$L$46)),0))</f>
        <v>3336.1761316709012</v>
      </c>
      <c r="V65" s="29">
        <f>IF($L65&lt;0,0,IFERROR((V$2*IFERROR(VLOOKUP(J65,Tabla11[],2,0),0))*($L65/SUM($L$5:$L$46)),0))</f>
        <v>17157.477248593204</v>
      </c>
      <c r="W65" s="29">
        <f>IF($L65&lt;0,0,IFERROR((W$2*IFERROR(VLOOKUP(J65,Tabla11[],2,0),0))*($L65/SUM($L$5:$L$46)),0))</f>
        <v>23829.829511935008</v>
      </c>
      <c r="X65" s="29">
        <f t="shared" si="17"/>
        <v>519765.13063853944</v>
      </c>
      <c r="Y65" s="29">
        <f>+X65*IFERROR(VLOOKUP(J65,Tabla11[],4,0),0)</f>
        <v>77964.769595780919</v>
      </c>
      <c r="Z65" s="29">
        <f t="shared" si="18"/>
        <v>25833.333333333332</v>
      </c>
      <c r="AA65" s="29">
        <f t="shared" si="19"/>
        <v>390470.17964271025</v>
      </c>
      <c r="AB65" s="29">
        <f>IF($L65&lt;0,0,IFERROR((AB$2*IFERROR(VLOOKUP(J65,Tabla11[],2,0),0))*($L65/SUM($L$5:$L$46)),0))</f>
        <v>27367.029068562384</v>
      </c>
      <c r="AC65" s="29">
        <f>L65-L65*IFERROR(VLOOKUP(J65,Tabla11[],3,0),0)-Q65-T65-U65-V65-W65-L65*$X$2-(L65*$X$2)*IFERROR(VLOOKUP(J65,Tabla11[],4,0),0)-AB65-Z65</f>
        <v>161112.20319838685</v>
      </c>
      <c r="AD65" s="29">
        <f t="shared" si="20"/>
        <v>363103.15057414788</v>
      </c>
      <c r="AE65" s="29">
        <f t="shared" si="21"/>
        <v>201990.947375761</v>
      </c>
    </row>
    <row r="66" spans="1:31" x14ac:dyDescent="0.3">
      <c r="A66" s="30" t="s">
        <v>298</v>
      </c>
      <c r="B66" s="30" t="s">
        <v>209</v>
      </c>
      <c r="C66" s="33">
        <v>1</v>
      </c>
      <c r="D66" s="30"/>
      <c r="E66" s="30" t="s">
        <v>209</v>
      </c>
      <c r="F66" s="33"/>
      <c r="G66" s="33">
        <v>0</v>
      </c>
      <c r="H66" s="33" t="s">
        <v>291</v>
      </c>
      <c r="I66" s="33" t="s">
        <v>20</v>
      </c>
      <c r="J66" s="33" t="s">
        <v>214</v>
      </c>
      <c r="K66" s="33" t="s">
        <v>244</v>
      </c>
      <c r="L66" s="29">
        <f>IFERROR(VLOOKUP(CONCATENATE(J66,K66),Ventas!D:H,4,0),0)</f>
        <v>764264.12840116746</v>
      </c>
      <c r="M66" s="30">
        <f t="shared" si="0"/>
        <v>76426.412840116755</v>
      </c>
      <c r="N66" s="42">
        <f t="shared" si="15"/>
        <v>840690.54124128423</v>
      </c>
      <c r="O66" s="30">
        <f>N66*IFERROR(VLOOKUP(J66,Tabla11[],3,0),0)</f>
        <v>294241.68943444948</v>
      </c>
      <c r="P66" s="30">
        <f t="shared" si="16"/>
        <v>546448.85180683481</v>
      </c>
      <c r="Q66" s="29">
        <f>IFERROR(G66/SUMIF(I:I,I66,G:G),0)*VLOOKUP(H66,Modelos[],14,0)+IFERROR(G66/SUMIF(I:I,I66,G:G),0)*VLOOKUP(I66,Tabla13[],2,0)</f>
        <v>0</v>
      </c>
      <c r="R66" s="30">
        <f>IFERROR(VLOOKUP(A66,Modelos[],IF(B66="EST",15,14),0),0)*C66</f>
        <v>154393.46562500001</v>
      </c>
      <c r="S66" s="30">
        <f>IFERROR(VLOOKUP(D66,Modelos[],IF(E66="EST",15,14),0),0)*F66</f>
        <v>0</v>
      </c>
      <c r="T66" s="30">
        <f>IF($L66&lt;0,0,IFERROR((T$2*IFERROR(VLOOKUP(J66,Tabla11[],2,0),0))*($L66/SUM($L$5:$L$46)),0))</f>
        <v>7215.3233756773761</v>
      </c>
      <c r="U66" s="30">
        <f>IF($L66&lt;0,0,IFERROR((U$2*IFERROR(VLOOKUP(J66,Tabla11[],2,0),0))*($L66/SUM($L$5:$L$46)),0))</f>
        <v>1402.9795452706012</v>
      </c>
      <c r="V66" s="30">
        <f>IF($L66&lt;0,0,IFERROR((V$2*IFERROR(VLOOKUP(J66,Tabla11[],2,0),0))*($L66/SUM($L$5:$L$46)),0))</f>
        <v>7215.3233756773761</v>
      </c>
      <c r="W66" s="30">
        <f>IF($L66&lt;0,0,IFERROR((W$2*IFERROR(VLOOKUP(J66,Tabla11[],2,0),0))*($L66/SUM($L$5:$L$46)),0))</f>
        <v>10021.282466218579</v>
      </c>
      <c r="X66" s="30">
        <f t="shared" si="17"/>
        <v>218579.54072273395</v>
      </c>
      <c r="Y66" s="30">
        <f>+X66*IFERROR(VLOOKUP(J66,Tabla11[],4,0),0)</f>
        <v>32786.931108410092</v>
      </c>
      <c r="Z66" s="30">
        <f t="shared" si="18"/>
        <v>25833.333333333332</v>
      </c>
      <c r="AA66" s="30">
        <f t="shared" si="19"/>
        <v>89000.672254513542</v>
      </c>
      <c r="AB66" s="30">
        <f>IF($L66&lt;0,0,IFERROR((AB$2*IFERROR(VLOOKUP(J66,Tabla11[],2,0),0))*($L66/SUM($L$5:$L$46)),0))</f>
        <v>11508.799440630524</v>
      </c>
      <c r="AC66" s="30">
        <f>L66-L66*IFERROR(VLOOKUP(J66,Tabla11[],3,0),0)-Q66-T66-U66-V66-W66-L66*$X$2-(L66*$X$2)*IFERROR(VLOOKUP(J66,Tabla11[],4,0),0)-AB66-Z66</f>
        <v>82013.142859413972</v>
      </c>
      <c r="AD66" s="30">
        <f t="shared" si="20"/>
        <v>77491.872813883019</v>
      </c>
      <c r="AE66" s="30">
        <f t="shared" si="21"/>
        <v>-4521.2700455309996</v>
      </c>
    </row>
    <row r="67" spans="1:31" x14ac:dyDescent="0.3">
      <c r="A67" s="29"/>
      <c r="B67" s="29" t="s">
        <v>209</v>
      </c>
      <c r="C67" s="32"/>
      <c r="D67" s="29"/>
      <c r="E67" s="29" t="s">
        <v>209</v>
      </c>
      <c r="F67" s="32"/>
      <c r="G67" s="32">
        <v>3</v>
      </c>
      <c r="H67" s="32" t="s">
        <v>293</v>
      </c>
      <c r="I67" s="32" t="s">
        <v>22</v>
      </c>
      <c r="J67" s="32" t="s">
        <v>214</v>
      </c>
      <c r="K67" s="32" t="s">
        <v>22</v>
      </c>
      <c r="L67" s="29">
        <f>IFERROR(VLOOKUP(CONCATENATE(J67,K67),Ventas!D:H,4,0),0)</f>
        <v>1601137.257384391</v>
      </c>
      <c r="M67" s="29">
        <f t="shared" si="0"/>
        <v>0</v>
      </c>
      <c r="N67" s="41">
        <f t="shared" si="15"/>
        <v>1601137.257384391</v>
      </c>
      <c r="O67" s="29">
        <f>N67*IFERROR(VLOOKUP(J67,Tabla11[],3,0),0)</f>
        <v>560398.04008453677</v>
      </c>
      <c r="P67" s="29">
        <f t="shared" si="16"/>
        <v>1040739.2172998543</v>
      </c>
      <c r="Q67" s="29">
        <f>IFERROR(G67/SUMIF(I:I,I67,G:G),0)*VLOOKUP(H67,Modelos[],14,0)+IFERROR(G67/SUMIF(I:I,I67,G:G),0)*VLOOKUP(I67,Tabla13[],2,0)</f>
        <v>134909.41869791667</v>
      </c>
      <c r="R67" s="29">
        <f>IFERROR(VLOOKUP(A67,Modelos[],IF(B67="EST",15,14),0),0)*C67</f>
        <v>0</v>
      </c>
      <c r="S67" s="29">
        <f>IFERROR(VLOOKUP(D67,Modelos[],IF(E67="EST",15,14),0),0)*F67</f>
        <v>0</v>
      </c>
      <c r="T67" s="29">
        <f>IF($L67&lt;0,0,IFERROR((T$2*IFERROR(VLOOKUP(J67,Tabla11[],2,0),0))*($L67/SUM($L$5:$L$46)),0))</f>
        <v>15116.139370614888</v>
      </c>
      <c r="U67" s="29">
        <f>IF($L67&lt;0,0,IFERROR((U$2*IFERROR(VLOOKUP(J67,Tabla11[],2,0),0))*($L67/SUM($L$5:$L$46)),0))</f>
        <v>2939.2493220640067</v>
      </c>
      <c r="V67" s="29">
        <f>IF($L67&lt;0,0,IFERROR((V$2*IFERROR(VLOOKUP(J67,Tabla11[],2,0),0))*($L67/SUM($L$5:$L$46)),0))</f>
        <v>15116.139370614888</v>
      </c>
      <c r="W67" s="29">
        <f>IF($L67&lt;0,0,IFERROR((W$2*IFERROR(VLOOKUP(J67,Tabla11[],2,0),0))*($L67/SUM($L$5:$L$46)),0))</f>
        <v>20994.638014742901</v>
      </c>
      <c r="X67" s="29">
        <f t="shared" si="17"/>
        <v>416295.68691994174</v>
      </c>
      <c r="Y67" s="29">
        <f>+X67*IFERROR(VLOOKUP(J67,Tabla11[],4,0),0)</f>
        <v>62444.353037991255</v>
      </c>
      <c r="Z67" s="29">
        <f t="shared" si="18"/>
        <v>25833.333333333332</v>
      </c>
      <c r="AA67" s="29">
        <f t="shared" si="19"/>
        <v>347090.25923263456</v>
      </c>
      <c r="AB67" s="29">
        <f>IF($L67&lt;0,0,IFERROR((AB$2*IFERROR(VLOOKUP(J67,Tabla11[],2,0),0))*($L67/SUM($L$5:$L$46)),0))</f>
        <v>24110.993683175489</v>
      </c>
      <c r="AC67" s="29">
        <f>L67-L67*IFERROR(VLOOKUP(J67,Tabla11[],3,0),0)-Q67-T67-U67-V67-W67-L67*$X$2-(L67*$X$2)*IFERROR(VLOOKUP(J67,Tabla11[],4,0),0)-AB67-Z67</f>
        <v>65196.167110572147</v>
      </c>
      <c r="AD67" s="29">
        <f t="shared" si="20"/>
        <v>322979.26554945909</v>
      </c>
      <c r="AE67" s="29">
        <f t="shared" si="21"/>
        <v>257783.09843888701</v>
      </c>
    </row>
    <row r="68" spans="1:31" x14ac:dyDescent="0.3">
      <c r="A68" s="30"/>
      <c r="B68" s="30" t="s">
        <v>209</v>
      </c>
      <c r="C68" s="33"/>
      <c r="D68" s="30"/>
      <c r="E68" s="30" t="s">
        <v>209</v>
      </c>
      <c r="F68" s="33"/>
      <c r="G68" s="33">
        <v>3</v>
      </c>
      <c r="H68" s="33" t="s">
        <v>291</v>
      </c>
      <c r="I68" s="33" t="s">
        <v>319</v>
      </c>
      <c r="J68" s="33" t="s">
        <v>214</v>
      </c>
      <c r="K68" s="33" t="s">
        <v>26</v>
      </c>
      <c r="L68" s="29">
        <f>IFERROR(VLOOKUP(CONCATENATE(J68,K68),Ventas!D:H,4,0),0)</f>
        <v>1454547.172392458</v>
      </c>
      <c r="M68" s="30">
        <f t="shared" si="0"/>
        <v>0</v>
      </c>
      <c r="N68" s="42">
        <f t="shared" si="15"/>
        <v>1454547.172392458</v>
      </c>
      <c r="O68" s="30">
        <f>N68*IFERROR(VLOOKUP(J68,Tabla11[],3,0),0)</f>
        <v>509091.51033736026</v>
      </c>
      <c r="P68" s="30">
        <f t="shared" si="16"/>
        <v>945455.66205509775</v>
      </c>
      <c r="Q68" s="29">
        <f>IFERROR(G68/SUMIF(I:I,I68,G:G),0)*VLOOKUP(H68,Modelos[],14,0)+IFERROR(G68/SUMIF(I:I,I68,G:G),0)*VLOOKUP(I68,Tabla13[],2,0)</f>
        <v>123633.06254111843</v>
      </c>
      <c r="R68" s="30">
        <f>IFERROR(VLOOKUP(A68,Modelos[],IF(B68="EST",15,14),0),0)*C68</f>
        <v>0</v>
      </c>
      <c r="S68" s="30">
        <f>IFERROR(VLOOKUP(D68,Modelos[],IF(E68="EST",15,14),0),0)*F68</f>
        <v>0</v>
      </c>
      <c r="T68" s="30">
        <f>IF($L68&lt;0,0,IFERROR((T$2*IFERROR(VLOOKUP(J68,Tabla11[],2,0),0))*($L68/SUM($L$5:$L$46)),0))</f>
        <v>13732.200457902194</v>
      </c>
      <c r="U68" s="30">
        <f>IF($L68&lt;0,0,IFERROR((U$2*IFERROR(VLOOKUP(J68,Tabla11[],2,0),0))*($L68/SUM($L$5:$L$46)),0))</f>
        <v>2670.1500890365382</v>
      </c>
      <c r="V68" s="30">
        <f>IF($L68&lt;0,0,IFERROR((V$2*IFERROR(VLOOKUP(J68,Tabla11[],2,0),0))*($L68/SUM($L$5:$L$46)),0))</f>
        <v>13732.200457902194</v>
      </c>
      <c r="W68" s="30">
        <f>IF($L68&lt;0,0,IFERROR((W$2*IFERROR(VLOOKUP(J68,Tabla11[],2,0),0))*($L68/SUM($L$5:$L$46)),0))</f>
        <v>19072.500635975273</v>
      </c>
      <c r="X68" s="30">
        <f t="shared" si="17"/>
        <v>378182.26482203911</v>
      </c>
      <c r="Y68" s="30">
        <f>+X68*IFERROR(VLOOKUP(J68,Tabla11[],4,0),0)</f>
        <v>56727.339723305864</v>
      </c>
      <c r="Z68" s="30">
        <f t="shared" si="18"/>
        <v>25833.333333333332</v>
      </c>
      <c r="AA68" s="30">
        <f t="shared" si="19"/>
        <v>311872.60999448481</v>
      </c>
      <c r="AB68" s="30">
        <f>IF($L68&lt;0,0,IFERROR((AB$2*IFERROR(VLOOKUP(J68,Tabla11[],2,0),0))*($L68/SUM($L$5:$L$46)),0))</f>
        <v>21903.542325113609</v>
      </c>
      <c r="AC68" s="30">
        <f>L68-L68*IFERROR(VLOOKUP(J68,Tabla11[],3,0),0)-Q68-T68-U68-V68-W68-L68*$X$2-(L68*$X$2)*IFERROR(VLOOKUP(J68,Tabla11[],4,0),0)-AB68-Z68</f>
        <v>55786.972914185506</v>
      </c>
      <c r="AD68" s="30">
        <f t="shared" si="20"/>
        <v>289969.0676693712</v>
      </c>
      <c r="AE68" s="30">
        <f t="shared" si="21"/>
        <v>234182.094755186</v>
      </c>
    </row>
    <row r="69" spans="1:31" x14ac:dyDescent="0.3">
      <c r="A69" s="29"/>
      <c r="B69" s="29" t="s">
        <v>209</v>
      </c>
      <c r="C69" s="32"/>
      <c r="D69" s="29"/>
      <c r="E69" s="29" t="s">
        <v>209</v>
      </c>
      <c r="F69" s="32"/>
      <c r="G69" s="32">
        <v>3</v>
      </c>
      <c r="H69" s="32" t="s">
        <v>292</v>
      </c>
      <c r="I69" s="32" t="s">
        <v>325</v>
      </c>
      <c r="J69" s="32" t="s">
        <v>214</v>
      </c>
      <c r="K69" s="32" t="s">
        <v>245</v>
      </c>
      <c r="L69" s="29">
        <f>IFERROR(VLOOKUP(CONCATENATE(J69,K69),Ventas!D:H,4,0),0)</f>
        <v>1962162.8627254986</v>
      </c>
      <c r="M69" s="29">
        <f t="shared" si="0"/>
        <v>0</v>
      </c>
      <c r="N69" s="41">
        <f t="shared" si="15"/>
        <v>1962162.8627254986</v>
      </c>
      <c r="O69" s="29">
        <f>N69*IFERROR(VLOOKUP(J69,Tabla11[],3,0),0)</f>
        <v>686757.00195392442</v>
      </c>
      <c r="P69" s="29">
        <f t="shared" si="16"/>
        <v>1275405.8607715741</v>
      </c>
      <c r="Q69" s="29">
        <f>IFERROR(G69/SUMIF(I:I,I69,G:G),0)*VLOOKUP(H69,Modelos[],14,0)+IFERROR(G69/SUMIF(I:I,I69,G:G),0)*VLOOKUP(I69,Tabla13[],2,0)</f>
        <v>73262.013978040544</v>
      </c>
      <c r="R69" s="29">
        <f>IFERROR(VLOOKUP(A69,Modelos[],IF(B69="EST",15,14),0),0)*C69</f>
        <v>0</v>
      </c>
      <c r="S69" s="29">
        <f>IFERROR(VLOOKUP(D69,Modelos[],IF(E69="EST",15,14),0),0)*F69</f>
        <v>0</v>
      </c>
      <c r="T69" s="29">
        <f>IF($L69&lt;0,0,IFERROR((T$2*IFERROR(VLOOKUP(J69,Tabla11[],2,0),0))*($L69/SUM($L$5:$L$46)),0))</f>
        <v>18524.537583527519</v>
      </c>
      <c r="U69" s="29">
        <f>IF($L69&lt;0,0,IFERROR((U$2*IFERROR(VLOOKUP(J69,Tabla11[],2,0),0))*($L69/SUM($L$5:$L$46)),0))</f>
        <v>3601.9934190192407</v>
      </c>
      <c r="V69" s="29">
        <f>IF($L69&lt;0,0,IFERROR((V$2*IFERROR(VLOOKUP(J69,Tabla11[],2,0),0))*($L69/SUM($L$5:$L$46)),0))</f>
        <v>18524.537583527519</v>
      </c>
      <c r="W69" s="29">
        <f>IF($L69&lt;0,0,IFERROR((W$2*IFERROR(VLOOKUP(J69,Tabla11[],2,0),0))*($L69/SUM($L$5:$L$46)),0))</f>
        <v>25728.524421566002</v>
      </c>
      <c r="X69" s="29">
        <f t="shared" si="17"/>
        <v>510162.34430862963</v>
      </c>
      <c r="Y69" s="29">
        <f>+X69*IFERROR(VLOOKUP(J69,Tabla11[],4,0),0)</f>
        <v>76524.351646294439</v>
      </c>
      <c r="Z69" s="29">
        <f t="shared" si="18"/>
        <v>25833.333333333332</v>
      </c>
      <c r="AA69" s="29">
        <f t="shared" si="19"/>
        <v>523244.22449763585</v>
      </c>
      <c r="AB69" s="29">
        <f>IF($L69&lt;0,0,IFERROR((AB$2*IFERROR(VLOOKUP(J69,Tabla11[],2,0),0))*($L69/SUM($L$5:$L$46)),0))</f>
        <v>29547.55825607412</v>
      </c>
      <c r="AC69" s="29">
        <f>L69-L69*IFERROR(VLOOKUP(J69,Tabla11[],3,0),0)-Q69-T69-U69-V69-W69-L69*$X$2-(L69*$X$2)*IFERROR(VLOOKUP(J69,Tabla11[],4,0),0)-AB69-Z69</f>
        <v>177788.44534275617</v>
      </c>
      <c r="AD69" s="29">
        <f t="shared" si="20"/>
        <v>493696.6662415617</v>
      </c>
      <c r="AE69" s="29">
        <f t="shared" si="21"/>
        <v>315908.220898806</v>
      </c>
    </row>
    <row r="70" spans="1:31" x14ac:dyDescent="0.3">
      <c r="A70" s="30"/>
      <c r="B70" s="30" t="s">
        <v>209</v>
      </c>
      <c r="C70" s="33"/>
      <c r="D70" s="30"/>
      <c r="E70" s="30" t="s">
        <v>209</v>
      </c>
      <c r="F70" s="33"/>
      <c r="G70" s="33">
        <v>3</v>
      </c>
      <c r="H70" s="33" t="s">
        <v>292</v>
      </c>
      <c r="I70" s="33" t="s">
        <v>323</v>
      </c>
      <c r="J70" s="33" t="s">
        <v>214</v>
      </c>
      <c r="K70" s="33" t="s">
        <v>246</v>
      </c>
      <c r="L70" s="29">
        <f>IFERROR(VLOOKUP(CONCATENATE(J70,K70),Ventas!D:H,4,0),0)</f>
        <v>1585349.5992848934</v>
      </c>
      <c r="M70" s="30">
        <f t="shared" ref="M70:M114" si="22">IF(SUM(C70,F70)&gt;0,L70*0.1,0)</f>
        <v>0</v>
      </c>
      <c r="N70" s="42">
        <f t="shared" si="15"/>
        <v>1585349.5992848934</v>
      </c>
      <c r="O70" s="30">
        <f>N70*IFERROR(VLOOKUP(J70,Tabla11[],3,0),0)</f>
        <v>554872.35974971263</v>
      </c>
      <c r="P70" s="30">
        <f t="shared" si="16"/>
        <v>1030477.2395351807</v>
      </c>
      <c r="Q70" s="29">
        <f>IFERROR(G70/SUMIF(I:I,I70,G:G),0)*VLOOKUP(H70,Modelos[],14,0)+IFERROR(G70/SUMIF(I:I,I70,G:G),0)*VLOOKUP(I70,Tabla13[],2,0)</f>
        <v>69504.987620192318</v>
      </c>
      <c r="R70" s="30">
        <f>IFERROR(VLOOKUP(A70,Modelos[],IF(B70="EST",15,14),0),0)*C70</f>
        <v>0</v>
      </c>
      <c r="S70" s="30">
        <f>IFERROR(VLOOKUP(D70,Modelos[],IF(E70="EST",15,14),0),0)*F70</f>
        <v>0</v>
      </c>
      <c r="T70" s="30">
        <f>IF($L70&lt;0,0,IFERROR((T$2*IFERROR(VLOOKUP(J70,Tabla11[],2,0),0))*($L70/SUM($L$5:$L$46)),0))</f>
        <v>14967.090037669206</v>
      </c>
      <c r="U70" s="30">
        <f>IF($L70&lt;0,0,IFERROR((U$2*IFERROR(VLOOKUP(J70,Tabla11[],2,0),0))*($L70/SUM($L$5:$L$46)),0))</f>
        <v>2910.2675073245687</v>
      </c>
      <c r="V70" s="30">
        <f>IF($L70&lt;0,0,IFERROR((V$2*IFERROR(VLOOKUP(J70,Tabla11[],2,0),0))*($L70/SUM($L$5:$L$46)),0))</f>
        <v>14967.090037669206</v>
      </c>
      <c r="W70" s="30">
        <f>IF($L70&lt;0,0,IFERROR((W$2*IFERROR(VLOOKUP(J70,Tabla11[],2,0),0))*($L70/SUM($L$5:$L$46)),0))</f>
        <v>20787.625052318344</v>
      </c>
      <c r="X70" s="30">
        <f t="shared" si="17"/>
        <v>412190.89581407234</v>
      </c>
      <c r="Y70" s="30">
        <f>+X70*IFERROR(VLOOKUP(J70,Tabla11[],4,0),0)</f>
        <v>61828.63437211085</v>
      </c>
      <c r="Z70" s="30">
        <f t="shared" si="18"/>
        <v>25833.333333333332</v>
      </c>
      <c r="AA70" s="30">
        <f t="shared" si="19"/>
        <v>407487.3157604906</v>
      </c>
      <c r="AB70" s="30">
        <f>IF($L70&lt;0,0,IFERROR((AB$2*IFERROR(VLOOKUP(J70,Tabla11[],2,0),0))*($L70/SUM($L$5:$L$46)),0))</f>
        <v>23873.252588242158</v>
      </c>
      <c r="AC70" s="30">
        <f>L70-L70*IFERROR(VLOOKUP(J70,Tabla11[],3,0),0)-Q70-T70-U70-V70-W70-L70*$X$2-(L70*$X$2)*IFERROR(VLOOKUP(J70,Tabla11[],4,0),0)-AB70-Z70</f>
        <v>128372.77768738069</v>
      </c>
      <c r="AD70" s="30">
        <f t="shared" si="20"/>
        <v>383614.06317224842</v>
      </c>
      <c r="AE70" s="30">
        <f t="shared" si="21"/>
        <v>255241.28548486801</v>
      </c>
    </row>
    <row r="71" spans="1:31" x14ac:dyDescent="0.3">
      <c r="A71" s="29"/>
      <c r="B71" s="29" t="s">
        <v>209</v>
      </c>
      <c r="C71" s="32"/>
      <c r="D71" s="29"/>
      <c r="E71" s="29" t="s">
        <v>209</v>
      </c>
      <c r="F71" s="32"/>
      <c r="G71" s="32">
        <v>3</v>
      </c>
      <c r="H71" s="32" t="s">
        <v>292</v>
      </c>
      <c r="I71" s="32" t="s">
        <v>323</v>
      </c>
      <c r="J71" s="32" t="s">
        <v>214</v>
      </c>
      <c r="K71" s="32" t="s">
        <v>247</v>
      </c>
      <c r="L71" s="29">
        <f>IFERROR(VLOOKUP(CONCATENATE(J71,K71),Ventas!D:H,4,0),0)</f>
        <v>1555424.577459452</v>
      </c>
      <c r="M71" s="29">
        <f t="shared" si="22"/>
        <v>0</v>
      </c>
      <c r="N71" s="41">
        <f t="shared" si="15"/>
        <v>1555424.577459452</v>
      </c>
      <c r="O71" s="29">
        <f>N71*IFERROR(VLOOKUP(J71,Tabla11[],3,0),0)</f>
        <v>544398.60211080813</v>
      </c>
      <c r="P71" s="29">
        <f t="shared" si="16"/>
        <v>1011025.9753486438</v>
      </c>
      <c r="Q71" s="29">
        <f>IFERROR(G71/SUMIF(I:I,I71,G:G),0)*VLOOKUP(H71,Modelos[],14,0)+IFERROR(G71/SUMIF(I:I,I71,G:G),0)*VLOOKUP(I71,Tabla13[],2,0)</f>
        <v>69504.987620192318</v>
      </c>
      <c r="R71" s="29">
        <f>IFERROR(VLOOKUP(A71,Modelos[],IF(B71="EST",15,14),0),0)*C71</f>
        <v>0</v>
      </c>
      <c r="S71" s="29">
        <f>IFERROR(VLOOKUP(D71,Modelos[],IF(E71="EST",15,14),0),0)*F71</f>
        <v>0</v>
      </c>
      <c r="T71" s="29">
        <f>IF($L71&lt;0,0,IFERROR((T$2*IFERROR(VLOOKUP(J71,Tabla11[],2,0),0))*($L71/SUM($L$5:$L$46)),0))</f>
        <v>14684.571597419419</v>
      </c>
      <c r="U71" s="29">
        <f>IF($L71&lt;0,0,IFERROR((U$2*IFERROR(VLOOKUP(J71,Tabla11[],2,0),0))*($L71/SUM($L$5:$L$46)),0))</f>
        <v>2855.3333661648871</v>
      </c>
      <c r="V71" s="29">
        <f>IF($L71&lt;0,0,IFERROR((V$2*IFERROR(VLOOKUP(J71,Tabla11[],2,0),0))*($L71/SUM($L$5:$L$46)),0))</f>
        <v>14684.571597419419</v>
      </c>
      <c r="W71" s="29">
        <f>IF($L71&lt;0,0,IFERROR((W$2*IFERROR(VLOOKUP(J71,Tabla11[],2,0),0))*($L71/SUM($L$5:$L$46)),0))</f>
        <v>20395.238329749194</v>
      </c>
      <c r="X71" s="29">
        <f t="shared" si="17"/>
        <v>404410.39013945754</v>
      </c>
      <c r="Y71" s="29">
        <f>+X71*IFERROR(VLOOKUP(J71,Tabla11[],4,0),0)</f>
        <v>60661.558520918625</v>
      </c>
      <c r="Z71" s="29">
        <f t="shared" si="18"/>
        <v>25833.333333333332</v>
      </c>
      <c r="AA71" s="29">
        <f t="shared" si="19"/>
        <v>397995.99084398907</v>
      </c>
      <c r="AB71" s="29">
        <f>IF($L71&lt;0,0,IFERROR((AB$2*IFERROR(VLOOKUP(J71,Tabla11[],2,0),0))*($L71/SUM($L$5:$L$46)),0))</f>
        <v>23422.621632729464</v>
      </c>
      <c r="AC71" s="29">
        <f>L71-L71*IFERROR(VLOOKUP(J71,Tabla11[],3,0),0)-Q71-T71-U71-V71-W71-L71*$X$2-(L71*$X$2)*IFERROR(VLOOKUP(J71,Tabla11[],4,0),0)-AB71-Z71</f>
        <v>124150.01224028778</v>
      </c>
      <c r="AD71" s="29">
        <f t="shared" si="20"/>
        <v>374573.36921125959</v>
      </c>
      <c r="AE71" s="29">
        <f t="shared" si="21"/>
        <v>250423.356970972</v>
      </c>
    </row>
    <row r="72" spans="1:31" x14ac:dyDescent="0.3">
      <c r="A72" s="30"/>
      <c r="B72" s="30" t="s">
        <v>209</v>
      </c>
      <c r="C72" s="33"/>
      <c r="D72" s="30"/>
      <c r="E72" s="30" t="s">
        <v>209</v>
      </c>
      <c r="F72" s="33"/>
      <c r="G72" s="33">
        <v>3</v>
      </c>
      <c r="H72" s="33" t="s">
        <v>292</v>
      </c>
      <c r="I72" s="33" t="s">
        <v>325</v>
      </c>
      <c r="J72" s="33" t="s">
        <v>214</v>
      </c>
      <c r="K72" s="33" t="s">
        <v>28</v>
      </c>
      <c r="L72" s="29">
        <f>IFERROR(VLOOKUP(CONCATENATE(J72,K72),Ventas!D:H,4,0),0)</f>
        <v>1429348.568361009</v>
      </c>
      <c r="M72" s="30">
        <f t="shared" si="22"/>
        <v>0</v>
      </c>
      <c r="N72" s="42">
        <f t="shared" si="15"/>
        <v>1429348.568361009</v>
      </c>
      <c r="O72" s="30">
        <f>N72*IFERROR(VLOOKUP(J72,Tabla11[],3,0),0)</f>
        <v>500271.99892635312</v>
      </c>
      <c r="P72" s="30">
        <f t="shared" si="16"/>
        <v>929076.56943465583</v>
      </c>
      <c r="Q72" s="29">
        <f>IFERROR(G72/SUMIF(I:I,I72,G:G),0)*VLOOKUP(H72,Modelos[],14,0)+IFERROR(G72/SUMIF(I:I,I72,G:G),0)*VLOOKUP(I72,Tabla13[],2,0)</f>
        <v>73262.013978040544</v>
      </c>
      <c r="R72" s="30">
        <f>IFERROR(VLOOKUP(A72,Modelos[],IF(B72="EST",15,14),0),0)*C72</f>
        <v>0</v>
      </c>
      <c r="S72" s="30">
        <f>IFERROR(VLOOKUP(D72,Modelos[],IF(E72="EST",15,14),0),0)*F72</f>
        <v>0</v>
      </c>
      <c r="T72" s="30">
        <f>IF($L72&lt;0,0,IFERROR((T$2*IFERROR(VLOOKUP(J72,Tabla11[],2,0),0))*($L72/SUM($L$5:$L$46)),0))</f>
        <v>13494.303545112491</v>
      </c>
      <c r="U72" s="30">
        <f>IF($L72&lt;0,0,IFERROR((U$2*IFERROR(VLOOKUP(J72,Tabla11[],2,0),0))*($L72/SUM($L$5:$L$46)),0))</f>
        <v>2623.8923559940959</v>
      </c>
      <c r="V72" s="30">
        <f>IF($L72&lt;0,0,IFERROR((V$2*IFERROR(VLOOKUP(J72,Tabla11[],2,0),0))*($L72/SUM($L$5:$L$46)),0))</f>
        <v>13494.303545112491</v>
      </c>
      <c r="W72" s="30">
        <f>IF($L72&lt;0,0,IFERROR((W$2*IFERROR(VLOOKUP(J72,Tabla11[],2,0),0))*($L72/SUM($L$5:$L$46)),0))</f>
        <v>18742.088257100684</v>
      </c>
      <c r="X72" s="30">
        <f t="shared" si="17"/>
        <v>371630.62777386233</v>
      </c>
      <c r="Y72" s="30">
        <f>+X72*IFERROR(VLOOKUP(J72,Tabla11[],4,0),0)</f>
        <v>55744.594166079347</v>
      </c>
      <c r="Z72" s="30">
        <f t="shared" si="18"/>
        <v>25833.333333333332</v>
      </c>
      <c r="AA72" s="30">
        <f t="shared" si="19"/>
        <v>354251.41248002055</v>
      </c>
      <c r="AB72" s="30">
        <f>IF($L72&lt;0,0,IFERROR((AB$2*IFERROR(VLOOKUP(J72,Tabla11[],2,0),0))*($L72/SUM($L$5:$L$46)),0))</f>
        <v>21524.084923928891</v>
      </c>
      <c r="AC72" s="30">
        <f>L72-L72*IFERROR(VLOOKUP(J72,Tabla11[],3,0),0)-Q72-T72-U72-V72-W72-L72*$X$2-(L72*$X$2)*IFERROR(VLOOKUP(J72,Tabla11[],4,0),0)-AB72-Z72</f>
        <v>102602.20804996921</v>
      </c>
      <c r="AD72" s="30">
        <f t="shared" si="20"/>
        <v>332727.32755609165</v>
      </c>
      <c r="AE72" s="30">
        <f t="shared" si="21"/>
        <v>230125.11950612199</v>
      </c>
    </row>
    <row r="73" spans="1:31" x14ac:dyDescent="0.3">
      <c r="A73" s="29"/>
      <c r="B73" s="29" t="s">
        <v>209</v>
      </c>
      <c r="C73" s="32"/>
      <c r="D73" s="29"/>
      <c r="E73" s="29" t="s">
        <v>209</v>
      </c>
      <c r="F73" s="32"/>
      <c r="G73" s="32">
        <v>3</v>
      </c>
      <c r="H73" s="32" t="s">
        <v>292</v>
      </c>
      <c r="I73" s="32" t="s">
        <v>325</v>
      </c>
      <c r="J73" s="32" t="s">
        <v>214</v>
      </c>
      <c r="K73" s="32" t="s">
        <v>248</v>
      </c>
      <c r="L73" s="29">
        <f>IFERROR(VLOOKUP(CONCATENATE(J73,K73),Ventas!D:H,4,0),0)</f>
        <v>1413315.8952922574</v>
      </c>
      <c r="M73" s="29">
        <f t="shared" si="22"/>
        <v>0</v>
      </c>
      <c r="N73" s="41">
        <f t="shared" si="15"/>
        <v>1413315.8952922574</v>
      </c>
      <c r="O73" s="29">
        <f>N73*IFERROR(VLOOKUP(J73,Tabla11[],3,0),0)</f>
        <v>494660.56335229008</v>
      </c>
      <c r="P73" s="29">
        <f t="shared" si="16"/>
        <v>918655.33193996735</v>
      </c>
      <c r="Q73" s="29">
        <f>IFERROR(G73/SUMIF(I:I,I73,G:G),0)*VLOOKUP(H73,Modelos[],14,0)+IFERROR(G73/SUMIF(I:I,I73,G:G),0)*VLOOKUP(I73,Tabla13[],2,0)</f>
        <v>73262.013978040544</v>
      </c>
      <c r="R73" s="29">
        <f>IFERROR(VLOOKUP(A73,Modelos[],IF(B73="EST",15,14),0),0)*C73</f>
        <v>0</v>
      </c>
      <c r="S73" s="29">
        <f>IFERROR(VLOOKUP(D73,Modelos[],IF(E73="EST",15,14),0),0)*F73</f>
        <v>0</v>
      </c>
      <c r="T73" s="29">
        <f>IF($L73&lt;0,0,IFERROR((T$2*IFERROR(VLOOKUP(J73,Tabla11[],2,0),0))*($L73/SUM($L$5:$L$46)),0))</f>
        <v>13342.941056061016</v>
      </c>
      <c r="U73" s="29">
        <f>IF($L73&lt;0,0,IFERROR((U$2*IFERROR(VLOOKUP(J73,Tabla11[],2,0),0))*($L73/SUM($L$5:$L$46)),0))</f>
        <v>2594.4607609007535</v>
      </c>
      <c r="V73" s="29">
        <f>IF($L73&lt;0,0,IFERROR((V$2*IFERROR(VLOOKUP(J73,Tabla11[],2,0),0))*($L73/SUM($L$5:$L$46)),0))</f>
        <v>13342.941056061016</v>
      </c>
      <c r="W73" s="29">
        <f>IF($L73&lt;0,0,IFERROR((W$2*IFERROR(VLOOKUP(J73,Tabla11[],2,0),0))*($L73/SUM($L$5:$L$46)),0))</f>
        <v>18531.862577862521</v>
      </c>
      <c r="X73" s="29">
        <f t="shared" si="17"/>
        <v>367462.13277598697</v>
      </c>
      <c r="Y73" s="29">
        <f>+X73*IFERROR(VLOOKUP(J73,Tabla11[],4,0),0)</f>
        <v>55119.319916398046</v>
      </c>
      <c r="Z73" s="29">
        <f t="shared" si="18"/>
        <v>25833.333333333332</v>
      </c>
      <c r="AA73" s="29">
        <f t="shared" si="19"/>
        <v>349166.32648532314</v>
      </c>
      <c r="AB73" s="29">
        <f>IF($L73&lt;0,0,IFERROR((AB$2*IFERROR(VLOOKUP(J73,Tabla11[],2,0),0))*($L73/SUM($L$5:$L$46)),0))</f>
        <v>21282.654230025375</v>
      </c>
      <c r="AC73" s="29">
        <f>L73-L73*IFERROR(VLOOKUP(J73,Tabla11[],3,0),0)-Q73-T73-U73-V73-W73-L73*$X$2-(L73*$X$2)*IFERROR(VLOOKUP(J73,Tabla11[],4,0),0)-AB73-Z73</f>
        <v>100339.81311324419</v>
      </c>
      <c r="AD73" s="29">
        <f t="shared" si="20"/>
        <v>327883.67225529777</v>
      </c>
      <c r="AE73" s="29">
        <f t="shared" si="21"/>
        <v>227543.85914205399</v>
      </c>
    </row>
    <row r="74" spans="1:31" x14ac:dyDescent="0.3">
      <c r="A74" s="30"/>
      <c r="B74" s="30" t="s">
        <v>209</v>
      </c>
      <c r="C74" s="33"/>
      <c r="D74" s="30"/>
      <c r="E74" s="30" t="s">
        <v>209</v>
      </c>
      <c r="F74" s="33"/>
      <c r="G74" s="33">
        <v>3</v>
      </c>
      <c r="H74" s="33" t="s">
        <v>292</v>
      </c>
      <c r="I74" s="33" t="s">
        <v>323</v>
      </c>
      <c r="J74" s="33" t="s">
        <v>214</v>
      </c>
      <c r="K74" s="33" t="s">
        <v>249</v>
      </c>
      <c r="L74" s="29">
        <f>IFERROR(VLOOKUP(CONCATENATE(J74,K74),Ventas!D:H,4,0),0)</f>
        <v>1632686.4913447243</v>
      </c>
      <c r="M74" s="30">
        <f t="shared" si="22"/>
        <v>0</v>
      </c>
      <c r="N74" s="42">
        <f t="shared" si="15"/>
        <v>1632686.4913447243</v>
      </c>
      <c r="O74" s="30">
        <f>N74*IFERROR(VLOOKUP(J74,Tabla11[],3,0),0)</f>
        <v>571440.27197065344</v>
      </c>
      <c r="P74" s="30">
        <f t="shared" si="16"/>
        <v>1061246.2193740709</v>
      </c>
      <c r="Q74" s="29">
        <f>IFERROR(G74/SUMIF(I:I,I74,G:G),0)*VLOOKUP(H74,Modelos[],14,0)+IFERROR(G74/SUMIF(I:I,I74,G:G),0)*VLOOKUP(I74,Tabla13[],2,0)</f>
        <v>69504.987620192318</v>
      </c>
      <c r="R74" s="30">
        <f>IFERROR(VLOOKUP(A74,Modelos[],IF(B74="EST",15,14),0),0)*C74</f>
        <v>0</v>
      </c>
      <c r="S74" s="30">
        <f>IFERROR(VLOOKUP(D74,Modelos[],IF(E74="EST",15,14),0),0)*F74</f>
        <v>0</v>
      </c>
      <c r="T74" s="30">
        <f>IF($L74&lt;0,0,IFERROR((T$2*IFERROR(VLOOKUP(J74,Tabla11[],2,0),0))*($L74/SUM($L$5:$L$46)),0))</f>
        <v>15413.991797307903</v>
      </c>
      <c r="U74" s="30">
        <f>IF($L74&lt;0,0,IFERROR((U$2*IFERROR(VLOOKUP(J74,Tabla11[],2,0),0))*($L74/SUM($L$5:$L$46)),0))</f>
        <v>2997.1650716987592</v>
      </c>
      <c r="V74" s="30">
        <f>IF($L74&lt;0,0,IFERROR((V$2*IFERROR(VLOOKUP(J74,Tabla11[],2,0),0))*($L74/SUM($L$5:$L$46)),0))</f>
        <v>15413.991797307903</v>
      </c>
      <c r="W74" s="30">
        <f>IF($L74&lt;0,0,IFERROR((W$2*IFERROR(VLOOKUP(J74,Tabla11[],2,0),0))*($L74/SUM($L$5:$L$46)),0))</f>
        <v>21408.32194070542</v>
      </c>
      <c r="X74" s="30">
        <f t="shared" si="17"/>
        <v>424498.48774962837</v>
      </c>
      <c r="Y74" s="30">
        <f>+X74*IFERROR(VLOOKUP(J74,Tabla11[],4,0),0)</f>
        <v>63674.773162444253</v>
      </c>
      <c r="Z74" s="30">
        <f t="shared" si="18"/>
        <v>25833.333333333332</v>
      </c>
      <c r="AA74" s="30">
        <f t="shared" si="19"/>
        <v>422501.16690145258</v>
      </c>
      <c r="AB74" s="30">
        <f>IF($L74&lt;0,0,IFERROR((AB$2*IFERROR(VLOOKUP(J74,Tabla11[],2,0),0))*($L74/SUM($L$5:$L$46)),0))</f>
        <v>24586.083109280829</v>
      </c>
      <c r="AC74" s="30">
        <f>L74-L74*IFERROR(VLOOKUP(J74,Tabla11[],3,0),0)-Q74-T74-U74-V74-W74-L74*$X$2-(L74*$X$2)*IFERROR(VLOOKUP(J74,Tabla11[],4,0),0)-AB74-Z74</f>
        <v>135052.55868567125</v>
      </c>
      <c r="AD74" s="30">
        <f t="shared" si="20"/>
        <v>397915.08379217173</v>
      </c>
      <c r="AE74" s="30">
        <f t="shared" si="21"/>
        <v>262862.52510650002</v>
      </c>
    </row>
    <row r="75" spans="1:31" x14ac:dyDescent="0.3">
      <c r="A75" s="29"/>
      <c r="B75" s="29" t="s">
        <v>209</v>
      </c>
      <c r="C75" s="32"/>
      <c r="D75" s="29"/>
      <c r="E75" s="29" t="s">
        <v>209</v>
      </c>
      <c r="F75" s="32"/>
      <c r="G75" s="32">
        <v>3</v>
      </c>
      <c r="H75" s="32" t="s">
        <v>291</v>
      </c>
      <c r="I75" s="32" t="s">
        <v>327</v>
      </c>
      <c r="J75" s="32" t="s">
        <v>214</v>
      </c>
      <c r="K75" s="32" t="s">
        <v>250</v>
      </c>
      <c r="L75" s="29">
        <f>IFERROR(VLOOKUP(CONCATENATE(J75,K75),Ventas!D:H,4,0),0)</f>
        <v>458982.59004877019</v>
      </c>
      <c r="M75" s="29">
        <f t="shared" si="22"/>
        <v>0</v>
      </c>
      <c r="N75" s="41">
        <f t="shared" si="15"/>
        <v>458982.59004877019</v>
      </c>
      <c r="O75" s="29">
        <f>N75*IFERROR(VLOOKUP(J75,Tabla11[],3,0),0)</f>
        <v>160643.90651706955</v>
      </c>
      <c r="P75" s="29">
        <f t="shared" si="16"/>
        <v>298338.68353170063</v>
      </c>
      <c r="Q75" s="29">
        <f>IFERROR(G75/SUMIF(I:I,I75,G:G),0)*VLOOKUP(H75,Modelos[],14,0)+IFERROR(G75/SUMIF(I:I,I75,G:G),0)*VLOOKUP(I75,Tabla13[],2,0)</f>
        <v>154942.83460477943</v>
      </c>
      <c r="R75" s="29">
        <f>IFERROR(VLOOKUP(A75,Modelos[],IF(B75="EST",15,14),0),0)*C75</f>
        <v>0</v>
      </c>
      <c r="S75" s="29">
        <f>IFERROR(VLOOKUP(D75,Modelos[],IF(E75="EST",15,14),0),0)*F75</f>
        <v>0</v>
      </c>
      <c r="T75" s="29">
        <f>IF($L75&lt;0,0,IFERROR((T$2*IFERROR(VLOOKUP(J75,Tabla11[],2,0),0))*($L75/SUM($L$5:$L$46)),0))</f>
        <v>4333.1980240076109</v>
      </c>
      <c r="U75" s="29">
        <f>IF($L75&lt;0,0,IFERROR((U$2*IFERROR(VLOOKUP(J75,Tabla11[],2,0),0))*($L75/SUM($L$5:$L$46)),0))</f>
        <v>842.56628244592457</v>
      </c>
      <c r="V75" s="29">
        <f>IF($L75&lt;0,0,IFERROR((V$2*IFERROR(VLOOKUP(J75,Tabla11[],2,0),0))*($L75/SUM($L$5:$L$46)),0))</f>
        <v>4333.1980240076109</v>
      </c>
      <c r="W75" s="29">
        <f>IF($L75&lt;0,0,IFERROR((W$2*IFERROR(VLOOKUP(J75,Tabla11[],2,0),0))*($L75/SUM($L$5:$L$46)),0))</f>
        <v>6018.3305888994601</v>
      </c>
      <c r="X75" s="29">
        <f t="shared" si="17"/>
        <v>119335.47341268027</v>
      </c>
      <c r="Y75" s="29">
        <f>+X75*IFERROR(VLOOKUP(J75,Tabla11[],4,0),0)</f>
        <v>17900.32101190204</v>
      </c>
      <c r="Z75" s="29">
        <f t="shared" si="18"/>
        <v>25833.333333333332</v>
      </c>
      <c r="AA75" s="29">
        <f t="shared" si="19"/>
        <v>-35200.571750355011</v>
      </c>
      <c r="AB75" s="29">
        <f>IF($L75&lt;0,0,IFERROR((AB$2*IFERROR(VLOOKUP(J75,Tabla11[],2,0),0))*($L75/SUM($L$5:$L$46)),0))</f>
        <v>6911.6662411763755</v>
      </c>
      <c r="AC75" s="29">
        <f>L75-L75*IFERROR(VLOOKUP(J75,Tabla11[],3,0),0)-Q75-T75-U75-V75-W75-L75*$X$2-(L75*$X$2)*IFERROR(VLOOKUP(J75,Tabla11[],4,0),0)-AB75-Z75</f>
        <v>-116008.4349893834</v>
      </c>
      <c r="AD75" s="29">
        <f t="shared" si="20"/>
        <v>-42112.237991531387</v>
      </c>
      <c r="AE75" s="29">
        <f t="shared" si="21"/>
        <v>73896.196997852006</v>
      </c>
    </row>
    <row r="76" spans="1:31" x14ac:dyDescent="0.3">
      <c r="A76" s="30"/>
      <c r="B76" s="30" t="s">
        <v>209</v>
      </c>
      <c r="C76" s="33"/>
      <c r="D76" s="30"/>
      <c r="E76" s="30" t="s">
        <v>209</v>
      </c>
      <c r="F76" s="33"/>
      <c r="G76" s="33">
        <v>3</v>
      </c>
      <c r="H76" s="33" t="s">
        <v>291</v>
      </c>
      <c r="I76" s="33" t="s">
        <v>20</v>
      </c>
      <c r="J76" s="33" t="s">
        <v>214</v>
      </c>
      <c r="K76" s="33" t="s">
        <v>177</v>
      </c>
      <c r="L76" s="29">
        <f>IFERROR(VLOOKUP(CONCATENATE(J76,K76),Ventas!D:H,4,0),0)</f>
        <v>630502.55297684157</v>
      </c>
      <c r="M76" s="30">
        <f t="shared" si="22"/>
        <v>0</v>
      </c>
      <c r="N76" s="42">
        <f t="shared" si="15"/>
        <v>630502.55297684157</v>
      </c>
      <c r="O76" s="30">
        <f>N76*IFERROR(VLOOKUP(J76,Tabla11[],3,0),0)</f>
        <v>220675.89354189453</v>
      </c>
      <c r="P76" s="30">
        <f t="shared" si="16"/>
        <v>409826.65943494707</v>
      </c>
      <c r="Q76" s="29">
        <f>IFERROR(G76/SUMIF(I:I,I76,G:G),0)*VLOOKUP(H76,Modelos[],14,0)+IFERROR(G76/SUMIF(I:I,I76,G:G),0)*VLOOKUP(I76,Tabla13[],2,0)</f>
        <v>161601.87921875002</v>
      </c>
      <c r="R76" s="30">
        <f>IFERROR(VLOOKUP(A76,Modelos[],IF(B76="EST",15,14),0),0)*C76</f>
        <v>0</v>
      </c>
      <c r="S76" s="30">
        <f>IFERROR(VLOOKUP(D76,Modelos[],IF(E76="EST",15,14),0),0)*F76</f>
        <v>0</v>
      </c>
      <c r="T76" s="30">
        <f>IF($L76&lt;0,0,IFERROR((T$2*IFERROR(VLOOKUP(J76,Tabla11[],2,0),0))*($L76/SUM($L$5:$L$46)),0))</f>
        <v>5952.4968395875321</v>
      </c>
      <c r="U76" s="30">
        <f>IF($L76&lt;0,0,IFERROR((U$2*IFERROR(VLOOKUP(J76,Tabla11[],2,0),0))*($L76/SUM($L$5:$L$46)),0))</f>
        <v>1157.4299410309093</v>
      </c>
      <c r="V76" s="30">
        <f>IF($L76&lt;0,0,IFERROR((V$2*IFERROR(VLOOKUP(J76,Tabla11[],2,0),0))*($L76/SUM($L$5:$L$46)),0))</f>
        <v>5952.4968395875321</v>
      </c>
      <c r="W76" s="30">
        <f>IF($L76&lt;0,0,IFERROR((W$2*IFERROR(VLOOKUP(J76,Tabla11[],2,0),0))*($L76/SUM($L$5:$L$46)),0))</f>
        <v>8267.3567216493502</v>
      </c>
      <c r="X76" s="30">
        <f t="shared" si="17"/>
        <v>163930.66377397883</v>
      </c>
      <c r="Y76" s="30">
        <f>+X76*IFERROR(VLOOKUP(J76,Tabla11[],4,0),0)</f>
        <v>24589.599566096822</v>
      </c>
      <c r="Z76" s="30">
        <f t="shared" si="18"/>
        <v>25833.333333333332</v>
      </c>
      <c r="AA76" s="30">
        <f t="shared" si="19"/>
        <v>12541.403200932778</v>
      </c>
      <c r="AB76" s="30">
        <f>IF($L76&lt;0,0,IFERROR((AB$2*IFERROR(VLOOKUP(J76,Tabla11[],2,0),0))*($L76/SUM($L$5:$L$46)),0))</f>
        <v>9494.528343487942</v>
      </c>
      <c r="AC76" s="30">
        <f>L76-L76*IFERROR(VLOOKUP(J76,Tabla11[],3,0),0)-Q76-T76-U76-V76-W76-L76*$X$2-(L76*$X$2)*IFERROR(VLOOKUP(J76,Tabla11[],4,0),0)-AB76-Z76</f>
        <v>-98464.036171826679</v>
      </c>
      <c r="AD76" s="30">
        <f t="shared" si="20"/>
        <v>3046.8748574448364</v>
      </c>
      <c r="AE76" s="30">
        <f t="shared" si="21"/>
        <v>101510.911029272</v>
      </c>
    </row>
    <row r="77" spans="1:31" x14ac:dyDescent="0.3">
      <c r="A77" s="29"/>
      <c r="B77" s="29" t="s">
        <v>209</v>
      </c>
      <c r="C77" s="32"/>
      <c r="D77" s="29"/>
      <c r="E77" s="29" t="s">
        <v>209</v>
      </c>
      <c r="F77" s="32"/>
      <c r="G77" s="32">
        <v>3</v>
      </c>
      <c r="H77" s="32" t="s">
        <v>292</v>
      </c>
      <c r="I77" s="32" t="s">
        <v>323</v>
      </c>
      <c r="J77" s="32" t="s">
        <v>214</v>
      </c>
      <c r="K77" s="32" t="s">
        <v>29</v>
      </c>
      <c r="L77" s="29">
        <f>IFERROR(VLOOKUP(CONCATENATE(J77,K77),Ventas!D:H,4,0),0)</f>
        <v>1210110.7546144607</v>
      </c>
      <c r="M77" s="29">
        <f t="shared" si="22"/>
        <v>0</v>
      </c>
      <c r="N77" s="41">
        <f t="shared" si="15"/>
        <v>1210110.7546144607</v>
      </c>
      <c r="O77" s="29">
        <f>N77*IFERROR(VLOOKUP(J77,Tabla11[],3,0),0)</f>
        <v>423538.76411506126</v>
      </c>
      <c r="P77" s="29">
        <f t="shared" si="16"/>
        <v>786571.99049939949</v>
      </c>
      <c r="Q77" s="29">
        <f>IFERROR(G77/SUMIF(I:I,I77,G:G),0)*VLOOKUP(H77,Modelos[],14,0)+IFERROR(G77/SUMIF(I:I,I77,G:G),0)*VLOOKUP(I77,Tabla13[],2,0)</f>
        <v>69504.987620192318</v>
      </c>
      <c r="R77" s="29">
        <f>IFERROR(VLOOKUP(A77,Modelos[],IF(B77="EST",15,14),0),0)*C77</f>
        <v>0</v>
      </c>
      <c r="S77" s="29">
        <f>IFERROR(VLOOKUP(D77,Modelos[],IF(E77="EST",15,14),0),0)*F77</f>
        <v>0</v>
      </c>
      <c r="T77" s="29">
        <f>IF($L77&lt;0,0,IFERROR((T$2*IFERROR(VLOOKUP(J77,Tabla11[],2,0),0))*($L77/SUM($L$5:$L$46)),0))</f>
        <v>11424.506385239069</v>
      </c>
      <c r="U77" s="29">
        <f>IF($L77&lt;0,0,IFERROR((U$2*IFERROR(VLOOKUP(J77,Tabla11[],2,0),0))*($L77/SUM($L$5:$L$46)),0))</f>
        <v>2221.4317971298192</v>
      </c>
      <c r="V77" s="29">
        <f>IF($L77&lt;0,0,IFERROR((V$2*IFERROR(VLOOKUP(J77,Tabla11[],2,0),0))*($L77/SUM($L$5:$L$46)),0))</f>
        <v>11424.506385239069</v>
      </c>
      <c r="W77" s="29">
        <f>IF($L77&lt;0,0,IFERROR((W$2*IFERROR(VLOOKUP(J77,Tabla11[],2,0),0))*($L77/SUM($L$5:$L$46)),0))</f>
        <v>15867.369979498708</v>
      </c>
      <c r="X77" s="29">
        <f t="shared" si="17"/>
        <v>314628.79619975982</v>
      </c>
      <c r="Y77" s="29">
        <f>+X77*IFERROR(VLOOKUP(J77,Tabla11[],4,0),0)</f>
        <v>47194.319429963973</v>
      </c>
      <c r="Z77" s="29">
        <f t="shared" si="18"/>
        <v>25833.333333333332</v>
      </c>
      <c r="AA77" s="29">
        <f t="shared" si="19"/>
        <v>288472.73936904344</v>
      </c>
      <c r="AB77" s="29">
        <f>IF($L77&lt;0,0,IFERROR((AB$2*IFERROR(VLOOKUP(J77,Tabla11[],2,0),0))*($L77/SUM($L$5:$L$46)),0))</f>
        <v>18222.655569276638</v>
      </c>
      <c r="AC77" s="29">
        <f>L77-L77*IFERROR(VLOOKUP(J77,Tabla11[],3,0),0)-Q77-T77-U77-V77-W77-L77*$X$2-(L77*$X$2)*IFERROR(VLOOKUP(J77,Tabla11[],4,0),0)-AB77-Z77</f>
        <v>75422.252306838607</v>
      </c>
      <c r="AD77" s="29">
        <f t="shared" si="20"/>
        <v>270250.08379976678</v>
      </c>
      <c r="AE77" s="29">
        <f t="shared" si="21"/>
        <v>194827.831492928</v>
      </c>
    </row>
    <row r="78" spans="1:31" x14ac:dyDescent="0.3">
      <c r="A78" s="30"/>
      <c r="B78" s="30" t="s">
        <v>209</v>
      </c>
      <c r="C78" s="33"/>
      <c r="D78" s="30"/>
      <c r="E78" s="30" t="s">
        <v>209</v>
      </c>
      <c r="F78" s="33"/>
      <c r="G78" s="33">
        <v>3</v>
      </c>
      <c r="H78" s="33" t="s">
        <v>292</v>
      </c>
      <c r="I78" s="33" t="s">
        <v>323</v>
      </c>
      <c r="J78" s="33" t="s">
        <v>214</v>
      </c>
      <c r="K78" s="33" t="s">
        <v>251</v>
      </c>
      <c r="L78" s="29">
        <f>IFERROR(VLOOKUP(CONCATENATE(J78,K78),Ventas!D:H,4,0),0)</f>
        <v>971037.00317964691</v>
      </c>
      <c r="M78" s="30">
        <f t="shared" si="22"/>
        <v>0</v>
      </c>
      <c r="N78" s="42">
        <f t="shared" si="15"/>
        <v>971037.00317964691</v>
      </c>
      <c r="O78" s="30">
        <f>N78*IFERROR(VLOOKUP(J78,Tabla11[],3,0),0)</f>
        <v>339862.95111287641</v>
      </c>
      <c r="P78" s="30">
        <f t="shared" si="16"/>
        <v>631174.0520667705</v>
      </c>
      <c r="Q78" s="29">
        <f>IFERROR(G78/SUMIF(I:I,I78,G:G),0)*VLOOKUP(H78,Modelos[],14,0)+IFERROR(G78/SUMIF(I:I,I78,G:G),0)*VLOOKUP(I78,Tabla13[],2,0)</f>
        <v>69504.987620192318</v>
      </c>
      <c r="R78" s="30">
        <f>IFERROR(VLOOKUP(A78,Modelos[],IF(B78="EST",15,14),0),0)*C78</f>
        <v>0</v>
      </c>
      <c r="S78" s="30">
        <f>IFERROR(VLOOKUP(D78,Modelos[],IF(E78="EST",15,14),0),0)*F78</f>
        <v>0</v>
      </c>
      <c r="T78" s="30">
        <f>IF($L78&lt;0,0,IFERROR((T$2*IFERROR(VLOOKUP(J78,Tabla11[],2,0),0))*($L78/SUM($L$5:$L$46)),0))</f>
        <v>9167.4405841171902</v>
      </c>
      <c r="U78" s="30">
        <f>IF($L78&lt;0,0,IFERROR((U$2*IFERROR(VLOOKUP(J78,Tabla11[],2,0),0))*($L78/SUM($L$5:$L$46)),0))</f>
        <v>1782.5578913561205</v>
      </c>
      <c r="V78" s="30">
        <f>IF($L78&lt;0,0,IFERROR((V$2*IFERROR(VLOOKUP(J78,Tabla11[],2,0),0))*($L78/SUM($L$5:$L$46)),0))</f>
        <v>9167.4405841171902</v>
      </c>
      <c r="W78" s="30">
        <f>IF($L78&lt;0,0,IFERROR((W$2*IFERROR(VLOOKUP(J78,Tabla11[],2,0),0))*($L78/SUM($L$5:$L$46)),0))</f>
        <v>12732.556366829431</v>
      </c>
      <c r="X78" s="30">
        <f t="shared" si="17"/>
        <v>252469.62082670821</v>
      </c>
      <c r="Y78" s="30">
        <f>+X78*IFERROR(VLOOKUP(J78,Tabla11[],4,0),0)</f>
        <v>37870.443124006233</v>
      </c>
      <c r="Z78" s="30">
        <f t="shared" si="18"/>
        <v>25833.333333333332</v>
      </c>
      <c r="AA78" s="30">
        <f t="shared" si="19"/>
        <v>212645.67173611047</v>
      </c>
      <c r="AB78" s="30">
        <f>IF($L78&lt;0,0,IFERROR((AB$2*IFERROR(VLOOKUP(J78,Tabla11[],2,0),0))*($L78/SUM($L$5:$L$46)),0))</f>
        <v>14622.523423157943</v>
      </c>
      <c r="AC78" s="30">
        <f>L78-L78*IFERROR(VLOOKUP(J78,Tabla11[],3,0),0)-Q78-T78-U78-V78-W78-L78*$X$2-(L78*$X$2)*IFERROR(VLOOKUP(J78,Tabla11[],4,0),0)-AB78-Z78</f>
        <v>41686.190801029268</v>
      </c>
      <c r="AD78" s="30">
        <f t="shared" si="20"/>
        <v>198023.14831295251</v>
      </c>
      <c r="AE78" s="30">
        <f t="shared" si="21"/>
        <v>156336.95751192301</v>
      </c>
    </row>
    <row r="79" spans="1:31" x14ac:dyDescent="0.3">
      <c r="A79" s="29"/>
      <c r="B79" s="29" t="s">
        <v>209</v>
      </c>
      <c r="C79" s="32"/>
      <c r="D79" s="29"/>
      <c r="E79" s="29" t="s">
        <v>209</v>
      </c>
      <c r="F79" s="32"/>
      <c r="G79" s="32">
        <v>3</v>
      </c>
      <c r="H79" s="32" t="s">
        <v>292</v>
      </c>
      <c r="I79" s="32" t="s">
        <v>325</v>
      </c>
      <c r="J79" s="32" t="s">
        <v>214</v>
      </c>
      <c r="K79" s="32" t="s">
        <v>252</v>
      </c>
      <c r="L79" s="29">
        <f>IFERROR(VLOOKUP(CONCATENATE(J79,K79),Ventas!D:H,4,0),0)</f>
        <v>364660.52096561762</v>
      </c>
      <c r="M79" s="29">
        <f t="shared" si="22"/>
        <v>0</v>
      </c>
      <c r="N79" s="41">
        <f t="shared" si="15"/>
        <v>364660.52096561762</v>
      </c>
      <c r="O79" s="29">
        <f>N79*IFERROR(VLOOKUP(J79,Tabla11[],3,0),0)</f>
        <v>127631.18233796615</v>
      </c>
      <c r="P79" s="29">
        <f t="shared" si="16"/>
        <v>237029.33862765145</v>
      </c>
      <c r="Q79" s="29">
        <f>IFERROR(G79/SUMIF(I:I,I79,G:G),0)*VLOOKUP(H79,Modelos[],14,0)+IFERROR(G79/SUMIF(I:I,I79,G:G),0)*VLOOKUP(I79,Tabla13[],2,0)</f>
        <v>73262.013978040544</v>
      </c>
      <c r="R79" s="29">
        <f>IFERROR(VLOOKUP(A79,Modelos[],IF(B79="EST",15,14),0),0)*C79</f>
        <v>0</v>
      </c>
      <c r="S79" s="29">
        <f>IFERROR(VLOOKUP(D79,Modelos[],IF(E79="EST",15,14),0),0)*F79</f>
        <v>0</v>
      </c>
      <c r="T79" s="29">
        <f>IF($L79&lt;0,0,IFERROR((T$2*IFERROR(VLOOKUP(J79,Tabla11[],2,0),0))*($L79/SUM($L$5:$L$46)),0))</f>
        <v>3442.7150030111129</v>
      </c>
      <c r="U79" s="29">
        <f>IF($L79&lt;0,0,IFERROR((U$2*IFERROR(VLOOKUP(J79,Tabla11[],2,0),0))*($L79/SUM($L$5:$L$46)),0))</f>
        <v>669.41680614104985</v>
      </c>
      <c r="V79" s="29">
        <f>IF($L79&lt;0,0,IFERROR((V$2*IFERROR(VLOOKUP(J79,Tabla11[],2,0),0))*($L79/SUM($L$5:$L$46)),0))</f>
        <v>3442.7150030111129</v>
      </c>
      <c r="W79" s="29">
        <f>IF($L79&lt;0,0,IFERROR((W$2*IFERROR(VLOOKUP(J79,Tabla11[],2,0),0))*($L79/SUM($L$5:$L$46)),0))</f>
        <v>4781.5486152932126</v>
      </c>
      <c r="X79" s="29">
        <f t="shared" si="17"/>
        <v>94811.73545106058</v>
      </c>
      <c r="Y79" s="29">
        <f>+X79*IFERROR(VLOOKUP(J79,Tabla11[],4,0),0)</f>
        <v>14221.760317659087</v>
      </c>
      <c r="Z79" s="29">
        <f t="shared" si="18"/>
        <v>25833.333333333332</v>
      </c>
      <c r="AA79" s="29">
        <f t="shared" si="19"/>
        <v>16564.100120101415</v>
      </c>
      <c r="AB79" s="29">
        <f>IF($L79&lt;0,0,IFERROR((AB$2*IFERROR(VLOOKUP(J79,Tabla11[],2,0),0))*($L79/SUM($L$5:$L$46)),0))</f>
        <v>5491.3015589110628</v>
      </c>
      <c r="AC79" s="29">
        <f>L79-L79*IFERROR(VLOOKUP(J79,Tabla11[],3,0),0)-Q79-T79-U79-V79-W79-L79*$X$2-(L79*$X$2)*IFERROR(VLOOKUP(J79,Tabla11[],4,0),0)-AB79-Z79</f>
        <v>-47637.545314274066</v>
      </c>
      <c r="AD79" s="29">
        <f t="shared" si="20"/>
        <v>11072.798561190353</v>
      </c>
      <c r="AE79" s="29">
        <f t="shared" si="21"/>
        <v>58710.343875464001</v>
      </c>
    </row>
    <row r="80" spans="1:31" x14ac:dyDescent="0.3">
      <c r="A80" s="30"/>
      <c r="B80" s="30" t="s">
        <v>209</v>
      </c>
      <c r="C80" s="33"/>
      <c r="D80" s="30"/>
      <c r="E80" s="30" t="s">
        <v>209</v>
      </c>
      <c r="F80" s="33"/>
      <c r="G80" s="33">
        <v>3</v>
      </c>
      <c r="H80" s="33" t="s">
        <v>292</v>
      </c>
      <c r="I80" s="33" t="s">
        <v>325</v>
      </c>
      <c r="J80" s="33" t="s">
        <v>214</v>
      </c>
      <c r="K80" s="33" t="s">
        <v>253</v>
      </c>
      <c r="L80" s="29">
        <f>IFERROR(VLOOKUP(CONCATENATE(J80,K80),Ventas!D:H,4,0),0)</f>
        <v>331600.88827546517</v>
      </c>
      <c r="M80" s="30">
        <f t="shared" si="22"/>
        <v>0</v>
      </c>
      <c r="N80" s="42">
        <f t="shared" si="15"/>
        <v>331600.88827546517</v>
      </c>
      <c r="O80" s="30">
        <f>N80*IFERROR(VLOOKUP(J80,Tabla11[],3,0),0)</f>
        <v>116060.3108964128</v>
      </c>
      <c r="P80" s="30">
        <f t="shared" si="16"/>
        <v>215540.57737905235</v>
      </c>
      <c r="Q80" s="29">
        <f>IFERROR(G80/SUMIF(I:I,I80,G:G),0)*VLOOKUP(H80,Modelos[],14,0)+IFERROR(G80/SUMIF(I:I,I80,G:G),0)*VLOOKUP(I80,Tabla13[],2,0)</f>
        <v>73262.013978040544</v>
      </c>
      <c r="R80" s="30">
        <f>IFERROR(VLOOKUP(A80,Modelos[],IF(B80="EST",15,14),0),0)*C80</f>
        <v>0</v>
      </c>
      <c r="S80" s="30">
        <f>IFERROR(VLOOKUP(D80,Modelos[],IF(E80="EST",15,14),0),0)*F80</f>
        <v>0</v>
      </c>
      <c r="T80" s="30">
        <f>IF($L80&lt;0,0,IFERROR((T$2*IFERROR(VLOOKUP(J80,Tabla11[],2,0),0))*($L80/SUM($L$5:$L$46)),0))</f>
        <v>3130.6030881949882</v>
      </c>
      <c r="U80" s="30">
        <f>IF($L80&lt;0,0,IFERROR((U$2*IFERROR(VLOOKUP(J80,Tabla11[],2,0),0))*($L80/SUM($L$5:$L$46)),0))</f>
        <v>608.72837826013665</v>
      </c>
      <c r="V80" s="30">
        <f>IF($L80&lt;0,0,IFERROR((V$2*IFERROR(VLOOKUP(J80,Tabla11[],2,0),0))*($L80/SUM($L$5:$L$46)),0))</f>
        <v>3130.6030881949882</v>
      </c>
      <c r="W80" s="30">
        <f>IF($L80&lt;0,0,IFERROR((W$2*IFERROR(VLOOKUP(J80,Tabla11[],2,0),0))*($L80/SUM($L$5:$L$46)),0))</f>
        <v>4348.0598447152615</v>
      </c>
      <c r="X80" s="30">
        <f t="shared" si="17"/>
        <v>86216.23095162095</v>
      </c>
      <c r="Y80" s="30">
        <f>+X80*IFERROR(VLOOKUP(J80,Tabla11[],4,0),0)</f>
        <v>12932.434642743143</v>
      </c>
      <c r="Z80" s="30">
        <f t="shared" si="18"/>
        <v>25833.333333333332</v>
      </c>
      <c r="AA80" s="30">
        <f t="shared" si="19"/>
        <v>6078.5700739490276</v>
      </c>
      <c r="AB80" s="30">
        <f>IF($L80&lt;0,0,IFERROR((AB$2*IFERROR(VLOOKUP(J80,Tabla11[],2,0),0))*($L80/SUM($L$5:$L$46)),0))</f>
        <v>4993.4675404443969</v>
      </c>
      <c r="AC80" s="30">
        <f>L80-L80*IFERROR(VLOOKUP(J80,Tabla11[],3,0),0)-Q80-T80-U80-V80-W80-L80*$X$2-(L80*$X$2)*IFERROR(VLOOKUP(J80,Tabla11[],4,0),0)-AB80-Z80</f>
        <v>-52302.640478845293</v>
      </c>
      <c r="AD80" s="30">
        <f t="shared" si="20"/>
        <v>1085.1025335046306</v>
      </c>
      <c r="AE80" s="30">
        <f t="shared" si="21"/>
        <v>53387.743012350002</v>
      </c>
    </row>
    <row r="81" spans="1:31" x14ac:dyDescent="0.3">
      <c r="A81" s="29"/>
      <c r="B81" s="29" t="s">
        <v>209</v>
      </c>
      <c r="C81" s="32"/>
      <c r="D81" s="29"/>
      <c r="E81" s="29" t="s">
        <v>209</v>
      </c>
      <c r="F81" s="32"/>
      <c r="G81" s="32">
        <v>3</v>
      </c>
      <c r="H81" s="32" t="s">
        <v>292</v>
      </c>
      <c r="I81" s="32" t="s">
        <v>325</v>
      </c>
      <c r="J81" s="32" t="s">
        <v>214</v>
      </c>
      <c r="K81" s="32" t="s">
        <v>254</v>
      </c>
      <c r="L81" s="29">
        <f>IFERROR(VLOOKUP(CONCATENATE(J81,K81),Ventas!D:H,4,0),0)</f>
        <v>0</v>
      </c>
      <c r="M81" s="29">
        <f t="shared" si="22"/>
        <v>0</v>
      </c>
      <c r="N81" s="41">
        <f t="shared" si="15"/>
        <v>0</v>
      </c>
      <c r="O81" s="29">
        <f>N81*IFERROR(VLOOKUP(J81,Tabla11[],3,0),0)</f>
        <v>0</v>
      </c>
      <c r="P81" s="29">
        <f t="shared" si="16"/>
        <v>0</v>
      </c>
      <c r="Q81" s="29">
        <f>IFERROR(G81/SUMIF(I:I,I81,G:G),0)*VLOOKUP(H81,Modelos[],14,0)+IFERROR(G81/SUMIF(I:I,I81,G:G),0)*VLOOKUP(I81,Tabla13[],2,0)</f>
        <v>73262.013978040544</v>
      </c>
      <c r="R81" s="29">
        <f>IFERROR(VLOOKUP(A81,Modelos[],IF(B81="EST",15,14),0),0)*C81</f>
        <v>0</v>
      </c>
      <c r="S81" s="29">
        <f>IFERROR(VLOOKUP(D81,Modelos[],IF(E81="EST",15,14),0),0)*F81</f>
        <v>0</v>
      </c>
      <c r="T81" s="29">
        <f>IF($L81&lt;0,0,IFERROR((T$2*IFERROR(VLOOKUP(J81,Tabla11[],2,0),0))*($L81/SUM($L$5:$L$46)),0))</f>
        <v>0</v>
      </c>
      <c r="U81" s="29">
        <f>IF($L81&lt;0,0,IFERROR((U$2*IFERROR(VLOOKUP(J81,Tabla11[],2,0),0))*($L81/SUM($L$5:$L$46)),0))</f>
        <v>0</v>
      </c>
      <c r="V81" s="29">
        <f>IF($L81&lt;0,0,IFERROR((V$2*IFERROR(VLOOKUP(J81,Tabla11[],2,0),0))*($L81/SUM($L$5:$L$46)),0))</f>
        <v>0</v>
      </c>
      <c r="W81" s="29">
        <f>IF($L81&lt;0,0,IFERROR((W$2*IFERROR(VLOOKUP(J81,Tabla11[],2,0),0))*($L81/SUM($L$5:$L$46)),0))</f>
        <v>0</v>
      </c>
      <c r="X81" s="29">
        <f t="shared" si="17"/>
        <v>0</v>
      </c>
      <c r="Y81" s="29">
        <f>+X81*IFERROR(VLOOKUP(J81,Tabla11[],4,0),0)</f>
        <v>0</v>
      </c>
      <c r="Z81" s="29">
        <f t="shared" si="18"/>
        <v>0</v>
      </c>
      <c r="AA81" s="29">
        <f t="shared" si="19"/>
        <v>-73262.013978040544</v>
      </c>
      <c r="AB81" s="29">
        <f>IF($L81&lt;0,0,IFERROR((AB$2*IFERROR(VLOOKUP(J81,Tabla11[],2,0),0))*($L81/SUM($L$5:$L$46)),0))</f>
        <v>0</v>
      </c>
      <c r="AC81" s="29">
        <f>L81-L81*IFERROR(VLOOKUP(J81,Tabla11[],3,0),0)-Q81-T81-U81-V81-W81-L81*$X$2-(L81*$X$2)*IFERROR(VLOOKUP(J81,Tabla11[],4,0),0)-AB81-Z81</f>
        <v>-73262.013978040544</v>
      </c>
      <c r="AD81" s="29">
        <f t="shared" si="20"/>
        <v>-73262.013978040544</v>
      </c>
      <c r="AE81" s="29">
        <f t="shared" si="21"/>
        <v>0</v>
      </c>
    </row>
    <row r="82" spans="1:31" x14ac:dyDescent="0.3">
      <c r="A82" s="30"/>
      <c r="B82" s="30" t="s">
        <v>209</v>
      </c>
      <c r="C82" s="33"/>
      <c r="D82" s="30"/>
      <c r="E82" s="30" t="s">
        <v>209</v>
      </c>
      <c r="F82" s="33"/>
      <c r="G82" s="33">
        <v>0</v>
      </c>
      <c r="H82" s="33" t="s">
        <v>292</v>
      </c>
      <c r="I82" s="33" t="s">
        <v>325</v>
      </c>
      <c r="J82" s="33" t="s">
        <v>214</v>
      </c>
      <c r="K82" s="33" t="s">
        <v>255</v>
      </c>
      <c r="L82" s="29">
        <f>IFERROR(VLOOKUP(CONCATENATE(J82,K82),Ventas!D:H,4,0),0)</f>
        <v>0</v>
      </c>
      <c r="M82" s="30">
        <f t="shared" si="22"/>
        <v>0</v>
      </c>
      <c r="N82" s="42">
        <f t="shared" si="15"/>
        <v>0</v>
      </c>
      <c r="O82" s="30">
        <f>N82*IFERROR(VLOOKUP(J82,Tabla11[],3,0),0)</f>
        <v>0</v>
      </c>
      <c r="P82" s="30">
        <f t="shared" si="16"/>
        <v>0</v>
      </c>
      <c r="Q82" s="29">
        <f>IFERROR(G82/SUMIF(I:I,I82,G:G),0)*VLOOKUP(H82,Modelos[],14,0)+IFERROR(G82/SUMIF(I:I,I82,G:G),0)*VLOOKUP(I82,Tabla13[],2,0)</f>
        <v>0</v>
      </c>
      <c r="R82" s="30">
        <f>IFERROR(VLOOKUP(A82,Modelos[],IF(B82="EST",15,14),0),0)*C82</f>
        <v>0</v>
      </c>
      <c r="S82" s="30">
        <f>IFERROR(VLOOKUP(D82,Modelos[],IF(E82="EST",15,14),0),0)*F82</f>
        <v>0</v>
      </c>
      <c r="T82" s="30">
        <f>IF($L82&lt;0,0,IFERROR((T$2*IFERROR(VLOOKUP(J82,Tabla11[],2,0),0))*($L82/SUM($L$5:$L$46)),0))</f>
        <v>0</v>
      </c>
      <c r="U82" s="30">
        <f>IF($L82&lt;0,0,IFERROR((U$2*IFERROR(VLOOKUP(J82,Tabla11[],2,0),0))*($L82/SUM($L$5:$L$46)),0))</f>
        <v>0</v>
      </c>
      <c r="V82" s="30">
        <f>IF($L82&lt;0,0,IFERROR((V$2*IFERROR(VLOOKUP(J82,Tabla11[],2,0),0))*($L82/SUM($L$5:$L$46)),0))</f>
        <v>0</v>
      </c>
      <c r="W82" s="30">
        <f>IF($L82&lt;0,0,IFERROR((W$2*IFERROR(VLOOKUP(J82,Tabla11[],2,0),0))*($L82/SUM($L$5:$L$46)),0))</f>
        <v>0</v>
      </c>
      <c r="X82" s="30">
        <f t="shared" si="17"/>
        <v>0</v>
      </c>
      <c r="Y82" s="30">
        <f>+X82*IFERROR(VLOOKUP(J82,Tabla11[],4,0),0)</f>
        <v>0</v>
      </c>
      <c r="Z82" s="30">
        <f t="shared" si="18"/>
        <v>0</v>
      </c>
      <c r="AA82" s="30">
        <f t="shared" si="19"/>
        <v>0</v>
      </c>
      <c r="AB82" s="30">
        <f>IF($L82&lt;0,0,IFERROR((AB$2*IFERROR(VLOOKUP(J82,Tabla11[],2,0),0))*($L82/SUM($L$5:$L$46)),0))</f>
        <v>0</v>
      </c>
      <c r="AC82" s="30">
        <f>L82-L82*IFERROR(VLOOKUP(J82,Tabla11[],3,0),0)-Q82-T82-U82-V82-W82-L82*$X$2-(L82*$X$2)*IFERROR(VLOOKUP(J82,Tabla11[],4,0),0)-AB82-Z82</f>
        <v>0</v>
      </c>
      <c r="AD82" s="30">
        <f t="shared" si="20"/>
        <v>0</v>
      </c>
      <c r="AE82" s="30">
        <f t="shared" si="21"/>
        <v>0</v>
      </c>
    </row>
    <row r="83" spans="1:31" x14ac:dyDescent="0.3">
      <c r="A83" s="29"/>
      <c r="B83" s="29" t="s">
        <v>209</v>
      </c>
      <c r="C83" s="32"/>
      <c r="D83" s="29"/>
      <c r="E83" s="29" t="s">
        <v>209</v>
      </c>
      <c r="F83" s="32"/>
      <c r="G83" s="32">
        <v>0</v>
      </c>
      <c r="H83" s="32" t="s">
        <v>292</v>
      </c>
      <c r="I83" s="32" t="s">
        <v>325</v>
      </c>
      <c r="J83" s="32" t="s">
        <v>214</v>
      </c>
      <c r="K83" s="32" t="s">
        <v>256</v>
      </c>
      <c r="L83" s="29">
        <f>IFERROR(VLOOKUP(CONCATENATE(J83,K83),Ventas!D:H,4,0),0)</f>
        <v>0</v>
      </c>
      <c r="M83" s="29">
        <f t="shared" si="22"/>
        <v>0</v>
      </c>
      <c r="N83" s="41">
        <f t="shared" si="15"/>
        <v>0</v>
      </c>
      <c r="O83" s="29">
        <f>N83*IFERROR(VLOOKUP(J83,Tabla11[],3,0),0)</f>
        <v>0</v>
      </c>
      <c r="P83" s="29">
        <f t="shared" si="16"/>
        <v>0</v>
      </c>
      <c r="Q83" s="29">
        <f>IFERROR(G83/SUMIF(I:I,I83,G:G),0)*VLOOKUP(H83,Modelos[],14,0)+IFERROR(G83/SUMIF(I:I,I83,G:G),0)*VLOOKUP(I83,Tabla13[],2,0)</f>
        <v>0</v>
      </c>
      <c r="R83" s="29">
        <f>IFERROR(VLOOKUP(A83,Modelos[],IF(B83="EST",15,14),0),0)*C83</f>
        <v>0</v>
      </c>
      <c r="S83" s="29">
        <f>IFERROR(VLOOKUP(D83,Modelos[],IF(E83="EST",15,14),0),0)*F83</f>
        <v>0</v>
      </c>
      <c r="T83" s="29">
        <f>IF($L83&lt;0,0,IFERROR((T$2*IFERROR(VLOOKUP(J83,Tabla11[],2,0),0))*($L83/SUM($L$5:$L$46)),0))</f>
        <v>0</v>
      </c>
      <c r="U83" s="29">
        <f>IF($L83&lt;0,0,IFERROR((U$2*IFERROR(VLOOKUP(J83,Tabla11[],2,0),0))*($L83/SUM($L$5:$L$46)),0))</f>
        <v>0</v>
      </c>
      <c r="V83" s="29">
        <f>IF($L83&lt;0,0,IFERROR((V$2*IFERROR(VLOOKUP(J83,Tabla11[],2,0),0))*($L83/SUM($L$5:$L$46)),0))</f>
        <v>0</v>
      </c>
      <c r="W83" s="29">
        <f>IF($L83&lt;0,0,IFERROR((W$2*IFERROR(VLOOKUP(J83,Tabla11[],2,0),0))*($L83/SUM($L$5:$L$46)),0))</f>
        <v>0</v>
      </c>
      <c r="X83" s="29">
        <f t="shared" si="17"/>
        <v>0</v>
      </c>
      <c r="Y83" s="29">
        <f>+X83*IFERROR(VLOOKUP(J83,Tabla11[],4,0),0)</f>
        <v>0</v>
      </c>
      <c r="Z83" s="29">
        <f t="shared" si="18"/>
        <v>0</v>
      </c>
      <c r="AA83" s="29">
        <f t="shared" si="19"/>
        <v>0</v>
      </c>
      <c r="AB83" s="29">
        <f>IF($L83&lt;0,0,IFERROR((AB$2*IFERROR(VLOOKUP(J83,Tabla11[],2,0),0))*($L83/SUM($L$5:$L$46)),0))</f>
        <v>0</v>
      </c>
      <c r="AC83" s="29">
        <f>L83-L83*IFERROR(VLOOKUP(J83,Tabla11[],3,0),0)-Q83-T83-U83-V83-W83-L83*$X$2-(L83*$X$2)*IFERROR(VLOOKUP(J83,Tabla11[],4,0),0)-AB83-Z83</f>
        <v>0</v>
      </c>
      <c r="AD83" s="29">
        <f t="shared" si="20"/>
        <v>0</v>
      </c>
      <c r="AE83" s="29">
        <f t="shared" si="21"/>
        <v>0</v>
      </c>
    </row>
    <row r="84" spans="1:31" x14ac:dyDescent="0.3">
      <c r="A84" s="30"/>
      <c r="B84" s="30" t="s">
        <v>209</v>
      </c>
      <c r="C84" s="33"/>
      <c r="D84" s="30"/>
      <c r="E84" s="30" t="s">
        <v>209</v>
      </c>
      <c r="F84" s="33"/>
      <c r="G84" s="33">
        <v>0</v>
      </c>
      <c r="H84" s="33" t="s">
        <v>293</v>
      </c>
      <c r="I84" s="33" t="s">
        <v>6</v>
      </c>
      <c r="J84" s="33" t="s">
        <v>214</v>
      </c>
      <c r="K84" s="33" t="s">
        <v>257</v>
      </c>
      <c r="L84" s="29">
        <f>IFERROR(VLOOKUP(CONCATENATE(J84,K84),Ventas!D:H,4,0),0)</f>
        <v>0</v>
      </c>
      <c r="M84" s="30">
        <f t="shared" si="22"/>
        <v>0</v>
      </c>
      <c r="N84" s="42">
        <f t="shared" si="15"/>
        <v>0</v>
      </c>
      <c r="O84" s="30">
        <f>N84*IFERROR(VLOOKUP(J84,Tabla11[],3,0),0)</f>
        <v>0</v>
      </c>
      <c r="P84" s="30">
        <f t="shared" si="16"/>
        <v>0</v>
      </c>
      <c r="Q84" s="29">
        <f>IFERROR(G84/SUMIF(I:I,I84,G:G),0)*VLOOKUP(H84,Modelos[],14,0)+IFERROR(G84/SUMIF(I:I,I84,G:G),0)*VLOOKUP(I84,Tabla13[],2,0)</f>
        <v>0</v>
      </c>
      <c r="R84" s="30">
        <f>IFERROR(VLOOKUP(A84,Modelos[],IF(B84="EST",15,14),0),0)*C84</f>
        <v>0</v>
      </c>
      <c r="S84" s="30">
        <f>IFERROR(VLOOKUP(D84,Modelos[],IF(E84="EST",15,14),0),0)*F84</f>
        <v>0</v>
      </c>
      <c r="T84" s="30">
        <f>IF($L84&lt;0,0,IFERROR((T$2*IFERROR(VLOOKUP(J84,Tabla11[],2,0),0))*($L84/SUM($L$5:$L$46)),0))</f>
        <v>0</v>
      </c>
      <c r="U84" s="30">
        <f>IF($L84&lt;0,0,IFERROR((U$2*IFERROR(VLOOKUP(J84,Tabla11[],2,0),0))*($L84/SUM($L$5:$L$46)),0))</f>
        <v>0</v>
      </c>
      <c r="V84" s="30">
        <f>IF($L84&lt;0,0,IFERROR((V$2*IFERROR(VLOOKUP(J84,Tabla11[],2,0),0))*($L84/SUM($L$5:$L$46)),0))</f>
        <v>0</v>
      </c>
      <c r="W84" s="30">
        <f>IF($L84&lt;0,0,IFERROR((W$2*IFERROR(VLOOKUP(J84,Tabla11[],2,0),0))*($L84/SUM($L$5:$L$46)),0))</f>
        <v>0</v>
      </c>
      <c r="X84" s="30">
        <f t="shared" si="17"/>
        <v>0</v>
      </c>
      <c r="Y84" s="30">
        <f>+X84*IFERROR(VLOOKUP(J84,Tabla11[],4,0),0)</f>
        <v>0</v>
      </c>
      <c r="Z84" s="30">
        <f t="shared" si="18"/>
        <v>0</v>
      </c>
      <c r="AA84" s="30">
        <f t="shared" si="19"/>
        <v>0</v>
      </c>
      <c r="AB84" s="30">
        <f>IF($L84&lt;0,0,IFERROR((AB$2*IFERROR(VLOOKUP(J84,Tabla11[],2,0),0))*($L84/SUM($L$5:$L$46)),0))</f>
        <v>0</v>
      </c>
      <c r="AC84" s="30">
        <f>L84-L84*IFERROR(VLOOKUP(J84,Tabla11[],3,0),0)-Q84-T84-U84-V84-W84-L84*$X$2-(L84*$X$2)*IFERROR(VLOOKUP(J84,Tabla11[],4,0),0)-AB84-Z84</f>
        <v>0</v>
      </c>
      <c r="AD84" s="30">
        <f t="shared" si="20"/>
        <v>0</v>
      </c>
      <c r="AE84" s="30">
        <f t="shared" si="21"/>
        <v>0</v>
      </c>
    </row>
    <row r="85" spans="1:31" x14ac:dyDescent="0.3">
      <c r="A85" s="29"/>
      <c r="B85" s="29" t="s">
        <v>209</v>
      </c>
      <c r="C85" s="32"/>
      <c r="D85" s="29"/>
      <c r="E85" s="29" t="s">
        <v>209</v>
      </c>
      <c r="F85" s="32"/>
      <c r="G85" s="32">
        <v>3</v>
      </c>
      <c r="H85" s="32" t="s">
        <v>291</v>
      </c>
      <c r="I85" s="32" t="s">
        <v>20</v>
      </c>
      <c r="J85" s="32" t="s">
        <v>287</v>
      </c>
      <c r="K85" s="32" t="s">
        <v>258</v>
      </c>
      <c r="L85" s="29">
        <f>IFERROR(VLOOKUP(CONCATENATE(J85,K85),Ventas!D:H,4,0),0)</f>
        <v>1604312.5274725272</v>
      </c>
      <c r="M85" s="29">
        <f t="shared" si="22"/>
        <v>0</v>
      </c>
      <c r="N85" s="41">
        <f t="shared" si="15"/>
        <v>1604312.5274725272</v>
      </c>
      <c r="O85" s="29">
        <f>N85*IFERROR(VLOOKUP(J85,Tabla11[],3,0),0)</f>
        <v>561509.38461538451</v>
      </c>
      <c r="P85" s="29">
        <f t="shared" si="16"/>
        <v>1042803.1428571427</v>
      </c>
      <c r="Q85" s="29">
        <f>IFERROR(G85/SUMIF(I:I,I85,G:G),0)*VLOOKUP(H85,Modelos[],14,0)+IFERROR(G85/SUMIF(I:I,I85,G:G),0)*VLOOKUP(I85,Tabla13[],2,0)</f>
        <v>161601.87921875002</v>
      </c>
      <c r="R85" s="29">
        <f>IFERROR(VLOOKUP(A85,Modelos[],IF(B85="EST",15,14),0),0)*C85</f>
        <v>0</v>
      </c>
      <c r="S85" s="29">
        <f>IFERROR(VLOOKUP(D85,Modelos[],IF(E85="EST",15,14),0),0)*F85</f>
        <v>0</v>
      </c>
      <c r="T85" s="29">
        <f>IF($L85&lt;0,0,IFERROR((T$2*IFERROR(VLOOKUP(J85,Tabla11[],2,0),0))*($L85/SUM($L$5:$L$46)),0))</f>
        <v>5345.6882484334847</v>
      </c>
      <c r="U85" s="29">
        <f>IF($L85&lt;0,0,IFERROR((U$2*IFERROR(VLOOKUP(J85,Tabla11[],2,0),0))*($L85/SUM($L$5:$L$46)),0))</f>
        <v>1039.4393816398442</v>
      </c>
      <c r="V85" s="29">
        <f>IF($L85&lt;0,0,IFERROR((V$2*IFERROR(VLOOKUP(J85,Tabla11[],2,0),0))*($L85/SUM($L$5:$L$46)),0))</f>
        <v>5345.6882484334847</v>
      </c>
      <c r="W85" s="29">
        <f>IF($L85&lt;0,0,IFERROR((W$2*IFERROR(VLOOKUP(J85,Tabla11[],2,0),0))*($L85/SUM($L$5:$L$46)),0))</f>
        <v>7424.5670117131731</v>
      </c>
      <c r="X85" s="29">
        <f t="shared" si="17"/>
        <v>417121.25714285712</v>
      </c>
      <c r="Y85" s="29">
        <f>+X85*IFERROR(VLOOKUP(J85,Tabla11[],4,0),0)</f>
        <v>62568.188571428567</v>
      </c>
      <c r="Z85" s="29">
        <f t="shared" si="18"/>
        <v>25833.333333333332</v>
      </c>
      <c r="AA85" s="29">
        <f t="shared" si="19"/>
        <v>356523.10170055367</v>
      </c>
      <c r="AB85" s="29">
        <f>IF($L85&lt;0,0,IFERROR((AB$2*IFERROR(VLOOKUP(J85,Tabla11[],2,0),0))*($L85/SUM($L$5:$L$46)),0))</f>
        <v>8526.638477597091</v>
      </c>
      <c r="AC85" s="29">
        <f>L85-L85*IFERROR(VLOOKUP(J85,Tabla11[],3,0),0)-Q85-T85-U85-V85-W85-L85*$X$2-(L85*$X$2)*IFERROR(VLOOKUP(J85,Tabla11[],4,0),0)-AB85-Z85</f>
        <v>89702.146299879663</v>
      </c>
      <c r="AD85" s="29">
        <f t="shared" si="20"/>
        <v>347996.46322295658</v>
      </c>
      <c r="AE85" s="29">
        <f t="shared" si="21"/>
        <v>258294.31692307701</v>
      </c>
    </row>
    <row r="86" spans="1:31" x14ac:dyDescent="0.3">
      <c r="A86" s="30"/>
      <c r="B86" s="30" t="s">
        <v>209</v>
      </c>
      <c r="C86" s="33"/>
      <c r="D86" s="30"/>
      <c r="E86" s="30" t="s">
        <v>209</v>
      </c>
      <c r="F86" s="33"/>
      <c r="G86" s="33">
        <v>3</v>
      </c>
      <c r="H86" s="33" t="s">
        <v>292</v>
      </c>
      <c r="I86" s="33" t="s">
        <v>323</v>
      </c>
      <c r="J86" s="33" t="s">
        <v>287</v>
      </c>
      <c r="K86" s="33" t="s">
        <v>259</v>
      </c>
      <c r="L86" s="29">
        <f>IFERROR(VLOOKUP(CONCATENATE(J86,K86),Ventas!D:H,4,0),0)</f>
        <v>1190510.1098901099</v>
      </c>
      <c r="M86" s="30">
        <f t="shared" si="22"/>
        <v>0</v>
      </c>
      <c r="N86" s="42">
        <f t="shared" si="15"/>
        <v>1190510.1098901099</v>
      </c>
      <c r="O86" s="30">
        <f>N86*IFERROR(VLOOKUP(J86,Tabla11[],3,0),0)</f>
        <v>416678.53846153844</v>
      </c>
      <c r="P86" s="30">
        <f t="shared" si="16"/>
        <v>773831.57142857136</v>
      </c>
      <c r="Q86" s="29">
        <f>IFERROR(G86/SUMIF(I:I,I86,G:G),0)*VLOOKUP(H86,Modelos[],14,0)+IFERROR(G86/SUMIF(I:I,I86,G:G),0)*VLOOKUP(I86,Tabla13[],2,0)</f>
        <v>69504.987620192318</v>
      </c>
      <c r="R86" s="30">
        <f>IFERROR(VLOOKUP(A86,Modelos[],IF(B86="EST",15,14),0),0)*C86</f>
        <v>0</v>
      </c>
      <c r="S86" s="30">
        <f>IFERROR(VLOOKUP(D86,Modelos[],IF(E86="EST",15,14),0),0)*F86</f>
        <v>0</v>
      </c>
      <c r="T86" s="30">
        <f>IF($L86&lt;0,0,IFERROR((T$2*IFERROR(VLOOKUP(J86,Tabla11[],2,0),0))*($L86/SUM($L$5:$L$46)),0))</f>
        <v>3966.8679232387271</v>
      </c>
      <c r="U86" s="30">
        <f>IF($L86&lt;0,0,IFERROR((U$2*IFERROR(VLOOKUP(J86,Tabla11[],2,0),0))*($L86/SUM($L$5:$L$46)),0))</f>
        <v>771.33542951864138</v>
      </c>
      <c r="V86" s="30">
        <f>IF($L86&lt;0,0,IFERROR((V$2*IFERROR(VLOOKUP(J86,Tabla11[],2,0),0))*($L86/SUM($L$5:$L$46)),0))</f>
        <v>3966.8679232387271</v>
      </c>
      <c r="W86" s="30">
        <f>IF($L86&lt;0,0,IFERROR((W$2*IFERROR(VLOOKUP(J86,Tabla11[],2,0),0))*($L86/SUM($L$5:$L$46)),0))</f>
        <v>5509.5387822760094</v>
      </c>
      <c r="X86" s="30">
        <f t="shared" si="17"/>
        <v>309532.62857142853</v>
      </c>
      <c r="Y86" s="30">
        <f>+X86*IFERROR(VLOOKUP(J86,Tabla11[],4,0),0)</f>
        <v>46429.894285714276</v>
      </c>
      <c r="Z86" s="30">
        <f t="shared" si="18"/>
        <v>25833.333333333332</v>
      </c>
      <c r="AA86" s="30">
        <f t="shared" si="19"/>
        <v>308316.11755963083</v>
      </c>
      <c r="AB86" s="30">
        <f>IF($L86&lt;0,0,IFERROR((AB$2*IFERROR(VLOOKUP(J86,Tabla11[],2,0),0))*($L86/SUM($L$5:$L$46)),0))</f>
        <v>6327.3515210590303</v>
      </c>
      <c r="AC86" s="30">
        <f>L86-L86*IFERROR(VLOOKUP(J86,Tabla11[],3,0),0)-Q86-T86-U86-V86-W86-L86*$X$2-(L86*$X$2)*IFERROR(VLOOKUP(J86,Tabla11[],4,0),0)-AB86-Z86</f>
        <v>110316.63834626398</v>
      </c>
      <c r="AD86" s="30">
        <f t="shared" si="20"/>
        <v>301988.76603857178</v>
      </c>
      <c r="AE86" s="30">
        <f t="shared" si="21"/>
        <v>191672.12769230799</v>
      </c>
    </row>
    <row r="87" spans="1:31" x14ac:dyDescent="0.3">
      <c r="A87" s="29"/>
      <c r="B87" s="29" t="s">
        <v>209</v>
      </c>
      <c r="C87" s="32"/>
      <c r="D87" s="29"/>
      <c r="E87" s="29" t="s">
        <v>209</v>
      </c>
      <c r="F87" s="32"/>
      <c r="G87" s="32">
        <v>3</v>
      </c>
      <c r="H87" s="32" t="s">
        <v>291</v>
      </c>
      <c r="I87" s="32" t="s">
        <v>328</v>
      </c>
      <c r="J87" s="32" t="s">
        <v>287</v>
      </c>
      <c r="K87" s="32" t="s">
        <v>260</v>
      </c>
      <c r="L87" s="29">
        <f>IFERROR(VLOOKUP(CONCATENATE(J87,K87),Ventas!D:H,4,0),0)</f>
        <v>1174337.3626373624</v>
      </c>
      <c r="M87" s="29">
        <f t="shared" si="22"/>
        <v>0</v>
      </c>
      <c r="N87" s="41">
        <f t="shared" si="15"/>
        <v>1174337.3626373624</v>
      </c>
      <c r="O87" s="29">
        <f>N87*IFERROR(VLOOKUP(J87,Tabla11[],3,0),0)</f>
        <v>411018.07692307682</v>
      </c>
      <c r="P87" s="29">
        <f t="shared" si="16"/>
        <v>763319.28571428568</v>
      </c>
      <c r="Q87" s="29">
        <f>IFERROR(G87/SUMIF(I:I,I87,G:G),0)*VLOOKUP(H87,Modelos[],14,0)+IFERROR(G87/SUMIF(I:I,I87,G:G),0)*VLOOKUP(I87,Tabla13[],2,0)</f>
        <v>179573.44202008931</v>
      </c>
      <c r="R87" s="29">
        <f>IFERROR(VLOOKUP(A87,Modelos[],IF(B87="EST",15,14),0),0)*C87</f>
        <v>0</v>
      </c>
      <c r="S87" s="29">
        <f>IFERROR(VLOOKUP(D87,Modelos[],IF(E87="EST",15,14),0),0)*F87</f>
        <v>0</v>
      </c>
      <c r="T87" s="29">
        <f>IF($L87&lt;0,0,IFERROR((T$2*IFERROR(VLOOKUP(J87,Tabla11[],2,0),0))*($L87/SUM($L$5:$L$46)),0))</f>
        <v>3912.9791307164251</v>
      </c>
      <c r="U87" s="29">
        <f>IF($L87&lt;0,0,IFERROR((U$2*IFERROR(VLOOKUP(J87,Tabla11[],2,0),0))*($L87/SUM($L$5:$L$46)),0))</f>
        <v>760.85705319486044</v>
      </c>
      <c r="V87" s="29">
        <f>IF($L87&lt;0,0,IFERROR((V$2*IFERROR(VLOOKUP(J87,Tabla11[],2,0),0))*($L87/SUM($L$5:$L$46)),0))</f>
        <v>3912.9791307164251</v>
      </c>
      <c r="W87" s="29">
        <f>IF($L87&lt;0,0,IFERROR((W$2*IFERROR(VLOOKUP(J87,Tabla11[],2,0),0))*($L87/SUM($L$5:$L$46)),0))</f>
        <v>5434.6932371061457</v>
      </c>
      <c r="X87" s="29">
        <f t="shared" si="17"/>
        <v>305327.71428571426</v>
      </c>
      <c r="Y87" s="29">
        <f>+X87*IFERROR(VLOOKUP(J87,Tabla11[],4,0),0)</f>
        <v>45799.157142857141</v>
      </c>
      <c r="Z87" s="29">
        <f t="shared" si="18"/>
        <v>25833.333333333332</v>
      </c>
      <c r="AA87" s="29">
        <f t="shared" si="19"/>
        <v>192764.13038055785</v>
      </c>
      <c r="AB87" s="29">
        <f>IF($L87&lt;0,0,IFERROR((AB$2*IFERROR(VLOOKUP(J87,Tabla11[],2,0),0))*($L87/SUM($L$5:$L$46)),0))</f>
        <v>6241.39621830329</v>
      </c>
      <c r="AC87" s="29">
        <f>L87-L87*IFERROR(VLOOKUP(J87,Tabla11[],3,0),0)-Q87-T87-U87-V87-W87-L87*$X$2-(L87*$X$2)*IFERROR(VLOOKUP(J87,Tabla11[],4,0),0)-AB87-Z87</f>
        <v>-2545.5812223609901</v>
      </c>
      <c r="AD87" s="29">
        <f t="shared" si="20"/>
        <v>186522.73416225455</v>
      </c>
      <c r="AE87" s="29">
        <f t="shared" si="21"/>
        <v>189068.315384616</v>
      </c>
    </row>
    <row r="88" spans="1:31" x14ac:dyDescent="0.3">
      <c r="A88" s="30"/>
      <c r="B88" s="30" t="s">
        <v>209</v>
      </c>
      <c r="C88" s="33"/>
      <c r="D88" s="30"/>
      <c r="E88" s="30" t="s">
        <v>209</v>
      </c>
      <c r="F88" s="33"/>
      <c r="G88" s="33">
        <v>3</v>
      </c>
      <c r="H88" s="33" t="s">
        <v>291</v>
      </c>
      <c r="I88" s="33" t="s">
        <v>319</v>
      </c>
      <c r="J88" s="33" t="s">
        <v>287</v>
      </c>
      <c r="K88" s="33" t="s">
        <v>315</v>
      </c>
      <c r="L88" s="29">
        <f>IFERROR(VLOOKUP(CONCATENATE(J88,K88),Ventas!D:H,4,0),0)</f>
        <v>1073186.3736263735</v>
      </c>
      <c r="M88" s="30">
        <f t="shared" si="22"/>
        <v>0</v>
      </c>
      <c r="N88" s="42">
        <f t="shared" si="15"/>
        <v>1073186.3736263735</v>
      </c>
      <c r="O88" s="30">
        <f>N88*IFERROR(VLOOKUP(J88,Tabla11[],3,0),0)</f>
        <v>375615.23076923069</v>
      </c>
      <c r="P88" s="30">
        <f t="shared" si="16"/>
        <v>697571.14285714272</v>
      </c>
      <c r="Q88" s="29">
        <f>IFERROR(G88/SUMIF(I:I,I88,G:G),0)*VLOOKUP(H88,Modelos[],14,0)+IFERROR(G88/SUMIF(I:I,I88,G:G),0)*VLOOKUP(I88,Tabla13[],2,0)</f>
        <v>123633.06254111843</v>
      </c>
      <c r="R88" s="30">
        <f>IFERROR(VLOOKUP(A88,Modelos[],IF(B88="EST",15,14),0),0)*C88</f>
        <v>0</v>
      </c>
      <c r="S88" s="30">
        <f>IFERROR(VLOOKUP(D88,Modelos[],IF(E88="EST",15,14),0),0)*F88</f>
        <v>0</v>
      </c>
      <c r="T88" s="30">
        <f>IF($L88&lt;0,0,IFERROR((T$2*IFERROR(VLOOKUP(J88,Tabla11[],2,0),0))*($L88/SUM($L$5:$L$46)),0))</f>
        <v>3575.9365383199588</v>
      </c>
      <c r="U88" s="30">
        <f>IF($L88&lt;0,0,IFERROR((U$2*IFERROR(VLOOKUP(J88,Tabla11[],2,0),0))*($L88/SUM($L$5:$L$46)),0))</f>
        <v>695.3209935622142</v>
      </c>
      <c r="V88" s="30">
        <f>IF($L88&lt;0,0,IFERROR((V$2*IFERROR(VLOOKUP(J88,Tabla11[],2,0),0))*($L88/SUM($L$5:$L$46)),0))</f>
        <v>3575.9365383199588</v>
      </c>
      <c r="W88" s="30">
        <f>IF($L88&lt;0,0,IFERROR((W$2*IFERROR(VLOOKUP(J88,Tabla11[],2,0),0))*($L88/SUM($L$5:$L$46)),0))</f>
        <v>4966.5785254443863</v>
      </c>
      <c r="X88" s="30">
        <f t="shared" si="17"/>
        <v>279028.45714285708</v>
      </c>
      <c r="Y88" s="30">
        <f>+X88*IFERROR(VLOOKUP(J88,Tabla11[],4,0),0)</f>
        <v>41854.268571428562</v>
      </c>
      <c r="Z88" s="30">
        <f t="shared" si="18"/>
        <v>25833.333333333332</v>
      </c>
      <c r="AA88" s="30">
        <f t="shared" si="19"/>
        <v>214408.24867275881</v>
      </c>
      <c r="AB88" s="30">
        <f>IF($L88&lt;0,0,IFERROR((AB$2*IFERROR(VLOOKUP(J88,Tabla11[],2,0),0))*($L88/SUM($L$5:$L$46)),0))</f>
        <v>5703.7965298517711</v>
      </c>
      <c r="AC88" s="30">
        <f>L88-L88*IFERROR(VLOOKUP(J88,Tabla11[],3,0),0)-Q88-T88-U88-V88-W88-L88*$X$2-(L88*$X$2)*IFERROR(VLOOKUP(J88,Tabla11[],4,0),0)-AB88-Z88</f>
        <v>35921.445989060885</v>
      </c>
      <c r="AD88" s="30">
        <f t="shared" si="20"/>
        <v>208704.45214290704</v>
      </c>
      <c r="AE88" s="30">
        <f t="shared" si="21"/>
        <v>172783.00615384601</v>
      </c>
    </row>
    <row r="89" spans="1:31" x14ac:dyDescent="0.3">
      <c r="A89" s="29"/>
      <c r="B89" s="29" t="s">
        <v>209</v>
      </c>
      <c r="C89" s="32"/>
      <c r="D89" s="29"/>
      <c r="E89" s="29" t="s">
        <v>209</v>
      </c>
      <c r="F89" s="32"/>
      <c r="G89" s="32">
        <v>3</v>
      </c>
      <c r="H89" s="32" t="s">
        <v>292</v>
      </c>
      <c r="I89" s="32" t="s">
        <v>324</v>
      </c>
      <c r="J89" s="32" t="s">
        <v>287</v>
      </c>
      <c r="K89" s="32" t="s">
        <v>262</v>
      </c>
      <c r="L89" s="29">
        <f>IFERROR(VLOOKUP(CONCATENATE(J89,K89),Ventas!D:H,4,0),0)</f>
        <v>1058659.7802197803</v>
      </c>
      <c r="M89" s="29">
        <f t="shared" si="22"/>
        <v>0</v>
      </c>
      <c r="N89" s="41">
        <f t="shared" si="15"/>
        <v>1058659.7802197803</v>
      </c>
      <c r="O89" s="29">
        <f>N89*IFERROR(VLOOKUP(J89,Tabla11[],3,0),0)</f>
        <v>370530.92307692306</v>
      </c>
      <c r="P89" s="29">
        <f t="shared" si="16"/>
        <v>688128.85714285728</v>
      </c>
      <c r="Q89" s="29">
        <f>IFERROR(G89/SUMIF(I:I,I89,G:G),0)*VLOOKUP(H89,Modelos[],14,0)+IFERROR(G89/SUMIF(I:I,I89,G:G),0)*VLOOKUP(I89,Tabla13[],2,0)</f>
        <v>69504.987620192318</v>
      </c>
      <c r="R89" s="29">
        <f>IFERROR(VLOOKUP(A89,Modelos[],IF(B89="EST",15,14),0),0)*C89</f>
        <v>0</v>
      </c>
      <c r="S89" s="29">
        <f>IFERROR(VLOOKUP(D89,Modelos[],IF(E89="EST",15,14),0),0)*F89</f>
        <v>0</v>
      </c>
      <c r="T89" s="29">
        <f>IF($L89&lt;0,0,IFERROR((T$2*IFERROR(VLOOKUP(J89,Tabla11[],2,0),0))*($L89/SUM($L$5:$L$46)),0))</f>
        <v>3527.5328524210922</v>
      </c>
      <c r="U89" s="29">
        <f>IF($L89&lt;0,0,IFERROR((U$2*IFERROR(VLOOKUP(J89,Tabla11[],2,0),0))*($L89/SUM($L$5:$L$46)),0))</f>
        <v>685.90916574854566</v>
      </c>
      <c r="V89" s="29">
        <f>IF($L89&lt;0,0,IFERROR((V$2*IFERROR(VLOOKUP(J89,Tabla11[],2,0),0))*($L89/SUM($L$5:$L$46)),0))</f>
        <v>3527.5328524210922</v>
      </c>
      <c r="W89" s="29">
        <f>IF($L89&lt;0,0,IFERROR((W$2*IFERROR(VLOOKUP(J89,Tabla11[],2,0),0))*($L89/SUM($L$5:$L$46)),0))</f>
        <v>4899.3511839181829</v>
      </c>
      <c r="X89" s="29">
        <f t="shared" si="17"/>
        <v>275251.54285714292</v>
      </c>
      <c r="Y89" s="29">
        <f>+X89*IFERROR(VLOOKUP(J89,Tabla11[],4,0),0)</f>
        <v>41287.731428571438</v>
      </c>
      <c r="Z89" s="29">
        <f t="shared" si="18"/>
        <v>25833.333333333332</v>
      </c>
      <c r="AA89" s="29">
        <f t="shared" si="19"/>
        <v>263610.93584910838</v>
      </c>
      <c r="AB89" s="29">
        <f>IF($L89&lt;0,0,IFERROR((AB$2*IFERROR(VLOOKUP(J89,Tabla11[],2,0),0))*($L89/SUM($L$5:$L$46)),0))</f>
        <v>5626.5902448119086</v>
      </c>
      <c r="AC89" s="29">
        <f>L89-L89*IFERROR(VLOOKUP(J89,Tabla11[],3,0),0)-Q89-T89-U89-V89-W89-L89*$X$2-(L89*$X$2)*IFERROR(VLOOKUP(J89,Tabla11[],4,0),0)-AB89-Z89</f>
        <v>87540.120988911935</v>
      </c>
      <c r="AD89" s="29">
        <f t="shared" si="20"/>
        <v>257984.34560429648</v>
      </c>
      <c r="AE89" s="29">
        <f t="shared" si="21"/>
        <v>170444.224615385</v>
      </c>
    </row>
    <row r="90" spans="1:31" x14ac:dyDescent="0.3">
      <c r="A90" s="30"/>
      <c r="B90" s="30" t="s">
        <v>209</v>
      </c>
      <c r="C90" s="33"/>
      <c r="D90" s="30"/>
      <c r="E90" s="30" t="s">
        <v>209</v>
      </c>
      <c r="F90" s="33"/>
      <c r="G90" s="33">
        <v>3</v>
      </c>
      <c r="H90" s="33" t="s">
        <v>292</v>
      </c>
      <c r="I90" s="33" t="s">
        <v>324</v>
      </c>
      <c r="J90" s="33" t="s">
        <v>287</v>
      </c>
      <c r="K90" s="33" t="s">
        <v>263</v>
      </c>
      <c r="L90" s="29">
        <f>IFERROR(VLOOKUP(CONCATENATE(J90,K90),Ventas!D:H,4,0),0)</f>
        <v>1050009.0109890108</v>
      </c>
      <c r="M90" s="30">
        <f t="shared" si="22"/>
        <v>0</v>
      </c>
      <c r="N90" s="42">
        <f t="shared" si="15"/>
        <v>1050009.0109890108</v>
      </c>
      <c r="O90" s="30">
        <f>N90*IFERROR(VLOOKUP(J90,Tabla11[],3,0),0)</f>
        <v>367503.15384615376</v>
      </c>
      <c r="P90" s="30">
        <f t="shared" si="16"/>
        <v>682505.85714285704</v>
      </c>
      <c r="Q90" s="29">
        <f>IFERROR(G90/SUMIF(I:I,I90,G:G),0)*VLOOKUP(H90,Modelos[],14,0)+IFERROR(G90/SUMIF(I:I,I90,G:G),0)*VLOOKUP(I90,Tabla13[],2,0)</f>
        <v>69504.987620192318</v>
      </c>
      <c r="R90" s="30">
        <f>IFERROR(VLOOKUP(A90,Modelos[],IF(B90="EST",15,14),0),0)*C90</f>
        <v>0</v>
      </c>
      <c r="S90" s="30">
        <f>IFERROR(VLOOKUP(D90,Modelos[],IF(E90="EST",15,14),0),0)*F90</f>
        <v>0</v>
      </c>
      <c r="T90" s="30">
        <f>IF($L90&lt;0,0,IFERROR((T$2*IFERROR(VLOOKUP(J90,Tabla11[],2,0),0))*($L90/SUM($L$5:$L$46)),0))</f>
        <v>3498.7078481747631</v>
      </c>
      <c r="U90" s="30">
        <f>IF($L90&lt;0,0,IFERROR((U$2*IFERROR(VLOOKUP(J90,Tabla11[],2,0),0))*($L90/SUM($L$5:$L$46)),0))</f>
        <v>680.3043038117595</v>
      </c>
      <c r="V90" s="30">
        <f>IF($L90&lt;0,0,IFERROR((V$2*IFERROR(VLOOKUP(J90,Tabla11[],2,0),0))*($L90/SUM($L$5:$L$46)),0))</f>
        <v>3498.7078481747631</v>
      </c>
      <c r="W90" s="30">
        <f>IF($L90&lt;0,0,IFERROR((W$2*IFERROR(VLOOKUP(J90,Tabla11[],2,0),0))*($L90/SUM($L$5:$L$46)),0))</f>
        <v>4859.3164557982818</v>
      </c>
      <c r="X90" s="30">
        <f t="shared" si="17"/>
        <v>273002.34285714285</v>
      </c>
      <c r="Y90" s="30">
        <f>+X90*IFERROR(VLOOKUP(J90,Tabla11[],4,0),0)</f>
        <v>40950.351428571426</v>
      </c>
      <c r="Z90" s="30">
        <f t="shared" si="18"/>
        <v>25833.333333333332</v>
      </c>
      <c r="AA90" s="30">
        <f t="shared" si="19"/>
        <v>260677.80544765753</v>
      </c>
      <c r="AB90" s="30">
        <f>IF($L90&lt;0,0,IFERROR((AB$2*IFERROR(VLOOKUP(J90,Tabla11[],2,0),0))*($L90/SUM($L$5:$L$46)),0))</f>
        <v>5580.6129302171657</v>
      </c>
      <c r="AC90" s="30">
        <f>L90-L90*IFERROR(VLOOKUP(J90,Tabla11[],3,0),0)-Q90-T90-U90-V90-W90-L90*$X$2-(L90*$X$2)*IFERROR(VLOOKUP(J90,Tabla11[],4,0),0)-AB90-Z90</f>
        <v>86045.741748209664</v>
      </c>
      <c r="AD90" s="30">
        <f t="shared" si="20"/>
        <v>255097.19251744036</v>
      </c>
      <c r="AE90" s="30">
        <f t="shared" si="21"/>
        <v>169051.45076923101</v>
      </c>
    </row>
    <row r="91" spans="1:31" x14ac:dyDescent="0.3">
      <c r="A91" s="29"/>
      <c r="B91" s="29" t="s">
        <v>209</v>
      </c>
      <c r="C91" s="32"/>
      <c r="D91" s="29"/>
      <c r="E91" s="29" t="s">
        <v>209</v>
      </c>
      <c r="F91" s="32"/>
      <c r="G91" s="32">
        <v>3</v>
      </c>
      <c r="H91" s="32" t="s">
        <v>293</v>
      </c>
      <c r="I91" s="32" t="s">
        <v>22</v>
      </c>
      <c r="J91" s="32" t="s">
        <v>288</v>
      </c>
      <c r="K91" s="32" t="s">
        <v>268</v>
      </c>
      <c r="L91" s="29">
        <f>IFERROR(VLOOKUP(CONCATENATE(J91,K91),Ventas!D:H,4,0),0)</f>
        <v>926874.06593406585</v>
      </c>
      <c r="M91" s="29">
        <f t="shared" si="22"/>
        <v>0</v>
      </c>
      <c r="N91" s="41">
        <f t="shared" si="15"/>
        <v>926874.06593406585</v>
      </c>
      <c r="O91" s="29">
        <f>N91*IFERROR(VLOOKUP(J91,Tabla11[],3,0),0)</f>
        <v>324405.92307692301</v>
      </c>
      <c r="P91" s="29">
        <f t="shared" si="16"/>
        <v>602468.14285714284</v>
      </c>
      <c r="Q91" s="29">
        <f>IFERROR(G91/SUMIF(I:I,I91,G:G),0)*VLOOKUP(H91,Modelos[],14,0)+IFERROR(G91/SUMIF(I:I,I91,G:G),0)*VLOOKUP(I91,Tabla13[],2,0)</f>
        <v>134909.41869791667</v>
      </c>
      <c r="R91" s="29">
        <f>IFERROR(VLOOKUP(A91,Modelos[],IF(B91="EST",15,14),0),0)*C91</f>
        <v>0</v>
      </c>
      <c r="S91" s="29">
        <f>IFERROR(VLOOKUP(D91,Modelos[],IF(E91="EST",15,14),0),0)*F91</f>
        <v>0</v>
      </c>
      <c r="T91" s="29">
        <f>IF($L91&lt;0,0,IFERROR((T$2*IFERROR(VLOOKUP(J91,Tabla11[],2,0),0))*($L91/SUM($L$5:$L$46)),0))</f>
        <v>3088.4130848540958</v>
      </c>
      <c r="U91" s="29">
        <f>IF($L91&lt;0,0,IFERROR((U$2*IFERROR(VLOOKUP(J91,Tabla11[],2,0),0))*($L91/SUM($L$5:$L$46)),0))</f>
        <v>600.52476649940752</v>
      </c>
      <c r="V91" s="29">
        <f>IF($L91&lt;0,0,IFERROR((V$2*IFERROR(VLOOKUP(J91,Tabla11[],2,0),0))*($L91/SUM($L$5:$L$46)),0))</f>
        <v>3088.4130848540958</v>
      </c>
      <c r="W91" s="29">
        <f>IF($L91&lt;0,0,IFERROR((W$2*IFERROR(VLOOKUP(J91,Tabla11[],2,0),0))*($L91/SUM($L$5:$L$46)),0))</f>
        <v>4289.4626178529106</v>
      </c>
      <c r="X91" s="29">
        <f t="shared" si="17"/>
        <v>240987.25714285715</v>
      </c>
      <c r="Y91" s="29">
        <f>+X91*IFERROR(VLOOKUP(J91,Tabla11[],4,0),0)</f>
        <v>36148.088571428569</v>
      </c>
      <c r="Z91" s="29">
        <f t="shared" si="18"/>
        <v>25833.333333333332</v>
      </c>
      <c r="AA91" s="29">
        <f t="shared" si="19"/>
        <v>153523.23155754659</v>
      </c>
      <c r="AB91" s="29">
        <f>IF($L91&lt;0,0,IFERROR((AB$2*IFERROR(VLOOKUP(J91,Tabla11[],2,0),0))*($L91/SUM($L$5:$L$46)),0))</f>
        <v>4926.1723879517649</v>
      </c>
      <c r="AC91" s="29">
        <f>L91-L91*IFERROR(VLOOKUP(J91,Tabla11[],3,0),0)-Q91-T91-U91-V91-W91-L91*$X$2-(L91*$X$2)*IFERROR(VLOOKUP(J91,Tabla11[],4,0),0)-AB91-Z91</f>
        <v>-629.66544578969842</v>
      </c>
      <c r="AD91" s="29">
        <f t="shared" si="20"/>
        <v>148597.05916959484</v>
      </c>
      <c r="AE91" s="29">
        <f t="shared" si="21"/>
        <v>149226.724615385</v>
      </c>
    </row>
    <row r="92" spans="1:31" x14ac:dyDescent="0.3">
      <c r="A92" s="30" t="s">
        <v>299</v>
      </c>
      <c r="B92" s="30" t="s">
        <v>209</v>
      </c>
      <c r="C92" s="33">
        <v>0.33</v>
      </c>
      <c r="D92" s="30"/>
      <c r="E92" s="30" t="s">
        <v>209</v>
      </c>
      <c r="F92" s="33"/>
      <c r="G92" s="33">
        <v>0</v>
      </c>
      <c r="H92" s="33" t="s">
        <v>291</v>
      </c>
      <c r="I92" s="33" t="s">
        <v>320</v>
      </c>
      <c r="J92" s="33" t="s">
        <v>288</v>
      </c>
      <c r="K92" s="33" t="s">
        <v>269</v>
      </c>
      <c r="L92" s="29">
        <f>IFERROR(VLOOKUP(CONCATENATE(J92,K92),Ventas!D:H,4,0),0)</f>
        <v>860007.03296703286</v>
      </c>
      <c r="M92" s="30">
        <f t="shared" si="22"/>
        <v>86000.703296703286</v>
      </c>
      <c r="N92" s="42">
        <f t="shared" si="15"/>
        <v>946007.73626373615</v>
      </c>
      <c r="O92" s="30">
        <f>N92*IFERROR(VLOOKUP(J92,Tabla11[],3,0),0)</f>
        <v>331102.70769230765</v>
      </c>
      <c r="P92" s="30">
        <f t="shared" si="16"/>
        <v>614905.0285714285</v>
      </c>
      <c r="Q92" s="29">
        <f>IFERROR(G92/SUMIF(I:I,I92,G:G),0)*VLOOKUP(H92,Modelos[],14,0)+IFERROR(G92/SUMIF(I:I,I92,G:G),0)*VLOOKUP(I92,Tabla13[],2,0)</f>
        <v>0</v>
      </c>
      <c r="R92" s="30">
        <f>IFERROR(VLOOKUP(A92,Modelos[],IF(B92="EST",15,14),0),0)*C92</f>
        <v>67493.844131174978</v>
      </c>
      <c r="S92" s="30">
        <f>IFERROR(VLOOKUP(D92,Modelos[],IF(E92="EST",15,14),0),0)*F92</f>
        <v>0</v>
      </c>
      <c r="T92" s="30">
        <f>IF($L92&lt;0,0,IFERROR((T$2*IFERROR(VLOOKUP(J92,Tabla11[],2,0),0))*($L92/SUM($L$5:$L$46)),0))</f>
        <v>2865.607175021416</v>
      </c>
      <c r="U92" s="30">
        <f>IF($L92&lt;0,0,IFERROR((U$2*IFERROR(VLOOKUP(J92,Tabla11[],2,0),0))*($L92/SUM($L$5:$L$46)),0))</f>
        <v>557.20139514305299</v>
      </c>
      <c r="V92" s="30">
        <f>IF($L92&lt;0,0,IFERROR((V$2*IFERROR(VLOOKUP(J92,Tabla11[],2,0),0))*($L92/SUM($L$5:$L$46)),0))</f>
        <v>2865.607175021416</v>
      </c>
      <c r="W92" s="30">
        <f>IF($L92&lt;0,0,IFERROR((W$2*IFERROR(VLOOKUP(J92,Tabla11[],2,0),0))*($L92/SUM($L$5:$L$46)),0))</f>
        <v>3980.0099653075217</v>
      </c>
      <c r="X92" s="30">
        <f t="shared" si="17"/>
        <v>245962.01142857142</v>
      </c>
      <c r="Y92" s="30">
        <f>+X92*IFERROR(VLOOKUP(J92,Tabla11[],4,0),0)</f>
        <v>36894.301714285713</v>
      </c>
      <c r="Z92" s="30">
        <f t="shared" si="18"/>
        <v>25833.333333333332</v>
      </c>
      <c r="AA92" s="30">
        <f t="shared" si="19"/>
        <v>228453.11225356971</v>
      </c>
      <c r="AB92" s="30">
        <f>IF($L92&lt;0,0,IFERROR((AB$2*IFERROR(VLOOKUP(J92,Tabla11[],2,0),0))*($L92/SUM($L$5:$L$46)),0))</f>
        <v>4570.7858866210745</v>
      </c>
      <c r="AC92" s="30">
        <f>L92-L92*IFERROR(VLOOKUP(J92,Tabla11[],3,0),0)-Q92-T92-U92-V92-W92-L92*$X$2-(L92*$X$2)*IFERROR(VLOOKUP(J92,Tabla11[],4,0),0)-AB92-Z92</f>
        <v>122728.79133328838</v>
      </c>
      <c r="AD92" s="30">
        <f t="shared" si="20"/>
        <v>223882.32636694863</v>
      </c>
      <c r="AE92" s="30">
        <f t="shared" si="21"/>
        <v>101153.53503365999</v>
      </c>
    </row>
    <row r="93" spans="1:31" x14ac:dyDescent="0.3">
      <c r="A93" s="29"/>
      <c r="B93" s="29" t="s">
        <v>209</v>
      </c>
      <c r="C93" s="32"/>
      <c r="D93" s="29"/>
      <c r="E93" s="29" t="s">
        <v>209</v>
      </c>
      <c r="F93" s="32"/>
      <c r="G93" s="32">
        <v>3</v>
      </c>
      <c r="H93" s="32" t="s">
        <v>293</v>
      </c>
      <c r="I93" s="32" t="s">
        <v>176</v>
      </c>
      <c r="J93" s="32" t="s">
        <v>288</v>
      </c>
      <c r="K93" s="32" t="s">
        <v>270</v>
      </c>
      <c r="L93" s="29">
        <f>IFERROR(VLOOKUP(CONCATENATE(J93,K93),Ventas!D:H,4,0),0)</f>
        <v>757061.75824175822</v>
      </c>
      <c r="M93" s="29">
        <f t="shared" si="22"/>
        <v>0</v>
      </c>
      <c r="N93" s="41">
        <f t="shared" si="15"/>
        <v>757061.75824175822</v>
      </c>
      <c r="O93" s="29">
        <f>N93*IFERROR(VLOOKUP(J93,Tabla11[],3,0),0)</f>
        <v>264971.61538461538</v>
      </c>
      <c r="P93" s="29">
        <f t="shared" si="16"/>
        <v>492090.14285714284</v>
      </c>
      <c r="Q93" s="29">
        <f>IFERROR(G93/SUMIF(I:I,I93,G:G),0)*VLOOKUP(H93,Modelos[],14,0)+IFERROR(G93/SUMIF(I:I,I93,G:G),0)*VLOOKUP(I93,Tabla13[],2,0)</f>
        <v>121576.08536458333</v>
      </c>
      <c r="R93" s="29">
        <f>IFERROR(VLOOKUP(A93,Modelos[],IF(B93="EST",15,14),0),0)*C93</f>
        <v>0</v>
      </c>
      <c r="S93" s="29">
        <f>IFERROR(VLOOKUP(D93,Modelos[],IF(E93="EST",15,14),0),0)*F93</f>
        <v>0</v>
      </c>
      <c r="T93" s="29">
        <f>IF($L93&lt;0,0,IFERROR((T$2*IFERROR(VLOOKUP(J93,Tabla11[],2,0),0))*($L93/SUM($L$5:$L$46)),0))</f>
        <v>2522.585889637804</v>
      </c>
      <c r="U93" s="29">
        <f>IF($L93&lt;0,0,IFERROR((U$2*IFERROR(VLOOKUP(J93,Tabla11[],2,0),0))*($L93/SUM($L$5:$L$46)),0))</f>
        <v>490.50281187401742</v>
      </c>
      <c r="V93" s="29">
        <f>IF($L93&lt;0,0,IFERROR((V$2*IFERROR(VLOOKUP(J93,Tabla11[],2,0),0))*($L93/SUM($L$5:$L$46)),0))</f>
        <v>2522.585889637804</v>
      </c>
      <c r="W93" s="29">
        <f>IF($L93&lt;0,0,IFERROR((W$2*IFERROR(VLOOKUP(J93,Tabla11[],2,0),0))*($L93/SUM($L$5:$L$46)),0))</f>
        <v>3503.5915133858384</v>
      </c>
      <c r="X93" s="29">
        <f t="shared" si="17"/>
        <v>196836.05714285714</v>
      </c>
      <c r="Y93" s="29">
        <f>+X93*IFERROR(VLOOKUP(J93,Tabla11[],4,0),0)</f>
        <v>29525.408571428568</v>
      </c>
      <c r="Z93" s="29">
        <f t="shared" si="18"/>
        <v>25833.333333333332</v>
      </c>
      <c r="AA93" s="29">
        <f t="shared" si="19"/>
        <v>109279.99234040501</v>
      </c>
      <c r="AB93" s="29">
        <f>IF($L93&lt;0,0,IFERROR((AB$2*IFERROR(VLOOKUP(J93,Tabla11[],2,0),0))*($L93/SUM($L$5:$L$46)),0))</f>
        <v>4023.6498856685662</v>
      </c>
      <c r="AC93" s="29">
        <f>L93-L93*IFERROR(VLOOKUP(J93,Tabla11[],3,0),0)-Q93-T93-U93-V93-W93-L93*$X$2-(L93*$X$2)*IFERROR(VLOOKUP(J93,Tabla11[],4,0),0)-AB93-Z93</f>
        <v>-16630.600622186626</v>
      </c>
      <c r="AD93" s="29">
        <f t="shared" si="20"/>
        <v>105256.34245473644</v>
      </c>
      <c r="AE93" s="29">
        <f t="shared" si="21"/>
        <v>121886.94307692299</v>
      </c>
    </row>
    <row r="94" spans="1:31" x14ac:dyDescent="0.3">
      <c r="A94" s="30"/>
      <c r="B94" s="30" t="s">
        <v>209</v>
      </c>
      <c r="C94" s="33"/>
      <c r="D94" s="30"/>
      <c r="E94" s="30" t="s">
        <v>209</v>
      </c>
      <c r="F94" s="33"/>
      <c r="G94" s="33">
        <v>3</v>
      </c>
      <c r="H94" s="33" t="s">
        <v>293</v>
      </c>
      <c r="I94" s="33" t="s">
        <v>322</v>
      </c>
      <c r="J94" s="33" t="s">
        <v>288</v>
      </c>
      <c r="K94" s="33" t="s">
        <v>271</v>
      </c>
      <c r="L94" s="29">
        <f>IFERROR(VLOOKUP(CONCATENATE(J94,K94),Ventas!D:H,4,0),0)</f>
        <v>734687.91208791209</v>
      </c>
      <c r="M94" s="30">
        <f t="shared" si="22"/>
        <v>0</v>
      </c>
      <c r="N94" s="42">
        <f t="shared" si="15"/>
        <v>734687.91208791209</v>
      </c>
      <c r="O94" s="30">
        <f>N94*IFERROR(VLOOKUP(J94,Tabla11[],3,0),0)</f>
        <v>257140.76923076922</v>
      </c>
      <c r="P94" s="30">
        <f t="shared" si="16"/>
        <v>477547.14285714284</v>
      </c>
      <c r="Q94" s="29">
        <f>IFERROR(G94/SUMIF(I:I,I94,G:G),0)*VLOOKUP(H94,Modelos[],14,0)+IFERROR(G94/SUMIF(I:I,I94,G:G),0)*VLOOKUP(I94,Tabla13[],2,0)</f>
        <v>128242.75203125</v>
      </c>
      <c r="R94" s="30">
        <f>IFERROR(VLOOKUP(A94,Modelos[],IF(B94="EST",15,14),0),0)*C94</f>
        <v>0</v>
      </c>
      <c r="S94" s="30">
        <f>IFERROR(VLOOKUP(D94,Modelos[],IF(E94="EST",15,14),0),0)*F94</f>
        <v>0</v>
      </c>
      <c r="T94" s="30">
        <f>IF($L94&lt;0,0,IFERROR((T$2*IFERROR(VLOOKUP(J94,Tabla11[],2,0),0))*($L94/SUM($L$5:$L$46)),0))</f>
        <v>2448.0345759699489</v>
      </c>
      <c r="U94" s="30">
        <f>IF($L94&lt;0,0,IFERROR((U$2*IFERROR(VLOOKUP(J94,Tabla11[],2,0),0))*($L94/SUM($L$5:$L$46)),0))</f>
        <v>476.00672310526784</v>
      </c>
      <c r="V94" s="30">
        <f>IF($L94&lt;0,0,IFERROR((V$2*IFERROR(VLOOKUP(J94,Tabla11[],2,0),0))*($L94/SUM($L$5:$L$46)),0))</f>
        <v>2448.0345759699489</v>
      </c>
      <c r="W94" s="30">
        <f>IF($L94&lt;0,0,IFERROR((W$2*IFERROR(VLOOKUP(J94,Tabla11[],2,0),0))*($L94/SUM($L$5:$L$46)),0))</f>
        <v>3400.0480221804842</v>
      </c>
      <c r="X94" s="30">
        <f t="shared" si="17"/>
        <v>191018.85714285716</v>
      </c>
      <c r="Y94" s="30">
        <f>+X94*IFERROR(VLOOKUP(J94,Tabla11[],4,0),0)</f>
        <v>28652.828571428574</v>
      </c>
      <c r="Z94" s="30">
        <f t="shared" si="18"/>
        <v>25833.333333333332</v>
      </c>
      <c r="AA94" s="30">
        <f t="shared" si="19"/>
        <v>95027.247881048184</v>
      </c>
      <c r="AB94" s="30">
        <f>IF($L94&lt;0,0,IFERROR((AB$2*IFERROR(VLOOKUP(J94,Tabla11[],2,0),0))*($L94/SUM($L$5:$L$46)),0))</f>
        <v>3904.7368346012836</v>
      </c>
      <c r="AC94" s="30">
        <f>L94-L94*IFERROR(VLOOKUP(J94,Tabla11[],3,0),0)-Q94-T94-U94-V94-W94-L94*$X$2-(L94*$X$2)*IFERROR(VLOOKUP(J94,Tabla11[],4,0),0)-AB94-Z94</f>
        <v>-27162.242799707048</v>
      </c>
      <c r="AD94" s="30">
        <f t="shared" si="20"/>
        <v>91122.511046446903</v>
      </c>
      <c r="AE94" s="30">
        <f t="shared" si="21"/>
        <v>118284.753846154</v>
      </c>
    </row>
    <row r="95" spans="1:31" x14ac:dyDescent="0.3">
      <c r="A95" s="29"/>
      <c r="B95" s="29" t="s">
        <v>209</v>
      </c>
      <c r="C95" s="32"/>
      <c r="D95" s="29"/>
      <c r="E95" s="29" t="s">
        <v>209</v>
      </c>
      <c r="F95" s="32"/>
      <c r="G95" s="32">
        <v>3</v>
      </c>
      <c r="H95" s="32" t="s">
        <v>291</v>
      </c>
      <c r="I95" s="32" t="s">
        <v>328</v>
      </c>
      <c r="J95" s="32" t="s">
        <v>288</v>
      </c>
      <c r="K95" s="32" t="s">
        <v>272</v>
      </c>
      <c r="L95" s="29">
        <f>IFERROR(VLOOKUP(CONCATENATE(J95,K95),Ventas!D:H,4,0),0)</f>
        <v>682280.43956043955</v>
      </c>
      <c r="M95" s="29">
        <f t="shared" si="22"/>
        <v>0</v>
      </c>
      <c r="N95" s="41">
        <f t="shared" si="15"/>
        <v>682280.43956043955</v>
      </c>
      <c r="O95" s="29">
        <f>N95*IFERROR(VLOOKUP(J95,Tabla11[],3,0),0)</f>
        <v>238798.15384615381</v>
      </c>
      <c r="P95" s="29">
        <f t="shared" si="16"/>
        <v>443482.28571428574</v>
      </c>
      <c r="Q95" s="29">
        <f>IFERROR(G95/SUMIF(I:I,I95,G:G),0)*VLOOKUP(H95,Modelos[],14,0)+IFERROR(G95/SUMIF(I:I,I95,G:G),0)*VLOOKUP(I95,Tabla13[],2,0)</f>
        <v>179573.44202008931</v>
      </c>
      <c r="R95" s="29">
        <f>IFERROR(VLOOKUP(A95,Modelos[],IF(B95="EST",15,14),0),0)*C95</f>
        <v>0</v>
      </c>
      <c r="S95" s="29">
        <f>IFERROR(VLOOKUP(D95,Modelos[],IF(E95="EST",15,14),0),0)*F95</f>
        <v>0</v>
      </c>
      <c r="T95" s="29">
        <f>IF($L95&lt;0,0,IFERROR((T$2*IFERROR(VLOOKUP(J95,Tabla11[],2,0),0))*($L95/SUM($L$5:$L$46)),0))</f>
        <v>2273.4089932216971</v>
      </c>
      <c r="U95" s="29">
        <f>IF($L95&lt;0,0,IFERROR((U$2*IFERROR(VLOOKUP(J95,Tabla11[],2,0),0))*($L95/SUM($L$5:$L$46)),0))</f>
        <v>442.05174868199663</v>
      </c>
      <c r="V95" s="29">
        <f>IF($L95&lt;0,0,IFERROR((V$2*IFERROR(VLOOKUP(J95,Tabla11[],2,0),0))*($L95/SUM($L$5:$L$46)),0))</f>
        <v>2273.4089932216971</v>
      </c>
      <c r="W95" s="29">
        <f>IF($L95&lt;0,0,IFERROR((W$2*IFERROR(VLOOKUP(J95,Tabla11[],2,0),0))*($L95/SUM($L$5:$L$46)),0))</f>
        <v>3157.5124905856901</v>
      </c>
      <c r="X95" s="29">
        <f t="shared" si="17"/>
        <v>177392.9142857143</v>
      </c>
      <c r="Y95" s="29">
        <f>+X95*IFERROR(VLOOKUP(J95,Tabla11[],4,0),0)</f>
        <v>26608.937142857143</v>
      </c>
      <c r="Z95" s="29">
        <f t="shared" si="18"/>
        <v>25833.333333333332</v>
      </c>
      <c r="AA95" s="29">
        <f t="shared" si="19"/>
        <v>25927.276706580655</v>
      </c>
      <c r="AB95" s="29">
        <f>IF($L95&lt;0,0,IFERROR((AB$2*IFERROR(VLOOKUP(J95,Tabla11[],2,0),0))*($L95/SUM($L$5:$L$46)),0))</f>
        <v>3626.2003498987965</v>
      </c>
      <c r="AC95" s="29">
        <f>L95-L95*IFERROR(VLOOKUP(J95,Tabla11[],3,0),0)-Q95-T95-U95-V95-W95-L95*$X$2-(L95*$X$2)*IFERROR(VLOOKUP(J95,Tabla11[],4,0),0)-AB95-Z95</f>
        <v>-87546.074412548958</v>
      </c>
      <c r="AD95" s="29">
        <f t="shared" si="20"/>
        <v>22301.076356681857</v>
      </c>
      <c r="AE95" s="29">
        <f t="shared" si="21"/>
        <v>109847.150769231</v>
      </c>
    </row>
    <row r="96" spans="1:31" x14ac:dyDescent="0.3">
      <c r="A96" s="30"/>
      <c r="B96" s="30" t="s">
        <v>209</v>
      </c>
      <c r="C96" s="33"/>
      <c r="D96" s="30"/>
      <c r="E96" s="30" t="s">
        <v>209</v>
      </c>
      <c r="F96" s="33"/>
      <c r="G96" s="33">
        <v>3</v>
      </c>
      <c r="H96" s="33" t="s">
        <v>292</v>
      </c>
      <c r="I96" s="33" t="s">
        <v>325</v>
      </c>
      <c r="J96" s="33" t="s">
        <v>287</v>
      </c>
      <c r="K96" s="33" t="s">
        <v>264</v>
      </c>
      <c r="L96" s="29">
        <f>IFERROR(VLOOKUP(CONCATENATE(J96,K96),Ventas!D:H,4,0),0)</f>
        <v>726045.7142857142</v>
      </c>
      <c r="M96" s="30">
        <f t="shared" si="22"/>
        <v>0</v>
      </c>
      <c r="N96" s="42">
        <f t="shared" si="15"/>
        <v>726045.7142857142</v>
      </c>
      <c r="O96" s="30">
        <f>N96*IFERROR(VLOOKUP(J96,Tabla11[],3,0),0)</f>
        <v>254115.99999999994</v>
      </c>
      <c r="P96" s="30">
        <f t="shared" si="16"/>
        <v>471929.71428571426</v>
      </c>
      <c r="Q96" s="29">
        <f>IFERROR(G96/SUMIF(I:I,I96,G:G),0)*VLOOKUP(H96,Modelos[],14,0)+IFERROR(G96/SUMIF(I:I,I96,G:G),0)*VLOOKUP(I96,Tabla13[],2,0)</f>
        <v>73262.013978040544</v>
      </c>
      <c r="R96" s="30">
        <f>IFERROR(VLOOKUP(A96,Modelos[],IF(B96="EST",15,14),0),0)*C96</f>
        <v>0</v>
      </c>
      <c r="S96" s="30">
        <f>IFERROR(VLOOKUP(D96,Modelos[],IF(E96="EST",15,14),0),0)*F96</f>
        <v>0</v>
      </c>
      <c r="T96" s="30">
        <f>IF($L96&lt;0,0,IFERROR((T$2*IFERROR(VLOOKUP(J96,Tabla11[],2,0),0))*($L96/SUM($L$5:$L$46)),0))</f>
        <v>2419.2381323589093</v>
      </c>
      <c r="U96" s="30">
        <f>IF($L96&lt;0,0,IFERROR((U$2*IFERROR(VLOOKUP(J96,Tabla11[],2,0),0))*($L96/SUM($L$5:$L$46)),0))</f>
        <v>470.40741462534345</v>
      </c>
      <c r="V96" s="30">
        <f>IF($L96&lt;0,0,IFERROR((V$2*IFERROR(VLOOKUP(J96,Tabla11[],2,0),0))*($L96/SUM($L$5:$L$46)),0))</f>
        <v>2419.2381323589093</v>
      </c>
      <c r="W96" s="30">
        <f>IF($L96&lt;0,0,IFERROR((W$2*IFERROR(VLOOKUP(J96,Tabla11[],2,0),0))*($L96/SUM($L$5:$L$46)),0))</f>
        <v>3360.052961609596</v>
      </c>
      <c r="X96" s="30">
        <f t="shared" si="17"/>
        <v>188771.88571428572</v>
      </c>
      <c r="Y96" s="30">
        <f>+X96*IFERROR(VLOOKUP(J96,Tabla11[],4,0),0)</f>
        <v>28315.782857142858</v>
      </c>
      <c r="Z96" s="30">
        <f t="shared" si="18"/>
        <v>25833.333333333332</v>
      </c>
      <c r="AA96" s="30">
        <f t="shared" si="19"/>
        <v>147077.76176195906</v>
      </c>
      <c r="AB96" s="30">
        <f>IF($L96&lt;0,0,IFERROR((AB$2*IFERROR(VLOOKUP(J96,Tabla11[],2,0),0))*($L96/SUM($L$5:$L$46)),0))</f>
        <v>3858.8050756395073</v>
      </c>
      <c r="AC96" s="30">
        <f>L96-L96*IFERROR(VLOOKUP(J96,Tabla11[],3,0),0)-Q96-T96-U96-V96-W96-L96*$X$2-(L96*$X$2)*IFERROR(VLOOKUP(J96,Tabla11[],4,0),0)-AB96-Z96</f>
        <v>26325.59668631951</v>
      </c>
      <c r="AD96" s="30">
        <f t="shared" si="20"/>
        <v>143218.95668631955</v>
      </c>
      <c r="AE96" s="30">
        <f t="shared" si="21"/>
        <v>116893.36</v>
      </c>
    </row>
    <row r="97" spans="1:31" x14ac:dyDescent="0.3">
      <c r="A97" s="29"/>
      <c r="B97" s="29" t="s">
        <v>209</v>
      </c>
      <c r="C97" s="32"/>
      <c r="D97" s="29"/>
      <c r="E97" s="29" t="s">
        <v>209</v>
      </c>
      <c r="F97" s="32"/>
      <c r="G97" s="32">
        <v>3</v>
      </c>
      <c r="H97" s="32" t="s">
        <v>292</v>
      </c>
      <c r="I97" s="32" t="s">
        <v>324</v>
      </c>
      <c r="J97" s="32" t="s">
        <v>287</v>
      </c>
      <c r="K97" s="32" t="s">
        <v>265</v>
      </c>
      <c r="L97" s="29">
        <f>IFERROR(VLOOKUP(CONCATENATE(J97,K97),Ventas!D:H,4,0),0)</f>
        <v>604836.0439560439</v>
      </c>
      <c r="M97" s="29">
        <f t="shared" si="22"/>
        <v>0</v>
      </c>
      <c r="N97" s="41">
        <f t="shared" si="15"/>
        <v>604836.0439560439</v>
      </c>
      <c r="O97" s="29">
        <f>N97*IFERROR(VLOOKUP(J97,Tabla11[],3,0),0)</f>
        <v>211692.61538461535</v>
      </c>
      <c r="P97" s="29">
        <f t="shared" si="16"/>
        <v>393143.42857142852</v>
      </c>
      <c r="Q97" s="29">
        <f>IFERROR(G97/SUMIF(I:I,I97,G:G),0)*VLOOKUP(H97,Modelos[],14,0)+IFERROR(G97/SUMIF(I:I,I97,G:G),0)*VLOOKUP(I97,Tabla13[],2,0)</f>
        <v>69504.987620192318</v>
      </c>
      <c r="R97" s="29">
        <f>IFERROR(VLOOKUP(A97,Modelos[],IF(B97="EST",15,14),0),0)*C97</f>
        <v>0</v>
      </c>
      <c r="S97" s="29">
        <f>IFERROR(VLOOKUP(D97,Modelos[],IF(E97="EST",15,14),0),0)*F97</f>
        <v>0</v>
      </c>
      <c r="T97" s="29">
        <f>IF($L97&lt;0,0,IFERROR((T$2*IFERROR(VLOOKUP(J97,Tabla11[],2,0),0))*($L97/SUM($L$5:$L$46)),0))</f>
        <v>2015.35852711852</v>
      </c>
      <c r="U97" s="29">
        <f>IF($L97&lt;0,0,IFERROR((U$2*IFERROR(VLOOKUP(J97,Tabla11[],2,0),0))*($L97/SUM($L$5:$L$46)),0))</f>
        <v>391.87526916193445</v>
      </c>
      <c r="V97" s="29">
        <f>IF($L97&lt;0,0,IFERROR((V$2*IFERROR(VLOOKUP(J97,Tabla11[],2,0),0))*($L97/SUM($L$5:$L$46)),0))</f>
        <v>2015.35852711852</v>
      </c>
      <c r="W97" s="29">
        <f>IF($L97&lt;0,0,IFERROR((W$2*IFERROR(VLOOKUP(J97,Tabla11[],2,0),0))*($L97/SUM($L$5:$L$46)),0))</f>
        <v>2799.1090654423888</v>
      </c>
      <c r="X97" s="29">
        <f t="shared" si="17"/>
        <v>157257.37142857141</v>
      </c>
      <c r="Y97" s="29">
        <f>+X97*IFERROR(VLOOKUP(J97,Tabla11[],4,0),0)</f>
        <v>23588.60571428571</v>
      </c>
      <c r="Z97" s="29">
        <f t="shared" si="18"/>
        <v>25833.333333333332</v>
      </c>
      <c r="AA97" s="29">
        <f t="shared" si="19"/>
        <v>109737.42908620439</v>
      </c>
      <c r="AB97" s="29">
        <f>IF($L97&lt;0,0,IFERROR((AB$2*IFERROR(VLOOKUP(J97,Tabla11[],2,0),0))*($L97/SUM($L$5:$L$46)),0))</f>
        <v>3214.5970293942764</v>
      </c>
      <c r="AC97" s="29">
        <f>L97-L97*IFERROR(VLOOKUP(J97,Tabla11[],3,0),0)-Q97-T97-U97-V97-W97-L97*$X$2-(L97*$X$2)*IFERROR(VLOOKUP(J97,Tabla11[],4,0),0)-AB97-Z97</f>
        <v>9144.2289798869788</v>
      </c>
      <c r="AD97" s="29">
        <f t="shared" si="20"/>
        <v>106522.8320568101</v>
      </c>
      <c r="AE97" s="29">
        <f t="shared" si="21"/>
        <v>97378.603076922998</v>
      </c>
    </row>
    <row r="98" spans="1:31" x14ac:dyDescent="0.3">
      <c r="A98" s="30"/>
      <c r="B98" s="30" t="s">
        <v>209</v>
      </c>
      <c r="C98" s="33"/>
      <c r="D98" s="30"/>
      <c r="E98" s="30" t="s">
        <v>209</v>
      </c>
      <c r="F98" s="33"/>
      <c r="G98" s="33">
        <v>1</v>
      </c>
      <c r="H98" s="33" t="s">
        <v>291</v>
      </c>
      <c r="I98" s="32" t="s">
        <v>327</v>
      </c>
      <c r="J98" s="33" t="s">
        <v>288</v>
      </c>
      <c r="K98" s="33" t="s">
        <v>273</v>
      </c>
      <c r="L98" s="29">
        <f>IFERROR(VLOOKUP(CONCATENATE(J98,K98),Ventas!D:H,4,0),0)</f>
        <v>636723.51648351655</v>
      </c>
      <c r="M98" s="30">
        <f t="shared" si="22"/>
        <v>0</v>
      </c>
      <c r="N98" s="42">
        <f t="shared" ref="N98:N114" si="23">SUM(L98:M98)</f>
        <v>636723.51648351655</v>
      </c>
      <c r="O98" s="30">
        <f>N98*IFERROR(VLOOKUP(J98,Tabla11[],3,0),0)</f>
        <v>222853.23076923078</v>
      </c>
      <c r="P98" s="30">
        <f t="shared" ref="P98:P114" si="24">N98-O98</f>
        <v>413870.2857142858</v>
      </c>
      <c r="Q98" s="29">
        <f>IFERROR(G98/SUMIF(I:I,I98,G:G),0)*VLOOKUP(H98,Modelos[],14,0)+IFERROR(G98/SUMIF(I:I,I98,G:G),0)*VLOOKUP(I98,Tabla13[],2,0)</f>
        <v>51647.61153492648</v>
      </c>
      <c r="R98" s="30">
        <f>IFERROR(VLOOKUP(A98,Modelos[],IF(B98="EST",15,14),0),0)*C98</f>
        <v>0</v>
      </c>
      <c r="S98" s="30">
        <f>IFERROR(VLOOKUP(D98,Modelos[],IF(E98="EST",15,14),0),0)*F98</f>
        <v>0</v>
      </c>
      <c r="T98" s="30">
        <f>IF($L98&lt;0,0,IFERROR((T$2*IFERROR(VLOOKUP(J98,Tabla11[],2,0),0))*($L98/SUM($L$5:$L$46)),0))</f>
        <v>2121.6099489851213</v>
      </c>
      <c r="U98" s="30">
        <f>IF($L98&lt;0,0,IFERROR((U$2*IFERROR(VLOOKUP(J98,Tabla11[],2,0),0))*($L98/SUM($L$5:$L$46)),0))</f>
        <v>412.53526785821799</v>
      </c>
      <c r="V98" s="30">
        <f>IF($L98&lt;0,0,IFERROR((V$2*IFERROR(VLOOKUP(J98,Tabla11[],2,0),0))*($L98/SUM($L$5:$L$46)),0))</f>
        <v>2121.6099489851213</v>
      </c>
      <c r="W98" s="30">
        <f>IF($L98&lt;0,0,IFERROR((W$2*IFERROR(VLOOKUP(J98,Tabla11[],2,0),0))*($L98/SUM($L$5:$L$46)),0))</f>
        <v>2946.6804847015569</v>
      </c>
      <c r="X98" s="30">
        <f t="shared" ref="X98:X114" si="25">P98*$X$2</f>
        <v>165548.11428571434</v>
      </c>
      <c r="Y98" s="30">
        <f>+X98*IFERROR(VLOOKUP(J98,Tabla11[],4,0),0)</f>
        <v>24832.217142857149</v>
      </c>
      <c r="Z98" s="30">
        <f t="shared" ref="Z98:Z114" si="26">IF(L98&gt;0,$Z$2/12,0)</f>
        <v>25833.333333333332</v>
      </c>
      <c r="AA98" s="30">
        <f t="shared" ref="AA98:AA114" si="27">P98-SUM(Q98:Z98)</f>
        <v>138406.5737669245</v>
      </c>
      <c r="AB98" s="30">
        <f>IF($L98&lt;0,0,IFERROR((AB$2*IFERROR(VLOOKUP(J98,Tabla11[],2,0),0))*($L98/SUM($L$5:$L$46)),0))</f>
        <v>3384.0733287749313</v>
      </c>
      <c r="AC98" s="30">
        <f>L98-L98*IFERROR(VLOOKUP(J98,Tabla11[],3,0),0)-Q98-T98-U98-V98-W98-L98*$X$2-(L98*$X$2)*IFERROR(VLOOKUP(J98,Tabla11[],4,0),0)-AB98-Z98</f>
        <v>32510.014284303474</v>
      </c>
      <c r="AD98" s="30">
        <f t="shared" ref="AD98:AD114" si="28">AA98-AB98</f>
        <v>135022.50043814958</v>
      </c>
      <c r="AE98" s="30">
        <f t="shared" ref="AE98:AE114" si="29">ROUND(AD98-AC98,9)</f>
        <v>102512.486153846</v>
      </c>
    </row>
    <row r="99" spans="1:31" x14ac:dyDescent="0.3">
      <c r="A99" s="29"/>
      <c r="B99" s="29" t="s">
        <v>209</v>
      </c>
      <c r="C99" s="32"/>
      <c r="D99" s="29"/>
      <c r="E99" s="29" t="s">
        <v>209</v>
      </c>
      <c r="F99" s="32"/>
      <c r="G99" s="32">
        <v>3</v>
      </c>
      <c r="H99" s="32" t="s">
        <v>291</v>
      </c>
      <c r="I99" s="32" t="s">
        <v>320</v>
      </c>
      <c r="J99" s="32" t="s">
        <v>288</v>
      </c>
      <c r="K99" s="32" t="s">
        <v>274</v>
      </c>
      <c r="L99" s="29">
        <f>IFERROR(VLOOKUP(CONCATENATE(J99,K99),Ventas!D:H,4,0),0)</f>
        <v>691485.49450549448</v>
      </c>
      <c r="M99" s="29">
        <f t="shared" si="22"/>
        <v>0</v>
      </c>
      <c r="N99" s="41">
        <f t="shared" si="23"/>
        <v>691485.49450549448</v>
      </c>
      <c r="O99" s="29">
        <f>N99*IFERROR(VLOOKUP(J99,Tabla11[],3,0),0)</f>
        <v>242019.92307692306</v>
      </c>
      <c r="P99" s="29">
        <f t="shared" si="24"/>
        <v>449465.57142857142</v>
      </c>
      <c r="Q99" s="29">
        <f>IFERROR(G99/SUMIF(I:I,I99,G:G),0)*VLOOKUP(H99,Modelos[],14,0)+IFERROR(G99/SUMIF(I:I,I99,G:G),0)*VLOOKUP(I99,Tabla13[],2,0)</f>
        <v>106001.17451171877</v>
      </c>
      <c r="R99" s="29">
        <f>IFERROR(VLOOKUP(A99,Modelos[],IF(B99="EST",15,14),0),0)*C99</f>
        <v>0</v>
      </c>
      <c r="S99" s="29">
        <f>IFERROR(VLOOKUP(D99,Modelos[],IF(E99="EST",15,14),0),0)*F99</f>
        <v>0</v>
      </c>
      <c r="T99" s="29">
        <f>IF($L99&lt;0,0,IFERROR((T$2*IFERROR(VLOOKUP(J99,Tabla11[],2,0),0))*($L99/SUM($L$5:$L$46)),0))</f>
        <v>2304.0809185500416</v>
      </c>
      <c r="U99" s="29">
        <f>IF($L99&lt;0,0,IFERROR((U$2*IFERROR(VLOOKUP(J99,Tabla11[],2,0),0))*($L99/SUM($L$5:$L$46)),0))</f>
        <v>448.01573416250807</v>
      </c>
      <c r="V99" s="29">
        <f>IF($L99&lt;0,0,IFERROR((V$2*IFERROR(VLOOKUP(J99,Tabla11[],2,0),0))*($L99/SUM($L$5:$L$46)),0))</f>
        <v>2304.0809185500416</v>
      </c>
      <c r="W99" s="29">
        <f>IF($L99&lt;0,0,IFERROR((W$2*IFERROR(VLOOKUP(J99,Tabla11[],2,0),0))*($L99/SUM($L$5:$L$46)),0))</f>
        <v>3200.1123868750574</v>
      </c>
      <c r="X99" s="29">
        <f t="shared" si="25"/>
        <v>179786.22857142857</v>
      </c>
      <c r="Y99" s="29">
        <f>+X99*IFERROR(VLOOKUP(J99,Tabla11[],4,0),0)</f>
        <v>26967.934285714284</v>
      </c>
      <c r="Z99" s="29">
        <f t="shared" si="26"/>
        <v>25833.333333333332</v>
      </c>
      <c r="AA99" s="29">
        <f t="shared" si="27"/>
        <v>102620.61076823884</v>
      </c>
      <c r="AB99" s="29">
        <f>IF($L99&lt;0,0,IFERROR((AB$2*IFERROR(VLOOKUP(J99,Tabla11[],2,0),0))*($L99/SUM($L$5:$L$46)),0))</f>
        <v>3675.123595425373</v>
      </c>
      <c r="AC99" s="29">
        <f>L99-L99*IFERROR(VLOOKUP(J99,Tabla11[],3,0),0)-Q99-T99-U99-V99-W99-L99*$X$2-(L99*$X$2)*IFERROR(VLOOKUP(J99,Tabla11[],4,0),0)-AB99-Z99</f>
        <v>-12383.677442571139</v>
      </c>
      <c r="AD99" s="29">
        <f t="shared" si="28"/>
        <v>98945.48717281346</v>
      </c>
      <c r="AE99" s="29">
        <f t="shared" si="29"/>
        <v>111329.164615385</v>
      </c>
    </row>
    <row r="100" spans="1:31" x14ac:dyDescent="0.3">
      <c r="A100" s="30"/>
      <c r="B100" s="30" t="s">
        <v>209</v>
      </c>
      <c r="C100" s="33"/>
      <c r="D100" s="30"/>
      <c r="E100" s="30" t="s">
        <v>209</v>
      </c>
      <c r="F100" s="33"/>
      <c r="G100" s="33">
        <v>3</v>
      </c>
      <c r="H100" s="33" t="s">
        <v>292</v>
      </c>
      <c r="I100" s="33" t="s">
        <v>325</v>
      </c>
      <c r="J100" s="33" t="s">
        <v>288</v>
      </c>
      <c r="K100" s="33" t="s">
        <v>266</v>
      </c>
      <c r="L100" s="29">
        <f>IFERROR(VLOOKUP(CONCATENATE(J100,K100),Ventas!D:H,4,0),0)</f>
        <v>653922.19780219765</v>
      </c>
      <c r="M100" s="30">
        <f t="shared" si="22"/>
        <v>0</v>
      </c>
      <c r="N100" s="42">
        <f t="shared" si="23"/>
        <v>653922.19780219765</v>
      </c>
      <c r="O100" s="30">
        <f>N100*IFERROR(VLOOKUP(J100,Tabla11[],3,0),0)</f>
        <v>228872.76923076916</v>
      </c>
      <c r="P100" s="30">
        <f t="shared" si="24"/>
        <v>425049.42857142852</v>
      </c>
      <c r="Q100" s="29">
        <f>IFERROR(G100/SUMIF(I:I,I100,G:G),0)*VLOOKUP(H100,Modelos[],14,0)+IFERROR(G100/SUMIF(I:I,I100,G:G),0)*VLOOKUP(I100,Tabla13[],2,0)</f>
        <v>73262.013978040544</v>
      </c>
      <c r="R100" s="30">
        <f>IFERROR(VLOOKUP(A100,Modelos[],IF(B100="EST",15,14),0),0)*C100</f>
        <v>0</v>
      </c>
      <c r="S100" s="30">
        <f>IFERROR(VLOOKUP(D100,Modelos[],IF(E100="EST",15,14),0),0)*F100</f>
        <v>0</v>
      </c>
      <c r="T100" s="30">
        <f>IF($L100&lt;0,0,IFERROR((T$2*IFERROR(VLOOKUP(J100,Tabla11[],2,0),0))*($L100/SUM($L$5:$L$46)),0))</f>
        <v>2178.9172298543094</v>
      </c>
      <c r="U100" s="30">
        <f>IF($L100&lt;0,0,IFERROR((U$2*IFERROR(VLOOKUP(J100,Tabla11[],2,0),0))*($L100/SUM($L$5:$L$46)),0))</f>
        <v>423.67835024944907</v>
      </c>
      <c r="V100" s="30">
        <f>IF($L100&lt;0,0,IFERROR((V$2*IFERROR(VLOOKUP(J100,Tabla11[],2,0),0))*($L100/SUM($L$5:$L$46)),0))</f>
        <v>2178.9172298543094</v>
      </c>
      <c r="W100" s="30">
        <f>IF($L100&lt;0,0,IFERROR((W$2*IFERROR(VLOOKUP(J100,Tabla11[],2,0),0))*($L100/SUM($L$5:$L$46)),0))</f>
        <v>3026.2739303532076</v>
      </c>
      <c r="X100" s="30">
        <f t="shared" si="25"/>
        <v>170019.77142857143</v>
      </c>
      <c r="Y100" s="30">
        <f>+X100*IFERROR(VLOOKUP(J100,Tabla11[],4,0),0)</f>
        <v>25502.965714285714</v>
      </c>
      <c r="Z100" s="30">
        <f t="shared" si="26"/>
        <v>25833.333333333332</v>
      </c>
      <c r="AA100" s="30">
        <f t="shared" si="27"/>
        <v>122623.55737688619</v>
      </c>
      <c r="AB100" s="30">
        <f>IF($L100&lt;0,0,IFERROR((AB$2*IFERROR(VLOOKUP(J100,Tabla11[],2,0),0))*($L100/SUM($L$5:$L$46)),0))</f>
        <v>3475.4812903688153</v>
      </c>
      <c r="AC100" s="30">
        <f>L100-L100*IFERROR(VLOOKUP(J100,Tabla11[],3,0),0)-Q100-T100-U100-V100-W100-L100*$X$2-(L100*$X$2)*IFERROR(VLOOKUP(J100,Tabla11[],4,0),0)-AB100-Z100</f>
        <v>13866.602240363583</v>
      </c>
      <c r="AD100" s="30">
        <f t="shared" si="28"/>
        <v>119148.07608651738</v>
      </c>
      <c r="AE100" s="30">
        <f t="shared" si="29"/>
        <v>105281.473846154</v>
      </c>
    </row>
    <row r="101" spans="1:31" x14ac:dyDescent="0.3">
      <c r="A101" s="29"/>
      <c r="B101" s="29" t="s">
        <v>209</v>
      </c>
      <c r="C101" s="32"/>
      <c r="D101" s="29"/>
      <c r="E101" s="29" t="s">
        <v>209</v>
      </c>
      <c r="F101" s="32"/>
      <c r="G101" s="32">
        <v>2</v>
      </c>
      <c r="H101" s="32" t="s">
        <v>291</v>
      </c>
      <c r="I101" s="32" t="s">
        <v>327</v>
      </c>
      <c r="J101" s="32" t="s">
        <v>288</v>
      </c>
      <c r="K101" s="32" t="s">
        <v>275</v>
      </c>
      <c r="L101" s="29">
        <f>IFERROR(VLOOKUP(CONCATENATE(J101,K101),Ventas!D:H,4,0),0)</f>
        <v>662225.71428571432</v>
      </c>
      <c r="M101" s="29">
        <f t="shared" si="22"/>
        <v>0</v>
      </c>
      <c r="N101" s="41">
        <f t="shared" si="23"/>
        <v>662225.71428571432</v>
      </c>
      <c r="O101" s="29">
        <f>N101*IFERROR(VLOOKUP(J101,Tabla11[],3,0),0)</f>
        <v>231779</v>
      </c>
      <c r="P101" s="29">
        <f t="shared" si="24"/>
        <v>430446.71428571432</v>
      </c>
      <c r="Q101" s="29">
        <f>IFERROR(G101/SUMIF(I:I,I101,G:G),0)*VLOOKUP(H101,Modelos[],14,0)+IFERROR(G101/SUMIF(I:I,I101,G:G),0)*VLOOKUP(I101,Tabla13[],2,0)</f>
        <v>103295.22306985296</v>
      </c>
      <c r="R101" s="29">
        <f>IFERROR(VLOOKUP(A101,Modelos[],IF(B101="EST",15,14),0),0)*C101</f>
        <v>0</v>
      </c>
      <c r="S101" s="29">
        <f>IFERROR(VLOOKUP(D101,Modelos[],IF(E101="EST",15,14),0),0)*F101</f>
        <v>0</v>
      </c>
      <c r="T101" s="29">
        <f>IF($L101&lt;0,0,IFERROR((T$2*IFERROR(VLOOKUP(J101,Tabla11[],2,0),0))*($L101/SUM($L$5:$L$46)),0))</f>
        <v>2206.5851622094465</v>
      </c>
      <c r="U101" s="29">
        <f>IF($L101&lt;0,0,IFERROR((U$2*IFERROR(VLOOKUP(J101,Tabla11[],2,0),0))*($L101/SUM($L$5:$L$46)),0))</f>
        <v>429.05822598517017</v>
      </c>
      <c r="V101" s="29">
        <f>IF($L101&lt;0,0,IFERROR((V$2*IFERROR(VLOOKUP(J101,Tabla11[],2,0),0))*($L101/SUM($L$5:$L$46)),0))</f>
        <v>2206.5851622094465</v>
      </c>
      <c r="W101" s="29">
        <f>IF($L101&lt;0,0,IFERROR((W$2*IFERROR(VLOOKUP(J101,Tabla11[],2,0),0))*($L101/SUM($L$5:$L$46)),0))</f>
        <v>3064.7016141797867</v>
      </c>
      <c r="X101" s="29">
        <f t="shared" si="25"/>
        <v>172178.68571428573</v>
      </c>
      <c r="Y101" s="29">
        <f>+X101*IFERROR(VLOOKUP(J101,Tabla11[],4,0),0)</f>
        <v>25826.802857142859</v>
      </c>
      <c r="Z101" s="29">
        <f t="shared" si="26"/>
        <v>25833.333333333332</v>
      </c>
      <c r="AA101" s="29">
        <f t="shared" si="27"/>
        <v>95405.739146515552</v>
      </c>
      <c r="AB101" s="29">
        <f>IF($L101&lt;0,0,IFERROR((AB$2*IFERROR(VLOOKUP(J101,Tabla11[],2,0),0))*($L101/SUM($L$5:$L$46)),0))</f>
        <v>3519.6130177818382</v>
      </c>
      <c r="AC101" s="29">
        <f>L101-L101*IFERROR(VLOOKUP(J101,Tabla11[],3,0),0)-Q101-T101-U101-V101-W101-L101*$X$2-(L101*$X$2)*IFERROR(VLOOKUP(J101,Tabla11[],4,0),0)-AB101-Z101</f>
        <v>-14732.213871266264</v>
      </c>
      <c r="AD101" s="29">
        <f t="shared" si="28"/>
        <v>91886.126128733711</v>
      </c>
      <c r="AE101" s="29">
        <f t="shared" si="29"/>
        <v>106618.34</v>
      </c>
    </row>
    <row r="102" spans="1:31" x14ac:dyDescent="0.3">
      <c r="A102" s="30"/>
      <c r="B102" s="30" t="s">
        <v>209</v>
      </c>
      <c r="C102" s="33"/>
      <c r="D102" s="30"/>
      <c r="E102" s="30" t="s">
        <v>209</v>
      </c>
      <c r="F102" s="33"/>
      <c r="G102" s="33">
        <v>2</v>
      </c>
      <c r="H102" s="33" t="s">
        <v>293</v>
      </c>
      <c r="I102" s="33" t="s">
        <v>10</v>
      </c>
      <c r="J102" s="33" t="s">
        <v>288</v>
      </c>
      <c r="K102" s="33" t="s">
        <v>276</v>
      </c>
      <c r="L102" s="29">
        <f>IFERROR(VLOOKUP(CONCATENATE(J102,K102),Ventas!D:H,4,0),0)</f>
        <v>557030.76923076913</v>
      </c>
      <c r="M102" s="30">
        <f t="shared" si="22"/>
        <v>0</v>
      </c>
      <c r="N102" s="42">
        <f t="shared" si="23"/>
        <v>557030.76923076913</v>
      </c>
      <c r="O102" s="30">
        <f>N102*IFERROR(VLOOKUP(J102,Tabla11[],3,0),0)</f>
        <v>194960.76923076919</v>
      </c>
      <c r="P102" s="30">
        <f t="shared" si="24"/>
        <v>362069.99999999994</v>
      </c>
      <c r="Q102" s="29">
        <f>IFERROR(G102/SUMIF(I:I,I102,G:G),0)*VLOOKUP(H102,Modelos[],14,0)+IFERROR(G102/SUMIF(I:I,I102,G:G),0)*VLOOKUP(I102,Tabla13[],2,0)</f>
        <v>43497.441893382354</v>
      </c>
      <c r="R102" s="30">
        <f>IFERROR(VLOOKUP(A102,Modelos[],IF(B102="EST",15,14),0),0)*C102</f>
        <v>0</v>
      </c>
      <c r="S102" s="30">
        <f>IFERROR(VLOOKUP(D102,Modelos[],IF(E102="EST",15,14),0),0)*F102</f>
        <v>0</v>
      </c>
      <c r="T102" s="30">
        <f>IF($L102&lt;0,0,IFERROR((T$2*IFERROR(VLOOKUP(J102,Tabla11[],2,0),0))*($L102/SUM($L$5:$L$46)),0))</f>
        <v>1856.0678085484678</v>
      </c>
      <c r="U102" s="30">
        <f>IF($L102&lt;0,0,IFERROR((U$2*IFERROR(VLOOKUP(J102,Tabla11[],2,0),0))*($L102/SUM($L$5:$L$46)),0))</f>
        <v>360.90207388442428</v>
      </c>
      <c r="V102" s="30">
        <f>IF($L102&lt;0,0,IFERROR((V$2*IFERROR(VLOOKUP(J102,Tabla11[],2,0),0))*($L102/SUM($L$5:$L$46)),0))</f>
        <v>1856.0678085484678</v>
      </c>
      <c r="W102" s="30">
        <f>IF($L102&lt;0,0,IFERROR((W$2*IFERROR(VLOOKUP(J102,Tabla11[],2,0),0))*($L102/SUM($L$5:$L$46)),0))</f>
        <v>2577.8719563173163</v>
      </c>
      <c r="X102" s="30">
        <f t="shared" si="25"/>
        <v>144827.99999999997</v>
      </c>
      <c r="Y102" s="30">
        <f>+X102*IFERROR(VLOOKUP(J102,Tabla11[],4,0),0)</f>
        <v>21724.199999999993</v>
      </c>
      <c r="Z102" s="30">
        <f t="shared" si="26"/>
        <v>25833.333333333332</v>
      </c>
      <c r="AA102" s="30">
        <f t="shared" si="27"/>
        <v>119536.11512598561</v>
      </c>
      <c r="AB102" s="30">
        <f>IF($L102&lt;0,0,IFERROR((AB$2*IFERROR(VLOOKUP(J102,Tabla11[],2,0),0))*($L102/SUM($L$5:$L$46)),0))</f>
        <v>2960.5204153153486</v>
      </c>
      <c r="AC102" s="30">
        <f>L102-L102*IFERROR(VLOOKUP(J102,Tabla11[],3,0),0)-Q102-T102-U102-V102-W102-L102*$X$2-(L102*$X$2)*IFERROR(VLOOKUP(J102,Tabla11[],4,0),0)-AB102-Z102</f>
        <v>26893.640864516423</v>
      </c>
      <c r="AD102" s="30">
        <f t="shared" si="28"/>
        <v>116575.59471067027</v>
      </c>
      <c r="AE102" s="30">
        <f t="shared" si="29"/>
        <v>89681.953846154007</v>
      </c>
    </row>
    <row r="103" spans="1:31" x14ac:dyDescent="0.3">
      <c r="A103" s="29"/>
      <c r="B103" s="29" t="s">
        <v>209</v>
      </c>
      <c r="C103" s="32"/>
      <c r="D103" s="29"/>
      <c r="E103" s="29" t="s">
        <v>209</v>
      </c>
      <c r="F103" s="32"/>
      <c r="G103" s="32">
        <v>3</v>
      </c>
      <c r="H103" s="32" t="s">
        <v>293</v>
      </c>
      <c r="I103" s="32" t="s">
        <v>10</v>
      </c>
      <c r="J103" s="32" t="s">
        <v>288</v>
      </c>
      <c r="K103" s="32" t="s">
        <v>277</v>
      </c>
      <c r="L103" s="29">
        <f>IFERROR(VLOOKUP(CONCATENATE(J103,K103),Ventas!D:H,4,0),0)</f>
        <v>547716.26373626373</v>
      </c>
      <c r="M103" s="29">
        <f t="shared" si="22"/>
        <v>0</v>
      </c>
      <c r="N103" s="41">
        <f t="shared" si="23"/>
        <v>547716.26373626373</v>
      </c>
      <c r="O103" s="29">
        <f>N103*IFERROR(VLOOKUP(J103,Tabla11[],3,0),0)</f>
        <v>191700.69230769228</v>
      </c>
      <c r="P103" s="29">
        <f t="shared" si="24"/>
        <v>356015.57142857148</v>
      </c>
      <c r="Q103" s="29">
        <f>IFERROR(G103/SUMIF(I:I,I103,G:G),0)*VLOOKUP(H103,Modelos[],14,0)+IFERROR(G103/SUMIF(I:I,I103,G:G),0)*VLOOKUP(I103,Tabla13[],2,0)</f>
        <v>65246.162840073535</v>
      </c>
      <c r="R103" s="29">
        <f>IFERROR(VLOOKUP(A103,Modelos[],IF(B103="EST",15,14),0),0)*C103</f>
        <v>0</v>
      </c>
      <c r="S103" s="29">
        <f>IFERROR(VLOOKUP(D103,Modelos[],IF(E103="EST",15,14),0),0)*F103</f>
        <v>0</v>
      </c>
      <c r="T103" s="29">
        <f>IF($L103&lt;0,0,IFERROR((T$2*IFERROR(VLOOKUP(J103,Tabla11[],2,0),0))*($L103/SUM($L$5:$L$46)),0))</f>
        <v>1825.0311858772038</v>
      </c>
      <c r="U103" s="29">
        <f>IF($L103&lt;0,0,IFERROR((U$2*IFERROR(VLOOKUP(J103,Tabla11[],2,0),0))*($L103/SUM($L$5:$L$46)),0))</f>
        <v>354.86717503167847</v>
      </c>
      <c r="V103" s="29">
        <f>IF($L103&lt;0,0,IFERROR((V$2*IFERROR(VLOOKUP(J103,Tabla11[],2,0),0))*($L103/SUM($L$5:$L$46)),0))</f>
        <v>1825.0311858772038</v>
      </c>
      <c r="W103" s="29">
        <f>IF($L103&lt;0,0,IFERROR((W$2*IFERROR(VLOOKUP(J103,Tabla11[],2,0),0))*($L103/SUM($L$5:$L$46)),0))</f>
        <v>2534.7655359405608</v>
      </c>
      <c r="X103" s="29">
        <f t="shared" si="25"/>
        <v>142406.2285714286</v>
      </c>
      <c r="Y103" s="29">
        <f>+X103*IFERROR(VLOOKUP(J103,Tabla11[],4,0),0)</f>
        <v>21360.934285714287</v>
      </c>
      <c r="Z103" s="29">
        <f t="shared" si="26"/>
        <v>25833.333333333332</v>
      </c>
      <c r="AA103" s="29">
        <f t="shared" si="27"/>
        <v>94629.217315295071</v>
      </c>
      <c r="AB103" s="29">
        <f>IF($L103&lt;0,0,IFERROR((AB$2*IFERROR(VLOOKUP(J103,Tabla11[],2,0),0))*($L103/SUM($L$5:$L$46)),0))</f>
        <v>2911.0154593985844</v>
      </c>
      <c r="AC103" s="29">
        <f>L103-L103*IFERROR(VLOOKUP(J103,Tabla11[],3,0),0)-Q103-T103-U103-V103-W103-L103*$X$2-(L103*$X$2)*IFERROR(VLOOKUP(J103,Tabla11[],4,0),0)-AB103-Z103</f>
        <v>3535.883394358043</v>
      </c>
      <c r="AD103" s="29">
        <f t="shared" si="28"/>
        <v>91718.201855896492</v>
      </c>
      <c r="AE103" s="29">
        <f t="shared" si="29"/>
        <v>88182.318461539006</v>
      </c>
    </row>
    <row r="104" spans="1:31" x14ac:dyDescent="0.3">
      <c r="A104" s="30"/>
      <c r="B104" s="30" t="s">
        <v>209</v>
      </c>
      <c r="C104" s="33"/>
      <c r="D104" s="30"/>
      <c r="E104" s="30" t="s">
        <v>209</v>
      </c>
      <c r="F104" s="33"/>
      <c r="G104" s="33">
        <v>1</v>
      </c>
      <c r="H104" s="33" t="s">
        <v>292</v>
      </c>
      <c r="I104" s="33" t="s">
        <v>325</v>
      </c>
      <c r="J104" s="33" t="s">
        <v>288</v>
      </c>
      <c r="K104" s="33" t="s">
        <v>278</v>
      </c>
      <c r="L104" s="29">
        <f>IFERROR(VLOOKUP(CONCATENATE(J104,K104),Ventas!D:H,4,0),0)</f>
        <v>445859.56043956039</v>
      </c>
      <c r="M104" s="30">
        <f t="shared" si="22"/>
        <v>0</v>
      </c>
      <c r="N104" s="42">
        <f t="shared" si="23"/>
        <v>445859.56043956039</v>
      </c>
      <c r="O104" s="30">
        <f>N104*IFERROR(VLOOKUP(J104,Tabla11[],3,0),0)</f>
        <v>156050.84615384613</v>
      </c>
      <c r="P104" s="30">
        <f t="shared" si="24"/>
        <v>289808.71428571426</v>
      </c>
      <c r="Q104" s="29">
        <f>IFERROR(G104/SUMIF(I:I,I104,G:G),0)*VLOOKUP(H104,Modelos[],14,0)+IFERROR(G104/SUMIF(I:I,I104,G:G),0)*VLOOKUP(I104,Tabla13[],2,0)</f>
        <v>24420.671326013515</v>
      </c>
      <c r="R104" s="30">
        <f>IFERROR(VLOOKUP(A104,Modelos[],IF(B104="EST",15,14),0),0)*C104</f>
        <v>0</v>
      </c>
      <c r="S104" s="30">
        <f>IFERROR(VLOOKUP(D104,Modelos[],IF(E104="EST",15,14),0),0)*F104</f>
        <v>0</v>
      </c>
      <c r="T104" s="30">
        <f>IF($L104&lt;0,0,IFERROR((T$2*IFERROR(VLOOKUP(J104,Tabla11[],2,0),0))*($L104/SUM($L$5:$L$46)),0))</f>
        <v>1485.6371011752831</v>
      </c>
      <c r="U104" s="30">
        <f>IF($L104&lt;0,0,IFERROR((U$2*IFERROR(VLOOKUP(J104,Tabla11[],2,0),0))*($L104/SUM($L$5:$L$46)),0))</f>
        <v>288.87388078408281</v>
      </c>
      <c r="V104" s="30">
        <f>IF($L104&lt;0,0,IFERROR((V$2*IFERROR(VLOOKUP(J104,Tabla11[],2,0),0))*($L104/SUM($L$5:$L$46)),0))</f>
        <v>1485.6371011752831</v>
      </c>
      <c r="W104" s="30">
        <f>IF($L104&lt;0,0,IFERROR((W$2*IFERROR(VLOOKUP(J104,Tabla11[],2,0),0))*($L104/SUM($L$5:$L$46)),0))</f>
        <v>2063.3848627434486</v>
      </c>
      <c r="X104" s="30">
        <f t="shared" si="25"/>
        <v>115923.48571428571</v>
      </c>
      <c r="Y104" s="30">
        <f>+X104*IFERROR(VLOOKUP(J104,Tabla11[],4,0),0)</f>
        <v>17388.522857142856</v>
      </c>
      <c r="Z104" s="30">
        <f t="shared" si="26"/>
        <v>25833.333333333332</v>
      </c>
      <c r="AA104" s="30">
        <f t="shared" si="27"/>
        <v>100919.16810906076</v>
      </c>
      <c r="AB104" s="30">
        <f>IF($L104&lt;0,0,IFERROR((AB$2*IFERROR(VLOOKUP(J104,Tabla11[],2,0),0))*($L104/SUM($L$5:$L$46)),0))</f>
        <v>2369.6650238328225</v>
      </c>
      <c r="AC104" s="30">
        <f>L104-L104*IFERROR(VLOOKUP(J104,Tabla11[],3,0),0)-Q104-T104-U104-V104-W104-L104*$X$2-(L104*$X$2)*IFERROR(VLOOKUP(J104,Tabla11[],4,0),0)-AB104-Z104</f>
        <v>26766.113854458712</v>
      </c>
      <c r="AD104" s="30">
        <f t="shared" si="28"/>
        <v>98549.503085227931</v>
      </c>
      <c r="AE104" s="30">
        <f t="shared" si="29"/>
        <v>71783.389230768997</v>
      </c>
    </row>
    <row r="105" spans="1:31" x14ac:dyDescent="0.3">
      <c r="A105" s="29"/>
      <c r="B105" s="29" t="s">
        <v>209</v>
      </c>
      <c r="C105" s="32"/>
      <c r="D105" s="29"/>
      <c r="E105" s="29" t="s">
        <v>209</v>
      </c>
      <c r="F105" s="32"/>
      <c r="G105" s="32">
        <v>3</v>
      </c>
      <c r="H105" s="32" t="s">
        <v>293</v>
      </c>
      <c r="I105" s="32" t="s">
        <v>6</v>
      </c>
      <c r="J105" s="32" t="s">
        <v>288</v>
      </c>
      <c r="K105" s="32" t="s">
        <v>279</v>
      </c>
      <c r="L105" s="29">
        <f>IFERROR(VLOOKUP(CONCATENATE(J105,K105),Ventas!D:H,4,0),0)</f>
        <v>386915.6043956044</v>
      </c>
      <c r="M105" s="29">
        <f t="shared" si="22"/>
        <v>0</v>
      </c>
      <c r="N105" s="41">
        <f t="shared" si="23"/>
        <v>386915.6043956044</v>
      </c>
      <c r="O105" s="29">
        <f>N105*IFERROR(VLOOKUP(J105,Tabla11[],3,0),0)</f>
        <v>135420.46153846153</v>
      </c>
      <c r="P105" s="29">
        <f t="shared" si="24"/>
        <v>251495.14285714287</v>
      </c>
      <c r="Q105" s="29">
        <f>IFERROR(G105/SUMIF(I:I,I105,G:G),0)*VLOOKUP(H105,Modelos[],14,0)+IFERROR(G105/SUMIF(I:I,I105,G:G),0)*VLOOKUP(I105,Tabla13[],2,0)</f>
        <v>121576.08536458333</v>
      </c>
      <c r="R105" s="29">
        <f>IFERROR(VLOOKUP(A105,Modelos[],IF(B105="EST",15,14),0),0)*C105</f>
        <v>0</v>
      </c>
      <c r="S105" s="29">
        <f>IFERROR(VLOOKUP(D105,Modelos[],IF(E105="EST",15,14),0),0)*F105</f>
        <v>0</v>
      </c>
      <c r="T105" s="29">
        <f>IF($L105&lt;0,0,IFERROR((T$2*IFERROR(VLOOKUP(J105,Tabla11[],2,0),0))*($L105/SUM($L$5:$L$46)),0))</f>
        <v>1289.2314708853014</v>
      </c>
      <c r="U105" s="29">
        <f>IF($L105&lt;0,0,IFERROR((U$2*IFERROR(VLOOKUP(J105,Tabla11[],2,0),0))*($L105/SUM($L$5:$L$46)),0))</f>
        <v>250.68389711658637</v>
      </c>
      <c r="V105" s="29">
        <f>IF($L105&lt;0,0,IFERROR((V$2*IFERROR(VLOOKUP(J105,Tabla11[],2,0),0))*($L105/SUM($L$5:$L$46)),0))</f>
        <v>1289.2314708853014</v>
      </c>
      <c r="W105" s="29">
        <f>IF($L105&lt;0,0,IFERROR((W$2*IFERROR(VLOOKUP(J105,Tabla11[],2,0),0))*($L105/SUM($L$5:$L$46)),0))</f>
        <v>1790.599265118474</v>
      </c>
      <c r="X105" s="29">
        <f t="shared" si="25"/>
        <v>100598.05714285716</v>
      </c>
      <c r="Y105" s="29">
        <f>+X105*IFERROR(VLOOKUP(J105,Tabla11[],4,0),0)</f>
        <v>15089.708571428573</v>
      </c>
      <c r="Z105" s="29">
        <f t="shared" si="26"/>
        <v>25833.333333333332</v>
      </c>
      <c r="AA105" s="29">
        <f t="shared" si="27"/>
        <v>-16221.787659065187</v>
      </c>
      <c r="AB105" s="29">
        <f>IF($L105&lt;0,0,IFERROR((AB$2*IFERROR(VLOOKUP(J105,Tabla11[],2,0),0))*($L105/SUM($L$5:$L$46)),0))</f>
        <v>2056.3882806673337</v>
      </c>
      <c r="AC105" s="29">
        <f>L105-L105*IFERROR(VLOOKUP(J105,Tabla11[],3,0),0)-Q105-T105-U105-V105-W105-L105*$X$2-(L105*$X$2)*IFERROR(VLOOKUP(J105,Tabla11[],4,0),0)-AB105-Z105</f>
        <v>-80571.588247424821</v>
      </c>
      <c r="AD105" s="29">
        <f t="shared" si="28"/>
        <v>-18278.175939732522</v>
      </c>
      <c r="AE105" s="29">
        <f t="shared" si="29"/>
        <v>62293.412307692</v>
      </c>
    </row>
    <row r="106" spans="1:31" x14ac:dyDescent="0.3">
      <c r="A106" s="30"/>
      <c r="B106" s="30" t="s">
        <v>209</v>
      </c>
      <c r="C106" s="33"/>
      <c r="D106" s="30"/>
      <c r="E106" s="30" t="s">
        <v>209</v>
      </c>
      <c r="F106" s="33"/>
      <c r="G106" s="33">
        <v>2</v>
      </c>
      <c r="H106" s="33" t="s">
        <v>291</v>
      </c>
      <c r="I106" s="33" t="s">
        <v>320</v>
      </c>
      <c r="J106" s="33" t="s">
        <v>288</v>
      </c>
      <c r="K106" s="33" t="s">
        <v>280</v>
      </c>
      <c r="L106" s="29">
        <f>IFERROR(VLOOKUP(CONCATENATE(J106,K106),Ventas!D:H,4,0),0)</f>
        <v>439370.98901098897</v>
      </c>
      <c r="M106" s="30">
        <f t="shared" si="22"/>
        <v>0</v>
      </c>
      <c r="N106" s="42">
        <f t="shared" si="23"/>
        <v>439370.98901098897</v>
      </c>
      <c r="O106" s="30">
        <f>N106*IFERROR(VLOOKUP(J106,Tabla11[],3,0),0)</f>
        <v>153779.84615384613</v>
      </c>
      <c r="P106" s="30">
        <f t="shared" si="24"/>
        <v>285591.14285714284</v>
      </c>
      <c r="Q106" s="29">
        <f>IFERROR(G106/SUMIF(I:I,I106,G:G),0)*VLOOKUP(H106,Modelos[],14,0)+IFERROR(G106/SUMIF(I:I,I106,G:G),0)*VLOOKUP(I106,Tabla13[],2,0)</f>
        <v>70667.449674479169</v>
      </c>
      <c r="R106" s="30">
        <f>IFERROR(VLOOKUP(A106,Modelos[],IF(B106="EST",15,14),0),0)*C106</f>
        <v>0</v>
      </c>
      <c r="S106" s="30">
        <f>IFERROR(VLOOKUP(D106,Modelos[],IF(E106="EST",15,14),0),0)*F106</f>
        <v>0</v>
      </c>
      <c r="T106" s="30">
        <f>IF($L106&lt;0,0,IFERROR((T$2*IFERROR(VLOOKUP(J106,Tabla11[],2,0),0))*($L106/SUM($L$5:$L$46)),0))</f>
        <v>1464.0167002615781</v>
      </c>
      <c r="U106" s="30">
        <f>IF($L106&lt;0,0,IFERROR((U$2*IFERROR(VLOOKUP(J106,Tabla11[],2,0),0))*($L106/SUM($L$5:$L$46)),0))</f>
        <v>284.66991393975132</v>
      </c>
      <c r="V106" s="30">
        <f>IF($L106&lt;0,0,IFERROR((V$2*IFERROR(VLOOKUP(J106,Tabla11[],2,0),0))*($L106/SUM($L$5:$L$46)),0))</f>
        <v>1464.0167002615781</v>
      </c>
      <c r="W106" s="30">
        <f>IF($L106&lt;0,0,IFERROR((W$2*IFERROR(VLOOKUP(J106,Tabla11[],2,0),0))*($L106/SUM($L$5:$L$46)),0))</f>
        <v>2033.3565281410806</v>
      </c>
      <c r="X106" s="30">
        <f t="shared" si="25"/>
        <v>114236.45714285714</v>
      </c>
      <c r="Y106" s="30">
        <f>+X106*IFERROR(VLOOKUP(J106,Tabla11[],4,0),0)</f>
        <v>17135.46857142857</v>
      </c>
      <c r="Z106" s="30">
        <f t="shared" si="26"/>
        <v>25833.333333333332</v>
      </c>
      <c r="AA106" s="30">
        <f t="shared" si="27"/>
        <v>52472.374292440625</v>
      </c>
      <c r="AB106" s="30">
        <f>IF($L106&lt;0,0,IFERROR((AB$2*IFERROR(VLOOKUP(J106,Tabla11[],2,0),0))*($L106/SUM($L$5:$L$46)),0))</f>
        <v>2335.1794096771719</v>
      </c>
      <c r="AC106" s="30">
        <f>L106-L106*IFERROR(VLOOKUP(J106,Tabla11[],3,0),0)-Q106-T106-U106-V106-W106-L106*$X$2-(L106*$X$2)*IFERROR(VLOOKUP(J106,Tabla11[],4,0),0)-AB106-Z106</f>
        <v>-20601.534348005778</v>
      </c>
      <c r="AD106" s="30">
        <f t="shared" si="28"/>
        <v>50137.194882763455</v>
      </c>
      <c r="AE106" s="30">
        <f t="shared" si="29"/>
        <v>70738.729230768993</v>
      </c>
    </row>
    <row r="107" spans="1:31" x14ac:dyDescent="0.3">
      <c r="A107" s="29"/>
      <c r="B107" s="29" t="s">
        <v>209</v>
      </c>
      <c r="C107" s="32"/>
      <c r="D107" s="29"/>
      <c r="E107" s="29" t="s">
        <v>209</v>
      </c>
      <c r="F107" s="32"/>
      <c r="G107" s="32">
        <v>3</v>
      </c>
      <c r="H107" s="32" t="s">
        <v>292</v>
      </c>
      <c r="I107" s="32" t="s">
        <v>324</v>
      </c>
      <c r="J107" s="32" t="s">
        <v>288</v>
      </c>
      <c r="K107" s="32" t="s">
        <v>316</v>
      </c>
      <c r="L107" s="29">
        <f>IFERROR(VLOOKUP(CONCATENATE(J107,K107),Ventas!D:H,4,0),0)</f>
        <v>434727.69230769231</v>
      </c>
      <c r="M107" s="29">
        <f t="shared" si="22"/>
        <v>0</v>
      </c>
      <c r="N107" s="41">
        <f t="shared" si="23"/>
        <v>434727.69230769231</v>
      </c>
      <c r="O107" s="29">
        <f>N107*IFERROR(VLOOKUP(J107,Tabla11[],3,0),0)</f>
        <v>152154.69230769231</v>
      </c>
      <c r="P107" s="29">
        <f t="shared" si="24"/>
        <v>282573</v>
      </c>
      <c r="Q107" s="29">
        <f>IFERROR(G107/SUMIF(I:I,I107,G:G),0)*VLOOKUP(H107,Modelos[],14,0)+IFERROR(G107/SUMIF(I:I,I107,G:G),0)*VLOOKUP(I107,Tabla13[],2,0)</f>
        <v>69504.987620192318</v>
      </c>
      <c r="R107" s="29">
        <f>IFERROR(VLOOKUP(A107,Modelos[],IF(B107="EST",15,14),0),0)*C107</f>
        <v>0</v>
      </c>
      <c r="S107" s="29">
        <f>IFERROR(VLOOKUP(D107,Modelos[],IF(E107="EST",15,14),0),0)*F107</f>
        <v>0</v>
      </c>
      <c r="T107" s="29">
        <f>IF($L107&lt;0,0,IFERROR((T$2*IFERROR(VLOOKUP(J107,Tabla11[],2,0),0))*($L107/SUM($L$5:$L$46)),0))</f>
        <v>1448.5448914987883</v>
      </c>
      <c r="U107" s="29">
        <f>IF($L107&lt;0,0,IFERROR((U$2*IFERROR(VLOOKUP(J107,Tabla11[],2,0),0))*($L107/SUM($L$5:$L$46)),0))</f>
        <v>281.66150668031997</v>
      </c>
      <c r="V107" s="29">
        <f>IF($L107&lt;0,0,IFERROR((V$2*IFERROR(VLOOKUP(J107,Tabla11[],2,0),0))*($L107/SUM($L$5:$L$46)),0))</f>
        <v>1448.5448914987883</v>
      </c>
      <c r="W107" s="29">
        <f>IF($L107&lt;0,0,IFERROR((W$2*IFERROR(VLOOKUP(J107,Tabla11[],2,0),0))*($L107/SUM($L$5:$L$46)),0))</f>
        <v>2011.8679048594281</v>
      </c>
      <c r="X107" s="29">
        <f t="shared" si="25"/>
        <v>113029.20000000001</v>
      </c>
      <c r="Y107" s="29">
        <f>+X107*IFERROR(VLOOKUP(J107,Tabla11[],4,0),0)</f>
        <v>16954.38</v>
      </c>
      <c r="Z107" s="29">
        <f t="shared" si="26"/>
        <v>25833.333333333332</v>
      </c>
      <c r="AA107" s="29">
        <f t="shared" si="27"/>
        <v>52060.47985193698</v>
      </c>
      <c r="AB107" s="29">
        <f>IF($L107&lt;0,0,IFERROR((AB$2*IFERROR(VLOOKUP(J107,Tabla11[],2,0),0))*($L107/SUM($L$5:$L$46)),0))</f>
        <v>2310.5011056340045</v>
      </c>
      <c r="AC107" s="29">
        <f>L107-L107*IFERROR(VLOOKUP(J107,Tabla11[],3,0),0)-Q107-T107-U107-V107-W107-L107*$X$2-(L107*$X$2)*IFERROR(VLOOKUP(J107,Tabla11[],4,0),0)-AB107-Z107</f>
        <v>-20241.179715235416</v>
      </c>
      <c r="AD107" s="29">
        <f t="shared" si="28"/>
        <v>49749.978746302979</v>
      </c>
      <c r="AE107" s="29">
        <f t="shared" si="29"/>
        <v>69991.158461537998</v>
      </c>
    </row>
    <row r="108" spans="1:31" x14ac:dyDescent="0.3">
      <c r="A108" s="30"/>
      <c r="B108" s="30" t="s">
        <v>209</v>
      </c>
      <c r="C108" s="33"/>
      <c r="D108" s="30"/>
      <c r="E108" s="30" t="s">
        <v>209</v>
      </c>
      <c r="F108" s="33"/>
      <c r="G108" s="33">
        <v>3</v>
      </c>
      <c r="H108" s="33" t="s">
        <v>291</v>
      </c>
      <c r="I108" s="33" t="s">
        <v>328</v>
      </c>
      <c r="J108" s="33" t="s">
        <v>288</v>
      </c>
      <c r="K108" s="33" t="s">
        <v>281</v>
      </c>
      <c r="L108" s="29">
        <f>IFERROR(VLOOKUP(CONCATENATE(J108,K108),Ventas!D:H,4,0),0)</f>
        <v>438881.09890109883</v>
      </c>
      <c r="M108" s="30">
        <f t="shared" si="22"/>
        <v>0</v>
      </c>
      <c r="N108" s="42">
        <f t="shared" si="23"/>
        <v>438881.09890109883</v>
      </c>
      <c r="O108" s="30">
        <f>N108*IFERROR(VLOOKUP(J108,Tabla11[],3,0),0)</f>
        <v>153608.38461538457</v>
      </c>
      <c r="P108" s="30">
        <f t="shared" si="24"/>
        <v>285272.71428571426</v>
      </c>
      <c r="Q108" s="29">
        <f>IFERROR(G108/SUMIF(I:I,I108,G:G),0)*VLOOKUP(H108,Modelos[],14,0)+IFERROR(G108/SUMIF(I:I,I108,G:G),0)*VLOOKUP(I108,Tabla13[],2,0)</f>
        <v>179573.44202008931</v>
      </c>
      <c r="R108" s="30">
        <f>IFERROR(VLOOKUP(A108,Modelos[],IF(B108="EST",15,14),0),0)*C108</f>
        <v>0</v>
      </c>
      <c r="S108" s="30">
        <f>IFERROR(VLOOKUP(D108,Modelos[],IF(E108="EST",15,14),0),0)*F108</f>
        <v>0</v>
      </c>
      <c r="T108" s="30">
        <f>IF($L108&lt;0,0,IFERROR((T$2*IFERROR(VLOOKUP(J108,Tabla11[],2,0),0))*($L108/SUM($L$5:$L$46)),0))</f>
        <v>1462.3843501062197</v>
      </c>
      <c r="U108" s="30">
        <f>IF($L108&lt;0,0,IFERROR((U$2*IFERROR(VLOOKUP(J108,Tabla11[],2,0),0))*($L108/SUM($L$5:$L$46)),0))</f>
        <v>284.35251252065382</v>
      </c>
      <c r="V108" s="30">
        <f>IF($L108&lt;0,0,IFERROR((V$2*IFERROR(VLOOKUP(J108,Tabla11[],2,0),0))*($L108/SUM($L$5:$L$46)),0))</f>
        <v>1462.3843501062197</v>
      </c>
      <c r="W108" s="30">
        <f>IF($L108&lt;0,0,IFERROR((W$2*IFERROR(VLOOKUP(J108,Tabla11[],2,0),0))*($L108/SUM($L$5:$L$46)),0))</f>
        <v>2031.0893751475271</v>
      </c>
      <c r="X108" s="30">
        <f t="shared" si="25"/>
        <v>114109.08571428571</v>
      </c>
      <c r="Y108" s="30">
        <f>+X108*IFERROR(VLOOKUP(J108,Tabla11[],4,0),0)</f>
        <v>17116.362857142856</v>
      </c>
      <c r="Z108" s="30">
        <f t="shared" si="26"/>
        <v>25833.333333333332</v>
      </c>
      <c r="AA108" s="30">
        <f t="shared" si="27"/>
        <v>-56599.720227017533</v>
      </c>
      <c r="AB108" s="30">
        <f>IF($L108&lt;0,0,IFERROR((AB$2*IFERROR(VLOOKUP(J108,Tabla11[],2,0),0))*($L108/SUM($L$5:$L$46)),0))</f>
        <v>2332.5757300391624</v>
      </c>
      <c r="AC108" s="30">
        <f>L108-L108*IFERROR(VLOOKUP(J108,Tabla11[],3,0),0)-Q108-T108-U108-V108-W108-L108*$X$2-(L108*$X$2)*IFERROR(VLOOKUP(J108,Tabla11[],4,0),0)-AB108-Z108</f>
        <v>-129592.15288013364</v>
      </c>
      <c r="AD108" s="30">
        <f t="shared" si="28"/>
        <v>-58932.295957056696</v>
      </c>
      <c r="AE108" s="30">
        <f t="shared" si="29"/>
        <v>70659.856923076994</v>
      </c>
    </row>
    <row r="109" spans="1:31" x14ac:dyDescent="0.3">
      <c r="A109" s="29"/>
      <c r="B109" s="29" t="s">
        <v>209</v>
      </c>
      <c r="C109" s="32"/>
      <c r="D109" s="29"/>
      <c r="E109" s="29" t="s">
        <v>209</v>
      </c>
      <c r="F109" s="32"/>
      <c r="G109" s="32">
        <v>3</v>
      </c>
      <c r="H109" s="32" t="s">
        <v>292</v>
      </c>
      <c r="I109" s="32" t="s">
        <v>325</v>
      </c>
      <c r="J109" s="32" t="s">
        <v>287</v>
      </c>
      <c r="K109" s="32" t="s">
        <v>267</v>
      </c>
      <c r="L109" s="29">
        <f>IFERROR(VLOOKUP(CONCATENATE(J109,K109),Ventas!D:H,4,0),0)</f>
        <v>404303.51648351649</v>
      </c>
      <c r="M109" s="29">
        <f t="shared" si="22"/>
        <v>0</v>
      </c>
      <c r="N109" s="41">
        <f t="shared" si="23"/>
        <v>404303.51648351649</v>
      </c>
      <c r="O109" s="29">
        <f>N109*IFERROR(VLOOKUP(J109,Tabla11[],3,0),0)</f>
        <v>141506.23076923075</v>
      </c>
      <c r="P109" s="29">
        <f t="shared" si="24"/>
        <v>262797.28571428574</v>
      </c>
      <c r="Q109" s="29">
        <f>IFERROR(G109/SUMIF(I:I,I109,G:G),0)*VLOOKUP(H109,Modelos[],14,0)+IFERROR(G109/SUMIF(I:I,I109,G:G),0)*VLOOKUP(I109,Tabla13[],2,0)</f>
        <v>73262.013978040544</v>
      </c>
      <c r="R109" s="29">
        <f>IFERROR(VLOOKUP(A109,Modelos[],IF(B109="EST",15,14),0),0)*C109</f>
        <v>0</v>
      </c>
      <c r="S109" s="29">
        <f>IFERROR(VLOOKUP(D109,Modelos[],IF(E109="EST",15,14),0),0)*F109</f>
        <v>0</v>
      </c>
      <c r="T109" s="29">
        <f>IF($L109&lt;0,0,IFERROR((T$2*IFERROR(VLOOKUP(J109,Tabla11[],2,0),0))*($L109/SUM($L$5:$L$46)),0))</f>
        <v>1347.1692827027921</v>
      </c>
      <c r="U109" s="29">
        <f>IF($L109&lt;0,0,IFERROR((U$2*IFERROR(VLOOKUP(J109,Tabla11[],2,0),0))*($L109/SUM($L$5:$L$46)),0))</f>
        <v>261.94958274776513</v>
      </c>
      <c r="V109" s="29">
        <f>IF($L109&lt;0,0,IFERROR((V$2*IFERROR(VLOOKUP(J109,Tabla11[],2,0),0))*($L109/SUM($L$5:$L$46)),0))</f>
        <v>1347.1692827027921</v>
      </c>
      <c r="W109" s="29">
        <f>IF($L109&lt;0,0,IFERROR((W$2*IFERROR(VLOOKUP(J109,Tabla11[],2,0),0))*($L109/SUM($L$5:$L$46)),0))</f>
        <v>1871.0684481983221</v>
      </c>
      <c r="X109" s="29">
        <f t="shared" si="25"/>
        <v>105118.9142857143</v>
      </c>
      <c r="Y109" s="29">
        <f>+X109*IFERROR(VLOOKUP(J109,Tabla11[],4,0),0)</f>
        <v>15767.837142857144</v>
      </c>
      <c r="Z109" s="29">
        <f t="shared" si="26"/>
        <v>25833.333333333332</v>
      </c>
      <c r="AA109" s="29">
        <f t="shared" si="27"/>
        <v>37987.83037798875</v>
      </c>
      <c r="AB109" s="29">
        <f>IF($L109&lt;0,0,IFERROR((AB$2*IFERROR(VLOOKUP(J109,Tabla11[],2,0),0))*($L109/SUM($L$5:$L$46)),0))</f>
        <v>2148.8019704659414</v>
      </c>
      <c r="AC109" s="29">
        <f>L109-L109*IFERROR(VLOOKUP(J109,Tabla11[],3,0),0)-Q109-T109-U109-V109-W109-L109*$X$2-(L109*$X$2)*IFERROR(VLOOKUP(J109,Tabla11[],4,0),0)-AB109-Z109</f>
        <v>-29253.83774632333</v>
      </c>
      <c r="AD109" s="29">
        <f t="shared" si="28"/>
        <v>35839.028407522812</v>
      </c>
      <c r="AE109" s="29">
        <f t="shared" si="29"/>
        <v>65092.866153846</v>
      </c>
    </row>
    <row r="110" spans="1:31" x14ac:dyDescent="0.3">
      <c r="A110" s="30"/>
      <c r="B110" s="30" t="s">
        <v>209</v>
      </c>
      <c r="C110" s="33"/>
      <c r="D110" s="30"/>
      <c r="E110" s="30" t="s">
        <v>209</v>
      </c>
      <c r="F110" s="33"/>
      <c r="G110" s="33">
        <v>0</v>
      </c>
      <c r="H110" s="33" t="s">
        <v>291</v>
      </c>
      <c r="I110" s="33" t="s">
        <v>20</v>
      </c>
      <c r="J110" s="33" t="s">
        <v>288</v>
      </c>
      <c r="K110" s="33" t="s">
        <v>282</v>
      </c>
      <c r="L110" s="29">
        <f>IFERROR(VLOOKUP(CONCATENATE(J110,K110),Ventas!D:H,4,0),0)</f>
        <v>294582.63736263738</v>
      </c>
      <c r="M110" s="30">
        <f t="shared" si="22"/>
        <v>0</v>
      </c>
      <c r="N110" s="42">
        <f t="shared" si="23"/>
        <v>294582.63736263738</v>
      </c>
      <c r="O110" s="30">
        <f>N110*IFERROR(VLOOKUP(J110,Tabla11[],3,0),0)</f>
        <v>103103.92307692308</v>
      </c>
      <c r="P110" s="30">
        <f t="shared" si="24"/>
        <v>191478.71428571432</v>
      </c>
      <c r="Q110" s="29">
        <f>IFERROR(G110/SUMIF(I:I,I110,G:G),0)*VLOOKUP(H110,Modelos[],14,0)+IFERROR(G110/SUMIF(I:I,I110,G:G),0)*VLOOKUP(I110,Tabla13[],2,0)</f>
        <v>0</v>
      </c>
      <c r="R110" s="30">
        <f>IFERROR(VLOOKUP(A110,Modelos[],IF(B110="EST",15,14),0),0)*C110</f>
        <v>0</v>
      </c>
      <c r="S110" s="30">
        <f>IFERROR(VLOOKUP(D110,Modelos[],IF(E110="EST",15,14),0),0)*F110</f>
        <v>0</v>
      </c>
      <c r="T110" s="30">
        <f>IF($L110&lt;0,0,IFERROR((T$2*IFERROR(VLOOKUP(J110,Tabla11[],2,0),0))*($L110/SUM($L$5:$L$46)),0))</f>
        <v>981.57118128528737</v>
      </c>
      <c r="U110" s="30">
        <f>IF($L110&lt;0,0,IFERROR((U$2*IFERROR(VLOOKUP(J110,Tabla11[],2,0),0))*($L110/SUM($L$5:$L$46)),0))</f>
        <v>190.86106302769477</v>
      </c>
      <c r="V110" s="30">
        <f>IF($L110&lt;0,0,IFERROR((V$2*IFERROR(VLOOKUP(J110,Tabla11[],2,0),0))*($L110/SUM($L$5:$L$46)),0))</f>
        <v>981.57118128528737</v>
      </c>
      <c r="W110" s="30">
        <f>IF($L110&lt;0,0,IFERROR((W$2*IFERROR(VLOOKUP(J110,Tabla11[],2,0),0))*($L110/SUM($L$5:$L$46)),0))</f>
        <v>1363.2933073406768</v>
      </c>
      <c r="X110" s="30">
        <f t="shared" si="25"/>
        <v>76591.485714285736</v>
      </c>
      <c r="Y110" s="30">
        <f>+X110*IFERROR(VLOOKUP(J110,Tabla11[],4,0),0)</f>
        <v>11488.72285714286</v>
      </c>
      <c r="Z110" s="30">
        <f t="shared" si="26"/>
        <v>25833.333333333332</v>
      </c>
      <c r="AA110" s="30">
        <f t="shared" si="27"/>
        <v>74047.875648013447</v>
      </c>
      <c r="AB110" s="30">
        <f>IF($L110&lt;0,0,IFERROR((AB$2*IFERROR(VLOOKUP(J110,Tabla11[],2,0),0))*($L110/SUM($L$5:$L$46)),0))</f>
        <v>1565.6548256999804</v>
      </c>
      <c r="AC110" s="30">
        <f>L110-L110*IFERROR(VLOOKUP(J110,Tabla11[],3,0),0)-Q110-T110-U110-V110-W110-L110*$X$2-(L110*$X$2)*IFERROR(VLOOKUP(J110,Tabla11[],4,0),0)-AB110-Z110</f>
        <v>25054.416206928869</v>
      </c>
      <c r="AD110" s="30">
        <f t="shared" si="28"/>
        <v>72482.220822313466</v>
      </c>
      <c r="AE110" s="30">
        <f t="shared" si="29"/>
        <v>47427.804615385001</v>
      </c>
    </row>
    <row r="111" spans="1:31" x14ac:dyDescent="0.3">
      <c r="A111" s="29"/>
      <c r="B111" s="29" t="s">
        <v>209</v>
      </c>
      <c r="C111" s="32"/>
      <c r="D111" s="29"/>
      <c r="E111" s="29" t="s">
        <v>209</v>
      </c>
      <c r="F111" s="32"/>
      <c r="G111" s="32">
        <v>1</v>
      </c>
      <c r="H111" s="32" t="s">
        <v>291</v>
      </c>
      <c r="I111" s="32" t="s">
        <v>327</v>
      </c>
      <c r="J111" s="32" t="s">
        <v>288</v>
      </c>
      <c r="K111" s="32" t="s">
        <v>283</v>
      </c>
      <c r="L111" s="29">
        <f>IFERROR(VLOOKUP(CONCATENATE(J111,K111),Ventas!D:H,4,0),0)</f>
        <v>261022.41758241755</v>
      </c>
      <c r="M111" s="29">
        <f t="shared" si="22"/>
        <v>0</v>
      </c>
      <c r="N111" s="41">
        <f t="shared" si="23"/>
        <v>261022.41758241755</v>
      </c>
      <c r="O111" s="29">
        <f>N111*IFERROR(VLOOKUP(J111,Tabla11[],3,0),0)</f>
        <v>91357.846153846142</v>
      </c>
      <c r="P111" s="29">
        <f t="shared" si="24"/>
        <v>169664.57142857142</v>
      </c>
      <c r="Q111" s="29">
        <f>IFERROR(G111/SUMIF(I:I,I111,G:G),0)*VLOOKUP(H111,Modelos[],14,0)+IFERROR(G111/SUMIF(I:I,I111,G:G),0)*VLOOKUP(I111,Tabla13[],2,0)</f>
        <v>51647.61153492648</v>
      </c>
      <c r="R111" s="29">
        <f>IFERROR(VLOOKUP(A111,Modelos[],IF(B111="EST",15,14),0),0)*C111</f>
        <v>0</v>
      </c>
      <c r="S111" s="29">
        <f>IFERROR(VLOOKUP(D111,Modelos[],IF(E111="EST",15,14),0),0)*F111</f>
        <v>0</v>
      </c>
      <c r="T111" s="29">
        <f>IF($L111&lt;0,0,IFERROR((T$2*IFERROR(VLOOKUP(J111,Tabla11[],2,0),0))*($L111/SUM($L$5:$L$46)),0))</f>
        <v>869.7460415934587</v>
      </c>
      <c r="U111" s="29">
        <f>IF($L111&lt;0,0,IFERROR((U$2*IFERROR(VLOOKUP(J111,Tabla11[],2,0),0))*($L111/SUM($L$5:$L$46)),0))</f>
        <v>169.11728586539473</v>
      </c>
      <c r="V111" s="29">
        <f>IF($L111&lt;0,0,IFERROR((V$2*IFERROR(VLOOKUP(J111,Tabla11[],2,0),0))*($L111/SUM($L$5:$L$46)),0))</f>
        <v>869.7460415934587</v>
      </c>
      <c r="W111" s="29">
        <f>IF($L111&lt;0,0,IFERROR((W$2*IFERROR(VLOOKUP(J111,Tabla11[],2,0),0))*($L111/SUM($L$5:$L$46)),0))</f>
        <v>1207.980613324248</v>
      </c>
      <c r="X111" s="29">
        <f t="shared" si="25"/>
        <v>67865.828571428574</v>
      </c>
      <c r="Y111" s="29">
        <f>+X111*IFERROR(VLOOKUP(J111,Tabla11[],4,0),0)</f>
        <v>10179.874285714286</v>
      </c>
      <c r="Z111" s="29">
        <f t="shared" si="26"/>
        <v>25833.333333333332</v>
      </c>
      <c r="AA111" s="29">
        <f t="shared" si="27"/>
        <v>11021.333720792172</v>
      </c>
      <c r="AB111" s="29">
        <f>IF($L111&lt;0,0,IFERROR((AB$2*IFERROR(VLOOKUP(J111,Tabla11[],2,0),0))*($L111/SUM($L$5:$L$46)),0))</f>
        <v>1387.2881693319382</v>
      </c>
      <c r="AC111" s="29">
        <f>L111-L111*IFERROR(VLOOKUP(J111,Tabla11[],3,0),0)-Q111-T111-U111-V111-W111-L111*$X$2-(L111*$X$2)*IFERROR(VLOOKUP(J111,Tabla11[],4,0),0)-AB111-Z111</f>
        <v>-32390.563679308972</v>
      </c>
      <c r="AD111" s="29">
        <f t="shared" si="28"/>
        <v>9634.0455514602345</v>
      </c>
      <c r="AE111" s="29">
        <f t="shared" si="29"/>
        <v>42024.609230768998</v>
      </c>
    </row>
    <row r="112" spans="1:31" x14ac:dyDescent="0.3">
      <c r="A112" s="30"/>
      <c r="B112" s="30" t="s">
        <v>209</v>
      </c>
      <c r="C112" s="33"/>
      <c r="D112" s="30"/>
      <c r="E112" s="30" t="s">
        <v>209</v>
      </c>
      <c r="F112" s="33"/>
      <c r="G112" s="33">
        <v>0</v>
      </c>
      <c r="H112" s="33" t="s">
        <v>291</v>
      </c>
      <c r="I112" s="33" t="s">
        <v>321</v>
      </c>
      <c r="J112" s="33" t="s">
        <v>288</v>
      </c>
      <c r="K112" s="33" t="s">
        <v>284</v>
      </c>
      <c r="L112" s="29">
        <f>IFERROR(VLOOKUP(CONCATENATE(J112,K112),Ventas!D:H,4,0),0)</f>
        <v>0</v>
      </c>
      <c r="M112" s="30">
        <f t="shared" si="22"/>
        <v>0</v>
      </c>
      <c r="N112" s="42">
        <f t="shared" si="23"/>
        <v>0</v>
      </c>
      <c r="O112" s="30">
        <f>N112*IFERROR(VLOOKUP(J112,Tabla11[],3,0),0)</f>
        <v>0</v>
      </c>
      <c r="P112" s="30">
        <f t="shared" si="24"/>
        <v>0</v>
      </c>
      <c r="Q112" s="29">
        <f>IFERROR(G112/SUMIF(I:I,I112,G:G),0)*VLOOKUP(H112,Modelos[],14,0)+IFERROR(G112/SUMIF(I:I,I112,G:G),0)*VLOOKUP(I112,Tabla13[],2,0)</f>
        <v>0</v>
      </c>
      <c r="R112" s="30">
        <f>IFERROR(VLOOKUP(A112,Modelos[],IF(B112="EST",15,14),0),0)*C112</f>
        <v>0</v>
      </c>
      <c r="S112" s="30">
        <f>IFERROR(VLOOKUP(D112,Modelos[],IF(E112="EST",15,14),0),0)*F112</f>
        <v>0</v>
      </c>
      <c r="T112" s="30">
        <f>IF($L112&lt;0,0,IFERROR((T$2*IFERROR(VLOOKUP(J112,Tabla11[],2,0),0))*($L112/SUM($L$5:$L$46)),0))</f>
        <v>0</v>
      </c>
      <c r="U112" s="30">
        <f>IF($L112&lt;0,0,IFERROR((U$2*IFERROR(VLOOKUP(J112,Tabla11[],2,0),0))*($L112/SUM($L$5:$L$46)),0))</f>
        <v>0</v>
      </c>
      <c r="V112" s="30">
        <f>IF($L112&lt;0,0,IFERROR((V$2*IFERROR(VLOOKUP(J112,Tabla11[],2,0),0))*($L112/SUM($L$5:$L$46)),0))</f>
        <v>0</v>
      </c>
      <c r="W112" s="30">
        <f>IF($L112&lt;0,0,IFERROR((W$2*IFERROR(VLOOKUP(J112,Tabla11[],2,0),0))*($L112/SUM($L$5:$L$46)),0))</f>
        <v>0</v>
      </c>
      <c r="X112" s="30">
        <f t="shared" si="25"/>
        <v>0</v>
      </c>
      <c r="Y112" s="30">
        <f>+X112*IFERROR(VLOOKUP(J112,Tabla11[],4,0),0)</f>
        <v>0</v>
      </c>
      <c r="Z112" s="30">
        <f t="shared" si="26"/>
        <v>0</v>
      </c>
      <c r="AA112" s="30">
        <f t="shared" si="27"/>
        <v>0</v>
      </c>
      <c r="AB112" s="30">
        <f>IF($L112&lt;0,0,IFERROR((AB$2*IFERROR(VLOOKUP(J112,Tabla11[],2,0),0))*($L112/SUM($L$5:$L$46)),0))</f>
        <v>0</v>
      </c>
      <c r="AC112" s="30">
        <f>L112-L112*IFERROR(VLOOKUP(J112,Tabla11[],3,0),0)-Q112-T112-U112-V112-W112-L112*$X$2-(L112*$X$2)*IFERROR(VLOOKUP(J112,Tabla11[],4,0),0)-AB112-Z112</f>
        <v>0</v>
      </c>
      <c r="AD112" s="30">
        <f t="shared" si="28"/>
        <v>0</v>
      </c>
      <c r="AE112" s="30">
        <f t="shared" si="29"/>
        <v>0</v>
      </c>
    </row>
    <row r="113" spans="1:31" x14ac:dyDescent="0.3">
      <c r="A113" s="29"/>
      <c r="B113" s="29" t="s">
        <v>209</v>
      </c>
      <c r="C113" s="32"/>
      <c r="D113" s="29"/>
      <c r="E113" s="29" t="s">
        <v>209</v>
      </c>
      <c r="F113" s="32"/>
      <c r="G113" s="32">
        <v>0</v>
      </c>
      <c r="H113" s="32" t="s">
        <v>292</v>
      </c>
      <c r="I113" s="32" t="s">
        <v>324</v>
      </c>
      <c r="J113" s="32" t="s">
        <v>288</v>
      </c>
      <c r="K113" s="32" t="s">
        <v>285</v>
      </c>
      <c r="L113" s="29">
        <f>IFERROR(VLOOKUP(CONCATENATE(J113,K113),Ventas!D:H,4,0),0)</f>
        <v>-1078.0219780219779</v>
      </c>
      <c r="M113" s="29">
        <f t="shared" si="22"/>
        <v>0</v>
      </c>
      <c r="N113" s="41">
        <f t="shared" si="23"/>
        <v>-1078.0219780219779</v>
      </c>
      <c r="O113" s="29">
        <f>N113*IFERROR(VLOOKUP(J113,Tabla11[],3,0),0)</f>
        <v>-377.30769230769226</v>
      </c>
      <c r="P113" s="29">
        <f t="shared" si="24"/>
        <v>-700.71428571428567</v>
      </c>
      <c r="Q113" s="29">
        <f>IFERROR(G113/SUMIF(I:I,I113,G:G),0)*VLOOKUP(H113,Modelos[],14,0)+IFERROR(G113/SUMIF(I:I,I113,G:G),0)*VLOOKUP(I113,Tabla13[],2,0)</f>
        <v>0</v>
      </c>
      <c r="R113" s="29">
        <f>IFERROR(VLOOKUP(A113,Modelos[],IF(B113="EST",15,14),0),0)*C113</f>
        <v>0</v>
      </c>
      <c r="S113" s="29">
        <f>IFERROR(VLOOKUP(D113,Modelos[],IF(E113="EST",15,14),0),0)*F113</f>
        <v>0</v>
      </c>
      <c r="T113" s="29">
        <f>IF($L113&lt;0,0,IFERROR((T$2*IFERROR(VLOOKUP(J113,Tabla11[],2,0),0))*($L113/SUM($L$5:$L$46)),0))</f>
        <v>0</v>
      </c>
      <c r="U113" s="29">
        <f>IF($L113&lt;0,0,IFERROR((U$2*IFERROR(VLOOKUP(J113,Tabla11[],2,0),0))*($L113/SUM($L$5:$L$46)),0))</f>
        <v>0</v>
      </c>
      <c r="V113" s="29">
        <f>IF($L113&lt;0,0,IFERROR((V$2*IFERROR(VLOOKUP(J113,Tabla11[],2,0),0))*($L113/SUM($L$5:$L$46)),0))</f>
        <v>0</v>
      </c>
      <c r="W113" s="29">
        <f>IF($L113&lt;0,0,IFERROR((W$2*IFERROR(VLOOKUP(J113,Tabla11[],2,0),0))*($L113/SUM($L$5:$L$46)),0))</f>
        <v>0</v>
      </c>
      <c r="X113" s="29">
        <f t="shared" si="25"/>
        <v>-280.28571428571428</v>
      </c>
      <c r="Y113" s="29">
        <f>+X113*IFERROR(VLOOKUP(J113,Tabla11[],4,0),0)</f>
        <v>-42.042857142857137</v>
      </c>
      <c r="Z113" s="29">
        <f t="shared" si="26"/>
        <v>0</v>
      </c>
      <c r="AA113" s="29">
        <f t="shared" si="27"/>
        <v>-378.38571428571424</v>
      </c>
      <c r="AB113" s="29">
        <f>IF($L113&lt;0,0,IFERROR((AB$2*IFERROR(VLOOKUP(J113,Tabla11[],2,0),0))*($L113/SUM($L$5:$L$46)),0))</f>
        <v>0</v>
      </c>
      <c r="AC113" s="29">
        <f>L113-L113*IFERROR(VLOOKUP(J113,Tabla11[],3,0),0)-Q113-T113-U113-V113-W113-L113*$X$2-(L113*$X$2)*IFERROR(VLOOKUP(J113,Tabla11[],4,0),0)-AB113-Z113</f>
        <v>-204.82417582417582</v>
      </c>
      <c r="AD113" s="29">
        <f t="shared" si="28"/>
        <v>-378.38571428571424</v>
      </c>
      <c r="AE113" s="29">
        <f t="shared" si="29"/>
        <v>-173.56153846199999</v>
      </c>
    </row>
    <row r="114" spans="1:31" x14ac:dyDescent="0.3">
      <c r="A114" s="30"/>
      <c r="B114" s="30" t="s">
        <v>209</v>
      </c>
      <c r="C114" s="33"/>
      <c r="D114" s="30"/>
      <c r="E114" s="30" t="s">
        <v>209</v>
      </c>
      <c r="F114" s="33"/>
      <c r="G114" s="33">
        <v>0</v>
      </c>
      <c r="H114" s="33" t="s">
        <v>292</v>
      </c>
      <c r="I114" s="33" t="s">
        <v>323</v>
      </c>
      <c r="J114" s="33" t="s">
        <v>288</v>
      </c>
      <c r="K114" s="33" t="s">
        <v>286</v>
      </c>
      <c r="L114" s="29">
        <f>IFERROR(VLOOKUP(CONCATENATE(J114,K114),Ventas!D:H,4,0),0)</f>
        <v>-1438.2417582417581</v>
      </c>
      <c r="M114" s="30">
        <f t="shared" si="22"/>
        <v>0</v>
      </c>
      <c r="N114" s="42">
        <f t="shared" si="23"/>
        <v>-1438.2417582417581</v>
      </c>
      <c r="O114" s="30">
        <f>N114*IFERROR(VLOOKUP(J114,Tabla11[],3,0),0)</f>
        <v>-503.3846153846153</v>
      </c>
      <c r="P114" s="30">
        <f t="shared" si="24"/>
        <v>-934.85714285714289</v>
      </c>
      <c r="Q114" s="29">
        <f>IFERROR(G114/SUMIF(I:I,I114,G:G),0)*VLOOKUP(H114,Modelos[],14,0)+IFERROR(G114/SUMIF(I:I,I114,G:G),0)*VLOOKUP(I114,Tabla13[],2,0)</f>
        <v>0</v>
      </c>
      <c r="R114" s="30">
        <f>IFERROR(VLOOKUP(A114,Modelos[],IF(B114="EST",15,14),0),0)*C114</f>
        <v>0</v>
      </c>
      <c r="S114" s="30">
        <f>IFERROR(VLOOKUP(D114,Modelos[],IF(E114="EST",15,14),0),0)*F114</f>
        <v>0</v>
      </c>
      <c r="T114" s="30">
        <f>IF($L114&lt;0,0,IFERROR((T$2*IFERROR(VLOOKUP(J114,Tabla11[],2,0),0))*($L114/SUM($L$5:$L$46)),0))</f>
        <v>0</v>
      </c>
      <c r="U114" s="30">
        <f>IF($L114&lt;0,0,IFERROR((U$2*IFERROR(VLOOKUP(J114,Tabla11[],2,0),0))*($L114/SUM($L$5:$L$46)),0))</f>
        <v>0</v>
      </c>
      <c r="V114" s="30">
        <f>IF($L114&lt;0,0,IFERROR((V$2*IFERROR(VLOOKUP(J114,Tabla11[],2,0),0))*($L114/SUM($L$5:$L$46)),0))</f>
        <v>0</v>
      </c>
      <c r="W114" s="30">
        <f>IF($L114&lt;0,0,IFERROR((W$2*IFERROR(VLOOKUP(J114,Tabla11[],2,0),0))*($L114/SUM($L$5:$L$46)),0))</f>
        <v>0</v>
      </c>
      <c r="X114" s="30">
        <f t="shared" si="25"/>
        <v>-373.94285714285718</v>
      </c>
      <c r="Y114" s="30">
        <f>+X114*IFERROR(VLOOKUP(J114,Tabla11[],4,0),0)</f>
        <v>-56.091428571428573</v>
      </c>
      <c r="Z114" s="30">
        <f t="shared" si="26"/>
        <v>0</v>
      </c>
      <c r="AA114" s="30">
        <f t="shared" si="27"/>
        <v>-504.82285714285712</v>
      </c>
      <c r="AB114" s="30">
        <f>IF($L114&lt;0,0,IFERROR((AB$2*IFERROR(VLOOKUP(J114,Tabla11[],2,0),0))*($L114/SUM($L$5:$L$46)),0))</f>
        <v>0</v>
      </c>
      <c r="AC114" s="30">
        <f>L114-L114*IFERROR(VLOOKUP(J114,Tabla11[],3,0),0)-Q114-T114-U114-V114-W114-L114*$X$2-(L114*$X$2)*IFERROR(VLOOKUP(J114,Tabla11[],4,0),0)-AB114-Z114</f>
        <v>-273.26593406593412</v>
      </c>
      <c r="AD114" s="30">
        <f t="shared" si="28"/>
        <v>-504.82285714285712</v>
      </c>
      <c r="AE114" s="30">
        <f t="shared" si="29"/>
        <v>-231.55692307699999</v>
      </c>
    </row>
  </sheetData>
  <autoFilter ref="A4:AE114" xr:uid="{C5171C49-DE33-47A9-BB1E-13FC0F58D746}"/>
  <conditionalFormatting sqref="AC5:AD35">
    <cfRule type="cellIs" dxfId="87" priority="28" operator="lessThan">
      <formula>0</formula>
    </cfRule>
  </conditionalFormatting>
  <conditionalFormatting sqref="AE5:AE35">
    <cfRule type="iconSet" priority="27">
      <iconSet iconSet="3Arrows">
        <cfvo type="percent" val="0"/>
        <cfvo type="num" val="0"/>
        <cfvo type="num" val="0" gte="0"/>
      </iconSet>
    </cfRule>
  </conditionalFormatting>
  <conditionalFormatting sqref="AC36:AD37">
    <cfRule type="cellIs" dxfId="86" priority="25" operator="lessThan">
      <formula>0</formula>
    </cfRule>
  </conditionalFormatting>
  <conditionalFormatting sqref="AE36:AE37">
    <cfRule type="iconSet" priority="24">
      <iconSet iconSet="3Arrows">
        <cfvo type="percent" val="0"/>
        <cfvo type="num" val="0"/>
        <cfvo type="num" val="0" gte="0"/>
      </iconSet>
    </cfRule>
  </conditionalFormatting>
  <conditionalFormatting sqref="AC38:AD38">
    <cfRule type="cellIs" dxfId="85" priority="17" operator="lessThan">
      <formula>0</formula>
    </cfRule>
  </conditionalFormatting>
  <conditionalFormatting sqref="AE38">
    <cfRule type="iconSet" priority="16">
      <iconSet iconSet="3Arrows">
        <cfvo type="percent" val="0"/>
        <cfvo type="num" val="0"/>
        <cfvo type="num" val="0" gte="0"/>
      </iconSet>
    </cfRule>
  </conditionalFormatting>
  <conditionalFormatting sqref="AC39:AD39 AC41:AD41 AC43:AD43 AC45:AD45 AC47:AD47 AC49:AD49 AC51:AD51 AC53:AD53 AC55:AD55 AC57:AD57 AC59:AD59 AC61:AD61 AC63:AD63 AC65:AD65 AC67:AD67 AC69:AD69 AC71:AD71 AC73:AD73 AC75:AD75 AC77:AD77 AC79:AD79 AC81:AD81 AC83:AD83 AC85:AD85 AC87:AD87 AC89:AD89 AC91:AD91 AC93:AD93 AC95:AD95 AC97:AD97 AC99:AD99 AC101:AD101 AC103:AD103 AC105:AD105 AC107:AD107 AC109:AD109 AC111:AD111 AC113:AD113">
    <cfRule type="cellIs" dxfId="84" priority="8" operator="lessThan">
      <formula>0</formula>
    </cfRule>
  </conditionalFormatting>
  <conditionalFormatting sqref="AE39 AE41 AE43 AE45 AE47 AE49 AE51 AE53 AE55 AE57 AE59 AE61 AE63 AE65 AE67 AE69 AE71 AE73 AE75 AE77 AE79 AE81 AE83 AE85 AE87 AE89 AE91 AE93 AE95 AE97 AE99 AE101 AE103 AE105 AE107 AE109 AE111 AE113">
    <cfRule type="iconSet" priority="7">
      <iconSet iconSet="3Arrows">
        <cfvo type="percent" val="0"/>
        <cfvo type="num" val="0"/>
        <cfvo type="num" val="0" gte="0"/>
      </iconSet>
    </cfRule>
  </conditionalFormatting>
  <conditionalFormatting sqref="AC40:AD40 AC42:AD42 AC44:AD44 AC46:AD46 AC48:AD48 AC50:AD50 AC52:AD52 AC54:AD54 AC56:AD56 AC58:AD58 AC60:AD60 AC62:AD62 AC64:AD64 AC66:AD66 AC68:AD68 AC70:AD70 AC72:AD72 AC74:AD74 AC76:AD76 AC78:AD78 AC80:AD80 AC82:AD82 AC84:AD84 AC86:AD86 AC88:AD88 AC90:AD90 AC92:AD92 AC94:AD94 AC96:AD96 AC98:AD98 AC100:AD100 AC102:AD102 AC104:AD104 AC106:AD106 AC108:AD108 AC110:AD110 AC112:AD112 AC114:AD114">
    <cfRule type="cellIs" dxfId="83" priority="5" operator="lessThan">
      <formula>0</formula>
    </cfRule>
  </conditionalFormatting>
  <conditionalFormatting sqref="AE40 AE42 AE44 AE46 AE48 AE50 AE52 AE54 AE56 AE58 AE60 AE62 AE64 AE66 AE68 AE70 AE72 AE74 AE76 AE78 AE80 AE82 AE84 AE86 AE88 AE90 AE92 AE94 AE96 AE98 AE100 AE102 AE104 AE106 AE108 AE110 AE112 AE114">
    <cfRule type="iconSet" priority="4">
      <iconSet iconSet="3Arrows">
        <cfvo type="percent" val="0"/>
        <cfvo type="num" val="0"/>
        <cfvo type="num" val="0" gte="0"/>
      </iconSet>
    </cfRule>
  </conditionalFormatting>
  <conditionalFormatting sqref="L5:L114">
    <cfRule type="colorScale" priority="1">
      <colorScale>
        <cfvo type="min"/>
        <cfvo type="percentile" val="50"/>
        <cfvo type="max"/>
        <color rgb="FFF8696B"/>
        <color rgb="FFFFEB84"/>
        <color rgb="FF63BE7B"/>
      </colorScale>
    </cfRule>
  </conditionalFormatting>
  <dataValidations count="2">
    <dataValidation type="list" allowBlank="1" showInputMessage="1" showErrorMessage="1" sqref="B5:B114 E5:E114" xr:uid="{C75CE9C2-11ED-4ACD-A7C5-7335C2F043CE}">
      <formula1>"Outsourcing,EST"</formula1>
    </dataValidation>
    <dataValidation type="list" allowBlank="1" showInputMessage="1" showErrorMessage="1" sqref="D5:D114 A5:A114 H5:H114" xr:uid="{6AD99B65-848D-4399-B156-9CD8923A13D3}">
      <formula1>Modelo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C62A7-E05E-48C0-B70B-D9FD6EAB65A0}">
  <dimension ref="A1:AD111"/>
  <sheetViews>
    <sheetView showGridLines="0" zoomScale="80" zoomScaleNormal="80" workbookViewId="0">
      <selection activeCell="F4" sqref="F4"/>
    </sheetView>
  </sheetViews>
  <sheetFormatPr baseColWidth="10" defaultRowHeight="14.4" x14ac:dyDescent="0.3"/>
  <cols>
    <col min="1" max="1" width="21.6640625" style="34" customWidth="1"/>
    <col min="2" max="2" width="12" style="34" customWidth="1"/>
    <col min="3" max="3" width="9.88671875" style="34" customWidth="1"/>
    <col min="4" max="4" width="6.33203125" style="34" customWidth="1"/>
    <col min="5" max="5" width="8.33203125" style="34" customWidth="1"/>
    <col min="6" max="6" width="19.44140625" style="34" bestFit="1" customWidth="1"/>
    <col min="7" max="7" width="13.33203125" style="16" bestFit="1" customWidth="1"/>
    <col min="8" max="8" width="12" style="16" customWidth="1"/>
    <col min="9" max="10" width="15" style="16" bestFit="1" customWidth="1"/>
    <col min="11" max="11" width="12" style="16" customWidth="1"/>
    <col min="12" max="12" width="15" style="16" bestFit="1" customWidth="1"/>
    <col min="13" max="13" width="15.109375" style="16" bestFit="1" customWidth="1"/>
    <col min="14" max="14" width="13.109375" style="16" bestFit="1" customWidth="1"/>
    <col min="15" max="15" width="11.6640625" style="16" bestFit="1" customWidth="1"/>
    <col min="16" max="16" width="11.33203125" style="16" bestFit="1" customWidth="1"/>
    <col min="17" max="17" width="14.5546875" style="16" bestFit="1" customWidth="1"/>
    <col min="18" max="18" width="14.6640625" style="16" customWidth="1"/>
    <col min="19" max="19" width="11.6640625" style="16" bestFit="1" customWidth="1"/>
    <col min="20" max="20" width="11.6640625" style="16" customWidth="1"/>
    <col min="21" max="21" width="14.5546875" style="16" customWidth="1"/>
    <col min="22" max="22" width="17.33203125" style="16" bestFit="1" customWidth="1"/>
    <col min="23" max="25" width="13.6640625" style="16" bestFit="1" customWidth="1"/>
  </cols>
  <sheetData>
    <row r="1" spans="1:30" x14ac:dyDescent="0.3">
      <c r="A1" s="18"/>
      <c r="B1" s="18"/>
      <c r="C1" s="18"/>
      <c r="D1" s="18"/>
      <c r="E1" s="18"/>
      <c r="F1" s="18"/>
      <c r="G1" s="23"/>
    </row>
    <row r="2" spans="1:30" x14ac:dyDescent="0.3">
      <c r="A2" s="18"/>
      <c r="B2" s="18"/>
      <c r="C2" s="18"/>
      <c r="D2" s="18"/>
      <c r="E2" s="18"/>
      <c r="F2" s="18"/>
      <c r="N2" s="28">
        <v>1393548.3870967741</v>
      </c>
      <c r="O2" s="28">
        <v>270967.74193548388</v>
      </c>
      <c r="P2" s="28">
        <v>1393548.3870967741</v>
      </c>
      <c r="Q2" s="28">
        <v>1935483.8709677418</v>
      </c>
      <c r="R2" s="31">
        <v>0.4</v>
      </c>
      <c r="S2" s="16">
        <v>0.15</v>
      </c>
      <c r="T2" s="28">
        <v>310000</v>
      </c>
      <c r="V2" s="28">
        <v>3519400</v>
      </c>
    </row>
    <row r="3" spans="1:30" x14ac:dyDescent="0.3">
      <c r="A3" s="18"/>
      <c r="B3" s="18"/>
      <c r="C3" s="18"/>
      <c r="D3" s="18"/>
      <c r="E3" s="18"/>
      <c r="F3" s="18"/>
      <c r="AC3" s="45"/>
      <c r="AD3" s="45"/>
    </row>
    <row r="4" spans="1:30" s="39" customFormat="1" ht="44.25" customHeight="1" x14ac:dyDescent="0.3">
      <c r="A4" s="38" t="s">
        <v>157</v>
      </c>
      <c r="B4" s="38" t="s">
        <v>161</v>
      </c>
      <c r="C4" s="38" t="s">
        <v>168</v>
      </c>
      <c r="D4" s="38" t="s">
        <v>163</v>
      </c>
      <c r="E4" s="38" t="s">
        <v>212</v>
      </c>
      <c r="F4" s="38" t="s">
        <v>0</v>
      </c>
      <c r="G4" s="38" t="s">
        <v>123</v>
      </c>
      <c r="H4" s="38" t="s">
        <v>158</v>
      </c>
      <c r="I4" s="38" t="s">
        <v>159</v>
      </c>
      <c r="J4" s="38" t="s">
        <v>218</v>
      </c>
      <c r="K4" s="38" t="s">
        <v>182</v>
      </c>
      <c r="L4" s="38" t="s">
        <v>125</v>
      </c>
      <c r="M4" s="38" t="s">
        <v>160</v>
      </c>
      <c r="N4" s="38" t="s">
        <v>41</v>
      </c>
      <c r="O4" s="38" t="s">
        <v>42</v>
      </c>
      <c r="P4" s="38" t="s">
        <v>43</v>
      </c>
      <c r="Q4" s="38" t="s">
        <v>44</v>
      </c>
      <c r="R4" s="38" t="s">
        <v>127</v>
      </c>
      <c r="S4" s="38" t="s">
        <v>128</v>
      </c>
      <c r="T4" s="38" t="s">
        <v>171</v>
      </c>
      <c r="U4" s="38" t="s">
        <v>40</v>
      </c>
      <c r="V4" s="38" t="s">
        <v>45</v>
      </c>
      <c r="W4" s="38" t="s">
        <v>164</v>
      </c>
      <c r="X4" s="38" t="s">
        <v>165</v>
      </c>
      <c r="Y4" s="38" t="s">
        <v>166</v>
      </c>
    </row>
    <row r="5" spans="1:30" x14ac:dyDescent="0.3">
      <c r="A5" s="29"/>
      <c r="B5" s="29" t="s">
        <v>162</v>
      </c>
      <c r="C5" s="32">
        <v>1</v>
      </c>
      <c r="D5" s="32">
        <v>1</v>
      </c>
      <c r="E5" s="32" t="s">
        <v>213</v>
      </c>
      <c r="F5" s="32" t="s">
        <v>3</v>
      </c>
      <c r="G5" s="29">
        <f>IFERROR(VLOOKUP(CONCATENATE(E5,F5),Ventas!D:H,5,0),0)</f>
        <v>1199044.6153846153</v>
      </c>
      <c r="H5" s="29">
        <f>IFERROR(VLOOKUP(A5,Modelos[],18,0),0)*G5/C5</f>
        <v>0</v>
      </c>
      <c r="I5" s="41">
        <f>SUM(G5:H5)</f>
        <v>1199044.6153846153</v>
      </c>
      <c r="J5" s="29">
        <f>I5*IFERROR(VLOOKUP(E5,Tabla11[],3,0),0)</f>
        <v>419665.61538461532</v>
      </c>
      <c r="K5" s="29">
        <f>I5-J5</f>
        <v>779379</v>
      </c>
      <c r="L5" s="29">
        <f>Sup!$A$2*D5</f>
        <v>6775.4474283854179</v>
      </c>
      <c r="M5" s="29">
        <f>IFERROR(VLOOKUP(A5,Modelos[],IF(B5="EST",15,14),0),0)/C5</f>
        <v>0</v>
      </c>
      <c r="N5" s="29">
        <f>IF($G5&lt;0,0,IFERROR((N$2*IFERROR(VLOOKUP(E5,Tabla11[],2,0),0))*($G5/SUM($G$5:$G$43)),0))</f>
        <v>13546.917568112996</v>
      </c>
      <c r="O5" s="29">
        <f>IF($G5&lt;0,0,IFERROR((O$2*IFERROR(VLOOKUP(E5,Tabla11[],2,0),0))*($G5/SUM($G$5:$G$43)),0))</f>
        <v>2634.1228604664166</v>
      </c>
      <c r="P5" s="29">
        <f>IF($G5&lt;0,0,IFERROR((P$2*IFERROR(VLOOKUP(E5,Tabla11[],2,0),0))*($G5/SUM($G$5:$G$43)),0))</f>
        <v>13546.917568112996</v>
      </c>
      <c r="Q5" s="29">
        <f>IF($G5&lt;0,0,IFERROR((Q$2*IFERROR(VLOOKUP(E5,Tabla11[],2,0),0))*($G5/SUM($G$5:$G$43)),0))</f>
        <v>18815.163289045828</v>
      </c>
      <c r="R5" s="29">
        <f>K5*$R$2</f>
        <v>311751.60000000003</v>
      </c>
      <c r="S5" s="29">
        <f>+R5*IFERROR(VLOOKUP(E5,Tabla11[],4,0),0)</f>
        <v>46762.740000000005</v>
      </c>
      <c r="T5" s="29">
        <f>IF(G5&gt;0,$T$2/12,0)</f>
        <v>25833.333333333332</v>
      </c>
      <c r="U5" s="29">
        <f>K5-SUM(L5:T5)</f>
        <v>339712.75795254303</v>
      </c>
      <c r="V5" s="29">
        <f>IF($G5&lt;0,0,IFERROR((V$2*IFERROR(VLOOKUP(E5,Tabla11[],2,0),0))*($G5/SUM($G$5:$G$43)),0))</f>
        <v>34212.677601058414</v>
      </c>
      <c r="W5" s="29">
        <f>G5-G5*IFERROR(VLOOKUP(E5,Tabla11[],3,0),0)-L5-N5-O5-P5-Q5-G5*$R$2-(G5*$R$2)*IFERROR(VLOOKUP(E5,Tabla11[],4,0),0)-V5-T5</f>
        <v>112453.89727456176</v>
      </c>
      <c r="X5" s="29">
        <f>U5-V5</f>
        <v>305500.08035148459</v>
      </c>
      <c r="Y5" s="29">
        <f>ROUND(X5-W5,9)</f>
        <v>193046.18307692299</v>
      </c>
    </row>
    <row r="6" spans="1:30" x14ac:dyDescent="0.3">
      <c r="A6" s="30"/>
      <c r="B6" s="30" t="s">
        <v>162</v>
      </c>
      <c r="C6" s="33">
        <v>1</v>
      </c>
      <c r="D6" s="33">
        <v>1</v>
      </c>
      <c r="E6" s="33" t="s">
        <v>213</v>
      </c>
      <c r="F6" s="33" t="s">
        <v>16</v>
      </c>
      <c r="G6" s="29">
        <f>IFERROR(VLOOKUP(CONCATENATE(E6,F6),Ventas!D:H,5,0),0)</f>
        <v>724821.53846153838</v>
      </c>
      <c r="H6" s="30">
        <f>IFERROR(VLOOKUP(A6,Modelos[],18,0),0)*G6/C6</f>
        <v>0</v>
      </c>
      <c r="I6" s="42">
        <f t="shared" ref="I6:I69" si="0">SUM(G6:H6)</f>
        <v>724821.53846153838</v>
      </c>
      <c r="J6" s="30">
        <f>I6*IFERROR(VLOOKUP(E6,Tabla11[],3,0),0)</f>
        <v>253687.53846153841</v>
      </c>
      <c r="K6" s="30">
        <f t="shared" ref="K6:K69" si="1">I6-J6</f>
        <v>471134</v>
      </c>
      <c r="L6" s="30">
        <f>Sup!$A$2*D6</f>
        <v>6775.4474283854179</v>
      </c>
      <c r="M6" s="30">
        <f>IFERROR(VLOOKUP(A6,Modelos[],IF(B6="EST",15,14),0),0)/C6</f>
        <v>0</v>
      </c>
      <c r="N6" s="30">
        <f>IF($G6&lt;0,0,IFERROR((N$2*IFERROR(VLOOKUP(E6,Tabla11[],2,0),0))*($G6/SUM($G$5:$G$43)),0))</f>
        <v>8189.1011453161409</v>
      </c>
      <c r="O6" s="30">
        <f>IF($G6&lt;0,0,IFERROR((O$2*IFERROR(VLOOKUP(E6,Tabla11[],2,0),0))*($G6/SUM($G$5:$G$43)),0))</f>
        <v>1592.3252227003609</v>
      </c>
      <c r="P6" s="30">
        <f>IF($G6&lt;0,0,IFERROR((P$2*IFERROR(VLOOKUP(E6,Tabla11[],2,0),0))*($G6/SUM($G$5:$G$43)),0))</f>
        <v>8189.1011453161409</v>
      </c>
      <c r="Q6" s="30">
        <f>IF($G6&lt;0,0,IFERROR((Q$2*IFERROR(VLOOKUP(E6,Tabla11[],2,0),0))*($G6/SUM($G$5:$G$43)),0))</f>
        <v>11373.751590716862</v>
      </c>
      <c r="R6" s="30">
        <f t="shared" ref="R6:R69" si="2">K6*$R$2</f>
        <v>188453.6</v>
      </c>
      <c r="S6" s="30">
        <f>+R6*IFERROR(VLOOKUP(E6,Tabla11[],4,0),0)</f>
        <v>28268.04</v>
      </c>
      <c r="T6" s="30">
        <f t="shared" ref="T6:T69" si="3">IF(G6&gt;0,$T$2/12,0)</f>
        <v>25833.333333333332</v>
      </c>
      <c r="U6" s="30">
        <f t="shared" ref="U6:U69" si="4">K6-SUM(L6:T6)</f>
        <v>192459.30013423174</v>
      </c>
      <c r="V6" s="30">
        <f>IF($G6&lt;0,0,IFERROR((V$2*IFERROR(VLOOKUP(E6,Tabla11[],2,0),0))*($G6/SUM($G$5:$G$43)),0))</f>
        <v>20681.537029990614</v>
      </c>
      <c r="W6" s="30">
        <f>G6-G6*IFERROR(VLOOKUP(E6,Tabla11[],3,0),0)-L6-N6-O6-P6-Q6-G6*$R$2-(G6*$R$2)*IFERROR(VLOOKUP(E6,Tabla11[],4,0),0)-V6-T6</f>
        <v>55081.495411933385</v>
      </c>
      <c r="X6" s="30">
        <f t="shared" ref="X6:X69" si="5">U6-V6</f>
        <v>171777.76310424114</v>
      </c>
      <c r="Y6" s="30">
        <f t="shared" ref="Y6:Y69" si="6">ROUND(X6-W6,9)</f>
        <v>116696.267692308</v>
      </c>
    </row>
    <row r="7" spans="1:30" x14ac:dyDescent="0.3">
      <c r="A7" s="29"/>
      <c r="B7" s="29" t="s">
        <v>162</v>
      </c>
      <c r="C7" s="32">
        <v>1</v>
      </c>
      <c r="D7" s="32">
        <v>1</v>
      </c>
      <c r="E7" s="32" t="s">
        <v>213</v>
      </c>
      <c r="F7" s="32" t="s">
        <v>2</v>
      </c>
      <c r="G7" s="29">
        <f>IFERROR(VLOOKUP(CONCATENATE(E7,F7),Ventas!D:H,5,0),0)</f>
        <v>812932.30769230763</v>
      </c>
      <c r="H7" s="29">
        <f>IFERROR(VLOOKUP(A7,Modelos[],18,0),0)*G7/C7</f>
        <v>0</v>
      </c>
      <c r="I7" s="41">
        <f t="shared" si="0"/>
        <v>812932.30769230763</v>
      </c>
      <c r="J7" s="29">
        <f>I7*IFERROR(VLOOKUP(E7,Tabla11[],3,0),0)</f>
        <v>284526.30769230763</v>
      </c>
      <c r="K7" s="29">
        <f t="shared" si="1"/>
        <v>528406</v>
      </c>
      <c r="L7" s="29">
        <f>Sup!$A$2*D7</f>
        <v>6775.4474283854179</v>
      </c>
      <c r="M7" s="29">
        <f>IFERROR(VLOOKUP(A7,Modelos[],IF(B7="EST",15,14),0),0)/C7</f>
        <v>0</v>
      </c>
      <c r="N7" s="29">
        <f>IF($G7&lt;0,0,IFERROR((N$2*IFERROR(VLOOKUP(E7,Tabla11[],2,0),0))*($G7/SUM($G$5:$G$43)),0))</f>
        <v>9184.584809824637</v>
      </c>
      <c r="O7" s="29">
        <f>IF($G7&lt;0,0,IFERROR((O$2*IFERROR(VLOOKUP(E7,Tabla11[],2,0),0))*($G7/SUM($G$5:$G$43)),0))</f>
        <v>1785.891490799235</v>
      </c>
      <c r="P7" s="29">
        <f>IF($G7&lt;0,0,IFERROR((P$2*IFERROR(VLOOKUP(E7,Tabla11[],2,0),0))*($G7/SUM($G$5:$G$43)),0))</f>
        <v>9184.584809824637</v>
      </c>
      <c r="Q7" s="29">
        <f>IF($G7&lt;0,0,IFERROR((Q$2*IFERROR(VLOOKUP(E7,Tabla11[],2,0),0))*($G7/SUM($G$5:$G$43)),0))</f>
        <v>12756.367791423107</v>
      </c>
      <c r="R7" s="29">
        <f t="shared" si="2"/>
        <v>211362.40000000002</v>
      </c>
      <c r="S7" s="29">
        <f>+R7*IFERROR(VLOOKUP(E7,Tabla11[],4,0),0)</f>
        <v>31704.36</v>
      </c>
      <c r="T7" s="29">
        <f t="shared" si="3"/>
        <v>25833.333333333332</v>
      </c>
      <c r="U7" s="29">
        <f t="shared" si="4"/>
        <v>219819.03033640963</v>
      </c>
      <c r="V7" s="29">
        <f>IF($G7&lt;0,0,IFERROR((V$2*IFERROR(VLOOKUP(E7,Tabla11[],2,0),0))*($G7/SUM($G$5:$G$43)),0))</f>
        <v>23195.626415986149</v>
      </c>
      <c r="W7" s="29">
        <f>G7-G7*IFERROR(VLOOKUP(E7,Tabla11[],3,0),0)-L7-N7-O7-P7-Q7-G7*$R$2-(G7*$R$2)*IFERROR(VLOOKUP(E7,Tabla11[],4,0),0)-V7-T7</f>
        <v>65741.302381961897</v>
      </c>
      <c r="X7" s="29">
        <f t="shared" si="5"/>
        <v>196623.40392042347</v>
      </c>
      <c r="Y7" s="29">
        <f t="shared" si="6"/>
        <v>130882.101538462</v>
      </c>
    </row>
    <row r="8" spans="1:30" x14ac:dyDescent="0.3">
      <c r="A8" s="30"/>
      <c r="B8" s="30" t="s">
        <v>162</v>
      </c>
      <c r="C8" s="33">
        <v>1</v>
      </c>
      <c r="D8" s="33">
        <v>1</v>
      </c>
      <c r="E8" s="33" t="s">
        <v>213</v>
      </c>
      <c r="F8" s="33" t="s">
        <v>10</v>
      </c>
      <c r="G8" s="29">
        <f>IFERROR(VLOOKUP(CONCATENATE(E8,F8),Ventas!D:H,5,0),0)</f>
        <v>697984.61538461538</v>
      </c>
      <c r="H8" s="30">
        <f>IFERROR(VLOOKUP(A8,Modelos[],18,0),0)*G8/C8</f>
        <v>0</v>
      </c>
      <c r="I8" s="42">
        <f t="shared" si="0"/>
        <v>697984.61538461538</v>
      </c>
      <c r="J8" s="30">
        <f>I8*IFERROR(VLOOKUP(E8,Tabla11[],3,0),0)</f>
        <v>244294.61538461538</v>
      </c>
      <c r="K8" s="30">
        <f t="shared" si="1"/>
        <v>453690</v>
      </c>
      <c r="L8" s="30">
        <f>Sup!$A$2*D8</f>
        <v>6775.4474283854179</v>
      </c>
      <c r="M8" s="30">
        <f>IFERROR(VLOOKUP(A8,Modelos[],IF(B8="EST",15,14),0),0)/C8</f>
        <v>0</v>
      </c>
      <c r="N8" s="30">
        <f>IF($G8&lt;0,0,IFERROR((N$2*IFERROR(VLOOKUP(E8,Tabla11[],2,0),0))*($G8/SUM($G$5:$G$43)),0))</f>
        <v>7885.8950927304759</v>
      </c>
      <c r="O8" s="30">
        <f>IF($G8&lt;0,0,IFERROR((O$2*IFERROR(VLOOKUP(E8,Tabla11[],2,0),0))*($G8/SUM($G$5:$G$43)),0))</f>
        <v>1533.3684902531484</v>
      </c>
      <c r="P8" s="30">
        <f>IF($G8&lt;0,0,IFERROR((P$2*IFERROR(VLOOKUP(E8,Tabla11[],2,0),0))*($G8/SUM($G$5:$G$43)),0))</f>
        <v>7885.8950927304759</v>
      </c>
      <c r="Q8" s="30">
        <f>IF($G8&lt;0,0,IFERROR((Q$2*IFERROR(VLOOKUP(E8,Tabla11[],2,0),0))*($G8/SUM($G$5:$G$43)),0))</f>
        <v>10952.632073236773</v>
      </c>
      <c r="R8" s="30">
        <f t="shared" si="2"/>
        <v>181476</v>
      </c>
      <c r="S8" s="30">
        <f>+R8*IFERROR(VLOOKUP(E8,Tabla11[],4,0),0)</f>
        <v>27221.399999999998</v>
      </c>
      <c r="T8" s="30">
        <f t="shared" si="3"/>
        <v>25833.333333333332</v>
      </c>
      <c r="U8" s="30">
        <f t="shared" si="4"/>
        <v>184126.02848933038</v>
      </c>
      <c r="V8" s="30">
        <f>IF($G8&lt;0,0,IFERROR((V$2*IFERROR(VLOOKUP(E8,Tabla11[],2,0),0))*($G8/SUM($G$5:$G$43)),0))</f>
        <v>19915.791547917241</v>
      </c>
      <c r="W8" s="30">
        <f>G8-G8*IFERROR(VLOOKUP(E8,Tabla11[],3,0),0)-L8-N8-O8-P8-Q8-G8*$R$2-(G8*$R$2)*IFERROR(VLOOKUP(E8,Tabla11[],4,0),0)-V8-T8</f>
        <v>51834.713864490026</v>
      </c>
      <c r="X8" s="30">
        <f t="shared" si="5"/>
        <v>164210.23694141314</v>
      </c>
      <c r="Y8" s="30">
        <f t="shared" si="6"/>
        <v>112375.523076923</v>
      </c>
    </row>
    <row r="9" spans="1:30" x14ac:dyDescent="0.3">
      <c r="A9" s="29"/>
      <c r="B9" s="29" t="s">
        <v>162</v>
      </c>
      <c r="C9" s="32">
        <v>1</v>
      </c>
      <c r="D9" s="32">
        <v>1</v>
      </c>
      <c r="E9" s="32" t="s">
        <v>213</v>
      </c>
      <c r="F9" s="32" t="s">
        <v>4</v>
      </c>
      <c r="G9" s="29">
        <f>IFERROR(VLOOKUP(CONCATENATE(E9,F9),Ventas!D:H,5,0),0)</f>
        <v>1138507.6923076923</v>
      </c>
      <c r="H9" s="29">
        <f>IFERROR(VLOOKUP(A9,Modelos[],18,0),0)*G9/C9</f>
        <v>0</v>
      </c>
      <c r="I9" s="41">
        <f t="shared" si="0"/>
        <v>1138507.6923076923</v>
      </c>
      <c r="J9" s="29">
        <f>I9*IFERROR(VLOOKUP(E9,Tabla11[],3,0),0)</f>
        <v>398477.69230769225</v>
      </c>
      <c r="K9" s="29">
        <f t="shared" si="1"/>
        <v>740030</v>
      </c>
      <c r="L9" s="29">
        <f>Sup!$A$2*D9</f>
        <v>6775.4474283854179</v>
      </c>
      <c r="M9" s="29">
        <f>IFERROR(VLOOKUP(A9,Modelos[],IF(B9="EST",15,14),0),0)/C9</f>
        <v>0</v>
      </c>
      <c r="N9" s="29">
        <f>IF($G9&lt;0,0,IFERROR((N$2*IFERROR(VLOOKUP(E9,Tabla11[],2,0),0))*($G9/SUM($G$5:$G$43)),0))</f>
        <v>12862.965781642384</v>
      </c>
      <c r="O9" s="29">
        <f>IF($G9&lt;0,0,IFERROR((O$2*IFERROR(VLOOKUP(E9,Tabla11[],2,0),0))*($G9/SUM($G$5:$G$43)),0))</f>
        <v>2501.1322353193532</v>
      </c>
      <c r="P9" s="29">
        <f>IF($G9&lt;0,0,IFERROR((P$2*IFERROR(VLOOKUP(E9,Tabla11[],2,0),0))*($G9/SUM($G$5:$G$43)),0))</f>
        <v>12862.965781642384</v>
      </c>
      <c r="Q9" s="29">
        <f>IF($G9&lt;0,0,IFERROR((Q$2*IFERROR(VLOOKUP(E9,Tabla11[],2,0),0))*($G9/SUM($G$5:$G$43)),0))</f>
        <v>17865.23025228109</v>
      </c>
      <c r="R9" s="29">
        <f t="shared" si="2"/>
        <v>296012</v>
      </c>
      <c r="S9" s="29">
        <f>+R9*IFERROR(VLOOKUP(E9,Tabla11[],4,0),0)</f>
        <v>44401.799999999996</v>
      </c>
      <c r="T9" s="29">
        <f t="shared" si="3"/>
        <v>25833.333333333332</v>
      </c>
      <c r="U9" s="29">
        <f t="shared" si="4"/>
        <v>320915.12518739607</v>
      </c>
      <c r="V9" s="29">
        <f>IF($G9&lt;0,0,IFERROR((V$2*IFERROR(VLOOKUP(E9,Tabla11[],2,0),0))*($G9/SUM($G$5:$G$43)),0))</f>
        <v>32485.360530770336</v>
      </c>
      <c r="W9" s="29">
        <f>G9-G9*IFERROR(VLOOKUP(E9,Tabla11[],3,0),0)-L9-N9-O9-P9-Q9-G9*$R$2-(G9*$R$2)*IFERROR(VLOOKUP(E9,Tabla11[],4,0),0)-V9-T9</f>
        <v>105130.02619508735</v>
      </c>
      <c r="X9" s="29">
        <f t="shared" si="5"/>
        <v>288429.76465662575</v>
      </c>
      <c r="Y9" s="29">
        <f t="shared" si="6"/>
        <v>183299.73846153801</v>
      </c>
    </row>
    <row r="10" spans="1:30" x14ac:dyDescent="0.3">
      <c r="A10" s="30"/>
      <c r="B10" s="30" t="s">
        <v>162</v>
      </c>
      <c r="C10" s="33">
        <v>1</v>
      </c>
      <c r="D10" s="33">
        <v>1</v>
      </c>
      <c r="E10" s="33" t="s">
        <v>213</v>
      </c>
      <c r="F10" s="33" t="s">
        <v>5</v>
      </c>
      <c r="G10" s="29">
        <f>IFERROR(VLOOKUP(CONCATENATE(E10,F10),Ventas!D:H,5,0),0)</f>
        <v>709386.15384615387</v>
      </c>
      <c r="H10" s="30">
        <f>IFERROR(VLOOKUP(A10,Modelos[],18,0),0)*G10/C10</f>
        <v>0</v>
      </c>
      <c r="I10" s="42">
        <f t="shared" si="0"/>
        <v>709386.15384615387</v>
      </c>
      <c r="J10" s="30">
        <f>I10*IFERROR(VLOOKUP(E10,Tabla11[],3,0),0)</f>
        <v>248285.15384615384</v>
      </c>
      <c r="K10" s="30">
        <f t="shared" si="1"/>
        <v>461101</v>
      </c>
      <c r="L10" s="30">
        <f>Sup!$A$2*D10</f>
        <v>6775.4474283854179</v>
      </c>
      <c r="M10" s="30">
        <f>IFERROR(VLOOKUP(A10,Modelos[],IF(B10="EST",15,14),0),0)/C10</f>
        <v>0</v>
      </c>
      <c r="N10" s="30">
        <f>IF($G10&lt;0,0,IFERROR((N$2*IFERROR(VLOOKUP(E10,Tabla11[],2,0),0))*($G10/SUM($G$5:$G$43)),0))</f>
        <v>8014.7107345392569</v>
      </c>
      <c r="O10" s="30">
        <f>IF($G10&lt;0,0,IFERROR((O$2*IFERROR(VLOOKUP(E10,Tabla11[],2,0),0))*($G10/SUM($G$5:$G$43)),0))</f>
        <v>1558.4159761604112</v>
      </c>
      <c r="P10" s="30">
        <f>IF($G10&lt;0,0,IFERROR((P$2*IFERROR(VLOOKUP(E10,Tabla11[],2,0),0))*($G10/SUM($G$5:$G$43)),0))</f>
        <v>8014.7107345392569</v>
      </c>
      <c r="Q10" s="30">
        <f>IF($G10&lt;0,0,IFERROR((Q$2*IFERROR(VLOOKUP(E10,Tabla11[],2,0),0))*($G10/SUM($G$5:$G$43)),0))</f>
        <v>11131.542686860079</v>
      </c>
      <c r="R10" s="30">
        <f t="shared" si="2"/>
        <v>184440.40000000002</v>
      </c>
      <c r="S10" s="30">
        <f>+R10*IFERROR(VLOOKUP(E10,Tabla11[],4,0),0)</f>
        <v>27666.06</v>
      </c>
      <c r="T10" s="30">
        <f t="shared" si="3"/>
        <v>25833.333333333332</v>
      </c>
      <c r="U10" s="30">
        <f t="shared" si="4"/>
        <v>187666.37910618226</v>
      </c>
      <c r="V10" s="30">
        <f>IF($G10&lt;0,0,IFERROR((V$2*IFERROR(VLOOKUP(E10,Tabla11[],2,0),0))*($G10/SUM($G$5:$G$43)),0))</f>
        <v>20241.114854936604</v>
      </c>
      <c r="W10" s="30">
        <f>G10-G10*IFERROR(VLOOKUP(E10,Tabla11[],3,0),0)-L10-N10-O10-P10-Q10-G10*$R$2-(G10*$R$2)*IFERROR(VLOOKUP(E10,Tabla11[],4,0),0)-V10-T10</f>
        <v>53214.093482014796</v>
      </c>
      <c r="X10" s="30">
        <f t="shared" si="5"/>
        <v>167425.26425124565</v>
      </c>
      <c r="Y10" s="30">
        <f t="shared" si="6"/>
        <v>114211.170769231</v>
      </c>
    </row>
    <row r="11" spans="1:30" x14ac:dyDescent="0.3">
      <c r="A11" s="29"/>
      <c r="B11" s="29" t="s">
        <v>162</v>
      </c>
      <c r="C11" s="32">
        <v>1</v>
      </c>
      <c r="D11" s="32">
        <v>1</v>
      </c>
      <c r="E11" s="32" t="s">
        <v>213</v>
      </c>
      <c r="F11" s="32" t="s">
        <v>9</v>
      </c>
      <c r="G11" s="29">
        <f>IFERROR(VLOOKUP(CONCATENATE(E11,F11),Ventas!D:H,5,0),0)</f>
        <v>814123.07692307688</v>
      </c>
      <c r="H11" s="29">
        <f>IFERROR(VLOOKUP(A11,Modelos[],18,0),0)*G11/C11</f>
        <v>0</v>
      </c>
      <c r="I11" s="41">
        <f t="shared" si="0"/>
        <v>814123.07692307688</v>
      </c>
      <c r="J11" s="29">
        <f>I11*IFERROR(VLOOKUP(E11,Tabla11[],3,0),0)</f>
        <v>284943.07692307688</v>
      </c>
      <c r="K11" s="29">
        <f t="shared" si="1"/>
        <v>529180</v>
      </c>
      <c r="L11" s="29">
        <f>Sup!$A$2*D11</f>
        <v>6775.4474283854179</v>
      </c>
      <c r="M11" s="29">
        <f>IFERROR(VLOOKUP(A11,Modelos[],IF(B11="EST",15,14),0),0)/C11</f>
        <v>0</v>
      </c>
      <c r="N11" s="29">
        <f>IF($G11&lt;0,0,IFERROR((N$2*IFERROR(VLOOKUP(E11,Tabla11[],2,0),0))*($G11/SUM($G$5:$G$43)),0))</f>
        <v>9198.0382313278078</v>
      </c>
      <c r="O11" s="29">
        <f>IF($G11&lt;0,0,IFERROR((O$2*IFERROR(VLOOKUP(E11,Tabla11[],2,0),0))*($G11/SUM($G$5:$G$43)),0))</f>
        <v>1788.5074338692962</v>
      </c>
      <c r="P11" s="29">
        <f>IF($G11&lt;0,0,IFERROR((P$2*IFERROR(VLOOKUP(E11,Tabla11[],2,0),0))*($G11/SUM($G$5:$G$43)),0))</f>
        <v>9198.0382313278078</v>
      </c>
      <c r="Q11" s="29">
        <f>IF($G11&lt;0,0,IFERROR((Q$2*IFERROR(VLOOKUP(E11,Tabla11[],2,0),0))*($G11/SUM($G$5:$G$43)),0))</f>
        <v>12775.053099066399</v>
      </c>
      <c r="R11" s="29">
        <f t="shared" si="2"/>
        <v>211672</v>
      </c>
      <c r="S11" s="29">
        <f>+R11*IFERROR(VLOOKUP(E11,Tabla11[],4,0),0)</f>
        <v>31750.799999999999</v>
      </c>
      <c r="T11" s="29">
        <f t="shared" si="3"/>
        <v>25833.333333333332</v>
      </c>
      <c r="U11" s="29">
        <f t="shared" si="4"/>
        <v>220188.78224268998</v>
      </c>
      <c r="V11" s="29">
        <f>IF($G11&lt;0,0,IFERROR((V$2*IFERROR(VLOOKUP(E11,Tabla11[],2,0),0))*($G11/SUM($G$5:$G$43)),0))</f>
        <v>23229.602969708048</v>
      </c>
      <c r="W11" s="29">
        <f>G11-G11*IFERROR(VLOOKUP(E11,Tabla11[],3,0),0)-L11-N11-O11-P11-Q11-G11*$R$2-(G11*$R$2)*IFERROR(VLOOKUP(E11,Tabla11[],4,0),0)-V11-T11</f>
        <v>65885.363888366541</v>
      </c>
      <c r="X11" s="29">
        <f t="shared" si="5"/>
        <v>196959.17927298194</v>
      </c>
      <c r="Y11" s="29">
        <f t="shared" si="6"/>
        <v>131073.81538461501</v>
      </c>
    </row>
    <row r="12" spans="1:30" x14ac:dyDescent="0.3">
      <c r="A12" s="30"/>
      <c r="B12" s="30" t="s">
        <v>162</v>
      </c>
      <c r="C12" s="33">
        <v>1</v>
      </c>
      <c r="D12" s="33">
        <v>1</v>
      </c>
      <c r="E12" s="33" t="s">
        <v>213</v>
      </c>
      <c r="F12" s="33" t="s">
        <v>1</v>
      </c>
      <c r="G12" s="29">
        <f>IFERROR(VLOOKUP(CONCATENATE(E12,F12),Ventas!D:H,5,0),0)</f>
        <v>1234780</v>
      </c>
      <c r="H12" s="30">
        <f>IFERROR(VLOOKUP(A12,Modelos[],18,0),0)*G12/C12</f>
        <v>0</v>
      </c>
      <c r="I12" s="42">
        <f t="shared" si="0"/>
        <v>1234780</v>
      </c>
      <c r="J12" s="30">
        <f>I12*IFERROR(VLOOKUP(E12,Tabla11[],3,0),0)</f>
        <v>432173</v>
      </c>
      <c r="K12" s="30">
        <f t="shared" si="1"/>
        <v>802607</v>
      </c>
      <c r="L12" s="30">
        <f>Sup!$A$2*D12</f>
        <v>6775.4474283854179</v>
      </c>
      <c r="M12" s="30">
        <f>IFERROR(VLOOKUP(A12,Modelos[],IF(B12="EST",15,14),0),0)/C12</f>
        <v>0</v>
      </c>
      <c r="N12" s="30">
        <f>IF($G12&lt;0,0,IFERROR((N$2*IFERROR(VLOOKUP(E12,Tabla11[],2,0),0))*($G12/SUM($G$5:$G$43)),0))</f>
        <v>13950.659266660339</v>
      </c>
      <c r="O12" s="30">
        <f>IF($G12&lt;0,0,IFERROR((O$2*IFERROR(VLOOKUP(E12,Tabla11[],2,0),0))*($G12/SUM($G$5:$G$43)),0))</f>
        <v>2712.628190739511</v>
      </c>
      <c r="P12" s="30">
        <f>IF($G12&lt;0,0,IFERROR((P$2*IFERROR(VLOOKUP(E12,Tabla11[],2,0),0))*($G12/SUM($G$5:$G$43)),0))</f>
        <v>13950.659266660339</v>
      </c>
      <c r="Q12" s="30">
        <f>IF($G12&lt;0,0,IFERROR((Q$2*IFERROR(VLOOKUP(E12,Tabla11[],2,0),0))*($G12/SUM($G$5:$G$43)),0))</f>
        <v>19375.915648139362</v>
      </c>
      <c r="R12" s="30">
        <f t="shared" si="2"/>
        <v>321042.80000000005</v>
      </c>
      <c r="S12" s="30">
        <f>+R12*IFERROR(VLOOKUP(E12,Tabla11[],4,0),0)</f>
        <v>48156.420000000006</v>
      </c>
      <c r="T12" s="30">
        <f t="shared" si="3"/>
        <v>25833.333333333332</v>
      </c>
      <c r="U12" s="30">
        <f t="shared" si="4"/>
        <v>350809.13686608168</v>
      </c>
      <c r="V12" s="30">
        <f>IF($G12&lt;0,0,IFERROR((V$2*IFERROR(VLOOKUP(E12,Tabla11[],2,0),0))*($G12/SUM($G$5:$G$43)),0))</f>
        <v>35232.325391565195</v>
      </c>
      <c r="W12" s="30">
        <f>G12-G12*IFERROR(VLOOKUP(E12,Tabla11[],3,0),0)-L12-N12-O12-P12-Q12-G12*$R$2-(G12*$R$2)*IFERROR(VLOOKUP(E12,Tabla11[],4,0),0)-V12-T12</f>
        <v>116777.23147451658</v>
      </c>
      <c r="X12" s="30">
        <f t="shared" si="5"/>
        <v>315576.81147451646</v>
      </c>
      <c r="Y12" s="30">
        <f t="shared" si="6"/>
        <v>198799.58</v>
      </c>
    </row>
    <row r="13" spans="1:30" x14ac:dyDescent="0.3">
      <c r="A13" s="29"/>
      <c r="B13" s="29" t="s">
        <v>162</v>
      </c>
      <c r="C13" s="32">
        <v>1</v>
      </c>
      <c r="D13" s="32">
        <v>1</v>
      </c>
      <c r="E13" s="32" t="s">
        <v>213</v>
      </c>
      <c r="F13" s="32" t="s">
        <v>7</v>
      </c>
      <c r="G13" s="29">
        <f>IFERROR(VLOOKUP(CONCATENATE(E13,F13),Ventas!D:H,5,0),0)</f>
        <v>898778.4615384615</v>
      </c>
      <c r="H13" s="29">
        <f>IFERROR(VLOOKUP(A13,Modelos[],18,0),0)*G13/C13</f>
        <v>0</v>
      </c>
      <c r="I13" s="41">
        <f t="shared" si="0"/>
        <v>898778.4615384615</v>
      </c>
      <c r="J13" s="29">
        <f>I13*IFERROR(VLOOKUP(E13,Tabla11[],3,0),0)</f>
        <v>314572.4615384615</v>
      </c>
      <c r="K13" s="29">
        <f t="shared" si="1"/>
        <v>584206</v>
      </c>
      <c r="L13" s="29">
        <f>Sup!$A$2*D13</f>
        <v>6775.4474283854179</v>
      </c>
      <c r="M13" s="29">
        <f>IFERROR(VLOOKUP(A13,Modelos[],IF(B13="EST",15,14),0),0)/C13</f>
        <v>0</v>
      </c>
      <c r="N13" s="29">
        <f>IF($G13&lt;0,0,IFERROR((N$2*IFERROR(VLOOKUP(E13,Tabla11[],2,0),0))*($G13/SUM($G$5:$G$43)),0))</f>
        <v>10154.482639122971</v>
      </c>
      <c r="O13" s="29">
        <f>IF($G13&lt;0,0,IFERROR((O$2*IFERROR(VLOOKUP(E13,Tabla11[],2,0),0))*($G13/SUM($G$5:$G$43)),0))</f>
        <v>1974.4827353850224</v>
      </c>
      <c r="P13" s="29">
        <f>IF($G13&lt;0,0,IFERROR((P$2*IFERROR(VLOOKUP(E13,Tabla11[],2,0),0))*($G13/SUM($G$5:$G$43)),0))</f>
        <v>10154.482639122971</v>
      </c>
      <c r="Q13" s="29">
        <f>IF($G13&lt;0,0,IFERROR((Q$2*IFERROR(VLOOKUP(E13,Tabla11[],2,0),0))*($G13/SUM($G$5:$G$43)),0))</f>
        <v>14103.448109893015</v>
      </c>
      <c r="R13" s="29">
        <f t="shared" si="2"/>
        <v>233682.40000000002</v>
      </c>
      <c r="S13" s="29">
        <f>+R13*IFERROR(VLOOKUP(E13,Tabla11[],4,0),0)</f>
        <v>35052.36</v>
      </c>
      <c r="T13" s="29">
        <f t="shared" si="3"/>
        <v>25833.333333333332</v>
      </c>
      <c r="U13" s="29">
        <f t="shared" si="4"/>
        <v>246475.5631147573</v>
      </c>
      <c r="V13" s="29">
        <f>IF($G13&lt;0,0,IFERROR((V$2*IFERROR(VLOOKUP(E13,Tabla11[],2,0),0))*($G13/SUM($G$5:$G$43)),0))</f>
        <v>25645.098893611364</v>
      </c>
      <c r="W13" s="29">
        <f>G13-G13*IFERROR(VLOOKUP(E13,Tabla11[],3,0),0)-L13-N13-O13-P13-Q13-G13*$R$2-(G13*$R$2)*IFERROR(VLOOKUP(E13,Tabla11[],4,0),0)-V13-T13</f>
        <v>76127.131913453559</v>
      </c>
      <c r="X13" s="29">
        <f t="shared" si="5"/>
        <v>220830.46422114593</v>
      </c>
      <c r="Y13" s="29">
        <f t="shared" si="6"/>
        <v>144703.33230769201</v>
      </c>
    </row>
    <row r="14" spans="1:30" x14ac:dyDescent="0.3">
      <c r="A14" s="30"/>
      <c r="B14" s="30" t="s">
        <v>162</v>
      </c>
      <c r="C14" s="33">
        <v>1</v>
      </c>
      <c r="D14" s="33">
        <v>1</v>
      </c>
      <c r="E14" s="33" t="s">
        <v>213</v>
      </c>
      <c r="F14" s="33" t="s">
        <v>8</v>
      </c>
      <c r="G14" s="29">
        <f>IFERROR(VLOOKUP(CONCATENATE(E14,F14),Ventas!D:H,5,0),0)</f>
        <v>667295.38461538462</v>
      </c>
      <c r="H14" s="30">
        <f>IFERROR(VLOOKUP(A14,Modelos[],18,0),0)*G14/C14</f>
        <v>0</v>
      </c>
      <c r="I14" s="42">
        <f t="shared" si="0"/>
        <v>667295.38461538462</v>
      </c>
      <c r="J14" s="30">
        <f>I14*IFERROR(VLOOKUP(E14,Tabla11[],3,0),0)</f>
        <v>233553.3846153846</v>
      </c>
      <c r="K14" s="30">
        <f t="shared" si="1"/>
        <v>433742</v>
      </c>
      <c r="L14" s="30">
        <f>Sup!$A$2*D14</f>
        <v>6775.4474283854179</v>
      </c>
      <c r="M14" s="30">
        <f>IFERROR(VLOOKUP(A14,Modelos[],IF(B14="EST",15,14),0),0)/C14</f>
        <v>0</v>
      </c>
      <c r="N14" s="30">
        <f>IF($G14&lt;0,0,IFERROR((N$2*IFERROR(VLOOKUP(E14,Tabla11[],2,0),0))*($G14/SUM($G$5:$G$43)),0))</f>
        <v>7539.1653095970869</v>
      </c>
      <c r="O14" s="30">
        <f>IF($G14&lt;0,0,IFERROR((O$2*IFERROR(VLOOKUP(E14,Tabla11[],2,0),0))*($G14/SUM($G$5:$G$43)),0))</f>
        <v>1465.9488101994336</v>
      </c>
      <c r="P14" s="30">
        <f>IF($G14&lt;0,0,IFERROR((P$2*IFERROR(VLOOKUP(E14,Tabla11[],2,0),0))*($G14/SUM($G$5:$G$43)),0))</f>
        <v>7539.1653095970869</v>
      </c>
      <c r="Q14" s="30">
        <f>IF($G14&lt;0,0,IFERROR((Q$2*IFERROR(VLOOKUP(E14,Tabla11[],2,0),0))*($G14/SUM($G$5:$G$43)),0))</f>
        <v>10471.062929995953</v>
      </c>
      <c r="R14" s="30">
        <f t="shared" si="2"/>
        <v>173496.80000000002</v>
      </c>
      <c r="S14" s="30">
        <f>+R14*IFERROR(VLOOKUP(E14,Tabla11[],4,0),0)</f>
        <v>26024.52</v>
      </c>
      <c r="T14" s="30">
        <f t="shared" si="3"/>
        <v>25833.333333333332</v>
      </c>
      <c r="U14" s="30">
        <f t="shared" si="4"/>
        <v>174596.55687889166</v>
      </c>
      <c r="V14" s="30">
        <f>IF($G14&lt;0,0,IFERROR((V$2*IFERROR(VLOOKUP(E14,Tabla11[],2,0),0))*($G14/SUM($G$5:$G$43)),0))</f>
        <v>19040.127085844342</v>
      </c>
      <c r="W14" s="30">
        <f>G14-G14*IFERROR(VLOOKUP(E14,Tabla11[],3,0),0)-L14-N14-O14-P14-Q14-G14*$R$2-(G14*$R$2)*IFERROR(VLOOKUP(E14,Tabla11[],4,0),0)-V14-T14</f>
        <v>48121.87286997035</v>
      </c>
      <c r="X14" s="30">
        <f t="shared" si="5"/>
        <v>155556.42979304731</v>
      </c>
      <c r="Y14" s="30">
        <f t="shared" si="6"/>
        <v>107434.55692307701</v>
      </c>
    </row>
    <row r="15" spans="1:30" x14ac:dyDescent="0.3">
      <c r="A15" s="29"/>
      <c r="B15" s="29" t="s">
        <v>162</v>
      </c>
      <c r="C15" s="32">
        <v>1</v>
      </c>
      <c r="D15" s="32">
        <v>1</v>
      </c>
      <c r="E15" s="32" t="s">
        <v>213</v>
      </c>
      <c r="F15" s="32" t="s">
        <v>20</v>
      </c>
      <c r="G15" s="29">
        <f>IFERROR(VLOOKUP(CONCATENATE(E15,F15),Ventas!D:H,5,0),0)</f>
        <v>365890.76923076919</v>
      </c>
      <c r="H15" s="29">
        <f>IFERROR(VLOOKUP(A15,Modelos[],18,0),0)*G15/C15</f>
        <v>0</v>
      </c>
      <c r="I15" s="41">
        <f t="shared" si="0"/>
        <v>365890.76923076919</v>
      </c>
      <c r="J15" s="29">
        <f>I15*IFERROR(VLOOKUP(E15,Tabla11[],3,0),0)</f>
        <v>128061.76923076921</v>
      </c>
      <c r="K15" s="29">
        <f t="shared" si="1"/>
        <v>237829</v>
      </c>
      <c r="L15" s="29">
        <f>Sup!$A$2*D15</f>
        <v>6775.4474283854179</v>
      </c>
      <c r="M15" s="29">
        <f>IFERROR(VLOOKUP(A15,Modelos[],IF(B15="EST",15,14),0),0)/C15</f>
        <v>0</v>
      </c>
      <c r="N15" s="29">
        <f>IF($G15&lt;0,0,IFERROR((N$2*IFERROR(VLOOKUP(E15,Tabla11[],2,0),0))*($G15/SUM($G$5:$G$43)),0))</f>
        <v>4133.867936275863</v>
      </c>
      <c r="O15" s="29">
        <f>IF($G15&lt;0,0,IFERROR((O$2*IFERROR(VLOOKUP(E15,Tabla11[],2,0),0))*($G15/SUM($G$5:$G$43)),0))</f>
        <v>803.80765427586232</v>
      </c>
      <c r="P15" s="29">
        <f>IF($G15&lt;0,0,IFERROR((P$2*IFERROR(VLOOKUP(E15,Tabla11[],2,0),0))*($G15/SUM($G$5:$G$43)),0))</f>
        <v>4133.867936275863</v>
      </c>
      <c r="Q15" s="29">
        <f>IF($G15&lt;0,0,IFERROR((Q$2*IFERROR(VLOOKUP(E15,Tabla11[],2,0),0))*($G15/SUM($G$5:$G$43)),0))</f>
        <v>5741.4832448275874</v>
      </c>
      <c r="R15" s="29">
        <f t="shared" si="2"/>
        <v>95131.6</v>
      </c>
      <c r="S15" s="29">
        <f>+R15*IFERROR(VLOOKUP(E15,Tabla11[],4,0),0)</f>
        <v>14269.74</v>
      </c>
      <c r="T15" s="29">
        <f t="shared" si="3"/>
        <v>25833.333333333332</v>
      </c>
      <c r="U15" s="29">
        <f t="shared" si="4"/>
        <v>81005.852466626064</v>
      </c>
      <c r="V15" s="29">
        <f>IF($G15&lt;0,0,IFERROR((V$2*IFERROR(VLOOKUP(E15,Tabla11[],2,0),0))*($G15/SUM($G$5:$G$43)),0))</f>
        <v>10440.06433478721</v>
      </c>
      <c r="W15" s="29">
        <f>G15-G15*IFERROR(VLOOKUP(E15,Tabla11[],3,0),0)-L15-N15-O15-P15-Q15-G15*$R$2-(G15*$R$2)*IFERROR(VLOOKUP(E15,Tabla11[],4,0),0)-V15-T15</f>
        <v>11657.374285685026</v>
      </c>
      <c r="X15" s="29">
        <f t="shared" si="5"/>
        <v>70565.788131838854</v>
      </c>
      <c r="Y15" s="29">
        <f t="shared" si="6"/>
        <v>58908.413846153999</v>
      </c>
    </row>
    <row r="16" spans="1:30" x14ac:dyDescent="0.3">
      <c r="A16" s="30"/>
      <c r="B16" s="30" t="s">
        <v>162</v>
      </c>
      <c r="C16" s="33">
        <v>1</v>
      </c>
      <c r="D16" s="33">
        <v>1</v>
      </c>
      <c r="E16" s="33" t="s">
        <v>213</v>
      </c>
      <c r="F16" s="33" t="s">
        <v>22</v>
      </c>
      <c r="G16" s="29">
        <f>IFERROR(VLOOKUP(CONCATENATE(E16,F16),Ventas!D:H,5,0),0)</f>
        <v>379946.15384615381</v>
      </c>
      <c r="H16" s="30">
        <f>IFERROR(VLOOKUP(A16,Modelos[],18,0),0)*G16/C16</f>
        <v>0</v>
      </c>
      <c r="I16" s="42">
        <f t="shared" si="0"/>
        <v>379946.15384615381</v>
      </c>
      <c r="J16" s="30">
        <f>I16*IFERROR(VLOOKUP(E16,Tabla11[],3,0),0)</f>
        <v>132981.15384615381</v>
      </c>
      <c r="K16" s="30">
        <f t="shared" si="1"/>
        <v>246965</v>
      </c>
      <c r="L16" s="30">
        <f>Sup!$A$2*D16</f>
        <v>6775.4474283854179</v>
      </c>
      <c r="M16" s="30">
        <f>IFERROR(VLOOKUP(A16,Modelos[],IF(B16="EST",15,14),0),0)/C16</f>
        <v>0</v>
      </c>
      <c r="N16" s="30">
        <f>IF($G16&lt;0,0,IFERROR((N$2*IFERROR(VLOOKUP(E16,Tabla11[],2,0),0))*($G16/SUM($G$5:$G$43)),0))</f>
        <v>4292.6669787215542</v>
      </c>
      <c r="O16" s="30">
        <f>IF($G16&lt;0,0,IFERROR((O$2*IFERROR(VLOOKUP(E16,Tabla11[],2,0),0))*($G16/SUM($G$5:$G$43)),0))</f>
        <v>834.68524586252443</v>
      </c>
      <c r="P16" s="30">
        <f>IF($G16&lt;0,0,IFERROR((P$2*IFERROR(VLOOKUP(E16,Tabla11[],2,0),0))*($G16/SUM($G$5:$G$43)),0))</f>
        <v>4292.6669787215542</v>
      </c>
      <c r="Q16" s="30">
        <f>IF($G16&lt;0,0,IFERROR((Q$2*IFERROR(VLOOKUP(E16,Tabla11[],2,0),0))*($G16/SUM($G$5:$G$43)),0))</f>
        <v>5962.0374704466021</v>
      </c>
      <c r="R16" s="30">
        <f t="shared" si="2"/>
        <v>98786</v>
      </c>
      <c r="S16" s="30">
        <f>+R16*IFERROR(VLOOKUP(E16,Tabla11[],4,0),0)</f>
        <v>14817.9</v>
      </c>
      <c r="T16" s="30">
        <f t="shared" si="3"/>
        <v>25833.333333333332</v>
      </c>
      <c r="U16" s="30">
        <f t="shared" si="4"/>
        <v>85370.262564528995</v>
      </c>
      <c r="V16" s="30">
        <f>IF($G16&lt;0,0,IFERROR((V$2*IFERROR(VLOOKUP(E16,Tabla11[],2,0),0))*($G16/SUM($G$5:$G$43)),0))</f>
        <v>10841.11058130305</v>
      </c>
      <c r="W16" s="30">
        <f>G16-G16*IFERROR(VLOOKUP(E16,Tabla11[],3,0),0)-L16-N16-O16-P16-Q16-G16*$R$2-(G16*$R$2)*IFERROR(VLOOKUP(E16,Tabla11[],4,0),0)-V16-T16</f>
        <v>13357.821213995183</v>
      </c>
      <c r="X16" s="30">
        <f t="shared" si="5"/>
        <v>74529.151983225951</v>
      </c>
      <c r="Y16" s="30">
        <f t="shared" si="6"/>
        <v>61171.330769230997</v>
      </c>
    </row>
    <row r="17" spans="1:25" x14ac:dyDescent="0.3">
      <c r="A17" s="29"/>
      <c r="B17" s="29" t="s">
        <v>162</v>
      </c>
      <c r="C17" s="32">
        <v>1</v>
      </c>
      <c r="D17" s="32">
        <v>1</v>
      </c>
      <c r="E17" s="32" t="s">
        <v>213</v>
      </c>
      <c r="F17" s="32" t="s">
        <v>17</v>
      </c>
      <c r="G17" s="29">
        <f>IFERROR(VLOOKUP(CONCATENATE(E17,F17),Ventas!D:H,5,0),0)</f>
        <v>351910.76923076919</v>
      </c>
      <c r="H17" s="29">
        <f>IFERROR(VLOOKUP(A17,Modelos[],18,0),0)*G17/C17</f>
        <v>0</v>
      </c>
      <c r="I17" s="41">
        <f t="shared" si="0"/>
        <v>351910.76923076919</v>
      </c>
      <c r="J17" s="29">
        <f>I17*IFERROR(VLOOKUP(E17,Tabla11[],3,0),0)</f>
        <v>123168.76923076921</v>
      </c>
      <c r="K17" s="29">
        <f t="shared" si="1"/>
        <v>228742</v>
      </c>
      <c r="L17" s="29">
        <f>Sup!$A$2*D17</f>
        <v>6775.4474283854179</v>
      </c>
      <c r="M17" s="29">
        <f>IFERROR(VLOOKUP(A17,Modelos[],IF(B17="EST",15,14),0),0)/C17</f>
        <v>0</v>
      </c>
      <c r="N17" s="29">
        <f>IF($G17&lt;0,0,IFERROR((N$2*IFERROR(VLOOKUP(E17,Tabla11[],2,0),0))*($G17/SUM($G$5:$G$43)),0))</f>
        <v>3975.9205962250753</v>
      </c>
      <c r="O17" s="29">
        <f>IF($G17&lt;0,0,IFERROR((O$2*IFERROR(VLOOKUP(E17,Tabla11[],2,0),0))*($G17/SUM($G$5:$G$43)),0))</f>
        <v>773.09567148820918</v>
      </c>
      <c r="P17" s="29">
        <f>IF($G17&lt;0,0,IFERROR((P$2*IFERROR(VLOOKUP(E17,Tabla11[],2,0),0))*($G17/SUM($G$5:$G$43)),0))</f>
        <v>3975.9205962250753</v>
      </c>
      <c r="Q17" s="29">
        <f>IF($G17&lt;0,0,IFERROR((Q$2*IFERROR(VLOOKUP(E17,Tabla11[],2,0),0))*($G17/SUM($G$5:$G$43)),0))</f>
        <v>5522.1119392014934</v>
      </c>
      <c r="R17" s="29">
        <f t="shared" si="2"/>
        <v>91496.8</v>
      </c>
      <c r="S17" s="29">
        <f>+R17*IFERROR(VLOOKUP(E17,Tabla11[],4,0),0)</f>
        <v>13724.52</v>
      </c>
      <c r="T17" s="29">
        <f t="shared" si="3"/>
        <v>25833.333333333332</v>
      </c>
      <c r="U17" s="29">
        <f t="shared" si="4"/>
        <v>76664.850435141387</v>
      </c>
      <c r="V17" s="29">
        <f>IF($G17&lt;0,0,IFERROR((V$2*IFERROR(VLOOKUP(E17,Tabla11[],2,0),0))*($G17/SUM($G$5:$G$43)),0))</f>
        <v>10041.169058726631</v>
      </c>
      <c r="W17" s="29">
        <f>G17-G17*IFERROR(VLOOKUP(E17,Tabla11[],3,0),0)-L17-N17-O17-P17-Q17-G17*$R$2-(G17*$R$2)*IFERROR(VLOOKUP(E17,Tabla11[],4,0),0)-V17-T17</f>
        <v>9966.0475302609666</v>
      </c>
      <c r="X17" s="29">
        <f t="shared" si="5"/>
        <v>66623.681376414752</v>
      </c>
      <c r="Y17" s="29">
        <f t="shared" si="6"/>
        <v>56657.633846154</v>
      </c>
    </row>
    <row r="18" spans="1:25" x14ac:dyDescent="0.3">
      <c r="A18" s="30"/>
      <c r="B18" s="30" t="s">
        <v>162</v>
      </c>
      <c r="C18" s="33">
        <v>1</v>
      </c>
      <c r="D18" s="33">
        <v>1</v>
      </c>
      <c r="E18" s="33" t="s">
        <v>213</v>
      </c>
      <c r="F18" s="33" t="s">
        <v>11</v>
      </c>
      <c r="G18" s="29">
        <f>IFERROR(VLOOKUP(CONCATENATE(E18,F18),Ventas!D:H,5,0),0)</f>
        <v>586800</v>
      </c>
      <c r="H18" s="30">
        <f>IFERROR(VLOOKUP(A18,Modelos[],18,0),0)*G18/C18</f>
        <v>0</v>
      </c>
      <c r="I18" s="42">
        <f t="shared" si="0"/>
        <v>586800</v>
      </c>
      <c r="J18" s="30">
        <f>I18*IFERROR(VLOOKUP(E18,Tabla11[],3,0),0)</f>
        <v>205380</v>
      </c>
      <c r="K18" s="30">
        <f t="shared" si="1"/>
        <v>381420</v>
      </c>
      <c r="L18" s="30">
        <f>Sup!$A$2*D18</f>
        <v>6775.4474283854179</v>
      </c>
      <c r="M18" s="30">
        <f>IFERROR(VLOOKUP(A18,Modelos[],IF(B18="EST",15,14),0),0)/C18</f>
        <v>0</v>
      </c>
      <c r="N18" s="30">
        <f>IF($G18&lt;0,0,IFERROR((N$2*IFERROR(VLOOKUP(E18,Tabla11[],2,0),0))*($G18/SUM($G$5:$G$43)),0))</f>
        <v>6629.720968655377</v>
      </c>
      <c r="O18" s="30">
        <f>IF($G18&lt;0,0,IFERROR((O$2*IFERROR(VLOOKUP(E18,Tabla11[],2,0),0))*($G18/SUM($G$5:$G$43)),0))</f>
        <v>1289.1124105718791</v>
      </c>
      <c r="P18" s="30">
        <f>IF($G18&lt;0,0,IFERROR((P$2*IFERROR(VLOOKUP(E18,Tabla11[],2,0),0))*($G18/SUM($G$5:$G$43)),0))</f>
        <v>6629.720968655377</v>
      </c>
      <c r="Q18" s="30">
        <f>IF($G18&lt;0,0,IFERROR((Q$2*IFERROR(VLOOKUP(E18,Tabla11[],2,0),0))*($G18/SUM($G$5:$G$43)),0))</f>
        <v>9207.945789799136</v>
      </c>
      <c r="R18" s="30">
        <f t="shared" si="2"/>
        <v>152568</v>
      </c>
      <c r="S18" s="30">
        <f>+R18*IFERROR(VLOOKUP(E18,Tabla11[],4,0),0)</f>
        <v>22885.200000000001</v>
      </c>
      <c r="T18" s="30">
        <f t="shared" si="3"/>
        <v>25833.333333333332</v>
      </c>
      <c r="U18" s="30">
        <f t="shared" si="4"/>
        <v>149601.51910059946</v>
      </c>
      <c r="V18" s="30">
        <f>IF($G18&lt;0,0,IFERROR((V$2*IFERROR(VLOOKUP(E18,Tabla11[],2,0),0))*($G18/SUM($G$5:$G$43)),0))</f>
        <v>16743.329613186525</v>
      </c>
      <c r="W18" s="30">
        <f>G18-G18*IFERROR(VLOOKUP(E18,Tabla11[],3,0),0)-L18-N18-O18-P18-Q18-G18*$R$2-(G18*$R$2)*IFERROR(VLOOKUP(E18,Tabla11[],4,0),0)-V18-T18</f>
        <v>38383.389487412933</v>
      </c>
      <c r="X18" s="30">
        <f t="shared" si="5"/>
        <v>132858.18948741292</v>
      </c>
      <c r="Y18" s="30">
        <f t="shared" si="6"/>
        <v>94474.8</v>
      </c>
    </row>
    <row r="19" spans="1:25" x14ac:dyDescent="0.3">
      <c r="A19" s="29"/>
      <c r="B19" s="29" t="s">
        <v>162</v>
      </c>
      <c r="C19" s="32">
        <v>1</v>
      </c>
      <c r="D19" s="32">
        <v>1</v>
      </c>
      <c r="E19" s="32" t="s">
        <v>213</v>
      </c>
      <c r="F19" s="32" t="s">
        <v>21</v>
      </c>
      <c r="G19" s="29">
        <f>IFERROR(VLOOKUP(CONCATENATE(E19,F19),Ventas!D:H,5,0),0)</f>
        <v>843238.4615384615</v>
      </c>
      <c r="H19" s="29">
        <f>IFERROR(VLOOKUP(A19,Modelos[],18,0),0)*G19/C19</f>
        <v>0</v>
      </c>
      <c r="I19" s="41">
        <f t="shared" si="0"/>
        <v>843238.4615384615</v>
      </c>
      <c r="J19" s="29">
        <f>I19*IFERROR(VLOOKUP(E19,Tabla11[],3,0),0)</f>
        <v>295133.4615384615</v>
      </c>
      <c r="K19" s="29">
        <f t="shared" si="1"/>
        <v>548105</v>
      </c>
      <c r="L19" s="29">
        <f>Sup!$A$2*D19</f>
        <v>6775.4474283854179</v>
      </c>
      <c r="M19" s="29">
        <f>IFERROR(VLOOKUP(A19,Modelos[],IF(B19="EST",15,14),0),0)/C19</f>
        <v>0</v>
      </c>
      <c r="N19" s="29">
        <f>IF($G19&lt;0,0,IFERROR((N$2*IFERROR(VLOOKUP(E19,Tabla11[],2,0),0))*($G19/SUM($G$5:$G$43)),0))</f>
        <v>9526.9865542573934</v>
      </c>
      <c r="O19" s="29">
        <f>IF($G19&lt;0,0,IFERROR((O$2*IFERROR(VLOOKUP(E19,Tabla11[],2,0),0))*($G19/SUM($G$5:$G$43)),0))</f>
        <v>1852.4696077722713</v>
      </c>
      <c r="P19" s="29">
        <f>IF($G19&lt;0,0,IFERROR((P$2*IFERROR(VLOOKUP(E19,Tabla11[],2,0),0))*($G19/SUM($G$5:$G$43)),0))</f>
        <v>9526.9865542573934</v>
      </c>
      <c r="Q19" s="29">
        <f>IF($G19&lt;0,0,IFERROR((Q$2*IFERROR(VLOOKUP(E19,Tabla11[],2,0),0))*($G19/SUM($G$5:$G$43)),0))</f>
        <v>13231.925769801936</v>
      </c>
      <c r="R19" s="29">
        <f t="shared" si="2"/>
        <v>219242</v>
      </c>
      <c r="S19" s="29">
        <f>+R19*IFERROR(VLOOKUP(E19,Tabla11[],4,0),0)</f>
        <v>32886.299999999996</v>
      </c>
      <c r="T19" s="29">
        <f t="shared" si="3"/>
        <v>25833.333333333332</v>
      </c>
      <c r="U19" s="29">
        <f t="shared" si="4"/>
        <v>229229.55075219227</v>
      </c>
      <c r="V19" s="29">
        <f>IF($G19&lt;0,0,IFERROR((V$2*IFERROR(VLOOKUP(E19,Tabla11[],2,0),0))*($G19/SUM($G$5:$G$43)),0))</f>
        <v>24060.36043635782</v>
      </c>
      <c r="W19" s="29">
        <f>G19-G19*IFERROR(VLOOKUP(E19,Tabla11[],3,0),0)-L19-N19-O19-P19-Q19-G19*$R$2-(G19*$R$2)*IFERROR(VLOOKUP(E19,Tabla11[],4,0),0)-V19-T19</f>
        <v>69407.79800814217</v>
      </c>
      <c r="X19" s="29">
        <f t="shared" si="5"/>
        <v>205169.19031583445</v>
      </c>
      <c r="Y19" s="29">
        <f t="shared" si="6"/>
        <v>135761.392307692</v>
      </c>
    </row>
    <row r="20" spans="1:25" x14ac:dyDescent="0.3">
      <c r="A20" s="30"/>
      <c r="B20" s="30" t="s">
        <v>162</v>
      </c>
      <c r="C20" s="33">
        <v>1</v>
      </c>
      <c r="D20" s="33">
        <v>1</v>
      </c>
      <c r="E20" s="33" t="s">
        <v>213</v>
      </c>
      <c r="F20" s="33" t="s">
        <v>12</v>
      </c>
      <c r="G20" s="29">
        <f>IFERROR(VLOOKUP(CONCATENATE(E20,F20),Ventas!D:H,5,0),0)</f>
        <v>244790.76923076922</v>
      </c>
      <c r="H20" s="30">
        <f>IFERROR(VLOOKUP(A20,Modelos[],18,0),0)*G20/C20</f>
        <v>0</v>
      </c>
      <c r="I20" s="42">
        <f t="shared" si="0"/>
        <v>244790.76923076922</v>
      </c>
      <c r="J20" s="30">
        <f>I20*IFERROR(VLOOKUP(E20,Tabla11[],3,0),0)</f>
        <v>85676.76923076922</v>
      </c>
      <c r="K20" s="30">
        <f t="shared" si="1"/>
        <v>159114</v>
      </c>
      <c r="L20" s="30">
        <f>Sup!$A$2*D20</f>
        <v>6775.4474283854179</v>
      </c>
      <c r="M20" s="30">
        <f>IFERROR(VLOOKUP(A20,Modelos[],IF(B20="EST",15,14),0),0)/C20</f>
        <v>0</v>
      </c>
      <c r="N20" s="30">
        <f>IF($G20&lt;0,0,IFERROR((N$2*IFERROR(VLOOKUP(E20,Tabla11[],2,0),0))*($G20/SUM($G$5:$G$43)),0))</f>
        <v>2765.6688747486542</v>
      </c>
      <c r="O20" s="30">
        <f>IF($G20&lt;0,0,IFERROR((O$2*IFERROR(VLOOKUP(E20,Tabla11[],2,0),0))*($G20/SUM($G$5:$G$43)),0))</f>
        <v>537.76894786779394</v>
      </c>
      <c r="P20" s="30">
        <f>IF($G20&lt;0,0,IFERROR((P$2*IFERROR(VLOOKUP(E20,Tabla11[],2,0),0))*($G20/SUM($G$5:$G$43)),0))</f>
        <v>2765.6688747486542</v>
      </c>
      <c r="Q20" s="30">
        <f>IF($G20&lt;0,0,IFERROR((Q$2*IFERROR(VLOOKUP(E20,Tabla11[],2,0),0))*($G20/SUM($G$5:$G$43)),0))</f>
        <v>3841.2067704842416</v>
      </c>
      <c r="R20" s="30">
        <f t="shared" si="2"/>
        <v>63645.600000000006</v>
      </c>
      <c r="S20" s="30">
        <f>+R20*IFERROR(VLOOKUP(E20,Tabla11[],4,0),0)</f>
        <v>9546.84</v>
      </c>
      <c r="T20" s="30">
        <f t="shared" si="3"/>
        <v>25833.333333333332</v>
      </c>
      <c r="U20" s="30">
        <f t="shared" si="4"/>
        <v>43402.465770431911</v>
      </c>
      <c r="V20" s="30">
        <f>IF($G20&lt;0,0,IFERROR((V$2*IFERROR(VLOOKUP(E20,Tabla11[],2,0),0))*($G20/SUM($G$5:$G$43)),0))</f>
        <v>6984.6839391551575</v>
      </c>
      <c r="W20" s="30">
        <f>G20-G20*IFERROR(VLOOKUP(E20,Tabla11[],3,0),0)-L20-N20-O20-P20-Q20-G20*$R$2-(G20*$R$2)*IFERROR(VLOOKUP(E20,Tabla11[],4,0),0)-V20-T20</f>
        <v>-2993.5320148771061</v>
      </c>
      <c r="X20" s="30">
        <f t="shared" si="5"/>
        <v>36417.781831276756</v>
      </c>
      <c r="Y20" s="30">
        <f t="shared" si="6"/>
        <v>39411.313846154</v>
      </c>
    </row>
    <row r="21" spans="1:25" x14ac:dyDescent="0.3">
      <c r="A21" s="29"/>
      <c r="B21" s="29" t="s">
        <v>162</v>
      </c>
      <c r="C21" s="32">
        <v>1</v>
      </c>
      <c r="D21" s="32">
        <v>1</v>
      </c>
      <c r="E21" s="32" t="s">
        <v>213</v>
      </c>
      <c r="F21" s="32" t="s">
        <v>6</v>
      </c>
      <c r="G21" s="29">
        <f>IFERROR(VLOOKUP(CONCATENATE(E21,F21),Ventas!D:H,5,0),0)</f>
        <v>659349.23076923075</v>
      </c>
      <c r="H21" s="29">
        <f>IFERROR(VLOOKUP(A21,Modelos[],18,0),0)*G21/C21</f>
        <v>0</v>
      </c>
      <c r="I21" s="41">
        <f t="shared" si="0"/>
        <v>659349.23076923075</v>
      </c>
      <c r="J21" s="29">
        <f>I21*IFERROR(VLOOKUP(E21,Tabla11[],3,0),0)</f>
        <v>230772.23076923075</v>
      </c>
      <c r="K21" s="29">
        <f t="shared" si="1"/>
        <v>428577</v>
      </c>
      <c r="L21" s="29">
        <f>Sup!$A$2*D21</f>
        <v>6775.4474283854179</v>
      </c>
      <c r="M21" s="29">
        <f>IFERROR(VLOOKUP(A21,Modelos[],IF(B21="EST",15,14),0),0)/C21</f>
        <v>0</v>
      </c>
      <c r="N21" s="29">
        <f>IF($G21&lt;0,0,IFERROR((N$2*IFERROR(VLOOKUP(E21,Tabla11[],2,0),0))*($G21/SUM($G$5:$G$43)),0))</f>
        <v>7449.3889245016398</v>
      </c>
      <c r="O21" s="29">
        <f>IF($G21&lt;0,0,IFERROR((O$2*IFERROR(VLOOKUP(E21,Tabla11[],2,0),0))*($G21/SUM($G$5:$G$43)),0))</f>
        <v>1448.492290875319</v>
      </c>
      <c r="P21" s="29">
        <f>IF($G21&lt;0,0,IFERROR((P$2*IFERROR(VLOOKUP(E21,Tabla11[],2,0),0))*($G21/SUM($G$5:$G$43)),0))</f>
        <v>7449.3889245016398</v>
      </c>
      <c r="Q21" s="29">
        <f>IF($G21&lt;0,0,IFERROR((Q$2*IFERROR(VLOOKUP(E21,Tabla11[],2,0),0))*($G21/SUM($G$5:$G$43)),0))</f>
        <v>10346.373506252277</v>
      </c>
      <c r="R21" s="29">
        <f t="shared" si="2"/>
        <v>171430.80000000002</v>
      </c>
      <c r="S21" s="29">
        <f>+R21*IFERROR(VLOOKUP(E21,Tabla11[],4,0),0)</f>
        <v>25714.620000000003</v>
      </c>
      <c r="T21" s="29">
        <f t="shared" si="3"/>
        <v>25833.333333333332</v>
      </c>
      <c r="U21" s="29">
        <f t="shared" si="4"/>
        <v>172129.15559215035</v>
      </c>
      <c r="V21" s="29">
        <f>IF($G21&lt;0,0,IFERROR((V$2*IFERROR(VLOOKUP(E21,Tabla11[],2,0),0))*($G21/SUM($G$5:$G$43)),0))</f>
        <v>18813.397240917206</v>
      </c>
      <c r="W21" s="29">
        <f>G21-G21*IFERROR(VLOOKUP(E21,Tabla11[],3,0),0)-L21-N21-O21-P21-Q21-G21*$R$2-(G21*$R$2)*IFERROR(VLOOKUP(E21,Tabla11[],4,0),0)-V21-T21</f>
        <v>47160.532197386943</v>
      </c>
      <c r="X21" s="29">
        <f t="shared" si="5"/>
        <v>153315.75835123315</v>
      </c>
      <c r="Y21" s="29">
        <f t="shared" si="6"/>
        <v>106155.226153846</v>
      </c>
    </row>
    <row r="22" spans="1:25" x14ac:dyDescent="0.3">
      <c r="A22" s="30"/>
      <c r="B22" s="30" t="s">
        <v>162</v>
      </c>
      <c r="C22" s="33">
        <v>1</v>
      </c>
      <c r="D22" s="33">
        <v>1</v>
      </c>
      <c r="E22" s="33" t="s">
        <v>213</v>
      </c>
      <c r="F22" s="33" t="s">
        <v>13</v>
      </c>
      <c r="G22" s="29">
        <f>IFERROR(VLOOKUP(CONCATENATE(E22,F22),Ventas!D:H,5,0),0)</f>
        <v>452898.4615384615</v>
      </c>
      <c r="H22" s="30">
        <f>IFERROR(VLOOKUP(A22,Modelos[],18,0),0)*G22/C22</f>
        <v>0</v>
      </c>
      <c r="I22" s="42">
        <f t="shared" si="0"/>
        <v>452898.4615384615</v>
      </c>
      <c r="J22" s="30">
        <f>I22*IFERROR(VLOOKUP(E22,Tabla11[],3,0),0)</f>
        <v>158514.4615384615</v>
      </c>
      <c r="K22" s="30">
        <f t="shared" si="1"/>
        <v>294384</v>
      </c>
      <c r="L22" s="30">
        <f>Sup!$A$2*D22</f>
        <v>6775.4474283854179</v>
      </c>
      <c r="M22" s="30">
        <f>IFERROR(VLOOKUP(A22,Modelos[],IF(B22="EST",15,14),0),0)/C22</f>
        <v>0</v>
      </c>
      <c r="N22" s="30">
        <f>IF($G22&lt;0,0,IFERROR((N$2*IFERROR(VLOOKUP(E22,Tabla11[],2,0),0))*($G22/SUM($G$5:$G$43)),0))</f>
        <v>5116.8889351283215</v>
      </c>
      <c r="O22" s="30">
        <f>IF($G22&lt;0,0,IFERROR((O$2*IFERROR(VLOOKUP(E22,Tabla11[],2,0),0))*($G22/SUM($G$5:$G$43)),0))</f>
        <v>994.95062627495156</v>
      </c>
      <c r="P22" s="30">
        <f>IF($G22&lt;0,0,IFERROR((P$2*IFERROR(VLOOKUP(E22,Tabla11[],2,0),0))*($G22/SUM($G$5:$G$43)),0))</f>
        <v>5116.8889351283215</v>
      </c>
      <c r="Q22" s="30">
        <f>IF($G22&lt;0,0,IFERROR((Q$2*IFERROR(VLOOKUP(E22,Tabla11[],2,0),0))*($G22/SUM($G$5:$G$43)),0))</f>
        <v>7106.7901876782244</v>
      </c>
      <c r="R22" s="30">
        <f t="shared" si="2"/>
        <v>117753.60000000001</v>
      </c>
      <c r="S22" s="30">
        <f>+R22*IFERROR(VLOOKUP(E22,Tabla11[],4,0),0)</f>
        <v>17663.04</v>
      </c>
      <c r="T22" s="30">
        <f t="shared" si="3"/>
        <v>25833.333333333332</v>
      </c>
      <c r="U22" s="30">
        <f t="shared" si="4"/>
        <v>108023.06055407142</v>
      </c>
      <c r="V22" s="30">
        <f>IF($G22&lt;0,0,IFERROR((V$2*IFERROR(VLOOKUP(E22,Tabla11[],2,0),0))*($G22/SUM($G$5:$G$43)),0))</f>
        <v>12922.679316365951</v>
      </c>
      <c r="W22" s="30">
        <f>G22-G22*IFERROR(VLOOKUP(E22,Tabla11[],3,0),0)-L22-N22-O22-P22-Q22-G22*$R$2-(G22*$R$2)*IFERROR(VLOOKUP(E22,Tabla11[],4,0),0)-V22-T22</f>
        <v>22183.728930013054</v>
      </c>
      <c r="X22" s="30">
        <f t="shared" si="5"/>
        <v>95100.381237705471</v>
      </c>
      <c r="Y22" s="30">
        <f t="shared" si="6"/>
        <v>72916.652307691998</v>
      </c>
    </row>
    <row r="23" spans="1:25" x14ac:dyDescent="0.3">
      <c r="A23" s="29"/>
      <c r="B23" s="29" t="s">
        <v>162</v>
      </c>
      <c r="C23" s="32">
        <v>1</v>
      </c>
      <c r="D23" s="32">
        <v>1</v>
      </c>
      <c r="E23" s="32" t="s">
        <v>213</v>
      </c>
      <c r="F23" s="32" t="s">
        <v>28</v>
      </c>
      <c r="G23" s="29">
        <f>IFERROR(VLOOKUP(CONCATENATE(E23,F23),Ventas!D:H,5,0),0)</f>
        <v>339444.61538461538</v>
      </c>
      <c r="H23" s="29">
        <f>IFERROR(VLOOKUP(A23,Modelos[],18,0),0)*G23/C23</f>
        <v>0</v>
      </c>
      <c r="I23" s="41">
        <f t="shared" si="0"/>
        <v>339444.61538461538</v>
      </c>
      <c r="J23" s="29">
        <f>I23*IFERROR(VLOOKUP(E23,Tabla11[],3,0),0)</f>
        <v>118805.61538461538</v>
      </c>
      <c r="K23" s="29">
        <f t="shared" si="1"/>
        <v>220639</v>
      </c>
      <c r="L23" s="29">
        <f>Sup!$A$2*D23</f>
        <v>6775.4474283854179</v>
      </c>
      <c r="M23" s="29">
        <f>IFERROR(VLOOKUP(A23,Modelos[],IF(B23="EST",15,14),0),0)/C23</f>
        <v>0</v>
      </c>
      <c r="N23" s="29">
        <f>IF($G23&lt;0,0,IFERROR((N$2*IFERROR(VLOOKUP(E23,Tabla11[],2,0),0))*($G23/SUM($G$5:$G$43)),0))</f>
        <v>3835.076830798474</v>
      </c>
      <c r="O23" s="29">
        <f>IF($G23&lt;0,0,IFERROR((O$2*IFERROR(VLOOKUP(E23,Tabla11[],2,0),0))*($G23/SUM($G$5:$G$43)),0))</f>
        <v>745.70938376637002</v>
      </c>
      <c r="P23" s="29">
        <f>IF($G23&lt;0,0,IFERROR((P$2*IFERROR(VLOOKUP(E23,Tabla11[],2,0),0))*($G23/SUM($G$5:$G$43)),0))</f>
        <v>3835.076830798474</v>
      </c>
      <c r="Q23" s="29">
        <f>IF($G23&lt;0,0,IFERROR((Q$2*IFERROR(VLOOKUP(E23,Tabla11[],2,0),0))*($G23/SUM($G$5:$G$43)),0))</f>
        <v>5326.4955983312138</v>
      </c>
      <c r="R23" s="29">
        <f t="shared" si="2"/>
        <v>88255.6</v>
      </c>
      <c r="S23" s="29">
        <f>+R23*IFERROR(VLOOKUP(E23,Tabla11[],4,0),0)</f>
        <v>13238.34</v>
      </c>
      <c r="T23" s="29">
        <f t="shared" si="3"/>
        <v>25833.333333333332</v>
      </c>
      <c r="U23" s="29">
        <f t="shared" si="4"/>
        <v>72793.9205945867</v>
      </c>
      <c r="V23" s="29">
        <f>IF($G23&lt;0,0,IFERROR((V$2*IFERROR(VLOOKUP(E23,Tabla11[],2,0),0))*($G23/SUM($G$5:$G$43)),0))</f>
        <v>9685.4687811962194</v>
      </c>
      <c r="W23" s="29">
        <f>G23-G23*IFERROR(VLOOKUP(E23,Tabla11[],3,0),0)-L23-N23-O23-P23-Q23-G23*$R$2-(G23*$R$2)*IFERROR(VLOOKUP(E23,Tabla11[],4,0),0)-V23-T23</f>
        <v>8457.868736467437</v>
      </c>
      <c r="X23" s="29">
        <f t="shared" si="5"/>
        <v>63108.451813390478</v>
      </c>
      <c r="Y23" s="29">
        <f t="shared" si="6"/>
        <v>54650.583076923001</v>
      </c>
    </row>
    <row r="24" spans="1:25" x14ac:dyDescent="0.3">
      <c r="A24" s="30"/>
      <c r="B24" s="30" t="s">
        <v>162</v>
      </c>
      <c r="C24" s="33">
        <v>1</v>
      </c>
      <c r="D24" s="33">
        <v>1</v>
      </c>
      <c r="E24" s="33" t="s">
        <v>213</v>
      </c>
      <c r="F24" s="33" t="s">
        <v>14</v>
      </c>
      <c r="G24" s="29">
        <f>IFERROR(VLOOKUP(CONCATENATE(E24,F24),Ventas!D:H,5,0),0)</f>
        <v>290849.23076923075</v>
      </c>
      <c r="H24" s="30">
        <f>IFERROR(VLOOKUP(A24,Modelos[],18,0),0)*G24/C24</f>
        <v>0</v>
      </c>
      <c r="I24" s="42">
        <f t="shared" si="0"/>
        <v>290849.23076923075</v>
      </c>
      <c r="J24" s="30">
        <f>I24*IFERROR(VLOOKUP(E24,Tabla11[],3,0),0)</f>
        <v>101797.23076923075</v>
      </c>
      <c r="K24" s="30">
        <f t="shared" si="1"/>
        <v>189052</v>
      </c>
      <c r="L24" s="30">
        <f>Sup!$A$2*D24</f>
        <v>6775.4474283854179</v>
      </c>
      <c r="M24" s="30">
        <f>IFERROR(VLOOKUP(A24,Modelos[],IF(B24="EST",15,14),0),0)/C24</f>
        <v>0</v>
      </c>
      <c r="N24" s="30">
        <f>IF($G24&lt;0,0,IFERROR((N$2*IFERROR(VLOOKUP(E24,Tabla11[],2,0),0))*($G24/SUM($G$5:$G$43)),0))</f>
        <v>3286.0416563531967</v>
      </c>
      <c r="O24" s="30">
        <f>IF($G24&lt;0,0,IFERROR((O$2*IFERROR(VLOOKUP(E24,Tabla11[],2,0),0))*($G24/SUM($G$5:$G$43)),0))</f>
        <v>638.95254429089948</v>
      </c>
      <c r="P24" s="30">
        <f>IF($G24&lt;0,0,IFERROR((P$2*IFERROR(VLOOKUP(E24,Tabla11[],2,0),0))*($G24/SUM($G$5:$G$43)),0))</f>
        <v>3286.0416563531967</v>
      </c>
      <c r="Q24" s="30">
        <f>IF($G24&lt;0,0,IFERROR((Q$2*IFERROR(VLOOKUP(E24,Tabla11[],2,0),0))*($G24/SUM($G$5:$G$43)),0))</f>
        <v>4563.9467449349959</v>
      </c>
      <c r="R24" s="30">
        <f t="shared" si="2"/>
        <v>75620.800000000003</v>
      </c>
      <c r="S24" s="30">
        <f>+R24*IFERROR(VLOOKUP(E24,Tabla11[],4,0),0)</f>
        <v>11343.12</v>
      </c>
      <c r="T24" s="30">
        <f t="shared" si="3"/>
        <v>25833.333333333332</v>
      </c>
      <c r="U24" s="30">
        <f t="shared" si="4"/>
        <v>57704.316636348958</v>
      </c>
      <c r="V24" s="30">
        <f>IF($G24&lt;0,0,IFERROR((V$2*IFERROR(VLOOKUP(E24,Tabla11[],2,0),0))*($G24/SUM($G$5:$G$43)),0))</f>
        <v>8298.8829899641823</v>
      </c>
      <c r="W24" s="30">
        <f>G24-G24*IFERROR(VLOOKUP(E24,Tabla11[],3,0),0)-L24-N24-O24-P24-Q24-G24*$R$2-(G24*$R$2)*IFERROR(VLOOKUP(E24,Tabla11[],4,0),0)-V24-T24</f>
        <v>2578.7074925386405</v>
      </c>
      <c r="X24" s="30">
        <f t="shared" si="5"/>
        <v>49405.433646384772</v>
      </c>
      <c r="Y24" s="30">
        <f t="shared" si="6"/>
        <v>46826.726153846001</v>
      </c>
    </row>
    <row r="25" spans="1:25" x14ac:dyDescent="0.3">
      <c r="A25" s="29"/>
      <c r="B25" s="29" t="s">
        <v>162</v>
      </c>
      <c r="C25" s="32">
        <v>1</v>
      </c>
      <c r="D25" s="32">
        <v>1</v>
      </c>
      <c r="E25" s="32" t="s">
        <v>213</v>
      </c>
      <c r="F25" s="32" t="s">
        <v>19</v>
      </c>
      <c r="G25" s="29">
        <f>IFERROR(VLOOKUP(CONCATENATE(E25,F25),Ventas!D:H,5,0),0)</f>
        <v>522615.38461538462</v>
      </c>
      <c r="H25" s="29">
        <f>IFERROR(VLOOKUP(A25,Modelos[],18,0),0)*G25/C25</f>
        <v>0</v>
      </c>
      <c r="I25" s="41">
        <f t="shared" si="0"/>
        <v>522615.38461538462</v>
      </c>
      <c r="J25" s="29">
        <f>I25*IFERROR(VLOOKUP(E25,Tabla11[],3,0),0)</f>
        <v>182915.3846153846</v>
      </c>
      <c r="K25" s="29">
        <f t="shared" si="1"/>
        <v>339700</v>
      </c>
      <c r="L25" s="29">
        <f>Sup!$A$2*D25</f>
        <v>6775.4474283854179</v>
      </c>
      <c r="M25" s="29">
        <f>IFERROR(VLOOKUP(A25,Modelos[],IF(B25="EST",15,14),0),0)/C25</f>
        <v>0</v>
      </c>
      <c r="N25" s="29">
        <f>IF($G25&lt;0,0,IFERROR((N$2*IFERROR(VLOOKUP(E25,Tabla11[],2,0),0))*($G25/SUM($G$5:$G$43)),0))</f>
        <v>5904.5572152803525</v>
      </c>
      <c r="O25" s="29">
        <f>IF($G25&lt;0,0,IFERROR((O$2*IFERROR(VLOOKUP(E25,Tabla11[],2,0),0))*($G25/SUM($G$5:$G$43)),0))</f>
        <v>1148.1083474156242</v>
      </c>
      <c r="P25" s="29">
        <f>IF($G25&lt;0,0,IFERROR((P$2*IFERROR(VLOOKUP(E25,Tabla11[],2,0),0))*($G25/SUM($G$5:$G$43)),0))</f>
        <v>5904.5572152803525</v>
      </c>
      <c r="Q25" s="29">
        <f>IF($G25&lt;0,0,IFERROR((Q$2*IFERROR(VLOOKUP(E25,Tabla11[],2,0),0))*($G25/SUM($G$5:$G$43)),0))</f>
        <v>8200.7739101116003</v>
      </c>
      <c r="R25" s="29">
        <f t="shared" si="2"/>
        <v>135880</v>
      </c>
      <c r="S25" s="29">
        <f>+R25*IFERROR(VLOOKUP(E25,Tabla11[],4,0),0)</f>
        <v>20382</v>
      </c>
      <c r="T25" s="29">
        <f t="shared" si="3"/>
        <v>25833.333333333332</v>
      </c>
      <c r="U25" s="29">
        <f t="shared" si="4"/>
        <v>129671.22255019331</v>
      </c>
      <c r="V25" s="29">
        <f>IF($G25&lt;0,0,IFERROR((V$2*IFERROR(VLOOKUP(E25,Tabla11[],2,0),0))*($G25/SUM($G$5:$G$43)),0))</f>
        <v>14911.931911277496</v>
      </c>
      <c r="W25" s="29">
        <f>G25-G25*IFERROR(VLOOKUP(E25,Tabla11[],3,0),0)-L25-N25-O25-P25-Q25-G25*$R$2-(G25*$R$2)*IFERROR(VLOOKUP(E25,Tabla11[],4,0),0)-V25-T25</f>
        <v>30618.213715838847</v>
      </c>
      <c r="X25" s="29">
        <f t="shared" si="5"/>
        <v>114759.29063891582</v>
      </c>
      <c r="Y25" s="29">
        <f t="shared" si="6"/>
        <v>84141.076923076995</v>
      </c>
    </row>
    <row r="26" spans="1:25" x14ac:dyDescent="0.3">
      <c r="A26" s="30"/>
      <c r="B26" s="30" t="s">
        <v>162</v>
      </c>
      <c r="C26" s="33">
        <v>1</v>
      </c>
      <c r="D26" s="33">
        <v>1</v>
      </c>
      <c r="E26" s="33" t="s">
        <v>213</v>
      </c>
      <c r="F26" s="33" t="s">
        <v>24</v>
      </c>
      <c r="G26" s="29">
        <f>IFERROR(VLOOKUP(CONCATENATE(E26,F26),Ventas!D:H,5,0),0)</f>
        <v>248416.92307692306</v>
      </c>
      <c r="H26" s="30">
        <f>IFERROR(VLOOKUP(A26,Modelos[],18,0),0)*G26/C26</f>
        <v>0</v>
      </c>
      <c r="I26" s="42">
        <f t="shared" si="0"/>
        <v>248416.92307692306</v>
      </c>
      <c r="J26" s="30">
        <f>I26*IFERROR(VLOOKUP(E26,Tabla11[],3,0),0)</f>
        <v>86945.923076923063</v>
      </c>
      <c r="K26" s="30">
        <f t="shared" si="1"/>
        <v>161471</v>
      </c>
      <c r="L26" s="30">
        <f>Sup!$A$2*D26</f>
        <v>6775.4474283854179</v>
      </c>
      <c r="M26" s="30">
        <f>IFERROR(VLOOKUP(A26,Modelos[],IF(B26="EST",15,14),0),0)/C26</f>
        <v>0</v>
      </c>
      <c r="N26" s="30">
        <f>IF($G26&lt;0,0,IFERROR((N$2*IFERROR(VLOOKUP(E26,Tabla11[],2,0),0))*($G26/SUM($G$5:$G$43)),0))</f>
        <v>2806.6374981116678</v>
      </c>
      <c r="O26" s="30">
        <f>IF($G26&lt;0,0,IFERROR((O$2*IFERROR(VLOOKUP(E26,Tabla11[],2,0),0))*($G26/SUM($G$5:$G$43)),0))</f>
        <v>545.7350690772688</v>
      </c>
      <c r="P26" s="30">
        <f>IF($G26&lt;0,0,IFERROR((P$2*IFERROR(VLOOKUP(E26,Tabla11[],2,0),0))*($G26/SUM($G$5:$G$43)),0))</f>
        <v>2806.6374981116678</v>
      </c>
      <c r="Q26" s="30">
        <f>IF($G26&lt;0,0,IFERROR((Q$2*IFERROR(VLOOKUP(E26,Tabla11[],2,0),0))*($G26/SUM($G$5:$G$43)),0))</f>
        <v>3898.1076362662056</v>
      </c>
      <c r="R26" s="30">
        <f t="shared" si="2"/>
        <v>64588.4</v>
      </c>
      <c r="S26" s="30">
        <f>+R26*IFERROR(VLOOKUP(E26,Tabla11[],4,0),0)</f>
        <v>9688.26</v>
      </c>
      <c r="T26" s="30">
        <f t="shared" si="3"/>
        <v>25833.333333333332</v>
      </c>
      <c r="U26" s="30">
        <f t="shared" si="4"/>
        <v>44528.441536714439</v>
      </c>
      <c r="V26" s="30">
        <f>IF($G26&lt;0,0,IFERROR((V$2*IFERROR(VLOOKUP(E26,Tabla11[],2,0),0))*($G26/SUM($G$5:$G$43)),0))</f>
        <v>7088.1500077888968</v>
      </c>
      <c r="W26" s="30">
        <f>G26-G26*IFERROR(VLOOKUP(E26,Tabla11[],3,0),0)-L26-N26-O26-P26-Q26-G26*$R$2-(G26*$R$2)*IFERROR(VLOOKUP(E26,Tabla11[],4,0),0)-V26-T26</f>
        <v>-2554.8330864590607</v>
      </c>
      <c r="X26" s="30">
        <f t="shared" si="5"/>
        <v>37440.29152892554</v>
      </c>
      <c r="Y26" s="30">
        <f t="shared" si="6"/>
        <v>39995.124615385001</v>
      </c>
    </row>
    <row r="27" spans="1:25" x14ac:dyDescent="0.3">
      <c r="A27" s="29"/>
      <c r="B27" s="29" t="s">
        <v>162</v>
      </c>
      <c r="C27" s="32">
        <v>1</v>
      </c>
      <c r="D27" s="32">
        <v>1</v>
      </c>
      <c r="E27" s="32" t="s">
        <v>213</v>
      </c>
      <c r="F27" s="32" t="s">
        <v>23</v>
      </c>
      <c r="G27" s="29">
        <f>IFERROR(VLOOKUP(CONCATENATE(E27,F27),Ventas!D:H,5,0),0)</f>
        <v>342883.07692307694</v>
      </c>
      <c r="H27" s="29">
        <f>IFERROR(VLOOKUP(A27,Modelos[],18,0),0)*G27/C27</f>
        <v>0</v>
      </c>
      <c r="I27" s="41">
        <f t="shared" si="0"/>
        <v>342883.07692307694</v>
      </c>
      <c r="J27" s="29">
        <f>I27*IFERROR(VLOOKUP(E27,Tabla11[],3,0),0)</f>
        <v>120009.07692307692</v>
      </c>
      <c r="K27" s="29">
        <f t="shared" si="1"/>
        <v>222874</v>
      </c>
      <c r="L27" s="29">
        <f>Sup!$A$2*D27</f>
        <v>6775.4474283854179</v>
      </c>
      <c r="M27" s="29">
        <f>IFERROR(VLOOKUP(A27,Modelos[],IF(B27="EST",15,14),0),0)/C27</f>
        <v>0</v>
      </c>
      <c r="N27" s="29">
        <f>IF($G27&lt;0,0,IFERROR((N$2*IFERROR(VLOOKUP(E27,Tabla11[],2,0),0))*($G27/SUM($G$5:$G$43)),0))</f>
        <v>3873.9248890149929</v>
      </c>
      <c r="O27" s="29">
        <f>IF($G27&lt;0,0,IFERROR((O$2*IFERROR(VLOOKUP(E27,Tabla11[],2,0),0))*($G27/SUM($G$5:$G$43)),0))</f>
        <v>753.2631728640265</v>
      </c>
      <c r="P27" s="29">
        <f>IF($G27&lt;0,0,IFERROR((P$2*IFERROR(VLOOKUP(E27,Tabla11[],2,0),0))*($G27/SUM($G$5:$G$43)),0))</f>
        <v>3873.9248890149929</v>
      </c>
      <c r="Q27" s="29">
        <f>IF($G27&lt;0,0,IFERROR((Q$2*IFERROR(VLOOKUP(E27,Tabla11[],2,0),0))*($G27/SUM($G$5:$G$43)),0))</f>
        <v>5380.4512347430455</v>
      </c>
      <c r="R27" s="29">
        <f t="shared" si="2"/>
        <v>89149.6</v>
      </c>
      <c r="S27" s="29">
        <f>+R27*IFERROR(VLOOKUP(E27,Tabla11[],4,0),0)</f>
        <v>13372.44</v>
      </c>
      <c r="T27" s="29">
        <f t="shared" si="3"/>
        <v>25833.333333333332</v>
      </c>
      <c r="U27" s="29">
        <f t="shared" si="4"/>
        <v>73861.615052644163</v>
      </c>
      <c r="V27" s="29">
        <f>IF($G27&lt;0,0,IFERROR((V$2*IFERROR(VLOOKUP(E27,Tabla11[],2,0),0))*($G27/SUM($G$5:$G$43)),0))</f>
        <v>9783.5793723699171</v>
      </c>
      <c r="W27" s="29">
        <f>G27-G27*IFERROR(VLOOKUP(E27,Tabla11[],3,0),0)-L27-N27-O27-P27-Q27-G27*$R$2-(G27*$R$2)*IFERROR(VLOOKUP(E27,Tabla11[],4,0),0)-V27-T27</f>
        <v>8873.8602956588402</v>
      </c>
      <c r="X27" s="29">
        <f t="shared" si="5"/>
        <v>64078.035680274246</v>
      </c>
      <c r="Y27" s="29">
        <f t="shared" si="6"/>
        <v>55204.175384615002</v>
      </c>
    </row>
    <row r="28" spans="1:25" x14ac:dyDescent="0.3">
      <c r="A28" s="30"/>
      <c r="B28" s="30" t="s">
        <v>162</v>
      </c>
      <c r="C28" s="33">
        <v>1</v>
      </c>
      <c r="D28" s="33">
        <v>1</v>
      </c>
      <c r="E28" s="33" t="s">
        <v>213</v>
      </c>
      <c r="F28" s="33" t="s">
        <v>15</v>
      </c>
      <c r="G28" s="29">
        <f>IFERROR(VLOOKUP(CONCATENATE(E28,F28),Ventas!D:H,5,0),0)</f>
        <v>265707.69230769231</v>
      </c>
      <c r="H28" s="30">
        <f>IFERROR(VLOOKUP(A28,Modelos[],18,0),0)*G28/C28</f>
        <v>0</v>
      </c>
      <c r="I28" s="42">
        <f t="shared" si="0"/>
        <v>265707.69230769231</v>
      </c>
      <c r="J28" s="30">
        <f>I28*IFERROR(VLOOKUP(E28,Tabla11[],3,0),0)</f>
        <v>92997.692307692298</v>
      </c>
      <c r="K28" s="30">
        <f t="shared" si="1"/>
        <v>172710</v>
      </c>
      <c r="L28" s="30">
        <f>Sup!$A$2*D28</f>
        <v>6775.4474283854179</v>
      </c>
      <c r="M28" s="30">
        <f>IFERROR(VLOOKUP(A28,Modelos[],IF(B28="EST",15,14),0),0)/C28</f>
        <v>0</v>
      </c>
      <c r="N28" s="30">
        <f>IF($G28&lt;0,0,IFERROR((N$2*IFERROR(VLOOKUP(E28,Tabla11[],2,0),0))*($G28/SUM($G$5:$G$43)),0))</f>
        <v>3001.990216812098</v>
      </c>
      <c r="O28" s="30">
        <f>IF($G28&lt;0,0,IFERROR((O$2*IFERROR(VLOOKUP(E28,Tabla11[],2,0),0))*($G28/SUM($G$5:$G$43)),0))</f>
        <v>583.72031993568578</v>
      </c>
      <c r="P28" s="30">
        <f>IF($G28&lt;0,0,IFERROR((P$2*IFERROR(VLOOKUP(E28,Tabla11[],2,0),0))*($G28/SUM($G$5:$G$43)),0))</f>
        <v>3001.990216812098</v>
      </c>
      <c r="Q28" s="30">
        <f>IF($G28&lt;0,0,IFERROR((Q$2*IFERROR(VLOOKUP(E28,Tabla11[],2,0),0))*($G28/SUM($G$5:$G$43)),0))</f>
        <v>4169.4308566834688</v>
      </c>
      <c r="R28" s="30">
        <f t="shared" si="2"/>
        <v>69084</v>
      </c>
      <c r="S28" s="30">
        <f>+R28*IFERROR(VLOOKUP(E28,Tabla11[],4,0),0)</f>
        <v>10362.6</v>
      </c>
      <c r="T28" s="30">
        <f t="shared" si="3"/>
        <v>25833.333333333332</v>
      </c>
      <c r="U28" s="30">
        <f t="shared" si="4"/>
        <v>49897.487628037896</v>
      </c>
      <c r="V28" s="30">
        <f>IF($G28&lt;0,0,IFERROR((V$2*IFERROR(VLOOKUP(E28,Tabla11[],2,0),0))*($G28/SUM($G$5:$G$43)),0))</f>
        <v>7581.5123944560983</v>
      </c>
      <c r="W28" s="30">
        <f>G28-G28*IFERROR(VLOOKUP(E28,Tabla11[],3,0),0)-L28-N28-O28-P28-Q28-G28*$R$2-(G28*$R$2)*IFERROR(VLOOKUP(E28,Tabla11[],4,0),0)-V28-T28</f>
        <v>-462.96322795663218</v>
      </c>
      <c r="X28" s="30">
        <f t="shared" si="5"/>
        <v>42315.975233581798</v>
      </c>
      <c r="Y28" s="30">
        <f t="shared" si="6"/>
        <v>42778.938461537997</v>
      </c>
    </row>
    <row r="29" spans="1:25" x14ac:dyDescent="0.3">
      <c r="A29" s="29"/>
      <c r="B29" s="29" t="s">
        <v>162</v>
      </c>
      <c r="C29" s="32">
        <v>1</v>
      </c>
      <c r="D29" s="32">
        <v>1</v>
      </c>
      <c r="E29" s="32" t="s">
        <v>213</v>
      </c>
      <c r="F29" s="32" t="s">
        <v>32</v>
      </c>
      <c r="G29" s="29">
        <f>IFERROR(VLOOKUP(CONCATENATE(E29,F29),Ventas!D:H,5,0),0)</f>
        <v>92615.38461538461</v>
      </c>
      <c r="H29" s="29">
        <f>IFERROR(VLOOKUP(A29,Modelos[],18,0),0)*G29/C29</f>
        <v>0</v>
      </c>
      <c r="I29" s="41">
        <f t="shared" si="0"/>
        <v>92615.38461538461</v>
      </c>
      <c r="J29" s="29">
        <f>I29*IFERROR(VLOOKUP(E29,Tabla11[],3,0),0)</f>
        <v>32415.38461538461</v>
      </c>
      <c r="K29" s="29">
        <f t="shared" si="1"/>
        <v>60200</v>
      </c>
      <c r="L29" s="29">
        <f>Sup!$A$2*D29</f>
        <v>6775.4474283854179</v>
      </c>
      <c r="M29" s="29">
        <f>IFERROR(VLOOKUP(A29,Modelos[],IF(B29="EST",15,14),0),0)/C29</f>
        <v>0</v>
      </c>
      <c r="N29" s="29">
        <f>IF($G29&lt;0,0,IFERROR((N$2*IFERROR(VLOOKUP(E29,Tabla11[],2,0),0))*($G29/SUM($G$5:$G$43)),0))</f>
        <v>1046.3772280243659</v>
      </c>
      <c r="O29" s="29">
        <f>IF($G29&lt;0,0,IFERROR((O$2*IFERROR(VLOOKUP(E29,Tabla11[],2,0),0))*($G29/SUM($G$5:$G$43)),0))</f>
        <v>203.46223878251564</v>
      </c>
      <c r="P29" s="29">
        <f>IF($G29&lt;0,0,IFERROR((P$2*IFERROR(VLOOKUP(E29,Tabla11[],2,0),0))*($G29/SUM($G$5:$G$43)),0))</f>
        <v>1046.3772280243659</v>
      </c>
      <c r="Q29" s="29">
        <f>IF($G29&lt;0,0,IFERROR((Q$2*IFERROR(VLOOKUP(E29,Tabla11[],2,0),0))*($G29/SUM($G$5:$G$43)),0))</f>
        <v>1453.3017055893972</v>
      </c>
      <c r="R29" s="29">
        <f t="shared" si="2"/>
        <v>24080</v>
      </c>
      <c r="S29" s="29">
        <f>+R29*IFERROR(VLOOKUP(E29,Tabla11[],4,0),0)</f>
        <v>3612</v>
      </c>
      <c r="T29" s="29">
        <f t="shared" si="3"/>
        <v>25833.333333333332</v>
      </c>
      <c r="U29" s="29">
        <f t="shared" si="4"/>
        <v>-3850.2991621393885</v>
      </c>
      <c r="V29" s="29">
        <f>IF($G29&lt;0,0,IFERROR((V$2*IFERROR(VLOOKUP(E29,Tabla11[],2,0),0))*($G29/SUM($G$5:$G$43)),0))</f>
        <v>2642.6208450365179</v>
      </c>
      <c r="W29" s="29">
        <f>G29-G29*IFERROR(VLOOKUP(E29,Tabla11[],3,0),0)-L29-N29-O29-P29-Q29-G29*$R$2-(G29*$R$2)*IFERROR(VLOOKUP(E29,Tabla11[],4,0),0)-V29-T29</f>
        <v>-21403.99693025283</v>
      </c>
      <c r="X29" s="29">
        <f t="shared" si="5"/>
        <v>-6492.920007175906</v>
      </c>
      <c r="Y29" s="29">
        <f t="shared" si="6"/>
        <v>14911.076923077</v>
      </c>
    </row>
    <row r="30" spans="1:25" x14ac:dyDescent="0.3">
      <c r="A30" s="30"/>
      <c r="B30" s="30" t="s">
        <v>162</v>
      </c>
      <c r="C30" s="33">
        <v>1</v>
      </c>
      <c r="D30" s="33">
        <v>1</v>
      </c>
      <c r="E30" s="33" t="s">
        <v>213</v>
      </c>
      <c r="F30" s="33" t="s">
        <v>26</v>
      </c>
      <c r="G30" s="29">
        <f>IFERROR(VLOOKUP(CONCATENATE(E30,F30),Ventas!D:H,5,0),0)</f>
        <v>484660</v>
      </c>
      <c r="H30" s="30">
        <f>IFERROR(VLOOKUP(A30,Modelos[],18,0),0)*G30/C30</f>
        <v>0</v>
      </c>
      <c r="I30" s="42">
        <f t="shared" si="0"/>
        <v>484660</v>
      </c>
      <c r="J30" s="30">
        <f>I30*IFERROR(VLOOKUP(E30,Tabla11[],3,0),0)</f>
        <v>169631</v>
      </c>
      <c r="K30" s="30">
        <f t="shared" si="1"/>
        <v>315029</v>
      </c>
      <c r="L30" s="30">
        <f>Sup!$A$2*D30</f>
        <v>6775.4474283854179</v>
      </c>
      <c r="M30" s="30">
        <f>IFERROR(VLOOKUP(A30,Modelos[],IF(B30="EST",15,14),0),0)/C30</f>
        <v>0</v>
      </c>
      <c r="N30" s="30">
        <f>IF($G30&lt;0,0,IFERROR((N$2*IFERROR(VLOOKUP(E30,Tabla11[],2,0),0))*($G30/SUM($G$5:$G$43)),0))</f>
        <v>5475.7337502871769</v>
      </c>
      <c r="O30" s="30">
        <f>IF($G30&lt;0,0,IFERROR((O$2*IFERROR(VLOOKUP(E30,Tabla11[],2,0),0))*($G30/SUM($G$5:$G$43)),0))</f>
        <v>1064.7260070002844</v>
      </c>
      <c r="P30" s="30">
        <f>IF($G30&lt;0,0,IFERROR((P$2*IFERROR(VLOOKUP(E30,Tabla11[],2,0),0))*($G30/SUM($G$5:$G$43)),0))</f>
        <v>5475.7337502871769</v>
      </c>
      <c r="Q30" s="30">
        <f>IF($G30&lt;0,0,IFERROR((Q$2*IFERROR(VLOOKUP(E30,Tabla11[],2,0),0))*($G30/SUM($G$5:$G$43)),0))</f>
        <v>7605.1857642877458</v>
      </c>
      <c r="R30" s="30">
        <f t="shared" si="2"/>
        <v>126011.6</v>
      </c>
      <c r="S30" s="30">
        <f>+R30*IFERROR(VLOOKUP(E30,Tabla11[],4,0),0)</f>
        <v>18901.740000000002</v>
      </c>
      <c r="T30" s="30">
        <f t="shared" si="3"/>
        <v>25833.333333333332</v>
      </c>
      <c r="U30" s="30">
        <f t="shared" si="4"/>
        <v>117885.49996641887</v>
      </c>
      <c r="V30" s="30">
        <f>IF($G30&lt;0,0,IFERROR((V$2*IFERROR(VLOOKUP(E30,Tabla11[],2,0),0))*($G30/SUM($G$5:$G$43)),0))</f>
        <v>13828.940235731052</v>
      </c>
      <c r="W30" s="30">
        <f>G30-G30*IFERROR(VLOOKUP(E30,Tabla11[],3,0),0)-L30-N30-O30-P30-Q30-G30*$R$2-(G30*$R$2)*IFERROR(VLOOKUP(E30,Tabla11[],4,0),0)-V30-T30</f>
        <v>26026.299730687784</v>
      </c>
      <c r="X30" s="30">
        <f t="shared" si="5"/>
        <v>104056.55973068782</v>
      </c>
      <c r="Y30" s="30">
        <f t="shared" si="6"/>
        <v>78030.259999999995</v>
      </c>
    </row>
    <row r="31" spans="1:25" x14ac:dyDescent="0.3">
      <c r="A31" s="29"/>
      <c r="B31" s="29" t="s">
        <v>162</v>
      </c>
      <c r="C31" s="32">
        <v>1</v>
      </c>
      <c r="D31" s="32">
        <v>1</v>
      </c>
      <c r="E31" s="32" t="s">
        <v>213</v>
      </c>
      <c r="F31" s="32" t="s">
        <v>31</v>
      </c>
      <c r="G31" s="29">
        <f>IFERROR(VLOOKUP(CONCATENATE(E31,F31),Ventas!D:H,5,0),0)</f>
        <v>387530.76923076919</v>
      </c>
      <c r="H31" s="29">
        <f>IFERROR(VLOOKUP(A31,Modelos[],18,0),0)*G31/C31</f>
        <v>0</v>
      </c>
      <c r="I31" s="41">
        <f t="shared" si="0"/>
        <v>387530.76923076919</v>
      </c>
      <c r="J31" s="29">
        <f>I31*IFERROR(VLOOKUP(E31,Tabla11[],3,0),0)</f>
        <v>135635.76923076922</v>
      </c>
      <c r="K31" s="29">
        <f t="shared" si="1"/>
        <v>251894.99999999997</v>
      </c>
      <c r="L31" s="29">
        <f>Sup!$A$2*D31</f>
        <v>6775.4474283854179</v>
      </c>
      <c r="M31" s="29">
        <f>IFERROR(VLOOKUP(A31,Modelos[],IF(B31="EST",15,14),0),0)/C31</f>
        <v>0</v>
      </c>
      <c r="N31" s="29">
        <f>IF($G31&lt;0,0,IFERROR((N$2*IFERROR(VLOOKUP(E31,Tabla11[],2,0),0))*($G31/SUM($G$5:$G$43)),0))</f>
        <v>4378.3586686577682</v>
      </c>
      <c r="O31" s="29">
        <f>IF($G31&lt;0,0,IFERROR((O$2*IFERROR(VLOOKUP(E31,Tabla11[],2,0),0))*($G31/SUM($G$5:$G$43)),0))</f>
        <v>851.34751890567736</v>
      </c>
      <c r="P31" s="29">
        <f>IF($G31&lt;0,0,IFERROR((P$2*IFERROR(VLOOKUP(E31,Tabla11[],2,0),0))*($G31/SUM($G$5:$G$43)),0))</f>
        <v>4378.3586686577682</v>
      </c>
      <c r="Q31" s="29">
        <f>IF($G31&lt;0,0,IFERROR((Q$2*IFERROR(VLOOKUP(E31,Tabla11[],2,0),0))*($G31/SUM($G$5:$G$43)),0))</f>
        <v>6081.0537064691225</v>
      </c>
      <c r="R31" s="29">
        <f t="shared" si="2"/>
        <v>100758</v>
      </c>
      <c r="S31" s="29">
        <f>+R31*IFERROR(VLOOKUP(E31,Tabla11[],4,0),0)</f>
        <v>15113.699999999999</v>
      </c>
      <c r="T31" s="29">
        <f t="shared" si="3"/>
        <v>25833.333333333332</v>
      </c>
      <c r="U31" s="29">
        <f t="shared" si="4"/>
        <v>87725.400675590878</v>
      </c>
      <c r="V31" s="29">
        <f>IF($G31&lt;0,0,IFERROR((V$2*IFERROR(VLOOKUP(E31,Tabla11[],2,0),0))*($G31/SUM($G$5:$G$43)),0))</f>
        <v>11057.524547516174</v>
      </c>
      <c r="W31" s="29">
        <f>G31-G31*IFERROR(VLOOKUP(E31,Tabla11[],3,0),0)-L31-N31-O31-P31-Q31-G31*$R$2-(G31*$R$2)*IFERROR(VLOOKUP(E31,Tabla11[],4,0),0)-V31-T31</f>
        <v>14275.422281920855</v>
      </c>
      <c r="X31" s="29">
        <f t="shared" si="5"/>
        <v>76667.876128074698</v>
      </c>
      <c r="Y31" s="29">
        <f t="shared" si="6"/>
        <v>62392.453846154</v>
      </c>
    </row>
    <row r="32" spans="1:25" x14ac:dyDescent="0.3">
      <c r="A32" s="30"/>
      <c r="B32" s="30" t="s">
        <v>162</v>
      </c>
      <c r="C32" s="33">
        <v>1</v>
      </c>
      <c r="D32" s="33">
        <v>1</v>
      </c>
      <c r="E32" s="33" t="s">
        <v>213</v>
      </c>
      <c r="F32" s="33" t="s">
        <v>29</v>
      </c>
      <c r="G32" s="29">
        <f>IFERROR(VLOOKUP(CONCATENATE(E32,F32),Ventas!D:H,5,0),0)</f>
        <v>31726.153846153844</v>
      </c>
      <c r="H32" s="30">
        <f>IFERROR(VLOOKUP(A32,Modelos[],18,0),0)*G32/C32</f>
        <v>0</v>
      </c>
      <c r="I32" s="42">
        <f t="shared" si="0"/>
        <v>31726.153846153844</v>
      </c>
      <c r="J32" s="30">
        <f>I32*IFERROR(VLOOKUP(E32,Tabla11[],3,0),0)</f>
        <v>11104.153846153844</v>
      </c>
      <c r="K32" s="30">
        <f t="shared" si="1"/>
        <v>20622</v>
      </c>
      <c r="L32" s="30">
        <f>Sup!$A$2*D32</f>
        <v>6775.4474283854179</v>
      </c>
      <c r="M32" s="30">
        <f>IFERROR(VLOOKUP(A32,Modelos[],IF(B32="EST",15,14),0),0)/C32</f>
        <v>0</v>
      </c>
      <c r="N32" s="30">
        <f>IF($G32&lt;0,0,IFERROR((N$2*IFERROR(VLOOKUP(E32,Tabla11[],2,0),0))*($G32/SUM($G$5:$G$43)),0))</f>
        <v>358.44503648369562</v>
      </c>
      <c r="O32" s="30">
        <f>IF($G32&lt;0,0,IFERROR((O$2*IFERROR(VLOOKUP(E32,Tabla11[],2,0),0))*($G32/SUM($G$5:$G$43)),0))</f>
        <v>69.697645982940827</v>
      </c>
      <c r="P32" s="30">
        <f>IF($G32&lt;0,0,IFERROR((P$2*IFERROR(VLOOKUP(E32,Tabla11[],2,0),0))*($G32/SUM($G$5:$G$43)),0))</f>
        <v>358.44503648369562</v>
      </c>
      <c r="Q32" s="30">
        <f>IF($G32&lt;0,0,IFERROR((Q$2*IFERROR(VLOOKUP(E32,Tabla11[],2,0),0))*($G32/SUM($G$5:$G$43)),0))</f>
        <v>497.84032844957727</v>
      </c>
      <c r="R32" s="30">
        <f t="shared" si="2"/>
        <v>8248.8000000000011</v>
      </c>
      <c r="S32" s="30">
        <f>+R32*IFERROR(VLOOKUP(E32,Tabla11[],4,0),0)</f>
        <v>1237.3200000000002</v>
      </c>
      <c r="T32" s="30">
        <f t="shared" si="3"/>
        <v>25833.333333333332</v>
      </c>
      <c r="U32" s="30">
        <f t="shared" si="4"/>
        <v>-22757.328809118662</v>
      </c>
      <c r="V32" s="30">
        <f>IF($G32&lt;0,0,IFERROR((V$2*IFERROR(VLOOKUP(E32,Tabla11[],2,0),0))*($G32/SUM($G$5:$G$43)),0))</f>
        <v>905.25128017181191</v>
      </c>
      <c r="W32" s="30">
        <f>G32-G32*IFERROR(VLOOKUP(E32,Tabla11[],3,0),0)-L32-N32-O32-P32-Q32-G32*$R$2-(G32*$R$2)*IFERROR(VLOOKUP(E32,Tabla11[],4,0),0)-V32-T32</f>
        <v>-28770.49085852124</v>
      </c>
      <c r="X32" s="30">
        <f t="shared" si="5"/>
        <v>-23662.580089290474</v>
      </c>
      <c r="Y32" s="30">
        <f t="shared" si="6"/>
        <v>5107.9107692309999</v>
      </c>
    </row>
    <row r="33" spans="1:25" x14ac:dyDescent="0.3">
      <c r="A33" s="29"/>
      <c r="B33" s="29" t="s">
        <v>162</v>
      </c>
      <c r="C33" s="32">
        <v>1</v>
      </c>
      <c r="D33" s="32">
        <v>1</v>
      </c>
      <c r="E33" s="32" t="s">
        <v>213</v>
      </c>
      <c r="F33" s="32" t="s">
        <v>27</v>
      </c>
      <c r="G33" s="29">
        <f>IFERROR(VLOOKUP(CONCATENATE(E33,F33),Ventas!D:H,5,0),0)</f>
        <v>350227.69230769231</v>
      </c>
      <c r="H33" s="29">
        <f>IFERROR(VLOOKUP(A33,Modelos[],18,0),0)*G33/C33</f>
        <v>0</v>
      </c>
      <c r="I33" s="41">
        <f t="shared" si="0"/>
        <v>350227.69230769231</v>
      </c>
      <c r="J33" s="29">
        <f>I33*IFERROR(VLOOKUP(E33,Tabla11[],3,0),0)</f>
        <v>122579.6923076923</v>
      </c>
      <c r="K33" s="29">
        <f t="shared" si="1"/>
        <v>227648</v>
      </c>
      <c r="L33" s="29">
        <f>Sup!$A$2*D33</f>
        <v>6775.4474283854179</v>
      </c>
      <c r="M33" s="29">
        <f>IFERROR(VLOOKUP(A33,Modelos[],IF(B33="EST",15,14),0),0)/C33</f>
        <v>0</v>
      </c>
      <c r="N33" s="29">
        <f>IF($G33&lt;0,0,IFERROR((N$2*IFERROR(VLOOKUP(E33,Tabla11[],2,0),0))*($G33/SUM($G$5:$G$43)),0))</f>
        <v>3956.9050366327392</v>
      </c>
      <c r="O33" s="29">
        <f>IF($G33&lt;0,0,IFERROR((O$2*IFERROR(VLOOKUP(E33,Tabla11[],2,0),0))*($G33/SUM($G$5:$G$43)),0))</f>
        <v>769.39820156747714</v>
      </c>
      <c r="P33" s="29">
        <f>IF($G33&lt;0,0,IFERROR((P$2*IFERROR(VLOOKUP(E33,Tabla11[],2,0),0))*($G33/SUM($G$5:$G$43)),0))</f>
        <v>3956.9050366327392</v>
      </c>
      <c r="Q33" s="29">
        <f>IF($G33&lt;0,0,IFERROR((Q$2*IFERROR(VLOOKUP(E33,Tabla11[],2,0),0))*($G33/SUM($G$5:$G$43)),0))</f>
        <v>5495.701439767693</v>
      </c>
      <c r="R33" s="29">
        <f t="shared" si="2"/>
        <v>91059.200000000012</v>
      </c>
      <c r="S33" s="29">
        <f>+R33*IFERROR(VLOOKUP(E33,Tabla11[],4,0),0)</f>
        <v>13658.880000000001</v>
      </c>
      <c r="T33" s="29">
        <f t="shared" si="3"/>
        <v>25833.333333333332</v>
      </c>
      <c r="U33" s="29">
        <f t="shared" si="4"/>
        <v>76142.22952368058</v>
      </c>
      <c r="V33" s="29">
        <f>IF($G33&lt;0,0,IFERROR((V$2*IFERROR(VLOOKUP(E33,Tabla11[],2,0),0))*($G33/SUM($G$5:$G$43)),0))</f>
        <v>9993.1453510111842</v>
      </c>
      <c r="W33" s="29">
        <f>G33-G33*IFERROR(VLOOKUP(E33,Tabla11[],3,0),0)-L33-N33-O33-P33-Q33-G33*$R$2-(G33*$R$2)*IFERROR(VLOOKUP(E33,Tabla11[],4,0),0)-V33-T33</f>
        <v>9762.4257111309744</v>
      </c>
      <c r="X33" s="29">
        <f t="shared" si="5"/>
        <v>66149.084172669391</v>
      </c>
      <c r="Y33" s="29">
        <f t="shared" si="6"/>
        <v>56386.658461537998</v>
      </c>
    </row>
    <row r="34" spans="1:25" x14ac:dyDescent="0.3">
      <c r="A34" s="30"/>
      <c r="B34" s="30" t="s">
        <v>162</v>
      </c>
      <c r="C34" s="33">
        <v>1</v>
      </c>
      <c r="D34" s="33">
        <v>1</v>
      </c>
      <c r="E34" s="33" t="s">
        <v>213</v>
      </c>
      <c r="F34" s="33" t="s">
        <v>30</v>
      </c>
      <c r="G34" s="29">
        <f>IFERROR(VLOOKUP(CONCATENATE(E34,F34),Ventas!D:H,5,0),0)</f>
        <v>161516.92307692306</v>
      </c>
      <c r="H34" s="30">
        <f>IFERROR(VLOOKUP(A34,Modelos[],18,0),0)*G34/C34</f>
        <v>0</v>
      </c>
      <c r="I34" s="42">
        <f t="shared" si="0"/>
        <v>161516.92307692306</v>
      </c>
      <c r="J34" s="30">
        <f>I34*IFERROR(VLOOKUP(E34,Tabla11[],3,0),0)</f>
        <v>56530.923076923071</v>
      </c>
      <c r="K34" s="30">
        <f t="shared" si="1"/>
        <v>104986</v>
      </c>
      <c r="L34" s="30">
        <f>Sup!$A$2*D34</f>
        <v>6775.4474283854179</v>
      </c>
      <c r="M34" s="30">
        <f>IFERROR(VLOOKUP(A34,Modelos[],IF(B34="EST",15,14),0),0)/C34</f>
        <v>0</v>
      </c>
      <c r="N34" s="30">
        <f>IF($G34&lt;0,0,IFERROR((N$2*IFERROR(VLOOKUP(E34,Tabla11[],2,0),0))*($G34/SUM($G$5:$G$43)),0))</f>
        <v>1824.833216966214</v>
      </c>
      <c r="O34" s="30">
        <f>IF($G34&lt;0,0,IFERROR((O$2*IFERROR(VLOOKUP(E34,Tabla11[],2,0),0))*($G34/SUM($G$5:$G$43)),0))</f>
        <v>354.82868107676387</v>
      </c>
      <c r="P34" s="30">
        <f>IF($G34&lt;0,0,IFERROR((P$2*IFERROR(VLOOKUP(E34,Tabla11[],2,0),0))*($G34/SUM($G$5:$G$43)),0))</f>
        <v>1824.833216966214</v>
      </c>
      <c r="Q34" s="30">
        <f>IF($G34&lt;0,0,IFERROR((Q$2*IFERROR(VLOOKUP(E34,Tabla11[],2,0),0))*($G34/SUM($G$5:$G$43)),0))</f>
        <v>2534.4905791197416</v>
      </c>
      <c r="R34" s="30">
        <f t="shared" si="2"/>
        <v>41994.400000000001</v>
      </c>
      <c r="S34" s="30">
        <f>+R34*IFERROR(VLOOKUP(E34,Tabla11[],4,0),0)</f>
        <v>6299.16</v>
      </c>
      <c r="T34" s="30">
        <f t="shared" si="3"/>
        <v>25833.333333333332</v>
      </c>
      <c r="U34" s="30">
        <f t="shared" si="4"/>
        <v>17544.67354415232</v>
      </c>
      <c r="V34" s="30">
        <f>IF($G34&lt;0,0,IFERROR((V$2*IFERROR(VLOOKUP(E34,Tabla11[],2,0),0))*($G34/SUM($G$5:$G$43)),0))</f>
        <v>4608.6078411462431</v>
      </c>
      <c r="W34" s="30">
        <f>G34-G34*IFERROR(VLOOKUP(E34,Tabla11[],3,0),0)-L34-N34-O34-P34-Q34-G34*$R$2-(G34*$R$2)*IFERROR(VLOOKUP(E34,Tabla11[],4,0),0)-V34-T34</f>
        <v>-13068.158912378542</v>
      </c>
      <c r="X34" s="30">
        <f t="shared" si="5"/>
        <v>12936.065703006076</v>
      </c>
      <c r="Y34" s="30">
        <f t="shared" si="6"/>
        <v>26004.224615384999</v>
      </c>
    </row>
    <row r="35" spans="1:25" x14ac:dyDescent="0.3">
      <c r="A35" s="29"/>
      <c r="B35" s="29" t="s">
        <v>162</v>
      </c>
      <c r="C35" s="32">
        <v>1</v>
      </c>
      <c r="D35" s="32">
        <v>1</v>
      </c>
      <c r="E35" s="32" t="s">
        <v>213</v>
      </c>
      <c r="F35" s="32" t="s">
        <v>25</v>
      </c>
      <c r="G35" s="29">
        <f>IFERROR(VLOOKUP(CONCATENATE(E35,F35),Ventas!D:H,5,0),0)</f>
        <v>143066.15384615384</v>
      </c>
      <c r="H35" s="29">
        <f>IFERROR(VLOOKUP(A35,Modelos[],18,0),0)*G35/C35</f>
        <v>0</v>
      </c>
      <c r="I35" s="41">
        <f t="shared" si="0"/>
        <v>143066.15384615384</v>
      </c>
      <c r="J35" s="29">
        <f>I35*IFERROR(VLOOKUP(E35,Tabla11[],3,0),0)</f>
        <v>50073.153846153844</v>
      </c>
      <c r="K35" s="29">
        <f t="shared" si="1"/>
        <v>92993</v>
      </c>
      <c r="L35" s="29">
        <f>Sup!$A$2*D35</f>
        <v>6775.4474283854179</v>
      </c>
      <c r="M35" s="29">
        <f>IFERROR(VLOOKUP(A35,Modelos[],IF(B35="EST",15,14),0),0)/C35</f>
        <v>0</v>
      </c>
      <c r="N35" s="29">
        <f>IF($G35&lt;0,0,IFERROR((N$2*IFERROR(VLOOKUP(E35,Tabla11[],2,0),0))*($G35/SUM($G$5:$G$43)),0))</f>
        <v>1616.3747103931873</v>
      </c>
      <c r="O35" s="29">
        <f>IF($G35&lt;0,0,IFERROR((O$2*IFERROR(VLOOKUP(E35,Tabla11[],2,0),0))*($G35/SUM($G$5:$G$43)),0))</f>
        <v>314.29508257645313</v>
      </c>
      <c r="P35" s="29">
        <f>IF($G35&lt;0,0,IFERROR((P$2*IFERROR(VLOOKUP(E35,Tabla11[],2,0),0))*($G35/SUM($G$5:$G$43)),0))</f>
        <v>1616.3747103931873</v>
      </c>
      <c r="Q35" s="29">
        <f>IF($G35&lt;0,0,IFERROR((Q$2*IFERROR(VLOOKUP(E35,Tabla11[],2,0),0))*($G35/SUM($G$5:$G$43)),0))</f>
        <v>2244.9648755460935</v>
      </c>
      <c r="R35" s="29">
        <f t="shared" si="2"/>
        <v>37197.200000000004</v>
      </c>
      <c r="S35" s="29">
        <f>+R35*IFERROR(VLOOKUP(E35,Tabla11[],4,0),0)</f>
        <v>5579.5800000000008</v>
      </c>
      <c r="T35" s="29">
        <f t="shared" si="3"/>
        <v>25833.333333333332</v>
      </c>
      <c r="U35" s="29">
        <f t="shared" si="4"/>
        <v>11815.429859372322</v>
      </c>
      <c r="V35" s="29">
        <f>IF($G35&lt;0,0,IFERROR((V$2*IFERROR(VLOOKUP(E35,Tabla11[],2,0),0))*($G35/SUM($G$5:$G$43)),0))</f>
        <v>4082.1468478817428</v>
      </c>
      <c r="W35" s="29">
        <f>G35-G35*IFERROR(VLOOKUP(E35,Tabla11[],3,0),0)-L35-N35-O35-P35-Q35-G35*$R$2-(G35*$R$2)*IFERROR(VLOOKUP(E35,Tabla11[],4,0),0)-V35-T35</f>
        <v>-15300.367757740181</v>
      </c>
      <c r="X35" s="29">
        <f t="shared" si="5"/>
        <v>7733.2830114905792</v>
      </c>
      <c r="Y35" s="29">
        <f t="shared" si="6"/>
        <v>23033.650769231001</v>
      </c>
    </row>
    <row r="36" spans="1:25" x14ac:dyDescent="0.3">
      <c r="A36" s="30"/>
      <c r="B36" s="30" t="s">
        <v>162</v>
      </c>
      <c r="C36" s="33">
        <v>1</v>
      </c>
      <c r="D36" s="33">
        <v>1</v>
      </c>
      <c r="E36" s="33" t="s">
        <v>213</v>
      </c>
      <c r="F36" s="33" t="s">
        <v>39</v>
      </c>
      <c r="G36" s="29">
        <f>IFERROR(VLOOKUP(CONCATENATE(E36,F36),Ventas!D:H,5,0),0)</f>
        <v>13429.23076923077</v>
      </c>
      <c r="H36" s="30">
        <f>IFERROR(VLOOKUP(A36,Modelos[],18,0),0)*G36/C36</f>
        <v>0</v>
      </c>
      <c r="I36" s="42">
        <f t="shared" si="0"/>
        <v>13429.23076923077</v>
      </c>
      <c r="J36" s="30">
        <f>I36*IFERROR(VLOOKUP(E36,Tabla11[],3,0),0)</f>
        <v>4700.2307692307686</v>
      </c>
      <c r="K36" s="30">
        <f t="shared" si="1"/>
        <v>8729</v>
      </c>
      <c r="L36" s="30">
        <f>Sup!$A$2*D36</f>
        <v>6775.4474283854179</v>
      </c>
      <c r="M36" s="30">
        <f>IFERROR(VLOOKUP(A36,Modelos[],IF(B36="EST",15,14),0),0)/C36</f>
        <v>0</v>
      </c>
      <c r="N36" s="30">
        <f>IF($G36&lt;0,0,IFERROR((N$2*IFERROR(VLOOKUP(E36,Tabla11[],2,0),0))*($G36/SUM($G$5:$G$43)),0))</f>
        <v>151.72469806353308</v>
      </c>
      <c r="O36" s="30">
        <f>IF($G36&lt;0,0,IFERROR((O$2*IFERROR(VLOOKUP(E36,Tabla11[],2,0),0))*($G36/SUM($G$5:$G$43)),0))</f>
        <v>29.502024623464774</v>
      </c>
      <c r="P36" s="30">
        <f>IF($G36&lt;0,0,IFERROR((P$2*IFERROR(VLOOKUP(E36,Tabla11[],2,0),0))*($G36/SUM($G$5:$G$43)),0))</f>
        <v>151.72469806353308</v>
      </c>
      <c r="Q36" s="30">
        <f>IF($G36&lt;0,0,IFERROR((Q$2*IFERROR(VLOOKUP(E36,Tabla11[],2,0),0))*($G36/SUM($G$5:$G$43)),0))</f>
        <v>210.72874731046264</v>
      </c>
      <c r="R36" s="30">
        <f t="shared" si="2"/>
        <v>3491.6000000000004</v>
      </c>
      <c r="S36" s="30">
        <f>+R36*IFERROR(VLOOKUP(E36,Tabla11[],4,0),0)</f>
        <v>523.74</v>
      </c>
      <c r="T36" s="30">
        <f t="shared" si="3"/>
        <v>25833.333333333332</v>
      </c>
      <c r="U36" s="30">
        <f t="shared" si="4"/>
        <v>-28438.80092977974</v>
      </c>
      <c r="V36" s="30">
        <f>IF($G36&lt;0,0,IFERROR((V$2*IFERROR(VLOOKUP(E36,Tabla11[],2,0),0))*($G36/SUM($G$5:$G$43)),0))</f>
        <v>383.18002253029516</v>
      </c>
      <c r="W36" s="30">
        <f>G36-G36*IFERROR(VLOOKUP(E36,Tabla11[],3,0),0)-L36-N36-O36-P36-Q36-G36*$R$2-(G36*$R$2)*IFERROR(VLOOKUP(E36,Tabla11[],4,0),0)-V36-T36</f>
        <v>-30984.087106156192</v>
      </c>
      <c r="X36" s="30">
        <f t="shared" si="5"/>
        <v>-28821.980952310034</v>
      </c>
      <c r="Y36" s="30">
        <f t="shared" si="6"/>
        <v>2162.1061538459999</v>
      </c>
    </row>
    <row r="37" spans="1:25" x14ac:dyDescent="0.3">
      <c r="A37" s="29"/>
      <c r="B37" s="29" t="s">
        <v>162</v>
      </c>
      <c r="C37" s="32">
        <v>1</v>
      </c>
      <c r="D37" s="32">
        <v>1</v>
      </c>
      <c r="E37" s="32" t="s">
        <v>213</v>
      </c>
      <c r="F37" s="32" t="s">
        <v>36</v>
      </c>
      <c r="G37" s="29">
        <f>IFERROR(VLOOKUP(CONCATENATE(E37,F37),Ventas!D:H,5,0),0)</f>
        <v>1672.3076923076922</v>
      </c>
      <c r="H37" s="29">
        <f>IFERROR(VLOOKUP(A37,Modelos[],18,0),0)*G37/C37</f>
        <v>0</v>
      </c>
      <c r="I37" s="41">
        <f t="shared" si="0"/>
        <v>1672.3076923076922</v>
      </c>
      <c r="J37" s="29">
        <f>I37*IFERROR(VLOOKUP(E37,Tabla11[],3,0),0)</f>
        <v>585.30769230769226</v>
      </c>
      <c r="K37" s="29">
        <f t="shared" si="1"/>
        <v>1087</v>
      </c>
      <c r="L37" s="29">
        <f>Sup!$A$2*D37</f>
        <v>6775.4474283854179</v>
      </c>
      <c r="M37" s="29">
        <f>IFERROR(VLOOKUP(A37,Modelos[],IF(B37="EST",15,14),0),0)/C37</f>
        <v>0</v>
      </c>
      <c r="N37" s="29">
        <f>IF($G37&lt;0,0,IFERROR((N$2*IFERROR(VLOOKUP(E37,Tabla11[],2,0),0))*($G37/SUM($G$5:$G$43)),0))</f>
        <v>18.893887821635978</v>
      </c>
      <c r="O37" s="29">
        <f>IF($G37&lt;0,0,IFERROR((O$2*IFERROR(VLOOKUP(E37,Tabla11[],2,0),0))*($G37/SUM($G$5:$G$43)),0))</f>
        <v>3.673811520873663</v>
      </c>
      <c r="P37" s="29">
        <f>IF($G37&lt;0,0,IFERROR((P$2*IFERROR(VLOOKUP(E37,Tabla11[],2,0),0))*($G37/SUM($G$5:$G$43)),0))</f>
        <v>18.893887821635978</v>
      </c>
      <c r="Q37" s="29">
        <f>IF($G37&lt;0,0,IFERROR((Q$2*IFERROR(VLOOKUP(E37,Tabla11[],2,0),0))*($G37/SUM($G$5:$G$43)),0))</f>
        <v>26.241510863383304</v>
      </c>
      <c r="R37" s="29">
        <f t="shared" si="2"/>
        <v>434.8</v>
      </c>
      <c r="S37" s="29">
        <f>+R37*IFERROR(VLOOKUP(E37,Tabla11[],4,0),0)</f>
        <v>65.22</v>
      </c>
      <c r="T37" s="29">
        <f t="shared" si="3"/>
        <v>25833.333333333332</v>
      </c>
      <c r="U37" s="29">
        <f t="shared" si="4"/>
        <v>-32089.503859746277</v>
      </c>
      <c r="V37" s="29">
        <f>IF($G37&lt;0,0,IFERROR((V$2*IFERROR(VLOOKUP(E37,Tabla11[],2,0),0))*($G37/SUM($G$5:$G$43)),0))</f>
        <v>47.716426221838788</v>
      </c>
      <c r="W37" s="29">
        <f>G37-G37*IFERROR(VLOOKUP(E37,Tabla11[],3,0),0)-L37-N37-O37-P37-Q37-G37*$R$2-(G37*$R$2)*IFERROR(VLOOKUP(E37,Tabla11[],4,0),0)-V37-T37</f>
        <v>-32406.461824429654</v>
      </c>
      <c r="X37" s="29">
        <f t="shared" si="5"/>
        <v>-32137.220285968117</v>
      </c>
      <c r="Y37" s="29">
        <f t="shared" si="6"/>
        <v>269.24153846199999</v>
      </c>
    </row>
    <row r="38" spans="1:25" x14ac:dyDescent="0.3">
      <c r="A38" s="30"/>
      <c r="B38" s="30" t="s">
        <v>162</v>
      </c>
      <c r="C38" s="33">
        <v>1</v>
      </c>
      <c r="D38" s="33">
        <v>1</v>
      </c>
      <c r="E38" s="33" t="s">
        <v>214</v>
      </c>
      <c r="F38" s="33" t="s">
        <v>1</v>
      </c>
      <c r="G38" s="29">
        <f>IFERROR(VLOOKUP(CONCATENATE(E38,F38),Ventas!D:H,5,0),0)</f>
        <v>2141123.3333333335</v>
      </c>
      <c r="H38" s="30">
        <f>IFERROR(VLOOKUP(A38,Modelos[],18,0),0)*G38/C38</f>
        <v>0</v>
      </c>
      <c r="I38" s="42">
        <f t="shared" si="0"/>
        <v>2141123.3333333335</v>
      </c>
      <c r="J38" s="30">
        <f>I38*IFERROR(VLOOKUP(E38,Tabla11[],3,0),0)</f>
        <v>749393.16666666663</v>
      </c>
      <c r="K38" s="30">
        <f t="shared" si="1"/>
        <v>1391730.166666667</v>
      </c>
      <c r="L38" s="30">
        <f>Sup!$A$2*D38</f>
        <v>6775.4474283854179</v>
      </c>
      <c r="M38" s="30">
        <f>IFERROR(VLOOKUP(A38,Modelos[],IF(B38="EST",15,14),0),0)/C38</f>
        <v>0</v>
      </c>
      <c r="N38" s="30">
        <f>IF($G38&lt;0,0,IFERROR((N$2*IFERROR(VLOOKUP(E38,Tabla11[],2,0),0))*($G38/SUM($G$5:$G$43)),0))</f>
        <v>39797.45603455275</v>
      </c>
      <c r="O38" s="30">
        <f>IF($G38&lt;0,0,IFERROR((O$2*IFERROR(VLOOKUP(E38,Tabla11[],2,0),0))*($G38/SUM($G$5:$G$43)),0))</f>
        <v>7738.3942289408133</v>
      </c>
      <c r="P38" s="30">
        <f>IF($G38&lt;0,0,IFERROR((P$2*IFERROR(VLOOKUP(E38,Tabla11[],2,0),0))*($G38/SUM($G$5:$G$43)),0))</f>
        <v>39797.45603455275</v>
      </c>
      <c r="Q38" s="30">
        <f>IF($G38&lt;0,0,IFERROR((Q$2*IFERROR(VLOOKUP(E38,Tabla11[],2,0),0))*($G38/SUM($G$5:$G$43)),0))</f>
        <v>55274.244492434373</v>
      </c>
      <c r="R38" s="30">
        <f t="shared" si="2"/>
        <v>556692.06666666677</v>
      </c>
      <c r="S38" s="30">
        <f>+R38*IFERROR(VLOOKUP(E38,Tabla11[],4,0),0)</f>
        <v>83503.810000000012</v>
      </c>
      <c r="T38" s="30">
        <f t="shared" si="3"/>
        <v>25833.333333333332</v>
      </c>
      <c r="U38" s="30">
        <f t="shared" si="4"/>
        <v>576317.95844780072</v>
      </c>
      <c r="V38" s="30">
        <f>IF($G38&lt;0,0,IFERROR((V$2*IFERROR(VLOOKUP(E38,Tabla11[],2,0),0))*($G38/SUM($G$5:$G$43)),0))</f>
        <v>100508.29096778134</v>
      </c>
      <c r="W38" s="30">
        <f>G38-G38*IFERROR(VLOOKUP(E38,Tabla11[],3,0),0)-L38-N38-O38-P38-Q38-G38*$R$2-(G38*$R$2)*IFERROR(VLOOKUP(E38,Tabla11[],4,0),0)-V38-T38</f>
        <v>131088.81081335249</v>
      </c>
      <c r="X38" s="30">
        <f t="shared" si="5"/>
        <v>475809.66748001939</v>
      </c>
      <c r="Y38" s="30">
        <f t="shared" si="6"/>
        <v>344720.85666666698</v>
      </c>
    </row>
    <row r="39" spans="1:25" x14ac:dyDescent="0.3">
      <c r="A39" s="29"/>
      <c r="B39" s="29" t="s">
        <v>162</v>
      </c>
      <c r="C39" s="32">
        <v>1</v>
      </c>
      <c r="D39" s="32">
        <v>1</v>
      </c>
      <c r="E39" s="32" t="s">
        <v>214</v>
      </c>
      <c r="F39" s="32" t="s">
        <v>234</v>
      </c>
      <c r="G39" s="29">
        <f>IFERROR(VLOOKUP(CONCATENATE(E39,F39),Ventas!D:H,5,0),0)</f>
        <v>1116924.1025641027</v>
      </c>
      <c r="H39" s="29">
        <f>IFERROR(VLOOKUP(A39,Modelos[],18,0),0)*G39/C39</f>
        <v>0</v>
      </c>
      <c r="I39" s="41">
        <f t="shared" si="0"/>
        <v>1116924.1025641027</v>
      </c>
      <c r="J39" s="29">
        <f>I39*IFERROR(VLOOKUP(E39,Tabla11[],3,0),0)</f>
        <v>390923.43589743593</v>
      </c>
      <c r="K39" s="29">
        <f t="shared" si="1"/>
        <v>726000.66666666674</v>
      </c>
      <c r="L39" s="29">
        <f>Sup!$A$2*D39</f>
        <v>6775.4474283854179</v>
      </c>
      <c r="M39" s="29">
        <f>IFERROR(VLOOKUP(A39,Modelos[],IF(B39="EST",15,14),0),0)/C39</f>
        <v>0</v>
      </c>
      <c r="N39" s="29">
        <f>IF($G39&lt;0,0,IFERROR((N$2*IFERROR(VLOOKUP(E39,Tabla11[],2,0),0))*($G39/SUM($G$5:$G$43)),0))</f>
        <v>20760.475201830421</v>
      </c>
      <c r="O39" s="29">
        <f>IF($G39&lt;0,0,IFERROR((O$2*IFERROR(VLOOKUP(E39,Tabla11[],2,0),0))*($G39/SUM($G$5:$G$43)),0))</f>
        <v>4036.7590670225827</v>
      </c>
      <c r="P39" s="29">
        <f>IF($G39&lt;0,0,IFERROR((P$2*IFERROR(VLOOKUP(E39,Tabla11[],2,0),0))*($G39/SUM($G$5:$G$43)),0))</f>
        <v>20760.475201830421</v>
      </c>
      <c r="Q39" s="29">
        <f>IF($G39&lt;0,0,IFERROR((Q$2*IFERROR(VLOOKUP(E39,Tabla11[],2,0),0))*($G39/SUM($G$5:$G$43)),0))</f>
        <v>28833.993335875584</v>
      </c>
      <c r="R39" s="29">
        <f t="shared" si="2"/>
        <v>290400.26666666672</v>
      </c>
      <c r="S39" s="29">
        <f>+R39*IFERROR(VLOOKUP(E39,Tabla11[],4,0),0)</f>
        <v>43560.040000000008</v>
      </c>
      <c r="T39" s="29">
        <f t="shared" si="3"/>
        <v>25833.333333333332</v>
      </c>
      <c r="U39" s="29">
        <f t="shared" si="4"/>
        <v>285039.87643172225</v>
      </c>
      <c r="V39" s="29">
        <f>IF($G39&lt;0,0,IFERROR((V$2*IFERROR(VLOOKUP(E39,Tabla11[],2,0),0))*($G39/SUM($G$5:$G$43)),0))</f>
        <v>52430.484008911619</v>
      </c>
      <c r="W39" s="29">
        <f>G39-G39*IFERROR(VLOOKUP(E39,Tabla11[],3,0),0)-L39-N39-O39-P39-Q39-G39*$R$2-(G39*$R$2)*IFERROR(VLOOKUP(E39,Tabla11[],4,0),0)-V39-T39</f>
        <v>52784.611909990213</v>
      </c>
      <c r="X39" s="29">
        <f t="shared" si="5"/>
        <v>232609.39242281063</v>
      </c>
      <c r="Y39" s="29">
        <f t="shared" si="6"/>
        <v>179824.78051282</v>
      </c>
    </row>
    <row r="40" spans="1:25" x14ac:dyDescent="0.3">
      <c r="A40" s="30"/>
      <c r="B40" s="30" t="s">
        <v>162</v>
      </c>
      <c r="C40" s="33">
        <v>1</v>
      </c>
      <c r="D40" s="33">
        <v>1</v>
      </c>
      <c r="E40" s="33" t="s">
        <v>214</v>
      </c>
      <c r="F40" s="33" t="s">
        <v>2</v>
      </c>
      <c r="G40" s="29">
        <f>IFERROR(VLOOKUP(CONCATENATE(E40,F40),Ventas!D:H,5,0),0)</f>
        <v>1081823.5897435897</v>
      </c>
      <c r="H40" s="30">
        <f>IFERROR(VLOOKUP(A40,Modelos[],18,0),0)*G40/C40</f>
        <v>0</v>
      </c>
      <c r="I40" s="42">
        <f t="shared" si="0"/>
        <v>1081823.5897435897</v>
      </c>
      <c r="J40" s="30">
        <f>I40*IFERROR(VLOOKUP(E40,Tabla11[],3,0),0)</f>
        <v>378638.25641025638</v>
      </c>
      <c r="K40" s="30">
        <f t="shared" si="1"/>
        <v>703185.33333333337</v>
      </c>
      <c r="L40" s="30">
        <f>Sup!$A$2*D40</f>
        <v>6775.4474283854179</v>
      </c>
      <c r="M40" s="30">
        <f>IFERROR(VLOOKUP(A40,Modelos[],IF(B40="EST",15,14),0),0)/C40</f>
        <v>0</v>
      </c>
      <c r="N40" s="30">
        <f>IF($G40&lt;0,0,IFERROR((N$2*IFERROR(VLOOKUP(E40,Tabla11[],2,0),0))*($G40/SUM($G$5:$G$43)),0))</f>
        <v>20108.055467750983</v>
      </c>
      <c r="O40" s="30">
        <f>IF($G40&lt;0,0,IFERROR((O$2*IFERROR(VLOOKUP(E40,Tabla11[],2,0),0))*($G40/SUM($G$5:$G$43)),0))</f>
        <v>3909.8996742849135</v>
      </c>
      <c r="P40" s="30">
        <f>IF($G40&lt;0,0,IFERROR((P$2*IFERROR(VLOOKUP(E40,Tabla11[],2,0),0))*($G40/SUM($G$5:$G$43)),0))</f>
        <v>20108.055467750983</v>
      </c>
      <c r="Q40" s="30">
        <f>IF($G40&lt;0,0,IFERROR((Q$2*IFERROR(VLOOKUP(E40,Tabla11[],2,0),0))*($G40/SUM($G$5:$G$43)),0))</f>
        <v>27927.854816320807</v>
      </c>
      <c r="R40" s="30">
        <f t="shared" si="2"/>
        <v>281274.13333333336</v>
      </c>
      <c r="S40" s="30">
        <f>+R40*IFERROR(VLOOKUP(E40,Tabla11[],4,0),0)</f>
        <v>42191.12</v>
      </c>
      <c r="T40" s="30">
        <f t="shared" si="3"/>
        <v>25833.333333333332</v>
      </c>
      <c r="U40" s="30">
        <f t="shared" si="4"/>
        <v>275057.43381217361</v>
      </c>
      <c r="V40" s="30">
        <f>IF($G40&lt;0,0,IFERROR((V$2*IFERROR(VLOOKUP(E40,Tabla11[],2,0),0))*($G40/SUM($G$5:$G$43)),0))</f>
        <v>50782.800990955722</v>
      </c>
      <c r="W40" s="30">
        <f>G40-G40*IFERROR(VLOOKUP(E40,Tabla11[],3,0),0)-L40-N40-O40-P40-Q40-G40*$R$2-(G40*$R$2)*IFERROR(VLOOKUP(E40,Tabla11[],4,0),0)-V40-T40</f>
        <v>50101.034872499833</v>
      </c>
      <c r="X40" s="30">
        <f t="shared" si="5"/>
        <v>224274.63282121788</v>
      </c>
      <c r="Y40" s="30">
        <f t="shared" si="6"/>
        <v>174173.597948718</v>
      </c>
    </row>
    <row r="41" spans="1:25" x14ac:dyDescent="0.3">
      <c r="A41" s="29"/>
      <c r="B41" s="29" t="s">
        <v>162</v>
      </c>
      <c r="C41" s="32">
        <v>1</v>
      </c>
      <c r="D41" s="32">
        <v>1</v>
      </c>
      <c r="E41" s="32" t="s">
        <v>214</v>
      </c>
      <c r="F41" s="32" t="s">
        <v>235</v>
      </c>
      <c r="G41" s="29">
        <f>IFERROR(VLOOKUP(CONCATENATE(E41,F41),Ventas!D:H,5,0),0)</f>
        <v>1083958.2051282052</v>
      </c>
      <c r="H41" s="29">
        <f>IFERROR(VLOOKUP(A41,Modelos[],18,0),0)*G41/C41</f>
        <v>0</v>
      </c>
      <c r="I41" s="41">
        <f t="shared" si="0"/>
        <v>1083958.2051282052</v>
      </c>
      <c r="J41" s="29">
        <f>I41*IFERROR(VLOOKUP(E41,Tabla11[],3,0),0)</f>
        <v>379385.37179487181</v>
      </c>
      <c r="K41" s="29">
        <f t="shared" si="1"/>
        <v>704572.83333333349</v>
      </c>
      <c r="L41" s="29">
        <f>Sup!$A$2*D41</f>
        <v>6775.4474283854179</v>
      </c>
      <c r="M41" s="29">
        <f>IFERROR(VLOOKUP(A41,Modelos[],IF(B41="EST",15,14),0),0)/C41</f>
        <v>0</v>
      </c>
      <c r="N41" s="29">
        <f>IF($G41&lt;0,0,IFERROR((N$2*IFERROR(VLOOKUP(E41,Tabla11[],2,0),0))*($G41/SUM($G$5:$G$43)),0))</f>
        <v>20147.731959337132</v>
      </c>
      <c r="O41" s="29">
        <f>IF($G41&lt;0,0,IFERROR((O$2*IFERROR(VLOOKUP(E41,Tabla11[],2,0),0))*($G41/SUM($G$5:$G$43)),0))</f>
        <v>3917.6145476488873</v>
      </c>
      <c r="P41" s="29">
        <f>IF($G41&lt;0,0,IFERROR((P$2*IFERROR(VLOOKUP(E41,Tabla11[],2,0),0))*($G41/SUM($G$5:$G$43)),0))</f>
        <v>20147.731959337132</v>
      </c>
      <c r="Q41" s="29">
        <f>IF($G41&lt;0,0,IFERROR((Q$2*IFERROR(VLOOKUP(E41,Tabla11[],2,0),0))*($G41/SUM($G$5:$G$43)),0))</f>
        <v>27982.961054634907</v>
      </c>
      <c r="R41" s="29">
        <f t="shared" si="2"/>
        <v>281829.13333333342</v>
      </c>
      <c r="S41" s="29">
        <f>+R41*IFERROR(VLOOKUP(E41,Tabla11[],4,0),0)</f>
        <v>42274.37000000001</v>
      </c>
      <c r="T41" s="29">
        <f t="shared" si="3"/>
        <v>25833.333333333332</v>
      </c>
      <c r="U41" s="29">
        <f t="shared" si="4"/>
        <v>275664.50971732329</v>
      </c>
      <c r="V41" s="29">
        <f>IF($G41&lt;0,0,IFERROR((V$2*IFERROR(VLOOKUP(E41,Tabla11[],2,0),0))*($G41/SUM($G$5:$G$43)),0))</f>
        <v>50883.003786769092</v>
      </c>
      <c r="W41" s="29">
        <f>G41-G41*IFERROR(VLOOKUP(E41,Tabla11[],3,0),0)-L41-N41-O41-P41-Q41-G41*$R$2-(G41*$R$2)*IFERROR(VLOOKUP(E41,Tabla11[],4,0),0)-V41-T41</f>
        <v>50264.234904913159</v>
      </c>
      <c r="X41" s="29">
        <f t="shared" si="5"/>
        <v>224781.50593055421</v>
      </c>
      <c r="Y41" s="29">
        <f t="shared" si="6"/>
        <v>174517.27102564101</v>
      </c>
    </row>
    <row r="42" spans="1:25" x14ac:dyDescent="0.3">
      <c r="A42" s="30"/>
      <c r="B42" s="30" t="s">
        <v>162</v>
      </c>
      <c r="C42" s="33">
        <v>1</v>
      </c>
      <c r="D42" s="33">
        <v>1</v>
      </c>
      <c r="E42" s="33" t="s">
        <v>214</v>
      </c>
      <c r="F42" s="33" t="s">
        <v>236</v>
      </c>
      <c r="G42" s="29">
        <f>IFERROR(VLOOKUP(CONCATENATE(E42,F42),Ventas!D:H,5,0),0)</f>
        <v>832895.12820512825</v>
      </c>
      <c r="H42" s="30">
        <f>IFERROR(VLOOKUP(A42,Modelos[],18,0),0)*G42/C42</f>
        <v>0</v>
      </c>
      <c r="I42" s="42">
        <f t="shared" si="0"/>
        <v>832895.12820512825</v>
      </c>
      <c r="J42" s="30">
        <f>I42*IFERROR(VLOOKUP(E42,Tabla11[],3,0),0)</f>
        <v>291513.29487179487</v>
      </c>
      <c r="K42" s="30">
        <f t="shared" si="1"/>
        <v>541381.83333333337</v>
      </c>
      <c r="L42" s="30">
        <f>Sup!$A$2*D42</f>
        <v>6775.4474283854179</v>
      </c>
      <c r="M42" s="30">
        <f>IFERROR(VLOOKUP(A42,Modelos[],IF(B42="EST",15,14),0),0)/C42</f>
        <v>0</v>
      </c>
      <c r="N42" s="30">
        <f>IF($G42&lt;0,0,IFERROR((N$2*IFERROR(VLOOKUP(E42,Tabla11[],2,0),0))*($G42/SUM($G$5:$G$43)),0))</f>
        <v>15481.176039743981</v>
      </c>
      <c r="O42" s="30">
        <f>IF($G42&lt;0,0,IFERROR((O$2*IFERROR(VLOOKUP(E42,Tabla11[],2,0),0))*($G42/SUM($G$5:$G$43)),0))</f>
        <v>3010.2286743946634</v>
      </c>
      <c r="P42" s="30">
        <f>IF($G42&lt;0,0,IFERROR((P$2*IFERROR(VLOOKUP(E42,Tabla11[],2,0),0))*($G42/SUM($G$5:$G$43)),0))</f>
        <v>15481.176039743981</v>
      </c>
      <c r="Q42" s="30">
        <f>IF($G42&lt;0,0,IFERROR((Q$2*IFERROR(VLOOKUP(E42,Tabla11[],2,0),0))*($G42/SUM($G$5:$G$43)),0))</f>
        <v>21501.633388533304</v>
      </c>
      <c r="R42" s="30">
        <f t="shared" si="2"/>
        <v>216552.73333333337</v>
      </c>
      <c r="S42" s="30">
        <f>+R42*IFERROR(VLOOKUP(E42,Tabla11[],4,0),0)</f>
        <v>32482.910000000003</v>
      </c>
      <c r="T42" s="30">
        <f t="shared" si="3"/>
        <v>25833.333333333332</v>
      </c>
      <c r="U42" s="30">
        <f t="shared" si="4"/>
        <v>204263.19509586535</v>
      </c>
      <c r="V42" s="30">
        <f>IF($G42&lt;0,0,IFERROR((V$2*IFERROR(VLOOKUP(E42,Tabla11[],2,0),0))*($G42/SUM($G$5:$G$43)),0))</f>
        <v>39097.638416262133</v>
      </c>
      <c r="W42" s="30">
        <f>G42-G42*IFERROR(VLOOKUP(E42,Tabla11[],3,0),0)-L42-N42-O42-P42-Q42-G42*$R$2-(G42*$R$2)*IFERROR(VLOOKUP(E42,Tabla11[],4,0),0)-V42-T42</f>
        <v>31069.441038577559</v>
      </c>
      <c r="X42" s="30">
        <f t="shared" si="5"/>
        <v>165165.55667960321</v>
      </c>
      <c r="Y42" s="30">
        <f t="shared" si="6"/>
        <v>134096.115641026</v>
      </c>
    </row>
    <row r="43" spans="1:25" x14ac:dyDescent="0.3">
      <c r="A43" s="29"/>
      <c r="B43" s="29" t="s">
        <v>162</v>
      </c>
      <c r="C43" s="32">
        <v>1</v>
      </c>
      <c r="D43" s="32">
        <v>1</v>
      </c>
      <c r="E43" s="32" t="s">
        <v>214</v>
      </c>
      <c r="F43" s="32" t="s">
        <v>3</v>
      </c>
      <c r="G43" s="29">
        <f>IFERROR(VLOOKUP(CONCATENATE(E43,F43),Ventas!D:H,5,0),0)</f>
        <v>991091.28205128212</v>
      </c>
      <c r="H43" s="29">
        <f>IFERROR(VLOOKUP(A43,Modelos[],18,0),0)*G43/C43</f>
        <v>0</v>
      </c>
      <c r="I43" s="41">
        <f t="shared" si="0"/>
        <v>991091.28205128212</v>
      </c>
      <c r="J43" s="29">
        <f>I43*IFERROR(VLOOKUP(E43,Tabla11[],3,0),0)</f>
        <v>346881.94871794875</v>
      </c>
      <c r="K43" s="29">
        <f t="shared" si="1"/>
        <v>644209.33333333337</v>
      </c>
      <c r="L43" s="29">
        <f>Sup!$A$2*D43</f>
        <v>6775.4474283854179</v>
      </c>
      <c r="M43" s="29">
        <f>IFERROR(VLOOKUP(A43,Modelos[],IF(B43="EST",15,14),0),0)/C43</f>
        <v>0</v>
      </c>
      <c r="N43" s="29">
        <f>IF($G43&lt;0,0,IFERROR((N$2*IFERROR(VLOOKUP(E43,Tabla11[],2,0),0))*($G43/SUM($G$5:$G$43)),0))</f>
        <v>18421.597256734898</v>
      </c>
      <c r="O43" s="29">
        <f>IF($G43&lt;0,0,IFERROR((O$2*IFERROR(VLOOKUP(E43,Tabla11[],2,0),0))*($G43/SUM($G$5:$G$43)),0))</f>
        <v>3581.9772443651195</v>
      </c>
      <c r="P43" s="29">
        <f>IF($G43&lt;0,0,IFERROR((P$2*IFERROR(VLOOKUP(E43,Tabla11[],2,0),0))*($G43/SUM($G$5:$G$43)),0))</f>
        <v>18421.597256734898</v>
      </c>
      <c r="Q43" s="29">
        <f>IF($G43&lt;0,0,IFERROR((Q$2*IFERROR(VLOOKUP(E43,Tabla11[],2,0),0))*($G43/SUM($G$5:$G$43)),0))</f>
        <v>25585.551745465134</v>
      </c>
      <c r="R43" s="29">
        <f t="shared" si="2"/>
        <v>257683.73333333337</v>
      </c>
      <c r="S43" s="29">
        <f>+R43*IFERROR(VLOOKUP(E43,Tabla11[],4,0),0)</f>
        <v>38652.560000000005</v>
      </c>
      <c r="T43" s="29">
        <f t="shared" si="3"/>
        <v>25833.333333333332</v>
      </c>
      <c r="U43" s="29">
        <f t="shared" si="4"/>
        <v>249253.53573498124</v>
      </c>
      <c r="V43" s="29">
        <f>IF($G43&lt;0,0,IFERROR((V$2*IFERROR(VLOOKUP(E43,Tabla11[],2,0),0))*($G43/SUM($G$5:$G$43)),0))</f>
        <v>46523.658586711506</v>
      </c>
      <c r="W43" s="29">
        <f>G43-G43*IFERROR(VLOOKUP(E43,Tabla11[],3,0),0)-L43-N43-O43-P43-Q43-G43*$R$2-(G43*$R$2)*IFERROR(VLOOKUP(E43,Tabla11[],4,0),0)-V43-T43</f>
        <v>43164.180738013369</v>
      </c>
      <c r="X43" s="29">
        <f t="shared" si="5"/>
        <v>202729.87714826973</v>
      </c>
      <c r="Y43" s="29">
        <f t="shared" si="6"/>
        <v>159565.696410256</v>
      </c>
    </row>
    <row r="44" spans="1:25" x14ac:dyDescent="0.3">
      <c r="A44" s="30"/>
      <c r="B44" s="30" t="s">
        <v>162</v>
      </c>
      <c r="C44" s="33">
        <v>1</v>
      </c>
      <c r="D44" s="33">
        <v>1</v>
      </c>
      <c r="E44" s="33" t="s">
        <v>214</v>
      </c>
      <c r="F44" s="33" t="s">
        <v>237</v>
      </c>
      <c r="G44" s="29">
        <f>IFERROR(VLOOKUP(CONCATENATE(E44,F44),Ventas!D:H,5,0),0)</f>
        <v>508285.12820512813</v>
      </c>
      <c r="H44" s="30">
        <f>IFERROR(VLOOKUP(A44,Modelos[],18,0),0)*G44/C44</f>
        <v>0</v>
      </c>
      <c r="I44" s="42">
        <f t="shared" si="0"/>
        <v>508285.12820512813</v>
      </c>
      <c r="J44" s="30">
        <f>I44*IFERROR(VLOOKUP(E44,Tabla11[],3,0),0)</f>
        <v>177899.79487179485</v>
      </c>
      <c r="K44" s="30">
        <f t="shared" si="1"/>
        <v>330385.33333333326</v>
      </c>
      <c r="L44" s="30">
        <f>Sup!$A$2*D44</f>
        <v>6775.4474283854179</v>
      </c>
      <c r="M44" s="30">
        <f>IFERROR(VLOOKUP(A44,Modelos[],IF(B44="EST",15,14),0),0)/C44</f>
        <v>0</v>
      </c>
      <c r="N44" s="30">
        <f>IF($G44&lt;0,0,IFERROR((N$2*IFERROR(VLOOKUP(E44,Tabla11[],2,0),0))*($G44/SUM($G$5:$G$43)),0))</f>
        <v>9447.5898365315679</v>
      </c>
      <c r="O44" s="30">
        <f>IF($G44&lt;0,0,IFERROR((O$2*IFERROR(VLOOKUP(E44,Tabla11[],2,0),0))*($G44/SUM($G$5:$G$43)),0))</f>
        <v>1837.0313571033605</v>
      </c>
      <c r="P44" s="30">
        <f>IF($G44&lt;0,0,IFERROR((P$2*IFERROR(VLOOKUP(E44,Tabla11[],2,0),0))*($G44/SUM($G$5:$G$43)),0))</f>
        <v>9447.5898365315679</v>
      </c>
      <c r="Q44" s="30">
        <f>IF($G44&lt;0,0,IFERROR((Q$2*IFERROR(VLOOKUP(E44,Tabla11[],2,0),0))*($G44/SUM($G$5:$G$43)),0))</f>
        <v>13121.652550738287</v>
      </c>
      <c r="R44" s="30">
        <f t="shared" si="2"/>
        <v>132154.1333333333</v>
      </c>
      <c r="S44" s="30">
        <f>+R44*IFERROR(VLOOKUP(E44,Tabla11[],4,0),0)</f>
        <v>19823.119999999995</v>
      </c>
      <c r="T44" s="30">
        <f t="shared" si="3"/>
        <v>25833.333333333332</v>
      </c>
      <c r="U44" s="30">
        <f t="shared" si="4"/>
        <v>111945.43565737639</v>
      </c>
      <c r="V44" s="30">
        <f>IF($G44&lt;0,0,IFERROR((V$2*IFERROR(VLOOKUP(E44,Tabla11[],2,0),0))*($G44/SUM($G$5:$G$43)),0))</f>
        <v>23859.844393318639</v>
      </c>
      <c r="W44" s="30">
        <f>G44-G44*IFERROR(VLOOKUP(E44,Tabla11[],3,0),0)-L44-N44-O44-P44-Q44-G44*$R$2-(G44*$R$2)*IFERROR(VLOOKUP(E44,Tabla11[],4,0),0)-V44-T44</f>
        <v>6251.6856230321209</v>
      </c>
      <c r="X44" s="30">
        <f t="shared" si="5"/>
        <v>88085.591264057759</v>
      </c>
      <c r="Y44" s="30">
        <f t="shared" si="6"/>
        <v>81833.905641025995</v>
      </c>
    </row>
    <row r="45" spans="1:25" x14ac:dyDescent="0.3">
      <c r="A45" s="29"/>
      <c r="B45" s="29" t="s">
        <v>162</v>
      </c>
      <c r="C45" s="32">
        <v>1</v>
      </c>
      <c r="D45" s="32">
        <v>1</v>
      </c>
      <c r="E45" s="32" t="s">
        <v>214</v>
      </c>
      <c r="F45" s="32" t="s">
        <v>238</v>
      </c>
      <c r="G45" s="29">
        <f>IFERROR(VLOOKUP(CONCATENATE(E45,F45),Ventas!D:H,5,0),0)</f>
        <v>607589.23076923075</v>
      </c>
      <c r="H45" s="29">
        <f>IFERROR(VLOOKUP(A45,Modelos[],18,0),0)*G45/C45</f>
        <v>0</v>
      </c>
      <c r="I45" s="41">
        <f t="shared" si="0"/>
        <v>607589.23076923075</v>
      </c>
      <c r="J45" s="29">
        <f>I45*IFERROR(VLOOKUP(E45,Tabla11[],3,0),0)</f>
        <v>212656.23076923075</v>
      </c>
      <c r="K45" s="29">
        <f t="shared" si="1"/>
        <v>394933</v>
      </c>
      <c r="L45" s="29">
        <f>Sup!$A$2*D45</f>
        <v>6775.4474283854179</v>
      </c>
      <c r="M45" s="29">
        <f>IFERROR(VLOOKUP(A45,Modelos[],IF(B45="EST",15,14),0),0)/C45</f>
        <v>0</v>
      </c>
      <c r="N45" s="29">
        <f>IF($G45&lt;0,0,IFERROR((N$2*IFERROR(VLOOKUP(E45,Tabla11[],2,0),0))*($G45/SUM($G$5:$G$43)),0))</f>
        <v>11293.37358673384</v>
      </c>
      <c r="O45" s="29">
        <f>IF($G45&lt;0,0,IFERROR((O$2*IFERROR(VLOOKUP(E45,Tabla11[],2,0),0))*($G45/SUM($G$5:$G$43)),0))</f>
        <v>2195.9337529760246</v>
      </c>
      <c r="P45" s="29">
        <f>IF($G45&lt;0,0,IFERROR((P$2*IFERROR(VLOOKUP(E45,Tabla11[],2,0),0))*($G45/SUM($G$5:$G$43)),0))</f>
        <v>11293.37358673384</v>
      </c>
      <c r="Q45" s="29">
        <f>IF($G45&lt;0,0,IFERROR((Q$2*IFERROR(VLOOKUP(E45,Tabla11[],2,0),0))*($G45/SUM($G$5:$G$43)),0))</f>
        <v>15685.241092685888</v>
      </c>
      <c r="R45" s="29">
        <f t="shared" si="2"/>
        <v>157973.20000000001</v>
      </c>
      <c r="S45" s="29">
        <f>+R45*IFERROR(VLOOKUP(E45,Tabla11[],4,0),0)</f>
        <v>23695.98</v>
      </c>
      <c r="T45" s="29">
        <f t="shared" si="3"/>
        <v>25833.333333333332</v>
      </c>
      <c r="U45" s="29">
        <f t="shared" si="4"/>
        <v>140187.11721915164</v>
      </c>
      <c r="V45" s="29">
        <f>IF($G45&lt;0,0,IFERROR((V$2*IFERROR(VLOOKUP(E45,Tabla11[],2,0),0))*($G45/SUM($G$5:$G$43)),0))</f>
        <v>28521.362709159341</v>
      </c>
      <c r="W45" s="29">
        <f>G45-G45*IFERROR(VLOOKUP(E45,Tabla11[],3,0),0)-L45-N45-O45-P45-Q45-G45*$R$2-(G45*$R$2)*IFERROR(VLOOKUP(E45,Tabla11[],4,0),0)-V45-T45</f>
        <v>13843.888356146166</v>
      </c>
      <c r="X45" s="29">
        <f t="shared" si="5"/>
        <v>111665.7545099923</v>
      </c>
      <c r="Y45" s="29">
        <f t="shared" si="6"/>
        <v>97821.866153846</v>
      </c>
    </row>
    <row r="46" spans="1:25" x14ac:dyDescent="0.3">
      <c r="A46" s="30"/>
      <c r="B46" s="30" t="s">
        <v>162</v>
      </c>
      <c r="C46" s="33">
        <v>1</v>
      </c>
      <c r="D46" s="33">
        <v>1</v>
      </c>
      <c r="E46" s="33" t="s">
        <v>214</v>
      </c>
      <c r="F46" s="33" t="s">
        <v>17</v>
      </c>
      <c r="G46" s="29">
        <f>IFERROR(VLOOKUP(CONCATENATE(E46,F46),Ventas!D:H,5,0),0)</f>
        <v>905704.87179487187</v>
      </c>
      <c r="H46" s="30">
        <f>IFERROR(VLOOKUP(A46,Modelos[],18,0),0)*G46/C46</f>
        <v>0</v>
      </c>
      <c r="I46" s="42">
        <f t="shared" si="0"/>
        <v>905704.87179487187</v>
      </c>
      <c r="J46" s="30">
        <f>I46*IFERROR(VLOOKUP(E46,Tabla11[],3,0),0)</f>
        <v>316996.70512820513</v>
      </c>
      <c r="K46" s="30">
        <f t="shared" si="1"/>
        <v>588708.16666666674</v>
      </c>
      <c r="L46" s="30">
        <f>Sup!$A$2*D46</f>
        <v>6775.4474283854179</v>
      </c>
      <c r="M46" s="30">
        <f>IFERROR(VLOOKUP(A46,Modelos[],IF(B46="EST",15,14),0),0)/C46</f>
        <v>0</v>
      </c>
      <c r="N46" s="30">
        <f>IF($G46&lt;0,0,IFERROR((N$2*IFERROR(VLOOKUP(E46,Tabla11[],2,0),0))*($G46/SUM($G$5:$G$43)),0))</f>
        <v>16834.504231674327</v>
      </c>
      <c r="O46" s="30">
        <f>IF($G46&lt;0,0,IFERROR((O$2*IFERROR(VLOOKUP(E46,Tabla11[],2,0),0))*($G46/SUM($G$5:$G$43)),0))</f>
        <v>3273.3758228255642</v>
      </c>
      <c r="P46" s="30">
        <f>IF($G46&lt;0,0,IFERROR((P$2*IFERROR(VLOOKUP(E46,Tabla11[],2,0),0))*($G46/SUM($G$5:$G$43)),0))</f>
        <v>16834.504231674327</v>
      </c>
      <c r="Q46" s="30">
        <f>IF($G46&lt;0,0,IFERROR((Q$2*IFERROR(VLOOKUP(E46,Tabla11[],2,0),0))*($G46/SUM($G$5:$G$43)),0))</f>
        <v>23381.255877325453</v>
      </c>
      <c r="R46" s="30">
        <f t="shared" si="2"/>
        <v>235483.26666666672</v>
      </c>
      <c r="S46" s="30">
        <f>+R46*IFERROR(VLOOKUP(E46,Tabla11[],4,0),0)</f>
        <v>35322.490000000005</v>
      </c>
      <c r="T46" s="30">
        <f t="shared" si="3"/>
        <v>25833.333333333332</v>
      </c>
      <c r="U46" s="30">
        <f t="shared" si="4"/>
        <v>224969.9890747816</v>
      </c>
      <c r="V46" s="30">
        <f>IF($G46&lt;0,0,IFERROR((V$2*IFERROR(VLOOKUP(E46,Tabla11[],2,0),0))*($G46/SUM($G$5:$G$43)),0))</f>
        <v>42515.462499573929</v>
      </c>
      <c r="W46" s="30">
        <f>G46-G46*IFERROR(VLOOKUP(E46,Tabla11[],3,0),0)-L46-N46-O46-P46-Q46-G46*$R$2-(G46*$R$2)*IFERROR(VLOOKUP(E46,Tabla11[],4,0),0)-V46-T46</f>
        <v>36636.042216233298</v>
      </c>
      <c r="X46" s="30">
        <f t="shared" si="5"/>
        <v>182454.52657520765</v>
      </c>
      <c r="Y46" s="30">
        <f t="shared" si="6"/>
        <v>145818.484358974</v>
      </c>
    </row>
    <row r="47" spans="1:25" x14ac:dyDescent="0.3">
      <c r="A47" s="29"/>
      <c r="B47" s="29" t="s">
        <v>162</v>
      </c>
      <c r="C47" s="32">
        <v>1</v>
      </c>
      <c r="D47" s="32">
        <v>1</v>
      </c>
      <c r="E47" s="32" t="s">
        <v>214</v>
      </c>
      <c r="F47" s="32" t="s">
        <v>21</v>
      </c>
      <c r="G47" s="29">
        <f>IFERROR(VLOOKUP(CONCATENATE(E47,F47),Ventas!D:H,5,0),0)</f>
        <v>590072.56410256412</v>
      </c>
      <c r="H47" s="29">
        <f>IFERROR(VLOOKUP(A47,Modelos[],18,0),0)*G47/C47</f>
        <v>0</v>
      </c>
      <c r="I47" s="41">
        <f t="shared" si="0"/>
        <v>590072.56410256412</v>
      </c>
      <c r="J47" s="29">
        <f>I47*IFERROR(VLOOKUP(E47,Tabla11[],3,0),0)</f>
        <v>206525.39743589744</v>
      </c>
      <c r="K47" s="29">
        <f t="shared" si="1"/>
        <v>383547.16666666669</v>
      </c>
      <c r="L47" s="29">
        <f>Sup!$A$2*D47</f>
        <v>6775.4474283854179</v>
      </c>
      <c r="M47" s="29">
        <f>IFERROR(VLOOKUP(A47,Modelos[],IF(B47="EST",15,14),0),0)/C47</f>
        <v>0</v>
      </c>
      <c r="N47" s="29">
        <f>IF($G47&lt;0,0,IFERROR((N$2*IFERROR(VLOOKUP(E47,Tabla11[],2,0),0))*($G47/SUM($G$5:$G$43)),0))</f>
        <v>10967.788058480643</v>
      </c>
      <c r="O47" s="29">
        <f>IF($G47&lt;0,0,IFERROR((O$2*IFERROR(VLOOKUP(E47,Tabla11[],2,0),0))*($G47/SUM($G$5:$G$43)),0))</f>
        <v>2132.6254558156807</v>
      </c>
      <c r="P47" s="29">
        <f>IF($G47&lt;0,0,IFERROR((P$2*IFERROR(VLOOKUP(E47,Tabla11[],2,0),0))*($G47/SUM($G$5:$G$43)),0))</f>
        <v>10967.788058480643</v>
      </c>
      <c r="Q47" s="29">
        <f>IF($G47&lt;0,0,IFERROR((Q$2*IFERROR(VLOOKUP(E47,Tabla11[],2,0),0))*($G47/SUM($G$5:$G$43)),0))</f>
        <v>15233.038970112002</v>
      </c>
      <c r="R47" s="29">
        <f t="shared" si="2"/>
        <v>153418.86666666667</v>
      </c>
      <c r="S47" s="29">
        <f>+R47*IFERROR(VLOOKUP(E47,Tabla11[],4,0),0)</f>
        <v>23012.829999999998</v>
      </c>
      <c r="T47" s="29">
        <f t="shared" si="3"/>
        <v>25833.333333333332</v>
      </c>
      <c r="U47" s="29">
        <f t="shared" si="4"/>
        <v>135205.44869539229</v>
      </c>
      <c r="V47" s="29">
        <f>IF($G47&lt;0,0,IFERROR((V$2*IFERROR(VLOOKUP(E47,Tabla11[],2,0),0))*($G47/SUM($G$5:$G$43)),0))</f>
        <v>27699.0979648963</v>
      </c>
      <c r="W47" s="29">
        <f>G47-G47*IFERROR(VLOOKUP(E47,Tabla11[],3,0),0)-L47-N47-O47-P47-Q47-G47*$R$2-(G47*$R$2)*IFERROR(VLOOKUP(E47,Tabla11[],4,0),0)-V47-T47</f>
        <v>12504.66790998312</v>
      </c>
      <c r="X47" s="29">
        <f t="shared" si="5"/>
        <v>107506.35073049599</v>
      </c>
      <c r="Y47" s="29">
        <f t="shared" si="6"/>
        <v>95001.682820513</v>
      </c>
    </row>
    <row r="48" spans="1:25" x14ac:dyDescent="0.3">
      <c r="A48" s="30"/>
      <c r="B48" s="30" t="s">
        <v>162</v>
      </c>
      <c r="C48" s="33">
        <v>1</v>
      </c>
      <c r="D48" s="33">
        <v>1</v>
      </c>
      <c r="E48" s="33" t="s">
        <v>214</v>
      </c>
      <c r="F48" s="33" t="s">
        <v>31</v>
      </c>
      <c r="G48" s="29">
        <f>IFERROR(VLOOKUP(CONCATENATE(E48,F48),Ventas!D:H,5,0),0)</f>
        <v>1036356.1538461538</v>
      </c>
      <c r="H48" s="30">
        <f>IFERROR(VLOOKUP(A48,Modelos[],18,0),0)*G48/C48</f>
        <v>0</v>
      </c>
      <c r="I48" s="42">
        <f t="shared" si="0"/>
        <v>1036356.1538461538</v>
      </c>
      <c r="J48" s="30">
        <f>I48*IFERROR(VLOOKUP(E48,Tabla11[],3,0),0)</f>
        <v>362724.65384615381</v>
      </c>
      <c r="K48" s="30">
        <f t="shared" si="1"/>
        <v>673631.5</v>
      </c>
      <c r="L48" s="30">
        <f>Sup!$A$2*D48</f>
        <v>6775.4474283854179</v>
      </c>
      <c r="M48" s="30">
        <f>IFERROR(VLOOKUP(A48,Modelos[],IF(B48="EST",15,14),0),0)/C48</f>
        <v>0</v>
      </c>
      <c r="N48" s="30">
        <f>IF($G48&lt;0,0,IFERROR((N$2*IFERROR(VLOOKUP(E48,Tabla11[],2,0),0))*($G48/SUM($G$5:$G$43)),0))</f>
        <v>19262.943813993505</v>
      </c>
      <c r="O48" s="30">
        <f>IF($G48&lt;0,0,IFERROR((O$2*IFERROR(VLOOKUP(E48,Tabla11[],2,0),0))*($G48/SUM($G$5:$G$43)),0))</f>
        <v>3745.5724082765155</v>
      </c>
      <c r="P48" s="30">
        <f>IF($G48&lt;0,0,IFERROR((P$2*IFERROR(VLOOKUP(E48,Tabla11[],2,0),0))*($G48/SUM($G$5:$G$43)),0))</f>
        <v>19262.943813993505</v>
      </c>
      <c r="Q48" s="30">
        <f>IF($G48&lt;0,0,IFERROR((Q$2*IFERROR(VLOOKUP(E48,Tabla11[],2,0),0))*($G48/SUM($G$5:$G$43)),0))</f>
        <v>26754.088630546532</v>
      </c>
      <c r="R48" s="30">
        <f t="shared" si="2"/>
        <v>269452.60000000003</v>
      </c>
      <c r="S48" s="30">
        <f>+R48*IFERROR(VLOOKUP(E48,Tabla11[],4,0),0)</f>
        <v>40417.890000000007</v>
      </c>
      <c r="T48" s="30">
        <f t="shared" si="3"/>
        <v>25833.333333333332</v>
      </c>
      <c r="U48" s="30">
        <f t="shared" si="4"/>
        <v>262126.68057147117</v>
      </c>
      <c r="V48" s="30">
        <f>IF($G48&lt;0,0,IFERROR((V$2*IFERROR(VLOOKUP(E48,Tabla11[],2,0),0))*($G48/SUM($G$5:$G$43)),0))</f>
        <v>48648.475421945172</v>
      </c>
      <c r="W48" s="30">
        <f>G48-G48*IFERROR(VLOOKUP(E48,Tabla11[],3,0),0)-L48-N48-O48-P48-Q48-G48*$R$2-(G48*$R$2)*IFERROR(VLOOKUP(E48,Tabla11[],4,0),0)-V48-T48</f>
        <v>46624.864380295359</v>
      </c>
      <c r="X48" s="30">
        <f t="shared" si="5"/>
        <v>213478.20514952601</v>
      </c>
      <c r="Y48" s="30">
        <f t="shared" si="6"/>
        <v>166853.340769231</v>
      </c>
    </row>
    <row r="49" spans="1:25" x14ac:dyDescent="0.3">
      <c r="A49" s="29"/>
      <c r="B49" s="29" t="s">
        <v>162</v>
      </c>
      <c r="C49" s="32">
        <v>1</v>
      </c>
      <c r="D49" s="32">
        <v>1</v>
      </c>
      <c r="E49" s="32" t="s">
        <v>214</v>
      </c>
      <c r="F49" s="32" t="s">
        <v>27</v>
      </c>
      <c r="G49" s="29">
        <f>IFERROR(VLOOKUP(CONCATENATE(E49,F49),Ventas!D:H,5,0),0)</f>
        <v>919853.07692307688</v>
      </c>
      <c r="H49" s="29">
        <f>IFERROR(VLOOKUP(A49,Modelos[],18,0),0)*G49/C49</f>
        <v>0</v>
      </c>
      <c r="I49" s="41">
        <f t="shared" si="0"/>
        <v>919853.07692307688</v>
      </c>
      <c r="J49" s="29">
        <f>I49*IFERROR(VLOOKUP(E49,Tabla11[],3,0),0)</f>
        <v>321948.57692307688</v>
      </c>
      <c r="K49" s="29">
        <f t="shared" si="1"/>
        <v>597904.5</v>
      </c>
      <c r="L49" s="29">
        <f>Sup!$A$2*D49</f>
        <v>6775.4474283854179</v>
      </c>
      <c r="M49" s="29">
        <f>IFERROR(VLOOKUP(A49,Modelos[],IF(B49="EST",15,14),0),0)/C49</f>
        <v>0</v>
      </c>
      <c r="N49" s="29">
        <f>IF($G49&lt;0,0,IFERROR((N$2*IFERROR(VLOOKUP(E49,Tabla11[],2,0),0))*($G49/SUM($G$5:$G$43)),0))</f>
        <v>17097.479541312838</v>
      </c>
      <c r="O49" s="29">
        <f>IF($G49&lt;0,0,IFERROR((O$2*IFERROR(VLOOKUP(E49,Tabla11[],2,0),0))*($G49/SUM($G$5:$G$43)),0))</f>
        <v>3324.5099108108302</v>
      </c>
      <c r="P49" s="29">
        <f>IF($G49&lt;0,0,IFERROR((P$2*IFERROR(VLOOKUP(E49,Tabla11[],2,0),0))*($G49/SUM($G$5:$G$43)),0))</f>
        <v>17097.479541312838</v>
      </c>
      <c r="Q49" s="29">
        <f>IF($G49&lt;0,0,IFERROR((Q$2*IFERROR(VLOOKUP(E49,Tabla11[],2,0),0))*($G49/SUM($G$5:$G$43)),0))</f>
        <v>23746.499362934497</v>
      </c>
      <c r="R49" s="29">
        <f t="shared" si="2"/>
        <v>239161.80000000002</v>
      </c>
      <c r="S49" s="29">
        <f>+R49*IFERROR(VLOOKUP(E49,Tabla11[],4,0),0)</f>
        <v>35874.270000000004</v>
      </c>
      <c r="T49" s="29">
        <f t="shared" si="3"/>
        <v>25833.333333333332</v>
      </c>
      <c r="U49" s="29">
        <f t="shared" si="4"/>
        <v>228993.6808819102</v>
      </c>
      <c r="V49" s="29">
        <f>IF($G49&lt;0,0,IFERROR((V$2*IFERROR(VLOOKUP(E49,Tabla11[],2,0),0))*($G49/SUM($G$5:$G$43)),0))</f>
        <v>43179.605426587703</v>
      </c>
      <c r="W49" s="29">
        <f>G49-G49*IFERROR(VLOOKUP(E49,Tabla11[],3,0),0)-L49-N49-O49-P49-Q49-G49*$R$2-(G49*$R$2)*IFERROR(VLOOKUP(E49,Tabla11[],4,0),0)-V49-T49</f>
        <v>37717.730070707301</v>
      </c>
      <c r="X49" s="29">
        <f t="shared" si="5"/>
        <v>185814.07545532251</v>
      </c>
      <c r="Y49" s="29">
        <f t="shared" si="6"/>
        <v>148096.34538461501</v>
      </c>
    </row>
    <row r="50" spans="1:25" x14ac:dyDescent="0.3">
      <c r="A50" s="30"/>
      <c r="B50" s="30" t="s">
        <v>162</v>
      </c>
      <c r="C50" s="33">
        <v>1</v>
      </c>
      <c r="D50" s="33">
        <v>1</v>
      </c>
      <c r="E50" s="33" t="s">
        <v>214</v>
      </c>
      <c r="F50" s="33" t="s">
        <v>239</v>
      </c>
      <c r="G50" s="29">
        <f>IFERROR(VLOOKUP(CONCATENATE(E50,F50),Ventas!D:H,5,0),0)</f>
        <v>576196.92307692301</v>
      </c>
      <c r="H50" s="30">
        <f>IFERROR(VLOOKUP(A50,Modelos[],18,0),0)*G50/C50</f>
        <v>0</v>
      </c>
      <c r="I50" s="42">
        <f t="shared" si="0"/>
        <v>576196.92307692301</v>
      </c>
      <c r="J50" s="30">
        <f>I50*IFERROR(VLOOKUP(E50,Tabla11[],3,0),0)</f>
        <v>201668.92307692303</v>
      </c>
      <c r="K50" s="30">
        <f t="shared" si="1"/>
        <v>374528</v>
      </c>
      <c r="L50" s="30">
        <f>Sup!$A$2*D50</f>
        <v>6775.4474283854179</v>
      </c>
      <c r="M50" s="30">
        <f>IFERROR(VLOOKUP(A50,Modelos[],IF(B50="EST",15,14),0),0)/C50</f>
        <v>0</v>
      </c>
      <c r="N50" s="30">
        <f>IF($G50&lt;0,0,IFERROR((N$2*IFERROR(VLOOKUP(E50,Tabla11[],2,0),0))*($G50/SUM($G$5:$G$43)),0))</f>
        <v>10709.878948308324</v>
      </c>
      <c r="O50" s="30">
        <f>IF($G50&lt;0,0,IFERROR((O$2*IFERROR(VLOOKUP(E50,Tabla11[],2,0),0))*($G50/SUM($G$5:$G$43)),0))</f>
        <v>2082.4764621710633</v>
      </c>
      <c r="P50" s="30">
        <f>IF($G50&lt;0,0,IFERROR((P$2*IFERROR(VLOOKUP(E50,Tabla11[],2,0),0))*($G50/SUM($G$5:$G$43)),0))</f>
        <v>10709.878948308324</v>
      </c>
      <c r="Q50" s="30">
        <f>IF($G50&lt;0,0,IFERROR((Q$2*IFERROR(VLOOKUP(E50,Tabla11[],2,0),0))*($G50/SUM($G$5:$G$43)),0))</f>
        <v>14874.831872650449</v>
      </c>
      <c r="R50" s="30">
        <f t="shared" si="2"/>
        <v>149811.20000000001</v>
      </c>
      <c r="S50" s="30">
        <f>+R50*IFERROR(VLOOKUP(E50,Tabla11[],4,0),0)</f>
        <v>22471.68</v>
      </c>
      <c r="T50" s="30">
        <f t="shared" si="3"/>
        <v>25833.333333333332</v>
      </c>
      <c r="U50" s="30">
        <f t="shared" si="4"/>
        <v>131259.27300684308</v>
      </c>
      <c r="V50" s="30">
        <f>IF($G50&lt;0,0,IFERROR((V$2*IFERROR(VLOOKUP(E50,Tabla11[],2,0),0))*($G50/SUM($G$5:$G$43)),0))</f>
        <v>27047.749701179768</v>
      </c>
      <c r="W50" s="30">
        <f>G50-G50*IFERROR(VLOOKUP(E50,Tabla11[],3,0),0)-L50-N50-O50-P50-Q50-G50*$R$2-(G50*$R$2)*IFERROR(VLOOKUP(E50,Tabla11[],4,0),0)-V50-T50</f>
        <v>11443.818690278731</v>
      </c>
      <c r="X50" s="30">
        <f t="shared" si="5"/>
        <v>104211.52330566332</v>
      </c>
      <c r="Y50" s="30">
        <f t="shared" si="6"/>
        <v>92767.704615384995</v>
      </c>
    </row>
    <row r="51" spans="1:25" x14ac:dyDescent="0.3">
      <c r="A51" s="29"/>
      <c r="B51" s="29" t="s">
        <v>162</v>
      </c>
      <c r="C51" s="32">
        <v>1</v>
      </c>
      <c r="D51" s="32">
        <v>1</v>
      </c>
      <c r="E51" s="32" t="s">
        <v>214</v>
      </c>
      <c r="F51" s="32" t="s">
        <v>240</v>
      </c>
      <c r="G51" s="29">
        <f>IFERROR(VLOOKUP(CONCATENATE(E51,F51),Ventas!D:H,5,0),0)</f>
        <v>196009.48717948719</v>
      </c>
      <c r="H51" s="29">
        <f>IFERROR(VLOOKUP(A51,Modelos[],18,0),0)*G51/C51</f>
        <v>0</v>
      </c>
      <c r="I51" s="41">
        <f t="shared" si="0"/>
        <v>196009.48717948719</v>
      </c>
      <c r="J51" s="29">
        <f>I51*IFERROR(VLOOKUP(E51,Tabla11[],3,0),0)</f>
        <v>68603.320512820515</v>
      </c>
      <c r="K51" s="29">
        <f t="shared" si="1"/>
        <v>127406.16666666667</v>
      </c>
      <c r="L51" s="29">
        <f>Sup!$A$2*D51</f>
        <v>6775.4474283854179</v>
      </c>
      <c r="M51" s="29">
        <f>IFERROR(VLOOKUP(A51,Modelos[],IF(B51="EST",15,14),0),0)/C51</f>
        <v>0</v>
      </c>
      <c r="N51" s="29">
        <f>IF($G51&lt;0,0,IFERROR((N$2*IFERROR(VLOOKUP(E51,Tabla11[],2,0),0))*($G51/SUM($G$5:$G$43)),0))</f>
        <v>3643.2646484855477</v>
      </c>
      <c r="O51" s="29">
        <f>IF($G51&lt;0,0,IFERROR((O$2*IFERROR(VLOOKUP(E51,Tabla11[],2,0),0))*($G51/SUM($G$5:$G$43)),0))</f>
        <v>708.41257053885658</v>
      </c>
      <c r="P51" s="29">
        <f>IF($G51&lt;0,0,IFERROR((P$2*IFERROR(VLOOKUP(E51,Tabla11[],2,0),0))*($G51/SUM($G$5:$G$43)),0))</f>
        <v>3643.2646484855477</v>
      </c>
      <c r="Q51" s="29">
        <f>IF($G51&lt;0,0,IFERROR((Q$2*IFERROR(VLOOKUP(E51,Tabla11[],2,0),0))*($G51/SUM($G$5:$G$43)),0))</f>
        <v>5060.0897895632606</v>
      </c>
      <c r="R51" s="29">
        <f t="shared" si="2"/>
        <v>50962.466666666674</v>
      </c>
      <c r="S51" s="29">
        <f>+R51*IFERROR(VLOOKUP(E51,Tabla11[],4,0),0)</f>
        <v>7644.3700000000008</v>
      </c>
      <c r="T51" s="29">
        <f t="shared" si="3"/>
        <v>25833.333333333332</v>
      </c>
      <c r="U51" s="29">
        <f t="shared" si="4"/>
        <v>23135.517581208042</v>
      </c>
      <c r="V51" s="29">
        <f>IF($G51&lt;0,0,IFERROR((V$2*IFERROR(VLOOKUP(E51,Tabla11[],2,0),0))*($G51/SUM($G$5:$G$43)),0))</f>
        <v>9201.0480027842877</v>
      </c>
      <c r="W51" s="29">
        <f>G51-G51*IFERROR(VLOOKUP(E51,Tabla11[],3,0),0)-L51-N51-O51-P51-Q51-G51*$R$2-(G51*$R$2)*IFERROR(VLOOKUP(E51,Tabla11[],4,0),0)-V51-T51</f>
        <v>-17623.057857473701</v>
      </c>
      <c r="X51" s="29">
        <f t="shared" si="5"/>
        <v>13934.469578423754</v>
      </c>
      <c r="Y51" s="29">
        <f t="shared" si="6"/>
        <v>31557.527435897999</v>
      </c>
    </row>
    <row r="52" spans="1:25" x14ac:dyDescent="0.3">
      <c r="A52" s="30"/>
      <c r="B52" s="30" t="s">
        <v>162</v>
      </c>
      <c r="C52" s="33">
        <v>1</v>
      </c>
      <c r="D52" s="33">
        <v>1</v>
      </c>
      <c r="E52" s="33" t="s">
        <v>214</v>
      </c>
      <c r="F52" s="33" t="s">
        <v>241</v>
      </c>
      <c r="G52" s="29">
        <f>IFERROR(VLOOKUP(CONCATENATE(E52,F52),Ventas!D:H,5,0),0)</f>
        <v>916924.87179487175</v>
      </c>
      <c r="H52" s="30">
        <f>IFERROR(VLOOKUP(A52,Modelos[],18,0),0)*G52/C52</f>
        <v>0</v>
      </c>
      <c r="I52" s="42">
        <f t="shared" si="0"/>
        <v>916924.87179487175</v>
      </c>
      <c r="J52" s="30">
        <f>I52*IFERROR(VLOOKUP(E52,Tabla11[],3,0),0)</f>
        <v>320923.70512820507</v>
      </c>
      <c r="K52" s="30">
        <f t="shared" si="1"/>
        <v>596001.16666666674</v>
      </c>
      <c r="L52" s="30">
        <f>Sup!$A$2*D52</f>
        <v>6775.4474283854179</v>
      </c>
      <c r="M52" s="30">
        <f>IFERROR(VLOOKUP(A52,Modelos[],IF(B52="EST",15,14),0),0)/C52</f>
        <v>0</v>
      </c>
      <c r="N52" s="30">
        <f>IF($G52&lt;0,0,IFERROR((N$2*IFERROR(VLOOKUP(E52,Tabla11[],2,0),0))*($G52/SUM($G$5:$G$43)),0))</f>
        <v>17043.052450152019</v>
      </c>
      <c r="O52" s="30">
        <f>IF($G52&lt;0,0,IFERROR((O$2*IFERROR(VLOOKUP(E52,Tabla11[],2,0),0))*($G52/SUM($G$5:$G$43)),0))</f>
        <v>3313.9268653073373</v>
      </c>
      <c r="P52" s="30">
        <f>IF($G52&lt;0,0,IFERROR((P$2*IFERROR(VLOOKUP(E52,Tabla11[],2,0),0))*($G52/SUM($G$5:$G$43)),0))</f>
        <v>17043.052450152019</v>
      </c>
      <c r="Q52" s="30">
        <f>IF($G52&lt;0,0,IFERROR((Q$2*IFERROR(VLOOKUP(E52,Tabla11[],2,0),0))*($G52/SUM($G$5:$G$43)),0))</f>
        <v>23670.906180766691</v>
      </c>
      <c r="R52" s="30">
        <f t="shared" si="2"/>
        <v>238400.4666666667</v>
      </c>
      <c r="S52" s="30">
        <f>+R52*IFERROR(VLOOKUP(E52,Tabla11[],4,0),0)</f>
        <v>35760.070000000007</v>
      </c>
      <c r="T52" s="30">
        <f t="shared" si="3"/>
        <v>25833.333333333332</v>
      </c>
      <c r="U52" s="30">
        <f t="shared" si="4"/>
        <v>228160.91129190323</v>
      </c>
      <c r="V52" s="30">
        <f>IF($G52&lt;0,0,IFERROR((V$2*IFERROR(VLOOKUP(E52,Tabla11[],2,0),0))*($G52/SUM($G$5:$G$43)),0))</f>
        <v>43042.150059838328</v>
      </c>
      <c r="W52" s="30">
        <f>G52-G52*IFERROR(VLOOKUP(E52,Tabla11[],3,0),0)-L52-N52-O52-P52-Q52-G52*$R$2-(G52*$R$2)*IFERROR(VLOOKUP(E52,Tabla11[],4,0),0)-V52-T52</f>
        <v>37493.856873090641</v>
      </c>
      <c r="X52" s="30">
        <f t="shared" si="5"/>
        <v>185118.76123206492</v>
      </c>
      <c r="Y52" s="30">
        <f t="shared" si="6"/>
        <v>147624.90435897399</v>
      </c>
    </row>
    <row r="53" spans="1:25" x14ac:dyDescent="0.3">
      <c r="A53" s="29"/>
      <c r="B53" s="29" t="s">
        <v>162</v>
      </c>
      <c r="C53" s="32">
        <v>1</v>
      </c>
      <c r="D53" s="32">
        <v>1</v>
      </c>
      <c r="E53" s="32" t="s">
        <v>214</v>
      </c>
      <c r="F53" s="32" t="s">
        <v>176</v>
      </c>
      <c r="G53" s="29">
        <f>IFERROR(VLOOKUP(CONCATENATE(E53,F53),Ventas!D:H,5,0),0)</f>
        <v>1079090.7692307692</v>
      </c>
      <c r="H53" s="29">
        <f>IFERROR(VLOOKUP(A53,Modelos[],18,0),0)*G53/C53</f>
        <v>0</v>
      </c>
      <c r="I53" s="41">
        <f t="shared" si="0"/>
        <v>1079090.7692307692</v>
      </c>
      <c r="J53" s="29">
        <f>I53*IFERROR(VLOOKUP(E53,Tabla11[],3,0),0)</f>
        <v>377681.76923076919</v>
      </c>
      <c r="K53" s="29">
        <f t="shared" si="1"/>
        <v>701409</v>
      </c>
      <c r="L53" s="29">
        <f>Sup!$A$2*D53</f>
        <v>6775.4474283854179</v>
      </c>
      <c r="M53" s="29">
        <f>IFERROR(VLOOKUP(A53,Modelos[],IF(B53="EST",15,14),0),0)/C53</f>
        <v>0</v>
      </c>
      <c r="N53" s="29">
        <f>IF($G53&lt;0,0,IFERROR((N$2*IFERROR(VLOOKUP(E53,Tabla11[],2,0),0))*($G53/SUM($G$5:$G$43)),0))</f>
        <v>20057.260026630836</v>
      </c>
      <c r="O53" s="29">
        <f>IF($G53&lt;0,0,IFERROR((O$2*IFERROR(VLOOKUP(E53,Tabla11[],2,0),0))*($G53/SUM($G$5:$G$43)),0))</f>
        <v>3900.0227829559967</v>
      </c>
      <c r="P53" s="29">
        <f>IF($G53&lt;0,0,IFERROR((P$2*IFERROR(VLOOKUP(E53,Tabla11[],2,0),0))*($G53/SUM($G$5:$G$43)),0))</f>
        <v>20057.260026630836</v>
      </c>
      <c r="Q53" s="29">
        <f>IF($G53&lt;0,0,IFERROR((Q$2*IFERROR(VLOOKUP(E53,Tabla11[],2,0),0))*($G53/SUM($G$5:$G$43)),0))</f>
        <v>27857.305592542827</v>
      </c>
      <c r="R53" s="29">
        <f t="shared" si="2"/>
        <v>280563.60000000003</v>
      </c>
      <c r="S53" s="29">
        <f>+R53*IFERROR(VLOOKUP(E53,Tabla11[],4,0),0)</f>
        <v>42084.54</v>
      </c>
      <c r="T53" s="29">
        <f t="shared" si="3"/>
        <v>25833.333333333332</v>
      </c>
      <c r="U53" s="29">
        <f t="shared" si="4"/>
        <v>274280.23080952076</v>
      </c>
      <c r="V53" s="29">
        <f>IF($G53&lt;0,0,IFERROR((V$2*IFERROR(VLOOKUP(E53,Tabla11[],2,0),0))*($G53/SUM($G$5:$G$43)),0))</f>
        <v>50654.517339570884</v>
      </c>
      <c r="W53" s="29">
        <f>G53-G53*IFERROR(VLOOKUP(E53,Tabla11[],3,0),0)-L53-N53-O53-P53-Q53-G53*$R$2-(G53*$R$2)*IFERROR(VLOOKUP(E53,Tabla11[],4,0),0)-V53-T53</f>
        <v>49892.099623795963</v>
      </c>
      <c r="X53" s="29">
        <f t="shared" si="5"/>
        <v>223625.71346994987</v>
      </c>
      <c r="Y53" s="29">
        <f t="shared" si="6"/>
        <v>173733.61384615401</v>
      </c>
    </row>
    <row r="54" spans="1:25" x14ac:dyDescent="0.3">
      <c r="A54" s="30"/>
      <c r="B54" s="30" t="s">
        <v>162</v>
      </c>
      <c r="C54" s="33">
        <v>1</v>
      </c>
      <c r="D54" s="33">
        <v>1</v>
      </c>
      <c r="E54" s="33" t="s">
        <v>214</v>
      </c>
      <c r="F54" s="33" t="s">
        <v>242</v>
      </c>
      <c r="G54" s="29">
        <f>IFERROR(VLOOKUP(CONCATENATE(E54,F54),Ventas!D:H,5,0),0)</f>
        <v>550670.51282051275</v>
      </c>
      <c r="H54" s="30">
        <f>IFERROR(VLOOKUP(A54,Modelos[],18,0),0)*G54/C54</f>
        <v>0</v>
      </c>
      <c r="I54" s="42">
        <f t="shared" si="0"/>
        <v>550670.51282051275</v>
      </c>
      <c r="J54" s="30">
        <f>I54*IFERROR(VLOOKUP(E54,Tabla11[],3,0),0)</f>
        <v>192734.67948717944</v>
      </c>
      <c r="K54" s="30">
        <f t="shared" si="1"/>
        <v>357935.83333333331</v>
      </c>
      <c r="L54" s="30">
        <f>Sup!$A$2*D54</f>
        <v>6775.4474283854179</v>
      </c>
      <c r="M54" s="30">
        <f>IFERROR(VLOOKUP(A54,Modelos[],IF(B54="EST",15,14),0),0)/C54</f>
        <v>0</v>
      </c>
      <c r="N54" s="30">
        <f>IF($G54&lt;0,0,IFERROR((N$2*IFERROR(VLOOKUP(E54,Tabla11[],2,0),0))*($G54/SUM($G$5:$G$43)),0))</f>
        <v>10235.414832167058</v>
      </c>
      <c r="O54" s="30">
        <f>IF($G54&lt;0,0,IFERROR((O$2*IFERROR(VLOOKUP(E54,Tabla11[],2,0),0))*($G54/SUM($G$5:$G$43)),0))</f>
        <v>1990.2195506991504</v>
      </c>
      <c r="P54" s="30">
        <f>IF($G54&lt;0,0,IFERROR((P$2*IFERROR(VLOOKUP(E54,Tabla11[],2,0),0))*($G54/SUM($G$5:$G$43)),0))</f>
        <v>10235.414832167058</v>
      </c>
      <c r="Q54" s="30">
        <f>IF($G54&lt;0,0,IFERROR((Q$2*IFERROR(VLOOKUP(E54,Tabla11[],2,0),0))*($G54/SUM($G$5:$G$43)),0))</f>
        <v>14215.853933565357</v>
      </c>
      <c r="R54" s="30">
        <f t="shared" si="2"/>
        <v>143174.33333333334</v>
      </c>
      <c r="S54" s="30">
        <f>+R54*IFERROR(VLOOKUP(E54,Tabla11[],4,0),0)</f>
        <v>21476.15</v>
      </c>
      <c r="T54" s="30">
        <f t="shared" si="3"/>
        <v>25833.333333333332</v>
      </c>
      <c r="U54" s="30">
        <f t="shared" si="4"/>
        <v>123999.66608968261</v>
      </c>
      <c r="V54" s="30">
        <f>IF($G54&lt;0,0,IFERROR((V$2*IFERROR(VLOOKUP(E54,Tabla11[],2,0),0))*($G54/SUM($G$5:$G$43)),0))</f>
        <v>25849.492772458128</v>
      </c>
      <c r="W54" s="30">
        <f>G54-G54*IFERROR(VLOOKUP(E54,Tabla11[],3,0),0)-L54-N54-O54-P54-Q54-G54*$R$2-(G54*$R$2)*IFERROR(VLOOKUP(E54,Tabla11[],4,0),0)-V54-T54</f>
        <v>9492.2207531219065</v>
      </c>
      <c r="X54" s="30">
        <f t="shared" si="5"/>
        <v>98150.173317224486</v>
      </c>
      <c r="Y54" s="30">
        <f t="shared" si="6"/>
        <v>88657.952564103005</v>
      </c>
    </row>
    <row r="55" spans="1:25" x14ac:dyDescent="0.3">
      <c r="A55" s="29"/>
      <c r="B55" s="29" t="s">
        <v>162</v>
      </c>
      <c r="C55" s="32">
        <v>1</v>
      </c>
      <c r="D55" s="32">
        <v>1</v>
      </c>
      <c r="E55" s="32" t="s">
        <v>214</v>
      </c>
      <c r="F55" s="32" t="s">
        <v>23</v>
      </c>
      <c r="G55" s="29">
        <f>IFERROR(VLOOKUP(CONCATENATE(E55,F55),Ventas!D:H,5,0),0)</f>
        <v>486099.48717948719</v>
      </c>
      <c r="H55" s="29">
        <f>IFERROR(VLOOKUP(A55,Modelos[],18,0),0)*G55/C55</f>
        <v>0</v>
      </c>
      <c r="I55" s="41">
        <f t="shared" si="0"/>
        <v>486099.48717948719</v>
      </c>
      <c r="J55" s="29">
        <f>I55*IFERROR(VLOOKUP(E55,Tabla11[],3,0),0)</f>
        <v>170134.8205128205</v>
      </c>
      <c r="K55" s="29">
        <f t="shared" si="1"/>
        <v>315964.66666666669</v>
      </c>
      <c r="L55" s="29">
        <f>Sup!$A$2*D55</f>
        <v>6775.4474283854179</v>
      </c>
      <c r="M55" s="29">
        <f>IFERROR(VLOOKUP(A55,Modelos[],IF(B55="EST",15,14),0),0)/C55</f>
        <v>0</v>
      </c>
      <c r="N55" s="29">
        <f>IF($G55&lt;0,0,IFERROR((N$2*IFERROR(VLOOKUP(E55,Tabla11[],2,0),0))*($G55/SUM($G$5:$G$43)),0))</f>
        <v>9035.2212169519789</v>
      </c>
      <c r="O55" s="29">
        <f>IF($G55&lt;0,0,IFERROR((O$2*IFERROR(VLOOKUP(E55,Tabla11[],2,0),0))*($G55/SUM($G$5:$G$43)),0))</f>
        <v>1756.848569962885</v>
      </c>
      <c r="P55" s="29">
        <f>IF($G55&lt;0,0,IFERROR((P$2*IFERROR(VLOOKUP(E55,Tabla11[],2,0),0))*($G55/SUM($G$5:$G$43)),0))</f>
        <v>9035.2212169519789</v>
      </c>
      <c r="Q55" s="29">
        <f>IF($G55&lt;0,0,IFERROR((Q$2*IFERROR(VLOOKUP(E55,Tabla11[],2,0),0))*($G55/SUM($G$5:$G$43)),0))</f>
        <v>12548.918356877748</v>
      </c>
      <c r="R55" s="29">
        <f t="shared" si="2"/>
        <v>126385.86666666668</v>
      </c>
      <c r="S55" s="29">
        <f>+R55*IFERROR(VLOOKUP(E55,Tabla11[],4,0),0)</f>
        <v>18957.88</v>
      </c>
      <c r="T55" s="29">
        <f t="shared" si="3"/>
        <v>25833.333333333332</v>
      </c>
      <c r="U55" s="29">
        <f t="shared" si="4"/>
        <v>105635.92987753663</v>
      </c>
      <c r="V55" s="29">
        <f>IF($G55&lt;0,0,IFERROR((V$2*IFERROR(VLOOKUP(E55,Tabla11[],2,0),0))*($G55/SUM($G$5:$G$43)),0))</f>
        <v>22818.409353684368</v>
      </c>
      <c r="W55" s="29">
        <f>G55-G55*IFERROR(VLOOKUP(E55,Tabla11[],3,0),0)-L55-N55-O55-P55-Q55-G55*$R$2-(G55*$R$2)*IFERROR(VLOOKUP(E55,Tabla11[],4,0),0)-V55-T55</f>
        <v>4555.5030879548722</v>
      </c>
      <c r="X55" s="29">
        <f t="shared" si="5"/>
        <v>82817.520523852261</v>
      </c>
      <c r="Y55" s="29">
        <f t="shared" si="6"/>
        <v>78262.017435896996</v>
      </c>
    </row>
    <row r="56" spans="1:25" x14ac:dyDescent="0.3">
      <c r="A56" s="30"/>
      <c r="B56" s="30" t="s">
        <v>162</v>
      </c>
      <c r="C56" s="33">
        <v>1</v>
      </c>
      <c r="D56" s="33">
        <v>1</v>
      </c>
      <c r="E56" s="33" t="s">
        <v>214</v>
      </c>
      <c r="F56" s="33" t="s">
        <v>243</v>
      </c>
      <c r="G56" s="29">
        <f>IFERROR(VLOOKUP(CONCATENATE(E56,F56),Ventas!D:H,5,0),0)</f>
        <v>587750.76923076925</v>
      </c>
      <c r="H56" s="30">
        <f>IFERROR(VLOOKUP(A56,Modelos[],18,0),0)*G56/C56</f>
        <v>0</v>
      </c>
      <c r="I56" s="42">
        <f t="shared" si="0"/>
        <v>587750.76923076925</v>
      </c>
      <c r="J56" s="30">
        <f>I56*IFERROR(VLOOKUP(E56,Tabla11[],3,0),0)</f>
        <v>205712.76923076922</v>
      </c>
      <c r="K56" s="30">
        <f t="shared" si="1"/>
        <v>382038</v>
      </c>
      <c r="L56" s="30">
        <f>Sup!$A$2*D56</f>
        <v>6775.4474283854179</v>
      </c>
      <c r="M56" s="30">
        <f>IFERROR(VLOOKUP(A56,Modelos[],IF(B56="EST",15,14),0),0)/C56</f>
        <v>0</v>
      </c>
      <c r="N56" s="30">
        <f>IF($G56&lt;0,0,IFERROR((N$2*IFERROR(VLOOKUP(E56,Tabla11[],2,0),0))*($G56/SUM($G$5:$G$43)),0))</f>
        <v>10924.632427091743</v>
      </c>
      <c r="O56" s="30">
        <f>IF($G56&lt;0,0,IFERROR((O$2*IFERROR(VLOOKUP(E56,Tabla11[],2,0),0))*($G56/SUM($G$5:$G$43)),0))</f>
        <v>2124.2340830456169</v>
      </c>
      <c r="P56" s="30">
        <f>IF($G56&lt;0,0,IFERROR((P$2*IFERROR(VLOOKUP(E56,Tabla11[],2,0),0))*($G56/SUM($G$5:$G$43)),0))</f>
        <v>10924.632427091743</v>
      </c>
      <c r="Q56" s="30">
        <f>IF($G56&lt;0,0,IFERROR((Q$2*IFERROR(VLOOKUP(E56,Tabla11[],2,0),0))*($G56/SUM($G$5:$G$43)),0))</f>
        <v>15173.100593182975</v>
      </c>
      <c r="R56" s="30">
        <f t="shared" si="2"/>
        <v>152815.20000000001</v>
      </c>
      <c r="S56" s="30">
        <f>+R56*IFERROR(VLOOKUP(E56,Tabla11[],4,0),0)</f>
        <v>22922.280000000002</v>
      </c>
      <c r="T56" s="30">
        <f t="shared" si="3"/>
        <v>25833.333333333332</v>
      </c>
      <c r="U56" s="30">
        <f t="shared" si="4"/>
        <v>134545.13970786915</v>
      </c>
      <c r="V56" s="30">
        <f>IF($G56&lt;0,0,IFERROR((V$2*IFERROR(VLOOKUP(E56,Tabla11[],2,0),0))*($G56/SUM($G$5:$G$43)),0))</f>
        <v>27590.108617618222</v>
      </c>
      <c r="W56" s="30">
        <f>G56-G56*IFERROR(VLOOKUP(E56,Tabla11[],3,0),0)-L56-N56-O56-P56-Q56-G56*$R$2-(G56*$R$2)*IFERROR(VLOOKUP(E56,Tabla11[],4,0),0)-V56-T56</f>
        <v>12327.157244097023</v>
      </c>
      <c r="X56" s="30">
        <f t="shared" si="5"/>
        <v>106955.03109025094</v>
      </c>
      <c r="Y56" s="30">
        <f t="shared" si="6"/>
        <v>94627.873846154005</v>
      </c>
    </row>
    <row r="57" spans="1:25" x14ac:dyDescent="0.3">
      <c r="A57" s="29"/>
      <c r="B57" s="29" t="s">
        <v>162</v>
      </c>
      <c r="C57" s="32">
        <v>1</v>
      </c>
      <c r="D57" s="32">
        <v>1</v>
      </c>
      <c r="E57" s="32" t="s">
        <v>214</v>
      </c>
      <c r="F57" s="32" t="s">
        <v>6</v>
      </c>
      <c r="G57" s="29">
        <f>IFERROR(VLOOKUP(CONCATENATE(E57,F57),Ventas!D:H,5,0),0)</f>
        <v>734164.87179487175</v>
      </c>
      <c r="H57" s="29">
        <f>IFERROR(VLOOKUP(A57,Modelos[],18,0),0)*G57/C57</f>
        <v>0</v>
      </c>
      <c r="I57" s="41">
        <f t="shared" si="0"/>
        <v>734164.87179487175</v>
      </c>
      <c r="J57" s="29">
        <f>I57*IFERROR(VLOOKUP(E57,Tabla11[],3,0),0)</f>
        <v>256957.7051282051</v>
      </c>
      <c r="K57" s="29">
        <f t="shared" si="1"/>
        <v>477207.16666666663</v>
      </c>
      <c r="L57" s="29">
        <f>Sup!$A$2*D57</f>
        <v>6775.4474283854179</v>
      </c>
      <c r="M57" s="29">
        <f>IFERROR(VLOOKUP(A57,Modelos[],IF(B57="EST",15,14),0),0)/C57</f>
        <v>0</v>
      </c>
      <c r="N57" s="29">
        <f>IF($G57&lt;0,0,IFERROR((N$2*IFERROR(VLOOKUP(E57,Tabla11[],2,0),0))*($G57/SUM($G$5:$G$43)),0))</f>
        <v>13646.058474306848</v>
      </c>
      <c r="O57" s="29">
        <f>IF($G57&lt;0,0,IFERROR((O$2*IFERROR(VLOOKUP(E57,Tabla11[],2,0),0))*($G57/SUM($G$5:$G$43)),0))</f>
        <v>2653.4002588929989</v>
      </c>
      <c r="P57" s="29">
        <f>IF($G57&lt;0,0,IFERROR((P$2*IFERROR(VLOOKUP(E57,Tabla11[],2,0),0))*($G57/SUM($G$5:$G$43)),0))</f>
        <v>13646.058474306848</v>
      </c>
      <c r="Q57" s="29">
        <f>IF($G57&lt;0,0,IFERROR((Q$2*IFERROR(VLOOKUP(E57,Tabla11[],2,0),0))*($G57/SUM($G$5:$G$43)),0))</f>
        <v>18952.858992092843</v>
      </c>
      <c r="R57" s="29">
        <f t="shared" si="2"/>
        <v>190882.86666666667</v>
      </c>
      <c r="S57" s="29">
        <f>+R57*IFERROR(VLOOKUP(E57,Tabla11[],4,0),0)</f>
        <v>28632.43</v>
      </c>
      <c r="T57" s="29">
        <f t="shared" si="3"/>
        <v>25833.333333333332</v>
      </c>
      <c r="U57" s="29">
        <f t="shared" si="4"/>
        <v>176184.71303868166</v>
      </c>
      <c r="V57" s="29">
        <f>IF($G57&lt;0,0,IFERROR((V$2*IFERROR(VLOOKUP(E57,Tabla11[],2,0),0))*($G57/SUM($G$5:$G$43)),0))</f>
        <v>34463.057500665309</v>
      </c>
      <c r="W57" s="29">
        <f>G57-G57*IFERROR(VLOOKUP(E57,Tabla11[],3,0),0)-L57-N57-O57-P57-Q57-G57*$R$2-(G57*$R$2)*IFERROR(VLOOKUP(E57,Tabla11[],4,0),0)-V57-T57</f>
        <v>23521.111179042095</v>
      </c>
      <c r="X57" s="29">
        <f t="shared" si="5"/>
        <v>141721.65553801635</v>
      </c>
      <c r="Y57" s="29">
        <f t="shared" si="6"/>
        <v>118200.544358974</v>
      </c>
    </row>
    <row r="58" spans="1:25" x14ac:dyDescent="0.3">
      <c r="A58" s="30"/>
      <c r="B58" s="30" t="s">
        <v>162</v>
      </c>
      <c r="C58" s="33">
        <v>1</v>
      </c>
      <c r="D58" s="33">
        <v>1</v>
      </c>
      <c r="E58" s="33" t="s">
        <v>214</v>
      </c>
      <c r="F58" s="33" t="s">
        <v>19</v>
      </c>
      <c r="G58" s="29">
        <f>IFERROR(VLOOKUP(CONCATENATE(E58,F58),Ventas!D:H,5,0),0)</f>
        <v>629887.94871794875</v>
      </c>
      <c r="H58" s="30">
        <f>IFERROR(VLOOKUP(A58,Modelos[],18,0),0)*G58/C58</f>
        <v>0</v>
      </c>
      <c r="I58" s="42">
        <f t="shared" si="0"/>
        <v>629887.94871794875</v>
      </c>
      <c r="J58" s="30">
        <f>I58*IFERROR(VLOOKUP(E58,Tabla11[],3,0),0)</f>
        <v>220460.78205128206</v>
      </c>
      <c r="K58" s="30">
        <f t="shared" si="1"/>
        <v>409427.16666666669</v>
      </c>
      <c r="L58" s="30">
        <f>Sup!$A$2*D58</f>
        <v>6775.4474283854179</v>
      </c>
      <c r="M58" s="30">
        <f>IFERROR(VLOOKUP(A58,Modelos[],IF(B58="EST",15,14),0),0)/C58</f>
        <v>0</v>
      </c>
      <c r="N58" s="30">
        <f>IF($G58&lt;0,0,IFERROR((N$2*IFERROR(VLOOKUP(E58,Tabla11[],2,0),0))*($G58/SUM($G$5:$G$43)),0))</f>
        <v>11707.843988029888</v>
      </c>
      <c r="O58" s="30">
        <f>IF($G58&lt;0,0,IFERROR((O$2*IFERROR(VLOOKUP(E58,Tabla11[],2,0),0))*($G58/SUM($G$5:$G$43)),0))</f>
        <v>2276.5252198947005</v>
      </c>
      <c r="P58" s="30">
        <f>IF($G58&lt;0,0,IFERROR((P$2*IFERROR(VLOOKUP(E58,Tabla11[],2,0),0))*($G58/SUM($G$5:$G$43)),0))</f>
        <v>11707.843988029888</v>
      </c>
      <c r="Q58" s="30">
        <f>IF($G58&lt;0,0,IFERROR((Q$2*IFERROR(VLOOKUP(E58,Tabla11[],2,0),0))*($G58/SUM($G$5:$G$43)),0))</f>
        <v>16260.894427819287</v>
      </c>
      <c r="R58" s="30">
        <f t="shared" si="2"/>
        <v>163770.8666666667</v>
      </c>
      <c r="S58" s="30">
        <f>+R58*IFERROR(VLOOKUP(E58,Tabla11[],4,0),0)</f>
        <v>24565.630000000005</v>
      </c>
      <c r="T58" s="30">
        <f t="shared" si="3"/>
        <v>25833.333333333332</v>
      </c>
      <c r="U58" s="30">
        <f t="shared" si="4"/>
        <v>146528.78161450749</v>
      </c>
      <c r="V58" s="30">
        <f>IF($G58&lt;0,0,IFERROR((V$2*IFERROR(VLOOKUP(E58,Tabla11[],2,0),0))*($G58/SUM($G$5:$G$43)),0))</f>
        <v>29568.10578878806</v>
      </c>
      <c r="W58" s="30">
        <f>G58-G58*IFERROR(VLOOKUP(E58,Tabla11[],3,0),0)-L58-N58-O58-P58-Q58-G58*$R$2-(G58*$R$2)*IFERROR(VLOOKUP(E58,Tabla11[],4,0),0)-V58-T58</f>
        <v>15548.716082129697</v>
      </c>
      <c r="X58" s="30">
        <f t="shared" si="5"/>
        <v>116960.67582571943</v>
      </c>
      <c r="Y58" s="30">
        <f t="shared" si="6"/>
        <v>101411.95974359001</v>
      </c>
    </row>
    <row r="59" spans="1:25" x14ac:dyDescent="0.3">
      <c r="A59" s="29"/>
      <c r="B59" s="29" t="s">
        <v>162</v>
      </c>
      <c r="C59" s="32">
        <v>1</v>
      </c>
      <c r="D59" s="32">
        <v>1</v>
      </c>
      <c r="E59" s="32" t="s">
        <v>214</v>
      </c>
      <c r="F59" s="32" t="s">
        <v>12</v>
      </c>
      <c r="G59" s="29">
        <f>IFERROR(VLOOKUP(CONCATENATE(E59,F59),Ventas!D:H,5,0),0)</f>
        <v>484760.51282051287</v>
      </c>
      <c r="H59" s="29">
        <f>IFERROR(VLOOKUP(A59,Modelos[],18,0),0)*G59/C59</f>
        <v>0</v>
      </c>
      <c r="I59" s="41">
        <f t="shared" si="0"/>
        <v>484760.51282051287</v>
      </c>
      <c r="J59" s="29">
        <f>I59*IFERROR(VLOOKUP(E59,Tabla11[],3,0),0)</f>
        <v>169666.1794871795</v>
      </c>
      <c r="K59" s="29">
        <f t="shared" si="1"/>
        <v>315094.33333333337</v>
      </c>
      <c r="L59" s="29">
        <f>Sup!$A$2*D59</f>
        <v>6775.4474283854179</v>
      </c>
      <c r="M59" s="29">
        <f>IFERROR(VLOOKUP(A59,Modelos[],IF(B59="EST",15,14),0),0)/C59</f>
        <v>0</v>
      </c>
      <c r="N59" s="29">
        <f>IF($G59&lt;0,0,IFERROR((N$2*IFERROR(VLOOKUP(E59,Tabla11[],2,0),0))*($G59/SUM($G$5:$G$43)),0))</f>
        <v>9010.3334524999827</v>
      </c>
      <c r="O59" s="29">
        <f>IF($G59&lt;0,0,IFERROR((O$2*IFERROR(VLOOKUP(E59,Tabla11[],2,0),0))*($G59/SUM($G$5:$G$43)),0))</f>
        <v>1752.0092824305525</v>
      </c>
      <c r="P59" s="29">
        <f>IF($G59&lt;0,0,IFERROR((P$2*IFERROR(VLOOKUP(E59,Tabla11[],2,0),0))*($G59/SUM($G$5:$G$43)),0))</f>
        <v>9010.3334524999827</v>
      </c>
      <c r="Q59" s="29">
        <f>IF($G59&lt;0,0,IFERROR((Q$2*IFERROR(VLOOKUP(E59,Tabla11[],2,0),0))*($G59/SUM($G$5:$G$43)),0))</f>
        <v>12514.352017361087</v>
      </c>
      <c r="R59" s="29">
        <f t="shared" si="2"/>
        <v>126037.73333333335</v>
      </c>
      <c r="S59" s="29">
        <f>+R59*IFERROR(VLOOKUP(E59,Tabla11[],4,0),0)</f>
        <v>18905.660000000003</v>
      </c>
      <c r="T59" s="29">
        <f t="shared" si="3"/>
        <v>25833.333333333332</v>
      </c>
      <c r="U59" s="29">
        <f t="shared" si="4"/>
        <v>105255.13103348966</v>
      </c>
      <c r="V59" s="29">
        <f>IF($G59&lt;0,0,IFERROR((V$2*IFERROR(VLOOKUP(E59,Tabla11[],2,0),0))*($G59/SUM($G$5:$G$43)),0))</f>
        <v>22755.555419781984</v>
      </c>
      <c r="W59" s="29">
        <f>G59-G59*IFERROR(VLOOKUP(E59,Tabla11[],3,0),0)-L59-N59-O59-P59-Q59-G59*$R$2-(G59*$R$2)*IFERROR(VLOOKUP(E59,Tabla11[],4,0),0)-V59-T59</f>
        <v>4453.1330496050359</v>
      </c>
      <c r="X59" s="29">
        <f t="shared" si="5"/>
        <v>82499.575613707668</v>
      </c>
      <c r="Y59" s="29">
        <f t="shared" si="6"/>
        <v>78046.442564102996</v>
      </c>
    </row>
    <row r="60" spans="1:25" x14ac:dyDescent="0.3">
      <c r="A60" s="30"/>
      <c r="B60" s="30" t="s">
        <v>162</v>
      </c>
      <c r="C60" s="33">
        <v>1</v>
      </c>
      <c r="D60" s="33">
        <v>1</v>
      </c>
      <c r="E60" s="33" t="s">
        <v>214</v>
      </c>
      <c r="F60" s="33" t="s">
        <v>11</v>
      </c>
      <c r="G60" s="29">
        <f>IFERROR(VLOOKUP(CONCATENATE(E60,F60),Ventas!D:H,5,0),0)</f>
        <v>440622.05128205131</v>
      </c>
      <c r="H60" s="30">
        <f>IFERROR(VLOOKUP(A60,Modelos[],18,0),0)*G60/C60</f>
        <v>0</v>
      </c>
      <c r="I60" s="42">
        <f t="shared" si="0"/>
        <v>440622.05128205131</v>
      </c>
      <c r="J60" s="30">
        <f>I60*IFERROR(VLOOKUP(E60,Tabla11[],3,0),0)</f>
        <v>154217.71794871794</v>
      </c>
      <c r="K60" s="30">
        <f t="shared" si="1"/>
        <v>286404.33333333337</v>
      </c>
      <c r="L60" s="30">
        <f>Sup!$A$2*D60</f>
        <v>6775.4474283854179</v>
      </c>
      <c r="M60" s="30">
        <f>IFERROR(VLOOKUP(A60,Modelos[],IF(B60="EST",15,14),0),0)/C60</f>
        <v>0</v>
      </c>
      <c r="N60" s="30">
        <f>IF($G60&lt;0,0,IFERROR((N$2*IFERROR(VLOOKUP(E60,Tabla11[],2,0),0))*($G60/SUM($G$5:$G$43)),0))</f>
        <v>8189.9236913420282</v>
      </c>
      <c r="O60" s="30">
        <f>IF($G60&lt;0,0,IFERROR((O$2*IFERROR(VLOOKUP(E60,Tabla11[],2,0),0))*($G60/SUM($G$5:$G$43)),0))</f>
        <v>1592.4851622053945</v>
      </c>
      <c r="P60" s="30">
        <f>IF($G60&lt;0,0,IFERROR((P$2*IFERROR(VLOOKUP(E60,Tabla11[],2,0),0))*($G60/SUM($G$5:$G$43)),0))</f>
        <v>8189.9236913420282</v>
      </c>
      <c r="Q60" s="30">
        <f>IF($G60&lt;0,0,IFERROR((Q$2*IFERROR(VLOOKUP(E60,Tabla11[],2,0),0))*($G60/SUM($G$5:$G$43)),0))</f>
        <v>11374.894015752816</v>
      </c>
      <c r="R60" s="30">
        <f t="shared" si="2"/>
        <v>114561.73333333335</v>
      </c>
      <c r="S60" s="30">
        <f>+R60*IFERROR(VLOOKUP(E60,Tabla11[],4,0),0)</f>
        <v>17184.260000000002</v>
      </c>
      <c r="T60" s="30">
        <f t="shared" si="3"/>
        <v>25833.333333333332</v>
      </c>
      <c r="U60" s="30">
        <f t="shared" si="4"/>
        <v>92702.332677639002</v>
      </c>
      <c r="V60" s="30">
        <f>IF($G60&lt;0,0,IFERROR((V$2*IFERROR(VLOOKUP(E60,Tabla11[],2,0),0))*($G60/SUM($G$5:$G$43)),0))</f>
        <v>20683.61436617091</v>
      </c>
      <c r="W60" s="30">
        <f>G60-G60*IFERROR(VLOOKUP(E60,Tabla11[],3,0),0)-L60-N60-O60-P60-Q60-G60*$R$2-(G60*$R$2)*IFERROR(VLOOKUP(E60,Tabla11[],4,0),0)-V60-T60</f>
        <v>1078.5680550578109</v>
      </c>
      <c r="X60" s="30">
        <f t="shared" si="5"/>
        <v>72018.718311468096</v>
      </c>
      <c r="Y60" s="30">
        <f t="shared" si="6"/>
        <v>70940.150256409994</v>
      </c>
    </row>
    <row r="61" spans="1:25" x14ac:dyDescent="0.3">
      <c r="A61" s="29"/>
      <c r="B61" s="29" t="s">
        <v>162</v>
      </c>
      <c r="C61" s="32">
        <v>1</v>
      </c>
      <c r="D61" s="32">
        <v>1</v>
      </c>
      <c r="E61" s="32" t="s">
        <v>214</v>
      </c>
      <c r="F61" s="32" t="s">
        <v>7</v>
      </c>
      <c r="G61" s="29">
        <f>IFERROR(VLOOKUP(CONCATENATE(E61,F61),Ventas!D:H,5,0),0)</f>
        <v>422450.76923076919</v>
      </c>
      <c r="H61" s="29">
        <f>IFERROR(VLOOKUP(A61,Modelos[],18,0),0)*G61/C61</f>
        <v>0</v>
      </c>
      <c r="I61" s="41">
        <f t="shared" si="0"/>
        <v>422450.76923076919</v>
      </c>
      <c r="J61" s="29">
        <f>I61*IFERROR(VLOOKUP(E61,Tabla11[],3,0),0)</f>
        <v>147857.76923076922</v>
      </c>
      <c r="K61" s="29">
        <f t="shared" si="1"/>
        <v>274593</v>
      </c>
      <c r="L61" s="29">
        <f>Sup!$A$2*D61</f>
        <v>6775.4474283854179</v>
      </c>
      <c r="M61" s="29">
        <f>IFERROR(VLOOKUP(A61,Modelos[],IF(B61="EST",15,14),0),0)/C61</f>
        <v>0</v>
      </c>
      <c r="N61" s="29">
        <f>IF($G61&lt;0,0,IFERROR((N$2*IFERROR(VLOOKUP(E61,Tabla11[],2,0),0))*($G61/SUM($G$5:$G$43)),0))</f>
        <v>7852.1707056690757</v>
      </c>
      <c r="O61" s="29">
        <f>IF($G61&lt;0,0,IFERROR((O$2*IFERROR(VLOOKUP(E61,Tabla11[],2,0),0))*($G61/SUM($G$5:$G$43)),0))</f>
        <v>1526.810970546765</v>
      </c>
      <c r="P61" s="29">
        <f>IF($G61&lt;0,0,IFERROR((P$2*IFERROR(VLOOKUP(E61,Tabla11[],2,0),0))*($G61/SUM($G$5:$G$43)),0))</f>
        <v>7852.1707056690757</v>
      </c>
      <c r="Q61" s="29">
        <f>IF($G61&lt;0,0,IFERROR((Q$2*IFERROR(VLOOKUP(E61,Tabla11[],2,0),0))*($G61/SUM($G$5:$G$43)),0))</f>
        <v>10905.792646762604</v>
      </c>
      <c r="R61" s="29">
        <f t="shared" si="2"/>
        <v>109837.20000000001</v>
      </c>
      <c r="S61" s="29">
        <f>+R61*IFERROR(VLOOKUP(E61,Tabla11[],4,0),0)</f>
        <v>16475.580000000002</v>
      </c>
      <c r="T61" s="29">
        <f t="shared" si="3"/>
        <v>25833.333333333332</v>
      </c>
      <c r="U61" s="29">
        <f t="shared" si="4"/>
        <v>87534.494209633704</v>
      </c>
      <c r="V61" s="29">
        <f>IF($G61&lt;0,0,IFERROR((V$2*IFERROR(VLOOKUP(E61,Tabla11[],2,0),0))*($G61/SUM($G$5:$G$43)),0))</f>
        <v>19830.620764525098</v>
      </c>
      <c r="W61" s="29">
        <f>G61-G61*IFERROR(VLOOKUP(E61,Tabla11[],3,0),0)-L61-N61-O61-P61-Q61-G61*$R$2-(G61*$R$2)*IFERROR(VLOOKUP(E61,Tabla11[],4,0),0)-V61-T61</f>
        <v>-310.70040104519649</v>
      </c>
      <c r="X61" s="29">
        <f t="shared" si="5"/>
        <v>67703.873445108606</v>
      </c>
      <c r="Y61" s="29">
        <f t="shared" si="6"/>
        <v>68014.573846154002</v>
      </c>
    </row>
    <row r="62" spans="1:25" x14ac:dyDescent="0.3">
      <c r="A62" s="30"/>
      <c r="B62" s="30" t="s">
        <v>162</v>
      </c>
      <c r="C62" s="33">
        <v>1</v>
      </c>
      <c r="D62" s="33">
        <v>1</v>
      </c>
      <c r="E62" s="33" t="s">
        <v>214</v>
      </c>
      <c r="F62" s="33" t="s">
        <v>39</v>
      </c>
      <c r="G62" s="29">
        <f>IFERROR(VLOOKUP(CONCATENATE(E62,F62),Ventas!D:H,5,0),0)</f>
        <v>589583.84615384613</v>
      </c>
      <c r="H62" s="30">
        <f>IFERROR(VLOOKUP(A62,Modelos[],18,0),0)*G62/C62</f>
        <v>0</v>
      </c>
      <c r="I62" s="42">
        <f t="shared" si="0"/>
        <v>589583.84615384613</v>
      </c>
      <c r="J62" s="30">
        <f>I62*IFERROR(VLOOKUP(E62,Tabla11[],3,0),0)</f>
        <v>206354.34615384613</v>
      </c>
      <c r="K62" s="30">
        <f t="shared" si="1"/>
        <v>383229.5</v>
      </c>
      <c r="L62" s="30">
        <f>Sup!$A$2*D62</f>
        <v>6775.4474283854179</v>
      </c>
      <c r="M62" s="30">
        <f>IFERROR(VLOOKUP(A62,Modelos[],IF(B62="EST",15,14),0),0)/C62</f>
        <v>0</v>
      </c>
      <c r="N62" s="30">
        <f>IF($G62&lt;0,0,IFERROR((N$2*IFERROR(VLOOKUP(E62,Tabla11[],2,0),0))*($G62/SUM($G$5:$G$43)),0))</f>
        <v>10958.704167434011</v>
      </c>
      <c r="O62" s="30">
        <f>IF($G62&lt;0,0,IFERROR((O$2*IFERROR(VLOOKUP(E62,Tabla11[],2,0),0))*($G62/SUM($G$5:$G$43)),0))</f>
        <v>2130.8591436677248</v>
      </c>
      <c r="P62" s="30">
        <f>IF($G62&lt;0,0,IFERROR((P$2*IFERROR(VLOOKUP(E62,Tabla11[],2,0),0))*($G62/SUM($G$5:$G$43)),0))</f>
        <v>10958.704167434011</v>
      </c>
      <c r="Q62" s="30">
        <f>IF($G62&lt;0,0,IFERROR((Q$2*IFERROR(VLOOKUP(E62,Tabla11[],2,0),0))*($G62/SUM($G$5:$G$43)),0))</f>
        <v>15220.422454769459</v>
      </c>
      <c r="R62" s="30">
        <f t="shared" si="2"/>
        <v>153291.80000000002</v>
      </c>
      <c r="S62" s="30">
        <f>+R62*IFERROR(VLOOKUP(E62,Tabla11[],4,0),0)</f>
        <v>22993.77</v>
      </c>
      <c r="T62" s="30">
        <f t="shared" si="3"/>
        <v>25833.333333333332</v>
      </c>
      <c r="U62" s="30">
        <f t="shared" si="4"/>
        <v>135066.45930497604</v>
      </c>
      <c r="V62" s="30">
        <f>IF($G62&lt;0,0,IFERROR((V$2*IFERROR(VLOOKUP(E62,Tabla11[],2,0),0))*($G62/SUM($G$5:$G$43)),0))</f>
        <v>27676.156640113084</v>
      </c>
      <c r="W62" s="30">
        <f>G62-G62*IFERROR(VLOOKUP(E62,Tabla11[],3,0),0)-L62-N62-O62-P62-Q62-G62*$R$2-(G62*$R$2)*IFERROR(VLOOKUP(E62,Tabla11[],4,0),0)-V62-T62</f>
        <v>12467.303434093712</v>
      </c>
      <c r="X62" s="30">
        <f t="shared" si="5"/>
        <v>107390.30266486296</v>
      </c>
      <c r="Y62" s="30">
        <f t="shared" si="6"/>
        <v>94922.999230768997</v>
      </c>
    </row>
    <row r="63" spans="1:25" x14ac:dyDescent="0.3">
      <c r="A63" s="29"/>
      <c r="B63" s="29" t="s">
        <v>162</v>
      </c>
      <c r="C63" s="32">
        <v>1</v>
      </c>
      <c r="D63" s="32">
        <v>1</v>
      </c>
      <c r="E63" s="32" t="s">
        <v>214</v>
      </c>
      <c r="F63" s="32" t="s">
        <v>244</v>
      </c>
      <c r="G63" s="29">
        <f>IFERROR(VLOOKUP(CONCATENATE(E63,F63),Ventas!D:H,5,0),0)</f>
        <v>247940.76923076922</v>
      </c>
      <c r="H63" s="29">
        <f>IFERROR(VLOOKUP(A63,Modelos[],18,0),0)*G63/C63</f>
        <v>0</v>
      </c>
      <c r="I63" s="41">
        <f t="shared" si="0"/>
        <v>247940.76923076922</v>
      </c>
      <c r="J63" s="29">
        <f>I63*IFERROR(VLOOKUP(E63,Tabla11[],3,0),0)</f>
        <v>86779.26923076922</v>
      </c>
      <c r="K63" s="29">
        <f t="shared" si="1"/>
        <v>161161.5</v>
      </c>
      <c r="L63" s="29">
        <f>Sup!$A$2*D63</f>
        <v>6775.4474283854179</v>
      </c>
      <c r="M63" s="29">
        <f>IFERROR(VLOOKUP(A63,Modelos[],IF(B63="EST",15,14),0),0)/C63</f>
        <v>0</v>
      </c>
      <c r="N63" s="29">
        <f>IF($G63&lt;0,0,IFERROR((N$2*IFERROR(VLOOKUP(E63,Tabla11[],2,0),0))*($G63/SUM($G$5:$G$43)),0))</f>
        <v>4608.5210081163277</v>
      </c>
      <c r="O63" s="29">
        <f>IF($G63&lt;0,0,IFERROR((O$2*IFERROR(VLOOKUP(E63,Tabla11[],2,0),0))*($G63/SUM($G$5:$G$43)),0))</f>
        <v>896.10130713373053</v>
      </c>
      <c r="P63" s="29">
        <f>IF($G63&lt;0,0,IFERROR((P$2*IFERROR(VLOOKUP(E63,Tabla11[],2,0),0))*($G63/SUM($G$5:$G$43)),0))</f>
        <v>4608.5210081163277</v>
      </c>
      <c r="Q63" s="29">
        <f>IF($G63&lt;0,0,IFERROR((Q$2*IFERROR(VLOOKUP(E63,Tabla11[],2,0),0))*($G63/SUM($G$5:$G$43)),0))</f>
        <v>6400.7236223837881</v>
      </c>
      <c r="R63" s="29">
        <f t="shared" si="2"/>
        <v>64464.600000000006</v>
      </c>
      <c r="S63" s="29">
        <f>+R63*IFERROR(VLOOKUP(E63,Tabla11[],4,0),0)</f>
        <v>9669.69</v>
      </c>
      <c r="T63" s="29">
        <f t="shared" si="3"/>
        <v>25833.333333333332</v>
      </c>
      <c r="U63" s="29">
        <f t="shared" si="4"/>
        <v>37904.56229253106</v>
      </c>
      <c r="V63" s="29">
        <f>IF($G63&lt;0,0,IFERROR((V$2*IFERROR(VLOOKUP(E63,Tabla11[],2,0),0))*($G63/SUM($G$5:$G$43)),0))</f>
        <v>11638.798470252379</v>
      </c>
      <c r="W63" s="29">
        <f>G63-G63*IFERROR(VLOOKUP(E63,Tabla11[],3,0),0)-L63-N63-O63-P63-Q63-G63*$R$2-(G63*$R$2)*IFERROR(VLOOKUP(E63,Tabla11[],4,0),0)-V63-T63</f>
        <v>-13652.700023875157</v>
      </c>
      <c r="X63" s="29">
        <f t="shared" si="5"/>
        <v>26265.763822278681</v>
      </c>
      <c r="Y63" s="29">
        <f t="shared" si="6"/>
        <v>39918.463846154002</v>
      </c>
    </row>
    <row r="64" spans="1:25" x14ac:dyDescent="0.3">
      <c r="A64" s="30"/>
      <c r="B64" s="30" t="s">
        <v>162</v>
      </c>
      <c r="C64" s="33">
        <v>1</v>
      </c>
      <c r="D64" s="33">
        <v>1</v>
      </c>
      <c r="E64" s="33" t="s">
        <v>214</v>
      </c>
      <c r="F64" s="33" t="s">
        <v>22</v>
      </c>
      <c r="G64" s="29">
        <f>IFERROR(VLOOKUP(CONCATENATE(E64,F64),Ventas!D:H,5,0),0)</f>
        <v>519437.1794871795</v>
      </c>
      <c r="H64" s="30">
        <f>IFERROR(VLOOKUP(A64,Modelos[],18,0),0)*G64/C64</f>
        <v>0</v>
      </c>
      <c r="I64" s="42">
        <f t="shared" si="0"/>
        <v>519437.1794871795</v>
      </c>
      <c r="J64" s="30">
        <f>I64*IFERROR(VLOOKUP(E64,Tabla11[],3,0),0)</f>
        <v>181803.01282051281</v>
      </c>
      <c r="K64" s="30">
        <f t="shared" si="1"/>
        <v>337634.16666666669</v>
      </c>
      <c r="L64" s="30">
        <f>Sup!$A$2*D64</f>
        <v>6775.4474283854179</v>
      </c>
      <c r="M64" s="30">
        <f>IFERROR(VLOOKUP(A64,Modelos[],IF(B64="EST",15,14),0),0)/C64</f>
        <v>0</v>
      </c>
      <c r="N64" s="30">
        <f>IF($G64&lt;0,0,IFERROR((N$2*IFERROR(VLOOKUP(E64,Tabla11[],2,0),0))*($G64/SUM($G$5:$G$43)),0))</f>
        <v>9654.8750796014137</v>
      </c>
      <c r="O64" s="30">
        <f>IF($G64&lt;0,0,IFERROR((O$2*IFERROR(VLOOKUP(E64,Tabla11[],2,0),0))*($G64/SUM($G$5:$G$43)),0))</f>
        <v>1877.3368210336084</v>
      </c>
      <c r="P64" s="30">
        <f>IF($G64&lt;0,0,IFERROR((P$2*IFERROR(VLOOKUP(E64,Tabla11[],2,0),0))*($G64/SUM($G$5:$G$43)),0))</f>
        <v>9654.8750796014137</v>
      </c>
      <c r="Q64" s="30">
        <f>IF($G64&lt;0,0,IFERROR((Q$2*IFERROR(VLOOKUP(E64,Tabla11[],2,0),0))*($G64/SUM($G$5:$G$43)),0))</f>
        <v>13409.548721668629</v>
      </c>
      <c r="R64" s="30">
        <f t="shared" si="2"/>
        <v>135053.66666666669</v>
      </c>
      <c r="S64" s="30">
        <f>+R64*IFERROR(VLOOKUP(E64,Tabla11[],4,0),0)</f>
        <v>20258.050000000003</v>
      </c>
      <c r="T64" s="30">
        <f t="shared" si="3"/>
        <v>25833.333333333332</v>
      </c>
      <c r="U64" s="30">
        <f t="shared" si="4"/>
        <v>115117.03353637617</v>
      </c>
      <c r="V64" s="30">
        <f>IF($G64&lt;0,0,IFERROR((V$2*IFERROR(VLOOKUP(E64,Tabla11[],2,0),0))*($G64/SUM($G$5:$G$43)),0))</f>
        <v>24383.342315037633</v>
      </c>
      <c r="W64" s="30">
        <f>G64-G64*IFERROR(VLOOKUP(E64,Tabla11[],3,0),0)-L64-N64-O64-P64-Q64-G64*$R$2-(G64*$R$2)*IFERROR(VLOOKUP(E64,Tabla11[],4,0),0)-V64-T64</f>
        <v>7104.3053239026449</v>
      </c>
      <c r="X64" s="30">
        <f t="shared" si="5"/>
        <v>90733.691221338537</v>
      </c>
      <c r="Y64" s="30">
        <f t="shared" si="6"/>
        <v>83629.385897436005</v>
      </c>
    </row>
    <row r="65" spans="1:25" x14ac:dyDescent="0.3">
      <c r="A65" s="29"/>
      <c r="B65" s="29" t="s">
        <v>162</v>
      </c>
      <c r="C65" s="32">
        <v>1</v>
      </c>
      <c r="D65" s="32">
        <v>1</v>
      </c>
      <c r="E65" s="32" t="s">
        <v>214</v>
      </c>
      <c r="F65" s="32" t="s">
        <v>26</v>
      </c>
      <c r="G65" s="29">
        <f>IFERROR(VLOOKUP(CONCATENATE(E65,F65),Ventas!D:H,5,0),0)</f>
        <v>471880.76923076919</v>
      </c>
      <c r="H65" s="29">
        <f>IFERROR(VLOOKUP(A65,Modelos[],18,0),0)*G65/C65</f>
        <v>0</v>
      </c>
      <c r="I65" s="41">
        <f t="shared" si="0"/>
        <v>471880.76923076919</v>
      </c>
      <c r="J65" s="29">
        <f>I65*IFERROR(VLOOKUP(E65,Tabla11[],3,0),0)</f>
        <v>165158.26923076922</v>
      </c>
      <c r="K65" s="29">
        <f t="shared" si="1"/>
        <v>306722.5</v>
      </c>
      <c r="L65" s="29">
        <f>Sup!$A$2*D65</f>
        <v>6775.4474283854179</v>
      </c>
      <c r="M65" s="29">
        <f>IFERROR(VLOOKUP(A65,Modelos[],IF(B65="EST",15,14),0),0)/C65</f>
        <v>0</v>
      </c>
      <c r="N65" s="29">
        <f>IF($G65&lt;0,0,IFERROR((N$2*IFERROR(VLOOKUP(E65,Tabla11[],2,0),0))*($G65/SUM($G$5:$G$43)),0))</f>
        <v>8770.935272456265</v>
      </c>
      <c r="O65" s="29">
        <f>IF($G65&lt;0,0,IFERROR((O$2*IFERROR(VLOOKUP(E65,Tabla11[],2,0),0))*($G65/SUM($G$5:$G$43)),0))</f>
        <v>1705.4596363109406</v>
      </c>
      <c r="P65" s="29">
        <f>IF($G65&lt;0,0,IFERROR((P$2*IFERROR(VLOOKUP(E65,Tabla11[],2,0),0))*($G65/SUM($G$5:$G$43)),0))</f>
        <v>8770.935272456265</v>
      </c>
      <c r="Q65" s="29">
        <f>IF($G65&lt;0,0,IFERROR((Q$2*IFERROR(VLOOKUP(E65,Tabla11[],2,0),0))*($G65/SUM($G$5:$G$43)),0))</f>
        <v>12181.854545078146</v>
      </c>
      <c r="R65" s="29">
        <f t="shared" si="2"/>
        <v>122689</v>
      </c>
      <c r="S65" s="29">
        <f>+R65*IFERROR(VLOOKUP(E65,Tabla11[],4,0),0)</f>
        <v>18403.349999999999</v>
      </c>
      <c r="T65" s="29">
        <f t="shared" si="3"/>
        <v>25833.333333333332</v>
      </c>
      <c r="U65" s="29">
        <f t="shared" si="4"/>
        <v>101592.18451197963</v>
      </c>
      <c r="V65" s="29">
        <f>IF($G65&lt;0,0,IFERROR((V$2*IFERROR(VLOOKUP(E65,Tabla11[],2,0),0))*($G65/SUM($G$5:$G$43)),0))</f>
        <v>22150.956424406486</v>
      </c>
      <c r="W65" s="29">
        <f>G65-G65*IFERROR(VLOOKUP(E65,Tabla11[],3,0),0)-L65-N65-O65-P65-Q65-G65*$R$2-(G65*$R$2)*IFERROR(VLOOKUP(E65,Tabla11[],4,0),0)-V65-T65</f>
        <v>3468.4242414193213</v>
      </c>
      <c r="X65" s="29">
        <f t="shared" si="5"/>
        <v>79441.228087573152</v>
      </c>
      <c r="Y65" s="29">
        <f t="shared" si="6"/>
        <v>75972.803846153998</v>
      </c>
    </row>
    <row r="66" spans="1:25" x14ac:dyDescent="0.3">
      <c r="A66" s="30"/>
      <c r="B66" s="30" t="s">
        <v>162</v>
      </c>
      <c r="C66" s="33">
        <v>1</v>
      </c>
      <c r="D66" s="33">
        <v>1</v>
      </c>
      <c r="E66" s="33" t="s">
        <v>214</v>
      </c>
      <c r="F66" s="33" t="s">
        <v>245</v>
      </c>
      <c r="G66" s="29">
        <f>IFERROR(VLOOKUP(CONCATENATE(E66,F66),Ventas!D:H,5,0),0)</f>
        <v>636560.25641025638</v>
      </c>
      <c r="H66" s="30">
        <f>IFERROR(VLOOKUP(A66,Modelos[],18,0),0)*G66/C66</f>
        <v>0</v>
      </c>
      <c r="I66" s="42">
        <f t="shared" si="0"/>
        <v>636560.25641025638</v>
      </c>
      <c r="J66" s="30">
        <f>I66*IFERROR(VLOOKUP(E66,Tabla11[],3,0),0)</f>
        <v>222796.08974358972</v>
      </c>
      <c r="K66" s="30">
        <f t="shared" si="1"/>
        <v>413764.16666666663</v>
      </c>
      <c r="L66" s="30">
        <f>Sup!$A$2*D66</f>
        <v>6775.4474283854179</v>
      </c>
      <c r="M66" s="30">
        <f>IFERROR(VLOOKUP(A66,Modelos[],IF(B66="EST",15,14),0),0)/C66</f>
        <v>0</v>
      </c>
      <c r="N66" s="30">
        <f>IF($G66&lt;0,0,IFERROR((N$2*IFERROR(VLOOKUP(E66,Tabla11[],2,0),0))*($G66/SUM($G$5:$G$43)),0))</f>
        <v>11831.86340713557</v>
      </c>
      <c r="O66" s="30">
        <f>IF($G66&lt;0,0,IFERROR((O$2*IFERROR(VLOOKUP(E66,Tabla11[],2,0),0))*($G66/SUM($G$5:$G$43)),0))</f>
        <v>2300.6401069430276</v>
      </c>
      <c r="P66" s="30">
        <f>IF($G66&lt;0,0,IFERROR((P$2*IFERROR(VLOOKUP(E66,Tabla11[],2,0),0))*($G66/SUM($G$5:$G$43)),0))</f>
        <v>11831.86340713557</v>
      </c>
      <c r="Q66" s="30">
        <f>IF($G66&lt;0,0,IFERROR((Q$2*IFERROR(VLOOKUP(E66,Tabla11[],2,0),0))*($G66/SUM($G$5:$G$43)),0))</f>
        <v>16433.143621021623</v>
      </c>
      <c r="R66" s="30">
        <f t="shared" si="2"/>
        <v>165505.66666666666</v>
      </c>
      <c r="S66" s="30">
        <f>+R66*IFERROR(VLOOKUP(E66,Tabla11[],4,0),0)</f>
        <v>24825.85</v>
      </c>
      <c r="T66" s="30">
        <f t="shared" si="3"/>
        <v>25833.333333333332</v>
      </c>
      <c r="U66" s="30">
        <f t="shared" si="4"/>
        <v>148426.35869604541</v>
      </c>
      <c r="V66" s="30">
        <f>IF($G66&lt;0,0,IFERROR((V$2*IFERROR(VLOOKUP(E66,Tabla11[],2,0),0))*($G66/SUM($G$5:$G$43)),0))</f>
        <v>29881.31625757548</v>
      </c>
      <c r="W66" s="30">
        <f>G66-G66*IFERROR(VLOOKUP(E66,Tabla11[],3,0),0)-L66-N66-O66-P66-Q66-G66*$R$2-(G66*$R$2)*IFERROR(VLOOKUP(E66,Tabla11[],4,0),0)-V66-T66</f>
        <v>16058.841156418577</v>
      </c>
      <c r="X66" s="30">
        <f t="shared" si="5"/>
        <v>118545.04243846993</v>
      </c>
      <c r="Y66" s="30">
        <f t="shared" si="6"/>
        <v>102486.201282051</v>
      </c>
    </row>
    <row r="67" spans="1:25" x14ac:dyDescent="0.3">
      <c r="A67" s="29"/>
      <c r="B67" s="29" t="s">
        <v>162</v>
      </c>
      <c r="C67" s="32">
        <v>1</v>
      </c>
      <c r="D67" s="32">
        <v>1</v>
      </c>
      <c r="E67" s="32" t="s">
        <v>214</v>
      </c>
      <c r="F67" s="32" t="s">
        <v>246</v>
      </c>
      <c r="G67" s="29">
        <f>IFERROR(VLOOKUP(CONCATENATE(E67,F67),Ventas!D:H,5,0),0)</f>
        <v>514315.38461538468</v>
      </c>
      <c r="H67" s="29">
        <f>IFERROR(VLOOKUP(A67,Modelos[],18,0),0)*G67/C67</f>
        <v>0</v>
      </c>
      <c r="I67" s="41">
        <f t="shared" si="0"/>
        <v>514315.38461538468</v>
      </c>
      <c r="J67" s="29">
        <f>I67*IFERROR(VLOOKUP(E67,Tabla11[],3,0),0)</f>
        <v>180010.38461538462</v>
      </c>
      <c r="K67" s="29">
        <f t="shared" si="1"/>
        <v>334305.00000000006</v>
      </c>
      <c r="L67" s="29">
        <f>Sup!$A$2*D67</f>
        <v>6775.4474283854179</v>
      </c>
      <c r="M67" s="29">
        <f>IFERROR(VLOOKUP(A67,Modelos[],IF(B67="EST",15,14),0),0)/C67</f>
        <v>0</v>
      </c>
      <c r="N67" s="29">
        <f>IF($G67&lt;0,0,IFERROR((N$2*IFERROR(VLOOKUP(E67,Tabla11[],2,0),0))*($G67/SUM($G$5:$G$43)),0))</f>
        <v>9559.6753295193303</v>
      </c>
      <c r="O67" s="29">
        <f>IF($G67&lt;0,0,IFERROR((O$2*IFERROR(VLOOKUP(E67,Tabla11[],2,0),0))*($G67/SUM($G$5:$G$43)),0))</f>
        <v>1858.8257585176477</v>
      </c>
      <c r="P67" s="29">
        <f>IF($G67&lt;0,0,IFERROR((P$2*IFERROR(VLOOKUP(E67,Tabla11[],2,0),0))*($G67/SUM($G$5:$G$43)),0))</f>
        <v>9559.6753295193303</v>
      </c>
      <c r="Q67" s="29">
        <f>IF($G67&lt;0,0,IFERROR((Q$2*IFERROR(VLOOKUP(E67,Tabla11[],2,0),0))*($G67/SUM($G$5:$G$43)),0))</f>
        <v>13277.326846554624</v>
      </c>
      <c r="R67" s="29">
        <f t="shared" si="2"/>
        <v>133722.00000000003</v>
      </c>
      <c r="S67" s="29">
        <f>+R67*IFERROR(VLOOKUP(E67,Tabla11[],4,0),0)</f>
        <v>20058.300000000003</v>
      </c>
      <c r="T67" s="29">
        <f t="shared" si="3"/>
        <v>25833.333333333332</v>
      </c>
      <c r="U67" s="29">
        <f t="shared" si="4"/>
        <v>113660.41597417035</v>
      </c>
      <c r="V67" s="29">
        <f>IF($G67&lt;0,0,IFERROR((V$2*IFERROR(VLOOKUP(E67,Tabla11[],2,0),0))*($G67/SUM($G$5:$G$43)),0))</f>
        <v>24142.915786944915</v>
      </c>
      <c r="W67" s="29">
        <f>G67-G67*IFERROR(VLOOKUP(E67,Tabla11[],3,0),0)-L67-N67-O67-P67-Q67-G67*$R$2-(G67*$R$2)*IFERROR(VLOOKUP(E67,Tabla11[],4,0),0)-V67-T67</f>
        <v>6712.7232641484807</v>
      </c>
      <c r="X67" s="29">
        <f t="shared" si="5"/>
        <v>89517.500187225436</v>
      </c>
      <c r="Y67" s="29">
        <f t="shared" si="6"/>
        <v>82804.776923077006</v>
      </c>
    </row>
    <row r="68" spans="1:25" x14ac:dyDescent="0.3">
      <c r="A68" s="30"/>
      <c r="B68" s="30" t="s">
        <v>162</v>
      </c>
      <c r="C68" s="33">
        <v>1</v>
      </c>
      <c r="D68" s="33">
        <v>1</v>
      </c>
      <c r="E68" s="33" t="s">
        <v>214</v>
      </c>
      <c r="F68" s="33" t="s">
        <v>247</v>
      </c>
      <c r="G68" s="29">
        <f>IFERROR(VLOOKUP(CONCATENATE(E68,F68),Ventas!D:H,5,0),0)</f>
        <v>504607.1794871795</v>
      </c>
      <c r="H68" s="30">
        <f>IFERROR(VLOOKUP(A68,Modelos[],18,0),0)*G68/C68</f>
        <v>0</v>
      </c>
      <c r="I68" s="42">
        <f t="shared" si="0"/>
        <v>504607.1794871795</v>
      </c>
      <c r="J68" s="30">
        <f>I68*IFERROR(VLOOKUP(E68,Tabla11[],3,0),0)</f>
        <v>176612.51282051281</v>
      </c>
      <c r="K68" s="30">
        <f t="shared" si="1"/>
        <v>327994.66666666669</v>
      </c>
      <c r="L68" s="30">
        <f>Sup!$A$2*D68</f>
        <v>6775.4474283854179</v>
      </c>
      <c r="M68" s="30">
        <f>IFERROR(VLOOKUP(A68,Modelos[],IF(B68="EST",15,14),0),0)/C68</f>
        <v>0</v>
      </c>
      <c r="N68" s="30">
        <f>IF($G68&lt;0,0,IFERROR((N$2*IFERROR(VLOOKUP(E68,Tabla11[],2,0),0))*($G68/SUM($G$5:$G$43)),0))</f>
        <v>9379.227122380009</v>
      </c>
      <c r="O68" s="30">
        <f>IF($G68&lt;0,0,IFERROR((O$2*IFERROR(VLOOKUP(E68,Tabla11[],2,0),0))*($G68/SUM($G$5:$G$43)),0))</f>
        <v>1823.7386071294463</v>
      </c>
      <c r="P68" s="30">
        <f>IF($G68&lt;0,0,IFERROR((P$2*IFERROR(VLOOKUP(E68,Tabla11[],2,0),0))*($G68/SUM($G$5:$G$43)),0))</f>
        <v>9379.227122380009</v>
      </c>
      <c r="Q68" s="30">
        <f>IF($G68&lt;0,0,IFERROR((Q$2*IFERROR(VLOOKUP(E68,Tabla11[],2,0),0))*($G68/SUM($G$5:$G$43)),0))</f>
        <v>13026.704336638901</v>
      </c>
      <c r="R68" s="30">
        <f t="shared" si="2"/>
        <v>131197.86666666667</v>
      </c>
      <c r="S68" s="30">
        <f>+R68*IFERROR(VLOOKUP(E68,Tabla11[],4,0),0)</f>
        <v>19679.68</v>
      </c>
      <c r="T68" s="30">
        <f t="shared" si="3"/>
        <v>25833.333333333332</v>
      </c>
      <c r="U68" s="30">
        <f t="shared" si="4"/>
        <v>110899.44204975289</v>
      </c>
      <c r="V68" s="30">
        <f>IF($G68&lt;0,0,IFERROR((V$2*IFERROR(VLOOKUP(E68,Tabla11[],2,0),0))*($G68/SUM($G$5:$G$43)),0))</f>
        <v>23687.194675222927</v>
      </c>
      <c r="W68" s="30">
        <f>G68-G68*IFERROR(VLOOKUP(E68,Tabla11[],3,0),0)-L68-N68-O68-P68-Q68-G68*$R$2-(G68*$R$2)*IFERROR(VLOOKUP(E68,Tabla11[],4,0),0)-V68-T68</f>
        <v>5970.491477094085</v>
      </c>
      <c r="X68" s="30">
        <f t="shared" si="5"/>
        <v>87212.247374529965</v>
      </c>
      <c r="Y68" s="30">
        <f t="shared" si="6"/>
        <v>81241.755897436</v>
      </c>
    </row>
    <row r="69" spans="1:25" x14ac:dyDescent="0.3">
      <c r="A69" s="29"/>
      <c r="B69" s="29" t="s">
        <v>162</v>
      </c>
      <c r="C69" s="32">
        <v>1</v>
      </c>
      <c r="D69" s="32">
        <v>1</v>
      </c>
      <c r="E69" s="32" t="s">
        <v>214</v>
      </c>
      <c r="F69" s="32" t="s">
        <v>28</v>
      </c>
      <c r="G69" s="29">
        <f>IFERROR(VLOOKUP(CONCATENATE(E69,F69),Ventas!D:H,5,0),0)</f>
        <v>463705.89743589738</v>
      </c>
      <c r="H69" s="29">
        <f>IFERROR(VLOOKUP(A69,Modelos[],18,0),0)*G69/C69</f>
        <v>0</v>
      </c>
      <c r="I69" s="41">
        <f t="shared" si="0"/>
        <v>463705.89743589738</v>
      </c>
      <c r="J69" s="29">
        <f>I69*IFERROR(VLOOKUP(E69,Tabla11[],3,0),0)</f>
        <v>162297.06410256407</v>
      </c>
      <c r="K69" s="29">
        <f t="shared" si="1"/>
        <v>301408.83333333331</v>
      </c>
      <c r="L69" s="29">
        <f>Sup!$A$2*D69</f>
        <v>6775.4474283854179</v>
      </c>
      <c r="M69" s="29">
        <f>IFERROR(VLOOKUP(A69,Modelos[],IF(B69="EST",15,14),0),0)/C69</f>
        <v>0</v>
      </c>
      <c r="N69" s="29">
        <f>IF($G69&lt;0,0,IFERROR((N$2*IFERROR(VLOOKUP(E69,Tabla11[],2,0),0))*($G69/SUM($G$5:$G$43)),0))</f>
        <v>8618.9874160298805</v>
      </c>
      <c r="O69" s="29">
        <f>IF($G69&lt;0,0,IFERROR((O$2*IFERROR(VLOOKUP(E69,Tabla11[],2,0),0))*($G69/SUM($G$5:$G$43)),0))</f>
        <v>1675.9142197835881</v>
      </c>
      <c r="P69" s="29">
        <f>IF($G69&lt;0,0,IFERROR((P$2*IFERROR(VLOOKUP(E69,Tabla11[],2,0),0))*($G69/SUM($G$5:$G$43)),0))</f>
        <v>8618.9874160298805</v>
      </c>
      <c r="Q69" s="29">
        <f>IF($G69&lt;0,0,IFERROR((Q$2*IFERROR(VLOOKUP(E69,Tabla11[],2,0),0))*($G69/SUM($G$5:$G$43)),0))</f>
        <v>11970.815855597055</v>
      </c>
      <c r="R69" s="29">
        <f t="shared" si="2"/>
        <v>120563.53333333333</v>
      </c>
      <c r="S69" s="29">
        <f>+R69*IFERROR(VLOOKUP(E69,Tabla11[],4,0),0)</f>
        <v>18084.53</v>
      </c>
      <c r="T69" s="29">
        <f t="shared" si="3"/>
        <v>25833.333333333332</v>
      </c>
      <c r="U69" s="29">
        <f t="shared" si="4"/>
        <v>99267.284330840805</v>
      </c>
      <c r="V69" s="29">
        <f>IF($G69&lt;0,0,IFERROR((V$2*IFERROR(VLOOKUP(E69,Tabla11[],2,0),0))*($G69/SUM($G$5:$G$43)),0))</f>
        <v>21767.212816463947</v>
      </c>
      <c r="W69" s="29">
        <f>G69-G69*IFERROR(VLOOKUP(E69,Tabla11[],3,0),0)-L69-N69-O69-P69-Q69-G69*$R$2-(G69*$R$2)*IFERROR(VLOOKUP(E69,Tabla11[],4,0),0)-V69-T69</f>
        <v>2843.4220271973827</v>
      </c>
      <c r="X69" s="29">
        <f t="shared" si="5"/>
        <v>77500.071514376861</v>
      </c>
      <c r="Y69" s="29">
        <f t="shared" si="6"/>
        <v>74656.649487179995</v>
      </c>
    </row>
    <row r="70" spans="1:25" x14ac:dyDescent="0.3">
      <c r="A70" s="30"/>
      <c r="B70" s="30" t="s">
        <v>162</v>
      </c>
      <c r="C70" s="33">
        <v>1</v>
      </c>
      <c r="D70" s="33">
        <v>1</v>
      </c>
      <c r="E70" s="33" t="s">
        <v>214</v>
      </c>
      <c r="F70" s="33" t="s">
        <v>248</v>
      </c>
      <c r="G70" s="29">
        <f>IFERROR(VLOOKUP(CONCATENATE(E70,F70),Ventas!D:H,5,0),0)</f>
        <v>458504.61538461538</v>
      </c>
      <c r="H70" s="30">
        <f>IFERROR(VLOOKUP(A70,Modelos[],18,0),0)*G70/C70</f>
        <v>0</v>
      </c>
      <c r="I70" s="42">
        <f t="shared" ref="I70:I111" si="7">SUM(G70:H70)</f>
        <v>458504.61538461538</v>
      </c>
      <c r="J70" s="30">
        <f>I70*IFERROR(VLOOKUP(E70,Tabla11[],3,0),0)</f>
        <v>160476.61538461538</v>
      </c>
      <c r="K70" s="30">
        <f t="shared" ref="K70:K111" si="8">I70-J70</f>
        <v>298028</v>
      </c>
      <c r="L70" s="30">
        <f>Sup!$A$2*D70</f>
        <v>6775.4474283854179</v>
      </c>
      <c r="M70" s="30">
        <f>IFERROR(VLOOKUP(A70,Modelos[],IF(B70="EST",15,14),0),0)/C70</f>
        <v>0</v>
      </c>
      <c r="N70" s="30">
        <f>IF($G70&lt;0,0,IFERROR((N$2*IFERROR(VLOOKUP(E70,Tabla11[],2,0),0))*($G70/SUM($G$5:$G$43)),0))</f>
        <v>8522.3102230178611</v>
      </c>
      <c r="O70" s="30">
        <f>IF($G70&lt;0,0,IFERROR((O$2*IFERROR(VLOOKUP(E70,Tabla11[],2,0),0))*($G70/SUM($G$5:$G$43)),0))</f>
        <v>1657.1158766979179</v>
      </c>
      <c r="P70" s="30">
        <f>IF($G70&lt;0,0,IFERROR((P$2*IFERROR(VLOOKUP(E70,Tabla11[],2,0),0))*($G70/SUM($G$5:$G$43)),0))</f>
        <v>8522.3102230178611</v>
      </c>
      <c r="Q70" s="30">
        <f>IF($G70&lt;0,0,IFERROR((Q$2*IFERROR(VLOOKUP(E70,Tabla11[],2,0),0))*($G70/SUM($G$5:$G$43)),0))</f>
        <v>11836.541976413697</v>
      </c>
      <c r="R70" s="30">
        <f t="shared" ref="R70:R111" si="9">K70*$R$2</f>
        <v>119211.20000000001</v>
      </c>
      <c r="S70" s="30">
        <f>+R70*IFERROR(VLOOKUP(E70,Tabla11[],4,0),0)</f>
        <v>17881.68</v>
      </c>
      <c r="T70" s="30">
        <f t="shared" ref="T70:T111" si="10">IF(G70&gt;0,$T$2/12,0)</f>
        <v>25833.333333333332</v>
      </c>
      <c r="U70" s="30">
        <f t="shared" ref="U70:U111" si="11">K70-SUM(L70:T70)</f>
        <v>97788.060939133895</v>
      </c>
      <c r="V70" s="30">
        <f>IF($G70&lt;0,0,IFERROR((V$2*IFERROR(VLOOKUP(E70,Tabla11[],2,0),0))*($G70/SUM($G$5:$G$43)),0))</f>
        <v>21523.055013091693</v>
      </c>
      <c r="W70" s="30">
        <f>G70-G70*IFERROR(VLOOKUP(E70,Tabla11[],3,0),0)-L70-N70-O70-P70-Q70-G70*$R$2-(G70*$R$2)*IFERROR(VLOOKUP(E70,Tabla11[],4,0),0)-V70-T70</f>
        <v>2445.7628491190844</v>
      </c>
      <c r="X70" s="30">
        <f t="shared" ref="X70:X111" si="12">U70-V70</f>
        <v>76265.005926042199</v>
      </c>
      <c r="Y70" s="30">
        <f t="shared" ref="Y70:Y111" si="13">ROUND(X70-W70,9)</f>
        <v>73819.243076922998</v>
      </c>
    </row>
    <row r="71" spans="1:25" x14ac:dyDescent="0.3">
      <c r="A71" s="29"/>
      <c r="B71" s="29" t="s">
        <v>162</v>
      </c>
      <c r="C71" s="32">
        <v>1</v>
      </c>
      <c r="D71" s="32">
        <v>1</v>
      </c>
      <c r="E71" s="32" t="s">
        <v>214</v>
      </c>
      <c r="F71" s="32" t="s">
        <v>249</v>
      </c>
      <c r="G71" s="29">
        <f>IFERROR(VLOOKUP(CONCATENATE(E71,F71),Ventas!D:H,5,0),0)</f>
        <v>529672.30769230763</v>
      </c>
      <c r="H71" s="29">
        <f>IFERROR(VLOOKUP(A71,Modelos[],18,0),0)*G71/C71</f>
        <v>0</v>
      </c>
      <c r="I71" s="41">
        <f t="shared" si="7"/>
        <v>529672.30769230763</v>
      </c>
      <c r="J71" s="29">
        <f>I71*IFERROR(VLOOKUP(E71,Tabla11[],3,0),0)</f>
        <v>185385.30769230766</v>
      </c>
      <c r="K71" s="29">
        <f t="shared" si="8"/>
        <v>344287</v>
      </c>
      <c r="L71" s="29">
        <f>Sup!$A$2*D71</f>
        <v>6775.4474283854179</v>
      </c>
      <c r="M71" s="29">
        <f>IFERROR(VLOOKUP(A71,Modelos[],IF(B71="EST",15,14),0),0)/C71</f>
        <v>0</v>
      </c>
      <c r="N71" s="29">
        <f>IF($G71&lt;0,0,IFERROR((N$2*IFERROR(VLOOKUP(E71,Tabla11[],2,0),0))*($G71/SUM($G$5:$G$43)),0))</f>
        <v>9845.1173035827178</v>
      </c>
      <c r="O71" s="29">
        <f>IF($G71&lt;0,0,IFERROR((O$2*IFERROR(VLOOKUP(E71,Tabla11[],2,0),0))*($G71/SUM($G$5:$G$43)),0))</f>
        <v>1914.3283645855288</v>
      </c>
      <c r="P71" s="29">
        <f>IF($G71&lt;0,0,IFERROR((P$2*IFERROR(VLOOKUP(E71,Tabla11[],2,0),0))*($G71/SUM($G$5:$G$43)),0))</f>
        <v>9845.1173035827178</v>
      </c>
      <c r="Q71" s="29">
        <f>IF($G71&lt;0,0,IFERROR((Q$2*IFERROR(VLOOKUP(E71,Tabla11[],2,0),0))*($G71/SUM($G$5:$G$43)),0))</f>
        <v>13673.774032753774</v>
      </c>
      <c r="R71" s="29">
        <f t="shared" si="9"/>
        <v>137714.80000000002</v>
      </c>
      <c r="S71" s="29">
        <f>+R71*IFERROR(VLOOKUP(E71,Tabla11[],4,0),0)</f>
        <v>20657.22</v>
      </c>
      <c r="T71" s="29">
        <f t="shared" si="10"/>
        <v>25833.333333333332</v>
      </c>
      <c r="U71" s="29">
        <f t="shared" si="11"/>
        <v>118027.86223377648</v>
      </c>
      <c r="V71" s="29">
        <f>IF($G71&lt;0,0,IFERROR((V$2*IFERROR(VLOOKUP(E71,Tabla11[],2,0),0))*($G71/SUM($G$5:$G$43)),0))</f>
        <v>24863.798170951381</v>
      </c>
      <c r="W71" s="29">
        <f>G71-G71*IFERROR(VLOOKUP(E71,Tabla11[],3,0),0)-L71-N71-O71-P71-Q71-G71*$R$2-(G71*$R$2)*IFERROR(VLOOKUP(E71,Tabla11[],4,0),0)-V71-T71</f>
        <v>7886.8225243635789</v>
      </c>
      <c r="X71" s="29">
        <f t="shared" si="12"/>
        <v>93164.064062825099</v>
      </c>
      <c r="Y71" s="29">
        <f t="shared" si="13"/>
        <v>85277.241538461996</v>
      </c>
    </row>
    <row r="72" spans="1:25" x14ac:dyDescent="0.3">
      <c r="A72" s="30"/>
      <c r="B72" s="30" t="s">
        <v>162</v>
      </c>
      <c r="C72" s="33">
        <v>1</v>
      </c>
      <c r="D72" s="33">
        <v>1</v>
      </c>
      <c r="E72" s="33" t="s">
        <v>214</v>
      </c>
      <c r="F72" s="33" t="s">
        <v>250</v>
      </c>
      <c r="G72" s="29">
        <f>IFERROR(VLOOKUP(CONCATENATE(E72,F72),Ventas!D:H,5,0),0)</f>
        <v>148902.05128205128</v>
      </c>
      <c r="H72" s="30">
        <f>IFERROR(VLOOKUP(A72,Modelos[],18,0),0)*G72/C72</f>
        <v>0</v>
      </c>
      <c r="I72" s="42">
        <f t="shared" si="7"/>
        <v>148902.05128205128</v>
      </c>
      <c r="J72" s="30">
        <f>I72*IFERROR(VLOOKUP(E72,Tabla11[],3,0),0)</f>
        <v>52115.717948717946</v>
      </c>
      <c r="K72" s="30">
        <f t="shared" si="8"/>
        <v>96786.333333333343</v>
      </c>
      <c r="L72" s="30">
        <f>Sup!$A$2*D72</f>
        <v>6775.4474283854179</v>
      </c>
      <c r="M72" s="30">
        <f>IFERROR(VLOOKUP(A72,Modelos[],IF(B72="EST",15,14),0),0)/C72</f>
        <v>0</v>
      </c>
      <c r="N72" s="30">
        <f>IF($G72&lt;0,0,IFERROR((N$2*IFERROR(VLOOKUP(E72,Tabla11[],2,0),0))*($G72/SUM($G$5:$G$43)),0))</f>
        <v>2767.6700109220646</v>
      </c>
      <c r="O72" s="30">
        <f>IF($G72&lt;0,0,IFERROR((O$2*IFERROR(VLOOKUP(E72,Tabla11[],2,0),0))*($G72/SUM($G$5:$G$43)),0))</f>
        <v>538.15805767929044</v>
      </c>
      <c r="P72" s="30">
        <f>IF($G72&lt;0,0,IFERROR((P$2*IFERROR(VLOOKUP(E72,Tabla11[],2,0),0))*($G72/SUM($G$5:$G$43)),0))</f>
        <v>2767.6700109220646</v>
      </c>
      <c r="Q72" s="30">
        <f>IF($G72&lt;0,0,IFERROR((Q$2*IFERROR(VLOOKUP(E72,Tabla11[],2,0),0))*($G72/SUM($G$5:$G$43)),0))</f>
        <v>3843.9861262806448</v>
      </c>
      <c r="R72" s="30">
        <f t="shared" si="9"/>
        <v>38714.53333333334</v>
      </c>
      <c r="S72" s="30">
        <f>+R72*IFERROR(VLOOKUP(E72,Tabla11[],4,0),0)</f>
        <v>5807.1800000000012</v>
      </c>
      <c r="T72" s="30">
        <f t="shared" si="10"/>
        <v>25833.333333333332</v>
      </c>
      <c r="U72" s="30">
        <f t="shared" si="11"/>
        <v>9738.3550324771786</v>
      </c>
      <c r="V72" s="30">
        <f>IF($G72&lt;0,0,IFERROR((V$2*IFERROR(VLOOKUP(E72,Tabla11[],2,0),0))*($G72/SUM($G$5:$G$43)),0))</f>
        <v>6989.7377992965876</v>
      </c>
      <c r="W72" s="30">
        <f>G72-G72*IFERROR(VLOOKUP(E72,Tabla11[],3,0),0)-L72-N72-O72-P72-Q72-G72*$R$2-(G72*$R$2)*IFERROR(VLOOKUP(E72,Tabla11[],4,0),0)-V72-T72</f>
        <v>-21224.613023229671</v>
      </c>
      <c r="X72" s="30">
        <f t="shared" si="12"/>
        <v>2748.617233180591</v>
      </c>
      <c r="Y72" s="30">
        <f t="shared" si="13"/>
        <v>23973.230256409999</v>
      </c>
    </row>
    <row r="73" spans="1:25" x14ac:dyDescent="0.3">
      <c r="A73" s="29"/>
      <c r="B73" s="29" t="s">
        <v>162</v>
      </c>
      <c r="C73" s="32">
        <v>1</v>
      </c>
      <c r="D73" s="32">
        <v>1</v>
      </c>
      <c r="E73" s="32" t="s">
        <v>214</v>
      </c>
      <c r="F73" s="32" t="s">
        <v>177</v>
      </c>
      <c r="G73" s="29">
        <f>IFERROR(VLOOKUP(CONCATENATE(E73,F73),Ventas!D:H,5,0),0)</f>
        <v>204546.15384615384</v>
      </c>
      <c r="H73" s="29">
        <f>IFERROR(VLOOKUP(A73,Modelos[],18,0),0)*G73/C73</f>
        <v>0</v>
      </c>
      <c r="I73" s="41">
        <f t="shared" si="7"/>
        <v>204546.15384615384</v>
      </c>
      <c r="J73" s="29">
        <f>I73*IFERROR(VLOOKUP(E73,Tabla11[],3,0),0)</f>
        <v>71591.153846153844</v>
      </c>
      <c r="K73" s="29">
        <f t="shared" si="8"/>
        <v>132955</v>
      </c>
      <c r="L73" s="29">
        <f>Sup!$A$2*D73</f>
        <v>6775.4474283854179</v>
      </c>
      <c r="M73" s="29">
        <f>IFERROR(VLOOKUP(A73,Modelos[],IF(B73="EST",15,14),0),0)/C73</f>
        <v>0</v>
      </c>
      <c r="N73" s="29">
        <f>IF($G73&lt;0,0,IFERROR((N$2*IFERROR(VLOOKUP(E73,Tabla11[],2,0),0))*($G73/SUM($G$5:$G$43)),0))</f>
        <v>3801.9372532156031</v>
      </c>
      <c r="O73" s="29">
        <f>IF($G73&lt;0,0,IFERROR((O$2*IFERROR(VLOOKUP(E73,Tabla11[],2,0),0))*($G73/SUM($G$5:$G$43)),0))</f>
        <v>739.26557701414515</v>
      </c>
      <c r="P73" s="29">
        <f>IF($G73&lt;0,0,IFERROR((P$2*IFERROR(VLOOKUP(E73,Tabla11[],2,0),0))*($G73/SUM($G$5:$G$43)),0))</f>
        <v>3801.9372532156031</v>
      </c>
      <c r="Q73" s="29">
        <f>IF($G73&lt;0,0,IFERROR((Q$2*IFERROR(VLOOKUP(E73,Tabla11[],2,0),0))*($G73/SUM($G$5:$G$43)),0))</f>
        <v>5280.4684072438931</v>
      </c>
      <c r="R73" s="29">
        <f t="shared" si="9"/>
        <v>53182</v>
      </c>
      <c r="S73" s="29">
        <f>+R73*IFERROR(VLOOKUP(E73,Tabla11[],4,0),0)</f>
        <v>7977.2999999999993</v>
      </c>
      <c r="T73" s="29">
        <f t="shared" si="10"/>
        <v>25833.333333333332</v>
      </c>
      <c r="U73" s="29">
        <f t="shared" si="11"/>
        <v>25563.310747592011</v>
      </c>
      <c r="V73" s="29">
        <f>IF($G73&lt;0,0,IFERROR((V$2*IFERROR(VLOOKUP(E73,Tabla11[],2,0),0))*($G73/SUM($G$5:$G$43)),0))</f>
        <v>9601.7749314346493</v>
      </c>
      <c r="W73" s="29">
        <f>G73-G73*IFERROR(VLOOKUP(E73,Tabla11[],3,0),0)-L73-N73-O73-P73-Q73-G73*$R$2-(G73*$R$2)*IFERROR(VLOOKUP(E73,Tabla11[],4,0),0)-V73-T73</f>
        <v>-16970.394953073417</v>
      </c>
      <c r="X73" s="29">
        <f t="shared" si="12"/>
        <v>15961.535816157362</v>
      </c>
      <c r="Y73" s="29">
        <f t="shared" si="13"/>
        <v>32931.930769231003</v>
      </c>
    </row>
    <row r="74" spans="1:25" x14ac:dyDescent="0.3">
      <c r="A74" s="30"/>
      <c r="B74" s="30" t="s">
        <v>162</v>
      </c>
      <c r="C74" s="33">
        <v>1</v>
      </c>
      <c r="D74" s="33">
        <v>1</v>
      </c>
      <c r="E74" s="33" t="s">
        <v>214</v>
      </c>
      <c r="F74" s="33" t="s">
        <v>29</v>
      </c>
      <c r="G74" s="29">
        <f>IFERROR(VLOOKUP(CONCATENATE(E74,F74),Ventas!D:H,5,0),0)</f>
        <v>392581.28205128206</v>
      </c>
      <c r="H74" s="30">
        <f>IFERROR(VLOOKUP(A74,Modelos[],18,0),0)*G74/C74</f>
        <v>0</v>
      </c>
      <c r="I74" s="42">
        <f t="shared" si="7"/>
        <v>392581.28205128206</v>
      </c>
      <c r="J74" s="30">
        <f>I74*IFERROR(VLOOKUP(E74,Tabla11[],3,0),0)</f>
        <v>137403.44871794872</v>
      </c>
      <c r="K74" s="30">
        <f t="shared" si="8"/>
        <v>255177.83333333334</v>
      </c>
      <c r="L74" s="30">
        <f>Sup!$A$2*D74</f>
        <v>6775.4474283854179</v>
      </c>
      <c r="M74" s="30">
        <f>IFERROR(VLOOKUP(A74,Modelos[],IF(B74="EST",15,14),0),0)/C74</f>
        <v>0</v>
      </c>
      <c r="N74" s="30">
        <f>IF($G74&lt;0,0,IFERROR((N$2*IFERROR(VLOOKUP(E74,Tabla11[],2,0),0))*($G74/SUM($G$5:$G$43)),0))</f>
        <v>7296.9810142141505</v>
      </c>
      <c r="O74" s="30">
        <f>IF($G74&lt;0,0,IFERROR((O$2*IFERROR(VLOOKUP(E74,Tabla11[],2,0),0))*($G74/SUM($G$5:$G$43)),0))</f>
        <v>1418.8574194305295</v>
      </c>
      <c r="P74" s="30">
        <f>IF($G74&lt;0,0,IFERROR((P$2*IFERROR(VLOOKUP(E74,Tabla11[],2,0),0))*($G74/SUM($G$5:$G$43)),0))</f>
        <v>7296.9810142141505</v>
      </c>
      <c r="Q74" s="30">
        <f>IF($G74&lt;0,0,IFERROR((Q$2*IFERROR(VLOOKUP(E74,Tabla11[],2,0),0))*($G74/SUM($G$5:$G$43)),0))</f>
        <v>10134.695853075209</v>
      </c>
      <c r="R74" s="30">
        <f t="shared" si="9"/>
        <v>102071.13333333335</v>
      </c>
      <c r="S74" s="30">
        <f>+R74*IFERROR(VLOOKUP(E74,Tabla11[],4,0),0)</f>
        <v>15310.670000000002</v>
      </c>
      <c r="T74" s="30">
        <f t="shared" si="10"/>
        <v>25833.333333333332</v>
      </c>
      <c r="U74" s="30">
        <f t="shared" si="11"/>
        <v>79039.733937347191</v>
      </c>
      <c r="V74" s="30">
        <f>IF($G74&lt;0,0,IFERROR((V$2*IFERROR(VLOOKUP(E74,Tabla11[],2,0),0))*($G74/SUM($G$5:$G$43)),0))</f>
        <v>18428.49176907833</v>
      </c>
      <c r="W74" s="30">
        <f>G74-G74*IFERROR(VLOOKUP(E74,Tabla11[],3,0),0)-L74-N74-O74-P74-Q74-G74*$R$2-(G74*$R$2)*IFERROR(VLOOKUP(E74,Tabla11[],4,0),0)-V74-T74</f>
        <v>-2594.34424198755</v>
      </c>
      <c r="X74" s="30">
        <f t="shared" si="12"/>
        <v>60611.242168268858</v>
      </c>
      <c r="Y74" s="30">
        <f t="shared" si="13"/>
        <v>63205.586410256001</v>
      </c>
    </row>
    <row r="75" spans="1:25" x14ac:dyDescent="0.3">
      <c r="A75" s="29"/>
      <c r="B75" s="29" t="s">
        <v>162</v>
      </c>
      <c r="C75" s="32">
        <v>1</v>
      </c>
      <c r="D75" s="32">
        <v>1</v>
      </c>
      <c r="E75" s="32" t="s">
        <v>214</v>
      </c>
      <c r="F75" s="32" t="s">
        <v>251</v>
      </c>
      <c r="G75" s="29">
        <f>IFERROR(VLOOKUP(CONCATENATE(E75,F75),Ventas!D:H,5,0),0)</f>
        <v>315021.53846153844</v>
      </c>
      <c r="H75" s="29">
        <f>IFERROR(VLOOKUP(A75,Modelos[],18,0),0)*G75/C75</f>
        <v>0</v>
      </c>
      <c r="I75" s="41">
        <f t="shared" si="7"/>
        <v>315021.53846153844</v>
      </c>
      <c r="J75" s="29">
        <f>I75*IFERROR(VLOOKUP(E75,Tabla11[],3,0),0)</f>
        <v>110257.53846153845</v>
      </c>
      <c r="K75" s="29">
        <f t="shared" si="8"/>
        <v>204764</v>
      </c>
      <c r="L75" s="29">
        <f>Sup!$A$2*D75</f>
        <v>6775.4474283854179</v>
      </c>
      <c r="M75" s="29">
        <f>IFERROR(VLOOKUP(A75,Modelos[],IF(B75="EST",15,14),0),0)/C75</f>
        <v>0</v>
      </c>
      <c r="N75" s="29">
        <f>IF($G75&lt;0,0,IFERROR((N$2*IFERROR(VLOOKUP(E75,Tabla11[],2,0),0))*($G75/SUM($G$5:$G$43)),0))</f>
        <v>5855.3636923578633</v>
      </c>
      <c r="O75" s="29">
        <f>IF($G75&lt;0,0,IFERROR((O$2*IFERROR(VLOOKUP(E75,Tabla11[],2,0),0))*($G75/SUM($G$5:$G$43)),0))</f>
        <v>1138.5429401806957</v>
      </c>
      <c r="P75" s="29">
        <f>IF($G75&lt;0,0,IFERROR((P$2*IFERROR(VLOOKUP(E75,Tabla11[],2,0),0))*($G75/SUM($G$5:$G$43)),0))</f>
        <v>5855.3636923578633</v>
      </c>
      <c r="Q75" s="29">
        <f>IF($G75&lt;0,0,IFERROR((Q$2*IFERROR(VLOOKUP(E75,Tabla11[],2,0),0))*($G75/SUM($G$5:$G$43)),0))</f>
        <v>8132.4495727192534</v>
      </c>
      <c r="R75" s="29">
        <f t="shared" si="9"/>
        <v>81905.600000000006</v>
      </c>
      <c r="S75" s="29">
        <f>+R75*IFERROR(VLOOKUP(E75,Tabla11[],4,0),0)</f>
        <v>12285.84</v>
      </c>
      <c r="T75" s="29">
        <f t="shared" si="10"/>
        <v>25833.333333333332</v>
      </c>
      <c r="U75" s="29">
        <f t="shared" si="11"/>
        <v>56982.059340665553</v>
      </c>
      <c r="V75" s="29">
        <f>IF($G75&lt;0,0,IFERROR((V$2*IFERROR(VLOOKUP(E75,Tabla11[],2,0),0))*($G75/SUM($G$5:$G$43)),0))</f>
        <v>14787.693896884542</v>
      </c>
      <c r="W75" s="29">
        <f>G75-G75*IFERROR(VLOOKUP(E75,Tabla11[],3,0),0)-L75-N75-O75-P75-Q75-G75*$R$2-(G75*$R$2)*IFERROR(VLOOKUP(E75,Tabla11[],4,0),0)-V75-T75</f>
        <v>-8524.1022485266585</v>
      </c>
      <c r="X75" s="29">
        <f t="shared" si="12"/>
        <v>42194.365443781011</v>
      </c>
      <c r="Y75" s="29">
        <f t="shared" si="13"/>
        <v>50718.467692307997</v>
      </c>
    </row>
    <row r="76" spans="1:25" x14ac:dyDescent="0.3">
      <c r="A76" s="30"/>
      <c r="B76" s="30" t="s">
        <v>162</v>
      </c>
      <c r="C76" s="33">
        <v>1</v>
      </c>
      <c r="D76" s="33">
        <v>1</v>
      </c>
      <c r="E76" s="33" t="s">
        <v>214</v>
      </c>
      <c r="F76" s="33" t="s">
        <v>252</v>
      </c>
      <c r="G76" s="29">
        <f>IFERROR(VLOOKUP(CONCATENATE(E76,F76),Ventas!D:H,5,0),0)</f>
        <v>118302.30769230769</v>
      </c>
      <c r="H76" s="30">
        <f>IFERROR(VLOOKUP(A76,Modelos[],18,0),0)*G76/C76</f>
        <v>0</v>
      </c>
      <c r="I76" s="42">
        <f t="shared" si="7"/>
        <v>118302.30769230769</v>
      </c>
      <c r="J76" s="30">
        <f>I76*IFERROR(VLOOKUP(E76,Tabla11[],3,0),0)</f>
        <v>41405.807692307688</v>
      </c>
      <c r="K76" s="30">
        <f t="shared" si="8"/>
        <v>76896.5</v>
      </c>
      <c r="L76" s="30">
        <f>Sup!$A$2*D76</f>
        <v>6775.4474283854179</v>
      </c>
      <c r="M76" s="30">
        <f>IFERROR(VLOOKUP(A76,Modelos[],IF(B76="EST",15,14),0),0)/C76</f>
        <v>0</v>
      </c>
      <c r="N76" s="30">
        <f>IF($G76&lt;0,0,IFERROR((N$2*IFERROR(VLOOKUP(E76,Tabla11[],2,0),0))*($G76/SUM($G$5:$G$43)),0))</f>
        <v>2198.9069082914793</v>
      </c>
      <c r="O76" s="30">
        <f>IF($G76&lt;0,0,IFERROR((O$2*IFERROR(VLOOKUP(E76,Tabla11[],2,0),0))*($G76/SUM($G$5:$G$43)),0))</f>
        <v>427.56523216778771</v>
      </c>
      <c r="P76" s="30">
        <f>IF($G76&lt;0,0,IFERROR((P$2*IFERROR(VLOOKUP(E76,Tabla11[],2,0),0))*($G76/SUM($G$5:$G$43)),0))</f>
        <v>2198.9069082914793</v>
      </c>
      <c r="Q76" s="30">
        <f>IF($G76&lt;0,0,IFERROR((Q$2*IFERROR(VLOOKUP(E76,Tabla11[],2,0),0))*($G76/SUM($G$5:$G$43)),0))</f>
        <v>3054.0373726270545</v>
      </c>
      <c r="R76" s="30">
        <f t="shared" si="9"/>
        <v>30758.600000000002</v>
      </c>
      <c r="S76" s="30">
        <f>+R76*IFERROR(VLOOKUP(E76,Tabla11[],4,0),0)</f>
        <v>4613.79</v>
      </c>
      <c r="T76" s="30">
        <f t="shared" si="10"/>
        <v>25833.333333333332</v>
      </c>
      <c r="U76" s="30">
        <f t="shared" si="11"/>
        <v>1035.9128169034375</v>
      </c>
      <c r="V76" s="30">
        <f>IF($G76&lt;0,0,IFERROR((V$2*IFERROR(VLOOKUP(E76,Tabla11[],2,0),0))*($G76/SUM($G$5:$G$43)),0))</f>
        <v>5553.3292167655563</v>
      </c>
      <c r="W76" s="30">
        <f>G76-G76*IFERROR(VLOOKUP(E76,Tabla11[],3,0),0)-L76-N76-O76-P76-Q76-G76*$R$2-(G76*$R$2)*IFERROR(VLOOKUP(E76,Tabla11[],4,0),0)-V76-T76</f>
        <v>-23564.087938323653</v>
      </c>
      <c r="X76" s="30">
        <f t="shared" si="12"/>
        <v>-4517.4163998621189</v>
      </c>
      <c r="Y76" s="30">
        <f t="shared" si="13"/>
        <v>19046.671538462</v>
      </c>
    </row>
    <row r="77" spans="1:25" x14ac:dyDescent="0.3">
      <c r="A77" s="29"/>
      <c r="B77" s="29" t="s">
        <v>162</v>
      </c>
      <c r="C77" s="32">
        <v>1</v>
      </c>
      <c r="D77" s="32">
        <v>1</v>
      </c>
      <c r="E77" s="32" t="s">
        <v>214</v>
      </c>
      <c r="F77" s="32" t="s">
        <v>253</v>
      </c>
      <c r="G77" s="29">
        <f>IFERROR(VLOOKUP(CONCATENATE(E77,F77),Ventas!D:H,5,0),0)</f>
        <v>107577.17948717948</v>
      </c>
      <c r="H77" s="29">
        <f>IFERROR(VLOOKUP(A77,Modelos[],18,0),0)*G77/C77</f>
        <v>0</v>
      </c>
      <c r="I77" s="41">
        <f t="shared" si="7"/>
        <v>107577.17948717948</v>
      </c>
      <c r="J77" s="29">
        <f>I77*IFERROR(VLOOKUP(E77,Tabla11[],3,0),0)</f>
        <v>37652.01282051282</v>
      </c>
      <c r="K77" s="29">
        <f t="shared" si="8"/>
        <v>69925.166666666657</v>
      </c>
      <c r="L77" s="29">
        <f>Sup!$A$2*D77</f>
        <v>6775.4474283854179</v>
      </c>
      <c r="M77" s="29">
        <f>IFERROR(VLOOKUP(A77,Modelos[],IF(B77="EST",15,14),0),0)/C77</f>
        <v>0</v>
      </c>
      <c r="N77" s="29">
        <f>IF($G77&lt;0,0,IFERROR((N$2*IFERROR(VLOOKUP(E77,Tabla11[],2,0),0))*($G77/SUM($G$5:$G$43)),0))</f>
        <v>1999.5569635388658</v>
      </c>
      <c r="O77" s="29">
        <f>IF($G77&lt;0,0,IFERROR((O$2*IFERROR(VLOOKUP(E77,Tabla11[],2,0),0))*($G77/SUM($G$5:$G$43)),0))</f>
        <v>388.8027429103351</v>
      </c>
      <c r="P77" s="29">
        <f>IF($G77&lt;0,0,IFERROR((P$2*IFERROR(VLOOKUP(E77,Tabla11[],2,0),0))*($G77/SUM($G$5:$G$43)),0))</f>
        <v>1999.5569635388658</v>
      </c>
      <c r="Q77" s="29">
        <f>IF($G77&lt;0,0,IFERROR((Q$2*IFERROR(VLOOKUP(E77,Tabla11[],2,0),0))*($G77/SUM($G$5:$G$43)),0))</f>
        <v>2777.1624493595359</v>
      </c>
      <c r="R77" s="29">
        <f t="shared" si="9"/>
        <v>27970.066666666666</v>
      </c>
      <c r="S77" s="29">
        <f>+R77*IFERROR(VLOOKUP(E77,Tabla11[],4,0),0)</f>
        <v>4195.5099999999993</v>
      </c>
      <c r="T77" s="29">
        <f t="shared" si="10"/>
        <v>25833.333333333332</v>
      </c>
      <c r="U77" s="29">
        <f t="shared" si="11"/>
        <v>-2014.2698810663569</v>
      </c>
      <c r="V77" s="29">
        <f>IF($G77&lt;0,0,IFERROR((V$2*IFERROR(VLOOKUP(E77,Tabla11[],2,0),0))*($G77/SUM($G$5:$G$43)),0))</f>
        <v>5049.871854209242</v>
      </c>
      <c r="W77" s="29">
        <f>G77-G77*IFERROR(VLOOKUP(E77,Tabla11[],3,0),0)-L77-N77-O77-P77-Q77-G77*$R$2-(G77*$R$2)*IFERROR(VLOOKUP(E77,Tabla11[],4,0),0)-V77-T77</f>
        <v>-24384.067632711514</v>
      </c>
      <c r="X77" s="29">
        <f t="shared" si="12"/>
        <v>-7064.1417352755989</v>
      </c>
      <c r="Y77" s="29">
        <f t="shared" si="13"/>
        <v>17319.925897435998</v>
      </c>
    </row>
    <row r="78" spans="1:25" x14ac:dyDescent="0.3">
      <c r="A78" s="30"/>
      <c r="B78" s="30" t="s">
        <v>162</v>
      </c>
      <c r="C78" s="33">
        <v>1</v>
      </c>
      <c r="D78" s="33">
        <v>1</v>
      </c>
      <c r="E78" s="33" t="s">
        <v>214</v>
      </c>
      <c r="F78" s="33" t="s">
        <v>254</v>
      </c>
      <c r="G78" s="29">
        <f>IFERROR(VLOOKUP(CONCATENATE(E78,F78),Ventas!D:H,5,0),0)</f>
        <v>0</v>
      </c>
      <c r="H78" s="30">
        <f>IFERROR(VLOOKUP(A78,Modelos[],18,0),0)*G78/C78</f>
        <v>0</v>
      </c>
      <c r="I78" s="42">
        <f t="shared" si="7"/>
        <v>0</v>
      </c>
      <c r="J78" s="30">
        <f>I78*IFERROR(VLOOKUP(E78,Tabla11[],3,0),0)</f>
        <v>0</v>
      </c>
      <c r="K78" s="30">
        <f t="shared" si="8"/>
        <v>0</v>
      </c>
      <c r="L78" s="30">
        <f>Sup!$A$2*D78</f>
        <v>6775.4474283854179</v>
      </c>
      <c r="M78" s="30">
        <f>IFERROR(VLOOKUP(A78,Modelos[],IF(B78="EST",15,14),0),0)/C78</f>
        <v>0</v>
      </c>
      <c r="N78" s="30">
        <f>IF($G78&lt;0,0,IFERROR((N$2*IFERROR(VLOOKUP(E78,Tabla11[],2,0),0))*($G78/SUM($G$5:$G$43)),0))</f>
        <v>0</v>
      </c>
      <c r="O78" s="30">
        <f>IF($G78&lt;0,0,IFERROR((O$2*IFERROR(VLOOKUP(E78,Tabla11[],2,0),0))*($G78/SUM($G$5:$G$43)),0))</f>
        <v>0</v>
      </c>
      <c r="P78" s="30">
        <f>IF($G78&lt;0,0,IFERROR((P$2*IFERROR(VLOOKUP(E78,Tabla11[],2,0),0))*($G78/SUM($G$5:$G$43)),0))</f>
        <v>0</v>
      </c>
      <c r="Q78" s="30">
        <f>IF($G78&lt;0,0,IFERROR((Q$2*IFERROR(VLOOKUP(E78,Tabla11[],2,0),0))*($G78/SUM($G$5:$G$43)),0))</f>
        <v>0</v>
      </c>
      <c r="R78" s="30">
        <f t="shared" si="9"/>
        <v>0</v>
      </c>
      <c r="S78" s="30">
        <f>+R78*IFERROR(VLOOKUP(E78,Tabla11[],4,0),0)</f>
        <v>0</v>
      </c>
      <c r="T78" s="30">
        <f t="shared" si="10"/>
        <v>0</v>
      </c>
      <c r="U78" s="30">
        <f t="shared" si="11"/>
        <v>-6775.4474283854179</v>
      </c>
      <c r="V78" s="30">
        <f>IF($G78&lt;0,0,IFERROR((V$2*IFERROR(VLOOKUP(E78,Tabla11[],2,0),0))*($G78/SUM($G$5:$G$43)),0))</f>
        <v>0</v>
      </c>
      <c r="W78" s="30">
        <f>G78-G78*IFERROR(VLOOKUP(E78,Tabla11[],3,0),0)-L78-N78-O78-P78-Q78-G78*$R$2-(G78*$R$2)*IFERROR(VLOOKUP(E78,Tabla11[],4,0),0)-V78-T78</f>
        <v>-6775.4474283854179</v>
      </c>
      <c r="X78" s="30">
        <f t="shared" si="12"/>
        <v>-6775.4474283854179</v>
      </c>
      <c r="Y78" s="30">
        <f t="shared" si="13"/>
        <v>0</v>
      </c>
    </row>
    <row r="79" spans="1:25" x14ac:dyDescent="0.3">
      <c r="A79" s="29"/>
      <c r="B79" s="29" t="s">
        <v>162</v>
      </c>
      <c r="C79" s="32">
        <v>1</v>
      </c>
      <c r="D79" s="32">
        <v>1</v>
      </c>
      <c r="E79" s="32" t="s">
        <v>214</v>
      </c>
      <c r="F79" s="32" t="s">
        <v>255</v>
      </c>
      <c r="G79" s="29">
        <f>IFERROR(VLOOKUP(CONCATENATE(E79,F79),Ventas!D:H,5,0),0)</f>
        <v>0</v>
      </c>
      <c r="H79" s="29">
        <f>IFERROR(VLOOKUP(A79,Modelos[],18,0),0)*G79/C79</f>
        <v>0</v>
      </c>
      <c r="I79" s="41">
        <f t="shared" si="7"/>
        <v>0</v>
      </c>
      <c r="J79" s="29">
        <f>I79*IFERROR(VLOOKUP(E79,Tabla11[],3,0),0)</f>
        <v>0</v>
      </c>
      <c r="K79" s="29">
        <f t="shared" si="8"/>
        <v>0</v>
      </c>
      <c r="L79" s="29">
        <f>Sup!$A$2*D79</f>
        <v>6775.4474283854179</v>
      </c>
      <c r="M79" s="29">
        <f>IFERROR(VLOOKUP(A79,Modelos[],IF(B79="EST",15,14),0),0)/C79</f>
        <v>0</v>
      </c>
      <c r="N79" s="29">
        <f>IF($G79&lt;0,0,IFERROR((N$2*IFERROR(VLOOKUP(E79,Tabla11[],2,0),0))*($G79/SUM($G$5:$G$43)),0))</f>
        <v>0</v>
      </c>
      <c r="O79" s="29">
        <f>IF($G79&lt;0,0,IFERROR((O$2*IFERROR(VLOOKUP(E79,Tabla11[],2,0),0))*($G79/SUM($G$5:$G$43)),0))</f>
        <v>0</v>
      </c>
      <c r="P79" s="29">
        <f>IF($G79&lt;0,0,IFERROR((P$2*IFERROR(VLOOKUP(E79,Tabla11[],2,0),0))*($G79/SUM($G$5:$G$43)),0))</f>
        <v>0</v>
      </c>
      <c r="Q79" s="29">
        <f>IF($G79&lt;0,0,IFERROR((Q$2*IFERROR(VLOOKUP(E79,Tabla11[],2,0),0))*($G79/SUM($G$5:$G$43)),0))</f>
        <v>0</v>
      </c>
      <c r="R79" s="29">
        <f t="shared" si="9"/>
        <v>0</v>
      </c>
      <c r="S79" s="29">
        <f>+R79*IFERROR(VLOOKUP(E79,Tabla11[],4,0),0)</f>
        <v>0</v>
      </c>
      <c r="T79" s="29">
        <f t="shared" si="10"/>
        <v>0</v>
      </c>
      <c r="U79" s="29">
        <f t="shared" si="11"/>
        <v>-6775.4474283854179</v>
      </c>
      <c r="V79" s="29">
        <f>IF($G79&lt;0,0,IFERROR((V$2*IFERROR(VLOOKUP(E79,Tabla11[],2,0),0))*($G79/SUM($G$5:$G$43)),0))</f>
        <v>0</v>
      </c>
      <c r="W79" s="29">
        <f>G79-G79*IFERROR(VLOOKUP(E79,Tabla11[],3,0),0)-L79-N79-O79-P79-Q79-G79*$R$2-(G79*$R$2)*IFERROR(VLOOKUP(E79,Tabla11[],4,0),0)-V79-T79</f>
        <v>-6775.4474283854179</v>
      </c>
      <c r="X79" s="29">
        <f t="shared" si="12"/>
        <v>-6775.4474283854179</v>
      </c>
      <c r="Y79" s="29">
        <f t="shared" si="13"/>
        <v>0</v>
      </c>
    </row>
    <row r="80" spans="1:25" x14ac:dyDescent="0.3">
      <c r="A80" s="30"/>
      <c r="B80" s="30" t="s">
        <v>162</v>
      </c>
      <c r="C80" s="33">
        <v>1</v>
      </c>
      <c r="D80" s="33">
        <v>1</v>
      </c>
      <c r="E80" s="33" t="s">
        <v>214</v>
      </c>
      <c r="F80" s="33" t="s">
        <v>256</v>
      </c>
      <c r="G80" s="29">
        <f>IFERROR(VLOOKUP(CONCATENATE(E80,F80),Ventas!D:H,5,0),0)</f>
        <v>0</v>
      </c>
      <c r="H80" s="30">
        <f>IFERROR(VLOOKUP(A80,Modelos[],18,0),0)*G80/C80</f>
        <v>0</v>
      </c>
      <c r="I80" s="42">
        <f t="shared" si="7"/>
        <v>0</v>
      </c>
      <c r="J80" s="30">
        <f>I80*IFERROR(VLOOKUP(E80,Tabla11[],3,0),0)</f>
        <v>0</v>
      </c>
      <c r="K80" s="30">
        <f t="shared" si="8"/>
        <v>0</v>
      </c>
      <c r="L80" s="30">
        <f>Sup!$A$2*D80</f>
        <v>6775.4474283854179</v>
      </c>
      <c r="M80" s="30">
        <f>IFERROR(VLOOKUP(A80,Modelos[],IF(B80="EST",15,14),0),0)/C80</f>
        <v>0</v>
      </c>
      <c r="N80" s="30">
        <f>IF($G80&lt;0,0,IFERROR((N$2*IFERROR(VLOOKUP(E80,Tabla11[],2,0),0))*($G80/SUM($G$5:$G$43)),0))</f>
        <v>0</v>
      </c>
      <c r="O80" s="30">
        <f>IF($G80&lt;0,0,IFERROR((O$2*IFERROR(VLOOKUP(E80,Tabla11[],2,0),0))*($G80/SUM($G$5:$G$43)),0))</f>
        <v>0</v>
      </c>
      <c r="P80" s="30">
        <f>IF($G80&lt;0,0,IFERROR((P$2*IFERROR(VLOOKUP(E80,Tabla11[],2,0),0))*($G80/SUM($G$5:$G$43)),0))</f>
        <v>0</v>
      </c>
      <c r="Q80" s="30">
        <f>IF($G80&lt;0,0,IFERROR((Q$2*IFERROR(VLOOKUP(E80,Tabla11[],2,0),0))*($G80/SUM($G$5:$G$43)),0))</f>
        <v>0</v>
      </c>
      <c r="R80" s="30">
        <f t="shared" si="9"/>
        <v>0</v>
      </c>
      <c r="S80" s="30">
        <f>+R80*IFERROR(VLOOKUP(E80,Tabla11[],4,0),0)</f>
        <v>0</v>
      </c>
      <c r="T80" s="30">
        <f t="shared" si="10"/>
        <v>0</v>
      </c>
      <c r="U80" s="30">
        <f t="shared" si="11"/>
        <v>-6775.4474283854179</v>
      </c>
      <c r="V80" s="30">
        <f>IF($G80&lt;0,0,IFERROR((V$2*IFERROR(VLOOKUP(E80,Tabla11[],2,0),0))*($G80/SUM($G$5:$G$43)),0))</f>
        <v>0</v>
      </c>
      <c r="W80" s="30">
        <f>G80-G80*IFERROR(VLOOKUP(E80,Tabla11[],3,0),0)-L80-N80-O80-P80-Q80-G80*$R$2-(G80*$R$2)*IFERROR(VLOOKUP(E80,Tabla11[],4,0),0)-V80-T80</f>
        <v>-6775.4474283854179</v>
      </c>
      <c r="X80" s="30">
        <f t="shared" si="12"/>
        <v>-6775.4474283854179</v>
      </c>
      <c r="Y80" s="30">
        <f t="shared" si="13"/>
        <v>0</v>
      </c>
    </row>
    <row r="81" spans="1:25" x14ac:dyDescent="0.3">
      <c r="A81" s="29"/>
      <c r="B81" s="29" t="s">
        <v>162</v>
      </c>
      <c r="C81" s="32">
        <v>1</v>
      </c>
      <c r="D81" s="32">
        <v>1</v>
      </c>
      <c r="E81" s="32" t="s">
        <v>214</v>
      </c>
      <c r="F81" s="32" t="s">
        <v>257</v>
      </c>
      <c r="G81" s="29">
        <f>IFERROR(VLOOKUP(CONCATENATE(E81,F81),Ventas!D:H,5,0),0)</f>
        <v>0</v>
      </c>
      <c r="H81" s="29">
        <f>IFERROR(VLOOKUP(A81,Modelos[],18,0),0)*G81/C81</f>
        <v>0</v>
      </c>
      <c r="I81" s="41">
        <f t="shared" si="7"/>
        <v>0</v>
      </c>
      <c r="J81" s="29">
        <f>I81*IFERROR(VLOOKUP(E81,Tabla11[],3,0),0)</f>
        <v>0</v>
      </c>
      <c r="K81" s="29">
        <f t="shared" si="8"/>
        <v>0</v>
      </c>
      <c r="L81" s="29">
        <f>Sup!$A$2*D81</f>
        <v>6775.4474283854179</v>
      </c>
      <c r="M81" s="29">
        <f>IFERROR(VLOOKUP(A81,Modelos[],IF(B81="EST",15,14),0),0)/C81</f>
        <v>0</v>
      </c>
      <c r="N81" s="29">
        <f>IF($G81&lt;0,0,IFERROR((N$2*IFERROR(VLOOKUP(E81,Tabla11[],2,0),0))*($G81/SUM($G$5:$G$43)),0))</f>
        <v>0</v>
      </c>
      <c r="O81" s="29">
        <f>IF($G81&lt;0,0,IFERROR((O$2*IFERROR(VLOOKUP(E81,Tabla11[],2,0),0))*($G81/SUM($G$5:$G$43)),0))</f>
        <v>0</v>
      </c>
      <c r="P81" s="29">
        <f>IF($G81&lt;0,0,IFERROR((P$2*IFERROR(VLOOKUP(E81,Tabla11[],2,0),0))*($G81/SUM($G$5:$G$43)),0))</f>
        <v>0</v>
      </c>
      <c r="Q81" s="29">
        <f>IF($G81&lt;0,0,IFERROR((Q$2*IFERROR(VLOOKUP(E81,Tabla11[],2,0),0))*($G81/SUM($G$5:$G$43)),0))</f>
        <v>0</v>
      </c>
      <c r="R81" s="29">
        <f t="shared" si="9"/>
        <v>0</v>
      </c>
      <c r="S81" s="29">
        <f>+R81*IFERROR(VLOOKUP(E81,Tabla11[],4,0),0)</f>
        <v>0</v>
      </c>
      <c r="T81" s="29">
        <f t="shared" si="10"/>
        <v>0</v>
      </c>
      <c r="U81" s="29">
        <f t="shared" si="11"/>
        <v>-6775.4474283854179</v>
      </c>
      <c r="V81" s="29">
        <f>IF($G81&lt;0,0,IFERROR((V$2*IFERROR(VLOOKUP(E81,Tabla11[],2,0),0))*($G81/SUM($G$5:$G$43)),0))</f>
        <v>0</v>
      </c>
      <c r="W81" s="29">
        <f>G81-G81*IFERROR(VLOOKUP(E81,Tabla11[],3,0),0)-L81-N81-O81-P81-Q81-G81*$R$2-(G81*$R$2)*IFERROR(VLOOKUP(E81,Tabla11[],4,0),0)-V81-T81</f>
        <v>-6775.4474283854179</v>
      </c>
      <c r="X81" s="29">
        <f t="shared" si="12"/>
        <v>-6775.4474283854179</v>
      </c>
      <c r="Y81" s="29">
        <f t="shared" si="13"/>
        <v>0</v>
      </c>
    </row>
    <row r="82" spans="1:25" x14ac:dyDescent="0.3">
      <c r="A82" s="30"/>
      <c r="B82" s="30" t="s">
        <v>162</v>
      </c>
      <c r="C82" s="33">
        <v>1</v>
      </c>
      <c r="D82" s="33">
        <v>1</v>
      </c>
      <c r="E82" s="33" t="s">
        <v>287</v>
      </c>
      <c r="F82" s="33" t="s">
        <v>258</v>
      </c>
      <c r="G82" s="29">
        <f>IFERROR(VLOOKUP(CONCATENATE(E82,F82),Ventas!D:H,5,0),0)</f>
        <v>508799.38461538457</v>
      </c>
      <c r="H82" s="30">
        <f>IFERROR(VLOOKUP(A82,Modelos[],18,0),0)*G82/C82</f>
        <v>0</v>
      </c>
      <c r="I82" s="42">
        <f t="shared" si="7"/>
        <v>508799.38461538457</v>
      </c>
      <c r="J82" s="30">
        <f>I82*IFERROR(VLOOKUP(E82,Tabla11[],3,0),0)</f>
        <v>178079.78461538459</v>
      </c>
      <c r="K82" s="30">
        <f t="shared" si="8"/>
        <v>330719.59999999998</v>
      </c>
      <c r="L82" s="30">
        <f>Sup!$A$2*D82</f>
        <v>6775.4474283854179</v>
      </c>
      <c r="M82" s="30">
        <f>IFERROR(VLOOKUP(A82,Modelos[],IF(B82="EST",15,14),0),0)/C82</f>
        <v>0</v>
      </c>
      <c r="N82" s="30">
        <f>IF($G82&lt;0,0,IFERROR((N$2*IFERROR(VLOOKUP(E82,Tabla11[],2,0),0))*($G82/SUM($G$5:$G$43)),0))</f>
        <v>3337.8170878919123</v>
      </c>
      <c r="O82" s="30">
        <f>IF($G82&lt;0,0,IFERROR((O$2*IFERROR(VLOOKUP(E82,Tabla11[],2,0),0))*($G82/SUM($G$5:$G$43)),0))</f>
        <v>649.0199893123164</v>
      </c>
      <c r="P82" s="30">
        <f>IF($G82&lt;0,0,IFERROR((P$2*IFERROR(VLOOKUP(E82,Tabla11[],2,0),0))*($G82/SUM($G$5:$G$43)),0))</f>
        <v>3337.8170878919123</v>
      </c>
      <c r="Q82" s="30">
        <f>IF($G82&lt;0,0,IFERROR((Q$2*IFERROR(VLOOKUP(E82,Tabla11[],2,0),0))*($G82/SUM($G$5:$G$43)),0))</f>
        <v>4635.8570665165453</v>
      </c>
      <c r="R82" s="30">
        <f t="shared" si="9"/>
        <v>132287.84</v>
      </c>
      <c r="S82" s="30">
        <f>+R82*IFERROR(VLOOKUP(E82,Tabla11[],4,0),0)</f>
        <v>19843.175999999999</v>
      </c>
      <c r="T82" s="30">
        <f t="shared" si="10"/>
        <v>25833.333333333332</v>
      </c>
      <c r="U82" s="30">
        <f t="shared" si="11"/>
        <v>134019.29200666852</v>
      </c>
      <c r="V82" s="30">
        <f>IF($G82&lt;0,0,IFERROR((V$2*IFERROR(VLOOKUP(E82,Tabla11[],2,0),0))*($G82/SUM($G$5:$G$43)),0))</f>
        <v>8429.6416026141378</v>
      </c>
      <c r="W82" s="30">
        <f>G82-G82*IFERROR(VLOOKUP(E82,Tabla11[],3,0),0)-L82-N82-O82-P82-Q82-G82*$R$2-(G82*$R$2)*IFERROR(VLOOKUP(E82,Tabla11[],4,0),0)-V82-T82</f>
        <v>43672.949480977448</v>
      </c>
      <c r="X82" s="30">
        <f t="shared" si="12"/>
        <v>125589.65040405438</v>
      </c>
      <c r="Y82" s="30">
        <f t="shared" si="13"/>
        <v>81916.700923077005</v>
      </c>
    </row>
    <row r="83" spans="1:25" x14ac:dyDescent="0.3">
      <c r="A83" s="29"/>
      <c r="B83" s="29" t="s">
        <v>162</v>
      </c>
      <c r="C83" s="32">
        <v>1</v>
      </c>
      <c r="D83" s="32">
        <v>1</v>
      </c>
      <c r="E83" s="32" t="s">
        <v>287</v>
      </c>
      <c r="F83" s="32" t="s">
        <v>259</v>
      </c>
      <c r="G83" s="29">
        <f>IFERROR(VLOOKUP(CONCATENATE(E83,F83),Ventas!D:H,5,0),0)</f>
        <v>436264.61538461526</v>
      </c>
      <c r="H83" s="29">
        <f>IFERROR(VLOOKUP(A83,Modelos[],18,0),0)*G83/C83</f>
        <v>0</v>
      </c>
      <c r="I83" s="41">
        <f t="shared" si="7"/>
        <v>436264.61538461526</v>
      </c>
      <c r="J83" s="29">
        <f>I83*IFERROR(VLOOKUP(E83,Tabla11[],3,0),0)</f>
        <v>152692.61538461532</v>
      </c>
      <c r="K83" s="29">
        <f t="shared" si="8"/>
        <v>283571.99999999994</v>
      </c>
      <c r="L83" s="29">
        <f>Sup!$A$2*D83</f>
        <v>6775.4474283854179</v>
      </c>
      <c r="M83" s="29">
        <f>IFERROR(VLOOKUP(A83,Modelos[],IF(B83="EST",15,14),0),0)/C83</f>
        <v>0</v>
      </c>
      <c r="N83" s="29">
        <f>IF($G83&lt;0,0,IFERROR((N$2*IFERROR(VLOOKUP(E83,Tabla11[],2,0),0))*($G83/SUM($G$5:$G$43)),0))</f>
        <v>2861.9757258042318</v>
      </c>
      <c r="O83" s="29">
        <f>IF($G83&lt;0,0,IFERROR((O$2*IFERROR(VLOOKUP(E83,Tabla11[],2,0),0))*($G83/SUM($G$5:$G$43)),0))</f>
        <v>556.49528001748956</v>
      </c>
      <c r="P83" s="29">
        <f>IF($G83&lt;0,0,IFERROR((P$2*IFERROR(VLOOKUP(E83,Tabla11[],2,0),0))*($G83/SUM($G$5:$G$43)),0))</f>
        <v>2861.9757258042318</v>
      </c>
      <c r="Q83" s="29">
        <f>IF($G83&lt;0,0,IFERROR((Q$2*IFERROR(VLOOKUP(E83,Tabla11[],2,0),0))*($G83/SUM($G$5:$G$43)),0))</f>
        <v>3974.9662858392107</v>
      </c>
      <c r="R83" s="29">
        <f t="shared" si="9"/>
        <v>113428.79999999999</v>
      </c>
      <c r="S83" s="29">
        <f>+R83*IFERROR(VLOOKUP(E83,Tabla11[],4,0),0)</f>
        <v>17014.319999999996</v>
      </c>
      <c r="T83" s="29">
        <f t="shared" si="10"/>
        <v>25833.333333333332</v>
      </c>
      <c r="U83" s="29">
        <f t="shared" si="11"/>
        <v>110264.68622081602</v>
      </c>
      <c r="V83" s="29">
        <f>IF($G83&lt;0,0,IFERROR((V$2*IFERROR(VLOOKUP(E83,Tabla11[],2,0),0))*($G83/SUM($G$5:$G$43)),0))</f>
        <v>7227.9064456309688</v>
      </c>
      <c r="W83" s="29">
        <f>G83-G83*IFERROR(VLOOKUP(E83,Tabla11[],3,0),0)-L83-N83-O83-P83-Q83-G83*$R$2-(G83*$R$2)*IFERROR(VLOOKUP(E83,Tabla11[],4,0),0)-V83-T83</f>
        <v>32798.176698262003</v>
      </c>
      <c r="X83" s="29">
        <f t="shared" si="12"/>
        <v>103036.77977518504</v>
      </c>
      <c r="Y83" s="29">
        <f t="shared" si="13"/>
        <v>70238.603076922998</v>
      </c>
    </row>
    <row r="84" spans="1:25" x14ac:dyDescent="0.3">
      <c r="A84" s="30"/>
      <c r="B84" s="30" t="s">
        <v>162</v>
      </c>
      <c r="C84" s="33">
        <v>1</v>
      </c>
      <c r="D84" s="33">
        <v>1</v>
      </c>
      <c r="E84" s="33" t="s">
        <v>287</v>
      </c>
      <c r="F84" s="33" t="s">
        <v>260</v>
      </c>
      <c r="G84" s="29">
        <f>IFERROR(VLOOKUP(CONCATENATE(E84,F84),Ventas!D:H,5,0),0)</f>
        <v>422876.92307692306</v>
      </c>
      <c r="H84" s="30">
        <f>IFERROR(VLOOKUP(A84,Modelos[],18,0),0)*G84/C84</f>
        <v>0</v>
      </c>
      <c r="I84" s="42">
        <f t="shared" si="7"/>
        <v>422876.92307692306</v>
      </c>
      <c r="J84" s="30">
        <f>I84*IFERROR(VLOOKUP(E84,Tabla11[],3,0),0)</f>
        <v>148006.92307692306</v>
      </c>
      <c r="K84" s="30">
        <f t="shared" si="8"/>
        <v>274870</v>
      </c>
      <c r="L84" s="30">
        <f>Sup!$A$2*D84</f>
        <v>6775.4474283854179</v>
      </c>
      <c r="M84" s="30">
        <f>IFERROR(VLOOKUP(A84,Modelos[],IF(B84="EST",15,14),0),0)/C84</f>
        <v>0</v>
      </c>
      <c r="N84" s="30">
        <f>IF($G84&lt;0,0,IFERROR((N$2*IFERROR(VLOOKUP(E84,Tabla11[],2,0),0))*($G84/SUM($G$5:$G$43)),0))</f>
        <v>2774.1500139358236</v>
      </c>
      <c r="O84" s="30">
        <f>IF($G84&lt;0,0,IFERROR((O$2*IFERROR(VLOOKUP(E84,Tabla11[],2,0),0))*($G84/SUM($G$5:$G$43)),0))</f>
        <v>539.41805826529912</v>
      </c>
      <c r="P84" s="30">
        <f>IF($G84&lt;0,0,IFERROR((P$2*IFERROR(VLOOKUP(E84,Tabla11[],2,0),0))*($G84/SUM($G$5:$G$43)),0))</f>
        <v>2774.1500139358236</v>
      </c>
      <c r="Q84" s="30">
        <f>IF($G84&lt;0,0,IFERROR((Q$2*IFERROR(VLOOKUP(E84,Tabla11[],2,0),0))*($G84/SUM($G$5:$G$43)),0))</f>
        <v>3852.9861304664223</v>
      </c>
      <c r="R84" s="30">
        <f t="shared" si="9"/>
        <v>109948</v>
      </c>
      <c r="S84" s="30">
        <f>+R84*IFERROR(VLOOKUP(E84,Tabla11[],4,0),0)</f>
        <v>16492.2</v>
      </c>
      <c r="T84" s="30">
        <f t="shared" si="10"/>
        <v>25833.333333333332</v>
      </c>
      <c r="U84" s="30">
        <f t="shared" si="11"/>
        <v>105880.31502167787</v>
      </c>
      <c r="V84" s="30">
        <f>IF($G84&lt;0,0,IFERROR((V$2*IFERROR(VLOOKUP(E84,Tabla11[],2,0),0))*($G84/SUM($G$5:$G$43)),0))</f>
        <v>7006.1030169078222</v>
      </c>
      <c r="W84" s="30">
        <f>G84-G84*IFERROR(VLOOKUP(E84,Tabla11[],3,0),0)-L84-N84-O84-P84-Q84-G84*$R$2-(G84*$R$2)*IFERROR(VLOOKUP(E84,Tabla11[],4,0),0)-V84-T84</f>
        <v>30791.027389385436</v>
      </c>
      <c r="X84" s="30">
        <f t="shared" si="12"/>
        <v>98874.212004770059</v>
      </c>
      <c r="Y84" s="30">
        <f t="shared" si="13"/>
        <v>68083.184615385006</v>
      </c>
    </row>
    <row r="85" spans="1:25" x14ac:dyDescent="0.3">
      <c r="A85" s="29"/>
      <c r="B85" s="29" t="s">
        <v>162</v>
      </c>
      <c r="C85" s="32">
        <v>1</v>
      </c>
      <c r="D85" s="32">
        <v>1</v>
      </c>
      <c r="E85" s="32" t="s">
        <v>287</v>
      </c>
      <c r="F85" s="32" t="s">
        <v>261</v>
      </c>
      <c r="G85" s="29">
        <f>IFERROR(VLOOKUP(CONCATENATE(E85,F85),Ventas!D:H,5,0),0)</f>
        <v>0</v>
      </c>
      <c r="H85" s="29">
        <f>IFERROR(VLOOKUP(A85,Modelos[],18,0),0)*G85/C85</f>
        <v>0</v>
      </c>
      <c r="I85" s="41">
        <f t="shared" si="7"/>
        <v>0</v>
      </c>
      <c r="J85" s="29">
        <f>I85*IFERROR(VLOOKUP(E85,Tabla11[],3,0),0)</f>
        <v>0</v>
      </c>
      <c r="K85" s="29">
        <f t="shared" si="8"/>
        <v>0</v>
      </c>
      <c r="L85" s="29">
        <f>Sup!$A$2*D85</f>
        <v>6775.4474283854179</v>
      </c>
      <c r="M85" s="29">
        <f>IFERROR(VLOOKUP(A85,Modelos[],IF(B85="EST",15,14),0),0)/C85</f>
        <v>0</v>
      </c>
      <c r="N85" s="29">
        <f>IF($G85&lt;0,0,IFERROR((N$2*IFERROR(VLOOKUP(E85,Tabla11[],2,0),0))*($G85/SUM($G$5:$G$43)),0))</f>
        <v>0</v>
      </c>
      <c r="O85" s="29">
        <f>IF($G85&lt;0,0,IFERROR((O$2*IFERROR(VLOOKUP(E85,Tabla11[],2,0),0))*($G85/SUM($G$5:$G$43)),0))</f>
        <v>0</v>
      </c>
      <c r="P85" s="29">
        <f>IF($G85&lt;0,0,IFERROR((P$2*IFERROR(VLOOKUP(E85,Tabla11[],2,0),0))*($G85/SUM($G$5:$G$43)),0))</f>
        <v>0</v>
      </c>
      <c r="Q85" s="29">
        <f>IF($G85&lt;0,0,IFERROR((Q$2*IFERROR(VLOOKUP(E85,Tabla11[],2,0),0))*($G85/SUM($G$5:$G$43)),0))</f>
        <v>0</v>
      </c>
      <c r="R85" s="29">
        <f t="shared" si="9"/>
        <v>0</v>
      </c>
      <c r="S85" s="29">
        <f>+R85*IFERROR(VLOOKUP(E85,Tabla11[],4,0),0)</f>
        <v>0</v>
      </c>
      <c r="T85" s="29">
        <f t="shared" si="10"/>
        <v>0</v>
      </c>
      <c r="U85" s="29">
        <f t="shared" si="11"/>
        <v>-6775.4474283854179</v>
      </c>
      <c r="V85" s="29">
        <f>IF($G85&lt;0,0,IFERROR((V$2*IFERROR(VLOOKUP(E85,Tabla11[],2,0),0))*($G85/SUM($G$5:$G$43)),0))</f>
        <v>0</v>
      </c>
      <c r="W85" s="29">
        <f>G85-G85*IFERROR(VLOOKUP(E85,Tabla11[],3,0),0)-L85-N85-O85-P85-Q85-G85*$R$2-(G85*$R$2)*IFERROR(VLOOKUP(E85,Tabla11[],4,0),0)-V85-T85</f>
        <v>-6775.4474283854179</v>
      </c>
      <c r="X85" s="29">
        <f t="shared" si="12"/>
        <v>-6775.4474283854179</v>
      </c>
      <c r="Y85" s="29">
        <f t="shared" si="13"/>
        <v>0</v>
      </c>
    </row>
    <row r="86" spans="1:25" x14ac:dyDescent="0.3">
      <c r="A86" s="30"/>
      <c r="B86" s="30" t="s">
        <v>162</v>
      </c>
      <c r="C86" s="33">
        <v>1</v>
      </c>
      <c r="D86" s="33">
        <v>1</v>
      </c>
      <c r="E86" s="33" t="s">
        <v>287</v>
      </c>
      <c r="F86" s="33" t="s">
        <v>262</v>
      </c>
      <c r="G86" s="29">
        <f>IFERROR(VLOOKUP(CONCATENATE(E86,F86),Ventas!D:H,5,0),0)</f>
        <v>382938.76923076919</v>
      </c>
      <c r="H86" s="30">
        <f>IFERROR(VLOOKUP(A86,Modelos[],18,0),0)*G86/C86</f>
        <v>0</v>
      </c>
      <c r="I86" s="42">
        <f t="shared" si="7"/>
        <v>382938.76923076919</v>
      </c>
      <c r="J86" s="30">
        <f>I86*IFERROR(VLOOKUP(E86,Tabla11[],3,0),0)</f>
        <v>134028.56923076921</v>
      </c>
      <c r="K86" s="30">
        <f t="shared" si="8"/>
        <v>248910.19999999998</v>
      </c>
      <c r="L86" s="30">
        <f>Sup!$A$2*D86</f>
        <v>6775.4474283854179</v>
      </c>
      <c r="M86" s="30">
        <f>IFERROR(VLOOKUP(A86,Modelos[],IF(B86="EST",15,14),0),0)/C86</f>
        <v>0</v>
      </c>
      <c r="N86" s="30">
        <f>IF($G86&lt;0,0,IFERROR((N$2*IFERROR(VLOOKUP(E86,Tabla11[],2,0),0))*($G86/SUM($G$5:$G$43)),0))</f>
        <v>2512.1484148825575</v>
      </c>
      <c r="O86" s="30">
        <f>IF($G86&lt;0,0,IFERROR((O$2*IFERROR(VLOOKUP(E86,Tabla11[],2,0),0))*($G86/SUM($G$5:$G$43)),0))</f>
        <v>488.47330289383069</v>
      </c>
      <c r="P86" s="30">
        <f>IF($G86&lt;0,0,IFERROR((P$2*IFERROR(VLOOKUP(E86,Tabla11[],2,0),0))*($G86/SUM($G$5:$G$43)),0))</f>
        <v>2512.1484148825575</v>
      </c>
      <c r="Q86" s="30">
        <f>IF($G86&lt;0,0,IFERROR((Q$2*IFERROR(VLOOKUP(E86,Tabla11[],2,0),0))*($G86/SUM($G$5:$G$43)),0))</f>
        <v>3489.0950206702187</v>
      </c>
      <c r="R86" s="30">
        <f t="shared" si="9"/>
        <v>99564.08</v>
      </c>
      <c r="S86" s="30">
        <f>+R86*IFERROR(VLOOKUP(E86,Tabla11[],4,0),0)</f>
        <v>14934.611999999999</v>
      </c>
      <c r="T86" s="30">
        <f t="shared" si="10"/>
        <v>25833.333333333332</v>
      </c>
      <c r="U86" s="30">
        <f t="shared" si="11"/>
        <v>92800.862084952067</v>
      </c>
      <c r="V86" s="30">
        <f>IF($G86&lt;0,0,IFERROR((V$2*IFERROR(VLOOKUP(E86,Tabla11[],2,0),0))*($G86/SUM($G$5:$G$43)),0))</f>
        <v>6344.4191914691637</v>
      </c>
      <c r="W86" s="30">
        <f>G86-G86*IFERROR(VLOOKUP(E86,Tabla11[],3,0),0)-L86-N86-O86-P86-Q86-G86*$R$2-(G86*$R$2)*IFERROR(VLOOKUP(E86,Tabla11[],4,0),0)-V86-T86</f>
        <v>24803.301047329074</v>
      </c>
      <c r="X86" s="30">
        <f t="shared" si="12"/>
        <v>86456.442893482905</v>
      </c>
      <c r="Y86" s="30">
        <f t="shared" si="13"/>
        <v>61653.141846154002</v>
      </c>
    </row>
    <row r="87" spans="1:25" x14ac:dyDescent="0.3">
      <c r="A87" s="29"/>
      <c r="B87" s="29" t="s">
        <v>162</v>
      </c>
      <c r="C87" s="32">
        <v>1</v>
      </c>
      <c r="D87" s="32">
        <v>1</v>
      </c>
      <c r="E87" s="32" t="s">
        <v>287</v>
      </c>
      <c r="F87" s="32" t="s">
        <v>263</v>
      </c>
      <c r="G87" s="29">
        <f>IFERROR(VLOOKUP(CONCATENATE(E87,F87),Ventas!D:H,5,0),0)</f>
        <v>262841.84615384613</v>
      </c>
      <c r="H87" s="29">
        <f>IFERROR(VLOOKUP(A87,Modelos[],18,0),0)*G87/C87</f>
        <v>0</v>
      </c>
      <c r="I87" s="41">
        <f t="shared" si="7"/>
        <v>262841.84615384613</v>
      </c>
      <c r="J87" s="29">
        <f>I87*IFERROR(VLOOKUP(E87,Tabla11[],3,0),0)</f>
        <v>91994.646153846144</v>
      </c>
      <c r="K87" s="29">
        <f t="shared" si="8"/>
        <v>170847.19999999998</v>
      </c>
      <c r="L87" s="29">
        <f>Sup!$A$2*D87</f>
        <v>6775.4474283854179</v>
      </c>
      <c r="M87" s="29">
        <f>IFERROR(VLOOKUP(A87,Modelos[],IF(B87="EST",15,14),0),0)/C87</f>
        <v>0</v>
      </c>
      <c r="N87" s="29">
        <f>IF($G87&lt;0,0,IFERROR((N$2*IFERROR(VLOOKUP(E87,Tabla11[],2,0),0))*($G87/SUM($G$5:$G$43)),0))</f>
        <v>1724.2906183319255</v>
      </c>
      <c r="O87" s="29">
        <f>IF($G87&lt;0,0,IFERROR((O$2*IFERROR(VLOOKUP(E87,Tabla11[],2,0),0))*($G87/SUM($G$5:$G$43)),0))</f>
        <v>335.27873134231891</v>
      </c>
      <c r="P87" s="29">
        <f>IF($G87&lt;0,0,IFERROR((P$2*IFERROR(VLOOKUP(E87,Tabla11[],2,0),0))*($G87/SUM($G$5:$G$43)),0))</f>
        <v>1724.2906183319255</v>
      </c>
      <c r="Q87" s="29">
        <f>IF($G87&lt;0,0,IFERROR((Q$2*IFERROR(VLOOKUP(E87,Tabla11[],2,0),0))*($G87/SUM($G$5:$G$43)),0))</f>
        <v>2394.8480810165634</v>
      </c>
      <c r="R87" s="29">
        <f t="shared" si="9"/>
        <v>68338.87999999999</v>
      </c>
      <c r="S87" s="29">
        <f>+R87*IFERROR(VLOOKUP(E87,Tabla11[],4,0),0)</f>
        <v>10250.831999999999</v>
      </c>
      <c r="T87" s="29">
        <f t="shared" si="10"/>
        <v>25833.333333333332</v>
      </c>
      <c r="U87" s="29">
        <f t="shared" si="11"/>
        <v>53469.999189258509</v>
      </c>
      <c r="V87" s="29">
        <f>IF($G87&lt;0,0,IFERROR((V$2*IFERROR(VLOOKUP(E87,Tabla11[],2,0),0))*($G87/SUM($G$5:$G$43)),0))</f>
        <v>4354.6879737703421</v>
      </c>
      <c r="W87" s="29">
        <f>G87-G87*IFERROR(VLOOKUP(E87,Tabla11[],3,0),0)-L87-N87-O87-P87-Q87-G87*$R$2-(G87*$R$2)*IFERROR(VLOOKUP(E87,Tabla11[],4,0),0)-V87-T87</f>
        <v>6797.7739847189478</v>
      </c>
      <c r="X87" s="29">
        <f t="shared" si="12"/>
        <v>49115.311215488167</v>
      </c>
      <c r="Y87" s="29">
        <f t="shared" si="13"/>
        <v>42317.537230768998</v>
      </c>
    </row>
    <row r="88" spans="1:25" x14ac:dyDescent="0.3">
      <c r="A88" s="30"/>
      <c r="B88" s="30" t="s">
        <v>162</v>
      </c>
      <c r="C88" s="33">
        <v>1</v>
      </c>
      <c r="D88" s="33">
        <v>1</v>
      </c>
      <c r="E88" s="33" t="s">
        <v>288</v>
      </c>
      <c r="F88" s="33" t="s">
        <v>268</v>
      </c>
      <c r="G88" s="29">
        <f>IFERROR(VLOOKUP(CONCATENATE(E88,F88),Ventas!D:H,5,0),0)</f>
        <v>396882.15384615381</v>
      </c>
      <c r="H88" s="30">
        <f>IFERROR(VLOOKUP(A88,Modelos[],18,0),0)*G88/C88</f>
        <v>0</v>
      </c>
      <c r="I88" s="42">
        <f t="shared" si="7"/>
        <v>396882.15384615381</v>
      </c>
      <c r="J88" s="30">
        <f>I88*IFERROR(VLOOKUP(E88,Tabla11[],3,0),0)</f>
        <v>138908.75384615382</v>
      </c>
      <c r="K88" s="30">
        <f t="shared" si="8"/>
        <v>257973.4</v>
      </c>
      <c r="L88" s="30">
        <f>Sup!$A$2*D88</f>
        <v>6775.4474283854179</v>
      </c>
      <c r="M88" s="30">
        <f>IFERROR(VLOOKUP(A88,Modelos[],IF(B88="EST",15,14),0),0)/C88</f>
        <v>0</v>
      </c>
      <c r="N88" s="30">
        <f>IF($G88&lt;0,0,IFERROR((N$2*IFERROR(VLOOKUP(E88,Tabla11[],2,0),0))*($G88/SUM($G$5:$G$43)),0))</f>
        <v>2603.6195699969867</v>
      </c>
      <c r="O88" s="30">
        <f>IF($G88&lt;0,0,IFERROR((O$2*IFERROR(VLOOKUP(E88,Tabla11[],2,0),0))*($G88/SUM($G$5:$G$43)),0))</f>
        <v>506.25936083274752</v>
      </c>
      <c r="P88" s="30">
        <f>IF($G88&lt;0,0,IFERROR((P$2*IFERROR(VLOOKUP(E88,Tabla11[],2,0),0))*($G88/SUM($G$5:$G$43)),0))</f>
        <v>2603.6195699969867</v>
      </c>
      <c r="Q88" s="30">
        <f>IF($G88&lt;0,0,IFERROR((Q$2*IFERROR(VLOOKUP(E88,Tabla11[],2,0),0))*($G88/SUM($G$5:$G$43)),0))</f>
        <v>3616.1382916624821</v>
      </c>
      <c r="R88" s="30">
        <f t="shared" si="9"/>
        <v>103189.36</v>
      </c>
      <c r="S88" s="30">
        <f>+R88*IFERROR(VLOOKUP(E88,Tabla11[],4,0),0)</f>
        <v>15478.403999999999</v>
      </c>
      <c r="T88" s="30">
        <f t="shared" si="10"/>
        <v>25833.333333333332</v>
      </c>
      <c r="U88" s="30">
        <f t="shared" si="11"/>
        <v>97367.218445792038</v>
      </c>
      <c r="V88" s="30">
        <f>IF($G88&lt;0,0,IFERROR((V$2*IFERROR(VLOOKUP(E88,Tabla11[],2,0),0))*($G88/SUM($G$5:$G$43)),0))</f>
        <v>6575.4291702330856</v>
      </c>
      <c r="W88" s="30">
        <f>G88-G88*IFERROR(VLOOKUP(E88,Tabla11[],3,0),0)-L88-N88-O88-P88-Q88-G88*$R$2-(G88*$R$2)*IFERROR(VLOOKUP(E88,Tabla11[],4,0),0)-V88-T88</f>
        <v>26893.762506328236</v>
      </c>
      <c r="X88" s="30">
        <f t="shared" si="12"/>
        <v>90791.789275558956</v>
      </c>
      <c r="Y88" s="30">
        <f t="shared" si="13"/>
        <v>63898.026769231001</v>
      </c>
    </row>
    <row r="89" spans="1:25" x14ac:dyDescent="0.3">
      <c r="A89" s="29"/>
      <c r="B89" s="29" t="s">
        <v>162</v>
      </c>
      <c r="C89" s="32">
        <v>1</v>
      </c>
      <c r="D89" s="32">
        <v>1</v>
      </c>
      <c r="E89" s="32" t="s">
        <v>288</v>
      </c>
      <c r="F89" s="32" t="s">
        <v>269</v>
      </c>
      <c r="G89" s="29">
        <f>IFERROR(VLOOKUP(CONCATENATE(E89,F89),Ventas!D:H,5,0),0)</f>
        <v>181376.30769230766</v>
      </c>
      <c r="H89" s="29">
        <f>IFERROR(VLOOKUP(A89,Modelos[],18,0),0)*G89/C89</f>
        <v>0</v>
      </c>
      <c r="I89" s="41">
        <f t="shared" si="7"/>
        <v>181376.30769230766</v>
      </c>
      <c r="J89" s="29">
        <f>I89*IFERROR(VLOOKUP(E89,Tabla11[],3,0),0)</f>
        <v>63481.707692307675</v>
      </c>
      <c r="K89" s="29">
        <f t="shared" si="8"/>
        <v>117894.59999999998</v>
      </c>
      <c r="L89" s="29">
        <f>Sup!$A$2*D89</f>
        <v>6775.4474283854179</v>
      </c>
      <c r="M89" s="29">
        <f>IFERROR(VLOOKUP(A89,Modelos[],IF(B89="EST",15,14),0),0)/C89</f>
        <v>0</v>
      </c>
      <c r="N89" s="29">
        <f>IF($G89&lt;0,0,IFERROR((N$2*IFERROR(VLOOKUP(E89,Tabla11[],2,0),0))*($G89/SUM($G$5:$G$43)),0))</f>
        <v>1189.8617755046323</v>
      </c>
      <c r="O89" s="29">
        <f>IF($G89&lt;0,0,IFERROR((O$2*IFERROR(VLOOKUP(E89,Tabla11[],2,0),0))*($G89/SUM($G$5:$G$43)),0))</f>
        <v>231.36201190367856</v>
      </c>
      <c r="P89" s="29">
        <f>IF($G89&lt;0,0,IFERROR((P$2*IFERROR(VLOOKUP(E89,Tabla11[],2,0),0))*($G89/SUM($G$5:$G$43)),0))</f>
        <v>1189.8617755046323</v>
      </c>
      <c r="Q89" s="29">
        <f>IF($G89&lt;0,0,IFERROR((Q$2*IFERROR(VLOOKUP(E89,Tabla11[],2,0),0))*($G89/SUM($G$5:$G$43)),0))</f>
        <v>1652.5857993119894</v>
      </c>
      <c r="R89" s="29">
        <f t="shared" si="9"/>
        <v>47157.84</v>
      </c>
      <c r="S89" s="29">
        <f>+R89*IFERROR(VLOOKUP(E89,Tabla11[],4,0),0)</f>
        <v>7073.6759999999995</v>
      </c>
      <c r="T89" s="29">
        <f t="shared" si="10"/>
        <v>25833.333333333332</v>
      </c>
      <c r="U89" s="29">
        <f t="shared" si="11"/>
        <v>26790.631876056301</v>
      </c>
      <c r="V89" s="29">
        <f>IF($G89&lt;0,0,IFERROR((V$2*IFERROR(VLOOKUP(E89,Tabla11[],2,0),0))*($G89/SUM($G$5:$G$43)),0))</f>
        <v>3004.9904054176181</v>
      </c>
      <c r="W89" s="29">
        <f>G89-G89*IFERROR(VLOOKUP(E89,Tabla11[],3,0),0)-L89-N89-O89-P89-Q89-G89*$R$2-(G89*$R$2)*IFERROR(VLOOKUP(E89,Tabla11[],4,0),0)-V89-T89</f>
        <v>-5415.9440678228493</v>
      </c>
      <c r="X89" s="29">
        <f t="shared" si="12"/>
        <v>23785.641470638682</v>
      </c>
      <c r="Y89" s="29">
        <f t="shared" si="13"/>
        <v>29201.585538462001</v>
      </c>
    </row>
    <row r="90" spans="1:25" x14ac:dyDescent="0.3">
      <c r="A90" s="30"/>
      <c r="B90" s="30" t="s">
        <v>162</v>
      </c>
      <c r="C90" s="33">
        <v>1</v>
      </c>
      <c r="D90" s="33">
        <v>1</v>
      </c>
      <c r="E90" s="33" t="s">
        <v>288</v>
      </c>
      <c r="F90" s="33" t="s">
        <v>270</v>
      </c>
      <c r="G90" s="29">
        <f>IFERROR(VLOOKUP(CONCATENATE(E90,F90),Ventas!D:H,5,0),0)</f>
        <v>306109.84615384607</v>
      </c>
      <c r="H90" s="30">
        <f>IFERROR(VLOOKUP(A90,Modelos[],18,0),0)*G90/C90</f>
        <v>0</v>
      </c>
      <c r="I90" s="42">
        <f t="shared" si="7"/>
        <v>306109.84615384607</v>
      </c>
      <c r="J90" s="30">
        <f>I90*IFERROR(VLOOKUP(E90,Tabla11[],3,0),0)</f>
        <v>107138.44615384612</v>
      </c>
      <c r="K90" s="30">
        <f t="shared" si="8"/>
        <v>198971.39999999997</v>
      </c>
      <c r="L90" s="30">
        <f>Sup!$A$2*D90</f>
        <v>6775.4474283854179</v>
      </c>
      <c r="M90" s="30">
        <f>IFERROR(VLOOKUP(A90,Modelos[],IF(B90="EST",15,14),0),0)/C90</f>
        <v>0</v>
      </c>
      <c r="N90" s="30">
        <f>IF($G90&lt;0,0,IFERROR((N$2*IFERROR(VLOOKUP(E90,Tabla11[],2,0),0))*($G90/SUM($G$5:$G$43)),0))</f>
        <v>2008.1366176113443</v>
      </c>
      <c r="O90" s="30">
        <f>IF($G90&lt;0,0,IFERROR((O$2*IFERROR(VLOOKUP(E90,Tabla11[],2,0),0))*($G90/SUM($G$5:$G$43)),0))</f>
        <v>390.47100897998371</v>
      </c>
      <c r="P90" s="30">
        <f>IF($G90&lt;0,0,IFERROR((P$2*IFERROR(VLOOKUP(E90,Tabla11[],2,0),0))*($G90/SUM($G$5:$G$43)),0))</f>
        <v>2008.1366176113443</v>
      </c>
      <c r="Q90" s="30">
        <f>IF($G90&lt;0,0,IFERROR((Q$2*IFERROR(VLOOKUP(E90,Tabla11[],2,0),0))*($G90/SUM($G$5:$G$43)),0))</f>
        <v>2789.0786355713117</v>
      </c>
      <c r="R90" s="30">
        <f t="shared" si="9"/>
        <v>79588.56</v>
      </c>
      <c r="S90" s="30">
        <f>+R90*IFERROR(VLOOKUP(E90,Tabla11[],4,0),0)</f>
        <v>11938.284</v>
      </c>
      <c r="T90" s="30">
        <f t="shared" si="10"/>
        <v>25833.333333333332</v>
      </c>
      <c r="U90" s="30">
        <f t="shared" si="11"/>
        <v>67639.952358507231</v>
      </c>
      <c r="V90" s="30">
        <f>IF($G90&lt;0,0,IFERROR((V$2*IFERROR(VLOOKUP(E90,Tabla11[],2,0),0))*($G90/SUM($G$5:$G$43)),0))</f>
        <v>5071.5397308486654</v>
      </c>
      <c r="W90" s="30">
        <f>G90-G90*IFERROR(VLOOKUP(E90,Tabla11[],3,0),0)-L90-N90-O90-P90-Q90-G90*$R$2-(G90*$R$2)*IFERROR(VLOOKUP(E90,Tabla11[],4,0),0)-V90-T90</f>
        <v>13284.72739688939</v>
      </c>
      <c r="X90" s="30">
        <f t="shared" si="12"/>
        <v>62568.412627658567</v>
      </c>
      <c r="Y90" s="30">
        <f t="shared" si="13"/>
        <v>49283.685230768999</v>
      </c>
    </row>
    <row r="91" spans="1:25" x14ac:dyDescent="0.3">
      <c r="A91" s="29"/>
      <c r="B91" s="29" t="s">
        <v>162</v>
      </c>
      <c r="C91" s="32">
        <v>1</v>
      </c>
      <c r="D91" s="32">
        <v>1</v>
      </c>
      <c r="E91" s="32" t="s">
        <v>288</v>
      </c>
      <c r="F91" s="32" t="s">
        <v>271</v>
      </c>
      <c r="G91" s="29">
        <f>IFERROR(VLOOKUP(CONCATENATE(E91,F91),Ventas!D:H,5,0),0)</f>
        <v>244883.38461538457</v>
      </c>
      <c r="H91" s="29">
        <f>IFERROR(VLOOKUP(A91,Modelos[],18,0),0)*G91/C91</f>
        <v>0</v>
      </c>
      <c r="I91" s="41">
        <f t="shared" si="7"/>
        <v>244883.38461538457</v>
      </c>
      <c r="J91" s="29">
        <f>I91*IFERROR(VLOOKUP(E91,Tabla11[],3,0),0)</f>
        <v>85709.184615384598</v>
      </c>
      <c r="K91" s="29">
        <f t="shared" si="8"/>
        <v>159174.19999999995</v>
      </c>
      <c r="L91" s="29">
        <f>Sup!$A$2*D91</f>
        <v>6775.4474283854179</v>
      </c>
      <c r="M91" s="29">
        <f>IFERROR(VLOOKUP(A91,Modelos[],IF(B91="EST",15,14),0),0)/C91</f>
        <v>0</v>
      </c>
      <c r="N91" s="29">
        <f>IF($G91&lt;0,0,IFERROR((N$2*IFERROR(VLOOKUP(E91,Tabla11[],2,0),0))*($G91/SUM($G$5:$G$43)),0))</f>
        <v>1606.4798237283935</v>
      </c>
      <c r="O91" s="29">
        <f>IF($G91&lt;0,0,IFERROR((O$2*IFERROR(VLOOKUP(E91,Tabla11[],2,0),0))*($G91/SUM($G$5:$G$43)),0))</f>
        <v>312.37107683607661</v>
      </c>
      <c r="P91" s="29">
        <f>IF($G91&lt;0,0,IFERROR((P$2*IFERROR(VLOOKUP(E91,Tabla11[],2,0),0))*($G91/SUM($G$5:$G$43)),0))</f>
        <v>1606.4798237283935</v>
      </c>
      <c r="Q91" s="29">
        <f>IF($G91&lt;0,0,IFERROR((Q$2*IFERROR(VLOOKUP(E91,Tabla11[],2,0),0))*($G91/SUM($G$5:$G$43)),0))</f>
        <v>2231.2219774005466</v>
      </c>
      <c r="R91" s="29">
        <f t="shared" si="9"/>
        <v>63669.679999999986</v>
      </c>
      <c r="S91" s="29">
        <f>+R91*IFERROR(VLOOKUP(E91,Tabla11[],4,0),0)</f>
        <v>9550.4519999999975</v>
      </c>
      <c r="T91" s="29">
        <f t="shared" si="10"/>
        <v>25833.333333333332</v>
      </c>
      <c r="U91" s="29">
        <f t="shared" si="11"/>
        <v>47588.734536587828</v>
      </c>
      <c r="V91" s="29">
        <f>IF($G91&lt;0,0,IFERROR((V$2*IFERROR(VLOOKUP(E91,Tabla11[],2,0),0))*($G91/SUM($G$5:$G$43)),0))</f>
        <v>4057.1573574194672</v>
      </c>
      <c r="W91" s="29">
        <f>G91-G91*IFERROR(VLOOKUP(E91,Tabla11[],3,0),0)-L91-N91-O91-P91-Q91-G91*$R$2-(G91*$R$2)*IFERROR(VLOOKUP(E91,Tabla11[],4,0),0)-V91-T91</f>
        <v>4105.3522560914716</v>
      </c>
      <c r="X91" s="29">
        <f t="shared" si="12"/>
        <v>43531.577179168358</v>
      </c>
      <c r="Y91" s="29">
        <f t="shared" si="13"/>
        <v>39426.224923077003</v>
      </c>
    </row>
    <row r="92" spans="1:25" x14ac:dyDescent="0.3">
      <c r="A92" s="30"/>
      <c r="B92" s="30" t="s">
        <v>162</v>
      </c>
      <c r="C92" s="33">
        <v>1</v>
      </c>
      <c r="D92" s="33">
        <v>1</v>
      </c>
      <c r="E92" s="33" t="s">
        <v>288</v>
      </c>
      <c r="F92" s="33" t="s">
        <v>272</v>
      </c>
      <c r="G92" s="29">
        <f>IFERROR(VLOOKUP(CONCATENATE(E92,F92),Ventas!D:H,5,0),0)</f>
        <v>274051.38461538462</v>
      </c>
      <c r="H92" s="30">
        <f>IFERROR(VLOOKUP(A92,Modelos[],18,0),0)*G92/C92</f>
        <v>0</v>
      </c>
      <c r="I92" s="42">
        <f t="shared" si="7"/>
        <v>274051.38461538462</v>
      </c>
      <c r="J92" s="30">
        <f>I92*IFERROR(VLOOKUP(E92,Tabla11[],3,0),0)</f>
        <v>95917.984615384616</v>
      </c>
      <c r="K92" s="30">
        <f t="shared" si="8"/>
        <v>178133.40000000002</v>
      </c>
      <c r="L92" s="30">
        <f>Sup!$A$2*D92</f>
        <v>6775.4474283854179</v>
      </c>
      <c r="M92" s="30">
        <f>IFERROR(VLOOKUP(A92,Modelos[],IF(B92="EST",15,14),0),0)/C92</f>
        <v>0</v>
      </c>
      <c r="N92" s="30">
        <f>IF($G92&lt;0,0,IFERROR((N$2*IFERROR(VLOOKUP(E92,Tabla11[],2,0),0))*($G92/SUM($G$5:$G$43)),0))</f>
        <v>1797.8272423052194</v>
      </c>
      <c r="O92" s="30">
        <f>IF($G92&lt;0,0,IFERROR((O$2*IFERROR(VLOOKUP(E92,Tabla11[],2,0),0))*($G92/SUM($G$5:$G$43)),0))</f>
        <v>349.57751933712603</v>
      </c>
      <c r="P92" s="30">
        <f>IF($G92&lt;0,0,IFERROR((P$2*IFERROR(VLOOKUP(E92,Tabla11[],2,0),0))*($G92/SUM($G$5:$G$43)),0))</f>
        <v>1797.8272423052194</v>
      </c>
      <c r="Q92" s="30">
        <f>IF($G92&lt;0,0,IFERROR((Q$2*IFERROR(VLOOKUP(E92,Tabla11[],2,0),0))*($G92/SUM($G$5:$G$43)),0))</f>
        <v>2496.9822809794714</v>
      </c>
      <c r="R92" s="30">
        <f t="shared" si="9"/>
        <v>71253.360000000015</v>
      </c>
      <c r="S92" s="30">
        <f>+R92*IFERROR(VLOOKUP(E92,Tabla11[],4,0),0)</f>
        <v>10688.004000000003</v>
      </c>
      <c r="T92" s="30">
        <f t="shared" si="10"/>
        <v>25833.333333333332</v>
      </c>
      <c r="U92" s="30">
        <f t="shared" si="11"/>
        <v>57141.040953354226</v>
      </c>
      <c r="V92" s="30">
        <f>IF($G92&lt;0,0,IFERROR((V$2*IFERROR(VLOOKUP(E92,Tabla11[],2,0),0))*($G92/SUM($G$5:$G$43)),0))</f>
        <v>4540.4043771675624</v>
      </c>
      <c r="W92" s="30">
        <f>G92-G92*IFERROR(VLOOKUP(E92,Tabla11[],3,0),0)-L92-N92-O92-P92-Q92-G92*$R$2-(G92*$R$2)*IFERROR(VLOOKUP(E92,Tabla11[],4,0),0)-V92-T92</f>
        <v>8478.3636531097545</v>
      </c>
      <c r="X92" s="30">
        <f t="shared" si="12"/>
        <v>52600.636576186662</v>
      </c>
      <c r="Y92" s="30">
        <f t="shared" si="13"/>
        <v>44122.272923076998</v>
      </c>
    </row>
    <row r="93" spans="1:25" x14ac:dyDescent="0.3">
      <c r="A93" s="29"/>
      <c r="B93" s="29" t="s">
        <v>162</v>
      </c>
      <c r="C93" s="32">
        <v>1</v>
      </c>
      <c r="D93" s="32">
        <v>1</v>
      </c>
      <c r="E93" s="32" t="s">
        <v>287</v>
      </c>
      <c r="F93" s="32" t="s">
        <v>264</v>
      </c>
      <c r="G93" s="29">
        <f>IFERROR(VLOOKUP(CONCATENATE(E93,F93),Ventas!D:H,5,0),0)</f>
        <v>170183.07692307691</v>
      </c>
      <c r="H93" s="29">
        <f>IFERROR(VLOOKUP(A93,Modelos[],18,0),0)*G93/C93</f>
        <v>0</v>
      </c>
      <c r="I93" s="41">
        <f t="shared" si="7"/>
        <v>170183.07692307691</v>
      </c>
      <c r="J93" s="29">
        <f>I93*IFERROR(VLOOKUP(E93,Tabla11[],3,0),0)</f>
        <v>59564.076923076915</v>
      </c>
      <c r="K93" s="29">
        <f t="shared" si="8"/>
        <v>110619</v>
      </c>
      <c r="L93" s="29">
        <f>Sup!$A$2*D93</f>
        <v>6775.4474283854179</v>
      </c>
      <c r="M93" s="29">
        <f>IFERROR(VLOOKUP(A93,Modelos[],IF(B93="EST",15,14),0),0)/C93</f>
        <v>0</v>
      </c>
      <c r="N93" s="29">
        <f>IF($G93&lt;0,0,IFERROR((N$2*IFERROR(VLOOKUP(E93,Tabla11[],2,0),0))*($G93/SUM($G$5:$G$43)),0))</f>
        <v>1116.4321329776508</v>
      </c>
      <c r="O93" s="29">
        <f>IF($G93&lt;0,0,IFERROR((O$2*IFERROR(VLOOKUP(E93,Tabla11[],2,0),0))*($G93/SUM($G$5:$G$43)),0))</f>
        <v>217.08402585676546</v>
      </c>
      <c r="P93" s="29">
        <f>IF($G93&lt;0,0,IFERROR((P$2*IFERROR(VLOOKUP(E93,Tabla11[],2,0),0))*($G93/SUM($G$5:$G$43)),0))</f>
        <v>1116.4321329776508</v>
      </c>
      <c r="Q93" s="29">
        <f>IF($G93&lt;0,0,IFERROR((Q$2*IFERROR(VLOOKUP(E93,Tabla11[],2,0),0))*($G93/SUM($G$5:$G$43)),0))</f>
        <v>1550.6001846911818</v>
      </c>
      <c r="R93" s="29">
        <f t="shared" si="9"/>
        <v>44247.600000000006</v>
      </c>
      <c r="S93" s="29">
        <f>+R93*IFERROR(VLOOKUP(E93,Tabla11[],4,0),0)</f>
        <v>6637.14</v>
      </c>
      <c r="T93" s="29">
        <f t="shared" si="10"/>
        <v>25833.333333333332</v>
      </c>
      <c r="U93" s="29">
        <f t="shared" si="11"/>
        <v>23124.930761778</v>
      </c>
      <c r="V93" s="29">
        <f>IF($G93&lt;0,0,IFERROR((V$2*IFERROR(VLOOKUP(E93,Tabla11[],2,0),0))*($G93/SUM($G$5:$G$43)),0))</f>
        <v>2819.5441831677749</v>
      </c>
      <c r="W93" s="29">
        <f>G93-G93*IFERROR(VLOOKUP(E93,Tabla11[],3,0),0)-L93-N93-O93-P93-Q93-G93*$R$2-(G93*$R$2)*IFERROR(VLOOKUP(E93,Tabla11[],4,0),0)-V93-T93</f>
        <v>-7094.0888060051693</v>
      </c>
      <c r="X93" s="29">
        <f t="shared" si="12"/>
        <v>20305.386578610225</v>
      </c>
      <c r="Y93" s="29">
        <f t="shared" si="13"/>
        <v>27399.475384615002</v>
      </c>
    </row>
    <row r="94" spans="1:25" x14ac:dyDescent="0.3">
      <c r="A94" s="30"/>
      <c r="B94" s="30" t="s">
        <v>162</v>
      </c>
      <c r="C94" s="33">
        <v>1</v>
      </c>
      <c r="D94" s="33">
        <v>1</v>
      </c>
      <c r="E94" s="33" t="s">
        <v>287</v>
      </c>
      <c r="F94" s="33" t="s">
        <v>265</v>
      </c>
      <c r="G94" s="29">
        <f>IFERROR(VLOOKUP(CONCATENATE(E94,F94),Ventas!D:H,5,0),0)</f>
        <v>288595.07692307688</v>
      </c>
      <c r="H94" s="30">
        <f>IFERROR(VLOOKUP(A94,Modelos[],18,0),0)*G94/C94</f>
        <v>0</v>
      </c>
      <c r="I94" s="42">
        <f t="shared" si="7"/>
        <v>288595.07692307688</v>
      </c>
      <c r="J94" s="30">
        <f>I94*IFERROR(VLOOKUP(E94,Tabla11[],3,0),0)</f>
        <v>101008.2769230769</v>
      </c>
      <c r="K94" s="30">
        <f t="shared" si="8"/>
        <v>187586.8</v>
      </c>
      <c r="L94" s="30">
        <f>Sup!$A$2*D94</f>
        <v>6775.4474283854179</v>
      </c>
      <c r="M94" s="30">
        <f>IFERROR(VLOOKUP(A94,Modelos[],IF(B94="EST",15,14),0),0)/C94</f>
        <v>0</v>
      </c>
      <c r="N94" s="30">
        <f>IF($G94&lt;0,0,IFERROR((N$2*IFERROR(VLOOKUP(E94,Tabla11[],2,0),0))*($G94/SUM($G$5:$G$43)),0))</f>
        <v>1893.2365257546351</v>
      </c>
      <c r="O94" s="30">
        <f>IF($G94&lt;0,0,IFERROR((O$2*IFERROR(VLOOKUP(E94,Tabla11[],2,0),0))*($G94/SUM($G$5:$G$43)),0))</f>
        <v>368.12932445229023</v>
      </c>
      <c r="P94" s="30">
        <f>IF($G94&lt;0,0,IFERROR((P$2*IFERROR(VLOOKUP(E94,Tabla11[],2,0),0))*($G94/SUM($G$5:$G$43)),0))</f>
        <v>1893.2365257546351</v>
      </c>
      <c r="Q94" s="30">
        <f>IF($G94&lt;0,0,IFERROR((Q$2*IFERROR(VLOOKUP(E94,Tabla11[],2,0),0))*($G94/SUM($G$5:$G$43)),0))</f>
        <v>2629.4951746592155</v>
      </c>
      <c r="R94" s="30">
        <f t="shared" si="9"/>
        <v>75034.720000000001</v>
      </c>
      <c r="S94" s="30">
        <f>+R94*IFERROR(VLOOKUP(E94,Tabla11[],4,0),0)</f>
        <v>11255.208000000001</v>
      </c>
      <c r="T94" s="30">
        <f t="shared" si="10"/>
        <v>25833.333333333332</v>
      </c>
      <c r="U94" s="30">
        <f t="shared" si="11"/>
        <v>61903.993687660462</v>
      </c>
      <c r="V94" s="30">
        <f>IF($G94&lt;0,0,IFERROR((V$2*IFERROR(VLOOKUP(E94,Tabla11[],2,0),0))*($G94/SUM($G$5:$G$43)),0))</f>
        <v>4781.3600808094161</v>
      </c>
      <c r="W94" s="30">
        <f>G94-G94*IFERROR(VLOOKUP(E94,Tabla11[],3,0),0)-L94-N94-O94-P94-Q94-G94*$R$2-(G94*$R$2)*IFERROR(VLOOKUP(E94,Tabla11[],4,0),0)-V94-T94</f>
        <v>10658.826222235668</v>
      </c>
      <c r="X94" s="30">
        <f t="shared" si="12"/>
        <v>57122.633606851043</v>
      </c>
      <c r="Y94" s="30">
        <f t="shared" si="13"/>
        <v>46463.807384615</v>
      </c>
    </row>
    <row r="95" spans="1:25" x14ac:dyDescent="0.3">
      <c r="A95" s="29"/>
      <c r="B95" s="29" t="s">
        <v>162</v>
      </c>
      <c r="C95" s="32">
        <v>1</v>
      </c>
      <c r="D95" s="32">
        <v>1</v>
      </c>
      <c r="E95" s="32" t="s">
        <v>288</v>
      </c>
      <c r="F95" s="32" t="s">
        <v>273</v>
      </c>
      <c r="G95" s="29">
        <f>IFERROR(VLOOKUP(CONCATENATE(E95,F95),Ventas!D:H,5,0),0)</f>
        <v>212971.99999999997</v>
      </c>
      <c r="H95" s="29">
        <f>IFERROR(VLOOKUP(A95,Modelos[],18,0),0)*G95/C95</f>
        <v>0</v>
      </c>
      <c r="I95" s="41">
        <f t="shared" si="7"/>
        <v>212971.99999999997</v>
      </c>
      <c r="J95" s="29">
        <f>I95*IFERROR(VLOOKUP(E95,Tabla11[],3,0),0)</f>
        <v>74540.199999999983</v>
      </c>
      <c r="K95" s="29">
        <f t="shared" si="8"/>
        <v>138431.79999999999</v>
      </c>
      <c r="L95" s="29">
        <f>Sup!$A$2*D95</f>
        <v>6775.4474283854179</v>
      </c>
      <c r="M95" s="29">
        <f>IFERROR(VLOOKUP(A95,Modelos[],IF(B95="EST",15,14),0),0)/C95</f>
        <v>0</v>
      </c>
      <c r="N95" s="29">
        <f>IF($G95&lt;0,0,IFERROR((N$2*IFERROR(VLOOKUP(E95,Tabla11[],2,0),0))*($G95/SUM($G$5:$G$43)),0))</f>
        <v>1397.1352999569292</v>
      </c>
      <c r="O95" s="29">
        <f>IF($G95&lt;0,0,IFERROR((O$2*IFERROR(VLOOKUP(E95,Tabla11[],2,0),0))*($G95/SUM($G$5:$G$43)),0))</f>
        <v>271.66519721384736</v>
      </c>
      <c r="P95" s="29">
        <f>IF($G95&lt;0,0,IFERROR((P$2*IFERROR(VLOOKUP(E95,Tabla11[],2,0),0))*($G95/SUM($G$5:$G$43)),0))</f>
        <v>1397.1352999569292</v>
      </c>
      <c r="Q95" s="29">
        <f>IF($G95&lt;0,0,IFERROR((Q$2*IFERROR(VLOOKUP(E95,Tabla11[],2,0),0))*($G95/SUM($G$5:$G$43)),0))</f>
        <v>1940.4656943846239</v>
      </c>
      <c r="R95" s="29">
        <f t="shared" si="9"/>
        <v>55372.72</v>
      </c>
      <c r="S95" s="29">
        <f>+R95*IFERROR(VLOOKUP(E95,Tabla11[],4,0),0)</f>
        <v>8305.9079999999994</v>
      </c>
      <c r="T95" s="29">
        <f t="shared" si="10"/>
        <v>25833.333333333332</v>
      </c>
      <c r="U95" s="29">
        <f t="shared" si="11"/>
        <v>37137.989746768915</v>
      </c>
      <c r="V95" s="29">
        <f>IF($G95&lt;0,0,IFERROR((V$2*IFERROR(VLOOKUP(E95,Tabla11[],2,0),0))*($G95/SUM($G$5:$G$43)),0))</f>
        <v>3528.4587318222439</v>
      </c>
      <c r="W95" s="29">
        <f>G95-G95*IFERROR(VLOOKUP(E95,Tabla11[],3,0),0)-L95-N95-O95-P95-Q95-G95*$R$2-(G95*$R$2)*IFERROR(VLOOKUP(E95,Tabla11[],4,0),0)-V95-T95</f>
        <v>-678.96098505332338</v>
      </c>
      <c r="X95" s="29">
        <f t="shared" si="12"/>
        <v>33609.531014946668</v>
      </c>
      <c r="Y95" s="29">
        <f t="shared" si="13"/>
        <v>34288.491999999998</v>
      </c>
    </row>
    <row r="96" spans="1:25" x14ac:dyDescent="0.3">
      <c r="A96" s="30"/>
      <c r="B96" s="30" t="s">
        <v>162</v>
      </c>
      <c r="C96" s="33">
        <v>1</v>
      </c>
      <c r="D96" s="33">
        <v>1</v>
      </c>
      <c r="E96" s="33" t="s">
        <v>288</v>
      </c>
      <c r="F96" s="33" t="s">
        <v>274</v>
      </c>
      <c r="G96" s="29">
        <f>IFERROR(VLOOKUP(CONCATENATE(E96,F96),Ventas!D:H,5,0),0)</f>
        <v>106624.92307692306</v>
      </c>
      <c r="H96" s="30">
        <f>IFERROR(VLOOKUP(A96,Modelos[],18,0),0)*G96/C96</f>
        <v>0</v>
      </c>
      <c r="I96" s="42">
        <f t="shared" si="7"/>
        <v>106624.92307692306</v>
      </c>
      <c r="J96" s="30">
        <f>I96*IFERROR(VLOOKUP(E96,Tabla11[],3,0),0)</f>
        <v>37318.723076923066</v>
      </c>
      <c r="K96" s="30">
        <f t="shared" si="8"/>
        <v>69306.2</v>
      </c>
      <c r="L96" s="30">
        <f>Sup!$A$2*D96</f>
        <v>6775.4474283854179</v>
      </c>
      <c r="M96" s="30">
        <f>IFERROR(VLOOKUP(A96,Modelos[],IF(B96="EST",15,14),0),0)/C96</f>
        <v>0</v>
      </c>
      <c r="N96" s="30">
        <f>IF($G96&lt;0,0,IFERROR((N$2*IFERROR(VLOOKUP(E96,Tabla11[],2,0),0))*($G96/SUM($G$5:$G$43)),0))</f>
        <v>699.47901078996961</v>
      </c>
      <c r="O96" s="30">
        <f>IF($G96&lt;0,0,IFERROR((O$2*IFERROR(VLOOKUP(E96,Tabla11[],2,0),0))*($G96/SUM($G$5:$G$43)),0))</f>
        <v>136.00980765360524</v>
      </c>
      <c r="P96" s="30">
        <f>IF($G96&lt;0,0,IFERROR((P$2*IFERROR(VLOOKUP(E96,Tabla11[],2,0),0))*($G96/SUM($G$5:$G$43)),0))</f>
        <v>699.47901078996961</v>
      </c>
      <c r="Q96" s="30">
        <f>IF($G96&lt;0,0,IFERROR((Q$2*IFERROR(VLOOKUP(E96,Tabla11[],2,0),0))*($G96/SUM($G$5:$G$43)),0))</f>
        <v>971.49862609718014</v>
      </c>
      <c r="R96" s="30">
        <f t="shared" si="9"/>
        <v>27722.48</v>
      </c>
      <c r="S96" s="30">
        <f>+R96*IFERROR(VLOOKUP(E96,Tabla11[],4,0),0)</f>
        <v>4158.3719999999994</v>
      </c>
      <c r="T96" s="30">
        <f t="shared" si="10"/>
        <v>25833.333333333332</v>
      </c>
      <c r="U96" s="30">
        <f t="shared" si="11"/>
        <v>2310.1007829505252</v>
      </c>
      <c r="V96" s="30">
        <f>IF($G96&lt;0,0,IFERROR((V$2*IFERROR(VLOOKUP(E96,Tabla11[],2,0),0))*($G96/SUM($G$5:$G$43)),0))</f>
        <v>1766.5310034213148</v>
      </c>
      <c r="W96" s="30">
        <f>G96-G96*IFERROR(VLOOKUP(E96,Tabla11[],3,0),0)-L96-N96-O96-P96-Q96-G96*$R$2-(G96*$R$2)*IFERROR(VLOOKUP(E96,Tabla11[],4,0),0)-V96-T96</f>
        <v>-16623.042835855409</v>
      </c>
      <c r="X96" s="30">
        <f t="shared" si="12"/>
        <v>543.56977952921034</v>
      </c>
      <c r="Y96" s="30">
        <f t="shared" si="13"/>
        <v>17166.612615384998</v>
      </c>
    </row>
    <row r="97" spans="1:25" x14ac:dyDescent="0.3">
      <c r="A97" s="29"/>
      <c r="B97" s="29" t="s">
        <v>162</v>
      </c>
      <c r="C97" s="32">
        <v>1</v>
      </c>
      <c r="D97" s="32">
        <v>1</v>
      </c>
      <c r="E97" s="32" t="s">
        <v>288</v>
      </c>
      <c r="F97" s="32" t="s">
        <v>266</v>
      </c>
      <c r="G97" s="29">
        <f>IFERROR(VLOOKUP(CONCATENATE(E97,F97),Ventas!D:H,5,0),0)</f>
        <v>90416</v>
      </c>
      <c r="H97" s="29">
        <f>IFERROR(VLOOKUP(A97,Modelos[],18,0),0)*G97/C97</f>
        <v>0</v>
      </c>
      <c r="I97" s="41">
        <f t="shared" si="7"/>
        <v>90416</v>
      </c>
      <c r="J97" s="29">
        <f>I97*IFERROR(VLOOKUP(E97,Tabla11[],3,0),0)</f>
        <v>31645.599999999999</v>
      </c>
      <c r="K97" s="29">
        <f t="shared" si="8"/>
        <v>58770.400000000001</v>
      </c>
      <c r="L97" s="29">
        <f>Sup!$A$2*D97</f>
        <v>6775.4474283854179</v>
      </c>
      <c r="M97" s="29">
        <f>IFERROR(VLOOKUP(A97,Modelos[],IF(B97="EST",15,14),0),0)/C97</f>
        <v>0</v>
      </c>
      <c r="N97" s="29">
        <f>IF($G97&lt;0,0,IFERROR((N$2*IFERROR(VLOOKUP(E97,Tabla11[],2,0),0))*($G97/SUM($G$5:$G$43)),0))</f>
        <v>593.1455087096225</v>
      </c>
      <c r="O97" s="29">
        <f>IF($G97&lt;0,0,IFERROR((O$2*IFERROR(VLOOKUP(E97,Tabla11[],2,0),0))*($G97/SUM($G$5:$G$43)),0))</f>
        <v>115.33384891575996</v>
      </c>
      <c r="P97" s="29">
        <f>IF($G97&lt;0,0,IFERROR((P$2*IFERROR(VLOOKUP(E97,Tabla11[],2,0),0))*($G97/SUM($G$5:$G$43)),0))</f>
        <v>593.1455087096225</v>
      </c>
      <c r="Q97" s="29">
        <f>IF($G97&lt;0,0,IFERROR((Q$2*IFERROR(VLOOKUP(E97,Tabla11[],2,0),0))*($G97/SUM($G$5:$G$43)),0))</f>
        <v>823.81320654114245</v>
      </c>
      <c r="R97" s="29">
        <f t="shared" si="9"/>
        <v>23508.160000000003</v>
      </c>
      <c r="S97" s="29">
        <f>+R97*IFERROR(VLOOKUP(E97,Tabla11[],4,0),0)</f>
        <v>3526.2240000000006</v>
      </c>
      <c r="T97" s="29">
        <f t="shared" si="10"/>
        <v>25833.333333333332</v>
      </c>
      <c r="U97" s="29">
        <f t="shared" si="11"/>
        <v>-2998.2028345949002</v>
      </c>
      <c r="V97" s="29">
        <f>IF($G97&lt;0,0,IFERROR((V$2*IFERROR(VLOOKUP(E97,Tabla11[],2,0),0))*($G97/SUM($G$5:$G$43)),0))</f>
        <v>1497.9862362021302</v>
      </c>
      <c r="W97" s="29">
        <f>G97-G97*IFERROR(VLOOKUP(E97,Tabla11[],3,0),0)-L97-N97-O97-P97-Q97-G97*$R$2-(G97*$R$2)*IFERROR(VLOOKUP(E97,Tabla11[],4,0),0)-V97-T97</f>
        <v>-19053.165070797029</v>
      </c>
      <c r="X97" s="29">
        <f t="shared" si="12"/>
        <v>-4496.1890707970306</v>
      </c>
      <c r="Y97" s="29">
        <f t="shared" si="13"/>
        <v>14556.976000000001</v>
      </c>
    </row>
    <row r="98" spans="1:25" x14ac:dyDescent="0.3">
      <c r="A98" s="30"/>
      <c r="B98" s="30" t="s">
        <v>162</v>
      </c>
      <c r="C98" s="33">
        <v>1</v>
      </c>
      <c r="D98" s="33">
        <v>1</v>
      </c>
      <c r="E98" s="33" t="s">
        <v>288</v>
      </c>
      <c r="F98" s="33" t="s">
        <v>275</v>
      </c>
      <c r="G98" s="29">
        <f>IFERROR(VLOOKUP(CONCATENATE(E98,F98),Ventas!D:H,5,0),0)</f>
        <v>30027.384615384613</v>
      </c>
      <c r="H98" s="30">
        <f>IFERROR(VLOOKUP(A98,Modelos[],18,0),0)*G98/C98</f>
        <v>0</v>
      </c>
      <c r="I98" s="42">
        <f t="shared" si="7"/>
        <v>30027.384615384613</v>
      </c>
      <c r="J98" s="30">
        <f>I98*IFERROR(VLOOKUP(E98,Tabla11[],3,0),0)</f>
        <v>10509.584615384614</v>
      </c>
      <c r="K98" s="30">
        <f t="shared" si="8"/>
        <v>19517.8</v>
      </c>
      <c r="L98" s="30">
        <f>Sup!$A$2*D98</f>
        <v>6775.4474283854179</v>
      </c>
      <c r="M98" s="30">
        <f>IFERROR(VLOOKUP(A98,Modelos[],IF(B98="EST",15,14),0),0)/C98</f>
        <v>0</v>
      </c>
      <c r="N98" s="30">
        <f>IF($G98&lt;0,0,IFERROR((N$2*IFERROR(VLOOKUP(E98,Tabla11[],2,0),0))*($G98/SUM($G$5:$G$43)),0))</f>
        <v>196.98513894567108</v>
      </c>
      <c r="O98" s="30">
        <f>IF($G98&lt;0,0,IFERROR((O$2*IFERROR(VLOOKUP(E98,Tabla11[],2,0),0))*($G98/SUM($G$5:$G$43)),0))</f>
        <v>38.302665906102717</v>
      </c>
      <c r="P98" s="30">
        <f>IF($G98&lt;0,0,IFERROR((P$2*IFERROR(VLOOKUP(E98,Tabla11[],2,0),0))*($G98/SUM($G$5:$G$43)),0))</f>
        <v>196.98513894567108</v>
      </c>
      <c r="Q98" s="30">
        <f>IF($G98&lt;0,0,IFERROR((Q$2*IFERROR(VLOOKUP(E98,Tabla11[],2,0),0))*($G98/SUM($G$5:$G$43)),0))</f>
        <v>273.59047075787652</v>
      </c>
      <c r="R98" s="30">
        <f t="shared" si="9"/>
        <v>7807.12</v>
      </c>
      <c r="S98" s="30">
        <f>+R98*IFERROR(VLOOKUP(E98,Tabla11[],4,0),0)</f>
        <v>1171.068</v>
      </c>
      <c r="T98" s="30">
        <f t="shared" si="10"/>
        <v>25833.333333333332</v>
      </c>
      <c r="U98" s="30">
        <f t="shared" si="11"/>
        <v>-22775.032176274068</v>
      </c>
      <c r="V98" s="30">
        <f>IF($G98&lt;0,0,IFERROR((V$2*IFERROR(VLOOKUP(E98,Tabla11[],2,0),0))*($G98/SUM($G$5:$G$43)),0))</f>
        <v>497.48505643905656</v>
      </c>
      <c r="W98" s="30">
        <f>G98-G98*IFERROR(VLOOKUP(E98,Tabla11[],3,0),0)-L98-N98-O98-P98-Q98-G98*$R$2-(G98*$R$2)*IFERROR(VLOOKUP(E98,Tabla11[],4,0),0)-V98-T98</f>
        <v>-28106.926155790054</v>
      </c>
      <c r="X98" s="30">
        <f t="shared" si="12"/>
        <v>-23272.517232713126</v>
      </c>
      <c r="Y98" s="30">
        <f t="shared" si="13"/>
        <v>4834.4089230769996</v>
      </c>
    </row>
    <row r="99" spans="1:25" x14ac:dyDescent="0.3">
      <c r="A99" s="29"/>
      <c r="B99" s="29" t="s">
        <v>162</v>
      </c>
      <c r="C99" s="32">
        <v>1</v>
      </c>
      <c r="D99" s="32">
        <v>1</v>
      </c>
      <c r="E99" s="32" t="s">
        <v>288</v>
      </c>
      <c r="F99" s="32" t="s">
        <v>276</v>
      </c>
      <c r="G99" s="29">
        <f>IFERROR(VLOOKUP(CONCATENATE(E99,F99),Ventas!D:H,5,0),0)</f>
        <v>123269.53846153845</v>
      </c>
      <c r="H99" s="29">
        <f>IFERROR(VLOOKUP(A99,Modelos[],18,0),0)*G99/C99</f>
        <v>0</v>
      </c>
      <c r="I99" s="41">
        <f t="shared" si="7"/>
        <v>123269.53846153845</v>
      </c>
      <c r="J99" s="29">
        <f>I99*IFERROR(VLOOKUP(E99,Tabla11[],3,0),0)</f>
        <v>43144.338461538457</v>
      </c>
      <c r="K99" s="29">
        <f t="shared" si="8"/>
        <v>80125.2</v>
      </c>
      <c r="L99" s="29">
        <f>Sup!$A$2*D99</f>
        <v>6775.4474283854179</v>
      </c>
      <c r="M99" s="29">
        <f>IFERROR(VLOOKUP(A99,Modelos[],IF(B99="EST",15,14),0),0)/C99</f>
        <v>0</v>
      </c>
      <c r="N99" s="29">
        <f>IF($G99&lt;0,0,IFERROR((N$2*IFERROR(VLOOKUP(E99,Tabla11[],2,0),0))*($G99/SUM($G$5:$G$43)),0))</f>
        <v>808.67073415291111</v>
      </c>
      <c r="O99" s="29">
        <f>IF($G99&lt;0,0,IFERROR((O$2*IFERROR(VLOOKUP(E99,Tabla11[],2,0),0))*($G99/SUM($G$5:$G$43)),0))</f>
        <v>157.24153164084385</v>
      </c>
      <c r="P99" s="29">
        <f>IF($G99&lt;0,0,IFERROR((P$2*IFERROR(VLOOKUP(E99,Tabla11[],2,0),0))*($G99/SUM($G$5:$G$43)),0))</f>
        <v>808.67073415291111</v>
      </c>
      <c r="Q99" s="29">
        <f>IF($G99&lt;0,0,IFERROR((Q$2*IFERROR(VLOOKUP(E99,Tabla11[],2,0),0))*($G99/SUM($G$5:$G$43)),0))</f>
        <v>1123.1537974345988</v>
      </c>
      <c r="R99" s="29">
        <f t="shared" si="9"/>
        <v>32050.080000000002</v>
      </c>
      <c r="S99" s="29">
        <f>+R99*IFERROR(VLOOKUP(E99,Tabla11[],4,0),0)</f>
        <v>4807.5119999999997</v>
      </c>
      <c r="T99" s="29">
        <f t="shared" si="10"/>
        <v>25833.333333333332</v>
      </c>
      <c r="U99" s="29">
        <f t="shared" si="11"/>
        <v>7761.0904408999777</v>
      </c>
      <c r="V99" s="29">
        <f>IF($G99&lt;0,0,IFERROR((V$2*IFERROR(VLOOKUP(E99,Tabla11[],2,0),0))*($G99/SUM($G$5:$G$43)),0))</f>
        <v>2042.2941952571857</v>
      </c>
      <c r="W99" s="29">
        <f>G99-G99*IFERROR(VLOOKUP(E99,Tabla11[],3,0),0)-L99-N99-O99-P99-Q99-G99*$R$2-(G99*$R$2)*IFERROR(VLOOKUP(E99,Tabla11[],4,0),0)-V99-T99</f>
        <v>-14127.599446664903</v>
      </c>
      <c r="X99" s="29">
        <f t="shared" si="12"/>
        <v>5718.7962456427922</v>
      </c>
      <c r="Y99" s="29">
        <f t="shared" si="13"/>
        <v>19846.395692308</v>
      </c>
    </row>
    <row r="100" spans="1:25" x14ac:dyDescent="0.3">
      <c r="A100" s="30"/>
      <c r="B100" s="30" t="s">
        <v>162</v>
      </c>
      <c r="C100" s="33">
        <v>1</v>
      </c>
      <c r="D100" s="33">
        <v>1</v>
      </c>
      <c r="E100" s="33" t="s">
        <v>288</v>
      </c>
      <c r="F100" s="33" t="s">
        <v>277</v>
      </c>
      <c r="G100" s="29">
        <f>IFERROR(VLOOKUP(CONCATENATE(E100,F100),Ventas!D:H,5,0),0)</f>
        <v>75645.846153846156</v>
      </c>
      <c r="H100" s="30">
        <f>IFERROR(VLOOKUP(A100,Modelos[],18,0),0)*G100/C100</f>
        <v>0</v>
      </c>
      <c r="I100" s="42">
        <f t="shared" si="7"/>
        <v>75645.846153846156</v>
      </c>
      <c r="J100" s="30">
        <f>I100*IFERROR(VLOOKUP(E100,Tabla11[],3,0),0)</f>
        <v>26476.046153846153</v>
      </c>
      <c r="K100" s="30">
        <f t="shared" si="8"/>
        <v>49169.8</v>
      </c>
      <c r="L100" s="30">
        <f>Sup!$A$2*D100</f>
        <v>6775.4474283854179</v>
      </c>
      <c r="M100" s="30">
        <f>IFERROR(VLOOKUP(A100,Modelos[],IF(B100="EST",15,14),0),0)/C100</f>
        <v>0</v>
      </c>
      <c r="N100" s="30">
        <f>IF($G100&lt;0,0,IFERROR((N$2*IFERROR(VLOOKUP(E100,Tabla11[],2,0),0))*($G100/SUM($G$5:$G$43)),0))</f>
        <v>496.25059611897143</v>
      </c>
      <c r="O100" s="30">
        <f>IF($G100&lt;0,0,IFERROR((O$2*IFERROR(VLOOKUP(E100,Tabla11[],2,0),0))*($G100/SUM($G$5:$G$43)),0))</f>
        <v>96.493171467577795</v>
      </c>
      <c r="P100" s="30">
        <f>IF($G100&lt;0,0,IFERROR((P$2*IFERROR(VLOOKUP(E100,Tabla11[],2,0),0))*($G100/SUM($G$5:$G$43)),0))</f>
        <v>496.25059611897143</v>
      </c>
      <c r="Q100" s="30">
        <f>IF($G100&lt;0,0,IFERROR((Q$2*IFERROR(VLOOKUP(E100,Tabla11[],2,0),0))*($G100/SUM($G$5:$G$43)),0))</f>
        <v>689.23693905412699</v>
      </c>
      <c r="R100" s="30">
        <f t="shared" si="9"/>
        <v>19667.920000000002</v>
      </c>
      <c r="S100" s="30">
        <f>+R100*IFERROR(VLOOKUP(E100,Tabla11[],4,0),0)</f>
        <v>2950.1880000000001</v>
      </c>
      <c r="T100" s="30">
        <f t="shared" si="10"/>
        <v>25833.333333333332</v>
      </c>
      <c r="U100" s="30">
        <f t="shared" si="11"/>
        <v>-7835.3200644783938</v>
      </c>
      <c r="V100" s="30">
        <f>IF($G100&lt;0,0,IFERROR((V$2*IFERROR(VLOOKUP(E100,Tabla11[],2,0),0))*($G100/SUM($G$5:$G$43)),0))</f>
        <v>1253.2785830419989</v>
      </c>
      <c r="W100" s="30">
        <f>G100-G100*IFERROR(VLOOKUP(E100,Tabla11[],3,0),0)-L100-N100-O100-P100-Q100-G100*$R$2-(G100*$R$2)*IFERROR(VLOOKUP(E100,Tabla11[],4,0),0)-V100-T100</f>
        <v>-21267.579878289638</v>
      </c>
      <c r="X100" s="30">
        <f t="shared" si="12"/>
        <v>-9088.5986475203936</v>
      </c>
      <c r="Y100" s="30">
        <f t="shared" si="13"/>
        <v>12178.981230769001</v>
      </c>
    </row>
    <row r="101" spans="1:25" x14ac:dyDescent="0.3">
      <c r="A101" s="29"/>
      <c r="B101" s="29" t="s">
        <v>162</v>
      </c>
      <c r="C101" s="32">
        <v>1</v>
      </c>
      <c r="D101" s="32">
        <v>1</v>
      </c>
      <c r="E101" s="32" t="s">
        <v>288</v>
      </c>
      <c r="F101" s="32" t="s">
        <v>278</v>
      </c>
      <c r="G101" s="29">
        <f>IFERROR(VLOOKUP(CONCATENATE(E101,F101),Ventas!D:H,5,0),0)</f>
        <v>56027.999999999993</v>
      </c>
      <c r="H101" s="29">
        <f>IFERROR(VLOOKUP(A101,Modelos[],18,0),0)*G101/C101</f>
        <v>0</v>
      </c>
      <c r="I101" s="41">
        <f t="shared" si="7"/>
        <v>56027.999999999993</v>
      </c>
      <c r="J101" s="29">
        <f>I101*IFERROR(VLOOKUP(E101,Tabla11[],3,0),0)</f>
        <v>19609.799999999996</v>
      </c>
      <c r="K101" s="29">
        <f t="shared" si="8"/>
        <v>36418.199999999997</v>
      </c>
      <c r="L101" s="29">
        <f>Sup!$A$2*D101</f>
        <v>6775.4474283854179</v>
      </c>
      <c r="M101" s="29">
        <f>IFERROR(VLOOKUP(A101,Modelos[],IF(B101="EST",15,14),0),0)/C101</f>
        <v>0</v>
      </c>
      <c r="N101" s="29">
        <f>IF($G101&lt;0,0,IFERROR((N$2*IFERROR(VLOOKUP(E101,Tabla11[],2,0),0))*($G101/SUM($G$5:$G$43)),0))</f>
        <v>367.55393472375158</v>
      </c>
      <c r="O101" s="29">
        <f>IF($G101&lt;0,0,IFERROR((O$2*IFERROR(VLOOKUP(E101,Tabla11[],2,0),0))*($G101/SUM($G$5:$G$43)),0))</f>
        <v>71.46882064072949</v>
      </c>
      <c r="P101" s="29">
        <f>IF($G101&lt;0,0,IFERROR((P$2*IFERROR(VLOOKUP(E101,Tabla11[],2,0),0))*($G101/SUM($G$5:$G$43)),0))</f>
        <v>367.55393472375158</v>
      </c>
      <c r="Q101" s="29">
        <f>IF($G101&lt;0,0,IFERROR((Q$2*IFERROR(VLOOKUP(E101,Tabla11[],2,0),0))*($G101/SUM($G$5:$G$43)),0))</f>
        <v>510.49157600521056</v>
      </c>
      <c r="R101" s="29">
        <f t="shared" si="9"/>
        <v>14567.279999999999</v>
      </c>
      <c r="S101" s="29">
        <f>+R101*IFERROR(VLOOKUP(E101,Tabla11[],4,0),0)</f>
        <v>2185.0919999999996</v>
      </c>
      <c r="T101" s="29">
        <f t="shared" si="10"/>
        <v>25833.333333333332</v>
      </c>
      <c r="U101" s="29">
        <f t="shared" si="11"/>
        <v>-14260.021027812196</v>
      </c>
      <c r="V101" s="29">
        <f>IF($G101&lt;0,0,IFERROR((V$2*IFERROR(VLOOKUP(E101,Tabla11[],2,0),0))*($G101/SUM($G$5:$G$43)),0))</f>
        <v>928.25576050624807</v>
      </c>
      <c r="W101" s="29">
        <f>G101-G101*IFERROR(VLOOKUP(E101,Tabla11[],3,0),0)-L101-N101-O101-P101-Q101-G101*$R$2-(G101*$R$2)*IFERROR(VLOOKUP(E101,Tabla11[],4,0),0)-V101-T101</f>
        <v>-24208.784788318437</v>
      </c>
      <c r="X101" s="29">
        <f t="shared" si="12"/>
        <v>-15188.276788318444</v>
      </c>
      <c r="Y101" s="29">
        <f t="shared" si="13"/>
        <v>9020.5079999999998</v>
      </c>
    </row>
    <row r="102" spans="1:25" x14ac:dyDescent="0.3">
      <c r="A102" s="30"/>
      <c r="B102" s="30" t="s">
        <v>162</v>
      </c>
      <c r="C102" s="33">
        <v>1</v>
      </c>
      <c r="D102" s="33">
        <v>1</v>
      </c>
      <c r="E102" s="33" t="s">
        <v>288</v>
      </c>
      <c r="F102" s="33" t="s">
        <v>279</v>
      </c>
      <c r="G102" s="29">
        <f>IFERROR(VLOOKUP(CONCATENATE(E102,F102),Ventas!D:H,5,0),0)</f>
        <v>133662.15384615384</v>
      </c>
      <c r="H102" s="30">
        <f>IFERROR(VLOOKUP(A102,Modelos[],18,0),0)*G102/C102</f>
        <v>0</v>
      </c>
      <c r="I102" s="42">
        <f t="shared" si="7"/>
        <v>133662.15384615384</v>
      </c>
      <c r="J102" s="30">
        <f>I102*IFERROR(VLOOKUP(E102,Tabla11[],3,0),0)</f>
        <v>46781.753846153842</v>
      </c>
      <c r="K102" s="30">
        <f t="shared" si="8"/>
        <v>86880.4</v>
      </c>
      <c r="L102" s="30">
        <f>Sup!$A$2*D102</f>
        <v>6775.4474283854179</v>
      </c>
      <c r="M102" s="30">
        <f>IFERROR(VLOOKUP(A102,Modelos[],IF(B102="EST",15,14),0),0)/C102</f>
        <v>0</v>
      </c>
      <c r="N102" s="30">
        <f>IF($G102&lt;0,0,IFERROR((N$2*IFERROR(VLOOKUP(E102,Tabla11[],2,0),0))*($G102/SUM($G$5:$G$43)),0))</f>
        <v>876.84819322134081</v>
      </c>
      <c r="O102" s="30">
        <f>IF($G102&lt;0,0,IFERROR((O$2*IFERROR(VLOOKUP(E102,Tabla11[],2,0),0))*($G102/SUM($G$5:$G$43)),0))</f>
        <v>170.49825979303853</v>
      </c>
      <c r="P102" s="30">
        <f>IF($G102&lt;0,0,IFERROR((P$2*IFERROR(VLOOKUP(E102,Tabla11[],2,0),0))*($G102/SUM($G$5:$G$43)),0))</f>
        <v>876.84819322134081</v>
      </c>
      <c r="Q102" s="30">
        <f>IF($G102&lt;0,0,IFERROR((Q$2*IFERROR(VLOOKUP(E102,Tabla11[],2,0),0))*($G102/SUM($G$5:$G$43)),0))</f>
        <v>1217.8447128074179</v>
      </c>
      <c r="R102" s="30">
        <f t="shared" si="9"/>
        <v>34752.159999999996</v>
      </c>
      <c r="S102" s="30">
        <f>+R102*IFERROR(VLOOKUP(E102,Tabla11[],4,0),0)</f>
        <v>5212.8239999999996</v>
      </c>
      <c r="T102" s="30">
        <f t="shared" si="10"/>
        <v>25833.333333333332</v>
      </c>
      <c r="U102" s="30">
        <f t="shared" si="11"/>
        <v>11164.595879238113</v>
      </c>
      <c r="V102" s="30">
        <f>IF($G102&lt;0,0,IFERROR((V$2*IFERROR(VLOOKUP(E102,Tabla11[],2,0),0))*($G102/SUM($G$5:$G$43)),0))</f>
        <v>2214.4760524981207</v>
      </c>
      <c r="W102" s="30">
        <f>G102-G102*IFERROR(VLOOKUP(E102,Tabla11[],3,0),0)-L102-N102-O102-P102-Q102-G102*$R$2-(G102*$R$2)*IFERROR(VLOOKUP(E102,Tabla11[],4,0),0)-V102-T102</f>
        <v>-12569.486942490799</v>
      </c>
      <c r="X102" s="30">
        <f t="shared" si="12"/>
        <v>8950.1198267399923</v>
      </c>
      <c r="Y102" s="30">
        <f t="shared" si="13"/>
        <v>21519.606769230999</v>
      </c>
    </row>
    <row r="103" spans="1:25" x14ac:dyDescent="0.3">
      <c r="A103" s="29"/>
      <c r="B103" s="29" t="s">
        <v>162</v>
      </c>
      <c r="C103" s="32">
        <v>1</v>
      </c>
      <c r="D103" s="32">
        <v>1</v>
      </c>
      <c r="E103" s="32" t="s">
        <v>288</v>
      </c>
      <c r="F103" s="32" t="s">
        <v>280</v>
      </c>
      <c r="G103" s="29">
        <f>IFERROR(VLOOKUP(CONCATENATE(E103,F103),Ventas!D:H,5,0),0)</f>
        <v>59716</v>
      </c>
      <c r="H103" s="29">
        <f>IFERROR(VLOOKUP(A103,Modelos[],18,0),0)*G103/C103</f>
        <v>0</v>
      </c>
      <c r="I103" s="41">
        <f t="shared" si="7"/>
        <v>59716</v>
      </c>
      <c r="J103" s="29">
        <f>I103*IFERROR(VLOOKUP(E103,Tabla11[],3,0),0)</f>
        <v>20900.599999999999</v>
      </c>
      <c r="K103" s="29">
        <f t="shared" si="8"/>
        <v>38815.4</v>
      </c>
      <c r="L103" s="29">
        <f>Sup!$A$2*D103</f>
        <v>6775.4474283854179</v>
      </c>
      <c r="M103" s="29">
        <f>IFERROR(VLOOKUP(A103,Modelos[],IF(B103="EST",15,14),0),0)/C103</f>
        <v>0</v>
      </c>
      <c r="N103" s="29">
        <f>IF($G103&lt;0,0,IFERROR((N$2*IFERROR(VLOOKUP(E103,Tabla11[],2,0),0))*($G103/SUM($G$5:$G$43)),0))</f>
        <v>391.74788973305408</v>
      </c>
      <c r="O103" s="29">
        <f>IF($G103&lt;0,0,IFERROR((O$2*IFERROR(VLOOKUP(E103,Tabla11[],2,0),0))*($G103/SUM($G$5:$G$43)),0))</f>
        <v>76.173200781427198</v>
      </c>
      <c r="P103" s="29">
        <f>IF($G103&lt;0,0,IFERROR((P$2*IFERROR(VLOOKUP(E103,Tabla11[],2,0),0))*($G103/SUM($G$5:$G$43)),0))</f>
        <v>391.74788973305408</v>
      </c>
      <c r="Q103" s="29">
        <f>IF($G103&lt;0,0,IFERROR((Q$2*IFERROR(VLOOKUP(E103,Tabla11[],2,0),0))*($G103/SUM($G$5:$G$43)),0))</f>
        <v>544.09429129590842</v>
      </c>
      <c r="R103" s="29">
        <f t="shared" si="9"/>
        <v>15526.160000000002</v>
      </c>
      <c r="S103" s="29">
        <f>+R103*IFERROR(VLOOKUP(E103,Tabla11[],4,0),0)</f>
        <v>2328.924</v>
      </c>
      <c r="T103" s="29">
        <f t="shared" si="10"/>
        <v>25833.333333333332</v>
      </c>
      <c r="U103" s="29">
        <f t="shared" si="11"/>
        <v>-13052.228033262196</v>
      </c>
      <c r="V103" s="29">
        <f>IF($G103&lt;0,0,IFERROR((V$2*IFERROR(VLOOKUP(E103,Tabla11[],2,0),0))*($G103/SUM($G$5:$G$43)),0))</f>
        <v>989.35748187319052</v>
      </c>
      <c r="W103" s="29">
        <f>G103-G103*IFERROR(VLOOKUP(E103,Tabla11[],3,0),0)-L103-N103-O103-P103-Q103-G103*$R$2-(G103*$R$2)*IFERROR(VLOOKUP(E103,Tabla11[],4,0),0)-V103-T103</f>
        <v>-23655.861515135384</v>
      </c>
      <c r="X103" s="29">
        <f t="shared" si="12"/>
        <v>-14041.585515135386</v>
      </c>
      <c r="Y103" s="29">
        <f t="shared" si="13"/>
        <v>9614.2759999999998</v>
      </c>
    </row>
    <row r="104" spans="1:25" x14ac:dyDescent="0.3">
      <c r="A104" s="30"/>
      <c r="B104" s="30" t="s">
        <v>162</v>
      </c>
      <c r="C104" s="33">
        <v>1</v>
      </c>
      <c r="D104" s="33">
        <v>1</v>
      </c>
      <c r="E104" s="33" t="s">
        <v>288</v>
      </c>
      <c r="F104" s="33" t="s">
        <v>262</v>
      </c>
      <c r="G104" s="29">
        <f>IFERROR(VLOOKUP(CONCATENATE(E104,F104),Ventas!D:H,5,0),0)</f>
        <v>0</v>
      </c>
      <c r="H104" s="30">
        <f>IFERROR(VLOOKUP(A104,Modelos[],18,0),0)*G104/C104</f>
        <v>0</v>
      </c>
      <c r="I104" s="42">
        <f t="shared" si="7"/>
        <v>0</v>
      </c>
      <c r="J104" s="30">
        <f>I104*IFERROR(VLOOKUP(E104,Tabla11[],3,0),0)</f>
        <v>0</v>
      </c>
      <c r="K104" s="30">
        <f t="shared" si="8"/>
        <v>0</v>
      </c>
      <c r="L104" s="30">
        <f>Sup!$A$2*D104</f>
        <v>6775.4474283854179</v>
      </c>
      <c r="M104" s="30">
        <f>IFERROR(VLOOKUP(A104,Modelos[],IF(B104="EST",15,14),0),0)/C104</f>
        <v>0</v>
      </c>
      <c r="N104" s="30">
        <f>IF($G104&lt;0,0,IFERROR((N$2*IFERROR(VLOOKUP(E104,Tabla11[],2,0),0))*($G104/SUM($G$5:$G$43)),0))</f>
        <v>0</v>
      </c>
      <c r="O104" s="30">
        <f>IF($G104&lt;0,0,IFERROR((O$2*IFERROR(VLOOKUP(E104,Tabla11[],2,0),0))*($G104/SUM($G$5:$G$43)),0))</f>
        <v>0</v>
      </c>
      <c r="P104" s="30">
        <f>IF($G104&lt;0,0,IFERROR((P$2*IFERROR(VLOOKUP(E104,Tabla11[],2,0),0))*($G104/SUM($G$5:$G$43)),0))</f>
        <v>0</v>
      </c>
      <c r="Q104" s="30">
        <f>IF($G104&lt;0,0,IFERROR((Q$2*IFERROR(VLOOKUP(E104,Tabla11[],2,0),0))*($G104/SUM($G$5:$G$43)),0))</f>
        <v>0</v>
      </c>
      <c r="R104" s="30">
        <f t="shared" si="9"/>
        <v>0</v>
      </c>
      <c r="S104" s="30">
        <f>+R104*IFERROR(VLOOKUP(E104,Tabla11[],4,0),0)</f>
        <v>0</v>
      </c>
      <c r="T104" s="30">
        <f t="shared" si="10"/>
        <v>0</v>
      </c>
      <c r="U104" s="30">
        <f t="shared" si="11"/>
        <v>-6775.4474283854179</v>
      </c>
      <c r="V104" s="30">
        <f>IF($G104&lt;0,0,IFERROR((V$2*IFERROR(VLOOKUP(E104,Tabla11[],2,0),0))*($G104/SUM($G$5:$G$43)),0))</f>
        <v>0</v>
      </c>
      <c r="W104" s="30">
        <f>G104-G104*IFERROR(VLOOKUP(E104,Tabla11[],3,0),0)-L104-N104-O104-P104-Q104-G104*$R$2-(G104*$R$2)*IFERROR(VLOOKUP(E104,Tabla11[],4,0),0)-V104-T104</f>
        <v>-6775.4474283854179</v>
      </c>
      <c r="X104" s="30">
        <f t="shared" si="12"/>
        <v>-6775.4474283854179</v>
      </c>
      <c r="Y104" s="30">
        <f t="shared" si="13"/>
        <v>0</v>
      </c>
    </row>
    <row r="105" spans="1:25" x14ac:dyDescent="0.3">
      <c r="A105" s="29"/>
      <c r="B105" s="29" t="s">
        <v>162</v>
      </c>
      <c r="C105" s="32">
        <v>1</v>
      </c>
      <c r="D105" s="32">
        <v>1</v>
      </c>
      <c r="E105" s="32" t="s">
        <v>288</v>
      </c>
      <c r="F105" s="32" t="s">
        <v>281</v>
      </c>
      <c r="G105" s="29">
        <f>IFERROR(VLOOKUP(CONCATENATE(E105,F105),Ventas!D:H,5,0),0)</f>
        <v>35228.307692307688</v>
      </c>
      <c r="H105" s="29">
        <f>IFERROR(VLOOKUP(A105,Modelos[],18,0),0)*G105/C105</f>
        <v>0</v>
      </c>
      <c r="I105" s="41">
        <f t="shared" si="7"/>
        <v>35228.307692307688</v>
      </c>
      <c r="J105" s="29">
        <f>I105*IFERROR(VLOOKUP(E105,Tabla11[],3,0),0)</f>
        <v>12329.90769230769</v>
      </c>
      <c r="K105" s="29">
        <f t="shared" si="8"/>
        <v>22898.399999999998</v>
      </c>
      <c r="L105" s="29">
        <f>Sup!$A$2*D105</f>
        <v>6775.4474283854179</v>
      </c>
      <c r="M105" s="29">
        <f>IFERROR(VLOOKUP(A105,Modelos[],IF(B105="EST",15,14),0),0)/C105</f>
        <v>0</v>
      </c>
      <c r="N105" s="29">
        <f>IF($G105&lt;0,0,IFERROR((N$2*IFERROR(VLOOKUP(E105,Tabla11[],2,0),0))*($G105/SUM($G$5:$G$43)),0))</f>
        <v>231.10414624771005</v>
      </c>
      <c r="O105" s="29">
        <f>IF($G105&lt;0,0,IFERROR((O$2*IFERROR(VLOOKUP(E105,Tabla11[],2,0),0))*($G105/SUM($G$5:$G$43)),0))</f>
        <v>44.936917325943625</v>
      </c>
      <c r="P105" s="29">
        <f>IF($G105&lt;0,0,IFERROR((P$2*IFERROR(VLOOKUP(E105,Tabla11[],2,0),0))*($G105/SUM($G$5:$G$43)),0))</f>
        <v>231.10414624771005</v>
      </c>
      <c r="Q105" s="29">
        <f>IF($G105&lt;0,0,IFERROR((Q$2*IFERROR(VLOOKUP(E105,Tabla11[],2,0),0))*($G105/SUM($G$5:$G$43)),0))</f>
        <v>320.9779808995973</v>
      </c>
      <c r="R105" s="29">
        <f t="shared" si="9"/>
        <v>9159.3599999999988</v>
      </c>
      <c r="S105" s="29">
        <f>+R105*IFERROR(VLOOKUP(E105,Tabla11[],4,0),0)</f>
        <v>1373.9039999999998</v>
      </c>
      <c r="T105" s="29">
        <f t="shared" si="10"/>
        <v>25833.333333333332</v>
      </c>
      <c r="U105" s="29">
        <f t="shared" si="11"/>
        <v>-21071.767952439706</v>
      </c>
      <c r="V105" s="29">
        <f>IF($G105&lt;0,0,IFERROR((V$2*IFERROR(VLOOKUP(E105,Tabla11[],2,0),0))*($G105/SUM($G$5:$G$43)),0))</f>
        <v>583.65245142198876</v>
      </c>
      <c r="W105" s="29">
        <f>G105-G105*IFERROR(VLOOKUP(E105,Tabla11[],3,0),0)-L105-N105-O105-P105-Q105-G105*$R$2-(G105*$R$2)*IFERROR(VLOOKUP(E105,Tabla11[],4,0),0)-V105-T105</f>
        <v>-27327.177942323236</v>
      </c>
      <c r="X105" s="29">
        <f t="shared" si="12"/>
        <v>-21655.420403861695</v>
      </c>
      <c r="Y105" s="29">
        <f t="shared" si="13"/>
        <v>5671.7575384620004</v>
      </c>
    </row>
    <row r="106" spans="1:25" x14ac:dyDescent="0.3">
      <c r="A106" s="30"/>
      <c r="B106" s="30" t="s">
        <v>162</v>
      </c>
      <c r="C106" s="33">
        <v>1</v>
      </c>
      <c r="D106" s="33">
        <v>1</v>
      </c>
      <c r="E106" s="33" t="s">
        <v>287</v>
      </c>
      <c r="F106" s="33" t="s">
        <v>267</v>
      </c>
      <c r="G106" s="29">
        <f>IFERROR(VLOOKUP(CONCATENATE(E106,F106),Ventas!D:H,5,0),0)</f>
        <v>81024.307692307688</v>
      </c>
      <c r="H106" s="30">
        <f>IFERROR(VLOOKUP(A106,Modelos[],18,0),0)*G106/C106</f>
        <v>0</v>
      </c>
      <c r="I106" s="42">
        <f t="shared" si="7"/>
        <v>81024.307692307688</v>
      </c>
      <c r="J106" s="30">
        <f>I106*IFERROR(VLOOKUP(E106,Tabla11[],3,0),0)</f>
        <v>28358.507692307689</v>
      </c>
      <c r="K106" s="30">
        <f t="shared" si="8"/>
        <v>52665.8</v>
      </c>
      <c r="L106" s="30">
        <f>Sup!$A$2*D106</f>
        <v>6775.4474283854179</v>
      </c>
      <c r="M106" s="30">
        <f>IFERROR(VLOOKUP(A106,Modelos[],IF(B106="EST",15,14),0),0)/C106</f>
        <v>0</v>
      </c>
      <c r="N106" s="30">
        <f>IF($G106&lt;0,0,IFERROR((N$2*IFERROR(VLOOKUP(E106,Tabla11[],2,0),0))*($G106/SUM($G$5:$G$43)),0))</f>
        <v>531.53428822331034</v>
      </c>
      <c r="O106" s="30">
        <f>IF($G106&lt;0,0,IFERROR((O$2*IFERROR(VLOOKUP(E106,Tabla11[],2,0),0))*($G106/SUM($G$5:$G$43)),0))</f>
        <v>103.35388937675479</v>
      </c>
      <c r="P106" s="30">
        <f>IF($G106&lt;0,0,IFERROR((P$2*IFERROR(VLOOKUP(E106,Tabla11[],2,0),0))*($G106/SUM($G$5:$G$43)),0))</f>
        <v>531.53428822331034</v>
      </c>
      <c r="Q106" s="30">
        <f>IF($G106&lt;0,0,IFERROR((Q$2*IFERROR(VLOOKUP(E106,Tabla11[],2,0),0))*($G106/SUM($G$5:$G$43)),0))</f>
        <v>738.24206697681984</v>
      </c>
      <c r="R106" s="30">
        <f t="shared" si="9"/>
        <v>21066.320000000003</v>
      </c>
      <c r="S106" s="30">
        <f>+R106*IFERROR(VLOOKUP(E106,Tabla11[],4,0),0)</f>
        <v>3159.9480000000003</v>
      </c>
      <c r="T106" s="30">
        <f t="shared" si="10"/>
        <v>25833.333333333332</v>
      </c>
      <c r="U106" s="30">
        <f t="shared" si="11"/>
        <v>-6073.9132945189485</v>
      </c>
      <c r="V106" s="30">
        <f>IF($G106&lt;0,0,IFERROR((V$2*IFERROR(VLOOKUP(E106,Tabla11[],2,0),0))*($G106/SUM($G$5:$G$43)),0))</f>
        <v>1342.3873841010804</v>
      </c>
      <c r="W106" s="30">
        <f>G106-G106*IFERROR(VLOOKUP(E106,Tabla11[],3,0),0)-L106-N106-O106-P106-Q106-G106*$R$2-(G106*$R$2)*IFERROR(VLOOKUP(E106,Tabla11[],4,0),0)-V106-T106</f>
        <v>-20461.21421708156</v>
      </c>
      <c r="X106" s="30">
        <f t="shared" si="12"/>
        <v>-7416.3006786200294</v>
      </c>
      <c r="Y106" s="30">
        <f t="shared" si="13"/>
        <v>13044.913538462</v>
      </c>
    </row>
    <row r="107" spans="1:25" x14ac:dyDescent="0.3">
      <c r="A107" s="29"/>
      <c r="B107" s="29" t="s">
        <v>162</v>
      </c>
      <c r="C107" s="32">
        <v>1</v>
      </c>
      <c r="D107" s="32">
        <v>1</v>
      </c>
      <c r="E107" s="32" t="s">
        <v>288</v>
      </c>
      <c r="F107" s="32" t="s">
        <v>282</v>
      </c>
      <c r="G107" s="29">
        <f>IFERROR(VLOOKUP(CONCATENATE(E107,F107),Ventas!D:H,5,0),0)</f>
        <v>0</v>
      </c>
      <c r="H107" s="29">
        <f>IFERROR(VLOOKUP(A107,Modelos[],18,0),0)*G107/C107</f>
        <v>0</v>
      </c>
      <c r="I107" s="41">
        <f t="shared" si="7"/>
        <v>0</v>
      </c>
      <c r="J107" s="29">
        <f>I107*IFERROR(VLOOKUP(E107,Tabla11[],3,0),0)</f>
        <v>0</v>
      </c>
      <c r="K107" s="29">
        <f t="shared" si="8"/>
        <v>0</v>
      </c>
      <c r="L107" s="29">
        <f>Sup!$A$2*D107</f>
        <v>6775.4474283854179</v>
      </c>
      <c r="M107" s="29">
        <f>IFERROR(VLOOKUP(A107,Modelos[],IF(B107="EST",15,14),0),0)/C107</f>
        <v>0</v>
      </c>
      <c r="N107" s="29">
        <f>IF($G107&lt;0,0,IFERROR((N$2*IFERROR(VLOOKUP(E107,Tabla11[],2,0),0))*($G107/SUM($G$5:$G$43)),0))</f>
        <v>0</v>
      </c>
      <c r="O107" s="29">
        <f>IF($G107&lt;0,0,IFERROR((O$2*IFERROR(VLOOKUP(E107,Tabla11[],2,0),0))*($G107/SUM($G$5:$G$43)),0))</f>
        <v>0</v>
      </c>
      <c r="P107" s="29">
        <f>IF($G107&lt;0,0,IFERROR((P$2*IFERROR(VLOOKUP(E107,Tabla11[],2,0),0))*($G107/SUM($G$5:$G$43)),0))</f>
        <v>0</v>
      </c>
      <c r="Q107" s="29">
        <f>IF($G107&lt;0,0,IFERROR((Q$2*IFERROR(VLOOKUP(E107,Tabla11[],2,0),0))*($G107/SUM($G$5:$G$43)),0))</f>
        <v>0</v>
      </c>
      <c r="R107" s="29">
        <f t="shared" si="9"/>
        <v>0</v>
      </c>
      <c r="S107" s="29">
        <f>+R107*IFERROR(VLOOKUP(E107,Tabla11[],4,0),0)</f>
        <v>0</v>
      </c>
      <c r="T107" s="29">
        <f t="shared" si="10"/>
        <v>0</v>
      </c>
      <c r="U107" s="29">
        <f t="shared" si="11"/>
        <v>-6775.4474283854179</v>
      </c>
      <c r="V107" s="29">
        <f>IF($G107&lt;0,0,IFERROR((V$2*IFERROR(VLOOKUP(E107,Tabla11[],2,0),0))*($G107/SUM($G$5:$G$43)),0))</f>
        <v>0</v>
      </c>
      <c r="W107" s="29">
        <f>G107-G107*IFERROR(VLOOKUP(E107,Tabla11[],3,0),0)-L107-N107-O107-P107-Q107-G107*$R$2-(G107*$R$2)*IFERROR(VLOOKUP(E107,Tabla11[],4,0),0)-V107-T107</f>
        <v>-6775.4474283854179</v>
      </c>
      <c r="X107" s="29">
        <f t="shared" si="12"/>
        <v>-6775.4474283854179</v>
      </c>
      <c r="Y107" s="29">
        <f t="shared" si="13"/>
        <v>0</v>
      </c>
    </row>
    <row r="108" spans="1:25" x14ac:dyDescent="0.3">
      <c r="A108" s="30"/>
      <c r="B108" s="30" t="s">
        <v>162</v>
      </c>
      <c r="C108" s="33">
        <v>1</v>
      </c>
      <c r="D108" s="33">
        <v>1</v>
      </c>
      <c r="E108" s="33" t="s">
        <v>288</v>
      </c>
      <c r="F108" s="33" t="s">
        <v>283</v>
      </c>
      <c r="G108" s="29">
        <f>IFERROR(VLOOKUP(CONCATENATE(E108,F108),Ventas!D:H,5,0),0)</f>
        <v>0</v>
      </c>
      <c r="H108" s="30">
        <f>IFERROR(VLOOKUP(A108,Modelos[],18,0),0)*G108/C108</f>
        <v>0</v>
      </c>
      <c r="I108" s="42">
        <f t="shared" si="7"/>
        <v>0</v>
      </c>
      <c r="J108" s="30">
        <f>I108*IFERROR(VLOOKUP(E108,Tabla11[],3,0),0)</f>
        <v>0</v>
      </c>
      <c r="K108" s="30">
        <f t="shared" si="8"/>
        <v>0</v>
      </c>
      <c r="L108" s="30">
        <f>Sup!$A$2*D108</f>
        <v>6775.4474283854179</v>
      </c>
      <c r="M108" s="30">
        <f>IFERROR(VLOOKUP(A108,Modelos[],IF(B108="EST",15,14),0),0)/C108</f>
        <v>0</v>
      </c>
      <c r="N108" s="30">
        <f>IF($G108&lt;0,0,IFERROR((N$2*IFERROR(VLOOKUP(E108,Tabla11[],2,0),0))*($G108/SUM($G$5:$G$43)),0))</f>
        <v>0</v>
      </c>
      <c r="O108" s="30">
        <f>IF($G108&lt;0,0,IFERROR((O$2*IFERROR(VLOOKUP(E108,Tabla11[],2,0),0))*($G108/SUM($G$5:$G$43)),0))</f>
        <v>0</v>
      </c>
      <c r="P108" s="30">
        <f>IF($G108&lt;0,0,IFERROR((P$2*IFERROR(VLOOKUP(E108,Tabla11[],2,0),0))*($G108/SUM($G$5:$G$43)),0))</f>
        <v>0</v>
      </c>
      <c r="Q108" s="30">
        <f>IF($G108&lt;0,0,IFERROR((Q$2*IFERROR(VLOOKUP(E108,Tabla11[],2,0),0))*($G108/SUM($G$5:$G$43)),0))</f>
        <v>0</v>
      </c>
      <c r="R108" s="30">
        <f t="shared" si="9"/>
        <v>0</v>
      </c>
      <c r="S108" s="30">
        <f>+R108*IFERROR(VLOOKUP(E108,Tabla11[],4,0),0)</f>
        <v>0</v>
      </c>
      <c r="T108" s="30">
        <f t="shared" si="10"/>
        <v>0</v>
      </c>
      <c r="U108" s="30">
        <f t="shared" si="11"/>
        <v>-6775.4474283854179</v>
      </c>
      <c r="V108" s="30">
        <f>IF($G108&lt;0,0,IFERROR((V$2*IFERROR(VLOOKUP(E108,Tabla11[],2,0),0))*($G108/SUM($G$5:$G$43)),0))</f>
        <v>0</v>
      </c>
      <c r="W108" s="30">
        <f>G108-G108*IFERROR(VLOOKUP(E108,Tabla11[],3,0),0)-L108-N108-O108-P108-Q108-G108*$R$2-(G108*$R$2)*IFERROR(VLOOKUP(E108,Tabla11[],4,0),0)-V108-T108</f>
        <v>-6775.4474283854179</v>
      </c>
      <c r="X108" s="30">
        <f t="shared" si="12"/>
        <v>-6775.4474283854179</v>
      </c>
      <c r="Y108" s="30">
        <f t="shared" si="13"/>
        <v>0</v>
      </c>
    </row>
    <row r="109" spans="1:25" x14ac:dyDescent="0.3">
      <c r="A109" s="29"/>
      <c r="B109" s="29" t="s">
        <v>162</v>
      </c>
      <c r="C109" s="32">
        <v>1</v>
      </c>
      <c r="D109" s="32">
        <v>1</v>
      </c>
      <c r="E109" s="32" t="s">
        <v>288</v>
      </c>
      <c r="F109" s="32" t="s">
        <v>284</v>
      </c>
      <c r="G109" s="29">
        <f>IFERROR(VLOOKUP(CONCATENATE(E109,F109),Ventas!D:H,5,0),0)</f>
        <v>670.46153846153845</v>
      </c>
      <c r="H109" s="29">
        <f>IFERROR(VLOOKUP(A109,Modelos[],18,0),0)*G109/C109</f>
        <v>0</v>
      </c>
      <c r="I109" s="41">
        <f t="shared" si="7"/>
        <v>670.46153846153845</v>
      </c>
      <c r="J109" s="29">
        <f>I109*IFERROR(VLOOKUP(E109,Tabla11[],3,0),0)</f>
        <v>234.66153846153844</v>
      </c>
      <c r="K109" s="29">
        <f t="shared" si="8"/>
        <v>435.8</v>
      </c>
      <c r="L109" s="29">
        <f>Sup!$A$2*D109</f>
        <v>6775.4474283854179</v>
      </c>
      <c r="M109" s="29">
        <f>IFERROR(VLOOKUP(A109,Modelos[],IF(B109="EST",15,14),0),0)/C109</f>
        <v>0</v>
      </c>
      <c r="N109" s="29">
        <f>IF($G109&lt;0,0,IFERROR((N$2*IFERROR(VLOOKUP(E109,Tabla11[],2,0),0))*($G109/SUM($G$5:$G$43)),0))</f>
        <v>4.3983504059127299</v>
      </c>
      <c r="O109" s="29">
        <f>IF($G109&lt;0,0,IFERROR((O$2*IFERROR(VLOOKUP(E109,Tabla11[],2,0),0))*($G109/SUM($G$5:$G$43)),0))</f>
        <v>0.85523480114969763</v>
      </c>
      <c r="P109" s="29">
        <f>IF($G109&lt;0,0,IFERROR((P$2*IFERROR(VLOOKUP(E109,Tabla11[],2,0),0))*($G109/SUM($G$5:$G$43)),0))</f>
        <v>4.3983504059127299</v>
      </c>
      <c r="Q109" s="29">
        <f>IF($G109&lt;0,0,IFERROR((Q$2*IFERROR(VLOOKUP(E109,Tabla11[],2,0),0))*($G109/SUM($G$5:$G$43)),0))</f>
        <v>6.1088200082121249</v>
      </c>
      <c r="R109" s="29">
        <f t="shared" si="9"/>
        <v>174.32000000000002</v>
      </c>
      <c r="S109" s="29">
        <f>+R109*IFERROR(VLOOKUP(E109,Tabla11[],4,0),0)</f>
        <v>26.148000000000003</v>
      </c>
      <c r="T109" s="29">
        <f t="shared" si="10"/>
        <v>25833.333333333332</v>
      </c>
      <c r="U109" s="29">
        <f t="shared" si="11"/>
        <v>-32389.209517339939</v>
      </c>
      <c r="V109" s="29">
        <f>IF($G109&lt;0,0,IFERROR((V$2*IFERROR(VLOOKUP(E109,Tabla11[],2,0),0))*($G109/SUM($G$5:$G$43)),0))</f>
        <v>11.10801358739924</v>
      </c>
      <c r="W109" s="29">
        <f>G109-G109*IFERROR(VLOOKUP(E109,Tabla11[],3,0),0)-L109-N109-O109-P109-Q109-G109*$R$2-(G109*$R$2)*IFERROR(VLOOKUP(E109,Tabla11[],4,0),0)-V109-T109</f>
        <v>-32508.261838619645</v>
      </c>
      <c r="X109" s="29">
        <f t="shared" si="12"/>
        <v>-32400.317530927339</v>
      </c>
      <c r="Y109" s="29">
        <f t="shared" si="13"/>
        <v>107.944307692</v>
      </c>
    </row>
    <row r="110" spans="1:25" x14ac:dyDescent="0.3">
      <c r="A110" s="30"/>
      <c r="B110" s="30" t="s">
        <v>162</v>
      </c>
      <c r="C110" s="33">
        <v>1</v>
      </c>
      <c r="D110" s="33">
        <v>1</v>
      </c>
      <c r="E110" s="33" t="s">
        <v>288</v>
      </c>
      <c r="F110" s="33" t="s">
        <v>285</v>
      </c>
      <c r="G110" s="29">
        <f>IFERROR(VLOOKUP(CONCATENATE(E110,F110),Ventas!D:H,5,0),0)</f>
        <v>0</v>
      </c>
      <c r="H110" s="30">
        <f>IFERROR(VLOOKUP(A110,Modelos[],18,0),0)*G110/C110</f>
        <v>0</v>
      </c>
      <c r="I110" s="42">
        <f t="shared" si="7"/>
        <v>0</v>
      </c>
      <c r="J110" s="30">
        <f>I110*IFERROR(VLOOKUP(E110,Tabla11[],3,0),0)</f>
        <v>0</v>
      </c>
      <c r="K110" s="30">
        <f t="shared" si="8"/>
        <v>0</v>
      </c>
      <c r="L110" s="30">
        <f>Sup!$A$2*D110</f>
        <v>6775.4474283854179</v>
      </c>
      <c r="M110" s="30">
        <f>IFERROR(VLOOKUP(A110,Modelos[],IF(B110="EST",15,14),0),0)/C110</f>
        <v>0</v>
      </c>
      <c r="N110" s="30">
        <f>IF($G110&lt;0,0,IFERROR((N$2*IFERROR(VLOOKUP(E110,Tabla11[],2,0),0))*($G110/SUM($G$5:$G$43)),0))</f>
        <v>0</v>
      </c>
      <c r="O110" s="30">
        <f>IF($G110&lt;0,0,IFERROR((O$2*IFERROR(VLOOKUP(E110,Tabla11[],2,0),0))*($G110/SUM($G$5:$G$43)),0))</f>
        <v>0</v>
      </c>
      <c r="P110" s="30">
        <f>IF($G110&lt;0,0,IFERROR((P$2*IFERROR(VLOOKUP(E110,Tabla11[],2,0),0))*($G110/SUM($G$5:$G$43)),0))</f>
        <v>0</v>
      </c>
      <c r="Q110" s="30">
        <f>IF($G110&lt;0,0,IFERROR((Q$2*IFERROR(VLOOKUP(E110,Tabla11[],2,0),0))*($G110/SUM($G$5:$G$43)),0))</f>
        <v>0</v>
      </c>
      <c r="R110" s="30">
        <f t="shared" si="9"/>
        <v>0</v>
      </c>
      <c r="S110" s="30">
        <f>+R110*IFERROR(VLOOKUP(E110,Tabla11[],4,0),0)</f>
        <v>0</v>
      </c>
      <c r="T110" s="30">
        <f t="shared" si="10"/>
        <v>0</v>
      </c>
      <c r="U110" s="30">
        <f t="shared" si="11"/>
        <v>-6775.4474283854179</v>
      </c>
      <c r="V110" s="30">
        <f>IF($G110&lt;0,0,IFERROR((V$2*IFERROR(VLOOKUP(E110,Tabla11[],2,0),0))*($G110/SUM($G$5:$G$43)),0))</f>
        <v>0</v>
      </c>
      <c r="W110" s="30">
        <f>G110-G110*IFERROR(VLOOKUP(E110,Tabla11[],3,0),0)-L110-N110-O110-P110-Q110-G110*$R$2-(G110*$R$2)*IFERROR(VLOOKUP(E110,Tabla11[],4,0),0)-V110-T110</f>
        <v>-6775.4474283854179</v>
      </c>
      <c r="X110" s="30">
        <f t="shared" si="12"/>
        <v>-6775.4474283854179</v>
      </c>
      <c r="Y110" s="30">
        <f t="shared" si="13"/>
        <v>0</v>
      </c>
    </row>
    <row r="111" spans="1:25" x14ac:dyDescent="0.3">
      <c r="A111" s="29"/>
      <c r="B111" s="29" t="s">
        <v>162</v>
      </c>
      <c r="C111" s="32">
        <v>1</v>
      </c>
      <c r="D111" s="32">
        <v>1</v>
      </c>
      <c r="E111" s="32" t="s">
        <v>288</v>
      </c>
      <c r="F111" s="32" t="s">
        <v>286</v>
      </c>
      <c r="G111" s="29">
        <f>IFERROR(VLOOKUP(CONCATENATE(E111,F111),Ventas!D:H,5,0),0)</f>
        <v>-838.7692307692306</v>
      </c>
      <c r="H111" s="29">
        <f>IFERROR(VLOOKUP(A111,Modelos[],18,0),0)*G111/C111</f>
        <v>0</v>
      </c>
      <c r="I111" s="41">
        <f t="shared" si="7"/>
        <v>-838.7692307692306</v>
      </c>
      <c r="J111" s="29">
        <f>I111*IFERROR(VLOOKUP(E111,Tabla11[],3,0),0)</f>
        <v>-293.56923076923067</v>
      </c>
      <c r="K111" s="29">
        <f t="shared" si="8"/>
        <v>-545.19999999999993</v>
      </c>
      <c r="L111" s="29">
        <f>Sup!$A$2*D111</f>
        <v>6775.4474283854179</v>
      </c>
      <c r="M111" s="29">
        <f>IFERROR(VLOOKUP(A111,Modelos[],IF(B111="EST",15,14),0),0)/C111</f>
        <v>0</v>
      </c>
      <c r="N111" s="29">
        <f>IF($G111&lt;0,0,IFERROR((N$2*IFERROR(VLOOKUP(E111,Tabla11[],2,0),0))*($G111/SUM($G$5:$G$43)),0))</f>
        <v>0</v>
      </c>
      <c r="O111" s="29">
        <f>IF($G111&lt;0,0,IFERROR((O$2*IFERROR(VLOOKUP(E111,Tabla11[],2,0),0))*($G111/SUM($G$5:$G$43)),0))</f>
        <v>0</v>
      </c>
      <c r="P111" s="29">
        <f>IF($G111&lt;0,0,IFERROR((P$2*IFERROR(VLOOKUP(E111,Tabla11[],2,0),0))*($G111/SUM($G$5:$G$43)),0))</f>
        <v>0</v>
      </c>
      <c r="Q111" s="29">
        <f>IF($G111&lt;0,0,IFERROR((Q$2*IFERROR(VLOOKUP(E111,Tabla11[],2,0),0))*($G111/SUM($G$5:$G$43)),0))</f>
        <v>0</v>
      </c>
      <c r="R111" s="29">
        <f t="shared" si="9"/>
        <v>-218.07999999999998</v>
      </c>
      <c r="S111" s="29">
        <f>+R111*IFERROR(VLOOKUP(E111,Tabla11[],4,0),0)</f>
        <v>-32.711999999999996</v>
      </c>
      <c r="T111" s="29">
        <f t="shared" si="10"/>
        <v>0</v>
      </c>
      <c r="U111" s="29">
        <f t="shared" si="11"/>
        <v>-7069.8554283854173</v>
      </c>
      <c r="V111" s="29">
        <f>IF($G111&lt;0,0,IFERROR((V$2*IFERROR(VLOOKUP(E111,Tabla11[],2,0),0))*($G111/SUM($G$5:$G$43)),0))</f>
        <v>0</v>
      </c>
      <c r="W111" s="29">
        <f>G111-G111*IFERROR(VLOOKUP(E111,Tabla11[],3,0),0)-L111-N111-O111-P111-Q111-G111*$R$2-(G111*$R$2)*IFERROR(VLOOKUP(E111,Tabla11[],4,0),0)-V111-T111</f>
        <v>-6934.8135822315717</v>
      </c>
      <c r="X111" s="29">
        <f t="shared" si="12"/>
        <v>-7069.8554283854173</v>
      </c>
      <c r="Y111" s="29">
        <f t="shared" si="13"/>
        <v>-135.04184615400001</v>
      </c>
    </row>
  </sheetData>
  <autoFilter ref="A4:W4" xr:uid="{D8EF04E0-4AD1-4213-8F52-0966A31F0C1D}"/>
  <conditionalFormatting sqref="G5:G130">
    <cfRule type="colorScale" priority="7">
      <colorScale>
        <cfvo type="min"/>
        <cfvo type="percentile" val="50"/>
        <cfvo type="max"/>
        <color rgb="FFF8696B"/>
        <color rgb="FFFFEB84"/>
        <color rgb="FF63BE7B"/>
      </colorScale>
    </cfRule>
  </conditionalFormatting>
  <conditionalFormatting sqref="W5:X35">
    <cfRule type="cellIs" dxfId="82" priority="6" operator="lessThan">
      <formula>0</formula>
    </cfRule>
  </conditionalFormatting>
  <conditionalFormatting sqref="Y5:Y35">
    <cfRule type="iconSet" priority="5">
      <iconSet iconSet="3Arrows">
        <cfvo type="percent" val="0"/>
        <cfvo type="num" val="0"/>
        <cfvo type="num" val="0" gte="0"/>
      </iconSet>
    </cfRule>
  </conditionalFormatting>
  <conditionalFormatting sqref="W36:X92">
    <cfRule type="cellIs" dxfId="81" priority="4" operator="lessThan">
      <formula>0</formula>
    </cfRule>
  </conditionalFormatting>
  <conditionalFormatting sqref="Y36:Y92">
    <cfRule type="iconSet" priority="3">
      <iconSet iconSet="3Arrows">
        <cfvo type="percent" val="0"/>
        <cfvo type="num" val="0"/>
        <cfvo type="num" val="0" gte="0"/>
      </iconSet>
    </cfRule>
  </conditionalFormatting>
  <conditionalFormatting sqref="W93:X111">
    <cfRule type="cellIs" dxfId="80" priority="2" operator="lessThan">
      <formula>0</formula>
    </cfRule>
  </conditionalFormatting>
  <conditionalFormatting sqref="Y93:Y111">
    <cfRule type="iconSet" priority="1">
      <iconSet iconSet="3Arrows">
        <cfvo type="percent" val="0"/>
        <cfvo type="num" val="0"/>
        <cfvo type="num" val="0" gte="0"/>
      </iconSet>
    </cfRule>
  </conditionalFormatting>
  <dataValidations count="2">
    <dataValidation type="list" allowBlank="1" showInputMessage="1" showErrorMessage="1" sqref="A5:A111" xr:uid="{30D15BE6-1055-4509-941E-A7902DB44E95}">
      <formula1>Modelo</formula1>
    </dataValidation>
    <dataValidation type="list" allowBlank="1" showInputMessage="1" showErrorMessage="1" sqref="B5:B111" xr:uid="{CF761716-932A-4BFD-BD49-9AC62274DFFD}">
      <formula1>"Outsourcing,EST"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5A3ED-BB67-44E4-9351-03416460F2C9}">
  <dimension ref="A1:AE44"/>
  <sheetViews>
    <sheetView showGridLines="0" zoomScale="120" zoomScaleNormal="120" workbookViewId="0">
      <selection activeCell="H24" sqref="H24"/>
    </sheetView>
  </sheetViews>
  <sheetFormatPr baseColWidth="10" defaultRowHeight="14.4" x14ac:dyDescent="0.3"/>
  <cols>
    <col min="1" max="1" width="19.5546875" style="34" bestFit="1" customWidth="1"/>
    <col min="2" max="2" width="12" style="34" customWidth="1"/>
    <col min="3" max="3" width="9.5546875" style="34" bestFit="1" customWidth="1"/>
    <col min="4" max="4" width="6.33203125" style="34" customWidth="1"/>
    <col min="5" max="5" width="7.88671875" style="34" customWidth="1"/>
    <col min="6" max="6" width="20.5546875" style="34" customWidth="1"/>
    <col min="7" max="7" width="17.44140625" style="16" customWidth="1"/>
    <col min="8" max="8" width="12.5546875" style="16" customWidth="1"/>
    <col min="9" max="10" width="15" style="16" bestFit="1" customWidth="1"/>
    <col min="11" max="11" width="12.33203125" style="16" customWidth="1"/>
    <col min="12" max="12" width="12.6640625" style="16" customWidth="1"/>
    <col min="13" max="13" width="15.109375" style="16" bestFit="1" customWidth="1"/>
    <col min="14" max="14" width="13.109375" style="16" hidden="1" customWidth="1"/>
    <col min="15" max="15" width="11.6640625" style="16" hidden="1" customWidth="1"/>
    <col min="16" max="16" width="11.33203125" style="16" hidden="1" customWidth="1"/>
    <col min="17" max="17" width="14.5546875" style="16" hidden="1" customWidth="1"/>
    <col min="18" max="18" width="14.6640625" style="16" customWidth="1"/>
    <col min="19" max="19" width="11.6640625" style="16" bestFit="1" customWidth="1"/>
    <col min="20" max="20" width="11.6640625" style="16" customWidth="1"/>
    <col min="21" max="21" width="15" style="16" bestFit="1" customWidth="1"/>
    <col min="22" max="22" width="17.33203125" style="16" bestFit="1" customWidth="1"/>
    <col min="23" max="23" width="15.5546875" style="16" bestFit="1" customWidth="1"/>
    <col min="24" max="25" width="13.6640625" style="16" bestFit="1" customWidth="1"/>
    <col min="28" max="28" width="12" bestFit="1" customWidth="1"/>
  </cols>
  <sheetData>
    <row r="1" spans="1:31" x14ac:dyDescent="0.3">
      <c r="A1" s="18"/>
      <c r="B1" s="18"/>
      <c r="C1" s="18"/>
      <c r="D1" s="18"/>
      <c r="E1" s="18"/>
      <c r="F1" s="18"/>
      <c r="G1" s="23"/>
      <c r="N1" s="60" t="s">
        <v>174</v>
      </c>
      <c r="O1" s="61"/>
      <c r="P1" s="31">
        <v>0.21</v>
      </c>
    </row>
    <row r="2" spans="1:31" x14ac:dyDescent="0.3">
      <c r="A2" s="18"/>
      <c r="B2" s="18"/>
      <c r="C2" s="18"/>
      <c r="D2" s="18"/>
      <c r="E2" s="18"/>
      <c r="F2" s="18"/>
      <c r="N2" s="28">
        <v>2206451.6129032257</v>
      </c>
      <c r="O2" s="28">
        <v>429032.25806451612</v>
      </c>
      <c r="P2" s="28">
        <v>2206451.6129032257</v>
      </c>
      <c r="Q2" s="28">
        <v>3064516.1290322579</v>
      </c>
      <c r="R2" s="44">
        <v>0.4</v>
      </c>
      <c r="S2" s="40">
        <v>0.15</v>
      </c>
      <c r="T2" s="43">
        <v>310000</v>
      </c>
      <c r="V2" s="43">
        <v>3519400</v>
      </c>
    </row>
    <row r="3" spans="1:31" x14ac:dyDescent="0.3">
      <c r="A3" s="18"/>
      <c r="B3" s="18"/>
      <c r="C3" s="18"/>
      <c r="D3" s="18"/>
      <c r="E3" s="18"/>
      <c r="F3" s="18"/>
      <c r="J3" s="40">
        <v>0.35</v>
      </c>
      <c r="AC3" s="45">
        <v>1</v>
      </c>
      <c r="AD3" s="45">
        <v>0.65</v>
      </c>
      <c r="AE3">
        <f>35*65%</f>
        <v>22.75</v>
      </c>
    </row>
    <row r="4" spans="1:31" s="39" customFormat="1" ht="33" customHeight="1" x14ac:dyDescent="0.3">
      <c r="A4" s="38" t="s">
        <v>157</v>
      </c>
      <c r="B4" s="38" t="s">
        <v>161</v>
      </c>
      <c r="C4" s="38" t="s">
        <v>168</v>
      </c>
      <c r="D4" s="38" t="s">
        <v>163</v>
      </c>
      <c r="E4" s="38" t="s">
        <v>212</v>
      </c>
      <c r="F4" s="38" t="s">
        <v>0</v>
      </c>
      <c r="G4" s="38" t="s">
        <v>206</v>
      </c>
      <c r="H4" s="38" t="s">
        <v>158</v>
      </c>
      <c r="I4" s="38" t="s">
        <v>159</v>
      </c>
      <c r="J4" s="38" t="s">
        <v>122</v>
      </c>
      <c r="K4" s="38" t="s">
        <v>182</v>
      </c>
      <c r="L4" s="38" t="s">
        <v>125</v>
      </c>
      <c r="M4" s="38" t="s">
        <v>160</v>
      </c>
      <c r="N4" s="38" t="s">
        <v>41</v>
      </c>
      <c r="O4" s="38" t="s">
        <v>42</v>
      </c>
      <c r="P4" s="38" t="s">
        <v>43</v>
      </c>
      <c r="Q4" s="38" t="s">
        <v>44</v>
      </c>
      <c r="R4" s="38" t="s">
        <v>127</v>
      </c>
      <c r="S4" s="38" t="s">
        <v>128</v>
      </c>
      <c r="T4" s="38" t="s">
        <v>171</v>
      </c>
      <c r="U4" s="38" t="s">
        <v>40</v>
      </c>
      <c r="V4" s="38" t="s">
        <v>45</v>
      </c>
      <c r="W4" s="38" t="s">
        <v>164</v>
      </c>
      <c r="X4" s="38" t="s">
        <v>165</v>
      </c>
      <c r="Y4" s="38" t="s">
        <v>166</v>
      </c>
    </row>
    <row r="5" spans="1:31" x14ac:dyDescent="0.3">
      <c r="A5" s="29" t="s">
        <v>201</v>
      </c>
      <c r="B5" s="29" t="s">
        <v>162</v>
      </c>
      <c r="C5" s="32">
        <v>1</v>
      </c>
      <c r="D5" s="32">
        <v>1</v>
      </c>
      <c r="E5" s="32" t="s">
        <v>213</v>
      </c>
      <c r="F5" s="32" t="s">
        <v>3</v>
      </c>
      <c r="G5" s="29">
        <f>VLOOKUP(F5,Ventas!C:H,4,0)</f>
        <v>779379</v>
      </c>
      <c r="H5" s="29">
        <f>IFERROR(VLOOKUP(A5,Modelos[],18,0),0)*G5/C5</f>
        <v>0</v>
      </c>
      <c r="I5" s="41">
        <f>SUM(G5:H5)</f>
        <v>779379</v>
      </c>
      <c r="J5" s="29">
        <f t="shared" ref="J5:J43" si="0">I5*$J$3</f>
        <v>272782.64999999997</v>
      </c>
      <c r="K5" s="29">
        <f>I5-J5</f>
        <v>506596.35000000003</v>
      </c>
      <c r="L5" s="29">
        <f>Sup!$A$2*D5</f>
        <v>6775.4474283854179</v>
      </c>
      <c r="M5" s="29">
        <f>IFERROR(VLOOKUP(A5,Modelos[],IF(B5="EST",15,14),0),0)/C5</f>
        <v>0</v>
      </c>
      <c r="N5" s="29">
        <f t="shared" ref="N5:Q24" si="1">IF($G5&lt;0,0,IFERROR((N$2*$P$1)*($G5/SUM($G$5:$G$43)),0))</f>
        <v>33755.910159357867</v>
      </c>
      <c r="O5" s="29">
        <f t="shared" si="1"/>
        <v>6563.6491976529178</v>
      </c>
      <c r="P5" s="29">
        <f t="shared" si="1"/>
        <v>33755.910159357867</v>
      </c>
      <c r="Q5" s="29">
        <f t="shared" si="1"/>
        <v>46883.208554663703</v>
      </c>
      <c r="R5" s="29">
        <f>K5*$R$2</f>
        <v>202638.54000000004</v>
      </c>
      <c r="S5" s="29">
        <f>+R5*$S$2</f>
        <v>30395.781000000003</v>
      </c>
      <c r="T5" s="29">
        <f>IF(G5&gt;0,$T$2/12,0)</f>
        <v>25833.333333333332</v>
      </c>
      <c r="U5" s="29">
        <f>K5-SUM(L5:T5)</f>
        <v>119994.57016724889</v>
      </c>
      <c r="V5" s="29">
        <f t="shared" ref="V5:V43" si="2">IF($G5&lt;0,0,IFERROR((V$2*$P$1)*($G5/SUM($G$5:$G$43)),0))</f>
        <v>53842.354629534595</v>
      </c>
      <c r="W5" s="29">
        <f>G5-G5*$J$3-L5-N5-O5-P5-Q5-(G5-G5*$J$3)*$R$2-((G5-G5*$J$3)*$R$2)*$S$2-T5-V5</f>
        <v>66152.215537714219</v>
      </c>
      <c r="X5" s="29">
        <f>U5-V5</f>
        <v>66152.215537714306</v>
      </c>
      <c r="Y5" s="29">
        <f>ROUND(X5-W5,9)</f>
        <v>0</v>
      </c>
      <c r="AB5" s="46"/>
    </row>
    <row r="6" spans="1:31" x14ac:dyDescent="0.3">
      <c r="A6" s="30" t="s">
        <v>167</v>
      </c>
      <c r="B6" s="30" t="s">
        <v>162</v>
      </c>
      <c r="C6" s="33">
        <v>1</v>
      </c>
      <c r="D6" s="33">
        <v>1</v>
      </c>
      <c r="E6" s="33" t="s">
        <v>213</v>
      </c>
      <c r="F6" s="33" t="s">
        <v>16</v>
      </c>
      <c r="G6" s="29">
        <f>VLOOKUP(F6,Ventas!C:H,4,0)</f>
        <v>471134</v>
      </c>
      <c r="H6" s="30">
        <f>IFERROR(VLOOKUP(A6,Modelos[],18,0),0)*G6/C6</f>
        <v>0</v>
      </c>
      <c r="I6" s="42">
        <f t="shared" ref="I6:I43" si="3">SUM(G6:H6)</f>
        <v>471134</v>
      </c>
      <c r="J6" s="30">
        <f t="shared" si="0"/>
        <v>164896.9</v>
      </c>
      <c r="K6" s="30">
        <f t="shared" ref="K6:K43" si="4">I6-J6</f>
        <v>306237.09999999998</v>
      </c>
      <c r="L6" s="30">
        <f>Sup!$A$2*D6</f>
        <v>6775.4474283854179</v>
      </c>
      <c r="M6" s="30">
        <f>IFERROR(VLOOKUP(A6,Modelos[],IF(B6="EST",15,14),0),0)/C6</f>
        <v>0</v>
      </c>
      <c r="N6" s="30">
        <f t="shared" si="1"/>
        <v>20405.421466345524</v>
      </c>
      <c r="O6" s="30">
        <f t="shared" si="1"/>
        <v>3967.7208406782966</v>
      </c>
      <c r="P6" s="30">
        <f t="shared" si="1"/>
        <v>20405.421466345524</v>
      </c>
      <c r="Q6" s="30">
        <f t="shared" si="1"/>
        <v>28340.863147702119</v>
      </c>
      <c r="R6" s="30">
        <f t="shared" ref="R6:R43" si="5">K6*$R$2</f>
        <v>122494.84</v>
      </c>
      <c r="S6" s="30">
        <f t="shared" ref="S6:S43" si="6">+R6*$S$2</f>
        <v>18374.225999999999</v>
      </c>
      <c r="T6" s="30">
        <f t="shared" ref="T6:T43" si="7">IF(G6&gt;0,$T$2/12,0)</f>
        <v>25833.333333333332</v>
      </c>
      <c r="U6" s="30">
        <f t="shared" ref="U6:U43" si="8">K6-SUM(L6:T6)</f>
        <v>59639.82631720975</v>
      </c>
      <c r="V6" s="30">
        <f t="shared" si="2"/>
        <v>32547.661543396927</v>
      </c>
      <c r="W6" s="30">
        <f t="shared" ref="W6:W43" si="9">G6-G6*$J$3-L6-N6-O6-P6-Q6-(G6-G6*$J$3)*$R$2-((G6-G6*$J$3)*$R$2)*$S$2-T6-V6</f>
        <v>27092.164773812779</v>
      </c>
      <c r="X6" s="30">
        <f t="shared" ref="X6:X43" si="10">U6-V6</f>
        <v>27092.164773812823</v>
      </c>
      <c r="Y6" s="30">
        <f t="shared" ref="Y6:Y43" si="11">ROUND(X6-W6,9)</f>
        <v>0</v>
      </c>
    </row>
    <row r="7" spans="1:31" x14ac:dyDescent="0.3">
      <c r="A7" s="29" t="s">
        <v>170</v>
      </c>
      <c r="B7" s="29" t="s">
        <v>162</v>
      </c>
      <c r="C7" s="32">
        <v>1</v>
      </c>
      <c r="D7" s="32">
        <v>1</v>
      </c>
      <c r="E7" s="32" t="s">
        <v>213</v>
      </c>
      <c r="F7" s="32" t="s">
        <v>2</v>
      </c>
      <c r="G7" s="29">
        <f>VLOOKUP(F7,Ventas!C:H,4,0)</f>
        <v>528406</v>
      </c>
      <c r="H7" s="29">
        <f>IFERROR(VLOOKUP(A7,Modelos[],18,0),0)*G7/C7</f>
        <v>0</v>
      </c>
      <c r="I7" s="41">
        <f t="shared" si="3"/>
        <v>528406</v>
      </c>
      <c r="J7" s="29">
        <f t="shared" si="0"/>
        <v>184942.09999999998</v>
      </c>
      <c r="K7" s="29">
        <f t="shared" si="4"/>
        <v>343463.9</v>
      </c>
      <c r="L7" s="29">
        <f>Sup!$A$2*D7</f>
        <v>6775.4474283854179</v>
      </c>
      <c r="M7" s="29">
        <f>IFERROR(VLOOKUP(A7,Modelos[],IF(B7="EST",15,14),0),0)/C7</f>
        <v>0</v>
      </c>
      <c r="N7" s="29">
        <f t="shared" si="1"/>
        <v>22885.945687099156</v>
      </c>
      <c r="O7" s="29">
        <f t="shared" si="1"/>
        <v>4450.0449947137249</v>
      </c>
      <c r="P7" s="29">
        <f t="shared" si="1"/>
        <v>22885.945687099156</v>
      </c>
      <c r="Q7" s="29">
        <f t="shared" si="1"/>
        <v>31786.035676526608</v>
      </c>
      <c r="R7" s="29">
        <f t="shared" si="5"/>
        <v>137385.56000000003</v>
      </c>
      <c r="S7" s="29">
        <f t="shared" si="6"/>
        <v>20607.834000000003</v>
      </c>
      <c r="T7" s="29">
        <f t="shared" si="7"/>
        <v>25833.333333333332</v>
      </c>
      <c r="U7" s="29">
        <f t="shared" si="8"/>
        <v>70853.753192842589</v>
      </c>
      <c r="V7" s="29">
        <f t="shared" si="2"/>
        <v>36504.220976410528</v>
      </c>
      <c r="W7" s="29">
        <f t="shared" si="9"/>
        <v>34349.532216432046</v>
      </c>
      <c r="X7" s="29">
        <f t="shared" si="10"/>
        <v>34349.532216432061</v>
      </c>
      <c r="Y7" s="29">
        <f t="shared" si="11"/>
        <v>0</v>
      </c>
    </row>
    <row r="8" spans="1:31" x14ac:dyDescent="0.3">
      <c r="A8" s="30" t="s">
        <v>170</v>
      </c>
      <c r="B8" s="30" t="s">
        <v>162</v>
      </c>
      <c r="C8" s="33">
        <v>1</v>
      </c>
      <c r="D8" s="33">
        <v>1</v>
      </c>
      <c r="E8" s="33" t="s">
        <v>213</v>
      </c>
      <c r="F8" s="33" t="s">
        <v>10</v>
      </c>
      <c r="G8" s="29">
        <f>VLOOKUP(F8,Ventas!C:H,4,0)</f>
        <v>453690</v>
      </c>
      <c r="H8" s="30">
        <f>IFERROR(VLOOKUP(A8,Modelos[],18,0),0)*G8/C8</f>
        <v>0</v>
      </c>
      <c r="I8" s="42">
        <f t="shared" si="3"/>
        <v>453690</v>
      </c>
      <c r="J8" s="30">
        <f t="shared" si="0"/>
        <v>158791.5</v>
      </c>
      <c r="K8" s="30">
        <f t="shared" si="4"/>
        <v>294898.5</v>
      </c>
      <c r="L8" s="30">
        <f>Sup!$A$2*D8</f>
        <v>6775.4474283854179</v>
      </c>
      <c r="M8" s="30">
        <f>IFERROR(VLOOKUP(A8,Modelos[],IF(B8="EST",15,14),0),0)/C8</f>
        <v>0</v>
      </c>
      <c r="N8" s="30">
        <f t="shared" si="1"/>
        <v>19649.899317532381</v>
      </c>
      <c r="O8" s="30">
        <f t="shared" si="1"/>
        <v>3820.8137561868521</v>
      </c>
      <c r="P8" s="30">
        <f t="shared" si="1"/>
        <v>19649.899317532381</v>
      </c>
      <c r="Q8" s="30">
        <f t="shared" si="1"/>
        <v>27291.526829906088</v>
      </c>
      <c r="R8" s="30">
        <f t="shared" si="5"/>
        <v>117959.40000000001</v>
      </c>
      <c r="S8" s="30">
        <f t="shared" si="6"/>
        <v>17693.91</v>
      </c>
      <c r="T8" s="30">
        <f t="shared" si="7"/>
        <v>25833.333333333332</v>
      </c>
      <c r="U8" s="30">
        <f t="shared" si="8"/>
        <v>56224.270017123519</v>
      </c>
      <c r="V8" s="30">
        <f t="shared" si="2"/>
        <v>31342.566160845432</v>
      </c>
      <c r="W8" s="30">
        <f t="shared" si="9"/>
        <v>24881.703856278087</v>
      </c>
      <c r="X8" s="30">
        <f t="shared" si="10"/>
        <v>24881.703856278087</v>
      </c>
      <c r="Y8" s="30">
        <f t="shared" si="11"/>
        <v>0</v>
      </c>
    </row>
    <row r="9" spans="1:31" x14ac:dyDescent="0.3">
      <c r="A9" s="29" t="s">
        <v>167</v>
      </c>
      <c r="B9" s="29" t="s">
        <v>162</v>
      </c>
      <c r="C9" s="32">
        <v>1</v>
      </c>
      <c r="D9" s="32">
        <v>1</v>
      </c>
      <c r="E9" s="32" t="s">
        <v>213</v>
      </c>
      <c r="F9" s="32" t="s">
        <v>4</v>
      </c>
      <c r="G9" s="29">
        <f>VLOOKUP(F9,Ventas!C:H,4,0)</f>
        <v>740030</v>
      </c>
      <c r="H9" s="29">
        <f>IFERROR(VLOOKUP(A9,Modelos[],18,0),0)*G9/C9</f>
        <v>0</v>
      </c>
      <c r="I9" s="41">
        <f t="shared" si="3"/>
        <v>740030</v>
      </c>
      <c r="J9" s="29">
        <f t="shared" si="0"/>
        <v>259010.49999999997</v>
      </c>
      <c r="K9" s="29">
        <f t="shared" si="4"/>
        <v>481019.5</v>
      </c>
      <c r="L9" s="29">
        <f>Sup!$A$2*D9</f>
        <v>6775.4474283854179</v>
      </c>
      <c r="M9" s="29">
        <f>IFERROR(VLOOKUP(A9,Modelos[],IF(B9="EST",15,14),0),0)/C9</f>
        <v>0</v>
      </c>
      <c r="N9" s="29">
        <f t="shared" si="1"/>
        <v>32051.654195493596</v>
      </c>
      <c r="O9" s="29">
        <f t="shared" si="1"/>
        <v>6232.2660935681988</v>
      </c>
      <c r="P9" s="29">
        <f t="shared" si="1"/>
        <v>32051.654195493596</v>
      </c>
      <c r="Q9" s="29">
        <f t="shared" si="1"/>
        <v>44516.186382629996</v>
      </c>
      <c r="R9" s="29">
        <f t="shared" si="5"/>
        <v>192407.80000000002</v>
      </c>
      <c r="S9" s="29">
        <f t="shared" si="6"/>
        <v>28861.170000000002</v>
      </c>
      <c r="T9" s="29">
        <f t="shared" si="7"/>
        <v>25833.333333333332</v>
      </c>
      <c r="U9" s="29">
        <f t="shared" si="8"/>
        <v>112289.98837109585</v>
      </c>
      <c r="V9" s="29">
        <f t="shared" si="2"/>
        <v>51123.98165269335</v>
      </c>
      <c r="W9" s="29">
        <f t="shared" si="9"/>
        <v>61166.006718402488</v>
      </c>
      <c r="X9" s="29">
        <f t="shared" si="10"/>
        <v>61166.006718402503</v>
      </c>
      <c r="Y9" s="29">
        <f t="shared" si="11"/>
        <v>0</v>
      </c>
    </row>
    <row r="10" spans="1:31" x14ac:dyDescent="0.3">
      <c r="A10" s="30" t="s">
        <v>167</v>
      </c>
      <c r="B10" s="30" t="s">
        <v>162</v>
      </c>
      <c r="C10" s="33">
        <v>1</v>
      </c>
      <c r="D10" s="33">
        <v>1</v>
      </c>
      <c r="E10" s="33" t="s">
        <v>213</v>
      </c>
      <c r="F10" s="33" t="s">
        <v>5</v>
      </c>
      <c r="G10" s="29">
        <f>VLOOKUP(F10,Ventas!C:H,4,0)</f>
        <v>461101</v>
      </c>
      <c r="H10" s="30">
        <f>IFERROR(VLOOKUP(A10,Modelos[],18,0),0)*G10/C10</f>
        <v>0</v>
      </c>
      <c r="I10" s="42">
        <f t="shared" si="3"/>
        <v>461101</v>
      </c>
      <c r="J10" s="30">
        <f t="shared" si="0"/>
        <v>161385.34999999998</v>
      </c>
      <c r="K10" s="30">
        <f t="shared" si="4"/>
        <v>299715.65000000002</v>
      </c>
      <c r="L10" s="30">
        <f>Sup!$A$2*D10</f>
        <v>6775.4474283854179</v>
      </c>
      <c r="M10" s="30">
        <f>IFERROR(VLOOKUP(A10,Modelos[],IF(B10="EST",15,14),0),0)/C10</f>
        <v>0</v>
      </c>
      <c r="N10" s="30">
        <f t="shared" si="1"/>
        <v>19970.879290294033</v>
      </c>
      <c r="O10" s="30">
        <f t="shared" si="1"/>
        <v>3883.2265286682837</v>
      </c>
      <c r="P10" s="30">
        <f t="shared" si="1"/>
        <v>19970.879290294033</v>
      </c>
      <c r="Q10" s="30">
        <f t="shared" si="1"/>
        <v>27737.3323476306</v>
      </c>
      <c r="R10" s="30">
        <f t="shared" si="5"/>
        <v>119886.26000000001</v>
      </c>
      <c r="S10" s="30">
        <f t="shared" si="6"/>
        <v>17982.939000000002</v>
      </c>
      <c r="T10" s="30">
        <f t="shared" si="7"/>
        <v>25833.333333333332</v>
      </c>
      <c r="U10" s="30">
        <f t="shared" si="8"/>
        <v>57675.352781394293</v>
      </c>
      <c r="V10" s="30">
        <f t="shared" si="2"/>
        <v>31854.545172545106</v>
      </c>
      <c r="W10" s="30">
        <f t="shared" si="9"/>
        <v>25820.807608849187</v>
      </c>
      <c r="X10" s="30">
        <f t="shared" si="10"/>
        <v>25820.807608849187</v>
      </c>
      <c r="Y10" s="30">
        <f t="shared" si="11"/>
        <v>0</v>
      </c>
    </row>
    <row r="11" spans="1:31" x14ac:dyDescent="0.3">
      <c r="A11" s="29" t="s">
        <v>207</v>
      </c>
      <c r="B11" s="29" t="s">
        <v>162</v>
      </c>
      <c r="C11" s="32">
        <v>1</v>
      </c>
      <c r="D11" s="32">
        <v>1</v>
      </c>
      <c r="E11" s="32" t="s">
        <v>213</v>
      </c>
      <c r="F11" s="32" t="s">
        <v>9</v>
      </c>
      <c r="G11" s="29">
        <f>VLOOKUP(F11,Ventas!C:H,4,0)</f>
        <v>529180</v>
      </c>
      <c r="H11" s="29">
        <f>IFERROR(VLOOKUP(A11,Modelos[],18,0),0)*G11/C11</f>
        <v>0</v>
      </c>
      <c r="I11" s="41">
        <f t="shared" si="3"/>
        <v>529180</v>
      </c>
      <c r="J11" s="29">
        <f t="shared" si="0"/>
        <v>185213</v>
      </c>
      <c r="K11" s="29">
        <f t="shared" si="4"/>
        <v>343967</v>
      </c>
      <c r="L11" s="29">
        <f>Sup!$A$2*D11</f>
        <v>6775.4474283854179</v>
      </c>
      <c r="M11" s="29">
        <f>IFERROR(VLOOKUP(A11,Modelos[],IF(B11="EST",15,14),0),0)/C11</f>
        <v>0</v>
      </c>
      <c r="N11" s="29">
        <f t="shared" si="1"/>
        <v>22919.46862582774</v>
      </c>
      <c r="O11" s="29">
        <f t="shared" si="1"/>
        <v>4456.5633439109488</v>
      </c>
      <c r="P11" s="29">
        <f t="shared" si="1"/>
        <v>22919.46862582774</v>
      </c>
      <c r="Q11" s="29">
        <f t="shared" si="1"/>
        <v>31832.595313649636</v>
      </c>
      <c r="R11" s="29">
        <f t="shared" si="5"/>
        <v>137586.80000000002</v>
      </c>
      <c r="S11" s="29">
        <f t="shared" si="6"/>
        <v>20638.02</v>
      </c>
      <c r="T11" s="29">
        <f t="shared" si="7"/>
        <v>25833.333333333332</v>
      </c>
      <c r="U11" s="29">
        <f t="shared" si="8"/>
        <v>71005.303329065151</v>
      </c>
      <c r="V11" s="29">
        <f t="shared" si="2"/>
        <v>36557.691730027524</v>
      </c>
      <c r="W11" s="29">
        <f t="shared" si="9"/>
        <v>34447.611599037598</v>
      </c>
      <c r="X11" s="29">
        <f t="shared" si="10"/>
        <v>34447.611599037627</v>
      </c>
      <c r="Y11" s="29">
        <f t="shared" si="11"/>
        <v>0</v>
      </c>
    </row>
    <row r="12" spans="1:31" x14ac:dyDescent="0.3">
      <c r="A12" s="30" t="s">
        <v>201</v>
      </c>
      <c r="B12" s="30" t="s">
        <v>209</v>
      </c>
      <c r="C12" s="33">
        <v>1</v>
      </c>
      <c r="D12" s="33">
        <v>1</v>
      </c>
      <c r="E12" s="33" t="s">
        <v>213</v>
      </c>
      <c r="F12" s="33" t="s">
        <v>1</v>
      </c>
      <c r="G12" s="29">
        <f>VLOOKUP(F12,Ventas!C:H,4,0)</f>
        <v>802607</v>
      </c>
      <c r="H12" s="30">
        <f>IFERROR(VLOOKUP(A12,Modelos[],18,0),0)*G12/C12</f>
        <v>0</v>
      </c>
      <c r="I12" s="42">
        <f t="shared" si="3"/>
        <v>802607</v>
      </c>
      <c r="J12" s="30">
        <f t="shared" si="0"/>
        <v>280912.44999999995</v>
      </c>
      <c r="K12" s="30">
        <f t="shared" si="4"/>
        <v>521694.55000000005</v>
      </c>
      <c r="L12" s="30">
        <f>Sup!$A$2*D12</f>
        <v>6775.4474283854179</v>
      </c>
      <c r="M12" s="30">
        <f>IFERROR(VLOOKUP(A12,Modelos[],IF(B12="EST",15,14),0),0)/C12</f>
        <v>0</v>
      </c>
      <c r="N12" s="30">
        <f t="shared" si="1"/>
        <v>34761.944811538087</v>
      </c>
      <c r="O12" s="30">
        <f t="shared" si="1"/>
        <v>6759.2670466879608</v>
      </c>
      <c r="P12" s="30">
        <f t="shared" si="1"/>
        <v>34761.944811538087</v>
      </c>
      <c r="Q12" s="30">
        <f t="shared" si="1"/>
        <v>48280.478904914009</v>
      </c>
      <c r="R12" s="30">
        <f t="shared" si="5"/>
        <v>208677.82000000004</v>
      </c>
      <c r="S12" s="30">
        <f t="shared" si="6"/>
        <v>31301.673000000003</v>
      </c>
      <c r="T12" s="30">
        <f t="shared" si="7"/>
        <v>25833.333333333332</v>
      </c>
      <c r="U12" s="30">
        <f t="shared" si="8"/>
        <v>124542.64066360309</v>
      </c>
      <c r="V12" s="30">
        <f t="shared" si="2"/>
        <v>55447.029907332479</v>
      </c>
      <c r="W12" s="30">
        <f>U12-V12</f>
        <v>69095.610756270617</v>
      </c>
      <c r="X12" s="30">
        <f t="shared" si="10"/>
        <v>69095.610756270617</v>
      </c>
      <c r="Y12" s="30">
        <f t="shared" si="11"/>
        <v>0</v>
      </c>
    </row>
    <row r="13" spans="1:31" x14ac:dyDescent="0.3">
      <c r="A13" s="29" t="s">
        <v>208</v>
      </c>
      <c r="B13" s="29" t="s">
        <v>162</v>
      </c>
      <c r="C13" s="32">
        <v>1</v>
      </c>
      <c r="D13" s="32">
        <v>1</v>
      </c>
      <c r="E13" s="32" t="s">
        <v>213</v>
      </c>
      <c r="F13" s="32" t="s">
        <v>7</v>
      </c>
      <c r="G13" s="29">
        <f>VLOOKUP(F13,Ventas!C:H,4,0)</f>
        <v>584206</v>
      </c>
      <c r="H13" s="29">
        <f>IFERROR(VLOOKUP(A13,Modelos[],18,0),0)*G13/C13</f>
        <v>0</v>
      </c>
      <c r="I13" s="41">
        <f t="shared" si="3"/>
        <v>584206</v>
      </c>
      <c r="J13" s="29">
        <f t="shared" si="0"/>
        <v>204472.09999999998</v>
      </c>
      <c r="K13" s="29">
        <f t="shared" si="4"/>
        <v>379733.9</v>
      </c>
      <c r="L13" s="29">
        <f>Sup!$A$2*D13</f>
        <v>6775.4474283854179</v>
      </c>
      <c r="M13" s="29">
        <f>IFERROR(VLOOKUP(A13,Modelos[],IF(B13="EST",15,14),0),0)/C13</f>
        <v>0</v>
      </c>
      <c r="N13" s="29">
        <f t="shared" si="1"/>
        <v>25302.715688461998</v>
      </c>
      <c r="O13" s="29">
        <f t="shared" si="1"/>
        <v>4919.9724949787214</v>
      </c>
      <c r="P13" s="29">
        <f t="shared" si="1"/>
        <v>25302.715688461998</v>
      </c>
      <c r="Q13" s="29">
        <f t="shared" si="1"/>
        <v>35142.660678419445</v>
      </c>
      <c r="R13" s="29">
        <f t="shared" si="5"/>
        <v>151893.56000000003</v>
      </c>
      <c r="S13" s="29">
        <f t="shared" si="6"/>
        <v>22784.034000000003</v>
      </c>
      <c r="T13" s="29">
        <f t="shared" si="7"/>
        <v>25833.333333333332</v>
      </c>
      <c r="U13" s="29">
        <f t="shared" si="8"/>
        <v>81779.460687959101</v>
      </c>
      <c r="V13" s="29">
        <f t="shared" si="2"/>
        <v>40359.08926042643</v>
      </c>
      <c r="W13" s="29">
        <f t="shared" si="9"/>
        <v>41420.371427532555</v>
      </c>
      <c r="X13" s="29">
        <f t="shared" si="10"/>
        <v>41420.371427532671</v>
      </c>
      <c r="Y13" s="29">
        <f t="shared" si="11"/>
        <v>0</v>
      </c>
    </row>
    <row r="14" spans="1:31" x14ac:dyDescent="0.3">
      <c r="A14" s="30" t="s">
        <v>208</v>
      </c>
      <c r="B14" s="30" t="s">
        <v>162</v>
      </c>
      <c r="C14" s="33">
        <v>1</v>
      </c>
      <c r="D14" s="33">
        <v>1</v>
      </c>
      <c r="E14" s="33" t="s">
        <v>213</v>
      </c>
      <c r="F14" s="33" t="s">
        <v>8</v>
      </c>
      <c r="G14" s="29">
        <f>VLOOKUP(F14,Ventas!C:H,4,0)</f>
        <v>433742</v>
      </c>
      <c r="H14" s="30">
        <f>IFERROR(VLOOKUP(A14,Modelos[],18,0),0)*G14/C14</f>
        <v>0</v>
      </c>
      <c r="I14" s="42">
        <f t="shared" si="3"/>
        <v>433742</v>
      </c>
      <c r="J14" s="30">
        <f t="shared" si="0"/>
        <v>151809.69999999998</v>
      </c>
      <c r="K14" s="30">
        <f t="shared" si="4"/>
        <v>281932.30000000005</v>
      </c>
      <c r="L14" s="30">
        <f>Sup!$A$2*D14</f>
        <v>6775.4474283854179</v>
      </c>
      <c r="M14" s="30">
        <f>IFERROR(VLOOKUP(A14,Modelos[],IF(B14="EST",15,14),0),0)/C14</f>
        <v>0</v>
      </c>
      <c r="N14" s="30">
        <f t="shared" si="1"/>
        <v>18785.925697690338</v>
      </c>
      <c r="O14" s="30">
        <f t="shared" si="1"/>
        <v>3652.8188856620104</v>
      </c>
      <c r="P14" s="30">
        <f t="shared" si="1"/>
        <v>18785.925697690338</v>
      </c>
      <c r="Q14" s="30">
        <f t="shared" si="1"/>
        <v>26091.563469014363</v>
      </c>
      <c r="R14" s="30">
        <f t="shared" si="5"/>
        <v>112772.92000000003</v>
      </c>
      <c r="S14" s="30">
        <f t="shared" si="6"/>
        <v>16915.938000000002</v>
      </c>
      <c r="T14" s="30">
        <f t="shared" si="7"/>
        <v>25833.333333333332</v>
      </c>
      <c r="U14" s="30">
        <f t="shared" si="8"/>
        <v>52318.427488224232</v>
      </c>
      <c r="V14" s="30">
        <f t="shared" si="2"/>
        <v>29964.485291140249</v>
      </c>
      <c r="W14" s="30">
        <f t="shared" si="9"/>
        <v>22353.942197083939</v>
      </c>
      <c r="X14" s="30">
        <f t="shared" si="10"/>
        <v>22353.942197083983</v>
      </c>
      <c r="Y14" s="30">
        <f t="shared" si="11"/>
        <v>0</v>
      </c>
    </row>
    <row r="15" spans="1:31" x14ac:dyDescent="0.3">
      <c r="A15" s="29" t="s">
        <v>208</v>
      </c>
      <c r="B15" s="29" t="s">
        <v>162</v>
      </c>
      <c r="C15" s="32">
        <v>1</v>
      </c>
      <c r="D15" s="32">
        <v>1</v>
      </c>
      <c r="E15" s="32" t="s">
        <v>213</v>
      </c>
      <c r="F15" s="32" t="s">
        <v>20</v>
      </c>
      <c r="G15" s="29">
        <f>VLOOKUP(F15,Ventas!C:H,4,0)</f>
        <v>237829</v>
      </c>
      <c r="H15" s="29">
        <f>IFERROR(VLOOKUP(A15,Modelos[],18,0),0)*G15/C15</f>
        <v>0</v>
      </c>
      <c r="I15" s="41">
        <f t="shared" si="3"/>
        <v>237829</v>
      </c>
      <c r="J15" s="29">
        <f t="shared" si="0"/>
        <v>83240.149999999994</v>
      </c>
      <c r="K15" s="29">
        <f t="shared" si="4"/>
        <v>154588.85</v>
      </c>
      <c r="L15" s="29">
        <f>Sup!$A$2*D15</f>
        <v>6775.4474283854179</v>
      </c>
      <c r="M15" s="29">
        <f>IFERROR(VLOOKUP(A15,Modelos[],IF(B15="EST",15,14),0),0)/C15</f>
        <v>0</v>
      </c>
      <c r="N15" s="29">
        <f t="shared" si="1"/>
        <v>10300.680871937686</v>
      </c>
      <c r="O15" s="29">
        <f t="shared" si="1"/>
        <v>2002.910169543439</v>
      </c>
      <c r="P15" s="29">
        <f t="shared" si="1"/>
        <v>10300.680871937686</v>
      </c>
      <c r="Q15" s="29">
        <f t="shared" si="1"/>
        <v>14306.501211024564</v>
      </c>
      <c r="R15" s="29">
        <f t="shared" si="5"/>
        <v>61835.540000000008</v>
      </c>
      <c r="S15" s="29">
        <f t="shared" si="6"/>
        <v>9275.3310000000001</v>
      </c>
      <c r="T15" s="29">
        <f t="shared" si="7"/>
        <v>25833.333333333332</v>
      </c>
      <c r="U15" s="29">
        <f t="shared" si="8"/>
        <v>13958.425113837846</v>
      </c>
      <c r="V15" s="29">
        <f t="shared" si="2"/>
        <v>16430.098012889215</v>
      </c>
      <c r="W15" s="29">
        <f t="shared" si="9"/>
        <v>-2471.672899051322</v>
      </c>
      <c r="X15" s="29">
        <f t="shared" si="10"/>
        <v>-2471.6728990513693</v>
      </c>
      <c r="Y15" s="29">
        <f t="shared" si="11"/>
        <v>0</v>
      </c>
    </row>
    <row r="16" spans="1:31" x14ac:dyDescent="0.3">
      <c r="A16" s="30" t="s">
        <v>208</v>
      </c>
      <c r="B16" s="30" t="s">
        <v>162</v>
      </c>
      <c r="C16" s="33">
        <v>1</v>
      </c>
      <c r="D16" s="33">
        <v>1</v>
      </c>
      <c r="E16" s="33" t="s">
        <v>213</v>
      </c>
      <c r="F16" s="33" t="s">
        <v>22</v>
      </c>
      <c r="G16" s="29">
        <f>VLOOKUP(F16,Ventas!C:H,4,0)</f>
        <v>246965</v>
      </c>
      <c r="H16" s="30">
        <f>IFERROR(VLOOKUP(A16,Modelos[],18,0),0)*G16/C16</f>
        <v>0</v>
      </c>
      <c r="I16" s="42">
        <f t="shared" si="3"/>
        <v>246965</v>
      </c>
      <c r="J16" s="30">
        <f t="shared" si="0"/>
        <v>86437.75</v>
      </c>
      <c r="K16" s="30">
        <f t="shared" si="4"/>
        <v>160527.25</v>
      </c>
      <c r="L16" s="30">
        <f>Sup!$A$2*D16</f>
        <v>6775.4474283854179</v>
      </c>
      <c r="M16" s="30">
        <f>IFERROR(VLOOKUP(A16,Modelos[],IF(B16="EST",15,14),0),0)/C16</f>
        <v>0</v>
      </c>
      <c r="N16" s="30">
        <f t="shared" si="1"/>
        <v>10696.372820547918</v>
      </c>
      <c r="O16" s="30">
        <f t="shared" si="1"/>
        <v>2079.8502706620952</v>
      </c>
      <c r="P16" s="30">
        <f t="shared" si="1"/>
        <v>10696.372820547918</v>
      </c>
      <c r="Q16" s="30">
        <f t="shared" si="1"/>
        <v>14856.07336187211</v>
      </c>
      <c r="R16" s="30">
        <f t="shared" si="5"/>
        <v>64210.9</v>
      </c>
      <c r="S16" s="30">
        <f t="shared" si="6"/>
        <v>9631.6350000000002</v>
      </c>
      <c r="T16" s="30">
        <f t="shared" si="7"/>
        <v>25833.333333333332</v>
      </c>
      <c r="U16" s="30">
        <f t="shared" si="8"/>
        <v>15747.264964651229</v>
      </c>
      <c r="V16" s="30">
        <f t="shared" si="2"/>
        <v>17061.246339820565</v>
      </c>
      <c r="W16" s="30">
        <f t="shared" si="9"/>
        <v>-1313.9813751693691</v>
      </c>
      <c r="X16" s="30">
        <f t="shared" si="10"/>
        <v>-1313.9813751693364</v>
      </c>
      <c r="Y16" s="30">
        <f t="shared" si="11"/>
        <v>0</v>
      </c>
    </row>
    <row r="17" spans="1:25" x14ac:dyDescent="0.3">
      <c r="A17" s="29" t="s">
        <v>208</v>
      </c>
      <c r="B17" s="29" t="s">
        <v>162</v>
      </c>
      <c r="C17" s="32">
        <v>1</v>
      </c>
      <c r="D17" s="32">
        <v>1</v>
      </c>
      <c r="E17" s="32" t="s">
        <v>213</v>
      </c>
      <c r="F17" s="32" t="s">
        <v>17</v>
      </c>
      <c r="G17" s="29">
        <f>VLOOKUP(F17,Ventas!C:H,4,0)</f>
        <v>228742</v>
      </c>
      <c r="H17" s="29">
        <f>IFERROR(VLOOKUP(A17,Modelos[],18,0),0)*G17/C17</f>
        <v>0</v>
      </c>
      <c r="I17" s="41">
        <f t="shared" si="3"/>
        <v>228742</v>
      </c>
      <c r="J17" s="29">
        <f t="shared" si="0"/>
        <v>80059.7</v>
      </c>
      <c r="K17" s="29">
        <f t="shared" si="4"/>
        <v>148682.29999999999</v>
      </c>
      <c r="L17" s="29">
        <f>Sup!$A$2*D17</f>
        <v>6775.4474283854179</v>
      </c>
      <c r="M17" s="29">
        <f>IFERROR(VLOOKUP(A17,Modelos[],IF(B17="EST",15,14),0),0)/C17</f>
        <v>0</v>
      </c>
      <c r="N17" s="29">
        <f t="shared" si="1"/>
        <v>9907.1111765544592</v>
      </c>
      <c r="O17" s="29">
        <f t="shared" si="1"/>
        <v>1926.382728774478</v>
      </c>
      <c r="P17" s="29">
        <f t="shared" si="1"/>
        <v>9907.1111765544592</v>
      </c>
      <c r="Q17" s="29">
        <f t="shared" si="1"/>
        <v>13759.876634103415</v>
      </c>
      <c r="R17" s="29">
        <f t="shared" si="5"/>
        <v>59472.92</v>
      </c>
      <c r="S17" s="29">
        <f t="shared" si="6"/>
        <v>8920.9380000000001</v>
      </c>
      <c r="T17" s="29">
        <f t="shared" si="7"/>
        <v>25833.333333333332</v>
      </c>
      <c r="U17" s="29">
        <f t="shared" si="8"/>
        <v>12179.179522294435</v>
      </c>
      <c r="V17" s="29">
        <f t="shared" si="2"/>
        <v>15802.334785347057</v>
      </c>
      <c r="W17" s="29">
        <f t="shared" si="9"/>
        <v>-3623.155263052633</v>
      </c>
      <c r="X17" s="29">
        <f t="shared" si="10"/>
        <v>-3623.1552630526221</v>
      </c>
      <c r="Y17" s="29">
        <f t="shared" si="11"/>
        <v>0</v>
      </c>
    </row>
    <row r="18" spans="1:25" x14ac:dyDescent="0.3">
      <c r="A18" s="30" t="s">
        <v>208</v>
      </c>
      <c r="B18" s="30" t="s">
        <v>162</v>
      </c>
      <c r="C18" s="33">
        <v>1</v>
      </c>
      <c r="D18" s="33">
        <v>1</v>
      </c>
      <c r="E18" s="33" t="s">
        <v>213</v>
      </c>
      <c r="F18" s="33" t="s">
        <v>11</v>
      </c>
      <c r="G18" s="29">
        <f>VLOOKUP(F18,Ventas!C:H,4,0)</f>
        <v>381420</v>
      </c>
      <c r="H18" s="30">
        <f>IFERROR(VLOOKUP(A18,Modelos[],18,0),0)*G18/C18</f>
        <v>0</v>
      </c>
      <c r="I18" s="42">
        <f t="shared" si="3"/>
        <v>381420</v>
      </c>
      <c r="J18" s="30">
        <f t="shared" si="0"/>
        <v>133497</v>
      </c>
      <c r="K18" s="30">
        <f t="shared" si="4"/>
        <v>247923</v>
      </c>
      <c r="L18" s="30">
        <f>Sup!$A$2*D18</f>
        <v>6775.4474283854179</v>
      </c>
      <c r="M18" s="30">
        <f>IFERROR(VLOOKUP(A18,Modelos[],IF(B18="EST",15,14),0),0)/C18</f>
        <v>0</v>
      </c>
      <c r="N18" s="30">
        <f t="shared" si="1"/>
        <v>16519.792364154382</v>
      </c>
      <c r="O18" s="30">
        <f t="shared" si="1"/>
        <v>3212.1818485855742</v>
      </c>
      <c r="P18" s="30">
        <f t="shared" si="1"/>
        <v>16519.792364154382</v>
      </c>
      <c r="Q18" s="30">
        <f t="shared" si="1"/>
        <v>22944.156061325531</v>
      </c>
      <c r="R18" s="30">
        <f t="shared" si="5"/>
        <v>99169.200000000012</v>
      </c>
      <c r="S18" s="30">
        <f t="shared" si="6"/>
        <v>14875.380000000001</v>
      </c>
      <c r="T18" s="30">
        <f t="shared" si="7"/>
        <v>25833.333333333332</v>
      </c>
      <c r="U18" s="30">
        <f t="shared" si="8"/>
        <v>42073.716600061365</v>
      </c>
      <c r="V18" s="30">
        <f t="shared" si="2"/>
        <v>26349.889980095806</v>
      </c>
      <c r="W18" s="30">
        <f t="shared" si="9"/>
        <v>15723.826619965545</v>
      </c>
      <c r="X18" s="30">
        <f t="shared" si="10"/>
        <v>15723.826619965559</v>
      </c>
      <c r="Y18" s="30">
        <f t="shared" si="11"/>
        <v>0</v>
      </c>
    </row>
    <row r="19" spans="1:25" x14ac:dyDescent="0.3">
      <c r="A19" s="29" t="s">
        <v>208</v>
      </c>
      <c r="B19" s="29" t="s">
        <v>162</v>
      </c>
      <c r="C19" s="32">
        <v>1</v>
      </c>
      <c r="D19" s="32">
        <v>1</v>
      </c>
      <c r="E19" s="32" t="s">
        <v>213</v>
      </c>
      <c r="F19" s="32" t="s">
        <v>21</v>
      </c>
      <c r="G19" s="29">
        <f>VLOOKUP(F19,Ventas!C:H,4,0)</f>
        <v>548105</v>
      </c>
      <c r="H19" s="29">
        <f>IFERROR(VLOOKUP(A19,Modelos[],18,0),0)*G19/C19</f>
        <v>0</v>
      </c>
      <c r="I19" s="41">
        <f t="shared" si="3"/>
        <v>548105</v>
      </c>
      <c r="J19" s="29">
        <f t="shared" si="0"/>
        <v>191836.75</v>
      </c>
      <c r="K19" s="29">
        <f t="shared" si="4"/>
        <v>356268.25</v>
      </c>
      <c r="L19" s="29">
        <f>Sup!$A$2*D19</f>
        <v>6775.4474283854179</v>
      </c>
      <c r="M19" s="29">
        <f>IFERROR(VLOOKUP(A19,Modelos[],IF(B19="EST",15,14),0),0)/C19</f>
        <v>0</v>
      </c>
      <c r="N19" s="29">
        <f t="shared" si="1"/>
        <v>23739.134795644793</v>
      </c>
      <c r="O19" s="29">
        <f t="shared" si="1"/>
        <v>4615.9428769309316</v>
      </c>
      <c r="P19" s="29">
        <f t="shared" si="1"/>
        <v>23739.134795644793</v>
      </c>
      <c r="Q19" s="29">
        <f t="shared" si="1"/>
        <v>32971.020549506655</v>
      </c>
      <c r="R19" s="29">
        <f t="shared" si="5"/>
        <v>142507.30000000002</v>
      </c>
      <c r="S19" s="29">
        <f t="shared" si="6"/>
        <v>21376.095000000001</v>
      </c>
      <c r="T19" s="29">
        <f t="shared" si="7"/>
        <v>25833.333333333332</v>
      </c>
      <c r="U19" s="29">
        <f t="shared" si="8"/>
        <v>74710.841220554081</v>
      </c>
      <c r="V19" s="29">
        <f t="shared" si="2"/>
        <v>37865.100014525742</v>
      </c>
      <c r="W19" s="29">
        <f t="shared" si="9"/>
        <v>36845.741206028324</v>
      </c>
      <c r="X19" s="29">
        <f t="shared" si="10"/>
        <v>36845.741206028339</v>
      </c>
      <c r="Y19" s="29">
        <f t="shared" si="11"/>
        <v>0</v>
      </c>
    </row>
    <row r="20" spans="1:25" x14ac:dyDescent="0.3">
      <c r="A20" s="30" t="s">
        <v>211</v>
      </c>
      <c r="B20" s="30" t="s">
        <v>162</v>
      </c>
      <c r="C20" s="33">
        <v>1</v>
      </c>
      <c r="D20" s="33">
        <v>1</v>
      </c>
      <c r="E20" s="33" t="s">
        <v>213</v>
      </c>
      <c r="F20" s="33" t="s">
        <v>12</v>
      </c>
      <c r="G20" s="29">
        <f>VLOOKUP(F20,Ventas!C:H,4,0)</f>
        <v>159114</v>
      </c>
      <c r="H20" s="30">
        <f>IFERROR(VLOOKUP(A20,Modelos[],18,0),0)*G20/C20</f>
        <v>0</v>
      </c>
      <c r="I20" s="42">
        <f t="shared" si="3"/>
        <v>159114</v>
      </c>
      <c r="J20" s="30">
        <f t="shared" si="0"/>
        <v>55689.899999999994</v>
      </c>
      <c r="K20" s="30">
        <f t="shared" si="4"/>
        <v>103424.1</v>
      </c>
      <c r="L20" s="30">
        <f>Sup!$A$2*D20</f>
        <v>6775.4474283854179</v>
      </c>
      <c r="M20" s="30">
        <f>IFERROR(VLOOKUP(A20,Modelos[],IF(B20="EST",15,14),0),0)/C20</f>
        <v>0</v>
      </c>
      <c r="N20" s="30">
        <f t="shared" si="1"/>
        <v>6891.4326522732426</v>
      </c>
      <c r="O20" s="30">
        <f t="shared" si="1"/>
        <v>1340.0007934975749</v>
      </c>
      <c r="P20" s="30">
        <f t="shared" si="1"/>
        <v>6891.4326522732426</v>
      </c>
      <c r="Q20" s="30">
        <f t="shared" si="1"/>
        <v>9571.434239268392</v>
      </c>
      <c r="R20" s="30">
        <f t="shared" si="5"/>
        <v>41369.640000000007</v>
      </c>
      <c r="S20" s="30">
        <f t="shared" si="6"/>
        <v>6205.4460000000008</v>
      </c>
      <c r="T20" s="30">
        <f t="shared" si="7"/>
        <v>25833.333333333332</v>
      </c>
      <c r="U20" s="30">
        <f t="shared" si="8"/>
        <v>-1454.0670990311919</v>
      </c>
      <c r="V20" s="30">
        <f t="shared" si="2"/>
        <v>10992.177636969649</v>
      </c>
      <c r="W20" s="30">
        <f t="shared" si="9"/>
        <v>-12446.244736000855</v>
      </c>
      <c r="X20" s="30">
        <f t="shared" si="10"/>
        <v>-12446.244736000841</v>
      </c>
      <c r="Y20" s="30">
        <f t="shared" si="11"/>
        <v>0</v>
      </c>
    </row>
    <row r="21" spans="1:25" x14ac:dyDescent="0.3">
      <c r="A21" s="29" t="s">
        <v>208</v>
      </c>
      <c r="B21" s="29" t="s">
        <v>162</v>
      </c>
      <c r="C21" s="32">
        <v>1</v>
      </c>
      <c r="D21" s="32">
        <v>1</v>
      </c>
      <c r="E21" s="32" t="s">
        <v>213</v>
      </c>
      <c r="F21" s="32" t="s">
        <v>6</v>
      </c>
      <c r="G21" s="29">
        <f>VLOOKUP(F21,Ventas!C:H,4,0)</f>
        <v>428577</v>
      </c>
      <c r="H21" s="29">
        <f>IFERROR(VLOOKUP(A21,Modelos[],18,0),0)*G21/C21</f>
        <v>0</v>
      </c>
      <c r="I21" s="41">
        <f t="shared" si="3"/>
        <v>428577</v>
      </c>
      <c r="J21" s="29">
        <f t="shared" si="0"/>
        <v>150001.94999999998</v>
      </c>
      <c r="K21" s="29">
        <f t="shared" si="4"/>
        <v>278575.05000000005</v>
      </c>
      <c r="L21" s="29">
        <f>Sup!$A$2*D21</f>
        <v>6775.4474283854179</v>
      </c>
      <c r="M21" s="29">
        <f>IFERROR(VLOOKUP(A21,Modelos[],IF(B21="EST",15,14),0),0)/C21</f>
        <v>0</v>
      </c>
      <c r="N21" s="29">
        <f t="shared" si="1"/>
        <v>18562.222883048064</v>
      </c>
      <c r="O21" s="29">
        <f t="shared" si="1"/>
        <v>3609.3211161482345</v>
      </c>
      <c r="P21" s="29">
        <f t="shared" si="1"/>
        <v>18562.222883048064</v>
      </c>
      <c r="Q21" s="29">
        <f t="shared" si="1"/>
        <v>25780.865115344535</v>
      </c>
      <c r="R21" s="29">
        <f t="shared" si="5"/>
        <v>111430.02000000002</v>
      </c>
      <c r="S21" s="29">
        <f t="shared" si="6"/>
        <v>16714.503000000001</v>
      </c>
      <c r="T21" s="29">
        <f t="shared" si="7"/>
        <v>25833.333333333332</v>
      </c>
      <c r="U21" s="29">
        <f t="shared" si="8"/>
        <v>51307.114240692375</v>
      </c>
      <c r="V21" s="29">
        <f t="shared" si="2"/>
        <v>29607.668182055266</v>
      </c>
      <c r="W21" s="29">
        <f t="shared" si="9"/>
        <v>21699.446058637124</v>
      </c>
      <c r="X21" s="29">
        <f t="shared" si="10"/>
        <v>21699.44605863711</v>
      </c>
      <c r="Y21" s="29">
        <f t="shared" si="11"/>
        <v>0</v>
      </c>
    </row>
    <row r="22" spans="1:25" x14ac:dyDescent="0.3">
      <c r="A22" s="30" t="s">
        <v>208</v>
      </c>
      <c r="B22" s="30" t="s">
        <v>162</v>
      </c>
      <c r="C22" s="33">
        <v>1</v>
      </c>
      <c r="D22" s="33">
        <v>1</v>
      </c>
      <c r="E22" s="33" t="s">
        <v>213</v>
      </c>
      <c r="F22" s="33" t="s">
        <v>13</v>
      </c>
      <c r="G22" s="29">
        <f>VLOOKUP(F22,Ventas!C:H,4,0)</f>
        <v>294384</v>
      </c>
      <c r="H22" s="30">
        <f>IFERROR(VLOOKUP(A22,Modelos[],18,0),0)*G22/C22</f>
        <v>0</v>
      </c>
      <c r="I22" s="42">
        <f t="shared" si="3"/>
        <v>294384</v>
      </c>
      <c r="J22" s="30">
        <f t="shared" si="0"/>
        <v>103034.4</v>
      </c>
      <c r="K22" s="30">
        <f t="shared" si="4"/>
        <v>191349.6</v>
      </c>
      <c r="L22" s="30">
        <f>Sup!$A$2*D22</f>
        <v>6775.4474283854179</v>
      </c>
      <c r="M22" s="30">
        <f>IFERROR(VLOOKUP(A22,Modelos[],IF(B22="EST",15,14),0),0)/C22</f>
        <v>0</v>
      </c>
      <c r="N22" s="30">
        <f t="shared" si="1"/>
        <v>12750.150897512514</v>
      </c>
      <c r="O22" s="30">
        <f t="shared" si="1"/>
        <v>2479.1960078496554</v>
      </c>
      <c r="P22" s="30">
        <f t="shared" si="1"/>
        <v>12750.150897512514</v>
      </c>
      <c r="Q22" s="30">
        <f t="shared" si="1"/>
        <v>17708.542913211826</v>
      </c>
      <c r="R22" s="30">
        <f t="shared" si="5"/>
        <v>76539.840000000011</v>
      </c>
      <c r="S22" s="30">
        <f t="shared" si="6"/>
        <v>11480.976000000001</v>
      </c>
      <c r="T22" s="30">
        <f t="shared" si="7"/>
        <v>25833.333333333332</v>
      </c>
      <c r="U22" s="30">
        <f t="shared" si="8"/>
        <v>25031.962522194721</v>
      </c>
      <c r="V22" s="30">
        <f t="shared" si="2"/>
        <v>20337.124460963041</v>
      </c>
      <c r="W22" s="30">
        <f t="shared" si="9"/>
        <v>4694.8380612317269</v>
      </c>
      <c r="X22" s="30">
        <f t="shared" si="10"/>
        <v>4694.8380612316796</v>
      </c>
      <c r="Y22" s="30">
        <f t="shared" si="11"/>
        <v>0</v>
      </c>
    </row>
    <row r="23" spans="1:25" x14ac:dyDescent="0.3">
      <c r="A23" s="29"/>
      <c r="B23" s="29"/>
      <c r="C23" s="32">
        <v>1</v>
      </c>
      <c r="D23" s="32">
        <v>1</v>
      </c>
      <c r="E23" s="32" t="s">
        <v>213</v>
      </c>
      <c r="F23" s="32" t="s">
        <v>28</v>
      </c>
      <c r="G23" s="29">
        <f>VLOOKUP(F23,Ventas!C:H,4,0)</f>
        <v>220639</v>
      </c>
      <c r="H23" s="29">
        <f>IFERROR(VLOOKUP(A23,Modelos[],18,0),0)*G23/C23</f>
        <v>0</v>
      </c>
      <c r="I23" s="41">
        <f t="shared" si="3"/>
        <v>220639</v>
      </c>
      <c r="J23" s="29">
        <f t="shared" si="0"/>
        <v>77223.649999999994</v>
      </c>
      <c r="K23" s="29">
        <f t="shared" si="4"/>
        <v>143415.35</v>
      </c>
      <c r="L23" s="29">
        <f>Sup!$A$2*D23</f>
        <v>6775.4474283854179</v>
      </c>
      <c r="M23" s="29">
        <f>IFERROR(VLOOKUP(A23,Modelos[],IF(B23="EST",15,14),0),0)/C23</f>
        <v>0</v>
      </c>
      <c r="N23" s="29">
        <f t="shared" si="1"/>
        <v>9556.1597908726817</v>
      </c>
      <c r="O23" s="29">
        <f t="shared" si="1"/>
        <v>1858.142181558577</v>
      </c>
      <c r="P23" s="29">
        <f t="shared" si="1"/>
        <v>9556.1597908726817</v>
      </c>
      <c r="Q23" s="29">
        <f t="shared" si="1"/>
        <v>13272.444153989836</v>
      </c>
      <c r="R23" s="29">
        <f t="shared" si="5"/>
        <v>57366.140000000007</v>
      </c>
      <c r="S23" s="29">
        <f t="shared" si="6"/>
        <v>8604.9210000000003</v>
      </c>
      <c r="T23" s="29">
        <f t="shared" si="7"/>
        <v>25833.333333333332</v>
      </c>
      <c r="U23" s="29">
        <f t="shared" si="8"/>
        <v>10592.602320987469</v>
      </c>
      <c r="V23" s="29">
        <f t="shared" si="2"/>
        <v>15242.549880232704</v>
      </c>
      <c r="W23" s="29">
        <f t="shared" si="9"/>
        <v>-4649.9475592452309</v>
      </c>
      <c r="X23" s="29">
        <f t="shared" si="10"/>
        <v>-4649.9475592452345</v>
      </c>
      <c r="Y23" s="29">
        <f t="shared" si="11"/>
        <v>0</v>
      </c>
    </row>
    <row r="24" spans="1:25" x14ac:dyDescent="0.3">
      <c r="A24" s="30"/>
      <c r="B24" s="30"/>
      <c r="C24" s="33">
        <v>1</v>
      </c>
      <c r="D24" s="33">
        <v>1</v>
      </c>
      <c r="E24" s="33" t="s">
        <v>213</v>
      </c>
      <c r="F24" s="33" t="s">
        <v>14</v>
      </c>
      <c r="G24" s="29">
        <f>VLOOKUP(F24,Ventas!C:H,4,0)</f>
        <v>189052</v>
      </c>
      <c r="H24" s="30">
        <f>IFERROR(VLOOKUP(A24,Modelos[],18,0),0)*G24/C24</f>
        <v>0</v>
      </c>
      <c r="I24" s="42">
        <f t="shared" si="3"/>
        <v>189052</v>
      </c>
      <c r="J24" s="30">
        <f t="shared" si="0"/>
        <v>66168.2</v>
      </c>
      <c r="K24" s="30">
        <f t="shared" si="4"/>
        <v>122883.8</v>
      </c>
      <c r="L24" s="30">
        <f>Sup!$A$2*D24</f>
        <v>6775.4474283854179</v>
      </c>
      <c r="M24" s="30">
        <f>IFERROR(VLOOKUP(A24,Modelos[],IF(B24="EST",15,14),0),0)/C24</f>
        <v>0</v>
      </c>
      <c r="N24" s="30">
        <f t="shared" si="1"/>
        <v>8188.0860626818567</v>
      </c>
      <c r="O24" s="30">
        <f t="shared" si="1"/>
        <v>1592.1278455214722</v>
      </c>
      <c r="P24" s="30">
        <f t="shared" si="1"/>
        <v>8188.0860626818567</v>
      </c>
      <c r="Q24" s="30">
        <f t="shared" si="1"/>
        <v>11372.341753724802</v>
      </c>
      <c r="R24" s="30">
        <f t="shared" si="5"/>
        <v>49153.520000000004</v>
      </c>
      <c r="S24" s="30">
        <f t="shared" si="6"/>
        <v>7373.0280000000002</v>
      </c>
      <c r="T24" s="30">
        <f t="shared" si="7"/>
        <v>25833.333333333332</v>
      </c>
      <c r="U24" s="30">
        <f t="shared" si="8"/>
        <v>4407.829513671255</v>
      </c>
      <c r="V24" s="30">
        <f t="shared" si="2"/>
        <v>13060.404280103485</v>
      </c>
      <c r="W24" s="30">
        <f t="shared" si="9"/>
        <v>-8652.5747664322407</v>
      </c>
      <c r="X24" s="30">
        <f t="shared" si="10"/>
        <v>-8652.5747664322298</v>
      </c>
      <c r="Y24" s="30">
        <f t="shared" si="11"/>
        <v>0</v>
      </c>
    </row>
    <row r="25" spans="1:25" x14ac:dyDescent="0.3">
      <c r="A25" s="29"/>
      <c r="B25" s="29"/>
      <c r="C25" s="32">
        <v>1</v>
      </c>
      <c r="D25" s="32">
        <v>1</v>
      </c>
      <c r="E25" s="32" t="s">
        <v>213</v>
      </c>
      <c r="F25" s="32" t="s">
        <v>19</v>
      </c>
      <c r="G25" s="29">
        <f>VLOOKUP(F25,Ventas!C:H,4,0)</f>
        <v>339700</v>
      </c>
      <c r="H25" s="29">
        <f>IFERROR(VLOOKUP(A25,Modelos[],18,0),0)*G25/C25</f>
        <v>0</v>
      </c>
      <c r="I25" s="41">
        <f t="shared" si="3"/>
        <v>339700</v>
      </c>
      <c r="J25" s="29">
        <f t="shared" si="0"/>
        <v>118894.99999999999</v>
      </c>
      <c r="K25" s="29">
        <f t="shared" si="4"/>
        <v>220805</v>
      </c>
      <c r="L25" s="29">
        <f>Sup!$A$2*D25</f>
        <v>6775.4474283854179</v>
      </c>
      <c r="M25" s="29">
        <f>IFERROR(VLOOKUP(A25,Modelos[],IF(B25="EST",15,14),0),0)/C25</f>
        <v>0</v>
      </c>
      <c r="N25" s="29">
        <f t="shared" ref="N25:Q43" si="12">IF($G25&lt;0,0,IFERROR((N$2*$P$1)*($G25/SUM($G$5:$G$43)),0))</f>
        <v>14712.845330877361</v>
      </c>
      <c r="O25" s="29">
        <f t="shared" si="12"/>
        <v>2860.8310365594866</v>
      </c>
      <c r="P25" s="29">
        <f t="shared" si="12"/>
        <v>14712.845330877361</v>
      </c>
      <c r="Q25" s="29">
        <f t="shared" si="12"/>
        <v>20434.507403996337</v>
      </c>
      <c r="R25" s="29">
        <f t="shared" si="5"/>
        <v>88322</v>
      </c>
      <c r="S25" s="29">
        <f t="shared" si="6"/>
        <v>13248.3</v>
      </c>
      <c r="T25" s="29">
        <f t="shared" si="7"/>
        <v>25833.333333333332</v>
      </c>
      <c r="U25" s="29">
        <f t="shared" si="8"/>
        <v>33904.890135970694</v>
      </c>
      <c r="V25" s="29">
        <f t="shared" si="2"/>
        <v>23467.719643014378</v>
      </c>
      <c r="W25" s="29">
        <f t="shared" si="9"/>
        <v>10437.170492956346</v>
      </c>
      <c r="X25" s="29">
        <f t="shared" si="10"/>
        <v>10437.170492956317</v>
      </c>
      <c r="Y25" s="29">
        <f t="shared" si="11"/>
        <v>0</v>
      </c>
    </row>
    <row r="26" spans="1:25" x14ac:dyDescent="0.3">
      <c r="A26" s="30"/>
      <c r="B26" s="30"/>
      <c r="C26" s="33">
        <v>1</v>
      </c>
      <c r="D26" s="33">
        <v>1</v>
      </c>
      <c r="E26" s="33" t="s">
        <v>213</v>
      </c>
      <c r="F26" s="33" t="s">
        <v>24</v>
      </c>
      <c r="G26" s="29">
        <f>VLOOKUP(F26,Ventas!C:H,4,0)</f>
        <v>161471</v>
      </c>
      <c r="H26" s="30">
        <f>IFERROR(VLOOKUP(A26,Modelos[],18,0),0)*G26/C26</f>
        <v>0</v>
      </c>
      <c r="I26" s="42">
        <f t="shared" si="3"/>
        <v>161471</v>
      </c>
      <c r="J26" s="30">
        <f t="shared" si="0"/>
        <v>56514.85</v>
      </c>
      <c r="K26" s="30">
        <f t="shared" si="4"/>
        <v>104956.15</v>
      </c>
      <c r="L26" s="30">
        <f>Sup!$A$2*D26</f>
        <v>6775.4474283854179</v>
      </c>
      <c r="M26" s="30">
        <f>IFERROR(VLOOKUP(A26,Modelos[],IF(B26="EST",15,14),0),0)/C26</f>
        <v>0</v>
      </c>
      <c r="N26" s="30">
        <f t="shared" si="12"/>
        <v>6993.5173636211321</v>
      </c>
      <c r="O26" s="30">
        <f t="shared" si="12"/>
        <v>1359.8505984818867</v>
      </c>
      <c r="P26" s="30">
        <f t="shared" si="12"/>
        <v>6993.5173636211321</v>
      </c>
      <c r="Q26" s="30">
        <f t="shared" si="12"/>
        <v>9713.2185605849063</v>
      </c>
      <c r="R26" s="30">
        <f t="shared" si="5"/>
        <v>41982.46</v>
      </c>
      <c r="S26" s="30">
        <f t="shared" si="6"/>
        <v>6297.3689999999997</v>
      </c>
      <c r="T26" s="30">
        <f t="shared" si="7"/>
        <v>25833.333333333332</v>
      </c>
      <c r="U26" s="30">
        <f t="shared" si="8"/>
        <v>-992.563648027819</v>
      </c>
      <c r="V26" s="30">
        <f t="shared" si="2"/>
        <v>11155.007825955769</v>
      </c>
      <c r="W26" s="30">
        <f t="shared" si="9"/>
        <v>-12147.571473983577</v>
      </c>
      <c r="X26" s="30">
        <f t="shared" si="10"/>
        <v>-12147.571473983588</v>
      </c>
      <c r="Y26" s="30">
        <f t="shared" si="11"/>
        <v>0</v>
      </c>
    </row>
    <row r="27" spans="1:25" x14ac:dyDescent="0.3">
      <c r="A27" s="29"/>
      <c r="B27" s="29"/>
      <c r="C27" s="32">
        <v>1</v>
      </c>
      <c r="D27" s="32">
        <v>1</v>
      </c>
      <c r="E27" s="32" t="s">
        <v>213</v>
      </c>
      <c r="F27" s="32" t="s">
        <v>23</v>
      </c>
      <c r="G27" s="29">
        <f>VLOOKUP(F27,Ventas!C:H,4,0)</f>
        <v>222874</v>
      </c>
      <c r="H27" s="29">
        <f>IFERROR(VLOOKUP(A27,Modelos[],18,0),0)*G27/C27</f>
        <v>0</v>
      </c>
      <c r="I27" s="41">
        <f t="shared" si="3"/>
        <v>222874</v>
      </c>
      <c r="J27" s="29">
        <f t="shared" si="0"/>
        <v>78005.899999999994</v>
      </c>
      <c r="K27" s="29">
        <f t="shared" si="4"/>
        <v>144868.1</v>
      </c>
      <c r="L27" s="29">
        <f>Sup!$A$2*D27</f>
        <v>6775.4474283854179</v>
      </c>
      <c r="M27" s="29">
        <f>IFERROR(VLOOKUP(A27,Modelos[],IF(B27="EST",15,14),0),0)/C27</f>
        <v>0</v>
      </c>
      <c r="N27" s="29">
        <f t="shared" si="12"/>
        <v>9652.9605247982363</v>
      </c>
      <c r="O27" s="29">
        <f t="shared" si="12"/>
        <v>1876.9645464885459</v>
      </c>
      <c r="P27" s="29">
        <f t="shared" si="12"/>
        <v>9652.9605247982363</v>
      </c>
      <c r="Q27" s="29">
        <f t="shared" si="12"/>
        <v>13406.88961777533</v>
      </c>
      <c r="R27" s="29">
        <f t="shared" si="5"/>
        <v>57947.240000000005</v>
      </c>
      <c r="S27" s="29">
        <f t="shared" si="6"/>
        <v>8692.0860000000011</v>
      </c>
      <c r="T27" s="29">
        <f t="shared" si="7"/>
        <v>25833.333333333332</v>
      </c>
      <c r="U27" s="29">
        <f t="shared" si="8"/>
        <v>11030.218024420901</v>
      </c>
      <c r="V27" s="29">
        <f t="shared" si="2"/>
        <v>15396.95186257635</v>
      </c>
      <c r="W27" s="29">
        <f t="shared" si="9"/>
        <v>-4366.7338381554455</v>
      </c>
      <c r="X27" s="29">
        <f t="shared" si="10"/>
        <v>-4366.7338381554491</v>
      </c>
      <c r="Y27" s="29">
        <f t="shared" si="11"/>
        <v>0</v>
      </c>
    </row>
    <row r="28" spans="1:25" x14ac:dyDescent="0.3">
      <c r="A28" s="30"/>
      <c r="B28" s="30"/>
      <c r="C28" s="33">
        <v>1</v>
      </c>
      <c r="D28" s="33">
        <v>1</v>
      </c>
      <c r="E28" s="33" t="s">
        <v>213</v>
      </c>
      <c r="F28" s="33" t="s">
        <v>15</v>
      </c>
      <c r="G28" s="29">
        <f>VLOOKUP(F28,Ventas!C:H,4,0)</f>
        <v>172710</v>
      </c>
      <c r="H28" s="30">
        <f>IFERROR(VLOOKUP(A28,Modelos[],18,0),0)*G28/C28</f>
        <v>0</v>
      </c>
      <c r="I28" s="42">
        <f t="shared" si="3"/>
        <v>172710</v>
      </c>
      <c r="J28" s="30">
        <f t="shared" si="0"/>
        <v>60448.499999999993</v>
      </c>
      <c r="K28" s="30">
        <f t="shared" si="4"/>
        <v>112261.5</v>
      </c>
      <c r="L28" s="30">
        <f>Sup!$A$2*D28</f>
        <v>6775.4474283854179</v>
      </c>
      <c r="M28" s="30">
        <f>IFERROR(VLOOKUP(A28,Modelos[],IF(B28="EST",15,14),0),0)/C28</f>
        <v>0</v>
      </c>
      <c r="N28" s="30">
        <f t="shared" si="12"/>
        <v>7480.2929558311125</v>
      </c>
      <c r="O28" s="30">
        <f t="shared" si="12"/>
        <v>1454.5014080782719</v>
      </c>
      <c r="P28" s="30">
        <f t="shared" si="12"/>
        <v>7480.2929558311125</v>
      </c>
      <c r="Q28" s="30">
        <f t="shared" si="12"/>
        <v>10389.295771987656</v>
      </c>
      <c r="R28" s="30">
        <f t="shared" si="5"/>
        <v>44904.600000000006</v>
      </c>
      <c r="S28" s="30">
        <f t="shared" si="6"/>
        <v>6735.6900000000005</v>
      </c>
      <c r="T28" s="30">
        <f t="shared" si="7"/>
        <v>25833.333333333332</v>
      </c>
      <c r="U28" s="30">
        <f t="shared" si="8"/>
        <v>1208.0461465530971</v>
      </c>
      <c r="V28" s="30">
        <f t="shared" si="2"/>
        <v>11931.439091978255</v>
      </c>
      <c r="W28" s="30">
        <f t="shared" si="9"/>
        <v>-10723.392945425176</v>
      </c>
      <c r="X28" s="30">
        <f t="shared" si="10"/>
        <v>-10723.392945425157</v>
      </c>
      <c r="Y28" s="30">
        <f t="shared" si="11"/>
        <v>0</v>
      </c>
    </row>
    <row r="29" spans="1:25" x14ac:dyDescent="0.3">
      <c r="A29" s="29"/>
      <c r="B29" s="29"/>
      <c r="C29" s="32">
        <v>1</v>
      </c>
      <c r="D29" s="32">
        <v>1</v>
      </c>
      <c r="E29" s="32" t="s">
        <v>213</v>
      </c>
      <c r="F29" s="32" t="s">
        <v>32</v>
      </c>
      <c r="G29" s="29">
        <f>VLOOKUP(F29,Ventas!C:H,4,0)</f>
        <v>60200</v>
      </c>
      <c r="H29" s="29">
        <f>IFERROR(VLOOKUP(A29,Modelos[],18,0),0)*G29/C29</f>
        <v>0</v>
      </c>
      <c r="I29" s="41">
        <f t="shared" si="3"/>
        <v>60200</v>
      </c>
      <c r="J29" s="29">
        <f t="shared" si="0"/>
        <v>21070</v>
      </c>
      <c r="K29" s="29">
        <f t="shared" si="4"/>
        <v>39130</v>
      </c>
      <c r="L29" s="29">
        <f>Sup!$A$2*D29</f>
        <v>6775.4474283854179</v>
      </c>
      <c r="M29" s="29">
        <f>IFERROR(VLOOKUP(A29,Modelos[],IF(B29="EST",15,14),0),0)/C29</f>
        <v>0</v>
      </c>
      <c r="N29" s="29">
        <f t="shared" si="12"/>
        <v>2607.3396788896589</v>
      </c>
      <c r="O29" s="29">
        <f t="shared" si="12"/>
        <v>506.9827153396559</v>
      </c>
      <c r="P29" s="29">
        <f t="shared" si="12"/>
        <v>2607.3396788896589</v>
      </c>
      <c r="Q29" s="29">
        <f t="shared" si="12"/>
        <v>3621.3051095689707</v>
      </c>
      <c r="R29" s="29">
        <f t="shared" si="5"/>
        <v>15652</v>
      </c>
      <c r="S29" s="29">
        <f t="shared" si="6"/>
        <v>2347.7999999999997</v>
      </c>
      <c r="T29" s="29">
        <f t="shared" si="7"/>
        <v>25833.333333333332</v>
      </c>
      <c r="U29" s="29">
        <f t="shared" si="8"/>
        <v>-20821.547944406702</v>
      </c>
      <c r="V29" s="29">
        <f t="shared" si="2"/>
        <v>4158.8363924329278</v>
      </c>
      <c r="W29" s="29">
        <f t="shared" si="9"/>
        <v>-24980.384336839619</v>
      </c>
      <c r="X29" s="29">
        <f t="shared" si="10"/>
        <v>-24980.38433683963</v>
      </c>
      <c r="Y29" s="29">
        <f t="shared" si="11"/>
        <v>0</v>
      </c>
    </row>
    <row r="30" spans="1:25" x14ac:dyDescent="0.3">
      <c r="A30" s="30"/>
      <c r="B30" s="30"/>
      <c r="C30" s="33">
        <v>1</v>
      </c>
      <c r="D30" s="33">
        <v>1</v>
      </c>
      <c r="E30" s="33" t="s">
        <v>213</v>
      </c>
      <c r="F30" s="33" t="s">
        <v>26</v>
      </c>
      <c r="G30" s="29">
        <f>VLOOKUP(F30,Ventas!C:H,4,0)</f>
        <v>315029</v>
      </c>
      <c r="H30" s="30">
        <f>IFERROR(VLOOKUP(A30,Modelos[],18,0),0)*G30/C30</f>
        <v>0</v>
      </c>
      <c r="I30" s="42">
        <f t="shared" si="3"/>
        <v>315029</v>
      </c>
      <c r="J30" s="30">
        <f t="shared" si="0"/>
        <v>110260.15</v>
      </c>
      <c r="K30" s="30">
        <f t="shared" si="4"/>
        <v>204768.85</v>
      </c>
      <c r="L30" s="30">
        <f>Sup!$A$2*D30</f>
        <v>6775.4474283854179</v>
      </c>
      <c r="M30" s="30">
        <f>IFERROR(VLOOKUP(A30,Modelos[],IF(B30="EST",15,14),0),0)/C30</f>
        <v>0</v>
      </c>
      <c r="N30" s="30">
        <f t="shared" si="12"/>
        <v>13644.31248672642</v>
      </c>
      <c r="O30" s="30">
        <f t="shared" si="12"/>
        <v>2653.0607613079146</v>
      </c>
      <c r="P30" s="30">
        <f t="shared" si="12"/>
        <v>13644.31248672642</v>
      </c>
      <c r="Q30" s="30">
        <f t="shared" si="12"/>
        <v>18950.434009342251</v>
      </c>
      <c r="R30" s="30">
        <f t="shared" si="5"/>
        <v>81907.540000000008</v>
      </c>
      <c r="S30" s="30">
        <f t="shared" si="6"/>
        <v>12286.131000000001</v>
      </c>
      <c r="T30" s="30">
        <f t="shared" si="7"/>
        <v>25833.333333333332</v>
      </c>
      <c r="U30" s="30">
        <f t="shared" si="8"/>
        <v>29074.27849417823</v>
      </c>
      <c r="V30" s="30">
        <f t="shared" si="2"/>
        <v>21763.35664238792</v>
      </c>
      <c r="W30" s="30">
        <f t="shared" si="9"/>
        <v>7310.9218517903428</v>
      </c>
      <c r="X30" s="30">
        <f t="shared" si="10"/>
        <v>7310.92185179031</v>
      </c>
      <c r="Y30" s="30">
        <f t="shared" si="11"/>
        <v>0</v>
      </c>
    </row>
    <row r="31" spans="1:25" x14ac:dyDescent="0.3">
      <c r="A31" s="29"/>
      <c r="B31" s="29"/>
      <c r="C31" s="32">
        <v>1</v>
      </c>
      <c r="D31" s="32">
        <v>1</v>
      </c>
      <c r="E31" s="32" t="s">
        <v>213</v>
      </c>
      <c r="F31" s="32" t="s">
        <v>31</v>
      </c>
      <c r="G31" s="29">
        <f>VLOOKUP(F31,Ventas!C:H,4,0)</f>
        <v>251895</v>
      </c>
      <c r="H31" s="29">
        <f>IFERROR(VLOOKUP(A31,Modelos[],18,0),0)*G31/C31</f>
        <v>0</v>
      </c>
      <c r="I31" s="41">
        <f t="shared" si="3"/>
        <v>251895</v>
      </c>
      <c r="J31" s="29">
        <f t="shared" si="0"/>
        <v>88163.25</v>
      </c>
      <c r="K31" s="29">
        <f t="shared" si="4"/>
        <v>163731.75</v>
      </c>
      <c r="L31" s="29">
        <f>Sup!$A$2*D31</f>
        <v>6775.4474283854179</v>
      </c>
      <c r="M31" s="29">
        <f>IFERROR(VLOOKUP(A31,Modelos[],IF(B31="EST",15,14),0),0)/C31</f>
        <v>0</v>
      </c>
      <c r="N31" s="29">
        <f t="shared" si="12"/>
        <v>10909.897481958649</v>
      </c>
      <c r="O31" s="29">
        <f t="shared" si="12"/>
        <v>2121.3689548252928</v>
      </c>
      <c r="P31" s="29">
        <f t="shared" si="12"/>
        <v>10909.897481958649</v>
      </c>
      <c r="Q31" s="29">
        <f t="shared" si="12"/>
        <v>15152.635391609236</v>
      </c>
      <c r="R31" s="29">
        <f t="shared" si="5"/>
        <v>65492.700000000004</v>
      </c>
      <c r="S31" s="29">
        <f t="shared" si="6"/>
        <v>9823.9050000000007</v>
      </c>
      <c r="T31" s="29">
        <f t="shared" si="7"/>
        <v>25833.333333333332</v>
      </c>
      <c r="U31" s="29">
        <f t="shared" si="8"/>
        <v>16712.56492792943</v>
      </c>
      <c r="V31" s="29">
        <f t="shared" si="2"/>
        <v>17401.828788569641</v>
      </c>
      <c r="W31" s="29">
        <f t="shared" si="9"/>
        <v>-689.26386064020699</v>
      </c>
      <c r="X31" s="29">
        <f t="shared" si="10"/>
        <v>-689.26386064021062</v>
      </c>
      <c r="Y31" s="29">
        <f t="shared" si="11"/>
        <v>0</v>
      </c>
    </row>
    <row r="32" spans="1:25" x14ac:dyDescent="0.3">
      <c r="A32" s="30"/>
      <c r="B32" s="30"/>
      <c r="C32" s="33">
        <v>1</v>
      </c>
      <c r="D32" s="33">
        <v>1</v>
      </c>
      <c r="E32" s="33" t="s">
        <v>213</v>
      </c>
      <c r="F32" s="33" t="s">
        <v>29</v>
      </c>
      <c r="G32" s="29">
        <f>VLOOKUP(F32,Ventas!C:H,4,0)</f>
        <v>20622</v>
      </c>
      <c r="H32" s="30">
        <f>IFERROR(VLOOKUP(A32,Modelos[],18,0),0)*G32/C32</f>
        <v>0</v>
      </c>
      <c r="I32" s="42">
        <f t="shared" si="3"/>
        <v>20622</v>
      </c>
      <c r="J32" s="30">
        <f t="shared" si="0"/>
        <v>7217.7</v>
      </c>
      <c r="K32" s="30">
        <f t="shared" si="4"/>
        <v>13404.3</v>
      </c>
      <c r="L32" s="30">
        <f>Sup!$A$2*D32</f>
        <v>6775.4474283854179</v>
      </c>
      <c r="M32" s="30">
        <f>IFERROR(VLOOKUP(A32,Modelos[],IF(B32="EST",15,14),0),0)/C32</f>
        <v>0</v>
      </c>
      <c r="N32" s="30">
        <f t="shared" si="12"/>
        <v>893.16542953592273</v>
      </c>
      <c r="O32" s="30">
        <f t="shared" si="12"/>
        <v>173.67105574309608</v>
      </c>
      <c r="P32" s="30">
        <f t="shared" si="12"/>
        <v>893.16542953592273</v>
      </c>
      <c r="Q32" s="30">
        <f t="shared" si="12"/>
        <v>1240.507541022115</v>
      </c>
      <c r="R32" s="30">
        <f t="shared" si="5"/>
        <v>5361.72</v>
      </c>
      <c r="S32" s="30">
        <f t="shared" si="6"/>
        <v>804.25800000000004</v>
      </c>
      <c r="T32" s="30">
        <f t="shared" si="7"/>
        <v>25833.333333333332</v>
      </c>
      <c r="U32" s="30">
        <f t="shared" si="8"/>
        <v>-28570.968217555808</v>
      </c>
      <c r="V32" s="30">
        <f t="shared" si="2"/>
        <v>1424.6432572217914</v>
      </c>
      <c r="W32" s="30">
        <f t="shared" si="9"/>
        <v>-29995.611474777601</v>
      </c>
      <c r="X32" s="30">
        <f t="shared" si="10"/>
        <v>-29995.611474777601</v>
      </c>
      <c r="Y32" s="30">
        <f t="shared" si="11"/>
        <v>0</v>
      </c>
    </row>
    <row r="33" spans="1:25" x14ac:dyDescent="0.3">
      <c r="A33" s="29"/>
      <c r="B33" s="29"/>
      <c r="C33" s="32">
        <v>1</v>
      </c>
      <c r="D33" s="32">
        <v>1</v>
      </c>
      <c r="E33" s="32" t="s">
        <v>213</v>
      </c>
      <c r="F33" s="32" t="s">
        <v>27</v>
      </c>
      <c r="G33" s="29">
        <f>VLOOKUP(F33,Ventas!C:H,4,0)</f>
        <v>227648</v>
      </c>
      <c r="H33" s="29">
        <f>IFERROR(VLOOKUP(A33,Modelos[],18,0),0)*G33/C33</f>
        <v>0</v>
      </c>
      <c r="I33" s="41">
        <f t="shared" si="3"/>
        <v>227648</v>
      </c>
      <c r="J33" s="29">
        <f t="shared" si="0"/>
        <v>79676.799999999988</v>
      </c>
      <c r="K33" s="29">
        <f t="shared" si="4"/>
        <v>147971.20000000001</v>
      </c>
      <c r="L33" s="29">
        <f>Sup!$A$2*D33</f>
        <v>6775.4474283854179</v>
      </c>
      <c r="M33" s="29">
        <f>IFERROR(VLOOKUP(A33,Modelos[],IF(B33="EST",15,14),0),0)/C33</f>
        <v>0</v>
      </c>
      <c r="N33" s="29">
        <f t="shared" si="12"/>
        <v>9859.7286249148365</v>
      </c>
      <c r="O33" s="29">
        <f t="shared" si="12"/>
        <v>1917.1694548445514</v>
      </c>
      <c r="P33" s="29">
        <f t="shared" si="12"/>
        <v>9859.7286249148365</v>
      </c>
      <c r="Q33" s="29">
        <f t="shared" si="12"/>
        <v>13694.067534603939</v>
      </c>
      <c r="R33" s="29">
        <f t="shared" si="5"/>
        <v>59188.48000000001</v>
      </c>
      <c r="S33" s="29">
        <f t="shared" si="6"/>
        <v>8878.2720000000008</v>
      </c>
      <c r="T33" s="29">
        <f t="shared" si="7"/>
        <v>25833.333333333332</v>
      </c>
      <c r="U33" s="29">
        <f t="shared" si="8"/>
        <v>11964.972999003076</v>
      </c>
      <c r="V33" s="29">
        <f t="shared" si="2"/>
        <v>15726.757260208824</v>
      </c>
      <c r="W33" s="29">
        <f t="shared" si="9"/>
        <v>-3761.7842612057084</v>
      </c>
      <c r="X33" s="29">
        <f t="shared" si="10"/>
        <v>-3761.7842612057484</v>
      </c>
      <c r="Y33" s="29">
        <f t="shared" si="11"/>
        <v>0</v>
      </c>
    </row>
    <row r="34" spans="1:25" x14ac:dyDescent="0.3">
      <c r="A34" s="30"/>
      <c r="B34" s="30"/>
      <c r="C34" s="33">
        <v>1</v>
      </c>
      <c r="D34" s="33">
        <v>1</v>
      </c>
      <c r="E34" s="33" t="s">
        <v>213</v>
      </c>
      <c r="F34" s="33" t="s">
        <v>30</v>
      </c>
      <c r="G34" s="29">
        <f>VLOOKUP(F34,Ventas!C:H,4,0)</f>
        <v>104986</v>
      </c>
      <c r="H34" s="30">
        <f>IFERROR(VLOOKUP(A34,Modelos[],18,0),0)*G34/C34</f>
        <v>0</v>
      </c>
      <c r="I34" s="42">
        <f t="shared" si="3"/>
        <v>104986</v>
      </c>
      <c r="J34" s="30">
        <f t="shared" si="0"/>
        <v>36745.1</v>
      </c>
      <c r="K34" s="30">
        <f t="shared" si="4"/>
        <v>68240.899999999994</v>
      </c>
      <c r="L34" s="30">
        <f>Sup!$A$2*D34</f>
        <v>6775.4474283854179</v>
      </c>
      <c r="M34" s="30">
        <f>IFERROR(VLOOKUP(A34,Modelos[],IF(B34="EST",15,14),0),0)/C34</f>
        <v>0</v>
      </c>
      <c r="N34" s="30">
        <f t="shared" si="12"/>
        <v>4547.079128370593</v>
      </c>
      <c r="O34" s="30">
        <f t="shared" si="12"/>
        <v>884.15427496094867</v>
      </c>
      <c r="P34" s="30">
        <f t="shared" si="12"/>
        <v>4547.079128370593</v>
      </c>
      <c r="Q34" s="30">
        <f t="shared" si="12"/>
        <v>6315.3876782924908</v>
      </c>
      <c r="R34" s="30">
        <f t="shared" si="5"/>
        <v>27296.36</v>
      </c>
      <c r="S34" s="30">
        <f t="shared" si="6"/>
        <v>4094.4539999999997</v>
      </c>
      <c r="T34" s="30">
        <f t="shared" si="7"/>
        <v>25833.333333333332</v>
      </c>
      <c r="U34" s="30">
        <f t="shared" si="8"/>
        <v>-12052.39497171338</v>
      </c>
      <c r="V34" s="30">
        <f t="shared" si="2"/>
        <v>7252.817234152215</v>
      </c>
      <c r="W34" s="30">
        <f t="shared" si="9"/>
        <v>-19305.212205865602</v>
      </c>
      <c r="X34" s="30">
        <f t="shared" si="10"/>
        <v>-19305.212205865595</v>
      </c>
      <c r="Y34" s="30">
        <f t="shared" si="11"/>
        <v>0</v>
      </c>
    </row>
    <row r="35" spans="1:25" x14ac:dyDescent="0.3">
      <c r="A35" s="29"/>
      <c r="B35" s="29"/>
      <c r="C35" s="32">
        <v>1</v>
      </c>
      <c r="D35" s="32">
        <v>1</v>
      </c>
      <c r="E35" s="32" t="s">
        <v>213</v>
      </c>
      <c r="F35" s="32" t="s">
        <v>25</v>
      </c>
      <c r="G35" s="29">
        <f>VLOOKUP(F35,Ventas!C:H,4,0)</f>
        <v>92993</v>
      </c>
      <c r="H35" s="29">
        <f>IFERROR(VLOOKUP(A35,Modelos[],18,0),0)*G35/C35</f>
        <v>0</v>
      </c>
      <c r="I35" s="41">
        <f t="shared" si="3"/>
        <v>92993</v>
      </c>
      <c r="J35" s="29">
        <f t="shared" si="0"/>
        <v>32547.55</v>
      </c>
      <c r="K35" s="29">
        <f t="shared" si="4"/>
        <v>60445.45</v>
      </c>
      <c r="L35" s="29">
        <f>Sup!$A$2*D35</f>
        <v>6775.4474283854179</v>
      </c>
      <c r="M35" s="29">
        <f>IFERROR(VLOOKUP(A35,Modelos[],IF(B35="EST",15,14),0),0)/C35</f>
        <v>0</v>
      </c>
      <c r="N35" s="29">
        <f t="shared" si="12"/>
        <v>4027.6468232389711</v>
      </c>
      <c r="O35" s="29">
        <f t="shared" si="12"/>
        <v>783.15354896313329</v>
      </c>
      <c r="P35" s="29">
        <f t="shared" si="12"/>
        <v>4027.6468232389711</v>
      </c>
      <c r="Q35" s="29">
        <f t="shared" si="12"/>
        <v>5593.9539211652382</v>
      </c>
      <c r="R35" s="29">
        <f t="shared" si="5"/>
        <v>24178.18</v>
      </c>
      <c r="S35" s="29">
        <f t="shared" si="6"/>
        <v>3626.7269999999999</v>
      </c>
      <c r="T35" s="29">
        <f t="shared" si="7"/>
        <v>25833.333333333332</v>
      </c>
      <c r="U35" s="29">
        <f t="shared" si="8"/>
        <v>-14400.638878325059</v>
      </c>
      <c r="V35" s="29">
        <f t="shared" si="2"/>
        <v>6424.2968877328121</v>
      </c>
      <c r="W35" s="29">
        <f t="shared" si="9"/>
        <v>-20824.93576605789</v>
      </c>
      <c r="X35" s="29">
        <f t="shared" si="10"/>
        <v>-20824.935766057872</v>
      </c>
      <c r="Y35" s="29">
        <f t="shared" si="11"/>
        <v>0</v>
      </c>
    </row>
    <row r="36" spans="1:25" x14ac:dyDescent="0.3">
      <c r="A36" s="30"/>
      <c r="B36" s="30"/>
      <c r="C36" s="33">
        <v>1</v>
      </c>
      <c r="D36" s="33">
        <v>1</v>
      </c>
      <c r="E36" s="33" t="s">
        <v>213</v>
      </c>
      <c r="F36" s="33" t="s">
        <v>39</v>
      </c>
      <c r="G36" s="29">
        <f>VLOOKUP(F36,Ventas!C:H,4,0)</f>
        <v>8729</v>
      </c>
      <c r="H36" s="30">
        <f>IFERROR(VLOOKUP(A36,Modelos[],18,0),0)*G36/C36</f>
        <v>0</v>
      </c>
      <c r="I36" s="42">
        <f t="shared" si="3"/>
        <v>8729</v>
      </c>
      <c r="J36" s="30">
        <f t="shared" si="0"/>
        <v>3055.1499999999996</v>
      </c>
      <c r="K36" s="30">
        <f t="shared" si="4"/>
        <v>5673.85</v>
      </c>
      <c r="L36" s="30">
        <f>Sup!$A$2*D36</f>
        <v>6775.4474283854179</v>
      </c>
      <c r="M36" s="30">
        <f>IFERROR(VLOOKUP(A36,Modelos[],IF(B36="EST",15,14),0),0)/C36</f>
        <v>0</v>
      </c>
      <c r="N36" s="30">
        <f t="shared" si="12"/>
        <v>378.06425343900054</v>
      </c>
      <c r="O36" s="30">
        <f t="shared" si="12"/>
        <v>73.512493724250106</v>
      </c>
      <c r="P36" s="30">
        <f t="shared" si="12"/>
        <v>378.06425343900054</v>
      </c>
      <c r="Q36" s="30">
        <f t="shared" si="12"/>
        <v>525.08924088750075</v>
      </c>
      <c r="R36" s="30">
        <f t="shared" si="5"/>
        <v>2269.5400000000004</v>
      </c>
      <c r="S36" s="30">
        <f t="shared" si="6"/>
        <v>340.43100000000004</v>
      </c>
      <c r="T36" s="30">
        <f t="shared" si="7"/>
        <v>25833.333333333332</v>
      </c>
      <c r="U36" s="30">
        <f t="shared" si="8"/>
        <v>-30899.632003208506</v>
      </c>
      <c r="V36" s="30">
        <f t="shared" si="2"/>
        <v>603.03127690277449</v>
      </c>
      <c r="W36" s="30">
        <f t="shared" si="9"/>
        <v>-31502.663280111276</v>
      </c>
      <c r="X36" s="30">
        <f t="shared" si="10"/>
        <v>-31502.663280111279</v>
      </c>
      <c r="Y36" s="30">
        <f t="shared" si="11"/>
        <v>0</v>
      </c>
    </row>
    <row r="37" spans="1:25" x14ac:dyDescent="0.3">
      <c r="A37" s="29"/>
      <c r="B37" s="29"/>
      <c r="C37" s="32">
        <v>1</v>
      </c>
      <c r="D37" s="32">
        <v>1</v>
      </c>
      <c r="E37" s="32" t="s">
        <v>213</v>
      </c>
      <c r="F37" s="32" t="s">
        <v>36</v>
      </c>
      <c r="G37" s="29">
        <f>VLOOKUP(F37,Ventas!C:H,4,0)</f>
        <v>1087</v>
      </c>
      <c r="H37" s="29">
        <f>IFERROR(VLOOKUP(A37,Modelos[],18,0),0)*G37/C37</f>
        <v>0</v>
      </c>
      <c r="I37" s="41">
        <f t="shared" si="3"/>
        <v>1087</v>
      </c>
      <c r="J37" s="29">
        <f t="shared" si="0"/>
        <v>380.45</v>
      </c>
      <c r="K37" s="29">
        <f t="shared" si="4"/>
        <v>706.55</v>
      </c>
      <c r="L37" s="29">
        <f>Sup!$A$2*D37</f>
        <v>6775.4474283854179</v>
      </c>
      <c r="M37" s="29">
        <f>IFERROR(VLOOKUP(A37,Modelos[],IF(B37="EST",15,14),0),0)/C37</f>
        <v>0</v>
      </c>
      <c r="N37" s="29">
        <f t="shared" si="12"/>
        <v>47.079372607193676</v>
      </c>
      <c r="O37" s="29">
        <f t="shared" si="12"/>
        <v>9.1543224513987713</v>
      </c>
      <c r="P37" s="29">
        <f t="shared" si="12"/>
        <v>47.079372607193676</v>
      </c>
      <c r="Q37" s="29">
        <f t="shared" si="12"/>
        <v>65.388017509991229</v>
      </c>
      <c r="R37" s="29">
        <f t="shared" si="5"/>
        <v>282.62</v>
      </c>
      <c r="S37" s="29">
        <f t="shared" si="6"/>
        <v>42.393000000000001</v>
      </c>
      <c r="T37" s="29">
        <f t="shared" si="7"/>
        <v>25833.333333333332</v>
      </c>
      <c r="U37" s="29">
        <f t="shared" si="8"/>
        <v>-32395.94484689453</v>
      </c>
      <c r="V37" s="29">
        <f t="shared" si="2"/>
        <v>75.093939511205861</v>
      </c>
      <c r="W37" s="29">
        <f t="shared" si="9"/>
        <v>-32471.038786405734</v>
      </c>
      <c r="X37" s="29">
        <f t="shared" si="10"/>
        <v>-32471.038786405737</v>
      </c>
      <c r="Y37" s="29">
        <f t="shared" si="11"/>
        <v>0</v>
      </c>
    </row>
    <row r="38" spans="1:25" x14ac:dyDescent="0.3">
      <c r="A38" s="30"/>
      <c r="B38" s="30"/>
      <c r="C38" s="33">
        <v>1</v>
      </c>
      <c r="D38" s="33">
        <v>1</v>
      </c>
      <c r="E38" s="33" t="s">
        <v>213</v>
      </c>
      <c r="F38" s="33" t="s">
        <v>33</v>
      </c>
      <c r="G38" s="29">
        <f>VLOOKUP(F38,Ventas!C:H,4,0)</f>
        <v>0</v>
      </c>
      <c r="H38" s="30">
        <f>IFERROR(VLOOKUP(A38,Modelos[],18,0),0)*G38/C38</f>
        <v>0</v>
      </c>
      <c r="I38" s="42">
        <f t="shared" si="3"/>
        <v>0</v>
      </c>
      <c r="J38" s="30">
        <f t="shared" si="0"/>
        <v>0</v>
      </c>
      <c r="K38" s="30">
        <f t="shared" si="4"/>
        <v>0</v>
      </c>
      <c r="L38" s="30">
        <f>Sup!$A$2*D38</f>
        <v>6775.4474283854179</v>
      </c>
      <c r="M38" s="30">
        <f>IFERROR(VLOOKUP(A38,Modelos[],IF(B38="EST",15,14),0),0)/C38</f>
        <v>0</v>
      </c>
      <c r="N38" s="30">
        <f t="shared" si="12"/>
        <v>0</v>
      </c>
      <c r="O38" s="30">
        <f t="shared" si="12"/>
        <v>0</v>
      </c>
      <c r="P38" s="30">
        <f t="shared" si="12"/>
        <v>0</v>
      </c>
      <c r="Q38" s="30">
        <f t="shared" si="12"/>
        <v>0</v>
      </c>
      <c r="R38" s="30">
        <f t="shared" si="5"/>
        <v>0</v>
      </c>
      <c r="S38" s="30">
        <f t="shared" si="6"/>
        <v>0</v>
      </c>
      <c r="T38" s="30">
        <f t="shared" si="7"/>
        <v>0</v>
      </c>
      <c r="U38" s="30">
        <f t="shared" si="8"/>
        <v>-6775.4474283854179</v>
      </c>
      <c r="V38" s="30">
        <f t="shared" si="2"/>
        <v>0</v>
      </c>
      <c r="W38" s="30">
        <f t="shared" si="9"/>
        <v>-6775.4474283854179</v>
      </c>
      <c r="X38" s="30">
        <f t="shared" si="10"/>
        <v>-6775.4474283854179</v>
      </c>
      <c r="Y38" s="30">
        <f t="shared" si="11"/>
        <v>0</v>
      </c>
    </row>
    <row r="39" spans="1:25" x14ac:dyDescent="0.3">
      <c r="A39" s="29"/>
      <c r="B39" s="29"/>
      <c r="C39" s="32">
        <v>1</v>
      </c>
      <c r="D39" s="32"/>
      <c r="E39" s="32" t="s">
        <v>213</v>
      </c>
      <c r="F39" s="32" t="s">
        <v>205</v>
      </c>
      <c r="G39" s="29">
        <v>0</v>
      </c>
      <c r="H39" s="29">
        <f>IFERROR(VLOOKUP(A39,Modelos[],18,0),0)*G39/C39</f>
        <v>0</v>
      </c>
      <c r="I39" s="41">
        <f t="shared" si="3"/>
        <v>0</v>
      </c>
      <c r="J39" s="29">
        <f t="shared" si="0"/>
        <v>0</v>
      </c>
      <c r="K39" s="29">
        <f t="shared" si="4"/>
        <v>0</v>
      </c>
      <c r="L39" s="29">
        <f>Sup!$A$2*D39</f>
        <v>0</v>
      </c>
      <c r="M39" s="29">
        <f>IFERROR(VLOOKUP(A39,Modelos[],IF(B39="EST",15,14),0),0)/C39</f>
        <v>0</v>
      </c>
      <c r="N39" s="29">
        <f t="shared" si="12"/>
        <v>0</v>
      </c>
      <c r="O39" s="29">
        <f t="shared" si="12"/>
        <v>0</v>
      </c>
      <c r="P39" s="29">
        <f t="shared" si="12"/>
        <v>0</v>
      </c>
      <c r="Q39" s="29">
        <f t="shared" si="12"/>
        <v>0</v>
      </c>
      <c r="R39" s="29">
        <f t="shared" si="5"/>
        <v>0</v>
      </c>
      <c r="S39" s="29">
        <f t="shared" si="6"/>
        <v>0</v>
      </c>
      <c r="T39" s="29">
        <f t="shared" si="7"/>
        <v>0</v>
      </c>
      <c r="U39" s="29">
        <f t="shared" si="8"/>
        <v>0</v>
      </c>
      <c r="V39" s="29">
        <f t="shared" si="2"/>
        <v>0</v>
      </c>
      <c r="W39" s="29">
        <f t="shared" si="9"/>
        <v>0</v>
      </c>
      <c r="X39" s="29">
        <f t="shared" si="10"/>
        <v>0</v>
      </c>
      <c r="Y39" s="29">
        <f t="shared" si="11"/>
        <v>0</v>
      </c>
    </row>
    <row r="40" spans="1:25" x14ac:dyDescent="0.3">
      <c r="A40" s="30"/>
      <c r="B40" s="30"/>
      <c r="C40" s="33">
        <v>1</v>
      </c>
      <c r="D40" s="33"/>
      <c r="E40" s="33" t="s">
        <v>213</v>
      </c>
      <c r="F40" s="33" t="s">
        <v>34</v>
      </c>
      <c r="G40" s="29">
        <v>0</v>
      </c>
      <c r="H40" s="30">
        <f>IFERROR(VLOOKUP(A40,Modelos[],18,0),0)*G40/C40</f>
        <v>0</v>
      </c>
      <c r="I40" s="42">
        <f t="shared" si="3"/>
        <v>0</v>
      </c>
      <c r="J40" s="30">
        <f t="shared" si="0"/>
        <v>0</v>
      </c>
      <c r="K40" s="30">
        <f t="shared" si="4"/>
        <v>0</v>
      </c>
      <c r="L40" s="30">
        <f>Sup!$A$2*D40</f>
        <v>0</v>
      </c>
      <c r="M40" s="30">
        <f>IFERROR(VLOOKUP(A40,Modelos[],IF(B40="EST",15,14),0),0)/C40</f>
        <v>0</v>
      </c>
      <c r="N40" s="30">
        <f t="shared" si="12"/>
        <v>0</v>
      </c>
      <c r="O40" s="30">
        <f t="shared" si="12"/>
        <v>0</v>
      </c>
      <c r="P40" s="30">
        <f t="shared" si="12"/>
        <v>0</v>
      </c>
      <c r="Q40" s="30">
        <f t="shared" si="12"/>
        <v>0</v>
      </c>
      <c r="R40" s="30">
        <f t="shared" si="5"/>
        <v>0</v>
      </c>
      <c r="S40" s="30">
        <f t="shared" si="6"/>
        <v>0</v>
      </c>
      <c r="T40" s="30">
        <f t="shared" si="7"/>
        <v>0</v>
      </c>
      <c r="U40" s="30">
        <f t="shared" si="8"/>
        <v>0</v>
      </c>
      <c r="V40" s="30">
        <f t="shared" si="2"/>
        <v>0</v>
      </c>
      <c r="W40" s="30">
        <f t="shared" si="9"/>
        <v>0</v>
      </c>
      <c r="X40" s="30">
        <f t="shared" si="10"/>
        <v>0</v>
      </c>
      <c r="Y40" s="30">
        <f t="shared" si="11"/>
        <v>0</v>
      </c>
    </row>
    <row r="41" spans="1:25" x14ac:dyDescent="0.3">
      <c r="A41" s="29"/>
      <c r="B41" s="29"/>
      <c r="C41" s="32">
        <v>1</v>
      </c>
      <c r="D41" s="32"/>
      <c r="E41" s="32" t="s">
        <v>213</v>
      </c>
      <c r="F41" s="32" t="s">
        <v>35</v>
      </c>
      <c r="G41" s="29">
        <v>0</v>
      </c>
      <c r="H41" s="29">
        <f>IFERROR(VLOOKUP(A41,Modelos[],18,0),0)*G41/C41</f>
        <v>0</v>
      </c>
      <c r="I41" s="41">
        <f t="shared" si="3"/>
        <v>0</v>
      </c>
      <c r="J41" s="29">
        <f t="shared" si="0"/>
        <v>0</v>
      </c>
      <c r="K41" s="29">
        <f t="shared" si="4"/>
        <v>0</v>
      </c>
      <c r="L41" s="29">
        <f>Sup!$A$2*D41</f>
        <v>0</v>
      </c>
      <c r="M41" s="29">
        <f>IFERROR(VLOOKUP(A41,Modelos[],IF(B41="EST",15,14),0),0)/C41</f>
        <v>0</v>
      </c>
      <c r="N41" s="29">
        <f t="shared" si="12"/>
        <v>0</v>
      </c>
      <c r="O41" s="29">
        <f t="shared" si="12"/>
        <v>0</v>
      </c>
      <c r="P41" s="29">
        <f t="shared" si="12"/>
        <v>0</v>
      </c>
      <c r="Q41" s="29">
        <f t="shared" si="12"/>
        <v>0</v>
      </c>
      <c r="R41" s="29">
        <f t="shared" si="5"/>
        <v>0</v>
      </c>
      <c r="S41" s="29">
        <f t="shared" si="6"/>
        <v>0</v>
      </c>
      <c r="T41" s="29">
        <f t="shared" si="7"/>
        <v>0</v>
      </c>
      <c r="U41" s="29">
        <f t="shared" si="8"/>
        <v>0</v>
      </c>
      <c r="V41" s="29">
        <f t="shared" si="2"/>
        <v>0</v>
      </c>
      <c r="W41" s="29">
        <f t="shared" si="9"/>
        <v>0</v>
      </c>
      <c r="X41" s="29">
        <f t="shared" si="10"/>
        <v>0</v>
      </c>
      <c r="Y41" s="29">
        <f t="shared" si="11"/>
        <v>0</v>
      </c>
    </row>
    <row r="42" spans="1:25" x14ac:dyDescent="0.3">
      <c r="A42" s="30"/>
      <c r="B42" s="30"/>
      <c r="C42" s="33">
        <v>1</v>
      </c>
      <c r="D42" s="33"/>
      <c r="E42" s="33" t="s">
        <v>213</v>
      </c>
      <c r="F42" s="33" t="s">
        <v>37</v>
      </c>
      <c r="G42" s="29">
        <v>0</v>
      </c>
      <c r="H42" s="30">
        <f>IFERROR(VLOOKUP(A42,Modelos[],18,0),0)*G42/C42</f>
        <v>0</v>
      </c>
      <c r="I42" s="42">
        <f t="shared" si="3"/>
        <v>0</v>
      </c>
      <c r="J42" s="30">
        <f t="shared" si="0"/>
        <v>0</v>
      </c>
      <c r="K42" s="30">
        <f t="shared" si="4"/>
        <v>0</v>
      </c>
      <c r="L42" s="30">
        <f>Sup!$A$2*D42</f>
        <v>0</v>
      </c>
      <c r="M42" s="30">
        <f>IFERROR(VLOOKUP(A42,Modelos[],IF(B42="EST",15,14),0),0)/C42</f>
        <v>0</v>
      </c>
      <c r="N42" s="30">
        <f t="shared" si="12"/>
        <v>0</v>
      </c>
      <c r="O42" s="30">
        <f t="shared" si="12"/>
        <v>0</v>
      </c>
      <c r="P42" s="30">
        <f t="shared" si="12"/>
        <v>0</v>
      </c>
      <c r="Q42" s="30">
        <f t="shared" si="12"/>
        <v>0</v>
      </c>
      <c r="R42" s="30">
        <f t="shared" si="5"/>
        <v>0</v>
      </c>
      <c r="S42" s="30">
        <f t="shared" si="6"/>
        <v>0</v>
      </c>
      <c r="T42" s="30">
        <f t="shared" si="7"/>
        <v>0</v>
      </c>
      <c r="U42" s="30">
        <f t="shared" si="8"/>
        <v>0</v>
      </c>
      <c r="V42" s="30">
        <f t="shared" si="2"/>
        <v>0</v>
      </c>
      <c r="W42" s="30">
        <f t="shared" si="9"/>
        <v>0</v>
      </c>
      <c r="X42" s="30">
        <f t="shared" si="10"/>
        <v>0</v>
      </c>
      <c r="Y42" s="30">
        <f t="shared" si="11"/>
        <v>0</v>
      </c>
    </row>
    <row r="43" spans="1:25" x14ac:dyDescent="0.3">
      <c r="A43" s="32"/>
      <c r="B43" s="32"/>
      <c r="C43" s="32">
        <v>1</v>
      </c>
      <c r="D43" s="32"/>
      <c r="E43" s="32" t="s">
        <v>213</v>
      </c>
      <c r="F43" s="32" t="s">
        <v>38</v>
      </c>
      <c r="G43" s="29">
        <v>0</v>
      </c>
      <c r="H43" s="29">
        <f>IFERROR(VLOOKUP(A43,Modelos[],18,0),0)*G43/C43</f>
        <v>0</v>
      </c>
      <c r="I43" s="41">
        <f t="shared" si="3"/>
        <v>0</v>
      </c>
      <c r="J43" s="29">
        <f t="shared" si="0"/>
        <v>0</v>
      </c>
      <c r="K43" s="29">
        <f t="shared" si="4"/>
        <v>0</v>
      </c>
      <c r="L43" s="29">
        <f>Sup!$A$2*D43</f>
        <v>0</v>
      </c>
      <c r="M43" s="29">
        <f>IFERROR(VLOOKUP(A43,Modelos[],IF(B43="EST",15,14),0),0)/C43</f>
        <v>0</v>
      </c>
      <c r="N43" s="29">
        <f t="shared" si="12"/>
        <v>0</v>
      </c>
      <c r="O43" s="29">
        <f t="shared" si="12"/>
        <v>0</v>
      </c>
      <c r="P43" s="29">
        <f t="shared" si="12"/>
        <v>0</v>
      </c>
      <c r="Q43" s="29">
        <f t="shared" si="12"/>
        <v>0</v>
      </c>
      <c r="R43" s="29">
        <f t="shared" si="5"/>
        <v>0</v>
      </c>
      <c r="S43" s="29">
        <f t="shared" si="6"/>
        <v>0</v>
      </c>
      <c r="T43" s="29">
        <f t="shared" si="7"/>
        <v>0</v>
      </c>
      <c r="U43" s="29">
        <f t="shared" si="8"/>
        <v>0</v>
      </c>
      <c r="V43" s="29">
        <f t="shared" si="2"/>
        <v>0</v>
      </c>
      <c r="W43" s="29">
        <f t="shared" si="9"/>
        <v>0</v>
      </c>
      <c r="X43" s="29">
        <f t="shared" si="10"/>
        <v>0</v>
      </c>
      <c r="Y43" s="29">
        <f t="shared" si="11"/>
        <v>0</v>
      </c>
    </row>
    <row r="44" spans="1:25" x14ac:dyDescent="0.3">
      <c r="F44" s="28" t="s">
        <v>121</v>
      </c>
      <c r="G44" s="28">
        <f>SUM(G5:G43)</f>
        <v>10698246</v>
      </c>
      <c r="H44" s="28">
        <f t="shared" ref="H44:Y44" si="13">SUM(H5:H43)</f>
        <v>0</v>
      </c>
      <c r="I44" s="28">
        <f t="shared" si="13"/>
        <v>10698246</v>
      </c>
      <c r="J44" s="28">
        <f t="shared" si="13"/>
        <v>3744386.1</v>
      </c>
      <c r="K44" s="28">
        <f t="shared" si="13"/>
        <v>6953859.8999999985</v>
      </c>
      <c r="L44" s="28">
        <f t="shared" si="13"/>
        <v>230365.2125651041</v>
      </c>
      <c r="M44" s="28">
        <f t="shared" si="13"/>
        <v>0</v>
      </c>
      <c r="N44" s="28">
        <f t="shared" si="13"/>
        <v>463354.83870967739</v>
      </c>
      <c r="O44" s="28">
        <f t="shared" si="13"/>
        <v>90096.774193548379</v>
      </c>
      <c r="P44" s="28">
        <f t="shared" si="13"/>
        <v>463354.83870967739</v>
      </c>
      <c r="Q44" s="28">
        <f t="shared" si="13"/>
        <v>643548.3870967743</v>
      </c>
      <c r="R44" s="28">
        <f t="shared" si="13"/>
        <v>2781543.9600000009</v>
      </c>
      <c r="S44" s="28">
        <f t="shared" si="13"/>
        <v>417231.59399999998</v>
      </c>
      <c r="T44" s="28">
        <f t="shared" si="13"/>
        <v>852500.00000000035</v>
      </c>
      <c r="U44" s="28">
        <f t="shared" si="13"/>
        <v>1011864.2947252179</v>
      </c>
      <c r="V44" s="28">
        <f t="shared" si="13"/>
        <v>739074</v>
      </c>
      <c r="W44" s="28">
        <f t="shared" si="13"/>
        <v>272790.29472521809</v>
      </c>
      <c r="X44" s="28">
        <f t="shared" si="13"/>
        <v>272790.29472521815</v>
      </c>
      <c r="Y44" s="28">
        <f t="shared" si="13"/>
        <v>0</v>
      </c>
    </row>
  </sheetData>
  <sortState xmlns:xlrd2="http://schemas.microsoft.com/office/spreadsheetml/2017/richdata2" ref="A5:G43">
    <sortCondition descending="1" ref="G5:G43"/>
  </sortState>
  <mergeCells count="1">
    <mergeCell ref="N1:O1"/>
  </mergeCells>
  <conditionalFormatting sqref="G5:G43">
    <cfRule type="colorScale" priority="3">
      <colorScale>
        <cfvo type="min"/>
        <cfvo type="percentile" val="50"/>
        <cfvo type="max"/>
        <color rgb="FFF8696B"/>
        <color rgb="FFFFEB84"/>
        <color rgb="FF63BE7B"/>
      </colorScale>
    </cfRule>
  </conditionalFormatting>
  <conditionalFormatting sqref="W5:X43">
    <cfRule type="cellIs" dxfId="79" priority="2" operator="lessThan">
      <formula>0</formula>
    </cfRule>
  </conditionalFormatting>
  <conditionalFormatting sqref="Y5:Y43">
    <cfRule type="iconSet" priority="1">
      <iconSet iconSet="3Arrows">
        <cfvo type="percent" val="0"/>
        <cfvo type="num" val="0"/>
        <cfvo type="num" val="0" gte="0"/>
      </iconSet>
    </cfRule>
  </conditionalFormatting>
  <dataValidations count="2">
    <dataValidation type="list" allowBlank="1" showInputMessage="1" showErrorMessage="1" sqref="A5:A43" xr:uid="{103A637E-D172-4DE0-8959-B6DDDC8772C5}">
      <formula1>Modelo</formula1>
    </dataValidation>
    <dataValidation type="list" allowBlank="1" showInputMessage="1" showErrorMessage="1" sqref="B5:B43" xr:uid="{DF93B153-63D0-4372-A92F-090F28D2E779}">
      <formula1>"Outsourcing,EST"</formula1>
    </dataValidation>
  </dataValidations>
  <pageMargins left="0.7" right="0.7" top="0.75" bottom="0.75" header="0.3" footer="0.3"/>
  <ignoredErrors>
    <ignoredError sqref="O25:Q31 V25:V31"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FAA2C-82D5-44F5-AEA6-892E7CA916CA}">
  <dimension ref="A1:AD44"/>
  <sheetViews>
    <sheetView showGridLines="0" zoomScale="80" zoomScaleNormal="80" workbookViewId="0">
      <selection activeCell="J4" sqref="J4"/>
    </sheetView>
  </sheetViews>
  <sheetFormatPr baseColWidth="10" defaultRowHeight="14.4" x14ac:dyDescent="0.3"/>
  <cols>
    <col min="1" max="1" width="21.6640625" style="34" customWidth="1"/>
    <col min="2" max="2" width="12" style="34" customWidth="1"/>
    <col min="3" max="3" width="9.88671875" style="34" customWidth="1"/>
    <col min="4" max="4" width="6.33203125" style="34" customWidth="1"/>
    <col min="5" max="5" width="19.44140625" style="34" bestFit="1" customWidth="1"/>
    <col min="6" max="6" width="13.33203125" style="16" bestFit="1" customWidth="1"/>
    <col min="7" max="7" width="12" style="16" customWidth="1"/>
    <col min="8" max="9" width="15" style="16" bestFit="1" customWidth="1"/>
    <col min="10" max="10" width="13.44140625" style="16" customWidth="1"/>
    <col min="11" max="11" width="15" style="16" bestFit="1" customWidth="1"/>
    <col min="12" max="12" width="15.109375" style="16" bestFit="1" customWidth="1"/>
    <col min="13" max="13" width="13.109375" style="16" bestFit="1" customWidth="1"/>
    <col min="14" max="14" width="11.6640625" style="16" bestFit="1" customWidth="1"/>
    <col min="15" max="15" width="11.33203125" style="16" bestFit="1" customWidth="1"/>
    <col min="16" max="16" width="14.5546875" style="16" bestFit="1" customWidth="1"/>
    <col min="17" max="17" width="14.6640625" style="16" customWidth="1"/>
    <col min="18" max="18" width="11.6640625" style="16" bestFit="1" customWidth="1"/>
    <col min="19" max="19" width="11.6640625" style="16" customWidth="1"/>
    <col min="20" max="20" width="15" style="16" bestFit="1" customWidth="1"/>
    <col min="21" max="21" width="17.33203125" style="16" bestFit="1" customWidth="1"/>
    <col min="22" max="24" width="13.6640625" style="16" bestFit="1" customWidth="1"/>
  </cols>
  <sheetData>
    <row r="1" spans="1:30" x14ac:dyDescent="0.3">
      <c r="A1" s="18"/>
      <c r="B1" s="18"/>
      <c r="C1" s="18"/>
      <c r="D1" s="18"/>
      <c r="E1" s="18"/>
      <c r="F1" s="23"/>
      <c r="M1" s="60" t="s">
        <v>174</v>
      </c>
      <c r="N1" s="61"/>
      <c r="O1" s="31">
        <v>0.21</v>
      </c>
    </row>
    <row r="2" spans="1:30" x14ac:dyDescent="0.3">
      <c r="A2" s="18"/>
      <c r="B2" s="18"/>
      <c r="C2" s="18"/>
      <c r="D2" s="18"/>
      <c r="E2" s="18"/>
      <c r="M2" s="28">
        <v>1393548.3870967741</v>
      </c>
      <c r="N2" s="28">
        <v>270967.74193548388</v>
      </c>
      <c r="O2" s="28">
        <v>1393548.3870967741</v>
      </c>
      <c r="P2" s="28">
        <v>1935483.8709677418</v>
      </c>
      <c r="Q2" s="44">
        <v>0.4</v>
      </c>
      <c r="R2" s="40">
        <v>0.15</v>
      </c>
      <c r="S2" s="43">
        <v>310000</v>
      </c>
      <c r="U2" s="43">
        <v>3519400</v>
      </c>
    </row>
    <row r="3" spans="1:30" x14ac:dyDescent="0.3">
      <c r="A3" s="18"/>
      <c r="B3" s="18"/>
      <c r="C3" s="18"/>
      <c r="D3" s="18"/>
      <c r="E3" s="18"/>
      <c r="I3" s="40">
        <v>0.35</v>
      </c>
      <c r="AB3" s="45">
        <v>1</v>
      </c>
      <c r="AC3" s="45">
        <v>0.65</v>
      </c>
      <c r="AD3">
        <f>35*65%</f>
        <v>22.75</v>
      </c>
    </row>
    <row r="4" spans="1:30" s="39" customFormat="1" ht="44.25" customHeight="1" x14ac:dyDescent="0.3">
      <c r="A4" s="38" t="s">
        <v>157</v>
      </c>
      <c r="B4" s="38" t="s">
        <v>161</v>
      </c>
      <c r="C4" s="38" t="s">
        <v>168</v>
      </c>
      <c r="D4" s="38" t="s">
        <v>163</v>
      </c>
      <c r="E4" s="38" t="s">
        <v>0</v>
      </c>
      <c r="F4" s="38" t="s">
        <v>123</v>
      </c>
      <c r="G4" s="38" t="s">
        <v>158</v>
      </c>
      <c r="H4" s="38" t="s">
        <v>159</v>
      </c>
      <c r="I4" s="38" t="s">
        <v>122</v>
      </c>
      <c r="J4" s="38" t="s">
        <v>182</v>
      </c>
      <c r="K4" s="38" t="s">
        <v>125</v>
      </c>
      <c r="L4" s="38" t="s">
        <v>160</v>
      </c>
      <c r="M4" s="38" t="s">
        <v>41</v>
      </c>
      <c r="N4" s="38" t="s">
        <v>42</v>
      </c>
      <c r="O4" s="38" t="s">
        <v>43</v>
      </c>
      <c r="P4" s="38" t="s">
        <v>44</v>
      </c>
      <c r="Q4" s="38" t="s">
        <v>127</v>
      </c>
      <c r="R4" s="38" t="s">
        <v>128</v>
      </c>
      <c r="S4" s="38" t="s">
        <v>171</v>
      </c>
      <c r="T4" s="38" t="s">
        <v>40</v>
      </c>
      <c r="U4" s="38" t="s">
        <v>45</v>
      </c>
      <c r="V4" s="38" t="s">
        <v>164</v>
      </c>
      <c r="W4" s="38" t="s">
        <v>165</v>
      </c>
      <c r="X4" s="38" t="s">
        <v>166</v>
      </c>
    </row>
    <row r="5" spans="1:30" x14ac:dyDescent="0.3">
      <c r="A5" s="29" t="s">
        <v>201</v>
      </c>
      <c r="B5" s="29" t="s">
        <v>209</v>
      </c>
      <c r="C5" s="32">
        <v>1</v>
      </c>
      <c r="D5" s="32">
        <v>1</v>
      </c>
      <c r="E5" s="32" t="s">
        <v>1</v>
      </c>
      <c r="F5" s="29">
        <f>VLOOKUP(E5,Ventas!C:H,5,0)</f>
        <v>2331083.076923077</v>
      </c>
      <c r="G5" s="29">
        <f>IFERROR(VLOOKUP(A5,Modelos[],18,0),0)*F5</f>
        <v>0</v>
      </c>
      <c r="H5" s="41">
        <f>SUM(F5:G5)</f>
        <v>2331083.076923077</v>
      </c>
      <c r="I5" s="29">
        <f t="shared" ref="I5:I43" si="0">H5*$I$3</f>
        <v>815879.07692307688</v>
      </c>
      <c r="J5" s="29">
        <f>H5-I5</f>
        <v>1515204</v>
      </c>
      <c r="K5" s="29">
        <f>Sup!$A$2*D5</f>
        <v>6775.4474283854179</v>
      </c>
      <c r="L5" s="29">
        <f>IFERROR(VLOOKUP(A5,Modelos[],IF(B5="EST",15,14),0),0)/C5</f>
        <v>0</v>
      </c>
      <c r="M5" s="29">
        <f t="shared" ref="M5:P24" si="1">IF($F5&lt;0,0,IFERROR((M$2*$O$1)*($F5/SUM($F$5:$F$43)),0))</f>
        <v>13487.339346873036</v>
      </c>
      <c r="N5" s="29">
        <f t="shared" si="1"/>
        <v>2622.5382063364241</v>
      </c>
      <c r="O5" s="29">
        <f t="shared" si="1"/>
        <v>13487.339346873036</v>
      </c>
      <c r="P5" s="29">
        <f t="shared" si="1"/>
        <v>18732.415759545882</v>
      </c>
      <c r="Q5" s="29">
        <f>J5*$Q$2</f>
        <v>606081.6</v>
      </c>
      <c r="R5" s="29">
        <f>+Q5*$R$2</f>
        <v>90912.239999999991</v>
      </c>
      <c r="S5" s="29">
        <f>IF(F5&gt;0,$S$2/12,0)</f>
        <v>25833.333333333332</v>
      </c>
      <c r="T5" s="29">
        <f>J5-SUM(K5:S5)</f>
        <v>737271.74657865288</v>
      </c>
      <c r="U5" s="29">
        <f t="shared" ref="U5:U43" si="2">IF($F5&lt;0,0,IFERROR((U$2*$O$1)*($F5/SUM($F$5:$F$43)),0))</f>
        <v>34062.213079141991</v>
      </c>
      <c r="V5" s="29">
        <f>T5-U5</f>
        <v>703209.53349951084</v>
      </c>
      <c r="W5" s="29">
        <f>T5-U5</f>
        <v>703209.53349951084</v>
      </c>
      <c r="X5" s="29">
        <f>ROUND(W5-V5,9)</f>
        <v>0</v>
      </c>
      <c r="Z5" s="46"/>
    </row>
    <row r="6" spans="1:30" x14ac:dyDescent="0.3">
      <c r="A6" s="30" t="s">
        <v>210</v>
      </c>
      <c r="B6" s="30" t="s">
        <v>162</v>
      </c>
      <c r="C6" s="33">
        <v>1</v>
      </c>
      <c r="D6" s="33">
        <v>1</v>
      </c>
      <c r="E6" s="33" t="s">
        <v>3</v>
      </c>
      <c r="F6" s="29">
        <f>VLOOKUP(E6,Ventas!C:H,5,0)</f>
        <v>3692307.692307692</v>
      </c>
      <c r="G6" s="30">
        <f>IFERROR(VLOOKUP(A6,Modelos[],18,0),0)*F6</f>
        <v>0</v>
      </c>
      <c r="H6" s="42">
        <f t="shared" ref="H6:H43" si="3">SUM(F6:G6)</f>
        <v>3692307.692307692</v>
      </c>
      <c r="I6" s="30">
        <f t="shared" si="0"/>
        <v>1292307.692307692</v>
      </c>
      <c r="J6" s="30">
        <f t="shared" ref="J6:J43" si="4">H6-I6</f>
        <v>2400000</v>
      </c>
      <c r="K6" s="30">
        <f>Sup!$A$2*D6</f>
        <v>6775.4474283854179</v>
      </c>
      <c r="L6" s="30">
        <f>IFERROR(VLOOKUP(A6,Modelos[],IF(B6="EST",15,14),0),0)/C6</f>
        <v>0</v>
      </c>
      <c r="M6" s="30">
        <f t="shared" si="1"/>
        <v>21363.205504008227</v>
      </c>
      <c r="N6" s="30">
        <f t="shared" si="1"/>
        <v>4153.9566257793786</v>
      </c>
      <c r="O6" s="30">
        <f t="shared" si="1"/>
        <v>21363.205504008227</v>
      </c>
      <c r="P6" s="30">
        <f t="shared" si="1"/>
        <v>29671.118755566982</v>
      </c>
      <c r="Q6" s="30">
        <f t="shared" ref="Q6:Q43" si="5">J6*$Q$2</f>
        <v>960000</v>
      </c>
      <c r="R6" s="30">
        <f t="shared" ref="R6:R43" si="6">+Q6*$R$2</f>
        <v>144000</v>
      </c>
      <c r="S6" s="30">
        <f t="shared" ref="S6:S43" si="7">IF(F6&gt;0,$S$2/12,0)</f>
        <v>25833.333333333332</v>
      </c>
      <c r="T6" s="30">
        <f t="shared" ref="T6:T43" si="8">J6-SUM(K6:S6)</f>
        <v>1186839.7328489185</v>
      </c>
      <c r="U6" s="30">
        <f t="shared" si="2"/>
        <v>53952.6765966436</v>
      </c>
      <c r="V6" s="30">
        <f t="shared" ref="V6:V43" si="9">F6-F6*$I$3-K6-M6-N6-O6-P6-(F6-F6*$I$3)*$Q$2-((F6-F6*$I$3)*$Q$2)*$R$2-S6-U6</f>
        <v>1132887.0562522756</v>
      </c>
      <c r="W6" s="30">
        <f t="shared" ref="W6:W43" si="10">T6-U6</f>
        <v>1132887.0562522749</v>
      </c>
      <c r="X6" s="30">
        <f t="shared" ref="X6:X43" si="11">ROUND(W6-V6,9)</f>
        <v>-1.0000000000000001E-9</v>
      </c>
    </row>
    <row r="7" spans="1:30" x14ac:dyDescent="0.3">
      <c r="A7" s="29" t="s">
        <v>210</v>
      </c>
      <c r="B7" s="29" t="s">
        <v>162</v>
      </c>
      <c r="C7" s="32">
        <v>1</v>
      </c>
      <c r="D7" s="32">
        <v>1</v>
      </c>
      <c r="E7" s="32" t="s">
        <v>4</v>
      </c>
      <c r="F7" s="29">
        <f>VLOOKUP(E7,Ventas!C:H,5,0)</f>
        <v>2704320</v>
      </c>
      <c r="G7" s="29">
        <f>IFERROR(VLOOKUP(A7,Modelos[],18,0),0)*F7</f>
        <v>0</v>
      </c>
      <c r="H7" s="41">
        <f t="shared" si="3"/>
        <v>2704320</v>
      </c>
      <c r="I7" s="29">
        <f t="shared" si="0"/>
        <v>946511.99999999988</v>
      </c>
      <c r="J7" s="29">
        <f t="shared" si="4"/>
        <v>1757808</v>
      </c>
      <c r="K7" s="29">
        <f>Sup!$A$2*D7</f>
        <v>6775.4474283854179</v>
      </c>
      <c r="L7" s="29">
        <f>IFERROR(VLOOKUP(A7,Modelos[],IF(B7="EST",15,14),0),0)/C7</f>
        <v>0</v>
      </c>
      <c r="M7" s="29">
        <f t="shared" si="1"/>
        <v>15646.838975245706</v>
      </c>
      <c r="N7" s="29">
        <f t="shared" si="1"/>
        <v>3042.4409118533322</v>
      </c>
      <c r="O7" s="29">
        <f t="shared" si="1"/>
        <v>15646.838975245706</v>
      </c>
      <c r="P7" s="29">
        <f t="shared" si="1"/>
        <v>21731.72079895237</v>
      </c>
      <c r="Q7" s="29">
        <f t="shared" si="5"/>
        <v>703123.20000000007</v>
      </c>
      <c r="R7" s="29">
        <f t="shared" si="6"/>
        <v>105468.48000000001</v>
      </c>
      <c r="S7" s="29">
        <f t="shared" si="7"/>
        <v>25833.333333333332</v>
      </c>
      <c r="T7" s="29">
        <f t="shared" si="8"/>
        <v>860539.69957698404</v>
      </c>
      <c r="U7" s="29">
        <f t="shared" si="2"/>
        <v>39516.019392913709</v>
      </c>
      <c r="V7" s="29">
        <f t="shared" si="9"/>
        <v>821023.68018407072</v>
      </c>
      <c r="W7" s="29">
        <f t="shared" si="10"/>
        <v>821023.68018407037</v>
      </c>
      <c r="X7" s="29">
        <f t="shared" si="11"/>
        <v>0</v>
      </c>
    </row>
    <row r="8" spans="1:30" x14ac:dyDescent="0.3">
      <c r="A8" s="30" t="s">
        <v>210</v>
      </c>
      <c r="B8" s="29" t="s">
        <v>162</v>
      </c>
      <c r="C8" s="33">
        <v>1</v>
      </c>
      <c r="D8" s="33">
        <v>1</v>
      </c>
      <c r="E8" s="33" t="s">
        <v>7</v>
      </c>
      <c r="F8" s="29">
        <f>VLOOKUP(E8,Ventas!C:H,5,0)</f>
        <v>2069249.2307692308</v>
      </c>
      <c r="G8" s="30">
        <f>IFERROR(VLOOKUP(A8,Modelos[],18,0),0)*F8</f>
        <v>0</v>
      </c>
      <c r="H8" s="42">
        <f t="shared" si="3"/>
        <v>2069249.2307692308</v>
      </c>
      <c r="I8" s="30">
        <f t="shared" si="0"/>
        <v>724237.23076923075</v>
      </c>
      <c r="J8" s="30">
        <f t="shared" si="4"/>
        <v>1345012</v>
      </c>
      <c r="K8" s="30">
        <f>Sup!$A$2*D8</f>
        <v>6775.4474283854179</v>
      </c>
      <c r="L8" s="30">
        <f>IFERROR(VLOOKUP(A8,Modelos[],IF(B8="EST",15,14),0),0)/C8</f>
        <v>0</v>
      </c>
      <c r="M8" s="30">
        <f t="shared" si="1"/>
        <v>11972.403233898798</v>
      </c>
      <c r="N8" s="30">
        <f t="shared" si="1"/>
        <v>2327.9672954803218</v>
      </c>
      <c r="O8" s="30">
        <f t="shared" si="1"/>
        <v>11972.403233898798</v>
      </c>
      <c r="P8" s="30">
        <f t="shared" si="1"/>
        <v>16628.337824859442</v>
      </c>
      <c r="Q8" s="30">
        <f t="shared" si="5"/>
        <v>538004.80000000005</v>
      </c>
      <c r="R8" s="30">
        <f t="shared" si="6"/>
        <v>80700.72</v>
      </c>
      <c r="S8" s="30">
        <f t="shared" si="7"/>
        <v>25833.333333333332</v>
      </c>
      <c r="T8" s="30">
        <f t="shared" si="8"/>
        <v>650796.58765014389</v>
      </c>
      <c r="U8" s="30">
        <f t="shared" si="2"/>
        <v>30236.248939418667</v>
      </c>
      <c r="V8" s="30">
        <f t="shared" si="9"/>
        <v>620560.33871072496</v>
      </c>
      <c r="W8" s="30">
        <f t="shared" si="10"/>
        <v>620560.33871072519</v>
      </c>
      <c r="X8" s="30">
        <f t="shared" si="11"/>
        <v>0</v>
      </c>
    </row>
    <row r="9" spans="1:30" x14ac:dyDescent="0.3">
      <c r="A9" s="29" t="s">
        <v>210</v>
      </c>
      <c r="B9" s="29" t="s">
        <v>162</v>
      </c>
      <c r="C9" s="32">
        <v>1</v>
      </c>
      <c r="D9" s="32">
        <v>1</v>
      </c>
      <c r="E9" s="32" t="s">
        <v>21</v>
      </c>
      <c r="F9" s="29">
        <f>VLOOKUP(E9,Ventas!C:H,5,0)</f>
        <v>1504930.7692307692</v>
      </c>
      <c r="G9" s="29">
        <f>IFERROR(VLOOKUP(A9,Modelos[],18,0),0)*F9</f>
        <v>0</v>
      </c>
      <c r="H9" s="41">
        <f t="shared" si="3"/>
        <v>1504930.7692307692</v>
      </c>
      <c r="I9" s="29">
        <f t="shared" si="0"/>
        <v>526725.76923076925</v>
      </c>
      <c r="J9" s="29">
        <f t="shared" si="4"/>
        <v>978205</v>
      </c>
      <c r="K9" s="29">
        <f>Sup!$A$2*D9</f>
        <v>6775.4474283854179</v>
      </c>
      <c r="L9" s="29">
        <f>IFERROR(VLOOKUP(A9,Modelos[],IF(B9="EST",15,14),0),0)/C9</f>
        <v>0</v>
      </c>
      <c r="M9" s="29">
        <f t="shared" si="1"/>
        <v>8707.3310166868214</v>
      </c>
      <c r="N9" s="29">
        <f t="shared" si="1"/>
        <v>1693.0921421335488</v>
      </c>
      <c r="O9" s="29">
        <f t="shared" si="1"/>
        <v>8707.3310166868214</v>
      </c>
      <c r="P9" s="29">
        <f t="shared" si="1"/>
        <v>12093.515300953917</v>
      </c>
      <c r="Q9" s="29">
        <f t="shared" si="5"/>
        <v>391282</v>
      </c>
      <c r="R9" s="29">
        <f t="shared" si="6"/>
        <v>58692.299999999996</v>
      </c>
      <c r="S9" s="29">
        <f t="shared" si="7"/>
        <v>25833.333333333332</v>
      </c>
      <c r="T9" s="29">
        <f t="shared" si="8"/>
        <v>464420.64976182015</v>
      </c>
      <c r="U9" s="29">
        <f t="shared" si="2"/>
        <v>21990.324170924898</v>
      </c>
      <c r="V9" s="29">
        <f t="shared" si="9"/>
        <v>442430.32559089531</v>
      </c>
      <c r="W9" s="29">
        <f t="shared" si="10"/>
        <v>442430.32559089526</v>
      </c>
      <c r="X9" s="29">
        <f t="shared" si="11"/>
        <v>0</v>
      </c>
    </row>
    <row r="10" spans="1:30" x14ac:dyDescent="0.3">
      <c r="A10" s="30" t="s">
        <v>210</v>
      </c>
      <c r="B10" s="29" t="s">
        <v>162</v>
      </c>
      <c r="C10" s="33">
        <v>1</v>
      </c>
      <c r="D10" s="33">
        <v>1</v>
      </c>
      <c r="E10" s="33" t="s">
        <v>9</v>
      </c>
      <c r="F10" s="29">
        <f>VLOOKUP(E10,Ventas!C:H,5,0)</f>
        <v>2542166.153846154</v>
      </c>
      <c r="G10" s="30">
        <f>IFERROR(VLOOKUP(A10,Modelos[],18,0),0)*F10/C10</f>
        <v>0</v>
      </c>
      <c r="H10" s="42">
        <f t="shared" si="3"/>
        <v>2542166.153846154</v>
      </c>
      <c r="I10" s="30">
        <f t="shared" si="0"/>
        <v>889758.15384615387</v>
      </c>
      <c r="J10" s="30">
        <f t="shared" si="4"/>
        <v>1652408</v>
      </c>
      <c r="K10" s="30">
        <f>Sup!$A$2*D10</f>
        <v>6775.4474283854179</v>
      </c>
      <c r="L10" s="30">
        <f>IFERROR(VLOOKUP(A10,Modelos[],IF(B10="EST",15,14),0),0)/C10</f>
        <v>0</v>
      </c>
      <c r="M10" s="30">
        <f t="shared" si="1"/>
        <v>14708.63820019468</v>
      </c>
      <c r="N10" s="30">
        <f t="shared" si="1"/>
        <v>2860.0129833711881</v>
      </c>
      <c r="O10" s="30">
        <f t="shared" si="1"/>
        <v>14708.63820019468</v>
      </c>
      <c r="P10" s="30">
        <f t="shared" si="1"/>
        <v>20428.664166937055</v>
      </c>
      <c r="Q10" s="30">
        <f t="shared" si="5"/>
        <v>660963.20000000007</v>
      </c>
      <c r="R10" s="30">
        <f t="shared" si="6"/>
        <v>99144.48000000001</v>
      </c>
      <c r="S10" s="30">
        <f t="shared" si="7"/>
        <v>25833.333333333332</v>
      </c>
      <c r="T10" s="30">
        <f t="shared" si="8"/>
        <v>806985.58568758355</v>
      </c>
      <c r="U10" s="30">
        <f t="shared" si="2"/>
        <v>37146.597679044447</v>
      </c>
      <c r="V10" s="30">
        <f t="shared" si="9"/>
        <v>769838.98800853908</v>
      </c>
      <c r="W10" s="30">
        <f t="shared" si="10"/>
        <v>769838.98800853908</v>
      </c>
      <c r="X10" s="30">
        <f t="shared" si="11"/>
        <v>0</v>
      </c>
    </row>
    <row r="11" spans="1:30" x14ac:dyDescent="0.3">
      <c r="A11" s="29" t="s">
        <v>210</v>
      </c>
      <c r="B11" s="29" t="s">
        <v>162</v>
      </c>
      <c r="C11" s="32">
        <v>1</v>
      </c>
      <c r="D11" s="32">
        <v>1</v>
      </c>
      <c r="E11" s="32" t="s">
        <v>2</v>
      </c>
      <c r="F11" s="29">
        <f>VLOOKUP(E11,Ventas!C:H,5,0)</f>
        <v>2875784.6153846155</v>
      </c>
      <c r="G11" s="29">
        <f>IFERROR(VLOOKUP(A11,Modelos[],18,0),0)*F11/C11</f>
        <v>0</v>
      </c>
      <c r="H11" s="41">
        <f t="shared" si="3"/>
        <v>2875784.6153846155</v>
      </c>
      <c r="I11" s="29">
        <f t="shared" si="0"/>
        <v>1006524.6153846154</v>
      </c>
      <c r="J11" s="29">
        <f t="shared" si="4"/>
        <v>1869260</v>
      </c>
      <c r="K11" s="29">
        <f>Sup!$A$2*D11</f>
        <v>6775.4474283854179</v>
      </c>
      <c r="L11" s="29">
        <f>IFERROR(VLOOKUP(A11,Modelos[],IF(B11="EST",15,14),0),0)/C11</f>
        <v>0</v>
      </c>
      <c r="M11" s="29">
        <f t="shared" si="1"/>
        <v>16638.910633509342</v>
      </c>
      <c r="N11" s="29">
        <f t="shared" si="1"/>
        <v>3235.343734293484</v>
      </c>
      <c r="O11" s="29">
        <f t="shared" si="1"/>
        <v>16638.910633509342</v>
      </c>
      <c r="P11" s="29">
        <f t="shared" si="1"/>
        <v>23109.598102096312</v>
      </c>
      <c r="Q11" s="29">
        <f t="shared" si="5"/>
        <v>747704</v>
      </c>
      <c r="R11" s="29">
        <f t="shared" si="6"/>
        <v>112155.59999999999</v>
      </c>
      <c r="S11" s="29">
        <f t="shared" si="7"/>
        <v>25833.333333333332</v>
      </c>
      <c r="T11" s="29">
        <f t="shared" si="8"/>
        <v>917168.85613487277</v>
      </c>
      <c r="U11" s="29">
        <f t="shared" si="2"/>
        <v>42021.491772934176</v>
      </c>
      <c r="V11" s="29">
        <f t="shared" si="9"/>
        <v>875147.36436193867</v>
      </c>
      <c r="W11" s="29">
        <f t="shared" si="10"/>
        <v>875147.36436193855</v>
      </c>
      <c r="X11" s="29">
        <f t="shared" si="11"/>
        <v>0</v>
      </c>
    </row>
    <row r="12" spans="1:30" x14ac:dyDescent="0.3">
      <c r="A12" s="30" t="s">
        <v>210</v>
      </c>
      <c r="B12" s="29" t="s">
        <v>162</v>
      </c>
      <c r="C12" s="33">
        <v>1</v>
      </c>
      <c r="D12" s="33">
        <v>1</v>
      </c>
      <c r="E12" s="33" t="s">
        <v>16</v>
      </c>
      <c r="F12" s="29">
        <f>VLOOKUP(E12,Ventas!C:H,5,0)</f>
        <v>2895783.076923077</v>
      </c>
      <c r="G12" s="30">
        <f>IFERROR(VLOOKUP(A12,Modelos[],18,0),0)*F12/C12</f>
        <v>0</v>
      </c>
      <c r="H12" s="42">
        <f t="shared" si="3"/>
        <v>2895783.076923077</v>
      </c>
      <c r="I12" s="30">
        <f t="shared" si="0"/>
        <v>1013524.0769230769</v>
      </c>
      <c r="J12" s="30">
        <f t="shared" si="4"/>
        <v>1882259</v>
      </c>
      <c r="K12" s="30">
        <f>Sup!$A$2*D12</f>
        <v>6775.4474283854179</v>
      </c>
      <c r="L12" s="30">
        <f>IFERROR(VLOOKUP(A12,Modelos[],IF(B12="EST",15,14),0),0)/C12</f>
        <v>0</v>
      </c>
      <c r="M12" s="30">
        <f t="shared" si="1"/>
        <v>16754.619095320428</v>
      </c>
      <c r="N12" s="30">
        <f t="shared" si="1"/>
        <v>3257.842601867861</v>
      </c>
      <c r="O12" s="30">
        <f t="shared" si="1"/>
        <v>16754.619095320428</v>
      </c>
      <c r="P12" s="30">
        <f t="shared" si="1"/>
        <v>23270.304299056148</v>
      </c>
      <c r="Q12" s="30">
        <f t="shared" si="5"/>
        <v>752903.60000000009</v>
      </c>
      <c r="R12" s="30">
        <f t="shared" si="6"/>
        <v>112935.54000000001</v>
      </c>
      <c r="S12" s="30">
        <f t="shared" si="7"/>
        <v>25833.333333333332</v>
      </c>
      <c r="T12" s="30">
        <f t="shared" si="8"/>
        <v>923773.69414671615</v>
      </c>
      <c r="U12" s="30">
        <f t="shared" si="2"/>
        <v>42313.712957550742</v>
      </c>
      <c r="V12" s="30">
        <f t="shared" si="9"/>
        <v>881459.98118916561</v>
      </c>
      <c r="W12" s="30">
        <f t="shared" si="10"/>
        <v>881459.98118916538</v>
      </c>
      <c r="X12" s="30">
        <f t="shared" si="11"/>
        <v>0</v>
      </c>
    </row>
    <row r="13" spans="1:30" x14ac:dyDescent="0.3">
      <c r="A13" s="29" t="s">
        <v>210</v>
      </c>
      <c r="B13" s="29" t="s">
        <v>162</v>
      </c>
      <c r="C13" s="32">
        <v>1</v>
      </c>
      <c r="D13" s="32">
        <v>1</v>
      </c>
      <c r="E13" s="32" t="s">
        <v>5</v>
      </c>
      <c r="F13" s="29">
        <f>VLOOKUP(E13,Ventas!C:H,5,0)</f>
        <v>2604672.3076923075</v>
      </c>
      <c r="G13" s="29">
        <f>IFERROR(VLOOKUP(A13,Modelos[],18,0),0)*F13/C13</f>
        <v>0</v>
      </c>
      <c r="H13" s="41">
        <f t="shared" si="3"/>
        <v>2604672.3076923075</v>
      </c>
      <c r="I13" s="29">
        <f t="shared" si="0"/>
        <v>911635.30769230763</v>
      </c>
      <c r="J13" s="29">
        <f t="shared" si="4"/>
        <v>1693037</v>
      </c>
      <c r="K13" s="29">
        <f>Sup!$A$2*D13</f>
        <v>6775.4474283854179</v>
      </c>
      <c r="L13" s="29">
        <f>IFERROR(VLOOKUP(A13,Modelos[],IF(B13="EST",15,14),0),0)/C13</f>
        <v>0</v>
      </c>
      <c r="M13" s="29">
        <f t="shared" si="1"/>
        <v>15070.290565370658</v>
      </c>
      <c r="N13" s="29">
        <f t="shared" si="1"/>
        <v>2930.3342765998505</v>
      </c>
      <c r="O13" s="29">
        <f t="shared" si="1"/>
        <v>15070.290565370658</v>
      </c>
      <c r="P13" s="29">
        <f t="shared" si="1"/>
        <v>20930.959118570358</v>
      </c>
      <c r="Q13" s="29">
        <f t="shared" si="5"/>
        <v>677214.8</v>
      </c>
      <c r="R13" s="29">
        <f t="shared" si="6"/>
        <v>101582.22</v>
      </c>
      <c r="S13" s="29">
        <f t="shared" si="7"/>
        <v>25833.333333333332</v>
      </c>
      <c r="T13" s="29">
        <f t="shared" si="8"/>
        <v>827629.32471236971</v>
      </c>
      <c r="U13" s="29">
        <f t="shared" si="2"/>
        <v>38059.949052979871</v>
      </c>
      <c r="V13" s="29">
        <f t="shared" si="9"/>
        <v>789569.37565938989</v>
      </c>
      <c r="W13" s="29">
        <f t="shared" si="10"/>
        <v>789569.37565938989</v>
      </c>
      <c r="X13" s="29">
        <f t="shared" si="11"/>
        <v>0</v>
      </c>
    </row>
    <row r="14" spans="1:30" x14ac:dyDescent="0.3">
      <c r="A14" s="30" t="s">
        <v>210</v>
      </c>
      <c r="B14" s="29" t="s">
        <v>162</v>
      </c>
      <c r="C14" s="33">
        <v>1</v>
      </c>
      <c r="D14" s="33">
        <v>1</v>
      </c>
      <c r="E14" s="33" t="s">
        <v>10</v>
      </c>
      <c r="F14" s="29">
        <f>VLOOKUP(E14,Ventas!C:H,5,0)</f>
        <v>2814513.846153846</v>
      </c>
      <c r="G14" s="30">
        <f>IFERROR(VLOOKUP(A14,Modelos[],18,0),0)*F14/C14</f>
        <v>0</v>
      </c>
      <c r="H14" s="42">
        <f t="shared" si="3"/>
        <v>2814513.846153846</v>
      </c>
      <c r="I14" s="30">
        <f t="shared" si="0"/>
        <v>985079.84615384601</v>
      </c>
      <c r="J14" s="30">
        <f t="shared" si="4"/>
        <v>1829434</v>
      </c>
      <c r="K14" s="30">
        <f>Sup!$A$2*D14</f>
        <v>6775.4474283854179</v>
      </c>
      <c r="L14" s="30">
        <f>IFERROR(VLOOKUP(A14,Modelos[],IF(B14="EST",15,14),0),0)/C14</f>
        <v>0</v>
      </c>
      <c r="M14" s="30">
        <f t="shared" si="1"/>
        <v>16284.406040841579</v>
      </c>
      <c r="N14" s="30">
        <f t="shared" si="1"/>
        <v>3166.4122857191965</v>
      </c>
      <c r="O14" s="30">
        <f t="shared" si="1"/>
        <v>16284.406040841579</v>
      </c>
      <c r="P14" s="30">
        <f t="shared" si="1"/>
        <v>22617.230612279971</v>
      </c>
      <c r="Q14" s="30">
        <f t="shared" si="5"/>
        <v>731773.60000000009</v>
      </c>
      <c r="R14" s="30">
        <f t="shared" si="6"/>
        <v>109766.04000000001</v>
      </c>
      <c r="S14" s="30">
        <f t="shared" si="7"/>
        <v>25833.333333333332</v>
      </c>
      <c r="T14" s="30">
        <f t="shared" si="8"/>
        <v>896933.12425859878</v>
      </c>
      <c r="U14" s="30">
        <f t="shared" si="2"/>
        <v>41126.192065376708</v>
      </c>
      <c r="V14" s="30">
        <f t="shared" si="9"/>
        <v>855806.93219322199</v>
      </c>
      <c r="W14" s="30">
        <f t="shared" si="10"/>
        <v>855806.93219322211</v>
      </c>
      <c r="X14" s="30">
        <f t="shared" si="11"/>
        <v>0</v>
      </c>
    </row>
    <row r="15" spans="1:30" x14ac:dyDescent="0.3">
      <c r="A15" s="29" t="s">
        <v>210</v>
      </c>
      <c r="B15" s="29" t="s">
        <v>162</v>
      </c>
      <c r="C15" s="32">
        <v>1</v>
      </c>
      <c r="D15" s="32">
        <v>1</v>
      </c>
      <c r="E15" s="32" t="s">
        <v>8</v>
      </c>
      <c r="F15" s="29">
        <f>VLOOKUP(E15,Ventas!C:H,5,0)</f>
        <v>1873333.846153846</v>
      </c>
      <c r="G15" s="29">
        <f>IFERROR(VLOOKUP(A15,Modelos[],18,0),0)*F15/C15</f>
        <v>0</v>
      </c>
      <c r="H15" s="41">
        <f t="shared" si="3"/>
        <v>1873333.846153846</v>
      </c>
      <c r="I15" s="29">
        <f t="shared" si="0"/>
        <v>655666.84615384601</v>
      </c>
      <c r="J15" s="29">
        <f t="shared" si="4"/>
        <v>1217667</v>
      </c>
      <c r="K15" s="29">
        <f>Sup!$A$2*D15</f>
        <v>6775.4474283854179</v>
      </c>
      <c r="L15" s="29">
        <f>IFERROR(VLOOKUP(A15,Modelos[],IF(B15="EST",15,14),0),0)/C15</f>
        <v>0</v>
      </c>
      <c r="M15" s="29">
        <f t="shared" si="1"/>
        <v>10838.862648520495</v>
      </c>
      <c r="N15" s="29">
        <f t="shared" si="1"/>
        <v>2107.5566261012077</v>
      </c>
      <c r="O15" s="29">
        <f t="shared" si="1"/>
        <v>10838.862648520495</v>
      </c>
      <c r="P15" s="29">
        <f t="shared" si="1"/>
        <v>15053.97590072291</v>
      </c>
      <c r="Q15" s="29">
        <f t="shared" si="5"/>
        <v>487066.80000000005</v>
      </c>
      <c r="R15" s="29">
        <f t="shared" si="6"/>
        <v>73060.02</v>
      </c>
      <c r="S15" s="29">
        <f t="shared" si="7"/>
        <v>25833.333333333332</v>
      </c>
      <c r="T15" s="29">
        <f t="shared" si="8"/>
        <v>586092.14141441602</v>
      </c>
      <c r="U15" s="29">
        <f t="shared" si="2"/>
        <v>27373.497438918843</v>
      </c>
      <c r="V15" s="29">
        <f t="shared" si="9"/>
        <v>558718.64397549734</v>
      </c>
      <c r="W15" s="29">
        <f t="shared" si="10"/>
        <v>558718.64397549722</v>
      </c>
      <c r="X15" s="29">
        <f t="shared" si="11"/>
        <v>0</v>
      </c>
    </row>
    <row r="16" spans="1:30" x14ac:dyDescent="0.3">
      <c r="A16" s="30"/>
      <c r="B16" s="30"/>
      <c r="C16" s="33">
        <v>1</v>
      </c>
      <c r="D16" s="33">
        <v>1</v>
      </c>
      <c r="E16" s="33" t="s">
        <v>6</v>
      </c>
      <c r="F16" s="29">
        <f>VLOOKUP(E16,Ventas!C:H,5,0)</f>
        <v>1413012.3076923077</v>
      </c>
      <c r="G16" s="30">
        <f>IFERROR(VLOOKUP(A16,Modelos[],18,0),0)*F16/C16</f>
        <v>0</v>
      </c>
      <c r="H16" s="42">
        <f t="shared" si="3"/>
        <v>1413012.3076923077</v>
      </c>
      <c r="I16" s="30">
        <f t="shared" si="0"/>
        <v>494554.30769230769</v>
      </c>
      <c r="J16" s="30">
        <f t="shared" si="4"/>
        <v>918458</v>
      </c>
      <c r="K16" s="30">
        <f>Sup!$A$2*D16</f>
        <v>6775.4474283854179</v>
      </c>
      <c r="L16" s="30">
        <f>IFERROR(VLOOKUP(A16,Modelos[],IF(B16="EST",15,14),0),0)/C16</f>
        <v>0</v>
      </c>
      <c r="M16" s="30">
        <f t="shared" si="1"/>
        <v>8175.5029170001626</v>
      </c>
      <c r="N16" s="30">
        <f t="shared" si="1"/>
        <v>1589.6811227500318</v>
      </c>
      <c r="O16" s="30">
        <f t="shared" si="1"/>
        <v>8175.5029170001626</v>
      </c>
      <c r="P16" s="30">
        <f t="shared" si="1"/>
        <v>11354.865162500226</v>
      </c>
      <c r="Q16" s="30">
        <f t="shared" si="5"/>
        <v>367383.2</v>
      </c>
      <c r="R16" s="30">
        <f t="shared" si="6"/>
        <v>55107.48</v>
      </c>
      <c r="S16" s="30">
        <f t="shared" si="7"/>
        <v>25833.333333333332</v>
      </c>
      <c r="T16" s="30">
        <f t="shared" si="8"/>
        <v>434062.98711903067</v>
      </c>
      <c r="U16" s="30">
        <f t="shared" si="2"/>
        <v>20647.194767333371</v>
      </c>
      <c r="V16" s="30">
        <f t="shared" si="9"/>
        <v>413415.79235169728</v>
      </c>
      <c r="W16" s="30">
        <f t="shared" si="10"/>
        <v>413415.79235169728</v>
      </c>
      <c r="X16" s="30">
        <f t="shared" si="11"/>
        <v>0</v>
      </c>
    </row>
    <row r="17" spans="1:24" x14ac:dyDescent="0.3">
      <c r="A17" s="29"/>
      <c r="B17" s="29"/>
      <c r="C17" s="32">
        <v>1</v>
      </c>
      <c r="D17" s="32">
        <v>1</v>
      </c>
      <c r="E17" s="32" t="s">
        <v>11</v>
      </c>
      <c r="F17" s="29">
        <f>VLOOKUP(E17,Ventas!C:H,5,0)</f>
        <v>1610832.3076923077</v>
      </c>
      <c r="G17" s="29">
        <f>IFERROR(VLOOKUP(A17,Modelos[],18,0),0)*F17/C17</f>
        <v>0</v>
      </c>
      <c r="H17" s="41">
        <f t="shared" si="3"/>
        <v>1610832.3076923077</v>
      </c>
      <c r="I17" s="29">
        <f t="shared" si="0"/>
        <v>563791.30769230763</v>
      </c>
      <c r="J17" s="29">
        <f t="shared" si="4"/>
        <v>1047041.0000000001</v>
      </c>
      <c r="K17" s="29">
        <f>Sup!$A$2*D17</f>
        <v>6775.4474283854179</v>
      </c>
      <c r="L17" s="29">
        <f>IFERROR(VLOOKUP(A17,Modelos[],IF(B17="EST",15,14),0),0)/C17</f>
        <v>0</v>
      </c>
      <c r="M17" s="29">
        <f t="shared" si="1"/>
        <v>9320.0633558842837</v>
      </c>
      <c r="N17" s="29">
        <f t="shared" si="1"/>
        <v>1812.2345414219442</v>
      </c>
      <c r="O17" s="29">
        <f t="shared" si="1"/>
        <v>9320.0633558842837</v>
      </c>
      <c r="P17" s="29">
        <f t="shared" si="1"/>
        <v>12944.532438728171</v>
      </c>
      <c r="Q17" s="29">
        <f t="shared" si="5"/>
        <v>418816.40000000008</v>
      </c>
      <c r="R17" s="29">
        <f t="shared" si="6"/>
        <v>62822.460000000006</v>
      </c>
      <c r="S17" s="29">
        <f t="shared" si="7"/>
        <v>25833.333333333332</v>
      </c>
      <c r="T17" s="29">
        <f t="shared" si="8"/>
        <v>499396.46554636257</v>
      </c>
      <c r="U17" s="29">
        <f t="shared" si="2"/>
        <v>23537.776856844295</v>
      </c>
      <c r="V17" s="29">
        <f t="shared" si="9"/>
        <v>475858.68868951843</v>
      </c>
      <c r="W17" s="29">
        <f t="shared" si="10"/>
        <v>475858.68868951825</v>
      </c>
      <c r="X17" s="29">
        <f t="shared" si="11"/>
        <v>0</v>
      </c>
    </row>
    <row r="18" spans="1:24" x14ac:dyDescent="0.3">
      <c r="A18" s="30"/>
      <c r="B18" s="30"/>
      <c r="C18" s="33">
        <v>1</v>
      </c>
      <c r="D18" s="33">
        <v>1</v>
      </c>
      <c r="E18" s="33" t="s">
        <v>19</v>
      </c>
      <c r="F18" s="29">
        <f>VLOOKUP(E18,Ventas!C:H,5,0)</f>
        <v>1109549.2307692308</v>
      </c>
      <c r="G18" s="30">
        <f>IFERROR(VLOOKUP(A18,Modelos[],18,0),0)*F18/C18</f>
        <v>0</v>
      </c>
      <c r="H18" s="42">
        <f t="shared" si="3"/>
        <v>1109549.2307692308</v>
      </c>
      <c r="I18" s="30">
        <f t="shared" si="0"/>
        <v>388342.23076923075</v>
      </c>
      <c r="J18" s="30">
        <f t="shared" si="4"/>
        <v>721207</v>
      </c>
      <c r="K18" s="30">
        <f>Sup!$A$2*D18</f>
        <v>6775.4474283854179</v>
      </c>
      <c r="L18" s="30">
        <f>IFERROR(VLOOKUP(A18,Modelos[],IF(B18="EST",15,14),0),0)/C18</f>
        <v>0</v>
      </c>
      <c r="M18" s="30">
        <f t="shared" si="1"/>
        <v>6419.7055633038599</v>
      </c>
      <c r="N18" s="30">
        <f t="shared" si="1"/>
        <v>1248.2760817535284</v>
      </c>
      <c r="O18" s="30">
        <f t="shared" si="1"/>
        <v>6419.7055633038599</v>
      </c>
      <c r="P18" s="30">
        <f t="shared" si="1"/>
        <v>8916.2577268109162</v>
      </c>
      <c r="Q18" s="30">
        <f t="shared" si="5"/>
        <v>288482.8</v>
      </c>
      <c r="R18" s="30">
        <f t="shared" si="6"/>
        <v>43272.42</v>
      </c>
      <c r="S18" s="30">
        <f t="shared" si="7"/>
        <v>25833.333333333332</v>
      </c>
      <c r="T18" s="30">
        <f t="shared" si="8"/>
        <v>333839.05430310912</v>
      </c>
      <c r="U18" s="30">
        <f t="shared" si="2"/>
        <v>16212.936679264809</v>
      </c>
      <c r="V18" s="30">
        <f t="shared" si="9"/>
        <v>317626.1176238443</v>
      </c>
      <c r="W18" s="30">
        <f t="shared" si="10"/>
        <v>317626.1176238443</v>
      </c>
      <c r="X18" s="30">
        <f t="shared" si="11"/>
        <v>0</v>
      </c>
    </row>
    <row r="19" spans="1:24" x14ac:dyDescent="0.3">
      <c r="A19" s="29"/>
      <c r="B19" s="29"/>
      <c r="C19" s="32">
        <v>1</v>
      </c>
      <c r="D19" s="32">
        <v>1</v>
      </c>
      <c r="E19" s="32" t="s">
        <v>26</v>
      </c>
      <c r="F19" s="29">
        <f>VLOOKUP(E19,Ventas!C:H,5,0)</f>
        <v>928841.53846153838</v>
      </c>
      <c r="G19" s="29">
        <f>IFERROR(VLOOKUP(A19,Modelos[],18,0),0)*F19/C19</f>
        <v>0</v>
      </c>
      <c r="H19" s="41">
        <f t="shared" si="3"/>
        <v>928841.53846153838</v>
      </c>
      <c r="I19" s="29">
        <f t="shared" si="0"/>
        <v>325094.53846153844</v>
      </c>
      <c r="J19" s="29">
        <f t="shared" si="4"/>
        <v>603747</v>
      </c>
      <c r="K19" s="29">
        <f>Sup!$A$2*D19</f>
        <v>6775.4474283854179</v>
      </c>
      <c r="L19" s="29">
        <f>IFERROR(VLOOKUP(A19,Modelos[],IF(B19="EST",15,14),0),0)/C19</f>
        <v>0</v>
      </c>
      <c r="M19" s="29">
        <f t="shared" si="1"/>
        <v>5374.1546805951893</v>
      </c>
      <c r="N19" s="29">
        <f t="shared" si="1"/>
        <v>1044.9745212268426</v>
      </c>
      <c r="O19" s="29">
        <f t="shared" si="1"/>
        <v>5374.1546805951893</v>
      </c>
      <c r="P19" s="29">
        <f t="shared" si="1"/>
        <v>7464.1037230488746</v>
      </c>
      <c r="Q19" s="29">
        <f t="shared" si="5"/>
        <v>241498.80000000002</v>
      </c>
      <c r="R19" s="29">
        <f t="shared" si="6"/>
        <v>36224.82</v>
      </c>
      <c r="S19" s="29">
        <f t="shared" si="7"/>
        <v>25833.333333333332</v>
      </c>
      <c r="T19" s="29">
        <f t="shared" si="8"/>
        <v>274157.21163281513</v>
      </c>
      <c r="U19" s="29">
        <f t="shared" si="2"/>
        <v>13572.402765497409</v>
      </c>
      <c r="V19" s="29">
        <f t="shared" si="9"/>
        <v>260584.80886731777</v>
      </c>
      <c r="W19" s="29">
        <f t="shared" si="10"/>
        <v>260584.80886731771</v>
      </c>
      <c r="X19" s="29">
        <f t="shared" si="11"/>
        <v>0</v>
      </c>
    </row>
    <row r="20" spans="1:24" x14ac:dyDescent="0.3">
      <c r="A20" s="30"/>
      <c r="B20" s="30"/>
      <c r="C20" s="33">
        <v>1</v>
      </c>
      <c r="D20" s="33">
        <v>1</v>
      </c>
      <c r="E20" s="33" t="s">
        <v>13</v>
      </c>
      <c r="F20" s="29">
        <f>VLOOKUP(E20,Ventas!C:H,5,0)</f>
        <v>1302190.7692307692</v>
      </c>
      <c r="G20" s="30">
        <f>IFERROR(VLOOKUP(A20,Modelos[],18,0),0)*F20/C20</f>
        <v>0</v>
      </c>
      <c r="H20" s="42">
        <f t="shared" si="3"/>
        <v>1302190.7692307692</v>
      </c>
      <c r="I20" s="30">
        <f t="shared" si="0"/>
        <v>455766.76923076919</v>
      </c>
      <c r="J20" s="30">
        <f t="shared" si="4"/>
        <v>846424</v>
      </c>
      <c r="K20" s="30">
        <f>Sup!$A$2*D20</f>
        <v>6775.4474283854179</v>
      </c>
      <c r="L20" s="30">
        <f>IFERROR(VLOOKUP(A20,Modelos[],IF(B20="EST",15,14),0),0)/C20</f>
        <v>0</v>
      </c>
      <c r="M20" s="30">
        <f t="shared" si="1"/>
        <v>7534.3041064686095</v>
      </c>
      <c r="N20" s="30">
        <f t="shared" si="1"/>
        <v>1465.0035762577854</v>
      </c>
      <c r="O20" s="30">
        <f t="shared" si="1"/>
        <v>7534.3041064686095</v>
      </c>
      <c r="P20" s="30">
        <f t="shared" si="1"/>
        <v>10464.31125898418</v>
      </c>
      <c r="Q20" s="30">
        <f t="shared" si="5"/>
        <v>338569.60000000003</v>
      </c>
      <c r="R20" s="29">
        <f t="shared" si="6"/>
        <v>50785.440000000002</v>
      </c>
      <c r="S20" s="30">
        <f t="shared" si="7"/>
        <v>25833.333333333332</v>
      </c>
      <c r="T20" s="30">
        <f t="shared" si="8"/>
        <v>397462.25619010208</v>
      </c>
      <c r="U20" s="30">
        <f t="shared" si="2"/>
        <v>19027.850139848946</v>
      </c>
      <c r="V20" s="30">
        <f t="shared" ref="V20" si="12">F20-F20*$I$3-K20-M20-N20-O20-P20-(F20-F20*$I$3)*$Q$2-((F20-F20*$I$3)*$Q$2)*$R$2-S20-U20</f>
        <v>378434.40605025331</v>
      </c>
      <c r="W20" s="30">
        <f t="shared" ref="W20" si="13">T20-U20</f>
        <v>378434.40605025314</v>
      </c>
      <c r="X20" s="30">
        <f t="shared" si="11"/>
        <v>0</v>
      </c>
    </row>
    <row r="21" spans="1:24" x14ac:dyDescent="0.3">
      <c r="A21" s="29"/>
      <c r="B21" s="29"/>
      <c r="C21" s="32">
        <v>1</v>
      </c>
      <c r="D21" s="32">
        <v>1</v>
      </c>
      <c r="E21" s="32" t="s">
        <v>31</v>
      </c>
      <c r="F21" s="29">
        <f>VLOOKUP(E21,Ventas!C:H,5,0)</f>
        <v>877984.61538461538</v>
      </c>
      <c r="G21" s="29">
        <f>IFERROR(VLOOKUP(A21,Modelos[],18,0),0)*F21/C21</f>
        <v>0</v>
      </c>
      <c r="H21" s="41">
        <f t="shared" si="3"/>
        <v>877984.61538461538</v>
      </c>
      <c r="I21" s="29">
        <f t="shared" si="0"/>
        <v>307294.61538461538</v>
      </c>
      <c r="J21" s="29">
        <f t="shared" si="4"/>
        <v>570690</v>
      </c>
      <c r="K21" s="29">
        <f>Sup!$A$2*D21</f>
        <v>6775.4474283854179</v>
      </c>
      <c r="L21" s="29">
        <f>IFERROR(VLOOKUP(A21,Modelos[],IF(B21="EST",15,14),0),0)/C21</f>
        <v>0</v>
      </c>
      <c r="M21" s="29">
        <f t="shared" si="1"/>
        <v>5079.9032287843565</v>
      </c>
      <c r="N21" s="29">
        <f t="shared" si="1"/>
        <v>987.75896115251385</v>
      </c>
      <c r="O21" s="29">
        <f t="shared" si="1"/>
        <v>5079.9032287843565</v>
      </c>
      <c r="P21" s="29">
        <f t="shared" si="1"/>
        <v>7055.4211510893838</v>
      </c>
      <c r="Q21" s="29">
        <f t="shared" si="5"/>
        <v>228276</v>
      </c>
      <c r="R21" s="29">
        <f t="shared" si="6"/>
        <v>34241.4</v>
      </c>
      <c r="S21" s="29">
        <f t="shared" si="7"/>
        <v>25833.333333333332</v>
      </c>
      <c r="T21" s="29">
        <f t="shared" si="8"/>
        <v>257360.83266847063</v>
      </c>
      <c r="U21" s="29">
        <f t="shared" si="2"/>
        <v>12829.27208622439</v>
      </c>
      <c r="V21" s="29">
        <f t="shared" si="9"/>
        <v>244531.56058224631</v>
      </c>
      <c r="W21" s="29">
        <f t="shared" si="10"/>
        <v>244531.56058224622</v>
      </c>
      <c r="X21" s="29">
        <f t="shared" si="11"/>
        <v>0</v>
      </c>
    </row>
    <row r="22" spans="1:24" x14ac:dyDescent="0.3">
      <c r="A22" s="30"/>
      <c r="B22" s="30"/>
      <c r="C22" s="33">
        <v>1</v>
      </c>
      <c r="D22" s="33">
        <v>1</v>
      </c>
      <c r="E22" s="33" t="s">
        <v>22</v>
      </c>
      <c r="F22" s="29">
        <f>VLOOKUP(E22,Ventas!C:H,5,0)</f>
        <v>1667378.4615384615</v>
      </c>
      <c r="G22" s="30">
        <f>IFERROR(VLOOKUP(A22,Modelos[],18,0),0)*F22/C22</f>
        <v>0</v>
      </c>
      <c r="H22" s="42">
        <f t="shared" si="3"/>
        <v>1667378.4615384615</v>
      </c>
      <c r="I22" s="30">
        <f t="shared" si="0"/>
        <v>583582.4615384615</v>
      </c>
      <c r="J22" s="30">
        <f t="shared" si="4"/>
        <v>1083796</v>
      </c>
      <c r="K22" s="30">
        <f>Sup!$A$2*D22</f>
        <v>6775.4474283854179</v>
      </c>
      <c r="L22" s="30">
        <f>IFERROR(VLOOKUP(A22,Modelos[],IF(B22="EST",15,14),0),0)/C22</f>
        <v>0</v>
      </c>
      <c r="M22" s="30">
        <f t="shared" si="1"/>
        <v>9647.231946842543</v>
      </c>
      <c r="N22" s="30">
        <f t="shared" si="1"/>
        <v>1875.8506563304945</v>
      </c>
      <c r="O22" s="30">
        <f t="shared" si="1"/>
        <v>9647.231946842543</v>
      </c>
      <c r="P22" s="30">
        <f t="shared" si="1"/>
        <v>13398.93325950353</v>
      </c>
      <c r="Q22" s="30">
        <f t="shared" si="5"/>
        <v>433518.4</v>
      </c>
      <c r="R22" s="30">
        <f t="shared" si="6"/>
        <v>65027.76</v>
      </c>
      <c r="S22" s="30">
        <f t="shared" si="7"/>
        <v>25833.333333333332</v>
      </c>
      <c r="T22" s="30">
        <f t="shared" si="8"/>
        <v>518071.81142876204</v>
      </c>
      <c r="U22" s="30">
        <f t="shared" si="2"/>
        <v>24364.039618639978</v>
      </c>
      <c r="V22" s="30">
        <f t="shared" si="9"/>
        <v>493707.77181012201</v>
      </c>
      <c r="W22" s="30">
        <f t="shared" si="10"/>
        <v>493707.77181012207</v>
      </c>
      <c r="X22" s="30">
        <f t="shared" si="11"/>
        <v>0</v>
      </c>
    </row>
    <row r="23" spans="1:24" x14ac:dyDescent="0.3">
      <c r="A23" s="29"/>
      <c r="B23" s="29"/>
      <c r="C23" s="32">
        <v>1</v>
      </c>
      <c r="D23" s="32">
        <v>1</v>
      </c>
      <c r="E23" s="32" t="s">
        <v>20</v>
      </c>
      <c r="F23" s="29">
        <f>VLOOKUP(E23,Ventas!C:H,5,0)</f>
        <v>1668596.923076923</v>
      </c>
      <c r="G23" s="29">
        <f>IFERROR(VLOOKUP(A23,Modelos[],18,0),0)*F23/C23</f>
        <v>0</v>
      </c>
      <c r="H23" s="41">
        <f t="shared" si="3"/>
        <v>1668596.923076923</v>
      </c>
      <c r="I23" s="29">
        <f t="shared" si="0"/>
        <v>584008.92307692301</v>
      </c>
      <c r="J23" s="29">
        <f t="shared" si="4"/>
        <v>1084588</v>
      </c>
      <c r="K23" s="29">
        <f>Sup!$A$2*D23</f>
        <v>6775.4474283854179</v>
      </c>
      <c r="L23" s="29">
        <f>IFERROR(VLOOKUP(A23,Modelos[],IF(B23="EST",15,14),0),0)/C23</f>
        <v>0</v>
      </c>
      <c r="M23" s="29">
        <f t="shared" si="1"/>
        <v>9654.2818046588636</v>
      </c>
      <c r="N23" s="29">
        <f t="shared" si="1"/>
        <v>1877.2214620170016</v>
      </c>
      <c r="O23" s="29">
        <f t="shared" si="1"/>
        <v>9654.2818046588636</v>
      </c>
      <c r="P23" s="29">
        <f t="shared" si="1"/>
        <v>13408.724728692867</v>
      </c>
      <c r="Q23" s="29">
        <f t="shared" si="5"/>
        <v>433835.2</v>
      </c>
      <c r="R23" s="29">
        <f t="shared" si="6"/>
        <v>65075.28</v>
      </c>
      <c r="S23" s="29">
        <f t="shared" si="7"/>
        <v>25833.333333333332</v>
      </c>
      <c r="T23" s="29">
        <f t="shared" si="8"/>
        <v>518474.22943825356</v>
      </c>
      <c r="U23" s="29">
        <f t="shared" si="2"/>
        <v>24381.84400191687</v>
      </c>
      <c r="V23" s="29">
        <f t="shared" si="9"/>
        <v>494092.38543633651</v>
      </c>
      <c r="W23" s="29">
        <f t="shared" si="10"/>
        <v>494092.38543633668</v>
      </c>
      <c r="X23" s="29">
        <f t="shared" si="11"/>
        <v>0</v>
      </c>
    </row>
    <row r="24" spans="1:24" x14ac:dyDescent="0.3">
      <c r="A24" s="30"/>
      <c r="B24" s="30"/>
      <c r="C24" s="33">
        <v>1</v>
      </c>
      <c r="D24" s="33">
        <v>1</v>
      </c>
      <c r="E24" s="33" t="s">
        <v>17</v>
      </c>
      <c r="F24" s="29">
        <f>VLOOKUP(E24,Ventas!C:H,5,0)</f>
        <v>1665920</v>
      </c>
      <c r="G24" s="30">
        <f>IFERROR(VLOOKUP(A24,Modelos[],18,0),0)*F24/C24</f>
        <v>0</v>
      </c>
      <c r="H24" s="42">
        <f t="shared" si="3"/>
        <v>1665920</v>
      </c>
      <c r="I24" s="30">
        <f t="shared" si="0"/>
        <v>583072</v>
      </c>
      <c r="J24" s="30">
        <f t="shared" si="4"/>
        <v>1082848</v>
      </c>
      <c r="K24" s="30">
        <f>Sup!$A$2*D24</f>
        <v>6775.4474283854179</v>
      </c>
      <c r="L24" s="30">
        <f>IFERROR(VLOOKUP(A24,Modelos[],IF(B24="EST",15,14),0),0)/C24</f>
        <v>0</v>
      </c>
      <c r="M24" s="30">
        <f t="shared" si="1"/>
        <v>9638.7934806684589</v>
      </c>
      <c r="N24" s="30">
        <f t="shared" si="1"/>
        <v>1874.2098434633119</v>
      </c>
      <c r="O24" s="30">
        <f t="shared" si="1"/>
        <v>9638.7934806684589</v>
      </c>
      <c r="P24" s="30">
        <f t="shared" si="1"/>
        <v>13387.213167595082</v>
      </c>
      <c r="Q24" s="30">
        <f t="shared" si="5"/>
        <v>433139.20000000001</v>
      </c>
      <c r="R24" s="30">
        <f t="shared" si="6"/>
        <v>64970.879999999997</v>
      </c>
      <c r="S24" s="30">
        <f t="shared" si="7"/>
        <v>25833.333333333332</v>
      </c>
      <c r="T24" s="30">
        <f t="shared" si="8"/>
        <v>517590.12926588592</v>
      </c>
      <c r="U24" s="30">
        <f t="shared" si="2"/>
        <v>24342.728311384304</v>
      </c>
      <c r="V24" s="30">
        <f t="shared" si="9"/>
        <v>493247.40095450153</v>
      </c>
      <c r="W24" s="30">
        <f t="shared" si="10"/>
        <v>493247.40095450159</v>
      </c>
      <c r="X24" s="30">
        <f t="shared" si="11"/>
        <v>0</v>
      </c>
    </row>
    <row r="25" spans="1:24" x14ac:dyDescent="0.3">
      <c r="A25" s="29"/>
      <c r="B25" s="29"/>
      <c r="C25" s="32">
        <v>1</v>
      </c>
      <c r="D25" s="32">
        <v>1</v>
      </c>
      <c r="E25" s="32" t="s">
        <v>27</v>
      </c>
      <c r="F25" s="29">
        <f>VLOOKUP(E25,Ventas!C:H,5,0)</f>
        <v>827649.23076923075</v>
      </c>
      <c r="G25" s="29">
        <f>IFERROR(VLOOKUP(A25,Modelos[],18,0),0)*F25/C25</f>
        <v>0</v>
      </c>
      <c r="H25" s="41">
        <f t="shared" si="3"/>
        <v>827649.23076923075</v>
      </c>
      <c r="I25" s="29">
        <f t="shared" si="0"/>
        <v>289677.23076923075</v>
      </c>
      <c r="J25" s="29">
        <f t="shared" si="4"/>
        <v>537972</v>
      </c>
      <c r="K25" s="29">
        <f>Sup!$A$2*D25</f>
        <v>6775.4474283854179</v>
      </c>
      <c r="L25" s="29">
        <f>IFERROR(VLOOKUP(A25,Modelos[],IF(B25="EST",15,14),0),0)/C25</f>
        <v>0</v>
      </c>
      <c r="M25" s="29">
        <f t="shared" ref="M25:P43" si="14">IF($F25&lt;0,0,IFERROR((M$2*$O$1)*($F25/SUM($F$5:$F$43)),0))</f>
        <v>4788.6693297509646</v>
      </c>
      <c r="N25" s="29">
        <f t="shared" si="14"/>
        <v>931.13014745157659</v>
      </c>
      <c r="O25" s="29">
        <f t="shared" si="14"/>
        <v>4788.6693297509646</v>
      </c>
      <c r="P25" s="29">
        <f t="shared" si="14"/>
        <v>6650.9296246541171</v>
      </c>
      <c r="Q25" s="29">
        <f t="shared" si="5"/>
        <v>215188.80000000002</v>
      </c>
      <c r="R25" s="29">
        <f t="shared" si="6"/>
        <v>32278.32</v>
      </c>
      <c r="S25" s="29">
        <f t="shared" si="7"/>
        <v>25833.333333333332</v>
      </c>
      <c r="T25" s="29">
        <f t="shared" si="8"/>
        <v>240736.70080667362</v>
      </c>
      <c r="U25" s="29">
        <f t="shared" si="2"/>
        <v>12093.762222520647</v>
      </c>
      <c r="V25" s="29">
        <f t="shared" si="9"/>
        <v>228642.93858415305</v>
      </c>
      <c r="W25" s="29">
        <f t="shared" si="10"/>
        <v>228642.93858415296</v>
      </c>
      <c r="X25" s="29">
        <f t="shared" si="11"/>
        <v>0</v>
      </c>
    </row>
    <row r="26" spans="1:24" x14ac:dyDescent="0.3">
      <c r="A26" s="30"/>
      <c r="B26" s="30"/>
      <c r="C26" s="33">
        <v>1</v>
      </c>
      <c r="D26" s="33">
        <v>1</v>
      </c>
      <c r="E26" s="33" t="s">
        <v>23</v>
      </c>
      <c r="F26" s="29">
        <f>VLOOKUP(E26,Ventas!C:H,5,0)</f>
        <v>1027076.923076923</v>
      </c>
      <c r="G26" s="30">
        <f>IFERROR(VLOOKUP(A26,Modelos[],18,0),0)*F26/C26</f>
        <v>0</v>
      </c>
      <c r="H26" s="42">
        <f t="shared" si="3"/>
        <v>1027076.923076923</v>
      </c>
      <c r="I26" s="30">
        <f t="shared" si="0"/>
        <v>359476.92307692301</v>
      </c>
      <c r="J26" s="30">
        <f t="shared" si="4"/>
        <v>667600</v>
      </c>
      <c r="K26" s="30">
        <f>Sup!$A$2*D26</f>
        <v>6775.4474283854179</v>
      </c>
      <c r="L26" s="30">
        <f>IFERROR(VLOOKUP(A26,Modelos[],IF(B26="EST",15,14),0),0)/C26</f>
        <v>0</v>
      </c>
      <c r="M26" s="30">
        <f t="shared" si="14"/>
        <v>5942.5316643649548</v>
      </c>
      <c r="N26" s="30">
        <f t="shared" si="14"/>
        <v>1155.4922680709635</v>
      </c>
      <c r="O26" s="30">
        <f t="shared" si="14"/>
        <v>5942.5316643649548</v>
      </c>
      <c r="P26" s="30">
        <f t="shared" si="14"/>
        <v>8253.5162005068814</v>
      </c>
      <c r="Q26" s="30">
        <f t="shared" si="5"/>
        <v>267040</v>
      </c>
      <c r="R26" s="30">
        <f t="shared" si="6"/>
        <v>40056</v>
      </c>
      <c r="S26" s="30">
        <f t="shared" si="7"/>
        <v>25833.333333333332</v>
      </c>
      <c r="T26" s="30">
        <f t="shared" si="8"/>
        <v>306601.14744097349</v>
      </c>
      <c r="U26" s="30">
        <f t="shared" si="2"/>
        <v>15007.836206633026</v>
      </c>
      <c r="V26" s="30">
        <f t="shared" si="9"/>
        <v>291593.3112343406</v>
      </c>
      <c r="W26" s="30">
        <f t="shared" si="10"/>
        <v>291593.31123434048</v>
      </c>
      <c r="X26" s="30">
        <f t="shared" si="11"/>
        <v>0</v>
      </c>
    </row>
    <row r="27" spans="1:24" x14ac:dyDescent="0.3">
      <c r="A27" s="29"/>
      <c r="B27" s="29"/>
      <c r="C27" s="32">
        <v>1</v>
      </c>
      <c r="D27" s="32">
        <v>1</v>
      </c>
      <c r="E27" s="32" t="s">
        <v>28</v>
      </c>
      <c r="F27" s="29">
        <f>VLOOKUP(E27,Ventas!C:H,5,0)</f>
        <v>1170487.6923076923</v>
      </c>
      <c r="G27" s="29">
        <f>IFERROR(VLOOKUP(A27,Modelos[],18,0),0)*F27/C27</f>
        <v>0</v>
      </c>
      <c r="H27" s="41">
        <f t="shared" si="3"/>
        <v>1170487.6923076923</v>
      </c>
      <c r="I27" s="29">
        <f t="shared" si="0"/>
        <v>409670.69230769225</v>
      </c>
      <c r="J27" s="29">
        <f t="shared" si="4"/>
        <v>760817</v>
      </c>
      <c r="K27" s="29">
        <f>Sup!$A$2*D27</f>
        <v>6775.4474283854179</v>
      </c>
      <c r="L27" s="29">
        <f>IFERROR(VLOOKUP(A27,Modelos[],IF(B27="EST",15,14),0),0)/C27</f>
        <v>0</v>
      </c>
      <c r="M27" s="29">
        <f t="shared" si="14"/>
        <v>6772.2874674762616</v>
      </c>
      <c r="N27" s="29">
        <f t="shared" si="14"/>
        <v>1316.8336742314955</v>
      </c>
      <c r="O27" s="29">
        <f t="shared" si="14"/>
        <v>6772.2874674762616</v>
      </c>
      <c r="P27" s="29">
        <f t="shared" si="14"/>
        <v>9405.9548159392525</v>
      </c>
      <c r="Q27" s="29">
        <f t="shared" si="5"/>
        <v>304326.8</v>
      </c>
      <c r="R27" s="29">
        <f t="shared" si="6"/>
        <v>45649.02</v>
      </c>
      <c r="S27" s="29">
        <f t="shared" si="7"/>
        <v>25833.333333333332</v>
      </c>
      <c r="T27" s="29">
        <f t="shared" si="8"/>
        <v>353965.03581315797</v>
      </c>
      <c r="U27" s="29">
        <f t="shared" si="2"/>
        <v>17103.380645928581</v>
      </c>
      <c r="V27" s="29">
        <f t="shared" si="9"/>
        <v>336861.65516722947</v>
      </c>
      <c r="W27" s="29">
        <f t="shared" si="10"/>
        <v>336861.65516722942</v>
      </c>
      <c r="X27" s="29">
        <f t="shared" si="11"/>
        <v>0</v>
      </c>
    </row>
    <row r="28" spans="1:24" x14ac:dyDescent="0.3">
      <c r="A28" s="30"/>
      <c r="B28" s="30"/>
      <c r="C28" s="33">
        <v>1</v>
      </c>
      <c r="D28" s="33">
        <v>1</v>
      </c>
      <c r="E28" s="33" t="s">
        <v>14</v>
      </c>
      <c r="F28" s="29">
        <f>VLOOKUP(E28,Ventas!C:H,5,0)</f>
        <v>1122784.6153846153</v>
      </c>
      <c r="G28" s="30">
        <f>IFERROR(VLOOKUP(A28,Modelos[],18,0),0)*F28/C28</f>
        <v>0</v>
      </c>
      <c r="H28" s="42">
        <f t="shared" si="3"/>
        <v>1122784.6153846153</v>
      </c>
      <c r="I28" s="30">
        <f t="shared" si="0"/>
        <v>392974.61538461532</v>
      </c>
      <c r="J28" s="30">
        <f t="shared" si="4"/>
        <v>729810</v>
      </c>
      <c r="K28" s="30">
        <f>Sup!$A$2*D28</f>
        <v>6775.4474283854179</v>
      </c>
      <c r="L28" s="30">
        <f>IFERROR(VLOOKUP(A28,Modelos[],IF(B28="EST",15,14),0),0)/C28</f>
        <v>0</v>
      </c>
      <c r="M28" s="30">
        <f t="shared" si="14"/>
        <v>6496.2837537001014</v>
      </c>
      <c r="N28" s="30">
        <f t="shared" si="14"/>
        <v>1263.1662854416866</v>
      </c>
      <c r="O28" s="30">
        <f t="shared" si="14"/>
        <v>6496.2837537001014</v>
      </c>
      <c r="P28" s="30">
        <f t="shared" si="14"/>
        <v>9022.6163245834741</v>
      </c>
      <c r="Q28" s="30">
        <f t="shared" si="5"/>
        <v>291924</v>
      </c>
      <c r="R28" s="30">
        <f t="shared" si="6"/>
        <v>43788.6</v>
      </c>
      <c r="S28" s="30">
        <f t="shared" si="7"/>
        <v>25833.333333333332</v>
      </c>
      <c r="T28" s="30">
        <f t="shared" si="8"/>
        <v>338210.2691208559</v>
      </c>
      <c r="U28" s="30">
        <f t="shared" si="2"/>
        <v>16406.33454458186</v>
      </c>
      <c r="V28" s="30">
        <f t="shared" si="9"/>
        <v>321803.93457627413</v>
      </c>
      <c r="W28" s="30">
        <f t="shared" si="10"/>
        <v>321803.93457627401</v>
      </c>
      <c r="X28" s="30">
        <f t="shared" si="11"/>
        <v>0</v>
      </c>
    </row>
    <row r="29" spans="1:24" x14ac:dyDescent="0.3">
      <c r="A29" s="29"/>
      <c r="B29" s="29"/>
      <c r="C29" s="32">
        <v>1</v>
      </c>
      <c r="D29" s="32">
        <v>1</v>
      </c>
      <c r="E29" s="32" t="s">
        <v>15</v>
      </c>
      <c r="F29" s="29">
        <f>VLOOKUP(E29,Ventas!C:H,5,0)</f>
        <v>977453.84615384613</v>
      </c>
      <c r="G29" s="29">
        <f>IFERROR(VLOOKUP(A29,Modelos[],18,0),0)*F29/C29</f>
        <v>0</v>
      </c>
      <c r="H29" s="41">
        <f t="shared" si="3"/>
        <v>977453.84615384613</v>
      </c>
      <c r="I29" s="29">
        <f t="shared" si="0"/>
        <v>342108.84615384613</v>
      </c>
      <c r="J29" s="29">
        <f t="shared" si="4"/>
        <v>635345</v>
      </c>
      <c r="K29" s="29">
        <f>Sup!$A$2*D29</f>
        <v>6775.4474283854179</v>
      </c>
      <c r="L29" s="29">
        <f>IFERROR(VLOOKUP(A29,Modelos[],IF(B29="EST",15,14),0),0)/C29</f>
        <v>0</v>
      </c>
      <c r="M29" s="29">
        <f t="shared" si="14"/>
        <v>5655.4190837267115</v>
      </c>
      <c r="N29" s="29">
        <f t="shared" si="14"/>
        <v>1099.6648218357495</v>
      </c>
      <c r="O29" s="29">
        <f t="shared" si="14"/>
        <v>5655.4190837267115</v>
      </c>
      <c r="P29" s="29">
        <f t="shared" si="14"/>
        <v>7854.7487273982097</v>
      </c>
      <c r="Q29" s="29">
        <f t="shared" si="5"/>
        <v>254138</v>
      </c>
      <c r="R29" s="29">
        <f t="shared" si="6"/>
        <v>38120.699999999997</v>
      </c>
      <c r="S29" s="29">
        <f t="shared" si="7"/>
        <v>25833.333333333332</v>
      </c>
      <c r="T29" s="29">
        <f t="shared" si="8"/>
        <v>290212.26752159389</v>
      </c>
      <c r="U29" s="29">
        <f t="shared" si="2"/>
        <v>14282.734713456053</v>
      </c>
      <c r="V29" s="29">
        <f t="shared" si="9"/>
        <v>275929.53280813788</v>
      </c>
      <c r="W29" s="29">
        <f t="shared" si="10"/>
        <v>275929.53280813782</v>
      </c>
      <c r="X29" s="29">
        <f t="shared" si="11"/>
        <v>0</v>
      </c>
    </row>
    <row r="30" spans="1:24" x14ac:dyDescent="0.3">
      <c r="A30" s="30"/>
      <c r="B30" s="30"/>
      <c r="C30" s="33">
        <v>1</v>
      </c>
      <c r="D30" s="33">
        <v>1</v>
      </c>
      <c r="E30" s="33" t="s">
        <v>24</v>
      </c>
      <c r="F30" s="29">
        <f>VLOOKUP(E30,Ventas!C:H,5,0)</f>
        <v>1106101.5384615385</v>
      </c>
      <c r="G30" s="30">
        <f>IFERROR(VLOOKUP(A30,Modelos[],18,0),0)*F30/C30</f>
        <v>0</v>
      </c>
      <c r="H30" s="42">
        <f t="shared" si="3"/>
        <v>1106101.5384615385</v>
      </c>
      <c r="I30" s="30">
        <f t="shared" si="0"/>
        <v>387135.53846153844</v>
      </c>
      <c r="J30" s="30">
        <f t="shared" si="4"/>
        <v>718966</v>
      </c>
      <c r="K30" s="30">
        <f>Sup!$A$2*D30</f>
        <v>6775.4474283854179</v>
      </c>
      <c r="L30" s="30">
        <f>IFERROR(VLOOKUP(A30,Modelos[],IF(B30="EST",15,14),0),0)/C30</f>
        <v>0</v>
      </c>
      <c r="M30" s="30">
        <f t="shared" si="14"/>
        <v>6399.7576701644921</v>
      </c>
      <c r="N30" s="30">
        <f t="shared" si="14"/>
        <v>1244.3973247542069</v>
      </c>
      <c r="O30" s="30">
        <f t="shared" si="14"/>
        <v>6399.7576701644921</v>
      </c>
      <c r="P30" s="30">
        <f t="shared" si="14"/>
        <v>8888.5523196729064</v>
      </c>
      <c r="Q30" s="30">
        <f t="shared" si="5"/>
        <v>287586.40000000002</v>
      </c>
      <c r="R30" s="30">
        <f t="shared" si="6"/>
        <v>43137.96</v>
      </c>
      <c r="S30" s="30">
        <f t="shared" si="7"/>
        <v>25833.333333333332</v>
      </c>
      <c r="T30" s="30">
        <f t="shared" si="8"/>
        <v>332700.39425352513</v>
      </c>
      <c r="U30" s="30">
        <f t="shared" si="2"/>
        <v>16162.558367492695</v>
      </c>
      <c r="V30" s="30">
        <f t="shared" si="9"/>
        <v>316537.83588603261</v>
      </c>
      <c r="W30" s="30">
        <f t="shared" si="10"/>
        <v>316537.83588603244</v>
      </c>
      <c r="X30" s="30">
        <f t="shared" si="11"/>
        <v>0</v>
      </c>
    </row>
    <row r="31" spans="1:24" x14ac:dyDescent="0.3">
      <c r="A31" s="29"/>
      <c r="B31" s="29"/>
      <c r="C31" s="32">
        <v>1</v>
      </c>
      <c r="D31" s="32">
        <v>1</v>
      </c>
      <c r="E31" s="32" t="s">
        <v>12</v>
      </c>
      <c r="F31" s="29">
        <f>VLOOKUP(E31,Ventas!C:H,5,0)</f>
        <v>1466126.1538461538</v>
      </c>
      <c r="G31" s="29">
        <f>IFERROR(VLOOKUP(A31,Modelos[],18,0),0)*F31/C31</f>
        <v>0</v>
      </c>
      <c r="H31" s="41">
        <f t="shared" si="3"/>
        <v>1466126.1538461538</v>
      </c>
      <c r="I31" s="29">
        <f t="shared" si="0"/>
        <v>513144.15384615376</v>
      </c>
      <c r="J31" s="29">
        <f t="shared" si="4"/>
        <v>952982</v>
      </c>
      <c r="K31" s="29">
        <f>Sup!$A$2*D31</f>
        <v>6775.4474283854179</v>
      </c>
      <c r="L31" s="29">
        <f>IFERROR(VLOOKUP(A31,Modelos[],IF(B31="EST",15,14),0),0)/C31</f>
        <v>0</v>
      </c>
      <c r="M31" s="29">
        <f t="shared" si="14"/>
        <v>8482.8126281753212</v>
      </c>
      <c r="N31" s="29">
        <f t="shared" si="14"/>
        <v>1649.4357888118682</v>
      </c>
      <c r="O31" s="29">
        <f t="shared" si="14"/>
        <v>8482.8126281753212</v>
      </c>
      <c r="P31" s="29">
        <f t="shared" si="14"/>
        <v>11781.684205799056</v>
      </c>
      <c r="Q31" s="29">
        <f t="shared" si="5"/>
        <v>381192.80000000005</v>
      </c>
      <c r="R31" s="29">
        <f t="shared" si="6"/>
        <v>57178.920000000006</v>
      </c>
      <c r="S31" s="29">
        <f t="shared" si="7"/>
        <v>25833.333333333332</v>
      </c>
      <c r="T31" s="29">
        <f t="shared" si="8"/>
        <v>451604.75398731965</v>
      </c>
      <c r="U31" s="29">
        <f t="shared" si="2"/>
        <v>21423.304020176089</v>
      </c>
      <c r="V31" s="29">
        <f t="shared" si="9"/>
        <v>430181.44996714359</v>
      </c>
      <c r="W31" s="29">
        <f t="shared" si="10"/>
        <v>430181.44996714359</v>
      </c>
      <c r="X31" s="29">
        <f t="shared" si="11"/>
        <v>0</v>
      </c>
    </row>
    <row r="32" spans="1:24" x14ac:dyDescent="0.3">
      <c r="A32" s="30"/>
      <c r="B32" s="30"/>
      <c r="C32" s="33">
        <v>1</v>
      </c>
      <c r="D32" s="33">
        <v>1</v>
      </c>
      <c r="E32" s="33" t="s">
        <v>30</v>
      </c>
      <c r="F32" s="29">
        <f>VLOOKUP(E32,Ventas!C:H,5,0)</f>
        <v>459901.53846153844</v>
      </c>
      <c r="G32" s="30">
        <f>IFERROR(VLOOKUP(A32,Modelos[],18,0),0)*F32/C32</f>
        <v>0</v>
      </c>
      <c r="H32" s="42">
        <f t="shared" si="3"/>
        <v>459901.53846153844</v>
      </c>
      <c r="I32" s="30">
        <f t="shared" si="0"/>
        <v>160965.53846153844</v>
      </c>
      <c r="J32" s="30">
        <f t="shared" si="4"/>
        <v>298936</v>
      </c>
      <c r="K32" s="30">
        <f>Sup!$A$2*D32</f>
        <v>6775.4474283854179</v>
      </c>
      <c r="L32" s="30">
        <f>IFERROR(VLOOKUP(A32,Modelos[],IF(B32="EST",15,14),0),0)/C32</f>
        <v>0</v>
      </c>
      <c r="M32" s="30">
        <f t="shared" si="14"/>
        <v>2660.9296668942516</v>
      </c>
      <c r="N32" s="30">
        <f t="shared" si="14"/>
        <v>517.40299078499345</v>
      </c>
      <c r="O32" s="30">
        <f t="shared" si="14"/>
        <v>2660.9296668942516</v>
      </c>
      <c r="P32" s="30">
        <f t="shared" si="14"/>
        <v>3695.7356484642382</v>
      </c>
      <c r="Q32" s="30">
        <f t="shared" si="5"/>
        <v>119574.40000000001</v>
      </c>
      <c r="R32" s="30">
        <f t="shared" si="6"/>
        <v>17936.16</v>
      </c>
      <c r="S32" s="30">
        <f t="shared" si="7"/>
        <v>25833.333333333332</v>
      </c>
      <c r="T32" s="30">
        <f t="shared" si="8"/>
        <v>119281.66126524349</v>
      </c>
      <c r="U32" s="30">
        <f t="shared" si="2"/>
        <v>6720.1655546226048</v>
      </c>
      <c r="V32" s="30">
        <f t="shared" si="9"/>
        <v>112561.49571062083</v>
      </c>
      <c r="W32" s="30">
        <f t="shared" si="10"/>
        <v>112561.49571062087</v>
      </c>
      <c r="X32" s="30">
        <f t="shared" si="11"/>
        <v>0</v>
      </c>
    </row>
    <row r="33" spans="1:24" x14ac:dyDescent="0.3">
      <c r="A33" s="29"/>
      <c r="B33" s="29"/>
      <c r="C33" s="32">
        <v>1</v>
      </c>
      <c r="D33" s="32">
        <v>1</v>
      </c>
      <c r="E33" s="32" t="s">
        <v>25</v>
      </c>
      <c r="F33" s="29">
        <f>VLOOKUP(E33,Ventas!C:H,5,0)</f>
        <v>375944.61538461538</v>
      </c>
      <c r="G33" s="29">
        <f>IFERROR(VLOOKUP(A33,Modelos[],18,0),0)*F33/C33</f>
        <v>0</v>
      </c>
      <c r="H33" s="41">
        <f t="shared" si="3"/>
        <v>375944.61538461538</v>
      </c>
      <c r="I33" s="29">
        <f t="shared" si="0"/>
        <v>131580.61538461538</v>
      </c>
      <c r="J33" s="29">
        <f t="shared" si="4"/>
        <v>244364</v>
      </c>
      <c r="K33" s="29">
        <f>Sup!$A$2*D33</f>
        <v>6775.4474283854179</v>
      </c>
      <c r="L33" s="29">
        <f>IFERROR(VLOOKUP(A33,Modelos[],IF(B33="EST",15,14),0),0)/C33</f>
        <v>0</v>
      </c>
      <c r="M33" s="29">
        <f t="shared" si="14"/>
        <v>2175.1659790756112</v>
      </c>
      <c r="N33" s="29">
        <f t="shared" si="14"/>
        <v>422.94894037581332</v>
      </c>
      <c r="O33" s="29">
        <f t="shared" si="14"/>
        <v>2175.1659790756112</v>
      </c>
      <c r="P33" s="29">
        <f t="shared" si="14"/>
        <v>3021.0638598272376</v>
      </c>
      <c r="Q33" s="29">
        <f t="shared" si="5"/>
        <v>97745.600000000006</v>
      </c>
      <c r="R33" s="29">
        <f t="shared" si="6"/>
        <v>14661.84</v>
      </c>
      <c r="S33" s="29">
        <f t="shared" si="7"/>
        <v>25833.333333333332</v>
      </c>
      <c r="T33" s="29">
        <f t="shared" si="8"/>
        <v>91553.434479926975</v>
      </c>
      <c r="U33" s="29">
        <f t="shared" si="2"/>
        <v>5493.3716099425901</v>
      </c>
      <c r="V33" s="29">
        <f t="shared" si="9"/>
        <v>86060.062869984366</v>
      </c>
      <c r="W33" s="29">
        <f t="shared" si="10"/>
        <v>86060.06286998438</v>
      </c>
      <c r="X33" s="29">
        <f t="shared" si="11"/>
        <v>0</v>
      </c>
    </row>
    <row r="34" spans="1:24" x14ac:dyDescent="0.3">
      <c r="A34" s="30"/>
      <c r="B34" s="30"/>
      <c r="C34" s="33">
        <v>1</v>
      </c>
      <c r="D34" s="33">
        <v>1</v>
      </c>
      <c r="E34" s="33" t="s">
        <v>32</v>
      </c>
      <c r="F34" s="29">
        <f>VLOOKUP(E34,Ventas!C:H,5,0)</f>
        <v>965001.53846153838</v>
      </c>
      <c r="G34" s="30">
        <f>IFERROR(VLOOKUP(A34,Modelos[],18,0),0)*F34/C34</f>
        <v>0</v>
      </c>
      <c r="H34" s="42">
        <f t="shared" si="3"/>
        <v>965001.53846153838</v>
      </c>
      <c r="I34" s="30">
        <f t="shared" si="0"/>
        <v>337750.53846153844</v>
      </c>
      <c r="J34" s="30">
        <f t="shared" si="4"/>
        <v>627251</v>
      </c>
      <c r="K34" s="30">
        <f>Sup!$A$2*D34</f>
        <v>6775.4474283854179</v>
      </c>
      <c r="L34" s="30">
        <f>IFERROR(VLOOKUP(A34,Modelos[],IF(B34="EST",15,14),0),0)/C34</f>
        <v>0</v>
      </c>
      <c r="M34" s="30">
        <f t="shared" si="14"/>
        <v>5583.3716731644436</v>
      </c>
      <c r="N34" s="30">
        <f t="shared" si="14"/>
        <v>1085.6556031153086</v>
      </c>
      <c r="O34" s="30">
        <f t="shared" si="14"/>
        <v>5583.3716731644436</v>
      </c>
      <c r="P34" s="30">
        <f t="shared" si="14"/>
        <v>7754.6828793950608</v>
      </c>
      <c r="Q34" s="30">
        <f t="shared" si="5"/>
        <v>250900.40000000002</v>
      </c>
      <c r="R34" s="30">
        <f t="shared" si="6"/>
        <v>37635.060000000005</v>
      </c>
      <c r="S34" s="30">
        <f t="shared" si="7"/>
        <v>25833.333333333332</v>
      </c>
      <c r="T34" s="30">
        <f t="shared" si="8"/>
        <v>286099.67740944197</v>
      </c>
      <c r="U34" s="30">
        <f t="shared" si="2"/>
        <v>14100.779311633873</v>
      </c>
      <c r="V34" s="30">
        <f t="shared" si="9"/>
        <v>271998.89809780812</v>
      </c>
      <c r="W34" s="30">
        <f t="shared" si="10"/>
        <v>271998.89809780812</v>
      </c>
      <c r="X34" s="30">
        <f t="shared" si="11"/>
        <v>0</v>
      </c>
    </row>
    <row r="35" spans="1:24" x14ac:dyDescent="0.3">
      <c r="A35" s="29"/>
      <c r="B35" s="29"/>
      <c r="C35" s="32">
        <v>1</v>
      </c>
      <c r="D35" s="32">
        <v>1</v>
      </c>
      <c r="E35" s="32" t="s">
        <v>29</v>
      </c>
      <c r="F35" s="29">
        <f>VLOOKUP(E35,Ventas!C:H,5,0)</f>
        <v>850635.38461538462</v>
      </c>
      <c r="G35" s="29">
        <f>IFERROR(VLOOKUP(A35,Modelos[],18,0),0)*F35/C35</f>
        <v>0</v>
      </c>
      <c r="H35" s="41">
        <f t="shared" si="3"/>
        <v>850635.38461538462</v>
      </c>
      <c r="I35" s="29">
        <f t="shared" si="0"/>
        <v>297722.38461538462</v>
      </c>
      <c r="J35" s="29">
        <f t="shared" si="4"/>
        <v>552913</v>
      </c>
      <c r="K35" s="29">
        <f>Sup!$A$2*D35</f>
        <v>6775.4474283854179</v>
      </c>
      <c r="L35" s="29">
        <f>IFERROR(VLOOKUP(A35,Modelos[],IF(B35="EST",15,14),0),0)/C35</f>
        <v>0</v>
      </c>
      <c r="M35" s="29">
        <f t="shared" si="14"/>
        <v>4921.6641853490428</v>
      </c>
      <c r="N35" s="29">
        <f t="shared" si="14"/>
        <v>956.990258262314</v>
      </c>
      <c r="O35" s="29">
        <f t="shared" si="14"/>
        <v>4921.6641853490428</v>
      </c>
      <c r="P35" s="29">
        <f t="shared" si="14"/>
        <v>6835.6447018736708</v>
      </c>
      <c r="Q35" s="29">
        <f t="shared" si="5"/>
        <v>221165.2</v>
      </c>
      <c r="R35" s="29">
        <f t="shared" si="6"/>
        <v>33174.78</v>
      </c>
      <c r="S35" s="29">
        <f t="shared" si="7"/>
        <v>25833.333333333332</v>
      </c>
      <c r="T35" s="29">
        <f t="shared" si="8"/>
        <v>248328.27590744715</v>
      </c>
      <c r="U35" s="29">
        <f t="shared" si="2"/>
        <v>12429.64011461667</v>
      </c>
      <c r="V35" s="29">
        <f t="shared" si="9"/>
        <v>235898.6357928307</v>
      </c>
      <c r="W35" s="29">
        <f t="shared" si="10"/>
        <v>235898.63579283049</v>
      </c>
      <c r="X35" s="29">
        <f t="shared" si="11"/>
        <v>0</v>
      </c>
    </row>
    <row r="36" spans="1:24" x14ac:dyDescent="0.3">
      <c r="A36" s="30"/>
      <c r="B36" s="30"/>
      <c r="C36" s="33">
        <v>1</v>
      </c>
      <c r="D36" s="33">
        <v>1</v>
      </c>
      <c r="E36" s="33" t="s">
        <v>39</v>
      </c>
      <c r="F36" s="29">
        <f>VLOOKUP(E36,Ventas!C:H,5,0)</f>
        <v>61570.769230769227</v>
      </c>
      <c r="G36" s="30">
        <f>IFERROR(VLOOKUP(A36,Modelos[],18,0),0)*F36/C36</f>
        <v>0</v>
      </c>
      <c r="H36" s="42">
        <f t="shared" si="3"/>
        <v>61570.769230769227</v>
      </c>
      <c r="I36" s="30">
        <f t="shared" si="0"/>
        <v>21549.769230769227</v>
      </c>
      <c r="J36" s="30">
        <f t="shared" si="4"/>
        <v>40021</v>
      </c>
      <c r="K36" s="30">
        <f>Sup!$A$2*D36</f>
        <v>6775.4474283854179</v>
      </c>
      <c r="L36" s="30">
        <f>IFERROR(VLOOKUP(A36,Modelos[],IF(B36="EST",15,14),0),0)/C36</f>
        <v>0</v>
      </c>
      <c r="M36" s="30">
        <f t="shared" si="14"/>
        <v>356.24035311496385</v>
      </c>
      <c r="N36" s="30">
        <f t="shared" si="14"/>
        <v>69.268957550131873</v>
      </c>
      <c r="O36" s="30">
        <f t="shared" si="14"/>
        <v>356.24035311496385</v>
      </c>
      <c r="P36" s="30">
        <f t="shared" si="14"/>
        <v>494.77826821522763</v>
      </c>
      <c r="Q36" s="30">
        <f t="shared" si="5"/>
        <v>16008.400000000001</v>
      </c>
      <c r="R36" s="30">
        <f t="shared" si="6"/>
        <v>2401.2600000000002</v>
      </c>
      <c r="S36" s="30">
        <f t="shared" si="7"/>
        <v>25833.333333333332</v>
      </c>
      <c r="T36" s="30">
        <f t="shared" si="8"/>
        <v>-12273.968693714036</v>
      </c>
      <c r="U36" s="30">
        <f t="shared" si="2"/>
        <v>899.68336253094731</v>
      </c>
      <c r="V36" s="30">
        <f t="shared" si="9"/>
        <v>-13173.652056244991</v>
      </c>
      <c r="W36" s="30">
        <f t="shared" si="10"/>
        <v>-13173.652056244984</v>
      </c>
      <c r="X36" s="30">
        <f t="shared" si="11"/>
        <v>0</v>
      </c>
    </row>
    <row r="37" spans="1:24" x14ac:dyDescent="0.3">
      <c r="A37" s="29"/>
      <c r="B37" s="29"/>
      <c r="C37" s="32">
        <v>1</v>
      </c>
      <c r="D37" s="32">
        <v>1</v>
      </c>
      <c r="E37" s="32" t="s">
        <v>36</v>
      </c>
      <c r="F37" s="29">
        <f>VLOOKUP(E37,Ventas!C:H,5,0)</f>
        <v>27861.538461538461</v>
      </c>
      <c r="G37" s="29">
        <f>IFERROR(VLOOKUP(A37,Modelos[],18,0),0)*F37/C37</f>
        <v>0</v>
      </c>
      <c r="H37" s="41">
        <f t="shared" si="3"/>
        <v>27861.538461538461</v>
      </c>
      <c r="I37" s="29">
        <f t="shared" si="0"/>
        <v>9751.538461538461</v>
      </c>
      <c r="J37" s="29">
        <f t="shared" si="4"/>
        <v>18110</v>
      </c>
      <c r="K37" s="29">
        <f>Sup!$A$2*D37</f>
        <v>6775.4474283854179</v>
      </c>
      <c r="L37" s="29">
        <f>IFERROR(VLOOKUP(A37,Modelos[],IF(B37="EST",15,14),0),0)/C37</f>
        <v>0</v>
      </c>
      <c r="M37" s="29">
        <f t="shared" si="14"/>
        <v>161.20318819899543</v>
      </c>
      <c r="N37" s="29">
        <f t="shared" si="14"/>
        <v>31.345064372026894</v>
      </c>
      <c r="O37" s="29">
        <f t="shared" si="14"/>
        <v>161.20318819899543</v>
      </c>
      <c r="P37" s="29">
        <f t="shared" si="14"/>
        <v>223.8933169430492</v>
      </c>
      <c r="Q37" s="29">
        <f t="shared" si="5"/>
        <v>7244</v>
      </c>
      <c r="R37" s="29">
        <f t="shared" si="6"/>
        <v>1086.5999999999999</v>
      </c>
      <c r="S37" s="29">
        <f t="shared" si="7"/>
        <v>25833.333333333332</v>
      </c>
      <c r="T37" s="29">
        <f t="shared" si="8"/>
        <v>-23407.025519431816</v>
      </c>
      <c r="U37" s="29">
        <f t="shared" si="2"/>
        <v>407.11790548550653</v>
      </c>
      <c r="V37" s="29">
        <f t="shared" si="9"/>
        <v>-23814.143424917322</v>
      </c>
      <c r="W37" s="29">
        <f t="shared" si="10"/>
        <v>-23814.143424917322</v>
      </c>
      <c r="X37" s="29">
        <f t="shared" si="11"/>
        <v>0</v>
      </c>
    </row>
    <row r="38" spans="1:24" x14ac:dyDescent="0.3">
      <c r="A38" s="30"/>
      <c r="B38" s="30"/>
      <c r="C38" s="33">
        <v>1</v>
      </c>
      <c r="D38" s="33">
        <v>1</v>
      </c>
      <c r="E38" s="33" t="s">
        <v>33</v>
      </c>
      <c r="F38" s="29">
        <f>VLOOKUP(E38,Ventas!C:H,5,0)</f>
        <v>1681.5384615384614</v>
      </c>
      <c r="G38" s="30">
        <f>IFERROR(VLOOKUP(A38,Modelos[],18,0),0)*F38/C38</f>
        <v>0</v>
      </c>
      <c r="H38" s="42">
        <f t="shared" si="3"/>
        <v>1681.5384615384614</v>
      </c>
      <c r="I38" s="30">
        <f t="shared" si="0"/>
        <v>588.53846153846143</v>
      </c>
      <c r="J38" s="30">
        <f t="shared" si="4"/>
        <v>1093</v>
      </c>
      <c r="K38" s="30">
        <f>Sup!$A$2*D38</f>
        <v>6775.4474283854179</v>
      </c>
      <c r="L38" s="30">
        <f>IFERROR(VLOOKUP(A38,Modelos[],IF(B38="EST",15,14),0),0)/C38</f>
        <v>0</v>
      </c>
      <c r="M38" s="30">
        <f t="shared" si="14"/>
        <v>9.7291598399504142</v>
      </c>
      <c r="N38" s="30">
        <f t="shared" si="14"/>
        <v>1.8917810799903585</v>
      </c>
      <c r="O38" s="30">
        <f t="shared" si="14"/>
        <v>9.7291598399504142</v>
      </c>
      <c r="P38" s="30">
        <f t="shared" si="14"/>
        <v>13.512721999931131</v>
      </c>
      <c r="Q38" s="30">
        <f t="shared" si="5"/>
        <v>437.20000000000005</v>
      </c>
      <c r="R38" s="30">
        <f t="shared" si="6"/>
        <v>65.58</v>
      </c>
      <c r="S38" s="30">
        <f t="shared" si="7"/>
        <v>25833.333333333332</v>
      </c>
      <c r="T38" s="30">
        <f t="shared" si="8"/>
        <v>-32053.423584478573</v>
      </c>
      <c r="U38" s="30">
        <f t="shared" si="2"/>
        <v>24.570948133388107</v>
      </c>
      <c r="V38" s="30">
        <f t="shared" si="9"/>
        <v>-32077.99453261196</v>
      </c>
      <c r="W38" s="30">
        <f t="shared" si="10"/>
        <v>-32077.99453261196</v>
      </c>
      <c r="X38" s="30">
        <f t="shared" si="11"/>
        <v>0</v>
      </c>
    </row>
    <row r="39" spans="1:24" x14ac:dyDescent="0.3">
      <c r="A39" s="29"/>
      <c r="B39" s="29"/>
      <c r="C39" s="32">
        <v>1</v>
      </c>
      <c r="D39" s="32"/>
      <c r="E39" s="32" t="s">
        <v>205</v>
      </c>
      <c r="F39" s="29">
        <v>0</v>
      </c>
      <c r="G39" s="29">
        <f>IFERROR(VLOOKUP(A39,Modelos[],18,0),0)*F39/C39</f>
        <v>0</v>
      </c>
      <c r="H39" s="41">
        <f t="shared" si="3"/>
        <v>0</v>
      </c>
      <c r="I39" s="29">
        <f t="shared" si="0"/>
        <v>0</v>
      </c>
      <c r="J39" s="29">
        <f t="shared" si="4"/>
        <v>0</v>
      </c>
      <c r="K39" s="29">
        <f>Sup!$A$2*D39</f>
        <v>0</v>
      </c>
      <c r="L39" s="29">
        <f>IFERROR(VLOOKUP(A39,Modelos[],IF(B39="EST",15,14),0),0)/C39</f>
        <v>0</v>
      </c>
      <c r="M39" s="29">
        <f t="shared" si="14"/>
        <v>0</v>
      </c>
      <c r="N39" s="29">
        <f t="shared" si="14"/>
        <v>0</v>
      </c>
      <c r="O39" s="29">
        <f t="shared" si="14"/>
        <v>0</v>
      </c>
      <c r="P39" s="29">
        <f t="shared" si="14"/>
        <v>0</v>
      </c>
      <c r="Q39" s="29">
        <f t="shared" si="5"/>
        <v>0</v>
      </c>
      <c r="R39" s="29">
        <f t="shared" si="6"/>
        <v>0</v>
      </c>
      <c r="S39" s="29">
        <f t="shared" si="7"/>
        <v>0</v>
      </c>
      <c r="T39" s="29">
        <f t="shared" si="8"/>
        <v>0</v>
      </c>
      <c r="U39" s="29">
        <f t="shared" si="2"/>
        <v>0</v>
      </c>
      <c r="V39" s="29">
        <f t="shared" si="9"/>
        <v>0</v>
      </c>
      <c r="W39" s="29">
        <f t="shared" si="10"/>
        <v>0</v>
      </c>
      <c r="X39" s="29">
        <f t="shared" si="11"/>
        <v>0</v>
      </c>
    </row>
    <row r="40" spans="1:24" x14ac:dyDescent="0.3">
      <c r="A40" s="30"/>
      <c r="B40" s="30"/>
      <c r="C40" s="33">
        <v>1</v>
      </c>
      <c r="D40" s="33"/>
      <c r="E40" s="33" t="s">
        <v>34</v>
      </c>
      <c r="F40" s="29">
        <f>VLOOKUP(E40,Ventas!C:H,5,0)</f>
        <v>-6713.8461538461534</v>
      </c>
      <c r="G40" s="30">
        <f>IFERROR(VLOOKUP(A40,Modelos[],18,0),0)*F40/C40</f>
        <v>0</v>
      </c>
      <c r="H40" s="42">
        <f t="shared" si="3"/>
        <v>-6713.8461538461534</v>
      </c>
      <c r="I40" s="30">
        <f t="shared" si="0"/>
        <v>-2349.8461538461534</v>
      </c>
      <c r="J40" s="30">
        <f t="shared" si="4"/>
        <v>-4364</v>
      </c>
      <c r="K40" s="30">
        <f>Sup!$A$2*D40</f>
        <v>0</v>
      </c>
      <c r="L40" s="30">
        <f>IFERROR(VLOOKUP(A40,Modelos[],IF(B40="EST",15,14),0),0)/C40</f>
        <v>0</v>
      </c>
      <c r="M40" s="30">
        <f t="shared" si="14"/>
        <v>0</v>
      </c>
      <c r="N40" s="30">
        <f t="shared" si="14"/>
        <v>0</v>
      </c>
      <c r="O40" s="30">
        <f t="shared" si="14"/>
        <v>0</v>
      </c>
      <c r="P40" s="30">
        <f t="shared" si="14"/>
        <v>0</v>
      </c>
      <c r="Q40" s="30">
        <f t="shared" si="5"/>
        <v>-1745.6000000000001</v>
      </c>
      <c r="R40" s="30">
        <f t="shared" si="6"/>
        <v>-261.84000000000003</v>
      </c>
      <c r="S40" s="30">
        <f t="shared" si="7"/>
        <v>0</v>
      </c>
      <c r="T40" s="30">
        <f t="shared" si="8"/>
        <v>-2356.56</v>
      </c>
      <c r="U40" s="30">
        <f t="shared" si="2"/>
        <v>0</v>
      </c>
      <c r="V40" s="30">
        <f t="shared" si="9"/>
        <v>-2356.5599999999995</v>
      </c>
      <c r="W40" s="30">
        <f t="shared" si="10"/>
        <v>-2356.56</v>
      </c>
      <c r="X40" s="30">
        <f t="shared" si="11"/>
        <v>0</v>
      </c>
    </row>
    <row r="41" spans="1:24" x14ac:dyDescent="0.3">
      <c r="A41" s="29"/>
      <c r="B41" s="29"/>
      <c r="C41" s="32">
        <v>1</v>
      </c>
      <c r="D41" s="32"/>
      <c r="E41" s="32" t="s">
        <v>35</v>
      </c>
      <c r="F41" s="29">
        <v>0</v>
      </c>
      <c r="G41" s="29">
        <f>IFERROR(VLOOKUP(A41,Modelos[],18,0),0)*F41/C41</f>
        <v>0</v>
      </c>
      <c r="H41" s="41">
        <f t="shared" si="3"/>
        <v>0</v>
      </c>
      <c r="I41" s="29">
        <f t="shared" si="0"/>
        <v>0</v>
      </c>
      <c r="J41" s="29">
        <f t="shared" si="4"/>
        <v>0</v>
      </c>
      <c r="K41" s="29">
        <f>Sup!$A$2*D41</f>
        <v>0</v>
      </c>
      <c r="L41" s="29">
        <f>IFERROR(VLOOKUP(A41,Modelos[],IF(B41="EST",15,14),0),0)/C41</f>
        <v>0</v>
      </c>
      <c r="M41" s="29">
        <f t="shared" si="14"/>
        <v>0</v>
      </c>
      <c r="N41" s="29">
        <f t="shared" si="14"/>
        <v>0</v>
      </c>
      <c r="O41" s="29">
        <f t="shared" si="14"/>
        <v>0</v>
      </c>
      <c r="P41" s="29">
        <f t="shared" si="14"/>
        <v>0</v>
      </c>
      <c r="Q41" s="29">
        <f t="shared" si="5"/>
        <v>0</v>
      </c>
      <c r="R41" s="29">
        <f t="shared" si="6"/>
        <v>0</v>
      </c>
      <c r="S41" s="29">
        <f t="shared" si="7"/>
        <v>0</v>
      </c>
      <c r="T41" s="29">
        <f t="shared" si="8"/>
        <v>0</v>
      </c>
      <c r="U41" s="29">
        <f t="shared" si="2"/>
        <v>0</v>
      </c>
      <c r="V41" s="29">
        <f t="shared" si="9"/>
        <v>0</v>
      </c>
      <c r="W41" s="29">
        <f t="shared" si="10"/>
        <v>0</v>
      </c>
      <c r="X41" s="29">
        <f t="shared" si="11"/>
        <v>0</v>
      </c>
    </row>
    <row r="42" spans="1:24" x14ac:dyDescent="0.3">
      <c r="A42" s="30"/>
      <c r="B42" s="30"/>
      <c r="C42" s="33">
        <v>1</v>
      </c>
      <c r="D42" s="33"/>
      <c r="E42" s="33" t="s">
        <v>37</v>
      </c>
      <c r="F42" s="29">
        <v>0</v>
      </c>
      <c r="G42" s="30">
        <f>IFERROR(VLOOKUP(A42,Modelos[],18,0),0)*F42/C42</f>
        <v>0</v>
      </c>
      <c r="H42" s="42">
        <f t="shared" si="3"/>
        <v>0</v>
      </c>
      <c r="I42" s="30">
        <f t="shared" si="0"/>
        <v>0</v>
      </c>
      <c r="J42" s="30">
        <f t="shared" si="4"/>
        <v>0</v>
      </c>
      <c r="K42" s="30">
        <f>Sup!$A$2*D42</f>
        <v>0</v>
      </c>
      <c r="L42" s="30">
        <f>IFERROR(VLOOKUP(A42,Modelos[],IF(B42="EST",15,14),0),0)/C42</f>
        <v>0</v>
      </c>
      <c r="M42" s="30">
        <f t="shared" si="14"/>
        <v>0</v>
      </c>
      <c r="N42" s="30">
        <f t="shared" si="14"/>
        <v>0</v>
      </c>
      <c r="O42" s="30">
        <f t="shared" si="14"/>
        <v>0</v>
      </c>
      <c r="P42" s="30">
        <f t="shared" si="14"/>
        <v>0</v>
      </c>
      <c r="Q42" s="30">
        <f t="shared" si="5"/>
        <v>0</v>
      </c>
      <c r="R42" s="30">
        <f t="shared" si="6"/>
        <v>0</v>
      </c>
      <c r="S42" s="30">
        <f t="shared" si="7"/>
        <v>0</v>
      </c>
      <c r="T42" s="30">
        <f t="shared" si="8"/>
        <v>0</v>
      </c>
      <c r="U42" s="30">
        <f t="shared" si="2"/>
        <v>0</v>
      </c>
      <c r="V42" s="30">
        <f t="shared" si="9"/>
        <v>0</v>
      </c>
      <c r="W42" s="30">
        <f t="shared" si="10"/>
        <v>0</v>
      </c>
      <c r="X42" s="30">
        <f t="shared" si="11"/>
        <v>0</v>
      </c>
    </row>
    <row r="43" spans="1:24" x14ac:dyDescent="0.3">
      <c r="A43" s="32"/>
      <c r="B43" s="32"/>
      <c r="C43" s="32">
        <v>1</v>
      </c>
      <c r="D43" s="32"/>
      <c r="E43" s="32" t="s">
        <v>38</v>
      </c>
      <c r="F43" s="29">
        <f>VLOOKUP(E43,Ventas!C:H,5,0)</f>
        <v>-6713.8461538461534</v>
      </c>
      <c r="G43" s="29">
        <f>IFERROR(VLOOKUP(A43,Modelos[],18,0),0)*F43/C43</f>
        <v>0</v>
      </c>
      <c r="H43" s="41">
        <f t="shared" si="3"/>
        <v>-6713.8461538461534</v>
      </c>
      <c r="I43" s="29">
        <f t="shared" si="0"/>
        <v>-2349.8461538461534</v>
      </c>
      <c r="J43" s="29">
        <f t="shared" si="4"/>
        <v>-4364</v>
      </c>
      <c r="K43" s="29">
        <f>Sup!$A$2*D43</f>
        <v>0</v>
      </c>
      <c r="L43" s="29">
        <f>IFERROR(VLOOKUP(A43,Modelos[],IF(B43="EST",15,14),0),0)/C43</f>
        <v>0</v>
      </c>
      <c r="M43" s="29">
        <f t="shared" si="14"/>
        <v>0</v>
      </c>
      <c r="N43" s="29">
        <f t="shared" si="14"/>
        <v>0</v>
      </c>
      <c r="O43" s="29">
        <f t="shared" si="14"/>
        <v>0</v>
      </c>
      <c r="P43" s="29">
        <f t="shared" si="14"/>
        <v>0</v>
      </c>
      <c r="Q43" s="29">
        <f t="shared" si="5"/>
        <v>-1745.6000000000001</v>
      </c>
      <c r="R43" s="29">
        <f t="shared" si="6"/>
        <v>-261.84000000000003</v>
      </c>
      <c r="S43" s="29">
        <f t="shared" si="7"/>
        <v>0</v>
      </c>
      <c r="T43" s="29">
        <f t="shared" si="8"/>
        <v>-2356.56</v>
      </c>
      <c r="U43" s="29">
        <f t="shared" si="2"/>
        <v>0</v>
      </c>
      <c r="V43" s="29">
        <f t="shared" si="9"/>
        <v>-2356.5599999999995</v>
      </c>
      <c r="W43" s="29">
        <f t="shared" si="10"/>
        <v>-2356.56</v>
      </c>
      <c r="X43" s="29">
        <f t="shared" si="11"/>
        <v>0</v>
      </c>
    </row>
    <row r="44" spans="1:24" x14ac:dyDescent="0.3">
      <c r="E44" s="34" t="s">
        <v>121</v>
      </c>
      <c r="F44" s="28">
        <f>SUM(F5:F43)</f>
        <v>50579299.999999993</v>
      </c>
      <c r="G44" s="28">
        <f t="shared" ref="G44:X44" si="15">SUM(G5:G43)</f>
        <v>0</v>
      </c>
      <c r="H44" s="28">
        <f t="shared" si="15"/>
        <v>50579299.999999993</v>
      </c>
      <c r="I44" s="28">
        <f t="shared" si="15"/>
        <v>17702754.999999996</v>
      </c>
      <c r="J44" s="28">
        <f t="shared" si="15"/>
        <v>32876545</v>
      </c>
      <c r="K44" s="28">
        <f t="shared" si="15"/>
        <v>230365.2125651041</v>
      </c>
      <c r="L44" s="28">
        <f t="shared" si="15"/>
        <v>0</v>
      </c>
      <c r="M44" s="28">
        <f t="shared" si="15"/>
        <v>292722.85214767203</v>
      </c>
      <c r="N44" s="28">
        <f t="shared" si="15"/>
        <v>56918.332362047367</v>
      </c>
      <c r="O44" s="28">
        <f t="shared" si="15"/>
        <v>292722.85214767203</v>
      </c>
      <c r="P44" s="28">
        <f t="shared" si="15"/>
        <v>406559.51687176689</v>
      </c>
      <c r="Q44" s="28">
        <f t="shared" si="15"/>
        <v>13150618.000000002</v>
      </c>
      <c r="R44" s="28">
        <f t="shared" si="15"/>
        <v>1972592.6999999997</v>
      </c>
      <c r="S44" s="28">
        <f t="shared" si="15"/>
        <v>878333.33333333372</v>
      </c>
      <c r="T44" s="28">
        <f t="shared" si="15"/>
        <v>15595712.200572399</v>
      </c>
      <c r="U44" s="28">
        <f t="shared" si="15"/>
        <v>739270.20790055674</v>
      </c>
      <c r="V44" s="28">
        <f t="shared" si="15"/>
        <v>14856441.992671853</v>
      </c>
      <c r="W44" s="28">
        <f t="shared" si="15"/>
        <v>14856441.992671851</v>
      </c>
      <c r="X44" s="28">
        <f t="shared" si="15"/>
        <v>-1.0000000000000001E-9</v>
      </c>
    </row>
  </sheetData>
  <autoFilter ref="A4:V4" xr:uid="{D8EF04E0-4AD1-4213-8F52-0966A31F0C1D}"/>
  <sortState xmlns:xlrd2="http://schemas.microsoft.com/office/spreadsheetml/2017/richdata2" ref="E5:F43">
    <sortCondition descending="1" ref="F5:F43"/>
  </sortState>
  <mergeCells count="1">
    <mergeCell ref="M1:N1"/>
  </mergeCells>
  <conditionalFormatting sqref="F5:F43">
    <cfRule type="colorScale" priority="3">
      <colorScale>
        <cfvo type="min"/>
        <cfvo type="percentile" val="50"/>
        <cfvo type="max"/>
        <color rgb="FFF8696B"/>
        <color rgb="FFFFEB84"/>
        <color rgb="FF63BE7B"/>
      </colorScale>
    </cfRule>
  </conditionalFormatting>
  <conditionalFormatting sqref="V5:W43">
    <cfRule type="cellIs" dxfId="78" priority="2" operator="lessThan">
      <formula>0</formula>
    </cfRule>
  </conditionalFormatting>
  <conditionalFormatting sqref="X5:X43">
    <cfRule type="iconSet" priority="1">
      <iconSet iconSet="3Arrows">
        <cfvo type="percent" val="0"/>
        <cfvo type="num" val="0"/>
        <cfvo type="num" val="0" gte="0"/>
      </iconSet>
    </cfRule>
  </conditionalFormatting>
  <dataValidations count="2">
    <dataValidation type="list" allowBlank="1" showInputMessage="1" showErrorMessage="1" sqref="B5:B43" xr:uid="{BA99E788-1C42-480F-A27F-F10342A19FFA}">
      <formula1>"Outsourcing,EST"</formula1>
    </dataValidation>
    <dataValidation type="list" allowBlank="1" showInputMessage="1" showErrorMessage="1" sqref="A5:A43" xr:uid="{2D0E9354-93F4-4D37-A006-3C9699B023A1}">
      <formula1>Modelo</formula1>
    </dataValidation>
  </dataValidations>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4A47-11BC-4A9B-A00E-92451210E87B}">
  <dimension ref="A3:W30"/>
  <sheetViews>
    <sheetView showGridLines="0" zoomScale="80" zoomScaleNormal="80" workbookViewId="0">
      <selection activeCell="T10" sqref="T10"/>
    </sheetView>
  </sheetViews>
  <sheetFormatPr baseColWidth="10" defaultRowHeight="14.4" x14ac:dyDescent="0.3"/>
  <cols>
    <col min="1" max="1" width="15.6640625" customWidth="1"/>
    <col min="2" max="2" width="13.6640625" bestFit="1" customWidth="1"/>
    <col min="3" max="3" width="9.33203125" bestFit="1" customWidth="1"/>
    <col min="4" max="5" width="4.6640625" customWidth="1"/>
    <col min="6" max="6" width="23.88671875" customWidth="1"/>
    <col min="7" max="7" width="27.109375" bestFit="1" customWidth="1"/>
    <col min="8" max="8" width="9.33203125" bestFit="1" customWidth="1"/>
    <col min="9" max="9" width="16.6640625" bestFit="1" customWidth="1"/>
    <col min="10" max="10" width="11.44140625" bestFit="1" customWidth="1"/>
    <col min="11" max="11" width="4.33203125" bestFit="1" customWidth="1"/>
    <col min="12" max="12" width="4.88671875" bestFit="1" customWidth="1"/>
    <col min="13" max="13" width="4.5546875" bestFit="1" customWidth="1"/>
    <col min="14" max="15" width="4.109375" bestFit="1" customWidth="1"/>
    <col min="16" max="16" width="4.44140625" bestFit="1" customWidth="1"/>
    <col min="17" max="17" width="5.5546875" bestFit="1" customWidth="1"/>
    <col min="18" max="18" width="27.33203125" bestFit="1" customWidth="1"/>
    <col min="19" max="19" width="17.44140625" bestFit="1" customWidth="1"/>
    <col min="20" max="20" width="10.33203125" bestFit="1" customWidth="1"/>
    <col min="21" max="21" width="19.88671875" bestFit="1" customWidth="1"/>
    <col min="22" max="22" width="37.109375" bestFit="1" customWidth="1"/>
    <col min="23" max="23" width="14.88671875" bestFit="1" customWidth="1"/>
  </cols>
  <sheetData>
    <row r="3" spans="1:23" x14ac:dyDescent="0.3">
      <c r="A3" t="s">
        <v>137</v>
      </c>
      <c r="B3" s="18" t="s">
        <v>139</v>
      </c>
      <c r="C3" s="18" t="s">
        <v>140</v>
      </c>
      <c r="F3" s="37" t="s">
        <v>156</v>
      </c>
      <c r="G3" s="18" t="s">
        <v>172</v>
      </c>
      <c r="H3" s="18" t="s">
        <v>145</v>
      </c>
      <c r="I3" t="s">
        <v>129</v>
      </c>
      <c r="J3" s="18" t="s">
        <v>146</v>
      </c>
      <c r="K3" s="18" t="s">
        <v>130</v>
      </c>
      <c r="L3" s="18" t="s">
        <v>131</v>
      </c>
      <c r="M3" s="18" t="s">
        <v>132</v>
      </c>
      <c r="N3" s="18" t="s">
        <v>133</v>
      </c>
      <c r="O3" s="18" t="s">
        <v>134</v>
      </c>
      <c r="P3" s="18" t="s">
        <v>135</v>
      </c>
      <c r="Q3" s="18" t="s">
        <v>136</v>
      </c>
      <c r="R3" s="18" t="s">
        <v>137</v>
      </c>
      <c r="S3" s="18" t="s">
        <v>152</v>
      </c>
      <c r="T3" s="18" t="s">
        <v>153</v>
      </c>
      <c r="U3" s="18" t="s">
        <v>150</v>
      </c>
      <c r="V3" s="18" t="s">
        <v>151</v>
      </c>
      <c r="W3" s="18" t="s">
        <v>155</v>
      </c>
    </row>
    <row r="4" spans="1:23" x14ac:dyDescent="0.3">
      <c r="A4" t="s">
        <v>138</v>
      </c>
      <c r="B4" s="35">
        <v>0.45833333333333331</v>
      </c>
      <c r="C4" s="35">
        <v>0.54166666666666663</v>
      </c>
      <c r="F4" s="37" t="s">
        <v>291</v>
      </c>
      <c r="G4" s="18">
        <v>28</v>
      </c>
      <c r="H4" s="18" t="s">
        <v>300</v>
      </c>
      <c r="I4" t="s">
        <v>302</v>
      </c>
      <c r="J4" s="18"/>
      <c r="K4" s="18">
        <v>1</v>
      </c>
      <c r="L4" s="18">
        <v>1</v>
      </c>
      <c r="M4" s="18">
        <v>1</v>
      </c>
      <c r="N4" s="18">
        <v>1</v>
      </c>
      <c r="O4" s="18">
        <v>1</v>
      </c>
      <c r="P4" s="18">
        <v>1</v>
      </c>
      <c r="Q4" s="18"/>
      <c r="R4" s="18" t="s">
        <v>144</v>
      </c>
      <c r="S4" s="16">
        <f>Estructuras!D$50</f>
        <v>748009.39609375014</v>
      </c>
      <c r="T4" s="16">
        <f>(Estructuras!D$48-Estructuras!D$55)*1.15</f>
        <v>700103.87005208351</v>
      </c>
      <c r="U4" s="18" t="s">
        <v>125</v>
      </c>
      <c r="V4" s="18" t="s">
        <v>58</v>
      </c>
      <c r="W4" s="36">
        <v>0</v>
      </c>
    </row>
    <row r="5" spans="1:23" x14ac:dyDescent="0.3">
      <c r="A5" t="s">
        <v>204</v>
      </c>
      <c r="B5" s="35">
        <v>0.54166666666666663</v>
      </c>
      <c r="C5" s="35">
        <v>0.625</v>
      </c>
      <c r="F5" s="37" t="s">
        <v>292</v>
      </c>
      <c r="G5" s="18">
        <v>28</v>
      </c>
      <c r="H5" s="18" t="s">
        <v>300</v>
      </c>
      <c r="I5" t="s">
        <v>302</v>
      </c>
      <c r="J5" s="18"/>
      <c r="K5" s="18">
        <v>1</v>
      </c>
      <c r="L5" s="18">
        <v>1</v>
      </c>
      <c r="M5" s="18">
        <v>1</v>
      </c>
      <c r="N5" s="18">
        <v>1</v>
      </c>
      <c r="O5" s="18">
        <v>1</v>
      </c>
      <c r="P5" s="18">
        <v>1</v>
      </c>
      <c r="Q5" s="18"/>
      <c r="R5" s="18" t="s">
        <v>144</v>
      </c>
      <c r="S5" s="16">
        <f>Estructuras!E$50</f>
        <v>848564.83906250005</v>
      </c>
      <c r="T5" s="16">
        <f>(Estructuras!E$48-Estructuras!E$55)*1.15</f>
        <v>796331.59947916656</v>
      </c>
      <c r="U5" s="18" t="s">
        <v>125</v>
      </c>
      <c r="V5" s="18" t="s">
        <v>58</v>
      </c>
      <c r="W5" s="36">
        <v>0</v>
      </c>
    </row>
    <row r="6" spans="1:23" x14ac:dyDescent="0.3">
      <c r="A6" t="s">
        <v>142</v>
      </c>
      <c r="B6" s="35">
        <v>0.625</v>
      </c>
      <c r="C6" s="35">
        <v>0.70833333333333337</v>
      </c>
      <c r="F6" s="37" t="s">
        <v>293</v>
      </c>
      <c r="G6" s="18">
        <v>14</v>
      </c>
      <c r="H6" s="18" t="s">
        <v>300</v>
      </c>
      <c r="I6" t="s">
        <v>301</v>
      </c>
      <c r="J6" s="18"/>
      <c r="K6" s="18">
        <v>1</v>
      </c>
      <c r="L6" s="18"/>
      <c r="M6" s="18">
        <v>1</v>
      </c>
      <c r="N6" s="18"/>
      <c r="O6" s="18">
        <v>1</v>
      </c>
      <c r="P6" s="18"/>
      <c r="Q6" s="18"/>
      <c r="R6" s="18" t="s">
        <v>144</v>
      </c>
      <c r="S6" s="16">
        <f>Estructuras!F$50</f>
        <v>354728.25609375001</v>
      </c>
      <c r="T6" s="16">
        <f>(Estructuras!F$48-Estructuras!F$55)*1.15</f>
        <v>328418.19671875</v>
      </c>
      <c r="U6" s="18" t="s">
        <v>125</v>
      </c>
      <c r="V6" s="18" t="s">
        <v>58</v>
      </c>
      <c r="W6" s="36">
        <v>0</v>
      </c>
    </row>
    <row r="7" spans="1:23" x14ac:dyDescent="0.3">
      <c r="A7" t="s">
        <v>143</v>
      </c>
      <c r="B7" s="35">
        <v>0.70833333333333337</v>
      </c>
      <c r="C7" s="35">
        <v>0.79166666666666663</v>
      </c>
      <c r="F7" s="37" t="s">
        <v>294</v>
      </c>
      <c r="G7" s="18">
        <v>28</v>
      </c>
      <c r="H7" s="18" t="s">
        <v>300</v>
      </c>
      <c r="I7" t="s">
        <v>147</v>
      </c>
      <c r="J7" s="18">
        <v>9</v>
      </c>
      <c r="K7" s="18">
        <v>1</v>
      </c>
      <c r="L7" s="18">
        <v>1</v>
      </c>
      <c r="M7" s="18">
        <v>1</v>
      </c>
      <c r="N7" s="18">
        <v>1</v>
      </c>
      <c r="O7" s="18">
        <v>1</v>
      </c>
      <c r="P7" s="18"/>
      <c r="Q7" s="18"/>
      <c r="R7" s="18" t="s">
        <v>144</v>
      </c>
      <c r="S7" s="16">
        <f>Estructuras!G$50</f>
        <v>598680.58796874993</v>
      </c>
      <c r="T7" s="16">
        <f>(Estructuras!G$48-Estructuras!G$55)*1.15</f>
        <v>559374.47442708316</v>
      </c>
      <c r="U7" s="18" t="s">
        <v>149</v>
      </c>
      <c r="V7" s="18" t="s">
        <v>154</v>
      </c>
      <c r="W7" s="36">
        <v>0.1</v>
      </c>
    </row>
    <row r="8" spans="1:23" x14ac:dyDescent="0.3">
      <c r="A8" t="s">
        <v>141</v>
      </c>
      <c r="B8" s="35">
        <v>0.79166666666666663</v>
      </c>
      <c r="C8" s="35">
        <v>0.875</v>
      </c>
      <c r="F8" s="37" t="s">
        <v>295</v>
      </c>
      <c r="G8" s="18">
        <v>8</v>
      </c>
      <c r="H8" s="18" t="s">
        <v>300</v>
      </c>
      <c r="I8" t="s">
        <v>303</v>
      </c>
      <c r="J8" s="18">
        <v>9</v>
      </c>
      <c r="K8" s="18"/>
      <c r="L8" s="18"/>
      <c r="M8" s="18"/>
      <c r="N8" s="18"/>
      <c r="O8" s="18"/>
      <c r="P8" s="18">
        <v>1</v>
      </c>
      <c r="Q8" s="18">
        <v>1</v>
      </c>
      <c r="R8" s="18" t="s">
        <v>144</v>
      </c>
      <c r="S8" s="16">
        <f>Estructuras!H$50</f>
        <v>281148.89140624995</v>
      </c>
      <c r="T8" s="16">
        <f>(Estructuras!H$48-Estructuras!H$55)*1.15</f>
        <v>263038.66744791658</v>
      </c>
      <c r="U8" s="18" t="s">
        <v>149</v>
      </c>
      <c r="V8" s="18" t="s">
        <v>154</v>
      </c>
      <c r="W8" s="36">
        <v>0.1</v>
      </c>
    </row>
    <row r="9" spans="1:23" x14ac:dyDescent="0.3">
      <c r="B9" s="18"/>
      <c r="C9" s="18"/>
      <c r="F9" s="37" t="s">
        <v>296</v>
      </c>
      <c r="G9" s="18">
        <v>12</v>
      </c>
      <c r="H9" s="18" t="s">
        <v>300</v>
      </c>
      <c r="I9" t="s">
        <v>304</v>
      </c>
      <c r="J9" s="18">
        <v>9</v>
      </c>
      <c r="K9" s="18"/>
      <c r="L9" s="18"/>
      <c r="M9" s="18"/>
      <c r="N9" s="18"/>
      <c r="O9" s="18">
        <v>1</v>
      </c>
      <c r="P9" s="18">
        <v>1</v>
      </c>
      <c r="Q9" s="18">
        <v>1</v>
      </c>
      <c r="R9" s="18" t="s">
        <v>144</v>
      </c>
      <c r="S9" s="16">
        <f>Estructuras!I$50</f>
        <v>374102.87031249999</v>
      </c>
      <c r="T9" s="16">
        <f>(Estructuras!I$48-Estructuras!I$55)*1.15</f>
        <v>351113.1723958333</v>
      </c>
      <c r="U9" s="18" t="s">
        <v>149</v>
      </c>
      <c r="V9" s="18" t="s">
        <v>154</v>
      </c>
      <c r="W9" s="36">
        <v>0.1</v>
      </c>
    </row>
    <row r="10" spans="1:23" x14ac:dyDescent="0.3">
      <c r="B10" s="18"/>
      <c r="C10" s="18"/>
      <c r="F10" s="37" t="s">
        <v>297</v>
      </c>
      <c r="G10" s="18">
        <v>28</v>
      </c>
      <c r="H10" s="18" t="s">
        <v>300</v>
      </c>
      <c r="I10" t="s">
        <v>148</v>
      </c>
      <c r="J10" s="18">
        <v>4.5</v>
      </c>
      <c r="K10" s="18">
        <v>1</v>
      </c>
      <c r="L10" s="18">
        <v>1</v>
      </c>
      <c r="M10" s="18">
        <v>1</v>
      </c>
      <c r="N10" s="18">
        <v>1</v>
      </c>
      <c r="O10" s="18">
        <v>1</v>
      </c>
      <c r="P10" s="18"/>
      <c r="Q10" s="18"/>
      <c r="R10" s="18" t="s">
        <v>305</v>
      </c>
      <c r="S10" s="16">
        <f>Estructuras!J$50</f>
        <v>310333.7890625</v>
      </c>
      <c r="T10" s="16">
        <f>(Estructuras!J$48-Estructuras!J$55)*1.15</f>
        <v>290691.54947916663</v>
      </c>
      <c r="U10" s="18" t="s">
        <v>149</v>
      </c>
      <c r="V10" s="18" t="s">
        <v>311</v>
      </c>
      <c r="W10" s="36">
        <v>0.1</v>
      </c>
    </row>
    <row r="11" spans="1:23" x14ac:dyDescent="0.3">
      <c r="B11" s="18"/>
      <c r="C11" s="18"/>
      <c r="F11" s="37" t="s">
        <v>298</v>
      </c>
      <c r="G11" s="18">
        <v>8</v>
      </c>
      <c r="H11" s="18" t="s">
        <v>300</v>
      </c>
      <c r="I11" t="s">
        <v>290</v>
      </c>
      <c r="J11" s="18">
        <v>4.5</v>
      </c>
      <c r="K11" s="18"/>
      <c r="L11" s="18"/>
      <c r="M11" s="18"/>
      <c r="N11" s="18"/>
      <c r="O11" s="18"/>
      <c r="P11" s="18">
        <v>1</v>
      </c>
      <c r="Q11" s="18">
        <v>1</v>
      </c>
      <c r="R11" s="18" t="s">
        <v>305</v>
      </c>
      <c r="S11" s="16">
        <f>Estructuras!K$50</f>
        <v>154393.46562500001</v>
      </c>
      <c r="T11" s="16">
        <f>(Estructuras!K$48-Estructuras!K$55)*1.15</f>
        <v>142937.06979166667</v>
      </c>
      <c r="U11" s="18" t="s">
        <v>149</v>
      </c>
      <c r="V11" s="18" t="s">
        <v>311</v>
      </c>
      <c r="W11" s="36">
        <v>0.1</v>
      </c>
    </row>
    <row r="12" spans="1:23" x14ac:dyDescent="0.3">
      <c r="B12" s="18"/>
      <c r="C12" s="18"/>
      <c r="F12" s="37" t="s">
        <v>299</v>
      </c>
      <c r="G12" s="18">
        <v>12</v>
      </c>
      <c r="H12" s="18" t="s">
        <v>300</v>
      </c>
      <c r="I12" t="s">
        <v>289</v>
      </c>
      <c r="J12" s="18">
        <v>4.5</v>
      </c>
      <c r="K12" s="18"/>
      <c r="L12" s="18"/>
      <c r="M12" s="18"/>
      <c r="N12" s="18"/>
      <c r="O12" s="18">
        <v>1</v>
      </c>
      <c r="P12" s="18">
        <v>1</v>
      </c>
      <c r="Q12" s="18">
        <v>1</v>
      </c>
      <c r="R12" s="18" t="s">
        <v>305</v>
      </c>
      <c r="S12" s="16">
        <f>Estructuras!L$50</f>
        <v>204526.80039749993</v>
      </c>
      <c r="T12" s="16">
        <f>(Estructuras!L$48-Estructuras!L$55)*1.15</f>
        <v>190438.73344749995</v>
      </c>
      <c r="U12" s="18" t="s">
        <v>149</v>
      </c>
      <c r="V12" s="18" t="s">
        <v>311</v>
      </c>
      <c r="W12" s="36">
        <v>0.1</v>
      </c>
    </row>
    <row r="13" spans="1:23" x14ac:dyDescent="0.3">
      <c r="B13" s="18"/>
      <c r="C13" s="18"/>
    </row>
    <row r="14" spans="1:23" x14ac:dyDescent="0.3">
      <c r="B14" s="18"/>
      <c r="C14" s="18"/>
    </row>
    <row r="15" spans="1:23" x14ac:dyDescent="0.3">
      <c r="A15" t="s">
        <v>318</v>
      </c>
      <c r="B15" s="56" t="s">
        <v>91</v>
      </c>
      <c r="C15" s="18"/>
    </row>
    <row r="16" spans="1:23" x14ac:dyDescent="0.3">
      <c r="A16" t="s">
        <v>6</v>
      </c>
      <c r="B16" s="56">
        <v>10000</v>
      </c>
      <c r="C16" s="18"/>
    </row>
    <row r="17" spans="1:3" x14ac:dyDescent="0.3">
      <c r="A17" t="s">
        <v>176</v>
      </c>
      <c r="B17" s="56">
        <v>10000</v>
      </c>
      <c r="C17" s="18"/>
    </row>
    <row r="18" spans="1:3" x14ac:dyDescent="0.3">
      <c r="A18" t="s">
        <v>320</v>
      </c>
      <c r="B18" s="56">
        <v>100000</v>
      </c>
      <c r="C18" s="18"/>
    </row>
    <row r="19" spans="1:3" x14ac:dyDescent="0.3">
      <c r="A19" t="s">
        <v>322</v>
      </c>
      <c r="B19" s="56">
        <v>30000</v>
      </c>
      <c r="C19" s="18"/>
    </row>
    <row r="20" spans="1:3" x14ac:dyDescent="0.3">
      <c r="A20" t="s">
        <v>22</v>
      </c>
      <c r="B20" s="56">
        <v>50000</v>
      </c>
      <c r="C20" s="18"/>
    </row>
    <row r="21" spans="1:3" x14ac:dyDescent="0.3">
      <c r="A21" t="s">
        <v>20</v>
      </c>
      <c r="B21" s="56">
        <v>60000</v>
      </c>
      <c r="C21" s="18"/>
    </row>
    <row r="22" spans="1:3" x14ac:dyDescent="0.3">
      <c r="A22" t="s">
        <v>243</v>
      </c>
      <c r="B22" s="16">
        <v>0</v>
      </c>
    </row>
    <row r="23" spans="1:3" x14ac:dyDescent="0.3">
      <c r="A23" t="s">
        <v>323</v>
      </c>
      <c r="B23" s="16">
        <v>55000</v>
      </c>
    </row>
    <row r="24" spans="1:3" x14ac:dyDescent="0.3">
      <c r="A24" t="s">
        <v>324</v>
      </c>
      <c r="B24" s="16">
        <v>55000</v>
      </c>
    </row>
    <row r="25" spans="1:3" x14ac:dyDescent="0.3">
      <c r="A25" t="s">
        <v>325</v>
      </c>
      <c r="B25" s="16">
        <v>55000</v>
      </c>
    </row>
    <row r="26" spans="1:3" x14ac:dyDescent="0.3">
      <c r="A26" t="s">
        <v>10</v>
      </c>
      <c r="B26" s="16">
        <v>15000</v>
      </c>
    </row>
    <row r="27" spans="1:3" x14ac:dyDescent="0.3">
      <c r="A27" t="s">
        <v>328</v>
      </c>
      <c r="B27" s="16">
        <v>90000</v>
      </c>
    </row>
    <row r="28" spans="1:3" x14ac:dyDescent="0.3">
      <c r="A28" t="s">
        <v>321</v>
      </c>
      <c r="B28" s="16">
        <v>0</v>
      </c>
    </row>
    <row r="29" spans="1:3" x14ac:dyDescent="0.3">
      <c r="A29" t="s">
        <v>319</v>
      </c>
      <c r="B29" s="16">
        <v>35000</v>
      </c>
    </row>
    <row r="30" spans="1:3" x14ac:dyDescent="0.3">
      <c r="A30" t="s">
        <v>327</v>
      </c>
      <c r="B30" s="16">
        <v>130000</v>
      </c>
    </row>
  </sheetData>
  <pageMargins left="0.7" right="0.7" top="0.75" bottom="0.75" header="0.3" footer="0.3"/>
  <pageSetup orientation="portrait" horizontalDpi="0" verticalDpi="0" r:id="rId1"/>
  <ignoredErrors>
    <ignoredError sqref="T4:T12" calculatedColumn="1"/>
  </ignoredErrors>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47A9B-CE00-4A95-95F3-AE2F1DF2E298}">
  <dimension ref="A1:M66"/>
  <sheetViews>
    <sheetView showGridLines="0" workbookViewId="0">
      <pane xSplit="2" ySplit="3" topLeftCell="C33" activePane="bottomRight" state="frozen"/>
      <selection pane="topRight" activeCell="C1" sqref="C1"/>
      <selection pane="bottomLeft" activeCell="A4" sqref="A4"/>
      <selection pane="bottomRight" activeCell="C31" sqref="C31:L32"/>
    </sheetView>
  </sheetViews>
  <sheetFormatPr baseColWidth="10" defaultRowHeight="14.4" x14ac:dyDescent="0.3"/>
  <cols>
    <col min="1" max="1" width="25.109375" bestFit="1" customWidth="1"/>
    <col min="2" max="2" width="8.5546875" bestFit="1" customWidth="1"/>
    <col min="3" max="8" width="16.109375" bestFit="1" customWidth="1"/>
    <col min="9" max="9" width="16.109375" hidden="1" customWidth="1"/>
    <col min="10" max="12" width="16.109375" bestFit="1" customWidth="1"/>
    <col min="13" max="14" width="12.44140625" bestFit="1" customWidth="1"/>
  </cols>
  <sheetData>
    <row r="1" spans="1:12" ht="15" thickBot="1" x14ac:dyDescent="0.35">
      <c r="A1" s="1" t="s">
        <v>46</v>
      </c>
      <c r="B1" s="1"/>
      <c r="C1" s="1" t="s">
        <v>306</v>
      </c>
      <c r="D1" s="1" t="s">
        <v>291</v>
      </c>
      <c r="E1" s="1" t="s">
        <v>292</v>
      </c>
      <c r="F1" s="1" t="s">
        <v>293</v>
      </c>
      <c r="G1" s="1" t="s">
        <v>294</v>
      </c>
      <c r="H1" s="1" t="s">
        <v>295</v>
      </c>
      <c r="I1" s="1" t="s">
        <v>296</v>
      </c>
      <c r="J1" s="1" t="s">
        <v>297</v>
      </c>
      <c r="K1" s="1" t="s">
        <v>298</v>
      </c>
      <c r="L1" s="1" t="s">
        <v>299</v>
      </c>
    </row>
    <row r="2" spans="1:12" ht="16.2" thickTop="1" x14ac:dyDescent="0.3">
      <c r="A2" s="2" t="s">
        <v>47</v>
      </c>
      <c r="B2" s="2"/>
      <c r="C2" s="2">
        <f t="shared" ref="C2:H2" si="0">C26</f>
        <v>1547394.9047679999</v>
      </c>
      <c r="D2" s="2">
        <f t="shared" si="0"/>
        <v>467460.625</v>
      </c>
      <c r="E2" s="2">
        <f t="shared" si="0"/>
        <v>518433.75</v>
      </c>
      <c r="F2" s="2">
        <f t="shared" ref="F2" si="1">F26</f>
        <v>203308.625</v>
      </c>
      <c r="G2" s="2">
        <f t="shared" si="0"/>
        <v>352509.125</v>
      </c>
      <c r="H2" s="2">
        <f t="shared" si="0"/>
        <v>157919.375</v>
      </c>
      <c r="I2" s="2">
        <f t="shared" ref="I2:L2" si="2">I26</f>
        <v>214108.75</v>
      </c>
      <c r="J2" s="2">
        <f t="shared" si="2"/>
        <v>176243.75</v>
      </c>
      <c r="K2" s="2">
        <f t="shared" ref="K2" si="3">K26</f>
        <v>81297.5</v>
      </c>
      <c r="L2" s="2">
        <f t="shared" si="2"/>
        <v>110692.378</v>
      </c>
    </row>
    <row r="3" spans="1:12" x14ac:dyDescent="0.3">
      <c r="A3" s="3" t="s">
        <v>48</v>
      </c>
      <c r="B3" s="3"/>
      <c r="C3" s="3">
        <f t="shared" ref="C3:L3" si="4">C48</f>
        <v>2139630.7202900001</v>
      </c>
      <c r="D3" s="3">
        <f t="shared" si="4"/>
        <v>650442.95312500012</v>
      </c>
      <c r="E3" s="3">
        <f t="shared" si="4"/>
        <v>737882.46875</v>
      </c>
      <c r="F3" s="3">
        <f t="shared" ref="F3" si="5">F48</f>
        <v>308459.35312500002</v>
      </c>
      <c r="G3" s="3">
        <f t="shared" si="4"/>
        <v>520591.81562499993</v>
      </c>
      <c r="H3" s="3">
        <f t="shared" si="4"/>
        <v>244477.29687499997</v>
      </c>
      <c r="I3" s="3">
        <f t="shared" si="4"/>
        <v>325306.84375</v>
      </c>
      <c r="J3" s="3">
        <f t="shared" si="4"/>
        <v>269855.46875</v>
      </c>
      <c r="K3" s="3">
        <f t="shared" ref="K3" si="6">K48</f>
        <v>134255.1875</v>
      </c>
      <c r="L3" s="3">
        <f t="shared" si="4"/>
        <v>177849.39164999995</v>
      </c>
    </row>
    <row r="4" spans="1:12" x14ac:dyDescent="0.3">
      <c r="A4" s="4" t="s">
        <v>49</v>
      </c>
      <c r="B4" s="4"/>
      <c r="C4" s="4" t="s">
        <v>50</v>
      </c>
      <c r="D4" s="4" t="s">
        <v>50</v>
      </c>
      <c r="E4" s="4" t="s">
        <v>50</v>
      </c>
      <c r="F4" s="4" t="s">
        <v>50</v>
      </c>
      <c r="G4" s="4" t="s">
        <v>50</v>
      </c>
      <c r="H4" s="4" t="s">
        <v>50</v>
      </c>
      <c r="I4" s="4" t="s">
        <v>50</v>
      </c>
      <c r="J4" s="4" t="s">
        <v>50</v>
      </c>
      <c r="K4" s="4" t="s">
        <v>50</v>
      </c>
      <c r="L4" s="4" t="s">
        <v>50</v>
      </c>
    </row>
    <row r="5" spans="1:12" x14ac:dyDescent="0.3">
      <c r="A5" s="5" t="s">
        <v>51</v>
      </c>
      <c r="B5" s="5"/>
      <c r="C5" s="5">
        <v>1500000</v>
      </c>
      <c r="D5" s="5">
        <v>315000</v>
      </c>
      <c r="E5" s="5">
        <v>340000</v>
      </c>
      <c r="F5" s="5">
        <v>153000</v>
      </c>
      <c r="G5" s="5">
        <v>301000</v>
      </c>
      <c r="H5" s="5">
        <v>135000</v>
      </c>
      <c r="I5" s="5">
        <v>190000</v>
      </c>
      <c r="J5" s="5">
        <v>150000</v>
      </c>
      <c r="K5" s="5">
        <v>60000</v>
      </c>
      <c r="L5" s="5">
        <v>92688</v>
      </c>
    </row>
    <row r="6" spans="1:12" x14ac:dyDescent="0.3">
      <c r="A6" s="4" t="s">
        <v>52</v>
      </c>
      <c r="B6" s="6">
        <v>0</v>
      </c>
      <c r="C6" s="4">
        <f t="shared" ref="C6:H6" si="7">$B6*ROUND(ROUND((C5/180)*(28/30)*1.5,0)*130%,0)</f>
        <v>0</v>
      </c>
      <c r="D6" s="4">
        <f t="shared" si="7"/>
        <v>0</v>
      </c>
      <c r="E6" s="4">
        <f t="shared" si="7"/>
        <v>0</v>
      </c>
      <c r="F6" s="4">
        <f t="shared" ref="F6" si="8">$B6*ROUND(ROUND((F5/180)*(28/30)*1.5,0)*130%,0)</f>
        <v>0</v>
      </c>
      <c r="G6" s="4">
        <f t="shared" si="7"/>
        <v>0</v>
      </c>
      <c r="H6" s="4">
        <f t="shared" si="7"/>
        <v>0</v>
      </c>
      <c r="I6" s="4">
        <f t="shared" ref="I6:L6" si="9">$B6*ROUND(ROUND((I5/180)*(28/30)*1.5,0)*130%,0)</f>
        <v>0</v>
      </c>
      <c r="J6" s="4">
        <f t="shared" si="9"/>
        <v>0</v>
      </c>
      <c r="K6" s="4">
        <f t="shared" si="9"/>
        <v>0</v>
      </c>
      <c r="L6" s="4">
        <f t="shared" si="9"/>
        <v>0</v>
      </c>
    </row>
    <row r="7" spans="1:12" x14ac:dyDescent="0.3">
      <c r="A7" s="5" t="s">
        <v>53</v>
      </c>
      <c r="B7" s="7">
        <v>0</v>
      </c>
      <c r="C7" s="5">
        <f t="shared" ref="C7:H7" si="10">$B7*ROUND((C5/180)*(28/30)*1.5,0)</f>
        <v>0</v>
      </c>
      <c r="D7" s="5">
        <f t="shared" si="10"/>
        <v>0</v>
      </c>
      <c r="E7" s="5">
        <f t="shared" si="10"/>
        <v>0</v>
      </c>
      <c r="F7" s="5">
        <f t="shared" ref="F7" si="11">$B7*ROUND((F5/180)*(28/30)*1.5,0)</f>
        <v>0</v>
      </c>
      <c r="G7" s="5">
        <f t="shared" si="10"/>
        <v>0</v>
      </c>
      <c r="H7" s="5">
        <f t="shared" si="10"/>
        <v>0</v>
      </c>
      <c r="I7" s="5">
        <f t="shared" ref="I7:L7" si="12">$B7*ROUND((I5/180)*(28/30)*1.5,0)</f>
        <v>0</v>
      </c>
      <c r="J7" s="5">
        <f t="shared" si="12"/>
        <v>0</v>
      </c>
      <c r="K7" s="5">
        <f t="shared" si="12"/>
        <v>0</v>
      </c>
      <c r="L7" s="5">
        <f t="shared" si="12"/>
        <v>0</v>
      </c>
    </row>
    <row r="8" spans="1:12" x14ac:dyDescent="0.3">
      <c r="A8" s="6" t="s">
        <v>54</v>
      </c>
      <c r="B8" s="6"/>
      <c r="C8" s="4">
        <f>MIN(Valores!$C$3,25%*SUM(Estructuras!C5:C7,Estructuras!C9:C13))</f>
        <v>119146</v>
      </c>
      <c r="D8" s="4">
        <f>MIN(Valores!$C$3,25%*SUM(Estructuras!D5:D7,Estructuras!D9:D13))</f>
        <v>86250</v>
      </c>
      <c r="E8" s="4">
        <f>MIN(Valores!$C$3,25%*SUM(Estructuras!E5:E7,Estructuras!E9:E13))</f>
        <v>97500</v>
      </c>
      <c r="F8" s="4">
        <f>MIN(Valores!$C$3,25%*SUM(Estructuras!F5:F7,Estructuras!F9:F13))</f>
        <v>38250</v>
      </c>
      <c r="G8" s="4">
        <f>MIN(Valores!$C$3,25%*SUM(Estructuras!G5:G7,Estructuras!G9:G13))</f>
        <v>75250</v>
      </c>
      <c r="H8" s="4">
        <f>MIN(Valores!$C$3,25%*SUM(Estructuras!H5:H7,Estructuras!H9:H13))</f>
        <v>33750</v>
      </c>
      <c r="I8" s="4">
        <f>MIN(Valores!$C$3,25%*SUM(Estructuras!I5:I7,Estructuras!I9:I13))</f>
        <v>47500</v>
      </c>
      <c r="J8" s="4">
        <f>MIN(Valores!$C$3,25%*SUM(Estructuras!J5:J7,Estructuras!J9:J13))</f>
        <v>37500</v>
      </c>
      <c r="K8" s="4">
        <f>MIN(Valores!$C$3,25%*SUM(Estructuras!K5:K7,Estructuras!K9:K13))</f>
        <v>15000</v>
      </c>
      <c r="L8" s="4">
        <f>MIN(Valores!$C$3,25%*SUM(Estructuras!L5:L7,Estructuras!L9:L13))</f>
        <v>23172</v>
      </c>
    </row>
    <row r="9" spans="1:12" x14ac:dyDescent="0.3">
      <c r="A9" s="5" t="s">
        <v>126</v>
      </c>
      <c r="B9" s="5"/>
      <c r="C9" s="5"/>
      <c r="D9" s="5"/>
      <c r="E9" s="5"/>
      <c r="F9" s="5"/>
      <c r="G9" s="5"/>
      <c r="H9" s="5"/>
      <c r="I9" s="5"/>
      <c r="J9" s="5"/>
      <c r="K9" s="5"/>
      <c r="L9" s="5"/>
    </row>
    <row r="10" spans="1:12" x14ac:dyDescent="0.3">
      <c r="A10" s="6" t="s">
        <v>307</v>
      </c>
      <c r="B10" s="6"/>
      <c r="C10" s="4"/>
      <c r="D10" s="4"/>
      <c r="E10" s="4"/>
      <c r="F10" s="4"/>
      <c r="G10" s="4"/>
      <c r="H10" s="4"/>
      <c r="I10" s="4"/>
      <c r="J10" s="4"/>
      <c r="K10" s="4"/>
      <c r="L10" s="4"/>
    </row>
    <row r="11" spans="1:12" x14ac:dyDescent="0.3">
      <c r="A11" s="5" t="s">
        <v>308</v>
      </c>
      <c r="B11" s="5"/>
      <c r="C11" s="5"/>
      <c r="D11" s="5">
        <v>30000</v>
      </c>
      <c r="E11" s="5">
        <v>50000</v>
      </c>
      <c r="F11" s="5"/>
      <c r="G11" s="5"/>
      <c r="H11" s="5"/>
      <c r="I11" s="5"/>
      <c r="J11" s="5"/>
      <c r="K11" s="5"/>
      <c r="L11" s="5"/>
    </row>
    <row r="12" spans="1:12" x14ac:dyDescent="0.3">
      <c r="A12" s="6" t="s">
        <v>84</v>
      </c>
      <c r="B12" s="6"/>
      <c r="C12" s="4"/>
      <c r="D12" s="4"/>
      <c r="E12" s="4"/>
      <c r="F12" s="4"/>
      <c r="G12" s="4"/>
      <c r="H12" s="4"/>
      <c r="I12" s="4"/>
      <c r="J12" s="4"/>
      <c r="K12" s="4"/>
      <c r="L12" s="4"/>
    </row>
    <row r="13" spans="1:12" x14ac:dyDescent="0.3">
      <c r="A13" s="5"/>
      <c r="B13" s="5"/>
      <c r="C13" s="5"/>
      <c r="D13" s="5"/>
      <c r="E13" s="5"/>
      <c r="F13" s="5"/>
      <c r="G13" s="5"/>
      <c r="H13" s="5"/>
      <c r="I13" s="5"/>
      <c r="J13" s="5"/>
      <c r="K13" s="5"/>
      <c r="L13" s="5"/>
    </row>
    <row r="14" spans="1:12" x14ac:dyDescent="0.3">
      <c r="A14" s="8" t="s">
        <v>55</v>
      </c>
      <c r="B14" s="8"/>
      <c r="C14" s="8">
        <f t="shared" ref="C14:H14" si="13">SUM(C5:C13)</f>
        <v>1619146</v>
      </c>
      <c r="D14" s="8">
        <f t="shared" si="13"/>
        <v>431250</v>
      </c>
      <c r="E14" s="8">
        <f t="shared" si="13"/>
        <v>487500</v>
      </c>
      <c r="F14" s="8">
        <f t="shared" ref="F14" si="14">SUM(F5:F13)</f>
        <v>191250</v>
      </c>
      <c r="G14" s="8">
        <f t="shared" si="13"/>
        <v>376250</v>
      </c>
      <c r="H14" s="8">
        <f t="shared" si="13"/>
        <v>168750</v>
      </c>
      <c r="I14" s="8">
        <f t="shared" ref="I14:L14" si="15">SUM(I5:I13)</f>
        <v>237500</v>
      </c>
      <c r="J14" s="8">
        <f t="shared" si="15"/>
        <v>187500</v>
      </c>
      <c r="K14" s="8">
        <f t="shared" ref="K14" si="16">SUM(K5:K13)</f>
        <v>75000</v>
      </c>
      <c r="L14" s="8">
        <f t="shared" si="15"/>
        <v>115860</v>
      </c>
    </row>
    <row r="15" spans="1:12" x14ac:dyDescent="0.3">
      <c r="A15" s="5" t="s">
        <v>56</v>
      </c>
      <c r="B15" s="5"/>
      <c r="C15" s="5">
        <v>75000</v>
      </c>
      <c r="D15" s="5">
        <v>60000</v>
      </c>
      <c r="E15" s="5">
        <v>60000</v>
      </c>
      <c r="F15" s="5">
        <v>13500</v>
      </c>
      <c r="G15" s="5">
        <v>10000</v>
      </c>
      <c r="H15" s="5">
        <v>10000</v>
      </c>
      <c r="I15" s="5">
        <v>10000</v>
      </c>
      <c r="J15" s="5">
        <v>13000</v>
      </c>
      <c r="K15" s="5">
        <v>10000</v>
      </c>
      <c r="L15" s="5">
        <v>8000</v>
      </c>
    </row>
    <row r="16" spans="1:12" x14ac:dyDescent="0.3">
      <c r="A16" s="4" t="s">
        <v>57</v>
      </c>
      <c r="B16" s="4"/>
      <c r="C16" s="4">
        <v>75000</v>
      </c>
      <c r="D16" s="4">
        <v>15000</v>
      </c>
      <c r="E16" s="4">
        <v>20000</v>
      </c>
      <c r="F16" s="4">
        <v>13500</v>
      </c>
      <c r="G16" s="4">
        <v>15000</v>
      </c>
      <c r="H16" s="4">
        <v>0</v>
      </c>
      <c r="I16" s="4">
        <v>0</v>
      </c>
      <c r="J16" s="4">
        <v>0</v>
      </c>
      <c r="K16" s="4">
        <v>0</v>
      </c>
      <c r="L16" s="4">
        <v>0</v>
      </c>
    </row>
    <row r="17" spans="1:12" x14ac:dyDescent="0.3">
      <c r="A17" s="5" t="s">
        <v>309</v>
      </c>
      <c r="B17" s="5"/>
      <c r="C17" s="5">
        <v>100000</v>
      </c>
      <c r="D17" s="5">
        <v>20000</v>
      </c>
      <c r="E17" s="5">
        <v>20000</v>
      </c>
      <c r="F17" s="5">
        <v>20000</v>
      </c>
      <c r="G17" s="5">
        <v>20000</v>
      </c>
      <c r="H17" s="5">
        <v>10000</v>
      </c>
      <c r="I17" s="5">
        <v>10000</v>
      </c>
      <c r="J17" s="5">
        <v>10000</v>
      </c>
      <c r="K17" s="5">
        <v>10000</v>
      </c>
      <c r="L17" s="5">
        <v>8000</v>
      </c>
    </row>
    <row r="18" spans="1:12" x14ac:dyDescent="0.3">
      <c r="A18" s="4" t="s">
        <v>310</v>
      </c>
      <c r="B18" s="4"/>
      <c r="C18" s="4"/>
      <c r="D18" s="4">
        <v>20000</v>
      </c>
      <c r="E18" s="4">
        <v>20000</v>
      </c>
      <c r="F18" s="4">
        <v>0</v>
      </c>
      <c r="G18" s="4">
        <v>0</v>
      </c>
      <c r="H18" s="4">
        <v>0</v>
      </c>
      <c r="I18" s="4">
        <v>0</v>
      </c>
      <c r="J18" s="4">
        <v>0</v>
      </c>
      <c r="K18" s="4">
        <v>0</v>
      </c>
      <c r="L18" s="4">
        <v>0</v>
      </c>
    </row>
    <row r="19" spans="1:12" x14ac:dyDescent="0.3">
      <c r="A19" s="5"/>
      <c r="B19" s="5"/>
      <c r="C19" s="5"/>
      <c r="D19" s="5"/>
      <c r="E19" s="5"/>
      <c r="F19" s="5"/>
      <c r="G19" s="5"/>
      <c r="H19" s="5"/>
      <c r="I19" s="5"/>
      <c r="J19" s="5"/>
      <c r="K19" s="5"/>
      <c r="L19" s="5"/>
    </row>
    <row r="20" spans="1:12" x14ac:dyDescent="0.3">
      <c r="A20" s="8" t="s">
        <v>59</v>
      </c>
      <c r="B20" s="8"/>
      <c r="C20" s="8">
        <f t="shared" ref="C20:H20" si="17">SUM(C15:C19)</f>
        <v>250000</v>
      </c>
      <c r="D20" s="8">
        <f t="shared" si="17"/>
        <v>115000</v>
      </c>
      <c r="E20" s="8">
        <f t="shared" si="17"/>
        <v>120000</v>
      </c>
      <c r="F20" s="8">
        <f t="shared" ref="F20" si="18">SUM(F15:F19)</f>
        <v>47000</v>
      </c>
      <c r="G20" s="8">
        <f t="shared" si="17"/>
        <v>45000</v>
      </c>
      <c r="H20" s="8">
        <f t="shared" si="17"/>
        <v>20000</v>
      </c>
      <c r="I20" s="8">
        <f t="shared" ref="I20:L20" si="19">SUM(I15:I19)</f>
        <v>20000</v>
      </c>
      <c r="J20" s="8">
        <f t="shared" si="19"/>
        <v>23000</v>
      </c>
      <c r="K20" s="8">
        <f t="shared" ref="K20" si="20">SUM(K15:K19)</f>
        <v>20000</v>
      </c>
      <c r="L20" s="8">
        <f t="shared" si="19"/>
        <v>16000</v>
      </c>
    </row>
    <row r="21" spans="1:12" x14ac:dyDescent="0.3">
      <c r="A21" s="8" t="s">
        <v>60</v>
      </c>
      <c r="B21" s="8"/>
      <c r="C21" s="8">
        <f t="shared" ref="C21:H21" si="21">SUM(C14,C20)</f>
        <v>1869146</v>
      </c>
      <c r="D21" s="8">
        <f t="shared" si="21"/>
        <v>546250</v>
      </c>
      <c r="E21" s="8">
        <f t="shared" si="21"/>
        <v>607500</v>
      </c>
      <c r="F21" s="8">
        <f t="shared" ref="F21" si="22">SUM(F14,F20)</f>
        <v>238250</v>
      </c>
      <c r="G21" s="8">
        <f t="shared" si="21"/>
        <v>421250</v>
      </c>
      <c r="H21" s="8">
        <f t="shared" si="21"/>
        <v>188750</v>
      </c>
      <c r="I21" s="8">
        <f t="shared" ref="I21:L21" si="23">SUM(I14,I20)</f>
        <v>257500</v>
      </c>
      <c r="J21" s="8">
        <f t="shared" si="23"/>
        <v>210500</v>
      </c>
      <c r="K21" s="8">
        <f t="shared" ref="K21" si="24">SUM(K14,K20)</f>
        <v>95000</v>
      </c>
      <c r="L21" s="8">
        <f t="shared" si="23"/>
        <v>131860</v>
      </c>
    </row>
    <row r="22" spans="1:12" x14ac:dyDescent="0.3">
      <c r="A22" s="5" t="s">
        <v>61</v>
      </c>
      <c r="B22" s="9">
        <v>7.0000000000000007E-2</v>
      </c>
      <c r="C22" s="5">
        <f>MIN(C14,Valores!$C$9)*$B$22</f>
        <v>113340.22000000002</v>
      </c>
      <c r="D22" s="5">
        <f>MIN(D14,Valores!$C$9)*$B$22</f>
        <v>30187.500000000004</v>
      </c>
      <c r="E22" s="5">
        <f>MIN(E14,Valores!$C$9)*$B$22</f>
        <v>34125</v>
      </c>
      <c r="F22" s="5">
        <f>MIN(F14,Valores!$C$9)*$B$22</f>
        <v>13387.500000000002</v>
      </c>
      <c r="G22" s="5">
        <f>MIN(G14,Valores!$C$9)*$B$22</f>
        <v>26337.500000000004</v>
      </c>
      <c r="H22" s="5">
        <f>MIN(H14,Valores!$C$9)*$B$22</f>
        <v>11812.500000000002</v>
      </c>
      <c r="I22" s="5">
        <f>MIN(I14,Valores!$C$9)*$B$22</f>
        <v>16625</v>
      </c>
      <c r="J22" s="5">
        <f>MIN(J14,Valores!$C$9)*$B$22</f>
        <v>13125.000000000002</v>
      </c>
      <c r="K22" s="5">
        <f>MIN(K14,Valores!$C$9)*$B$22</f>
        <v>5250.0000000000009</v>
      </c>
      <c r="L22" s="5">
        <f>MIN(L14,Valores!$C$9)*$B$22</f>
        <v>8110.2000000000007</v>
      </c>
    </row>
    <row r="23" spans="1:12" x14ac:dyDescent="0.3">
      <c r="A23" s="4" t="s">
        <v>62</v>
      </c>
      <c r="B23" s="10">
        <v>0.11269999999999999</v>
      </c>
      <c r="C23" s="4">
        <f>MIN(C14,Valores!$C$9)*$B$23</f>
        <v>182477.7542</v>
      </c>
      <c r="D23" s="4">
        <f>MIN(D14,Valores!$C$9)*$B$23</f>
        <v>48601.875</v>
      </c>
      <c r="E23" s="4">
        <f>MIN(E14,Valores!$C$9)*$B$23</f>
        <v>54941.25</v>
      </c>
      <c r="F23" s="4">
        <f>MIN(F14,Valores!$C$9)*$B$23</f>
        <v>21553.875</v>
      </c>
      <c r="G23" s="4">
        <f>MIN(G14,Valores!$C$9)*$B$23</f>
        <v>42403.375</v>
      </c>
      <c r="H23" s="4">
        <f>MIN(H14,Valores!$C$9)*$B$23</f>
        <v>19018.125</v>
      </c>
      <c r="I23" s="4">
        <f>MIN(I14,Valores!$C$9)*$B$23</f>
        <v>26766.25</v>
      </c>
      <c r="J23" s="4">
        <f>MIN(J14,Valores!$C$9)*$B$23</f>
        <v>21131.25</v>
      </c>
      <c r="K23" s="4">
        <f>MIN(K14,Valores!$C$9)*$B$23</f>
        <v>8452.5</v>
      </c>
      <c r="L23" s="4">
        <f>MIN(L14,Valores!$C$9)*$B$23</f>
        <v>13057.421999999999</v>
      </c>
    </row>
    <row r="24" spans="1:12" x14ac:dyDescent="0.3">
      <c r="A24" s="5" t="s">
        <v>63</v>
      </c>
      <c r="B24" s="9"/>
      <c r="C24" s="5">
        <v>0</v>
      </c>
      <c r="D24" s="5">
        <v>0</v>
      </c>
      <c r="E24" s="5">
        <v>0</v>
      </c>
      <c r="F24" s="5">
        <v>0</v>
      </c>
      <c r="G24" s="5">
        <v>0</v>
      </c>
      <c r="H24" s="5">
        <v>0</v>
      </c>
      <c r="I24" s="5">
        <v>0</v>
      </c>
      <c r="J24" s="5">
        <v>0</v>
      </c>
      <c r="K24" s="5">
        <v>0</v>
      </c>
      <c r="L24" s="5">
        <v>0</v>
      </c>
    </row>
    <row r="25" spans="1:12" x14ac:dyDescent="0.3">
      <c r="A25" s="4" t="s">
        <v>64</v>
      </c>
      <c r="B25" s="10"/>
      <c r="C25" s="4">
        <f>(C14-SUM(C22:C24))*VLOOKUP((C14-SUM(C22:C24)),Impuesto[#Data],3)-VLOOKUP((C14-SUM(C22:C24)),Impuesto[#Data],4)</f>
        <v>25933.121031999995</v>
      </c>
      <c r="D25" s="4">
        <f>(D14-SUM(D22:D24))*VLOOKUP((D14-SUM(D22:D24)),Impuesto[#Data],3)-VLOOKUP((D14-SUM(D22:D24)),Impuesto[#Data],4)</f>
        <v>0</v>
      </c>
      <c r="E25" s="4">
        <f>(E14-SUM(E22:E24))*VLOOKUP((E14-SUM(E22:E24)),Impuesto[#Data],3)-VLOOKUP((E14-SUM(E22:E24)),Impuesto[#Data],4)</f>
        <v>0</v>
      </c>
      <c r="F25" s="4">
        <f>(F14-SUM(F22:F24))*VLOOKUP((F14-SUM(F22:F24)),Impuesto[#Data],3)-VLOOKUP((F14-SUM(F22:F24)),Impuesto[#Data],4)</f>
        <v>0</v>
      </c>
      <c r="G25" s="4">
        <f>(G14-SUM(G22:G24))*VLOOKUP((G14-SUM(G22:G24)),Impuesto[#Data],3)-VLOOKUP((G14-SUM(G22:G24)),Impuesto[#Data],4)</f>
        <v>0</v>
      </c>
      <c r="H25" s="4">
        <f>(H14-SUM(H22:H24))*VLOOKUP((H14-SUM(H22:H24)),Impuesto[#Data],3)-VLOOKUP((H14-SUM(H22:H24)),Impuesto[#Data],4)</f>
        <v>0</v>
      </c>
      <c r="I25" s="4">
        <f>(I14-SUM(I22:I24))*VLOOKUP((I14-SUM(I22:I24)),Impuesto[#Data],3)-VLOOKUP((I14-SUM(I22:I24)),Impuesto[#Data],4)</f>
        <v>0</v>
      </c>
      <c r="J25" s="4">
        <f>(J14-SUM(J22:J24))*VLOOKUP((J14-SUM(J22:J24)),Impuesto[#Data],3)-VLOOKUP((J14-SUM(J22:J24)),Impuesto[#Data],4)</f>
        <v>0</v>
      </c>
      <c r="K25" s="4">
        <f>(K14-SUM(K22:K24))*VLOOKUP((K14-SUM(K22:K24)),Impuesto[#Data],3)-VLOOKUP((K14-SUM(K22:K24)),Impuesto[#Data],4)</f>
        <v>0</v>
      </c>
      <c r="L25" s="4">
        <f>(L14-SUM(L22:L24))*VLOOKUP((L14-SUM(L22:L24)),Impuesto[#Data],3)-VLOOKUP((L14-SUM(L22:L24)),Impuesto[#Data],4)</f>
        <v>0</v>
      </c>
    </row>
    <row r="26" spans="1:12" x14ac:dyDescent="0.3">
      <c r="A26" s="8" t="s">
        <v>47</v>
      </c>
      <c r="B26" s="8"/>
      <c r="C26" s="8">
        <f t="shared" ref="C26:H26" si="25">C21-SUM(C22:C25)</f>
        <v>1547394.9047679999</v>
      </c>
      <c r="D26" s="8">
        <f t="shared" si="25"/>
        <v>467460.625</v>
      </c>
      <c r="E26" s="8">
        <f t="shared" si="25"/>
        <v>518433.75</v>
      </c>
      <c r="F26" s="8">
        <f t="shared" ref="F26" si="26">F21-SUM(F22:F25)</f>
        <v>203308.625</v>
      </c>
      <c r="G26" s="8">
        <f t="shared" si="25"/>
        <v>352509.125</v>
      </c>
      <c r="H26" s="8">
        <f t="shared" si="25"/>
        <v>157919.375</v>
      </c>
      <c r="I26" s="8">
        <f t="shared" ref="I26:L26" si="27">I21-SUM(I22:I25)</f>
        <v>214108.75</v>
      </c>
      <c r="J26" s="8">
        <f t="shared" si="27"/>
        <v>176243.75</v>
      </c>
      <c r="K26" s="8">
        <f t="shared" ref="K26" si="28">K21-SUM(K22:K25)</f>
        <v>81297.5</v>
      </c>
      <c r="L26" s="8">
        <f t="shared" si="27"/>
        <v>110692.378</v>
      </c>
    </row>
    <row r="27" spans="1:12" x14ac:dyDescent="0.3">
      <c r="A27" s="4" t="s">
        <v>65</v>
      </c>
      <c r="B27" s="10">
        <f>Valores!C6</f>
        <v>1.2699999999999999E-2</v>
      </c>
      <c r="C27" s="4">
        <f>MIN(C14,Valores!$C$9)*$B$27</f>
        <v>20563.154200000001</v>
      </c>
      <c r="D27" s="4">
        <f>MIN(D14,Valores!$C$9)*$B$27</f>
        <v>5476.875</v>
      </c>
      <c r="E27" s="4">
        <f>MIN(E14,Valores!$C$9)*$B$27</f>
        <v>6191.25</v>
      </c>
      <c r="F27" s="4">
        <f>MIN(F14,Valores!$C$9)*$B$27</f>
        <v>2428.875</v>
      </c>
      <c r="G27" s="4">
        <f>MIN(G14,Valores!$C$9)*$B$27</f>
        <v>4778.375</v>
      </c>
      <c r="H27" s="4">
        <f>MIN(H14,Valores!$C$9)*$B$27</f>
        <v>2143.125</v>
      </c>
      <c r="I27" s="4">
        <f>MIN(I14,Valores!$C$9)*$B$27</f>
        <v>3016.25</v>
      </c>
      <c r="J27" s="4">
        <f>MIN(J14,Valores!$C$9)*$B$27</f>
        <v>2381.25</v>
      </c>
      <c r="K27" s="4">
        <f>MIN(K14,Valores!$C$9)*$B$27</f>
        <v>952.5</v>
      </c>
      <c r="L27" s="4">
        <f>MIN(L14,Valores!$C$9)*$B$27</f>
        <v>1471.422</v>
      </c>
    </row>
    <row r="28" spans="1:12" x14ac:dyDescent="0.3">
      <c r="A28" s="5" t="s">
        <v>66</v>
      </c>
      <c r="B28" s="9">
        <f>Valores!C7</f>
        <v>1.5299999999999999E-2</v>
      </c>
      <c r="C28" s="5">
        <f>MIN(C14,Valores!$C$9)*$B$28</f>
        <v>24772.933799999999</v>
      </c>
      <c r="D28" s="5">
        <f>MIN(D14,Valores!$C$9)*$B$28</f>
        <v>6598.125</v>
      </c>
      <c r="E28" s="5">
        <f>MIN(E14,Valores!$C$9)*$B$28</f>
        <v>7458.75</v>
      </c>
      <c r="F28" s="5">
        <f>MIN(F14,Valores!$C$9)*$B$28</f>
        <v>2926.125</v>
      </c>
      <c r="G28" s="5">
        <f>MIN(G14,Valores!$C$9)*$B$28</f>
        <v>5756.625</v>
      </c>
      <c r="H28" s="5">
        <f>MIN(H14,Valores!$C$9)*$B$28</f>
        <v>2581.875</v>
      </c>
      <c r="I28" s="5">
        <f>MIN(I14,Valores!$C$9)*$B$28</f>
        <v>3633.75</v>
      </c>
      <c r="J28" s="5">
        <f>MIN(J14,Valores!$C$9)*$B$28</f>
        <v>2868.75</v>
      </c>
      <c r="K28" s="5">
        <f>MIN(K14,Valores!$C$9)*$B$28</f>
        <v>1147.5</v>
      </c>
      <c r="L28" s="5">
        <f>MIN(L14,Valores!$C$9)*$B$28</f>
        <v>1772.6579999999999</v>
      </c>
    </row>
    <row r="29" spans="1:12" x14ac:dyDescent="0.3">
      <c r="A29" s="4" t="s">
        <v>63</v>
      </c>
      <c r="B29" s="10"/>
      <c r="C29" s="4">
        <f>IF(C4&lt;&gt;"Plazo Fijo",2.4%,0%)*MIN(C14,Valores!$C$10)</f>
        <v>0</v>
      </c>
      <c r="D29" s="4">
        <f>IF(D4="Plazo Fijo",3%,0%)*MIN(D14,Valores!$C$10)</f>
        <v>12937.5</v>
      </c>
      <c r="E29" s="4">
        <f>IF(E4="Plazo Fijo",3%,0%)*MIN(E14,Valores!$C$10)</f>
        <v>14625</v>
      </c>
      <c r="F29" s="4">
        <f>IF(F4="Plazo Fijo",3%,0%)*MIN(F14,Valores!$C$10)</f>
        <v>5737.5</v>
      </c>
      <c r="G29" s="4">
        <f>IF(G4="Plazo Fijo",3%,0%)*MIN(G14,Valores!$C$10)</f>
        <v>11287.5</v>
      </c>
      <c r="H29" s="4">
        <f>IF(H4="Plazo Fijo",3%,0%)*MIN(H14,Valores!$C$10)</f>
        <v>5062.5</v>
      </c>
      <c r="I29" s="4">
        <f>IF(I4="Plazo Fijo",3%,0%)*MIN(I14,Valores!$C$10)</f>
        <v>7125</v>
      </c>
      <c r="J29" s="4">
        <f>IF(J4="Plazo Fijo",3%,0%)*MIN(J14,Valores!$C$10)</f>
        <v>5625</v>
      </c>
      <c r="K29" s="4">
        <f>IF(K4="Plazo Fijo",3%,0%)*MIN(K14,Valores!$C$10)</f>
        <v>2250</v>
      </c>
      <c r="L29" s="4">
        <f>IF(L4="Plazo Fijo",3%,0%)*MIN(L14,Valores!$C$10)</f>
        <v>3475.7999999999997</v>
      </c>
    </row>
    <row r="30" spans="1:12" x14ac:dyDescent="0.3">
      <c r="A30" s="5" t="s">
        <v>67</v>
      </c>
      <c r="B30" s="9">
        <v>1</v>
      </c>
      <c r="C30" s="5">
        <f t="shared" ref="C30:H30" si="29">((SUM(C21,C27:C29)/30*21)/12)*$B$30</f>
        <v>111678.12180000001</v>
      </c>
      <c r="D30" s="5">
        <f t="shared" si="29"/>
        <v>33323.645833333336</v>
      </c>
      <c r="E30" s="5">
        <f t="shared" si="29"/>
        <v>37086.875</v>
      </c>
      <c r="F30" s="5">
        <f t="shared" ref="F30" si="30">((SUM(F21,F27:F29)/30*21)/12)*$B$30</f>
        <v>14544.979166666666</v>
      </c>
      <c r="G30" s="5">
        <f t="shared" si="29"/>
        <v>25845.895833333332</v>
      </c>
      <c r="H30" s="5">
        <f t="shared" si="29"/>
        <v>11581.354166666666</v>
      </c>
      <c r="I30" s="5">
        <f t="shared" ref="I30" si="31">((SUM(I21,I27:I29)/30*21)/12)*$B$30</f>
        <v>15824.375</v>
      </c>
      <c r="J30" s="5">
        <f t="shared" ref="J30" si="32">((SUM(J21,J27:J29)/30*21)/12)*$B$30</f>
        <v>12913.541666666666</v>
      </c>
      <c r="K30" s="5">
        <f t="shared" ref="K30:L30" si="33">((SUM(K21,K27:K29)/30*21)/12)*$B$30</f>
        <v>5795.416666666667</v>
      </c>
      <c r="L30" s="5">
        <f t="shared" si="33"/>
        <v>8083.8263333333316</v>
      </c>
    </row>
    <row r="31" spans="1:12" x14ac:dyDescent="0.3">
      <c r="A31" s="4" t="s">
        <v>68</v>
      </c>
      <c r="B31" s="10">
        <v>0.5</v>
      </c>
      <c r="C31" s="4"/>
      <c r="D31" s="4"/>
      <c r="E31" s="4"/>
      <c r="F31" s="4"/>
      <c r="G31" s="4"/>
      <c r="H31" s="4"/>
      <c r="I31" s="4"/>
      <c r="J31" s="4"/>
      <c r="K31" s="4"/>
      <c r="L31" s="4"/>
    </row>
    <row r="32" spans="1:12" x14ac:dyDescent="0.3">
      <c r="A32" s="5" t="s">
        <v>69</v>
      </c>
      <c r="B32" s="9">
        <v>0.5</v>
      </c>
      <c r="C32" s="5"/>
      <c r="D32" s="5"/>
      <c r="E32" s="5"/>
      <c r="F32" s="5"/>
      <c r="G32" s="5"/>
      <c r="H32" s="5"/>
      <c r="I32" s="5"/>
      <c r="J32" s="5"/>
      <c r="K32" s="5"/>
      <c r="L32" s="5"/>
    </row>
    <row r="33" spans="1:12" x14ac:dyDescent="0.3">
      <c r="A33" s="4" t="s">
        <v>70</v>
      </c>
      <c r="B33" s="11">
        <v>100000</v>
      </c>
      <c r="C33" s="4">
        <f t="shared" ref="C33" si="34">IF(C21&lt;&gt;0,$B$33/12,0)</f>
        <v>8333.3333333333339</v>
      </c>
      <c r="D33" s="4">
        <v>8333.3333333333339</v>
      </c>
      <c r="E33" s="4">
        <v>8333.3333333333339</v>
      </c>
      <c r="F33" s="4">
        <v>8333.3333333333339</v>
      </c>
      <c r="G33" s="4">
        <v>8333.3333333333339</v>
      </c>
      <c r="H33" s="4">
        <v>4166.666666666667</v>
      </c>
      <c r="I33" s="4">
        <v>4166.666666666667</v>
      </c>
      <c r="J33" s="4">
        <v>4166.666666666667</v>
      </c>
      <c r="K33" s="4">
        <v>4166.666666666667</v>
      </c>
      <c r="L33" s="4">
        <v>4166.666666666667</v>
      </c>
    </row>
    <row r="34" spans="1:12" x14ac:dyDescent="0.3">
      <c r="A34" s="5" t="s">
        <v>71</v>
      </c>
      <c r="B34" s="12"/>
      <c r="C34" s="5">
        <v>250</v>
      </c>
      <c r="D34" s="5">
        <v>250</v>
      </c>
      <c r="E34" s="5">
        <v>250</v>
      </c>
      <c r="F34" s="5">
        <v>250</v>
      </c>
      <c r="G34" s="5">
        <v>250</v>
      </c>
      <c r="H34" s="5">
        <v>250</v>
      </c>
      <c r="I34" s="5">
        <v>250</v>
      </c>
      <c r="J34" s="5">
        <v>250</v>
      </c>
      <c r="K34" s="5">
        <v>250</v>
      </c>
      <c r="L34" s="5">
        <v>250</v>
      </c>
    </row>
    <row r="35" spans="1:12" x14ac:dyDescent="0.3">
      <c r="A35" s="4" t="s">
        <v>72</v>
      </c>
      <c r="B35" s="11"/>
      <c r="C35" s="4"/>
      <c r="D35" s="4"/>
      <c r="E35" s="4"/>
      <c r="F35" s="4"/>
      <c r="G35" s="4"/>
      <c r="H35" s="4"/>
      <c r="I35" s="4"/>
      <c r="J35" s="4"/>
      <c r="K35" s="4"/>
      <c r="L35" s="4"/>
    </row>
    <row r="36" spans="1:12" x14ac:dyDescent="0.3">
      <c r="A36" s="5" t="s">
        <v>73</v>
      </c>
      <c r="B36" s="12"/>
      <c r="C36" s="5"/>
      <c r="D36" s="5"/>
      <c r="E36" s="5"/>
      <c r="F36" s="5"/>
      <c r="G36" s="5"/>
      <c r="H36" s="5"/>
      <c r="I36" s="5"/>
      <c r="J36" s="5"/>
      <c r="K36" s="5"/>
      <c r="L36" s="5"/>
    </row>
    <row r="37" spans="1:12" x14ac:dyDescent="0.3">
      <c r="A37" s="4" t="s">
        <v>74</v>
      </c>
      <c r="B37" s="11"/>
      <c r="C37" s="4">
        <v>0</v>
      </c>
      <c r="D37" s="4">
        <v>3000</v>
      </c>
      <c r="E37" s="4">
        <v>3000</v>
      </c>
      <c r="F37" s="4">
        <v>3000</v>
      </c>
      <c r="G37" s="4">
        <v>0</v>
      </c>
      <c r="H37" s="4"/>
      <c r="I37" s="4"/>
      <c r="J37" s="4"/>
      <c r="K37" s="4"/>
      <c r="L37" s="4"/>
    </row>
    <row r="38" spans="1:12" x14ac:dyDescent="0.3">
      <c r="A38" s="5" t="s">
        <v>75</v>
      </c>
      <c r="B38" s="12"/>
      <c r="C38" s="5">
        <v>0</v>
      </c>
      <c r="D38" s="5">
        <v>0</v>
      </c>
      <c r="E38" s="5">
        <v>0</v>
      </c>
      <c r="F38" s="5"/>
      <c r="G38" s="5">
        <v>0</v>
      </c>
      <c r="H38" s="5">
        <v>0</v>
      </c>
      <c r="I38" s="5"/>
      <c r="J38" s="5"/>
      <c r="K38" s="5"/>
      <c r="L38" s="5"/>
    </row>
    <row r="39" spans="1:12" x14ac:dyDescent="0.3">
      <c r="A39" s="4" t="s">
        <v>76</v>
      </c>
      <c r="B39" s="11">
        <v>6000</v>
      </c>
      <c r="C39" s="4"/>
      <c r="D39" s="4">
        <v>300</v>
      </c>
      <c r="E39" s="4">
        <v>300</v>
      </c>
      <c r="F39" s="4">
        <v>300</v>
      </c>
      <c r="G39" s="4">
        <v>300</v>
      </c>
      <c r="H39" s="4">
        <v>300</v>
      </c>
      <c r="I39" s="4">
        <v>300</v>
      </c>
      <c r="J39" s="4">
        <v>300</v>
      </c>
      <c r="K39" s="4">
        <v>300</v>
      </c>
      <c r="L39" s="4">
        <v>300</v>
      </c>
    </row>
    <row r="40" spans="1:12" x14ac:dyDescent="0.3">
      <c r="A40" s="5" t="s">
        <v>77</v>
      </c>
      <c r="B40" s="12"/>
      <c r="C40" s="5"/>
      <c r="D40" s="5"/>
      <c r="E40" s="5"/>
      <c r="F40" s="5"/>
      <c r="G40" s="5"/>
      <c r="H40" s="5"/>
      <c r="I40" s="5"/>
      <c r="J40" s="5"/>
      <c r="K40" s="5"/>
      <c r="L40" s="5"/>
    </row>
    <row r="41" spans="1:12" x14ac:dyDescent="0.3">
      <c r="A41" s="4" t="s">
        <v>78</v>
      </c>
      <c r="B41" s="11"/>
      <c r="C41" s="4"/>
      <c r="D41" s="4"/>
      <c r="E41" s="4">
        <v>5000</v>
      </c>
      <c r="F41" s="4">
        <v>5000</v>
      </c>
      <c r="G41" s="4">
        <v>5000</v>
      </c>
      <c r="H41" s="4">
        <v>5000</v>
      </c>
      <c r="I41" s="4">
        <v>5000</v>
      </c>
      <c r="J41" s="4">
        <v>5000</v>
      </c>
      <c r="K41" s="4">
        <v>5000</v>
      </c>
      <c r="L41" s="4">
        <v>5000</v>
      </c>
    </row>
    <row r="42" spans="1:12" x14ac:dyDescent="0.3">
      <c r="A42" s="5" t="s">
        <v>79</v>
      </c>
      <c r="B42" s="12"/>
      <c r="C42" s="5"/>
      <c r="D42" s="5"/>
      <c r="E42" s="5"/>
      <c r="F42" s="5"/>
      <c r="G42" s="5"/>
      <c r="H42" s="5"/>
      <c r="I42" s="5"/>
      <c r="J42" s="5"/>
      <c r="K42" s="5"/>
      <c r="L42" s="5"/>
    </row>
    <row r="43" spans="1:12" x14ac:dyDescent="0.3">
      <c r="A43" s="4" t="s">
        <v>80</v>
      </c>
      <c r="B43" s="10"/>
      <c r="C43" s="4"/>
      <c r="D43" s="4"/>
      <c r="E43" s="4"/>
      <c r="F43" s="4"/>
      <c r="G43" s="4"/>
      <c r="H43" s="4"/>
      <c r="I43" s="4"/>
      <c r="J43" s="4"/>
      <c r="K43" s="4"/>
      <c r="L43" s="4"/>
    </row>
    <row r="44" spans="1:12" x14ac:dyDescent="0.3">
      <c r="A44" s="5" t="s">
        <v>332</v>
      </c>
      <c r="B44" s="9"/>
      <c r="C44" s="5">
        <v>3000</v>
      </c>
      <c r="D44" s="5">
        <v>3000</v>
      </c>
      <c r="E44" s="5">
        <v>3000</v>
      </c>
      <c r="F44" s="5">
        <v>3000</v>
      </c>
      <c r="G44" s="5">
        <v>3000</v>
      </c>
      <c r="H44" s="5">
        <v>3000</v>
      </c>
      <c r="I44" s="5">
        <v>3000</v>
      </c>
      <c r="J44" s="5">
        <v>3000</v>
      </c>
      <c r="K44" s="5">
        <v>3000</v>
      </c>
      <c r="L44" s="5">
        <v>3000</v>
      </c>
    </row>
    <row r="45" spans="1:12" x14ac:dyDescent="0.3">
      <c r="A45" s="4" t="s">
        <v>333</v>
      </c>
      <c r="B45" s="10"/>
      <c r="C45" s="4"/>
      <c r="D45" s="4"/>
      <c r="E45" s="4">
        <v>10000</v>
      </c>
      <c r="F45" s="4">
        <v>10000</v>
      </c>
      <c r="G45" s="4">
        <v>10000</v>
      </c>
      <c r="H45" s="4">
        <v>10000</v>
      </c>
      <c r="I45" s="4">
        <v>10000</v>
      </c>
      <c r="J45" s="4">
        <v>10000</v>
      </c>
      <c r="K45" s="4">
        <v>10000</v>
      </c>
      <c r="L45" s="4">
        <v>10000</v>
      </c>
    </row>
    <row r="46" spans="1:12" x14ac:dyDescent="0.3">
      <c r="A46" s="8" t="s">
        <v>81</v>
      </c>
      <c r="B46" s="8"/>
      <c r="C46" s="8">
        <f t="shared" ref="C46:H46" si="35">SUM(C21,C27:C45)</f>
        <v>2037743.5431333333</v>
      </c>
      <c r="D46" s="8">
        <f t="shared" si="35"/>
        <v>619469.47916666674</v>
      </c>
      <c r="E46" s="8">
        <f t="shared" si="35"/>
        <v>702745.20833333337</v>
      </c>
      <c r="F46" s="8">
        <f t="shared" ref="F46" si="36">SUM(F21,F27:F45)</f>
        <v>293770.8125</v>
      </c>
      <c r="G46" s="8">
        <f t="shared" si="35"/>
        <v>495801.72916666663</v>
      </c>
      <c r="H46" s="8">
        <f t="shared" si="35"/>
        <v>232835.52083333331</v>
      </c>
      <c r="I46" s="8">
        <f t="shared" ref="I46:L46" si="37">SUM(I21,I27:I45)</f>
        <v>309816.04166666669</v>
      </c>
      <c r="J46" s="8">
        <f t="shared" si="37"/>
        <v>257005.20833333331</v>
      </c>
      <c r="K46" s="8">
        <f t="shared" ref="K46" si="38">SUM(K21,K27:K45)</f>
        <v>127862.08333333334</v>
      </c>
      <c r="L46" s="8">
        <f t="shared" si="37"/>
        <v>169380.37299999996</v>
      </c>
    </row>
    <row r="47" spans="1:12" x14ac:dyDescent="0.3">
      <c r="A47" s="5" t="s">
        <v>82</v>
      </c>
      <c r="B47" s="9">
        <v>0.05</v>
      </c>
      <c r="C47" s="5">
        <f t="shared" ref="C47:H47" si="39">C46*$B$47</f>
        <v>101887.17715666667</v>
      </c>
      <c r="D47" s="5">
        <f t="shared" si="39"/>
        <v>30973.473958333339</v>
      </c>
      <c r="E47" s="5">
        <f t="shared" si="39"/>
        <v>35137.260416666672</v>
      </c>
      <c r="F47" s="5">
        <f t="shared" ref="F47" si="40">F46*$B$47</f>
        <v>14688.540625000001</v>
      </c>
      <c r="G47" s="5">
        <f t="shared" si="39"/>
        <v>24790.086458333331</v>
      </c>
      <c r="H47" s="5">
        <f t="shared" si="39"/>
        <v>11641.776041666666</v>
      </c>
      <c r="I47" s="5">
        <f t="shared" ref="I47:L47" si="41">I46*$B$47</f>
        <v>15490.802083333336</v>
      </c>
      <c r="J47" s="5">
        <f t="shared" si="41"/>
        <v>12850.260416666666</v>
      </c>
      <c r="K47" s="5">
        <f t="shared" ref="K47" si="42">K46*$B$47</f>
        <v>6393.1041666666679</v>
      </c>
      <c r="L47" s="5">
        <f t="shared" si="41"/>
        <v>8469.0186499999982</v>
      </c>
    </row>
    <row r="48" spans="1:12" x14ac:dyDescent="0.3">
      <c r="A48" s="8" t="s">
        <v>83</v>
      </c>
      <c r="B48" s="8"/>
      <c r="C48" s="8">
        <f t="shared" ref="C48:H48" si="43">SUM(C46:C47)</f>
        <v>2139630.7202900001</v>
      </c>
      <c r="D48" s="8">
        <f t="shared" si="43"/>
        <v>650442.95312500012</v>
      </c>
      <c r="E48" s="8">
        <f t="shared" si="43"/>
        <v>737882.46875</v>
      </c>
      <c r="F48" s="8">
        <f t="shared" ref="F48" si="44">SUM(F46:F47)</f>
        <v>308459.35312500002</v>
      </c>
      <c r="G48" s="8">
        <f t="shared" si="43"/>
        <v>520591.81562499993</v>
      </c>
      <c r="H48" s="8">
        <f t="shared" si="43"/>
        <v>244477.29687499997</v>
      </c>
      <c r="I48" s="8">
        <f t="shared" ref="I48:L48" si="45">SUM(I46:I47)</f>
        <v>325306.84375</v>
      </c>
      <c r="J48" s="8">
        <f t="shared" si="45"/>
        <v>269855.46875</v>
      </c>
      <c r="K48" s="8">
        <f t="shared" ref="K48" si="46">SUM(K46:K47)</f>
        <v>134255.1875</v>
      </c>
      <c r="L48" s="8">
        <f t="shared" si="45"/>
        <v>177849.39164999995</v>
      </c>
    </row>
    <row r="49" spans="1:13" x14ac:dyDescent="0.3">
      <c r="A49" s="5" t="s">
        <v>84</v>
      </c>
      <c r="B49" s="9">
        <v>0.15</v>
      </c>
      <c r="C49" s="5">
        <f t="shared" ref="C49:H49" si="47">C48*$B$49</f>
        <v>320944.60804349999</v>
      </c>
      <c r="D49" s="5">
        <f t="shared" si="47"/>
        <v>97566.442968750009</v>
      </c>
      <c r="E49" s="5">
        <f t="shared" si="47"/>
        <v>110682.3703125</v>
      </c>
      <c r="F49" s="5">
        <f t="shared" ref="F49" si="48">F48*$B$49</f>
        <v>46268.902968750001</v>
      </c>
      <c r="G49" s="5">
        <f t="shared" si="47"/>
        <v>78088.772343749981</v>
      </c>
      <c r="H49" s="5">
        <f t="shared" si="47"/>
        <v>36671.594531249997</v>
      </c>
      <c r="I49" s="5">
        <f t="shared" ref="I49:L49" si="49">I48*$B$49</f>
        <v>48796.026562499996</v>
      </c>
      <c r="J49" s="5">
        <f t="shared" si="49"/>
        <v>40478.3203125</v>
      </c>
      <c r="K49" s="5">
        <f t="shared" ref="K49" si="50">K48*$B$49</f>
        <v>20138.278125000001</v>
      </c>
      <c r="L49" s="5">
        <f t="shared" si="49"/>
        <v>26677.408747499991</v>
      </c>
    </row>
    <row r="50" spans="1:13" x14ac:dyDescent="0.3">
      <c r="A50" s="8" t="s">
        <v>85</v>
      </c>
      <c r="B50" s="8"/>
      <c r="C50" s="8">
        <f t="shared" ref="C50:H50" si="51">SUM(C48:C49)</f>
        <v>2460575.3283334998</v>
      </c>
      <c r="D50" s="8">
        <f t="shared" si="51"/>
        <v>748009.39609375014</v>
      </c>
      <c r="E50" s="8">
        <f t="shared" si="51"/>
        <v>848564.83906250005</v>
      </c>
      <c r="F50" s="8">
        <f t="shared" ref="F50" si="52">SUM(F48:F49)</f>
        <v>354728.25609375001</v>
      </c>
      <c r="G50" s="8">
        <f t="shared" si="51"/>
        <v>598680.58796874993</v>
      </c>
      <c r="H50" s="8">
        <f t="shared" si="51"/>
        <v>281148.89140624995</v>
      </c>
      <c r="I50" s="8">
        <f t="shared" ref="I50:L50" si="53">SUM(I48:I49)</f>
        <v>374102.87031249999</v>
      </c>
      <c r="J50" s="8">
        <f t="shared" si="53"/>
        <v>310333.7890625</v>
      </c>
      <c r="K50" s="8">
        <f t="shared" ref="K50" si="54">SUM(K48:K49)</f>
        <v>154393.46562500001</v>
      </c>
      <c r="L50" s="8">
        <f t="shared" si="53"/>
        <v>204526.80039749993</v>
      </c>
    </row>
    <row r="51" spans="1:13" x14ac:dyDescent="0.3">
      <c r="A51" s="8"/>
      <c r="B51" s="8"/>
      <c r="C51" s="13"/>
      <c r="D51" s="13"/>
      <c r="E51" s="13"/>
      <c r="F51" s="13"/>
      <c r="G51" s="13"/>
      <c r="H51" s="13"/>
      <c r="I51" s="13"/>
      <c r="J51" s="13"/>
      <c r="K51" s="13"/>
      <c r="L51" s="13"/>
    </row>
    <row r="53" spans="1:13" x14ac:dyDescent="0.3">
      <c r="A53" s="8" t="s">
        <v>86</v>
      </c>
      <c r="B53" s="8"/>
      <c r="C53" s="8">
        <f t="shared" ref="C53:H53" si="55">C46-C55-C54</f>
        <v>1917732.088</v>
      </c>
      <c r="D53" s="8">
        <f t="shared" si="55"/>
        <v>547812.50000000012</v>
      </c>
      <c r="E53" s="8">
        <f t="shared" si="55"/>
        <v>607325</v>
      </c>
      <c r="F53" s="8">
        <f t="shared" ref="F53" si="56">F46-F55-F54</f>
        <v>270892.5</v>
      </c>
      <c r="G53" s="8">
        <f t="shared" si="55"/>
        <v>461622.49999999994</v>
      </c>
      <c r="H53" s="8">
        <f t="shared" si="55"/>
        <v>217087.49999999997</v>
      </c>
      <c r="I53" s="8">
        <f t="shared" ref="I53:L53" si="57">I46-I55-I54</f>
        <v>289825</v>
      </c>
      <c r="J53" s="8">
        <f t="shared" si="57"/>
        <v>239924.99999999997</v>
      </c>
      <c r="K53" s="8">
        <f t="shared" ref="K53" si="58">K46-K55-K54</f>
        <v>117900.00000000001</v>
      </c>
      <c r="L53" s="8">
        <f t="shared" si="57"/>
        <v>157129.87999999998</v>
      </c>
    </row>
    <row r="54" spans="1:13" x14ac:dyDescent="0.3">
      <c r="A54" s="8" t="s">
        <v>87</v>
      </c>
      <c r="B54" s="8"/>
      <c r="C54" s="8">
        <f t="shared" ref="C54:H54" si="59">SUM(C9:C13)</f>
        <v>0</v>
      </c>
      <c r="D54" s="8">
        <f t="shared" si="59"/>
        <v>30000</v>
      </c>
      <c r="E54" s="8">
        <f t="shared" si="59"/>
        <v>50000</v>
      </c>
      <c r="F54" s="8">
        <f t="shared" ref="F54" si="60">SUM(F9:F13)</f>
        <v>0</v>
      </c>
      <c r="G54" s="8">
        <f t="shared" si="59"/>
        <v>0</v>
      </c>
      <c r="H54" s="8">
        <f t="shared" si="59"/>
        <v>0</v>
      </c>
      <c r="I54" s="8">
        <f t="shared" ref="I54:L54" si="61">SUM(I9:I13)</f>
        <v>0</v>
      </c>
      <c r="J54" s="8">
        <f t="shared" si="61"/>
        <v>0</v>
      </c>
      <c r="K54" s="8">
        <f t="shared" ref="K54" si="62">SUM(K9:K13)</f>
        <v>0</v>
      </c>
      <c r="L54" s="8">
        <f t="shared" si="61"/>
        <v>0</v>
      </c>
    </row>
    <row r="55" spans="1:13" x14ac:dyDescent="0.3">
      <c r="A55" s="8" t="s">
        <v>88</v>
      </c>
      <c r="B55" s="8"/>
      <c r="C55" s="8">
        <f t="shared" ref="C55:H55" si="63">SUM(C30:C33)</f>
        <v>120011.45513333334</v>
      </c>
      <c r="D55" s="8">
        <f t="shared" si="63"/>
        <v>41656.979166666672</v>
      </c>
      <c r="E55" s="8">
        <f t="shared" si="63"/>
        <v>45420.208333333336</v>
      </c>
      <c r="F55" s="8">
        <f t="shared" ref="F55" si="64">SUM(F30:F33)</f>
        <v>22878.3125</v>
      </c>
      <c r="G55" s="8">
        <f t="shared" si="63"/>
        <v>34179.229166666664</v>
      </c>
      <c r="H55" s="8">
        <f t="shared" si="63"/>
        <v>15748.020833333332</v>
      </c>
      <c r="I55" s="8">
        <f t="shared" ref="I55:L55" si="65">SUM(I30:I33)</f>
        <v>19991.041666666668</v>
      </c>
      <c r="J55" s="8">
        <f t="shared" si="65"/>
        <v>17080.208333333332</v>
      </c>
      <c r="K55" s="8">
        <f t="shared" ref="K55" si="66">SUM(K30:K33)</f>
        <v>9962.0833333333339</v>
      </c>
      <c r="L55" s="8">
        <f t="shared" si="65"/>
        <v>12250.492999999999</v>
      </c>
    </row>
    <row r="57" spans="1:13" s="53" customFormat="1" x14ac:dyDescent="0.3">
      <c r="A57" s="8" t="s">
        <v>314</v>
      </c>
      <c r="B57" s="58"/>
      <c r="C57" s="58">
        <v>0</v>
      </c>
      <c r="D57" s="58">
        <v>0</v>
      </c>
      <c r="E57" s="58">
        <v>0</v>
      </c>
      <c r="F57" s="58">
        <v>0</v>
      </c>
      <c r="G57" s="58">
        <v>2</v>
      </c>
      <c r="H57" s="58">
        <v>2</v>
      </c>
      <c r="I57" s="58">
        <v>0</v>
      </c>
      <c r="J57" s="58">
        <v>9</v>
      </c>
      <c r="K57" s="58">
        <v>13</v>
      </c>
      <c r="L57" s="58">
        <v>24</v>
      </c>
    </row>
    <row r="58" spans="1:13" ht="15.6" x14ac:dyDescent="0.3">
      <c r="A58" s="59" t="s">
        <v>331</v>
      </c>
      <c r="B58" s="59"/>
      <c r="C58" s="59">
        <f>C57*C50</f>
        <v>0</v>
      </c>
      <c r="D58" s="59">
        <f t="shared" ref="D58:L58" si="67">D57*D50</f>
        <v>0</v>
      </c>
      <c r="E58" s="59">
        <f t="shared" si="67"/>
        <v>0</v>
      </c>
      <c r="F58" s="59">
        <f t="shared" si="67"/>
        <v>0</v>
      </c>
      <c r="G58" s="59">
        <f t="shared" si="67"/>
        <v>1197361.1759374999</v>
      </c>
      <c r="H58" s="59">
        <f t="shared" si="67"/>
        <v>562297.78281249991</v>
      </c>
      <c r="I58" s="59">
        <f t="shared" si="67"/>
        <v>0</v>
      </c>
      <c r="J58" s="59">
        <f t="shared" si="67"/>
        <v>2793004.1015625</v>
      </c>
      <c r="K58" s="59">
        <f t="shared" si="67"/>
        <v>2007115.0531250001</v>
      </c>
      <c r="L58" s="59">
        <f t="shared" si="67"/>
        <v>4908643.2095399983</v>
      </c>
      <c r="M58" s="59">
        <f>+SUM(C58:L58)</f>
        <v>11468421.322977498</v>
      </c>
    </row>
    <row r="60" spans="1:13" ht="15.6" x14ac:dyDescent="0.3">
      <c r="D60" t="s">
        <v>88</v>
      </c>
      <c r="E60" s="59">
        <f t="shared" ref="E60:F60" si="68">+E55*E57</f>
        <v>0</v>
      </c>
      <c r="F60" s="59">
        <f t="shared" si="68"/>
        <v>0</v>
      </c>
      <c r="G60" s="59">
        <f>+G55*G57</f>
        <v>68358.458333333328</v>
      </c>
      <c r="H60" s="59">
        <f t="shared" ref="H60:L60" si="69">+H55*H57</f>
        <v>31496.041666666664</v>
      </c>
      <c r="I60" s="59">
        <f t="shared" si="69"/>
        <v>0</v>
      </c>
      <c r="J60" s="59">
        <f t="shared" si="69"/>
        <v>153721.875</v>
      </c>
      <c r="K60" s="59">
        <f t="shared" si="69"/>
        <v>129507.08333333334</v>
      </c>
      <c r="L60" s="59">
        <f t="shared" si="69"/>
        <v>294011.83199999994</v>
      </c>
      <c r="M60" s="59">
        <f>+SUM(C60:L60)</f>
        <v>677095.29033333331</v>
      </c>
    </row>
    <row r="61" spans="1:13" ht="15.6" x14ac:dyDescent="0.3">
      <c r="D61" t="s">
        <v>82</v>
      </c>
      <c r="E61" s="59">
        <f t="shared" ref="E61:F61" si="70">E47*E57</f>
        <v>0</v>
      </c>
      <c r="F61" s="59">
        <f t="shared" si="70"/>
        <v>0</v>
      </c>
      <c r="G61" s="59">
        <f>G47*G57</f>
        <v>49580.172916666663</v>
      </c>
      <c r="H61" s="59">
        <f t="shared" ref="H61:L61" si="71">H47*H57</f>
        <v>23283.552083333332</v>
      </c>
      <c r="I61" s="59">
        <f t="shared" si="71"/>
        <v>0</v>
      </c>
      <c r="J61" s="59">
        <f t="shared" si="71"/>
        <v>115652.34375</v>
      </c>
      <c r="K61" s="59">
        <f t="shared" si="71"/>
        <v>83110.354166666686</v>
      </c>
      <c r="L61" s="59">
        <f t="shared" si="71"/>
        <v>203256.44759999996</v>
      </c>
      <c r="M61" s="59">
        <f>+SUM(C61:L61)</f>
        <v>474882.87051666662</v>
      </c>
    </row>
    <row r="62" spans="1:13" ht="15.6" x14ac:dyDescent="0.3">
      <c r="D62" t="s">
        <v>334</v>
      </c>
      <c r="E62" s="59">
        <f t="shared" ref="E62:F62" si="72">E49*E57</f>
        <v>0</v>
      </c>
      <c r="F62" s="59">
        <f t="shared" si="72"/>
        <v>0</v>
      </c>
      <c r="G62" s="59">
        <f>G49*G57</f>
        <v>156177.54468749996</v>
      </c>
      <c r="H62" s="59">
        <f t="shared" ref="H62:L62" si="73">H49*H57</f>
        <v>73343.189062499994</v>
      </c>
      <c r="I62" s="59">
        <f t="shared" si="73"/>
        <v>0</v>
      </c>
      <c r="J62" s="59">
        <f t="shared" si="73"/>
        <v>364304.8828125</v>
      </c>
      <c r="K62" s="59">
        <f t="shared" si="73"/>
        <v>261797.61562500001</v>
      </c>
      <c r="L62" s="59">
        <f t="shared" si="73"/>
        <v>640257.80993999983</v>
      </c>
      <c r="M62" s="59">
        <f>+SUM(C62:L62)</f>
        <v>1495881.0421274998</v>
      </c>
    </row>
    <row r="63" spans="1:13" ht="15.6" x14ac:dyDescent="0.3">
      <c r="D63" t="s">
        <v>335</v>
      </c>
      <c r="E63" s="59">
        <f t="shared" ref="E63:F63" si="74">E45*E57</f>
        <v>0</v>
      </c>
      <c r="F63" s="59">
        <f t="shared" si="74"/>
        <v>0</v>
      </c>
      <c r="G63" s="59">
        <f>G45*G57</f>
        <v>20000</v>
      </c>
      <c r="H63" s="59">
        <f t="shared" ref="H63:L63" si="75">H45*H57</f>
        <v>20000</v>
      </c>
      <c r="I63" s="59">
        <f t="shared" si="75"/>
        <v>0</v>
      </c>
      <c r="J63" s="59">
        <f t="shared" si="75"/>
        <v>90000</v>
      </c>
      <c r="K63" s="59">
        <f t="shared" si="75"/>
        <v>130000</v>
      </c>
      <c r="L63" s="59">
        <f t="shared" si="75"/>
        <v>240000</v>
      </c>
      <c r="M63" s="59">
        <f>+SUM(C63:L63)</f>
        <v>500000</v>
      </c>
    </row>
    <row r="66" spans="7:12" x14ac:dyDescent="0.3">
      <c r="G66">
        <v>2</v>
      </c>
      <c r="H66">
        <v>2</v>
      </c>
      <c r="J66">
        <v>9</v>
      </c>
      <c r="K66">
        <v>18</v>
      </c>
      <c r="L66">
        <v>19</v>
      </c>
    </row>
  </sheetData>
  <dataValidations count="1">
    <dataValidation type="list" allowBlank="1" showInputMessage="1" showErrorMessage="1" sqref="C4:L4" xr:uid="{558B54CD-2DF0-4C4C-8746-45F11A8992BB}">
      <formula1>"Plazo Fijo,Indefinido"</formula1>
    </dataValidation>
  </dataValidations>
  <pageMargins left="0.7" right="0.7" top="0.75" bottom="0.75" header="0.3" footer="0.3"/>
  <pageSetup orientation="portrait" horizontalDpi="0" verticalDpi="0" r:id="rId1"/>
  <ignoredErrors>
    <ignoredError sqref="I49:L49"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C2D1A-193B-41D6-9070-547AC92D28AE}">
  <dimension ref="A1:A2"/>
  <sheetViews>
    <sheetView showGridLines="0" workbookViewId="0">
      <selection activeCell="A2" sqref="A2"/>
    </sheetView>
  </sheetViews>
  <sheetFormatPr baseColWidth="10" defaultRowHeight="14.4" x14ac:dyDescent="0.3"/>
  <cols>
    <col min="1" max="1" width="14.44140625" bestFit="1" customWidth="1"/>
  </cols>
  <sheetData>
    <row r="1" spans="1:1" x14ac:dyDescent="0.3">
      <c r="A1" s="28" t="s">
        <v>124</v>
      </c>
    </row>
    <row r="2" spans="1:1" x14ac:dyDescent="0.3">
      <c r="A2" s="16">
        <f>Estructuras!D3*(1/24)/4</f>
        <v>6775.4474283854179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565F1-EF6C-4BA9-B1B9-08FB2BE4FE88}">
  <dimension ref="B1:H117"/>
  <sheetViews>
    <sheetView showGridLines="0" topLeftCell="A2" workbookViewId="0">
      <selection activeCell="C22" sqref="C22"/>
    </sheetView>
  </sheetViews>
  <sheetFormatPr baseColWidth="10" defaultRowHeight="14.4" x14ac:dyDescent="0.3"/>
  <cols>
    <col min="3" max="3" width="19.88671875" bestFit="1" customWidth="1"/>
    <col min="4" max="4" width="19.88671875" customWidth="1"/>
    <col min="5" max="5" width="18" style="16" customWidth="1"/>
    <col min="6" max="6" width="18.109375" style="16" customWidth="1"/>
    <col min="7" max="7" width="23.109375" style="16" customWidth="1"/>
    <col min="8" max="8" width="23.33203125" style="16" customWidth="1"/>
  </cols>
  <sheetData>
    <row r="1" spans="2:8" x14ac:dyDescent="0.3">
      <c r="G1" s="51">
        <v>4</v>
      </c>
      <c r="H1" s="51">
        <v>5</v>
      </c>
    </row>
    <row r="2" spans="2:8" x14ac:dyDescent="0.3">
      <c r="B2" t="s">
        <v>212</v>
      </c>
      <c r="C2" t="s">
        <v>175</v>
      </c>
      <c r="D2" t="s">
        <v>156</v>
      </c>
      <c r="E2" s="16" t="s">
        <v>180</v>
      </c>
      <c r="F2" s="16" t="s">
        <v>181</v>
      </c>
      <c r="G2" s="16" t="s">
        <v>219</v>
      </c>
      <c r="H2" s="16" t="s">
        <v>220</v>
      </c>
    </row>
    <row r="3" spans="2:8" x14ac:dyDescent="0.3">
      <c r="B3" t="s">
        <v>213</v>
      </c>
      <c r="C3" t="s">
        <v>36</v>
      </c>
      <c r="D3" t="str">
        <f>CONCATENATE(Tabla12[[#This Row],[Cadena]],Tabla12[[#This Row],[Etiquetas de fila]])</f>
        <v>RipleyAlto las Condes</v>
      </c>
      <c r="E3" s="16">
        <v>18110</v>
      </c>
      <c r="F3" s="16">
        <v>1087</v>
      </c>
      <c r="G3" s="16">
        <f>+E3/0.65</f>
        <v>27861.538461538461</v>
      </c>
      <c r="H3" s="16">
        <f>+F3/0.65</f>
        <v>1672.3076923076922</v>
      </c>
    </row>
    <row r="4" spans="2:8" x14ac:dyDescent="0.3">
      <c r="B4" t="s">
        <v>213</v>
      </c>
      <c r="C4" t="s">
        <v>6</v>
      </c>
      <c r="D4" t="str">
        <f>CONCATENATE(Tabla12[[#This Row],[Cadena]],Tabla12[[#This Row],[Etiquetas de fila]])</f>
        <v>RipleyAntofagasta</v>
      </c>
      <c r="E4" s="16">
        <v>918458</v>
      </c>
      <c r="F4" s="16">
        <v>428577</v>
      </c>
      <c r="G4" s="16">
        <f t="shared" ref="G4:H43" si="0">+E4/0.65</f>
        <v>1413012.3076923077</v>
      </c>
      <c r="H4" s="16">
        <f t="shared" si="0"/>
        <v>659349.23076923075</v>
      </c>
    </row>
    <row r="5" spans="2:8" x14ac:dyDescent="0.3">
      <c r="B5" t="s">
        <v>213</v>
      </c>
      <c r="C5" t="s">
        <v>176</v>
      </c>
      <c r="D5" t="str">
        <f>CONCATENATE(Tabla12[[#This Row],[Cadena]],Tabla12[[#This Row],[Etiquetas de fila]])</f>
        <v>RipleyArica</v>
      </c>
      <c r="F5" s="16">
        <v>498532</v>
      </c>
      <c r="G5" s="16">
        <f t="shared" si="0"/>
        <v>0</v>
      </c>
      <c r="H5" s="16">
        <f t="shared" si="0"/>
        <v>766972.30769230763</v>
      </c>
    </row>
    <row r="6" spans="2:8" x14ac:dyDescent="0.3">
      <c r="B6" t="s">
        <v>213</v>
      </c>
      <c r="C6" t="s">
        <v>34</v>
      </c>
      <c r="D6" t="str">
        <f>CONCATENATE(Tabla12[[#This Row],[Cadena]],Tabla12[[#This Row],[Etiquetas de fila]])</f>
        <v>RipleyChillan</v>
      </c>
      <c r="E6" s="16">
        <v>-4364</v>
      </c>
      <c r="G6" s="16">
        <f t="shared" si="0"/>
        <v>-6713.8461538461534</v>
      </c>
      <c r="H6" s="16">
        <f t="shared" si="0"/>
        <v>0</v>
      </c>
    </row>
    <row r="7" spans="2:8" x14ac:dyDescent="0.3">
      <c r="B7" t="s">
        <v>213</v>
      </c>
      <c r="C7" t="s">
        <v>38</v>
      </c>
      <c r="D7" t="str">
        <f>CONCATENATE(Tabla12[[#This Row],[Cadena]],Tabla12[[#This Row],[Etiquetas de fila]])</f>
        <v>RipleyConcepcion</v>
      </c>
      <c r="E7" s="16">
        <v>-4364</v>
      </c>
      <c r="G7" s="16">
        <f t="shared" si="0"/>
        <v>-6713.8461538461534</v>
      </c>
      <c r="H7" s="16">
        <f t="shared" si="0"/>
        <v>0</v>
      </c>
    </row>
    <row r="8" spans="2:8" x14ac:dyDescent="0.3">
      <c r="B8" t="s">
        <v>213</v>
      </c>
      <c r="C8" t="s">
        <v>30</v>
      </c>
      <c r="D8" t="str">
        <f>CONCATENATE(Tabla12[[#This Row],[Cadena]],Tabla12[[#This Row],[Etiquetas de fila]])</f>
        <v>RipleyConcepcion 2</v>
      </c>
      <c r="E8" s="16">
        <v>298936</v>
      </c>
      <c r="F8" s="16">
        <v>104986</v>
      </c>
      <c r="G8" s="16">
        <f t="shared" si="0"/>
        <v>459901.53846153844</v>
      </c>
      <c r="H8" s="16">
        <f t="shared" si="0"/>
        <v>161516.92307692306</v>
      </c>
    </row>
    <row r="9" spans="2:8" x14ac:dyDescent="0.3">
      <c r="B9" t="s">
        <v>213</v>
      </c>
      <c r="C9" t="s">
        <v>27</v>
      </c>
      <c r="D9" t="str">
        <f>CONCATENATE(Tabla12[[#This Row],[Cadena]],Tabla12[[#This Row],[Etiquetas de fila]])</f>
        <v>RipleyCopiapo</v>
      </c>
      <c r="E9" s="16">
        <v>537972</v>
      </c>
      <c r="F9" s="16">
        <v>227648</v>
      </c>
      <c r="G9" s="16">
        <f t="shared" si="0"/>
        <v>827649.23076923075</v>
      </c>
      <c r="H9" s="16">
        <f t="shared" si="0"/>
        <v>350227.69230769231</v>
      </c>
    </row>
    <row r="10" spans="2:8" x14ac:dyDescent="0.3">
      <c r="B10" t="s">
        <v>213</v>
      </c>
      <c r="C10" t="s">
        <v>177</v>
      </c>
      <c r="D10" t="str">
        <f>CONCATENATE(Tabla12[[#This Row],[Cadena]],Tabla12[[#This Row],[Etiquetas de fila]])</f>
        <v>RipleyCoquimbo</v>
      </c>
      <c r="E10" s="16">
        <v>1423792</v>
      </c>
      <c r="F10" s="16">
        <v>212514</v>
      </c>
      <c r="G10" s="16">
        <f t="shared" si="0"/>
        <v>2190449.2307692305</v>
      </c>
      <c r="H10" s="16">
        <f t="shared" si="0"/>
        <v>326944.61538461538</v>
      </c>
    </row>
    <row r="11" spans="2:8" x14ac:dyDescent="0.3">
      <c r="B11" t="s">
        <v>213</v>
      </c>
      <c r="C11" t="s">
        <v>1</v>
      </c>
      <c r="D11" t="str">
        <f>CONCATENATE(Tabla12[[#This Row],[Cadena]],Tabla12[[#This Row],[Etiquetas de fila]])</f>
        <v>RipleyCostanera Center</v>
      </c>
      <c r="E11" s="16">
        <v>1515204</v>
      </c>
      <c r="F11" s="16">
        <v>802607</v>
      </c>
      <c r="G11" s="16">
        <f t="shared" si="0"/>
        <v>2331083.076923077</v>
      </c>
      <c r="H11" s="16">
        <f t="shared" si="0"/>
        <v>1234780</v>
      </c>
    </row>
    <row r="12" spans="2:8" x14ac:dyDescent="0.3">
      <c r="B12" t="s">
        <v>213</v>
      </c>
      <c r="C12" t="s">
        <v>33</v>
      </c>
      <c r="D12" t="str">
        <f>CONCATENATE(Tabla12[[#This Row],[Cadena]],Tabla12[[#This Row],[Etiquetas de fila]])</f>
        <v>RipleyCrillon</v>
      </c>
      <c r="E12" s="16">
        <v>1093</v>
      </c>
      <c r="G12" s="16">
        <f t="shared" si="0"/>
        <v>1681.5384615384614</v>
      </c>
      <c r="H12" s="16">
        <f t="shared" si="0"/>
        <v>0</v>
      </c>
    </row>
    <row r="13" spans="2:8" x14ac:dyDescent="0.3">
      <c r="B13" t="s">
        <v>213</v>
      </c>
      <c r="C13" t="s">
        <v>19</v>
      </c>
      <c r="D13" t="str">
        <f>CONCATENATE(Tabla12[[#This Row],[Cadena]],Tabla12[[#This Row],[Etiquetas de fila]])</f>
        <v>RipleyCurico</v>
      </c>
      <c r="E13" s="16">
        <v>721207</v>
      </c>
      <c r="F13" s="16">
        <v>339700</v>
      </c>
      <c r="G13" s="16">
        <f t="shared" si="0"/>
        <v>1109549.2307692308</v>
      </c>
      <c r="H13" s="16">
        <f t="shared" si="0"/>
        <v>522615.38461538462</v>
      </c>
    </row>
    <row r="14" spans="2:8" x14ac:dyDescent="0.3">
      <c r="B14" t="s">
        <v>213</v>
      </c>
      <c r="C14" t="s">
        <v>13</v>
      </c>
      <c r="D14" t="str">
        <f>CONCATENATE(Tabla12[[#This Row],[Cadena]],Tabla12[[#This Row],[Etiquetas de fila]])</f>
        <v>RipleyEl Trebol</v>
      </c>
      <c r="E14" s="16">
        <v>846424</v>
      </c>
      <c r="F14" s="16">
        <v>294384</v>
      </c>
      <c r="G14" s="16">
        <f t="shared" si="0"/>
        <v>1302190.7692307692</v>
      </c>
      <c r="H14" s="16">
        <f t="shared" si="0"/>
        <v>452898.4615384615</v>
      </c>
    </row>
    <row r="15" spans="2:8" x14ac:dyDescent="0.3">
      <c r="B15" t="s">
        <v>213</v>
      </c>
      <c r="C15" t="s">
        <v>7</v>
      </c>
      <c r="D15" t="str">
        <f>CONCATENATE(Tabla12[[#This Row],[Cadena]],Tabla12[[#This Row],[Etiquetas de fila]])</f>
        <v>RipleyFlorida Center</v>
      </c>
      <c r="E15" s="16">
        <v>1345012</v>
      </c>
      <c r="F15" s="16">
        <v>584206</v>
      </c>
      <c r="G15" s="16">
        <f t="shared" si="0"/>
        <v>2069249.2307692308</v>
      </c>
      <c r="H15" s="16">
        <f t="shared" si="0"/>
        <v>898778.4615384615</v>
      </c>
    </row>
    <row r="16" spans="2:8" x14ac:dyDescent="0.3">
      <c r="B16" t="s">
        <v>213</v>
      </c>
      <c r="C16" t="s">
        <v>29</v>
      </c>
      <c r="D16" t="str">
        <f>CONCATENATE(Tabla12[[#This Row],[Cadena]],Tabla12[[#This Row],[Etiquetas de fila]])</f>
        <v>RipleyHuechuraba</v>
      </c>
      <c r="E16" s="16">
        <v>552913</v>
      </c>
      <c r="F16" s="16">
        <v>20622</v>
      </c>
      <c r="G16" s="16">
        <f t="shared" si="0"/>
        <v>850635.38461538462</v>
      </c>
      <c r="H16" s="16">
        <f t="shared" si="0"/>
        <v>31726.153846153844</v>
      </c>
    </row>
    <row r="17" spans="2:8" x14ac:dyDescent="0.3">
      <c r="B17" t="s">
        <v>213</v>
      </c>
      <c r="C17" t="s">
        <v>22</v>
      </c>
      <c r="D17" t="str">
        <f>CONCATENATE(Tabla12[[#This Row],[Cadena]],Tabla12[[#This Row],[Etiquetas de fila]])</f>
        <v>RipleyIquique</v>
      </c>
      <c r="E17" s="16">
        <v>1083796</v>
      </c>
      <c r="F17" s="16">
        <v>246965</v>
      </c>
      <c r="G17" s="16">
        <f t="shared" si="0"/>
        <v>1667378.4615384615</v>
      </c>
      <c r="H17" s="16">
        <f t="shared" si="0"/>
        <v>379946.15384615381</v>
      </c>
    </row>
    <row r="18" spans="2:8" x14ac:dyDescent="0.3">
      <c r="B18" t="s">
        <v>213</v>
      </c>
      <c r="C18" t="s">
        <v>4</v>
      </c>
      <c r="D18" t="str">
        <f>CONCATENATE(Tabla12[[#This Row],[Cadena]],Tabla12[[#This Row],[Etiquetas de fila]])</f>
        <v>RipleyLa Calera</v>
      </c>
      <c r="E18" s="16">
        <v>1757808</v>
      </c>
      <c r="F18" s="16">
        <v>740030</v>
      </c>
      <c r="G18" s="16">
        <f t="shared" si="0"/>
        <v>2704320</v>
      </c>
      <c r="H18" s="16">
        <f t="shared" si="0"/>
        <v>1138507.6923076923</v>
      </c>
    </row>
    <row r="19" spans="2:8" x14ac:dyDescent="0.3">
      <c r="B19" t="s">
        <v>213</v>
      </c>
      <c r="C19" t="s">
        <v>20</v>
      </c>
      <c r="D19" t="str">
        <f>CONCATENATE(Tabla12[[#This Row],[Cadena]],Tabla12[[#This Row],[Etiquetas de fila]])</f>
        <v>RipleyLa Serena</v>
      </c>
      <c r="E19" s="16">
        <v>1084588</v>
      </c>
      <c r="F19" s="16">
        <v>237829</v>
      </c>
      <c r="G19" s="16">
        <f t="shared" si="0"/>
        <v>1668596.923076923</v>
      </c>
      <c r="H19" s="16">
        <f t="shared" si="0"/>
        <v>365890.76923076919</v>
      </c>
    </row>
    <row r="20" spans="2:8" x14ac:dyDescent="0.3">
      <c r="B20" t="s">
        <v>213</v>
      </c>
      <c r="C20" t="s">
        <v>9</v>
      </c>
      <c r="D20" t="str">
        <f>CONCATENATE(Tabla12[[#This Row],[Cadena]],Tabla12[[#This Row],[Etiquetas de fila]])</f>
        <v>RipleyLos Andes</v>
      </c>
      <c r="E20" s="16">
        <v>1652408</v>
      </c>
      <c r="F20" s="16">
        <v>529180</v>
      </c>
      <c r="G20" s="16">
        <f t="shared" si="0"/>
        <v>2542166.153846154</v>
      </c>
      <c r="H20" s="16">
        <f t="shared" si="0"/>
        <v>814123.07692307688</v>
      </c>
    </row>
    <row r="21" spans="2:8" x14ac:dyDescent="0.3">
      <c r="B21" t="s">
        <v>213</v>
      </c>
      <c r="C21" t="s">
        <v>23</v>
      </c>
      <c r="D21" t="str">
        <f>CONCATENATE(Tabla12[[#This Row],[Cadena]],Tabla12[[#This Row],[Etiquetas de fila]])</f>
        <v>RipleyLos Angeles</v>
      </c>
      <c r="E21" s="16">
        <v>667600</v>
      </c>
      <c r="F21" s="16">
        <v>222874</v>
      </c>
      <c r="G21" s="16">
        <f t="shared" si="0"/>
        <v>1027076.923076923</v>
      </c>
      <c r="H21" s="16">
        <f t="shared" si="0"/>
        <v>342883.07692307694</v>
      </c>
    </row>
    <row r="22" spans="2:8" x14ac:dyDescent="0.3">
      <c r="B22" t="s">
        <v>213</v>
      </c>
      <c r="C22" t="s">
        <v>178</v>
      </c>
      <c r="D22" t="str">
        <f>CONCATENATE(Tabla12[[#This Row],[Cadena]],Tabla12[[#This Row],[Etiquetas de fila]])</f>
        <v>RipleyLos Dominicos</v>
      </c>
      <c r="G22" s="16">
        <f t="shared" si="0"/>
        <v>0</v>
      </c>
      <c r="H22" s="16">
        <f t="shared" si="0"/>
        <v>0</v>
      </c>
    </row>
    <row r="23" spans="2:8" x14ac:dyDescent="0.3">
      <c r="B23" t="s">
        <v>213</v>
      </c>
      <c r="C23" t="s">
        <v>16</v>
      </c>
      <c r="D23" t="str">
        <f>CONCATENATE(Tabla12[[#This Row],[Cadena]],Tabla12[[#This Row],[Etiquetas de fila]])</f>
        <v>RipleyM.Costanera P.Montt</v>
      </c>
      <c r="E23" s="16">
        <v>1882259</v>
      </c>
      <c r="F23" s="16">
        <v>471134</v>
      </c>
      <c r="G23" s="16">
        <f t="shared" si="0"/>
        <v>2895783.076923077</v>
      </c>
      <c r="H23" s="16">
        <f t="shared" si="0"/>
        <v>724821.53846153838</v>
      </c>
    </row>
    <row r="24" spans="2:8" x14ac:dyDescent="0.3">
      <c r="B24" t="s">
        <v>213</v>
      </c>
      <c r="C24" t="s">
        <v>15</v>
      </c>
      <c r="D24" t="str">
        <f>CONCATENATE(Tabla12[[#This Row],[Cadena]],Tabla12[[#This Row],[Etiquetas de fila]])</f>
        <v>RipleyMaipu</v>
      </c>
      <c r="E24" s="16">
        <v>635345</v>
      </c>
      <c r="F24" s="16">
        <v>172710</v>
      </c>
      <c r="G24" s="16">
        <f t="shared" si="0"/>
        <v>977453.84615384613</v>
      </c>
      <c r="H24" s="16">
        <f t="shared" si="0"/>
        <v>265707.69230769231</v>
      </c>
    </row>
    <row r="25" spans="2:8" x14ac:dyDescent="0.3">
      <c r="B25" t="s">
        <v>213</v>
      </c>
      <c r="C25" t="s">
        <v>5</v>
      </c>
      <c r="D25" t="str">
        <f>CONCATENATE(Tabla12[[#This Row],[Cadena]],Tabla12[[#This Row],[Etiquetas de fila]])</f>
        <v>RipleyMall Concepcion</v>
      </c>
      <c r="E25" s="16">
        <v>1693037</v>
      </c>
      <c r="F25" s="16">
        <v>461101</v>
      </c>
      <c r="G25" s="16">
        <f t="shared" si="0"/>
        <v>2604672.3076923075</v>
      </c>
      <c r="H25" s="16">
        <f t="shared" si="0"/>
        <v>709386.15384615387</v>
      </c>
    </row>
    <row r="26" spans="2:8" x14ac:dyDescent="0.3">
      <c r="B26" t="s">
        <v>213</v>
      </c>
      <c r="C26" t="s">
        <v>3</v>
      </c>
      <c r="D26" t="str">
        <f>CONCATENATE(Tabla12[[#This Row],[Cadena]],Tabla12[[#This Row],[Etiquetas de fila]])</f>
        <v>RipleyMarina Arauco</v>
      </c>
      <c r="E26" s="52">
        <v>2400000</v>
      </c>
      <c r="F26" s="16">
        <v>779379</v>
      </c>
      <c r="G26" s="16">
        <f t="shared" si="0"/>
        <v>3692307.692307692</v>
      </c>
      <c r="H26" s="16">
        <f t="shared" si="0"/>
        <v>1199044.6153846153</v>
      </c>
    </row>
    <row r="27" spans="2:8" x14ac:dyDescent="0.3">
      <c r="B27" t="s">
        <v>213</v>
      </c>
      <c r="C27" t="s">
        <v>32</v>
      </c>
      <c r="D27" t="str">
        <f>CONCATENATE(Tabla12[[#This Row],[Cadena]],Tabla12[[#This Row],[Etiquetas de fila]])</f>
        <v>RipleyNueva Alameda</v>
      </c>
      <c r="E27" s="16">
        <v>627251</v>
      </c>
      <c r="F27" s="16">
        <v>60200</v>
      </c>
      <c r="G27" s="16">
        <f t="shared" si="0"/>
        <v>965001.53846153838</v>
      </c>
      <c r="H27" s="16">
        <f t="shared" si="0"/>
        <v>92615.38461538461</v>
      </c>
    </row>
    <row r="28" spans="2:8" x14ac:dyDescent="0.3">
      <c r="B28" t="s">
        <v>213</v>
      </c>
      <c r="C28" t="s">
        <v>24</v>
      </c>
      <c r="D28" t="str">
        <f>CONCATENATE(Tabla12[[#This Row],[Cadena]],Tabla12[[#This Row],[Etiquetas de fila]])</f>
        <v>RipleyNueva Valdivia Store</v>
      </c>
      <c r="E28" s="16">
        <v>718966</v>
      </c>
      <c r="F28" s="16">
        <v>161471</v>
      </c>
      <c r="G28" s="16">
        <f t="shared" si="0"/>
        <v>1106101.5384615385</v>
      </c>
      <c r="H28" s="16">
        <f t="shared" si="0"/>
        <v>248416.92307692306</v>
      </c>
    </row>
    <row r="29" spans="2:8" x14ac:dyDescent="0.3">
      <c r="B29" t="s">
        <v>213</v>
      </c>
      <c r="C29" t="s">
        <v>31</v>
      </c>
      <c r="D29" t="str">
        <f>CONCATENATE(Tabla12[[#This Row],[Cadena]],Tabla12[[#This Row],[Etiquetas de fila]])</f>
        <v>RipleyParque Arauco</v>
      </c>
      <c r="E29" s="16">
        <v>570690</v>
      </c>
      <c r="F29" s="16">
        <v>251895</v>
      </c>
      <c r="G29" s="16">
        <f t="shared" si="0"/>
        <v>877984.61538461538</v>
      </c>
      <c r="H29" s="16">
        <f t="shared" si="0"/>
        <v>387530.76923076919</v>
      </c>
    </row>
    <row r="30" spans="2:8" x14ac:dyDescent="0.3">
      <c r="B30" t="s">
        <v>213</v>
      </c>
      <c r="C30" t="s">
        <v>8</v>
      </c>
      <c r="D30" t="str">
        <f>CONCATENATE(Tabla12[[#This Row],[Cadena]],Tabla12[[#This Row],[Etiquetas de fila]])</f>
        <v>RipleyPlaza Egana</v>
      </c>
      <c r="E30" s="16">
        <v>1217667</v>
      </c>
      <c r="F30" s="16">
        <v>433742</v>
      </c>
      <c r="G30" s="16">
        <f t="shared" si="0"/>
        <v>1873333.846153846</v>
      </c>
      <c r="H30" s="16">
        <f t="shared" si="0"/>
        <v>667295.38461538462</v>
      </c>
    </row>
    <row r="31" spans="2:8" x14ac:dyDescent="0.3">
      <c r="B31" t="s">
        <v>213</v>
      </c>
      <c r="C31" t="s">
        <v>17</v>
      </c>
      <c r="D31" t="str">
        <f>CONCATENATE(Tabla12[[#This Row],[Cadena]],Tabla12[[#This Row],[Etiquetas de fila]])</f>
        <v>RipleyPlaza Oeste</v>
      </c>
      <c r="E31" s="16">
        <v>1082848</v>
      </c>
      <c r="F31" s="16">
        <v>228742</v>
      </c>
      <c r="G31" s="16">
        <f t="shared" si="0"/>
        <v>1665920</v>
      </c>
      <c r="H31" s="16">
        <f t="shared" si="0"/>
        <v>351910.76923076919</v>
      </c>
    </row>
    <row r="32" spans="2:8" x14ac:dyDescent="0.3">
      <c r="B32" t="s">
        <v>213</v>
      </c>
      <c r="C32" t="s">
        <v>39</v>
      </c>
      <c r="D32" t="str">
        <f>CONCATENATE(Tabla12[[#This Row],[Cadena]],Tabla12[[#This Row],[Etiquetas de fila]])</f>
        <v>RipleyPlaza Tobalaba</v>
      </c>
      <c r="E32" s="16">
        <v>40021</v>
      </c>
      <c r="F32" s="16">
        <v>8729</v>
      </c>
      <c r="G32" s="16">
        <f t="shared" si="0"/>
        <v>61570.769230769227</v>
      </c>
      <c r="H32" s="16">
        <f t="shared" si="0"/>
        <v>13429.23076923077</v>
      </c>
    </row>
    <row r="33" spans="2:8" x14ac:dyDescent="0.3">
      <c r="B33" t="s">
        <v>213</v>
      </c>
      <c r="C33" t="s">
        <v>11</v>
      </c>
      <c r="D33" t="str">
        <f>CONCATENATE(Tabla12[[#This Row],[Cadena]],Tabla12[[#This Row],[Etiquetas de fila]])</f>
        <v>RipleyPlaza Vespucio</v>
      </c>
      <c r="E33" s="16">
        <v>1047041</v>
      </c>
      <c r="F33" s="16">
        <v>381420</v>
      </c>
      <c r="G33" s="16">
        <f t="shared" si="0"/>
        <v>1610832.3076923077</v>
      </c>
      <c r="H33" s="16">
        <f t="shared" si="0"/>
        <v>586800</v>
      </c>
    </row>
    <row r="34" spans="2:8" x14ac:dyDescent="0.3">
      <c r="B34" t="s">
        <v>213</v>
      </c>
      <c r="C34" t="s">
        <v>12</v>
      </c>
      <c r="D34" t="str">
        <f>CONCATENATE(Tabla12[[#This Row],[Cadena]],Tabla12[[#This Row],[Etiquetas de fila]])</f>
        <v>RipleyPortal Temuco</v>
      </c>
      <c r="E34" s="16">
        <v>952982</v>
      </c>
      <c r="F34" s="16">
        <v>159114</v>
      </c>
      <c r="G34" s="16">
        <f t="shared" si="0"/>
        <v>1466126.1538461538</v>
      </c>
      <c r="H34" s="16">
        <f t="shared" si="0"/>
        <v>244790.76923076922</v>
      </c>
    </row>
    <row r="35" spans="2:8" x14ac:dyDescent="0.3">
      <c r="B35" t="s">
        <v>213</v>
      </c>
      <c r="C35" t="s">
        <v>14</v>
      </c>
      <c r="D35" t="str">
        <f>CONCATENATE(Tabla12[[#This Row],[Cadena]],Tabla12[[#This Row],[Etiquetas de fila]])</f>
        <v>RipleyPuente</v>
      </c>
      <c r="E35" s="16">
        <v>729810</v>
      </c>
      <c r="F35" s="16">
        <v>189052</v>
      </c>
      <c r="G35" s="16">
        <f t="shared" si="0"/>
        <v>1122784.6153846153</v>
      </c>
      <c r="H35" s="16">
        <f t="shared" si="0"/>
        <v>290849.23076923075</v>
      </c>
    </row>
    <row r="36" spans="2:8" x14ac:dyDescent="0.3">
      <c r="B36" t="s">
        <v>213</v>
      </c>
      <c r="C36" t="s">
        <v>25</v>
      </c>
      <c r="D36" t="str">
        <f>CONCATENATE(Tabla12[[#This Row],[Cadena]],Tabla12[[#This Row],[Etiquetas de fila]])</f>
        <v>RipleyQuilpue</v>
      </c>
      <c r="E36" s="16">
        <v>244364</v>
      </c>
      <c r="F36" s="16">
        <v>92993</v>
      </c>
      <c r="G36" s="16">
        <f t="shared" si="0"/>
        <v>375944.61538461538</v>
      </c>
      <c r="H36" s="16">
        <f t="shared" si="0"/>
        <v>143066.15384615384</v>
      </c>
    </row>
    <row r="37" spans="2:8" x14ac:dyDescent="0.3">
      <c r="B37" t="s">
        <v>213</v>
      </c>
      <c r="C37" t="s">
        <v>21</v>
      </c>
      <c r="D37" t="str">
        <f>CONCATENATE(Tabla12[[#This Row],[Cadena]],Tabla12[[#This Row],[Etiquetas de fila]])</f>
        <v>RipleyRancagua</v>
      </c>
      <c r="E37" s="16">
        <v>978205</v>
      </c>
      <c r="F37" s="16">
        <v>548105</v>
      </c>
      <c r="G37" s="16">
        <f t="shared" si="0"/>
        <v>1504930.7692307692</v>
      </c>
      <c r="H37" s="16">
        <f t="shared" si="0"/>
        <v>843238.4615384615</v>
      </c>
    </row>
    <row r="38" spans="2:8" x14ac:dyDescent="0.3">
      <c r="B38" t="s">
        <v>213</v>
      </c>
      <c r="C38" t="s">
        <v>28</v>
      </c>
      <c r="D38" t="str">
        <f>CONCATENATE(Tabla12[[#This Row],[Cadena]],Tabla12[[#This Row],[Etiquetas de fila]])</f>
        <v>RipleySan Bernardo</v>
      </c>
      <c r="E38" s="16">
        <v>760817</v>
      </c>
      <c r="F38" s="16">
        <v>220639</v>
      </c>
      <c r="G38" s="16">
        <f t="shared" si="0"/>
        <v>1170487.6923076923</v>
      </c>
      <c r="H38" s="16">
        <f t="shared" si="0"/>
        <v>339444.61538461538</v>
      </c>
    </row>
    <row r="39" spans="2:8" x14ac:dyDescent="0.3">
      <c r="B39" t="s">
        <v>213</v>
      </c>
      <c r="C39" t="s">
        <v>179</v>
      </c>
      <c r="D39" t="str">
        <f>CONCATENATE(Tabla12[[#This Row],[Cadena]],Tabla12[[#This Row],[Etiquetas de fila]])</f>
        <v>RipleySan Fernando</v>
      </c>
      <c r="G39" s="16">
        <f t="shared" si="0"/>
        <v>0</v>
      </c>
      <c r="H39" s="16">
        <f t="shared" si="0"/>
        <v>0</v>
      </c>
    </row>
    <row r="40" spans="2:8" x14ac:dyDescent="0.3">
      <c r="B40" t="s">
        <v>213</v>
      </c>
      <c r="C40" t="s">
        <v>2</v>
      </c>
      <c r="D40" t="str">
        <f>CONCATENATE(Tabla12[[#This Row],[Cadena]],Tabla12[[#This Row],[Etiquetas de fila]])</f>
        <v>RipleyTalca</v>
      </c>
      <c r="E40" s="16">
        <v>1869260</v>
      </c>
      <c r="F40" s="16">
        <v>528406</v>
      </c>
      <c r="G40" s="16">
        <f t="shared" si="0"/>
        <v>2875784.6153846155</v>
      </c>
      <c r="H40" s="16">
        <f t="shared" si="0"/>
        <v>812932.30769230763</v>
      </c>
    </row>
    <row r="41" spans="2:8" x14ac:dyDescent="0.3">
      <c r="B41" t="s">
        <v>213</v>
      </c>
      <c r="C41" t="s">
        <v>10</v>
      </c>
      <c r="D41" t="str">
        <f>CONCATENATE(Tabla12[[#This Row],[Cadena]],Tabla12[[#This Row],[Etiquetas de fila]])</f>
        <v>RipleyTemuco</v>
      </c>
      <c r="E41" s="16">
        <v>1829434</v>
      </c>
      <c r="F41" s="16">
        <v>453690</v>
      </c>
      <c r="G41" s="16">
        <f t="shared" si="0"/>
        <v>2814513.846153846</v>
      </c>
      <c r="H41" s="16">
        <f t="shared" si="0"/>
        <v>697984.61538461538</v>
      </c>
    </row>
    <row r="42" spans="2:8" x14ac:dyDescent="0.3">
      <c r="B42" t="s">
        <v>213</v>
      </c>
      <c r="C42" t="s">
        <v>26</v>
      </c>
      <c r="D42" t="str">
        <f>CONCATENATE(Tabla12[[#This Row],[Cadena]],Tabla12[[#This Row],[Etiquetas de fila]])</f>
        <v>RipleyValparaiso</v>
      </c>
      <c r="E42" s="16">
        <v>603747</v>
      </c>
      <c r="F42" s="16">
        <v>315029</v>
      </c>
      <c r="G42" s="16">
        <f t="shared" si="0"/>
        <v>928841.53846153838</v>
      </c>
      <c r="H42" s="16">
        <f t="shared" si="0"/>
        <v>484660</v>
      </c>
    </row>
    <row r="43" spans="2:8" x14ac:dyDescent="0.3">
      <c r="B43" t="s">
        <v>213</v>
      </c>
      <c r="C43" t="s">
        <v>18</v>
      </c>
      <c r="D43" t="str">
        <f>CONCATENATE(Tabla12[[#This Row],[Cadena]],Tabla12[[#This Row],[Etiquetas de fila]])</f>
        <v>RipleyVina</v>
      </c>
      <c r="F43" s="16">
        <v>-4364</v>
      </c>
      <c r="G43" s="16">
        <f t="shared" si="0"/>
        <v>0</v>
      </c>
      <c r="H43" s="16">
        <f t="shared" si="0"/>
        <v>-6713.8461538461534</v>
      </c>
    </row>
    <row r="44" spans="2:8" x14ac:dyDescent="0.3">
      <c r="B44" t="s">
        <v>214</v>
      </c>
      <c r="C44" t="s">
        <v>1</v>
      </c>
      <c r="D44" s="53" t="str">
        <f>CONCATENATE(Tabla12[[#This Row],[Cadena]],Tabla12[[#This Row],[Etiquetas de fila]])</f>
        <v>ParísCostanera Center</v>
      </c>
      <c r="E44" s="16">
        <v>2969047.5</v>
      </c>
      <c r="F44" s="16">
        <v>1391730.1666666667</v>
      </c>
      <c r="G44" s="16">
        <f>+E44/0.65</f>
        <v>4567765.384615384</v>
      </c>
      <c r="H44" s="16">
        <f>+F44/0.65</f>
        <v>2141123.3333333335</v>
      </c>
    </row>
    <row r="45" spans="2:8" x14ac:dyDescent="0.3">
      <c r="B45" t="s">
        <v>214</v>
      </c>
      <c r="C45" t="s">
        <v>234</v>
      </c>
      <c r="D45" s="53" t="str">
        <f>CONCATENATE(Tabla12[[#This Row],[Cadena]],Tabla12[[#This Row],[Etiquetas de fila]])</f>
        <v>ParísTemuco Centro</v>
      </c>
      <c r="E45" s="16">
        <v>2237858.1322067198</v>
      </c>
      <c r="F45" s="16">
        <v>726000.66666666674</v>
      </c>
      <c r="G45" s="16">
        <f t="shared" ref="G45:G52" si="1">+E45/0.65</f>
        <v>3442858.6649334151</v>
      </c>
      <c r="H45" s="16">
        <f t="shared" ref="H45:H52" si="2">+F45/0.65</f>
        <v>1116924.1025641027</v>
      </c>
    </row>
    <row r="46" spans="2:8" x14ac:dyDescent="0.3">
      <c r="B46" t="s">
        <v>214</v>
      </c>
      <c r="C46" t="s">
        <v>2</v>
      </c>
      <c r="D46" s="53" t="str">
        <f>CONCATENATE(Tabla12[[#This Row],[Cadena]],Tabla12[[#This Row],[Etiquetas de fila]])</f>
        <v>ParísTalca</v>
      </c>
      <c r="E46" s="16">
        <v>2167531.0903963721</v>
      </c>
      <c r="F46" s="16">
        <v>703185.33333333337</v>
      </c>
      <c r="G46" s="16">
        <f t="shared" si="1"/>
        <v>3334663.2159944186</v>
      </c>
      <c r="H46" s="16">
        <f t="shared" si="2"/>
        <v>1081823.5897435897</v>
      </c>
    </row>
    <row r="47" spans="2:8" x14ac:dyDescent="0.3">
      <c r="B47" t="s">
        <v>214</v>
      </c>
      <c r="C47" t="s">
        <v>235</v>
      </c>
      <c r="D47" s="53" t="str">
        <f>CONCATENATE(Tabla12[[#This Row],[Cadena]],Tabla12[[#This Row],[Etiquetas de fila]])</f>
        <v>ParísPortal Belloto</v>
      </c>
      <c r="E47" s="16">
        <v>2171807.9847588707</v>
      </c>
      <c r="F47" s="16">
        <v>704572.83333333337</v>
      </c>
      <c r="G47" s="16">
        <f t="shared" si="1"/>
        <v>3341243.0534751858</v>
      </c>
      <c r="H47" s="16">
        <f t="shared" si="2"/>
        <v>1083958.2051282052</v>
      </c>
    </row>
    <row r="48" spans="2:8" x14ac:dyDescent="0.3">
      <c r="B48" t="s">
        <v>214</v>
      </c>
      <c r="C48" t="s">
        <v>236</v>
      </c>
      <c r="D48" s="53" t="str">
        <f>CONCATENATE(Tabla12[[#This Row],[Cadena]],Tabla12[[#This Row],[Etiquetas de fila]])</f>
        <v>ParísPlaza La Serena</v>
      </c>
      <c r="E48" s="16">
        <v>1668780.4763549112</v>
      </c>
      <c r="F48" s="16">
        <v>541381.83333333337</v>
      </c>
      <c r="G48" s="16">
        <f t="shared" si="1"/>
        <v>2567354.5790075557</v>
      </c>
      <c r="H48" s="16">
        <f t="shared" si="2"/>
        <v>832895.12820512825</v>
      </c>
    </row>
    <row r="49" spans="2:8" x14ac:dyDescent="0.3">
      <c r="B49" t="s">
        <v>214</v>
      </c>
      <c r="C49" t="s">
        <v>3</v>
      </c>
      <c r="D49" s="53" t="str">
        <f>CONCATENATE(Tabla12[[#This Row],[Cadena]],Tabla12[[#This Row],[Etiquetas de fila]])</f>
        <v>ParísMarina Arauco</v>
      </c>
      <c r="E49" s="16">
        <v>1985740.7322538772</v>
      </c>
      <c r="F49" s="16">
        <v>644209.33333333337</v>
      </c>
      <c r="G49" s="16">
        <f t="shared" si="1"/>
        <v>3054985.7419290417</v>
      </c>
      <c r="H49" s="16">
        <f t="shared" si="2"/>
        <v>991091.28205128212</v>
      </c>
    </row>
    <row r="50" spans="2:8" x14ac:dyDescent="0.3">
      <c r="B50" t="s">
        <v>214</v>
      </c>
      <c r="C50" t="s">
        <v>237</v>
      </c>
      <c r="D50" s="53" t="str">
        <f>CONCATENATE(Tabla12[[#This Row],[Cadena]],Tabla12[[#This Row],[Etiquetas de fila]])</f>
        <v>ParísBarros Arana</v>
      </c>
      <c r="E50" s="16">
        <v>1018395.0771787554</v>
      </c>
      <c r="F50" s="16">
        <v>330385.33333333331</v>
      </c>
      <c r="G50" s="16">
        <f t="shared" si="1"/>
        <v>1566761.6571980852</v>
      </c>
      <c r="H50" s="16">
        <f t="shared" si="2"/>
        <v>508285.12820512813</v>
      </c>
    </row>
    <row r="51" spans="2:8" x14ac:dyDescent="0.3">
      <c r="B51" t="s">
        <v>214</v>
      </c>
      <c r="C51" t="s">
        <v>238</v>
      </c>
      <c r="D51" s="53" t="str">
        <f>CONCATENATE(Tabla12[[#This Row],[Cadena]],Tabla12[[#This Row],[Etiquetas de fila]])</f>
        <v>ParísArauco Maipu</v>
      </c>
      <c r="E51" s="16">
        <v>1217359.799109638</v>
      </c>
      <c r="F51" s="16">
        <v>394933</v>
      </c>
      <c r="G51" s="16">
        <f t="shared" si="1"/>
        <v>1872861.2293994429</v>
      </c>
      <c r="H51" s="16">
        <f t="shared" si="2"/>
        <v>607589.23076923075</v>
      </c>
    </row>
    <row r="52" spans="2:8" x14ac:dyDescent="0.3">
      <c r="B52" t="s">
        <v>214</v>
      </c>
      <c r="C52" t="s">
        <v>17</v>
      </c>
      <c r="D52" s="53" t="str">
        <f>CONCATENATE(Tabla12[[#This Row],[Cadena]],Tabla12[[#This Row],[Etiquetas de fila]])</f>
        <v>ParísPlaza Oeste</v>
      </c>
      <c r="E52" s="16">
        <v>1814661.3615664849</v>
      </c>
      <c r="F52" s="16">
        <v>588708.16666666674</v>
      </c>
      <c r="G52" s="16">
        <f t="shared" si="1"/>
        <v>2791786.7101022843</v>
      </c>
      <c r="H52" s="16">
        <f t="shared" si="2"/>
        <v>905704.87179487187</v>
      </c>
    </row>
    <row r="53" spans="2:8" x14ac:dyDescent="0.3">
      <c r="B53" t="s">
        <v>214</v>
      </c>
      <c r="C53" t="s">
        <v>21</v>
      </c>
      <c r="D53" s="53" t="str">
        <f>CONCATENATE(Tabla12[[#This Row],[Cadena]],Tabla12[[#This Row],[Etiquetas de fila]])</f>
        <v>ParísRancagua</v>
      </c>
      <c r="E53" s="16">
        <v>1182263.578283922</v>
      </c>
      <c r="F53" s="16">
        <v>383547.16666666669</v>
      </c>
      <c r="G53" s="16">
        <f t="shared" ref="G53:G87" si="3">+E53/0.65</f>
        <v>1818867.0435137262</v>
      </c>
      <c r="H53" s="16">
        <f t="shared" ref="H53:H87" si="4">+F53/0.65</f>
        <v>590072.56410256412</v>
      </c>
    </row>
    <row r="54" spans="2:8" x14ac:dyDescent="0.3">
      <c r="B54" t="s">
        <v>214</v>
      </c>
      <c r="C54" t="s">
        <v>31</v>
      </c>
      <c r="D54" s="53" t="str">
        <f>CONCATENATE(Tabla12[[#This Row],[Cadena]],Tabla12[[#This Row],[Etiquetas de fila]])</f>
        <v>ParísParque Arauco</v>
      </c>
      <c r="E54" s="16">
        <v>2076432.9836046216</v>
      </c>
      <c r="F54" s="16">
        <v>673631.5</v>
      </c>
      <c r="G54" s="16">
        <f t="shared" si="3"/>
        <v>3194512.2824686486</v>
      </c>
      <c r="H54" s="16">
        <f t="shared" si="4"/>
        <v>1036356.1538461538</v>
      </c>
    </row>
    <row r="55" spans="2:8" x14ac:dyDescent="0.3">
      <c r="B55" t="s">
        <v>214</v>
      </c>
      <c r="C55" t="s">
        <v>27</v>
      </c>
      <c r="D55" s="53" t="str">
        <f>CONCATENATE(Tabla12[[#This Row],[Cadena]],Tabla12[[#This Row],[Etiquetas de fila]])</f>
        <v>ParísCopiapo</v>
      </c>
      <c r="E55" s="16">
        <v>1843008.5660270185</v>
      </c>
      <c r="F55" s="16">
        <v>597904.5</v>
      </c>
      <c r="G55" s="16">
        <f t="shared" si="3"/>
        <v>2835397.7938877204</v>
      </c>
      <c r="H55" s="16">
        <f t="shared" si="4"/>
        <v>919853.07692307688</v>
      </c>
    </row>
    <row r="56" spans="2:8" x14ac:dyDescent="0.3">
      <c r="B56" t="s">
        <v>214</v>
      </c>
      <c r="C56" t="s">
        <v>239</v>
      </c>
      <c r="D56" s="53" t="str">
        <f>CONCATENATE(Tabla12[[#This Row],[Cadena]],Tabla12[[#This Row],[Etiquetas de fila]])</f>
        <v>ParísEl Roble</v>
      </c>
      <c r="E56" s="16">
        <v>1154462.4805750202</v>
      </c>
      <c r="F56" s="16">
        <v>374528</v>
      </c>
      <c r="G56" s="16">
        <f t="shared" si="3"/>
        <v>1776096.1239615695</v>
      </c>
      <c r="H56" s="16">
        <f t="shared" si="4"/>
        <v>576196.92307692301</v>
      </c>
    </row>
    <row r="57" spans="2:8" x14ac:dyDescent="0.3">
      <c r="B57" t="s">
        <v>214</v>
      </c>
      <c r="C57" t="s">
        <v>240</v>
      </c>
      <c r="D57" s="53" t="str">
        <f>CONCATENATE(Tabla12[[#This Row],[Cadena]],Tabla12[[#This Row],[Etiquetas de fila]])</f>
        <v>ParísPortal Osorno</v>
      </c>
      <c r="E57" s="16">
        <v>392722.67817240488</v>
      </c>
      <c r="F57" s="16">
        <v>127406.16666666667</v>
      </c>
      <c r="G57" s="16">
        <f t="shared" si="3"/>
        <v>604188.7356498536</v>
      </c>
      <c r="H57" s="16">
        <f t="shared" si="4"/>
        <v>196009.48717948719</v>
      </c>
    </row>
    <row r="58" spans="2:8" x14ac:dyDescent="0.3">
      <c r="B58" t="s">
        <v>214</v>
      </c>
      <c r="C58" t="s">
        <v>241</v>
      </c>
      <c r="D58" s="53" t="str">
        <f>CONCATENATE(Tabla12[[#This Row],[Cadena]],Tabla12[[#This Row],[Etiquetas de fila]])</f>
        <v>ParísAlto Las Condes</v>
      </c>
      <c r="E58" s="16">
        <v>1837141.6430696931</v>
      </c>
      <c r="F58" s="16">
        <v>596001.16666666663</v>
      </c>
      <c r="G58" s="16">
        <f t="shared" si="3"/>
        <v>2826371.7585687586</v>
      </c>
      <c r="H58" s="16">
        <f t="shared" si="4"/>
        <v>916924.87179487175</v>
      </c>
    </row>
    <row r="59" spans="2:8" x14ac:dyDescent="0.3">
      <c r="B59" t="s">
        <v>214</v>
      </c>
      <c r="C59" t="s">
        <v>176</v>
      </c>
      <c r="D59" s="53" t="str">
        <f>CONCATENATE(Tabla12[[#This Row],[Cadena]],Tabla12[[#This Row],[Etiquetas de fila]])</f>
        <v>ParísArica</v>
      </c>
      <c r="E59" s="16">
        <v>2162055.6381302448</v>
      </c>
      <c r="F59" s="16">
        <v>701409</v>
      </c>
      <c r="G59" s="16">
        <f t="shared" si="3"/>
        <v>3326239.4432772994</v>
      </c>
      <c r="H59" s="16">
        <f t="shared" si="4"/>
        <v>1079090.7692307692</v>
      </c>
    </row>
    <row r="60" spans="2:8" x14ac:dyDescent="0.3">
      <c r="B60" t="s">
        <v>214</v>
      </c>
      <c r="C60" t="s">
        <v>242</v>
      </c>
      <c r="D60" s="53" t="str">
        <f>CONCATENATE(Tabla12[[#This Row],[Cadena]],Tabla12[[#This Row],[Etiquetas de fila]])</f>
        <v>ParísPlaza Del Trebol</v>
      </c>
      <c r="E60" s="16">
        <v>1103318.016374442</v>
      </c>
      <c r="F60" s="16">
        <v>357935.83333333331</v>
      </c>
      <c r="G60" s="16">
        <f t="shared" si="3"/>
        <v>1697412.3328837568</v>
      </c>
      <c r="H60" s="16">
        <f t="shared" si="4"/>
        <v>550670.51282051275</v>
      </c>
    </row>
    <row r="61" spans="2:8" x14ac:dyDescent="0.3">
      <c r="B61" t="s">
        <v>214</v>
      </c>
      <c r="C61" t="s">
        <v>23</v>
      </c>
      <c r="D61" s="53" t="str">
        <f>CONCATENATE(Tabla12[[#This Row],[Cadena]],Tabla12[[#This Row],[Etiquetas de fila]])</f>
        <v>ParísLos Angeles</v>
      </c>
      <c r="E61" s="16">
        <v>973944.14530838653</v>
      </c>
      <c r="F61" s="16">
        <v>315964.66666666669</v>
      </c>
      <c r="G61" s="16">
        <f t="shared" si="3"/>
        <v>1498375.6081667484</v>
      </c>
      <c r="H61" s="16">
        <f t="shared" si="4"/>
        <v>486099.48717948719</v>
      </c>
    </row>
    <row r="62" spans="2:8" x14ac:dyDescent="0.3">
      <c r="B62" t="s">
        <v>214</v>
      </c>
      <c r="C62" t="s">
        <v>243</v>
      </c>
      <c r="D62" s="53" t="str">
        <f>CONCATENATE(Tabla12[[#This Row],[Cadena]],Tabla12[[#This Row],[Etiquetas de fila]])</f>
        <v>ParísPuerto Montt</v>
      </c>
      <c r="E62" s="16">
        <v>1177611.6529442915</v>
      </c>
      <c r="F62" s="16">
        <v>382038</v>
      </c>
      <c r="G62" s="16">
        <f t="shared" si="3"/>
        <v>1811710.2352989099</v>
      </c>
      <c r="H62" s="16">
        <f t="shared" si="4"/>
        <v>587750.76923076925</v>
      </c>
    </row>
    <row r="63" spans="2:8" x14ac:dyDescent="0.3">
      <c r="B63" t="s">
        <v>214</v>
      </c>
      <c r="C63" t="s">
        <v>6</v>
      </c>
      <c r="D63" s="53" t="str">
        <f>CONCATENATE(Tabla12[[#This Row],[Cadena]],Tabla12[[#This Row],[Etiquetas de fila]])</f>
        <v>ParísAntofagasta</v>
      </c>
      <c r="E63" s="16">
        <v>1470965.506926524</v>
      </c>
      <c r="F63" s="16">
        <v>477207.16666666669</v>
      </c>
      <c r="G63" s="16">
        <f t="shared" si="3"/>
        <v>2263023.856810037</v>
      </c>
      <c r="H63" s="16">
        <f t="shared" si="4"/>
        <v>734164.87179487175</v>
      </c>
    </row>
    <row r="64" spans="2:8" x14ac:dyDescent="0.3">
      <c r="B64" t="s">
        <v>214</v>
      </c>
      <c r="C64" t="s">
        <v>19</v>
      </c>
      <c r="D64" s="53" t="str">
        <f>CONCATENATE(Tabla12[[#This Row],[Cadena]],Tabla12[[#This Row],[Etiquetas de fila]])</f>
        <v>ParísCurico</v>
      </c>
      <c r="E64" s="16">
        <v>1262037.2907894796</v>
      </c>
      <c r="F64" s="16">
        <v>409427.16666666669</v>
      </c>
      <c r="G64" s="16">
        <f t="shared" si="3"/>
        <v>1941595.8319838147</v>
      </c>
      <c r="H64" s="16">
        <f t="shared" si="4"/>
        <v>629887.94871794875</v>
      </c>
    </row>
    <row r="65" spans="2:8" x14ac:dyDescent="0.3">
      <c r="B65" t="s">
        <v>214</v>
      </c>
      <c r="C65" t="s">
        <v>12</v>
      </c>
      <c r="D65" s="53" t="str">
        <f>CONCATENATE(Tabla12[[#This Row],[Cadena]],Tabla12[[#This Row],[Etiquetas de fila]])</f>
        <v>ParísPortal Temuco</v>
      </c>
      <c r="E65" s="16">
        <v>971261.38946923136</v>
      </c>
      <c r="F65" s="16">
        <v>315094.33333333337</v>
      </c>
      <c r="G65" s="16">
        <f t="shared" si="3"/>
        <v>1494248.291491125</v>
      </c>
      <c r="H65" s="16">
        <f t="shared" si="4"/>
        <v>484760.51282051287</v>
      </c>
    </row>
    <row r="66" spans="2:8" x14ac:dyDescent="0.3">
      <c r="B66" t="s">
        <v>214</v>
      </c>
      <c r="C66" t="s">
        <v>11</v>
      </c>
      <c r="D66" s="53" t="str">
        <f>CONCATENATE(Tabla12[[#This Row],[Cadena]],Tabla12[[#This Row],[Etiquetas de fila]])</f>
        <v>ParísPlaza Vespucio</v>
      </c>
      <c r="E66" s="16">
        <v>882826.00261511817</v>
      </c>
      <c r="F66" s="16">
        <v>286404.33333333337</v>
      </c>
      <c r="G66" s="16">
        <f t="shared" si="3"/>
        <v>1358193.8501771048</v>
      </c>
      <c r="H66" s="16">
        <f t="shared" si="4"/>
        <v>440622.05128205131</v>
      </c>
    </row>
    <row r="67" spans="2:8" x14ac:dyDescent="0.3">
      <c r="B67" t="s">
        <v>214</v>
      </c>
      <c r="C67" t="s">
        <v>7</v>
      </c>
      <c r="D67" s="53" t="str">
        <f>CONCATENATE(Tabla12[[#This Row],[Cadena]],Tabla12[[#This Row],[Etiquetas de fila]])</f>
        <v>ParísFlorida Center</v>
      </c>
      <c r="E67" s="16">
        <v>846418.2008515693</v>
      </c>
      <c r="F67" s="16">
        <v>274593</v>
      </c>
      <c r="G67" s="16">
        <f t="shared" si="3"/>
        <v>1302181.8474639528</v>
      </c>
      <c r="H67" s="16">
        <f t="shared" si="4"/>
        <v>422450.76923076919</v>
      </c>
    </row>
    <row r="68" spans="2:8" x14ac:dyDescent="0.3">
      <c r="B68" t="s">
        <v>214</v>
      </c>
      <c r="C68" t="s">
        <v>39</v>
      </c>
      <c r="D68" s="53" t="str">
        <f>CONCATENATE(Tabla12[[#This Row],[Cadena]],Tabla12[[#This Row],[Etiquetas de fila]])</f>
        <v>ParísPlaza Tobalaba</v>
      </c>
      <c r="E68" s="16">
        <v>1181284.3878148622</v>
      </c>
      <c r="F68" s="16">
        <v>383229.5</v>
      </c>
      <c r="G68" s="16">
        <f t="shared" si="3"/>
        <v>1817360.5966382495</v>
      </c>
      <c r="H68" s="16">
        <f t="shared" si="4"/>
        <v>589583.84615384613</v>
      </c>
    </row>
    <row r="69" spans="2:8" x14ac:dyDescent="0.3">
      <c r="B69" t="s">
        <v>214</v>
      </c>
      <c r="C69" t="s">
        <v>244</v>
      </c>
      <c r="D69" s="53" t="str">
        <f>CONCATENATE(Tabla12[[#This Row],[Cadena]],Tabla12[[#This Row],[Etiquetas de fila]])</f>
        <v>ParísOvalle</v>
      </c>
      <c r="E69" s="16">
        <v>496771.68346075888</v>
      </c>
      <c r="F69" s="16">
        <v>161161.5</v>
      </c>
      <c r="G69" s="16">
        <f t="shared" si="3"/>
        <v>764264.12840116746</v>
      </c>
      <c r="H69" s="16">
        <f t="shared" si="4"/>
        <v>247940.76923076922</v>
      </c>
    </row>
    <row r="70" spans="2:8" x14ac:dyDescent="0.3">
      <c r="B70" t="s">
        <v>214</v>
      </c>
      <c r="C70" t="s">
        <v>22</v>
      </c>
      <c r="D70" s="53" t="str">
        <f>CONCATENATE(Tabla12[[#This Row],[Cadena]],Tabla12[[#This Row],[Etiquetas de fila]])</f>
        <v>ParísIquique</v>
      </c>
      <c r="E70" s="16">
        <v>1040739.2172998543</v>
      </c>
      <c r="F70" s="16">
        <v>337634.16666666669</v>
      </c>
      <c r="G70" s="16">
        <f t="shared" si="3"/>
        <v>1601137.257384391</v>
      </c>
      <c r="H70" s="16">
        <f t="shared" si="4"/>
        <v>519437.1794871795</v>
      </c>
    </row>
    <row r="71" spans="2:8" x14ac:dyDescent="0.3">
      <c r="B71" t="s">
        <v>214</v>
      </c>
      <c r="C71" t="s">
        <v>26</v>
      </c>
      <c r="D71" s="53" t="str">
        <f>CONCATENATE(Tabla12[[#This Row],[Cadena]],Tabla12[[#This Row],[Etiquetas de fila]])</f>
        <v>ParísValparaiso</v>
      </c>
      <c r="E71" s="16">
        <v>945455.66205509775</v>
      </c>
      <c r="F71" s="16">
        <v>306722.5</v>
      </c>
      <c r="G71" s="16">
        <f t="shared" si="3"/>
        <v>1454547.172392458</v>
      </c>
      <c r="H71" s="16">
        <f t="shared" si="4"/>
        <v>471880.76923076919</v>
      </c>
    </row>
    <row r="72" spans="2:8" x14ac:dyDescent="0.3">
      <c r="B72" t="s">
        <v>214</v>
      </c>
      <c r="C72" t="s">
        <v>245</v>
      </c>
      <c r="D72" s="53" t="str">
        <f>CONCATENATE(Tabla12[[#This Row],[Cadena]],Tabla12[[#This Row],[Etiquetas de fila]])</f>
        <v>ParísQuilicura</v>
      </c>
      <c r="E72" s="16">
        <v>1275405.8607715741</v>
      </c>
      <c r="F72" s="16">
        <v>413764.16666666669</v>
      </c>
      <c r="G72" s="16">
        <f t="shared" si="3"/>
        <v>1962162.8627254986</v>
      </c>
      <c r="H72" s="16">
        <f t="shared" si="4"/>
        <v>636560.25641025638</v>
      </c>
    </row>
    <row r="73" spans="2:8" x14ac:dyDescent="0.3">
      <c r="B73" t="s">
        <v>214</v>
      </c>
      <c r="C73" t="s">
        <v>246</v>
      </c>
      <c r="D73" s="53" t="str">
        <f>CONCATENATE(Tabla12[[#This Row],[Cadena]],Tabla12[[#This Row],[Etiquetas de fila]])</f>
        <v>ParísQuilin</v>
      </c>
      <c r="E73" s="16">
        <v>1030477.2395351807</v>
      </c>
      <c r="F73" s="16">
        <v>334305.00000000006</v>
      </c>
      <c r="G73" s="16">
        <f t="shared" si="3"/>
        <v>1585349.5992848934</v>
      </c>
      <c r="H73" s="16">
        <f t="shared" si="4"/>
        <v>514315.38461538468</v>
      </c>
    </row>
    <row r="74" spans="2:8" x14ac:dyDescent="0.3">
      <c r="B74" t="s">
        <v>214</v>
      </c>
      <c r="C74" t="s">
        <v>247</v>
      </c>
      <c r="D74" s="53" t="str">
        <f>CONCATENATE(Tabla12[[#This Row],[Cadena]],Tabla12[[#This Row],[Etiquetas de fila]])</f>
        <v>ParísPortal Nunoa</v>
      </c>
      <c r="E74" s="16">
        <v>1011025.9753486438</v>
      </c>
      <c r="F74" s="16">
        <v>327994.66666666669</v>
      </c>
      <c r="G74" s="16">
        <f t="shared" si="3"/>
        <v>1555424.577459452</v>
      </c>
      <c r="H74" s="16">
        <f t="shared" si="4"/>
        <v>504607.1794871795</v>
      </c>
    </row>
    <row r="75" spans="2:8" x14ac:dyDescent="0.3">
      <c r="B75" t="s">
        <v>214</v>
      </c>
      <c r="C75" t="s">
        <v>28</v>
      </c>
      <c r="D75" s="53" t="str">
        <f>CONCATENATE(Tabla12[[#This Row],[Cadena]],Tabla12[[#This Row],[Etiquetas de fila]])</f>
        <v>ParísSan Bernardo</v>
      </c>
      <c r="E75" s="16">
        <v>929076.56943465595</v>
      </c>
      <c r="F75" s="16">
        <v>301408.83333333331</v>
      </c>
      <c r="G75" s="16">
        <f t="shared" si="3"/>
        <v>1429348.568361009</v>
      </c>
      <c r="H75" s="16">
        <f t="shared" si="4"/>
        <v>463705.89743589738</v>
      </c>
    </row>
    <row r="76" spans="2:8" x14ac:dyDescent="0.3">
      <c r="B76" t="s">
        <v>214</v>
      </c>
      <c r="C76" t="s">
        <v>248</v>
      </c>
      <c r="D76" s="53" t="str">
        <f>CONCATENATE(Tabla12[[#This Row],[Cadena]],Tabla12[[#This Row],[Etiquetas de fila]])</f>
        <v>ParísMall Paseo Estacion</v>
      </c>
      <c r="E76" s="16">
        <v>918655.33193996735</v>
      </c>
      <c r="F76" s="16">
        <v>298028</v>
      </c>
      <c r="G76" s="16">
        <f t="shared" si="3"/>
        <v>1413315.8952922574</v>
      </c>
      <c r="H76" s="16">
        <f t="shared" si="4"/>
        <v>458504.61538461538</v>
      </c>
    </row>
    <row r="77" spans="2:8" x14ac:dyDescent="0.3">
      <c r="B77" t="s">
        <v>214</v>
      </c>
      <c r="C77" t="s">
        <v>249</v>
      </c>
      <c r="D77" s="53" t="str">
        <f>CONCATENATE(Tabla12[[#This Row],[Cadena]],Tabla12[[#This Row],[Etiquetas de fila]])</f>
        <v>ParísLa Dehesa</v>
      </c>
      <c r="E77" s="16">
        <v>1061246.2193740709</v>
      </c>
      <c r="F77" s="16">
        <v>344287</v>
      </c>
      <c r="G77" s="16">
        <f t="shared" si="3"/>
        <v>1632686.4913447243</v>
      </c>
      <c r="H77" s="16">
        <f t="shared" si="4"/>
        <v>529672.30769230763</v>
      </c>
    </row>
    <row r="78" spans="2:8" x14ac:dyDescent="0.3">
      <c r="B78" t="s">
        <v>214</v>
      </c>
      <c r="C78" t="s">
        <v>250</v>
      </c>
      <c r="D78" s="53" t="str">
        <f>CONCATENATE(Tabla12[[#This Row],[Cadena]],Tabla12[[#This Row],[Etiquetas de fila]])</f>
        <v>ParísCentrorex Rancagua</v>
      </c>
      <c r="E78" s="16">
        <v>298338.68353170063</v>
      </c>
      <c r="F78" s="16">
        <v>96786.333333333328</v>
      </c>
      <c r="G78" s="16">
        <f t="shared" si="3"/>
        <v>458982.59004877019</v>
      </c>
      <c r="H78" s="16">
        <f t="shared" si="4"/>
        <v>148902.05128205128</v>
      </c>
    </row>
    <row r="79" spans="2:8" x14ac:dyDescent="0.3">
      <c r="B79" t="s">
        <v>214</v>
      </c>
      <c r="C79" t="s">
        <v>177</v>
      </c>
      <c r="D79" s="53" t="str">
        <f>CONCATENATE(Tabla12[[#This Row],[Cadena]],Tabla12[[#This Row],[Etiquetas de fila]])</f>
        <v>ParísCoquimbo</v>
      </c>
      <c r="E79" s="16">
        <v>409826.65943494701</v>
      </c>
      <c r="F79" s="16">
        <v>132955</v>
      </c>
      <c r="G79" s="16">
        <f t="shared" si="3"/>
        <v>630502.55297684157</v>
      </c>
      <c r="H79" s="16">
        <f t="shared" si="4"/>
        <v>204546.15384615384</v>
      </c>
    </row>
    <row r="80" spans="2:8" x14ac:dyDescent="0.3">
      <c r="B80" t="s">
        <v>214</v>
      </c>
      <c r="C80" t="s">
        <v>29</v>
      </c>
      <c r="D80" s="53" t="str">
        <f>CONCATENATE(Tabla12[[#This Row],[Cadena]],Tabla12[[#This Row],[Etiquetas de fila]])</f>
        <v>ParísHuechuraba</v>
      </c>
      <c r="E80" s="16">
        <v>786571.99049939949</v>
      </c>
      <c r="F80" s="16">
        <v>255177.83333333334</v>
      </c>
      <c r="G80" s="16">
        <f t="shared" si="3"/>
        <v>1210110.7546144607</v>
      </c>
      <c r="H80" s="16">
        <f t="shared" si="4"/>
        <v>392581.28205128206</v>
      </c>
    </row>
    <row r="81" spans="2:8" x14ac:dyDescent="0.3">
      <c r="B81" t="s">
        <v>214</v>
      </c>
      <c r="C81" t="s">
        <v>251</v>
      </c>
      <c r="D81" s="53" t="str">
        <f>CONCATENATE(Tabla12[[#This Row],[Cadena]],Tabla12[[#This Row],[Etiquetas de fila]])</f>
        <v>ParísLyon</v>
      </c>
      <c r="E81" s="16">
        <v>631174.0520667705</v>
      </c>
      <c r="F81" s="16">
        <v>204764</v>
      </c>
      <c r="G81" s="16">
        <f t="shared" si="3"/>
        <v>971037.00317964691</v>
      </c>
      <c r="H81" s="16">
        <f t="shared" si="4"/>
        <v>315021.53846153844</v>
      </c>
    </row>
    <row r="82" spans="2:8" x14ac:dyDescent="0.3">
      <c r="B82" t="s">
        <v>214</v>
      </c>
      <c r="C82" t="s">
        <v>252</v>
      </c>
      <c r="D82" s="53" t="str">
        <f>CONCATENATE(Tabla12[[#This Row],[Cadena]],Tabla12[[#This Row],[Etiquetas de fila]])</f>
        <v>ParísAlameda</v>
      </c>
      <c r="E82" s="16">
        <v>237029.33862765145</v>
      </c>
      <c r="F82" s="16">
        <v>76896.5</v>
      </c>
      <c r="G82" s="16">
        <f t="shared" si="3"/>
        <v>364660.52096561762</v>
      </c>
      <c r="H82" s="16">
        <f t="shared" si="4"/>
        <v>118302.30769230769</v>
      </c>
    </row>
    <row r="83" spans="2:8" x14ac:dyDescent="0.3">
      <c r="B83" t="s">
        <v>214</v>
      </c>
      <c r="C83" t="s">
        <v>253</v>
      </c>
      <c r="D83" s="53" t="str">
        <f>CONCATENATE(Tabla12[[#This Row],[Cadena]],Tabla12[[#This Row],[Etiquetas de fila]])</f>
        <v>ParísBandera</v>
      </c>
      <c r="E83" s="16">
        <v>215540.57737905235</v>
      </c>
      <c r="F83" s="16">
        <v>69925.166666666672</v>
      </c>
      <c r="G83" s="16">
        <f t="shared" si="3"/>
        <v>331600.88827546517</v>
      </c>
      <c r="H83" s="16">
        <f t="shared" si="4"/>
        <v>107577.17948717948</v>
      </c>
    </row>
    <row r="84" spans="2:8" x14ac:dyDescent="0.3">
      <c r="B84" t="s">
        <v>214</v>
      </c>
      <c r="C84" t="s">
        <v>254</v>
      </c>
      <c r="D84" s="53" t="str">
        <f>CONCATENATE(Tabla12[[#This Row],[Cadena]],Tabla12[[#This Row],[Etiquetas de fila]])</f>
        <v>ParísIndependencia</v>
      </c>
      <c r="E84" s="16">
        <v>0</v>
      </c>
      <c r="F84" s="16">
        <v>0</v>
      </c>
      <c r="G84" s="16">
        <f t="shared" si="3"/>
        <v>0</v>
      </c>
      <c r="H84" s="16">
        <f t="shared" si="4"/>
        <v>0</v>
      </c>
    </row>
    <row r="85" spans="2:8" x14ac:dyDescent="0.3">
      <c r="B85" t="s">
        <v>214</v>
      </c>
      <c r="C85" t="s">
        <v>255</v>
      </c>
      <c r="D85" s="53" t="str">
        <f>CONCATENATE(Tabla12[[#This Row],[Cadena]],Tabla12[[#This Row],[Etiquetas de fila]])</f>
        <v>ParísSan Antonio</v>
      </c>
      <c r="E85" s="16">
        <v>0</v>
      </c>
      <c r="F85" s="16">
        <v>0</v>
      </c>
      <c r="G85" s="16">
        <f t="shared" si="3"/>
        <v>0</v>
      </c>
      <c r="H85" s="16">
        <f t="shared" si="4"/>
        <v>0</v>
      </c>
    </row>
    <row r="86" spans="2:8" x14ac:dyDescent="0.3">
      <c r="B86" t="s">
        <v>214</v>
      </c>
      <c r="C86" t="s">
        <v>256</v>
      </c>
      <c r="D86" s="53" t="str">
        <f>CONCATENATE(Tabla12[[#This Row],[Cadena]],Tabla12[[#This Row],[Etiquetas de fila]])</f>
        <v>ParísAhumada</v>
      </c>
      <c r="E86" s="16">
        <v>0</v>
      </c>
      <c r="F86" s="16">
        <v>0</v>
      </c>
      <c r="G86" s="16">
        <f t="shared" si="3"/>
        <v>0</v>
      </c>
      <c r="H86" s="16">
        <f t="shared" si="4"/>
        <v>0</v>
      </c>
    </row>
    <row r="87" spans="2:8" x14ac:dyDescent="0.3">
      <c r="B87" t="s">
        <v>214</v>
      </c>
      <c r="C87" t="s">
        <v>257</v>
      </c>
      <c r="D87" s="53" t="str">
        <f>CONCATENATE(Tabla12[[#This Row],[Cadena]],Tabla12[[#This Row],[Etiquetas de fila]])</f>
        <v>ParísCalama</v>
      </c>
      <c r="E87" s="16">
        <v>0</v>
      </c>
      <c r="F87" s="16">
        <v>0</v>
      </c>
      <c r="G87" s="16">
        <f t="shared" si="3"/>
        <v>0</v>
      </c>
      <c r="H87" s="16">
        <f t="shared" si="4"/>
        <v>0</v>
      </c>
    </row>
    <row r="88" spans="2:8" x14ac:dyDescent="0.3">
      <c r="B88" t="s">
        <v>287</v>
      </c>
      <c r="C88" t="s">
        <v>258</v>
      </c>
      <c r="D88" s="53" t="str">
        <f>CONCATENATE(Tabla12[[#This Row],[Cadena]],Tabla12[[#This Row],[Etiquetas de fila]])</f>
        <v>Mega Johnson La Serena</v>
      </c>
      <c r="E88" s="16">
        <v>1042803.1428571427</v>
      </c>
      <c r="F88" s="16">
        <v>330719.59999999998</v>
      </c>
      <c r="G88" s="16">
        <f>+E88/0.65</f>
        <v>1604312.5274725272</v>
      </c>
      <c r="H88" s="16">
        <f>+F88/0.65</f>
        <v>508799.38461538457</v>
      </c>
    </row>
    <row r="89" spans="2:8" x14ac:dyDescent="0.3">
      <c r="B89" t="s">
        <v>287</v>
      </c>
      <c r="C89" t="s">
        <v>259</v>
      </c>
      <c r="D89" s="53" t="str">
        <f>CONCATENATE(Tabla12[[#This Row],[Cadena]],Tabla12[[#This Row],[Etiquetas de fila]])</f>
        <v>Mega Johnson Quilin</v>
      </c>
      <c r="E89" s="16">
        <v>773831.57142857136</v>
      </c>
      <c r="F89" s="16">
        <v>283571.99999999994</v>
      </c>
      <c r="G89" s="16">
        <f t="shared" ref="G89:G117" si="5">+E89/0.65</f>
        <v>1190510.1098901099</v>
      </c>
      <c r="H89" s="16">
        <f t="shared" ref="H89:H117" si="6">+F89/0.65</f>
        <v>436264.61538461526</v>
      </c>
    </row>
    <row r="90" spans="2:8" x14ac:dyDescent="0.3">
      <c r="B90" t="s">
        <v>287</v>
      </c>
      <c r="C90" t="s">
        <v>260</v>
      </c>
      <c r="D90" s="53" t="str">
        <f>CONCATENATE(Tabla12[[#This Row],[Cadena]],Tabla12[[#This Row],[Etiquetas de fila]])</f>
        <v>Mega Johnson Quillota</v>
      </c>
      <c r="E90" s="16">
        <v>763319.28571428568</v>
      </c>
      <c r="F90" s="16">
        <v>274870</v>
      </c>
      <c r="G90" s="16">
        <f t="shared" si="5"/>
        <v>1174337.3626373624</v>
      </c>
      <c r="H90" s="16">
        <f t="shared" si="6"/>
        <v>422876.92307692306</v>
      </c>
    </row>
    <row r="91" spans="2:8" x14ac:dyDescent="0.3">
      <c r="B91" t="s">
        <v>287</v>
      </c>
      <c r="C91" t="s">
        <v>315</v>
      </c>
      <c r="D91" s="53" t="str">
        <f>CONCATENATE(Tabla12[[#This Row],[Cadena]],Tabla12[[#This Row],[Etiquetas de fila]])</f>
        <v>Mega Johnson Viña Del Mar</v>
      </c>
      <c r="E91" s="16">
        <v>697571.14285714284</v>
      </c>
      <c r="F91" s="16">
        <v>304712.8</v>
      </c>
      <c r="G91" s="16">
        <f t="shared" si="5"/>
        <v>1073186.3736263735</v>
      </c>
      <c r="H91" s="16">
        <f t="shared" si="6"/>
        <v>468788.92307692306</v>
      </c>
    </row>
    <row r="92" spans="2:8" x14ac:dyDescent="0.3">
      <c r="B92" t="s">
        <v>287</v>
      </c>
      <c r="C92" t="s">
        <v>262</v>
      </c>
      <c r="D92" s="53" t="str">
        <f>CONCATENATE(Tabla12[[#This Row],[Cadena]],Tabla12[[#This Row],[Etiquetas de fila]])</f>
        <v>Mega Johnson Maipu</v>
      </c>
      <c r="E92" s="16">
        <v>688128.85714285716</v>
      </c>
      <c r="F92" s="16">
        <v>248910.19999999998</v>
      </c>
      <c r="G92" s="16">
        <f t="shared" si="5"/>
        <v>1058659.7802197803</v>
      </c>
      <c r="H92" s="16">
        <f t="shared" si="6"/>
        <v>382938.76923076919</v>
      </c>
    </row>
    <row r="93" spans="2:8" x14ac:dyDescent="0.3">
      <c r="B93" t="s">
        <v>287</v>
      </c>
      <c r="C93" t="s">
        <v>263</v>
      </c>
      <c r="D93" s="53" t="str">
        <f>CONCATENATE(Tabla12[[#This Row],[Cadena]],Tabla12[[#This Row],[Etiquetas de fila]])</f>
        <v>Mega Johnson Florida Center</v>
      </c>
      <c r="E93" s="16">
        <v>682505.85714285704</v>
      </c>
      <c r="F93" s="16">
        <v>170847.19999999998</v>
      </c>
      <c r="G93" s="16">
        <f t="shared" si="5"/>
        <v>1050009.0109890108</v>
      </c>
      <c r="H93" s="16">
        <f t="shared" si="6"/>
        <v>262841.84615384613</v>
      </c>
    </row>
    <row r="94" spans="2:8" x14ac:dyDescent="0.3">
      <c r="B94" t="s">
        <v>288</v>
      </c>
      <c r="C94" t="s">
        <v>268</v>
      </c>
      <c r="D94" s="53" t="str">
        <f>CONCATENATE(Tabla12[[#This Row],[Cadena]],Tabla12[[#This Row],[Etiquetas de fila]])</f>
        <v>Johnson Iquique</v>
      </c>
      <c r="E94" s="16">
        <v>602468.14285714284</v>
      </c>
      <c r="F94" s="16">
        <v>257973.4</v>
      </c>
      <c r="G94" s="16">
        <f t="shared" si="5"/>
        <v>926874.06593406585</v>
      </c>
      <c r="H94" s="16">
        <f t="shared" si="6"/>
        <v>396882.15384615381</v>
      </c>
    </row>
    <row r="95" spans="2:8" x14ac:dyDescent="0.3">
      <c r="B95" t="s">
        <v>288</v>
      </c>
      <c r="C95" t="s">
        <v>269</v>
      </c>
      <c r="D95" s="53" t="str">
        <f>CONCATENATE(Tabla12[[#This Row],[Cadena]],Tabla12[[#This Row],[Etiquetas de fila]])</f>
        <v>Johnson Chillan</v>
      </c>
      <c r="E95" s="16">
        <v>559004.57142857136</v>
      </c>
      <c r="F95" s="16">
        <v>117894.59999999999</v>
      </c>
      <c r="G95" s="16">
        <f t="shared" si="5"/>
        <v>860007.03296703286</v>
      </c>
      <c r="H95" s="16">
        <f t="shared" si="6"/>
        <v>181376.30769230766</v>
      </c>
    </row>
    <row r="96" spans="2:8" x14ac:dyDescent="0.3">
      <c r="B96" t="s">
        <v>288</v>
      </c>
      <c r="C96" t="s">
        <v>270</v>
      </c>
      <c r="D96" s="53" t="str">
        <f>CONCATENATE(Tabla12[[#This Row],[Cadena]],Tabla12[[#This Row],[Etiquetas de fila]])</f>
        <v>Johnson Arica</v>
      </c>
      <c r="E96" s="16">
        <v>492090.14285714284</v>
      </c>
      <c r="F96" s="16">
        <v>198971.39999999997</v>
      </c>
      <c r="G96" s="16">
        <f t="shared" si="5"/>
        <v>757061.75824175822</v>
      </c>
      <c r="H96" s="16">
        <f t="shared" si="6"/>
        <v>306109.84615384607</v>
      </c>
    </row>
    <row r="97" spans="2:8" x14ac:dyDescent="0.3">
      <c r="B97" t="s">
        <v>288</v>
      </c>
      <c r="C97" t="s">
        <v>271</v>
      </c>
      <c r="D97" s="53" t="str">
        <f>CONCATENATE(Tabla12[[#This Row],[Cadena]],Tabla12[[#This Row],[Etiquetas de fila]])</f>
        <v>Johnson Copiapo</v>
      </c>
      <c r="E97" s="16">
        <v>477547.14285714284</v>
      </c>
      <c r="F97" s="16">
        <v>159174.19999999998</v>
      </c>
      <c r="G97" s="16">
        <f t="shared" si="5"/>
        <v>734687.91208791209</v>
      </c>
      <c r="H97" s="16">
        <f t="shared" si="6"/>
        <v>244883.38461538457</v>
      </c>
    </row>
    <row r="98" spans="2:8" x14ac:dyDescent="0.3">
      <c r="B98" t="s">
        <v>288</v>
      </c>
      <c r="C98" t="s">
        <v>272</v>
      </c>
      <c r="D98" s="53" t="str">
        <f>CONCATENATE(Tabla12[[#This Row],[Cadena]],Tabla12[[#This Row],[Etiquetas de fila]])</f>
        <v>Johnson San Felipe</v>
      </c>
      <c r="E98" s="16">
        <v>443482.28571428574</v>
      </c>
      <c r="F98" s="16">
        <v>178133.4</v>
      </c>
      <c r="G98" s="16">
        <f t="shared" si="5"/>
        <v>682280.43956043955</v>
      </c>
      <c r="H98" s="16">
        <f t="shared" si="6"/>
        <v>274051.38461538462</v>
      </c>
    </row>
    <row r="99" spans="2:8" x14ac:dyDescent="0.3">
      <c r="B99" t="s">
        <v>287</v>
      </c>
      <c r="C99" t="s">
        <v>264</v>
      </c>
      <c r="D99" s="53" t="str">
        <f>CONCATENATE(Tabla12[[#This Row],[Cadena]],Tabla12[[#This Row],[Etiquetas de fila]])</f>
        <v>Mega Johnson San Bernardo</v>
      </c>
      <c r="E99" s="16">
        <v>471929.71428571426</v>
      </c>
      <c r="F99" s="16">
        <v>110618.99999999999</v>
      </c>
      <c r="G99" s="16">
        <f t="shared" si="5"/>
        <v>726045.7142857142</v>
      </c>
      <c r="H99" s="16">
        <f t="shared" si="6"/>
        <v>170183.07692307691</v>
      </c>
    </row>
    <row r="100" spans="2:8" x14ac:dyDescent="0.3">
      <c r="B100" t="s">
        <v>287</v>
      </c>
      <c r="C100" t="s">
        <v>265</v>
      </c>
      <c r="D100" s="53" t="str">
        <f>CONCATENATE(Tabla12[[#This Row],[Cadena]],Tabla12[[#This Row],[Etiquetas de fila]])</f>
        <v>Mega Johnson Puente Alto</v>
      </c>
      <c r="E100" s="16">
        <v>393143.42857142858</v>
      </c>
      <c r="F100" s="16">
        <v>187586.8</v>
      </c>
      <c r="G100" s="16">
        <f t="shared" si="5"/>
        <v>604836.0439560439</v>
      </c>
      <c r="H100" s="16">
        <f t="shared" si="6"/>
        <v>288595.07692307688</v>
      </c>
    </row>
    <row r="101" spans="2:8" x14ac:dyDescent="0.3">
      <c r="B101" t="s">
        <v>288</v>
      </c>
      <c r="C101" t="s">
        <v>273</v>
      </c>
      <c r="D101" s="53" t="str">
        <f>CONCATENATE(Tabla12[[#This Row],[Cadena]],Tabla12[[#This Row],[Etiquetas de fila]])</f>
        <v>Johnson Talca</v>
      </c>
      <c r="E101" s="16">
        <v>413870.28571428574</v>
      </c>
      <c r="F101" s="16">
        <v>138431.79999999999</v>
      </c>
      <c r="G101" s="16">
        <f t="shared" si="5"/>
        <v>636723.51648351655</v>
      </c>
      <c r="H101" s="16">
        <f t="shared" si="6"/>
        <v>212971.99999999997</v>
      </c>
    </row>
    <row r="102" spans="2:8" x14ac:dyDescent="0.3">
      <c r="B102" t="s">
        <v>288</v>
      </c>
      <c r="C102" t="s">
        <v>274</v>
      </c>
      <c r="D102" s="53" t="str">
        <f>CONCATENATE(Tabla12[[#This Row],[Cadena]],Tabla12[[#This Row],[Etiquetas de fila]])</f>
        <v>Johnson Concepcion</v>
      </c>
      <c r="E102" s="16">
        <v>449465.57142857142</v>
      </c>
      <c r="F102" s="16">
        <v>69306.2</v>
      </c>
      <c r="G102" s="16">
        <f t="shared" si="5"/>
        <v>691485.49450549448</v>
      </c>
      <c r="H102" s="16">
        <f t="shared" si="6"/>
        <v>106624.92307692306</v>
      </c>
    </row>
    <row r="103" spans="2:8" x14ac:dyDescent="0.3">
      <c r="B103" t="s">
        <v>288</v>
      </c>
      <c r="C103" t="s">
        <v>266</v>
      </c>
      <c r="D103" s="53" t="str">
        <f>CONCATENATE(Tabla12[[#This Row],[Cadena]],Tabla12[[#This Row],[Etiquetas de fila]])</f>
        <v>Johnson Puente</v>
      </c>
      <c r="E103" s="16">
        <v>425049.42857142852</v>
      </c>
      <c r="F103" s="16">
        <v>58770.400000000001</v>
      </c>
      <c r="G103" s="16">
        <f t="shared" si="5"/>
        <v>653922.19780219765</v>
      </c>
      <c r="H103" s="16">
        <f t="shared" si="6"/>
        <v>90416</v>
      </c>
    </row>
    <row r="104" spans="2:8" x14ac:dyDescent="0.3">
      <c r="B104" t="s">
        <v>288</v>
      </c>
      <c r="C104" t="s">
        <v>275</v>
      </c>
      <c r="D104" s="53" t="str">
        <f>CONCATENATE(Tabla12[[#This Row],[Cadena]],Tabla12[[#This Row],[Etiquetas de fila]])</f>
        <v>Johnson Rancagua</v>
      </c>
      <c r="E104" s="16">
        <v>430446.71428571432</v>
      </c>
      <c r="F104" s="16">
        <v>19517.8</v>
      </c>
      <c r="G104" s="16">
        <f t="shared" si="5"/>
        <v>662225.71428571432</v>
      </c>
      <c r="H104" s="16">
        <f t="shared" si="6"/>
        <v>30027.384615384613</v>
      </c>
    </row>
    <row r="105" spans="2:8" x14ac:dyDescent="0.3">
      <c r="B105" t="s">
        <v>288</v>
      </c>
      <c r="C105" t="s">
        <v>276</v>
      </c>
      <c r="D105" s="53" t="str">
        <f>CONCATENATE(Tabla12[[#This Row],[Cadena]],Tabla12[[#This Row],[Etiquetas de fila]])</f>
        <v>Johnson Coronel</v>
      </c>
      <c r="E105" s="16">
        <v>362069.99999999994</v>
      </c>
      <c r="F105" s="16">
        <v>80125.2</v>
      </c>
      <c r="G105" s="16">
        <f t="shared" si="5"/>
        <v>557030.76923076913</v>
      </c>
      <c r="H105" s="16">
        <f t="shared" si="6"/>
        <v>123269.53846153845</v>
      </c>
    </row>
    <row r="106" spans="2:8" x14ac:dyDescent="0.3">
      <c r="B106" t="s">
        <v>288</v>
      </c>
      <c r="C106" t="s">
        <v>277</v>
      </c>
      <c r="D106" s="53" t="str">
        <f>CONCATENATE(Tabla12[[#This Row],[Cadena]],Tabla12[[#This Row],[Etiquetas de fila]])</f>
        <v>Johnson Temuco</v>
      </c>
      <c r="E106" s="16">
        <v>356015.57142857142</v>
      </c>
      <c r="F106" s="16">
        <v>49169.8</v>
      </c>
      <c r="G106" s="16">
        <f t="shared" si="5"/>
        <v>547716.26373626373</v>
      </c>
      <c r="H106" s="16">
        <f t="shared" si="6"/>
        <v>75645.846153846156</v>
      </c>
    </row>
    <row r="107" spans="2:8" x14ac:dyDescent="0.3">
      <c r="B107" t="s">
        <v>288</v>
      </c>
      <c r="C107" t="s">
        <v>278</v>
      </c>
      <c r="D107" s="53" t="str">
        <f>CONCATENATE(Tabla12[[#This Row],[Cadena]],Tabla12[[#This Row],[Etiquetas de fila]])</f>
        <v>Johnson Melipilla</v>
      </c>
      <c r="E107" s="16">
        <v>289808.71428571426</v>
      </c>
      <c r="F107" s="16">
        <v>36418.199999999997</v>
      </c>
      <c r="G107" s="16">
        <f t="shared" si="5"/>
        <v>445859.56043956039</v>
      </c>
      <c r="H107" s="16">
        <f t="shared" si="6"/>
        <v>56027.999999999993</v>
      </c>
    </row>
    <row r="108" spans="2:8" x14ac:dyDescent="0.3">
      <c r="B108" t="s">
        <v>288</v>
      </c>
      <c r="C108" t="s">
        <v>279</v>
      </c>
      <c r="D108" s="53" t="str">
        <f>CONCATENATE(Tabla12[[#This Row],[Cadena]],Tabla12[[#This Row],[Etiquetas de fila]])</f>
        <v>Johnson Antofagasta</v>
      </c>
      <c r="E108" s="16">
        <v>251495.14285714287</v>
      </c>
      <c r="F108" s="16">
        <v>86880.4</v>
      </c>
      <c r="G108" s="16">
        <f t="shared" si="5"/>
        <v>386915.6043956044</v>
      </c>
      <c r="H108" s="16">
        <f t="shared" si="6"/>
        <v>133662.15384615384</v>
      </c>
    </row>
    <row r="109" spans="2:8" x14ac:dyDescent="0.3">
      <c r="B109" t="s">
        <v>288</v>
      </c>
      <c r="C109" t="s">
        <v>280</v>
      </c>
      <c r="D109" s="53" t="str">
        <f>CONCATENATE(Tabla12[[#This Row],[Cadena]],Tabla12[[#This Row],[Etiquetas de fila]])</f>
        <v>Johnson Talcahuano</v>
      </c>
      <c r="E109" s="16">
        <v>285591.14285714284</v>
      </c>
      <c r="F109" s="16">
        <v>38815.4</v>
      </c>
      <c r="G109" s="16">
        <f t="shared" si="5"/>
        <v>439370.98901098897</v>
      </c>
      <c r="H109" s="16">
        <f t="shared" si="6"/>
        <v>59716</v>
      </c>
    </row>
    <row r="110" spans="2:8" x14ac:dyDescent="0.3">
      <c r="B110" t="s">
        <v>288</v>
      </c>
      <c r="C110" t="s">
        <v>316</v>
      </c>
      <c r="D110" s="53" t="str">
        <f>CONCATENATE(Tabla12[[#This Row],[Cadena]],Tabla12[[#This Row],[Etiquetas de fila]])</f>
        <v>Johnson Maipu Plaza</v>
      </c>
      <c r="E110" s="16">
        <v>282573</v>
      </c>
      <c r="F110" s="16">
        <v>27147.200000000001</v>
      </c>
      <c r="G110" s="16">
        <f t="shared" si="5"/>
        <v>434727.69230769231</v>
      </c>
      <c r="H110" s="16">
        <f t="shared" si="6"/>
        <v>41764.923076923078</v>
      </c>
    </row>
    <row r="111" spans="2:8" x14ac:dyDescent="0.3">
      <c r="B111" t="s">
        <v>288</v>
      </c>
      <c r="C111" t="s">
        <v>281</v>
      </c>
      <c r="D111" s="53" t="str">
        <f>CONCATENATE(Tabla12[[#This Row],[Cadena]],Tabla12[[#This Row],[Etiquetas de fila]])</f>
        <v>Johnson Los Andes</v>
      </c>
      <c r="E111" s="16">
        <v>285272.71428571426</v>
      </c>
      <c r="F111" s="16">
        <v>22898.399999999998</v>
      </c>
      <c r="G111" s="16">
        <f t="shared" si="5"/>
        <v>438881.09890109883</v>
      </c>
      <c r="H111" s="16">
        <f t="shared" si="6"/>
        <v>35228.307692307688</v>
      </c>
    </row>
    <row r="112" spans="2:8" x14ac:dyDescent="0.3">
      <c r="B112" t="s">
        <v>287</v>
      </c>
      <c r="C112" t="s">
        <v>267</v>
      </c>
      <c r="D112" s="53" t="str">
        <f>CONCATENATE(Tabla12[[#This Row],[Cadena]],Tabla12[[#This Row],[Etiquetas de fila]])</f>
        <v>Mega Johnson Mall Plaza Alam</v>
      </c>
      <c r="E112" s="16">
        <v>262797.28571428574</v>
      </c>
      <c r="F112" s="16">
        <v>52665.799999999996</v>
      </c>
      <c r="G112" s="16">
        <f t="shared" si="5"/>
        <v>404303.51648351649</v>
      </c>
      <c r="H112" s="16">
        <f t="shared" si="6"/>
        <v>81024.307692307688</v>
      </c>
    </row>
    <row r="113" spans="2:8" x14ac:dyDescent="0.3">
      <c r="B113" t="s">
        <v>288</v>
      </c>
      <c r="C113" t="s">
        <v>282</v>
      </c>
      <c r="D113" s="53" t="str">
        <f>CONCATENATE(Tabla12[[#This Row],[Cadena]],Tabla12[[#This Row],[Etiquetas de fila]])</f>
        <v>Johnson Ovalle</v>
      </c>
      <c r="E113" s="16">
        <v>191478.71428571429</v>
      </c>
      <c r="F113" s="16">
        <v>0</v>
      </c>
      <c r="G113" s="16">
        <f t="shared" si="5"/>
        <v>294582.63736263738</v>
      </c>
      <c r="H113" s="16">
        <f t="shared" si="6"/>
        <v>0</v>
      </c>
    </row>
    <row r="114" spans="2:8" x14ac:dyDescent="0.3">
      <c r="B114" t="s">
        <v>288</v>
      </c>
      <c r="C114" t="s">
        <v>283</v>
      </c>
      <c r="D114" s="53" t="str">
        <f>CONCATENATE(Tabla12[[#This Row],[Cadena]],Tabla12[[#This Row],[Etiquetas de fila]])</f>
        <v>Johnson Linares</v>
      </c>
      <c r="E114" s="16">
        <v>169664.57142857142</v>
      </c>
      <c r="F114" s="16">
        <v>0</v>
      </c>
      <c r="G114" s="16">
        <f t="shared" si="5"/>
        <v>261022.41758241755</v>
      </c>
      <c r="H114" s="16">
        <f t="shared" si="6"/>
        <v>0</v>
      </c>
    </row>
    <row r="115" spans="2:8" x14ac:dyDescent="0.3">
      <c r="B115" t="s">
        <v>288</v>
      </c>
      <c r="C115" t="s">
        <v>284</v>
      </c>
      <c r="D115" s="53" t="str">
        <f>CONCATENATE(Tabla12[[#This Row],[Cadena]],Tabla12[[#This Row],[Etiquetas de fila]])</f>
        <v>Johnson Valdivia</v>
      </c>
      <c r="E115" s="16">
        <v>0</v>
      </c>
      <c r="F115" s="16">
        <v>435.8</v>
      </c>
      <c r="G115" s="16">
        <f t="shared" si="5"/>
        <v>0</v>
      </c>
      <c r="H115" s="16">
        <f t="shared" si="6"/>
        <v>670.46153846153845</v>
      </c>
    </row>
    <row r="116" spans="2:8" x14ac:dyDescent="0.3">
      <c r="B116" t="s">
        <v>288</v>
      </c>
      <c r="C116" t="s">
        <v>285</v>
      </c>
      <c r="D116" s="53" t="str">
        <f>CONCATENATE(Tabla12[[#This Row],[Cadena]],Tabla12[[#This Row],[Etiquetas de fila]])</f>
        <v>Johnson Plaza Vespucio</v>
      </c>
      <c r="E116" s="16">
        <v>-700.71428571428567</v>
      </c>
      <c r="F116" s="16">
        <v>0</v>
      </c>
      <c r="G116" s="16">
        <f t="shared" si="5"/>
        <v>-1078.0219780219779</v>
      </c>
      <c r="H116" s="16">
        <f t="shared" si="6"/>
        <v>0</v>
      </c>
    </row>
    <row r="117" spans="2:8" x14ac:dyDescent="0.3">
      <c r="B117" t="s">
        <v>288</v>
      </c>
      <c r="C117" t="s">
        <v>286</v>
      </c>
      <c r="D117" s="53" t="str">
        <f>CONCATENATE(Tabla12[[#This Row],[Cadena]],Tabla12[[#This Row],[Etiquetas de fila]])</f>
        <v>Johnson San Antonio</v>
      </c>
      <c r="E117" s="16">
        <v>-934.85714285714289</v>
      </c>
      <c r="F117" s="16">
        <v>-545.19999999999993</v>
      </c>
      <c r="G117" s="16">
        <f t="shared" si="5"/>
        <v>-1438.2417582417581</v>
      </c>
      <c r="H117" s="16">
        <f t="shared" si="6"/>
        <v>-838.7692307692306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3612F-E66A-4769-9145-50053C37B1A7}">
  <dimension ref="A1:S28"/>
  <sheetViews>
    <sheetView showGridLines="0" workbookViewId="0">
      <selection activeCell="C3" sqref="C3"/>
    </sheetView>
  </sheetViews>
  <sheetFormatPr baseColWidth="10" defaultRowHeight="14.4" x14ac:dyDescent="0.3"/>
  <cols>
    <col min="1" max="1" width="14" bestFit="1" customWidth="1"/>
    <col min="2" max="3" width="11" bestFit="1" customWidth="1"/>
    <col min="5" max="5" width="36.6640625" bestFit="1" customWidth="1"/>
    <col min="6" max="6" width="12" bestFit="1" customWidth="1"/>
    <col min="7" max="7" width="7.88671875" bestFit="1" customWidth="1"/>
    <col min="8" max="8" width="14.5546875" bestFit="1" customWidth="1"/>
    <col min="9" max="9" width="10.88671875" bestFit="1" customWidth="1"/>
    <col min="10" max="10" width="12.44140625" bestFit="1" customWidth="1"/>
    <col min="11" max="11" width="9.44140625" bestFit="1" customWidth="1"/>
    <col min="12" max="12" width="11.33203125" customWidth="1"/>
    <col min="13" max="13" width="2.6640625" customWidth="1"/>
    <col min="14" max="14" width="18" bestFit="1" customWidth="1"/>
    <col min="15" max="15" width="17.5546875" bestFit="1" customWidth="1"/>
    <col min="16" max="16" width="12.109375" bestFit="1" customWidth="1"/>
    <col min="17" max="17" width="13.109375" bestFit="1" customWidth="1"/>
    <col min="18" max="18" width="2" customWidth="1"/>
  </cols>
  <sheetData>
    <row r="1" spans="1:19" x14ac:dyDescent="0.3">
      <c r="A1" t="s">
        <v>89</v>
      </c>
      <c r="B1" t="s">
        <v>90</v>
      </c>
      <c r="C1" t="s">
        <v>91</v>
      </c>
      <c r="E1" t="s">
        <v>46</v>
      </c>
      <c r="F1" t="s">
        <v>92</v>
      </c>
      <c r="G1" t="s">
        <v>93</v>
      </c>
      <c r="H1" t="s">
        <v>56</v>
      </c>
      <c r="I1" t="s">
        <v>57</v>
      </c>
      <c r="J1" t="s">
        <v>94</v>
      </c>
      <c r="K1" t="s">
        <v>95</v>
      </c>
      <c r="L1" t="s">
        <v>96</v>
      </c>
      <c r="N1" s="14" t="s">
        <v>97</v>
      </c>
      <c r="O1" s="14" t="s">
        <v>98</v>
      </c>
      <c r="P1" s="14" t="s">
        <v>99</v>
      </c>
      <c r="Q1" s="14" t="s">
        <v>100</v>
      </c>
      <c r="S1" s="14" t="s">
        <v>101</v>
      </c>
    </row>
    <row r="2" spans="1:19" x14ac:dyDescent="0.3">
      <c r="A2" t="s">
        <v>102</v>
      </c>
      <c r="B2" s="15">
        <v>43496</v>
      </c>
      <c r="C2" s="16">
        <v>301000</v>
      </c>
      <c r="E2" t="s">
        <v>117</v>
      </c>
      <c r="F2" s="17">
        <f>Estructuras!C5</f>
        <v>1500000</v>
      </c>
      <c r="G2" s="17"/>
      <c r="H2" s="17"/>
      <c r="I2" s="17"/>
      <c r="J2" s="18">
        <v>1</v>
      </c>
      <c r="K2" s="17">
        <f>(F2/180)*(28/30)*1.5</f>
        <v>11666.666666666668</v>
      </c>
      <c r="L2" s="17">
        <f>ROUND(Cargos[[#This Row],[Hora]]*130%,0)</f>
        <v>15167</v>
      </c>
      <c r="N2" s="19">
        <v>-100</v>
      </c>
      <c r="O2" s="19">
        <v>13.5</v>
      </c>
      <c r="P2" s="20">
        <v>0</v>
      </c>
      <c r="Q2" s="19">
        <v>0</v>
      </c>
      <c r="S2" s="14">
        <v>43466</v>
      </c>
    </row>
    <row r="3" spans="1:19" x14ac:dyDescent="0.3">
      <c r="A3" t="s">
        <v>103</v>
      </c>
      <c r="B3" s="15">
        <v>43496</v>
      </c>
      <c r="C3" s="16">
        <f>ROUND(C2*4.75/12,0)</f>
        <v>119146</v>
      </c>
      <c r="E3" t="s">
        <v>291</v>
      </c>
      <c r="F3" s="17">
        <f>Estructuras!D5</f>
        <v>315000</v>
      </c>
      <c r="G3" s="17"/>
      <c r="H3" s="17"/>
      <c r="I3" s="17"/>
      <c r="J3" s="18">
        <v>2</v>
      </c>
      <c r="K3" s="17">
        <f t="shared" ref="K3:K11" si="0">(F3/180)*(28/30)*1.5</f>
        <v>2450</v>
      </c>
      <c r="L3" s="17">
        <f>ROUND(Cargos[[#This Row],[Hora]]*130%,0)</f>
        <v>3185</v>
      </c>
      <c r="N3" s="19">
        <v>13.5</v>
      </c>
      <c r="O3" s="19">
        <v>30</v>
      </c>
      <c r="P3" s="20">
        <v>0.04</v>
      </c>
      <c r="Q3" s="19">
        <v>0.54</v>
      </c>
      <c r="S3" s="14">
        <v>43574</v>
      </c>
    </row>
    <row r="4" spans="1:19" x14ac:dyDescent="0.3">
      <c r="A4" t="s">
        <v>104</v>
      </c>
      <c r="B4" s="15">
        <v>43496</v>
      </c>
      <c r="C4" s="21">
        <v>30000</v>
      </c>
      <c r="E4" t="s">
        <v>292</v>
      </c>
      <c r="F4" s="17">
        <f>Estructuras!E5</f>
        <v>340000</v>
      </c>
      <c r="G4" s="17"/>
      <c r="H4" s="17"/>
      <c r="I4" s="17"/>
      <c r="J4" s="18">
        <v>3</v>
      </c>
      <c r="K4" s="17">
        <f t="shared" si="0"/>
        <v>2644.4444444444443</v>
      </c>
      <c r="L4" s="17">
        <f>ROUND(Cargos[[#This Row],[Hora]]*130%,0)</f>
        <v>3438</v>
      </c>
      <c r="N4" s="19">
        <v>30</v>
      </c>
      <c r="O4" s="19">
        <v>50</v>
      </c>
      <c r="P4" s="20">
        <v>0.08</v>
      </c>
      <c r="Q4" s="19">
        <v>1.74</v>
      </c>
      <c r="S4" s="14">
        <v>43575</v>
      </c>
    </row>
    <row r="5" spans="1:19" x14ac:dyDescent="0.3">
      <c r="A5" t="s">
        <v>105</v>
      </c>
      <c r="B5" s="15">
        <v>43496</v>
      </c>
      <c r="C5" s="22">
        <v>50000</v>
      </c>
      <c r="E5" t="s">
        <v>293</v>
      </c>
      <c r="F5" s="17">
        <f>Estructuras!F5</f>
        <v>153000</v>
      </c>
      <c r="G5" s="17"/>
      <c r="H5" s="17"/>
      <c r="I5" s="17"/>
      <c r="J5" s="18">
        <v>4</v>
      </c>
      <c r="K5" s="17">
        <f t="shared" si="0"/>
        <v>1190</v>
      </c>
      <c r="L5" s="17">
        <f>ROUND(Cargos[[#This Row],[Hora]]*130%,0)</f>
        <v>1547</v>
      </c>
      <c r="N5" s="19">
        <v>50</v>
      </c>
      <c r="O5" s="19">
        <v>70</v>
      </c>
      <c r="P5" s="20">
        <v>0.13500000000000001</v>
      </c>
      <c r="Q5" s="19">
        <v>4.49</v>
      </c>
      <c r="S5" s="14">
        <v>43586</v>
      </c>
    </row>
    <row r="6" spans="1:19" x14ac:dyDescent="0.3">
      <c r="A6" t="s">
        <v>65</v>
      </c>
      <c r="B6" s="15">
        <v>43131</v>
      </c>
      <c r="C6" s="23">
        <v>1.2699999999999999E-2</v>
      </c>
      <c r="E6" t="s">
        <v>294</v>
      </c>
      <c r="F6" s="17">
        <f>Estructuras!G5</f>
        <v>301000</v>
      </c>
      <c r="G6" s="17"/>
      <c r="H6" s="17"/>
      <c r="I6" s="17"/>
      <c r="J6" s="18">
        <v>5</v>
      </c>
      <c r="K6" s="17">
        <f>(F6/180)*(28/30)*1.5</f>
        <v>2341.1111111111109</v>
      </c>
      <c r="L6" s="17">
        <f>ROUND(Cargos[[#This Row],[Hora]]*130%,0)</f>
        <v>3043</v>
      </c>
      <c r="N6" s="19">
        <v>70</v>
      </c>
      <c r="O6" s="19">
        <v>90</v>
      </c>
      <c r="P6" s="20">
        <v>0.23</v>
      </c>
      <c r="Q6" s="19">
        <v>11.14</v>
      </c>
      <c r="S6" s="14">
        <v>43606</v>
      </c>
    </row>
    <row r="7" spans="1:19" x14ac:dyDescent="0.3">
      <c r="A7" t="s">
        <v>66</v>
      </c>
      <c r="B7" s="15">
        <v>42582</v>
      </c>
      <c r="C7" s="23">
        <v>1.5299999999999999E-2</v>
      </c>
      <c r="E7" t="s">
        <v>295</v>
      </c>
      <c r="F7" s="17">
        <f>Estructuras!H5</f>
        <v>135000</v>
      </c>
      <c r="G7" s="17"/>
      <c r="H7" s="17"/>
      <c r="I7" s="17"/>
      <c r="J7" s="18">
        <v>6</v>
      </c>
      <c r="K7" s="17">
        <f t="shared" si="0"/>
        <v>1050</v>
      </c>
      <c r="L7" s="17">
        <f>ROUND(Cargos[[#This Row],[Hora]]*130%,0)</f>
        <v>1365</v>
      </c>
      <c r="N7" s="19">
        <v>90</v>
      </c>
      <c r="O7" s="19">
        <v>120</v>
      </c>
      <c r="P7" s="20">
        <v>0.30399999999999999</v>
      </c>
      <c r="Q7" s="19">
        <v>17.8</v>
      </c>
      <c r="S7" s="14">
        <v>43645</v>
      </c>
    </row>
    <row r="8" spans="1:19" x14ac:dyDescent="0.3">
      <c r="A8" t="s">
        <v>106</v>
      </c>
      <c r="B8" s="15">
        <v>42400</v>
      </c>
      <c r="C8" s="23">
        <v>2.4E-2</v>
      </c>
      <c r="E8" t="s">
        <v>296</v>
      </c>
      <c r="F8" s="17">
        <f>Estructuras!I5</f>
        <v>190000</v>
      </c>
      <c r="G8" s="17"/>
      <c r="H8" s="17"/>
      <c r="I8" s="17"/>
      <c r="J8" s="18">
        <v>7</v>
      </c>
      <c r="K8" s="17">
        <f t="shared" si="0"/>
        <v>1477.7777777777781</v>
      </c>
      <c r="L8" s="17">
        <f>ROUND(Cargos[[#This Row],[Hora]]*130%,0)</f>
        <v>1921</v>
      </c>
      <c r="N8" s="19">
        <v>120</v>
      </c>
      <c r="O8" s="19">
        <v>150</v>
      </c>
      <c r="P8" s="20">
        <v>0.35499999999999998</v>
      </c>
      <c r="Q8" s="19">
        <v>23.92</v>
      </c>
      <c r="S8" s="14">
        <v>43662</v>
      </c>
    </row>
    <row r="9" spans="1:19" x14ac:dyDescent="0.3">
      <c r="A9" t="s">
        <v>107</v>
      </c>
      <c r="B9" s="15">
        <v>43466</v>
      </c>
      <c r="C9" s="16">
        <f>ROUND(79.2*C4,0)</f>
        <v>2376000</v>
      </c>
      <c r="E9" t="s">
        <v>297</v>
      </c>
      <c r="F9" s="17">
        <f>Estructuras!J5</f>
        <v>150000</v>
      </c>
      <c r="G9" s="17"/>
      <c r="H9" s="17"/>
      <c r="I9" s="17"/>
      <c r="J9" s="18">
        <v>8</v>
      </c>
      <c r="K9" s="17">
        <f t="shared" si="0"/>
        <v>1166.6666666666667</v>
      </c>
      <c r="L9" s="17">
        <f>ROUND(Cargos[[#This Row],[Hora]]*130%,0)</f>
        <v>1517</v>
      </c>
      <c r="N9" s="19">
        <v>150</v>
      </c>
      <c r="O9" s="19">
        <v>20000</v>
      </c>
      <c r="P9" s="20">
        <v>0.4</v>
      </c>
      <c r="Q9" s="19">
        <v>30.67</v>
      </c>
      <c r="S9" s="14">
        <v>43692</v>
      </c>
    </row>
    <row r="10" spans="1:19" x14ac:dyDescent="0.3">
      <c r="A10" t="s">
        <v>108</v>
      </c>
      <c r="B10" s="15">
        <v>43466</v>
      </c>
      <c r="C10" s="16">
        <f>ROUND(118.9*C4,0)</f>
        <v>3567000</v>
      </c>
      <c r="E10" t="s">
        <v>298</v>
      </c>
      <c r="F10" s="17">
        <f>Estructuras!K5</f>
        <v>60000</v>
      </c>
      <c r="G10" s="17"/>
      <c r="H10" s="17"/>
      <c r="I10" s="17"/>
      <c r="J10" s="18">
        <v>9</v>
      </c>
      <c r="K10" s="17">
        <f t="shared" si="0"/>
        <v>466.66666666666663</v>
      </c>
      <c r="L10" s="17">
        <f>ROUND(Cargos[[#This Row],[Hora]]*130%,0)</f>
        <v>607</v>
      </c>
      <c r="N10" s="14" t="s">
        <v>97</v>
      </c>
      <c r="O10" s="14" t="s">
        <v>98</v>
      </c>
      <c r="P10" s="14" t="s">
        <v>99</v>
      </c>
      <c r="Q10" s="14" t="s">
        <v>100</v>
      </c>
      <c r="S10" s="14">
        <v>43726</v>
      </c>
    </row>
    <row r="11" spans="1:19" x14ac:dyDescent="0.3">
      <c r="E11" t="s">
        <v>299</v>
      </c>
      <c r="F11" s="17">
        <f>Estructuras!L5</f>
        <v>92688</v>
      </c>
      <c r="G11" s="17"/>
      <c r="H11" s="17"/>
      <c r="I11" s="17"/>
      <c r="J11" s="18">
        <v>10</v>
      </c>
      <c r="K11" s="17">
        <f t="shared" si="0"/>
        <v>720.90666666666664</v>
      </c>
      <c r="L11" s="17">
        <f>ROUND(Cargos[[#This Row],[Hora]]*130%,0)</f>
        <v>937</v>
      </c>
      <c r="N11" s="24">
        <f t="shared" ref="N11:O18" si="1">N2*$C$5</f>
        <v>-5000000</v>
      </c>
      <c r="O11" s="24">
        <f t="shared" si="1"/>
        <v>675000</v>
      </c>
      <c r="P11" s="20">
        <v>0</v>
      </c>
      <c r="Q11" s="24">
        <f t="shared" ref="Q11:Q18" si="2">ROUND(Q2*$C$5,0)</f>
        <v>0</v>
      </c>
      <c r="S11" s="14">
        <v>43727</v>
      </c>
    </row>
    <row r="12" spans="1:19" x14ac:dyDescent="0.3">
      <c r="A12" t="s">
        <v>62</v>
      </c>
      <c r="B12" t="s">
        <v>109</v>
      </c>
      <c r="C12" t="s">
        <v>110</v>
      </c>
      <c r="N12" s="24">
        <f t="shared" si="1"/>
        <v>675000</v>
      </c>
      <c r="O12" s="24">
        <f t="shared" si="1"/>
        <v>1500000</v>
      </c>
      <c r="P12" s="20">
        <v>0.04</v>
      </c>
      <c r="Q12" s="24">
        <f t="shared" si="2"/>
        <v>27000</v>
      </c>
      <c r="S12" s="14">
        <v>43728</v>
      </c>
    </row>
    <row r="13" spans="1:19" x14ac:dyDescent="0.3">
      <c r="A13" t="s">
        <v>111</v>
      </c>
      <c r="B13" s="25">
        <v>0.1144</v>
      </c>
      <c r="C13" s="26">
        <v>33</v>
      </c>
      <c r="N13" s="24">
        <f t="shared" si="1"/>
        <v>1500000</v>
      </c>
      <c r="O13" s="24">
        <f t="shared" si="1"/>
        <v>2500000</v>
      </c>
      <c r="P13" s="20">
        <v>0.08</v>
      </c>
      <c r="Q13" s="24">
        <f t="shared" si="2"/>
        <v>87000</v>
      </c>
      <c r="S13" s="14">
        <v>43750</v>
      </c>
    </row>
    <row r="14" spans="1:19" x14ac:dyDescent="0.3">
      <c r="A14" t="s">
        <v>112</v>
      </c>
      <c r="B14" s="25">
        <v>0.1144</v>
      </c>
      <c r="C14" s="27">
        <v>3</v>
      </c>
      <c r="N14" s="24">
        <f t="shared" si="1"/>
        <v>2500000</v>
      </c>
      <c r="O14" s="24">
        <f t="shared" si="1"/>
        <v>3500000</v>
      </c>
      <c r="P14" s="20">
        <v>0.13500000000000001</v>
      </c>
      <c r="Q14" s="24">
        <f t="shared" si="2"/>
        <v>224500</v>
      </c>
      <c r="S14" s="14">
        <v>43769</v>
      </c>
    </row>
    <row r="15" spans="1:19" x14ac:dyDescent="0.3">
      <c r="A15" t="s">
        <v>113</v>
      </c>
      <c r="B15" s="25">
        <v>0.11269999999999999</v>
      </c>
      <c r="C15" s="27">
        <v>5</v>
      </c>
      <c r="N15" s="24">
        <f t="shared" si="1"/>
        <v>3500000</v>
      </c>
      <c r="O15" s="24">
        <f t="shared" si="1"/>
        <v>4500000</v>
      </c>
      <c r="P15" s="20">
        <v>0.23</v>
      </c>
      <c r="Q15" s="24">
        <f t="shared" si="2"/>
        <v>557000</v>
      </c>
      <c r="S15" s="14">
        <v>43770</v>
      </c>
    </row>
    <row r="16" spans="1:19" x14ac:dyDescent="0.3">
      <c r="A16" t="s">
        <v>114</v>
      </c>
      <c r="B16" s="25">
        <v>0.1116</v>
      </c>
      <c r="C16" s="26">
        <v>29</v>
      </c>
      <c r="N16" s="24">
        <f t="shared" si="1"/>
        <v>4500000</v>
      </c>
      <c r="O16" s="24">
        <f t="shared" si="1"/>
        <v>6000000</v>
      </c>
      <c r="P16" s="20">
        <v>0.30399999999999999</v>
      </c>
      <c r="Q16" s="24">
        <f t="shared" si="2"/>
        <v>890000</v>
      </c>
      <c r="S16" s="14">
        <v>43807</v>
      </c>
    </row>
    <row r="17" spans="1:19" x14ac:dyDescent="0.3">
      <c r="A17" t="s">
        <v>115</v>
      </c>
      <c r="B17" s="25">
        <v>0.1145</v>
      </c>
      <c r="C17" s="27">
        <v>8</v>
      </c>
      <c r="N17" s="24">
        <f t="shared" si="1"/>
        <v>6000000</v>
      </c>
      <c r="O17" s="24">
        <f t="shared" si="1"/>
        <v>7500000</v>
      </c>
      <c r="P17" s="20">
        <v>0.35499999999999998</v>
      </c>
      <c r="Q17" s="24">
        <f t="shared" si="2"/>
        <v>1196000</v>
      </c>
      <c r="S17" s="14">
        <v>43824</v>
      </c>
    </row>
    <row r="18" spans="1:19" x14ac:dyDescent="0.3">
      <c r="A18" t="s">
        <v>116</v>
      </c>
      <c r="B18" s="25">
        <v>0.1077</v>
      </c>
      <c r="C18" s="26">
        <v>34</v>
      </c>
      <c r="N18" s="24">
        <f t="shared" si="1"/>
        <v>7500000</v>
      </c>
      <c r="O18" s="24">
        <f t="shared" si="1"/>
        <v>1000000000</v>
      </c>
      <c r="P18" s="20">
        <v>0.4</v>
      </c>
      <c r="Q18" s="24">
        <f t="shared" si="2"/>
        <v>1533500</v>
      </c>
      <c r="S18" s="14">
        <v>43831</v>
      </c>
    </row>
    <row r="24" spans="1:19" x14ac:dyDescent="0.3">
      <c r="A24" t="s">
        <v>48</v>
      </c>
      <c r="B24" t="s">
        <v>203</v>
      </c>
      <c r="C24" t="s">
        <v>202</v>
      </c>
    </row>
    <row r="25" spans="1:19" x14ac:dyDescent="0.3">
      <c r="A25" t="s">
        <v>118</v>
      </c>
      <c r="B25" s="16">
        <v>2000000</v>
      </c>
      <c r="C25">
        <f>+B25*80%</f>
        <v>1600000</v>
      </c>
    </row>
    <row r="26" spans="1:19" x14ac:dyDescent="0.3">
      <c r="A26" t="s">
        <v>119</v>
      </c>
      <c r="B26" s="16">
        <v>2400000</v>
      </c>
      <c r="C26">
        <f>+B26*60%</f>
        <v>1440000</v>
      </c>
    </row>
    <row r="27" spans="1:19" x14ac:dyDescent="0.3">
      <c r="A27" t="s">
        <v>120</v>
      </c>
      <c r="B27" s="16">
        <v>799000</v>
      </c>
      <c r="C27">
        <f>+B27*60%</f>
        <v>479400</v>
      </c>
    </row>
    <row r="28" spans="1:19" x14ac:dyDescent="0.3">
      <c r="A28" t="s">
        <v>169</v>
      </c>
      <c r="B28" s="16">
        <f>SUM(B25:B27)</f>
        <v>5199000</v>
      </c>
      <c r="C28">
        <f>SUM(C25:C27)</f>
        <v>3519400</v>
      </c>
    </row>
  </sheetData>
  <conditionalFormatting sqref="E2:E11">
    <cfRule type="duplicateValues" dxfId="52" priority="13"/>
  </conditionalFormatting>
  <pageMargins left="0.7" right="0.7" top="0.75" bottom="0.75" header="0.3" footer="0.3"/>
  <ignoredErrors>
    <ignoredError sqref="F2:F4" calculatedColumn="1"/>
  </ignoredErrors>
  <legacyDrawing r:id="rId1"/>
  <tableParts count="6">
    <tablePart r:id="rId2"/>
    <tablePart r:id="rId3"/>
    <tablePart r:id="rId4"/>
    <tablePart r:id="rId5"/>
    <tablePart r:id="rId6"/>
    <tablePart r:id="rId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E91F5-2D54-4BC8-8378-3F20C7532374}">
  <dimension ref="B3:S25"/>
  <sheetViews>
    <sheetView showGridLines="0" workbookViewId="0">
      <selection activeCell="J13" sqref="J13"/>
    </sheetView>
  </sheetViews>
  <sheetFormatPr baseColWidth="10" defaultRowHeight="14.4" x14ac:dyDescent="0.3"/>
  <cols>
    <col min="2" max="2" width="29.109375" bestFit="1" customWidth="1"/>
    <col min="15" max="15" width="13.88671875" bestFit="1" customWidth="1"/>
    <col min="19" max="19" width="12.6640625" customWidth="1"/>
  </cols>
  <sheetData>
    <row r="3" spans="2:19" x14ac:dyDescent="0.3">
      <c r="B3" t="s">
        <v>173</v>
      </c>
      <c r="C3" s="45">
        <v>0.7</v>
      </c>
    </row>
    <row r="4" spans="2:19" x14ac:dyDescent="0.3">
      <c r="G4" t="s">
        <v>41</v>
      </c>
      <c r="H4" t="s">
        <v>42</v>
      </c>
      <c r="I4" t="s">
        <v>43</v>
      </c>
      <c r="J4" t="s">
        <v>44</v>
      </c>
    </row>
    <row r="5" spans="2:19" x14ac:dyDescent="0.3">
      <c r="G5">
        <v>1800000</v>
      </c>
      <c r="H5">
        <v>350000</v>
      </c>
      <c r="I5">
        <v>1800000</v>
      </c>
      <c r="J5">
        <v>2500000</v>
      </c>
    </row>
    <row r="6" spans="2:19" x14ac:dyDescent="0.3">
      <c r="G6">
        <f>+G5*12</f>
        <v>21600000</v>
      </c>
      <c r="H6">
        <f t="shared" ref="H6:J6" si="0">+H5*12</f>
        <v>4200000</v>
      </c>
      <c r="I6">
        <f t="shared" si="0"/>
        <v>21600000</v>
      </c>
      <c r="J6">
        <f t="shared" si="0"/>
        <v>30000000</v>
      </c>
    </row>
    <row r="8" spans="2:19" x14ac:dyDescent="0.3">
      <c r="G8" t="s">
        <v>183</v>
      </c>
      <c r="H8" t="s">
        <v>196</v>
      </c>
      <c r="I8" t="s">
        <v>197</v>
      </c>
      <c r="J8" t="s">
        <v>41</v>
      </c>
      <c r="K8" t="s">
        <v>42</v>
      </c>
      <c r="L8" t="s">
        <v>43</v>
      </c>
      <c r="M8" t="s">
        <v>44</v>
      </c>
      <c r="O8" t="s">
        <v>200</v>
      </c>
      <c r="P8" t="s">
        <v>41</v>
      </c>
      <c r="Q8" t="s">
        <v>42</v>
      </c>
      <c r="R8" t="s">
        <v>43</v>
      </c>
      <c r="S8" t="s">
        <v>44</v>
      </c>
    </row>
    <row r="9" spans="2:19" x14ac:dyDescent="0.3">
      <c r="G9" t="s">
        <v>184</v>
      </c>
      <c r="H9">
        <v>1.5</v>
      </c>
      <c r="I9" s="47">
        <f>Tabla9[[#This Row],[Peso]]/Tabla9[[#Totals],[Peso]]</f>
        <v>9.6774193548387094E-2</v>
      </c>
      <c r="J9" s="16">
        <f>+$G$6*Tabla9[[#This Row],[Normalizado]]</f>
        <v>2090322.5806451612</v>
      </c>
      <c r="K9" s="16">
        <f>$H$6*Tabla9[[#This Row],[Normalizado]]</f>
        <v>406451.61290322582</v>
      </c>
      <c r="L9" s="16">
        <f>$I$6*Tabla9[[#This Row],[Normalizado]]</f>
        <v>2090322.5806451612</v>
      </c>
      <c r="M9" s="16">
        <f>$J$6*Tabla9[[#This Row],[Normalizado]]</f>
        <v>2903225.8064516126</v>
      </c>
      <c r="O9" t="s">
        <v>198</v>
      </c>
      <c r="P9" s="46">
        <f t="shared" ref="P9" si="1">AVERAGE(J9:J10,J17:J20)</f>
        <v>2206451.6129032257</v>
      </c>
      <c r="Q9" s="46">
        <f t="shared" ref="Q9" si="2">AVERAGE(K9:K10,K17:K20)</f>
        <v>429032.25806451612</v>
      </c>
      <c r="R9" s="46">
        <f t="shared" ref="R9" si="3">AVERAGE(L9:L10,L17:L20)</f>
        <v>2206451.6129032257</v>
      </c>
      <c r="S9" s="46">
        <f t="shared" ref="S9" si="4">AVERAGE(M9:M10,M17:M20)</f>
        <v>3064516.1290322579</v>
      </c>
    </row>
    <row r="10" spans="2:19" x14ac:dyDescent="0.3">
      <c r="G10" t="s">
        <v>185</v>
      </c>
      <c r="H10">
        <v>1.5</v>
      </c>
      <c r="I10" s="47">
        <f>Tabla9[[#This Row],[Peso]]/Tabla9[[#Totals],[Peso]]</f>
        <v>9.6774193548387094E-2</v>
      </c>
      <c r="J10" s="16">
        <f>+$G$6*Tabla9[[#This Row],[Normalizado]]</f>
        <v>2090322.5806451612</v>
      </c>
      <c r="K10" s="16">
        <f>$H$6*Tabla9[[#This Row],[Normalizado]]</f>
        <v>406451.61290322582</v>
      </c>
      <c r="L10" s="16">
        <f>$I$6*Tabla9[[#This Row],[Normalizado]]</f>
        <v>2090322.5806451612</v>
      </c>
      <c r="M10" s="16">
        <f>$J$6*Tabla9[[#This Row],[Normalizado]]</f>
        <v>2903225.8064516126</v>
      </c>
      <c r="O10" t="s">
        <v>199</v>
      </c>
      <c r="P10" s="46">
        <f>AVERAGE(J11:J16)</f>
        <v>1393548.3870967741</v>
      </c>
      <c r="Q10" s="46">
        <f t="shared" ref="Q10:S10" si="5">AVERAGE(K11:K16)</f>
        <v>270967.74193548388</v>
      </c>
      <c r="R10" s="46">
        <f t="shared" si="5"/>
        <v>1393548.3870967741</v>
      </c>
      <c r="S10" s="46">
        <f t="shared" si="5"/>
        <v>1935483.8709677418</v>
      </c>
    </row>
    <row r="11" spans="2:19" x14ac:dyDescent="0.3">
      <c r="G11" t="s">
        <v>186</v>
      </c>
      <c r="H11">
        <v>1</v>
      </c>
      <c r="I11" s="47">
        <f>Tabla9[[#This Row],[Peso]]/Tabla9[[#Totals],[Peso]]</f>
        <v>6.4516129032258063E-2</v>
      </c>
      <c r="J11" s="16">
        <f>+$G$6*Tabla9[[#This Row],[Normalizado]]</f>
        <v>1393548.3870967741</v>
      </c>
      <c r="K11" s="16">
        <f>$H$6*Tabla9[[#This Row],[Normalizado]]</f>
        <v>270967.74193548388</v>
      </c>
      <c r="L11" s="16">
        <f>$I$6*Tabla9[[#This Row],[Normalizado]]</f>
        <v>1393548.3870967741</v>
      </c>
      <c r="M11" s="16">
        <f>$J$6*Tabla9[[#This Row],[Normalizado]]</f>
        <v>1935483.8709677418</v>
      </c>
    </row>
    <row r="12" spans="2:19" x14ac:dyDescent="0.3">
      <c r="G12" t="s">
        <v>187</v>
      </c>
      <c r="H12">
        <v>1</v>
      </c>
      <c r="I12" s="47">
        <f>Tabla9[[#This Row],[Peso]]/Tabla9[[#Totals],[Peso]]</f>
        <v>6.4516129032258063E-2</v>
      </c>
      <c r="J12" s="16">
        <f>+$G$6*Tabla9[[#This Row],[Normalizado]]</f>
        <v>1393548.3870967741</v>
      </c>
      <c r="K12" s="16">
        <f>$H$6*Tabla9[[#This Row],[Normalizado]]</f>
        <v>270967.74193548388</v>
      </c>
      <c r="L12" s="16">
        <f>$I$6*Tabla9[[#This Row],[Normalizado]]</f>
        <v>1393548.3870967741</v>
      </c>
      <c r="M12" s="16">
        <f>$J$6*Tabla9[[#This Row],[Normalizado]]</f>
        <v>1935483.8709677418</v>
      </c>
    </row>
    <row r="13" spans="2:19" x14ac:dyDescent="0.3">
      <c r="G13" t="s">
        <v>188</v>
      </c>
      <c r="H13">
        <v>1</v>
      </c>
      <c r="I13" s="47">
        <f>Tabla9[[#This Row],[Peso]]/Tabla9[[#Totals],[Peso]]</f>
        <v>6.4516129032258063E-2</v>
      </c>
      <c r="J13" s="16">
        <f>+$G$6*Tabla9[[#This Row],[Normalizado]]</f>
        <v>1393548.3870967741</v>
      </c>
      <c r="K13" s="16">
        <f>$H$6*Tabla9[[#This Row],[Normalizado]]</f>
        <v>270967.74193548388</v>
      </c>
      <c r="L13" s="16">
        <f>$I$6*Tabla9[[#This Row],[Normalizado]]</f>
        <v>1393548.3870967741</v>
      </c>
      <c r="M13" s="16">
        <f>$J$6*Tabla9[[#This Row],[Normalizado]]</f>
        <v>1935483.8709677418</v>
      </c>
    </row>
    <row r="14" spans="2:19" x14ac:dyDescent="0.3">
      <c r="G14" t="s">
        <v>189</v>
      </c>
      <c r="H14">
        <v>1</v>
      </c>
      <c r="I14" s="47">
        <f>Tabla9[[#This Row],[Peso]]/Tabla9[[#Totals],[Peso]]</f>
        <v>6.4516129032258063E-2</v>
      </c>
      <c r="J14" s="16">
        <f>+$G$6*Tabla9[[#This Row],[Normalizado]]</f>
        <v>1393548.3870967741</v>
      </c>
      <c r="K14" s="16">
        <f>$H$6*Tabla9[[#This Row],[Normalizado]]</f>
        <v>270967.74193548388</v>
      </c>
      <c r="L14" s="16">
        <f>$I$6*Tabla9[[#This Row],[Normalizado]]</f>
        <v>1393548.3870967741</v>
      </c>
      <c r="M14" s="16">
        <f>$J$6*Tabla9[[#This Row],[Normalizado]]</f>
        <v>1935483.8709677418</v>
      </c>
    </row>
    <row r="15" spans="2:19" x14ac:dyDescent="0.3">
      <c r="G15" t="s">
        <v>190</v>
      </c>
      <c r="H15">
        <v>1</v>
      </c>
      <c r="I15" s="47">
        <f>Tabla9[[#This Row],[Peso]]/Tabla9[[#Totals],[Peso]]</f>
        <v>6.4516129032258063E-2</v>
      </c>
      <c r="J15" s="16">
        <f>+$G$6*Tabla9[[#This Row],[Normalizado]]</f>
        <v>1393548.3870967741</v>
      </c>
      <c r="K15" s="16">
        <f>$H$6*Tabla9[[#This Row],[Normalizado]]</f>
        <v>270967.74193548388</v>
      </c>
      <c r="L15" s="16">
        <f>$I$6*Tabla9[[#This Row],[Normalizado]]</f>
        <v>1393548.3870967741</v>
      </c>
      <c r="M15" s="16">
        <f>$J$6*Tabla9[[#This Row],[Normalizado]]</f>
        <v>1935483.8709677418</v>
      </c>
    </row>
    <row r="16" spans="2:19" x14ac:dyDescent="0.3">
      <c r="G16" t="s">
        <v>191</v>
      </c>
      <c r="H16">
        <v>1</v>
      </c>
      <c r="I16" s="47">
        <f>Tabla9[[#This Row],[Peso]]/Tabla9[[#Totals],[Peso]]</f>
        <v>6.4516129032258063E-2</v>
      </c>
      <c r="J16" s="16">
        <f>+$G$6*Tabla9[[#This Row],[Normalizado]]</f>
        <v>1393548.3870967741</v>
      </c>
      <c r="K16" s="16">
        <f>$H$6*Tabla9[[#This Row],[Normalizado]]</f>
        <v>270967.74193548388</v>
      </c>
      <c r="L16" s="16">
        <f>$I$6*Tabla9[[#This Row],[Normalizado]]</f>
        <v>1393548.3870967741</v>
      </c>
      <c r="M16" s="16">
        <f>$J$6*Tabla9[[#This Row],[Normalizado]]</f>
        <v>1935483.8709677418</v>
      </c>
    </row>
    <row r="17" spans="7:14" x14ac:dyDescent="0.3">
      <c r="G17" t="s">
        <v>192</v>
      </c>
      <c r="H17">
        <v>1.5</v>
      </c>
      <c r="I17" s="47">
        <f>Tabla9[[#This Row],[Peso]]/Tabla9[[#Totals],[Peso]]</f>
        <v>9.6774193548387094E-2</v>
      </c>
      <c r="J17" s="16">
        <f>+$G$6*Tabla9[[#This Row],[Normalizado]]</f>
        <v>2090322.5806451612</v>
      </c>
      <c r="K17" s="16">
        <f>$H$6*Tabla9[[#This Row],[Normalizado]]</f>
        <v>406451.61290322582</v>
      </c>
      <c r="L17" s="16">
        <f>$I$6*Tabla9[[#This Row],[Normalizado]]</f>
        <v>2090322.5806451612</v>
      </c>
      <c r="M17" s="16">
        <f>$J$6*Tabla9[[#This Row],[Normalizado]]</f>
        <v>2903225.8064516126</v>
      </c>
    </row>
    <row r="18" spans="7:14" x14ac:dyDescent="0.3">
      <c r="G18" t="s">
        <v>193</v>
      </c>
      <c r="H18">
        <v>1.5</v>
      </c>
      <c r="I18" s="47">
        <f>Tabla9[[#This Row],[Peso]]/Tabla9[[#Totals],[Peso]]</f>
        <v>9.6774193548387094E-2</v>
      </c>
      <c r="J18" s="16">
        <f>+$G$6*Tabla9[[#This Row],[Normalizado]]</f>
        <v>2090322.5806451612</v>
      </c>
      <c r="K18" s="16">
        <f>$H$6*Tabla9[[#This Row],[Normalizado]]</f>
        <v>406451.61290322582</v>
      </c>
      <c r="L18" s="16">
        <f>$I$6*Tabla9[[#This Row],[Normalizado]]</f>
        <v>2090322.5806451612</v>
      </c>
      <c r="M18" s="16">
        <f>$J$6*Tabla9[[#This Row],[Normalizado]]</f>
        <v>2903225.8064516126</v>
      </c>
    </row>
    <row r="19" spans="7:14" x14ac:dyDescent="0.3">
      <c r="G19" t="s">
        <v>194</v>
      </c>
      <c r="H19">
        <v>1.5</v>
      </c>
      <c r="I19" s="47">
        <f>Tabla9[[#This Row],[Peso]]/Tabla9[[#Totals],[Peso]]</f>
        <v>9.6774193548387094E-2</v>
      </c>
      <c r="J19" s="16">
        <f>+$G$6*Tabla9[[#This Row],[Normalizado]]</f>
        <v>2090322.5806451612</v>
      </c>
      <c r="K19" s="16">
        <f>$H$6*Tabla9[[#This Row],[Normalizado]]</f>
        <v>406451.61290322582</v>
      </c>
      <c r="L19" s="16">
        <f>$I$6*Tabla9[[#This Row],[Normalizado]]</f>
        <v>2090322.5806451612</v>
      </c>
      <c r="M19" s="16">
        <f>$J$6*Tabla9[[#This Row],[Normalizado]]</f>
        <v>2903225.8064516126</v>
      </c>
    </row>
    <row r="20" spans="7:14" x14ac:dyDescent="0.3">
      <c r="G20" t="s">
        <v>195</v>
      </c>
      <c r="H20">
        <v>2</v>
      </c>
      <c r="I20" s="47">
        <f>Tabla9[[#This Row],[Peso]]/Tabla9[[#Totals],[Peso]]</f>
        <v>0.12903225806451613</v>
      </c>
      <c r="J20" s="16">
        <f>+$G$6*Tabla9[[#This Row],[Normalizado]]</f>
        <v>2787096.7741935481</v>
      </c>
      <c r="K20" s="16">
        <f>$H$6*Tabla9[[#This Row],[Normalizado]]</f>
        <v>541935.48387096776</v>
      </c>
      <c r="L20" s="16">
        <f>$I$6*Tabla9[[#This Row],[Normalizado]]</f>
        <v>2787096.7741935481</v>
      </c>
      <c r="M20" s="16">
        <f>$J$6*Tabla9[[#This Row],[Normalizado]]</f>
        <v>3870967.7419354836</v>
      </c>
    </row>
    <row r="21" spans="7:14" x14ac:dyDescent="0.3">
      <c r="G21" t="s">
        <v>169</v>
      </c>
      <c r="H21">
        <f>SUBTOTAL(109,Tabla9[Peso])</f>
        <v>15.5</v>
      </c>
      <c r="I21">
        <f>SUBTOTAL(103,Tabla9[Normalizado])</f>
        <v>12</v>
      </c>
      <c r="J21" s="16"/>
      <c r="K21" s="16"/>
      <c r="L21" s="16"/>
      <c r="M21" s="16"/>
    </row>
    <row r="25" spans="7:14" x14ac:dyDescent="0.3">
      <c r="M25">
        <v>100</v>
      </c>
      <c r="N25" s="48">
        <f>35*60%</f>
        <v>21</v>
      </c>
    </row>
  </sheetData>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38DB5-EFBB-4979-B096-9555CCAF6E71}">
  <dimension ref="B4:U9"/>
  <sheetViews>
    <sheetView showGridLines="0" zoomScale="120" zoomScaleNormal="120" workbookViewId="0">
      <selection activeCell="D5" sqref="D5:D9"/>
    </sheetView>
  </sheetViews>
  <sheetFormatPr baseColWidth="10" defaultRowHeight="14.4" x14ac:dyDescent="0.3"/>
  <cols>
    <col min="2" max="2" width="12.109375" bestFit="1" customWidth="1"/>
    <col min="3" max="3" width="21.109375" bestFit="1" customWidth="1"/>
    <col min="4" max="4" width="22.44140625" bestFit="1" customWidth="1"/>
    <col min="5" max="5" width="12" bestFit="1" customWidth="1"/>
    <col min="6" max="7" width="8.88671875" bestFit="1" customWidth="1"/>
    <col min="8" max="8" width="9.109375" bestFit="1" customWidth="1"/>
    <col min="9" max="9" width="8.6640625" bestFit="1" customWidth="1"/>
    <col min="10" max="10" width="9.44140625" bestFit="1" customWidth="1"/>
    <col min="11" max="11" width="8.5546875" bestFit="1" customWidth="1"/>
    <col min="12" max="12" width="8" bestFit="1" customWidth="1"/>
    <col min="13" max="13" width="9" bestFit="1" customWidth="1"/>
    <col min="14" max="14" width="8.88671875" bestFit="1" customWidth="1"/>
    <col min="15" max="15" width="8.5546875" bestFit="1" customWidth="1"/>
    <col min="16" max="16" width="9.109375" bestFit="1" customWidth="1"/>
    <col min="17" max="17" width="8.33203125" bestFit="1" customWidth="1"/>
  </cols>
  <sheetData>
    <row r="4" spans="2:21" x14ac:dyDescent="0.3">
      <c r="B4" s="18" t="s">
        <v>212</v>
      </c>
      <c r="C4" s="18" t="s">
        <v>215</v>
      </c>
      <c r="D4" s="18" t="s">
        <v>216</v>
      </c>
      <c r="E4" s="18" t="s">
        <v>128</v>
      </c>
      <c r="F4" s="18" t="s">
        <v>221</v>
      </c>
      <c r="G4" s="18" t="s">
        <v>222</v>
      </c>
      <c r="H4" s="18" t="s">
        <v>131</v>
      </c>
      <c r="I4" s="18" t="s">
        <v>223</v>
      </c>
      <c r="J4" s="18" t="s">
        <v>224</v>
      </c>
      <c r="K4" s="18" t="s">
        <v>225</v>
      </c>
      <c r="L4" s="18" t="s">
        <v>226</v>
      </c>
      <c r="M4" s="18" t="s">
        <v>227</v>
      </c>
      <c r="N4" s="18" t="s">
        <v>228</v>
      </c>
      <c r="O4" s="18" t="s">
        <v>229</v>
      </c>
      <c r="P4" s="18" t="s">
        <v>230</v>
      </c>
      <c r="Q4" s="18" t="s">
        <v>231</v>
      </c>
    </row>
    <row r="5" spans="2:21" x14ac:dyDescent="0.3">
      <c r="B5" t="s">
        <v>213</v>
      </c>
      <c r="C5" s="49">
        <v>0.19220000000000001</v>
      </c>
      <c r="D5" s="49">
        <v>0.35</v>
      </c>
      <c r="E5" s="49">
        <v>0.15</v>
      </c>
      <c r="F5" s="49" t="s">
        <v>232</v>
      </c>
      <c r="G5" s="49" t="s">
        <v>232</v>
      </c>
      <c r="H5" s="49" t="s">
        <v>233</v>
      </c>
      <c r="I5" s="49" t="s">
        <v>233</v>
      </c>
      <c r="J5" s="49" t="s">
        <v>233</v>
      </c>
      <c r="K5" s="49" t="s">
        <v>233</v>
      </c>
      <c r="L5" s="49" t="s">
        <v>233</v>
      </c>
      <c r="M5" s="49" t="s">
        <v>233</v>
      </c>
      <c r="N5" s="49" t="s">
        <v>232</v>
      </c>
      <c r="O5" s="49" t="s">
        <v>232</v>
      </c>
      <c r="P5" s="49" t="s">
        <v>232</v>
      </c>
      <c r="Q5" s="49" t="s">
        <v>232</v>
      </c>
      <c r="S5" s="45">
        <v>0.31</v>
      </c>
      <c r="T5" s="45">
        <v>0.62</v>
      </c>
      <c r="U5">
        <f>+S5*T5</f>
        <v>0.19220000000000001</v>
      </c>
    </row>
    <row r="6" spans="2:21" x14ac:dyDescent="0.3">
      <c r="B6" t="s">
        <v>214</v>
      </c>
      <c r="C6" s="54">
        <v>0.31619999999999998</v>
      </c>
      <c r="D6" s="54">
        <v>0.35</v>
      </c>
      <c r="E6" s="50">
        <v>0.15</v>
      </c>
      <c r="F6" s="49" t="s">
        <v>232</v>
      </c>
      <c r="G6" s="49" t="s">
        <v>232</v>
      </c>
      <c r="H6" s="49" t="s">
        <v>233</v>
      </c>
      <c r="I6" s="49" t="s">
        <v>233</v>
      </c>
      <c r="J6" s="49" t="s">
        <v>233</v>
      </c>
      <c r="K6" s="49" t="s">
        <v>233</v>
      </c>
      <c r="L6" s="49" t="s">
        <v>233</v>
      </c>
      <c r="M6" s="49" t="s">
        <v>233</v>
      </c>
      <c r="N6" s="49" t="s">
        <v>232</v>
      </c>
      <c r="O6" s="49" t="s">
        <v>232</v>
      </c>
      <c r="P6" s="49" t="s">
        <v>232</v>
      </c>
      <c r="Q6" s="49" t="s">
        <v>232</v>
      </c>
      <c r="S6" s="45">
        <v>0.18</v>
      </c>
      <c r="T6" s="45">
        <v>0.62</v>
      </c>
      <c r="U6">
        <f t="shared" ref="U6:U7" si="0">+S6*T6</f>
        <v>0.11159999999999999</v>
      </c>
    </row>
    <row r="7" spans="2:21" x14ac:dyDescent="0.3">
      <c r="B7" t="s">
        <v>288</v>
      </c>
      <c r="C7" s="54">
        <v>0.11159999999999999</v>
      </c>
      <c r="D7" s="54">
        <v>0.35</v>
      </c>
      <c r="E7" s="50">
        <v>0.15</v>
      </c>
      <c r="F7" s="49" t="s">
        <v>232</v>
      </c>
      <c r="G7" s="49" t="s">
        <v>232</v>
      </c>
      <c r="H7" s="49" t="s">
        <v>233</v>
      </c>
      <c r="I7" s="49" t="s">
        <v>233</v>
      </c>
      <c r="J7" s="49" t="s">
        <v>233</v>
      </c>
      <c r="K7" s="49" t="s">
        <v>233</v>
      </c>
      <c r="L7" s="49" t="s">
        <v>233</v>
      </c>
      <c r="M7" s="49" t="s">
        <v>232</v>
      </c>
      <c r="N7" s="49" t="s">
        <v>232</v>
      </c>
      <c r="O7" s="49" t="s">
        <v>232</v>
      </c>
      <c r="P7" s="49" t="s">
        <v>232</v>
      </c>
      <c r="Q7" s="49" t="s">
        <v>232</v>
      </c>
      <c r="S7" s="45">
        <v>0.51</v>
      </c>
      <c r="T7" s="45">
        <v>0.62</v>
      </c>
      <c r="U7">
        <f t="shared" si="0"/>
        <v>0.31619999999999998</v>
      </c>
    </row>
    <row r="8" spans="2:21" x14ac:dyDescent="0.3">
      <c r="B8" t="s">
        <v>287</v>
      </c>
      <c r="C8" s="54">
        <v>0.11159999999999999</v>
      </c>
      <c r="D8" s="54">
        <v>0.35</v>
      </c>
      <c r="E8" s="50">
        <v>0.15</v>
      </c>
      <c r="F8" s="49" t="s">
        <v>232</v>
      </c>
      <c r="G8" s="49" t="s">
        <v>232</v>
      </c>
      <c r="H8" s="49" t="s">
        <v>233</v>
      </c>
      <c r="I8" s="49" t="s">
        <v>233</v>
      </c>
      <c r="J8" s="49" t="s">
        <v>233</v>
      </c>
      <c r="K8" s="49" t="s">
        <v>233</v>
      </c>
      <c r="L8" s="49" t="s">
        <v>233</v>
      </c>
      <c r="M8" s="49" t="s">
        <v>232</v>
      </c>
      <c r="N8" s="49" t="s">
        <v>232</v>
      </c>
      <c r="O8" s="49" t="s">
        <v>232</v>
      </c>
      <c r="P8" s="49" t="s">
        <v>232</v>
      </c>
      <c r="Q8" s="49" t="s">
        <v>232</v>
      </c>
    </row>
    <row r="9" spans="2:21" x14ac:dyDescent="0.3">
      <c r="B9" t="s">
        <v>217</v>
      </c>
      <c r="C9" s="50">
        <v>0.38</v>
      </c>
      <c r="D9" s="50">
        <v>0.35</v>
      </c>
      <c r="E9" s="50">
        <v>0.15</v>
      </c>
      <c r="F9" s="49"/>
      <c r="G9" s="49"/>
      <c r="H9" s="49"/>
      <c r="I9" s="49"/>
      <c r="J9" s="49"/>
      <c r="K9" s="49"/>
      <c r="L9" s="49"/>
      <c r="M9" s="49"/>
      <c r="N9" s="49"/>
      <c r="O9" s="49"/>
      <c r="P9" s="49"/>
      <c r="Q9" s="49"/>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4</vt:i4>
      </vt:variant>
    </vt:vector>
  </HeadingPairs>
  <TitlesOfParts>
    <vt:vector size="15" baseType="lpstr">
      <vt:lpstr>Temporada Alta PPT</vt:lpstr>
      <vt:lpstr>Temporada Baja PPT</vt:lpstr>
      <vt:lpstr>Temporada Alta</vt:lpstr>
      <vt:lpstr>Temporada Baja</vt:lpstr>
      <vt:lpstr>Modelos</vt:lpstr>
      <vt:lpstr>Estructuras</vt:lpstr>
      <vt:lpstr>Sup</vt:lpstr>
      <vt:lpstr>Ventas</vt:lpstr>
      <vt:lpstr>Valores</vt:lpstr>
      <vt:lpstr>Supuestos</vt:lpstr>
      <vt:lpstr>Variables</vt:lpstr>
      <vt:lpstr>'Temporada Alta PPT'!Modelo</vt:lpstr>
      <vt:lpstr>'Temporada Baja'!Modelo</vt:lpstr>
      <vt:lpstr>'Temporada Baja PPT'!Modelo</vt:lpstr>
      <vt:lpstr>Modelo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Mauricio Bassi G.</dc:creator>
  <cp:lastModifiedBy>Mauricio Bassi G.</cp:lastModifiedBy>
  <dcterms:created xsi:type="dcterms:W3CDTF">2019-04-24T15:12:13Z</dcterms:created>
  <dcterms:modified xsi:type="dcterms:W3CDTF">2019-10-01T22:37:49Z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 id">
    <vt:lpwstr>279c798a-96d1-4dae-9e0e-d514487b8e51</vt:lpwstr>
  </property>
  <property fmtid="{D5CDD505-2E9C-101B-9397-08002B2CF9AE}" pid="3" name="Workbook type">
    <vt:lpwstr>Custom</vt:lpwstr>
  </property>
  <property fmtid="{D5CDD505-2E9C-101B-9397-08002B2CF9AE}" pid="4" name="Workbook version">
    <vt:lpwstr>Custom</vt:lpwstr>
  </property>
</Properties>
</file>