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tables/table6.xml" ContentType="application/vnd.openxmlformats-officedocument.spreadsheetml.table+xml"/>
  <Override PartName="/xl/tables/table11.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4.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3.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comments9.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orada Alta PPT" sheetId="1" state="visible" r:id="rId2"/>
    <sheet name="Temporada Baja PPT" sheetId="2" state="hidden" r:id="rId3"/>
    <sheet name="Temporada Alta" sheetId="3" state="hidden" r:id="rId4"/>
    <sheet name="Temporada Baja" sheetId="4" state="hidden" r:id="rId5"/>
    <sheet name="Modelos" sheetId="5" state="visible" r:id="rId6"/>
    <sheet name="Estructuras" sheetId="6" state="visible" r:id="rId7"/>
    <sheet name="Sup" sheetId="7" state="hidden" r:id="rId8"/>
    <sheet name="Ventas" sheetId="8" state="visible" r:id="rId9"/>
    <sheet name="Valores" sheetId="9" state="visible" r:id="rId10"/>
    <sheet name="Supuestos" sheetId="10" state="visible" r:id="rId11"/>
    <sheet name="Variables" sheetId="11" state="visible" r:id="rId12"/>
  </sheets>
  <definedNames>
    <definedName function="false" hidden="true" localSheetId="0" name="_xlnm._FilterDatabase" vbProcedure="false">'Temporada Alta PPT'!$A$4:$AE$114</definedName>
    <definedName function="false" hidden="true" localSheetId="3" name="_xlnm._FilterDatabase" vbProcedure="false">'Temporada Baja'!$A$4:$V$4</definedName>
    <definedName function="false" hidden="true" localSheetId="1" name="_xlnm._FilterDatabase" vbProcedure="false">'Temporada Baja PPT'!$A$4:$W$4</definedName>
    <definedName function="false" hidden="false" name="Modelo" vbProcedure="false">Modelos[Clave]</definedName>
    <definedName function="false" hidden="false" localSheetId="0" name="Modelo" vbProcedure="false">Modelos[Clave]</definedName>
    <definedName function="false" hidden="false" localSheetId="1" name="Modelo" vbProcedure="false">Modelos[Clave]</definedName>
    <definedName function="false" hidden="false" localSheetId="2" name="_xlnm._FilterDatabase" vbProcedure="false">'Temporada Alta'!$A$4:$W$44</definedName>
    <definedName function="false" hidden="false" localSheetId="3" name="Modelo" vbProcedure="false">Modelos[Clave]</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 </author>
  </authors>
  <commentList>
    <comment ref="C4" authorId="0">
      <text>
        <r>
          <rPr>
            <b val="true"/>
            <sz val="9"/>
            <color rgb="FF000000"/>
            <rFont val="Tahoma"/>
            <family val="2"/>
            <charset val="1"/>
          </rPr>
          <t xml:space="preserve">Cambio mensual</t>
        </r>
      </text>
    </comment>
  </commentList>
</comments>
</file>

<file path=xl/sharedStrings.xml><?xml version="1.0" encoding="utf-8"?>
<sst xmlns="http://schemas.openxmlformats.org/spreadsheetml/2006/main" count="1891" uniqueCount="336">
  <si>
    <t xml:space="preserve">Modelo PDV 1</t>
  </si>
  <si>
    <t xml:space="preserve">Tipo</t>
  </si>
  <si>
    <t xml:space="preserve">Q</t>
  </si>
  <si>
    <t xml:space="preserve">Modelo PDV 2</t>
  </si>
  <si>
    <t xml:space="preserve">Sup.
Días
Se,</t>
  </si>
  <si>
    <t xml:space="preserve">Tipo Supervisión</t>
  </si>
  <si>
    <t xml:space="preserve">Zona/Ciudad</t>
  </si>
  <si>
    <t xml:space="preserve">Cadena</t>
  </si>
  <si>
    <t xml:space="preserve">Sucursal</t>
  </si>
  <si>
    <t xml:space="preserve">Venta Promedio</t>
  </si>
  <si>
    <t xml:space="preserve">Incremento de Venta</t>
  </si>
  <si>
    <t xml:space="preserve">Venta Total</t>
  </si>
  <si>
    <t xml:space="preserve">Comisión Retail</t>
  </si>
  <si>
    <t xml:space="preserve">Margen Tienda</t>
  </si>
  <si>
    <t xml:space="preserve">Supervisión</t>
  </si>
  <si>
    <t xml:space="preserve">Vendedor / Reposición 01</t>
  </si>
  <si>
    <t xml:space="preserve">Vendedor / Reposición 02</t>
  </si>
  <si>
    <t xml:space="preserve">Bodegaje</t>
  </si>
  <si>
    <t xml:space="preserve">Packing</t>
  </si>
  <si>
    <t xml:space="preserve">Picking</t>
  </si>
  <si>
    <t xml:space="preserve">Transporte</t>
  </si>
  <si>
    <t xml:space="preserve">Costo Mercadería</t>
  </si>
  <si>
    <t xml:space="preserve">Merma</t>
  </si>
  <si>
    <t xml:space="preserve">Muebles</t>
  </si>
  <si>
    <t xml:space="preserve">Margen Operacional</t>
  </si>
  <si>
    <t xml:space="preserve">Gastos de Administración</t>
  </si>
  <si>
    <t xml:space="preserve">Resultado Actual</t>
  </si>
  <si>
    <t xml:space="preserve">Resultado Modelo</t>
  </si>
  <si>
    <t xml:space="preserve">Diferencial</t>
  </si>
  <si>
    <t xml:space="preserve">Vendedor 1/2 Full</t>
  </si>
  <si>
    <t xml:space="preserve">Outsourcing</t>
  </si>
  <si>
    <t xml:space="preserve">Vendedor 1/2 3 días</t>
  </si>
  <si>
    <t xml:space="preserve">Supervisor Regiones</t>
  </si>
  <si>
    <t xml:space="preserve">Viña del Mar</t>
  </si>
  <si>
    <t xml:space="preserve">Ripley</t>
  </si>
  <si>
    <t xml:space="preserve">Marina Arauco</t>
  </si>
  <si>
    <t xml:space="preserve">Puerto Montt</t>
  </si>
  <si>
    <t xml:space="preserve">M.Costanera P.Montt</t>
  </si>
  <si>
    <t xml:space="preserve">VI-VII</t>
  </si>
  <si>
    <t xml:space="preserve">Talca</t>
  </si>
  <si>
    <t xml:space="preserve">Supervisor Part</t>
  </si>
  <si>
    <t xml:space="preserve">Temuco</t>
  </si>
  <si>
    <t xml:space="preserve">V° Interior</t>
  </si>
  <si>
    <t xml:space="preserve">La Calera</t>
  </si>
  <si>
    <t xml:space="preserve">Concepción</t>
  </si>
  <si>
    <t xml:space="preserve">Mall Concepcion</t>
  </si>
  <si>
    <t xml:space="preserve">Vendedor 1/2 2 días</t>
  </si>
  <si>
    <t xml:space="preserve">Los Andes</t>
  </si>
  <si>
    <t xml:space="preserve">Vendedor Full</t>
  </si>
  <si>
    <t xml:space="preserve">Vendedor 2 días</t>
  </si>
  <si>
    <t xml:space="preserve">Supervisor Santiago</t>
  </si>
  <si>
    <t xml:space="preserve">Santiago 01</t>
  </si>
  <si>
    <t xml:space="preserve">Costanera Center</t>
  </si>
  <si>
    <t xml:space="preserve">Santiago 02</t>
  </si>
  <si>
    <t xml:space="preserve">Florida Center</t>
  </si>
  <si>
    <t xml:space="preserve">Plaza Egana</t>
  </si>
  <si>
    <t xml:space="preserve">La Serena</t>
  </si>
  <si>
    <t xml:space="preserve">Iquique</t>
  </si>
  <si>
    <t xml:space="preserve">Plaza Oeste</t>
  </si>
  <si>
    <t xml:space="preserve">Plaza Vespucio</t>
  </si>
  <si>
    <t xml:space="preserve">Rancagua</t>
  </si>
  <si>
    <t xml:space="preserve">Portal Temuco</t>
  </si>
  <si>
    <t xml:space="preserve">Antofagasta</t>
  </si>
  <si>
    <t xml:space="preserve">El Trebol</t>
  </si>
  <si>
    <t xml:space="preserve">Santiago 03</t>
  </si>
  <si>
    <t xml:space="preserve">San Bernardo</t>
  </si>
  <si>
    <t xml:space="preserve">Puente</t>
  </si>
  <si>
    <t xml:space="preserve">Curico</t>
  </si>
  <si>
    <t xml:space="preserve">Valdivia</t>
  </si>
  <si>
    <t xml:space="preserve">Nueva Valdivia Store</t>
  </si>
  <si>
    <t xml:space="preserve">Los Angeles</t>
  </si>
  <si>
    <t xml:space="preserve">Maipu</t>
  </si>
  <si>
    <t xml:space="preserve">Nueva Alameda</t>
  </si>
  <si>
    <t xml:space="preserve">Valparaiso</t>
  </si>
  <si>
    <t xml:space="preserve">Parque Arauco</t>
  </si>
  <si>
    <t xml:space="preserve">Huechuraba</t>
  </si>
  <si>
    <t xml:space="preserve">Copiapó</t>
  </si>
  <si>
    <t xml:space="preserve">Copiapo</t>
  </si>
  <si>
    <t xml:space="preserve">Concepcion 2</t>
  </si>
  <si>
    <t xml:space="preserve">Quilpue</t>
  </si>
  <si>
    <t xml:space="preserve">Plaza Tobalaba</t>
  </si>
  <si>
    <t xml:space="preserve">Alto las Condes</t>
  </si>
  <si>
    <t xml:space="preserve">Coquimbo</t>
  </si>
  <si>
    <t xml:space="preserve">Arica</t>
  </si>
  <si>
    <t xml:space="preserve">Los Dominicos</t>
  </si>
  <si>
    <t xml:space="preserve">París</t>
  </si>
  <si>
    <t xml:space="preserve">Temuco Centro</t>
  </si>
  <si>
    <t xml:space="preserve">Portal Belloto</t>
  </si>
  <si>
    <t xml:space="preserve">Plaza La Serena</t>
  </si>
  <si>
    <t xml:space="preserve">Barros Arana</t>
  </si>
  <si>
    <t xml:space="preserve">Arauco Maipu</t>
  </si>
  <si>
    <t xml:space="preserve">El Roble</t>
  </si>
  <si>
    <t xml:space="preserve">Portal Osorno</t>
  </si>
  <si>
    <t xml:space="preserve">Alto Las Condes</t>
  </si>
  <si>
    <t xml:space="preserve">Plaza Del Trebol</t>
  </si>
  <si>
    <t xml:space="preserve">Ovalle</t>
  </si>
  <si>
    <t xml:space="preserve">Quilicura</t>
  </si>
  <si>
    <t xml:space="preserve">Quilin</t>
  </si>
  <si>
    <t xml:space="preserve">Portal Nunoa</t>
  </si>
  <si>
    <t xml:space="preserve">Mall Paseo Estacion</t>
  </si>
  <si>
    <t xml:space="preserve">La Dehesa</t>
  </si>
  <si>
    <t xml:space="preserve">Centrorex Rancagua</t>
  </si>
  <si>
    <t xml:space="preserve">Lyon</t>
  </si>
  <si>
    <t xml:space="preserve">Alameda</t>
  </si>
  <si>
    <t xml:space="preserve">Bandera</t>
  </si>
  <si>
    <t xml:space="preserve">Independencia</t>
  </si>
  <si>
    <t xml:space="preserve">San Antonio</t>
  </si>
  <si>
    <t xml:space="preserve">Ahumada</t>
  </si>
  <si>
    <t xml:space="preserve">Calama</t>
  </si>
  <si>
    <t xml:space="preserve">Mega Johnson</t>
  </si>
  <si>
    <t xml:space="preserve"> La Serena</t>
  </si>
  <si>
    <t xml:space="preserve"> Quilin</t>
  </si>
  <si>
    <t xml:space="preserve"> Quillota</t>
  </si>
  <si>
    <t xml:space="preserve"> Viña Del Mar</t>
  </si>
  <si>
    <t xml:space="preserve"> Maipu</t>
  </si>
  <si>
    <t xml:space="preserve"> Florida Center</t>
  </si>
  <si>
    <t xml:space="preserve">Johnson</t>
  </si>
  <si>
    <t xml:space="preserve"> Iquique</t>
  </si>
  <si>
    <t xml:space="preserve"> Chillan</t>
  </si>
  <si>
    <t xml:space="preserve"> Arica</t>
  </si>
  <si>
    <t xml:space="preserve"> Copiapo</t>
  </si>
  <si>
    <t xml:space="preserve"> San Felipe</t>
  </si>
  <si>
    <t xml:space="preserve"> San Bernardo</t>
  </si>
  <si>
    <t xml:space="preserve"> Puente Alto</t>
  </si>
  <si>
    <t xml:space="preserve"> Talca</t>
  </si>
  <si>
    <t xml:space="preserve"> Concepcion</t>
  </si>
  <si>
    <t xml:space="preserve"> Puente</t>
  </si>
  <si>
    <t xml:space="preserve"> Rancagua</t>
  </si>
  <si>
    <t xml:space="preserve"> Coronel</t>
  </si>
  <si>
    <t xml:space="preserve"> Temuco</t>
  </si>
  <si>
    <t xml:space="preserve"> Melipilla</t>
  </si>
  <si>
    <t xml:space="preserve"> Antofagasta</t>
  </si>
  <si>
    <t xml:space="preserve"> Talcahuano</t>
  </si>
  <si>
    <t xml:space="preserve"> Maipu Plaza</t>
  </si>
  <si>
    <t xml:space="preserve"> Los Andes</t>
  </si>
  <si>
    <t xml:space="preserve"> Mall Plaza Alam</t>
  </si>
  <si>
    <t xml:space="preserve"> Ovalle</t>
  </si>
  <si>
    <t xml:space="preserve"> Linares</t>
  </si>
  <si>
    <t xml:space="preserve"> Valdivia</t>
  </si>
  <si>
    <t xml:space="preserve"> Plaza Vespucio</t>
  </si>
  <si>
    <t xml:space="preserve"> San Antonio</t>
  </si>
  <si>
    <t xml:space="preserve">Modelo PDV</t>
  </si>
  <si>
    <t xml:space="preserve">Q Tiendas</t>
  </si>
  <si>
    <t xml:space="preserve">Sup.</t>
  </si>
  <si>
    <t xml:space="preserve">Vendedor / Reposición</t>
  </si>
  <si>
    <t xml:space="preserve">EST</t>
  </si>
  <si>
    <t xml:space="preserve"> ViEURa Del Mar</t>
  </si>
  <si>
    <t xml:space="preserve">Porcentaje Costos Ripley</t>
  </si>
  <si>
    <t xml:space="preserve">Venta Promedio Temporada Alta</t>
  </si>
  <si>
    <t xml:space="preserve">Comisión Ripley</t>
  </si>
  <si>
    <t xml:space="preserve">Mall - Full - Completo</t>
  </si>
  <si>
    <t xml:space="preserve">Mall - Part - VSD</t>
  </si>
  <si>
    <t xml:space="preserve">Calle - Part - SD</t>
  </si>
  <si>
    <t xml:space="preserve">Calle - Part - LMVS</t>
  </si>
  <si>
    <t xml:space="preserve">Mall - Ruta - SD</t>
  </si>
  <si>
    <t xml:space="preserve">Calle - Ruta - Completo</t>
  </si>
  <si>
    <t xml:space="preserve">Crillon</t>
  </si>
  <si>
    <t xml:space="preserve">Viña</t>
  </si>
  <si>
    <t xml:space="preserve">Chillan</t>
  </si>
  <si>
    <t xml:space="preserve">Mall Calama</t>
  </si>
  <si>
    <t xml:space="preserve">Huerfanos</t>
  </si>
  <si>
    <t xml:space="preserve">Concepcion</t>
  </si>
  <si>
    <t xml:space="preserve">TOTAL</t>
  </si>
  <si>
    <t xml:space="preserve">Ruta Visual</t>
  </si>
  <si>
    <t xml:space="preserve">Bloques</t>
  </si>
  <si>
    <t xml:space="preserve">Desde</t>
  </si>
  <si>
    <t xml:space="preserve">Hasta</t>
  </si>
  <si>
    <t xml:space="preserve">Clave</t>
  </si>
  <si>
    <t xml:space="preserve">Mínimo Visitas al mes (Días)</t>
  </si>
  <si>
    <t xml:space="preserve">Tipo PDV</t>
  </si>
  <si>
    <t xml:space="preserve">Formato</t>
  </si>
  <si>
    <t xml:space="preserve">Horas / Día</t>
  </si>
  <si>
    <t xml:space="preserve">Lun</t>
  </si>
  <si>
    <t xml:space="preserve">Mar</t>
  </si>
  <si>
    <t xml:space="preserve">Mie</t>
  </si>
  <si>
    <t xml:space="preserve">Jue</t>
  </si>
  <si>
    <t xml:space="preserve">Vie</t>
  </si>
  <si>
    <t xml:space="preserve">Sab</t>
  </si>
  <si>
    <t xml:space="preserve">Dom</t>
  </si>
  <si>
    <t xml:space="preserve">Costo Oussourcing</t>
  </si>
  <si>
    <t xml:space="preserve">Costo EST</t>
  </si>
  <si>
    <t xml:space="preserve">Rol</t>
  </si>
  <si>
    <t xml:space="preserve">Comentarios</t>
  </si>
  <si>
    <t xml:space="preserve">Incremento Vta</t>
  </si>
  <si>
    <t xml:space="preserve">AM</t>
  </si>
  <si>
    <t xml:space="preserve">N/A</t>
  </si>
  <si>
    <t xml:space="preserve">Full</t>
  </si>
  <si>
    <t xml:space="preserve">Todos</t>
  </si>
  <si>
    <t xml:space="preserve">Ruta</t>
  </si>
  <si>
    <t xml:space="preserve">Almuerzo</t>
  </si>
  <si>
    <t xml:space="preserve">Tarde 1</t>
  </si>
  <si>
    <t xml:space="preserve">Part</t>
  </si>
  <si>
    <t xml:space="preserve">Tarde 2</t>
  </si>
  <si>
    <t xml:space="preserve">Full - Completo</t>
  </si>
  <si>
    <t xml:space="preserve">Venta - Reposición</t>
  </si>
  <si>
    <t xml:space="preserve">Full 1 Tienda</t>
  </si>
  <si>
    <t xml:space="preserve">Cierre</t>
  </si>
  <si>
    <t xml:space="preserve">Full - 2 días</t>
  </si>
  <si>
    <t xml:space="preserve">Vendedor 3 días</t>
  </si>
  <si>
    <t xml:space="preserve">Full - 3 días</t>
  </si>
  <si>
    <t xml:space="preserve">Part - Completo</t>
  </si>
  <si>
    <t xml:space="preserve">Tarde 01 - Tarde 02 - Cierre</t>
  </si>
  <si>
    <t xml:space="preserve">Part 1 Tienda</t>
  </si>
  <si>
    <t xml:space="preserve">Part - 2 días</t>
  </si>
  <si>
    <t xml:space="preserve">Part - 3 días</t>
  </si>
  <si>
    <t xml:space="preserve">Monto</t>
  </si>
  <si>
    <t xml:space="preserve">Cargo</t>
  </si>
  <si>
    <t xml:space="preserve">Jefe del Proyecto</t>
  </si>
  <si>
    <t xml:space="preserve">Líquido Aproximado</t>
  </si>
  <si>
    <t xml:space="preserve">Costo Empresa</t>
  </si>
  <si>
    <t xml:space="preserve">Tipo de Contrato</t>
  </si>
  <si>
    <t xml:space="preserve">Plazo Fijo</t>
  </si>
  <si>
    <t xml:space="preserve">Sueldo Base</t>
  </si>
  <si>
    <t xml:space="preserve">HHEE Domingos</t>
  </si>
  <si>
    <t xml:space="preserve">HHEE Feriados</t>
  </si>
  <si>
    <t xml:space="preserve">Gratificación Mensual</t>
  </si>
  <si>
    <t xml:space="preserve">Bono Meta</t>
  </si>
  <si>
    <t xml:space="preserve">Bono Supervisión</t>
  </si>
  <si>
    <t xml:space="preserve">Bono Cualitativo</t>
  </si>
  <si>
    <t xml:space="preserve">Comisión</t>
  </si>
  <si>
    <t xml:space="preserve">TOTAL IMPONIBLE</t>
  </si>
  <si>
    <t xml:space="preserve">Movilización</t>
  </si>
  <si>
    <t xml:space="preserve">Colación</t>
  </si>
  <si>
    <t xml:space="preserve">Asignación Inventario</t>
  </si>
  <si>
    <t xml:space="preserve">Comunicaciones</t>
  </si>
  <si>
    <t xml:space="preserve">TOTAL NO IMPONIBLE</t>
  </si>
  <si>
    <t xml:space="preserve">TOTAL HABERES</t>
  </si>
  <si>
    <t xml:space="preserve">Salud</t>
  </si>
  <si>
    <t xml:space="preserve">AFP</t>
  </si>
  <si>
    <t xml:space="preserve">Seguro de Cesantía</t>
  </si>
  <si>
    <t xml:space="preserve">Impuesto Único</t>
  </si>
  <si>
    <t xml:space="preserve">Mutualidad</t>
  </si>
  <si>
    <t xml:space="preserve">SIS</t>
  </si>
  <si>
    <t xml:space="preserve">Provisión Vacaciones</t>
  </si>
  <si>
    <t xml:space="preserve">Provisión Desahucio</t>
  </si>
  <si>
    <t xml:space="preserve">Provisión IPAS</t>
  </si>
  <si>
    <t xml:space="preserve">Provisión Aguinaldos</t>
  </si>
  <si>
    <t xml:space="preserve">Forma de Pago</t>
  </si>
  <si>
    <t xml:space="preserve">Certificación Laboral</t>
  </si>
  <si>
    <t xml:space="preserve">Uniformes</t>
  </si>
  <si>
    <t xml:space="preserve">Implementos de Seguridad</t>
  </si>
  <si>
    <t xml:space="preserve">Ruta, Gastos y Viajes</t>
  </si>
  <si>
    <t xml:space="preserve">Credenciales</t>
  </si>
  <si>
    <t xml:space="preserve">Seguro Complementario</t>
  </si>
  <si>
    <t xml:space="preserve">Comunicaciones Celulares</t>
  </si>
  <si>
    <t xml:space="preserve">Dispositivo Móvil</t>
  </si>
  <si>
    <t xml:space="preserve">Notebook - Tablet</t>
  </si>
  <si>
    <t xml:space="preserve">Licencia Software Asistencia</t>
  </si>
  <si>
    <t xml:space="preserve">Licencia Software Ventas</t>
  </si>
  <si>
    <t xml:space="preserve">COSTO EMPRESA</t>
  </si>
  <si>
    <t xml:space="preserve">Administración</t>
  </si>
  <si>
    <t xml:space="preserve">COSTE EMPRESA NETO</t>
  </si>
  <si>
    <t xml:space="preserve">COSTO SERVICIO</t>
  </si>
  <si>
    <t xml:space="preserve">Costo Fijo</t>
  </si>
  <si>
    <t xml:space="preserve">Costo Variable</t>
  </si>
  <si>
    <t xml:space="preserve">Provisiones</t>
  </si>
  <si>
    <t xml:space="preserve">Costo Total</t>
  </si>
  <si>
    <t xml:space="preserve">Margen</t>
  </si>
  <si>
    <t xml:space="preserve">Apps</t>
  </si>
  <si>
    <t xml:space="preserve">Var. Supervisión</t>
  </si>
  <si>
    <t xml:space="preserve">Etiquetas de fila</t>
  </si>
  <si>
    <t xml:space="preserve">Temporada Alta</t>
  </si>
  <si>
    <t xml:space="preserve">Temporada Baja</t>
  </si>
  <si>
    <t xml:space="preserve">Temporada Alta Tabla</t>
  </si>
  <si>
    <t xml:space="preserve">Temporada Baja Tabla</t>
  </si>
  <si>
    <t xml:space="preserve">San Fernando</t>
  </si>
  <si>
    <t xml:space="preserve">Vina</t>
  </si>
  <si>
    <t xml:space="preserve">Item</t>
  </si>
  <si>
    <t xml:space="preserve">Fecha</t>
  </si>
  <si>
    <t xml:space="preserve">Base</t>
  </si>
  <si>
    <t xml:space="preserve">Bono</t>
  </si>
  <si>
    <t xml:space="preserve">Cotización</t>
  </si>
  <si>
    <t xml:space="preserve">Hora</t>
  </si>
  <si>
    <t xml:space="preserve">Domingo</t>
  </si>
  <si>
    <t xml:space="preserve">Renta desde</t>
  </si>
  <si>
    <t xml:space="preserve">Renta hasta</t>
  </si>
  <si>
    <t xml:space="preserve">Factor</t>
  </si>
  <si>
    <t xml:space="preserve">Rebaja</t>
  </si>
  <si>
    <t xml:space="preserve">Feriado Legal</t>
  </si>
  <si>
    <t xml:space="preserve">S. Mínimo</t>
  </si>
  <si>
    <t xml:space="preserve">KAM</t>
  </si>
  <si>
    <t xml:space="preserve">Gratificación</t>
  </si>
  <si>
    <t xml:space="preserve">UF</t>
  </si>
  <si>
    <t xml:space="preserve">UTM</t>
  </si>
  <si>
    <t xml:space="preserve">AFC</t>
  </si>
  <si>
    <t xml:space="preserve">Tope Todos</t>
  </si>
  <si>
    <t xml:space="preserve">Tope AFC</t>
  </si>
  <si>
    <t xml:space="preserve">%</t>
  </si>
  <si>
    <t xml:space="preserve">Código</t>
  </si>
  <si>
    <t xml:space="preserve">Capital</t>
  </si>
  <si>
    <t xml:space="preserve">Cuprum</t>
  </si>
  <si>
    <t xml:space="preserve">Habitat</t>
  </si>
  <si>
    <t xml:space="preserve">PlanVital</t>
  </si>
  <si>
    <t xml:space="preserve">Provida</t>
  </si>
  <si>
    <t xml:space="preserve">Modelo</t>
  </si>
  <si>
    <t xml:space="preserve">Compañía</t>
  </si>
  <si>
    <t xml:space="preserve">Retail</t>
  </si>
  <si>
    <t xml:space="preserve">Pablo</t>
  </si>
  <si>
    <t xml:space="preserve">Alexis</t>
  </si>
  <si>
    <t xml:space="preserve">Amapola</t>
  </si>
  <si>
    <t xml:space="preserve">Total</t>
  </si>
  <si>
    <t xml:space="preserve">Peso Temporada Alta en Costos</t>
  </si>
  <si>
    <t xml:space="preserve">Mes</t>
  </si>
  <si>
    <t xml:space="preserve">Peso</t>
  </si>
  <si>
    <t xml:space="preserve">Normalizado</t>
  </si>
  <si>
    <t xml:space="preserve">Temporada</t>
  </si>
  <si>
    <t xml:space="preserve">Enero</t>
  </si>
  <si>
    <t xml:space="preserve">Promedio Alta</t>
  </si>
  <si>
    <t xml:space="preserve">Febrero</t>
  </si>
  <si>
    <t xml:space="preserve">Promedio Baja</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</si>
  <si>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</si>
  <si>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</si>
  <si>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</si>
  <si>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</si>
  <si>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</si>
  <si>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</si>
  <si>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</si>
  <si>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</si>
  <si>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</si>
  <si>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</si>
  <si>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 Administración</t>
  </si>
  <si>
    <t xml:space="preserve">Comisión de Venta</t>
  </si>
  <si>
    <t xml:space="preserve">Ene</t>
  </si>
  <si>
    <t xml:space="preserve">Feb</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</si>
  <si>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</si>
  <si>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</si>
  <si>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</si>
  <si>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</si>
  <si>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</si>
  <si>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</si>
  <si>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</si>
  <si>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</si>
  <si>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</si>
  <si>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A</t>
  </si>
  <si>
    <t xml:space="preserve">B</t>
  </si>
  <si>
    <t xml:space="preserve">Otros</t>
  </si>
</sst>
</file>

<file path=xl/styles.xml><?xml version="1.0" encoding="utf-8"?>
<styleSheet xmlns="http://schemas.openxmlformats.org/spreadsheetml/2006/main">
  <numFmts count="14">
    <numFmt numFmtId="164" formatCode="General"/>
    <numFmt numFmtId="165" formatCode="_ \$* #,##0_ ;_ \$* \-#,##0_ ;_ \$* \-_ ;_ @_ "/>
    <numFmt numFmtId="166" formatCode="0\ %"/>
    <numFmt numFmtId="167" formatCode="0.00\ %"/>
    <numFmt numFmtId="168" formatCode="\$#,##0;[RED]&quot;$-&quot;#,##0"/>
    <numFmt numFmtId="169" formatCode="[$-340A]H:MM"/>
    <numFmt numFmtId="170" formatCode="[$$-340A]#,##0;[RED][$$-340A]#,##0"/>
    <numFmt numFmtId="171" formatCode="_ * #,##0_ ;_ * \-#,##0_ ;_ * \-_ ;_ @_ "/>
    <numFmt numFmtId="172" formatCode="[$-340A]DD/MM/YYYY"/>
    <numFmt numFmtId="173" formatCode="_ \$* #,##0.00_ ;_ \$* \-#,##0.00_ ;_ \$* \-??_ ;_ @_ "/>
    <numFmt numFmtId="174" formatCode="_-&quot;$ &quot;* #,##0_-;&quot;-$ &quot;* #,##0_-;_-&quot;$ &quot;* \-??_-;_-@_-"/>
    <numFmt numFmtId="175" formatCode="0.00&quot; UTM&quot;"/>
    <numFmt numFmtId="176" formatCode="_ \$* #,##0.00_ ;_ \$* \-#,##0.00_ ;_ \$* \-_ ;_ @_ "/>
    <numFmt numFmtId="177" formatCode="0.00"/>
  </numFmts>
  <fonts count="15">
    <font>
      <sz val="11"/>
      <color rgb="FF000000"/>
      <name val="Calibri"/>
      <family val="2"/>
      <charset val="1"/>
    </font>
    <font>
      <sz val="10"/>
      <name val="Arial"/>
      <family val="0"/>
    </font>
    <font>
      <sz val="10"/>
      <name val="Arial"/>
      <family val="0"/>
    </font>
    <font>
      <sz val="10"/>
      <name val="Arial"/>
      <family val="0"/>
    </font>
    <font>
      <b val="true"/>
      <sz val="10"/>
      <color rgb="FFE7E6E6"/>
      <name val="Calibri"/>
      <family val="2"/>
      <charset val="1"/>
    </font>
    <font>
      <sz val="10"/>
      <color rgb="FF000000"/>
      <name val="Calibri"/>
      <family val="2"/>
      <charset val="1"/>
    </font>
    <font>
      <b val="true"/>
      <sz val="10"/>
      <color rgb="FF000000"/>
      <name val="Calibri"/>
      <family val="2"/>
      <charset val="1"/>
    </font>
    <font>
      <b val="true"/>
      <sz val="9"/>
      <color rgb="FFFFFFFF"/>
      <name val="Calibri"/>
      <family val="2"/>
      <charset val="1"/>
    </font>
    <font>
      <b val="true"/>
      <sz val="12"/>
      <color rgb="FF000000"/>
      <name val="Calibri"/>
      <family val="2"/>
      <charset val="1"/>
    </font>
    <font>
      <b val="true"/>
      <sz val="9"/>
      <color rgb="FF000000"/>
      <name val="Calibri"/>
      <family val="2"/>
      <charset val="1"/>
    </font>
    <font>
      <sz val="9"/>
      <color rgb="FF000000"/>
      <name val="Calibri"/>
      <family val="2"/>
      <charset val="1"/>
    </font>
    <font>
      <b val="true"/>
      <sz val="12"/>
      <color rgb="FFFFFFFF"/>
      <name val="Calibri"/>
      <family val="2"/>
      <charset val="1"/>
    </font>
    <font>
      <sz val="11"/>
      <name val="Calibri Light"/>
      <family val="2"/>
      <charset val="1"/>
    </font>
    <font>
      <b val="true"/>
      <sz val="11"/>
      <color rgb="FF000000"/>
      <name val="Calibri"/>
      <family val="2"/>
      <charset val="1"/>
    </font>
    <font>
      <b val="true"/>
      <sz val="9"/>
      <color rgb="FF000000"/>
      <name val="Tahoma"/>
      <family val="2"/>
      <charset val="1"/>
    </font>
  </fonts>
  <fills count="11">
    <fill>
      <patternFill patternType="none"/>
    </fill>
    <fill>
      <patternFill patternType="gray125"/>
    </fill>
    <fill>
      <patternFill patternType="solid">
        <fgColor rgb="FFFFD966"/>
        <bgColor rgb="FFFFC7CE"/>
      </patternFill>
    </fill>
    <fill>
      <patternFill patternType="solid">
        <fgColor rgb="FF535353"/>
        <bgColor rgb="FF595959"/>
      </patternFill>
    </fill>
    <fill>
      <patternFill patternType="solid">
        <fgColor rgb="FFF2F2F2"/>
        <bgColor rgb="FFEDEDED"/>
      </patternFill>
    </fill>
    <fill>
      <patternFill patternType="solid">
        <fgColor rgb="FFE7E6E6"/>
        <bgColor rgb="FFEDEDED"/>
      </patternFill>
    </fill>
    <fill>
      <patternFill patternType="solid">
        <fgColor rgb="FFA5A5A5"/>
        <bgColor rgb="FFBFBFBF"/>
      </patternFill>
    </fill>
    <fill>
      <patternFill patternType="solid">
        <fgColor rgb="FFDBDBDB"/>
        <bgColor rgb="FFE7E6E6"/>
      </patternFill>
    </fill>
    <fill>
      <patternFill patternType="solid">
        <fgColor rgb="FFEDEDED"/>
        <bgColor rgb="FFF2F2F2"/>
      </patternFill>
    </fill>
    <fill>
      <patternFill patternType="solid">
        <fgColor rgb="FF595959"/>
        <bgColor rgb="FF535353"/>
      </patternFill>
    </fill>
    <fill>
      <patternFill patternType="solid">
        <fgColor rgb="FFFFC000"/>
        <bgColor rgb="FFFF9900"/>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 diagonalUp="false" diagonalDown="false">
      <left/>
      <right/>
      <top/>
      <bottom style="thick">
        <color rgb="FFFFFFFF"/>
      </bottom>
      <diagonal/>
    </border>
    <border diagonalUp="false" diagonalDown="false">
      <left/>
      <right/>
      <top style="thin">
        <color rgb="FFFFFFFF"/>
      </top>
      <bottom style="thin">
        <color rgb="FFFFFFFF"/>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3"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65" fontId="4" fillId="3" borderId="1" xfId="20" applyFont="true" applyBorder="true" applyAlignment="true" applyProtection="true">
      <alignment horizontal="center" vertical="bottom" textRotation="0" wrapText="false" indent="0" shrinkToFit="false"/>
      <protection locked="true" hidden="false"/>
    </xf>
    <xf numFmtId="166" fontId="4" fillId="3" borderId="1"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4" fillId="3" borderId="1" xfId="20" applyFont="true" applyBorder="true" applyAlignment="true" applyProtection="true">
      <alignment horizontal="center" vertical="top" textRotation="0" wrapText="true" indent="0" shrinkToFit="false"/>
      <protection locked="true" hidden="false"/>
    </xf>
    <xf numFmtId="164" fontId="4" fillId="3" borderId="1" xfId="2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5" fontId="5" fillId="4" borderId="0" xfId="20" applyFont="true" applyBorder="true" applyAlignment="true" applyProtection="true">
      <alignment horizontal="general" vertical="bottom" textRotation="0" wrapText="false" indent="0" shrinkToFit="false"/>
      <protection locked="true" hidden="false"/>
    </xf>
    <xf numFmtId="164" fontId="5" fillId="4" borderId="0" xfId="20" applyFont="true" applyBorder="true" applyAlignment="true" applyProtection="true">
      <alignment horizontal="center" vertical="bottom" textRotation="0" wrapText="false" indent="0" shrinkToFit="false"/>
      <protection locked="true" hidden="false"/>
    </xf>
    <xf numFmtId="165" fontId="6" fillId="4" borderId="0" xfId="20" applyFont="true" applyBorder="true" applyAlignment="true" applyProtection="true">
      <alignment horizontal="general" vertical="bottom" textRotation="0" wrapText="false" indent="0" shrinkToFit="false"/>
      <protection locked="true" hidden="false"/>
    </xf>
    <xf numFmtId="165" fontId="5" fillId="5" borderId="0" xfId="20" applyFont="true" applyBorder="true" applyAlignment="true" applyProtection="true">
      <alignment horizontal="general" vertical="bottom" textRotation="0" wrapText="false" indent="0" shrinkToFit="false"/>
      <protection locked="true" hidden="false"/>
    </xf>
    <xf numFmtId="164" fontId="5" fillId="5" borderId="0" xfId="20" applyFont="true" applyBorder="true" applyAlignment="true" applyProtection="true">
      <alignment horizontal="center" vertical="bottom" textRotation="0" wrapText="false" indent="0" shrinkToFit="false"/>
      <protection locked="true" hidden="false"/>
    </xf>
    <xf numFmtId="165" fontId="6" fillId="5" borderId="0" xfId="20" applyFont="true" applyBorder="true" applyAlignment="true" applyProtection="true">
      <alignment horizontal="general" vertical="bottom" textRotation="0" wrapText="false" indent="0" shrinkToFit="false"/>
      <protection locked="true" hidden="false"/>
    </xf>
    <xf numFmtId="165" fontId="4" fillId="3" borderId="2" xfId="20" applyFont="true" applyBorder="true" applyAlignment="true" applyProtection="true">
      <alignment horizontal="center" vertical="bottom" textRotation="0" wrapText="false" indent="0" shrinkToFit="false"/>
      <protection locked="true" hidden="false"/>
    </xf>
    <xf numFmtId="166" fontId="0" fillId="2" borderId="0" xfId="19" applyFont="true" applyBorder="true" applyAlignment="true" applyProtection="true">
      <alignment horizontal="center" vertical="bottom" textRotation="0" wrapText="false" indent="0" shrinkToFit="false"/>
      <protection locked="true" hidden="false"/>
    </xf>
    <xf numFmtId="166" fontId="4" fillId="3" borderId="1" xfId="20" applyFont="true" applyBorder="true" applyAlignment="true" applyProtection="true">
      <alignment horizontal="center" vertical="bottom" textRotation="0" wrapText="false" indent="0" shrinkToFit="false"/>
      <protection locked="true" hidden="false"/>
    </xf>
    <xf numFmtId="168" fontId="0" fillId="2" borderId="0" xfId="21" applyFont="fals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20" applyFont="true" applyBorder="true" applyAlignment="true" applyProtection="true">
      <alignment horizontal="center" vertical="bottom" textRotation="0" wrapText="false" indent="0" shrinkToFit="false"/>
      <protection locked="true" hidden="false"/>
    </xf>
    <xf numFmtId="164" fontId="7" fillId="6" borderId="3" xfId="0" applyFont="true" applyBorder="true" applyAlignment="true" applyProtection="false">
      <alignment horizontal="center" vertical="bottom" textRotation="0" wrapText="false" indent="0" shrinkToFit="false"/>
      <protection locked="true" hidden="false"/>
    </xf>
    <xf numFmtId="170" fontId="8" fillId="7" borderId="4" xfId="0" applyFont="true" applyBorder="true" applyAlignment="true" applyProtection="false">
      <alignment horizontal="center" vertical="bottom" textRotation="0" wrapText="false" indent="0" shrinkToFit="false"/>
      <protection locked="true" hidden="false"/>
    </xf>
    <xf numFmtId="170" fontId="9" fillId="8" borderId="4" xfId="0" applyFont="true" applyBorder="true" applyAlignment="true" applyProtection="false">
      <alignment horizontal="center" vertical="bottom" textRotation="0" wrapText="false" indent="0" shrinkToFit="false"/>
      <protection locked="true" hidden="false"/>
    </xf>
    <xf numFmtId="170" fontId="10" fillId="7" borderId="4" xfId="0" applyFont="true" applyBorder="true" applyAlignment="true" applyProtection="false">
      <alignment horizontal="center" vertical="bottom" textRotation="0" wrapText="false" indent="0" shrinkToFit="false"/>
      <protection locked="true" hidden="false"/>
    </xf>
    <xf numFmtId="170" fontId="10" fillId="8" borderId="4" xfId="0" applyFont="true" applyBorder="true" applyAlignment="true" applyProtection="false">
      <alignment horizontal="center" vertical="bottom" textRotation="0" wrapText="false" indent="0" shrinkToFit="false"/>
      <protection locked="true" hidden="false"/>
    </xf>
    <xf numFmtId="164" fontId="10" fillId="7" borderId="4" xfId="22" applyFont="true" applyBorder="true" applyAlignment="true" applyProtection="true">
      <alignment horizontal="center" vertical="bottom" textRotation="0" wrapText="false" indent="0" shrinkToFit="false"/>
      <protection locked="true" hidden="false"/>
    </xf>
    <xf numFmtId="164" fontId="10" fillId="8" borderId="4" xfId="0" applyFont="true" applyBorder="true" applyAlignment="true" applyProtection="false">
      <alignment horizontal="center" vertical="bottom" textRotation="0" wrapText="false" indent="0" shrinkToFit="false"/>
      <protection locked="true" hidden="false"/>
    </xf>
    <xf numFmtId="170" fontId="7" fillId="9" borderId="4" xfId="0" applyFont="true" applyBorder="true" applyAlignment="true" applyProtection="false">
      <alignment horizontal="center" vertical="bottom" textRotation="0" wrapText="false" indent="0" shrinkToFit="false"/>
      <protection locked="true" hidden="false"/>
    </xf>
    <xf numFmtId="167" fontId="10" fillId="8" borderId="4" xfId="19" applyFont="true" applyBorder="true" applyAlignment="true" applyProtection="true">
      <alignment horizontal="center" vertical="bottom" textRotation="0" wrapText="false" indent="0" shrinkToFit="false"/>
      <protection locked="true" hidden="false"/>
    </xf>
    <xf numFmtId="167" fontId="10" fillId="7" borderId="4" xfId="19" applyFont="true" applyBorder="true" applyAlignment="true" applyProtection="true">
      <alignment horizontal="center" vertical="bottom" textRotation="0" wrapText="false" indent="0" shrinkToFit="false"/>
      <protection locked="true" hidden="false"/>
    </xf>
    <xf numFmtId="165" fontId="10" fillId="7" borderId="4" xfId="20" applyFont="true" applyBorder="true" applyAlignment="true" applyProtection="true">
      <alignment horizontal="center" vertical="bottom" textRotation="0" wrapText="false" indent="0" shrinkToFit="false"/>
      <protection locked="true" hidden="false"/>
    </xf>
    <xf numFmtId="165" fontId="10" fillId="8" borderId="4" xfId="20" applyFont="true" applyBorder="true" applyAlignment="true" applyProtection="true">
      <alignment horizontal="center" vertical="bottom" textRotation="0" wrapText="false" indent="0" shrinkToFit="false"/>
      <protection locked="true" hidden="false"/>
    </xf>
    <xf numFmtId="167" fontId="7" fillId="9" borderId="4" xfId="19" applyFont="true" applyBorder="true" applyAlignment="true" applyProtection="true">
      <alignment horizontal="center" vertical="bottom" textRotation="0" wrapText="false" indent="0" shrinkToFit="false"/>
      <protection locked="true" hidden="false"/>
    </xf>
    <xf numFmtId="164" fontId="7" fillId="9" borderId="4"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70" fontId="11" fillId="9" borderId="4" xfId="0" applyFont="true" applyBorder="true" applyAlignment="true" applyProtection="false">
      <alignment horizontal="center" vertical="bottom" textRotation="0" wrapText="false" indent="0" shrinkToFit="false"/>
      <protection locked="true" hidden="false"/>
    </xf>
    <xf numFmtId="164" fontId="0" fillId="0" borderId="0" xfId="22" applyFont="true" applyBorder="true" applyAlignment="true" applyProtection="true">
      <alignment horizontal="center"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17" applyFont="true" applyBorder="true" applyAlignment="true" applyProtection="tru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19" applyFont="true" applyBorder="true" applyAlignment="true" applyProtection="true">
      <alignment horizontal="general" vertical="bottom" textRotation="0" wrapText="false" indent="0" shrinkToFit="false"/>
      <protection locked="true" hidden="false"/>
    </xf>
    <xf numFmtId="176" fontId="13" fillId="2" borderId="0" xfId="20" applyFont="true" applyBorder="true" applyAlignment="true" applyProtection="true">
      <alignment horizontal="general" vertical="bottom" textRotation="0" wrapText="false" indent="0" shrinkToFit="false"/>
      <protection locked="true" hidden="false"/>
    </xf>
    <xf numFmtId="165" fontId="13" fillId="2" borderId="0" xfId="20" applyFont="true" applyBorder="true" applyAlignment="true" applyProtection="tru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4"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19" applyFont="true" applyBorder="true" applyAlignment="true" applyProtection="tru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10" borderId="0" xfId="0" applyFont="false" applyBorder="false" applyAlignment="true" applyProtection="fals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Currency [0]" xfId="20"/>
    <cellStyle name="Excel Built-in 60% - Accent4" xfId="21"/>
    <cellStyle name="Excel Built-in Comma [0]" xfId="22"/>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EDEDED"/>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E7E6E6"/>
      <rgbColor rgb="FFCCFFCC"/>
      <rgbColor rgb="FFFFD966"/>
      <rgbColor rgb="FF99CCFF"/>
      <rgbColor rgb="FFFF99CC"/>
      <rgbColor rgb="FFCC99FF"/>
      <rgbColor rgb="FFFFC7CE"/>
      <rgbColor rgb="FF3366FF"/>
      <rgbColor rgb="FF33CCCC"/>
      <rgbColor rgb="FF99CC00"/>
      <rgbColor rgb="FFFFC000"/>
      <rgbColor rgb="FFFF9900"/>
      <rgbColor rgb="FFFF6600"/>
      <rgbColor rgb="FF595959"/>
      <rgbColor rgb="FFA5A5A5"/>
      <rgbColor rgb="FF003366"/>
      <rgbColor rgb="FF339966"/>
      <rgbColor rgb="FF003300"/>
      <rgbColor rgb="FF333300"/>
      <rgbColor rgb="FF993300"/>
      <rgbColor rgb="FF993366"/>
      <rgbColor rgb="FF333399"/>
      <rgbColor rgb="FF53535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FP" displayName="AFP" ref="A12:C18" headerRowCount="1" totalsRowCount="0" totalsRowShown="0">
  <autoFilter ref="A12:C18"/>
  <tableColumns count="3">
    <tableColumn id="1" name="AFP"/>
    <tableColumn id="2" name="%"/>
    <tableColumn id="3" name="Código"/>
  </tableColumns>
</table>
</file>

<file path=xl/tables/table2.xml><?xml version="1.0" encoding="utf-8"?>
<table xmlns="http://schemas.openxmlformats.org/spreadsheetml/2006/main" id="2" name="Cargos" displayName="Cargos" ref="E1:L11" headerRowCount="1" totalsRowCount="0" totalsRowShown="0">
  <autoFilter ref="E1:L11"/>
  <tableColumns count="8">
    <tableColumn id="1" name="Cargo"/>
    <tableColumn id="2" name="Base"/>
    <tableColumn id="3" name="Bono"/>
    <tableColumn id="4" name="Movilización"/>
    <tableColumn id="5" name="Colación"/>
    <tableColumn id="6" name="Cotización"/>
    <tableColumn id="7" name="Hora"/>
    <tableColumn id="8" name="Domingo"/>
  </tableColumns>
</table>
</file>

<file path=xl/tables/table3.xml><?xml version="1.0" encoding="utf-8"?>
<table xmlns="http://schemas.openxmlformats.org/spreadsheetml/2006/main" id="3" name="Feriado" displayName="Feriado" ref="S1:S18" headerRowCount="1" totalsRowCount="0" totalsRowShown="0">
  <autoFilter ref="S1:S18"/>
  <tableColumns count="1">
    <tableColumn id="1" name="Feriado Legal"/>
  </tableColumns>
</table>
</file>

<file path=xl/tables/table4.xml><?xml version="1.0" encoding="utf-8"?>
<table xmlns="http://schemas.openxmlformats.org/spreadsheetml/2006/main" id="4" name="Imp_UTM" displayName="Imp_UTM" ref="N1:Q9" headerRowCount="1" totalsRowCount="0" totalsRowShown="0">
  <autoFilter ref="N1:Q9"/>
  <tableColumns count="4">
    <tableColumn id="1" name="Renta desde"/>
    <tableColumn id="2" name="Renta hasta"/>
    <tableColumn id="3" name="Factor"/>
    <tableColumn id="4" name="Rebaja"/>
  </tableColumns>
</table>
</file>

<file path=xl/tables/table5.xml><?xml version="1.0" encoding="utf-8"?>
<table xmlns="http://schemas.openxmlformats.org/spreadsheetml/2006/main" id="5" name="Impuesto" displayName="Impuesto" ref="N10:Q18" headerRowCount="1" totalsRowCount="0" totalsRowShown="0">
  <autoFilter ref="N10:Q18"/>
  <tableColumns count="4">
    <tableColumn id="1" name="Renta desde"/>
    <tableColumn id="2" name="Renta hasta"/>
    <tableColumn id="3" name="Factor"/>
    <tableColumn id="4" name="Rebaja"/>
  </tableColumns>
</table>
</file>

<file path=xl/tables/table6.xml><?xml version="1.0" encoding="utf-8"?>
<table xmlns="http://schemas.openxmlformats.org/spreadsheetml/2006/main" id="6" name="Modelos" displayName="Modelos" ref="F3:W12" headerRowCount="1" totalsRowCount="0" totalsRowShown="0">
  <tableColumns count="18">
    <tableColumn id="1" name="Clave"/>
    <tableColumn id="2" name="Mínimo Visitas al mes (Días)"/>
    <tableColumn id="3" name="Tipo PDV"/>
    <tableColumn id="4" name="Formato"/>
    <tableColumn id="5" name="Horas / Día"/>
    <tableColumn id="6" name="Lun"/>
    <tableColumn id="7" name="Mar"/>
    <tableColumn id="8" name="Mie"/>
    <tableColumn id="9" name="Jue"/>
    <tableColumn id="10" name="Vie"/>
    <tableColumn id="11" name="Sab"/>
    <tableColumn id="12" name="Dom"/>
    <tableColumn id="13" name="Bloques"/>
    <tableColumn id="14" name="Costo Oussourcing"/>
    <tableColumn id="15" name="Costo EST"/>
    <tableColumn id="16" name="Rol"/>
    <tableColumn id="17" name="Comentarios"/>
    <tableColumn id="18" name="Incremento Vta"/>
  </tableColumns>
</table>
</file>

<file path=xl/tables/table7.xml><?xml version="1.0" encoding="utf-8"?>
<table xmlns="http://schemas.openxmlformats.org/spreadsheetml/2006/main" id="7" name="Tabla1" displayName="Tabla1" ref="A1:C10" headerRowCount="1" totalsRowCount="0" totalsRowShown="0">
  <autoFilter ref="A1:C10"/>
  <tableColumns count="3">
    <tableColumn id="1" name="Item"/>
    <tableColumn id="2" name="Fecha"/>
    <tableColumn id="3" name="Monto"/>
  </tableColumns>
</table>
</file>

<file path=xl/tables/table8.xml><?xml version="1.0" encoding="utf-8"?>
<table xmlns="http://schemas.openxmlformats.org/spreadsheetml/2006/main" id="8" name="Tabla10" displayName="Tabla10" ref="O8:S10" headerRowCount="1" totalsRowCount="0" totalsRowShown="0">
  <autoFilter ref="O8:S10"/>
  <tableColumns count="5">
    <tableColumn id="1" name="Temporada"/>
    <tableColumn id="2" name="Bodegaje"/>
    <tableColumn id="3" name="Packing"/>
    <tableColumn id="4" name="Picking"/>
    <tableColumn id="5" name="Transporte"/>
  </tableColumns>
</table>
</file>

<file path=xl/tables/table9.xml><?xml version="1.0" encoding="utf-8"?>
<table xmlns="http://schemas.openxmlformats.org/spreadsheetml/2006/main" id="9" name="Tabla11" displayName="Tabla11" ref="B4:Q9" headerRowCount="1" totalsRowCount="0" totalsRowShown="0">
  <autoFilter ref="B4:Q9"/>
  <tableColumns count="16">
    <tableColumn id="1" name="Cadena"/>
    <tableColumn id="2" name="% Administración"/>
    <tableColumn id="3" name="Comisión de Venta"/>
    <tableColumn id="4" name="Merma"/>
    <tableColumn id="5" name="Ene"/>
    <tableColumn id="6" name="Feb"/>
    <tableColumn id="7" name="Mar"/>
    <tableColumn id="8" name="Abr"/>
    <tableColumn id="9" name="May"/>
    <tableColumn id="10" name="Jun"/>
    <tableColumn id="11" name="Jul"/>
    <tableColumn id="12" name="Ago"/>
    <tableColumn id="13" name="Sep"/>
    <tableColumn id="14" name="Oct"/>
    <tableColumn id="15" name="Nov"/>
    <tableColumn id="16" name="Dic"/>
  </tableColumns>
</table>
</file>

<file path=xl/tables/table10.xml><?xml version="1.0" encoding="utf-8"?>
<table xmlns="http://schemas.openxmlformats.org/spreadsheetml/2006/main" id="10" name="Tabla12" displayName="Tabla12" ref="B2:H117" headerRowCount="1" totalsRowCount="0" totalsRowShown="0">
  <autoFilter ref="B2:H117"/>
  <tableColumns count="7">
    <tableColumn id="1" name="Cadena"/>
    <tableColumn id="2" name="Etiquetas de fila"/>
    <tableColumn id="3" name="Clave"/>
    <tableColumn id="4" name="Temporada Alta"/>
    <tableColumn id="5" name="Temporada Baja"/>
    <tableColumn id="6" name="Temporada Alta Tabla"/>
    <tableColumn id="7" name="Temporada Baja Tabla"/>
  </tableColumns>
</table>
</file>

<file path=xl/tables/table11.xml><?xml version="1.0" encoding="utf-8"?>
<table xmlns="http://schemas.openxmlformats.org/spreadsheetml/2006/main" id="11" name="Tabla13" displayName="Tabla13" ref="A15:B30" headerRowCount="1" totalsRowCount="0" totalsRowShown="0">
  <autoFilter ref="A15:B30"/>
  <tableColumns count="2">
    <tableColumn id="1" name="Zona/Ciudad"/>
    <tableColumn id="2" name="Monto"/>
  </tableColumns>
</table>
</file>

<file path=xl/tables/table12.xml><?xml version="1.0" encoding="utf-8"?>
<table xmlns="http://schemas.openxmlformats.org/spreadsheetml/2006/main" id="12" name="Tabla8" displayName="Tabla8" ref="A3:C8" headerRowCount="1" totalsRowCount="0" totalsRowShown="0">
  <tableColumns count="3">
    <tableColumn id="1" name="Bloques"/>
    <tableColumn id="2" name="Desde"/>
    <tableColumn id="3" name="Hasta"/>
  </tableColumns>
</table>
</file>

<file path=xl/tables/table13.xml><?xml version="1.0" encoding="utf-8"?>
<table xmlns="http://schemas.openxmlformats.org/spreadsheetml/2006/main" id="13" name="Tabla9" displayName="Tabla9" ref="G8:M21" headerRowCount="1" totalsRowCount="1" totalsRowShown="1">
  <autoFilter ref="G8:M21"/>
  <tableColumns count="7">
    <tableColumn id="1" name="Mes"/>
    <tableColumn id="2" name="Peso"/>
    <tableColumn id="3" name="Normalizado"/>
    <tableColumn id="4" name="Bodegaje"/>
    <tableColumn id="5" name="Packing"/>
    <tableColumn id="6" name="Picking"/>
    <tableColumn id="7" name="Transporte"/>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11.xml"/><Relationship Id="rId3"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0.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Relationship Id="rId3" Type="http://schemas.openxmlformats.org/officeDocument/2006/relationships/table" Target="../tables/table1.xml"/><Relationship Id="rId4" Type="http://schemas.openxmlformats.org/officeDocument/2006/relationships/table" Target="../tables/table2.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13.xml"/>
</Relationships>
</file>

<file path=xl/worksheets/_rels/sheet11.xml.rels><?xml version="1.0" encoding="UTF-8"?>
<Relationships xmlns="http://schemas.openxmlformats.org/package/2006/relationships"><Relationship Id="rId1" Type="http://schemas.openxmlformats.org/officeDocument/2006/relationships/table" Target="../tables/table9.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I115"/>
  <sheetViews>
    <sheetView showFormulas="false" showGridLines="false" showRowColHeaders="true" showZeros="true" rightToLeft="false" tabSelected="true" showOutlineSymbols="true" defaultGridColor="true" view="normal" topLeftCell="A91" colorId="64" zoomScale="90" zoomScaleNormal="90" zoomScalePageLayoutView="100" workbookViewId="0">
      <selection pane="topLeft" activeCell="A119" activeCellId="0" sqref="A119"/>
    </sheetView>
  </sheetViews>
  <sheetFormatPr defaultColWidth="10.6875" defaultRowHeight="14.4" zeroHeight="false" outlineLevelRow="0" outlineLevelCol="1"/>
  <cols>
    <col collapsed="false" customWidth="true" hidden="false" outlineLevel="1" max="1" min="1" style="1" width="21.66"/>
    <col collapsed="false" customWidth="true" hidden="false" outlineLevel="1" max="2" min="2" style="2" width="11.99"/>
    <col collapsed="false" customWidth="true" hidden="false" outlineLevel="1" max="3" min="3" style="2" width="7.88"/>
    <col collapsed="false" customWidth="true" hidden="false" outlineLevel="1" max="4" min="4" style="2" width="16.33"/>
    <col collapsed="false" customWidth="true" hidden="false" outlineLevel="1" max="5" min="5" style="2" width="11.99"/>
    <col collapsed="false" customWidth="true" hidden="false" outlineLevel="1" max="6" min="6" style="2" width="7.88"/>
    <col collapsed="false" customWidth="true" hidden="false" outlineLevel="1" max="7" min="7" style="2" width="6.34"/>
    <col collapsed="false" customWidth="true" hidden="false" outlineLevel="1" max="8" min="8" style="2" width="19.33"/>
    <col collapsed="false" customWidth="true" hidden="false" outlineLevel="1" max="9" min="9" style="2" width="12.1"/>
    <col collapsed="false" customWidth="true" hidden="false" outlineLevel="0" max="10" min="10" style="2" width="12.1"/>
    <col collapsed="false" customWidth="true" hidden="false" outlineLevel="0" max="11" min="11" style="2" width="19.45"/>
    <col collapsed="false" customWidth="true" hidden="false" outlineLevel="0" max="12" min="12" style="3" width="13.33"/>
    <col collapsed="false" customWidth="true" hidden="false" outlineLevel="0" max="13" min="13" style="3" width="11.99"/>
    <col collapsed="false" customWidth="true" hidden="false" outlineLevel="0" max="15" min="14" style="3" width="15"/>
    <col collapsed="false" customWidth="true" hidden="false" outlineLevel="0" max="16" min="16" style="3" width="11.99"/>
    <col collapsed="false" customWidth="true" hidden="false" outlineLevel="0" max="18" min="17" style="3" width="15"/>
    <col collapsed="false" customWidth="true" hidden="false" outlineLevel="0" max="19" min="19" style="3" width="15.11"/>
    <col collapsed="false" customWidth="true" hidden="false" outlineLevel="0" max="20" min="20" style="3" width="13.1"/>
    <col collapsed="false" customWidth="true" hidden="false" outlineLevel="0" max="21" min="21" style="3" width="11.66"/>
    <col collapsed="false" customWidth="true" hidden="false" outlineLevel="0" max="22" min="22" style="3" width="11.33"/>
    <col collapsed="false" customWidth="true" hidden="false" outlineLevel="0" max="23" min="23" style="3" width="14.55"/>
    <col collapsed="false" customWidth="true" hidden="false" outlineLevel="0" max="24" min="24" style="3" width="14.66"/>
    <col collapsed="false" customWidth="true" hidden="false" outlineLevel="0" max="26" min="25" style="3" width="11.66"/>
    <col collapsed="false" customWidth="true" hidden="false" outlineLevel="0" max="27" min="27" style="3" width="14.55"/>
    <col collapsed="false" customWidth="true" hidden="false" outlineLevel="0" max="28" min="28" style="3" width="14.11"/>
    <col collapsed="false" customWidth="true" hidden="false" outlineLevel="0" max="31" min="29" style="3" width="13.66"/>
  </cols>
  <sheetData>
    <row r="1" customFormat="false" ht="14.4" hidden="false" customHeight="false" outlineLevel="0" collapsed="false">
      <c r="A1" s="4"/>
      <c r="B1" s="4"/>
      <c r="D1" s="4"/>
      <c r="E1" s="4"/>
      <c r="F1" s="4"/>
      <c r="G1" s="4"/>
      <c r="H1" s="4"/>
      <c r="I1" s="4"/>
      <c r="J1" s="4"/>
      <c r="K1" s="4"/>
      <c r="L1" s="5"/>
    </row>
    <row r="2" customFormat="false" ht="14.4" hidden="false" customHeight="false" outlineLevel="0" collapsed="false">
      <c r="A2" s="4"/>
      <c r="B2" s="4"/>
      <c r="D2" s="4"/>
      <c r="E2" s="4"/>
      <c r="F2" s="4"/>
      <c r="G2" s="4"/>
      <c r="H2" s="4"/>
      <c r="I2" s="4"/>
      <c r="J2" s="4"/>
      <c r="K2" s="4"/>
      <c r="T2" s="6" t="n">
        <v>2206451.61290323</v>
      </c>
      <c r="U2" s="6" t="n">
        <v>429032.258064516</v>
      </c>
      <c r="V2" s="6" t="n">
        <v>2206451.61290323</v>
      </c>
      <c r="W2" s="6" t="n">
        <v>3064516.12903226</v>
      </c>
      <c r="X2" s="7" t="n">
        <v>0.4</v>
      </c>
      <c r="Z2" s="6" t="n">
        <v>310000</v>
      </c>
      <c r="AB2" s="6" t="n">
        <v>3519400</v>
      </c>
    </row>
    <row r="3" customFormat="false" ht="14.4" hidden="false" customHeight="false" outlineLevel="0" collapsed="false">
      <c r="A3" s="4"/>
      <c r="B3" s="4"/>
      <c r="C3" s="2" t="n">
        <f aca="false">SUM(C5:C114)</f>
        <v>43</v>
      </c>
      <c r="D3" s="4"/>
      <c r="E3" s="4"/>
      <c r="F3" s="2" t="n">
        <f aca="false">SUM(F5:F114)</f>
        <v>7</v>
      </c>
      <c r="G3" s="4"/>
      <c r="H3" s="4"/>
      <c r="I3" s="4"/>
      <c r="J3" s="4"/>
      <c r="K3" s="4"/>
      <c r="AH3" s="8"/>
      <c r="AI3" s="8"/>
    </row>
    <row r="4" s="11" customFormat="true" ht="44.25" hidden="false" customHeight="true" outlineLevel="0" collapsed="false">
      <c r="A4" s="9" t="s">
        <v>0</v>
      </c>
      <c r="B4" s="9" t="s">
        <v>1</v>
      </c>
      <c r="C4" s="10" t="s">
        <v>2</v>
      </c>
      <c r="D4" s="9" t="s">
        <v>3</v>
      </c>
      <c r="E4" s="9" t="s">
        <v>1</v>
      </c>
      <c r="F4" s="9" t="s">
        <v>2</v>
      </c>
      <c r="G4" s="9" t="s">
        <v>4</v>
      </c>
      <c r="H4" s="9" t="s">
        <v>5</v>
      </c>
      <c r="I4" s="9" t="s">
        <v>6</v>
      </c>
      <c r="J4" s="9" t="s">
        <v>7</v>
      </c>
      <c r="K4" s="9" t="s">
        <v>8</v>
      </c>
      <c r="L4" s="9" t="s">
        <v>9</v>
      </c>
      <c r="M4" s="9" t="s">
        <v>10</v>
      </c>
      <c r="N4" s="9" t="s">
        <v>11</v>
      </c>
      <c r="O4" s="9" t="s">
        <v>12</v>
      </c>
      <c r="P4" s="9" t="s">
        <v>13</v>
      </c>
      <c r="Q4" s="9" t="s">
        <v>14</v>
      </c>
      <c r="R4" s="9" t="s">
        <v>15</v>
      </c>
      <c r="S4" s="9" t="s">
        <v>16</v>
      </c>
      <c r="T4" s="9" t="s">
        <v>17</v>
      </c>
      <c r="U4" s="9" t="s">
        <v>18</v>
      </c>
      <c r="V4" s="9" t="s">
        <v>19</v>
      </c>
      <c r="W4" s="9" t="s">
        <v>20</v>
      </c>
      <c r="X4" s="9" t="s">
        <v>21</v>
      </c>
      <c r="Y4" s="9" t="s">
        <v>22</v>
      </c>
      <c r="Z4" s="9" t="s">
        <v>23</v>
      </c>
      <c r="AA4" s="9" t="s">
        <v>24</v>
      </c>
      <c r="AB4" s="9" t="s">
        <v>25</v>
      </c>
      <c r="AC4" s="9" t="s">
        <v>26</v>
      </c>
      <c r="AD4" s="9" t="s">
        <v>27</v>
      </c>
      <c r="AE4" s="9" t="s">
        <v>28</v>
      </c>
    </row>
    <row r="5" customFormat="false" ht="14.4" hidden="false" customHeight="false" outlineLevel="0" collapsed="false">
      <c r="A5" s="12" t="s">
        <v>29</v>
      </c>
      <c r="B5" s="12" t="s">
        <v>30</v>
      </c>
      <c r="C5" s="13" t="n">
        <v>1</v>
      </c>
      <c r="D5" s="12" t="s">
        <v>31</v>
      </c>
      <c r="E5" s="12" t="s">
        <v>30</v>
      </c>
      <c r="F5" s="13" t="n">
        <v>1</v>
      </c>
      <c r="G5" s="13" t="n">
        <v>2</v>
      </c>
      <c r="H5" s="12" t="s">
        <v>32</v>
      </c>
      <c r="I5" s="13" t="s">
        <v>33</v>
      </c>
      <c r="J5" s="13" t="s">
        <v>34</v>
      </c>
      <c r="K5" s="13" t="s">
        <v>35</v>
      </c>
      <c r="L5" s="12" t="n">
        <f aca="false">IFERROR(VLOOKUP(CONCATENATE(J5,K5),Ventas!D:H,4,0),0)</f>
        <v>3692307.69230769</v>
      </c>
      <c r="M5" s="12" t="n">
        <f aca="false">IF(SUM(C5,F5)&gt;0,L5*0.1,0)</f>
        <v>369230.769230769</v>
      </c>
      <c r="N5" s="14" t="n">
        <f aca="false">SUM(L5:M5)</f>
        <v>4061538.46153846</v>
      </c>
      <c r="O5" s="12" t="n">
        <f aca="false">N5*IFERROR(VLOOKUP(J5,Tabla11[],3,0),0)</f>
        <v>1421538.46153846</v>
      </c>
      <c r="P5" s="12" t="n">
        <f aca="false">N5-O5</f>
        <v>2640000</v>
      </c>
      <c r="Q5" s="12" t="n">
        <f aca="false">IFERROR(G5/SUMIF(I:I,I5,G:G),0)*VLOOKUP(H5,Modelos[],14,0)+IFERROR(G5/SUMIF(I:I,I5,G:G),0)*VLOOKUP(I5,Tabla13[],2,0)</f>
        <v>82422.041694079</v>
      </c>
      <c r="R5" s="12" t="n">
        <f aca="false">IFERROR(VLOOKUP(A5,Modelos[],IF(B5="EST",15,14),0),0)*C5</f>
        <v>310333.7890625</v>
      </c>
      <c r="S5" s="12" t="n">
        <f aca="false">IFERROR(VLOOKUP(D5,Modelos[],IF(E5="EST",15,14),0),0)*F5</f>
        <v>204526.8003975</v>
      </c>
      <c r="T5" s="12" t="n">
        <f aca="false">IF($L5&lt;0,0,IFERROR((T$2*IFERROR(VLOOKUP(J5,Tabla11[],2,0),0))*($L5/SUM($L$5:$L$46)),0))</f>
        <v>21188.5738724565</v>
      </c>
      <c r="U5" s="12" t="n">
        <f aca="false">IF($L5&lt;0,0,IFERROR((U$2*IFERROR(VLOOKUP(J5,Tabla11[],2,0),0))*($L5/SUM($L$5:$L$46)),0))</f>
        <v>4120.00047519988</v>
      </c>
      <c r="V5" s="12" t="n">
        <f aca="false">IF($L5&lt;0,0,IFERROR((V$2*IFERROR(VLOOKUP(J5,Tabla11[],2,0),0))*($L5/SUM($L$5:$L$46)),0))</f>
        <v>21188.5738724565</v>
      </c>
      <c r="W5" s="12" t="n">
        <f aca="false">IF($L5&lt;0,0,IFERROR((W$2*IFERROR(VLOOKUP(J5,Tabla11[],2,0),0))*($L5/SUM($L$5:$L$46)),0))</f>
        <v>29428.5748228563</v>
      </c>
      <c r="X5" s="12" t="n">
        <f aca="false">P5*$X$2</f>
        <v>1056000</v>
      </c>
      <c r="Y5" s="12" t="n">
        <f aca="false">+X5*IFERROR(VLOOKUP(J5,Tabla11[],4,0),0)</f>
        <v>158400</v>
      </c>
      <c r="Z5" s="12" t="n">
        <f aca="false">IF(L5&gt;0,$Z$2/12,0)</f>
        <v>25833.3333333333</v>
      </c>
      <c r="AA5" s="12" t="n">
        <f aca="false">P5-SUM(Q5:Z5)</f>
        <v>726558.312469618</v>
      </c>
      <c r="AB5" s="12" t="n">
        <f aca="false">IF($L5&lt;0,0,IFERROR((AB$2*IFERROR(VLOOKUP(J5,Tabla11[],2,0),0))*($L5/SUM($L$5:$L$46)),0))</f>
        <v>33796.8285597724</v>
      </c>
      <c r="AC5" s="12" t="n">
        <f aca="false">L5-L5*IFERROR(VLOOKUP(J5,Tabla11[],3,0),0)-Q5-T5-U5-V5-W5-L5*$X$2-(L5*$X$2)*IFERROR(VLOOKUP(J5,Tabla11[],4,0),0)-AB5-Z5</f>
        <v>483560.534908308</v>
      </c>
      <c r="AD5" s="12" t="n">
        <f aca="false">AA5-AB5</f>
        <v>692761.483909846</v>
      </c>
      <c r="AE5" s="12" t="n">
        <f aca="false">ROUND(AD5-AC5,9)</f>
        <v>209200.949001538</v>
      </c>
    </row>
    <row r="6" customFormat="false" ht="14.4" hidden="false" customHeight="false" outlineLevel="0" collapsed="false">
      <c r="A6" s="15" t="s">
        <v>31</v>
      </c>
      <c r="B6" s="15" t="s">
        <v>30</v>
      </c>
      <c r="C6" s="16" t="n">
        <v>1</v>
      </c>
      <c r="D6" s="15"/>
      <c r="E6" s="15" t="s">
        <v>30</v>
      </c>
      <c r="F6" s="16"/>
      <c r="G6" s="16" t="n">
        <v>0</v>
      </c>
      <c r="H6" s="16" t="s">
        <v>32</v>
      </c>
      <c r="I6" s="16" t="s">
        <v>36</v>
      </c>
      <c r="J6" s="16" t="s">
        <v>34</v>
      </c>
      <c r="K6" s="16" t="s">
        <v>37</v>
      </c>
      <c r="L6" s="12" t="n">
        <f aca="false">IFERROR(VLOOKUP(CONCATENATE(J6,K6),Ventas!D:H,4,0),0)</f>
        <v>2895783.07692308</v>
      </c>
      <c r="M6" s="15" t="n">
        <f aca="false">IF(SUM(C6,F6)&gt;0,L6*0.1,0)</f>
        <v>289578.307692308</v>
      </c>
      <c r="N6" s="17" t="n">
        <f aca="false">SUM(L6:M6)</f>
        <v>3185361.38461538</v>
      </c>
      <c r="O6" s="15" t="n">
        <f aca="false">N6*IFERROR(VLOOKUP(J6,Tabla11[],3,0),0)</f>
        <v>1114876.48461538</v>
      </c>
      <c r="P6" s="15" t="n">
        <f aca="false">N6-O6</f>
        <v>2070484.9</v>
      </c>
      <c r="Q6" s="12" t="n">
        <f aca="false">IFERROR(G6/SUMIF(I:I,I6,G:G),0)*VLOOKUP(H6,Modelos[],14,0)+IFERROR(G6/SUMIF(I:I,I6,G:G),0)*VLOOKUP(I6,Tabla13[],2,0)</f>
        <v>0</v>
      </c>
      <c r="R6" s="15" t="n">
        <f aca="false">IFERROR(VLOOKUP(A6,Modelos[],IF(B6="EST",15,14),0),0)*C6</f>
        <v>204526.8003975</v>
      </c>
      <c r="S6" s="15" t="n">
        <f aca="false">IFERROR(VLOOKUP(D6,Modelos[],IF(E6="EST",15,14),0),0)*F6</f>
        <v>0</v>
      </c>
      <c r="T6" s="15" t="n">
        <f aca="false">IF($L6&lt;0,0,IFERROR((T$2*IFERROR(VLOOKUP(J6,Tabla11[],2,0),0))*($L6/SUM($L$5:$L$46)),0))</f>
        <v>16617.6599452484</v>
      </c>
      <c r="U6" s="15" t="n">
        <f aca="false">IF($L6&lt;0,0,IFERROR((U$2*IFERROR(VLOOKUP(J6,Tabla11[],2,0),0))*($L6/SUM($L$5:$L$46)),0))</f>
        <v>3231.21165602052</v>
      </c>
      <c r="V6" s="15" t="n">
        <f aca="false">IF($L6&lt;0,0,IFERROR((V$2*IFERROR(VLOOKUP(J6,Tabla11[],2,0),0))*($L6/SUM($L$5:$L$46)),0))</f>
        <v>16617.6599452484</v>
      </c>
      <c r="W6" s="15" t="n">
        <f aca="false">IF($L6&lt;0,0,IFERROR((W$2*IFERROR(VLOOKUP(J6,Tabla11[],2,0),0))*($L6/SUM($L$5:$L$46)),0))</f>
        <v>23080.0832572894</v>
      </c>
      <c r="X6" s="15" t="n">
        <f aca="false">P6*$X$2</f>
        <v>828193.96</v>
      </c>
      <c r="Y6" s="15" t="n">
        <f aca="false">+X6*IFERROR(VLOOKUP(J6,Tabla11[],4,0),0)</f>
        <v>124229.094</v>
      </c>
      <c r="Z6" s="15" t="n">
        <f aca="false">IF(L6&gt;0,$Z$2/12,0)</f>
        <v>25833.3333333333</v>
      </c>
      <c r="AA6" s="15" t="n">
        <f aca="false">P6-SUM(Q6:Z6)</f>
        <v>828155.09746536</v>
      </c>
      <c r="AB6" s="15" t="n">
        <f aca="false">IF($L6&lt;0,0,IFERROR((AB$2*IFERROR(VLOOKUP(J6,Tabla11[],2,0),0))*($L6/SUM($L$5:$L$46)),0))</f>
        <v>26505.9936367036</v>
      </c>
      <c r="AC6" s="15" t="n">
        <f aca="false">L6-L6*IFERROR(VLOOKUP(J6,Tabla11[],3,0),0)-Q6-T6-U6-V6-W6-L6*$X$2-(L6*$X$2)*IFERROR(VLOOKUP(J6,Tabla11[],4,0),0)-AB6-Z6</f>
        <v>438312.842841541</v>
      </c>
      <c r="AD6" s="15" t="n">
        <f aca="false">AA6-AB6</f>
        <v>801649.103828657</v>
      </c>
      <c r="AE6" s="15" t="n">
        <f aca="false">ROUND(AD6-AC6,9)</f>
        <v>363336.260987116</v>
      </c>
    </row>
    <row r="7" customFormat="false" ht="14.4" hidden="false" customHeight="false" outlineLevel="0" collapsed="false">
      <c r="A7" s="12" t="s">
        <v>29</v>
      </c>
      <c r="B7" s="12" t="s">
        <v>30</v>
      </c>
      <c r="C7" s="13" t="n">
        <v>1</v>
      </c>
      <c r="D7" s="12" t="s">
        <v>31</v>
      </c>
      <c r="E7" s="12" t="s">
        <v>30</v>
      </c>
      <c r="F7" s="13" t="n">
        <v>1</v>
      </c>
      <c r="G7" s="13" t="n">
        <v>1</v>
      </c>
      <c r="H7" s="13" t="s">
        <v>32</v>
      </c>
      <c r="I7" s="13" t="s">
        <v>38</v>
      </c>
      <c r="J7" s="13" t="s">
        <v>34</v>
      </c>
      <c r="K7" s="13" t="s">
        <v>39</v>
      </c>
      <c r="L7" s="12" t="n">
        <f aca="false">IFERROR(VLOOKUP(CONCATENATE(J7,K7),Ventas!D:H,4,0),0)</f>
        <v>2875784.61538462</v>
      </c>
      <c r="M7" s="12" t="n">
        <f aca="false">IF(SUM(C7,F7)&gt;0,L7*0.1,0)</f>
        <v>287578.461538462</v>
      </c>
      <c r="N7" s="14" t="n">
        <f aca="false">SUM(L7:M7)</f>
        <v>3163363.07692308</v>
      </c>
      <c r="O7" s="12" t="n">
        <f aca="false">N7*IFERROR(VLOOKUP(J7,Tabla11[],3,0),0)</f>
        <v>1107177.07692308</v>
      </c>
      <c r="P7" s="12" t="n">
        <f aca="false">N7-O7</f>
        <v>2056186</v>
      </c>
      <c r="Q7" s="12" t="n">
        <f aca="false">IFERROR(G7/SUMIF(I:I,I7,G:G),0)*VLOOKUP(H7,Modelos[],14,0)+IFERROR(G7/SUMIF(I:I,I7,G:G),0)*VLOOKUP(I7,Tabla13[],2,0)</f>
        <v>51647.6115349265</v>
      </c>
      <c r="R7" s="12" t="n">
        <f aca="false">IFERROR(VLOOKUP(A7,Modelos[],IF(B7="EST",15,14),0),0)*C7</f>
        <v>310333.7890625</v>
      </c>
      <c r="S7" s="12" t="n">
        <f aca="false">IFERROR(VLOOKUP(D7,Modelos[],IF(E7="EST",15,14),0),0)*F7</f>
        <v>204526.8003975</v>
      </c>
      <c r="T7" s="12" t="n">
        <f aca="false">IF($L7&lt;0,0,IFERROR((T$2*IFERROR(VLOOKUP(J7,Tabla11[],2,0),0))*($L7/SUM($L$5:$L$46)),0))</f>
        <v>16502.8973320117</v>
      </c>
      <c r="U7" s="12" t="n">
        <f aca="false">IF($L7&lt;0,0,IFERROR((U$2*IFERROR(VLOOKUP(J7,Tabla11[],2,0),0))*($L7/SUM($L$5:$L$46)),0))</f>
        <v>3208.89670344672</v>
      </c>
      <c r="V7" s="12" t="n">
        <f aca="false">IF($L7&lt;0,0,IFERROR((V$2*IFERROR(VLOOKUP(J7,Tabla11[],2,0),0))*($L7/SUM($L$5:$L$46)),0))</f>
        <v>16502.8973320117</v>
      </c>
      <c r="W7" s="12" t="n">
        <f aca="false">IF($L7&lt;0,0,IFERROR((W$2*IFERROR(VLOOKUP(J7,Tabla11[],2,0),0))*($L7/SUM($L$5:$L$46)),0))</f>
        <v>22920.6907389051</v>
      </c>
      <c r="X7" s="12" t="n">
        <f aca="false">P7*$X$2</f>
        <v>822474.4</v>
      </c>
      <c r="Y7" s="12" t="n">
        <f aca="false">+X7*IFERROR(VLOOKUP(J7,Tabla11[],4,0),0)</f>
        <v>123371.16</v>
      </c>
      <c r="Z7" s="12" t="n">
        <f aca="false">IF(L7&gt;0,$Z$2/12,0)</f>
        <v>25833.3333333333</v>
      </c>
      <c r="AA7" s="12" t="n">
        <f aca="false">P7-SUM(Q7:Z7)</f>
        <v>458863.523565365</v>
      </c>
      <c r="AB7" s="12" t="n">
        <f aca="false">IF($L7&lt;0,0,IFERROR((AB$2*IFERROR(VLOOKUP(J7,Tabla11[],2,0),0))*($L7/SUM($L$5:$L$46)),0))</f>
        <v>26322.9415640167</v>
      </c>
      <c r="AC7" s="12" t="n">
        <f aca="false">L7-L7*IFERROR(VLOOKUP(J7,Tabla11[],3,0),0)-Q7-T7-U7-V7-W7-L7*$X$2-(L7*$X$2)*IFERROR(VLOOKUP(J7,Tabla11[],4,0),0)-AB7-Z7</f>
        <v>383459.808384425</v>
      </c>
      <c r="AD7" s="12" t="n">
        <f aca="false">AA7-AB7</f>
        <v>432540.582001348</v>
      </c>
      <c r="AE7" s="12" t="n">
        <f aca="false">ROUND(AD7-AC7,9)</f>
        <v>49080.773616923</v>
      </c>
    </row>
    <row r="8" customFormat="false" ht="14.4" hidden="false" customHeight="false" outlineLevel="0" collapsed="false">
      <c r="A8" s="15" t="s">
        <v>29</v>
      </c>
      <c r="B8" s="15" t="s">
        <v>30</v>
      </c>
      <c r="C8" s="16" t="n">
        <v>1</v>
      </c>
      <c r="D8" s="15"/>
      <c r="E8" s="15" t="s">
        <v>30</v>
      </c>
      <c r="F8" s="16"/>
      <c r="G8" s="16" t="n">
        <v>3</v>
      </c>
      <c r="H8" s="16" t="s">
        <v>40</v>
      </c>
      <c r="I8" s="16" t="s">
        <v>41</v>
      </c>
      <c r="J8" s="16" t="s">
        <v>34</v>
      </c>
      <c r="K8" s="16" t="s">
        <v>41</v>
      </c>
      <c r="L8" s="12" t="n">
        <f aca="false">IFERROR(VLOOKUP(CONCATENATE(J8,K8),Ventas!D:H,4,0),0)</f>
        <v>2814513.84615385</v>
      </c>
      <c r="M8" s="15" t="n">
        <f aca="false">IF(SUM(C8,F8)&gt;0,L8*0.1,0)</f>
        <v>281451.384615385</v>
      </c>
      <c r="N8" s="17" t="n">
        <f aca="false">SUM(L8:M8)</f>
        <v>3095965.23076923</v>
      </c>
      <c r="O8" s="15" t="n">
        <f aca="false">N8*IFERROR(VLOOKUP(J8,Tabla11[],3,0),0)</f>
        <v>1083587.83076923</v>
      </c>
      <c r="P8" s="15" t="n">
        <f aca="false">N8-O8</f>
        <v>2012377.4</v>
      </c>
      <c r="Q8" s="12" t="n">
        <f aca="false">IFERROR(G8/SUMIF(I:I,I8,G:G),0)*VLOOKUP(H8,Modelos[],14,0)+IFERROR(G8/SUMIF(I:I,I8,G:G),0)*VLOOKUP(I8,Tabla13[],2,0)</f>
        <v>65246.1628400735</v>
      </c>
      <c r="R8" s="15" t="n">
        <f aca="false">IFERROR(VLOOKUP(A8,Modelos[],IF(B8="EST",15,14),0),0)*C8</f>
        <v>310333.7890625</v>
      </c>
      <c r="S8" s="15" t="n">
        <f aca="false">IFERROR(VLOOKUP(D8,Modelos[],IF(E8="EST",15,14),0),0)*F8</f>
        <v>0</v>
      </c>
      <c r="T8" s="15" t="n">
        <f aca="false">IF($L8&lt;0,0,IFERROR((T$2*IFERROR(VLOOKUP(J8,Tabla11[],2,0),0))*($L8/SUM($L$5:$L$46)),0))</f>
        <v>16151.2906057432</v>
      </c>
      <c r="U8" s="15" t="n">
        <f aca="false">IF($L8&lt;0,0,IFERROR((U$2*IFERROR(VLOOKUP(J8,Tabla11[],2,0),0))*($L8/SUM($L$5:$L$46)),0))</f>
        <v>3140.52872889451</v>
      </c>
      <c r="V8" s="15" t="n">
        <f aca="false">IF($L8&lt;0,0,IFERROR((V$2*IFERROR(VLOOKUP(J8,Tabla11[],2,0),0))*($L8/SUM($L$5:$L$46)),0))</f>
        <v>16151.2906057432</v>
      </c>
      <c r="W8" s="15" t="n">
        <f aca="false">IF($L8&lt;0,0,IFERROR((W$2*IFERROR(VLOOKUP(J8,Tabla11[],2,0),0))*($L8/SUM($L$5:$L$46)),0))</f>
        <v>22432.3480635322</v>
      </c>
      <c r="X8" s="15" t="n">
        <f aca="false">P8*$X$2</f>
        <v>804950.96</v>
      </c>
      <c r="Y8" s="15" t="n">
        <f aca="false">+X8*IFERROR(VLOOKUP(J8,Tabla11[],4,0),0)</f>
        <v>120742.644</v>
      </c>
      <c r="Z8" s="15" t="n">
        <f aca="false">IF(L8&gt;0,$Z$2/12,0)</f>
        <v>25833.3333333333</v>
      </c>
      <c r="AA8" s="15" t="n">
        <f aca="false">P8-SUM(Q8:Z8)</f>
        <v>627395.05276018</v>
      </c>
      <c r="AB8" s="15" t="n">
        <f aca="false">IF($L8&lt;0,0,IFERROR((AB$2*IFERROR(VLOOKUP(J8,Tabla11[],2,0),0))*($L8/SUM($L$5:$L$46)),0))</f>
        <v>25762.1113580911</v>
      </c>
      <c r="AC8" s="15" t="n">
        <f aca="false">L8-L8*IFERROR(VLOOKUP(J8,Tabla11[],3,0),0)-Q8-T8-U8-V8-W8-L8*$X$2-(L8*$X$2)*IFERROR(VLOOKUP(J8,Tabla11[],4,0),0)-AB8-Z8</f>
        <v>360040.56523382</v>
      </c>
      <c r="AD8" s="15" t="n">
        <f aca="false">AA8-AB8</f>
        <v>601632.941402089</v>
      </c>
      <c r="AE8" s="15" t="n">
        <f aca="false">ROUND(AD8-AC8,9)</f>
        <v>241592.376168269</v>
      </c>
    </row>
    <row r="9" customFormat="false" ht="14.4" hidden="false" customHeight="false" outlineLevel="0" collapsed="false">
      <c r="A9" s="12" t="s">
        <v>29</v>
      </c>
      <c r="B9" s="12" t="s">
        <v>30</v>
      </c>
      <c r="C9" s="13" t="n">
        <v>1</v>
      </c>
      <c r="D9" s="12"/>
      <c r="E9" s="12" t="s">
        <v>30</v>
      </c>
      <c r="F9" s="13"/>
      <c r="G9" s="13" t="n">
        <v>3</v>
      </c>
      <c r="H9" s="13" t="s">
        <v>32</v>
      </c>
      <c r="I9" s="13" t="s">
        <v>42</v>
      </c>
      <c r="J9" s="13" t="s">
        <v>34</v>
      </c>
      <c r="K9" s="13" t="s">
        <v>43</v>
      </c>
      <c r="L9" s="12" t="n">
        <f aca="false">IFERROR(VLOOKUP(CONCATENATE(J9,K9),Ventas!D:H,4,0),0)</f>
        <v>2704320</v>
      </c>
      <c r="M9" s="12" t="n">
        <f aca="false">IF(SUM(C9,F9)&gt;0,L9*0.1,0)</f>
        <v>270432</v>
      </c>
      <c r="N9" s="14" t="n">
        <f aca="false">SUM(L9:M9)</f>
        <v>2974752</v>
      </c>
      <c r="O9" s="12" t="n">
        <f aca="false">N9*IFERROR(VLOOKUP(J9,Tabla11[],3,0),0)</f>
        <v>1041163.2</v>
      </c>
      <c r="P9" s="12" t="n">
        <f aca="false">N9-O9</f>
        <v>1933588.8</v>
      </c>
      <c r="Q9" s="12" t="n">
        <f aca="false">IFERROR(G9/SUMIF(I:I,I9,G:G),0)*VLOOKUP(H9,Modelos[],14,0)+IFERROR(G9/SUMIF(I:I,I9,G:G),0)*VLOOKUP(I9,Tabla13[],2,0)</f>
        <v>179573.442020089</v>
      </c>
      <c r="R9" s="12" t="n">
        <f aca="false">IFERROR(VLOOKUP(A9,Modelos[],IF(B9="EST",15,14),0),0)*C9</f>
        <v>310333.7890625</v>
      </c>
      <c r="S9" s="12" t="n">
        <f aca="false">IFERROR(VLOOKUP(D9,Modelos[],IF(E9="EST",15,14),0),0)*F9</f>
        <v>0</v>
      </c>
      <c r="T9" s="12" t="n">
        <f aca="false">IF($L9&lt;0,0,IFERROR((T$2*IFERROR(VLOOKUP(J9,Tabla11[],2,0),0))*($L9/SUM($L$5:$L$46)),0))</f>
        <v>15518.9352756646</v>
      </c>
      <c r="U9" s="12" t="n">
        <f aca="false">IF($L9&lt;0,0,IFERROR((U$2*IFERROR(VLOOKUP(J9,Tabla11[],2,0),0))*($L9/SUM($L$5:$L$46)),0))</f>
        <v>3017.5707480459</v>
      </c>
      <c r="V9" s="12" t="n">
        <f aca="false">IF($L9&lt;0,0,IFERROR((V$2*IFERROR(VLOOKUP(J9,Tabla11[],2,0),0))*($L9/SUM($L$5:$L$46)),0))</f>
        <v>15518.9352756646</v>
      </c>
      <c r="W9" s="12" t="n">
        <f aca="false">IF($L9&lt;0,0,IFERROR((W$2*IFERROR(VLOOKUP(J9,Tabla11[],2,0),0))*($L9/SUM($L$5:$L$46)),0))</f>
        <v>21554.0767717564</v>
      </c>
      <c r="X9" s="12" t="n">
        <f aca="false">P9*$X$2</f>
        <v>773435.52</v>
      </c>
      <c r="Y9" s="12" t="n">
        <f aca="false">+X9*IFERROR(VLOOKUP(J9,Tabla11[],4,0),0)</f>
        <v>116015.328</v>
      </c>
      <c r="Z9" s="12" t="n">
        <f aca="false">IF(L9&gt;0,$Z$2/12,0)</f>
        <v>25833.3333333333</v>
      </c>
      <c r="AA9" s="12" t="n">
        <f aca="false">P9-SUM(Q9:Z9)</f>
        <v>472787.869512946</v>
      </c>
      <c r="AB9" s="12" t="n">
        <f aca="false">IF($L9&lt;0,0,IFERROR((AB$2*IFERROR(VLOOKUP(J9,Tabla11[],2,0),0))*($L9/SUM($L$5:$L$46)),0))</f>
        <v>24753.4731737485</v>
      </c>
      <c r="AC9" s="12" t="n">
        <f aca="false">L9-L9*IFERROR(VLOOKUP(J9,Tabla11[],3,0),0)-Q9-T9-U9-V9-W9-L9*$X$2-(L9*$X$2)*IFERROR(VLOOKUP(J9,Tabla11[],4,0),0)-AB9-Z9</f>
        <v>228051.033401698</v>
      </c>
      <c r="AD9" s="12" t="n">
        <f aca="false">AA9-AB9</f>
        <v>448034.396339197</v>
      </c>
      <c r="AE9" s="12" t="n">
        <f aca="false">ROUND(AD9-AC9,9)</f>
        <v>219983.3629375</v>
      </c>
    </row>
    <row r="10" customFormat="false" ht="14.4" hidden="false" customHeight="false" outlineLevel="0" collapsed="false">
      <c r="A10" s="15"/>
      <c r="B10" s="15" t="s">
        <v>30</v>
      </c>
      <c r="C10" s="16"/>
      <c r="D10" s="15"/>
      <c r="E10" s="15" t="s">
        <v>30</v>
      </c>
      <c r="F10" s="16"/>
      <c r="G10" s="16" t="n">
        <v>3</v>
      </c>
      <c r="H10" s="16" t="s">
        <v>32</v>
      </c>
      <c r="I10" s="16" t="s">
        <v>44</v>
      </c>
      <c r="J10" s="16" t="s">
        <v>34</v>
      </c>
      <c r="K10" s="16" t="s">
        <v>45</v>
      </c>
      <c r="L10" s="12" t="n">
        <f aca="false">IFERROR(VLOOKUP(CONCATENATE(J10,K10),Ventas!D:H,4,0),0)</f>
        <v>2604672.30769231</v>
      </c>
      <c r="M10" s="15" t="n">
        <f aca="false">IF(SUM(C10,F10)&gt;0,L10*0.1,0)</f>
        <v>0</v>
      </c>
      <c r="N10" s="17" t="n">
        <f aca="false">SUM(L10:M10)</f>
        <v>2604672.30769231</v>
      </c>
      <c r="O10" s="15" t="n">
        <f aca="false">N10*IFERROR(VLOOKUP(J10,Tabla11[],3,0),0)</f>
        <v>911635.307692308</v>
      </c>
      <c r="P10" s="15" t="n">
        <f aca="false">N10-O10</f>
        <v>1693037</v>
      </c>
      <c r="Q10" s="12" t="n">
        <f aca="false">IFERROR(G10/SUMIF(I:I,I10,G:G),0)*VLOOKUP(H10,Modelos[],14,0)+IFERROR(G10/SUMIF(I:I,I10,G:G),0)*VLOOKUP(I10,Tabla13[],2,0)</f>
        <v>106001.174511719</v>
      </c>
      <c r="R10" s="15" t="n">
        <f aca="false">IFERROR(VLOOKUP(A10,Modelos[],IF(B10="EST",15,14),0),0)*C10</f>
        <v>0</v>
      </c>
      <c r="S10" s="15" t="n">
        <f aca="false">IFERROR(VLOOKUP(D10,Modelos[],IF(E10="EST",15,14),0),0)*F10</f>
        <v>0</v>
      </c>
      <c r="T10" s="15" t="n">
        <f aca="false">IF($L10&lt;0,0,IFERROR((T$2*IFERROR(VLOOKUP(J10,Tabla11[],2,0),0))*($L10/SUM($L$5:$L$46)),0))</f>
        <v>14947.0998097092</v>
      </c>
      <c r="U10" s="15" t="n">
        <f aca="false">IF($L10&lt;0,0,IFERROR((U$2*IFERROR(VLOOKUP(J10,Tabla11[],2,0),0))*($L10/SUM($L$5:$L$46)),0))</f>
        <v>2906.38051855458</v>
      </c>
      <c r="V10" s="15" t="n">
        <f aca="false">IF($L10&lt;0,0,IFERROR((V$2*IFERROR(VLOOKUP(J10,Tabla11[],2,0),0))*($L10/SUM($L$5:$L$46)),0))</f>
        <v>14947.0998097092</v>
      </c>
      <c r="W10" s="15" t="n">
        <f aca="false">IF($L10&lt;0,0,IFERROR((W$2*IFERROR(VLOOKUP(J10,Tabla11[],2,0),0))*($L10/SUM($L$5:$L$46)),0))</f>
        <v>20759.8608468184</v>
      </c>
      <c r="X10" s="15" t="n">
        <f aca="false">P10*$X$2</f>
        <v>677214.8</v>
      </c>
      <c r="Y10" s="15" t="n">
        <f aca="false">+X10*IFERROR(VLOOKUP(J10,Tabla11[],4,0),0)</f>
        <v>101582.22</v>
      </c>
      <c r="Z10" s="15" t="n">
        <f aca="false">IF(L10&gt;0,$Z$2/12,0)</f>
        <v>25833.3333333333</v>
      </c>
      <c r="AA10" s="15" t="n">
        <f aca="false">P10-SUM(Q10:Z10)</f>
        <v>728845.031170156</v>
      </c>
      <c r="AB10" s="15" t="n">
        <f aca="false">IF($L10&lt;0,0,IFERROR((AB$2*IFERROR(VLOOKUP(J10,Tabla11[],2,0),0))*($L10/SUM($L$5:$L$46)),0))</f>
        <v>23841.3671809797</v>
      </c>
      <c r="AC10" s="15" t="n">
        <f aca="false">L10-L10*IFERROR(VLOOKUP(J10,Tabla11[],3,0),0)-Q10-T10-U10-V10-W10-L10*$X$2-(L10*$X$2)*IFERROR(VLOOKUP(J10,Tabla11[],4,0),0)-AB10-Z10</f>
        <v>285651.422450715</v>
      </c>
      <c r="AD10" s="15" t="n">
        <f aca="false">AA10-AB10</f>
        <v>705003.663989177</v>
      </c>
      <c r="AE10" s="15" t="n">
        <f aca="false">ROUND(AD10-AC10,9)</f>
        <v>419352.241538461</v>
      </c>
    </row>
    <row r="11" customFormat="false" ht="14.4" hidden="false" customHeight="false" outlineLevel="0" collapsed="false">
      <c r="A11" s="12" t="s">
        <v>46</v>
      </c>
      <c r="B11" s="12" t="s">
        <v>30</v>
      </c>
      <c r="C11" s="13" t="n">
        <v>1</v>
      </c>
      <c r="D11" s="12"/>
      <c r="E11" s="12" t="s">
        <v>30</v>
      </c>
      <c r="F11" s="13"/>
      <c r="G11" s="13" t="n">
        <v>2</v>
      </c>
      <c r="H11" s="13" t="s">
        <v>32</v>
      </c>
      <c r="I11" s="13" t="s">
        <v>42</v>
      </c>
      <c r="J11" s="13" t="s">
        <v>34</v>
      </c>
      <c r="K11" s="13" t="s">
        <v>47</v>
      </c>
      <c r="L11" s="12" t="n">
        <f aca="false">IFERROR(VLOOKUP(CONCATENATE(J11,K11),Ventas!D:H,4,0),0)</f>
        <v>2542166.15384615</v>
      </c>
      <c r="M11" s="12" t="n">
        <f aca="false">IF(SUM(C11,F11)&gt;0,L11*0.1,0)</f>
        <v>254216.615384615</v>
      </c>
      <c r="N11" s="14" t="n">
        <f aca="false">SUM(L11:M11)</f>
        <v>2796382.76923077</v>
      </c>
      <c r="O11" s="12" t="n">
        <f aca="false">N11*IFERROR(VLOOKUP(J11,Tabla11[],3,0),0)</f>
        <v>978733.969230769</v>
      </c>
      <c r="P11" s="12" t="n">
        <f aca="false">N11-O11</f>
        <v>1817648.8</v>
      </c>
      <c r="Q11" s="12" t="n">
        <f aca="false">IFERROR(G11/SUMIF(I:I,I11,G:G),0)*VLOOKUP(H11,Modelos[],14,0)+IFERROR(G11/SUMIF(I:I,I11,G:G),0)*VLOOKUP(I11,Tabla13[],2,0)</f>
        <v>119715.628013393</v>
      </c>
      <c r="R11" s="12" t="n">
        <f aca="false">IFERROR(VLOOKUP(A11,Modelos[],IF(B11="EST",15,14),0),0)*C11</f>
        <v>154393.465625</v>
      </c>
      <c r="S11" s="12" t="n">
        <f aca="false">IFERROR(VLOOKUP(D11,Modelos[],IF(E11="EST",15,14),0),0)*F11</f>
        <v>0</v>
      </c>
      <c r="T11" s="12" t="n">
        <f aca="false">IF($L11&lt;0,0,IFERROR((T$2*IFERROR(VLOOKUP(J11,Tabla11[],2,0),0))*($L11/SUM($L$5:$L$46)),0))</f>
        <v>14588.4037397659</v>
      </c>
      <c r="U11" s="12" t="n">
        <f aca="false">IF($L11&lt;0,0,IFERROR((U$2*IFERROR(VLOOKUP(J11,Tabla11[],2,0),0))*($L11/SUM($L$5:$L$46)),0))</f>
        <v>2836.63406051004</v>
      </c>
      <c r="V11" s="12" t="n">
        <f aca="false">IF($L11&lt;0,0,IFERROR((V$2*IFERROR(VLOOKUP(J11,Tabla11[],2,0),0))*($L11/SUM($L$5:$L$46)),0))</f>
        <v>14588.4037397659</v>
      </c>
      <c r="W11" s="12" t="n">
        <f aca="false">IF($L11&lt;0,0,IFERROR((W$2*IFERROR(VLOOKUP(J11,Tabla11[],2,0),0))*($L11/SUM($L$5:$L$46)),0))</f>
        <v>20261.671860786</v>
      </c>
      <c r="X11" s="12" t="n">
        <f aca="false">P11*$X$2</f>
        <v>727059.52</v>
      </c>
      <c r="Y11" s="12" t="n">
        <f aca="false">+X11*IFERROR(VLOOKUP(J11,Tabla11[],4,0),0)</f>
        <v>109058.928</v>
      </c>
      <c r="Z11" s="12" t="n">
        <f aca="false">IF(L11&gt;0,$Z$2/12,0)</f>
        <v>25833.3333333333</v>
      </c>
      <c r="AA11" s="12" t="n">
        <f aca="false">P11-SUM(Q11:Z11)</f>
        <v>629312.811627446</v>
      </c>
      <c r="AB11" s="12" t="n">
        <f aca="false">IF($L11&lt;0,0,IFERROR((AB$2*IFERROR(VLOOKUP(J11,Tabla11[],2,0),0))*($L11/SUM($L$5:$L$46)),0))</f>
        <v>23269.2291194985</v>
      </c>
      <c r="AC11" s="12" t="n">
        <f aca="false">L11-L11*IFERROR(VLOOKUP(J11,Tabla11[],3,0),0)-Q11-T11-U11-V11-W11-L11*$X$2-(L11*$X$2)*IFERROR(VLOOKUP(J11,Tabla11[],4,0),0)-AB11-Z11</f>
        <v>261918.265363717</v>
      </c>
      <c r="AD11" s="12" t="n">
        <f aca="false">AA11-AB11</f>
        <v>606043.582507948</v>
      </c>
      <c r="AE11" s="12" t="n">
        <f aca="false">ROUND(AD11-AC11,9)</f>
        <v>344125.317144231</v>
      </c>
    </row>
    <row r="12" customFormat="false" ht="14.4" hidden="false" customHeight="false" outlineLevel="0" collapsed="false">
      <c r="A12" s="15" t="s">
        <v>48</v>
      </c>
      <c r="B12" s="15" t="s">
        <v>30</v>
      </c>
      <c r="C12" s="16" t="n">
        <v>1</v>
      </c>
      <c r="D12" s="15" t="s">
        <v>49</v>
      </c>
      <c r="E12" s="15" t="s">
        <v>30</v>
      </c>
      <c r="F12" s="16" t="n">
        <v>1</v>
      </c>
      <c r="G12" s="16" t="n">
        <v>2</v>
      </c>
      <c r="H12" s="16" t="s">
        <v>50</v>
      </c>
      <c r="I12" s="16" t="s">
        <v>51</v>
      </c>
      <c r="J12" s="16" t="s">
        <v>34</v>
      </c>
      <c r="K12" s="16" t="s">
        <v>52</v>
      </c>
      <c r="L12" s="12" t="n">
        <f aca="false">IFERROR(VLOOKUP(CONCATENATE(J12,K12),Ventas!D:H,4,0),0)</f>
        <v>2331083.07692308</v>
      </c>
      <c r="M12" s="15" t="n">
        <f aca="false">IF(SUM(C12,F12)&gt;0,L12*0.1,0)</f>
        <v>233108.307692308</v>
      </c>
      <c r="N12" s="17" t="n">
        <f aca="false">SUM(L12:M12)</f>
        <v>2564191.38461538</v>
      </c>
      <c r="O12" s="15" t="n">
        <f aca="false">N12*IFERROR(VLOOKUP(J12,Tabla11[],3,0),0)</f>
        <v>897466.984615384</v>
      </c>
      <c r="P12" s="15" t="n">
        <f aca="false">N12-O12</f>
        <v>1666724.4</v>
      </c>
      <c r="Q12" s="12" t="n">
        <f aca="false">IFERROR(G12/SUMIF(I:I,I12,G:G),0)*VLOOKUP(H12,Modelos[],14,0)+IFERROR(G12/SUMIF(I:I,I12,G:G),0)*VLOOKUP(I12,Tabla13[],2,0)</f>
        <v>46336.6584134615</v>
      </c>
      <c r="R12" s="15" t="n">
        <f aca="false">IFERROR(VLOOKUP(A12,Modelos[],IF(B12="EST",15,14),0),0)*C12</f>
        <v>598680.58796875</v>
      </c>
      <c r="S12" s="15" t="n">
        <f aca="false">IFERROR(VLOOKUP(D12,Modelos[],IF(E12="EST",15,14),0),0)*F12</f>
        <v>281148.89140625</v>
      </c>
      <c r="T12" s="15" t="n">
        <f aca="false">IF($L12&lt;0,0,IFERROR((T$2*IFERROR(VLOOKUP(J12,Tabla11[],2,0),0))*($L12/SUM($L$5:$L$46)),0))</f>
        <v>13377.0882857673</v>
      </c>
      <c r="U12" s="15" t="n">
        <f aca="false">IF($L12&lt;0,0,IFERROR((U$2*IFERROR(VLOOKUP(J12,Tabla11[],2,0),0))*($L12/SUM($L$5:$L$46)),0))</f>
        <v>2601.10050001032</v>
      </c>
      <c r="V12" s="15" t="n">
        <f aca="false">IF($L12&lt;0,0,IFERROR((V$2*IFERROR(VLOOKUP(J12,Tabla11[],2,0),0))*($L12/SUM($L$5:$L$46)),0))</f>
        <v>13377.0882857673</v>
      </c>
      <c r="W12" s="15" t="n">
        <f aca="false">IF($L12&lt;0,0,IFERROR((W$2*IFERROR(VLOOKUP(J12,Tabla11[],2,0),0))*($L12/SUM($L$5:$L$46)),0))</f>
        <v>18579.289285788</v>
      </c>
      <c r="X12" s="15" t="n">
        <f aca="false">P12*$X$2</f>
        <v>666689.76</v>
      </c>
      <c r="Y12" s="15" t="n">
        <f aca="false">+X12*IFERROR(VLOOKUP(J12,Tabla11[],4,0),0)</f>
        <v>100003.464</v>
      </c>
      <c r="Z12" s="15" t="n">
        <f aca="false">IF(L12&gt;0,$Z$2/12,0)</f>
        <v>25833.3333333333</v>
      </c>
      <c r="AA12" s="15" t="n">
        <f aca="false">P12-SUM(Q12:Z12)</f>
        <v>-99902.861479128</v>
      </c>
      <c r="AB12" s="15" t="n">
        <f aca="false">IF($L12&lt;0,0,IFERROR((AB$2*IFERROR(VLOOKUP(J12,Tabla11[],2,0),0))*($L12/SUM($L$5:$L$46)),0))</f>
        <v>21337.1207587839</v>
      </c>
      <c r="AC12" s="15" t="n">
        <f aca="false">L12-L12*IFERROR(VLOOKUP(J12,Tabla11[],3,0),0)-Q12-T12-U12-V12-W12-L12*$X$2-(L12*$X$2)*IFERROR(VLOOKUP(J12,Tabla11[],4,0),0)-AB12-Z12</f>
        <v>301464.105752473</v>
      </c>
      <c r="AD12" s="15" t="n">
        <f aca="false">AA12-AB12</f>
        <v>-121239.982237912</v>
      </c>
      <c r="AE12" s="15" t="n">
        <f aca="false">ROUND(AD12-AC12,9)</f>
        <v>-422704.087990385</v>
      </c>
    </row>
    <row r="13" customFormat="false" ht="14.4" hidden="false" customHeight="false" outlineLevel="0" collapsed="false">
      <c r="A13" s="12" t="s">
        <v>31</v>
      </c>
      <c r="B13" s="12" t="s">
        <v>30</v>
      </c>
      <c r="C13" s="13" t="n">
        <v>1</v>
      </c>
      <c r="D13" s="12"/>
      <c r="E13" s="12" t="s">
        <v>30</v>
      </c>
      <c r="F13" s="13"/>
      <c r="G13" s="13" t="n">
        <v>3</v>
      </c>
      <c r="H13" s="13" t="s">
        <v>50</v>
      </c>
      <c r="I13" s="13" t="s">
        <v>53</v>
      </c>
      <c r="J13" s="13" t="s">
        <v>34</v>
      </c>
      <c r="K13" s="13" t="s">
        <v>54</v>
      </c>
      <c r="L13" s="12" t="n">
        <f aca="false">IFERROR(VLOOKUP(CONCATENATE(J13,K13),Ventas!D:H,4,0),0)</f>
        <v>2069249.23076923</v>
      </c>
      <c r="M13" s="12" t="n">
        <f aca="false">IF(SUM(C13,F13)&gt;0,L13*0.1,0)</f>
        <v>206924.923076923</v>
      </c>
      <c r="N13" s="14" t="n">
        <f aca="false">SUM(L13:M13)</f>
        <v>2276174.15384615</v>
      </c>
      <c r="O13" s="12" t="n">
        <f aca="false">N13*IFERROR(VLOOKUP(J13,Tabla11[],3,0),0)</f>
        <v>796660.953846154</v>
      </c>
      <c r="P13" s="12" t="n">
        <f aca="false">N13-O13</f>
        <v>1479513.2</v>
      </c>
      <c r="Q13" s="12" t="n">
        <f aca="false">IFERROR(G13/SUMIF(I:I,I13,G:G),0)*VLOOKUP(H13,Modelos[],14,0)+IFERROR(G13/SUMIF(I:I,I13,G:G),0)*VLOOKUP(I13,Tabla13[],2,0)</f>
        <v>69504.9876201923</v>
      </c>
      <c r="R13" s="12" t="n">
        <f aca="false">IFERROR(VLOOKUP(A13,Modelos[],IF(B13="EST",15,14),0),0)*C13</f>
        <v>204526.8003975</v>
      </c>
      <c r="S13" s="12" t="n">
        <f aca="false">IFERROR(VLOOKUP(D13,Modelos[],IF(E13="EST",15,14),0),0)*F13</f>
        <v>0</v>
      </c>
      <c r="T13" s="12" t="n">
        <f aca="false">IF($L13&lt;0,0,IFERROR((T$2*IFERROR(VLOOKUP(J13,Tabla11[],2,0),0))*($L13/SUM($L$5:$L$46)),0))</f>
        <v>11874.5358838919</v>
      </c>
      <c r="U13" s="12" t="n">
        <f aca="false">IF($L13&lt;0,0,IFERROR((U$2*IFERROR(VLOOKUP(J13,Tabla11[],2,0),0))*($L13/SUM($L$5:$L$46)),0))</f>
        <v>2308.93753297898</v>
      </c>
      <c r="V13" s="12" t="n">
        <f aca="false">IF($L13&lt;0,0,IFERROR((V$2*IFERROR(VLOOKUP(J13,Tabla11[],2,0),0))*($L13/SUM($L$5:$L$46)),0))</f>
        <v>11874.5358838919</v>
      </c>
      <c r="W13" s="12" t="n">
        <f aca="false">IF($L13&lt;0,0,IFERROR((W$2*IFERROR(VLOOKUP(J13,Tabla11[],2,0),0))*($L13/SUM($L$5:$L$46)),0))</f>
        <v>16492.4109498498</v>
      </c>
      <c r="X13" s="12" t="n">
        <f aca="false">P13*$X$2</f>
        <v>591805.28</v>
      </c>
      <c r="Y13" s="12" t="n">
        <f aca="false">+X13*IFERROR(VLOOKUP(J13,Tabla11[],4,0),0)</f>
        <v>88770.792</v>
      </c>
      <c r="Z13" s="12" t="n">
        <f aca="false">IF(L13&gt;0,$Z$2/12,0)</f>
        <v>25833.3333333333</v>
      </c>
      <c r="AA13" s="12" t="n">
        <f aca="false">P13-SUM(Q13:Z13)</f>
        <v>456521.586398362</v>
      </c>
      <c r="AB13" s="12" t="n">
        <f aca="false">IF($L13&lt;0,0,IFERROR((AB$2*IFERROR(VLOOKUP(J13,Tabla11[],2,0),0))*($L13/SUM($L$5:$L$46)),0))</f>
        <v>18940.4749895152</v>
      </c>
      <c r="AC13" s="12" t="n">
        <f aca="false">L13-L13*IFERROR(VLOOKUP(J13,Tabla11[],3,0),0)-Q13-T13-U13-V13-W13-L13*$X$2-(L13*$X$2)*IFERROR(VLOOKUP(J13,Tabla11[],4,0),0)-AB13-Z13</f>
        <v>236328.1376525</v>
      </c>
      <c r="AD13" s="12" t="n">
        <f aca="false">AA13-AB13</f>
        <v>437581.111408847</v>
      </c>
      <c r="AE13" s="12" t="n">
        <f aca="false">ROUND(AD13-AC13,9)</f>
        <v>201252.973756346</v>
      </c>
    </row>
    <row r="14" customFormat="false" ht="14.4" hidden="false" customHeight="false" outlineLevel="0" collapsed="false">
      <c r="A14" s="15" t="s">
        <v>31</v>
      </c>
      <c r="B14" s="15" t="s">
        <v>30</v>
      </c>
      <c r="C14" s="16" t="n">
        <v>1</v>
      </c>
      <c r="D14" s="15"/>
      <c r="E14" s="15" t="s">
        <v>30</v>
      </c>
      <c r="F14" s="16"/>
      <c r="G14" s="16" t="n">
        <v>2</v>
      </c>
      <c r="H14" s="16" t="s">
        <v>50</v>
      </c>
      <c r="I14" s="16" t="s">
        <v>51</v>
      </c>
      <c r="J14" s="16" t="s">
        <v>34</v>
      </c>
      <c r="K14" s="16" t="s">
        <v>55</v>
      </c>
      <c r="L14" s="12" t="n">
        <f aca="false">IFERROR(VLOOKUP(CONCATENATE(J14,K14),Ventas!D:H,4,0),0)</f>
        <v>1873333.84615385</v>
      </c>
      <c r="M14" s="15" t="n">
        <f aca="false">IF(SUM(C14,F14)&gt;0,L14*0.1,0)</f>
        <v>187333.384615385</v>
      </c>
      <c r="N14" s="17" t="n">
        <f aca="false">SUM(L14:M14)</f>
        <v>2060667.23076923</v>
      </c>
      <c r="O14" s="15" t="n">
        <f aca="false">N14*IFERROR(VLOOKUP(J14,Tabla11[],3,0),0)</f>
        <v>721233.530769231</v>
      </c>
      <c r="P14" s="15" t="n">
        <f aca="false">N14-O14</f>
        <v>1339433.7</v>
      </c>
      <c r="Q14" s="12" t="n">
        <f aca="false">IFERROR(G14/SUMIF(I:I,I14,G:G),0)*VLOOKUP(H14,Modelos[],14,0)+IFERROR(G14/SUMIF(I:I,I14,G:G),0)*VLOOKUP(I14,Tabla13[],2,0)</f>
        <v>46336.6584134615</v>
      </c>
      <c r="R14" s="15" t="n">
        <f aca="false">IFERROR(VLOOKUP(A14,Modelos[],IF(B14="EST",15,14),0),0)*C14</f>
        <v>204526.8003975</v>
      </c>
      <c r="S14" s="15" t="n">
        <f aca="false">IFERROR(VLOOKUP(D14,Modelos[],IF(E14="EST",15,14),0),0)*F14</f>
        <v>0</v>
      </c>
      <c r="T14" s="15" t="n">
        <f aca="false">IF($L14&lt;0,0,IFERROR((T$2*IFERROR(VLOOKUP(J14,Tabla11[],2,0),0))*($L14/SUM($L$5:$L$46)),0))</f>
        <v>10750.2613256469</v>
      </c>
      <c r="U14" s="15" t="n">
        <f aca="false">IF($L14&lt;0,0,IFERROR((U$2*IFERROR(VLOOKUP(J14,Tabla11[],2,0),0))*($L14/SUM($L$5:$L$46)),0))</f>
        <v>2090.32859109801</v>
      </c>
      <c r="V14" s="15" t="n">
        <f aca="false">IF($L14&lt;0,0,IFERROR((V$2*IFERROR(VLOOKUP(J14,Tabla11[],2,0),0))*($L14/SUM($L$5:$L$46)),0))</f>
        <v>10750.2613256469</v>
      </c>
      <c r="W14" s="15" t="n">
        <f aca="false">IF($L14&lt;0,0,IFERROR((W$2*IFERROR(VLOOKUP(J14,Tabla11[],2,0),0))*($L14/SUM($L$5:$L$46)),0))</f>
        <v>14930.9185078429</v>
      </c>
      <c r="X14" s="15" t="n">
        <f aca="false">P14*$X$2</f>
        <v>535773.48</v>
      </c>
      <c r="Y14" s="15" t="n">
        <f aca="false">+X14*IFERROR(VLOOKUP(J14,Tabla11[],4,0),0)</f>
        <v>80366.022</v>
      </c>
      <c r="Z14" s="15" t="n">
        <f aca="false">IF(L14&gt;0,$Z$2/12,0)</f>
        <v>25833.3333333333</v>
      </c>
      <c r="AA14" s="15" t="n">
        <f aca="false">P14-SUM(Q14:Z14)</f>
        <v>408075.63610547</v>
      </c>
      <c r="AB14" s="15" t="n">
        <f aca="false">IF($L14&lt;0,0,IFERROR((AB$2*IFERROR(VLOOKUP(J14,Tabla11[],2,0),0))*($L14/SUM($L$5:$L$46)),0))</f>
        <v>17147.2011841218</v>
      </c>
      <c r="AC14" s="15" t="n">
        <f aca="false">L14-L14*IFERROR(VLOOKUP(J14,Tabla11[],3,0),0)-Q14-T14-U14-V14-W14-L14*$X$2-(L14*$X$2)*IFERROR(VLOOKUP(J14,Tabla11[],4,0),0)-AB14-Z14</f>
        <v>228094.468088079</v>
      </c>
      <c r="AD14" s="15" t="n">
        <f aca="false">AA14-AB14</f>
        <v>390928.434921349</v>
      </c>
      <c r="AE14" s="15" t="n">
        <f aca="false">ROUND(AD14-AC14,9)</f>
        <v>162833.96683327</v>
      </c>
    </row>
    <row r="15" customFormat="false" ht="14.4" hidden="false" customHeight="false" outlineLevel="0" collapsed="false">
      <c r="A15" s="12" t="s">
        <v>31</v>
      </c>
      <c r="B15" s="12" t="s">
        <v>30</v>
      </c>
      <c r="C15" s="13" t="n">
        <v>1</v>
      </c>
      <c r="D15" s="12"/>
      <c r="E15" s="12" t="s">
        <v>30</v>
      </c>
      <c r="F15" s="13"/>
      <c r="G15" s="13" t="n">
        <v>3</v>
      </c>
      <c r="H15" s="13" t="s">
        <v>32</v>
      </c>
      <c r="I15" s="13" t="s">
        <v>56</v>
      </c>
      <c r="J15" s="13" t="s">
        <v>34</v>
      </c>
      <c r="K15" s="13" t="s">
        <v>56</v>
      </c>
      <c r="L15" s="12" t="n">
        <f aca="false">IFERROR(VLOOKUP(CONCATENATE(J15,K15),Ventas!D:H,4,0),0)</f>
        <v>1668596.92307692</v>
      </c>
      <c r="M15" s="12" t="n">
        <f aca="false">IF(SUM(C15,F15)&gt;0,L15*0.1,0)</f>
        <v>166859.692307692</v>
      </c>
      <c r="N15" s="14" t="n">
        <f aca="false">SUM(L15:M15)</f>
        <v>1835456.61538462</v>
      </c>
      <c r="O15" s="12" t="n">
        <f aca="false">N15*IFERROR(VLOOKUP(J15,Tabla11[],3,0),0)</f>
        <v>642409.815384615</v>
      </c>
      <c r="P15" s="12" t="n">
        <f aca="false">N15-O15</f>
        <v>1193046.8</v>
      </c>
      <c r="Q15" s="12" t="n">
        <f aca="false">IFERROR(G15/SUMIF(I:I,I15,G:G),0)*VLOOKUP(H15,Modelos[],14,0)+IFERROR(G15/SUMIF(I:I,I15,G:G),0)*VLOOKUP(I15,Tabla13[],2,0)</f>
        <v>161601.87921875</v>
      </c>
      <c r="R15" s="12" t="n">
        <f aca="false">IFERROR(VLOOKUP(A15,Modelos[],IF(B15="EST",15,14),0),0)*C15</f>
        <v>204526.8003975</v>
      </c>
      <c r="S15" s="12" t="n">
        <f aca="false">IFERROR(VLOOKUP(D15,Modelos[],IF(E15="EST",15,14),0),0)*F15</f>
        <v>0</v>
      </c>
      <c r="T15" s="12" t="n">
        <f aca="false">IF($L15&lt;0,0,IFERROR((T$2*IFERROR(VLOOKUP(J15,Tabla11[],2,0),0))*($L15/SUM($L$5:$L$46)),0))</f>
        <v>9575.36373299162</v>
      </c>
      <c r="U15" s="12" t="n">
        <f aca="false">IF($L15&lt;0,0,IFERROR((U$2*IFERROR(VLOOKUP(J15,Tabla11[],2,0),0))*($L15/SUM($L$5:$L$46)),0))</f>
        <v>1861.87628141504</v>
      </c>
      <c r="V15" s="12" t="n">
        <f aca="false">IF($L15&lt;0,0,IFERROR((V$2*IFERROR(VLOOKUP(J15,Tabla11[],2,0),0))*($L15/SUM($L$5:$L$46)),0))</f>
        <v>9575.36373299162</v>
      </c>
      <c r="W15" s="12" t="n">
        <f aca="false">IF($L15&lt;0,0,IFERROR((W$2*IFERROR(VLOOKUP(J15,Tabla11[],2,0),0))*($L15/SUM($L$5:$L$46)),0))</f>
        <v>13299.1162958217</v>
      </c>
      <c r="X15" s="12" t="n">
        <f aca="false">P15*$X$2</f>
        <v>477218.72</v>
      </c>
      <c r="Y15" s="12" t="n">
        <f aca="false">+X15*IFERROR(VLOOKUP(J15,Tabla11[],4,0),0)</f>
        <v>71582.808</v>
      </c>
      <c r="Z15" s="12" t="n">
        <f aca="false">IF(L15&gt;0,$Z$2/12,0)</f>
        <v>25833.3333333333</v>
      </c>
      <c r="AA15" s="12" t="n">
        <f aca="false">P15-SUM(Q15:Z15)</f>
        <v>217971.539007197</v>
      </c>
      <c r="AB15" s="12" t="n">
        <f aca="false">IF($L15&lt;0,0,IFERROR((AB$2*IFERROR(VLOOKUP(J15,Tabla11[],2,0),0))*($L15/SUM($L$5:$L$46)),0))</f>
        <v>15273.1811224943</v>
      </c>
      <c r="AC15" s="12" t="n">
        <f aca="false">L15-L15*IFERROR(VLOOKUP(J15,Tabla11[],3,0),0)-Q15-T15-U15-V15-W15-L15*$X$2-(L15*$X$2)*IFERROR(VLOOKUP(J15,Tabla11[],4,0),0)-AB15-Z15</f>
        <v>80013.3016668177</v>
      </c>
      <c r="AD15" s="12" t="n">
        <f aca="false">AA15-AB15</f>
        <v>202698.357884702</v>
      </c>
      <c r="AE15" s="12" t="n">
        <f aca="false">ROUND(AD15-AC15,9)</f>
        <v>122685.056217885</v>
      </c>
    </row>
    <row r="16" customFormat="false" ht="14.4" hidden="false" customHeight="false" outlineLevel="0" collapsed="false">
      <c r="A16" s="15"/>
      <c r="B16" s="15" t="s">
        <v>30</v>
      </c>
      <c r="C16" s="16"/>
      <c r="D16" s="15"/>
      <c r="E16" s="15" t="s">
        <v>30</v>
      </c>
      <c r="F16" s="16"/>
      <c r="G16" s="16" t="n">
        <v>3</v>
      </c>
      <c r="H16" s="16" t="s">
        <v>40</v>
      </c>
      <c r="I16" s="16" t="s">
        <v>57</v>
      </c>
      <c r="J16" s="16" t="s">
        <v>34</v>
      </c>
      <c r="K16" s="16" t="s">
        <v>57</v>
      </c>
      <c r="L16" s="12" t="n">
        <f aca="false">IFERROR(VLOOKUP(CONCATENATE(J16,K16),Ventas!D:H,4,0),0)</f>
        <v>1667378.46153846</v>
      </c>
      <c r="M16" s="15" t="n">
        <f aca="false">IF(SUM(C16,F16)&gt;0,L16*0.1,0)</f>
        <v>0</v>
      </c>
      <c r="N16" s="17" t="n">
        <f aca="false">SUM(L16:M16)</f>
        <v>1667378.46153846</v>
      </c>
      <c r="O16" s="15" t="n">
        <f aca="false">N16*IFERROR(VLOOKUP(J16,Tabla11[],3,0),0)</f>
        <v>583582.461538462</v>
      </c>
      <c r="P16" s="15" t="n">
        <f aca="false">N16-O16</f>
        <v>1083796</v>
      </c>
      <c r="Q16" s="12" t="n">
        <f aca="false">IFERROR(G16/SUMIF(I:I,I16,G:G),0)*VLOOKUP(H16,Modelos[],14,0)+IFERROR(G16/SUMIF(I:I,I16,G:G),0)*VLOOKUP(I16,Tabla13[],2,0)</f>
        <v>134909.418697917</v>
      </c>
      <c r="R16" s="15" t="n">
        <f aca="false">IFERROR(VLOOKUP(A16,Modelos[],IF(B16="EST",15,14),0),0)*C16</f>
        <v>0</v>
      </c>
      <c r="S16" s="15" t="n">
        <f aca="false">IFERROR(VLOOKUP(D16,Modelos[],IF(E16="EST",15,14),0),0)*F16</f>
        <v>0</v>
      </c>
      <c r="T16" s="15" t="n">
        <f aca="false">IF($L16&lt;0,0,IFERROR((T$2*IFERROR(VLOOKUP(J16,Tabla11[],2,0),0))*($L16/SUM($L$5:$L$46)),0))</f>
        <v>9568.37150361371</v>
      </c>
      <c r="U16" s="15" t="n">
        <f aca="false">IF($L16&lt;0,0,IFERROR((U$2*IFERROR(VLOOKUP(J16,Tabla11[],2,0),0))*($L16/SUM($L$5:$L$46)),0))</f>
        <v>1860.51668125822</v>
      </c>
      <c r="V16" s="15" t="n">
        <f aca="false">IF($L16&lt;0,0,IFERROR((V$2*IFERROR(VLOOKUP(J16,Tabla11[],2,0),0))*($L16/SUM($L$5:$L$46)),0))</f>
        <v>9568.37150361371</v>
      </c>
      <c r="W16" s="15" t="n">
        <f aca="false">IF($L16&lt;0,0,IFERROR((W$2*IFERROR(VLOOKUP(J16,Tabla11[],2,0),0))*($L16/SUM($L$5:$L$46)),0))</f>
        <v>13289.4048661302</v>
      </c>
      <c r="X16" s="15" t="n">
        <f aca="false">P16*$X$2</f>
        <v>433518.4</v>
      </c>
      <c r="Y16" s="15" t="n">
        <f aca="false">+X16*IFERROR(VLOOKUP(J16,Tabla11[],4,0),0)</f>
        <v>65027.76</v>
      </c>
      <c r="Z16" s="15" t="n">
        <f aca="false">IF(L16&gt;0,$Z$2/12,0)</f>
        <v>25833.3333333333</v>
      </c>
      <c r="AA16" s="15" t="n">
        <f aca="false">P16-SUM(Q16:Z16)</f>
        <v>390220.423414134</v>
      </c>
      <c r="AB16" s="15" t="n">
        <f aca="false">IF($L16&lt;0,0,IFERROR((AB$2*IFERROR(VLOOKUP(J16,Tabla11[],2,0),0))*($L16/SUM($L$5:$L$46)),0))</f>
        <v>15262.0281690696</v>
      </c>
      <c r="AC16" s="15" t="n">
        <f aca="false">L16-L16*IFERROR(VLOOKUP(J16,Tabla11[],3,0),0)-Q16-T16-U16-V16-W16-L16*$X$2-(L16*$X$2)*IFERROR(VLOOKUP(J16,Tabla11[],4,0),0)-AB16-Z16</f>
        <v>106510.462937372</v>
      </c>
      <c r="AD16" s="15" t="n">
        <f aca="false">AA16-AB16</f>
        <v>374958.395245065</v>
      </c>
      <c r="AE16" s="15" t="n">
        <f aca="false">ROUND(AD16-AC16,9)</f>
        <v>268447.932307692</v>
      </c>
    </row>
    <row r="17" customFormat="false" ht="14.4" hidden="false" customHeight="false" outlineLevel="0" collapsed="false">
      <c r="A17" s="12" t="s">
        <v>31</v>
      </c>
      <c r="B17" s="12" t="s">
        <v>30</v>
      </c>
      <c r="C17" s="13" t="n">
        <v>1</v>
      </c>
      <c r="D17" s="12"/>
      <c r="E17" s="12" t="s">
        <v>30</v>
      </c>
      <c r="F17" s="13"/>
      <c r="G17" s="13" t="n">
        <v>3</v>
      </c>
      <c r="H17" s="13" t="s">
        <v>50</v>
      </c>
      <c r="I17" s="13" t="s">
        <v>53</v>
      </c>
      <c r="J17" s="13" t="s">
        <v>34</v>
      </c>
      <c r="K17" s="13" t="s">
        <v>58</v>
      </c>
      <c r="L17" s="12" t="n">
        <f aca="false">IFERROR(VLOOKUP(CONCATENATE(J17,K17),Ventas!D:H,4,0),0)</f>
        <v>1665920</v>
      </c>
      <c r="M17" s="12" t="n">
        <f aca="false">IF(SUM(C17,F17)&gt;0,L17*0.1,0)</f>
        <v>166592</v>
      </c>
      <c r="N17" s="14" t="n">
        <f aca="false">SUM(L17:M17)</f>
        <v>1832512</v>
      </c>
      <c r="O17" s="12" t="n">
        <f aca="false">N17*IFERROR(VLOOKUP(J17,Tabla11[],3,0),0)</f>
        <v>641379.2</v>
      </c>
      <c r="P17" s="12" t="n">
        <f aca="false">N17-O17</f>
        <v>1191132.8</v>
      </c>
      <c r="Q17" s="12" t="n">
        <f aca="false">IFERROR(G17/SUMIF(I:I,I17,G:G),0)*VLOOKUP(H17,Modelos[],14,0)+IFERROR(G17/SUMIF(I:I,I17,G:G),0)*VLOOKUP(I17,Tabla13[],2,0)</f>
        <v>69504.9876201923</v>
      </c>
      <c r="R17" s="12" t="n">
        <f aca="false">IFERROR(VLOOKUP(A17,Modelos[],IF(B17="EST",15,14),0),0)*C17</f>
        <v>204526.8003975</v>
      </c>
      <c r="S17" s="12" t="n">
        <f aca="false">IFERROR(VLOOKUP(D17,Modelos[],IF(E17="EST",15,14),0),0)*F17</f>
        <v>0</v>
      </c>
      <c r="T17" s="12" t="n">
        <f aca="false">IF($L17&lt;0,0,IFERROR((T$2*IFERROR(VLOOKUP(J17,Tabla11[],2,0),0))*($L17/SUM($L$5:$L$46)),0))</f>
        <v>9560.00201693409</v>
      </c>
      <c r="U17" s="12" t="n">
        <f aca="false">IF($L17&lt;0,0,IFERROR((U$2*IFERROR(VLOOKUP(J17,Tabla11[],2,0),0))*($L17/SUM($L$5:$L$46)),0))</f>
        <v>1858.88928107052</v>
      </c>
      <c r="V17" s="12" t="n">
        <f aca="false">IF($L17&lt;0,0,IFERROR((V$2*IFERROR(VLOOKUP(J17,Tabla11[],2,0),0))*($L17/SUM($L$5:$L$46)),0))</f>
        <v>9560.00201693409</v>
      </c>
      <c r="W17" s="12" t="n">
        <f aca="false">IF($L17&lt;0,0,IFERROR((W$2*IFERROR(VLOOKUP(J17,Tabla11[],2,0),0))*($L17/SUM($L$5:$L$46)),0))</f>
        <v>13277.7805790751</v>
      </c>
      <c r="X17" s="12" t="n">
        <f aca="false">P17*$X$2</f>
        <v>476453.12</v>
      </c>
      <c r="Y17" s="12" t="n">
        <f aca="false">+X17*IFERROR(VLOOKUP(J17,Tabla11[],4,0),0)</f>
        <v>71467.968</v>
      </c>
      <c r="Z17" s="12" t="n">
        <f aca="false">IF(L17&gt;0,$Z$2/12,0)</f>
        <v>25833.3333333333</v>
      </c>
      <c r="AA17" s="12" t="n">
        <f aca="false">P17-SUM(Q17:Z17)</f>
        <v>309089.916754961</v>
      </c>
      <c r="AB17" s="12" t="n">
        <f aca="false">IF($L17&lt;0,0,IFERROR((AB$2*IFERROR(VLOOKUP(J17,Tabla11[],2,0),0))*($L17/SUM($L$5:$L$46)),0))</f>
        <v>15248.6784217885</v>
      </c>
      <c r="AC17" s="12" t="n">
        <f aca="false">L17-L17*IFERROR(VLOOKUP(J17,Tabla11[],3,0),0)-Q17-T17-U17-V17-W17-L17*$X$2-(L17*$X$2)*IFERROR(VLOOKUP(J17,Tabla11[],4,0),0)-AB17-Z17</f>
        <v>171681.126730672</v>
      </c>
      <c r="AD17" s="12" t="n">
        <f aca="false">AA17-AB17</f>
        <v>293841.238333172</v>
      </c>
      <c r="AE17" s="12" t="n">
        <f aca="false">ROUND(AD17-AC17,9)</f>
        <v>122160.1116025</v>
      </c>
    </row>
    <row r="18" customFormat="false" ht="14.4" hidden="false" customHeight="false" outlineLevel="0" collapsed="false">
      <c r="A18" s="15" t="s">
        <v>29</v>
      </c>
      <c r="B18" s="15" t="s">
        <v>30</v>
      </c>
      <c r="C18" s="16" t="n">
        <v>1</v>
      </c>
      <c r="D18" s="15" t="s">
        <v>31</v>
      </c>
      <c r="E18" s="15" t="s">
        <v>30</v>
      </c>
      <c r="F18" s="16" t="n">
        <v>1</v>
      </c>
      <c r="G18" s="16" t="n">
        <v>3</v>
      </c>
      <c r="H18" s="16" t="s">
        <v>50</v>
      </c>
      <c r="I18" s="16" t="s">
        <v>53</v>
      </c>
      <c r="J18" s="16" t="s">
        <v>34</v>
      </c>
      <c r="K18" s="16" t="s">
        <v>59</v>
      </c>
      <c r="L18" s="12" t="n">
        <f aca="false">IFERROR(VLOOKUP(CONCATENATE(J18,K18),Ventas!D:H,4,0),0)</f>
        <v>1610832.30769231</v>
      </c>
      <c r="M18" s="15" t="n">
        <f aca="false">IF(SUM(C18,F18)&gt;0,L18*0.1,0)</f>
        <v>161083.230769231</v>
      </c>
      <c r="N18" s="17" t="n">
        <f aca="false">SUM(L18:M18)</f>
        <v>1771915.53846154</v>
      </c>
      <c r="O18" s="15" t="n">
        <f aca="false">N18*IFERROR(VLOOKUP(J18,Tabla11[],3,0),0)</f>
        <v>620170.438461538</v>
      </c>
      <c r="P18" s="15" t="n">
        <f aca="false">N18-O18</f>
        <v>1151745.1</v>
      </c>
      <c r="Q18" s="12" t="n">
        <f aca="false">IFERROR(G18/SUMIF(I:I,I18,G:G),0)*VLOOKUP(H18,Modelos[],14,0)+IFERROR(G18/SUMIF(I:I,I18,G:G),0)*VLOOKUP(I18,Tabla13[],2,0)</f>
        <v>69504.9876201923</v>
      </c>
      <c r="R18" s="15" t="n">
        <f aca="false">IFERROR(VLOOKUP(A18,Modelos[],IF(B18="EST",15,14),0),0)*C18</f>
        <v>310333.7890625</v>
      </c>
      <c r="S18" s="15" t="n">
        <f aca="false">IFERROR(VLOOKUP(D18,Modelos[],IF(E18="EST",15,14),0),0)*F18</f>
        <v>204526.8003975</v>
      </c>
      <c r="T18" s="15" t="n">
        <f aca="false">IF($L18&lt;0,0,IFERROR((T$2*IFERROR(VLOOKUP(J18,Tabla11[],2,0),0))*($L18/SUM($L$5:$L$46)),0))</f>
        <v>9243.87732332948</v>
      </c>
      <c r="U18" s="15" t="n">
        <f aca="false">IF($L18&lt;0,0,IFERROR((U$2*IFERROR(VLOOKUP(J18,Tabla11[],2,0),0))*($L18/SUM($L$5:$L$46)),0))</f>
        <v>1797.4205906474</v>
      </c>
      <c r="V18" s="15" t="n">
        <f aca="false">IF($L18&lt;0,0,IFERROR((V$2*IFERROR(VLOOKUP(J18,Tabla11[],2,0),0))*($L18/SUM($L$5:$L$46)),0))</f>
        <v>9243.87732332948</v>
      </c>
      <c r="W18" s="15" t="n">
        <f aca="false">IF($L18&lt;0,0,IFERROR((W$2*IFERROR(VLOOKUP(J18,Tabla11[],2,0),0))*($L18/SUM($L$5:$L$46)),0))</f>
        <v>12838.7185046243</v>
      </c>
      <c r="X18" s="15" t="n">
        <f aca="false">P18*$X$2</f>
        <v>460698.04</v>
      </c>
      <c r="Y18" s="15" t="n">
        <f aca="false">+X18*IFERROR(VLOOKUP(J18,Tabla11[],4,0),0)</f>
        <v>69104.706</v>
      </c>
      <c r="Z18" s="15" t="n">
        <f aca="false">IF(L18&gt;0,$Z$2/12,0)</f>
        <v>25833.3333333333</v>
      </c>
      <c r="AA18" s="15" t="n">
        <f aca="false">P18-SUM(Q18:Z18)</f>
        <v>-21380.4501554563</v>
      </c>
      <c r="AB18" s="15" t="n">
        <f aca="false">IF($L18&lt;0,0,IFERROR((AB$2*IFERROR(VLOOKUP(J18,Tabla11[],2,0),0))*($L18/SUM($L$5:$L$46)),0))</f>
        <v>14744.4438216886</v>
      </c>
      <c r="AC18" s="15" t="n">
        <f aca="false">L18-L18*IFERROR(VLOOKUP(J18,Tabla11[],3,0),0)-Q18-T18-U18-V18-W18-L18*$X$2-(L18*$X$2)*IFERROR(VLOOKUP(J18,Tabla11[],4,0),0)-AB18-Z18</f>
        <v>162851.479944394</v>
      </c>
      <c r="AD18" s="15" t="n">
        <f aca="false">AA18-AB18</f>
        <v>-36124.8939771449</v>
      </c>
      <c r="AE18" s="15" t="n">
        <f aca="false">ROUND(AD18-AC18,9)</f>
        <v>-198976.373921538</v>
      </c>
    </row>
    <row r="19" customFormat="false" ht="14.4" hidden="false" customHeight="false" outlineLevel="0" collapsed="false">
      <c r="A19" s="12" t="s">
        <v>46</v>
      </c>
      <c r="B19" s="12" t="s">
        <v>30</v>
      </c>
      <c r="C19" s="13" t="n">
        <v>1</v>
      </c>
      <c r="D19" s="12"/>
      <c r="E19" s="12" t="s">
        <v>30</v>
      </c>
      <c r="F19" s="13"/>
      <c r="G19" s="13" t="n">
        <v>3</v>
      </c>
      <c r="H19" s="13" t="s">
        <v>32</v>
      </c>
      <c r="I19" s="13" t="s">
        <v>38</v>
      </c>
      <c r="J19" s="13" t="s">
        <v>34</v>
      </c>
      <c r="K19" s="13" t="s">
        <v>60</v>
      </c>
      <c r="L19" s="12" t="n">
        <f aca="false">IFERROR(VLOOKUP(CONCATENATE(J19,K19),Ventas!D:H,4,0),0)</f>
        <v>1504930.76923077</v>
      </c>
      <c r="M19" s="12" t="n">
        <f aca="false">IF(SUM(C19,F19)&gt;0,L19*0.1,0)</f>
        <v>150493.076923077</v>
      </c>
      <c r="N19" s="14" t="n">
        <f aca="false">SUM(L19:M19)</f>
        <v>1655423.84615385</v>
      </c>
      <c r="O19" s="12" t="n">
        <f aca="false">N19*IFERROR(VLOOKUP(J19,Tabla11[],3,0),0)</f>
        <v>579398.346153846</v>
      </c>
      <c r="P19" s="12" t="n">
        <f aca="false">N19-O19</f>
        <v>1076025.5</v>
      </c>
      <c r="Q19" s="12" t="n">
        <f aca="false">IFERROR(G19/SUMIF(I:I,I19,G:G),0)*VLOOKUP(H19,Modelos[],14,0)+IFERROR(G19/SUMIF(I:I,I19,G:G),0)*VLOOKUP(I19,Tabla13[],2,0)</f>
        <v>154942.834604779</v>
      </c>
      <c r="R19" s="12" t="n">
        <f aca="false">IFERROR(VLOOKUP(A19,Modelos[],IF(B19="EST",15,14),0),0)*C19</f>
        <v>154393.465625</v>
      </c>
      <c r="S19" s="12" t="n">
        <f aca="false">IFERROR(VLOOKUP(D19,Modelos[],IF(E19="EST",15,14),0),0)*F19</f>
        <v>0</v>
      </c>
      <c r="T19" s="12" t="n">
        <f aca="false">IF($L19&lt;0,0,IFERROR((T$2*IFERROR(VLOOKUP(J19,Tabla11[],2,0),0))*($L19/SUM($L$5:$L$46)),0))</f>
        <v>8636.15371037764</v>
      </c>
      <c r="U19" s="12" t="n">
        <f aca="false">IF($L19&lt;0,0,IFERROR((U$2*IFERROR(VLOOKUP(J19,Tabla11[],2,0),0))*($L19/SUM($L$5:$L$46)),0))</f>
        <v>1679.25211035121</v>
      </c>
      <c r="V19" s="12" t="n">
        <f aca="false">IF($L19&lt;0,0,IFERROR((V$2*IFERROR(VLOOKUP(J19,Tabla11[],2,0),0))*($L19/SUM($L$5:$L$46)),0))</f>
        <v>8636.15371037764</v>
      </c>
      <c r="W19" s="12" t="n">
        <f aca="false">IF($L19&lt;0,0,IFERROR((W$2*IFERROR(VLOOKUP(J19,Tabla11[],2,0),0))*($L19/SUM($L$5:$L$46)),0))</f>
        <v>11994.6579310801</v>
      </c>
      <c r="X19" s="12" t="n">
        <f aca="false">P19*$X$2</f>
        <v>430410.2</v>
      </c>
      <c r="Y19" s="12" t="n">
        <f aca="false">+X19*IFERROR(VLOOKUP(J19,Tabla11[],4,0),0)</f>
        <v>64561.53</v>
      </c>
      <c r="Z19" s="12" t="n">
        <f aca="false">IF(L19&gt;0,$Z$2/12,0)</f>
        <v>25833.3333333333</v>
      </c>
      <c r="AA19" s="12" t="n">
        <f aca="false">P19-SUM(Q19:Z19)</f>
        <v>214937.918974701</v>
      </c>
      <c r="AB19" s="12" t="n">
        <f aca="false">IF($L19&lt;0,0,IFERROR((AB$2*IFERROR(VLOOKUP(J19,Tabla11[],2,0),0))*($L19/SUM($L$5:$L$46)),0))</f>
        <v>13775.0944505467</v>
      </c>
      <c r="AC19" s="12" t="n">
        <f aca="false">L19-L19*IFERROR(VLOOKUP(J19,Tabla11[],3,0),0)-Q19-T19-U19-V19-W19-L19*$X$2-(L19*$X$2)*IFERROR(VLOOKUP(J19,Tabla11[],4,0),0)-AB19-Z19</f>
        <v>60439.366303</v>
      </c>
      <c r="AD19" s="12" t="n">
        <f aca="false">AA19-AB19</f>
        <v>201162.824524154</v>
      </c>
      <c r="AE19" s="12" t="n">
        <f aca="false">ROUND(AD19-AC19,9)</f>
        <v>140723.458221154</v>
      </c>
    </row>
    <row r="20" customFormat="false" ht="14.4" hidden="false" customHeight="false" outlineLevel="0" collapsed="false">
      <c r="A20" s="15" t="s">
        <v>46</v>
      </c>
      <c r="B20" s="15" t="s">
        <v>30</v>
      </c>
      <c r="C20" s="16" t="n">
        <v>0.5</v>
      </c>
      <c r="D20" s="15"/>
      <c r="E20" s="15" t="s">
        <v>30</v>
      </c>
      <c r="F20" s="16"/>
      <c r="G20" s="16" t="n">
        <v>3</v>
      </c>
      <c r="H20" s="16" t="s">
        <v>40</v>
      </c>
      <c r="I20" s="16" t="s">
        <v>41</v>
      </c>
      <c r="J20" s="16" t="s">
        <v>34</v>
      </c>
      <c r="K20" s="16" t="s">
        <v>61</v>
      </c>
      <c r="L20" s="12" t="n">
        <f aca="false">IFERROR(VLOOKUP(CONCATENATE(J20,K20),Ventas!D:H,4,0),0)</f>
        <v>1466126.15384615</v>
      </c>
      <c r="M20" s="15" t="n">
        <f aca="false">IF(SUM(C20,F20)&gt;0,L20*0.1,0)</f>
        <v>146612.615384615</v>
      </c>
      <c r="N20" s="17" t="n">
        <f aca="false">SUM(L20:M20)</f>
        <v>1612738.76923077</v>
      </c>
      <c r="O20" s="15" t="n">
        <f aca="false">N20*IFERROR(VLOOKUP(J20,Tabla11[],3,0),0)</f>
        <v>564458.569230769</v>
      </c>
      <c r="P20" s="15" t="n">
        <f aca="false">N20-O20</f>
        <v>1048280.2</v>
      </c>
      <c r="Q20" s="12" t="n">
        <f aca="false">IFERROR(G20/SUMIF(I:I,I20,G:G),0)*VLOOKUP(H20,Modelos[],14,0)+IFERROR(G20/SUMIF(I:I,I20,G:G),0)*VLOOKUP(I20,Tabla13[],2,0)</f>
        <v>65246.1628400735</v>
      </c>
      <c r="R20" s="15" t="n">
        <f aca="false">IFERROR(VLOOKUP(A20,Modelos[],IF(B20="EST",15,14),0),0)*C20</f>
        <v>77196.7328125</v>
      </c>
      <c r="S20" s="15" t="n">
        <f aca="false">IFERROR(VLOOKUP(D20,Modelos[],IF(E20="EST",15,14),0),0)*F20</f>
        <v>0</v>
      </c>
      <c r="T20" s="15" t="n">
        <f aca="false">IF($L20&lt;0,0,IFERROR((T$2*IFERROR(VLOOKUP(J20,Tabla11[],2,0),0))*($L20/SUM($L$5:$L$46)),0))</f>
        <v>8413.47062755057</v>
      </c>
      <c r="U20" s="15" t="n">
        <f aca="false">IF($L20&lt;0,0,IFERROR((U$2*IFERROR(VLOOKUP(J20,Tabla11[],2,0),0))*($L20/SUM($L$5:$L$46)),0))</f>
        <v>1635.95262202372</v>
      </c>
      <c r="V20" s="15" t="n">
        <f aca="false">IF($L20&lt;0,0,IFERROR((V$2*IFERROR(VLOOKUP(J20,Tabla11[],2,0),0))*($L20/SUM($L$5:$L$46)),0))</f>
        <v>8413.47062755057</v>
      </c>
      <c r="W20" s="15" t="n">
        <f aca="false">IF($L20&lt;0,0,IFERROR((W$2*IFERROR(VLOOKUP(J20,Tabla11[],2,0),0))*($L20/SUM($L$5:$L$46)),0))</f>
        <v>11685.375871598</v>
      </c>
      <c r="X20" s="15" t="n">
        <f aca="false">P20*$X$2</f>
        <v>419312.08</v>
      </c>
      <c r="Y20" s="15" t="n">
        <f aca="false">+X20*IFERROR(VLOOKUP(J20,Tabla11[],4,0),0)</f>
        <v>62896.812</v>
      </c>
      <c r="Z20" s="15" t="n">
        <f aca="false">IF(L20&gt;0,$Z$2/12,0)</f>
        <v>25833.3333333333</v>
      </c>
      <c r="AA20" s="15" t="n">
        <f aca="false">P20-SUM(Q20:Z20)</f>
        <v>367646.80926537</v>
      </c>
      <c r="AB20" s="15" t="n">
        <f aca="false">IF($L20&lt;0,0,IFERROR((AB$2*IFERROR(VLOOKUP(J20,Tabla11[],2,0),0))*($L20/SUM($L$5:$L$46)),0))</f>
        <v>13419.9038643954</v>
      </c>
      <c r="AC20" s="15" t="n">
        <f aca="false">L20-L20*IFERROR(VLOOKUP(J20,Tabla11[],3,0),0)-Q20-T20-U20-V20-W20-L20*$X$2-(L20*$X$2)*IFERROR(VLOOKUP(J20,Tabla11[],4,0),0)-AB20-Z20</f>
        <v>143916.299444244</v>
      </c>
      <c r="AD20" s="15" t="n">
        <f aca="false">AA20-AB20</f>
        <v>354226.905400975</v>
      </c>
      <c r="AE20" s="15" t="n">
        <f aca="false">ROUND(AD20-AC20,9)</f>
        <v>210310.605956731</v>
      </c>
    </row>
    <row r="21" customFormat="false" ht="14.4" hidden="false" customHeight="false" outlineLevel="0" collapsed="false">
      <c r="A21" s="12" t="s">
        <v>29</v>
      </c>
      <c r="B21" s="12" t="s">
        <v>30</v>
      </c>
      <c r="C21" s="13" t="n">
        <v>1</v>
      </c>
      <c r="D21" s="12"/>
      <c r="E21" s="12" t="s">
        <v>30</v>
      </c>
      <c r="F21" s="13"/>
      <c r="G21" s="13" t="n">
        <v>3</v>
      </c>
      <c r="H21" s="13" t="s">
        <v>40</v>
      </c>
      <c r="I21" s="13" t="s">
        <v>62</v>
      </c>
      <c r="J21" s="13" t="s">
        <v>34</v>
      </c>
      <c r="K21" s="13" t="s">
        <v>62</v>
      </c>
      <c r="L21" s="12" t="n">
        <f aca="false">IFERROR(VLOOKUP(CONCATENATE(J21,K21),Ventas!D:H,4,0),0)</f>
        <v>1413012.30769231</v>
      </c>
      <c r="M21" s="12" t="n">
        <f aca="false">IF(SUM(C21,F21)&gt;0,L21*0.1,0)</f>
        <v>141301.230769231</v>
      </c>
      <c r="N21" s="14" t="n">
        <f aca="false">SUM(L21:M21)</f>
        <v>1554313.53846154</v>
      </c>
      <c r="O21" s="12" t="n">
        <f aca="false">N21*IFERROR(VLOOKUP(J21,Tabla11[],3,0),0)</f>
        <v>544009.738461538</v>
      </c>
      <c r="P21" s="12" t="n">
        <f aca="false">N21-O21</f>
        <v>1010303.8</v>
      </c>
      <c r="Q21" s="12" t="n">
        <f aca="false">IFERROR(G21/SUMIF(I:I,I21,G:G),0)*VLOOKUP(H21,Modelos[],14,0)+IFERROR(G21/SUMIF(I:I,I21,G:G),0)*VLOOKUP(I21,Tabla13[],2,0)</f>
        <v>121576.085364583</v>
      </c>
      <c r="R21" s="12" t="n">
        <f aca="false">IFERROR(VLOOKUP(A21,Modelos[],IF(B21="EST",15,14),0),0)*C21</f>
        <v>310333.7890625</v>
      </c>
      <c r="S21" s="12" t="n">
        <f aca="false">IFERROR(VLOOKUP(D21,Modelos[],IF(E21="EST",15,14),0),0)*F21</f>
        <v>0</v>
      </c>
      <c r="T21" s="12" t="n">
        <f aca="false">IF($L21&lt;0,0,IFERROR((T$2*IFERROR(VLOOKUP(J21,Tabla11[],2,0),0))*($L21/SUM($L$5:$L$46)),0))</f>
        <v>8108.67299239528</v>
      </c>
      <c r="U21" s="12" t="n">
        <f aca="false">IF($L21&lt;0,0,IFERROR((U$2*IFERROR(VLOOKUP(J21,Tabla11[],2,0),0))*($L21/SUM($L$5:$L$46)),0))</f>
        <v>1576.68641518797</v>
      </c>
      <c r="V21" s="12" t="n">
        <f aca="false">IF($L21&lt;0,0,IFERROR((V$2*IFERROR(VLOOKUP(J21,Tabla11[],2,0),0))*($L21/SUM($L$5:$L$46)),0))</f>
        <v>8108.67299239528</v>
      </c>
      <c r="W21" s="12" t="n">
        <f aca="false">IF($L21&lt;0,0,IFERROR((W$2*IFERROR(VLOOKUP(J21,Tabla11[],2,0),0))*($L21/SUM($L$5:$L$46)),0))</f>
        <v>11262.0458227712</v>
      </c>
      <c r="X21" s="12" t="n">
        <f aca="false">P21*$X$2</f>
        <v>404121.52</v>
      </c>
      <c r="Y21" s="12" t="n">
        <f aca="false">+X21*IFERROR(VLOOKUP(J21,Tabla11[],4,0),0)</f>
        <v>60618.228</v>
      </c>
      <c r="Z21" s="12" t="n">
        <f aca="false">IF(L21&gt;0,$Z$2/12,0)</f>
        <v>25833.3333333333</v>
      </c>
      <c r="AA21" s="12" t="n">
        <f aca="false">P21-SUM(Q21:Z21)</f>
        <v>58764.7660168336</v>
      </c>
      <c r="AB21" s="12" t="n">
        <f aca="false">IF($L21&lt;0,0,IFERROR((AB$2*IFERROR(VLOOKUP(J21,Tabla11[],2,0),0))*($L21/SUM($L$5:$L$46)),0))</f>
        <v>12933.7364855631</v>
      </c>
      <c r="AC21" s="12" t="n">
        <f aca="false">L21-L21*IFERROR(VLOOKUP(J21,Tabla11[],3,0),0)-Q21-T21-U21-V21-W21-L21*$X$2-(L21*$X$2)*IFERROR(VLOOKUP(J21,Tabla11[],4,0),0)-AB21-Z21</f>
        <v>79073.1050553089</v>
      </c>
      <c r="AD21" s="12" t="n">
        <f aca="false">AA21-AB21</f>
        <v>45831.0295312705</v>
      </c>
      <c r="AE21" s="12" t="n">
        <f aca="false">ROUND(AD21-AC21,9)</f>
        <v>-33242.075524038</v>
      </c>
    </row>
    <row r="22" customFormat="false" ht="14.4" hidden="false" customHeight="false" outlineLevel="0" collapsed="false">
      <c r="A22" s="15"/>
      <c r="B22" s="15" t="s">
        <v>30</v>
      </c>
      <c r="C22" s="16"/>
      <c r="D22" s="15"/>
      <c r="E22" s="15" t="s">
        <v>30</v>
      </c>
      <c r="F22" s="16"/>
      <c r="G22" s="16" t="n">
        <v>3</v>
      </c>
      <c r="H22" s="16" t="s">
        <v>32</v>
      </c>
      <c r="I22" s="16" t="s">
        <v>44</v>
      </c>
      <c r="J22" s="16" t="s">
        <v>34</v>
      </c>
      <c r="K22" s="16" t="s">
        <v>63</v>
      </c>
      <c r="L22" s="12" t="n">
        <f aca="false">IFERROR(VLOOKUP(CONCATENATE(J22,K22),Ventas!D:H,4,0),0)</f>
        <v>1302190.76923077</v>
      </c>
      <c r="M22" s="15" t="n">
        <f aca="false">IF(SUM(C22,F22)&gt;0,L22*0.1,0)</f>
        <v>0</v>
      </c>
      <c r="N22" s="17" t="n">
        <f aca="false">SUM(L22:M22)</f>
        <v>1302190.76923077</v>
      </c>
      <c r="O22" s="15" t="n">
        <f aca="false">N22*IFERROR(VLOOKUP(J22,Tabla11[],3,0),0)</f>
        <v>455766.769230769</v>
      </c>
      <c r="P22" s="15" t="n">
        <f aca="false">N22-O22</f>
        <v>846424</v>
      </c>
      <c r="Q22" s="12" t="n">
        <f aca="false">IFERROR(G22/SUMIF(I:I,I22,G:G),0)*VLOOKUP(H22,Modelos[],14,0)+IFERROR(G22/SUMIF(I:I,I22,G:G),0)*VLOOKUP(I22,Tabla13[],2,0)</f>
        <v>106001.174511719</v>
      </c>
      <c r="R22" s="15" t="n">
        <f aca="false">IFERROR(VLOOKUP(A22,Modelos[],IF(B22="EST",15,14),0),0)*C22</f>
        <v>0</v>
      </c>
      <c r="S22" s="15" t="n">
        <f aca="false">IFERROR(VLOOKUP(D22,Modelos[],IF(E22="EST",15,14),0),0)*F22</f>
        <v>0</v>
      </c>
      <c r="T22" s="15" t="n">
        <f aca="false">IF($L22&lt;0,0,IFERROR((T$2*IFERROR(VLOOKUP(J22,Tabla11[],2,0),0))*($L22/SUM($L$5:$L$46)),0))</f>
        <v>7472.71560475839</v>
      </c>
      <c r="U22" s="15" t="n">
        <f aca="false">IF($L22&lt;0,0,IFERROR((U$2*IFERROR(VLOOKUP(J22,Tabla11[],2,0),0))*($L22/SUM($L$5:$L$46)),0))</f>
        <v>1453.02803425858</v>
      </c>
      <c r="V22" s="15" t="n">
        <f aca="false">IF($L22&lt;0,0,IFERROR((V$2*IFERROR(VLOOKUP(J22,Tabla11[],2,0),0))*($L22/SUM($L$5:$L$46)),0))</f>
        <v>7472.71560475839</v>
      </c>
      <c r="W22" s="15" t="n">
        <f aca="false">IF($L22&lt;0,0,IFERROR((W$2*IFERROR(VLOOKUP(J22,Tabla11[],2,0),0))*($L22/SUM($L$5:$L$46)),0))</f>
        <v>10378.7716732755</v>
      </c>
      <c r="X22" s="15" t="n">
        <f aca="false">P22*$X$2</f>
        <v>338569.6</v>
      </c>
      <c r="Y22" s="15" t="n">
        <f aca="false">+X22*IFERROR(VLOOKUP(J22,Tabla11[],4,0),0)</f>
        <v>50785.44</v>
      </c>
      <c r="Z22" s="15" t="n">
        <f aca="false">IF(L22&gt;0,$Z$2/12,0)</f>
        <v>25833.3333333333</v>
      </c>
      <c r="AA22" s="15" t="n">
        <f aca="false">P22-SUM(Q22:Z22)</f>
        <v>298457.221237897</v>
      </c>
      <c r="AB22" s="15" t="n">
        <f aca="false">IF($L22&lt;0,0,IFERROR((AB$2*IFERROR(VLOOKUP(J22,Tabla11[],2,0),0))*($L22/SUM($L$5:$L$46)),0))</f>
        <v>11919.3528403653</v>
      </c>
      <c r="AC22" s="15" t="n">
        <f aca="false">L22-L22*IFERROR(VLOOKUP(J22,Tabla11[],3,0),0)-Q22-T22-U22-V22-W22-L22*$X$2-(L22*$X$2)*IFERROR(VLOOKUP(J22,Tabla11[],4,0),0)-AB22-Z22</f>
        <v>76885.1545513778</v>
      </c>
      <c r="AD22" s="15" t="n">
        <f aca="false">AA22-AB22</f>
        <v>286537.868397532</v>
      </c>
      <c r="AE22" s="15" t="n">
        <f aca="false">ROUND(AD22-AC22,9)</f>
        <v>209652.713846154</v>
      </c>
    </row>
    <row r="23" customFormat="false" ht="14.4" hidden="false" customHeight="false" outlineLevel="0" collapsed="false">
      <c r="A23" s="12"/>
      <c r="B23" s="12" t="s">
        <v>30</v>
      </c>
      <c r="C23" s="13"/>
      <c r="D23" s="12"/>
      <c r="E23" s="12" t="s">
        <v>30</v>
      </c>
      <c r="F23" s="13"/>
      <c r="G23" s="13" t="n">
        <v>3</v>
      </c>
      <c r="H23" s="13" t="s">
        <v>50</v>
      </c>
      <c r="I23" s="13" t="s">
        <v>64</v>
      </c>
      <c r="J23" s="13" t="s">
        <v>34</v>
      </c>
      <c r="K23" s="13" t="s">
        <v>65</v>
      </c>
      <c r="L23" s="12" t="n">
        <f aca="false">IFERROR(VLOOKUP(CONCATENATE(J23,K23),Ventas!D:H,4,0),0)</f>
        <v>1170487.69230769</v>
      </c>
      <c r="M23" s="12" t="n">
        <f aca="false">IF(SUM(C23,F23)&gt;0,L23*0.1,0)</f>
        <v>0</v>
      </c>
      <c r="N23" s="14" t="n">
        <f aca="false">SUM(L23:M23)</f>
        <v>1170487.69230769</v>
      </c>
      <c r="O23" s="12" t="n">
        <f aca="false">N23*IFERROR(VLOOKUP(J23,Tabla11[],3,0),0)</f>
        <v>409670.692307692</v>
      </c>
      <c r="P23" s="12" t="n">
        <f aca="false">N23-O23</f>
        <v>760817</v>
      </c>
      <c r="Q23" s="12" t="n">
        <f aca="false">IFERROR(G23/SUMIF(I:I,I23,G:G),0)*VLOOKUP(H23,Modelos[],14,0)+IFERROR(G23/SUMIF(I:I,I23,G:G),0)*VLOOKUP(I23,Tabla13[],2,0)</f>
        <v>73262.0139780406</v>
      </c>
      <c r="R23" s="12" t="n">
        <f aca="false">IFERROR(VLOOKUP(A23,Modelos[],IF(B23="EST",15,14),0),0)*C23</f>
        <v>0</v>
      </c>
      <c r="S23" s="12" t="n">
        <f aca="false">IFERROR(VLOOKUP(D23,Modelos[],IF(E23="EST",15,14),0),0)*F23</f>
        <v>0</v>
      </c>
      <c r="T23" s="12" t="n">
        <f aca="false">IF($L23&lt;0,0,IFERROR((T$2*IFERROR(VLOOKUP(J23,Tabla11[],2,0),0))*($L23/SUM($L$5:$L$46)),0))</f>
        <v>6716.92800330032</v>
      </c>
      <c r="U23" s="12" t="n">
        <f aca="false">IF($L23&lt;0,0,IFERROR((U$2*IFERROR(VLOOKUP(J23,Tabla11[],2,0),0))*($L23/SUM($L$5:$L$46)),0))</f>
        <v>1306.06933397506</v>
      </c>
      <c r="V23" s="12" t="n">
        <f aca="false">IF($L23&lt;0,0,IFERROR((V$2*IFERROR(VLOOKUP(J23,Tabla11[],2,0),0))*($L23/SUM($L$5:$L$46)),0))</f>
        <v>6716.92800330032</v>
      </c>
      <c r="W23" s="12" t="n">
        <f aca="false">IF($L23&lt;0,0,IFERROR((W$2*IFERROR(VLOOKUP(J23,Tabla11[],2,0),0))*($L23/SUM($L$5:$L$46)),0))</f>
        <v>9329.06667125044</v>
      </c>
      <c r="X23" s="12" t="n">
        <f aca="false">P23*$X$2</f>
        <v>304326.8</v>
      </c>
      <c r="Y23" s="12" t="n">
        <f aca="false">+X23*IFERROR(VLOOKUP(J23,Tabla11[],4,0),0)</f>
        <v>45649.02</v>
      </c>
      <c r="Z23" s="12" t="n">
        <f aca="false">IF(L23&gt;0,$Z$2/12,0)</f>
        <v>25833.3333333333</v>
      </c>
      <c r="AA23" s="12" t="n">
        <f aca="false">P23-SUM(Q23:Z23)</f>
        <v>287676.8406768</v>
      </c>
      <c r="AB23" s="12" t="n">
        <f aca="false">IF($L23&lt;0,0,IFERROR((AB$2*IFERROR(VLOOKUP(J23,Tabla11[],2,0),0))*($L23/SUM($L$5:$L$46)),0))</f>
        <v>10713.8340476501</v>
      </c>
      <c r="AC23" s="12" t="n">
        <f aca="false">L23-L23*IFERROR(VLOOKUP(J23,Tabla11[],3,0),0)-Q23-T23-U23-V23-W23-L23*$X$2-(L23*$X$2)*IFERROR(VLOOKUP(J23,Tabla11[],4,0),0)-AB23-Z23</f>
        <v>88514.4881676114</v>
      </c>
      <c r="AD23" s="12" t="n">
        <f aca="false">AA23-AB23</f>
        <v>276963.00662915</v>
      </c>
      <c r="AE23" s="12" t="n">
        <f aca="false">ROUND(AD23-AC23,9)</f>
        <v>188448.518461538</v>
      </c>
    </row>
    <row r="24" customFormat="false" ht="14.4" hidden="false" customHeight="false" outlineLevel="0" collapsed="false">
      <c r="A24" s="15"/>
      <c r="B24" s="15" t="s">
        <v>30</v>
      </c>
      <c r="C24" s="16"/>
      <c r="D24" s="15"/>
      <c r="E24" s="15" t="s">
        <v>30</v>
      </c>
      <c r="F24" s="16"/>
      <c r="G24" s="16" t="n">
        <v>3</v>
      </c>
      <c r="H24" s="16" t="s">
        <v>50</v>
      </c>
      <c r="I24" s="16" t="s">
        <v>64</v>
      </c>
      <c r="J24" s="16" t="s">
        <v>34</v>
      </c>
      <c r="K24" s="16" t="s">
        <v>66</v>
      </c>
      <c r="L24" s="12" t="n">
        <f aca="false">IFERROR(VLOOKUP(CONCATENATE(J24,K24),Ventas!D:H,4,0),0)</f>
        <v>1122784.61538462</v>
      </c>
      <c r="M24" s="15" t="n">
        <f aca="false">IF(SUM(C24,F24)&gt;0,L24*0.1,0)</f>
        <v>0</v>
      </c>
      <c r="N24" s="17" t="n">
        <f aca="false">SUM(L24:M24)</f>
        <v>1122784.61538462</v>
      </c>
      <c r="O24" s="15" t="n">
        <f aca="false">N24*IFERROR(VLOOKUP(J24,Tabla11[],3,0),0)</f>
        <v>392974.615384615</v>
      </c>
      <c r="P24" s="15" t="n">
        <f aca="false">N24-O24</f>
        <v>729810</v>
      </c>
      <c r="Q24" s="12" t="n">
        <f aca="false">IFERROR(G24/SUMIF(I:I,I24,G:G),0)*VLOOKUP(H24,Modelos[],14,0)+IFERROR(G24/SUMIF(I:I,I24,G:G),0)*VLOOKUP(I24,Tabla13[],2,0)</f>
        <v>73262.0139780406</v>
      </c>
      <c r="R24" s="15" t="n">
        <f aca="false">IFERROR(VLOOKUP(A24,Modelos[],IF(B24="EST",15,14),0),0)*C24</f>
        <v>0</v>
      </c>
      <c r="S24" s="15" t="n">
        <f aca="false">IFERROR(VLOOKUP(D24,Modelos[],IF(E24="EST",15,14),0),0)*F24</f>
        <v>0</v>
      </c>
      <c r="T24" s="15" t="n">
        <f aca="false">IF($L24&lt;0,0,IFERROR((T$2*IFERROR(VLOOKUP(J24,Tabla11[],2,0),0))*($L24/SUM($L$5:$L$46)),0))</f>
        <v>6443.18045744062</v>
      </c>
      <c r="U24" s="15" t="n">
        <f aca="false">IF($L24&lt;0,0,IFERROR((U$2*IFERROR(VLOOKUP(J24,Tabla11[],2,0),0))*($L24/SUM($L$5:$L$46)),0))</f>
        <v>1252.84064450234</v>
      </c>
      <c r="V24" s="15" t="n">
        <f aca="false">IF($L24&lt;0,0,IFERROR((V$2*IFERROR(VLOOKUP(J24,Tabla11[],2,0),0))*($L24/SUM($L$5:$L$46)),0))</f>
        <v>6443.18045744062</v>
      </c>
      <c r="W24" s="15" t="n">
        <f aca="false">IF($L24&lt;0,0,IFERROR((W$2*IFERROR(VLOOKUP(J24,Tabla11[],2,0),0))*($L24/SUM($L$5:$L$46)),0))</f>
        <v>8948.86174644531</v>
      </c>
      <c r="X24" s="15" t="n">
        <f aca="false">P24*$X$2</f>
        <v>291924</v>
      </c>
      <c r="Y24" s="15" t="n">
        <f aca="false">+X24*IFERROR(VLOOKUP(J24,Tabla11[],4,0),0)</f>
        <v>43788.6</v>
      </c>
      <c r="Z24" s="15" t="n">
        <f aca="false">IF(L24&gt;0,$Z$2/12,0)</f>
        <v>25833.3333333333</v>
      </c>
      <c r="AA24" s="15" t="n">
        <f aca="false">P24-SUM(Q24:Z24)</f>
        <v>271913.989382797</v>
      </c>
      <c r="AB24" s="15" t="n">
        <f aca="false">IF($L24&lt;0,0,IFERROR((AB$2*IFERROR(VLOOKUP(J24,Tabla11[],2,0),0))*($L24/SUM($L$5:$L$46)),0))</f>
        <v>10277.1931046698</v>
      </c>
      <c r="AC24" s="15" t="n">
        <f aca="false">L24-L24*IFERROR(VLOOKUP(J24,Tabla11[],3,0),0)-Q24-T24-U24-V24-W24-L24*$X$2-(L24*$X$2)*IFERROR(VLOOKUP(J24,Tabla11[],4,0),0)-AB24-Z24</f>
        <v>80868.4732012042</v>
      </c>
      <c r="AD24" s="15" t="n">
        <f aca="false">AA24-AB24</f>
        <v>261636.796278127</v>
      </c>
      <c r="AE24" s="15" t="n">
        <f aca="false">ROUND(AD24-AC24,9)</f>
        <v>180768.323076923</v>
      </c>
    </row>
    <row r="25" customFormat="false" ht="14.4" hidden="false" customHeight="false" outlineLevel="0" collapsed="false">
      <c r="A25" s="12" t="s">
        <v>46</v>
      </c>
      <c r="B25" s="12" t="s">
        <v>30</v>
      </c>
      <c r="C25" s="13" t="n">
        <v>1</v>
      </c>
      <c r="D25" s="12"/>
      <c r="E25" s="12" t="s">
        <v>30</v>
      </c>
      <c r="F25" s="13"/>
      <c r="G25" s="13" t="n">
        <v>1</v>
      </c>
      <c r="H25" s="13" t="s">
        <v>32</v>
      </c>
      <c r="I25" s="13" t="s">
        <v>38</v>
      </c>
      <c r="J25" s="13" t="s">
        <v>34</v>
      </c>
      <c r="K25" s="13" t="s">
        <v>67</v>
      </c>
      <c r="L25" s="12" t="n">
        <f aca="false">IFERROR(VLOOKUP(CONCATENATE(J25,K25),Ventas!D:H,4,0),0)</f>
        <v>1109549.23076923</v>
      </c>
      <c r="M25" s="12" t="n">
        <f aca="false">IF(SUM(C25,F25)&gt;0,L25*0.1,0)</f>
        <v>110954.923076923</v>
      </c>
      <c r="N25" s="14" t="n">
        <f aca="false">SUM(L25:M25)</f>
        <v>1220504.15384615</v>
      </c>
      <c r="O25" s="12" t="n">
        <f aca="false">N25*IFERROR(VLOOKUP(J25,Tabla11[],3,0),0)</f>
        <v>427176.453846154</v>
      </c>
      <c r="P25" s="12" t="n">
        <f aca="false">N25-O25</f>
        <v>793327.7</v>
      </c>
      <c r="Q25" s="12" t="n">
        <f aca="false">IFERROR(G25/SUMIF(I:I,I25,G:G),0)*VLOOKUP(H25,Modelos[],14,0)+IFERROR(G25/SUMIF(I:I,I25,G:G),0)*VLOOKUP(I25,Tabla13[],2,0)</f>
        <v>51647.6115349265</v>
      </c>
      <c r="R25" s="12" t="n">
        <f aca="false">IFERROR(VLOOKUP(A25,Modelos[],IF(B25="EST",15,14),0),0)*C25</f>
        <v>154393.465625</v>
      </c>
      <c r="S25" s="12" t="n">
        <f aca="false">IFERROR(VLOOKUP(D25,Modelos[],IF(E25="EST",15,14),0),0)*F25</f>
        <v>0</v>
      </c>
      <c r="T25" s="12" t="n">
        <f aca="false">IF($L25&lt;0,0,IFERROR((T$2*IFERROR(VLOOKUP(J25,Tabla11[],2,0),0))*($L25/SUM($L$5:$L$46)),0))</f>
        <v>6367.22824868032</v>
      </c>
      <c r="U25" s="12" t="n">
        <f aca="false">IF($L25&lt;0,0,IFERROR((U$2*IFERROR(VLOOKUP(J25,Tabla11[],2,0),0))*($L25/SUM($L$5:$L$46)),0))</f>
        <v>1238.07215946562</v>
      </c>
      <c r="V25" s="12" t="n">
        <f aca="false">IF($L25&lt;0,0,IFERROR((V$2*IFERROR(VLOOKUP(J25,Tabla11[],2,0),0))*($L25/SUM($L$5:$L$46)),0))</f>
        <v>6367.22824868032</v>
      </c>
      <c r="W25" s="12" t="n">
        <f aca="false">IF($L25&lt;0,0,IFERROR((W$2*IFERROR(VLOOKUP(J25,Tabla11[],2,0),0))*($L25/SUM($L$5:$L$46)),0))</f>
        <v>8843.37256761155</v>
      </c>
      <c r="X25" s="12" t="n">
        <f aca="false">P25*$X$2</f>
        <v>317331.08</v>
      </c>
      <c r="Y25" s="12" t="n">
        <f aca="false">+X25*IFERROR(VLOOKUP(J25,Tabla11[],4,0),0)</f>
        <v>47599.662</v>
      </c>
      <c r="Z25" s="12" t="n">
        <f aca="false">IF(L25&gt;0,$Z$2/12,0)</f>
        <v>25833.3333333333</v>
      </c>
      <c r="AA25" s="12" t="n">
        <f aca="false">P25-SUM(Q25:Z25)</f>
        <v>173706.646282302</v>
      </c>
      <c r="AB25" s="12" t="n">
        <f aca="false">IF($L25&lt;0,0,IFERROR((AB$2*IFERROR(VLOOKUP(J25,Tabla11[],2,0),0))*($L25/SUM($L$5:$L$46)),0))</f>
        <v>10156.0455562949</v>
      </c>
      <c r="AC25" s="12" t="n">
        <f aca="false">L25-L25*IFERROR(VLOOKUP(J25,Tabla11[],3,0),0)-Q25-T25-U25-V25-W25-L25*$X$2-(L25*$X$2)*IFERROR(VLOOKUP(J25,Tabla11[],4,0),0)-AB25-Z25</f>
        <v>100361.462197161</v>
      </c>
      <c r="AD25" s="12" t="n">
        <f aca="false">AA25-AB25</f>
        <v>163550.600726007</v>
      </c>
      <c r="AE25" s="12" t="n">
        <f aca="false">ROUND(AD25-AC25,9)</f>
        <v>63189.138528846</v>
      </c>
    </row>
    <row r="26" customFormat="false" ht="14.4" hidden="false" customHeight="false" outlineLevel="0" collapsed="false">
      <c r="A26" s="15" t="s">
        <v>46</v>
      </c>
      <c r="B26" s="15" t="s">
        <v>30</v>
      </c>
      <c r="C26" s="16" t="n">
        <v>1</v>
      </c>
      <c r="D26" s="15"/>
      <c r="E26" s="15" t="s">
        <v>30</v>
      </c>
      <c r="F26" s="16"/>
      <c r="G26" s="16" t="n">
        <v>0</v>
      </c>
      <c r="H26" s="16" t="s">
        <v>32</v>
      </c>
      <c r="I26" s="16" t="s">
        <v>68</v>
      </c>
      <c r="J26" s="16" t="s">
        <v>34</v>
      </c>
      <c r="K26" s="16" t="s">
        <v>69</v>
      </c>
      <c r="L26" s="12" t="n">
        <f aca="false">IFERROR(VLOOKUP(CONCATENATE(J26,K26),Ventas!D:H,4,0),0)</f>
        <v>1106101.53846154</v>
      </c>
      <c r="M26" s="15" t="n">
        <f aca="false">IF(SUM(C26,F26)&gt;0,L26*0.1,0)</f>
        <v>110610.153846154</v>
      </c>
      <c r="N26" s="17" t="n">
        <f aca="false">SUM(L26:M26)</f>
        <v>1216711.69230769</v>
      </c>
      <c r="O26" s="15" t="n">
        <f aca="false">N26*IFERROR(VLOOKUP(J26,Tabla11[],3,0),0)</f>
        <v>425849.092307692</v>
      </c>
      <c r="P26" s="15" t="n">
        <f aca="false">N26-O26</f>
        <v>790862.6</v>
      </c>
      <c r="Q26" s="12" t="n">
        <f aca="false">IFERROR(G26/SUMIF(I:I,I26,G:G),0)*VLOOKUP(H26,Modelos[],14,0)+IFERROR(G26/SUMIF(I:I,I26,G:G),0)*VLOOKUP(I26,Tabla13[],2,0)</f>
        <v>0</v>
      </c>
      <c r="R26" s="15" t="n">
        <f aca="false">IFERROR(VLOOKUP(A26,Modelos[],IF(B26="EST",15,14),0),0)*C26</f>
        <v>154393.465625</v>
      </c>
      <c r="S26" s="15" t="n">
        <f aca="false">IFERROR(VLOOKUP(D26,Modelos[],IF(E26="EST",15,14),0),0)*F26</f>
        <v>0</v>
      </c>
      <c r="T26" s="15" t="n">
        <f aca="false">IF($L26&lt;0,0,IFERROR((T$2*IFERROR(VLOOKUP(J26,Tabla11[],2,0),0))*($L26/SUM($L$5:$L$46)),0))</f>
        <v>6347.44341782691</v>
      </c>
      <c r="U26" s="15" t="n">
        <f aca="false">IF($L26&lt;0,0,IFERROR((U$2*IFERROR(VLOOKUP(J26,Tabla11[],2,0),0))*($L26/SUM($L$5:$L$46)),0))</f>
        <v>1234.2251090219</v>
      </c>
      <c r="V26" s="15" t="n">
        <f aca="false">IF($L26&lt;0,0,IFERROR((V$2*IFERROR(VLOOKUP(J26,Tabla11[],2,0),0))*($L26/SUM($L$5:$L$46)),0))</f>
        <v>6347.44341782691</v>
      </c>
      <c r="W26" s="15" t="n">
        <f aca="false">IF($L26&lt;0,0,IFERROR((W$2*IFERROR(VLOOKUP(J26,Tabla11[],2,0),0))*($L26/SUM($L$5:$L$46)),0))</f>
        <v>8815.89363587071</v>
      </c>
      <c r="X26" s="15" t="n">
        <f aca="false">P26*$X$2</f>
        <v>316345.04</v>
      </c>
      <c r="Y26" s="15" t="n">
        <f aca="false">+X26*IFERROR(VLOOKUP(J26,Tabla11[],4,0),0)</f>
        <v>47451.756</v>
      </c>
      <c r="Z26" s="15" t="n">
        <f aca="false">IF(L26&gt;0,$Z$2/12,0)</f>
        <v>25833.3333333333</v>
      </c>
      <c r="AA26" s="15" t="n">
        <f aca="false">P26-SUM(Q26:Z26)</f>
        <v>224093.99946112</v>
      </c>
      <c r="AB26" s="15" t="n">
        <f aca="false">IF($L26&lt;0,0,IFERROR((AB$2*IFERROR(VLOOKUP(J26,Tabla11[],2,0),0))*($L26/SUM($L$5:$L$46)),0))</f>
        <v>10124.4877676272</v>
      </c>
      <c r="AC26" s="15" t="n">
        <f aca="false">L26-L26*IFERROR(VLOOKUP(J26,Tabla11[],3,0),0)-Q26-T26-U26-V26-W26-L26*$X$2-(L26*$X$2)*IFERROR(VLOOKUP(J26,Tabla11[],4,0),0)-AB26-Z26</f>
        <v>151456.465626185</v>
      </c>
      <c r="AD26" s="15" t="n">
        <f aca="false">AA26-AB26</f>
        <v>213969.511693493</v>
      </c>
      <c r="AE26" s="15" t="n">
        <f aca="false">ROUND(AD26-AC26,9)</f>
        <v>62513.046067308</v>
      </c>
    </row>
    <row r="27" customFormat="false" ht="14.4" hidden="false" customHeight="false" outlineLevel="0" collapsed="false">
      <c r="A27" s="12" t="s">
        <v>46</v>
      </c>
      <c r="B27" s="12" t="s">
        <v>30</v>
      </c>
      <c r="C27" s="13" t="n">
        <v>1</v>
      </c>
      <c r="D27" s="12"/>
      <c r="E27" s="12" t="s">
        <v>30</v>
      </c>
      <c r="F27" s="13"/>
      <c r="G27" s="13" t="n">
        <v>2</v>
      </c>
      <c r="H27" s="13" t="s">
        <v>32</v>
      </c>
      <c r="I27" s="13" t="s">
        <v>44</v>
      </c>
      <c r="J27" s="13" t="s">
        <v>34</v>
      </c>
      <c r="K27" s="13" t="s">
        <v>70</v>
      </c>
      <c r="L27" s="12" t="n">
        <f aca="false">IFERROR(VLOOKUP(CONCATENATE(J27,K27),Ventas!D:H,4,0),0)</f>
        <v>1027076.92307692</v>
      </c>
      <c r="M27" s="12" t="n">
        <f aca="false">IF(SUM(C27,F27)&gt;0,L27*0.1,0)</f>
        <v>102707.692307692</v>
      </c>
      <c r="N27" s="14" t="n">
        <f aca="false">SUM(L27:M27)</f>
        <v>1129784.61538462</v>
      </c>
      <c r="O27" s="12" t="n">
        <f aca="false">N27*IFERROR(VLOOKUP(J27,Tabla11[],3,0),0)</f>
        <v>395424.615384615</v>
      </c>
      <c r="P27" s="12" t="n">
        <f aca="false">N27-O27</f>
        <v>734360</v>
      </c>
      <c r="Q27" s="12" t="n">
        <f aca="false">IFERROR(G27/SUMIF(I:I,I27,G:G),0)*VLOOKUP(H27,Modelos[],14,0)+IFERROR(G27/SUMIF(I:I,I27,G:G),0)*VLOOKUP(I27,Tabla13[],2,0)</f>
        <v>70667.4496744792</v>
      </c>
      <c r="R27" s="12" t="n">
        <f aca="false">IFERROR(VLOOKUP(A27,Modelos[],IF(B27="EST",15,14),0),0)*C27</f>
        <v>154393.465625</v>
      </c>
      <c r="S27" s="12" t="n">
        <f aca="false">IFERROR(VLOOKUP(D27,Modelos[],IF(E27="EST",15,14),0),0)*F27</f>
        <v>0</v>
      </c>
      <c r="T27" s="12" t="n">
        <f aca="false">IF($L27&lt;0,0,IFERROR((T$2*IFERROR(VLOOKUP(J27,Tabla11[],2,0),0))*($L27/SUM($L$5:$L$46)),0))</f>
        <v>5893.95496552166</v>
      </c>
      <c r="U27" s="12" t="n">
        <f aca="false">IF($L27&lt;0,0,IFERROR((U$2*IFERROR(VLOOKUP(J27,Tabla11[],2,0),0))*($L27/SUM($L$5:$L$46)),0))</f>
        <v>1146.04679885143</v>
      </c>
      <c r="V27" s="12" t="n">
        <f aca="false">IF($L27&lt;0,0,IFERROR((V$2*IFERROR(VLOOKUP(J27,Tabla11[],2,0),0))*($L27/SUM($L$5:$L$46)),0))</f>
        <v>5893.95496552166</v>
      </c>
      <c r="W27" s="12" t="n">
        <f aca="false">IF($L27&lt;0,0,IFERROR((W$2*IFERROR(VLOOKUP(J27,Tabla11[],2,0),0))*($L27/SUM($L$5:$L$46)),0))</f>
        <v>8186.04856322452</v>
      </c>
      <c r="X27" s="12" t="n">
        <f aca="false">P27*$X$2</f>
        <v>293744</v>
      </c>
      <c r="Y27" s="12" t="n">
        <f aca="false">+X27*IFERROR(VLOOKUP(J27,Tabla11[],4,0),0)</f>
        <v>44061.6</v>
      </c>
      <c r="Z27" s="12" t="n">
        <f aca="false">IF(L27&gt;0,$Z$2/12,0)</f>
        <v>25833.3333333333</v>
      </c>
      <c r="AA27" s="12" t="n">
        <f aca="false">P27-SUM(Q27:Z27)</f>
        <v>124540.146074068</v>
      </c>
      <c r="AB27" s="12" t="n">
        <f aca="false">IF($L27&lt;0,0,IFERROR((AB$2*IFERROR(VLOOKUP(J27,Tabla11[],2,0),0))*($L27/SUM($L$5:$L$46)),0))</f>
        <v>9401.15114437668</v>
      </c>
      <c r="AC27" s="12" t="n">
        <f aca="false">L27-L27*IFERROR(VLOOKUP(J27,Tabla11[],3,0),0)-Q27-T27-U27-V27-W27-L27*$X$2-(L27*$X$2)*IFERROR(VLOOKUP(J27,Tabla11[],4,0),0)-AB27-Z27</f>
        <v>68122.6759393068</v>
      </c>
      <c r="AD27" s="12" t="n">
        <f aca="false">AA27-AB27</f>
        <v>115138.994929692</v>
      </c>
      <c r="AE27" s="12" t="n">
        <f aca="false">ROUND(AD27-AC27,9)</f>
        <v>47016.318990385</v>
      </c>
    </row>
    <row r="28" customFormat="false" ht="14.4" hidden="false" customHeight="false" outlineLevel="0" collapsed="false">
      <c r="A28" s="15"/>
      <c r="B28" s="15" t="s">
        <v>30</v>
      </c>
      <c r="C28" s="16"/>
      <c r="D28" s="15"/>
      <c r="E28" s="15" t="s">
        <v>30</v>
      </c>
      <c r="F28" s="16"/>
      <c r="G28" s="16" t="n">
        <v>3</v>
      </c>
      <c r="H28" s="16" t="s">
        <v>50</v>
      </c>
      <c r="I28" s="16" t="s">
        <v>53</v>
      </c>
      <c r="J28" s="16" t="s">
        <v>34</v>
      </c>
      <c r="K28" s="16" t="s">
        <v>71</v>
      </c>
      <c r="L28" s="12" t="n">
        <f aca="false">IFERROR(VLOOKUP(CONCATENATE(J28,K28),Ventas!D:H,4,0),0)</f>
        <v>977453.846153846</v>
      </c>
      <c r="M28" s="15" t="n">
        <f aca="false">IF(SUM(C28,F28)&gt;0,L28*0.1,0)</f>
        <v>0</v>
      </c>
      <c r="N28" s="17" t="n">
        <f aca="false">SUM(L28:M28)</f>
        <v>977453.846153846</v>
      </c>
      <c r="O28" s="15" t="n">
        <f aca="false">N28*IFERROR(VLOOKUP(J28,Tabla11[],3,0),0)</f>
        <v>342108.846153846</v>
      </c>
      <c r="P28" s="15" t="n">
        <f aca="false">N28-O28</f>
        <v>635345</v>
      </c>
      <c r="Q28" s="12" t="n">
        <f aca="false">IFERROR(G28/SUMIF(I:I,I28,G:G),0)*VLOOKUP(H28,Modelos[],14,0)+IFERROR(G28/SUMIF(I:I,I28,G:G),0)*VLOOKUP(I28,Tabla13[],2,0)</f>
        <v>69504.9876201923</v>
      </c>
      <c r="R28" s="15" t="n">
        <f aca="false">IFERROR(VLOOKUP(A28,Modelos[],IF(B28="EST",15,14),0),0)*C28</f>
        <v>0</v>
      </c>
      <c r="S28" s="15" t="n">
        <f aca="false">IFERROR(VLOOKUP(D28,Modelos[],IF(E28="EST",15,14),0),0)*F28</f>
        <v>0</v>
      </c>
      <c r="T28" s="15" t="n">
        <f aca="false">IF($L28&lt;0,0,IFERROR((T$2*IFERROR(VLOOKUP(J28,Tabla11[],2,0),0))*($L28/SUM($L$5:$L$46)),0))</f>
        <v>5609.18936124829</v>
      </c>
      <c r="U28" s="15" t="n">
        <f aca="false">IF($L28&lt;0,0,IFERROR((U$2*IFERROR(VLOOKUP(J28,Tabla11[],2,0),0))*($L28/SUM($L$5:$L$46)),0))</f>
        <v>1090.67570913161</v>
      </c>
      <c r="V28" s="15" t="n">
        <f aca="false">IF($L28&lt;0,0,IFERROR((V$2*IFERROR(VLOOKUP(J28,Tabla11[],2,0),0))*($L28/SUM($L$5:$L$46)),0))</f>
        <v>5609.18936124829</v>
      </c>
      <c r="W28" s="15" t="n">
        <f aca="false">IF($L28&lt;0,0,IFERROR((W$2*IFERROR(VLOOKUP(J28,Tabla11[],2,0),0))*($L28/SUM($L$5:$L$46)),0))</f>
        <v>7790.54077951151</v>
      </c>
      <c r="X28" s="15" t="n">
        <f aca="false">P28*$X$2</f>
        <v>254138</v>
      </c>
      <c r="Y28" s="15" t="n">
        <f aca="false">+X28*IFERROR(VLOOKUP(J28,Tabla11[],4,0),0)</f>
        <v>38120.7</v>
      </c>
      <c r="Z28" s="15" t="n">
        <f aca="false">IF(L28&gt;0,$Z$2/12,0)</f>
        <v>25833.3333333333</v>
      </c>
      <c r="AA28" s="15" t="n">
        <f aca="false">P28-SUM(Q28:Z28)</f>
        <v>227648.383835335</v>
      </c>
      <c r="AB28" s="15" t="n">
        <f aca="false">IF($L28&lt;0,0,IFERROR((AB$2*IFERROR(VLOOKUP(J28,Tabla11[],2,0),0))*($L28/SUM($L$5:$L$46)),0))</f>
        <v>8946.93585054524</v>
      </c>
      <c r="AC28" s="15" t="n">
        <f aca="false">L28-L28*IFERROR(VLOOKUP(J28,Tabla11[],3,0),0)-Q28-T28-U28-V28-W28-L28*$X$2-(L28*$X$2)*IFERROR(VLOOKUP(J28,Tabla11[],4,0),0)-AB28-Z28</f>
        <v>61331.3787540201</v>
      </c>
      <c r="AD28" s="15" t="n">
        <f aca="false">AA28-AB28</f>
        <v>218701.447984789</v>
      </c>
      <c r="AE28" s="15" t="n">
        <f aca="false">ROUND(AD28-AC28,9)</f>
        <v>157370.069230769</v>
      </c>
    </row>
    <row r="29" customFormat="false" ht="14.4" hidden="false" customHeight="false" outlineLevel="0" collapsed="false">
      <c r="A29" s="12"/>
      <c r="B29" s="12" t="s">
        <v>30</v>
      </c>
      <c r="C29" s="13"/>
      <c r="D29" s="12"/>
      <c r="E29" s="12" t="s">
        <v>30</v>
      </c>
      <c r="F29" s="13"/>
      <c r="G29" s="13" t="n">
        <v>3</v>
      </c>
      <c r="H29" s="13" t="s">
        <v>50</v>
      </c>
      <c r="I29" s="13" t="s">
        <v>64</v>
      </c>
      <c r="J29" s="13" t="s">
        <v>34</v>
      </c>
      <c r="K29" s="13" t="s">
        <v>72</v>
      </c>
      <c r="L29" s="12" t="n">
        <f aca="false">IFERROR(VLOOKUP(CONCATENATE(J29,K29),Ventas!D:H,4,0),0)</f>
        <v>965001.538461538</v>
      </c>
      <c r="M29" s="12" t="n">
        <f aca="false">IF(SUM(C29,F29)&gt;0,L29*0.1,0)</f>
        <v>0</v>
      </c>
      <c r="N29" s="14" t="n">
        <f aca="false">SUM(L29:M29)</f>
        <v>965001.538461538</v>
      </c>
      <c r="O29" s="12" t="n">
        <f aca="false">N29*IFERROR(VLOOKUP(J29,Tabla11[],3,0),0)</f>
        <v>337750.538461538</v>
      </c>
      <c r="P29" s="12" t="n">
        <f aca="false">N29-O29</f>
        <v>627251</v>
      </c>
      <c r="Q29" s="12" t="n">
        <f aca="false">IFERROR(G29/SUMIF(I:I,I29,G:G),0)*VLOOKUP(H29,Modelos[],14,0)+IFERROR(G29/SUMIF(I:I,I29,G:G),0)*VLOOKUP(I29,Tabla13[],2,0)</f>
        <v>73262.0139780406</v>
      </c>
      <c r="R29" s="12" t="n">
        <f aca="false">IFERROR(VLOOKUP(A29,Modelos[],IF(B29="EST",15,14),0),0)*C29</f>
        <v>0</v>
      </c>
      <c r="S29" s="12" t="n">
        <f aca="false">IFERROR(VLOOKUP(D29,Modelos[],IF(E29="EST",15,14),0),0)*F29</f>
        <v>0</v>
      </c>
      <c r="T29" s="12" t="n">
        <f aca="false">IF($L29&lt;0,0,IFERROR((T$2*IFERROR(VLOOKUP(J29,Tabla11[],2,0),0))*($L29/SUM($L$5:$L$46)),0))</f>
        <v>5537.73089586343</v>
      </c>
      <c r="U29" s="12" t="n">
        <f aca="false">IF($L29&lt;0,0,IFERROR((U$2*IFERROR(VLOOKUP(J29,Tabla11[],2,0),0))*($L29/SUM($L$5:$L$46)),0))</f>
        <v>1076.781007529</v>
      </c>
      <c r="V29" s="12" t="n">
        <f aca="false">IF($L29&lt;0,0,IFERROR((V$2*IFERROR(VLOOKUP(J29,Tabla11[],2,0),0))*($L29/SUM($L$5:$L$46)),0))</f>
        <v>5537.73089586343</v>
      </c>
      <c r="W29" s="12" t="n">
        <f aca="false">IF($L29&lt;0,0,IFERROR((W$2*IFERROR(VLOOKUP(J29,Tabla11[],2,0),0))*($L29/SUM($L$5:$L$46)),0))</f>
        <v>7691.29291092143</v>
      </c>
      <c r="X29" s="12" t="n">
        <f aca="false">P29*$X$2</f>
        <v>250900.4</v>
      </c>
      <c r="Y29" s="12" t="n">
        <f aca="false">+X29*IFERROR(VLOOKUP(J29,Tabla11[],4,0),0)</f>
        <v>37635.06</v>
      </c>
      <c r="Z29" s="12" t="n">
        <f aca="false">IF(L29&gt;0,$Z$2/12,0)</f>
        <v>25833.3333333333</v>
      </c>
      <c r="AA29" s="12" t="n">
        <f aca="false">P29-SUM(Q29:Z29)</f>
        <v>219776.656978449</v>
      </c>
      <c r="AB29" s="12" t="n">
        <f aca="false">IF($L29&lt;0,0,IFERROR((AB$2*IFERROR(VLOOKUP(J29,Tabla11[],2,0),0))*($L29/SUM($L$5:$L$46)),0))</f>
        <v>8832.9560462274</v>
      </c>
      <c r="AC29" s="12" t="n">
        <f aca="false">L29-L29*IFERROR(VLOOKUP(J29,Tabla11[],3,0),0)-Q29-T29-U29-V29-W29-L29*$X$2-(L29*$X$2)*IFERROR(VLOOKUP(J29,Tabla11[],4,0),0)-AB29-Z29</f>
        <v>55578.4532399139</v>
      </c>
      <c r="AD29" s="12" t="n">
        <f aca="false">AA29-AB29</f>
        <v>210943.700932221</v>
      </c>
      <c r="AE29" s="12" t="n">
        <f aca="false">ROUND(AD29-AC29,9)</f>
        <v>155365.247692308</v>
      </c>
    </row>
    <row r="30" customFormat="false" ht="14.4" hidden="false" customHeight="false" outlineLevel="0" collapsed="false">
      <c r="A30" s="15"/>
      <c r="B30" s="15" t="s">
        <v>30</v>
      </c>
      <c r="C30" s="16"/>
      <c r="D30" s="15"/>
      <c r="E30" s="15" t="s">
        <v>30</v>
      </c>
      <c r="F30" s="16"/>
      <c r="G30" s="16" t="n">
        <v>3</v>
      </c>
      <c r="H30" s="16" t="s">
        <v>32</v>
      </c>
      <c r="I30" s="16" t="s">
        <v>33</v>
      </c>
      <c r="J30" s="16" t="s">
        <v>34</v>
      </c>
      <c r="K30" s="16" t="s">
        <v>73</v>
      </c>
      <c r="L30" s="12" t="n">
        <f aca="false">IFERROR(VLOOKUP(CONCATENATE(J30,K30),Ventas!D:H,4,0),0)</f>
        <v>928841.538461538</v>
      </c>
      <c r="M30" s="15" t="n">
        <f aca="false">IF(SUM(C30,F30)&gt;0,L30*0.1,0)</f>
        <v>0</v>
      </c>
      <c r="N30" s="17" t="n">
        <f aca="false">SUM(L30:M30)</f>
        <v>928841.538461538</v>
      </c>
      <c r="O30" s="15" t="n">
        <f aca="false">N30*IFERROR(VLOOKUP(J30,Tabla11[],3,0),0)</f>
        <v>325094.538461538</v>
      </c>
      <c r="P30" s="15" t="n">
        <f aca="false">N30-O30</f>
        <v>603747</v>
      </c>
      <c r="Q30" s="12" t="n">
        <f aca="false">IFERROR(G30/SUMIF(I:I,I30,G:G),0)*VLOOKUP(H30,Modelos[],14,0)+IFERROR(G30/SUMIF(I:I,I30,G:G),0)*VLOOKUP(I30,Tabla13[],2,0)</f>
        <v>123633.062541118</v>
      </c>
      <c r="R30" s="15" t="n">
        <f aca="false">IFERROR(VLOOKUP(A30,Modelos[],IF(B30="EST",15,14),0),0)*C30</f>
        <v>0</v>
      </c>
      <c r="S30" s="15" t="n">
        <f aca="false">IFERROR(VLOOKUP(D30,Modelos[],IF(E30="EST",15,14),0),0)*F30</f>
        <v>0</v>
      </c>
      <c r="T30" s="15" t="n">
        <f aca="false">IF($L30&lt;0,0,IFERROR((T$2*IFERROR(VLOOKUP(J30,Tabla11[],2,0),0))*($L30/SUM($L$5:$L$46)),0))</f>
        <v>5330.22412907251</v>
      </c>
      <c r="U30" s="15" t="n">
        <f aca="false">IF($L30&lt;0,0,IFERROR((U$2*IFERROR(VLOOKUP(J30,Tabla11[],2,0),0))*($L30/SUM($L$5:$L$46)),0))</f>
        <v>1036.43246954188</v>
      </c>
      <c r="V30" s="15" t="n">
        <f aca="false">IF($L30&lt;0,0,IFERROR((V$2*IFERROR(VLOOKUP(J30,Tabla11[],2,0),0))*($L30/SUM($L$5:$L$46)),0))</f>
        <v>5330.22412907251</v>
      </c>
      <c r="W30" s="15" t="n">
        <f aca="false">IF($L30&lt;0,0,IFERROR((W$2*IFERROR(VLOOKUP(J30,Tabla11[],2,0),0))*($L30/SUM($L$5:$L$46)),0))</f>
        <v>7403.08906815626</v>
      </c>
      <c r="X30" s="15" t="n">
        <f aca="false">P30*$X$2</f>
        <v>241498.8</v>
      </c>
      <c r="Y30" s="15" t="n">
        <f aca="false">+X30*IFERROR(VLOOKUP(J30,Tabla11[],4,0),0)</f>
        <v>36224.82</v>
      </c>
      <c r="Z30" s="15" t="n">
        <f aca="false">IF(L30&gt;0,$Z$2/12,0)</f>
        <v>25833.3333333333</v>
      </c>
      <c r="AA30" s="15" t="n">
        <f aca="false">P30-SUM(Q30:Z30)</f>
        <v>157457.014329705</v>
      </c>
      <c r="AB30" s="15" t="n">
        <f aca="false">IF($L30&lt;0,0,IFERROR((AB$2*IFERROR(VLOOKUP(J30,Tabla11[],2,0),0))*($L30/SUM($L$5:$L$46)),0))</f>
        <v>8501.97243853203</v>
      </c>
      <c r="AC30" s="15" t="n">
        <f aca="false">L30-L30*IFERROR(VLOOKUP(J30,Tabla11[],3,0),0)-Q30-T30-U30-V30-W30-L30*$X$2-(L30*$X$2)*IFERROR(VLOOKUP(J30,Tabla11[],4,0),0)-AB30-Z30</f>
        <v>-588.445801134585</v>
      </c>
      <c r="AD30" s="15" t="n">
        <f aca="false">AA30-AB30</f>
        <v>148955.041891173</v>
      </c>
      <c r="AE30" s="15" t="n">
        <f aca="false">ROUND(AD30-AC30,9)</f>
        <v>149543.487692308</v>
      </c>
    </row>
    <row r="31" customFormat="false" ht="14.4" hidden="false" customHeight="false" outlineLevel="0" collapsed="false">
      <c r="A31" s="12"/>
      <c r="B31" s="12" t="s">
        <v>30</v>
      </c>
      <c r="C31" s="13"/>
      <c r="D31" s="12"/>
      <c r="E31" s="12" t="s">
        <v>30</v>
      </c>
      <c r="F31" s="13"/>
      <c r="G31" s="13" t="n">
        <v>3</v>
      </c>
      <c r="H31" s="13" t="s">
        <v>50</v>
      </c>
      <c r="I31" s="13" t="s">
        <v>51</v>
      </c>
      <c r="J31" s="13" t="s">
        <v>34</v>
      </c>
      <c r="K31" s="13" t="s">
        <v>74</v>
      </c>
      <c r="L31" s="12" t="n">
        <f aca="false">IFERROR(VLOOKUP(CONCATENATE(J31,K31),Ventas!D:H,4,0),0)</f>
        <v>877984.615384615</v>
      </c>
      <c r="M31" s="12" t="n">
        <f aca="false">IF(SUM(C31,F31)&gt;0,L31*0.1,0)</f>
        <v>0</v>
      </c>
      <c r="N31" s="14" t="n">
        <f aca="false">SUM(L31:M31)</f>
        <v>877984.615384615</v>
      </c>
      <c r="O31" s="12" t="n">
        <f aca="false">N31*IFERROR(VLOOKUP(J31,Tabla11[],3,0),0)</f>
        <v>307294.615384615</v>
      </c>
      <c r="P31" s="12" t="n">
        <f aca="false">N31-O31</f>
        <v>570690</v>
      </c>
      <c r="Q31" s="12" t="n">
        <f aca="false">IFERROR(G31/SUMIF(I:I,I31,G:G),0)*VLOOKUP(H31,Modelos[],14,0)+IFERROR(G31/SUMIF(I:I,I31,G:G),0)*VLOOKUP(I31,Tabla13[],2,0)</f>
        <v>69504.9876201923</v>
      </c>
      <c r="R31" s="12" t="n">
        <f aca="false">IFERROR(VLOOKUP(A31,Modelos[],IF(B31="EST",15,14),0),0)*C31</f>
        <v>0</v>
      </c>
      <c r="S31" s="12" t="n">
        <f aca="false">IFERROR(VLOOKUP(D31,Modelos[],IF(E31="EST",15,14),0),0)*F31</f>
        <v>0</v>
      </c>
      <c r="T31" s="12" t="n">
        <f aca="false">IF($L31&lt;0,0,IFERROR((T$2*IFERROR(VLOOKUP(J31,Tabla11[],2,0),0))*($L31/SUM($L$5:$L$46)),0))</f>
        <v>5038.37800969676</v>
      </c>
      <c r="U31" s="12" t="n">
        <f aca="false">IF($L31&lt;0,0,IFERROR((U$2*IFERROR(VLOOKUP(J31,Tabla11[],2,0),0))*($L31/SUM($L$5:$L$46)),0))</f>
        <v>979.684612996592</v>
      </c>
      <c r="V31" s="12" t="n">
        <f aca="false">IF($L31&lt;0,0,IFERROR((V$2*IFERROR(VLOOKUP(J31,Tabla11[],2,0),0))*($L31/SUM($L$5:$L$46)),0))</f>
        <v>5038.37800969676</v>
      </c>
      <c r="W31" s="12" t="n">
        <f aca="false">IF($L31&lt;0,0,IFERROR((W$2*IFERROR(VLOOKUP(J31,Tabla11[],2,0),0))*($L31/SUM($L$5:$L$46)),0))</f>
        <v>6997.74723568994</v>
      </c>
      <c r="X31" s="12" t="n">
        <f aca="false">P31*$X$2</f>
        <v>228276</v>
      </c>
      <c r="Y31" s="12" t="n">
        <f aca="false">+X31*IFERROR(VLOOKUP(J31,Tabla11[],4,0),0)</f>
        <v>34241.4</v>
      </c>
      <c r="Z31" s="12" t="n">
        <f aca="false">IF(L31&gt;0,$Z$2/12,0)</f>
        <v>25833.3333333333</v>
      </c>
      <c r="AA31" s="12" t="n">
        <f aca="false">P31-SUM(Q31:Z31)</f>
        <v>194780.091178394</v>
      </c>
      <c r="AB31" s="12" t="n">
        <f aca="false">IF($L31&lt;0,0,IFERROR((AB$2*IFERROR(VLOOKUP(J31,Tabla11[],2,0),0))*($L31/SUM($L$5:$L$46)),0))</f>
        <v>8036.46337115687</v>
      </c>
      <c r="AC31" s="12" t="n">
        <f aca="false">L31-L31*IFERROR(VLOOKUP(J31,Tabla11[],3,0),0)-Q31-T31-U31-V31-W31-L31*$X$2-(L31*$X$2)*IFERROR(VLOOKUP(J31,Tabla11[],4,0),0)-AB31-Z31</f>
        <v>45388.1047303142</v>
      </c>
      <c r="AD31" s="12" t="n">
        <f aca="false">AA31-AB31</f>
        <v>186743.627807237</v>
      </c>
      <c r="AE31" s="12" t="n">
        <f aca="false">ROUND(AD31-AC31,9)</f>
        <v>141355.523076923</v>
      </c>
    </row>
    <row r="32" customFormat="false" ht="14.4" hidden="false" customHeight="false" outlineLevel="0" collapsed="false">
      <c r="A32" s="15"/>
      <c r="B32" s="15" t="s">
        <v>30</v>
      </c>
      <c r="C32" s="16"/>
      <c r="D32" s="15"/>
      <c r="E32" s="15" t="s">
        <v>30</v>
      </c>
      <c r="F32" s="16"/>
      <c r="G32" s="16" t="n">
        <v>3</v>
      </c>
      <c r="H32" s="16" t="s">
        <v>50</v>
      </c>
      <c r="I32" s="16" t="s">
        <v>51</v>
      </c>
      <c r="J32" s="16" t="s">
        <v>34</v>
      </c>
      <c r="K32" s="16" t="s">
        <v>75</v>
      </c>
      <c r="L32" s="12" t="n">
        <f aca="false">IFERROR(VLOOKUP(CONCATENATE(J32,K32),Ventas!D:H,4,0),0)</f>
        <v>850635.384615385</v>
      </c>
      <c r="M32" s="15" t="n">
        <f aca="false">IF(SUM(C32,F32)&gt;0,L32*0.1,0)</f>
        <v>0</v>
      </c>
      <c r="N32" s="17" t="n">
        <f aca="false">SUM(L32:M32)</f>
        <v>850635.384615385</v>
      </c>
      <c r="O32" s="15" t="n">
        <f aca="false">N32*IFERROR(VLOOKUP(J32,Tabla11[],3,0),0)</f>
        <v>297722.384615385</v>
      </c>
      <c r="P32" s="15" t="n">
        <f aca="false">N32-O32</f>
        <v>552913</v>
      </c>
      <c r="Q32" s="12" t="n">
        <f aca="false">IFERROR(G32/SUMIF(I:I,I32,G:G),0)*VLOOKUP(H32,Modelos[],14,0)+IFERROR(G32/SUMIF(I:I,I32,G:G),0)*VLOOKUP(I32,Tabla13[],2,0)</f>
        <v>69504.9876201923</v>
      </c>
      <c r="R32" s="15" t="n">
        <f aca="false">IFERROR(VLOOKUP(A32,Modelos[],IF(B32="EST",15,14),0),0)*C32</f>
        <v>0</v>
      </c>
      <c r="S32" s="15" t="n">
        <f aca="false">IFERROR(VLOOKUP(D32,Modelos[],IF(E32="EST",15,14),0),0)*F32</f>
        <v>0</v>
      </c>
      <c r="T32" s="15" t="n">
        <f aca="false">IF($L32&lt;0,0,IFERROR((T$2*IFERROR(VLOOKUP(J32,Tabla11[],2,0),0))*($L32/SUM($L$5:$L$46)),0))</f>
        <v>4881.43247730898</v>
      </c>
      <c r="U32" s="15" t="n">
        <f aca="false">IF($L32&lt;0,0,IFERROR((U$2*IFERROR(VLOOKUP(J32,Tabla11[],2,0),0))*($L32/SUM($L$5:$L$46)),0))</f>
        <v>949.167426143413</v>
      </c>
      <c r="V32" s="15" t="n">
        <f aca="false">IF($L32&lt;0,0,IFERROR((V$2*IFERROR(VLOOKUP(J32,Tabla11[],2,0),0))*($L32/SUM($L$5:$L$46)),0))</f>
        <v>4881.43247730898</v>
      </c>
      <c r="W32" s="15" t="n">
        <f aca="false">IF($L32&lt;0,0,IFERROR((W$2*IFERROR(VLOOKUP(J32,Tabla11[],2,0),0))*($L32/SUM($L$5:$L$46)),0))</f>
        <v>6779.76732959581</v>
      </c>
      <c r="X32" s="15" t="n">
        <f aca="false">P32*$X$2</f>
        <v>221165.2</v>
      </c>
      <c r="Y32" s="15" t="n">
        <f aca="false">+X32*IFERROR(VLOOKUP(J32,Tabla11[],4,0),0)</f>
        <v>33174.78</v>
      </c>
      <c r="Z32" s="15" t="n">
        <f aca="false">IF(L32&gt;0,$Z$2/12,0)</f>
        <v>25833.3333333333</v>
      </c>
      <c r="AA32" s="15" t="n">
        <f aca="false">P32-SUM(Q32:Z32)</f>
        <v>185742.899336117</v>
      </c>
      <c r="AB32" s="15" t="n">
        <f aca="false">IF($L32&lt;0,0,IFERROR((AB$2*IFERROR(VLOOKUP(J32,Tabla11[],2,0),0))*($L32/SUM($L$5:$L$46)),0))</f>
        <v>7786.12744561225</v>
      </c>
      <c r="AC32" s="15" t="n">
        <f aca="false">L32-L32*IFERROR(VLOOKUP(J32,Tabla11[],3,0),0)-Q32-T32-U32-V32-W32-L32*$X$2-(L32*$X$2)*IFERROR(VLOOKUP(J32,Tabla11[],4,0),0)-AB32-Z32</f>
        <v>41004.474967428</v>
      </c>
      <c r="AD32" s="15" t="n">
        <f aca="false">AA32-AB32</f>
        <v>177956.771890505</v>
      </c>
      <c r="AE32" s="15" t="n">
        <f aca="false">ROUND(AD32-AC32,9)</f>
        <v>136952.296923077</v>
      </c>
    </row>
    <row r="33" customFormat="false" ht="14.4" hidden="false" customHeight="false" outlineLevel="0" collapsed="false">
      <c r="A33" s="12"/>
      <c r="B33" s="12" t="s">
        <v>30</v>
      </c>
      <c r="C33" s="13"/>
      <c r="D33" s="12"/>
      <c r="E33" s="12" t="s">
        <v>30</v>
      </c>
      <c r="F33" s="13"/>
      <c r="G33" s="13" t="n">
        <v>3</v>
      </c>
      <c r="H33" s="13" t="s">
        <v>40</v>
      </c>
      <c r="I33" s="13" t="s">
        <v>76</v>
      </c>
      <c r="J33" s="13" t="s">
        <v>34</v>
      </c>
      <c r="K33" s="13" t="s">
        <v>77</v>
      </c>
      <c r="L33" s="12" t="n">
        <f aca="false">IFERROR(VLOOKUP(CONCATENATE(J33,K33),Ventas!D:H,4,0),0)</f>
        <v>827649.230769231</v>
      </c>
      <c r="M33" s="12" t="n">
        <f aca="false">IF(SUM(C33,F33)&gt;0,L33*0.1,0)</f>
        <v>0</v>
      </c>
      <c r="N33" s="14" t="n">
        <f aca="false">SUM(L33:M33)</f>
        <v>827649.230769231</v>
      </c>
      <c r="O33" s="12" t="n">
        <f aca="false">N33*IFERROR(VLOOKUP(J33,Tabla11[],3,0),0)</f>
        <v>289677.230769231</v>
      </c>
      <c r="P33" s="12" t="n">
        <f aca="false">N33-O33</f>
        <v>537972</v>
      </c>
      <c r="Q33" s="12" t="n">
        <f aca="false">IFERROR(G33/SUMIF(I:I,I33,G:G),0)*VLOOKUP(H33,Modelos[],14,0)+IFERROR(G33/SUMIF(I:I,I33,G:G),0)*VLOOKUP(I33,Tabla13[],2,0)</f>
        <v>128242.75203125</v>
      </c>
      <c r="R33" s="12" t="n">
        <f aca="false">IFERROR(VLOOKUP(A33,Modelos[],IF(B33="EST",15,14),0),0)*C33</f>
        <v>0</v>
      </c>
      <c r="S33" s="12" t="n">
        <f aca="false">IFERROR(VLOOKUP(D33,Modelos[],IF(E33="EST",15,14),0),0)*F33</f>
        <v>0</v>
      </c>
      <c r="T33" s="12" t="n">
        <f aca="false">IF($L33&lt;0,0,IFERROR((T$2*IFERROR(VLOOKUP(J33,Tabla11[],2,0),0))*($L33/SUM($L$5:$L$46)),0))</f>
        <v>4749.52477638049</v>
      </c>
      <c r="U33" s="12" t="n">
        <f aca="false">IF($L33&lt;0,0,IFERROR((U$2*IFERROR(VLOOKUP(J33,Tabla11[],2,0),0))*($L33/SUM($L$5:$L$46)),0))</f>
        <v>923.518706518429</v>
      </c>
      <c r="V33" s="12" t="n">
        <f aca="false">IF($L33&lt;0,0,IFERROR((V$2*IFERROR(VLOOKUP(J33,Tabla11[],2,0),0))*($L33/SUM($L$5:$L$46)),0))</f>
        <v>4749.52477638049</v>
      </c>
      <c r="W33" s="12" t="n">
        <f aca="false">IF($L33&lt;0,0,IFERROR((W$2*IFERROR(VLOOKUP(J33,Tabla11[],2,0),0))*($L33/SUM($L$5:$L$46)),0))</f>
        <v>6596.56218941735</v>
      </c>
      <c r="X33" s="12" t="n">
        <f aca="false">P33*$X$2</f>
        <v>215188.8</v>
      </c>
      <c r="Y33" s="12" t="n">
        <f aca="false">+X33*IFERROR(VLOOKUP(J33,Tabla11[],4,0),0)</f>
        <v>32278.32</v>
      </c>
      <c r="Z33" s="12" t="n">
        <f aca="false">IF(L33&gt;0,$Z$2/12,0)</f>
        <v>25833.3333333333</v>
      </c>
      <c r="AA33" s="12" t="n">
        <f aca="false">P33-SUM(Q33:Z33)</f>
        <v>119409.66418672</v>
      </c>
      <c r="AB33" s="12" t="n">
        <f aca="false">IF($L33&lt;0,0,IFERROR((AB$2*IFERROR(VLOOKUP(J33,Tabla11[],2,0),0))*($L33/SUM($L$5:$L$46)),0))</f>
        <v>7575.72810581577</v>
      </c>
      <c r="AC33" s="12" t="n">
        <f aca="false">L33-L33*IFERROR(VLOOKUP(J33,Tabla11[],3,0),0)-Q33-T33-U33-V33-W33-L33*$X$2-(L33*$X$2)*IFERROR(VLOOKUP(J33,Tabla11[],4,0),0)-AB33-Z33</f>
        <v>-21417.5900729421</v>
      </c>
      <c r="AD33" s="12" t="n">
        <f aca="false">AA33-AB33</f>
        <v>111833.936080904</v>
      </c>
      <c r="AE33" s="12" t="n">
        <f aca="false">ROUND(AD33-AC33,9)</f>
        <v>133251.526153846</v>
      </c>
    </row>
    <row r="34" customFormat="false" ht="14.4" hidden="false" customHeight="false" outlineLevel="0" collapsed="false">
      <c r="A34" s="15"/>
      <c r="B34" s="15" t="s">
        <v>30</v>
      </c>
      <c r="C34" s="16"/>
      <c r="D34" s="15"/>
      <c r="E34" s="15" t="s">
        <v>30</v>
      </c>
      <c r="F34" s="16"/>
      <c r="G34" s="16" t="n">
        <v>3</v>
      </c>
      <c r="H34" s="16" t="s">
        <v>32</v>
      </c>
      <c r="I34" s="16" t="s">
        <v>44</v>
      </c>
      <c r="J34" s="16" t="s">
        <v>34</v>
      </c>
      <c r="K34" s="16" t="s">
        <v>78</v>
      </c>
      <c r="L34" s="12" t="n">
        <f aca="false">IFERROR(VLOOKUP(CONCATENATE(J34,K34),Ventas!D:H,4,0),0)</f>
        <v>459901.538461538</v>
      </c>
      <c r="M34" s="15" t="n">
        <f aca="false">IF(SUM(C34,F34)&gt;0,L34*0.1,0)</f>
        <v>0</v>
      </c>
      <c r="N34" s="17" t="n">
        <f aca="false">SUM(L34:M34)</f>
        <v>459901.538461538</v>
      </c>
      <c r="O34" s="15" t="n">
        <f aca="false">N34*IFERROR(VLOOKUP(J34,Tabla11[],3,0),0)</f>
        <v>160965.538461538</v>
      </c>
      <c r="P34" s="15" t="n">
        <f aca="false">N34-O34</f>
        <v>298936</v>
      </c>
      <c r="Q34" s="12" t="n">
        <f aca="false">IFERROR(G34/SUMIF(I:I,I34,G:G),0)*VLOOKUP(H34,Modelos[],14,0)+IFERROR(G34/SUMIF(I:I,I34,G:G),0)*VLOOKUP(I34,Tabla13[],2,0)</f>
        <v>106001.174511719</v>
      </c>
      <c r="R34" s="15" t="n">
        <f aca="false">IFERROR(VLOOKUP(A34,Modelos[],IF(B34="EST",15,14),0),0)*C34</f>
        <v>0</v>
      </c>
      <c r="S34" s="15" t="n">
        <f aca="false">IFERROR(VLOOKUP(D34,Modelos[],IF(E34="EST",15,14),0),0)*F34</f>
        <v>0</v>
      </c>
      <c r="T34" s="15" t="n">
        <f aca="false">IF($L34&lt;0,0,IFERROR((T$2*IFERROR(VLOOKUP(J34,Tabla11[],2,0),0))*($L34/SUM($L$5:$L$46)),0))</f>
        <v>2639.17813297361</v>
      </c>
      <c r="U34" s="15" t="n">
        <f aca="false">IF($L34&lt;0,0,IFERROR((U$2*IFERROR(VLOOKUP(J34,Tabla11[],2,0),0))*($L34/SUM($L$5:$L$46)),0))</f>
        <v>513.17352585598</v>
      </c>
      <c r="V34" s="15" t="n">
        <f aca="false">IF($L34&lt;0,0,IFERROR((V$2*IFERROR(VLOOKUP(J34,Tabla11[],2,0),0))*($L34/SUM($L$5:$L$46)),0))</f>
        <v>2639.17813297361</v>
      </c>
      <c r="W34" s="15" t="n">
        <f aca="false">IF($L34&lt;0,0,IFERROR((W$2*IFERROR(VLOOKUP(J34,Tabla11[],2,0),0))*($L34/SUM($L$5:$L$46)),0))</f>
        <v>3665.52518468557</v>
      </c>
      <c r="X34" s="15" t="n">
        <f aca="false">P34*$X$2</f>
        <v>119574.4</v>
      </c>
      <c r="Y34" s="15" t="n">
        <f aca="false">+X34*IFERROR(VLOOKUP(J34,Tabla11[],4,0),0)</f>
        <v>17936.16</v>
      </c>
      <c r="Z34" s="15" t="n">
        <f aca="false">IF(L34&gt;0,$Z$2/12,0)</f>
        <v>25833.3333333333</v>
      </c>
      <c r="AA34" s="15" t="n">
        <f aca="false">P34-SUM(Q34:Z34)</f>
        <v>20133.8771784591</v>
      </c>
      <c r="AB34" s="15" t="n">
        <f aca="false">IF($L34&lt;0,0,IFERROR((AB$2*IFERROR(VLOOKUP(J34,Tabla11[],2,0),0))*($L34/SUM($L$5:$L$46)),0))</f>
        <v>4209.62030931005</v>
      </c>
      <c r="AC34" s="15" t="n">
        <f aca="false">L34-L34*IFERROR(VLOOKUP(J34,Tabla11[],3,0),0)-Q34-T34-U34-V34-W34-L34*$X$2-(L34*$X$2)*IFERROR(VLOOKUP(J34,Tabla11[],4,0),0)-AB34-Z34</f>
        <v>-58119.8908231586</v>
      </c>
      <c r="AD34" s="15" t="n">
        <f aca="false">AA34-AB34</f>
        <v>15924.256869149</v>
      </c>
      <c r="AE34" s="15" t="n">
        <f aca="false">ROUND(AD34-AC34,9)</f>
        <v>74044.147692308</v>
      </c>
    </row>
    <row r="35" customFormat="false" ht="14.4" hidden="false" customHeight="false" outlineLevel="0" collapsed="false">
      <c r="A35" s="12"/>
      <c r="B35" s="12" t="s">
        <v>30</v>
      </c>
      <c r="C35" s="13"/>
      <c r="D35" s="12"/>
      <c r="E35" s="12" t="s">
        <v>30</v>
      </c>
      <c r="F35" s="13"/>
      <c r="G35" s="13" t="n">
        <v>3</v>
      </c>
      <c r="H35" s="13" t="s">
        <v>32</v>
      </c>
      <c r="I35" s="13" t="s">
        <v>33</v>
      </c>
      <c r="J35" s="13" t="s">
        <v>34</v>
      </c>
      <c r="K35" s="13" t="s">
        <v>79</v>
      </c>
      <c r="L35" s="12" t="n">
        <f aca="false">IFERROR(VLOOKUP(CONCATENATE(J35,K35),Ventas!D:H,4,0),0)</f>
        <v>375944.615384615</v>
      </c>
      <c r="M35" s="12" t="n">
        <f aca="false">IF(SUM(C35,F35)&gt;0,L35*0.1,0)</f>
        <v>0</v>
      </c>
      <c r="N35" s="14" t="n">
        <f aca="false">SUM(L35:M35)</f>
        <v>375944.615384615</v>
      </c>
      <c r="O35" s="12" t="n">
        <f aca="false">N35*IFERROR(VLOOKUP(J35,Tabla11[],3,0),0)</f>
        <v>131580.615384615</v>
      </c>
      <c r="P35" s="12" t="n">
        <f aca="false">N35-O35</f>
        <v>244364</v>
      </c>
      <c r="Q35" s="12" t="n">
        <f aca="false">IFERROR(G35/SUMIF(I:I,I35,G:G),0)*VLOOKUP(H35,Modelos[],14,0)+IFERROR(G35/SUMIF(I:I,I35,G:G),0)*VLOOKUP(I35,Tabla13[],2,0)</f>
        <v>123633.062541118</v>
      </c>
      <c r="R35" s="12" t="n">
        <f aca="false">IFERROR(VLOOKUP(A35,Modelos[],IF(B35="EST",15,14),0),0)*C35</f>
        <v>0</v>
      </c>
      <c r="S35" s="12" t="n">
        <f aca="false">IFERROR(VLOOKUP(D35,Modelos[],IF(E35="EST",15,14),0),0)*F35</f>
        <v>0</v>
      </c>
      <c r="T35" s="12" t="n">
        <f aca="false">IF($L35&lt;0,0,IFERROR((T$2*IFERROR(VLOOKUP(J35,Tabla11[],2,0),0))*($L35/SUM($L$5:$L$46)),0))</f>
        <v>2157.38527740374</v>
      </c>
      <c r="U35" s="12" t="n">
        <f aca="false">IF($L35&lt;0,0,IFERROR((U$2*IFERROR(VLOOKUP(J35,Tabla11[],2,0),0))*($L35/SUM($L$5:$L$46)),0))</f>
        <v>419.491581717393</v>
      </c>
      <c r="V35" s="12" t="n">
        <f aca="false">IF($L35&lt;0,0,IFERROR((V$2*IFERROR(VLOOKUP(J35,Tabla11[],2,0),0))*($L35/SUM($L$5:$L$46)),0))</f>
        <v>2157.38527740374</v>
      </c>
      <c r="W35" s="12" t="n">
        <f aca="false">IF($L35&lt;0,0,IFERROR((W$2*IFERROR(VLOOKUP(J35,Tabla11[],2,0),0))*($L35/SUM($L$5:$L$46)),0))</f>
        <v>2996.36844083852</v>
      </c>
      <c r="X35" s="12" t="n">
        <f aca="false">P35*$X$2</f>
        <v>97745.6</v>
      </c>
      <c r="Y35" s="12" t="n">
        <f aca="false">+X35*IFERROR(VLOOKUP(J35,Tabla11[],4,0),0)</f>
        <v>14661.84</v>
      </c>
      <c r="Z35" s="12" t="n">
        <f aca="false">IF(L35&gt;0,$Z$2/12,0)</f>
        <v>25833.3333333333</v>
      </c>
      <c r="AA35" s="12" t="n">
        <f aca="false">P35-SUM(Q35:Z35)</f>
        <v>-25240.4664518152</v>
      </c>
      <c r="AB35" s="12" t="n">
        <f aca="false">IF($L35&lt;0,0,IFERROR((AB$2*IFERROR(VLOOKUP(J35,Tabla11[],2,0),0))*($L35/SUM($L$5:$L$46)),0))</f>
        <v>3441.13675590842</v>
      </c>
      <c r="AC35" s="12" t="n">
        <f aca="false">L35-L35*IFERROR(VLOOKUP(J35,Tabla11[],3,0),0)-Q35-T35-U35-V35-W35-L35*$X$2-(L35*$X$2)*IFERROR(VLOOKUP(J35,Tabla11[],4,0),0)-AB35-Z35</f>
        <v>-89208.6862846467</v>
      </c>
      <c r="AD35" s="12" t="n">
        <f aca="false">AA35-AB35</f>
        <v>-28681.6032077236</v>
      </c>
      <c r="AE35" s="12" t="n">
        <f aca="false">ROUND(AD35-AC35,9)</f>
        <v>60527.083076923</v>
      </c>
    </row>
    <row r="36" customFormat="false" ht="14.4" hidden="false" customHeight="false" outlineLevel="0" collapsed="false">
      <c r="A36" s="15"/>
      <c r="B36" s="15" t="s">
        <v>30</v>
      </c>
      <c r="C36" s="16"/>
      <c r="D36" s="15"/>
      <c r="E36" s="15" t="s">
        <v>30</v>
      </c>
      <c r="F36" s="16"/>
      <c r="G36" s="16" t="n">
        <v>0</v>
      </c>
      <c r="H36" s="16" t="s">
        <v>50</v>
      </c>
      <c r="I36" s="16" t="s">
        <v>53</v>
      </c>
      <c r="J36" s="16" t="s">
        <v>34</v>
      </c>
      <c r="K36" s="16" t="s">
        <v>80</v>
      </c>
      <c r="L36" s="12" t="n">
        <f aca="false">IFERROR(VLOOKUP(CONCATENATE(J36,K36),Ventas!D:H,4,0),0)</f>
        <v>61570.7692307692</v>
      </c>
      <c r="M36" s="15" t="n">
        <f aca="false">IF(SUM(C36,F36)&gt;0,L36*0.1,0)</f>
        <v>0</v>
      </c>
      <c r="N36" s="17" t="n">
        <f aca="false">SUM(L36:M36)</f>
        <v>61570.7692307692</v>
      </c>
      <c r="O36" s="15" t="n">
        <f aca="false">N36*IFERROR(VLOOKUP(J36,Tabla11[],3,0),0)</f>
        <v>21549.7692307692</v>
      </c>
      <c r="P36" s="15" t="n">
        <f aca="false">N36-O36</f>
        <v>40021</v>
      </c>
      <c r="Q36" s="12" t="n">
        <f aca="false">IFERROR(G36/SUMIF(I:I,I36,G:G),0)*VLOOKUP(H36,Modelos[],14,0)+IFERROR(G36/SUMIF(I:I,I36,G:G),0)*VLOOKUP(I36,Tabla13[],2,0)</f>
        <v>0</v>
      </c>
      <c r="R36" s="15" t="n">
        <f aca="false">IFERROR(VLOOKUP(A36,Modelos[],IF(B36="EST",15,14),0),0)*C36</f>
        <v>0</v>
      </c>
      <c r="S36" s="15" t="n">
        <f aca="false">IFERROR(VLOOKUP(D36,Modelos[],IF(E36="EST",15,14),0),0)*F36</f>
        <v>0</v>
      </c>
      <c r="T36" s="15" t="n">
        <f aca="false">IF($L36&lt;0,0,IFERROR((T$2*IFERROR(VLOOKUP(J36,Tabla11[],2,0),0))*($L36/SUM($L$5:$L$46)),0))</f>
        <v>353.328297895659</v>
      </c>
      <c r="U36" s="15" t="n">
        <f aca="false">IF($L36&lt;0,0,IFERROR((U$2*IFERROR(VLOOKUP(J36,Tabla11[],2,0),0))*($L36/SUM($L$5:$L$46)),0))</f>
        <v>68.7027245908227</v>
      </c>
      <c r="V36" s="15" t="n">
        <f aca="false">IF($L36&lt;0,0,IFERROR((V$2*IFERROR(VLOOKUP(J36,Tabla11[],2,0),0))*($L36/SUM($L$5:$L$46)),0))</f>
        <v>353.328297895659</v>
      </c>
      <c r="W36" s="15" t="n">
        <f aca="false">IF($L36&lt;0,0,IFERROR((W$2*IFERROR(VLOOKUP(J36,Tabla11[],2,0),0))*($L36/SUM($L$5:$L$46)),0))</f>
        <v>490.733747077305</v>
      </c>
      <c r="X36" s="15" t="n">
        <f aca="false">P36*$X$2</f>
        <v>16008.4</v>
      </c>
      <c r="Y36" s="15" t="n">
        <f aca="false">+X36*IFERROR(VLOOKUP(J36,Tabla11[],4,0),0)</f>
        <v>2401.26</v>
      </c>
      <c r="Z36" s="15" t="n">
        <f aca="false">IF(L36&gt;0,$Z$2/12,0)</f>
        <v>25833.3333333333</v>
      </c>
      <c r="AA36" s="15" t="n">
        <f aca="false">P36-SUM(Q36:Z36)</f>
        <v>-5488.08640079277</v>
      </c>
      <c r="AB36" s="15" t="n">
        <f aca="false">IF($L36&lt;0,0,IFERROR((AB$2*IFERROR(VLOOKUP(J36,Tabla11[],2,0),0))*($L36/SUM($L$5:$L$46)),0))</f>
        <v>563.576198246104</v>
      </c>
      <c r="AC36" s="15" t="n">
        <f aca="false">L36-L36*IFERROR(VLOOKUP(J36,Tabla11[],3,0),0)-Q36-T36-U36-V36-W36-L36*$X$2-(L36*$X$2)*IFERROR(VLOOKUP(J36,Tabla11[],4,0),0)-AB36-Z36</f>
        <v>-15964.5564451927</v>
      </c>
      <c r="AD36" s="15" t="n">
        <f aca="false">AA36-AB36</f>
        <v>-6051.66259903888</v>
      </c>
      <c r="AE36" s="15" t="n">
        <f aca="false">ROUND(AD36-AC36,9)</f>
        <v>9912.893846154</v>
      </c>
    </row>
    <row r="37" customFormat="false" ht="14.4" hidden="false" customHeight="false" outlineLevel="0" collapsed="false">
      <c r="A37" s="12"/>
      <c r="B37" s="12" t="s">
        <v>30</v>
      </c>
      <c r="C37" s="13"/>
      <c r="D37" s="12"/>
      <c r="E37" s="12" t="s">
        <v>30</v>
      </c>
      <c r="F37" s="13"/>
      <c r="G37" s="13" t="n">
        <v>0</v>
      </c>
      <c r="H37" s="13" t="s">
        <v>50</v>
      </c>
      <c r="I37" s="13" t="s">
        <v>51</v>
      </c>
      <c r="J37" s="13" t="s">
        <v>34</v>
      </c>
      <c r="K37" s="13" t="s">
        <v>81</v>
      </c>
      <c r="L37" s="12" t="n">
        <f aca="false">IFERROR(VLOOKUP(CONCATENATE(J37,K37),Ventas!D:H,4,0),0)</f>
        <v>27861.5384615385</v>
      </c>
      <c r="M37" s="12" t="n">
        <f aca="false">IF(SUM(C37,F37)&gt;0,L37*0.1,0)</f>
        <v>0</v>
      </c>
      <c r="N37" s="14" t="n">
        <f aca="false">SUM(L37:M37)</f>
        <v>27861.5384615385</v>
      </c>
      <c r="O37" s="12" t="n">
        <f aca="false">N37*IFERROR(VLOOKUP(J37,Tabla11[],3,0),0)</f>
        <v>9751.53846153846</v>
      </c>
      <c r="P37" s="12" t="n">
        <f aca="false">N37-O37</f>
        <v>18110</v>
      </c>
      <c r="Q37" s="12" t="n">
        <f aca="false">IFERROR(G37/SUMIF(I:I,I37,G:G),0)*VLOOKUP(H37,Modelos[],14,0)+IFERROR(G37/SUMIF(I:I,I37,G:G),0)*VLOOKUP(I37,Tabla13[],2,0)</f>
        <v>0</v>
      </c>
      <c r="R37" s="12" t="n">
        <f aca="false">IFERROR(VLOOKUP(A37,Modelos[],IF(B37="EST",15,14),0),0)*C37</f>
        <v>0</v>
      </c>
      <c r="S37" s="12" t="n">
        <f aca="false">IFERROR(VLOOKUP(D37,Modelos[],IF(E37="EST",15,14),0),0)*F37</f>
        <v>0</v>
      </c>
      <c r="T37" s="12" t="n">
        <f aca="false">IF($L37&lt;0,0,IFERROR((T$2*IFERROR(VLOOKUP(J37,Tabla11[],2,0),0))*($L37/SUM($L$5:$L$46)),0))</f>
        <v>159.885447012578</v>
      </c>
      <c r="U37" s="12" t="n">
        <f aca="false">IF($L37&lt;0,0,IFERROR((U$2*IFERROR(VLOOKUP(J37,Tabla11[],2,0),0))*($L37/SUM($L$5:$L$46)),0))</f>
        <v>31.0888369191124</v>
      </c>
      <c r="V37" s="12" t="n">
        <f aca="false">IF($L37&lt;0,0,IFERROR((V$2*IFERROR(VLOOKUP(J37,Tabla11[],2,0),0))*($L37/SUM($L$5:$L$46)),0))</f>
        <v>159.885447012578</v>
      </c>
      <c r="W37" s="12" t="n">
        <f aca="false">IF($L37&lt;0,0,IFERROR((W$2*IFERROR(VLOOKUP(J37,Tabla11[],2,0),0))*($L37/SUM($L$5:$L$46)),0))</f>
        <v>222.063120850803</v>
      </c>
      <c r="X37" s="12" t="n">
        <f aca="false">P37*$X$2</f>
        <v>7244</v>
      </c>
      <c r="Y37" s="12" t="n">
        <f aca="false">+X37*IFERROR(VLOOKUP(J37,Tabla11[],4,0),0)</f>
        <v>1086.6</v>
      </c>
      <c r="Z37" s="12" t="n">
        <f aca="false">IF(L37&gt;0,$Z$2/12,0)</f>
        <v>25833.3333333333</v>
      </c>
      <c r="AA37" s="12" t="n">
        <f aca="false">P37-SUM(Q37:Z37)</f>
        <v>-16626.8561851284</v>
      </c>
      <c r="AB37" s="12" t="n">
        <f aca="false">IF($L37&lt;0,0,IFERROR((AB$2*IFERROR(VLOOKUP(J37,Tabla11[],2,0),0))*($L37/SUM($L$5:$L$46)),0))</f>
        <v>255.025235507282</v>
      </c>
      <c r="AC37" s="12" t="n">
        <f aca="false">L37-L37*IFERROR(VLOOKUP(J37,Tabla11[],3,0),0)-Q37-T37-U37-V37-W37-L37*$X$2-(L37*$X$2)*IFERROR(VLOOKUP(J37,Tabla11[],4,0),0)-AB37-Z37</f>
        <v>-21367.5891129434</v>
      </c>
      <c r="AD37" s="12" t="n">
        <f aca="false">AA37-AB37</f>
        <v>-16881.8814206357</v>
      </c>
      <c r="AE37" s="12" t="n">
        <f aca="false">ROUND(AD37-AC37,9)</f>
        <v>4485.707692308</v>
      </c>
    </row>
    <row r="38" customFormat="false" ht="14.4" hidden="false" customHeight="false" outlineLevel="0" collapsed="false">
      <c r="A38" s="15" t="s">
        <v>46</v>
      </c>
      <c r="B38" s="15" t="s">
        <v>30</v>
      </c>
      <c r="C38" s="16" t="n">
        <v>1</v>
      </c>
      <c r="D38" s="15"/>
      <c r="E38" s="15" t="s">
        <v>30</v>
      </c>
      <c r="F38" s="16"/>
      <c r="G38" s="16" t="n">
        <v>3</v>
      </c>
      <c r="H38" s="16" t="s">
        <v>32</v>
      </c>
      <c r="I38" s="16" t="s">
        <v>56</v>
      </c>
      <c r="J38" s="16" t="s">
        <v>34</v>
      </c>
      <c r="K38" s="16" t="s">
        <v>82</v>
      </c>
      <c r="L38" s="12" t="n">
        <v>1000000</v>
      </c>
      <c r="M38" s="15" t="n">
        <f aca="false">IF(SUM(C38,F38)&gt;0,L38*0.1,0)</f>
        <v>100000</v>
      </c>
      <c r="N38" s="17" t="n">
        <f aca="false">SUM(L38:M38)</f>
        <v>1100000</v>
      </c>
      <c r="O38" s="15" t="n">
        <f aca="false">N38*IFERROR(VLOOKUP(J38,Tabla11[],3,0),0)</f>
        <v>385000</v>
      </c>
      <c r="P38" s="15" t="n">
        <f aca="false">N38-O38</f>
        <v>715000</v>
      </c>
      <c r="Q38" s="12" t="n">
        <f aca="false">IFERROR(G38/SUMIF(I:I,I38,G:G),0)*VLOOKUP(H38,Modelos[],14,0)+IFERROR(G38/SUMIF(I:I,I38,G:G),0)*VLOOKUP(I38,Tabla13[],2,0)</f>
        <v>161601.87921875</v>
      </c>
      <c r="R38" s="15" t="n">
        <f aca="false">IFERROR(VLOOKUP(A38,Modelos[],IF(B38="EST",15,14),0),0)*C38</f>
        <v>154393.465625</v>
      </c>
      <c r="S38" s="15" t="n">
        <f aca="false">IFERROR(VLOOKUP(D38,Modelos[],IF(E38="EST",15,14),0),0)*F38</f>
        <v>0</v>
      </c>
      <c r="T38" s="15" t="n">
        <f aca="false">IF($L38&lt;0,0,IFERROR((T$2*IFERROR(VLOOKUP(J38,Tabla11[],2,0),0))*($L38/SUM($L$5:$L$46)),0))</f>
        <v>5738.57209045698</v>
      </c>
      <c r="U38" s="15" t="n">
        <f aca="false">IF($L38&lt;0,0,IFERROR((U$2*IFERROR(VLOOKUP(J38,Tabla11[],2,0),0))*($L38/SUM($L$5:$L$46)),0))</f>
        <v>1115.8334620333</v>
      </c>
      <c r="V38" s="15" t="n">
        <f aca="false">IF($L38&lt;0,0,IFERROR((V$2*IFERROR(VLOOKUP(J38,Tabla11[],2,0),0))*($L38/SUM($L$5:$L$46)),0))</f>
        <v>5738.57209045698</v>
      </c>
      <c r="W38" s="15" t="n">
        <f aca="false">IF($L38&lt;0,0,IFERROR((W$2*IFERROR(VLOOKUP(J38,Tabla11[],2,0),0))*($L38/SUM($L$5:$L$46)),0))</f>
        <v>7970.23901452358</v>
      </c>
      <c r="X38" s="15" t="n">
        <f aca="false">P38*$X$2</f>
        <v>286000</v>
      </c>
      <c r="Y38" s="15" t="n">
        <f aca="false">+X38*IFERROR(VLOOKUP(J38,Tabla11[],4,0),0)</f>
        <v>42900</v>
      </c>
      <c r="Z38" s="15" t="n">
        <f aca="false">IF(L38&gt;0,$Z$2/12,0)</f>
        <v>25833.3333333333</v>
      </c>
      <c r="AA38" s="15" t="n">
        <f aca="false">P38-SUM(Q38:Z38)</f>
        <v>23708.1051654458</v>
      </c>
      <c r="AB38" s="15" t="n">
        <f aca="false">IF($L38&lt;0,0,IFERROR((AB$2*IFERROR(VLOOKUP(J38,Tabla11[],2,0),0))*($L38/SUM($L$5:$L$46)),0))</f>
        <v>9153.30773493835</v>
      </c>
      <c r="AC38" s="15" t="n">
        <f aca="false">L38-L38*IFERROR(VLOOKUP(J38,Tabla11[],3,0),0)-Q38-T38-U38-V38-W38-L38*$X$2-(L38*$X$2)*IFERROR(VLOOKUP(J38,Tabla11[],4,0),0)-AB38-Z38</f>
        <v>-27151.7369444925</v>
      </c>
      <c r="AD38" s="15" t="n">
        <f aca="false">AA38-AB38</f>
        <v>14554.7974305075</v>
      </c>
      <c r="AE38" s="15" t="n">
        <f aca="false">ROUND(AD38-AC38,9)</f>
        <v>41706.534375</v>
      </c>
    </row>
    <row r="39" customFormat="false" ht="14.4" hidden="false" customHeight="false" outlineLevel="0" collapsed="false">
      <c r="A39" s="12" t="s">
        <v>31</v>
      </c>
      <c r="B39" s="12" t="s">
        <v>30</v>
      </c>
      <c r="C39" s="13" t="n">
        <v>1</v>
      </c>
      <c r="D39" s="12"/>
      <c r="E39" s="12" t="s">
        <v>30</v>
      </c>
      <c r="F39" s="13"/>
      <c r="G39" s="13" t="n">
        <v>3</v>
      </c>
      <c r="H39" s="13" t="s">
        <v>40</v>
      </c>
      <c r="I39" s="13" t="s">
        <v>83</v>
      </c>
      <c r="J39" s="13" t="s">
        <v>34</v>
      </c>
      <c r="K39" s="13" t="s">
        <v>83</v>
      </c>
      <c r="L39" s="12" t="n">
        <v>1000000</v>
      </c>
      <c r="M39" s="12" t="n">
        <f aca="false">IF(SUM(C39,F39)&gt;0,L39*0.1,0)</f>
        <v>100000</v>
      </c>
      <c r="N39" s="14" t="n">
        <f aca="false">SUM(L39:M39)</f>
        <v>1100000</v>
      </c>
      <c r="O39" s="12" t="n">
        <f aca="false">N39*IFERROR(VLOOKUP(J39,Tabla11[],3,0),0)</f>
        <v>385000</v>
      </c>
      <c r="P39" s="12" t="n">
        <f aca="false">N39-O39</f>
        <v>715000</v>
      </c>
      <c r="Q39" s="12" t="n">
        <f aca="false">IFERROR(G39/SUMIF(I:I,I39,G:G),0)*VLOOKUP(H39,Modelos[],14,0)+IFERROR(G39/SUMIF(I:I,I39,G:G),0)*VLOOKUP(I39,Tabla13[],2,0)</f>
        <v>121576.085364583</v>
      </c>
      <c r="R39" s="12" t="n">
        <f aca="false">IFERROR(VLOOKUP(A39,Modelos[],IF(B39="EST",15,14),0),0)*C39</f>
        <v>204526.8003975</v>
      </c>
      <c r="S39" s="12" t="n">
        <f aca="false">IFERROR(VLOOKUP(D39,Modelos[],IF(E39="EST",15,14),0),0)*F39</f>
        <v>0</v>
      </c>
      <c r="T39" s="12" t="n">
        <f aca="false">IF($L39&lt;0,0,IFERROR((T$2*IFERROR(VLOOKUP(J39,Tabla11[],2,0),0))*($L39/SUM($L$5:$L$46)),0))</f>
        <v>5738.57209045698</v>
      </c>
      <c r="U39" s="12" t="n">
        <f aca="false">IF($L39&lt;0,0,IFERROR((U$2*IFERROR(VLOOKUP(J39,Tabla11[],2,0),0))*($L39/SUM($L$5:$L$46)),0))</f>
        <v>1115.8334620333</v>
      </c>
      <c r="V39" s="12" t="n">
        <f aca="false">IF($L39&lt;0,0,IFERROR((V$2*IFERROR(VLOOKUP(J39,Tabla11[],2,0),0))*($L39/SUM($L$5:$L$46)),0))</f>
        <v>5738.57209045698</v>
      </c>
      <c r="W39" s="12" t="n">
        <f aca="false">IF($L39&lt;0,0,IFERROR((W$2*IFERROR(VLOOKUP(J39,Tabla11[],2,0),0))*($L39/SUM($L$5:$L$46)),0))</f>
        <v>7970.23901452358</v>
      </c>
      <c r="X39" s="12" t="n">
        <f aca="false">P39*$X$2</f>
        <v>286000</v>
      </c>
      <c r="Y39" s="12" t="n">
        <f aca="false">+X39*IFERROR(VLOOKUP(J39,Tabla11[],4,0),0)</f>
        <v>42900</v>
      </c>
      <c r="Z39" s="12" t="n">
        <f aca="false">IF(L39&gt;0,$Z$2/12,0)</f>
        <v>25833.3333333333</v>
      </c>
      <c r="AA39" s="12" t="n">
        <f aca="false">P39-SUM(Q39:Z39)</f>
        <v>13600.5642471126</v>
      </c>
      <c r="AB39" s="12" t="n">
        <f aca="false">IF($L39&lt;0,0,IFERROR((AB$2*IFERROR(VLOOKUP(J39,Tabla11[],2,0),0))*($L39/SUM($L$5:$L$46)),0))</f>
        <v>9153.30773493835</v>
      </c>
      <c r="AC39" s="12" t="n">
        <f aca="false">L39-L39*IFERROR(VLOOKUP(J39,Tabla11[],3,0),0)-Q39-T39-U39-V39-W39-L39*$X$2-(L39*$X$2)*IFERROR(VLOOKUP(J39,Tabla11[],4,0),0)-AB39-Z39</f>
        <v>12874.0569096742</v>
      </c>
      <c r="AD39" s="12" t="n">
        <f aca="false">AA39-AB39</f>
        <v>4447.25651217426</v>
      </c>
      <c r="AE39" s="12" t="n">
        <f aca="false">ROUND(AD39-AC39,9)</f>
        <v>-8426.8003975</v>
      </c>
    </row>
    <row r="40" customFormat="false" ht="14.4" hidden="false" customHeight="false" outlineLevel="0" collapsed="false">
      <c r="A40" s="15"/>
      <c r="B40" s="15" t="s">
        <v>30</v>
      </c>
      <c r="C40" s="16"/>
      <c r="D40" s="15"/>
      <c r="E40" s="15" t="s">
        <v>30</v>
      </c>
      <c r="F40" s="16"/>
      <c r="G40" s="16" t="n">
        <v>3</v>
      </c>
      <c r="H40" s="16" t="s">
        <v>50</v>
      </c>
      <c r="I40" s="16" t="s">
        <v>51</v>
      </c>
      <c r="J40" s="16" t="s">
        <v>34</v>
      </c>
      <c r="K40" s="16" t="s">
        <v>84</v>
      </c>
      <c r="L40" s="12" t="n">
        <v>1000000</v>
      </c>
      <c r="M40" s="15" t="n">
        <f aca="false">IF(SUM(C40,F40)&gt;0,L40*0.1,0)</f>
        <v>0</v>
      </c>
      <c r="N40" s="17" t="n">
        <f aca="false">SUM(L40:M40)</f>
        <v>1000000</v>
      </c>
      <c r="O40" s="15" t="n">
        <f aca="false">N40*IFERROR(VLOOKUP(J40,Tabla11[],3,0),0)</f>
        <v>350000</v>
      </c>
      <c r="P40" s="15" t="n">
        <f aca="false">N40-O40</f>
        <v>650000</v>
      </c>
      <c r="Q40" s="12" t="n">
        <f aca="false">IFERROR(G40/SUMIF(I:I,I40,G:G),0)*VLOOKUP(H40,Modelos[],14,0)+IFERROR(G40/SUMIF(I:I,I40,G:G),0)*VLOOKUP(I40,Tabla13[],2,0)</f>
        <v>69504.9876201923</v>
      </c>
      <c r="R40" s="15" t="n">
        <f aca="false">IFERROR(VLOOKUP(A40,Modelos[],IF(B40="EST",15,14),0),0)*C40</f>
        <v>0</v>
      </c>
      <c r="S40" s="15" t="n">
        <f aca="false">IFERROR(VLOOKUP(D40,Modelos[],IF(E40="EST",15,14),0),0)*F40</f>
        <v>0</v>
      </c>
      <c r="T40" s="15" t="n">
        <f aca="false">IF($L40&lt;0,0,IFERROR((T$2*IFERROR(VLOOKUP(J40,Tabla11[],2,0),0))*($L40/SUM($L$5:$L$46)),0))</f>
        <v>5738.57209045698</v>
      </c>
      <c r="U40" s="15" t="n">
        <f aca="false">IF($L40&lt;0,0,IFERROR((U$2*IFERROR(VLOOKUP(J40,Tabla11[],2,0),0))*($L40/SUM($L$5:$L$46)),0))</f>
        <v>1115.8334620333</v>
      </c>
      <c r="V40" s="15" t="n">
        <f aca="false">IF($L40&lt;0,0,IFERROR((V$2*IFERROR(VLOOKUP(J40,Tabla11[],2,0),0))*($L40/SUM($L$5:$L$46)),0))</f>
        <v>5738.57209045698</v>
      </c>
      <c r="W40" s="15" t="n">
        <f aca="false">IF($L40&lt;0,0,IFERROR((W$2*IFERROR(VLOOKUP(J40,Tabla11[],2,0),0))*($L40/SUM($L$5:$L$46)),0))</f>
        <v>7970.23901452358</v>
      </c>
      <c r="X40" s="15" t="n">
        <f aca="false">P40*$X$2</f>
        <v>260000</v>
      </c>
      <c r="Y40" s="15" t="n">
        <f aca="false">+X40*IFERROR(VLOOKUP(J40,Tabla11[],4,0),0)</f>
        <v>39000</v>
      </c>
      <c r="Z40" s="15" t="n">
        <f aca="false">IF(L40&gt;0,$Z$2/12,0)</f>
        <v>25833.3333333333</v>
      </c>
      <c r="AA40" s="15" t="n">
        <f aca="false">P40-SUM(Q40:Z40)</f>
        <v>235098.462389004</v>
      </c>
      <c r="AB40" s="15" t="n">
        <f aca="false">IF($L40&lt;0,0,IFERROR((AB$2*IFERROR(VLOOKUP(J40,Tabla11[],2,0),0))*($L40/SUM($L$5:$L$46)),0))</f>
        <v>9153.30773493835</v>
      </c>
      <c r="AC40" s="15" t="n">
        <f aca="false">L40-L40*IFERROR(VLOOKUP(J40,Tabla11[],3,0),0)-Q40-T40-U40-V40-W40-L40*$X$2-(L40*$X$2)*IFERROR(VLOOKUP(J40,Tabla11[],4,0),0)-AB40-Z40</f>
        <v>64945.1546540652</v>
      </c>
      <c r="AD40" s="15" t="n">
        <f aca="false">AA40-AB40</f>
        <v>225945.154654065</v>
      </c>
      <c r="AE40" s="15" t="n">
        <f aca="false">ROUND(AD40-AC40,9)</f>
        <v>161000</v>
      </c>
    </row>
    <row r="41" customFormat="false" ht="14.4" hidden="false" customHeight="false" outlineLevel="0" collapsed="false">
      <c r="A41" s="12" t="s">
        <v>48</v>
      </c>
      <c r="B41" s="12" t="s">
        <v>30</v>
      </c>
      <c r="C41" s="13" t="n">
        <v>1</v>
      </c>
      <c r="D41" s="12" t="s">
        <v>49</v>
      </c>
      <c r="E41" s="12" t="s">
        <v>30</v>
      </c>
      <c r="F41" s="13" t="n">
        <v>1</v>
      </c>
      <c r="G41" s="13" t="n">
        <v>2</v>
      </c>
      <c r="H41" s="13" t="s">
        <v>50</v>
      </c>
      <c r="I41" s="13" t="s">
        <v>51</v>
      </c>
      <c r="J41" s="13" t="s">
        <v>85</v>
      </c>
      <c r="K41" s="13" t="s">
        <v>52</v>
      </c>
      <c r="L41" s="12" t="n">
        <f aca="false">IFERROR(VLOOKUP(CONCATENATE(J41,K41),Ventas!D:H,4,0),0)</f>
        <v>4567765.38461538</v>
      </c>
      <c r="M41" s="12" t="n">
        <f aca="false">IF(SUM(C41,F41)&gt;0,L41*0.1,0)</f>
        <v>456776.538461538</v>
      </c>
      <c r="N41" s="14" t="n">
        <f aca="false">SUM(L41:M41)</f>
        <v>5024541.92307692</v>
      </c>
      <c r="O41" s="12" t="n">
        <f aca="false">N41*IFERROR(VLOOKUP(J41,Tabla11[],3,0),0)</f>
        <v>1758589.67307692</v>
      </c>
      <c r="P41" s="12" t="n">
        <f aca="false">N41-O41</f>
        <v>3265952.25</v>
      </c>
      <c r="Q41" s="12" t="n">
        <f aca="false">IFERROR(G41/SUMIF(I:I,I41,G:G),0)*VLOOKUP(H41,Modelos[],14,0)+IFERROR(G41/SUMIF(I:I,I41,G:G),0)*VLOOKUP(I41,Tabla13[],2,0)</f>
        <v>46336.6584134615</v>
      </c>
      <c r="R41" s="12" t="n">
        <f aca="false">IFERROR(VLOOKUP(A41,Modelos[],IF(B41="EST",15,14),0),0)*C41</f>
        <v>598680.58796875</v>
      </c>
      <c r="S41" s="12" t="n">
        <f aca="false">IFERROR(VLOOKUP(D41,Modelos[],IF(E41="EST",15,14),0),0)*F41</f>
        <v>281148.89140625</v>
      </c>
      <c r="T41" s="12" t="n">
        <f aca="false">IF($L41&lt;0,0,IFERROR((T$2*IFERROR(VLOOKUP(J41,Tabla11[],2,0),0))*($L41/SUM($L$5:$L$46)),0))</f>
        <v>43123.7096305605</v>
      </c>
      <c r="U41" s="12" t="n">
        <f aca="false">IF($L41&lt;0,0,IFERROR((U$2*IFERROR(VLOOKUP(J41,Tabla11[],2,0),0))*($L41/SUM($L$5:$L$46)),0))</f>
        <v>8385.16576149787</v>
      </c>
      <c r="V41" s="12" t="n">
        <f aca="false">IF($L41&lt;0,0,IFERROR((V$2*IFERROR(VLOOKUP(J41,Tabla11[],2,0),0))*($L41/SUM($L$5:$L$46)),0))</f>
        <v>43123.7096305605</v>
      </c>
      <c r="W41" s="12" t="n">
        <f aca="false">IF($L41&lt;0,0,IFERROR((W$2*IFERROR(VLOOKUP(J41,Tabla11[],2,0),0))*($L41/SUM($L$5:$L$46)),0))</f>
        <v>59894.0411535562</v>
      </c>
      <c r="X41" s="12" t="n">
        <f aca="false">P41*$X$2</f>
        <v>1306380.9</v>
      </c>
      <c r="Y41" s="12" t="n">
        <f aca="false">+X41*IFERROR(VLOOKUP(J41,Tabla11[],4,0),0)</f>
        <v>195957.135</v>
      </c>
      <c r="Z41" s="12" t="n">
        <f aca="false">IF(L41&gt;0,$Z$2/12,0)</f>
        <v>25833.3333333333</v>
      </c>
      <c r="AA41" s="12" t="n">
        <f aca="false">P41-SUM(Q41:Z41)</f>
        <v>657088.11770203</v>
      </c>
      <c r="AB41" s="12" t="n">
        <f aca="false">IF($L41&lt;0,0,IFERROR((AB$2*IFERROR(VLOOKUP(J41,Tabla11[],2,0),0))*($L41/SUM($L$5:$L$46)),0))</f>
        <v>68784.4604369537</v>
      </c>
      <c r="AC41" s="12" t="n">
        <f aca="false">L41-L41*IFERROR(VLOOKUP(J41,Tabla11[],3,0),0)-Q41-T41-U41-V41-W41-L41*$X$2-(L41*$X$2)*IFERROR(VLOOKUP(J41,Tabla11[],4,0),0)-AB41-Z41</f>
        <v>572394.344716999</v>
      </c>
      <c r="AD41" s="12" t="n">
        <f aca="false">AA41-AB41</f>
        <v>588303.657265076</v>
      </c>
      <c r="AE41" s="12" t="n">
        <f aca="false">ROUND(AD41-AC41,9)</f>
        <v>15909.312548077</v>
      </c>
    </row>
    <row r="42" customFormat="false" ht="14.4" hidden="false" customHeight="false" outlineLevel="0" collapsed="false">
      <c r="A42" s="15" t="s">
        <v>29</v>
      </c>
      <c r="B42" s="15" t="s">
        <v>30</v>
      </c>
      <c r="C42" s="16" t="n">
        <v>1</v>
      </c>
      <c r="D42" s="15"/>
      <c r="E42" s="15" t="s">
        <v>30</v>
      </c>
      <c r="F42" s="16"/>
      <c r="G42" s="16" t="n">
        <v>3</v>
      </c>
      <c r="H42" s="16" t="s">
        <v>40</v>
      </c>
      <c r="I42" s="16" t="s">
        <v>41</v>
      </c>
      <c r="J42" s="16" t="s">
        <v>85</v>
      </c>
      <c r="K42" s="16" t="s">
        <v>86</v>
      </c>
      <c r="L42" s="12" t="n">
        <f aca="false">IFERROR(VLOOKUP(CONCATENATE(J42,K42),Ventas!D:H,4,0),0)</f>
        <v>3442858.66493342</v>
      </c>
      <c r="M42" s="15" t="n">
        <f aca="false">IF(SUM(C42,F42)&gt;0,L42*0.1,0)</f>
        <v>344285.866493342</v>
      </c>
      <c r="N42" s="17" t="n">
        <f aca="false">SUM(L42:M42)</f>
        <v>3787144.53142676</v>
      </c>
      <c r="O42" s="15" t="n">
        <f aca="false">N42*IFERROR(VLOOKUP(J42,Tabla11[],3,0),0)</f>
        <v>1325500.58599936</v>
      </c>
      <c r="P42" s="15" t="n">
        <f aca="false">N42-O42</f>
        <v>2461643.94542739</v>
      </c>
      <c r="Q42" s="12" t="n">
        <f aca="false">IFERROR(G42/SUMIF(I:I,I42,G:G),0)*VLOOKUP(H42,Modelos[],14,0)+IFERROR(G42/SUMIF(I:I,I42,G:G),0)*VLOOKUP(I42,Tabla13[],2,0)</f>
        <v>65246.1628400735</v>
      </c>
      <c r="R42" s="15" t="n">
        <f aca="false">IFERROR(VLOOKUP(A42,Modelos[],IF(B42="EST",15,14),0),0)*C42</f>
        <v>310333.7890625</v>
      </c>
      <c r="S42" s="15" t="n">
        <f aca="false">IFERROR(VLOOKUP(D42,Modelos[],IF(E42="EST",15,14),0),0)*F42</f>
        <v>0</v>
      </c>
      <c r="T42" s="15" t="n">
        <f aca="false">IF($L42&lt;0,0,IFERROR((T$2*IFERROR(VLOOKUP(J42,Tabla11[],2,0),0))*($L42/SUM($L$5:$L$46)),0))</f>
        <v>32503.6040304748</v>
      </c>
      <c r="U42" s="15" t="n">
        <f aca="false">IF($L42&lt;0,0,IFERROR((U$2*IFERROR(VLOOKUP(J42,Tabla11[],2,0),0))*($L42/SUM($L$5:$L$46)),0))</f>
        <v>6320.14522814787</v>
      </c>
      <c r="V42" s="15" t="n">
        <f aca="false">IF($L42&lt;0,0,IFERROR((V$2*IFERROR(VLOOKUP(J42,Tabla11[],2,0),0))*($L42/SUM($L$5:$L$46)),0))</f>
        <v>32503.6040304748</v>
      </c>
      <c r="W42" s="15" t="n">
        <f aca="false">IF($L42&lt;0,0,IFERROR((W$2*IFERROR(VLOOKUP(J42,Tabla11[],2,0),0))*($L42/SUM($L$5:$L$46)),0))</f>
        <v>45143.8944867705</v>
      </c>
      <c r="X42" s="15" t="n">
        <f aca="false">P42*$X$2</f>
        <v>984657.578170957</v>
      </c>
      <c r="Y42" s="15" t="n">
        <f aca="false">+X42*IFERROR(VLOOKUP(J42,Tabla11[],4,0),0)</f>
        <v>147698.636725644</v>
      </c>
      <c r="Z42" s="15" t="n">
        <f aca="false">IF(L42&gt;0,$Z$2/12,0)</f>
        <v>25833.3333333333</v>
      </c>
      <c r="AA42" s="15" t="n">
        <f aca="false">P42-SUM(Q42:Z42)</f>
        <v>811403.197519017</v>
      </c>
      <c r="AB42" s="15" t="n">
        <f aca="false">IF($L42&lt;0,0,IFERROR((AB$2*IFERROR(VLOOKUP(J42,Tabla11[],2,0),0))*($L42/SUM($L$5:$L$46)),0))</f>
        <v>51844.864104831</v>
      </c>
      <c r="AC42" s="15" t="n">
        <f aca="false">L42-L42*IFERROR(VLOOKUP(J42,Tabla11[],3,0),0)-Q42-T42-U42-V42-W42-L42*$X$2-(L42*$X$2)*IFERROR(VLOOKUP(J42,Tabla11[],4,0),0)-AB42-Z42</f>
        <v>394747.538283243</v>
      </c>
      <c r="AD42" s="15" t="n">
        <f aca="false">AA42-AB42</f>
        <v>759558.333414186</v>
      </c>
      <c r="AE42" s="15" t="n">
        <f aca="false">ROUND(AD42-AC42,9)</f>
        <v>364810.795130942</v>
      </c>
    </row>
    <row r="43" customFormat="false" ht="14.4" hidden="false" customHeight="false" outlineLevel="0" collapsed="false">
      <c r="A43" s="12" t="s">
        <v>31</v>
      </c>
      <c r="B43" s="12" t="s">
        <v>30</v>
      </c>
      <c r="C43" s="13" t="n">
        <v>1</v>
      </c>
      <c r="D43" s="12"/>
      <c r="E43" s="12" t="s">
        <v>30</v>
      </c>
      <c r="F43" s="13"/>
      <c r="G43" s="13" t="n">
        <v>1</v>
      </c>
      <c r="H43" s="13" t="s">
        <v>32</v>
      </c>
      <c r="I43" s="13" t="s">
        <v>38</v>
      </c>
      <c r="J43" s="13" t="s">
        <v>85</v>
      </c>
      <c r="K43" s="13" t="s">
        <v>39</v>
      </c>
      <c r="L43" s="12" t="n">
        <f aca="false">IFERROR(VLOOKUP(CONCATENATE(J43,K43),Ventas!D:H,4,0),0)</f>
        <v>3334663.21599442</v>
      </c>
      <c r="M43" s="12" t="n">
        <f aca="false">IF(SUM(C43,F43)&gt;0,L43*0.1,0)</f>
        <v>333466.321599442</v>
      </c>
      <c r="N43" s="14" t="n">
        <f aca="false">SUM(L43:M43)</f>
        <v>3668129.53759386</v>
      </c>
      <c r="O43" s="12" t="n">
        <f aca="false">N43*IFERROR(VLOOKUP(J43,Tabla11[],3,0),0)</f>
        <v>1283845.33815785</v>
      </c>
      <c r="P43" s="12" t="n">
        <f aca="false">N43-O43</f>
        <v>2384284.19943601</v>
      </c>
      <c r="Q43" s="12" t="n">
        <f aca="false">IFERROR(G43/SUMIF(I:I,I43,G:G),0)*VLOOKUP(H43,Modelos[],14,0)+IFERROR(G43/SUMIF(I:I,I43,G:G),0)*VLOOKUP(I43,Tabla13[],2,0)</f>
        <v>51647.6115349265</v>
      </c>
      <c r="R43" s="12" t="n">
        <f aca="false">IFERROR(VLOOKUP(A43,Modelos[],IF(B43="EST",15,14),0),0)*C43</f>
        <v>204526.8003975</v>
      </c>
      <c r="S43" s="12" t="n">
        <f aca="false">IFERROR(VLOOKUP(D43,Modelos[],IF(E43="EST",15,14),0),0)*F43</f>
        <v>0</v>
      </c>
      <c r="T43" s="12" t="n">
        <f aca="false">IF($L43&lt;0,0,IFERROR((T$2*IFERROR(VLOOKUP(J43,Tabla11[],2,0),0))*($L43/SUM($L$5:$L$46)),0))</f>
        <v>31482.1441413333</v>
      </c>
      <c r="U43" s="12" t="n">
        <f aca="false">IF($L43&lt;0,0,IFERROR((U$2*IFERROR(VLOOKUP(J43,Tabla11[],2,0),0))*($L43/SUM($L$5:$L$46)),0))</f>
        <v>6121.52802748148</v>
      </c>
      <c r="V43" s="12" t="n">
        <f aca="false">IF($L43&lt;0,0,IFERROR((V$2*IFERROR(VLOOKUP(J43,Tabla11[],2,0),0))*($L43/SUM($L$5:$L$46)),0))</f>
        <v>31482.1441413333</v>
      </c>
      <c r="W43" s="12" t="n">
        <f aca="false">IF($L43&lt;0,0,IFERROR((W$2*IFERROR(VLOOKUP(J43,Tabla11[],2,0),0))*($L43/SUM($L$5:$L$46)),0))</f>
        <v>43725.2001962963</v>
      </c>
      <c r="X43" s="12" t="n">
        <f aca="false">P43*$X$2</f>
        <v>953713.679774404</v>
      </c>
      <c r="Y43" s="12" t="n">
        <f aca="false">+X43*IFERROR(VLOOKUP(J43,Tabla11[],4,0),0)</f>
        <v>143057.051966161</v>
      </c>
      <c r="Z43" s="12" t="n">
        <f aca="false">IF(L43&gt;0,$Z$2/12,0)</f>
        <v>25833.3333333333</v>
      </c>
      <c r="AA43" s="12" t="n">
        <f aca="false">P43-SUM(Q43:Z43)</f>
        <v>892694.705923241</v>
      </c>
      <c r="AB43" s="12" t="n">
        <f aca="false">IF($L43&lt;0,0,IFERROR((AB$2*IFERROR(VLOOKUP(J43,Tabla11[],2,0),0))*($L43/SUM($L$5:$L$46)),0))</f>
        <v>50215.5848073284</v>
      </c>
      <c r="AC43" s="12" t="n">
        <f aca="false">L43-L43*IFERROR(VLOOKUP(J43,Tabla11[],3,0),0)-Q43-T43-U43-V43-W43-L43*$X$2-(L43*$X$2)*IFERROR(VLOOKUP(J43,Tabla11[],4,0),0)-AB43-Z43</f>
        <v>393078.464856906</v>
      </c>
      <c r="AD43" s="12" t="n">
        <f aca="false">AA43-AB43</f>
        <v>842479.121115913</v>
      </c>
      <c r="AE43" s="12" t="n">
        <f aca="false">ROUND(AD43-AC43,9)</f>
        <v>449400.656259006</v>
      </c>
    </row>
    <row r="44" customFormat="false" ht="14.4" hidden="false" customHeight="false" outlineLevel="0" collapsed="false">
      <c r="A44" s="15" t="s">
        <v>31</v>
      </c>
      <c r="B44" s="15" t="s">
        <v>30</v>
      </c>
      <c r="C44" s="16" t="n">
        <v>1</v>
      </c>
      <c r="D44" s="15"/>
      <c r="E44" s="15" t="s">
        <v>30</v>
      </c>
      <c r="F44" s="16"/>
      <c r="G44" s="16" t="n">
        <v>3</v>
      </c>
      <c r="H44" s="16" t="s">
        <v>32</v>
      </c>
      <c r="I44" s="16" t="s">
        <v>33</v>
      </c>
      <c r="J44" s="16" t="s">
        <v>85</v>
      </c>
      <c r="K44" s="16" t="s">
        <v>87</v>
      </c>
      <c r="L44" s="12" t="n">
        <f aca="false">IFERROR(VLOOKUP(CONCATENATE(J44,K44),Ventas!D:H,4,0),0)</f>
        <v>3341243.05347519</v>
      </c>
      <c r="M44" s="15" t="n">
        <f aca="false">IF(SUM(C44,F44)&gt;0,L44*0.1,0)</f>
        <v>334124.305347519</v>
      </c>
      <c r="N44" s="17" t="n">
        <f aca="false">SUM(L44:M44)</f>
        <v>3675367.3588227</v>
      </c>
      <c r="O44" s="15" t="n">
        <f aca="false">N44*IFERROR(VLOOKUP(J44,Tabla11[],3,0),0)</f>
        <v>1286378.57558795</v>
      </c>
      <c r="P44" s="15" t="n">
        <f aca="false">N44-O44</f>
        <v>2388988.78323476</v>
      </c>
      <c r="Q44" s="12" t="n">
        <f aca="false">IFERROR(G44/SUMIF(I:I,I44,G:G),0)*VLOOKUP(H44,Modelos[],14,0)+IFERROR(G44/SUMIF(I:I,I44,G:G),0)*VLOOKUP(I44,Tabla13[],2,0)</f>
        <v>123633.062541118</v>
      </c>
      <c r="R44" s="15" t="n">
        <f aca="false">IFERROR(VLOOKUP(A44,Modelos[],IF(B44="EST",15,14),0),0)*C44</f>
        <v>204526.8003975</v>
      </c>
      <c r="S44" s="15" t="n">
        <f aca="false">IFERROR(VLOOKUP(D44,Modelos[],IF(E44="EST",15,14),0),0)*F44</f>
        <v>0</v>
      </c>
      <c r="T44" s="15" t="n">
        <f aca="false">IF($L44&lt;0,0,IFERROR((T$2*IFERROR(VLOOKUP(J44,Tabla11[],2,0),0))*($L44/SUM($L$5:$L$46)),0))</f>
        <v>31544.2635754646</v>
      </c>
      <c r="U44" s="15" t="n">
        <f aca="false">IF($L44&lt;0,0,IFERROR((U$2*IFERROR(VLOOKUP(J44,Tabla11[],2,0),0))*($L44/SUM($L$5:$L$46)),0))</f>
        <v>6133.60680634034</v>
      </c>
      <c r="V44" s="15" t="n">
        <f aca="false">IF($L44&lt;0,0,IFERROR((V$2*IFERROR(VLOOKUP(J44,Tabla11[],2,0),0))*($L44/SUM($L$5:$L$46)),0))</f>
        <v>31544.2635754646</v>
      </c>
      <c r="W44" s="15" t="n">
        <f aca="false">IF($L44&lt;0,0,IFERROR((W$2*IFERROR(VLOOKUP(J44,Tabla11[],2,0),0))*($L44/SUM($L$5:$L$46)),0))</f>
        <v>43811.4771881453</v>
      </c>
      <c r="X44" s="15" t="n">
        <f aca="false">P44*$X$2</f>
        <v>955595.513293903</v>
      </c>
      <c r="Y44" s="15" t="n">
        <f aca="false">+X44*IFERROR(VLOOKUP(J44,Tabla11[],4,0),0)</f>
        <v>143339.326994085</v>
      </c>
      <c r="Z44" s="15" t="n">
        <f aca="false">IF(L44&gt;0,$Z$2/12,0)</f>
        <v>25833.3333333333</v>
      </c>
      <c r="AA44" s="15" t="n">
        <f aca="false">P44-SUM(Q44:Z44)</f>
        <v>823027.135529402</v>
      </c>
      <c r="AB44" s="15" t="n">
        <f aca="false">IF($L44&lt;0,0,IFERROR((AB$2*IFERROR(VLOOKUP(J44,Tabla11[],2,0),0))*($L44/SUM($L$5:$L$46)),0))</f>
        <v>50314.668392576</v>
      </c>
      <c r="AC44" s="15" t="n">
        <f aca="false">L44-L44*IFERROR(VLOOKUP(J44,Tabla11[],3,0),0)-Q44-T44-U44-V44-W44-L44*$X$2-(L44*$X$2)*IFERROR(VLOOKUP(J44,Tabla11[],4,0),0)-AB44-Z44</f>
        <v>322021.504747842</v>
      </c>
      <c r="AD44" s="15" t="n">
        <f aca="false">AA44-AB44</f>
        <v>772712.467136827</v>
      </c>
      <c r="AE44" s="15" t="n">
        <f aca="false">ROUND(AD44-AC44,9)</f>
        <v>450690.962388984</v>
      </c>
    </row>
    <row r="45" customFormat="false" ht="14.4" hidden="false" customHeight="false" outlineLevel="0" collapsed="false">
      <c r="A45" s="12" t="s">
        <v>29</v>
      </c>
      <c r="B45" s="12" t="s">
        <v>30</v>
      </c>
      <c r="C45" s="13" t="n">
        <v>1</v>
      </c>
      <c r="D45" s="12" t="s">
        <v>31</v>
      </c>
      <c r="E45" s="12" t="s">
        <v>30</v>
      </c>
      <c r="F45" s="13" t="n">
        <v>1</v>
      </c>
      <c r="G45" s="13" t="n">
        <v>3</v>
      </c>
      <c r="H45" s="13" t="s">
        <v>32</v>
      </c>
      <c r="I45" s="13" t="s">
        <v>56</v>
      </c>
      <c r="J45" s="13" t="s">
        <v>85</v>
      </c>
      <c r="K45" s="13" t="s">
        <v>88</v>
      </c>
      <c r="L45" s="12" t="n">
        <f aca="false">IFERROR(VLOOKUP(CONCATENATE(J45,K45),Ventas!D:H,4,0),0)</f>
        <v>2567354.57900756</v>
      </c>
      <c r="M45" s="12" t="n">
        <f aca="false">IF(SUM(C45,F45)&gt;0,L45*0.1,0)</f>
        <v>256735.457900756</v>
      </c>
      <c r="N45" s="14" t="n">
        <f aca="false">SUM(L45:M45)</f>
        <v>2824090.03690831</v>
      </c>
      <c r="O45" s="12" t="n">
        <f aca="false">N45*IFERROR(VLOOKUP(J45,Tabla11[],3,0),0)</f>
        <v>988431.512917909</v>
      </c>
      <c r="P45" s="12" t="n">
        <f aca="false">N45-O45</f>
        <v>1835658.5239904</v>
      </c>
      <c r="Q45" s="12" t="n">
        <f aca="false">IFERROR(G45/SUMIF(I:I,I45,G:G),0)*VLOOKUP(H45,Modelos[],14,0)+IFERROR(G45/SUMIF(I:I,I45,G:G),0)*VLOOKUP(I45,Tabla13[],2,0)</f>
        <v>161601.87921875</v>
      </c>
      <c r="R45" s="12" t="n">
        <f aca="false">IFERROR(VLOOKUP(A45,Modelos[],IF(B45="EST",15,14),0),0)*C45</f>
        <v>310333.7890625</v>
      </c>
      <c r="S45" s="12" t="n">
        <f aca="false">IFERROR(VLOOKUP(D45,Modelos[],IF(E45="EST",15,14),0),0)*F45</f>
        <v>204526.8003975</v>
      </c>
      <c r="T45" s="12" t="n">
        <f aca="false">IF($L45&lt;0,0,IFERROR((T$2*IFERROR(VLOOKUP(J45,Tabla11[],2,0),0))*($L45/SUM($L$5:$L$46)),0))</f>
        <v>24238.077935593</v>
      </c>
      <c r="U45" s="12" t="n">
        <f aca="false">IF($L45&lt;0,0,IFERROR((U$2*IFERROR(VLOOKUP(J45,Tabla11[],2,0),0))*($L45/SUM($L$5:$L$46)),0))</f>
        <v>4712.95959858753</v>
      </c>
      <c r="V45" s="12" t="n">
        <f aca="false">IF($L45&lt;0,0,IFERROR((V$2*IFERROR(VLOOKUP(J45,Tabla11[],2,0),0))*($L45/SUM($L$5:$L$46)),0))</f>
        <v>24238.077935593</v>
      </c>
      <c r="W45" s="12" t="n">
        <f aca="false">IF($L45&lt;0,0,IFERROR((W$2*IFERROR(VLOOKUP(J45,Tabla11[],2,0),0))*($L45/SUM($L$5:$L$46)),0))</f>
        <v>33663.9971327681</v>
      </c>
      <c r="X45" s="12" t="n">
        <f aca="false">P45*$X$2</f>
        <v>734263.409596161</v>
      </c>
      <c r="Y45" s="12" t="n">
        <f aca="false">+X45*IFERROR(VLOOKUP(J45,Tabla11[],4,0),0)</f>
        <v>110139.511439424</v>
      </c>
      <c r="Z45" s="12" t="n">
        <f aca="false">IF(L45&gt;0,$Z$2/12,0)</f>
        <v>25833.3333333333</v>
      </c>
      <c r="AA45" s="12" t="n">
        <f aca="false">P45-SUM(Q45:Z45)</f>
        <v>202106.688340193</v>
      </c>
      <c r="AB45" s="12" t="n">
        <f aca="false">IF($L45&lt;0,0,IFERROR((AB$2*IFERROR(VLOOKUP(J45,Tabla11[],2,0),0))*($L45/SUM($L$5:$L$46)),0))</f>
        <v>38660.9391240104</v>
      </c>
      <c r="AC45" s="12" t="n">
        <f aca="false">L45-L45*IFERROR(VLOOKUP(J45,Tabla11[],3,0),0)-Q45-T45-U45-V45-W45-L45*$X$2-(L45*$X$2)*IFERROR(VLOOKUP(J45,Tabla11[],4,0),0)-AB45-Z45</f>
        <v>174848.1057328</v>
      </c>
      <c r="AD45" s="12" t="n">
        <f aca="false">AA45-AB45</f>
        <v>163445.749216182</v>
      </c>
      <c r="AE45" s="12" t="n">
        <f aca="false">ROUND(AD45-AC45,9)</f>
        <v>-11402.356516618</v>
      </c>
    </row>
    <row r="46" customFormat="false" ht="14.4" hidden="false" customHeight="false" outlineLevel="0" collapsed="false">
      <c r="A46" s="15" t="s">
        <v>29</v>
      </c>
      <c r="B46" s="15" t="s">
        <v>30</v>
      </c>
      <c r="C46" s="16" t="n">
        <v>1</v>
      </c>
      <c r="D46" s="15" t="s">
        <v>31</v>
      </c>
      <c r="E46" s="15" t="s">
        <v>30</v>
      </c>
      <c r="F46" s="16" t="n">
        <v>1</v>
      </c>
      <c r="G46" s="16" t="n">
        <v>2</v>
      </c>
      <c r="H46" s="16" t="s">
        <v>32</v>
      </c>
      <c r="I46" s="16" t="s">
        <v>33</v>
      </c>
      <c r="J46" s="16" t="s">
        <v>85</v>
      </c>
      <c r="K46" s="16" t="s">
        <v>35</v>
      </c>
      <c r="L46" s="12" t="n">
        <f aca="false">IFERROR(VLOOKUP(CONCATENATE(J46,K46),Ventas!D:H,4,0),0)</f>
        <v>3054985.74192904</v>
      </c>
      <c r="M46" s="15" t="n">
        <f aca="false">IF(SUM(C46,F46)&gt;0,L46*0.1,0)</f>
        <v>305498.574192904</v>
      </c>
      <c r="N46" s="17" t="n">
        <f aca="false">SUM(L46:M46)</f>
        <v>3360484.31612195</v>
      </c>
      <c r="O46" s="15" t="n">
        <f aca="false">N46*IFERROR(VLOOKUP(J46,Tabla11[],3,0),0)</f>
        <v>1176169.51064268</v>
      </c>
      <c r="P46" s="15" t="n">
        <f aca="false">N46-O46</f>
        <v>2184314.80547926</v>
      </c>
      <c r="Q46" s="12" t="n">
        <f aca="false">IFERROR(G46/SUMIF(I:I,I46,G:G),0)*VLOOKUP(H46,Modelos[],14,0)+IFERROR(G46/SUMIF(I:I,I46,G:G),0)*VLOOKUP(I46,Tabla13[],2,0)</f>
        <v>82422.041694079</v>
      </c>
      <c r="R46" s="15" t="n">
        <f aca="false">IFERROR(VLOOKUP(A46,Modelos[],IF(B46="EST",15,14),0),0)*C46</f>
        <v>310333.7890625</v>
      </c>
      <c r="S46" s="15" t="n">
        <f aca="false">IFERROR(VLOOKUP(D46,Modelos[],IF(E46="EST",15,14),0),0)*F46</f>
        <v>204526.8003975</v>
      </c>
      <c r="T46" s="15" t="n">
        <f aca="false">IF($L46&lt;0,0,IFERROR((T$2*IFERROR(VLOOKUP(J46,Tabla11[],2,0),0))*($L46/SUM($L$5:$L$46)),0))</f>
        <v>28841.7436027186</v>
      </c>
      <c r="U46" s="15" t="n">
        <f aca="false">IF($L46&lt;0,0,IFERROR((U$2*IFERROR(VLOOKUP(J46,Tabla11[],2,0),0))*($L46/SUM($L$5:$L$46)),0))</f>
        <v>5608.11681163974</v>
      </c>
      <c r="V46" s="15" t="n">
        <f aca="false">IF($L46&lt;0,0,IFERROR((V$2*IFERROR(VLOOKUP(J46,Tabla11[],2,0),0))*($L46/SUM($L$5:$L$46)),0))</f>
        <v>28841.7436027186</v>
      </c>
      <c r="W46" s="15" t="n">
        <f aca="false">IF($L46&lt;0,0,IFERROR((W$2*IFERROR(VLOOKUP(J46,Tabla11[],2,0),0))*($L46/SUM($L$5:$L$46)),0))</f>
        <v>40057.9772259981</v>
      </c>
      <c r="X46" s="15" t="n">
        <f aca="false">P46*$X$2</f>
        <v>873725.922191706</v>
      </c>
      <c r="Y46" s="15" t="n">
        <f aca="false">+X46*IFERROR(VLOOKUP(J46,Tabla11[],4,0),0)</f>
        <v>131058.888328756</v>
      </c>
      <c r="Z46" s="15" t="n">
        <f aca="false">IF(L46&gt;0,$Z$2/12,0)</f>
        <v>25833.3333333333</v>
      </c>
      <c r="AA46" s="15" t="n">
        <f aca="false">P46-SUM(Q46:Z46)</f>
        <v>453064.449228315</v>
      </c>
      <c r="AB46" s="15" t="n">
        <f aca="false">IF($L46&lt;0,0,IFERROR((AB$2*IFERROR(VLOOKUP(J46,Tabla11[],2,0),0))*($L46/SUM($L$5:$L$46)),0))</f>
        <v>46004.014700258</v>
      </c>
      <c r="AC46" s="15" t="n">
        <f aca="false">L46-L46*IFERROR(VLOOKUP(J46,Tabla11[],3,0),0)-Q46-T46-U46-V46-W46-L46*$X$2-(L46*$X$2)*IFERROR(VLOOKUP(J46,Tabla11[],4,0),0)-AB46-Z46</f>
        <v>322838.319995772</v>
      </c>
      <c r="AD46" s="15" t="n">
        <f aca="false">AA46-AB46</f>
        <v>407060.434528057</v>
      </c>
      <c r="AE46" s="15" t="n">
        <f aca="false">ROUND(AD46-AC46,9)</f>
        <v>84222.114532285</v>
      </c>
    </row>
    <row r="47" customFormat="false" ht="14.4" hidden="false" customHeight="false" outlineLevel="0" collapsed="false">
      <c r="A47" s="12" t="s">
        <v>31</v>
      </c>
      <c r="B47" s="12" t="s">
        <v>30</v>
      </c>
      <c r="C47" s="13" t="n">
        <v>1</v>
      </c>
      <c r="D47" s="12"/>
      <c r="E47" s="12" t="s">
        <v>30</v>
      </c>
      <c r="F47" s="13"/>
      <c r="G47" s="13" t="n">
        <v>3</v>
      </c>
      <c r="H47" s="13" t="s">
        <v>32</v>
      </c>
      <c r="I47" s="13" t="s">
        <v>44</v>
      </c>
      <c r="J47" s="13" t="s">
        <v>85</v>
      </c>
      <c r="K47" s="13" t="s">
        <v>89</v>
      </c>
      <c r="L47" s="12" t="n">
        <f aca="false">IFERROR(VLOOKUP(CONCATENATE(J47,K47),Ventas!D:H,4,0),0)</f>
        <v>1566761.65719809</v>
      </c>
      <c r="M47" s="12" t="n">
        <f aca="false">IF(SUM(C47,F47)&gt;0,L47*0.1,0)</f>
        <v>156676.165719809</v>
      </c>
      <c r="N47" s="14" t="n">
        <f aca="false">SUM(L47:M47)</f>
        <v>1723437.82291789</v>
      </c>
      <c r="O47" s="12" t="n">
        <f aca="false">N47*IFERROR(VLOOKUP(J47,Tabla11[],3,0),0)</f>
        <v>603203.238021263</v>
      </c>
      <c r="P47" s="12" t="n">
        <f aca="false">N47-O47</f>
        <v>1120234.58489663</v>
      </c>
      <c r="Q47" s="12" t="n">
        <f aca="false">IFERROR(G47/SUMIF(I:I,I47,G:G),0)*VLOOKUP(H47,Modelos[],14,0)+IFERROR(G47/SUMIF(I:I,I47,G:G),0)*VLOOKUP(I47,Tabla13[],2,0)</f>
        <v>106001.174511719</v>
      </c>
      <c r="R47" s="12" t="n">
        <f aca="false">IFERROR(VLOOKUP(A47,Modelos[],IF(B47="EST",15,14),0),0)*C47</f>
        <v>204526.8003975</v>
      </c>
      <c r="S47" s="12" t="n">
        <f aca="false">IFERROR(VLOOKUP(D47,Modelos[],IF(E47="EST",15,14),0),0)*F47</f>
        <v>0</v>
      </c>
      <c r="T47" s="12" t="n">
        <f aca="false">IF($L47&lt;0,0,IFERROR((T$2*IFERROR(VLOOKUP(J47,Tabla11[],2,0),0))*($L47/SUM($L$5:$L$46)),0))</f>
        <v>14791.6035689725</v>
      </c>
      <c r="U47" s="12" t="n">
        <f aca="false">IF($L47&lt;0,0,IFERROR((U$2*IFERROR(VLOOKUP(J47,Tabla11[],2,0),0))*($L47/SUM($L$5:$L$46)),0))</f>
        <v>2876.14513841132</v>
      </c>
      <c r="V47" s="12" t="n">
        <f aca="false">IF($L47&lt;0,0,IFERROR((V$2*IFERROR(VLOOKUP(J47,Tabla11[],2,0),0))*($L47/SUM($L$5:$L$46)),0))</f>
        <v>14791.6035689725</v>
      </c>
      <c r="W47" s="12" t="n">
        <f aca="false">IF($L47&lt;0,0,IFERROR((W$2*IFERROR(VLOOKUP(J47,Tabla11[],2,0),0))*($L47/SUM($L$5:$L$46)),0))</f>
        <v>20543.8938457951</v>
      </c>
      <c r="X47" s="12" t="n">
        <f aca="false">P47*$X$2</f>
        <v>448093.833958652</v>
      </c>
      <c r="Y47" s="12" t="n">
        <f aca="false">+X47*IFERROR(VLOOKUP(J47,Tabla11[],4,0),0)</f>
        <v>67214.0750937979</v>
      </c>
      <c r="Z47" s="12" t="n">
        <f aca="false">IF(L47&gt;0,$Z$2/12,0)</f>
        <v>25833.3333333333</v>
      </c>
      <c r="AA47" s="12" t="n">
        <f aca="false">P47-SUM(Q47:Z47)</f>
        <v>215562.121479477</v>
      </c>
      <c r="AB47" s="12" t="n">
        <f aca="false">IF($L47&lt;0,0,IFERROR((AB$2*IFERROR(VLOOKUP(J47,Tabla11[],2,0),0))*($L47/SUM($L$5:$L$46)),0))</f>
        <v>23593.3429476593</v>
      </c>
      <c r="AC47" s="12" t="n">
        <f aca="false">L47-L47*IFERROR(VLOOKUP(J47,Tabla11[],3,0),0)-Q47-T47-U47-V47-W47-L47*$X$2-(L47*$X$2)*IFERROR(VLOOKUP(J47,Tabla11[],4,0),0)-AB47-Z47</f>
        <v>89253.6179527731</v>
      </c>
      <c r="AD47" s="12" t="n">
        <f aca="false">AA47-AB47</f>
        <v>191968.778531818</v>
      </c>
      <c r="AE47" s="12" t="n">
        <f aca="false">ROUND(AD47-AC47,9)</f>
        <v>102715.160579045</v>
      </c>
    </row>
    <row r="48" customFormat="false" ht="14.4" hidden="false" customHeight="false" outlineLevel="0" collapsed="false">
      <c r="A48" s="15" t="s">
        <v>31</v>
      </c>
      <c r="B48" s="15" t="s">
        <v>30</v>
      </c>
      <c r="C48" s="16" t="n">
        <v>1</v>
      </c>
      <c r="D48" s="15"/>
      <c r="E48" s="15" t="s">
        <v>30</v>
      </c>
      <c r="F48" s="16"/>
      <c r="G48" s="16" t="n">
        <v>3</v>
      </c>
      <c r="H48" s="16" t="s">
        <v>50</v>
      </c>
      <c r="I48" s="16" t="s">
        <v>53</v>
      </c>
      <c r="J48" s="16" t="s">
        <v>85</v>
      </c>
      <c r="K48" s="16" t="s">
        <v>90</v>
      </c>
      <c r="L48" s="12" t="n">
        <f aca="false">IFERROR(VLOOKUP(CONCATENATE(J48,K48),Ventas!D:H,4,0),0)</f>
        <v>1872861.22939944</v>
      </c>
      <c r="M48" s="15" t="n">
        <f aca="false">IF(SUM(C48,F48)&gt;0,L48*0.1,0)</f>
        <v>187286.122939944</v>
      </c>
      <c r="N48" s="17" t="n">
        <f aca="false">SUM(L48:M48)</f>
        <v>2060147.35233939</v>
      </c>
      <c r="O48" s="15" t="n">
        <f aca="false">N48*IFERROR(VLOOKUP(J48,Tabla11[],3,0),0)</f>
        <v>721051.573318786</v>
      </c>
      <c r="P48" s="15" t="n">
        <f aca="false">N48-O48</f>
        <v>1339095.7790206</v>
      </c>
      <c r="Q48" s="12" t="n">
        <f aca="false">IFERROR(G48/SUMIF(I:I,I48,G:G),0)*VLOOKUP(H48,Modelos[],14,0)+IFERROR(G48/SUMIF(I:I,I48,G:G),0)*VLOOKUP(I48,Tabla13[],2,0)</f>
        <v>69504.9876201923</v>
      </c>
      <c r="R48" s="15" t="n">
        <f aca="false">IFERROR(VLOOKUP(A48,Modelos[],IF(B48="EST",15,14),0),0)*C48</f>
        <v>204526.8003975</v>
      </c>
      <c r="S48" s="15" t="n">
        <f aca="false">IFERROR(VLOOKUP(D48,Modelos[],IF(E48="EST",15,14),0),0)*F48</f>
        <v>0</v>
      </c>
      <c r="T48" s="15" t="n">
        <f aca="false">IF($L48&lt;0,0,IFERROR((T$2*IFERROR(VLOOKUP(J48,Tabla11[],2,0),0))*($L48/SUM($L$5:$L$46)),0))</f>
        <v>17681.4518773181</v>
      </c>
      <c r="U48" s="15" t="n">
        <f aca="false">IF($L48&lt;0,0,IFERROR((U$2*IFERROR(VLOOKUP(J48,Tabla11[],2,0),0))*($L48/SUM($L$5:$L$46)),0))</f>
        <v>3438.06008725629</v>
      </c>
      <c r="V48" s="15" t="n">
        <f aca="false">IF($L48&lt;0,0,IFERROR((V$2*IFERROR(VLOOKUP(J48,Tabla11[],2,0),0))*($L48/SUM($L$5:$L$46)),0))</f>
        <v>17681.4518773181</v>
      </c>
      <c r="W48" s="15" t="n">
        <f aca="false">IF($L48&lt;0,0,IFERROR((W$2*IFERROR(VLOOKUP(J48,Tabla11[],2,0),0))*($L48/SUM($L$5:$L$46)),0))</f>
        <v>24557.5720518306</v>
      </c>
      <c r="X48" s="15" t="n">
        <f aca="false">P48*$X$2</f>
        <v>535638.311608241</v>
      </c>
      <c r="Y48" s="15" t="n">
        <f aca="false">+X48*IFERROR(VLOOKUP(J48,Tabla11[],4,0),0)</f>
        <v>80345.7467412361</v>
      </c>
      <c r="Z48" s="15" t="n">
        <f aca="false">IF(L48&gt;0,$Z$2/12,0)</f>
        <v>25833.3333333333</v>
      </c>
      <c r="AA48" s="15" t="n">
        <f aca="false">P48-SUM(Q48:Z48)</f>
        <v>359888.063426376</v>
      </c>
      <c r="AB48" s="15" t="n">
        <f aca="false">IF($L48&lt;0,0,IFERROR((AB$2*IFERROR(VLOOKUP(J48,Tabla11[],2,0),0))*($L48/SUM($L$5:$L$46)),0))</f>
        <v>28202.794646901</v>
      </c>
      <c r="AC48" s="15" t="n">
        <f aca="false">L48-L48*IFERROR(VLOOKUP(J48,Tabla11[],3,0),0)-Q48-T48-U48-V48-W48-L48*$X$2-(L48*$X$2)*IFERROR(VLOOKUP(J48,Tabla11[],4,0),0)-AB48-Z48</f>
        <v>168943.982091744</v>
      </c>
      <c r="AD48" s="15" t="n">
        <f aca="false">AA48-AB48</f>
        <v>331685.268779475</v>
      </c>
      <c r="AE48" s="15" t="n">
        <f aca="false">ROUND(AD48-AC48,9)</f>
        <v>162741.286687731</v>
      </c>
    </row>
    <row r="49" customFormat="false" ht="14.4" hidden="false" customHeight="false" outlineLevel="0" collapsed="false">
      <c r="A49" s="12" t="s">
        <v>31</v>
      </c>
      <c r="B49" s="12" t="s">
        <v>30</v>
      </c>
      <c r="C49" s="13" t="n">
        <v>1</v>
      </c>
      <c r="D49" s="12"/>
      <c r="E49" s="12" t="s">
        <v>30</v>
      </c>
      <c r="F49" s="13"/>
      <c r="G49" s="13" t="n">
        <v>3</v>
      </c>
      <c r="H49" s="13" t="s">
        <v>50</v>
      </c>
      <c r="I49" s="13" t="s">
        <v>53</v>
      </c>
      <c r="J49" s="13" t="s">
        <v>85</v>
      </c>
      <c r="K49" s="13" t="s">
        <v>58</v>
      </c>
      <c r="L49" s="12" t="n">
        <f aca="false">IFERROR(VLOOKUP(CONCATENATE(J49,K49),Ventas!D:H,4,0),0)</f>
        <v>2791786.71010228</v>
      </c>
      <c r="M49" s="12" t="n">
        <f aca="false">IF(SUM(C49,F49)&gt;0,L49*0.1,0)</f>
        <v>279178.671010228</v>
      </c>
      <c r="N49" s="14" t="n">
        <f aca="false">SUM(L49:M49)</f>
        <v>3070965.38111251</v>
      </c>
      <c r="O49" s="12" t="n">
        <f aca="false">N49*IFERROR(VLOOKUP(J49,Tabla11[],3,0),0)</f>
        <v>1074837.88338938</v>
      </c>
      <c r="P49" s="12" t="n">
        <f aca="false">N49-O49</f>
        <v>1996127.49772313</v>
      </c>
      <c r="Q49" s="12" t="n">
        <f aca="false">IFERROR(G49/SUMIF(I:I,I49,G:G),0)*VLOOKUP(H49,Modelos[],14,0)+IFERROR(G49/SUMIF(I:I,I49,G:G),0)*VLOOKUP(I49,Tabla13[],2,0)</f>
        <v>69504.9876201923</v>
      </c>
      <c r="R49" s="12" t="n">
        <f aca="false">IFERROR(VLOOKUP(A49,Modelos[],IF(B49="EST",15,14),0),0)*C49</f>
        <v>204526.8003975</v>
      </c>
      <c r="S49" s="12" t="n">
        <f aca="false">IFERROR(VLOOKUP(D49,Modelos[],IF(E49="EST",15,14),0),0)*F49</f>
        <v>0</v>
      </c>
      <c r="T49" s="12" t="n">
        <f aca="false">IF($L49&lt;0,0,IFERROR((T$2*IFERROR(VLOOKUP(J49,Tabla11[],2,0),0))*($L49/SUM($L$5:$L$46)),0))</f>
        <v>26356.9140049092</v>
      </c>
      <c r="U49" s="12" t="n">
        <f aca="false">IF($L49&lt;0,0,IFERROR((U$2*IFERROR(VLOOKUP(J49,Tabla11[],2,0),0))*($L49/SUM($L$5:$L$46)),0))</f>
        <v>5124.95550095457</v>
      </c>
      <c r="V49" s="12" t="n">
        <f aca="false">IF($L49&lt;0,0,IFERROR((V$2*IFERROR(VLOOKUP(J49,Tabla11[],2,0),0))*($L49/SUM($L$5:$L$46)),0))</f>
        <v>26356.9140049092</v>
      </c>
      <c r="W49" s="12" t="n">
        <f aca="false">IF($L49&lt;0,0,IFERROR((W$2*IFERROR(VLOOKUP(J49,Tabla11[],2,0),0))*($L49/SUM($L$5:$L$46)),0))</f>
        <v>36606.8250068183</v>
      </c>
      <c r="X49" s="12" t="n">
        <f aca="false">P49*$X$2</f>
        <v>798450.999089253</v>
      </c>
      <c r="Y49" s="12" t="n">
        <f aca="false">+X49*IFERROR(VLOOKUP(J49,Tabla11[],4,0),0)</f>
        <v>119767.649863388</v>
      </c>
      <c r="Z49" s="12" t="n">
        <f aca="false">IF(L49&gt;0,$Z$2/12,0)</f>
        <v>25833.3333333333</v>
      </c>
      <c r="AA49" s="12" t="n">
        <f aca="false">P49-SUM(Q49:Z49)</f>
        <v>683598.118901875</v>
      </c>
      <c r="AB49" s="12" t="n">
        <f aca="false">IF($L49&lt;0,0,IFERROR((AB$2*IFERROR(VLOOKUP(J49,Tabla11[],2,0),0))*($L49/SUM($L$5:$L$46)),0))</f>
        <v>42040.5879768304</v>
      </c>
      <c r="AC49" s="12" t="n">
        <f aca="false">L49-L49*IFERROR(VLOOKUP(J49,Tabla11[],3,0),0)-Q49-T49-U49-V49-W49-L49*$X$2-(L49*$X$2)*IFERROR(VLOOKUP(J49,Tabla11[],4,0),0)-AB49-Z49</f>
        <v>298614.957471487</v>
      </c>
      <c r="AD49" s="12" t="n">
        <f aca="false">AA49-AB49</f>
        <v>641557.530925045</v>
      </c>
      <c r="AE49" s="12" t="n">
        <f aca="false">ROUND(AD49-AC49,9)</f>
        <v>342942.573453558</v>
      </c>
    </row>
    <row r="50" customFormat="false" ht="14.4" hidden="false" customHeight="false" outlineLevel="0" collapsed="false">
      <c r="A50" s="15" t="s">
        <v>31</v>
      </c>
      <c r="B50" s="15" t="s">
        <v>30</v>
      </c>
      <c r="C50" s="16" t="n">
        <v>1</v>
      </c>
      <c r="D50" s="15"/>
      <c r="E50" s="15" t="s">
        <v>30</v>
      </c>
      <c r="F50" s="16"/>
      <c r="G50" s="16" t="n">
        <v>3</v>
      </c>
      <c r="H50" s="16" t="s">
        <v>32</v>
      </c>
      <c r="I50" s="13" t="s">
        <v>38</v>
      </c>
      <c r="J50" s="16" t="s">
        <v>85</v>
      </c>
      <c r="K50" s="16" t="s">
        <v>60</v>
      </c>
      <c r="L50" s="12" t="n">
        <f aca="false">IFERROR(VLOOKUP(CONCATENATE(J50,K50),Ventas!D:H,4,0),0)</f>
        <v>1818867.04351373</v>
      </c>
      <c r="M50" s="15" t="n">
        <f aca="false">IF(SUM(C50,F50)&gt;0,L50*0.1,0)</f>
        <v>181886.704351373</v>
      </c>
      <c r="N50" s="17" t="n">
        <f aca="false">SUM(L50:M50)</f>
        <v>2000753.7478651</v>
      </c>
      <c r="O50" s="15" t="n">
        <f aca="false">N50*IFERROR(VLOOKUP(J50,Tabla11[],3,0),0)</f>
        <v>700263.811752785</v>
      </c>
      <c r="P50" s="15" t="n">
        <f aca="false">N50-O50</f>
        <v>1300489.93611231</v>
      </c>
      <c r="Q50" s="12" t="n">
        <f aca="false">IFERROR(G50/SUMIF(I:I,I50,G:G),0)*VLOOKUP(H50,Modelos[],14,0)+IFERROR(G50/SUMIF(I:I,I50,G:G),0)*VLOOKUP(I50,Tabla13[],2,0)</f>
        <v>154942.834604779</v>
      </c>
      <c r="R50" s="15" t="n">
        <f aca="false">IFERROR(VLOOKUP(A50,Modelos[],IF(B50="EST",15,14),0),0)*C50</f>
        <v>204526.8003975</v>
      </c>
      <c r="S50" s="15" t="n">
        <f aca="false">IFERROR(VLOOKUP(D50,Modelos[],IF(E50="EST",15,14),0),0)*F50</f>
        <v>0</v>
      </c>
      <c r="T50" s="15" t="n">
        <f aca="false">IF($L50&lt;0,0,IFERROR((T$2*IFERROR(VLOOKUP(J50,Tabla11[],2,0),0))*($L50/SUM($L$5:$L$46)),0))</f>
        <v>17171.6994277469</v>
      </c>
      <c r="U50" s="15" t="n">
        <f aca="false">IF($L50&lt;0,0,IFERROR((U$2*IFERROR(VLOOKUP(J50,Tabla11[],2,0),0))*($L50/SUM($L$5:$L$46)),0))</f>
        <v>3338.94155539523</v>
      </c>
      <c r="V50" s="15" t="n">
        <f aca="false">IF($L50&lt;0,0,IFERROR((V$2*IFERROR(VLOOKUP(J50,Tabla11[],2,0),0))*($L50/SUM($L$5:$L$46)),0))</f>
        <v>17171.6994277469</v>
      </c>
      <c r="W50" s="15" t="n">
        <f aca="false">IF($L50&lt;0,0,IFERROR((W$2*IFERROR(VLOOKUP(J50,Tabla11[],2,0),0))*($L50/SUM($L$5:$L$46)),0))</f>
        <v>23849.5825385373</v>
      </c>
      <c r="X50" s="15" t="n">
        <f aca="false">P50*$X$2</f>
        <v>520195.974444926</v>
      </c>
      <c r="Y50" s="15" t="n">
        <f aca="false">+X50*IFERROR(VLOOKUP(J50,Tabla11[],4,0),0)</f>
        <v>78029.3961667389</v>
      </c>
      <c r="Z50" s="15" t="n">
        <f aca="false">IF(L50&gt;0,$Z$2/12,0)</f>
        <v>25833.3333333333</v>
      </c>
      <c r="AA50" s="15" t="n">
        <f aca="false">P50-SUM(Q50:Z50)</f>
        <v>255429.674215611</v>
      </c>
      <c r="AB50" s="15" t="n">
        <f aca="false">IF($L50&lt;0,0,IFERROR((AB$2*IFERROR(VLOOKUP(J50,Tabla11[],2,0),0))*($L50/SUM($L$5:$L$46)),0))</f>
        <v>27389.7141512629</v>
      </c>
      <c r="AC50" s="15" t="n">
        <f aca="false">L50-L50*IFERROR(VLOOKUP(J50,Tabla11[],3,0),0)-Q50-T50-U50-V50-W50-L50*$X$2-(L50*$X$2)*IFERROR(VLOOKUP(J50,Tabla11[],4,0),0)-AB50-Z50</f>
        <v>75886.9332288057</v>
      </c>
      <c r="AD50" s="15" t="n">
        <f aca="false">AA50-AB50</f>
        <v>228039.960064348</v>
      </c>
      <c r="AE50" s="15" t="n">
        <f aca="false">ROUND(AD50-AC50,9)</f>
        <v>152153.026835542</v>
      </c>
    </row>
    <row r="51" customFormat="false" ht="14.4" hidden="false" customHeight="false" outlineLevel="0" collapsed="false">
      <c r="A51" s="12" t="s">
        <v>31</v>
      </c>
      <c r="B51" s="12" t="s">
        <v>30</v>
      </c>
      <c r="C51" s="13" t="n">
        <v>1</v>
      </c>
      <c r="D51" s="12"/>
      <c r="E51" s="12" t="s">
        <v>30</v>
      </c>
      <c r="F51" s="13"/>
      <c r="G51" s="13" t="n">
        <v>3</v>
      </c>
      <c r="H51" s="13" t="s">
        <v>50</v>
      </c>
      <c r="I51" s="13" t="s">
        <v>51</v>
      </c>
      <c r="J51" s="13" t="s">
        <v>85</v>
      </c>
      <c r="K51" s="13" t="s">
        <v>74</v>
      </c>
      <c r="L51" s="12" t="n">
        <f aca="false">IFERROR(VLOOKUP(CONCATENATE(J51,K51),Ventas!D:H,4,0),0)</f>
        <v>3194512.28246865</v>
      </c>
      <c r="M51" s="12" t="n">
        <f aca="false">IF(SUM(C51,F51)&gt;0,L51*0.1,0)</f>
        <v>319451.228246865</v>
      </c>
      <c r="N51" s="14" t="n">
        <f aca="false">SUM(L51:M51)</f>
        <v>3513963.51071551</v>
      </c>
      <c r="O51" s="12" t="n">
        <f aca="false">N51*IFERROR(VLOOKUP(J51,Tabla11[],3,0),0)</f>
        <v>1229887.22875043</v>
      </c>
      <c r="P51" s="12" t="n">
        <f aca="false">N51-O51</f>
        <v>2284076.28196508</v>
      </c>
      <c r="Q51" s="12" t="n">
        <f aca="false">IFERROR(G51/SUMIF(I:I,I51,G:G),0)*VLOOKUP(H51,Modelos[],14,0)+IFERROR(G51/SUMIF(I:I,I51,G:G),0)*VLOOKUP(I51,Tabla13[],2,0)</f>
        <v>69504.9876201923</v>
      </c>
      <c r="R51" s="12" t="n">
        <f aca="false">IFERROR(VLOOKUP(A51,Modelos[],IF(B51="EST",15,14),0),0)*C51</f>
        <v>204526.8003975</v>
      </c>
      <c r="S51" s="12" t="n">
        <f aca="false">IFERROR(VLOOKUP(D51,Modelos[],IF(E51="EST",15,14),0),0)*F51</f>
        <v>0</v>
      </c>
      <c r="T51" s="12" t="n">
        <f aca="false">IF($L51&lt;0,0,IFERROR((T$2*IFERROR(VLOOKUP(J51,Tabla11[],2,0),0))*($L51/SUM($L$5:$L$46)),0))</f>
        <v>30158.9964634396</v>
      </c>
      <c r="U51" s="12" t="n">
        <f aca="false">IF($L51&lt;0,0,IFERROR((U$2*IFERROR(VLOOKUP(J51,Tabla11[],2,0),0))*($L51/SUM($L$5:$L$46)),0))</f>
        <v>5864.24931233547</v>
      </c>
      <c r="V51" s="12" t="n">
        <f aca="false">IF($L51&lt;0,0,IFERROR((V$2*IFERROR(VLOOKUP(J51,Tabla11[],2,0),0))*($L51/SUM($L$5:$L$46)),0))</f>
        <v>30158.9964634396</v>
      </c>
      <c r="W51" s="12" t="n">
        <f aca="false">IF($L51&lt;0,0,IFERROR((W$2*IFERROR(VLOOKUP(J51,Tabla11[],2,0),0))*($L51/SUM($L$5:$L$46)),0))</f>
        <v>41887.4950881105</v>
      </c>
      <c r="X51" s="12" t="n">
        <f aca="false">P51*$X$2</f>
        <v>913630.512786034</v>
      </c>
      <c r="Y51" s="12" t="n">
        <f aca="false">+X51*IFERROR(VLOOKUP(J51,Tabla11[],4,0),0)</f>
        <v>137044.576917905</v>
      </c>
      <c r="Z51" s="12" t="n">
        <f aca="false">IF(L51&gt;0,$Z$2/12,0)</f>
        <v>25833.3333333333</v>
      </c>
      <c r="AA51" s="12" t="n">
        <f aca="false">P51-SUM(Q51:Z51)</f>
        <v>825466.333582795</v>
      </c>
      <c r="AB51" s="12" t="n">
        <f aca="false">IF($L51&lt;0,0,IFERROR((AB$2*IFERROR(VLOOKUP(J51,Tabla11[],2,0),0))*($L51/SUM($L$5:$L$46)),0))</f>
        <v>48105.0984905893</v>
      </c>
      <c r="AC51" s="12" t="n">
        <f aca="false">L51-L51*IFERROR(VLOOKUP(J51,Tabla11[],3,0),0)-Q51-T51-U51-V51-W51-L51*$X$2-(L51*$X$2)*IFERROR(VLOOKUP(J51,Tabla11[],4,0),0)-AB51-Z51</f>
        <v>355444.176897603</v>
      </c>
      <c r="AD51" s="12" t="n">
        <f aca="false">AA51-AB51</f>
        <v>777361.235092205</v>
      </c>
      <c r="AE51" s="12" t="n">
        <f aca="false">ROUND(AD51-AC51,9)</f>
        <v>421917.058194602</v>
      </c>
    </row>
    <row r="52" customFormat="false" ht="14.4" hidden="false" customHeight="false" outlineLevel="0" collapsed="false">
      <c r="A52" s="15"/>
      <c r="B52" s="15" t="s">
        <v>30</v>
      </c>
      <c r="C52" s="16"/>
      <c r="D52" s="15"/>
      <c r="E52" s="15" t="s">
        <v>30</v>
      </c>
      <c r="F52" s="16"/>
      <c r="G52" s="16" t="n">
        <v>3</v>
      </c>
      <c r="H52" s="16" t="s">
        <v>40</v>
      </c>
      <c r="I52" s="16" t="s">
        <v>76</v>
      </c>
      <c r="J52" s="16" t="s">
        <v>85</v>
      </c>
      <c r="K52" s="16" t="s">
        <v>77</v>
      </c>
      <c r="L52" s="12" t="n">
        <f aca="false">IFERROR(VLOOKUP(CONCATENATE(J52,K52),Ventas!D:H,4,0),0)</f>
        <v>2835397.79388772</v>
      </c>
      <c r="M52" s="15" t="n">
        <f aca="false">IF(SUM(C52,F52)&gt;0,L52*0.1,0)</f>
        <v>0</v>
      </c>
      <c r="N52" s="17" t="n">
        <f aca="false">SUM(L52:M52)</f>
        <v>2835397.79388772</v>
      </c>
      <c r="O52" s="15" t="n">
        <f aca="false">N52*IFERROR(VLOOKUP(J52,Tabla11[],3,0),0)</f>
        <v>992389.227860702</v>
      </c>
      <c r="P52" s="15" t="n">
        <f aca="false">N52-O52</f>
        <v>1843008.56602702</v>
      </c>
      <c r="Q52" s="12" t="n">
        <f aca="false">IFERROR(G52/SUMIF(I:I,I52,G:G),0)*VLOOKUP(H52,Modelos[],14,0)+IFERROR(G52/SUMIF(I:I,I52,G:G),0)*VLOOKUP(I52,Tabla13[],2,0)</f>
        <v>128242.75203125</v>
      </c>
      <c r="R52" s="15" t="n">
        <f aca="false">IFERROR(VLOOKUP(A52,Modelos[],IF(B52="EST",15,14),0),0)*C52</f>
        <v>0</v>
      </c>
      <c r="S52" s="15" t="n">
        <f aca="false">IFERROR(VLOOKUP(D52,Modelos[],IF(E52="EST",15,14),0),0)*F52</f>
        <v>0</v>
      </c>
      <c r="T52" s="15" t="n">
        <f aca="false">IF($L52&lt;0,0,IFERROR((T$2*IFERROR(VLOOKUP(J52,Tabla11[],2,0),0))*($L52/SUM($L$5:$L$46)),0))</f>
        <v>26768.6408681521</v>
      </c>
      <c r="U52" s="15" t="n">
        <f aca="false">IF($L52&lt;0,0,IFERROR((U$2*IFERROR(VLOOKUP(J52,Tabla11[],2,0),0))*($L52/SUM($L$5:$L$46)),0))</f>
        <v>5205.01350214069</v>
      </c>
      <c r="V52" s="15" t="n">
        <f aca="false">IF($L52&lt;0,0,IFERROR((V$2*IFERROR(VLOOKUP(J52,Tabla11[],2,0),0))*($L52/SUM($L$5:$L$46)),0))</f>
        <v>26768.6408681521</v>
      </c>
      <c r="W52" s="15" t="n">
        <f aca="false">IF($L52&lt;0,0,IFERROR((W$2*IFERROR(VLOOKUP(J52,Tabla11[],2,0),0))*($L52/SUM($L$5:$L$46)),0))</f>
        <v>37178.6678724335</v>
      </c>
      <c r="X52" s="15" t="n">
        <f aca="false">P52*$X$2</f>
        <v>737203.426410807</v>
      </c>
      <c r="Y52" s="15" t="n">
        <f aca="false">+X52*IFERROR(VLOOKUP(J52,Tabla11[],4,0),0)</f>
        <v>110580.513961621</v>
      </c>
      <c r="Z52" s="15" t="n">
        <f aca="false">IF(L52&gt;0,$Z$2/12,0)</f>
        <v>25833.3333333333</v>
      </c>
      <c r="AA52" s="15" t="n">
        <f aca="false">P52-SUM(Q52:Z52)</f>
        <v>745227.577179128</v>
      </c>
      <c r="AB52" s="15" t="n">
        <f aca="false">IF($L52&lt;0,0,IFERROR((AB$2*IFERROR(VLOOKUP(J52,Tabla11[],2,0),0))*($L52/SUM($L$5:$L$46)),0))</f>
        <v>42697.312789658</v>
      </c>
      <c r="AC52" s="15" t="n">
        <f aca="false">L52-L52*IFERROR(VLOOKUP(J52,Tabla11[],3,0),0)-Q52-T52-U52-V52-W52-L52*$X$2-(L52*$X$2)*IFERROR(VLOOKUP(J52,Tabla11[],4,0),0)-AB52-Z52</f>
        <v>246031.219573547</v>
      </c>
      <c r="AD52" s="15" t="n">
        <f aca="false">AA52-AB52</f>
        <v>702530.26438947</v>
      </c>
      <c r="AE52" s="15" t="n">
        <f aca="false">ROUND(AD52-AC52,9)</f>
        <v>456499.044815923</v>
      </c>
    </row>
    <row r="53" customFormat="false" ht="14.4" hidden="false" customHeight="false" outlineLevel="0" collapsed="false">
      <c r="A53" s="12" t="s">
        <v>31</v>
      </c>
      <c r="B53" s="12" t="s">
        <v>30</v>
      </c>
      <c r="C53" s="13" t="n">
        <v>0.67</v>
      </c>
      <c r="D53" s="12"/>
      <c r="E53" s="12" t="s">
        <v>30</v>
      </c>
      <c r="F53" s="13"/>
      <c r="G53" s="13" t="n">
        <v>0</v>
      </c>
      <c r="H53" s="13" t="s">
        <v>32</v>
      </c>
      <c r="I53" s="13" t="s">
        <v>44</v>
      </c>
      <c r="J53" s="13" t="s">
        <v>85</v>
      </c>
      <c r="K53" s="13" t="s">
        <v>91</v>
      </c>
      <c r="L53" s="12" t="n">
        <f aca="false">IFERROR(VLOOKUP(CONCATENATE(J53,K53),Ventas!D:H,4,0),0)</f>
        <v>1776096.12396157</v>
      </c>
      <c r="M53" s="12" t="n">
        <f aca="false">IF(SUM(C53,F53)&gt;0,L53*0.1,0)</f>
        <v>177609.612396157</v>
      </c>
      <c r="N53" s="14" t="n">
        <f aca="false">SUM(L53:M53)</f>
        <v>1953705.73635773</v>
      </c>
      <c r="O53" s="12" t="n">
        <f aca="false">N53*IFERROR(VLOOKUP(J53,Tabla11[],3,0),0)</f>
        <v>683797.007725204</v>
      </c>
      <c r="P53" s="12" t="n">
        <f aca="false">N53-O53</f>
        <v>1269908.72863252</v>
      </c>
      <c r="Q53" s="12" t="n">
        <f aca="false">IFERROR(G53/SUMIF(I:I,I53,G:G),0)*VLOOKUP(H53,Modelos[],14,0)+IFERROR(G53/SUMIF(I:I,I53,G:G),0)*VLOOKUP(I53,Tabla13[],2,0)</f>
        <v>0</v>
      </c>
      <c r="R53" s="12" t="n">
        <f aca="false">IFERROR(VLOOKUP(A53,Modelos[],IF(B53="EST",15,14),0),0)*C53</f>
        <v>137032.956266325</v>
      </c>
      <c r="S53" s="12" t="n">
        <f aca="false">IFERROR(VLOOKUP(D53,Modelos[],IF(E53="EST",15,14),0),0)*F53</f>
        <v>0</v>
      </c>
      <c r="T53" s="12" t="n">
        <f aca="false">IF($L53&lt;0,0,IFERROR((T$2*IFERROR(VLOOKUP(J53,Tabla11[],2,0),0))*($L53/SUM($L$5:$L$46)),0))</f>
        <v>16767.9044514087</v>
      </c>
      <c r="U53" s="12" t="n">
        <f aca="false">IF($L53&lt;0,0,IFERROR((U$2*IFERROR(VLOOKUP(J53,Tabla11[],2,0),0))*($L53/SUM($L$5:$L$46)),0))</f>
        <v>3260.42586555168</v>
      </c>
      <c r="V53" s="12" t="n">
        <f aca="false">IF($L53&lt;0,0,IFERROR((V$2*IFERROR(VLOOKUP(J53,Tabla11[],2,0),0))*($L53/SUM($L$5:$L$46)),0))</f>
        <v>16767.9044514087</v>
      </c>
      <c r="W53" s="12" t="n">
        <f aca="false">IF($L53&lt;0,0,IFERROR((W$2*IFERROR(VLOOKUP(J53,Tabla11[],2,0),0))*($L53/SUM($L$5:$L$46)),0))</f>
        <v>23288.756182512</v>
      </c>
      <c r="X53" s="12" t="n">
        <f aca="false">P53*$X$2</f>
        <v>507963.491453009</v>
      </c>
      <c r="Y53" s="12" t="n">
        <f aca="false">+X53*IFERROR(VLOOKUP(J53,Tabla11[],4,0),0)</f>
        <v>76194.5237179513</v>
      </c>
      <c r="Z53" s="12" t="n">
        <f aca="false">IF(L53&gt;0,$Z$2/12,0)</f>
        <v>25833.3333333333</v>
      </c>
      <c r="AA53" s="12" t="n">
        <f aca="false">P53-SUM(Q53:Z53)</f>
        <v>462799.432911023</v>
      </c>
      <c r="AB53" s="12" t="n">
        <f aca="false">IF($L53&lt;0,0,IFERROR((AB$2*IFERROR(VLOOKUP(J53,Tabla11[],2,0),0))*($L53/SUM($L$5:$L$46)),0))</f>
        <v>26745.6410923233</v>
      </c>
      <c r="AC53" s="12" t="n">
        <f aca="false">L53-L53*IFERROR(VLOOKUP(J53,Tabla11[],3,0),0)-Q53-T53-U53-V53-W53-L53*$X$2-(L53*$X$2)*IFERROR(VLOOKUP(J53,Tabla11[],4,0),0)-AB53-Z53</f>
        <v>224794.29817616</v>
      </c>
      <c r="AD53" s="12" t="n">
        <f aca="false">AA53-AB53</f>
        <v>436053.791818699</v>
      </c>
      <c r="AE53" s="12" t="n">
        <f aca="false">ROUND(AD53-AC53,9)</f>
        <v>211259.493642539</v>
      </c>
    </row>
    <row r="54" customFormat="false" ht="14.4" hidden="false" customHeight="false" outlineLevel="0" collapsed="false">
      <c r="A54" s="15" t="s">
        <v>46</v>
      </c>
      <c r="B54" s="15" t="s">
        <v>30</v>
      </c>
      <c r="C54" s="16" t="n">
        <v>1</v>
      </c>
      <c r="D54" s="15"/>
      <c r="E54" s="15" t="s">
        <v>30</v>
      </c>
      <c r="F54" s="16"/>
      <c r="G54" s="16" t="n">
        <v>0</v>
      </c>
      <c r="H54" s="16" t="s">
        <v>32</v>
      </c>
      <c r="I54" s="16" t="s">
        <v>36</v>
      </c>
      <c r="J54" s="16" t="s">
        <v>85</v>
      </c>
      <c r="K54" s="16" t="s">
        <v>92</v>
      </c>
      <c r="L54" s="12" t="n">
        <f aca="false">IFERROR(VLOOKUP(CONCATENATE(J54,K54),Ventas!D:H,4,0),0)</f>
        <v>604188.735649854</v>
      </c>
      <c r="M54" s="15" t="n">
        <f aca="false">IF(SUM(C54,F54)&gt;0,L54*0.1,0)</f>
        <v>60418.8735649854</v>
      </c>
      <c r="N54" s="17" t="n">
        <f aca="false">SUM(L54:M54)</f>
        <v>664607.609214839</v>
      </c>
      <c r="O54" s="15" t="n">
        <f aca="false">N54*IFERROR(VLOOKUP(J54,Tabla11[],3,0),0)</f>
        <v>232612.663225194</v>
      </c>
      <c r="P54" s="15" t="n">
        <f aca="false">N54-O54</f>
        <v>431994.945989645</v>
      </c>
      <c r="Q54" s="12" t="n">
        <f aca="false">IFERROR(G54/SUMIF(I:I,I54,G:G),0)*VLOOKUP(H54,Modelos[],14,0)+IFERROR(G54/SUMIF(I:I,I54,G:G),0)*VLOOKUP(I54,Tabla13[],2,0)</f>
        <v>0</v>
      </c>
      <c r="R54" s="15" t="n">
        <f aca="false">IFERROR(VLOOKUP(A54,Modelos[],IF(B54="EST",15,14),0),0)*C54</f>
        <v>154393.465625</v>
      </c>
      <c r="S54" s="15" t="n">
        <f aca="false">IFERROR(VLOOKUP(D54,Modelos[],IF(E54="EST",15,14),0),0)*F54</f>
        <v>0</v>
      </c>
      <c r="T54" s="15" t="n">
        <f aca="false">IF($L54&lt;0,0,IFERROR((T$2*IFERROR(VLOOKUP(J54,Tabla11[],2,0),0))*($L54/SUM($L$5:$L$46)),0))</f>
        <v>5704.07133561954</v>
      </c>
      <c r="U54" s="15" t="n">
        <f aca="false">IF($L54&lt;0,0,IFERROR((U$2*IFERROR(VLOOKUP(J54,Tabla11[],2,0),0))*($L54/SUM($L$5:$L$46)),0))</f>
        <v>1109.12498192602</v>
      </c>
      <c r="V54" s="15" t="n">
        <f aca="false">IF($L54&lt;0,0,IFERROR((V$2*IFERROR(VLOOKUP(J54,Tabla11[],2,0),0))*($L54/SUM($L$5:$L$46)),0))</f>
        <v>5704.07133561954</v>
      </c>
      <c r="W54" s="15" t="n">
        <f aca="false">IF($L54&lt;0,0,IFERROR((W$2*IFERROR(VLOOKUP(J54,Tabla11[],2,0),0))*($L54/SUM($L$5:$L$46)),0))</f>
        <v>7922.32129947158</v>
      </c>
      <c r="X54" s="15" t="n">
        <f aca="false">P54*$X$2</f>
        <v>172797.978395858</v>
      </c>
      <c r="Y54" s="15" t="n">
        <f aca="false">+X54*IFERROR(VLOOKUP(J54,Tabla11[],4,0),0)</f>
        <v>25919.6967593787</v>
      </c>
      <c r="Z54" s="15" t="n">
        <f aca="false">IF(L54&gt;0,$Z$2/12,0)</f>
        <v>25833.3333333333</v>
      </c>
      <c r="AA54" s="15" t="n">
        <f aca="false">P54-SUM(Q54:Z54)</f>
        <v>32610.8829234384</v>
      </c>
      <c r="AB54" s="15" t="n">
        <f aca="false">IF($L54&lt;0,0,IFERROR((AB$2*IFERROR(VLOOKUP(J54,Tabla11[],2,0),0))*($L54/SUM($L$5:$L$46)),0))</f>
        <v>9098.27731602283</v>
      </c>
      <c r="AC54" s="15" t="n">
        <f aca="false">L54-L54*IFERROR(VLOOKUP(J54,Tabla11[],3,0),0)-Q54-T54-U54-V54-W54-L54*$X$2-(L54*$X$2)*IFERROR(VLOOKUP(J54,Tabla11[],4,0),0)-AB54-Z54</f>
        <v>59424.6601714793</v>
      </c>
      <c r="AD54" s="15" t="n">
        <f aca="false">AA54-AB54</f>
        <v>23512.6056074156</v>
      </c>
      <c r="AE54" s="15" t="n">
        <f aca="false">ROUND(AD54-AC54,9)</f>
        <v>-35912.054564064</v>
      </c>
    </row>
    <row r="55" customFormat="false" ht="14.4" hidden="false" customHeight="false" outlineLevel="0" collapsed="false">
      <c r="A55" s="12"/>
      <c r="B55" s="12" t="s">
        <v>30</v>
      </c>
      <c r="C55" s="13"/>
      <c r="D55" s="12"/>
      <c r="E55" s="12" t="s">
        <v>30</v>
      </c>
      <c r="F55" s="13"/>
      <c r="G55" s="13" t="n">
        <v>3</v>
      </c>
      <c r="H55" s="13" t="s">
        <v>50</v>
      </c>
      <c r="I55" s="13" t="s">
        <v>51</v>
      </c>
      <c r="J55" s="13" t="s">
        <v>85</v>
      </c>
      <c r="K55" s="13" t="s">
        <v>93</v>
      </c>
      <c r="L55" s="12" t="n">
        <f aca="false">IFERROR(VLOOKUP(CONCATENATE(J55,K55),Ventas!D:H,4,0),0)</f>
        <v>2826371.75856876</v>
      </c>
      <c r="M55" s="12" t="n">
        <f aca="false">IF(SUM(C55,F55)&gt;0,L55*0.1,0)</f>
        <v>0</v>
      </c>
      <c r="N55" s="14" t="n">
        <f aca="false">SUM(L55:M55)</f>
        <v>2826371.75856876</v>
      </c>
      <c r="O55" s="12" t="n">
        <f aca="false">N55*IFERROR(VLOOKUP(J55,Tabla11[],3,0),0)</f>
        <v>989230.115499066</v>
      </c>
      <c r="P55" s="12" t="n">
        <f aca="false">N55-O55</f>
        <v>1837141.64306969</v>
      </c>
      <c r="Q55" s="12" t="n">
        <f aca="false">IFERROR(G55/SUMIF(I:I,I55,G:G),0)*VLOOKUP(H55,Modelos[],14,0)+IFERROR(G55/SUMIF(I:I,I55,G:G),0)*VLOOKUP(I55,Tabla13[],2,0)</f>
        <v>69504.9876201923</v>
      </c>
      <c r="R55" s="12" t="n">
        <f aca="false">IFERROR(VLOOKUP(A55,Modelos[],IF(B55="EST",15,14),0),0)*C55</f>
        <v>0</v>
      </c>
      <c r="S55" s="12" t="n">
        <f aca="false">IFERROR(VLOOKUP(D55,Modelos[],IF(E55="EST",15,14),0),0)*F55</f>
        <v>0</v>
      </c>
      <c r="T55" s="12" t="n">
        <f aca="false">IF($L55&lt;0,0,IFERROR((T$2*IFERROR(VLOOKUP(J55,Tabla11[],2,0),0))*($L55/SUM($L$5:$L$46)),0))</f>
        <v>26683.4271819323</v>
      </c>
      <c r="U55" s="12" t="n">
        <f aca="false">IF($L55&lt;0,0,IFERROR((U$2*IFERROR(VLOOKUP(J55,Tabla11[],2,0),0))*($L55/SUM($L$5:$L$46)),0))</f>
        <v>5188.44417426462</v>
      </c>
      <c r="V55" s="12" t="n">
        <f aca="false">IF($L55&lt;0,0,IFERROR((V$2*IFERROR(VLOOKUP(J55,Tabla11[],2,0),0))*($L55/SUM($L$5:$L$46)),0))</f>
        <v>26683.4271819323</v>
      </c>
      <c r="W55" s="12" t="n">
        <f aca="false">IF($L55&lt;0,0,IFERROR((W$2*IFERROR(VLOOKUP(J55,Tabla11[],2,0),0))*($L55/SUM($L$5:$L$46)),0))</f>
        <v>37060.3155304616</v>
      </c>
      <c r="X55" s="12" t="n">
        <f aca="false">P55*$X$2</f>
        <v>734856.657227877</v>
      </c>
      <c r="Y55" s="12" t="n">
        <f aca="false">+X55*IFERROR(VLOOKUP(J55,Tabla11[],4,0),0)</f>
        <v>110228.498584182</v>
      </c>
      <c r="Z55" s="12" t="n">
        <f aca="false">IF(L55&gt;0,$Z$2/12,0)</f>
        <v>25833.3333333333</v>
      </c>
      <c r="AA55" s="12" t="n">
        <f aca="false">P55-SUM(Q55:Z55)</f>
        <v>801102.552235518</v>
      </c>
      <c r="AB55" s="12" t="n">
        <f aca="false">IF($L55&lt;0,0,IFERROR((AB$2*IFERROR(VLOOKUP(J55,Tabla11[],2,0),0))*($L55/SUM($L$5:$L$46)),0))</f>
        <v>42561.3927243695</v>
      </c>
      <c r="AC55" s="12" t="n">
        <f aca="false">L55-L55*IFERROR(VLOOKUP(J55,Tabla11[],3,0),0)-Q55-T55-U55-V55-W55-L55*$X$2-(L55*$X$2)*IFERROR(VLOOKUP(J55,Tabla11[],4,0),0)-AB55-Z55</f>
        <v>303495.306381578</v>
      </c>
      <c r="AD55" s="12" t="n">
        <f aca="false">AA55-AB55</f>
        <v>758541.159511148</v>
      </c>
      <c r="AE55" s="12" t="n">
        <f aca="false">ROUND(AD55-AC55,9)</f>
        <v>455045.85312957</v>
      </c>
    </row>
    <row r="56" customFormat="false" ht="14.4" hidden="false" customHeight="false" outlineLevel="0" collapsed="false">
      <c r="A56" s="15" t="s">
        <v>46</v>
      </c>
      <c r="B56" s="15" t="s">
        <v>30</v>
      </c>
      <c r="C56" s="16" t="n">
        <v>1</v>
      </c>
      <c r="D56" s="15"/>
      <c r="E56" s="15" t="s">
        <v>30</v>
      </c>
      <c r="F56" s="16"/>
      <c r="G56" s="16" t="n">
        <v>3</v>
      </c>
      <c r="H56" s="16" t="s">
        <v>40</v>
      </c>
      <c r="I56" s="16" t="s">
        <v>83</v>
      </c>
      <c r="J56" s="16" t="s">
        <v>85</v>
      </c>
      <c r="K56" s="16" t="s">
        <v>83</v>
      </c>
      <c r="L56" s="12" t="n">
        <f aca="false">IFERROR(VLOOKUP(CONCATENATE(J56,K56),Ventas!D:H,4,0),0)</f>
        <v>3326239.4432773</v>
      </c>
      <c r="M56" s="15" t="n">
        <f aca="false">IF(SUM(C56,F56)&gt;0,L56*0.1,0)</f>
        <v>332623.94432773</v>
      </c>
      <c r="N56" s="17" t="n">
        <f aca="false">SUM(L56:M56)</f>
        <v>3658863.38760503</v>
      </c>
      <c r="O56" s="15" t="n">
        <f aca="false">N56*IFERROR(VLOOKUP(J56,Tabla11[],3,0),0)</f>
        <v>1280602.18566176</v>
      </c>
      <c r="P56" s="15" t="n">
        <f aca="false">N56-O56</f>
        <v>2378261.20194327</v>
      </c>
      <c r="Q56" s="12" t="n">
        <f aca="false">IFERROR(G56/SUMIF(I:I,I56,G:G),0)*VLOOKUP(H56,Modelos[],14,0)+IFERROR(G56/SUMIF(I:I,I56,G:G),0)*VLOOKUP(I56,Tabla13[],2,0)</f>
        <v>121576.085364583</v>
      </c>
      <c r="R56" s="15" t="n">
        <f aca="false">IFERROR(VLOOKUP(A56,Modelos[],IF(B56="EST",15,14),0),0)*C56</f>
        <v>154393.465625</v>
      </c>
      <c r="S56" s="15" t="n">
        <f aca="false">IFERROR(VLOOKUP(D56,Modelos[],IF(E56="EST",15,14),0),0)*F56</f>
        <v>0</v>
      </c>
      <c r="T56" s="15" t="n">
        <f aca="false">IF($L56&lt;0,0,IFERROR((T$2*IFERROR(VLOOKUP(J56,Tabla11[],2,0),0))*($L56/SUM($L$5:$L$46)),0))</f>
        <v>31402.6163420575</v>
      </c>
      <c r="U56" s="15" t="n">
        <f aca="false">IF($L56&lt;0,0,IFERROR((U$2*IFERROR(VLOOKUP(J56,Tabla11[],2,0),0))*($L56/SUM($L$5:$L$46)),0))</f>
        <v>6106.0642887334</v>
      </c>
      <c r="V56" s="15" t="n">
        <f aca="false">IF($L56&lt;0,0,IFERROR((V$2*IFERROR(VLOOKUP(J56,Tabla11[],2,0),0))*($L56/SUM($L$5:$L$46)),0))</f>
        <v>31402.6163420575</v>
      </c>
      <c r="W56" s="15" t="n">
        <f aca="false">IF($L56&lt;0,0,IFERROR((W$2*IFERROR(VLOOKUP(J56,Tabla11[],2,0),0))*($L56/SUM($L$5:$L$46)),0))</f>
        <v>43614.7449195243</v>
      </c>
      <c r="X56" s="15" t="n">
        <f aca="false">P56*$X$2</f>
        <v>951304.480777308</v>
      </c>
      <c r="Y56" s="15" t="n">
        <f aca="false">+X56*IFERROR(VLOOKUP(J56,Tabla11[],4,0),0)</f>
        <v>142695.672116596</v>
      </c>
      <c r="Z56" s="15" t="n">
        <f aca="false">IF(L56&gt;0,$Z$2/12,0)</f>
        <v>25833.3333333333</v>
      </c>
      <c r="AA56" s="15" t="n">
        <f aca="false">P56-SUM(Q56:Z56)</f>
        <v>869932.122834076</v>
      </c>
      <c r="AB56" s="15" t="n">
        <f aca="false">IF($L56&lt;0,0,IFERROR((AB$2*IFERROR(VLOOKUP(J56,Tabla11[],2,0),0))*($L56/SUM($L$5:$L$46)),0))</f>
        <v>50088.7340143472</v>
      </c>
      <c r="AC56" s="15" t="n">
        <f aca="false">L56-L56*IFERROR(VLOOKUP(J56,Tabla11[],3,0),0)-Q56-T56-U56-V56-W56-L56*$X$2-(L56*$X$2)*IFERROR(VLOOKUP(J56,Tabla11[],4,0),0)-AB56-Z56</f>
        <v>321961.29961805</v>
      </c>
      <c r="AD56" s="15" t="n">
        <f aca="false">AA56-AB56</f>
        <v>819843.388819729</v>
      </c>
      <c r="AE56" s="15" t="n">
        <f aca="false">ROUND(AD56-AC56,9)</f>
        <v>497882.089201678</v>
      </c>
    </row>
    <row r="57" customFormat="false" ht="14.4" hidden="false" customHeight="false" outlineLevel="0" collapsed="false">
      <c r="A57" s="12" t="s">
        <v>31</v>
      </c>
      <c r="B57" s="12" t="s">
        <v>30</v>
      </c>
      <c r="C57" s="13" t="n">
        <v>1</v>
      </c>
      <c r="D57" s="12"/>
      <c r="E57" s="12" t="s">
        <v>30</v>
      </c>
      <c r="F57" s="13"/>
      <c r="G57" s="13" t="n">
        <v>3</v>
      </c>
      <c r="H57" s="13" t="s">
        <v>32</v>
      </c>
      <c r="I57" s="13" t="s">
        <v>44</v>
      </c>
      <c r="J57" s="13" t="s">
        <v>85</v>
      </c>
      <c r="K57" s="13" t="s">
        <v>94</v>
      </c>
      <c r="L57" s="12" t="n">
        <f aca="false">IFERROR(VLOOKUP(CONCATENATE(J57,K57),Ventas!D:H,4,0),0)</f>
        <v>1697412.33288376</v>
      </c>
      <c r="M57" s="12" t="n">
        <f aca="false">IF(SUM(C57,F57)&gt;0,L57*0.1,0)</f>
        <v>169741.233288376</v>
      </c>
      <c r="N57" s="14" t="n">
        <f aca="false">SUM(L57:M57)</f>
        <v>1867153.56617213</v>
      </c>
      <c r="O57" s="12" t="n">
        <f aca="false">N57*IFERROR(VLOOKUP(J57,Tabla11[],3,0),0)</f>
        <v>653503.748160246</v>
      </c>
      <c r="P57" s="12" t="n">
        <f aca="false">N57-O57</f>
        <v>1213649.81801189</v>
      </c>
      <c r="Q57" s="12" t="n">
        <f aca="false">IFERROR(G57/SUMIF(I:I,I57,G:G),0)*VLOOKUP(H57,Modelos[],14,0)+IFERROR(G57/SUMIF(I:I,I57,G:G),0)*VLOOKUP(I57,Tabla13[],2,0)</f>
        <v>106001.174511719</v>
      </c>
      <c r="R57" s="12" t="n">
        <f aca="false">IFERROR(VLOOKUP(A57,Modelos[],IF(B57="EST",15,14),0),0)*C57</f>
        <v>204526.8003975</v>
      </c>
      <c r="S57" s="12" t="n">
        <f aca="false">IFERROR(VLOOKUP(D57,Modelos[],IF(E57="EST",15,14),0),0)*F57</f>
        <v>0</v>
      </c>
      <c r="T57" s="12" t="n">
        <f aca="false">IF($L57&lt;0,0,IFERROR((T$2*IFERROR(VLOOKUP(J57,Tabla11[],2,0),0))*($L57/SUM($L$5:$L$46)),0))</f>
        <v>16025.0604843127</v>
      </c>
      <c r="U57" s="12" t="n">
        <f aca="false">IF($L57&lt;0,0,IFERROR((U$2*IFERROR(VLOOKUP(J57,Tabla11[],2,0),0))*($L57/SUM($L$5:$L$46)),0))</f>
        <v>3115.9839830608</v>
      </c>
      <c r="V57" s="12" t="n">
        <f aca="false">IF($L57&lt;0,0,IFERROR((V$2*IFERROR(VLOOKUP(J57,Tabla11[],2,0),0))*($L57/SUM($L$5:$L$46)),0))</f>
        <v>16025.0604843127</v>
      </c>
      <c r="W57" s="12" t="n">
        <f aca="false">IF($L57&lt;0,0,IFERROR((W$2*IFERROR(VLOOKUP(J57,Tabla11[],2,0),0))*($L57/SUM($L$5:$L$46)),0))</f>
        <v>22257.0284504343</v>
      </c>
      <c r="X57" s="12" t="n">
        <f aca="false">P57*$X$2</f>
        <v>485459.927204755</v>
      </c>
      <c r="Y57" s="12" t="n">
        <f aca="false">+X57*IFERROR(VLOOKUP(J57,Tabla11[],4,0),0)</f>
        <v>72818.9890807132</v>
      </c>
      <c r="Z57" s="12" t="n">
        <f aca="false">IF(L57&gt;0,$Z$2/12,0)</f>
        <v>25833.3333333333</v>
      </c>
      <c r="AA57" s="12" t="n">
        <f aca="false">P57-SUM(Q57:Z57)</f>
        <v>261586.460081746</v>
      </c>
      <c r="AB57" s="12" t="n">
        <f aca="false">IF($L57&lt;0,0,IFERROR((AB$2*IFERROR(VLOOKUP(J57,Tabla11[],2,0),0))*($L57/SUM($L$5:$L$46)),0))</f>
        <v>25560.7680398128</v>
      </c>
      <c r="AC57" s="12" t="n">
        <f aca="false">L57-L57*IFERROR(VLOOKUP(J57,Tabla11[],3,0),0)-Q57-T57-U57-V57-W57-L57*$X$2-(L57*$X$2)*IFERROR(VLOOKUP(J57,Tabla11[],4,0),0)-AB57-Z57</f>
        <v>107689.933960928</v>
      </c>
      <c r="AD57" s="12" t="n">
        <f aca="false">AA57-AB57</f>
        <v>236025.692041933</v>
      </c>
      <c r="AE57" s="12" t="n">
        <f aca="false">ROUND(AD57-AC57,9)</f>
        <v>128335.758081005</v>
      </c>
    </row>
    <row r="58" customFormat="false" ht="14.4" hidden="false" customHeight="false" outlineLevel="0" collapsed="false">
      <c r="A58" s="15" t="s">
        <v>46</v>
      </c>
      <c r="B58" s="15" t="s">
        <v>30</v>
      </c>
      <c r="C58" s="16" t="n">
        <v>1</v>
      </c>
      <c r="D58" s="15"/>
      <c r="E58" s="15" t="s">
        <v>30</v>
      </c>
      <c r="F58" s="16"/>
      <c r="G58" s="16" t="n">
        <v>2</v>
      </c>
      <c r="H58" s="16" t="s">
        <v>32</v>
      </c>
      <c r="I58" s="16" t="s">
        <v>44</v>
      </c>
      <c r="J58" s="16" t="s">
        <v>85</v>
      </c>
      <c r="K58" s="16" t="s">
        <v>70</v>
      </c>
      <c r="L58" s="12" t="n">
        <f aca="false">IFERROR(VLOOKUP(CONCATENATE(J58,K58),Ventas!D:H,4,0),0)</f>
        <v>1498375.60816675</v>
      </c>
      <c r="M58" s="15" t="n">
        <f aca="false">IF(SUM(C58,F58)&gt;0,L58*0.1,0)</f>
        <v>149837.560816675</v>
      </c>
      <c r="N58" s="17" t="n">
        <f aca="false">SUM(L58:M58)</f>
        <v>1648213.16898342</v>
      </c>
      <c r="O58" s="15" t="n">
        <f aca="false">N58*IFERROR(VLOOKUP(J58,Tabla11[],3,0),0)</f>
        <v>576874.609144198</v>
      </c>
      <c r="P58" s="15" t="n">
        <f aca="false">N58-O58</f>
        <v>1071338.55983923</v>
      </c>
      <c r="Q58" s="12" t="n">
        <f aca="false">IFERROR(G58/SUMIF(I:I,I58,G:G),0)*VLOOKUP(H58,Modelos[],14,0)+IFERROR(G58/SUMIF(I:I,I58,G:G),0)*VLOOKUP(I58,Tabla13[],2,0)</f>
        <v>70667.4496744792</v>
      </c>
      <c r="R58" s="15" t="n">
        <f aca="false">IFERROR(VLOOKUP(A58,Modelos[],IF(B58="EST",15,14),0),0)*C58</f>
        <v>154393.465625</v>
      </c>
      <c r="S58" s="15" t="n">
        <f aca="false">IFERROR(VLOOKUP(D58,Modelos[],IF(E58="EST",15,14),0),0)*F58</f>
        <v>0</v>
      </c>
      <c r="T58" s="15" t="n">
        <f aca="false">IF($L58&lt;0,0,IFERROR((T$2*IFERROR(VLOOKUP(J58,Tabla11[],2,0),0))*($L58/SUM($L$5:$L$46)),0))</f>
        <v>14145.9793144647</v>
      </c>
      <c r="U58" s="15" t="n">
        <f aca="false">IF($L58&lt;0,0,IFERROR((U$2*IFERROR(VLOOKUP(J58,Tabla11[],2,0),0))*($L58/SUM($L$5:$L$46)),0))</f>
        <v>2750.6070889237</v>
      </c>
      <c r="V58" s="15" t="n">
        <f aca="false">IF($L58&lt;0,0,IFERROR((V$2*IFERROR(VLOOKUP(J58,Tabla11[],2,0),0))*($L58/SUM($L$5:$L$46)),0))</f>
        <v>14145.9793144647</v>
      </c>
      <c r="W58" s="15" t="n">
        <f aca="false">IF($L58&lt;0,0,IFERROR((W$2*IFERROR(VLOOKUP(J58,Tabla11[],2,0),0))*($L58/SUM($L$5:$L$46)),0))</f>
        <v>19647.1934923122</v>
      </c>
      <c r="X58" s="15" t="n">
        <f aca="false">P58*$X$2</f>
        <v>428535.42393569</v>
      </c>
      <c r="Y58" s="15" t="n">
        <f aca="false">+X58*IFERROR(VLOOKUP(J58,Tabla11[],4,0),0)</f>
        <v>64280.3135903535</v>
      </c>
      <c r="Z58" s="15" t="n">
        <f aca="false">IF(L58&gt;0,$Z$2/12,0)</f>
        <v>25833.3333333333</v>
      </c>
      <c r="AA58" s="15" t="n">
        <f aca="false">P58-SUM(Q58:Z58)</f>
        <v>276938.814470204</v>
      </c>
      <c r="AB58" s="15" t="n">
        <f aca="false">IF($L58&lt;0,0,IFERROR((AB$2*IFERROR(VLOOKUP(J58,Tabla11[],2,0),0))*($L58/SUM($L$5:$L$46)),0))</f>
        <v>22563.5401692857</v>
      </c>
      <c r="AC58" s="15" t="n">
        <f aca="false">L58-L58*IFERROR(VLOOKUP(J58,Tabla11[],3,0),0)-Q58-T58-U58-V58-W58-L58*$X$2-(L58*$X$2)*IFERROR(VLOOKUP(J58,Tabla11[],4,0),0)-AB58-Z58</f>
        <v>114937.283164419</v>
      </c>
      <c r="AD58" s="15" t="n">
        <f aca="false">AA58-AB58</f>
        <v>254375.274300918</v>
      </c>
      <c r="AE58" s="15" t="n">
        <f aca="false">ROUND(AD58-AC58,9)</f>
        <v>139437.991136499</v>
      </c>
    </row>
    <row r="59" customFormat="false" ht="14.4" hidden="false" customHeight="false" outlineLevel="0" collapsed="false">
      <c r="A59" s="12" t="s">
        <v>31</v>
      </c>
      <c r="B59" s="12" t="s">
        <v>30</v>
      </c>
      <c r="C59" s="13" t="n">
        <v>1</v>
      </c>
      <c r="D59" s="12"/>
      <c r="E59" s="12" t="s">
        <v>30</v>
      </c>
      <c r="F59" s="13"/>
      <c r="G59" s="13" t="n">
        <v>0</v>
      </c>
      <c r="H59" s="13" t="s">
        <v>32</v>
      </c>
      <c r="I59" s="13" t="s">
        <v>36</v>
      </c>
      <c r="J59" s="13" t="s">
        <v>85</v>
      </c>
      <c r="K59" s="13" t="s">
        <v>36</v>
      </c>
      <c r="L59" s="12" t="n">
        <f aca="false">IFERROR(VLOOKUP(CONCATENATE(J59,K59),Ventas!D:H,4,0),0)</f>
        <v>1811710.23529891</v>
      </c>
      <c r="M59" s="12" t="n">
        <f aca="false">IF(SUM(C59,F59)&gt;0,L59*0.1,0)</f>
        <v>181171.023529891</v>
      </c>
      <c r="N59" s="14" t="n">
        <f aca="false">SUM(L59:M59)</f>
        <v>1992881.2588288</v>
      </c>
      <c r="O59" s="12" t="n">
        <f aca="false">N59*IFERROR(VLOOKUP(J59,Tabla11[],3,0),0)</f>
        <v>697508.44059008</v>
      </c>
      <c r="P59" s="12" t="n">
        <f aca="false">N59-O59</f>
        <v>1295372.81823872</v>
      </c>
      <c r="Q59" s="12" t="n">
        <f aca="false">IFERROR(G59/SUMIF(I:I,I59,G:G),0)*VLOOKUP(H59,Modelos[],14,0)+IFERROR(G59/SUMIF(I:I,I59,G:G),0)*VLOOKUP(I59,Tabla13[],2,0)</f>
        <v>0</v>
      </c>
      <c r="R59" s="12" t="n">
        <f aca="false">IFERROR(VLOOKUP(A59,Modelos[],IF(B59="EST",15,14),0),0)*C59</f>
        <v>204526.8003975</v>
      </c>
      <c r="S59" s="12" t="n">
        <f aca="false">IFERROR(VLOOKUP(D59,Modelos[],IF(E59="EST",15,14),0),0)*F59</f>
        <v>0</v>
      </c>
      <c r="T59" s="12" t="n">
        <f aca="false">IF($L59&lt;0,0,IFERROR((T$2*IFERROR(VLOOKUP(J59,Tabla11[],2,0),0))*($L59/SUM($L$5:$L$46)),0))</f>
        <v>17104.1328840761</v>
      </c>
      <c r="U59" s="12" t="n">
        <f aca="false">IF($L59&lt;0,0,IFERROR((U$2*IFERROR(VLOOKUP(J59,Tabla11[],2,0),0))*($L59/SUM($L$5:$L$46)),0))</f>
        <v>3325.80361634814</v>
      </c>
      <c r="V59" s="12" t="n">
        <f aca="false">IF($L59&lt;0,0,IFERROR((V$2*IFERROR(VLOOKUP(J59,Tabla11[],2,0),0))*($L59/SUM($L$5:$L$46)),0))</f>
        <v>17104.1328840761</v>
      </c>
      <c r="W59" s="12" t="n">
        <f aca="false">IF($L59&lt;0,0,IFERROR((W$2*IFERROR(VLOOKUP(J59,Tabla11[],2,0),0))*($L59/SUM($L$5:$L$46)),0))</f>
        <v>23755.7401167724</v>
      </c>
      <c r="X59" s="12" t="n">
        <f aca="false">P59*$X$2</f>
        <v>518149.127295488</v>
      </c>
      <c r="Y59" s="12" t="n">
        <f aca="false">+X59*IFERROR(VLOOKUP(J59,Tabla11[],4,0),0)</f>
        <v>77722.3690943233</v>
      </c>
      <c r="Z59" s="12" t="n">
        <f aca="false">IF(L59&gt;0,$Z$2/12,0)</f>
        <v>25833.3333333333</v>
      </c>
      <c r="AA59" s="12" t="n">
        <f aca="false">P59-SUM(Q59:Z59)</f>
        <v>407851.378616803</v>
      </c>
      <c r="AB59" s="12" t="n">
        <f aca="false">IF($L59&lt;0,0,IFERROR((AB$2*IFERROR(VLOOKUP(J59,Tabla11[],2,0),0))*($L59/SUM($L$5:$L$46)),0))</f>
        <v>27281.9421555372</v>
      </c>
      <c r="AC59" s="12" t="n">
        <f aca="false">L59-L59*IFERROR(VLOOKUP(J59,Tabla11[],3,0),0)-Q59-T59-U59-V59-W59-L59*$X$2-(L59*$X$2)*IFERROR(VLOOKUP(J59,Tabla11[],4,0),0)-AB59-Z59</f>
        <v>229819.859716649</v>
      </c>
      <c r="AD59" s="12" t="n">
        <f aca="false">AA59-AB59</f>
        <v>380569.436461266</v>
      </c>
      <c r="AE59" s="12" t="n">
        <f aca="false">ROUND(AD59-AC59,9)</f>
        <v>150749.576744617</v>
      </c>
    </row>
    <row r="60" customFormat="false" ht="14.4" hidden="false" customHeight="false" outlineLevel="0" collapsed="false">
      <c r="A60" s="15" t="s">
        <v>31</v>
      </c>
      <c r="B60" s="15" t="s">
        <v>30</v>
      </c>
      <c r="C60" s="16" t="n">
        <v>1</v>
      </c>
      <c r="D60" s="15"/>
      <c r="E60" s="15" t="s">
        <v>30</v>
      </c>
      <c r="F60" s="16"/>
      <c r="G60" s="16" t="n">
        <v>3</v>
      </c>
      <c r="H60" s="16" t="s">
        <v>40</v>
      </c>
      <c r="I60" s="16" t="s">
        <v>62</v>
      </c>
      <c r="J60" s="16" t="s">
        <v>85</v>
      </c>
      <c r="K60" s="16" t="s">
        <v>62</v>
      </c>
      <c r="L60" s="12" t="n">
        <f aca="false">IFERROR(VLOOKUP(CONCATENATE(J60,K60),Ventas!D:H,4,0),0)</f>
        <v>2263023.85681004</v>
      </c>
      <c r="M60" s="15" t="n">
        <f aca="false">IF(SUM(C60,F60)&gt;0,L60*0.1,0)</f>
        <v>226302.385681004</v>
      </c>
      <c r="N60" s="17" t="n">
        <f aca="false">SUM(L60:M60)</f>
        <v>2489326.24249104</v>
      </c>
      <c r="O60" s="15" t="n">
        <f aca="false">N60*IFERROR(VLOOKUP(J60,Tabla11[],3,0),0)</f>
        <v>871264.184871864</v>
      </c>
      <c r="P60" s="15" t="n">
        <f aca="false">N60-O60</f>
        <v>1618062.05761918</v>
      </c>
      <c r="Q60" s="12" t="n">
        <f aca="false">IFERROR(G60/SUMIF(I:I,I60,G:G),0)*VLOOKUP(H60,Modelos[],14,0)+IFERROR(G60/SUMIF(I:I,I60,G:G),0)*VLOOKUP(I60,Tabla13[],2,0)</f>
        <v>121576.085364583</v>
      </c>
      <c r="R60" s="15" t="n">
        <f aca="false">IFERROR(VLOOKUP(A60,Modelos[],IF(B60="EST",15,14),0),0)*C60</f>
        <v>204526.8003975</v>
      </c>
      <c r="S60" s="15" t="n">
        <f aca="false">IFERROR(VLOOKUP(D60,Modelos[],IF(E60="EST",15,14),0),0)*F60</f>
        <v>0</v>
      </c>
      <c r="T60" s="15" t="n">
        <f aca="false">IF($L60&lt;0,0,IFERROR((T$2*IFERROR(VLOOKUP(J60,Tabla11[],2,0),0))*($L60/SUM($L$5:$L$46)),0))</f>
        <v>21364.9291219725</v>
      </c>
      <c r="U60" s="15" t="n">
        <f aca="false">IF($L60&lt;0,0,IFERROR((U$2*IFERROR(VLOOKUP(J60,Tabla11[],2,0),0))*($L60/SUM($L$5:$L$46)),0))</f>
        <v>4154.29177371688</v>
      </c>
      <c r="V60" s="15" t="n">
        <f aca="false">IF($L60&lt;0,0,IFERROR((V$2*IFERROR(VLOOKUP(J60,Tabla11[],2,0),0))*($L60/SUM($L$5:$L$46)),0))</f>
        <v>21364.9291219725</v>
      </c>
      <c r="W60" s="15" t="n">
        <f aca="false">IF($L60&lt;0,0,IFERROR((W$2*IFERROR(VLOOKUP(J60,Tabla11[],2,0),0))*($L60/SUM($L$5:$L$46)),0))</f>
        <v>29673.5126694062</v>
      </c>
      <c r="X60" s="15" t="n">
        <f aca="false">P60*$X$2</f>
        <v>647224.823047671</v>
      </c>
      <c r="Y60" s="15" t="n">
        <f aca="false">+X60*IFERROR(VLOOKUP(J60,Tabla11[],4,0),0)</f>
        <v>97083.7234571506</v>
      </c>
      <c r="Z60" s="15" t="n">
        <f aca="false">IF(L60&gt;0,$Z$2/12,0)</f>
        <v>25833.3333333333</v>
      </c>
      <c r="AA60" s="15" t="n">
        <f aca="false">P60-SUM(Q60:Z60)</f>
        <v>445259.629331871</v>
      </c>
      <c r="AB60" s="15" t="n">
        <f aca="false">IF($L60&lt;0,0,IFERROR((AB$2*IFERROR(VLOOKUP(J60,Tabla11[],2,0),0))*($L60/SUM($L$5:$L$46)),0))</f>
        <v>34078.1239489469</v>
      </c>
      <c r="AC60" s="15" t="n">
        <f aca="false">L60-L60*IFERROR(VLOOKUP(J60,Tabla11[],3,0),0)-Q60-T60-U60-V60-W60-L60*$X$2-(L60*$X$2)*IFERROR(VLOOKUP(J60,Tabla11[],4,0),0)-AB60-Z60</f>
        <v>171929.327459975</v>
      </c>
      <c r="AD60" s="15" t="n">
        <f aca="false">AA60-AB60</f>
        <v>411181.505382924</v>
      </c>
      <c r="AE60" s="15" t="n">
        <f aca="false">ROUND(AD60-AC60,9)</f>
        <v>239252.177922949</v>
      </c>
    </row>
    <row r="61" customFormat="false" ht="14.4" hidden="false" customHeight="false" outlineLevel="0" collapsed="false">
      <c r="A61" s="12" t="s">
        <v>46</v>
      </c>
      <c r="B61" s="12" t="s">
        <v>30</v>
      </c>
      <c r="C61" s="13" t="n">
        <v>1</v>
      </c>
      <c r="D61" s="12"/>
      <c r="E61" s="12" t="s">
        <v>30</v>
      </c>
      <c r="F61" s="13"/>
      <c r="G61" s="13" t="n">
        <v>1</v>
      </c>
      <c r="H61" s="13" t="s">
        <v>32</v>
      </c>
      <c r="I61" s="13" t="s">
        <v>38</v>
      </c>
      <c r="J61" s="13" t="s">
        <v>85</v>
      </c>
      <c r="K61" s="13" t="s">
        <v>67</v>
      </c>
      <c r="L61" s="12" t="n">
        <f aca="false">IFERROR(VLOOKUP(CONCATENATE(J61,K61),Ventas!D:H,4,0),0)</f>
        <v>1941595.83198381</v>
      </c>
      <c r="M61" s="12" t="n">
        <f aca="false">IF(SUM(C61,F61)&gt;0,L61*0.1,0)</f>
        <v>194159.583198381</v>
      </c>
      <c r="N61" s="14" t="n">
        <f aca="false">SUM(L61:M61)</f>
        <v>2135755.4151822</v>
      </c>
      <c r="O61" s="12" t="n">
        <f aca="false">N61*IFERROR(VLOOKUP(J61,Tabla11[],3,0),0)</f>
        <v>747514.395313769</v>
      </c>
      <c r="P61" s="12" t="n">
        <f aca="false">N61-O61</f>
        <v>1388241.01986843</v>
      </c>
      <c r="Q61" s="12" t="n">
        <f aca="false">IFERROR(G61/SUMIF(I:I,I61,G:G),0)*VLOOKUP(H61,Modelos[],14,0)+IFERROR(G61/SUMIF(I:I,I61,G:G),0)*VLOOKUP(I61,Tabla13[],2,0)</f>
        <v>51647.6115349265</v>
      </c>
      <c r="R61" s="12" t="n">
        <f aca="false">IFERROR(VLOOKUP(A61,Modelos[],IF(B61="EST",15,14),0),0)*C61</f>
        <v>154393.465625</v>
      </c>
      <c r="S61" s="12" t="n">
        <f aca="false">IFERROR(VLOOKUP(D61,Modelos[],IF(E61="EST",15,14),0),0)*F61</f>
        <v>0</v>
      </c>
      <c r="T61" s="12" t="n">
        <f aca="false">IF($L61&lt;0,0,IFERROR((T$2*IFERROR(VLOOKUP(J61,Tabla11[],2,0),0))*($L61/SUM($L$5:$L$46)),0))</f>
        <v>18330.3667829311</v>
      </c>
      <c r="U61" s="12" t="n">
        <f aca="false">IF($L61&lt;0,0,IFERROR((U$2*IFERROR(VLOOKUP(J61,Tabla11[],2,0),0))*($L61/SUM($L$5:$L$46)),0))</f>
        <v>3564.23798556994</v>
      </c>
      <c r="V61" s="12" t="n">
        <f aca="false">IF($L61&lt;0,0,IFERROR((V$2*IFERROR(VLOOKUP(J61,Tabla11[],2,0),0))*($L61/SUM($L$5:$L$46)),0))</f>
        <v>18330.3667829311</v>
      </c>
      <c r="W61" s="12" t="n">
        <f aca="false">IF($L61&lt;0,0,IFERROR((W$2*IFERROR(VLOOKUP(J61,Tabla11[],2,0),0))*($L61/SUM($L$5:$L$46)),0))</f>
        <v>25458.842754071</v>
      </c>
      <c r="X61" s="12" t="n">
        <f aca="false">P61*$X$2</f>
        <v>555296.407947371</v>
      </c>
      <c r="Y61" s="12" t="n">
        <f aca="false">+X61*IFERROR(VLOOKUP(J61,Tabla11[],4,0),0)</f>
        <v>83294.4611921057</v>
      </c>
      <c r="Z61" s="12" t="n">
        <f aca="false">IF(L61&gt;0,$Z$2/12,0)</f>
        <v>25833.3333333333</v>
      </c>
      <c r="AA61" s="12" t="n">
        <f aca="false">P61-SUM(Q61:Z61)</f>
        <v>452091.925930188</v>
      </c>
      <c r="AB61" s="12" t="n">
        <f aca="false">IF($L61&lt;0,0,IFERROR((AB$2*IFERROR(VLOOKUP(J61,Tabla11[],2,0),0))*($L61/SUM($L$5:$L$46)),0))</f>
        <v>29237.846177358</v>
      </c>
      <c r="AC61" s="12" t="n">
        <f aca="false">L61-L61*IFERROR(VLOOKUP(J61,Tabla11[],3,0),0)-Q61-T61-U61-V61-W61-L61*$X$2-(L61*$X$2)*IFERROR(VLOOKUP(J61,Tabla11[],4,0),0)-AB61-Z61</f>
        <v>196500.602725803</v>
      </c>
      <c r="AD61" s="12" t="n">
        <f aca="false">AA61-AB61</f>
        <v>422854.07975283</v>
      </c>
      <c r="AE61" s="12" t="n">
        <f aca="false">ROUND(AD61-AC61,9)</f>
        <v>226353.477027026</v>
      </c>
    </row>
    <row r="62" customFormat="false" ht="14.4" hidden="false" customHeight="false" outlineLevel="0" collapsed="false">
      <c r="A62" s="15" t="s">
        <v>46</v>
      </c>
      <c r="B62" s="15" t="s">
        <v>30</v>
      </c>
      <c r="C62" s="16" t="n">
        <v>0.5</v>
      </c>
      <c r="D62" s="15"/>
      <c r="E62" s="15" t="s">
        <v>30</v>
      </c>
      <c r="F62" s="16"/>
      <c r="G62" s="16" t="n">
        <v>3</v>
      </c>
      <c r="H62" s="16" t="s">
        <v>40</v>
      </c>
      <c r="I62" s="16" t="s">
        <v>41</v>
      </c>
      <c r="J62" s="16" t="s">
        <v>85</v>
      </c>
      <c r="K62" s="16" t="s">
        <v>61</v>
      </c>
      <c r="L62" s="12" t="n">
        <f aca="false">IFERROR(VLOOKUP(CONCATENATE(J62,K62),Ventas!D:H,4,0),0)</f>
        <v>1494248.29149113</v>
      </c>
      <c r="M62" s="15" t="n">
        <f aca="false">IF(SUM(C62,F62)&gt;0,L62*0.1,0)</f>
        <v>149424.829149113</v>
      </c>
      <c r="N62" s="17" t="n">
        <f aca="false">SUM(L62:M62)</f>
        <v>1643673.12064024</v>
      </c>
      <c r="O62" s="15" t="n">
        <f aca="false">N62*IFERROR(VLOOKUP(J62,Tabla11[],3,0),0)</f>
        <v>575285.592224083</v>
      </c>
      <c r="P62" s="15" t="n">
        <f aca="false">N62-O62</f>
        <v>1068387.52841615</v>
      </c>
      <c r="Q62" s="12" t="n">
        <f aca="false">IFERROR(G62/SUMIF(I:I,I62,G:G),0)*VLOOKUP(H62,Modelos[],14,0)+IFERROR(G62/SUMIF(I:I,I62,G:G),0)*VLOOKUP(I62,Tabla13[],2,0)</f>
        <v>65246.1628400735</v>
      </c>
      <c r="R62" s="15" t="n">
        <f aca="false">IFERROR(VLOOKUP(A62,Modelos[],IF(B62="EST",15,14),0),0)*C62</f>
        <v>77196.7328125</v>
      </c>
      <c r="S62" s="15" t="n">
        <f aca="false">IFERROR(VLOOKUP(D62,Modelos[],IF(E62="EST",15,14),0),0)*F62</f>
        <v>0</v>
      </c>
      <c r="T62" s="15" t="n">
        <f aca="false">IF($L62&lt;0,0,IFERROR((T$2*IFERROR(VLOOKUP(J62,Tabla11[],2,0),0))*($L62/SUM($L$5:$L$46)),0))</f>
        <v>14107.013826773</v>
      </c>
      <c r="U62" s="15" t="n">
        <f aca="false">IF($L62&lt;0,0,IFERROR((U$2*IFERROR(VLOOKUP(J62,Tabla11[],2,0),0))*($L62/SUM($L$5:$L$46)),0))</f>
        <v>2743.03046631698</v>
      </c>
      <c r="V62" s="15" t="n">
        <f aca="false">IF($L62&lt;0,0,IFERROR((V$2*IFERROR(VLOOKUP(J62,Tabla11[],2,0),0))*($L62/SUM($L$5:$L$46)),0))</f>
        <v>14107.013826773</v>
      </c>
      <c r="W62" s="15" t="n">
        <f aca="false">IF($L62&lt;0,0,IFERROR((W$2*IFERROR(VLOOKUP(J62,Tabla11[],2,0),0))*($L62/SUM($L$5:$L$46)),0))</f>
        <v>19593.074759407</v>
      </c>
      <c r="X62" s="15" t="n">
        <f aca="false">P62*$X$2</f>
        <v>427355.011366462</v>
      </c>
      <c r="Y62" s="15" t="n">
        <f aca="false">+X62*IFERROR(VLOOKUP(J62,Tabla11[],4,0),0)</f>
        <v>64103.2517049693</v>
      </c>
      <c r="Z62" s="15" t="n">
        <f aca="false">IF(L62&gt;0,$Z$2/12,0)</f>
        <v>25833.3333333333</v>
      </c>
      <c r="AA62" s="15" t="n">
        <f aca="false">P62-SUM(Q62:Z62)</f>
        <v>358102.903479547</v>
      </c>
      <c r="AB62" s="15" t="n">
        <f aca="false">IF($L62&lt;0,0,IFERROR((AB$2*IFERROR(VLOOKUP(J62,Tabla11[],2,0),0))*($L62/SUM($L$5:$L$46)),0))</f>
        <v>22501.3882795365</v>
      </c>
      <c r="AC62" s="15" t="n">
        <f aca="false">L62-L62*IFERROR(VLOOKUP(J62,Tabla11[],3,0),0)-Q62-T62-U62-V62-W62-L62*$X$2-(L62*$X$2)*IFERROR(VLOOKUP(J62,Tabla11[],4,0),0)-AB62-Z62</f>
        <v>119776.1580511</v>
      </c>
      <c r="AD62" s="15" t="n">
        <f aca="false">AA62-AB62</f>
        <v>335601.51520001</v>
      </c>
      <c r="AE62" s="15" t="n">
        <f aca="false">ROUND(AD62-AC62,9)</f>
        <v>215825.35714891</v>
      </c>
    </row>
    <row r="63" customFormat="false" ht="14.4" hidden="false" customHeight="false" outlineLevel="0" collapsed="false">
      <c r="A63" s="12" t="s">
        <v>31</v>
      </c>
      <c r="B63" s="12" t="s">
        <v>30</v>
      </c>
      <c r="C63" s="13" t="n">
        <v>1</v>
      </c>
      <c r="D63" s="12"/>
      <c r="E63" s="12" t="s">
        <v>30</v>
      </c>
      <c r="F63" s="13"/>
      <c r="G63" s="13" t="n">
        <v>3</v>
      </c>
      <c r="H63" s="13" t="s">
        <v>50</v>
      </c>
      <c r="I63" s="13" t="s">
        <v>53</v>
      </c>
      <c r="J63" s="13" t="s">
        <v>85</v>
      </c>
      <c r="K63" s="13" t="s">
        <v>59</v>
      </c>
      <c r="L63" s="12" t="n">
        <f aca="false">IFERROR(VLOOKUP(CONCATENATE(J63,K63),Ventas!D:H,4,0),0)</f>
        <v>1358193.85017711</v>
      </c>
      <c r="M63" s="12" t="n">
        <f aca="false">IF(SUM(C63,F63)&gt;0,L63*0.1,0)</f>
        <v>135819.38501771</v>
      </c>
      <c r="N63" s="14" t="n">
        <f aca="false">SUM(L63:M63)</f>
        <v>1494013.23519482</v>
      </c>
      <c r="O63" s="12" t="n">
        <f aca="false">N63*IFERROR(VLOOKUP(J63,Tabla11[],3,0),0)</f>
        <v>522904.632318185</v>
      </c>
      <c r="P63" s="12" t="n">
        <f aca="false">N63-O63</f>
        <v>971108.60287663</v>
      </c>
      <c r="Q63" s="12" t="n">
        <f aca="false">IFERROR(G63/SUMIF(I:I,I63,G:G),0)*VLOOKUP(H63,Modelos[],14,0)+IFERROR(G63/SUMIF(I:I,I63,G:G),0)*VLOOKUP(I63,Tabla13[],2,0)</f>
        <v>69504.9876201923</v>
      </c>
      <c r="R63" s="12" t="n">
        <f aca="false">IFERROR(VLOOKUP(A63,Modelos[],IF(B63="EST",15,14),0),0)*C63</f>
        <v>204526.8003975</v>
      </c>
      <c r="S63" s="12" t="n">
        <f aca="false">IFERROR(VLOOKUP(D63,Modelos[],IF(E63="EST",15,14),0),0)*F63</f>
        <v>0</v>
      </c>
      <c r="T63" s="12" t="n">
        <f aca="false">IF($L63&lt;0,0,IFERROR((T$2*IFERROR(VLOOKUP(J63,Tabla11[],2,0),0))*($L63/SUM($L$5:$L$46)),0))</f>
        <v>12822.5406266093</v>
      </c>
      <c r="U63" s="12" t="n">
        <f aca="false">IF($L63&lt;0,0,IFERROR((U$2*IFERROR(VLOOKUP(J63,Tabla11[],2,0),0))*($L63/SUM($L$5:$L$46)),0))</f>
        <v>2493.27178850737</v>
      </c>
      <c r="V63" s="12" t="n">
        <f aca="false">IF($L63&lt;0,0,IFERROR((V$2*IFERROR(VLOOKUP(J63,Tabla11[],2,0),0))*($L63/SUM($L$5:$L$46)),0))</f>
        <v>12822.5406266093</v>
      </c>
      <c r="W63" s="12" t="n">
        <f aca="false">IF($L63&lt;0,0,IFERROR((W$2*IFERROR(VLOOKUP(J63,Tabla11[],2,0),0))*($L63/SUM($L$5:$L$46)),0))</f>
        <v>17809.084203624</v>
      </c>
      <c r="X63" s="12" t="n">
        <f aca="false">P63*$X$2</f>
        <v>388443.441150652</v>
      </c>
      <c r="Y63" s="12" t="n">
        <f aca="false">+X63*IFERROR(VLOOKUP(J63,Tabla11[],4,0),0)</f>
        <v>58266.5161725978</v>
      </c>
      <c r="Z63" s="12" t="n">
        <f aca="false">IF(L63&gt;0,$Z$2/12,0)</f>
        <v>25833.3333333333</v>
      </c>
      <c r="AA63" s="12" t="n">
        <f aca="false">P63-SUM(Q63:Z63)</f>
        <v>178586.086957005</v>
      </c>
      <c r="AB63" s="12" t="n">
        <f aca="false">IF($L63&lt;0,0,IFERROR((AB$2*IFERROR(VLOOKUP(J63,Tabla11[],2,0),0))*($L63/SUM($L$5:$L$46)),0))</f>
        <v>20452.5896771923</v>
      </c>
      <c r="AC63" s="12" t="n">
        <f aca="false">L63-L63*IFERROR(VLOOKUP(J63,Tabla11[],3,0),0)-Q63-T63-U63-V63-W63-L63*$X$2-(L63*$X$2)*IFERROR(VLOOKUP(J63,Tabla11[],4,0),0)-AB63-Z63</f>
        <v>96318.4836575819</v>
      </c>
      <c r="AD63" s="12" t="n">
        <f aca="false">AA63-AB63</f>
        <v>158133.497279812</v>
      </c>
      <c r="AE63" s="12" t="n">
        <f aca="false">ROUND(AD63-AC63,9)</f>
        <v>61815.01362223</v>
      </c>
    </row>
    <row r="64" customFormat="false" ht="14.4" hidden="false" customHeight="false" outlineLevel="0" collapsed="false">
      <c r="A64" s="15" t="s">
        <v>31</v>
      </c>
      <c r="B64" s="15" t="s">
        <v>30</v>
      </c>
      <c r="C64" s="16" t="n">
        <v>1</v>
      </c>
      <c r="D64" s="15"/>
      <c r="E64" s="15" t="s">
        <v>30</v>
      </c>
      <c r="F64" s="16"/>
      <c r="G64" s="16" t="n">
        <v>3</v>
      </c>
      <c r="H64" s="16" t="s">
        <v>50</v>
      </c>
      <c r="I64" s="16" t="s">
        <v>53</v>
      </c>
      <c r="J64" s="16" t="s">
        <v>85</v>
      </c>
      <c r="K64" s="16" t="s">
        <v>54</v>
      </c>
      <c r="L64" s="12" t="n">
        <f aca="false">IFERROR(VLOOKUP(CONCATENATE(J64,K64),Ventas!D:H,4,0),0)</f>
        <v>1302181.84746395</v>
      </c>
      <c r="M64" s="15" t="n">
        <f aca="false">IF(SUM(C64,F64)&gt;0,L64*0.1,0)</f>
        <v>130218.184746395</v>
      </c>
      <c r="N64" s="17" t="n">
        <f aca="false">SUM(L64:M64)</f>
        <v>1432400.03221035</v>
      </c>
      <c r="O64" s="15" t="n">
        <f aca="false">N64*IFERROR(VLOOKUP(J64,Tabla11[],3,0),0)</f>
        <v>501340.011273622</v>
      </c>
      <c r="P64" s="15" t="n">
        <f aca="false">N64-O64</f>
        <v>931060.020936726</v>
      </c>
      <c r="Q64" s="12" t="n">
        <f aca="false">IFERROR(G64/SUMIF(I:I,I64,G:G),0)*VLOOKUP(H64,Modelos[],14,0)+IFERROR(G64/SUMIF(I:I,I64,G:G),0)*VLOOKUP(I64,Tabla13[],2,0)</f>
        <v>69504.9876201923</v>
      </c>
      <c r="R64" s="15" t="n">
        <f aca="false">IFERROR(VLOOKUP(A64,Modelos[],IF(B64="EST",15,14),0),0)*C64</f>
        <v>204526.8003975</v>
      </c>
      <c r="S64" s="15" t="n">
        <f aca="false">IFERROR(VLOOKUP(D64,Modelos[],IF(E64="EST",15,14),0),0)*F64</f>
        <v>0</v>
      </c>
      <c r="T64" s="15" t="n">
        <f aca="false">IF($L64&lt;0,0,IFERROR((T$2*IFERROR(VLOOKUP(J64,Tabla11[],2,0),0))*($L64/SUM($L$5:$L$46)),0))</f>
        <v>12293.7382172379</v>
      </c>
      <c r="U64" s="15" t="n">
        <f aca="false">IF($L64&lt;0,0,IFERROR((U$2*IFERROR(VLOOKUP(J64,Tabla11[],2,0),0))*($L64/SUM($L$5:$L$46)),0))</f>
        <v>2390.44909779625</v>
      </c>
      <c r="V64" s="15" t="n">
        <f aca="false">IF($L64&lt;0,0,IFERROR((V$2*IFERROR(VLOOKUP(J64,Tabla11[],2,0),0))*($L64/SUM($L$5:$L$46)),0))</f>
        <v>12293.7382172379</v>
      </c>
      <c r="W64" s="15" t="n">
        <f aca="false">IF($L64&lt;0,0,IFERROR((W$2*IFERROR(VLOOKUP(J64,Tabla11[],2,0),0))*($L64/SUM($L$5:$L$46)),0))</f>
        <v>17074.6364128304</v>
      </c>
      <c r="X64" s="15" t="n">
        <f aca="false">P64*$X$2</f>
        <v>372424.008374691</v>
      </c>
      <c r="Y64" s="15" t="n">
        <f aca="false">+X64*IFERROR(VLOOKUP(J64,Tabla11[],4,0),0)</f>
        <v>55863.6012562036</v>
      </c>
      <c r="Z64" s="15" t="n">
        <f aca="false">IF(L64&gt;0,$Z$2/12,0)</f>
        <v>25833.3333333333</v>
      </c>
      <c r="AA64" s="15" t="n">
        <f aca="false">P64-SUM(Q64:Z64)</f>
        <v>158854.728009704</v>
      </c>
      <c r="AB64" s="15" t="n">
        <f aca="false">IF($L64&lt;0,0,IFERROR((AB$2*IFERROR(VLOOKUP(J64,Tabla11[],2,0),0))*($L64/SUM($L$5:$L$46)),0))</f>
        <v>19609.1235487449</v>
      </c>
      <c r="AC64" s="15" t="n">
        <f aca="false">L64-L64*IFERROR(VLOOKUP(J64,Tabla11[],3,0),0)-Q64-T64-U64-V64-W64-L64*$X$2-(L64*$X$2)*IFERROR(VLOOKUP(J64,Tabla11[],4,0),0)-AB64-Z64</f>
        <v>88414.5445707781</v>
      </c>
      <c r="AD64" s="15" t="n">
        <f aca="false">AA64-AB64</f>
        <v>139245.604460959</v>
      </c>
      <c r="AE64" s="15" t="n">
        <f aca="false">ROUND(AD64-AC64,9)</f>
        <v>50831.059890181</v>
      </c>
    </row>
    <row r="65" customFormat="false" ht="14.4" hidden="false" customHeight="false" outlineLevel="0" collapsed="false">
      <c r="A65" s="12" t="s">
        <v>46</v>
      </c>
      <c r="B65" s="12" t="s">
        <v>30</v>
      </c>
      <c r="C65" s="13" t="n">
        <v>1</v>
      </c>
      <c r="D65" s="12"/>
      <c r="E65" s="12" t="s">
        <v>30</v>
      </c>
      <c r="F65" s="13"/>
      <c r="G65" s="13" t="n">
        <v>3</v>
      </c>
      <c r="H65" s="13" t="s">
        <v>50</v>
      </c>
      <c r="I65" s="13" t="s">
        <v>53</v>
      </c>
      <c r="J65" s="13" t="s">
        <v>85</v>
      </c>
      <c r="K65" s="13" t="s">
        <v>80</v>
      </c>
      <c r="L65" s="12" t="n">
        <f aca="false">IFERROR(VLOOKUP(CONCATENATE(J65,K65),Ventas!D:H,4,0),0)</f>
        <v>1817360.59663825</v>
      </c>
      <c r="M65" s="12" t="n">
        <f aca="false">IF(SUM(C65,F65)&gt;0,L65*0.1,0)</f>
        <v>181736.059663825</v>
      </c>
      <c r="N65" s="14" t="n">
        <f aca="false">SUM(L65:M65)</f>
        <v>1999096.65630207</v>
      </c>
      <c r="O65" s="12" t="n">
        <f aca="false">N65*IFERROR(VLOOKUP(J65,Tabla11[],3,0),0)</f>
        <v>699683.829705726</v>
      </c>
      <c r="P65" s="12" t="n">
        <f aca="false">N65-O65</f>
        <v>1299412.82659635</v>
      </c>
      <c r="Q65" s="12" t="n">
        <f aca="false">IFERROR(G65/SUMIF(I:I,I65,G:G),0)*VLOOKUP(H65,Modelos[],14,0)+IFERROR(G65/SUMIF(I:I,I65,G:G),0)*VLOOKUP(I65,Tabla13[],2,0)</f>
        <v>69504.9876201923</v>
      </c>
      <c r="R65" s="12" t="n">
        <f aca="false">IFERROR(VLOOKUP(A65,Modelos[],IF(B65="EST",15,14),0),0)*C65</f>
        <v>154393.465625</v>
      </c>
      <c r="S65" s="12" t="n">
        <f aca="false">IFERROR(VLOOKUP(D65,Modelos[],IF(E65="EST",15,14),0),0)*F65</f>
        <v>0</v>
      </c>
      <c r="T65" s="12" t="n">
        <f aca="false">IF($L65&lt;0,0,IFERROR((T$2*IFERROR(VLOOKUP(J65,Tabla11[],2,0),0))*($L65/SUM($L$5:$L$46)),0))</f>
        <v>17157.4772485932</v>
      </c>
      <c r="U65" s="12" t="n">
        <f aca="false">IF($L65&lt;0,0,IFERROR((U$2*IFERROR(VLOOKUP(J65,Tabla11[],2,0),0))*($L65/SUM($L$5:$L$46)),0))</f>
        <v>3336.1761316709</v>
      </c>
      <c r="V65" s="12" t="n">
        <f aca="false">IF($L65&lt;0,0,IFERROR((V$2*IFERROR(VLOOKUP(J65,Tabla11[],2,0),0))*($L65/SUM($L$5:$L$46)),0))</f>
        <v>17157.4772485932</v>
      </c>
      <c r="W65" s="12" t="n">
        <f aca="false">IF($L65&lt;0,0,IFERROR((W$2*IFERROR(VLOOKUP(J65,Tabla11[],2,0),0))*($L65/SUM($L$5:$L$46)),0))</f>
        <v>23829.829511935</v>
      </c>
      <c r="X65" s="12" t="n">
        <f aca="false">P65*$X$2</f>
        <v>519765.13063854</v>
      </c>
      <c r="Y65" s="12" t="n">
        <f aca="false">+X65*IFERROR(VLOOKUP(J65,Tabla11[],4,0),0)</f>
        <v>77964.7695957809</v>
      </c>
      <c r="Z65" s="12" t="n">
        <f aca="false">IF(L65&gt;0,$Z$2/12,0)</f>
        <v>25833.3333333333</v>
      </c>
      <c r="AA65" s="12" t="n">
        <f aca="false">P65-SUM(Q65:Z65)</f>
        <v>390470.17964271</v>
      </c>
      <c r="AB65" s="12" t="n">
        <f aca="false">IF($L65&lt;0,0,IFERROR((AB$2*IFERROR(VLOOKUP(J65,Tabla11[],2,0),0))*($L65/SUM($L$5:$L$46)),0))</f>
        <v>27367.0290685624</v>
      </c>
      <c r="AC65" s="12" t="n">
        <f aca="false">L65-L65*IFERROR(VLOOKUP(J65,Tabla11[],3,0),0)-Q65-T65-U65-V65-W65-L65*$X$2-(L65*$X$2)*IFERROR(VLOOKUP(J65,Tabla11[],4,0),0)-AB65-Z65</f>
        <v>161112.203198387</v>
      </c>
      <c r="AD65" s="12" t="n">
        <f aca="false">AA65-AB65</f>
        <v>363103.150574148</v>
      </c>
      <c r="AE65" s="12" t="n">
        <f aca="false">ROUND(AD65-AC65,9)</f>
        <v>201990.947375761</v>
      </c>
    </row>
    <row r="66" customFormat="false" ht="14.4" hidden="false" customHeight="false" outlineLevel="0" collapsed="false">
      <c r="A66" s="15" t="s">
        <v>46</v>
      </c>
      <c r="B66" s="15" t="s">
        <v>30</v>
      </c>
      <c r="C66" s="16" t="n">
        <v>1</v>
      </c>
      <c r="D66" s="15"/>
      <c r="E66" s="15" t="s">
        <v>30</v>
      </c>
      <c r="F66" s="16"/>
      <c r="G66" s="16" t="n">
        <v>0</v>
      </c>
      <c r="H66" s="16" t="s">
        <v>32</v>
      </c>
      <c r="I66" s="16" t="s">
        <v>56</v>
      </c>
      <c r="J66" s="16" t="s">
        <v>85</v>
      </c>
      <c r="K66" s="16" t="s">
        <v>95</v>
      </c>
      <c r="L66" s="12" t="n">
        <f aca="false">IFERROR(VLOOKUP(CONCATENATE(J66,K66),Ventas!D:H,4,0),0)</f>
        <v>764264.128401168</v>
      </c>
      <c r="M66" s="15" t="n">
        <f aca="false">IF(SUM(C66,F66)&gt;0,L66*0.1,0)</f>
        <v>76426.4128401168</v>
      </c>
      <c r="N66" s="17" t="n">
        <f aca="false">SUM(L66:M66)</f>
        <v>840690.541241284</v>
      </c>
      <c r="O66" s="15" t="n">
        <f aca="false">N66*IFERROR(VLOOKUP(J66,Tabla11[],3,0),0)</f>
        <v>294241.689434449</v>
      </c>
      <c r="P66" s="15" t="n">
        <f aca="false">N66-O66</f>
        <v>546448.851806835</v>
      </c>
      <c r="Q66" s="12" t="n">
        <f aca="false">IFERROR(G66/SUMIF(I:I,I66,G:G),0)*VLOOKUP(H66,Modelos[],14,0)+IFERROR(G66/SUMIF(I:I,I66,G:G),0)*VLOOKUP(I66,Tabla13[],2,0)</f>
        <v>0</v>
      </c>
      <c r="R66" s="15" t="n">
        <f aca="false">IFERROR(VLOOKUP(A66,Modelos[],IF(B66="EST",15,14),0),0)*C66</f>
        <v>154393.465625</v>
      </c>
      <c r="S66" s="15" t="n">
        <f aca="false">IFERROR(VLOOKUP(D66,Modelos[],IF(E66="EST",15,14),0),0)*F66</f>
        <v>0</v>
      </c>
      <c r="T66" s="15" t="n">
        <f aca="false">IF($L66&lt;0,0,IFERROR((T$2*IFERROR(VLOOKUP(J66,Tabla11[],2,0),0))*($L66/SUM($L$5:$L$46)),0))</f>
        <v>7215.32337567738</v>
      </c>
      <c r="U66" s="15" t="n">
        <f aca="false">IF($L66&lt;0,0,IFERROR((U$2*IFERROR(VLOOKUP(J66,Tabla11[],2,0),0))*($L66/SUM($L$5:$L$46)),0))</f>
        <v>1402.9795452706</v>
      </c>
      <c r="V66" s="15" t="n">
        <f aca="false">IF($L66&lt;0,0,IFERROR((V$2*IFERROR(VLOOKUP(J66,Tabla11[],2,0),0))*($L66/SUM($L$5:$L$46)),0))</f>
        <v>7215.32337567738</v>
      </c>
      <c r="W66" s="15" t="n">
        <f aca="false">IF($L66&lt;0,0,IFERROR((W$2*IFERROR(VLOOKUP(J66,Tabla11[],2,0),0))*($L66/SUM($L$5:$L$46)),0))</f>
        <v>10021.2824662186</v>
      </c>
      <c r="X66" s="15" t="n">
        <f aca="false">P66*$X$2</f>
        <v>218579.540722734</v>
      </c>
      <c r="Y66" s="15" t="n">
        <f aca="false">+X66*IFERROR(VLOOKUP(J66,Tabla11[],4,0),0)</f>
        <v>32786.9311084101</v>
      </c>
      <c r="Z66" s="15" t="n">
        <f aca="false">IF(L66&gt;0,$Z$2/12,0)</f>
        <v>25833.3333333333</v>
      </c>
      <c r="AA66" s="15" t="n">
        <f aca="false">P66-SUM(Q66:Z66)</f>
        <v>89000.6722545134</v>
      </c>
      <c r="AB66" s="15" t="n">
        <f aca="false">IF($L66&lt;0,0,IFERROR((AB$2*IFERROR(VLOOKUP(J66,Tabla11[],2,0),0))*($L66/SUM($L$5:$L$46)),0))</f>
        <v>11508.7994406305</v>
      </c>
      <c r="AC66" s="15" t="n">
        <f aca="false">L66-L66*IFERROR(VLOOKUP(J66,Tabla11[],3,0),0)-Q66-T66-U66-V66-W66-L66*$X$2-(L66*$X$2)*IFERROR(VLOOKUP(J66,Tabla11[],4,0),0)-AB66-Z66</f>
        <v>82013.1428594139</v>
      </c>
      <c r="AD66" s="15" t="n">
        <f aca="false">AA66-AB66</f>
        <v>77491.8728138829</v>
      </c>
      <c r="AE66" s="15" t="n">
        <f aca="false">ROUND(AD66-AC66,9)</f>
        <v>-4521.270045531</v>
      </c>
    </row>
    <row r="67" customFormat="false" ht="14.4" hidden="false" customHeight="false" outlineLevel="0" collapsed="false">
      <c r="A67" s="12"/>
      <c r="B67" s="12" t="s">
        <v>30</v>
      </c>
      <c r="C67" s="13"/>
      <c r="D67" s="12"/>
      <c r="E67" s="12" t="s">
        <v>30</v>
      </c>
      <c r="F67" s="13"/>
      <c r="G67" s="13" t="n">
        <v>3</v>
      </c>
      <c r="H67" s="13" t="s">
        <v>40</v>
      </c>
      <c r="I67" s="13" t="s">
        <v>57</v>
      </c>
      <c r="J67" s="13" t="s">
        <v>85</v>
      </c>
      <c r="K67" s="13" t="s">
        <v>57</v>
      </c>
      <c r="L67" s="12" t="n">
        <f aca="false">IFERROR(VLOOKUP(CONCATENATE(J67,K67),Ventas!D:H,4,0),0)</f>
        <v>1601137.25738439</v>
      </c>
      <c r="M67" s="12" t="n">
        <f aca="false">IF(SUM(C67,F67)&gt;0,L67*0.1,0)</f>
        <v>0</v>
      </c>
      <c r="N67" s="14" t="n">
        <f aca="false">SUM(L67:M67)</f>
        <v>1601137.25738439</v>
      </c>
      <c r="O67" s="12" t="n">
        <f aca="false">N67*IFERROR(VLOOKUP(J67,Tabla11[],3,0),0)</f>
        <v>560398.040084537</v>
      </c>
      <c r="P67" s="12" t="n">
        <f aca="false">N67-O67</f>
        <v>1040739.21729985</v>
      </c>
      <c r="Q67" s="12" t="n">
        <f aca="false">IFERROR(G67/SUMIF(I:I,I67,G:G),0)*VLOOKUP(H67,Modelos[],14,0)+IFERROR(G67/SUMIF(I:I,I67,G:G),0)*VLOOKUP(I67,Tabla13[],2,0)</f>
        <v>134909.418697917</v>
      </c>
      <c r="R67" s="12" t="n">
        <f aca="false">IFERROR(VLOOKUP(A67,Modelos[],IF(B67="EST",15,14),0),0)*C67</f>
        <v>0</v>
      </c>
      <c r="S67" s="12" t="n">
        <f aca="false">IFERROR(VLOOKUP(D67,Modelos[],IF(E67="EST",15,14),0),0)*F67</f>
        <v>0</v>
      </c>
      <c r="T67" s="12" t="n">
        <f aca="false">IF($L67&lt;0,0,IFERROR((T$2*IFERROR(VLOOKUP(J67,Tabla11[],2,0),0))*($L67/SUM($L$5:$L$46)),0))</f>
        <v>15116.1393706149</v>
      </c>
      <c r="U67" s="12" t="n">
        <f aca="false">IF($L67&lt;0,0,IFERROR((U$2*IFERROR(VLOOKUP(J67,Tabla11[],2,0),0))*($L67/SUM($L$5:$L$46)),0))</f>
        <v>2939.24932206401</v>
      </c>
      <c r="V67" s="12" t="n">
        <f aca="false">IF($L67&lt;0,0,IFERROR((V$2*IFERROR(VLOOKUP(J67,Tabla11[],2,0),0))*($L67/SUM($L$5:$L$46)),0))</f>
        <v>15116.1393706149</v>
      </c>
      <c r="W67" s="12" t="n">
        <f aca="false">IF($L67&lt;0,0,IFERROR((W$2*IFERROR(VLOOKUP(J67,Tabla11[],2,0),0))*($L67/SUM($L$5:$L$46)),0))</f>
        <v>20994.6380147429</v>
      </c>
      <c r="X67" s="12" t="n">
        <f aca="false">P67*$X$2</f>
        <v>416295.686919942</v>
      </c>
      <c r="Y67" s="12" t="n">
        <f aca="false">+X67*IFERROR(VLOOKUP(J67,Tabla11[],4,0),0)</f>
        <v>62444.3530379913</v>
      </c>
      <c r="Z67" s="12" t="n">
        <f aca="false">IF(L67&gt;0,$Z$2/12,0)</f>
        <v>25833.3333333333</v>
      </c>
      <c r="AA67" s="12" t="n">
        <f aca="false">P67-SUM(Q67:Z67)</f>
        <v>347090.259232635</v>
      </c>
      <c r="AB67" s="12" t="n">
        <f aca="false">IF($L67&lt;0,0,IFERROR((AB$2*IFERROR(VLOOKUP(J67,Tabla11[],2,0),0))*($L67/SUM($L$5:$L$46)),0))</f>
        <v>24110.9936831755</v>
      </c>
      <c r="AC67" s="12" t="n">
        <f aca="false">L67-L67*IFERROR(VLOOKUP(J67,Tabla11[],3,0),0)-Q67-T67-U67-V67-W67-L67*$X$2-(L67*$X$2)*IFERROR(VLOOKUP(J67,Tabla11[],4,0),0)-AB67-Z67</f>
        <v>65196.167110572</v>
      </c>
      <c r="AD67" s="12" t="n">
        <f aca="false">AA67-AB67</f>
        <v>322979.265549459</v>
      </c>
      <c r="AE67" s="12" t="n">
        <f aca="false">ROUND(AD67-AC67,9)</f>
        <v>257783.098438887</v>
      </c>
    </row>
    <row r="68" customFormat="false" ht="14.4" hidden="false" customHeight="false" outlineLevel="0" collapsed="false">
      <c r="A68" s="15"/>
      <c r="B68" s="15" t="s">
        <v>30</v>
      </c>
      <c r="C68" s="16"/>
      <c r="D68" s="15"/>
      <c r="E68" s="15" t="s">
        <v>30</v>
      </c>
      <c r="F68" s="16"/>
      <c r="G68" s="16" t="n">
        <v>3</v>
      </c>
      <c r="H68" s="16" t="s">
        <v>32</v>
      </c>
      <c r="I68" s="16" t="s">
        <v>33</v>
      </c>
      <c r="J68" s="16" t="s">
        <v>85</v>
      </c>
      <c r="K68" s="16" t="s">
        <v>73</v>
      </c>
      <c r="L68" s="12" t="n">
        <f aca="false">IFERROR(VLOOKUP(CONCATENATE(J68,K68),Ventas!D:H,4,0),0)</f>
        <v>1454547.17239246</v>
      </c>
      <c r="M68" s="15" t="n">
        <f aca="false">IF(SUM(C68,F68)&gt;0,L68*0.1,0)</f>
        <v>0</v>
      </c>
      <c r="N68" s="17" t="n">
        <f aca="false">SUM(L68:M68)</f>
        <v>1454547.17239246</v>
      </c>
      <c r="O68" s="15" t="n">
        <f aca="false">N68*IFERROR(VLOOKUP(J68,Tabla11[],3,0),0)</f>
        <v>509091.51033736</v>
      </c>
      <c r="P68" s="15" t="n">
        <f aca="false">N68-O68</f>
        <v>945455.662055098</v>
      </c>
      <c r="Q68" s="12" t="n">
        <f aca="false">IFERROR(G68/SUMIF(I:I,I68,G:G),0)*VLOOKUP(H68,Modelos[],14,0)+IFERROR(G68/SUMIF(I:I,I68,G:G),0)*VLOOKUP(I68,Tabla13[],2,0)</f>
        <v>123633.062541118</v>
      </c>
      <c r="R68" s="15" t="n">
        <f aca="false">IFERROR(VLOOKUP(A68,Modelos[],IF(B68="EST",15,14),0),0)*C68</f>
        <v>0</v>
      </c>
      <c r="S68" s="15" t="n">
        <f aca="false">IFERROR(VLOOKUP(D68,Modelos[],IF(E68="EST",15,14),0),0)*F68</f>
        <v>0</v>
      </c>
      <c r="T68" s="15" t="n">
        <f aca="false">IF($L68&lt;0,0,IFERROR((T$2*IFERROR(VLOOKUP(J68,Tabla11[],2,0),0))*($L68/SUM($L$5:$L$46)),0))</f>
        <v>13732.2004579022</v>
      </c>
      <c r="U68" s="15" t="n">
        <f aca="false">IF($L68&lt;0,0,IFERROR((U$2*IFERROR(VLOOKUP(J68,Tabla11[],2,0),0))*($L68/SUM($L$5:$L$46)),0))</f>
        <v>2670.15008903654</v>
      </c>
      <c r="V68" s="15" t="n">
        <f aca="false">IF($L68&lt;0,0,IFERROR((V$2*IFERROR(VLOOKUP(J68,Tabla11[],2,0),0))*($L68/SUM($L$5:$L$46)),0))</f>
        <v>13732.2004579022</v>
      </c>
      <c r="W68" s="15" t="n">
        <f aca="false">IF($L68&lt;0,0,IFERROR((W$2*IFERROR(VLOOKUP(J68,Tabla11[],2,0),0))*($L68/SUM($L$5:$L$46)),0))</f>
        <v>19072.5006359753</v>
      </c>
      <c r="X68" s="15" t="n">
        <f aca="false">P68*$X$2</f>
        <v>378182.264822039</v>
      </c>
      <c r="Y68" s="15" t="n">
        <f aca="false">+X68*IFERROR(VLOOKUP(J68,Tabla11[],4,0),0)</f>
        <v>56727.3397233059</v>
      </c>
      <c r="Z68" s="15" t="n">
        <f aca="false">IF(L68&gt;0,$Z$2/12,0)</f>
        <v>25833.3333333333</v>
      </c>
      <c r="AA68" s="15" t="n">
        <f aca="false">P68-SUM(Q68:Z68)</f>
        <v>311872.609994485</v>
      </c>
      <c r="AB68" s="15" t="n">
        <f aca="false">IF($L68&lt;0,0,IFERROR((AB$2*IFERROR(VLOOKUP(J68,Tabla11[],2,0),0))*($L68/SUM($L$5:$L$46)),0))</f>
        <v>21903.5423251136</v>
      </c>
      <c r="AC68" s="15" t="n">
        <f aca="false">L68-L68*IFERROR(VLOOKUP(J68,Tabla11[],3,0),0)-Q68-T68-U68-V68-W68-L68*$X$2-(L68*$X$2)*IFERROR(VLOOKUP(J68,Tabla11[],4,0),0)-AB68-Z68</f>
        <v>55786.9729141854</v>
      </c>
      <c r="AD68" s="15" t="n">
        <f aca="false">AA68-AB68</f>
        <v>289969.067669371</v>
      </c>
      <c r="AE68" s="15" t="n">
        <f aca="false">ROUND(AD68-AC68,9)</f>
        <v>234182.094755186</v>
      </c>
    </row>
    <row r="69" customFormat="false" ht="14.4" hidden="false" customHeight="false" outlineLevel="0" collapsed="false">
      <c r="A69" s="12"/>
      <c r="B69" s="12" t="s">
        <v>30</v>
      </c>
      <c r="C69" s="13"/>
      <c r="D69" s="12"/>
      <c r="E69" s="12" t="s">
        <v>30</v>
      </c>
      <c r="F69" s="13"/>
      <c r="G69" s="13" t="n">
        <v>3</v>
      </c>
      <c r="H69" s="13" t="s">
        <v>50</v>
      </c>
      <c r="I69" s="13" t="s">
        <v>64</v>
      </c>
      <c r="J69" s="13" t="s">
        <v>85</v>
      </c>
      <c r="K69" s="13" t="s">
        <v>96</v>
      </c>
      <c r="L69" s="12" t="n">
        <f aca="false">IFERROR(VLOOKUP(CONCATENATE(J69,K69),Ventas!D:H,4,0),0)</f>
        <v>1962162.8627255</v>
      </c>
      <c r="M69" s="12" t="n">
        <f aca="false">IF(SUM(C69,F69)&gt;0,L69*0.1,0)</f>
        <v>0</v>
      </c>
      <c r="N69" s="14" t="n">
        <f aca="false">SUM(L69:M69)</f>
        <v>1962162.8627255</v>
      </c>
      <c r="O69" s="12" t="n">
        <f aca="false">N69*IFERROR(VLOOKUP(J69,Tabla11[],3,0),0)</f>
        <v>686757.001953924</v>
      </c>
      <c r="P69" s="12" t="n">
        <f aca="false">N69-O69</f>
        <v>1275405.86077157</v>
      </c>
      <c r="Q69" s="12" t="n">
        <f aca="false">IFERROR(G69/SUMIF(I:I,I69,G:G),0)*VLOOKUP(H69,Modelos[],14,0)+IFERROR(G69/SUMIF(I:I,I69,G:G),0)*VLOOKUP(I69,Tabla13[],2,0)</f>
        <v>73262.0139780406</v>
      </c>
      <c r="R69" s="12" t="n">
        <f aca="false">IFERROR(VLOOKUP(A69,Modelos[],IF(B69="EST",15,14),0),0)*C69</f>
        <v>0</v>
      </c>
      <c r="S69" s="12" t="n">
        <f aca="false">IFERROR(VLOOKUP(D69,Modelos[],IF(E69="EST",15,14),0),0)*F69</f>
        <v>0</v>
      </c>
      <c r="T69" s="12" t="n">
        <f aca="false">IF($L69&lt;0,0,IFERROR((T$2*IFERROR(VLOOKUP(J69,Tabla11[],2,0),0))*($L69/SUM($L$5:$L$46)),0))</f>
        <v>18524.5375835275</v>
      </c>
      <c r="U69" s="12" t="n">
        <f aca="false">IF($L69&lt;0,0,IFERROR((U$2*IFERROR(VLOOKUP(J69,Tabla11[],2,0),0))*($L69/SUM($L$5:$L$46)),0))</f>
        <v>3601.99341901924</v>
      </c>
      <c r="V69" s="12" t="n">
        <f aca="false">IF($L69&lt;0,0,IFERROR((V$2*IFERROR(VLOOKUP(J69,Tabla11[],2,0),0))*($L69/SUM($L$5:$L$46)),0))</f>
        <v>18524.5375835275</v>
      </c>
      <c r="W69" s="12" t="n">
        <f aca="false">IF($L69&lt;0,0,IFERROR((W$2*IFERROR(VLOOKUP(J69,Tabla11[],2,0),0))*($L69/SUM($L$5:$L$46)),0))</f>
        <v>25728.524421566</v>
      </c>
      <c r="X69" s="12" t="n">
        <f aca="false">P69*$X$2</f>
        <v>510162.34430863</v>
      </c>
      <c r="Y69" s="12" t="n">
        <f aca="false">+X69*IFERROR(VLOOKUP(J69,Tabla11[],4,0),0)</f>
        <v>76524.3516462944</v>
      </c>
      <c r="Z69" s="12" t="n">
        <f aca="false">IF(L69&gt;0,$Z$2/12,0)</f>
        <v>25833.3333333333</v>
      </c>
      <c r="AA69" s="12" t="n">
        <f aca="false">P69-SUM(Q69:Z69)</f>
        <v>523244.224497636</v>
      </c>
      <c r="AB69" s="12" t="n">
        <f aca="false">IF($L69&lt;0,0,IFERROR((AB$2*IFERROR(VLOOKUP(J69,Tabla11[],2,0),0))*($L69/SUM($L$5:$L$46)),0))</f>
        <v>29547.5582560741</v>
      </c>
      <c r="AC69" s="12" t="n">
        <f aca="false">L69-L69*IFERROR(VLOOKUP(J69,Tabla11[],3,0),0)-Q69-T69-U69-V69-W69-L69*$X$2-(L69*$X$2)*IFERROR(VLOOKUP(J69,Tabla11[],4,0),0)-AB69-Z69</f>
        <v>177788.445342756</v>
      </c>
      <c r="AD69" s="12" t="n">
        <f aca="false">AA69-AB69</f>
        <v>493696.666241562</v>
      </c>
      <c r="AE69" s="12" t="n">
        <f aca="false">ROUND(AD69-AC69,9)</f>
        <v>315908.220898806</v>
      </c>
    </row>
    <row r="70" customFormat="false" ht="14.4" hidden="false" customHeight="false" outlineLevel="0" collapsed="false">
      <c r="A70" s="15"/>
      <c r="B70" s="15" t="s">
        <v>30</v>
      </c>
      <c r="C70" s="16"/>
      <c r="D70" s="15"/>
      <c r="E70" s="15" t="s">
        <v>30</v>
      </c>
      <c r="F70" s="16"/>
      <c r="G70" s="16" t="n">
        <v>3</v>
      </c>
      <c r="H70" s="16" t="s">
        <v>50</v>
      </c>
      <c r="I70" s="16" t="s">
        <v>51</v>
      </c>
      <c r="J70" s="16" t="s">
        <v>85</v>
      </c>
      <c r="K70" s="16" t="s">
        <v>97</v>
      </c>
      <c r="L70" s="12" t="n">
        <f aca="false">IFERROR(VLOOKUP(CONCATENATE(J70,K70),Ventas!D:H,4,0),0)</f>
        <v>1585349.59928489</v>
      </c>
      <c r="M70" s="15" t="n">
        <f aca="false">IF(SUM(C70,F70)&gt;0,L70*0.1,0)</f>
        <v>0</v>
      </c>
      <c r="N70" s="17" t="n">
        <f aca="false">SUM(L70:M70)</f>
        <v>1585349.59928489</v>
      </c>
      <c r="O70" s="15" t="n">
        <f aca="false">N70*IFERROR(VLOOKUP(J70,Tabla11[],3,0),0)</f>
        <v>554872.359749713</v>
      </c>
      <c r="P70" s="15" t="n">
        <f aca="false">N70-O70</f>
        <v>1030477.23953518</v>
      </c>
      <c r="Q70" s="12" t="n">
        <f aca="false">IFERROR(G70/SUMIF(I:I,I70,G:G),0)*VLOOKUP(H70,Modelos[],14,0)+IFERROR(G70/SUMIF(I:I,I70,G:G),0)*VLOOKUP(I70,Tabla13[],2,0)</f>
        <v>69504.9876201923</v>
      </c>
      <c r="R70" s="15" t="n">
        <f aca="false">IFERROR(VLOOKUP(A70,Modelos[],IF(B70="EST",15,14),0),0)*C70</f>
        <v>0</v>
      </c>
      <c r="S70" s="15" t="n">
        <f aca="false">IFERROR(VLOOKUP(D70,Modelos[],IF(E70="EST",15,14),0),0)*F70</f>
        <v>0</v>
      </c>
      <c r="T70" s="15" t="n">
        <f aca="false">IF($L70&lt;0,0,IFERROR((T$2*IFERROR(VLOOKUP(J70,Tabla11[],2,0),0))*($L70/SUM($L$5:$L$46)),0))</f>
        <v>14967.0900376692</v>
      </c>
      <c r="U70" s="15" t="n">
        <f aca="false">IF($L70&lt;0,0,IFERROR((U$2*IFERROR(VLOOKUP(J70,Tabla11[],2,0),0))*($L70/SUM($L$5:$L$46)),0))</f>
        <v>2910.26750732457</v>
      </c>
      <c r="V70" s="15" t="n">
        <f aca="false">IF($L70&lt;0,0,IFERROR((V$2*IFERROR(VLOOKUP(J70,Tabla11[],2,0),0))*($L70/SUM($L$5:$L$46)),0))</f>
        <v>14967.0900376692</v>
      </c>
      <c r="W70" s="15" t="n">
        <f aca="false">IF($L70&lt;0,0,IFERROR((W$2*IFERROR(VLOOKUP(J70,Tabla11[],2,0),0))*($L70/SUM($L$5:$L$46)),0))</f>
        <v>20787.6250523183</v>
      </c>
      <c r="X70" s="15" t="n">
        <f aca="false">P70*$X$2</f>
        <v>412190.895814072</v>
      </c>
      <c r="Y70" s="15" t="n">
        <f aca="false">+X70*IFERROR(VLOOKUP(J70,Tabla11[],4,0),0)</f>
        <v>61828.6343721109</v>
      </c>
      <c r="Z70" s="15" t="n">
        <f aca="false">IF(L70&gt;0,$Z$2/12,0)</f>
        <v>25833.3333333333</v>
      </c>
      <c r="AA70" s="15" t="n">
        <f aca="false">P70-SUM(Q70:Z70)</f>
        <v>407487.315760491</v>
      </c>
      <c r="AB70" s="15" t="n">
        <f aca="false">IF($L70&lt;0,0,IFERROR((AB$2*IFERROR(VLOOKUP(J70,Tabla11[],2,0),0))*($L70/SUM($L$5:$L$46)),0))</f>
        <v>23873.2525882422</v>
      </c>
      <c r="AC70" s="15" t="n">
        <f aca="false">L70-L70*IFERROR(VLOOKUP(J70,Tabla11[],3,0),0)-Q70-T70-U70-V70-W70-L70*$X$2-(L70*$X$2)*IFERROR(VLOOKUP(J70,Tabla11[],4,0),0)-AB70-Z70</f>
        <v>128372.777687381</v>
      </c>
      <c r="AD70" s="15" t="n">
        <f aca="false">AA70-AB70</f>
        <v>383614.063172248</v>
      </c>
      <c r="AE70" s="15" t="n">
        <f aca="false">ROUND(AD70-AC70,9)</f>
        <v>255241.285484868</v>
      </c>
    </row>
    <row r="71" customFormat="false" ht="14.4" hidden="false" customHeight="false" outlineLevel="0" collapsed="false">
      <c r="A71" s="12"/>
      <c r="B71" s="12" t="s">
        <v>30</v>
      </c>
      <c r="C71" s="13"/>
      <c r="D71" s="12"/>
      <c r="E71" s="12" t="s">
        <v>30</v>
      </c>
      <c r="F71" s="13"/>
      <c r="G71" s="13" t="n">
        <v>3</v>
      </c>
      <c r="H71" s="13" t="s">
        <v>50</v>
      </c>
      <c r="I71" s="13" t="s">
        <v>51</v>
      </c>
      <c r="J71" s="13" t="s">
        <v>85</v>
      </c>
      <c r="K71" s="13" t="s">
        <v>98</v>
      </c>
      <c r="L71" s="12" t="n">
        <f aca="false">IFERROR(VLOOKUP(CONCATENATE(J71,K71),Ventas!D:H,4,0),0)</f>
        <v>1555424.57745945</v>
      </c>
      <c r="M71" s="12" t="n">
        <f aca="false">IF(SUM(C71,F71)&gt;0,L71*0.1,0)</f>
        <v>0</v>
      </c>
      <c r="N71" s="14" t="n">
        <f aca="false">SUM(L71:M71)</f>
        <v>1555424.57745945</v>
      </c>
      <c r="O71" s="12" t="n">
        <f aca="false">N71*IFERROR(VLOOKUP(J71,Tabla11[],3,0),0)</f>
        <v>544398.602110808</v>
      </c>
      <c r="P71" s="12" t="n">
        <f aca="false">N71-O71</f>
        <v>1011025.97534864</v>
      </c>
      <c r="Q71" s="12" t="n">
        <f aca="false">IFERROR(G71/SUMIF(I:I,I71,G:G),0)*VLOOKUP(H71,Modelos[],14,0)+IFERROR(G71/SUMIF(I:I,I71,G:G),0)*VLOOKUP(I71,Tabla13[],2,0)</f>
        <v>69504.9876201923</v>
      </c>
      <c r="R71" s="12" t="n">
        <f aca="false">IFERROR(VLOOKUP(A71,Modelos[],IF(B71="EST",15,14),0),0)*C71</f>
        <v>0</v>
      </c>
      <c r="S71" s="12" t="n">
        <f aca="false">IFERROR(VLOOKUP(D71,Modelos[],IF(E71="EST",15,14),0),0)*F71</f>
        <v>0</v>
      </c>
      <c r="T71" s="12" t="n">
        <f aca="false">IF($L71&lt;0,0,IFERROR((T$2*IFERROR(VLOOKUP(J71,Tabla11[],2,0),0))*($L71/SUM($L$5:$L$46)),0))</f>
        <v>14684.5715974194</v>
      </c>
      <c r="U71" s="12" t="n">
        <f aca="false">IF($L71&lt;0,0,IFERROR((U$2*IFERROR(VLOOKUP(J71,Tabla11[],2,0),0))*($L71/SUM($L$5:$L$46)),0))</f>
        <v>2855.33336616489</v>
      </c>
      <c r="V71" s="12" t="n">
        <f aca="false">IF($L71&lt;0,0,IFERROR((V$2*IFERROR(VLOOKUP(J71,Tabla11[],2,0),0))*($L71/SUM($L$5:$L$46)),0))</f>
        <v>14684.5715974194</v>
      </c>
      <c r="W71" s="12" t="n">
        <f aca="false">IF($L71&lt;0,0,IFERROR((W$2*IFERROR(VLOOKUP(J71,Tabla11[],2,0),0))*($L71/SUM($L$5:$L$46)),0))</f>
        <v>20395.2383297492</v>
      </c>
      <c r="X71" s="12" t="n">
        <f aca="false">P71*$X$2</f>
        <v>404410.390139458</v>
      </c>
      <c r="Y71" s="12" t="n">
        <f aca="false">+X71*IFERROR(VLOOKUP(J71,Tabla11[],4,0),0)</f>
        <v>60661.5585209186</v>
      </c>
      <c r="Z71" s="12" t="n">
        <f aca="false">IF(L71&gt;0,$Z$2/12,0)</f>
        <v>25833.3333333333</v>
      </c>
      <c r="AA71" s="12" t="n">
        <f aca="false">P71-SUM(Q71:Z71)</f>
        <v>397995.990843989</v>
      </c>
      <c r="AB71" s="12" t="n">
        <f aca="false">IF($L71&lt;0,0,IFERROR((AB$2*IFERROR(VLOOKUP(J71,Tabla11[],2,0),0))*($L71/SUM($L$5:$L$46)),0))</f>
        <v>23422.6216327295</v>
      </c>
      <c r="AC71" s="12" t="n">
        <f aca="false">L71-L71*IFERROR(VLOOKUP(J71,Tabla11[],3,0),0)-Q71-T71-U71-V71-W71-L71*$X$2-(L71*$X$2)*IFERROR(VLOOKUP(J71,Tabla11[],4,0),0)-AB71-Z71</f>
        <v>124150.012240288</v>
      </c>
      <c r="AD71" s="12" t="n">
        <f aca="false">AA71-AB71</f>
        <v>374573.369211259</v>
      </c>
      <c r="AE71" s="12" t="n">
        <f aca="false">ROUND(AD71-AC71,9)</f>
        <v>250423.356970972</v>
      </c>
    </row>
    <row r="72" customFormat="false" ht="14.4" hidden="false" customHeight="false" outlineLevel="0" collapsed="false">
      <c r="A72" s="15"/>
      <c r="B72" s="15" t="s">
        <v>30</v>
      </c>
      <c r="C72" s="16"/>
      <c r="D72" s="15"/>
      <c r="E72" s="15" t="s">
        <v>30</v>
      </c>
      <c r="F72" s="16"/>
      <c r="G72" s="16" t="n">
        <v>3</v>
      </c>
      <c r="H72" s="16" t="s">
        <v>50</v>
      </c>
      <c r="I72" s="16" t="s">
        <v>64</v>
      </c>
      <c r="J72" s="16" t="s">
        <v>85</v>
      </c>
      <c r="K72" s="16" t="s">
        <v>65</v>
      </c>
      <c r="L72" s="12" t="n">
        <f aca="false">IFERROR(VLOOKUP(CONCATENATE(J72,K72),Ventas!D:H,4,0),0)</f>
        <v>1429348.56836101</v>
      </c>
      <c r="M72" s="15" t="n">
        <f aca="false">IF(SUM(C72,F72)&gt;0,L72*0.1,0)</f>
        <v>0</v>
      </c>
      <c r="N72" s="17" t="n">
        <f aca="false">SUM(L72:M72)</f>
        <v>1429348.56836101</v>
      </c>
      <c r="O72" s="15" t="n">
        <f aca="false">N72*IFERROR(VLOOKUP(J72,Tabla11[],3,0),0)</f>
        <v>500271.998926353</v>
      </c>
      <c r="P72" s="15" t="n">
        <f aca="false">N72-O72</f>
        <v>929076.569434656</v>
      </c>
      <c r="Q72" s="12" t="n">
        <f aca="false">IFERROR(G72/SUMIF(I:I,I72,G:G),0)*VLOOKUP(H72,Modelos[],14,0)+IFERROR(G72/SUMIF(I:I,I72,G:G),0)*VLOOKUP(I72,Tabla13[],2,0)</f>
        <v>73262.0139780406</v>
      </c>
      <c r="R72" s="15" t="n">
        <f aca="false">IFERROR(VLOOKUP(A72,Modelos[],IF(B72="EST",15,14),0),0)*C72</f>
        <v>0</v>
      </c>
      <c r="S72" s="15" t="n">
        <f aca="false">IFERROR(VLOOKUP(D72,Modelos[],IF(E72="EST",15,14),0),0)*F72</f>
        <v>0</v>
      </c>
      <c r="T72" s="15" t="n">
        <f aca="false">IF($L72&lt;0,0,IFERROR((T$2*IFERROR(VLOOKUP(J72,Tabla11[],2,0),0))*($L72/SUM($L$5:$L$46)),0))</f>
        <v>13494.3035451125</v>
      </c>
      <c r="U72" s="15" t="n">
        <f aca="false">IF($L72&lt;0,0,IFERROR((U$2*IFERROR(VLOOKUP(J72,Tabla11[],2,0),0))*($L72/SUM($L$5:$L$46)),0))</f>
        <v>2623.8923559941</v>
      </c>
      <c r="V72" s="15" t="n">
        <f aca="false">IF($L72&lt;0,0,IFERROR((V$2*IFERROR(VLOOKUP(J72,Tabla11[],2,0),0))*($L72/SUM($L$5:$L$46)),0))</f>
        <v>13494.3035451125</v>
      </c>
      <c r="W72" s="15" t="n">
        <f aca="false">IF($L72&lt;0,0,IFERROR((W$2*IFERROR(VLOOKUP(J72,Tabla11[],2,0),0))*($L72/SUM($L$5:$L$46)),0))</f>
        <v>18742.0882571007</v>
      </c>
      <c r="X72" s="15" t="n">
        <f aca="false">P72*$X$2</f>
        <v>371630.627773862</v>
      </c>
      <c r="Y72" s="15" t="n">
        <f aca="false">+X72*IFERROR(VLOOKUP(J72,Tabla11[],4,0),0)</f>
        <v>55744.5941660794</v>
      </c>
      <c r="Z72" s="15" t="n">
        <f aca="false">IF(L72&gt;0,$Z$2/12,0)</f>
        <v>25833.3333333333</v>
      </c>
      <c r="AA72" s="15" t="n">
        <f aca="false">P72-SUM(Q72:Z72)</f>
        <v>354251.412480021</v>
      </c>
      <c r="AB72" s="15" t="n">
        <f aca="false">IF($L72&lt;0,0,IFERROR((AB$2*IFERROR(VLOOKUP(J72,Tabla11[],2,0),0))*($L72/SUM($L$5:$L$46)),0))</f>
        <v>21524.0849239289</v>
      </c>
      <c r="AC72" s="15" t="n">
        <f aca="false">L72-L72*IFERROR(VLOOKUP(J72,Tabla11[],3,0),0)-Q72-T72-U72-V72-W72-L72*$X$2-(L72*$X$2)*IFERROR(VLOOKUP(J72,Tabla11[],4,0),0)-AB72-Z72</f>
        <v>102602.208049969</v>
      </c>
      <c r="AD72" s="15" t="n">
        <f aca="false">AA72-AB72</f>
        <v>332727.327556092</v>
      </c>
      <c r="AE72" s="15" t="n">
        <f aca="false">ROUND(AD72-AC72,9)</f>
        <v>230125.119506123</v>
      </c>
    </row>
    <row r="73" customFormat="false" ht="14.4" hidden="false" customHeight="false" outlineLevel="0" collapsed="false">
      <c r="A73" s="12"/>
      <c r="B73" s="12" t="s">
        <v>30</v>
      </c>
      <c r="C73" s="13"/>
      <c r="D73" s="12"/>
      <c r="E73" s="12" t="s">
        <v>30</v>
      </c>
      <c r="F73" s="13"/>
      <c r="G73" s="13" t="n">
        <v>3</v>
      </c>
      <c r="H73" s="13" t="s">
        <v>50</v>
      </c>
      <c r="I73" s="13" t="s">
        <v>64</v>
      </c>
      <c r="J73" s="13" t="s">
        <v>85</v>
      </c>
      <c r="K73" s="13" t="s">
        <v>99</v>
      </c>
      <c r="L73" s="12" t="n">
        <f aca="false">IFERROR(VLOOKUP(CONCATENATE(J73,K73),Ventas!D:H,4,0),0)</f>
        <v>1413315.89529226</v>
      </c>
      <c r="M73" s="12" t="n">
        <f aca="false">IF(SUM(C73,F73)&gt;0,L73*0.1,0)</f>
        <v>0</v>
      </c>
      <c r="N73" s="14" t="n">
        <f aca="false">SUM(L73:M73)</f>
        <v>1413315.89529226</v>
      </c>
      <c r="O73" s="12" t="n">
        <f aca="false">N73*IFERROR(VLOOKUP(J73,Tabla11[],3,0),0)</f>
        <v>494660.56335229</v>
      </c>
      <c r="P73" s="12" t="n">
        <f aca="false">N73-O73</f>
        <v>918655.331939967</v>
      </c>
      <c r="Q73" s="12" t="n">
        <f aca="false">IFERROR(G73/SUMIF(I:I,I73,G:G),0)*VLOOKUP(H73,Modelos[],14,0)+IFERROR(G73/SUMIF(I:I,I73,G:G),0)*VLOOKUP(I73,Tabla13[],2,0)</f>
        <v>73262.0139780406</v>
      </c>
      <c r="R73" s="12" t="n">
        <f aca="false">IFERROR(VLOOKUP(A73,Modelos[],IF(B73="EST",15,14),0),0)*C73</f>
        <v>0</v>
      </c>
      <c r="S73" s="12" t="n">
        <f aca="false">IFERROR(VLOOKUP(D73,Modelos[],IF(E73="EST",15,14),0),0)*F73</f>
        <v>0</v>
      </c>
      <c r="T73" s="12" t="n">
        <f aca="false">IF($L73&lt;0,0,IFERROR((T$2*IFERROR(VLOOKUP(J73,Tabla11[],2,0),0))*($L73/SUM($L$5:$L$46)),0))</f>
        <v>13342.941056061</v>
      </c>
      <c r="U73" s="12" t="n">
        <f aca="false">IF($L73&lt;0,0,IFERROR((U$2*IFERROR(VLOOKUP(J73,Tabla11[],2,0),0))*($L73/SUM($L$5:$L$46)),0))</f>
        <v>2594.46076090075</v>
      </c>
      <c r="V73" s="12" t="n">
        <f aca="false">IF($L73&lt;0,0,IFERROR((V$2*IFERROR(VLOOKUP(J73,Tabla11[],2,0),0))*($L73/SUM($L$5:$L$46)),0))</f>
        <v>13342.941056061</v>
      </c>
      <c r="W73" s="12" t="n">
        <f aca="false">IF($L73&lt;0,0,IFERROR((W$2*IFERROR(VLOOKUP(J73,Tabla11[],2,0),0))*($L73/SUM($L$5:$L$46)),0))</f>
        <v>18531.8625778625</v>
      </c>
      <c r="X73" s="12" t="n">
        <f aca="false">P73*$X$2</f>
        <v>367462.132775987</v>
      </c>
      <c r="Y73" s="12" t="n">
        <f aca="false">+X73*IFERROR(VLOOKUP(J73,Tabla11[],4,0),0)</f>
        <v>55119.319916398</v>
      </c>
      <c r="Z73" s="12" t="n">
        <f aca="false">IF(L73&gt;0,$Z$2/12,0)</f>
        <v>25833.3333333333</v>
      </c>
      <c r="AA73" s="12" t="n">
        <f aca="false">P73-SUM(Q73:Z73)</f>
        <v>349166.326485323</v>
      </c>
      <c r="AB73" s="12" t="n">
        <f aca="false">IF($L73&lt;0,0,IFERROR((AB$2*IFERROR(VLOOKUP(J73,Tabla11[],2,0),0))*($L73/SUM($L$5:$L$46)),0))</f>
        <v>21282.6542300254</v>
      </c>
      <c r="AC73" s="12" t="n">
        <f aca="false">L73-L73*IFERROR(VLOOKUP(J73,Tabla11[],3,0),0)-Q73-T73-U73-V73-W73-L73*$X$2-(L73*$X$2)*IFERROR(VLOOKUP(J73,Tabla11[],4,0),0)-AB73-Z73</f>
        <v>100339.813113244</v>
      </c>
      <c r="AD73" s="12" t="n">
        <f aca="false">AA73-AB73</f>
        <v>327883.672255298</v>
      </c>
      <c r="AE73" s="12" t="n">
        <f aca="false">ROUND(AD73-AC73,9)</f>
        <v>227543.859142054</v>
      </c>
    </row>
    <row r="74" customFormat="false" ht="14.4" hidden="false" customHeight="false" outlineLevel="0" collapsed="false">
      <c r="A74" s="15"/>
      <c r="B74" s="15" t="s">
        <v>30</v>
      </c>
      <c r="C74" s="16"/>
      <c r="D74" s="15"/>
      <c r="E74" s="15" t="s">
        <v>30</v>
      </c>
      <c r="F74" s="16"/>
      <c r="G74" s="16" t="n">
        <v>3</v>
      </c>
      <c r="H74" s="16" t="s">
        <v>50</v>
      </c>
      <c r="I74" s="16" t="s">
        <v>51</v>
      </c>
      <c r="J74" s="16" t="s">
        <v>85</v>
      </c>
      <c r="K74" s="16" t="s">
        <v>100</v>
      </c>
      <c r="L74" s="12" t="n">
        <f aca="false">IFERROR(VLOOKUP(CONCATENATE(J74,K74),Ventas!D:H,4,0),0)</f>
        <v>1632686.49134472</v>
      </c>
      <c r="M74" s="15" t="n">
        <f aca="false">IF(SUM(C74,F74)&gt;0,L74*0.1,0)</f>
        <v>0</v>
      </c>
      <c r="N74" s="17" t="n">
        <f aca="false">SUM(L74:M74)</f>
        <v>1632686.49134472</v>
      </c>
      <c r="O74" s="15" t="n">
        <f aca="false">N74*IFERROR(VLOOKUP(J74,Tabla11[],3,0),0)</f>
        <v>571440.271970653</v>
      </c>
      <c r="P74" s="15" t="n">
        <f aca="false">N74-O74</f>
        <v>1061246.21937407</v>
      </c>
      <c r="Q74" s="12" t="n">
        <f aca="false">IFERROR(G74/SUMIF(I:I,I74,G:G),0)*VLOOKUP(H74,Modelos[],14,0)+IFERROR(G74/SUMIF(I:I,I74,G:G),0)*VLOOKUP(I74,Tabla13[],2,0)</f>
        <v>69504.9876201923</v>
      </c>
      <c r="R74" s="15" t="n">
        <f aca="false">IFERROR(VLOOKUP(A74,Modelos[],IF(B74="EST",15,14),0),0)*C74</f>
        <v>0</v>
      </c>
      <c r="S74" s="15" t="n">
        <f aca="false">IFERROR(VLOOKUP(D74,Modelos[],IF(E74="EST",15,14),0),0)*F74</f>
        <v>0</v>
      </c>
      <c r="T74" s="15" t="n">
        <f aca="false">IF($L74&lt;0,0,IFERROR((T$2*IFERROR(VLOOKUP(J74,Tabla11[],2,0),0))*($L74/SUM($L$5:$L$46)),0))</f>
        <v>15413.9917973079</v>
      </c>
      <c r="U74" s="15" t="n">
        <f aca="false">IF($L74&lt;0,0,IFERROR((U$2*IFERROR(VLOOKUP(J74,Tabla11[],2,0),0))*($L74/SUM($L$5:$L$46)),0))</f>
        <v>2997.16507169876</v>
      </c>
      <c r="V74" s="15" t="n">
        <f aca="false">IF($L74&lt;0,0,IFERROR((V$2*IFERROR(VLOOKUP(J74,Tabla11[],2,0),0))*($L74/SUM($L$5:$L$46)),0))</f>
        <v>15413.9917973079</v>
      </c>
      <c r="W74" s="15" t="n">
        <f aca="false">IF($L74&lt;0,0,IFERROR((W$2*IFERROR(VLOOKUP(J74,Tabla11[],2,0),0))*($L74/SUM($L$5:$L$46)),0))</f>
        <v>21408.3219407054</v>
      </c>
      <c r="X74" s="15" t="n">
        <f aca="false">P74*$X$2</f>
        <v>424498.487749628</v>
      </c>
      <c r="Y74" s="15" t="n">
        <f aca="false">+X74*IFERROR(VLOOKUP(J74,Tabla11[],4,0),0)</f>
        <v>63674.7731624443</v>
      </c>
      <c r="Z74" s="15" t="n">
        <f aca="false">IF(L74&gt;0,$Z$2/12,0)</f>
        <v>25833.3333333333</v>
      </c>
      <c r="AA74" s="15" t="n">
        <f aca="false">P74-SUM(Q74:Z74)</f>
        <v>422501.166901453</v>
      </c>
      <c r="AB74" s="15" t="n">
        <f aca="false">IF($L74&lt;0,0,IFERROR((AB$2*IFERROR(VLOOKUP(J74,Tabla11[],2,0),0))*($L74/SUM($L$5:$L$46)),0))</f>
        <v>24586.0831092808</v>
      </c>
      <c r="AC74" s="15" t="n">
        <f aca="false">L74-L74*IFERROR(VLOOKUP(J74,Tabla11[],3,0),0)-Q74-T74-U74-V74-W74-L74*$X$2-(L74*$X$2)*IFERROR(VLOOKUP(J74,Tabla11[],4,0),0)-AB74-Z74</f>
        <v>135052.558685671</v>
      </c>
      <c r="AD74" s="15" t="n">
        <f aca="false">AA74-AB74</f>
        <v>397915.083792172</v>
      </c>
      <c r="AE74" s="15" t="n">
        <f aca="false">ROUND(AD74-AC74,9)</f>
        <v>262862.525106501</v>
      </c>
    </row>
    <row r="75" customFormat="false" ht="14.4" hidden="false" customHeight="false" outlineLevel="0" collapsed="false">
      <c r="A75" s="12"/>
      <c r="B75" s="12" t="s">
        <v>30</v>
      </c>
      <c r="C75" s="13"/>
      <c r="D75" s="12"/>
      <c r="E75" s="12" t="s">
        <v>30</v>
      </c>
      <c r="F75" s="13"/>
      <c r="G75" s="13" t="n">
        <v>3</v>
      </c>
      <c r="H75" s="13" t="s">
        <v>32</v>
      </c>
      <c r="I75" s="13" t="s">
        <v>38</v>
      </c>
      <c r="J75" s="13" t="s">
        <v>85</v>
      </c>
      <c r="K75" s="13" t="s">
        <v>101</v>
      </c>
      <c r="L75" s="12" t="n">
        <f aca="false">IFERROR(VLOOKUP(CONCATENATE(J75,K75),Ventas!D:H,4,0),0)</f>
        <v>458982.59004877</v>
      </c>
      <c r="M75" s="12" t="n">
        <f aca="false">IF(SUM(C75,F75)&gt;0,L75*0.1,0)</f>
        <v>0</v>
      </c>
      <c r="N75" s="14" t="n">
        <f aca="false">SUM(L75:M75)</f>
        <v>458982.59004877</v>
      </c>
      <c r="O75" s="12" t="n">
        <f aca="false">N75*IFERROR(VLOOKUP(J75,Tabla11[],3,0),0)</f>
        <v>160643.90651707</v>
      </c>
      <c r="P75" s="12" t="n">
        <f aca="false">N75-O75</f>
        <v>298338.683531701</v>
      </c>
      <c r="Q75" s="12" t="n">
        <f aca="false">IFERROR(G75/SUMIF(I:I,I75,G:G),0)*VLOOKUP(H75,Modelos[],14,0)+IFERROR(G75/SUMIF(I:I,I75,G:G),0)*VLOOKUP(I75,Tabla13[],2,0)</f>
        <v>154942.834604779</v>
      </c>
      <c r="R75" s="12" t="n">
        <f aca="false">IFERROR(VLOOKUP(A75,Modelos[],IF(B75="EST",15,14),0),0)*C75</f>
        <v>0</v>
      </c>
      <c r="S75" s="12" t="n">
        <f aca="false">IFERROR(VLOOKUP(D75,Modelos[],IF(E75="EST",15,14),0),0)*F75</f>
        <v>0</v>
      </c>
      <c r="T75" s="12" t="n">
        <f aca="false">IF($L75&lt;0,0,IFERROR((T$2*IFERROR(VLOOKUP(J75,Tabla11[],2,0),0))*($L75/SUM($L$5:$L$46)),0))</f>
        <v>4333.19802400761</v>
      </c>
      <c r="U75" s="12" t="n">
        <f aca="false">IF($L75&lt;0,0,IFERROR((U$2*IFERROR(VLOOKUP(J75,Tabla11[],2,0),0))*($L75/SUM($L$5:$L$46)),0))</f>
        <v>842.566282445925</v>
      </c>
      <c r="V75" s="12" t="n">
        <f aca="false">IF($L75&lt;0,0,IFERROR((V$2*IFERROR(VLOOKUP(J75,Tabla11[],2,0),0))*($L75/SUM($L$5:$L$46)),0))</f>
        <v>4333.19802400761</v>
      </c>
      <c r="W75" s="12" t="n">
        <f aca="false">IF($L75&lt;0,0,IFERROR((W$2*IFERROR(VLOOKUP(J75,Tabla11[],2,0),0))*($L75/SUM($L$5:$L$46)),0))</f>
        <v>6018.33058889946</v>
      </c>
      <c r="X75" s="12" t="n">
        <f aca="false">P75*$X$2</f>
        <v>119335.47341268</v>
      </c>
      <c r="Y75" s="12" t="n">
        <f aca="false">+X75*IFERROR(VLOOKUP(J75,Tabla11[],4,0),0)</f>
        <v>17900.321011902</v>
      </c>
      <c r="Z75" s="12" t="n">
        <f aca="false">IF(L75&gt;0,$Z$2/12,0)</f>
        <v>25833.3333333333</v>
      </c>
      <c r="AA75" s="12" t="n">
        <f aca="false">P75-SUM(Q75:Z75)</f>
        <v>-35200.5717503551</v>
      </c>
      <c r="AB75" s="12" t="n">
        <f aca="false">IF($L75&lt;0,0,IFERROR((AB$2*IFERROR(VLOOKUP(J75,Tabla11[],2,0),0))*($L75/SUM($L$5:$L$46)),0))</f>
        <v>6911.66624117638</v>
      </c>
      <c r="AC75" s="12" t="n">
        <f aca="false">L75-L75*IFERROR(VLOOKUP(J75,Tabla11[],3,0),0)-Q75-T75-U75-V75-W75-L75*$X$2-(L75*$X$2)*IFERROR(VLOOKUP(J75,Tabla11[],4,0),0)-AB75-Z75</f>
        <v>-116008.434989383</v>
      </c>
      <c r="AD75" s="12" t="n">
        <f aca="false">AA75-AB75</f>
        <v>-42112.2379915315</v>
      </c>
      <c r="AE75" s="12" t="n">
        <f aca="false">ROUND(AD75-AC75,9)</f>
        <v>73896.196997852</v>
      </c>
    </row>
    <row r="76" customFormat="false" ht="14.4" hidden="false" customHeight="false" outlineLevel="0" collapsed="false">
      <c r="A76" s="15"/>
      <c r="B76" s="15" t="s">
        <v>30</v>
      </c>
      <c r="C76" s="16"/>
      <c r="D76" s="15"/>
      <c r="E76" s="15" t="s">
        <v>30</v>
      </c>
      <c r="F76" s="16"/>
      <c r="G76" s="16" t="n">
        <v>3</v>
      </c>
      <c r="H76" s="16" t="s">
        <v>32</v>
      </c>
      <c r="I76" s="16" t="s">
        <v>56</v>
      </c>
      <c r="J76" s="16" t="s">
        <v>85</v>
      </c>
      <c r="K76" s="16" t="s">
        <v>82</v>
      </c>
      <c r="L76" s="12" t="n">
        <f aca="false">IFERROR(VLOOKUP(CONCATENATE(J76,K76),Ventas!D:H,4,0),0)</f>
        <v>630502.552976842</v>
      </c>
      <c r="M76" s="15" t="n">
        <f aca="false">IF(SUM(C76,F76)&gt;0,L76*0.1,0)</f>
        <v>0</v>
      </c>
      <c r="N76" s="17" t="n">
        <f aca="false">SUM(L76:M76)</f>
        <v>630502.552976842</v>
      </c>
      <c r="O76" s="15" t="n">
        <f aca="false">N76*IFERROR(VLOOKUP(J76,Tabla11[],3,0),0)</f>
        <v>220675.893541895</v>
      </c>
      <c r="P76" s="15" t="n">
        <f aca="false">N76-O76</f>
        <v>409826.659434947</v>
      </c>
      <c r="Q76" s="12" t="n">
        <f aca="false">IFERROR(G76/SUMIF(I:I,I76,G:G),0)*VLOOKUP(H76,Modelos[],14,0)+IFERROR(G76/SUMIF(I:I,I76,G:G),0)*VLOOKUP(I76,Tabla13[],2,0)</f>
        <v>161601.87921875</v>
      </c>
      <c r="R76" s="15" t="n">
        <f aca="false">IFERROR(VLOOKUP(A76,Modelos[],IF(B76="EST",15,14),0),0)*C76</f>
        <v>0</v>
      </c>
      <c r="S76" s="15" t="n">
        <f aca="false">IFERROR(VLOOKUP(D76,Modelos[],IF(E76="EST",15,14),0),0)*F76</f>
        <v>0</v>
      </c>
      <c r="T76" s="15" t="n">
        <f aca="false">IF($L76&lt;0,0,IFERROR((T$2*IFERROR(VLOOKUP(J76,Tabla11[],2,0),0))*($L76/SUM($L$5:$L$46)),0))</f>
        <v>5952.49683958753</v>
      </c>
      <c r="U76" s="15" t="n">
        <f aca="false">IF($L76&lt;0,0,IFERROR((U$2*IFERROR(VLOOKUP(J76,Tabla11[],2,0),0))*($L76/SUM($L$5:$L$46)),0))</f>
        <v>1157.42994103091</v>
      </c>
      <c r="V76" s="15" t="n">
        <f aca="false">IF($L76&lt;0,0,IFERROR((V$2*IFERROR(VLOOKUP(J76,Tabla11[],2,0),0))*($L76/SUM($L$5:$L$46)),0))</f>
        <v>5952.49683958753</v>
      </c>
      <c r="W76" s="15" t="n">
        <f aca="false">IF($L76&lt;0,0,IFERROR((W$2*IFERROR(VLOOKUP(J76,Tabla11[],2,0),0))*($L76/SUM($L$5:$L$46)),0))</f>
        <v>8267.35672164935</v>
      </c>
      <c r="X76" s="15" t="n">
        <f aca="false">P76*$X$2</f>
        <v>163930.663773979</v>
      </c>
      <c r="Y76" s="15" t="n">
        <f aca="false">+X76*IFERROR(VLOOKUP(J76,Tabla11[],4,0),0)</f>
        <v>24589.5995660968</v>
      </c>
      <c r="Z76" s="15" t="n">
        <f aca="false">IF(L76&gt;0,$Z$2/12,0)</f>
        <v>25833.3333333333</v>
      </c>
      <c r="AA76" s="15" t="n">
        <f aca="false">P76-SUM(Q76:Z76)</f>
        <v>12541.4032009328</v>
      </c>
      <c r="AB76" s="15" t="n">
        <f aca="false">IF($L76&lt;0,0,IFERROR((AB$2*IFERROR(VLOOKUP(J76,Tabla11[],2,0),0))*($L76/SUM($L$5:$L$46)),0))</f>
        <v>9494.52834348794</v>
      </c>
      <c r="AC76" s="15" t="n">
        <f aca="false">L76-L76*IFERROR(VLOOKUP(J76,Tabla11[],3,0),0)-Q76-T76-U76-V76-W76-L76*$X$2-(L76*$X$2)*IFERROR(VLOOKUP(J76,Tabla11[],4,0),0)-AB76-Z76</f>
        <v>-98464.0361718267</v>
      </c>
      <c r="AD76" s="15" t="n">
        <f aca="false">AA76-AB76</f>
        <v>3046.87485744484</v>
      </c>
      <c r="AE76" s="15" t="n">
        <f aca="false">ROUND(AD76-AC76,9)</f>
        <v>101510.911029272</v>
      </c>
    </row>
    <row r="77" customFormat="false" ht="14.4" hidden="false" customHeight="false" outlineLevel="0" collapsed="false">
      <c r="A77" s="12"/>
      <c r="B77" s="12" t="s">
        <v>30</v>
      </c>
      <c r="C77" s="13"/>
      <c r="D77" s="12"/>
      <c r="E77" s="12" t="s">
        <v>30</v>
      </c>
      <c r="F77" s="13"/>
      <c r="G77" s="13" t="n">
        <v>3</v>
      </c>
      <c r="H77" s="13" t="s">
        <v>50</v>
      </c>
      <c r="I77" s="13" t="s">
        <v>51</v>
      </c>
      <c r="J77" s="13" t="s">
        <v>85</v>
      </c>
      <c r="K77" s="13" t="s">
        <v>75</v>
      </c>
      <c r="L77" s="12" t="n">
        <f aca="false">IFERROR(VLOOKUP(CONCATENATE(J77,K77),Ventas!D:H,4,0),0)</f>
        <v>1210110.75461446</v>
      </c>
      <c r="M77" s="12" t="n">
        <f aca="false">IF(SUM(C77,F77)&gt;0,L77*0.1,0)</f>
        <v>0</v>
      </c>
      <c r="N77" s="14" t="n">
        <f aca="false">SUM(L77:M77)</f>
        <v>1210110.75461446</v>
      </c>
      <c r="O77" s="12" t="n">
        <f aca="false">N77*IFERROR(VLOOKUP(J77,Tabla11[],3,0),0)</f>
        <v>423538.764115061</v>
      </c>
      <c r="P77" s="12" t="n">
        <f aca="false">N77-O77</f>
        <v>786571.9904994</v>
      </c>
      <c r="Q77" s="12" t="n">
        <f aca="false">IFERROR(G77/SUMIF(I:I,I77,G:G),0)*VLOOKUP(H77,Modelos[],14,0)+IFERROR(G77/SUMIF(I:I,I77,G:G),0)*VLOOKUP(I77,Tabla13[],2,0)</f>
        <v>69504.9876201923</v>
      </c>
      <c r="R77" s="12" t="n">
        <f aca="false">IFERROR(VLOOKUP(A77,Modelos[],IF(B77="EST",15,14),0),0)*C77</f>
        <v>0</v>
      </c>
      <c r="S77" s="12" t="n">
        <f aca="false">IFERROR(VLOOKUP(D77,Modelos[],IF(E77="EST",15,14),0),0)*F77</f>
        <v>0</v>
      </c>
      <c r="T77" s="12" t="n">
        <f aca="false">IF($L77&lt;0,0,IFERROR((T$2*IFERROR(VLOOKUP(J77,Tabla11[],2,0),0))*($L77/SUM($L$5:$L$46)),0))</f>
        <v>11424.5063852391</v>
      </c>
      <c r="U77" s="12" t="n">
        <f aca="false">IF($L77&lt;0,0,IFERROR((U$2*IFERROR(VLOOKUP(J77,Tabla11[],2,0),0))*($L77/SUM($L$5:$L$46)),0))</f>
        <v>2221.43179712982</v>
      </c>
      <c r="V77" s="12" t="n">
        <f aca="false">IF($L77&lt;0,0,IFERROR((V$2*IFERROR(VLOOKUP(J77,Tabla11[],2,0),0))*($L77/SUM($L$5:$L$46)),0))</f>
        <v>11424.5063852391</v>
      </c>
      <c r="W77" s="12" t="n">
        <f aca="false">IF($L77&lt;0,0,IFERROR((W$2*IFERROR(VLOOKUP(J77,Tabla11[],2,0),0))*($L77/SUM($L$5:$L$46)),0))</f>
        <v>15867.3699794987</v>
      </c>
      <c r="X77" s="12" t="n">
        <f aca="false">P77*$X$2</f>
        <v>314628.79619976</v>
      </c>
      <c r="Y77" s="12" t="n">
        <f aca="false">+X77*IFERROR(VLOOKUP(J77,Tabla11[],4,0),0)</f>
        <v>47194.319429964</v>
      </c>
      <c r="Z77" s="12" t="n">
        <f aca="false">IF(L77&gt;0,$Z$2/12,0)</f>
        <v>25833.3333333333</v>
      </c>
      <c r="AA77" s="12" t="n">
        <f aca="false">P77-SUM(Q77:Z77)</f>
        <v>288472.739369043</v>
      </c>
      <c r="AB77" s="12" t="n">
        <f aca="false">IF($L77&lt;0,0,IFERROR((AB$2*IFERROR(VLOOKUP(J77,Tabla11[],2,0),0))*($L77/SUM($L$5:$L$46)),0))</f>
        <v>18222.6555692766</v>
      </c>
      <c r="AC77" s="12" t="n">
        <f aca="false">L77-L77*IFERROR(VLOOKUP(J77,Tabla11[],3,0),0)-Q77-T77-U77-V77-W77-L77*$X$2-(L77*$X$2)*IFERROR(VLOOKUP(J77,Tabla11[],4,0),0)-AB77-Z77</f>
        <v>75422.2523068385</v>
      </c>
      <c r="AD77" s="12" t="n">
        <f aca="false">AA77-AB77</f>
        <v>270250.083799767</v>
      </c>
      <c r="AE77" s="12" t="n">
        <f aca="false">ROUND(AD77-AC77,9)</f>
        <v>194827.831492928</v>
      </c>
    </row>
    <row r="78" customFormat="false" ht="14.4" hidden="false" customHeight="false" outlineLevel="0" collapsed="false">
      <c r="A78" s="15"/>
      <c r="B78" s="15" t="s">
        <v>30</v>
      </c>
      <c r="C78" s="16"/>
      <c r="D78" s="15"/>
      <c r="E78" s="15" t="s">
        <v>30</v>
      </c>
      <c r="F78" s="16"/>
      <c r="G78" s="16" t="n">
        <v>3</v>
      </c>
      <c r="H78" s="16" t="s">
        <v>50</v>
      </c>
      <c r="I78" s="16" t="s">
        <v>51</v>
      </c>
      <c r="J78" s="16" t="s">
        <v>85</v>
      </c>
      <c r="K78" s="16" t="s">
        <v>102</v>
      </c>
      <c r="L78" s="12" t="n">
        <f aca="false">IFERROR(VLOOKUP(CONCATENATE(J78,K78),Ventas!D:H,4,0),0)</f>
        <v>971037.003179647</v>
      </c>
      <c r="M78" s="15" t="n">
        <f aca="false">IF(SUM(C78,F78)&gt;0,L78*0.1,0)</f>
        <v>0</v>
      </c>
      <c r="N78" s="17" t="n">
        <f aca="false">SUM(L78:M78)</f>
        <v>971037.003179647</v>
      </c>
      <c r="O78" s="15" t="n">
        <f aca="false">N78*IFERROR(VLOOKUP(J78,Tabla11[],3,0),0)</f>
        <v>339862.951112876</v>
      </c>
      <c r="P78" s="15" t="n">
        <f aca="false">N78-O78</f>
        <v>631174.052066771</v>
      </c>
      <c r="Q78" s="12" t="n">
        <f aca="false">IFERROR(G78/SUMIF(I:I,I78,G:G),0)*VLOOKUP(H78,Modelos[],14,0)+IFERROR(G78/SUMIF(I:I,I78,G:G),0)*VLOOKUP(I78,Tabla13[],2,0)</f>
        <v>69504.9876201923</v>
      </c>
      <c r="R78" s="15" t="n">
        <f aca="false">IFERROR(VLOOKUP(A78,Modelos[],IF(B78="EST",15,14),0),0)*C78</f>
        <v>0</v>
      </c>
      <c r="S78" s="15" t="n">
        <f aca="false">IFERROR(VLOOKUP(D78,Modelos[],IF(E78="EST",15,14),0),0)*F78</f>
        <v>0</v>
      </c>
      <c r="T78" s="15" t="n">
        <f aca="false">IF($L78&lt;0,0,IFERROR((T$2*IFERROR(VLOOKUP(J78,Tabla11[],2,0),0))*($L78/SUM($L$5:$L$46)),0))</f>
        <v>9167.44058411719</v>
      </c>
      <c r="U78" s="15" t="n">
        <f aca="false">IF($L78&lt;0,0,IFERROR((U$2*IFERROR(VLOOKUP(J78,Tabla11[],2,0),0))*($L78/SUM($L$5:$L$46)),0))</f>
        <v>1782.55789135612</v>
      </c>
      <c r="V78" s="15" t="n">
        <f aca="false">IF($L78&lt;0,0,IFERROR((V$2*IFERROR(VLOOKUP(J78,Tabla11[],2,0),0))*($L78/SUM($L$5:$L$46)),0))</f>
        <v>9167.44058411719</v>
      </c>
      <c r="W78" s="15" t="n">
        <f aca="false">IF($L78&lt;0,0,IFERROR((W$2*IFERROR(VLOOKUP(J78,Tabla11[],2,0),0))*($L78/SUM($L$5:$L$46)),0))</f>
        <v>12732.5563668294</v>
      </c>
      <c r="X78" s="15" t="n">
        <f aca="false">P78*$X$2</f>
        <v>252469.620826708</v>
      </c>
      <c r="Y78" s="15" t="n">
        <f aca="false">+X78*IFERROR(VLOOKUP(J78,Tabla11[],4,0),0)</f>
        <v>37870.4431240062</v>
      </c>
      <c r="Z78" s="15" t="n">
        <f aca="false">IF(L78&gt;0,$Z$2/12,0)</f>
        <v>25833.3333333333</v>
      </c>
      <c r="AA78" s="15" t="n">
        <f aca="false">P78-SUM(Q78:Z78)</f>
        <v>212645.67173611</v>
      </c>
      <c r="AB78" s="15" t="n">
        <f aca="false">IF($L78&lt;0,0,IFERROR((AB$2*IFERROR(VLOOKUP(J78,Tabla11[],2,0),0))*($L78/SUM($L$5:$L$46)),0))</f>
        <v>14622.5234231579</v>
      </c>
      <c r="AC78" s="15" t="n">
        <f aca="false">L78-L78*IFERROR(VLOOKUP(J78,Tabla11[],3,0),0)-Q78-T78-U78-V78-W78-L78*$X$2-(L78*$X$2)*IFERROR(VLOOKUP(J78,Tabla11[],4,0),0)-AB78-Z78</f>
        <v>41686.1908010292</v>
      </c>
      <c r="AD78" s="15" t="n">
        <f aca="false">AA78-AB78</f>
        <v>198023.148312953</v>
      </c>
      <c r="AE78" s="15" t="n">
        <f aca="false">ROUND(AD78-AC78,9)</f>
        <v>156336.957511923</v>
      </c>
    </row>
    <row r="79" customFormat="false" ht="14.4" hidden="false" customHeight="false" outlineLevel="0" collapsed="false">
      <c r="A79" s="12"/>
      <c r="B79" s="12" t="s">
        <v>30</v>
      </c>
      <c r="C79" s="13"/>
      <c r="D79" s="12"/>
      <c r="E79" s="12" t="s">
        <v>30</v>
      </c>
      <c r="F79" s="13"/>
      <c r="G79" s="13" t="n">
        <v>3</v>
      </c>
      <c r="H79" s="13" t="s">
        <v>50</v>
      </c>
      <c r="I79" s="13" t="s">
        <v>64</v>
      </c>
      <c r="J79" s="13" t="s">
        <v>85</v>
      </c>
      <c r="K79" s="13" t="s">
        <v>103</v>
      </c>
      <c r="L79" s="12" t="n">
        <f aca="false">IFERROR(VLOOKUP(CONCATENATE(J79,K79),Ventas!D:H,4,0),0)</f>
        <v>364660.520965618</v>
      </c>
      <c r="M79" s="12" t="n">
        <f aca="false">IF(SUM(C79,F79)&gt;0,L79*0.1,0)</f>
        <v>0</v>
      </c>
      <c r="N79" s="14" t="n">
        <f aca="false">SUM(L79:M79)</f>
        <v>364660.520965618</v>
      </c>
      <c r="O79" s="12" t="n">
        <f aca="false">N79*IFERROR(VLOOKUP(J79,Tabla11[],3,0),0)</f>
        <v>127631.182337966</v>
      </c>
      <c r="P79" s="12" t="n">
        <f aca="false">N79-O79</f>
        <v>237029.338627651</v>
      </c>
      <c r="Q79" s="12" t="n">
        <f aca="false">IFERROR(G79/SUMIF(I:I,I79,G:G),0)*VLOOKUP(H79,Modelos[],14,0)+IFERROR(G79/SUMIF(I:I,I79,G:G),0)*VLOOKUP(I79,Tabla13[],2,0)</f>
        <v>73262.0139780406</v>
      </c>
      <c r="R79" s="12" t="n">
        <f aca="false">IFERROR(VLOOKUP(A79,Modelos[],IF(B79="EST",15,14),0),0)*C79</f>
        <v>0</v>
      </c>
      <c r="S79" s="12" t="n">
        <f aca="false">IFERROR(VLOOKUP(D79,Modelos[],IF(E79="EST",15,14),0),0)*F79</f>
        <v>0</v>
      </c>
      <c r="T79" s="12" t="n">
        <f aca="false">IF($L79&lt;0,0,IFERROR((T$2*IFERROR(VLOOKUP(J79,Tabla11[],2,0),0))*($L79/SUM($L$5:$L$46)),0))</f>
        <v>3442.71500301111</v>
      </c>
      <c r="U79" s="12" t="n">
        <f aca="false">IF($L79&lt;0,0,IFERROR((U$2*IFERROR(VLOOKUP(J79,Tabla11[],2,0),0))*($L79/SUM($L$5:$L$46)),0))</f>
        <v>669.41680614105</v>
      </c>
      <c r="V79" s="12" t="n">
        <f aca="false">IF($L79&lt;0,0,IFERROR((V$2*IFERROR(VLOOKUP(J79,Tabla11[],2,0),0))*($L79/SUM($L$5:$L$46)),0))</f>
        <v>3442.71500301111</v>
      </c>
      <c r="W79" s="12" t="n">
        <f aca="false">IF($L79&lt;0,0,IFERROR((W$2*IFERROR(VLOOKUP(J79,Tabla11[],2,0),0))*($L79/SUM($L$5:$L$46)),0))</f>
        <v>4781.54861529321</v>
      </c>
      <c r="X79" s="12" t="n">
        <f aca="false">P79*$X$2</f>
        <v>94811.7354510606</v>
      </c>
      <c r="Y79" s="12" t="n">
        <f aca="false">+X79*IFERROR(VLOOKUP(J79,Tabla11[],4,0),0)</f>
        <v>14221.7603176591</v>
      </c>
      <c r="Z79" s="12" t="n">
        <f aca="false">IF(L79&gt;0,$Z$2/12,0)</f>
        <v>25833.3333333333</v>
      </c>
      <c r="AA79" s="12" t="n">
        <f aca="false">P79-SUM(Q79:Z79)</f>
        <v>16564.1001201014</v>
      </c>
      <c r="AB79" s="12" t="n">
        <f aca="false">IF($L79&lt;0,0,IFERROR((AB$2*IFERROR(VLOOKUP(J79,Tabla11[],2,0),0))*($L79/SUM($L$5:$L$46)),0))</f>
        <v>5491.30155891106</v>
      </c>
      <c r="AC79" s="12" t="n">
        <f aca="false">L79-L79*IFERROR(VLOOKUP(J79,Tabla11[],3,0),0)-Q79-T79-U79-V79-W79-L79*$X$2-(L79*$X$2)*IFERROR(VLOOKUP(J79,Tabla11[],4,0),0)-AB79-Z79</f>
        <v>-47637.5453142741</v>
      </c>
      <c r="AD79" s="12" t="n">
        <f aca="false">AA79-AB79</f>
        <v>11072.7985611904</v>
      </c>
      <c r="AE79" s="12" t="n">
        <f aca="false">ROUND(AD79-AC79,9)</f>
        <v>58710.343875464</v>
      </c>
    </row>
    <row r="80" customFormat="false" ht="14.4" hidden="false" customHeight="false" outlineLevel="0" collapsed="false">
      <c r="A80" s="15"/>
      <c r="B80" s="15" t="s">
        <v>30</v>
      </c>
      <c r="C80" s="16"/>
      <c r="D80" s="15"/>
      <c r="E80" s="15" t="s">
        <v>30</v>
      </c>
      <c r="F80" s="16"/>
      <c r="G80" s="16" t="n">
        <v>3</v>
      </c>
      <c r="H80" s="16" t="s">
        <v>50</v>
      </c>
      <c r="I80" s="16" t="s">
        <v>64</v>
      </c>
      <c r="J80" s="16" t="s">
        <v>85</v>
      </c>
      <c r="K80" s="16" t="s">
        <v>104</v>
      </c>
      <c r="L80" s="12" t="n">
        <f aca="false">IFERROR(VLOOKUP(CONCATENATE(J80,K80),Ventas!D:H,4,0),0)</f>
        <v>331600.888275465</v>
      </c>
      <c r="M80" s="15" t="n">
        <f aca="false">IF(SUM(C80,F80)&gt;0,L80*0.1,0)</f>
        <v>0</v>
      </c>
      <c r="N80" s="17" t="n">
        <f aca="false">SUM(L80:M80)</f>
        <v>331600.888275465</v>
      </c>
      <c r="O80" s="15" t="n">
        <f aca="false">N80*IFERROR(VLOOKUP(J80,Tabla11[],3,0),0)</f>
        <v>116060.310896413</v>
      </c>
      <c r="P80" s="15" t="n">
        <f aca="false">N80-O80</f>
        <v>215540.577379052</v>
      </c>
      <c r="Q80" s="12" t="n">
        <f aca="false">IFERROR(G80/SUMIF(I:I,I80,G:G),0)*VLOOKUP(H80,Modelos[],14,0)+IFERROR(G80/SUMIF(I:I,I80,G:G),0)*VLOOKUP(I80,Tabla13[],2,0)</f>
        <v>73262.0139780406</v>
      </c>
      <c r="R80" s="15" t="n">
        <f aca="false">IFERROR(VLOOKUP(A80,Modelos[],IF(B80="EST",15,14),0),0)*C80</f>
        <v>0</v>
      </c>
      <c r="S80" s="15" t="n">
        <f aca="false">IFERROR(VLOOKUP(D80,Modelos[],IF(E80="EST",15,14),0),0)*F80</f>
        <v>0</v>
      </c>
      <c r="T80" s="15" t="n">
        <f aca="false">IF($L80&lt;0,0,IFERROR((T$2*IFERROR(VLOOKUP(J80,Tabla11[],2,0),0))*($L80/SUM($L$5:$L$46)),0))</f>
        <v>3130.60308819499</v>
      </c>
      <c r="U80" s="15" t="n">
        <f aca="false">IF($L80&lt;0,0,IFERROR((U$2*IFERROR(VLOOKUP(J80,Tabla11[],2,0),0))*($L80/SUM($L$5:$L$46)),0))</f>
        <v>608.728378260137</v>
      </c>
      <c r="V80" s="15" t="n">
        <f aca="false">IF($L80&lt;0,0,IFERROR((V$2*IFERROR(VLOOKUP(J80,Tabla11[],2,0),0))*($L80/SUM($L$5:$L$46)),0))</f>
        <v>3130.60308819499</v>
      </c>
      <c r="W80" s="15" t="n">
        <f aca="false">IF($L80&lt;0,0,IFERROR((W$2*IFERROR(VLOOKUP(J80,Tabla11[],2,0),0))*($L80/SUM($L$5:$L$46)),0))</f>
        <v>4348.05984471526</v>
      </c>
      <c r="X80" s="15" t="n">
        <f aca="false">P80*$X$2</f>
        <v>86216.230951621</v>
      </c>
      <c r="Y80" s="15" t="n">
        <f aca="false">+X80*IFERROR(VLOOKUP(J80,Tabla11[],4,0),0)</f>
        <v>12932.4346427431</v>
      </c>
      <c r="Z80" s="15" t="n">
        <f aca="false">IF(L80&gt;0,$Z$2/12,0)</f>
        <v>25833.3333333333</v>
      </c>
      <c r="AA80" s="15" t="n">
        <f aca="false">P80-SUM(Q80:Z80)</f>
        <v>6078.570073949</v>
      </c>
      <c r="AB80" s="15" t="n">
        <f aca="false">IF($L80&lt;0,0,IFERROR((AB$2*IFERROR(VLOOKUP(J80,Tabla11[],2,0),0))*($L80/SUM($L$5:$L$46)),0))</f>
        <v>4993.4675404444</v>
      </c>
      <c r="AC80" s="15" t="n">
        <f aca="false">L80-L80*IFERROR(VLOOKUP(J80,Tabla11[],3,0),0)-Q80-T80-U80-V80-W80-L80*$X$2-(L80*$X$2)*IFERROR(VLOOKUP(J80,Tabla11[],4,0),0)-AB80-Z80</f>
        <v>-52302.6404788453</v>
      </c>
      <c r="AD80" s="15" t="n">
        <f aca="false">AA80-AB80</f>
        <v>1085.1025335046</v>
      </c>
      <c r="AE80" s="15" t="n">
        <f aca="false">ROUND(AD80-AC80,9)</f>
        <v>53387.74301235</v>
      </c>
    </row>
    <row r="81" customFormat="false" ht="14.4" hidden="false" customHeight="false" outlineLevel="0" collapsed="false">
      <c r="A81" s="12"/>
      <c r="B81" s="12" t="s">
        <v>30</v>
      </c>
      <c r="C81" s="13"/>
      <c r="D81" s="12"/>
      <c r="E81" s="12" t="s">
        <v>30</v>
      </c>
      <c r="F81" s="13"/>
      <c r="G81" s="13" t="n">
        <v>3</v>
      </c>
      <c r="H81" s="13" t="s">
        <v>50</v>
      </c>
      <c r="I81" s="13" t="s">
        <v>64</v>
      </c>
      <c r="J81" s="13" t="s">
        <v>85</v>
      </c>
      <c r="K81" s="13" t="s">
        <v>105</v>
      </c>
      <c r="L81" s="12" t="n">
        <f aca="false">IFERROR(VLOOKUP(CONCATENATE(J81,K81),Ventas!D:H,4,0),0)</f>
        <v>0</v>
      </c>
      <c r="M81" s="12" t="n">
        <f aca="false">IF(SUM(C81,F81)&gt;0,L81*0.1,0)</f>
        <v>0</v>
      </c>
      <c r="N81" s="14" t="n">
        <f aca="false">SUM(L81:M81)</f>
        <v>0</v>
      </c>
      <c r="O81" s="12" t="n">
        <f aca="false">N81*IFERROR(VLOOKUP(J81,Tabla11[],3,0),0)</f>
        <v>0</v>
      </c>
      <c r="P81" s="12" t="n">
        <f aca="false">N81-O81</f>
        <v>0</v>
      </c>
      <c r="Q81" s="12" t="n">
        <f aca="false">IFERROR(G81/SUMIF(I:I,I81,G:G),0)*VLOOKUP(H81,Modelos[],14,0)+IFERROR(G81/SUMIF(I:I,I81,G:G),0)*VLOOKUP(I81,Tabla13[],2,0)</f>
        <v>73262.0139780406</v>
      </c>
      <c r="R81" s="12" t="n">
        <f aca="false">IFERROR(VLOOKUP(A81,Modelos[],IF(B81="EST",15,14),0),0)*C81</f>
        <v>0</v>
      </c>
      <c r="S81" s="12" t="n">
        <f aca="false">IFERROR(VLOOKUP(D81,Modelos[],IF(E81="EST",15,14),0),0)*F81</f>
        <v>0</v>
      </c>
      <c r="T81" s="12" t="n">
        <f aca="false">IF($L81&lt;0,0,IFERROR((T$2*IFERROR(VLOOKUP(J81,Tabla11[],2,0),0))*($L81/SUM($L$5:$L$46)),0))</f>
        <v>0</v>
      </c>
      <c r="U81" s="12" t="n">
        <f aca="false">IF($L81&lt;0,0,IFERROR((U$2*IFERROR(VLOOKUP(J81,Tabla11[],2,0),0))*($L81/SUM($L$5:$L$46)),0))</f>
        <v>0</v>
      </c>
      <c r="V81" s="12" t="n">
        <f aca="false">IF($L81&lt;0,0,IFERROR((V$2*IFERROR(VLOOKUP(J81,Tabla11[],2,0),0))*($L81/SUM($L$5:$L$46)),0))</f>
        <v>0</v>
      </c>
      <c r="W81" s="12" t="n">
        <f aca="false">IF($L81&lt;0,0,IFERROR((W$2*IFERROR(VLOOKUP(J81,Tabla11[],2,0),0))*($L81/SUM($L$5:$L$46)),0))</f>
        <v>0</v>
      </c>
      <c r="X81" s="12" t="n">
        <f aca="false">P81*$X$2</f>
        <v>0</v>
      </c>
      <c r="Y81" s="12" t="n">
        <f aca="false">+X81*IFERROR(VLOOKUP(J81,Tabla11[],4,0),0)</f>
        <v>0</v>
      </c>
      <c r="Z81" s="12" t="n">
        <f aca="false">IF(L81&gt;0,$Z$2/12,0)</f>
        <v>0</v>
      </c>
      <c r="AA81" s="12" t="n">
        <f aca="false">P81-SUM(Q81:Z81)</f>
        <v>-73262.0139780406</v>
      </c>
      <c r="AB81" s="12" t="n">
        <f aca="false">IF($L81&lt;0,0,IFERROR((AB$2*IFERROR(VLOOKUP(J81,Tabla11[],2,0),0))*($L81/SUM($L$5:$L$46)),0))</f>
        <v>0</v>
      </c>
      <c r="AC81" s="12" t="n">
        <f aca="false">L81-L81*IFERROR(VLOOKUP(J81,Tabla11[],3,0),0)-Q81-T81-U81-V81-W81-L81*$X$2-(L81*$X$2)*IFERROR(VLOOKUP(J81,Tabla11[],4,0),0)-AB81-Z81</f>
        <v>-73262.0139780406</v>
      </c>
      <c r="AD81" s="12" t="n">
        <f aca="false">AA81-AB81</f>
        <v>-73262.0139780406</v>
      </c>
      <c r="AE81" s="12" t="n">
        <f aca="false">ROUND(AD81-AC81,9)</f>
        <v>0</v>
      </c>
    </row>
    <row r="82" customFormat="false" ht="14.4" hidden="false" customHeight="false" outlineLevel="0" collapsed="false">
      <c r="A82" s="15"/>
      <c r="B82" s="15" t="s">
        <v>30</v>
      </c>
      <c r="C82" s="16"/>
      <c r="D82" s="15"/>
      <c r="E82" s="15" t="s">
        <v>30</v>
      </c>
      <c r="F82" s="16"/>
      <c r="G82" s="16" t="n">
        <v>0</v>
      </c>
      <c r="H82" s="16" t="s">
        <v>50</v>
      </c>
      <c r="I82" s="16" t="s">
        <v>64</v>
      </c>
      <c r="J82" s="16" t="s">
        <v>85</v>
      </c>
      <c r="K82" s="16" t="s">
        <v>106</v>
      </c>
      <c r="L82" s="12" t="n">
        <f aca="false">IFERROR(VLOOKUP(CONCATENATE(J82,K82),Ventas!D:H,4,0),0)</f>
        <v>0</v>
      </c>
      <c r="M82" s="15" t="n">
        <f aca="false">IF(SUM(C82,F82)&gt;0,L82*0.1,0)</f>
        <v>0</v>
      </c>
      <c r="N82" s="17" t="n">
        <f aca="false">SUM(L82:M82)</f>
        <v>0</v>
      </c>
      <c r="O82" s="15" t="n">
        <f aca="false">N82*IFERROR(VLOOKUP(J82,Tabla11[],3,0),0)</f>
        <v>0</v>
      </c>
      <c r="P82" s="15" t="n">
        <f aca="false">N82-O82</f>
        <v>0</v>
      </c>
      <c r="Q82" s="12" t="n">
        <f aca="false">IFERROR(G82/SUMIF(I:I,I82,G:G),0)*VLOOKUP(H82,Modelos[],14,0)+IFERROR(G82/SUMIF(I:I,I82,G:G),0)*VLOOKUP(I82,Tabla13[],2,0)</f>
        <v>0</v>
      </c>
      <c r="R82" s="15" t="n">
        <f aca="false">IFERROR(VLOOKUP(A82,Modelos[],IF(B82="EST",15,14),0),0)*C82</f>
        <v>0</v>
      </c>
      <c r="S82" s="15" t="n">
        <f aca="false">IFERROR(VLOOKUP(D82,Modelos[],IF(E82="EST",15,14),0),0)*F82</f>
        <v>0</v>
      </c>
      <c r="T82" s="15" t="n">
        <f aca="false">IF($L82&lt;0,0,IFERROR((T$2*IFERROR(VLOOKUP(J82,Tabla11[],2,0),0))*($L82/SUM($L$5:$L$46)),0))</f>
        <v>0</v>
      </c>
      <c r="U82" s="15" t="n">
        <f aca="false">IF($L82&lt;0,0,IFERROR((U$2*IFERROR(VLOOKUP(J82,Tabla11[],2,0),0))*($L82/SUM($L$5:$L$46)),0))</f>
        <v>0</v>
      </c>
      <c r="V82" s="15" t="n">
        <f aca="false">IF($L82&lt;0,0,IFERROR((V$2*IFERROR(VLOOKUP(J82,Tabla11[],2,0),0))*($L82/SUM($L$5:$L$46)),0))</f>
        <v>0</v>
      </c>
      <c r="W82" s="15" t="n">
        <f aca="false">IF($L82&lt;0,0,IFERROR((W$2*IFERROR(VLOOKUP(J82,Tabla11[],2,0),0))*($L82/SUM($L$5:$L$46)),0))</f>
        <v>0</v>
      </c>
      <c r="X82" s="15" t="n">
        <f aca="false">P82*$X$2</f>
        <v>0</v>
      </c>
      <c r="Y82" s="15" t="n">
        <f aca="false">+X82*IFERROR(VLOOKUP(J82,Tabla11[],4,0),0)</f>
        <v>0</v>
      </c>
      <c r="Z82" s="15" t="n">
        <f aca="false">IF(L82&gt;0,$Z$2/12,0)</f>
        <v>0</v>
      </c>
      <c r="AA82" s="15" t="n">
        <f aca="false">P82-SUM(Q82:Z82)</f>
        <v>0</v>
      </c>
      <c r="AB82" s="15" t="n">
        <f aca="false">IF($L82&lt;0,0,IFERROR((AB$2*IFERROR(VLOOKUP(J82,Tabla11[],2,0),0))*($L82/SUM($L$5:$L$46)),0))</f>
        <v>0</v>
      </c>
      <c r="AC82" s="15" t="n">
        <f aca="false">L82-L82*IFERROR(VLOOKUP(J82,Tabla11[],3,0),0)-Q82-T82-U82-V82-W82-L82*$X$2-(L82*$X$2)*IFERROR(VLOOKUP(J82,Tabla11[],4,0),0)-AB82-Z82</f>
        <v>0</v>
      </c>
      <c r="AD82" s="15" t="n">
        <f aca="false">AA82-AB82</f>
        <v>0</v>
      </c>
      <c r="AE82" s="15" t="n">
        <f aca="false">ROUND(AD82-AC82,9)</f>
        <v>0</v>
      </c>
    </row>
    <row r="83" customFormat="false" ht="14.4" hidden="false" customHeight="false" outlineLevel="0" collapsed="false">
      <c r="A83" s="12"/>
      <c r="B83" s="12" t="s">
        <v>30</v>
      </c>
      <c r="C83" s="13"/>
      <c r="D83" s="12"/>
      <c r="E83" s="12" t="s">
        <v>30</v>
      </c>
      <c r="F83" s="13"/>
      <c r="G83" s="13" t="n">
        <v>0</v>
      </c>
      <c r="H83" s="13" t="s">
        <v>50</v>
      </c>
      <c r="I83" s="13" t="s">
        <v>64</v>
      </c>
      <c r="J83" s="13" t="s">
        <v>85</v>
      </c>
      <c r="K83" s="13" t="s">
        <v>107</v>
      </c>
      <c r="L83" s="12" t="n">
        <f aca="false">IFERROR(VLOOKUP(CONCATENATE(J83,K83),Ventas!D:H,4,0),0)</f>
        <v>0</v>
      </c>
      <c r="M83" s="12" t="n">
        <f aca="false">IF(SUM(C83,F83)&gt;0,L83*0.1,0)</f>
        <v>0</v>
      </c>
      <c r="N83" s="14" t="n">
        <f aca="false">SUM(L83:M83)</f>
        <v>0</v>
      </c>
      <c r="O83" s="12" t="n">
        <f aca="false">N83*IFERROR(VLOOKUP(J83,Tabla11[],3,0),0)</f>
        <v>0</v>
      </c>
      <c r="P83" s="12" t="n">
        <f aca="false">N83-O83</f>
        <v>0</v>
      </c>
      <c r="Q83" s="12" t="n">
        <f aca="false">IFERROR(G83/SUMIF(I:I,I83,G:G),0)*VLOOKUP(H83,Modelos[],14,0)+IFERROR(G83/SUMIF(I:I,I83,G:G),0)*VLOOKUP(I83,Tabla13[],2,0)</f>
        <v>0</v>
      </c>
      <c r="R83" s="12" t="n">
        <f aca="false">IFERROR(VLOOKUP(A83,Modelos[],IF(B83="EST",15,14),0),0)*C83</f>
        <v>0</v>
      </c>
      <c r="S83" s="12" t="n">
        <f aca="false">IFERROR(VLOOKUP(D83,Modelos[],IF(E83="EST",15,14),0),0)*F83</f>
        <v>0</v>
      </c>
      <c r="T83" s="12" t="n">
        <f aca="false">IF($L83&lt;0,0,IFERROR((T$2*IFERROR(VLOOKUP(J83,Tabla11[],2,0),0))*($L83/SUM($L$5:$L$46)),0))</f>
        <v>0</v>
      </c>
      <c r="U83" s="12" t="n">
        <f aca="false">IF($L83&lt;0,0,IFERROR((U$2*IFERROR(VLOOKUP(J83,Tabla11[],2,0),0))*($L83/SUM($L$5:$L$46)),0))</f>
        <v>0</v>
      </c>
      <c r="V83" s="12" t="n">
        <f aca="false">IF($L83&lt;0,0,IFERROR((V$2*IFERROR(VLOOKUP(J83,Tabla11[],2,0),0))*($L83/SUM($L$5:$L$46)),0))</f>
        <v>0</v>
      </c>
      <c r="W83" s="12" t="n">
        <f aca="false">IF($L83&lt;0,0,IFERROR((W$2*IFERROR(VLOOKUP(J83,Tabla11[],2,0),0))*($L83/SUM($L$5:$L$46)),0))</f>
        <v>0</v>
      </c>
      <c r="X83" s="12" t="n">
        <f aca="false">P83*$X$2</f>
        <v>0</v>
      </c>
      <c r="Y83" s="12" t="n">
        <f aca="false">+X83*IFERROR(VLOOKUP(J83,Tabla11[],4,0),0)</f>
        <v>0</v>
      </c>
      <c r="Z83" s="12" t="n">
        <f aca="false">IF(L83&gt;0,$Z$2/12,0)</f>
        <v>0</v>
      </c>
      <c r="AA83" s="12" t="n">
        <f aca="false">P83-SUM(Q83:Z83)</f>
        <v>0</v>
      </c>
      <c r="AB83" s="12" t="n">
        <f aca="false">IF($L83&lt;0,0,IFERROR((AB$2*IFERROR(VLOOKUP(J83,Tabla11[],2,0),0))*($L83/SUM($L$5:$L$46)),0))</f>
        <v>0</v>
      </c>
      <c r="AC83" s="12" t="n">
        <f aca="false">L83-L83*IFERROR(VLOOKUP(J83,Tabla11[],3,0),0)-Q83-T83-U83-V83-W83-L83*$X$2-(L83*$X$2)*IFERROR(VLOOKUP(J83,Tabla11[],4,0),0)-AB83-Z83</f>
        <v>0</v>
      </c>
      <c r="AD83" s="12" t="n">
        <f aca="false">AA83-AB83</f>
        <v>0</v>
      </c>
      <c r="AE83" s="12" t="n">
        <f aca="false">ROUND(AD83-AC83,9)</f>
        <v>0</v>
      </c>
    </row>
    <row r="84" customFormat="false" ht="14.4" hidden="false" customHeight="false" outlineLevel="0" collapsed="false">
      <c r="A84" s="15"/>
      <c r="B84" s="15" t="s">
        <v>30</v>
      </c>
      <c r="C84" s="16"/>
      <c r="D84" s="15"/>
      <c r="E84" s="15" t="s">
        <v>30</v>
      </c>
      <c r="F84" s="16"/>
      <c r="G84" s="16" t="n">
        <v>0</v>
      </c>
      <c r="H84" s="16" t="s">
        <v>40</v>
      </c>
      <c r="I84" s="16" t="s">
        <v>62</v>
      </c>
      <c r="J84" s="16" t="s">
        <v>85</v>
      </c>
      <c r="K84" s="16" t="s">
        <v>108</v>
      </c>
      <c r="L84" s="12" t="n">
        <f aca="false">IFERROR(VLOOKUP(CONCATENATE(J84,K84),Ventas!D:H,4,0),0)</f>
        <v>0</v>
      </c>
      <c r="M84" s="15" t="n">
        <f aca="false">IF(SUM(C84,F84)&gt;0,L84*0.1,0)</f>
        <v>0</v>
      </c>
      <c r="N84" s="17" t="n">
        <f aca="false">SUM(L84:M84)</f>
        <v>0</v>
      </c>
      <c r="O84" s="15" t="n">
        <f aca="false">N84*IFERROR(VLOOKUP(J84,Tabla11[],3,0),0)</f>
        <v>0</v>
      </c>
      <c r="P84" s="15" t="n">
        <f aca="false">N84-O84</f>
        <v>0</v>
      </c>
      <c r="Q84" s="12" t="n">
        <f aca="false">IFERROR(G84/SUMIF(I:I,I84,G:G),0)*VLOOKUP(H84,Modelos[],14,0)+IFERROR(G84/SUMIF(I:I,I84,G:G),0)*VLOOKUP(I84,Tabla13[],2,0)</f>
        <v>0</v>
      </c>
      <c r="R84" s="15" t="n">
        <f aca="false">IFERROR(VLOOKUP(A84,Modelos[],IF(B84="EST",15,14),0),0)*C84</f>
        <v>0</v>
      </c>
      <c r="S84" s="15" t="n">
        <f aca="false">IFERROR(VLOOKUP(D84,Modelos[],IF(E84="EST",15,14),0),0)*F84</f>
        <v>0</v>
      </c>
      <c r="T84" s="15" t="n">
        <f aca="false">IF($L84&lt;0,0,IFERROR((T$2*IFERROR(VLOOKUP(J84,Tabla11[],2,0),0))*($L84/SUM($L$5:$L$46)),0))</f>
        <v>0</v>
      </c>
      <c r="U84" s="15" t="n">
        <f aca="false">IF($L84&lt;0,0,IFERROR((U$2*IFERROR(VLOOKUP(J84,Tabla11[],2,0),0))*($L84/SUM($L$5:$L$46)),0))</f>
        <v>0</v>
      </c>
      <c r="V84" s="15" t="n">
        <f aca="false">IF($L84&lt;0,0,IFERROR((V$2*IFERROR(VLOOKUP(J84,Tabla11[],2,0),0))*($L84/SUM($L$5:$L$46)),0))</f>
        <v>0</v>
      </c>
      <c r="W84" s="15" t="n">
        <f aca="false">IF($L84&lt;0,0,IFERROR((W$2*IFERROR(VLOOKUP(J84,Tabla11[],2,0),0))*($L84/SUM($L$5:$L$46)),0))</f>
        <v>0</v>
      </c>
      <c r="X84" s="15" t="n">
        <f aca="false">P84*$X$2</f>
        <v>0</v>
      </c>
      <c r="Y84" s="15" t="n">
        <f aca="false">+X84*IFERROR(VLOOKUP(J84,Tabla11[],4,0),0)</f>
        <v>0</v>
      </c>
      <c r="Z84" s="15" t="n">
        <f aca="false">IF(L84&gt;0,$Z$2/12,0)</f>
        <v>0</v>
      </c>
      <c r="AA84" s="15" t="n">
        <f aca="false">P84-SUM(Q84:Z84)</f>
        <v>0</v>
      </c>
      <c r="AB84" s="15" t="n">
        <f aca="false">IF($L84&lt;0,0,IFERROR((AB$2*IFERROR(VLOOKUP(J84,Tabla11[],2,0),0))*($L84/SUM($L$5:$L$46)),0))</f>
        <v>0</v>
      </c>
      <c r="AC84" s="15" t="n">
        <f aca="false">L84-L84*IFERROR(VLOOKUP(J84,Tabla11[],3,0),0)-Q84-T84-U84-V84-W84-L84*$X$2-(L84*$X$2)*IFERROR(VLOOKUP(J84,Tabla11[],4,0),0)-AB84-Z84</f>
        <v>0</v>
      </c>
      <c r="AD84" s="15" t="n">
        <f aca="false">AA84-AB84</f>
        <v>0</v>
      </c>
      <c r="AE84" s="15" t="n">
        <f aca="false">ROUND(AD84-AC84,9)</f>
        <v>0</v>
      </c>
    </row>
    <row r="85" customFormat="false" ht="14.4" hidden="false" customHeight="false" outlineLevel="0" collapsed="false">
      <c r="A85" s="12"/>
      <c r="B85" s="12" t="s">
        <v>30</v>
      </c>
      <c r="C85" s="13"/>
      <c r="D85" s="12"/>
      <c r="E85" s="12" t="s">
        <v>30</v>
      </c>
      <c r="F85" s="13"/>
      <c r="G85" s="13" t="n">
        <v>3</v>
      </c>
      <c r="H85" s="13" t="s">
        <v>32</v>
      </c>
      <c r="I85" s="13" t="s">
        <v>56</v>
      </c>
      <c r="J85" s="13" t="s">
        <v>109</v>
      </c>
      <c r="K85" s="13" t="s">
        <v>110</v>
      </c>
      <c r="L85" s="12" t="n">
        <f aca="false">IFERROR(VLOOKUP(CONCATENATE(J85,K85),Ventas!D:H,4,0),0)</f>
        <v>1604312.52747253</v>
      </c>
      <c r="M85" s="12" t="n">
        <f aca="false">IF(SUM(C85,F85)&gt;0,L85*0.1,0)</f>
        <v>0</v>
      </c>
      <c r="N85" s="14" t="n">
        <f aca="false">SUM(L85:M85)</f>
        <v>1604312.52747253</v>
      </c>
      <c r="O85" s="12" t="n">
        <f aca="false">N85*IFERROR(VLOOKUP(J85,Tabla11[],3,0),0)</f>
        <v>561509.384615384</v>
      </c>
      <c r="P85" s="12" t="n">
        <f aca="false">N85-O85</f>
        <v>1042803.14285714</v>
      </c>
      <c r="Q85" s="12" t="n">
        <f aca="false">IFERROR(G85/SUMIF(I:I,I85,G:G),0)*VLOOKUP(H85,Modelos[],14,0)+IFERROR(G85/SUMIF(I:I,I85,G:G),0)*VLOOKUP(I85,Tabla13[],2,0)</f>
        <v>161601.87921875</v>
      </c>
      <c r="R85" s="12" t="n">
        <f aca="false">IFERROR(VLOOKUP(A85,Modelos[],IF(B85="EST",15,14),0),0)*C85</f>
        <v>0</v>
      </c>
      <c r="S85" s="12" t="n">
        <f aca="false">IFERROR(VLOOKUP(D85,Modelos[],IF(E85="EST",15,14),0),0)*F85</f>
        <v>0</v>
      </c>
      <c r="T85" s="12" t="n">
        <f aca="false">IF($L85&lt;0,0,IFERROR((T$2*IFERROR(VLOOKUP(J85,Tabla11[],2,0),0))*($L85/SUM($L$5:$L$46)),0))</f>
        <v>5345.68824843348</v>
      </c>
      <c r="U85" s="12" t="n">
        <f aca="false">IF($L85&lt;0,0,IFERROR((U$2*IFERROR(VLOOKUP(J85,Tabla11[],2,0),0))*($L85/SUM($L$5:$L$46)),0))</f>
        <v>1039.43938163984</v>
      </c>
      <c r="V85" s="12" t="n">
        <f aca="false">IF($L85&lt;0,0,IFERROR((V$2*IFERROR(VLOOKUP(J85,Tabla11[],2,0),0))*($L85/SUM($L$5:$L$46)),0))</f>
        <v>5345.68824843348</v>
      </c>
      <c r="W85" s="12" t="n">
        <f aca="false">IF($L85&lt;0,0,IFERROR((W$2*IFERROR(VLOOKUP(J85,Tabla11[],2,0),0))*($L85/SUM($L$5:$L$46)),0))</f>
        <v>7424.56701171317</v>
      </c>
      <c r="X85" s="12" t="n">
        <f aca="false">P85*$X$2</f>
        <v>417121.257142857</v>
      </c>
      <c r="Y85" s="12" t="n">
        <f aca="false">+X85*IFERROR(VLOOKUP(J85,Tabla11[],4,0),0)</f>
        <v>62568.1885714286</v>
      </c>
      <c r="Z85" s="12" t="n">
        <f aca="false">IF(L85&gt;0,$Z$2/12,0)</f>
        <v>25833.3333333333</v>
      </c>
      <c r="AA85" s="12" t="n">
        <f aca="false">P85-SUM(Q85:Z85)</f>
        <v>356523.101700554</v>
      </c>
      <c r="AB85" s="12" t="n">
        <f aca="false">IF($L85&lt;0,0,IFERROR((AB$2*IFERROR(VLOOKUP(J85,Tabla11[],2,0),0))*($L85/SUM($L$5:$L$46)),0))</f>
        <v>8526.63847759709</v>
      </c>
      <c r="AC85" s="12" t="n">
        <f aca="false">L85-L85*IFERROR(VLOOKUP(J85,Tabla11[],3,0),0)-Q85-T85-U85-V85-W85-L85*$X$2-(L85*$X$2)*IFERROR(VLOOKUP(J85,Tabla11[],4,0),0)-AB85-Z85</f>
        <v>89702.1462998796</v>
      </c>
      <c r="AD85" s="12" t="n">
        <f aca="false">AA85-AB85</f>
        <v>347996.463222957</v>
      </c>
      <c r="AE85" s="12" t="n">
        <f aca="false">ROUND(AD85-AC85,9)</f>
        <v>258294.316923077</v>
      </c>
    </row>
    <row r="86" customFormat="false" ht="14.4" hidden="false" customHeight="false" outlineLevel="0" collapsed="false">
      <c r="A86" s="15"/>
      <c r="B86" s="15" t="s">
        <v>30</v>
      </c>
      <c r="C86" s="16"/>
      <c r="D86" s="15"/>
      <c r="E86" s="15" t="s">
        <v>30</v>
      </c>
      <c r="F86" s="16"/>
      <c r="G86" s="16" t="n">
        <v>3</v>
      </c>
      <c r="H86" s="16" t="s">
        <v>50</v>
      </c>
      <c r="I86" s="16" t="s">
        <v>51</v>
      </c>
      <c r="J86" s="16" t="s">
        <v>109</v>
      </c>
      <c r="K86" s="16" t="s">
        <v>111</v>
      </c>
      <c r="L86" s="12" t="n">
        <f aca="false">IFERROR(VLOOKUP(CONCATENATE(J86,K86),Ventas!D:H,4,0),0)</f>
        <v>1190510.10989011</v>
      </c>
      <c r="M86" s="15" t="n">
        <f aca="false">IF(SUM(C86,F86)&gt;0,L86*0.1,0)</f>
        <v>0</v>
      </c>
      <c r="N86" s="17" t="n">
        <f aca="false">SUM(L86:M86)</f>
        <v>1190510.10989011</v>
      </c>
      <c r="O86" s="15" t="n">
        <f aca="false">N86*IFERROR(VLOOKUP(J86,Tabla11[],3,0),0)</f>
        <v>416678.538461539</v>
      </c>
      <c r="P86" s="15" t="n">
        <f aca="false">N86-O86</f>
        <v>773831.571428571</v>
      </c>
      <c r="Q86" s="12" t="n">
        <f aca="false">IFERROR(G86/SUMIF(I:I,I86,G:G),0)*VLOOKUP(H86,Modelos[],14,0)+IFERROR(G86/SUMIF(I:I,I86,G:G),0)*VLOOKUP(I86,Tabla13[],2,0)</f>
        <v>69504.9876201923</v>
      </c>
      <c r="R86" s="15" t="n">
        <f aca="false">IFERROR(VLOOKUP(A86,Modelos[],IF(B86="EST",15,14),0),0)*C86</f>
        <v>0</v>
      </c>
      <c r="S86" s="15" t="n">
        <f aca="false">IFERROR(VLOOKUP(D86,Modelos[],IF(E86="EST",15,14),0),0)*F86</f>
        <v>0</v>
      </c>
      <c r="T86" s="15" t="n">
        <f aca="false">IF($L86&lt;0,0,IFERROR((T$2*IFERROR(VLOOKUP(J86,Tabla11[],2,0),0))*($L86/SUM($L$5:$L$46)),0))</f>
        <v>3966.86792323873</v>
      </c>
      <c r="U86" s="15" t="n">
        <f aca="false">IF($L86&lt;0,0,IFERROR((U$2*IFERROR(VLOOKUP(J86,Tabla11[],2,0),0))*($L86/SUM($L$5:$L$46)),0))</f>
        <v>771.335429518641</v>
      </c>
      <c r="V86" s="15" t="n">
        <f aca="false">IF($L86&lt;0,0,IFERROR((V$2*IFERROR(VLOOKUP(J86,Tabla11[],2,0),0))*($L86/SUM($L$5:$L$46)),0))</f>
        <v>3966.86792323873</v>
      </c>
      <c r="W86" s="15" t="n">
        <f aca="false">IF($L86&lt;0,0,IFERROR((W$2*IFERROR(VLOOKUP(J86,Tabla11[],2,0),0))*($L86/SUM($L$5:$L$46)),0))</f>
        <v>5509.53878227601</v>
      </c>
      <c r="X86" s="15" t="n">
        <f aca="false">P86*$X$2</f>
        <v>309532.628571429</v>
      </c>
      <c r="Y86" s="15" t="n">
        <f aca="false">+X86*IFERROR(VLOOKUP(J86,Tabla11[],4,0),0)</f>
        <v>46429.8942857143</v>
      </c>
      <c r="Z86" s="15" t="n">
        <f aca="false">IF(L86&gt;0,$Z$2/12,0)</f>
        <v>25833.3333333333</v>
      </c>
      <c r="AA86" s="15" t="n">
        <f aca="false">P86-SUM(Q86:Z86)</f>
        <v>308316.117559631</v>
      </c>
      <c r="AB86" s="15" t="n">
        <f aca="false">IF($L86&lt;0,0,IFERROR((AB$2*IFERROR(VLOOKUP(J86,Tabla11[],2,0),0))*($L86/SUM($L$5:$L$46)),0))</f>
        <v>6327.35152105903</v>
      </c>
      <c r="AC86" s="15" t="n">
        <f aca="false">L86-L86*IFERROR(VLOOKUP(J86,Tabla11[],3,0),0)-Q86-T86-U86-V86-W86-L86*$X$2-(L86*$X$2)*IFERROR(VLOOKUP(J86,Tabla11[],4,0),0)-AB86-Z86</f>
        <v>110316.638346264</v>
      </c>
      <c r="AD86" s="15" t="n">
        <f aca="false">AA86-AB86</f>
        <v>301988.766038572</v>
      </c>
      <c r="AE86" s="15" t="n">
        <f aca="false">ROUND(AD86-AC86,9)</f>
        <v>191672.127692308</v>
      </c>
    </row>
    <row r="87" customFormat="false" ht="14.4" hidden="false" customHeight="false" outlineLevel="0" collapsed="false">
      <c r="A87" s="12"/>
      <c r="B87" s="12" t="s">
        <v>30</v>
      </c>
      <c r="C87" s="13"/>
      <c r="D87" s="12"/>
      <c r="E87" s="12" t="s">
        <v>30</v>
      </c>
      <c r="F87" s="13"/>
      <c r="G87" s="13" t="n">
        <v>3</v>
      </c>
      <c r="H87" s="13" t="s">
        <v>32</v>
      </c>
      <c r="I87" s="13" t="s">
        <v>42</v>
      </c>
      <c r="J87" s="13" t="s">
        <v>109</v>
      </c>
      <c r="K87" s="13" t="s">
        <v>112</v>
      </c>
      <c r="L87" s="12" t="n">
        <f aca="false">IFERROR(VLOOKUP(CONCATENATE(J87,K87),Ventas!D:H,4,0),0)</f>
        <v>1174337.36263736</v>
      </c>
      <c r="M87" s="12" t="n">
        <f aca="false">IF(SUM(C87,F87)&gt;0,L87*0.1,0)</f>
        <v>0</v>
      </c>
      <c r="N87" s="14" t="n">
        <f aca="false">SUM(L87:M87)</f>
        <v>1174337.36263736</v>
      </c>
      <c r="O87" s="12" t="n">
        <f aca="false">N87*IFERROR(VLOOKUP(J87,Tabla11[],3,0),0)</f>
        <v>411018.076923077</v>
      </c>
      <c r="P87" s="12" t="n">
        <f aca="false">N87-O87</f>
        <v>763319.285714286</v>
      </c>
      <c r="Q87" s="12" t="n">
        <f aca="false">IFERROR(G87/SUMIF(I:I,I87,G:G),0)*VLOOKUP(H87,Modelos[],14,0)+IFERROR(G87/SUMIF(I:I,I87,G:G),0)*VLOOKUP(I87,Tabla13[],2,0)</f>
        <v>179573.442020089</v>
      </c>
      <c r="R87" s="12" t="n">
        <f aca="false">IFERROR(VLOOKUP(A87,Modelos[],IF(B87="EST",15,14),0),0)*C87</f>
        <v>0</v>
      </c>
      <c r="S87" s="12" t="n">
        <f aca="false">IFERROR(VLOOKUP(D87,Modelos[],IF(E87="EST",15,14),0),0)*F87</f>
        <v>0</v>
      </c>
      <c r="T87" s="12" t="n">
        <f aca="false">IF($L87&lt;0,0,IFERROR((T$2*IFERROR(VLOOKUP(J87,Tabla11[],2,0),0))*($L87/SUM($L$5:$L$46)),0))</f>
        <v>3912.97913071643</v>
      </c>
      <c r="U87" s="12" t="n">
        <f aca="false">IF($L87&lt;0,0,IFERROR((U$2*IFERROR(VLOOKUP(J87,Tabla11[],2,0),0))*($L87/SUM($L$5:$L$46)),0))</f>
        <v>760.85705319486</v>
      </c>
      <c r="V87" s="12" t="n">
        <f aca="false">IF($L87&lt;0,0,IFERROR((V$2*IFERROR(VLOOKUP(J87,Tabla11[],2,0),0))*($L87/SUM($L$5:$L$46)),0))</f>
        <v>3912.97913071643</v>
      </c>
      <c r="W87" s="12" t="n">
        <f aca="false">IF($L87&lt;0,0,IFERROR((W$2*IFERROR(VLOOKUP(J87,Tabla11[],2,0),0))*($L87/SUM($L$5:$L$46)),0))</f>
        <v>5434.69323710615</v>
      </c>
      <c r="X87" s="12" t="n">
        <f aca="false">P87*$X$2</f>
        <v>305327.714285714</v>
      </c>
      <c r="Y87" s="12" t="n">
        <f aca="false">+X87*IFERROR(VLOOKUP(J87,Tabla11[],4,0),0)</f>
        <v>45799.1571428571</v>
      </c>
      <c r="Z87" s="12" t="n">
        <f aca="false">IF(L87&gt;0,$Z$2/12,0)</f>
        <v>25833.3333333333</v>
      </c>
      <c r="AA87" s="12" t="n">
        <f aca="false">P87-SUM(Q87:Z87)</f>
        <v>192764.130380558</v>
      </c>
      <c r="AB87" s="12" t="n">
        <f aca="false">IF($L87&lt;0,0,IFERROR((AB$2*IFERROR(VLOOKUP(J87,Tabla11[],2,0),0))*($L87/SUM($L$5:$L$46)),0))</f>
        <v>6241.39621830329</v>
      </c>
      <c r="AC87" s="12" t="n">
        <f aca="false">L87-L87*IFERROR(VLOOKUP(J87,Tabla11[],3,0),0)-Q87-T87-U87-V87-W87-L87*$X$2-(L87*$X$2)*IFERROR(VLOOKUP(J87,Tabla11[],4,0),0)-AB87-Z87</f>
        <v>-2545.58122236099</v>
      </c>
      <c r="AD87" s="12" t="n">
        <f aca="false">AA87-AB87</f>
        <v>186522.734162255</v>
      </c>
      <c r="AE87" s="12" t="n">
        <f aca="false">ROUND(AD87-AC87,9)</f>
        <v>189068.315384616</v>
      </c>
    </row>
    <row r="88" customFormat="false" ht="14.4" hidden="false" customHeight="false" outlineLevel="0" collapsed="false">
      <c r="A88" s="15"/>
      <c r="B88" s="15" t="s">
        <v>30</v>
      </c>
      <c r="C88" s="16"/>
      <c r="D88" s="15"/>
      <c r="E88" s="15" t="s">
        <v>30</v>
      </c>
      <c r="F88" s="16"/>
      <c r="G88" s="16" t="n">
        <v>3</v>
      </c>
      <c r="H88" s="16" t="s">
        <v>32</v>
      </c>
      <c r="I88" s="16" t="s">
        <v>33</v>
      </c>
      <c r="J88" s="16" t="s">
        <v>109</v>
      </c>
      <c r="K88" s="16" t="s">
        <v>113</v>
      </c>
      <c r="L88" s="12" t="n">
        <f aca="false">IFERROR(VLOOKUP(CONCATENATE(J88,K88),Ventas!D:H,4,0),0)</f>
        <v>1073186.37362637</v>
      </c>
      <c r="M88" s="15" t="n">
        <f aca="false">IF(SUM(C88,F88)&gt;0,L88*0.1,0)</f>
        <v>0</v>
      </c>
      <c r="N88" s="17" t="n">
        <f aca="false">SUM(L88:M88)</f>
        <v>1073186.37362637</v>
      </c>
      <c r="O88" s="15" t="n">
        <f aca="false">N88*IFERROR(VLOOKUP(J88,Tabla11[],3,0),0)</f>
        <v>375615.230769231</v>
      </c>
      <c r="P88" s="15" t="n">
        <f aca="false">N88-O88</f>
        <v>697571.142857143</v>
      </c>
      <c r="Q88" s="12" t="n">
        <f aca="false">IFERROR(G88/SUMIF(I:I,I88,G:G),0)*VLOOKUP(H88,Modelos[],14,0)+IFERROR(G88/SUMIF(I:I,I88,G:G),0)*VLOOKUP(I88,Tabla13[],2,0)</f>
        <v>123633.062541118</v>
      </c>
      <c r="R88" s="15" t="n">
        <f aca="false">IFERROR(VLOOKUP(A88,Modelos[],IF(B88="EST",15,14),0),0)*C88</f>
        <v>0</v>
      </c>
      <c r="S88" s="15" t="n">
        <f aca="false">IFERROR(VLOOKUP(D88,Modelos[],IF(E88="EST",15,14),0),0)*F88</f>
        <v>0</v>
      </c>
      <c r="T88" s="15" t="n">
        <f aca="false">IF($L88&lt;0,0,IFERROR((T$2*IFERROR(VLOOKUP(J88,Tabla11[],2,0),0))*($L88/SUM($L$5:$L$46)),0))</f>
        <v>3575.93653831996</v>
      </c>
      <c r="U88" s="15" t="n">
        <f aca="false">IF($L88&lt;0,0,IFERROR((U$2*IFERROR(VLOOKUP(J88,Tabla11[],2,0),0))*($L88/SUM($L$5:$L$46)),0))</f>
        <v>695.320993562214</v>
      </c>
      <c r="V88" s="15" t="n">
        <f aca="false">IF($L88&lt;0,0,IFERROR((V$2*IFERROR(VLOOKUP(J88,Tabla11[],2,0),0))*($L88/SUM($L$5:$L$46)),0))</f>
        <v>3575.93653831996</v>
      </c>
      <c r="W88" s="15" t="n">
        <f aca="false">IF($L88&lt;0,0,IFERROR((W$2*IFERROR(VLOOKUP(J88,Tabla11[],2,0),0))*($L88/SUM($L$5:$L$46)),0))</f>
        <v>4966.57852544439</v>
      </c>
      <c r="X88" s="15" t="n">
        <f aca="false">P88*$X$2</f>
        <v>279028.457142857</v>
      </c>
      <c r="Y88" s="15" t="n">
        <f aca="false">+X88*IFERROR(VLOOKUP(J88,Tabla11[],4,0),0)</f>
        <v>41854.2685714286</v>
      </c>
      <c r="Z88" s="15" t="n">
        <f aca="false">IF(L88&gt;0,$Z$2/12,0)</f>
        <v>25833.3333333333</v>
      </c>
      <c r="AA88" s="15" t="n">
        <f aca="false">P88-SUM(Q88:Z88)</f>
        <v>214408.248672759</v>
      </c>
      <c r="AB88" s="15" t="n">
        <f aca="false">IF($L88&lt;0,0,IFERROR((AB$2*IFERROR(VLOOKUP(J88,Tabla11[],2,0),0))*($L88/SUM($L$5:$L$46)),0))</f>
        <v>5703.79652985177</v>
      </c>
      <c r="AC88" s="15" t="n">
        <f aca="false">L88-L88*IFERROR(VLOOKUP(J88,Tabla11[],3,0),0)-Q88-T88-U88-V88-W88-L88*$X$2-(L88*$X$2)*IFERROR(VLOOKUP(J88,Tabla11[],4,0),0)-AB88-Z88</f>
        <v>35921.4459890609</v>
      </c>
      <c r="AD88" s="15" t="n">
        <f aca="false">AA88-AB88</f>
        <v>208704.452142907</v>
      </c>
      <c r="AE88" s="15" t="n">
        <f aca="false">ROUND(AD88-AC88,9)</f>
        <v>172783.006153846</v>
      </c>
    </row>
    <row r="89" customFormat="false" ht="14.4" hidden="false" customHeight="false" outlineLevel="0" collapsed="false">
      <c r="A89" s="12"/>
      <c r="B89" s="12" t="s">
        <v>30</v>
      </c>
      <c r="C89" s="13"/>
      <c r="D89" s="12"/>
      <c r="E89" s="12" t="s">
        <v>30</v>
      </c>
      <c r="F89" s="13"/>
      <c r="G89" s="13" t="n">
        <v>3</v>
      </c>
      <c r="H89" s="13" t="s">
        <v>50</v>
      </c>
      <c r="I89" s="13" t="s">
        <v>53</v>
      </c>
      <c r="J89" s="13" t="s">
        <v>109</v>
      </c>
      <c r="K89" s="13" t="s">
        <v>114</v>
      </c>
      <c r="L89" s="12" t="n">
        <f aca="false">IFERROR(VLOOKUP(CONCATENATE(J89,K89),Ventas!D:H,4,0),0)</f>
        <v>1058659.78021978</v>
      </c>
      <c r="M89" s="12" t="n">
        <f aca="false">IF(SUM(C89,F89)&gt;0,L89*0.1,0)</f>
        <v>0</v>
      </c>
      <c r="N89" s="14" t="n">
        <f aca="false">SUM(L89:M89)</f>
        <v>1058659.78021978</v>
      </c>
      <c r="O89" s="12" t="n">
        <f aca="false">N89*IFERROR(VLOOKUP(J89,Tabla11[],3,0),0)</f>
        <v>370530.923076923</v>
      </c>
      <c r="P89" s="12" t="n">
        <f aca="false">N89-O89</f>
        <v>688128.857142857</v>
      </c>
      <c r="Q89" s="12" t="n">
        <f aca="false">IFERROR(G89/SUMIF(I:I,I89,G:G),0)*VLOOKUP(H89,Modelos[],14,0)+IFERROR(G89/SUMIF(I:I,I89,G:G),0)*VLOOKUP(I89,Tabla13[],2,0)</f>
        <v>69504.9876201923</v>
      </c>
      <c r="R89" s="12" t="n">
        <f aca="false">IFERROR(VLOOKUP(A89,Modelos[],IF(B89="EST",15,14),0),0)*C89</f>
        <v>0</v>
      </c>
      <c r="S89" s="12" t="n">
        <f aca="false">IFERROR(VLOOKUP(D89,Modelos[],IF(E89="EST",15,14),0),0)*F89</f>
        <v>0</v>
      </c>
      <c r="T89" s="12" t="n">
        <f aca="false">IF($L89&lt;0,0,IFERROR((T$2*IFERROR(VLOOKUP(J89,Tabla11[],2,0),0))*($L89/SUM($L$5:$L$46)),0))</f>
        <v>3527.53285242109</v>
      </c>
      <c r="U89" s="12" t="n">
        <f aca="false">IF($L89&lt;0,0,IFERROR((U$2*IFERROR(VLOOKUP(J89,Tabla11[],2,0),0))*($L89/SUM($L$5:$L$46)),0))</f>
        <v>685.909165748546</v>
      </c>
      <c r="V89" s="12" t="n">
        <f aca="false">IF($L89&lt;0,0,IFERROR((V$2*IFERROR(VLOOKUP(J89,Tabla11[],2,0),0))*($L89/SUM($L$5:$L$46)),0))</f>
        <v>3527.53285242109</v>
      </c>
      <c r="W89" s="12" t="n">
        <f aca="false">IF($L89&lt;0,0,IFERROR((W$2*IFERROR(VLOOKUP(J89,Tabla11[],2,0),0))*($L89/SUM($L$5:$L$46)),0))</f>
        <v>4899.35118391818</v>
      </c>
      <c r="X89" s="12" t="n">
        <f aca="false">P89*$X$2</f>
        <v>275251.542857143</v>
      </c>
      <c r="Y89" s="12" t="n">
        <f aca="false">+X89*IFERROR(VLOOKUP(J89,Tabla11[],4,0),0)</f>
        <v>41287.7314285714</v>
      </c>
      <c r="Z89" s="12" t="n">
        <f aca="false">IF(L89&gt;0,$Z$2/12,0)</f>
        <v>25833.3333333333</v>
      </c>
      <c r="AA89" s="12" t="n">
        <f aca="false">P89-SUM(Q89:Z89)</f>
        <v>263610.935849108</v>
      </c>
      <c r="AB89" s="12" t="n">
        <f aca="false">IF($L89&lt;0,0,IFERROR((AB$2*IFERROR(VLOOKUP(J89,Tabla11[],2,0),0))*($L89/SUM($L$5:$L$46)),0))</f>
        <v>5626.59024481191</v>
      </c>
      <c r="AC89" s="12" t="n">
        <f aca="false">L89-L89*IFERROR(VLOOKUP(J89,Tabla11[],3,0),0)-Q89-T89-U89-V89-W89-L89*$X$2-(L89*$X$2)*IFERROR(VLOOKUP(J89,Tabla11[],4,0),0)-AB89-Z89</f>
        <v>87540.1209889118</v>
      </c>
      <c r="AD89" s="12" t="n">
        <f aca="false">AA89-AB89</f>
        <v>257984.345604296</v>
      </c>
      <c r="AE89" s="12" t="n">
        <f aca="false">ROUND(AD89-AC89,9)</f>
        <v>170444.224615385</v>
      </c>
    </row>
    <row r="90" customFormat="false" ht="14.4" hidden="false" customHeight="false" outlineLevel="0" collapsed="false">
      <c r="A90" s="15"/>
      <c r="B90" s="15" t="s">
        <v>30</v>
      </c>
      <c r="C90" s="16"/>
      <c r="D90" s="15"/>
      <c r="E90" s="15" t="s">
        <v>30</v>
      </c>
      <c r="F90" s="16"/>
      <c r="G90" s="16" t="n">
        <v>3</v>
      </c>
      <c r="H90" s="16" t="s">
        <v>50</v>
      </c>
      <c r="I90" s="16" t="s">
        <v>53</v>
      </c>
      <c r="J90" s="16" t="s">
        <v>109</v>
      </c>
      <c r="K90" s="16" t="s">
        <v>115</v>
      </c>
      <c r="L90" s="12" t="n">
        <f aca="false">IFERROR(VLOOKUP(CONCATENATE(J90,K90),Ventas!D:H,4,0),0)</f>
        <v>1050009.01098901</v>
      </c>
      <c r="M90" s="15" t="n">
        <f aca="false">IF(SUM(C90,F90)&gt;0,L90*0.1,0)</f>
        <v>0</v>
      </c>
      <c r="N90" s="17" t="n">
        <f aca="false">SUM(L90:M90)</f>
        <v>1050009.01098901</v>
      </c>
      <c r="O90" s="15" t="n">
        <f aca="false">N90*IFERROR(VLOOKUP(J90,Tabla11[],3,0),0)</f>
        <v>367503.153846154</v>
      </c>
      <c r="P90" s="15" t="n">
        <f aca="false">N90-O90</f>
        <v>682505.857142857</v>
      </c>
      <c r="Q90" s="12" t="n">
        <f aca="false">IFERROR(G90/SUMIF(I:I,I90,G:G),0)*VLOOKUP(H90,Modelos[],14,0)+IFERROR(G90/SUMIF(I:I,I90,G:G),0)*VLOOKUP(I90,Tabla13[],2,0)</f>
        <v>69504.9876201923</v>
      </c>
      <c r="R90" s="15" t="n">
        <f aca="false">IFERROR(VLOOKUP(A90,Modelos[],IF(B90="EST",15,14),0),0)*C90</f>
        <v>0</v>
      </c>
      <c r="S90" s="15" t="n">
        <f aca="false">IFERROR(VLOOKUP(D90,Modelos[],IF(E90="EST",15,14),0),0)*F90</f>
        <v>0</v>
      </c>
      <c r="T90" s="15" t="n">
        <f aca="false">IF($L90&lt;0,0,IFERROR((T$2*IFERROR(VLOOKUP(J90,Tabla11[],2,0),0))*($L90/SUM($L$5:$L$46)),0))</f>
        <v>3498.70784817476</v>
      </c>
      <c r="U90" s="15" t="n">
        <f aca="false">IF($L90&lt;0,0,IFERROR((U$2*IFERROR(VLOOKUP(J90,Tabla11[],2,0),0))*($L90/SUM($L$5:$L$46)),0))</f>
        <v>680.30430381176</v>
      </c>
      <c r="V90" s="15" t="n">
        <f aca="false">IF($L90&lt;0,0,IFERROR((V$2*IFERROR(VLOOKUP(J90,Tabla11[],2,0),0))*($L90/SUM($L$5:$L$46)),0))</f>
        <v>3498.70784817476</v>
      </c>
      <c r="W90" s="15" t="n">
        <f aca="false">IF($L90&lt;0,0,IFERROR((W$2*IFERROR(VLOOKUP(J90,Tabla11[],2,0),0))*($L90/SUM($L$5:$L$46)),0))</f>
        <v>4859.31645579828</v>
      </c>
      <c r="X90" s="15" t="n">
        <f aca="false">P90*$X$2</f>
        <v>273002.342857143</v>
      </c>
      <c r="Y90" s="15" t="n">
        <f aca="false">+X90*IFERROR(VLOOKUP(J90,Tabla11[],4,0),0)</f>
        <v>40950.3514285714</v>
      </c>
      <c r="Z90" s="15" t="n">
        <f aca="false">IF(L90&gt;0,$Z$2/12,0)</f>
        <v>25833.3333333333</v>
      </c>
      <c r="AA90" s="15" t="n">
        <f aca="false">P90-SUM(Q90:Z90)</f>
        <v>260677.805447657</v>
      </c>
      <c r="AB90" s="15" t="n">
        <f aca="false">IF($L90&lt;0,0,IFERROR((AB$2*IFERROR(VLOOKUP(J90,Tabla11[],2,0),0))*($L90/SUM($L$5:$L$46)),0))</f>
        <v>5580.61293021717</v>
      </c>
      <c r="AC90" s="15" t="n">
        <f aca="false">L90-L90*IFERROR(VLOOKUP(J90,Tabla11[],3,0),0)-Q90-T90-U90-V90-W90-L90*$X$2-(L90*$X$2)*IFERROR(VLOOKUP(J90,Tabla11[],4,0),0)-AB90-Z90</f>
        <v>86045.7417482097</v>
      </c>
      <c r="AD90" s="15" t="n">
        <f aca="false">AA90-AB90</f>
        <v>255097.19251744</v>
      </c>
      <c r="AE90" s="15" t="n">
        <f aca="false">ROUND(AD90-AC90,9)</f>
        <v>169051.450769231</v>
      </c>
    </row>
    <row r="91" customFormat="false" ht="14.4" hidden="false" customHeight="false" outlineLevel="0" collapsed="false">
      <c r="A91" s="12"/>
      <c r="B91" s="12" t="s">
        <v>30</v>
      </c>
      <c r="C91" s="13"/>
      <c r="D91" s="12"/>
      <c r="E91" s="12" t="s">
        <v>30</v>
      </c>
      <c r="F91" s="13"/>
      <c r="G91" s="13" t="n">
        <v>3</v>
      </c>
      <c r="H91" s="13" t="s">
        <v>40</v>
      </c>
      <c r="I91" s="13" t="s">
        <v>57</v>
      </c>
      <c r="J91" s="13" t="s">
        <v>116</v>
      </c>
      <c r="K91" s="13" t="s">
        <v>117</v>
      </c>
      <c r="L91" s="12" t="n">
        <f aca="false">IFERROR(VLOOKUP(CONCATENATE(J91,K91),Ventas!D:H,4,0),0)</f>
        <v>926874.065934066</v>
      </c>
      <c r="M91" s="12" t="n">
        <f aca="false">IF(SUM(C91,F91)&gt;0,L91*0.1,0)</f>
        <v>0</v>
      </c>
      <c r="N91" s="14" t="n">
        <f aca="false">SUM(L91:M91)</f>
        <v>926874.065934066</v>
      </c>
      <c r="O91" s="12" t="n">
        <f aca="false">N91*IFERROR(VLOOKUP(J91,Tabla11[],3,0),0)</f>
        <v>324405.923076923</v>
      </c>
      <c r="P91" s="12" t="n">
        <f aca="false">N91-O91</f>
        <v>602468.142857143</v>
      </c>
      <c r="Q91" s="12" t="n">
        <f aca="false">IFERROR(G91/SUMIF(I:I,I91,G:G),0)*VLOOKUP(H91,Modelos[],14,0)+IFERROR(G91/SUMIF(I:I,I91,G:G),0)*VLOOKUP(I91,Tabla13[],2,0)</f>
        <v>134909.418697917</v>
      </c>
      <c r="R91" s="12" t="n">
        <f aca="false">IFERROR(VLOOKUP(A91,Modelos[],IF(B91="EST",15,14),0),0)*C91</f>
        <v>0</v>
      </c>
      <c r="S91" s="12" t="n">
        <f aca="false">IFERROR(VLOOKUP(D91,Modelos[],IF(E91="EST",15,14),0),0)*F91</f>
        <v>0</v>
      </c>
      <c r="T91" s="12" t="n">
        <f aca="false">IF($L91&lt;0,0,IFERROR((T$2*IFERROR(VLOOKUP(J91,Tabla11[],2,0),0))*($L91/SUM($L$5:$L$46)),0))</f>
        <v>3088.4130848541</v>
      </c>
      <c r="U91" s="12" t="n">
        <f aca="false">IF($L91&lt;0,0,IFERROR((U$2*IFERROR(VLOOKUP(J91,Tabla11[],2,0),0))*($L91/SUM($L$5:$L$46)),0))</f>
        <v>600.524766499408</v>
      </c>
      <c r="V91" s="12" t="n">
        <f aca="false">IF($L91&lt;0,0,IFERROR((V$2*IFERROR(VLOOKUP(J91,Tabla11[],2,0),0))*($L91/SUM($L$5:$L$46)),0))</f>
        <v>3088.4130848541</v>
      </c>
      <c r="W91" s="12" t="n">
        <f aca="false">IF($L91&lt;0,0,IFERROR((W$2*IFERROR(VLOOKUP(J91,Tabla11[],2,0),0))*($L91/SUM($L$5:$L$46)),0))</f>
        <v>4289.46261785291</v>
      </c>
      <c r="X91" s="12" t="n">
        <f aca="false">P91*$X$2</f>
        <v>240987.257142857</v>
      </c>
      <c r="Y91" s="12" t="n">
        <f aca="false">+X91*IFERROR(VLOOKUP(J91,Tabla11[],4,0),0)</f>
        <v>36148.0885714286</v>
      </c>
      <c r="Z91" s="12" t="n">
        <f aca="false">IF(L91&gt;0,$Z$2/12,0)</f>
        <v>25833.3333333333</v>
      </c>
      <c r="AA91" s="12" t="n">
        <f aca="false">P91-SUM(Q91:Z91)</f>
        <v>153523.231557547</v>
      </c>
      <c r="AB91" s="12" t="n">
        <f aca="false">IF($L91&lt;0,0,IFERROR((AB$2*IFERROR(VLOOKUP(J91,Tabla11[],2,0),0))*($L91/SUM($L$5:$L$46)),0))</f>
        <v>4926.17238795177</v>
      </c>
      <c r="AC91" s="12" t="n">
        <f aca="false">L91-L91*IFERROR(VLOOKUP(J91,Tabla11[],3,0),0)-Q91-T91-U91-V91-W91-L91*$X$2-(L91*$X$2)*IFERROR(VLOOKUP(J91,Tabla11[],4,0),0)-AB91-Z91</f>
        <v>-629.665445789815</v>
      </c>
      <c r="AD91" s="12" t="n">
        <f aca="false">AA91-AB91</f>
        <v>148597.059169595</v>
      </c>
      <c r="AE91" s="12" t="n">
        <f aca="false">ROUND(AD91-AC91,9)</f>
        <v>149226.724615385</v>
      </c>
    </row>
    <row r="92" customFormat="false" ht="14.4" hidden="false" customHeight="false" outlineLevel="0" collapsed="false">
      <c r="A92" s="15" t="s">
        <v>31</v>
      </c>
      <c r="B92" s="15" t="s">
        <v>30</v>
      </c>
      <c r="C92" s="16" t="n">
        <v>0.33</v>
      </c>
      <c r="D92" s="15"/>
      <c r="E92" s="15" t="s">
        <v>30</v>
      </c>
      <c r="F92" s="16"/>
      <c r="G92" s="16" t="n">
        <v>0</v>
      </c>
      <c r="H92" s="16" t="s">
        <v>32</v>
      </c>
      <c r="I92" s="16" t="s">
        <v>44</v>
      </c>
      <c r="J92" s="16" t="s">
        <v>116</v>
      </c>
      <c r="K92" s="16" t="s">
        <v>118</v>
      </c>
      <c r="L92" s="12" t="n">
        <f aca="false">IFERROR(VLOOKUP(CONCATENATE(J92,K92),Ventas!D:H,4,0),0)</f>
        <v>860007.032967033</v>
      </c>
      <c r="M92" s="15" t="n">
        <f aca="false">IF(SUM(C92,F92)&gt;0,L92*0.1,0)</f>
        <v>86000.7032967033</v>
      </c>
      <c r="N92" s="17" t="n">
        <f aca="false">SUM(L92:M92)</f>
        <v>946007.736263736</v>
      </c>
      <c r="O92" s="15" t="n">
        <f aca="false">N92*IFERROR(VLOOKUP(J92,Tabla11[],3,0),0)</f>
        <v>331102.707692308</v>
      </c>
      <c r="P92" s="15" t="n">
        <f aca="false">N92-O92</f>
        <v>614905.028571429</v>
      </c>
      <c r="Q92" s="12" t="n">
        <f aca="false">IFERROR(G92/SUMIF(I:I,I92,G:G),0)*VLOOKUP(H92,Modelos[],14,0)+IFERROR(G92/SUMIF(I:I,I92,G:G),0)*VLOOKUP(I92,Tabla13[],2,0)</f>
        <v>0</v>
      </c>
      <c r="R92" s="15" t="n">
        <f aca="false">IFERROR(VLOOKUP(A92,Modelos[],IF(B92="EST",15,14),0),0)*C92</f>
        <v>67493.844131175</v>
      </c>
      <c r="S92" s="15" t="n">
        <f aca="false">IFERROR(VLOOKUP(D92,Modelos[],IF(E92="EST",15,14),0),0)*F92</f>
        <v>0</v>
      </c>
      <c r="T92" s="15" t="n">
        <f aca="false">IF($L92&lt;0,0,IFERROR((T$2*IFERROR(VLOOKUP(J92,Tabla11[],2,0),0))*($L92/SUM($L$5:$L$46)),0))</f>
        <v>2865.60717502142</v>
      </c>
      <c r="U92" s="15" t="n">
        <f aca="false">IF($L92&lt;0,0,IFERROR((U$2*IFERROR(VLOOKUP(J92,Tabla11[],2,0),0))*($L92/SUM($L$5:$L$46)),0))</f>
        <v>557.201395143053</v>
      </c>
      <c r="V92" s="15" t="n">
        <f aca="false">IF($L92&lt;0,0,IFERROR((V$2*IFERROR(VLOOKUP(J92,Tabla11[],2,0),0))*($L92/SUM($L$5:$L$46)),0))</f>
        <v>2865.60717502142</v>
      </c>
      <c r="W92" s="15" t="n">
        <f aca="false">IF($L92&lt;0,0,IFERROR((W$2*IFERROR(VLOOKUP(J92,Tabla11[],2,0),0))*($L92/SUM($L$5:$L$46)),0))</f>
        <v>3980.00996530752</v>
      </c>
      <c r="X92" s="15" t="n">
        <f aca="false">P92*$X$2</f>
        <v>245962.011428571</v>
      </c>
      <c r="Y92" s="15" t="n">
        <f aca="false">+X92*IFERROR(VLOOKUP(J92,Tabla11[],4,0),0)</f>
        <v>36894.3017142857</v>
      </c>
      <c r="Z92" s="15" t="n">
        <f aca="false">IF(L92&gt;0,$Z$2/12,0)</f>
        <v>25833.3333333333</v>
      </c>
      <c r="AA92" s="15" t="n">
        <f aca="false">P92-SUM(Q92:Z92)</f>
        <v>228453.11225357</v>
      </c>
      <c r="AB92" s="15" t="n">
        <f aca="false">IF($L92&lt;0,0,IFERROR((AB$2*IFERROR(VLOOKUP(J92,Tabla11[],2,0),0))*($L92/SUM($L$5:$L$46)),0))</f>
        <v>4570.78588662107</v>
      </c>
      <c r="AC92" s="15" t="n">
        <f aca="false">L92-L92*IFERROR(VLOOKUP(J92,Tabla11[],3,0),0)-Q92-T92-U92-V92-W92-L92*$X$2-(L92*$X$2)*IFERROR(VLOOKUP(J92,Tabla11[],4,0),0)-AB92-Z92</f>
        <v>122728.791333288</v>
      </c>
      <c r="AD92" s="15" t="n">
        <f aca="false">AA92-AB92</f>
        <v>223882.326366949</v>
      </c>
      <c r="AE92" s="15" t="n">
        <f aca="false">ROUND(AD92-AC92,9)</f>
        <v>101153.53503366</v>
      </c>
    </row>
    <row r="93" customFormat="false" ht="14.4" hidden="false" customHeight="false" outlineLevel="0" collapsed="false">
      <c r="A93" s="12"/>
      <c r="B93" s="12" t="s">
        <v>30</v>
      </c>
      <c r="C93" s="13"/>
      <c r="D93" s="12"/>
      <c r="E93" s="12" t="s">
        <v>30</v>
      </c>
      <c r="F93" s="13"/>
      <c r="G93" s="13" t="n">
        <v>3</v>
      </c>
      <c r="H93" s="13" t="s">
        <v>40</v>
      </c>
      <c r="I93" s="13" t="s">
        <v>83</v>
      </c>
      <c r="J93" s="13" t="s">
        <v>116</v>
      </c>
      <c r="K93" s="13" t="s">
        <v>119</v>
      </c>
      <c r="L93" s="12" t="n">
        <f aca="false">IFERROR(VLOOKUP(CONCATENATE(J93,K93),Ventas!D:H,4,0),0)</f>
        <v>757061.758241758</v>
      </c>
      <c r="M93" s="12" t="n">
        <f aca="false">IF(SUM(C93,F93)&gt;0,L93*0.1,0)</f>
        <v>0</v>
      </c>
      <c r="N93" s="14" t="n">
        <f aca="false">SUM(L93:M93)</f>
        <v>757061.758241758</v>
      </c>
      <c r="O93" s="12" t="n">
        <f aca="false">N93*IFERROR(VLOOKUP(J93,Tabla11[],3,0),0)</f>
        <v>264971.615384615</v>
      </c>
      <c r="P93" s="12" t="n">
        <f aca="false">N93-O93</f>
        <v>492090.142857143</v>
      </c>
      <c r="Q93" s="12" t="n">
        <f aca="false">IFERROR(G93/SUMIF(I:I,I93,G:G),0)*VLOOKUP(H93,Modelos[],14,0)+IFERROR(G93/SUMIF(I:I,I93,G:G),0)*VLOOKUP(I93,Tabla13[],2,0)</f>
        <v>121576.085364583</v>
      </c>
      <c r="R93" s="12" t="n">
        <f aca="false">IFERROR(VLOOKUP(A93,Modelos[],IF(B93="EST",15,14),0),0)*C93</f>
        <v>0</v>
      </c>
      <c r="S93" s="12" t="n">
        <f aca="false">IFERROR(VLOOKUP(D93,Modelos[],IF(E93="EST",15,14),0),0)*F93</f>
        <v>0</v>
      </c>
      <c r="T93" s="12" t="n">
        <f aca="false">IF($L93&lt;0,0,IFERROR((T$2*IFERROR(VLOOKUP(J93,Tabla11[],2,0),0))*($L93/SUM($L$5:$L$46)),0))</f>
        <v>2522.5858896378</v>
      </c>
      <c r="U93" s="12" t="n">
        <f aca="false">IF($L93&lt;0,0,IFERROR((U$2*IFERROR(VLOOKUP(J93,Tabla11[],2,0),0))*($L93/SUM($L$5:$L$46)),0))</f>
        <v>490.502811874017</v>
      </c>
      <c r="V93" s="12" t="n">
        <f aca="false">IF($L93&lt;0,0,IFERROR((V$2*IFERROR(VLOOKUP(J93,Tabla11[],2,0),0))*($L93/SUM($L$5:$L$46)),0))</f>
        <v>2522.5858896378</v>
      </c>
      <c r="W93" s="12" t="n">
        <f aca="false">IF($L93&lt;0,0,IFERROR((W$2*IFERROR(VLOOKUP(J93,Tabla11[],2,0),0))*($L93/SUM($L$5:$L$46)),0))</f>
        <v>3503.59151338584</v>
      </c>
      <c r="X93" s="12" t="n">
        <f aca="false">P93*$X$2</f>
        <v>196836.057142857</v>
      </c>
      <c r="Y93" s="12" t="n">
        <f aca="false">+X93*IFERROR(VLOOKUP(J93,Tabla11[],4,0),0)</f>
        <v>29525.4085714286</v>
      </c>
      <c r="Z93" s="12" t="n">
        <f aca="false">IF(L93&gt;0,$Z$2/12,0)</f>
        <v>25833.3333333333</v>
      </c>
      <c r="AA93" s="12" t="n">
        <f aca="false">P93-SUM(Q93:Z93)</f>
        <v>109279.992340405</v>
      </c>
      <c r="AB93" s="12" t="n">
        <f aca="false">IF($L93&lt;0,0,IFERROR((AB$2*IFERROR(VLOOKUP(J93,Tabla11[],2,0),0))*($L93/SUM($L$5:$L$46)),0))</f>
        <v>4023.64988566857</v>
      </c>
      <c r="AC93" s="12" t="n">
        <f aca="false">L93-L93*IFERROR(VLOOKUP(J93,Tabla11[],3,0),0)-Q93-T93-U93-V93-W93-L93*$X$2-(L93*$X$2)*IFERROR(VLOOKUP(J93,Tabla11[],4,0),0)-AB93-Z93</f>
        <v>-16630.6006221866</v>
      </c>
      <c r="AD93" s="12" t="n">
        <f aca="false">AA93-AB93</f>
        <v>105256.342454736</v>
      </c>
      <c r="AE93" s="12" t="n">
        <f aca="false">ROUND(AD93-AC93,9)</f>
        <v>121886.943076923</v>
      </c>
    </row>
    <row r="94" customFormat="false" ht="14.4" hidden="false" customHeight="false" outlineLevel="0" collapsed="false">
      <c r="A94" s="15"/>
      <c r="B94" s="15" t="s">
        <v>30</v>
      </c>
      <c r="C94" s="16"/>
      <c r="D94" s="15"/>
      <c r="E94" s="15" t="s">
        <v>30</v>
      </c>
      <c r="F94" s="16"/>
      <c r="G94" s="16" t="n">
        <v>3</v>
      </c>
      <c r="H94" s="16" t="s">
        <v>40</v>
      </c>
      <c r="I94" s="16" t="s">
        <v>76</v>
      </c>
      <c r="J94" s="16" t="s">
        <v>116</v>
      </c>
      <c r="K94" s="16" t="s">
        <v>120</v>
      </c>
      <c r="L94" s="12" t="n">
        <f aca="false">IFERROR(VLOOKUP(CONCATENATE(J94,K94),Ventas!D:H,4,0),0)</f>
        <v>734687.912087912</v>
      </c>
      <c r="M94" s="15" t="n">
        <f aca="false">IF(SUM(C94,F94)&gt;0,L94*0.1,0)</f>
        <v>0</v>
      </c>
      <c r="N94" s="17" t="n">
        <f aca="false">SUM(L94:M94)</f>
        <v>734687.912087912</v>
      </c>
      <c r="O94" s="15" t="n">
        <f aca="false">N94*IFERROR(VLOOKUP(J94,Tabla11[],3,0),0)</f>
        <v>257140.769230769</v>
      </c>
      <c r="P94" s="15" t="n">
        <f aca="false">N94-O94</f>
        <v>477547.142857143</v>
      </c>
      <c r="Q94" s="12" t="n">
        <f aca="false">IFERROR(G94/SUMIF(I:I,I94,G:G),0)*VLOOKUP(H94,Modelos[],14,0)+IFERROR(G94/SUMIF(I:I,I94,G:G),0)*VLOOKUP(I94,Tabla13[],2,0)</f>
        <v>128242.75203125</v>
      </c>
      <c r="R94" s="15" t="n">
        <f aca="false">IFERROR(VLOOKUP(A94,Modelos[],IF(B94="EST",15,14),0),0)*C94</f>
        <v>0</v>
      </c>
      <c r="S94" s="15" t="n">
        <f aca="false">IFERROR(VLOOKUP(D94,Modelos[],IF(E94="EST",15,14),0),0)*F94</f>
        <v>0</v>
      </c>
      <c r="T94" s="15" t="n">
        <f aca="false">IF($L94&lt;0,0,IFERROR((T$2*IFERROR(VLOOKUP(J94,Tabla11[],2,0),0))*($L94/SUM($L$5:$L$46)),0))</f>
        <v>2448.03457596995</v>
      </c>
      <c r="U94" s="15" t="n">
        <f aca="false">IF($L94&lt;0,0,IFERROR((U$2*IFERROR(VLOOKUP(J94,Tabla11[],2,0),0))*($L94/SUM($L$5:$L$46)),0))</f>
        <v>476.006723105268</v>
      </c>
      <c r="V94" s="15" t="n">
        <f aca="false">IF($L94&lt;0,0,IFERROR((V$2*IFERROR(VLOOKUP(J94,Tabla11[],2,0),0))*($L94/SUM($L$5:$L$46)),0))</f>
        <v>2448.03457596995</v>
      </c>
      <c r="W94" s="15" t="n">
        <f aca="false">IF($L94&lt;0,0,IFERROR((W$2*IFERROR(VLOOKUP(J94,Tabla11[],2,0),0))*($L94/SUM($L$5:$L$46)),0))</f>
        <v>3400.04802218048</v>
      </c>
      <c r="X94" s="15" t="n">
        <f aca="false">P94*$X$2</f>
        <v>191018.857142857</v>
      </c>
      <c r="Y94" s="15" t="n">
        <f aca="false">+X94*IFERROR(VLOOKUP(J94,Tabla11[],4,0),0)</f>
        <v>28652.8285714286</v>
      </c>
      <c r="Z94" s="15" t="n">
        <f aca="false">IF(L94&gt;0,$Z$2/12,0)</f>
        <v>25833.3333333333</v>
      </c>
      <c r="AA94" s="15" t="n">
        <f aca="false">P94-SUM(Q94:Z94)</f>
        <v>95027.2478810481</v>
      </c>
      <c r="AB94" s="15" t="n">
        <f aca="false">IF($L94&lt;0,0,IFERROR((AB$2*IFERROR(VLOOKUP(J94,Tabla11[],2,0),0))*($L94/SUM($L$5:$L$46)),0))</f>
        <v>3904.73683460128</v>
      </c>
      <c r="AC94" s="15" t="n">
        <f aca="false">L94-L94*IFERROR(VLOOKUP(J94,Tabla11[],3,0),0)-Q94-T94-U94-V94-W94-L94*$X$2-(L94*$X$2)*IFERROR(VLOOKUP(J94,Tabla11[],4,0),0)-AB94-Z94</f>
        <v>-27162.242799707</v>
      </c>
      <c r="AD94" s="15" t="n">
        <f aca="false">AA94-AB94</f>
        <v>91122.5110464468</v>
      </c>
      <c r="AE94" s="15" t="n">
        <f aca="false">ROUND(AD94-AC94,9)</f>
        <v>118284.753846154</v>
      </c>
    </row>
    <row r="95" customFormat="false" ht="14.4" hidden="false" customHeight="false" outlineLevel="0" collapsed="false">
      <c r="A95" s="12"/>
      <c r="B95" s="12" t="s">
        <v>30</v>
      </c>
      <c r="C95" s="13"/>
      <c r="D95" s="12"/>
      <c r="E95" s="12" t="s">
        <v>30</v>
      </c>
      <c r="F95" s="13"/>
      <c r="G95" s="13" t="n">
        <v>3</v>
      </c>
      <c r="H95" s="13" t="s">
        <v>32</v>
      </c>
      <c r="I95" s="13" t="s">
        <v>42</v>
      </c>
      <c r="J95" s="13" t="s">
        <v>116</v>
      </c>
      <c r="K95" s="13" t="s">
        <v>121</v>
      </c>
      <c r="L95" s="12" t="n">
        <f aca="false">IFERROR(VLOOKUP(CONCATENATE(J95,K95),Ventas!D:H,4,0),0)</f>
        <v>682280.43956044</v>
      </c>
      <c r="M95" s="12" t="n">
        <f aca="false">IF(SUM(C95,F95)&gt;0,L95*0.1,0)</f>
        <v>0</v>
      </c>
      <c r="N95" s="14" t="n">
        <f aca="false">SUM(L95:M95)</f>
        <v>682280.43956044</v>
      </c>
      <c r="O95" s="12" t="n">
        <f aca="false">N95*IFERROR(VLOOKUP(J95,Tabla11[],3,0),0)</f>
        <v>238798.153846154</v>
      </c>
      <c r="P95" s="12" t="n">
        <f aca="false">N95-O95</f>
        <v>443482.285714286</v>
      </c>
      <c r="Q95" s="12" t="n">
        <f aca="false">IFERROR(G95/SUMIF(I:I,I95,G:G),0)*VLOOKUP(H95,Modelos[],14,0)+IFERROR(G95/SUMIF(I:I,I95,G:G),0)*VLOOKUP(I95,Tabla13[],2,0)</f>
        <v>179573.442020089</v>
      </c>
      <c r="R95" s="12" t="n">
        <f aca="false">IFERROR(VLOOKUP(A95,Modelos[],IF(B95="EST",15,14),0),0)*C95</f>
        <v>0</v>
      </c>
      <c r="S95" s="12" t="n">
        <f aca="false">IFERROR(VLOOKUP(D95,Modelos[],IF(E95="EST",15,14),0),0)*F95</f>
        <v>0</v>
      </c>
      <c r="T95" s="12" t="n">
        <f aca="false">IF($L95&lt;0,0,IFERROR((T$2*IFERROR(VLOOKUP(J95,Tabla11[],2,0),0))*($L95/SUM($L$5:$L$46)),0))</f>
        <v>2273.4089932217</v>
      </c>
      <c r="U95" s="12" t="n">
        <f aca="false">IF($L95&lt;0,0,IFERROR((U$2*IFERROR(VLOOKUP(J95,Tabla11[],2,0),0))*($L95/SUM($L$5:$L$46)),0))</f>
        <v>442.051748681997</v>
      </c>
      <c r="V95" s="12" t="n">
        <f aca="false">IF($L95&lt;0,0,IFERROR((V$2*IFERROR(VLOOKUP(J95,Tabla11[],2,0),0))*($L95/SUM($L$5:$L$46)),0))</f>
        <v>2273.4089932217</v>
      </c>
      <c r="W95" s="12" t="n">
        <f aca="false">IF($L95&lt;0,0,IFERROR((W$2*IFERROR(VLOOKUP(J95,Tabla11[],2,0),0))*($L95/SUM($L$5:$L$46)),0))</f>
        <v>3157.51249058569</v>
      </c>
      <c r="X95" s="12" t="n">
        <f aca="false">P95*$X$2</f>
        <v>177392.914285714</v>
      </c>
      <c r="Y95" s="12" t="n">
        <f aca="false">+X95*IFERROR(VLOOKUP(J95,Tabla11[],4,0),0)</f>
        <v>26608.9371428571</v>
      </c>
      <c r="Z95" s="12" t="n">
        <f aca="false">IF(L95&gt;0,$Z$2/12,0)</f>
        <v>25833.3333333333</v>
      </c>
      <c r="AA95" s="12" t="n">
        <f aca="false">P95-SUM(Q95:Z95)</f>
        <v>25927.2767065806</v>
      </c>
      <c r="AB95" s="12" t="n">
        <f aca="false">IF($L95&lt;0,0,IFERROR((AB$2*IFERROR(VLOOKUP(J95,Tabla11[],2,0),0))*($L95/SUM($L$5:$L$46)),0))</f>
        <v>3626.2003498988</v>
      </c>
      <c r="AC95" s="12" t="n">
        <f aca="false">L95-L95*IFERROR(VLOOKUP(J95,Tabla11[],3,0),0)-Q95-T95-U95-V95-W95-L95*$X$2-(L95*$X$2)*IFERROR(VLOOKUP(J95,Tabla11[],4,0),0)-AB95-Z95</f>
        <v>-87546.074412549</v>
      </c>
      <c r="AD95" s="12" t="n">
        <f aca="false">AA95-AB95</f>
        <v>22301.0763566818</v>
      </c>
      <c r="AE95" s="12" t="n">
        <f aca="false">ROUND(AD95-AC95,9)</f>
        <v>109847.150769231</v>
      </c>
    </row>
    <row r="96" customFormat="false" ht="14.4" hidden="false" customHeight="false" outlineLevel="0" collapsed="false">
      <c r="A96" s="15"/>
      <c r="B96" s="15" t="s">
        <v>30</v>
      </c>
      <c r="C96" s="16"/>
      <c r="D96" s="15"/>
      <c r="E96" s="15" t="s">
        <v>30</v>
      </c>
      <c r="F96" s="16"/>
      <c r="G96" s="16" t="n">
        <v>3</v>
      </c>
      <c r="H96" s="16" t="s">
        <v>50</v>
      </c>
      <c r="I96" s="16" t="s">
        <v>64</v>
      </c>
      <c r="J96" s="16" t="s">
        <v>109</v>
      </c>
      <c r="K96" s="16" t="s">
        <v>122</v>
      </c>
      <c r="L96" s="12" t="n">
        <f aca="false">IFERROR(VLOOKUP(CONCATENATE(J96,K96),Ventas!D:H,4,0),0)</f>
        <v>726045.714285714</v>
      </c>
      <c r="M96" s="15" t="n">
        <f aca="false">IF(SUM(C96,F96)&gt;0,L96*0.1,0)</f>
        <v>0</v>
      </c>
      <c r="N96" s="17" t="n">
        <f aca="false">SUM(L96:M96)</f>
        <v>726045.714285714</v>
      </c>
      <c r="O96" s="15" t="n">
        <f aca="false">N96*IFERROR(VLOOKUP(J96,Tabla11[],3,0),0)</f>
        <v>254116</v>
      </c>
      <c r="P96" s="15" t="n">
        <f aca="false">N96-O96</f>
        <v>471929.714285714</v>
      </c>
      <c r="Q96" s="12" t="n">
        <f aca="false">IFERROR(G96/SUMIF(I:I,I96,G:G),0)*VLOOKUP(H96,Modelos[],14,0)+IFERROR(G96/SUMIF(I:I,I96,G:G),0)*VLOOKUP(I96,Tabla13[],2,0)</f>
        <v>73262.0139780406</v>
      </c>
      <c r="R96" s="15" t="n">
        <f aca="false">IFERROR(VLOOKUP(A96,Modelos[],IF(B96="EST",15,14),0),0)*C96</f>
        <v>0</v>
      </c>
      <c r="S96" s="15" t="n">
        <f aca="false">IFERROR(VLOOKUP(D96,Modelos[],IF(E96="EST",15,14),0),0)*F96</f>
        <v>0</v>
      </c>
      <c r="T96" s="15" t="n">
        <f aca="false">IF($L96&lt;0,0,IFERROR((T$2*IFERROR(VLOOKUP(J96,Tabla11[],2,0),0))*($L96/SUM($L$5:$L$46)),0))</f>
        <v>2419.23813235891</v>
      </c>
      <c r="U96" s="15" t="n">
        <f aca="false">IF($L96&lt;0,0,IFERROR((U$2*IFERROR(VLOOKUP(J96,Tabla11[],2,0),0))*($L96/SUM($L$5:$L$46)),0))</f>
        <v>470.407414625343</v>
      </c>
      <c r="V96" s="15" t="n">
        <f aca="false">IF($L96&lt;0,0,IFERROR((V$2*IFERROR(VLOOKUP(J96,Tabla11[],2,0),0))*($L96/SUM($L$5:$L$46)),0))</f>
        <v>2419.23813235891</v>
      </c>
      <c r="W96" s="15" t="n">
        <f aca="false">IF($L96&lt;0,0,IFERROR((W$2*IFERROR(VLOOKUP(J96,Tabla11[],2,0),0))*($L96/SUM($L$5:$L$46)),0))</f>
        <v>3360.0529616096</v>
      </c>
      <c r="X96" s="15" t="n">
        <f aca="false">P96*$X$2</f>
        <v>188771.885714286</v>
      </c>
      <c r="Y96" s="15" t="n">
        <f aca="false">+X96*IFERROR(VLOOKUP(J96,Tabla11[],4,0),0)</f>
        <v>28315.7828571429</v>
      </c>
      <c r="Z96" s="15" t="n">
        <f aca="false">IF(L96&gt;0,$Z$2/12,0)</f>
        <v>25833.3333333333</v>
      </c>
      <c r="AA96" s="15" t="n">
        <f aca="false">P96-SUM(Q96:Z96)</f>
        <v>147077.761761959</v>
      </c>
      <c r="AB96" s="15" t="n">
        <f aca="false">IF($L96&lt;0,0,IFERROR((AB$2*IFERROR(VLOOKUP(J96,Tabla11[],2,0),0))*($L96/SUM($L$5:$L$46)),0))</f>
        <v>3858.80507563951</v>
      </c>
      <c r="AC96" s="15" t="n">
        <f aca="false">L96-L96*IFERROR(VLOOKUP(J96,Tabla11[],3,0),0)-Q96-T96-U96-V96-W96-L96*$X$2-(L96*$X$2)*IFERROR(VLOOKUP(J96,Tabla11[],4,0),0)-AB96-Z96</f>
        <v>26325.5966863194</v>
      </c>
      <c r="AD96" s="15" t="n">
        <f aca="false">AA96-AB96</f>
        <v>143218.95668632</v>
      </c>
      <c r="AE96" s="15" t="n">
        <f aca="false">ROUND(AD96-AC96,9)</f>
        <v>116893.36</v>
      </c>
    </row>
    <row r="97" customFormat="false" ht="14.4" hidden="false" customHeight="false" outlineLevel="0" collapsed="false">
      <c r="A97" s="12"/>
      <c r="B97" s="12" t="s">
        <v>30</v>
      </c>
      <c r="C97" s="13"/>
      <c r="D97" s="12"/>
      <c r="E97" s="12" t="s">
        <v>30</v>
      </c>
      <c r="F97" s="13"/>
      <c r="G97" s="13" t="n">
        <v>3</v>
      </c>
      <c r="H97" s="13" t="s">
        <v>50</v>
      </c>
      <c r="I97" s="13" t="s">
        <v>53</v>
      </c>
      <c r="J97" s="13" t="s">
        <v>109</v>
      </c>
      <c r="K97" s="13" t="s">
        <v>123</v>
      </c>
      <c r="L97" s="12" t="n">
        <f aca="false">IFERROR(VLOOKUP(CONCATENATE(J97,K97),Ventas!D:H,4,0),0)</f>
        <v>604836.043956044</v>
      </c>
      <c r="M97" s="12" t="n">
        <f aca="false">IF(SUM(C97,F97)&gt;0,L97*0.1,0)</f>
        <v>0</v>
      </c>
      <c r="N97" s="14" t="n">
        <f aca="false">SUM(L97:M97)</f>
        <v>604836.043956044</v>
      </c>
      <c r="O97" s="12" t="n">
        <f aca="false">N97*IFERROR(VLOOKUP(J97,Tabla11[],3,0),0)</f>
        <v>211692.615384615</v>
      </c>
      <c r="P97" s="12" t="n">
        <f aca="false">N97-O97</f>
        <v>393143.428571429</v>
      </c>
      <c r="Q97" s="12" t="n">
        <f aca="false">IFERROR(G97/SUMIF(I:I,I97,G:G),0)*VLOOKUP(H97,Modelos[],14,0)+IFERROR(G97/SUMIF(I:I,I97,G:G),0)*VLOOKUP(I97,Tabla13[],2,0)</f>
        <v>69504.9876201923</v>
      </c>
      <c r="R97" s="12" t="n">
        <f aca="false">IFERROR(VLOOKUP(A97,Modelos[],IF(B97="EST",15,14),0),0)*C97</f>
        <v>0</v>
      </c>
      <c r="S97" s="12" t="n">
        <f aca="false">IFERROR(VLOOKUP(D97,Modelos[],IF(E97="EST",15,14),0),0)*F97</f>
        <v>0</v>
      </c>
      <c r="T97" s="12" t="n">
        <f aca="false">IF($L97&lt;0,0,IFERROR((T$2*IFERROR(VLOOKUP(J97,Tabla11[],2,0),0))*($L97/SUM($L$5:$L$46)),0))</f>
        <v>2015.35852711852</v>
      </c>
      <c r="U97" s="12" t="n">
        <f aca="false">IF($L97&lt;0,0,IFERROR((U$2*IFERROR(VLOOKUP(J97,Tabla11[],2,0),0))*($L97/SUM($L$5:$L$46)),0))</f>
        <v>391.875269161934</v>
      </c>
      <c r="V97" s="12" t="n">
        <f aca="false">IF($L97&lt;0,0,IFERROR((V$2*IFERROR(VLOOKUP(J97,Tabla11[],2,0),0))*($L97/SUM($L$5:$L$46)),0))</f>
        <v>2015.35852711852</v>
      </c>
      <c r="W97" s="12" t="n">
        <f aca="false">IF($L97&lt;0,0,IFERROR((W$2*IFERROR(VLOOKUP(J97,Tabla11[],2,0),0))*($L97/SUM($L$5:$L$46)),0))</f>
        <v>2799.10906544239</v>
      </c>
      <c r="X97" s="12" t="n">
        <f aca="false">P97*$X$2</f>
        <v>157257.371428571</v>
      </c>
      <c r="Y97" s="12" t="n">
        <f aca="false">+X97*IFERROR(VLOOKUP(J97,Tabla11[],4,0),0)</f>
        <v>23588.6057142857</v>
      </c>
      <c r="Z97" s="12" t="n">
        <f aca="false">IF(L97&gt;0,$Z$2/12,0)</f>
        <v>25833.3333333333</v>
      </c>
      <c r="AA97" s="12" t="n">
        <f aca="false">P97-SUM(Q97:Z97)</f>
        <v>109737.429086204</v>
      </c>
      <c r="AB97" s="12" t="n">
        <f aca="false">IF($L97&lt;0,0,IFERROR((AB$2*IFERROR(VLOOKUP(J97,Tabla11[],2,0),0))*($L97/SUM($L$5:$L$46)),0))</f>
        <v>3214.59702939428</v>
      </c>
      <c r="AC97" s="12" t="n">
        <f aca="false">L97-L97*IFERROR(VLOOKUP(J97,Tabla11[],3,0),0)-Q97-T97-U97-V97-W97-L97*$X$2-(L97*$X$2)*IFERROR(VLOOKUP(J97,Tabla11[],4,0),0)-AB97-Z97</f>
        <v>9144.22897988698</v>
      </c>
      <c r="AD97" s="12" t="n">
        <f aca="false">AA97-AB97</f>
        <v>106522.83205681</v>
      </c>
      <c r="AE97" s="12" t="n">
        <f aca="false">ROUND(AD97-AC97,9)</f>
        <v>97378.603076923</v>
      </c>
    </row>
    <row r="98" customFormat="false" ht="14.4" hidden="false" customHeight="false" outlineLevel="0" collapsed="false">
      <c r="A98" s="15"/>
      <c r="B98" s="15" t="s">
        <v>30</v>
      </c>
      <c r="C98" s="16"/>
      <c r="D98" s="15"/>
      <c r="E98" s="15" t="s">
        <v>30</v>
      </c>
      <c r="F98" s="16"/>
      <c r="G98" s="16" t="n">
        <v>1</v>
      </c>
      <c r="H98" s="16" t="s">
        <v>32</v>
      </c>
      <c r="I98" s="13" t="s">
        <v>38</v>
      </c>
      <c r="J98" s="16" t="s">
        <v>116</v>
      </c>
      <c r="K98" s="16" t="s">
        <v>124</v>
      </c>
      <c r="L98" s="12" t="n">
        <f aca="false">IFERROR(VLOOKUP(CONCATENATE(J98,K98),Ventas!D:H,4,0),0)</f>
        <v>636723.516483517</v>
      </c>
      <c r="M98" s="15" t="n">
        <f aca="false">IF(SUM(C98,F98)&gt;0,L98*0.1,0)</f>
        <v>0</v>
      </c>
      <c r="N98" s="17" t="n">
        <f aca="false">SUM(L98:M98)</f>
        <v>636723.516483517</v>
      </c>
      <c r="O98" s="15" t="n">
        <f aca="false">N98*IFERROR(VLOOKUP(J98,Tabla11[],3,0),0)</f>
        <v>222853.230769231</v>
      </c>
      <c r="P98" s="15" t="n">
        <f aca="false">N98-O98</f>
        <v>413870.285714286</v>
      </c>
      <c r="Q98" s="12" t="n">
        <f aca="false">IFERROR(G98/SUMIF(I:I,I98,G:G),0)*VLOOKUP(H98,Modelos[],14,0)+IFERROR(G98/SUMIF(I:I,I98,G:G),0)*VLOOKUP(I98,Tabla13[],2,0)</f>
        <v>51647.6115349265</v>
      </c>
      <c r="R98" s="15" t="n">
        <f aca="false">IFERROR(VLOOKUP(A98,Modelos[],IF(B98="EST",15,14),0),0)*C98</f>
        <v>0</v>
      </c>
      <c r="S98" s="15" t="n">
        <f aca="false">IFERROR(VLOOKUP(D98,Modelos[],IF(E98="EST",15,14),0),0)*F98</f>
        <v>0</v>
      </c>
      <c r="T98" s="15" t="n">
        <f aca="false">IF($L98&lt;0,0,IFERROR((T$2*IFERROR(VLOOKUP(J98,Tabla11[],2,0),0))*($L98/SUM($L$5:$L$46)),0))</f>
        <v>2121.60994898512</v>
      </c>
      <c r="U98" s="15" t="n">
        <f aca="false">IF($L98&lt;0,0,IFERROR((U$2*IFERROR(VLOOKUP(J98,Tabla11[],2,0),0))*($L98/SUM($L$5:$L$46)),0))</f>
        <v>412.535267858218</v>
      </c>
      <c r="V98" s="15" t="n">
        <f aca="false">IF($L98&lt;0,0,IFERROR((V$2*IFERROR(VLOOKUP(J98,Tabla11[],2,0),0))*($L98/SUM($L$5:$L$46)),0))</f>
        <v>2121.60994898512</v>
      </c>
      <c r="W98" s="15" t="n">
        <f aca="false">IF($L98&lt;0,0,IFERROR((W$2*IFERROR(VLOOKUP(J98,Tabla11[],2,0),0))*($L98/SUM($L$5:$L$46)),0))</f>
        <v>2946.68048470156</v>
      </c>
      <c r="X98" s="15" t="n">
        <f aca="false">P98*$X$2</f>
        <v>165548.114285714</v>
      </c>
      <c r="Y98" s="15" t="n">
        <f aca="false">+X98*IFERROR(VLOOKUP(J98,Tabla11[],4,0),0)</f>
        <v>24832.2171428571</v>
      </c>
      <c r="Z98" s="15" t="n">
        <f aca="false">IF(L98&gt;0,$Z$2/12,0)</f>
        <v>25833.3333333333</v>
      </c>
      <c r="AA98" s="15" t="n">
        <f aca="false">P98-SUM(Q98:Z98)</f>
        <v>138406.573766924</v>
      </c>
      <c r="AB98" s="15" t="n">
        <f aca="false">IF($L98&lt;0,0,IFERROR((AB$2*IFERROR(VLOOKUP(J98,Tabla11[],2,0),0))*($L98/SUM($L$5:$L$46)),0))</f>
        <v>3384.07332877493</v>
      </c>
      <c r="AC98" s="15" t="n">
        <f aca="false">L98-L98*IFERROR(VLOOKUP(J98,Tabla11[],3,0),0)-Q98-T98-U98-V98-W98-L98*$X$2-(L98*$X$2)*IFERROR(VLOOKUP(J98,Tabla11[],4,0),0)-AB98-Z98</f>
        <v>32510.0142843034</v>
      </c>
      <c r="AD98" s="15" t="n">
        <f aca="false">AA98-AB98</f>
        <v>135022.50043815</v>
      </c>
      <c r="AE98" s="15" t="n">
        <f aca="false">ROUND(AD98-AC98,9)</f>
        <v>102512.486153846</v>
      </c>
    </row>
    <row r="99" customFormat="false" ht="14.4" hidden="false" customHeight="false" outlineLevel="0" collapsed="false">
      <c r="A99" s="12"/>
      <c r="B99" s="12" t="s">
        <v>30</v>
      </c>
      <c r="C99" s="13"/>
      <c r="D99" s="12"/>
      <c r="E99" s="12" t="s">
        <v>30</v>
      </c>
      <c r="F99" s="13"/>
      <c r="G99" s="13" t="n">
        <v>3</v>
      </c>
      <c r="H99" s="13" t="s">
        <v>32</v>
      </c>
      <c r="I99" s="13" t="s">
        <v>44</v>
      </c>
      <c r="J99" s="13" t="s">
        <v>116</v>
      </c>
      <c r="K99" s="13" t="s">
        <v>125</v>
      </c>
      <c r="L99" s="12" t="n">
        <f aca="false">IFERROR(VLOOKUP(CONCATENATE(J99,K99),Ventas!D:H,4,0),0)</f>
        <v>691485.494505494</v>
      </c>
      <c r="M99" s="12" t="n">
        <f aca="false">IF(SUM(C99,F99)&gt;0,L99*0.1,0)</f>
        <v>0</v>
      </c>
      <c r="N99" s="14" t="n">
        <f aca="false">SUM(L99:M99)</f>
        <v>691485.494505494</v>
      </c>
      <c r="O99" s="12" t="n">
        <f aca="false">N99*IFERROR(VLOOKUP(J99,Tabla11[],3,0),0)</f>
        <v>242019.923076923</v>
      </c>
      <c r="P99" s="12" t="n">
        <f aca="false">N99-O99</f>
        <v>449465.571428571</v>
      </c>
      <c r="Q99" s="12" t="n">
        <f aca="false">IFERROR(G99/SUMIF(I:I,I99,G:G),0)*VLOOKUP(H99,Modelos[],14,0)+IFERROR(G99/SUMIF(I:I,I99,G:G),0)*VLOOKUP(I99,Tabla13[],2,0)</f>
        <v>106001.174511719</v>
      </c>
      <c r="R99" s="12" t="n">
        <f aca="false">IFERROR(VLOOKUP(A99,Modelos[],IF(B99="EST",15,14),0),0)*C99</f>
        <v>0</v>
      </c>
      <c r="S99" s="12" t="n">
        <f aca="false">IFERROR(VLOOKUP(D99,Modelos[],IF(E99="EST",15,14),0),0)*F99</f>
        <v>0</v>
      </c>
      <c r="T99" s="12" t="n">
        <f aca="false">IF($L99&lt;0,0,IFERROR((T$2*IFERROR(VLOOKUP(J99,Tabla11[],2,0),0))*($L99/SUM($L$5:$L$46)),0))</f>
        <v>2304.08091855004</v>
      </c>
      <c r="U99" s="12" t="n">
        <f aca="false">IF($L99&lt;0,0,IFERROR((U$2*IFERROR(VLOOKUP(J99,Tabla11[],2,0),0))*($L99/SUM($L$5:$L$46)),0))</f>
        <v>448.015734162508</v>
      </c>
      <c r="V99" s="12" t="n">
        <f aca="false">IF($L99&lt;0,0,IFERROR((V$2*IFERROR(VLOOKUP(J99,Tabla11[],2,0),0))*($L99/SUM($L$5:$L$46)),0))</f>
        <v>2304.08091855004</v>
      </c>
      <c r="W99" s="12" t="n">
        <f aca="false">IF($L99&lt;0,0,IFERROR((W$2*IFERROR(VLOOKUP(J99,Tabla11[],2,0),0))*($L99/SUM($L$5:$L$46)),0))</f>
        <v>3200.11238687506</v>
      </c>
      <c r="X99" s="12" t="n">
        <f aca="false">P99*$X$2</f>
        <v>179786.228571429</v>
      </c>
      <c r="Y99" s="12" t="n">
        <f aca="false">+X99*IFERROR(VLOOKUP(J99,Tabla11[],4,0),0)</f>
        <v>26967.9342857143</v>
      </c>
      <c r="Z99" s="12" t="n">
        <f aca="false">IF(L99&gt;0,$Z$2/12,0)</f>
        <v>25833.3333333333</v>
      </c>
      <c r="AA99" s="12" t="n">
        <f aca="false">P99-SUM(Q99:Z99)</f>
        <v>102620.610768239</v>
      </c>
      <c r="AB99" s="12" t="n">
        <f aca="false">IF($L99&lt;0,0,IFERROR((AB$2*IFERROR(VLOOKUP(J99,Tabla11[],2,0),0))*($L99/SUM($L$5:$L$46)),0))</f>
        <v>3675.12359542537</v>
      </c>
      <c r="AC99" s="12" t="n">
        <f aca="false">L99-L99*IFERROR(VLOOKUP(J99,Tabla11[],3,0),0)-Q99-T99-U99-V99-W99-L99*$X$2-(L99*$X$2)*IFERROR(VLOOKUP(J99,Tabla11[],4,0),0)-AB99-Z99</f>
        <v>-12383.6774425713</v>
      </c>
      <c r="AD99" s="12" t="n">
        <f aca="false">AA99-AB99</f>
        <v>98945.4871728135</v>
      </c>
      <c r="AE99" s="12" t="n">
        <f aca="false">ROUND(AD99-AC99,9)</f>
        <v>111329.164615385</v>
      </c>
    </row>
    <row r="100" customFormat="false" ht="14.4" hidden="false" customHeight="false" outlineLevel="0" collapsed="false">
      <c r="A100" s="15"/>
      <c r="B100" s="15" t="s">
        <v>30</v>
      </c>
      <c r="C100" s="16"/>
      <c r="D100" s="15"/>
      <c r="E100" s="15" t="s">
        <v>30</v>
      </c>
      <c r="F100" s="16"/>
      <c r="G100" s="16" t="n">
        <v>3</v>
      </c>
      <c r="H100" s="16" t="s">
        <v>50</v>
      </c>
      <c r="I100" s="16" t="s">
        <v>64</v>
      </c>
      <c r="J100" s="16" t="s">
        <v>116</v>
      </c>
      <c r="K100" s="16" t="s">
        <v>126</v>
      </c>
      <c r="L100" s="12" t="n">
        <f aca="false">IFERROR(VLOOKUP(CONCATENATE(J100,K100),Ventas!D:H,4,0),0)</f>
        <v>653922.197802198</v>
      </c>
      <c r="M100" s="15" t="n">
        <f aca="false">IF(SUM(C100,F100)&gt;0,L100*0.1,0)</f>
        <v>0</v>
      </c>
      <c r="N100" s="17" t="n">
        <f aca="false">SUM(L100:M100)</f>
        <v>653922.197802198</v>
      </c>
      <c r="O100" s="15" t="n">
        <f aca="false">N100*IFERROR(VLOOKUP(J100,Tabla11[],3,0),0)</f>
        <v>228872.769230769</v>
      </c>
      <c r="P100" s="15" t="n">
        <f aca="false">N100-O100</f>
        <v>425049.428571429</v>
      </c>
      <c r="Q100" s="12" t="n">
        <f aca="false">IFERROR(G100/SUMIF(I:I,I100,G:G),0)*VLOOKUP(H100,Modelos[],14,0)+IFERROR(G100/SUMIF(I:I,I100,G:G),0)*VLOOKUP(I100,Tabla13[],2,0)</f>
        <v>73262.0139780406</v>
      </c>
      <c r="R100" s="15" t="n">
        <f aca="false">IFERROR(VLOOKUP(A100,Modelos[],IF(B100="EST",15,14),0),0)*C100</f>
        <v>0</v>
      </c>
      <c r="S100" s="15" t="n">
        <f aca="false">IFERROR(VLOOKUP(D100,Modelos[],IF(E100="EST",15,14),0),0)*F100</f>
        <v>0</v>
      </c>
      <c r="T100" s="15" t="n">
        <f aca="false">IF($L100&lt;0,0,IFERROR((T$2*IFERROR(VLOOKUP(J100,Tabla11[],2,0),0))*($L100/SUM($L$5:$L$46)),0))</f>
        <v>2178.91722985431</v>
      </c>
      <c r="U100" s="15" t="n">
        <f aca="false">IF($L100&lt;0,0,IFERROR((U$2*IFERROR(VLOOKUP(J100,Tabla11[],2,0),0))*($L100/SUM($L$5:$L$46)),0))</f>
        <v>423.678350249449</v>
      </c>
      <c r="V100" s="15" t="n">
        <f aca="false">IF($L100&lt;0,0,IFERROR((V$2*IFERROR(VLOOKUP(J100,Tabla11[],2,0),0))*($L100/SUM($L$5:$L$46)),0))</f>
        <v>2178.91722985431</v>
      </c>
      <c r="W100" s="15" t="n">
        <f aca="false">IF($L100&lt;0,0,IFERROR((W$2*IFERROR(VLOOKUP(J100,Tabla11[],2,0),0))*($L100/SUM($L$5:$L$46)),0))</f>
        <v>3026.27393035321</v>
      </c>
      <c r="X100" s="15" t="n">
        <f aca="false">P100*$X$2</f>
        <v>170019.771428571</v>
      </c>
      <c r="Y100" s="15" t="n">
        <f aca="false">+X100*IFERROR(VLOOKUP(J100,Tabla11[],4,0),0)</f>
        <v>25502.9657142857</v>
      </c>
      <c r="Z100" s="15" t="n">
        <f aca="false">IF(L100&gt;0,$Z$2/12,0)</f>
        <v>25833.3333333333</v>
      </c>
      <c r="AA100" s="15" t="n">
        <f aca="false">P100-SUM(Q100:Z100)</f>
        <v>122623.557376886</v>
      </c>
      <c r="AB100" s="15" t="n">
        <f aca="false">IF($L100&lt;0,0,IFERROR((AB$2*IFERROR(VLOOKUP(J100,Tabla11[],2,0),0))*($L100/SUM($L$5:$L$46)),0))</f>
        <v>3475.48129036882</v>
      </c>
      <c r="AC100" s="15" t="n">
        <f aca="false">L100-L100*IFERROR(VLOOKUP(J100,Tabla11[],3,0),0)-Q100-T100-U100-V100-W100-L100*$X$2-(L100*$X$2)*IFERROR(VLOOKUP(J100,Tabla11[],4,0),0)-AB100-Z100</f>
        <v>13866.6022403635</v>
      </c>
      <c r="AD100" s="15" t="n">
        <f aca="false">AA100-AB100</f>
        <v>119148.076086517</v>
      </c>
      <c r="AE100" s="15" t="n">
        <f aca="false">ROUND(AD100-AC100,9)</f>
        <v>105281.473846154</v>
      </c>
    </row>
    <row r="101" customFormat="false" ht="14.4" hidden="false" customHeight="false" outlineLevel="0" collapsed="false">
      <c r="A101" s="12"/>
      <c r="B101" s="12" t="s">
        <v>30</v>
      </c>
      <c r="C101" s="13"/>
      <c r="D101" s="12"/>
      <c r="E101" s="12" t="s">
        <v>30</v>
      </c>
      <c r="F101" s="13"/>
      <c r="G101" s="13" t="n">
        <v>2</v>
      </c>
      <c r="H101" s="13" t="s">
        <v>32</v>
      </c>
      <c r="I101" s="13" t="s">
        <v>38</v>
      </c>
      <c r="J101" s="13" t="s">
        <v>116</v>
      </c>
      <c r="K101" s="13" t="s">
        <v>127</v>
      </c>
      <c r="L101" s="12" t="n">
        <f aca="false">IFERROR(VLOOKUP(CONCATENATE(J101,K101),Ventas!D:H,4,0),0)</f>
        <v>662225.714285714</v>
      </c>
      <c r="M101" s="12" t="n">
        <f aca="false">IF(SUM(C101,F101)&gt;0,L101*0.1,0)</f>
        <v>0</v>
      </c>
      <c r="N101" s="14" t="n">
        <f aca="false">SUM(L101:M101)</f>
        <v>662225.714285714</v>
      </c>
      <c r="O101" s="12" t="n">
        <f aca="false">N101*IFERROR(VLOOKUP(J101,Tabla11[],3,0),0)</f>
        <v>231779</v>
      </c>
      <c r="P101" s="12" t="n">
        <f aca="false">N101-O101</f>
        <v>430446.714285714</v>
      </c>
      <c r="Q101" s="12" t="n">
        <f aca="false">IFERROR(G101/SUMIF(I:I,I101,G:G),0)*VLOOKUP(H101,Modelos[],14,0)+IFERROR(G101/SUMIF(I:I,I101,G:G),0)*VLOOKUP(I101,Tabla13[],2,0)</f>
        <v>103295.223069853</v>
      </c>
      <c r="R101" s="12" t="n">
        <f aca="false">IFERROR(VLOOKUP(A101,Modelos[],IF(B101="EST",15,14),0),0)*C101</f>
        <v>0</v>
      </c>
      <c r="S101" s="12" t="n">
        <f aca="false">IFERROR(VLOOKUP(D101,Modelos[],IF(E101="EST",15,14),0),0)*F101</f>
        <v>0</v>
      </c>
      <c r="T101" s="12" t="n">
        <f aca="false">IF($L101&lt;0,0,IFERROR((T$2*IFERROR(VLOOKUP(J101,Tabla11[],2,0),0))*($L101/SUM($L$5:$L$46)),0))</f>
        <v>2206.58516220945</v>
      </c>
      <c r="U101" s="12" t="n">
        <f aca="false">IF($L101&lt;0,0,IFERROR((U$2*IFERROR(VLOOKUP(J101,Tabla11[],2,0),0))*($L101/SUM($L$5:$L$46)),0))</f>
        <v>429.05822598517</v>
      </c>
      <c r="V101" s="12" t="n">
        <f aca="false">IF($L101&lt;0,0,IFERROR((V$2*IFERROR(VLOOKUP(J101,Tabla11[],2,0),0))*($L101/SUM($L$5:$L$46)),0))</f>
        <v>2206.58516220945</v>
      </c>
      <c r="W101" s="12" t="n">
        <f aca="false">IF($L101&lt;0,0,IFERROR((W$2*IFERROR(VLOOKUP(J101,Tabla11[],2,0),0))*($L101/SUM($L$5:$L$46)),0))</f>
        <v>3064.70161417979</v>
      </c>
      <c r="X101" s="12" t="n">
        <f aca="false">P101*$X$2</f>
        <v>172178.685714286</v>
      </c>
      <c r="Y101" s="12" t="n">
        <f aca="false">+X101*IFERROR(VLOOKUP(J101,Tabla11[],4,0),0)</f>
        <v>25826.8028571429</v>
      </c>
      <c r="Z101" s="12" t="n">
        <f aca="false">IF(L101&gt;0,$Z$2/12,0)</f>
        <v>25833.3333333333</v>
      </c>
      <c r="AA101" s="12" t="n">
        <f aca="false">P101-SUM(Q101:Z101)</f>
        <v>95405.7391465156</v>
      </c>
      <c r="AB101" s="12" t="n">
        <f aca="false">IF($L101&lt;0,0,IFERROR((AB$2*IFERROR(VLOOKUP(J101,Tabla11[],2,0),0))*($L101/SUM($L$5:$L$46)),0))</f>
        <v>3519.61301778184</v>
      </c>
      <c r="AC101" s="12" t="n">
        <f aca="false">L101-L101*IFERROR(VLOOKUP(J101,Tabla11[],3,0),0)-Q101-T101-U101-V101-W101-L101*$X$2-(L101*$X$2)*IFERROR(VLOOKUP(J101,Tabla11[],4,0),0)-AB101-Z101</f>
        <v>-14732.2138712663</v>
      </c>
      <c r="AD101" s="12" t="n">
        <f aca="false">AA101-AB101</f>
        <v>91886.1261287338</v>
      </c>
      <c r="AE101" s="12" t="n">
        <f aca="false">ROUND(AD101-AC101,9)</f>
        <v>106618.34</v>
      </c>
    </row>
    <row r="102" customFormat="false" ht="14.4" hidden="false" customHeight="false" outlineLevel="0" collapsed="false">
      <c r="A102" s="15"/>
      <c r="B102" s="15" t="s">
        <v>30</v>
      </c>
      <c r="C102" s="16"/>
      <c r="D102" s="15"/>
      <c r="E102" s="15" t="s">
        <v>30</v>
      </c>
      <c r="F102" s="16"/>
      <c r="G102" s="16" t="n">
        <v>2</v>
      </c>
      <c r="H102" s="16" t="s">
        <v>40</v>
      </c>
      <c r="I102" s="16" t="s">
        <v>41</v>
      </c>
      <c r="J102" s="16" t="s">
        <v>116</v>
      </c>
      <c r="K102" s="16" t="s">
        <v>128</v>
      </c>
      <c r="L102" s="12" t="n">
        <f aca="false">IFERROR(VLOOKUP(CONCATENATE(J102,K102),Ventas!D:H,4,0),0)</f>
        <v>557030.769230769</v>
      </c>
      <c r="M102" s="15" t="n">
        <f aca="false">IF(SUM(C102,F102)&gt;0,L102*0.1,0)</f>
        <v>0</v>
      </c>
      <c r="N102" s="17" t="n">
        <f aca="false">SUM(L102:M102)</f>
        <v>557030.769230769</v>
      </c>
      <c r="O102" s="15" t="n">
        <f aca="false">N102*IFERROR(VLOOKUP(J102,Tabla11[],3,0),0)</f>
        <v>194960.769230769</v>
      </c>
      <c r="P102" s="15" t="n">
        <f aca="false">N102-O102</f>
        <v>362070</v>
      </c>
      <c r="Q102" s="12" t="n">
        <f aca="false">IFERROR(G102/SUMIF(I:I,I102,G:G),0)*VLOOKUP(H102,Modelos[],14,0)+IFERROR(G102/SUMIF(I:I,I102,G:G),0)*VLOOKUP(I102,Tabla13[],2,0)</f>
        <v>43497.4418933824</v>
      </c>
      <c r="R102" s="15" t="n">
        <f aca="false">IFERROR(VLOOKUP(A102,Modelos[],IF(B102="EST",15,14),0),0)*C102</f>
        <v>0</v>
      </c>
      <c r="S102" s="15" t="n">
        <f aca="false">IFERROR(VLOOKUP(D102,Modelos[],IF(E102="EST",15,14),0),0)*F102</f>
        <v>0</v>
      </c>
      <c r="T102" s="15" t="n">
        <f aca="false">IF($L102&lt;0,0,IFERROR((T$2*IFERROR(VLOOKUP(J102,Tabla11[],2,0),0))*($L102/SUM($L$5:$L$46)),0))</f>
        <v>1856.06780854847</v>
      </c>
      <c r="U102" s="15" t="n">
        <f aca="false">IF($L102&lt;0,0,IFERROR((U$2*IFERROR(VLOOKUP(J102,Tabla11[],2,0),0))*($L102/SUM($L$5:$L$46)),0))</f>
        <v>360.902073884424</v>
      </c>
      <c r="V102" s="15" t="n">
        <f aca="false">IF($L102&lt;0,0,IFERROR((V$2*IFERROR(VLOOKUP(J102,Tabla11[],2,0),0))*($L102/SUM($L$5:$L$46)),0))</f>
        <v>1856.06780854847</v>
      </c>
      <c r="W102" s="15" t="n">
        <f aca="false">IF($L102&lt;0,0,IFERROR((W$2*IFERROR(VLOOKUP(J102,Tabla11[],2,0),0))*($L102/SUM($L$5:$L$46)),0))</f>
        <v>2577.87195631732</v>
      </c>
      <c r="X102" s="15" t="n">
        <f aca="false">P102*$X$2</f>
        <v>144828</v>
      </c>
      <c r="Y102" s="15" t="n">
        <f aca="false">+X102*IFERROR(VLOOKUP(J102,Tabla11[],4,0),0)</f>
        <v>21724.2</v>
      </c>
      <c r="Z102" s="15" t="n">
        <f aca="false">IF(L102&gt;0,$Z$2/12,0)</f>
        <v>25833.3333333333</v>
      </c>
      <c r="AA102" s="15" t="n">
        <f aca="false">P102-SUM(Q102:Z102)</f>
        <v>119536.115125986</v>
      </c>
      <c r="AB102" s="15" t="n">
        <f aca="false">IF($L102&lt;0,0,IFERROR((AB$2*IFERROR(VLOOKUP(J102,Tabla11[],2,0),0))*($L102/SUM($L$5:$L$46)),0))</f>
        <v>2960.52041531535</v>
      </c>
      <c r="AC102" s="15" t="n">
        <f aca="false">L102-L102*IFERROR(VLOOKUP(J102,Tabla11[],3,0),0)-Q102-T102-U102-V102-W102-L102*$X$2-(L102*$X$2)*IFERROR(VLOOKUP(J102,Tabla11[],4,0),0)-AB102-Z102</f>
        <v>26893.6408645164</v>
      </c>
      <c r="AD102" s="15" t="n">
        <f aca="false">AA102-AB102</f>
        <v>116575.59471067</v>
      </c>
      <c r="AE102" s="15" t="n">
        <f aca="false">ROUND(AD102-AC102,9)</f>
        <v>89681.953846154</v>
      </c>
    </row>
    <row r="103" customFormat="false" ht="14.4" hidden="false" customHeight="false" outlineLevel="0" collapsed="false">
      <c r="A103" s="12"/>
      <c r="B103" s="12" t="s">
        <v>30</v>
      </c>
      <c r="C103" s="13"/>
      <c r="D103" s="12"/>
      <c r="E103" s="12" t="s">
        <v>30</v>
      </c>
      <c r="F103" s="13"/>
      <c r="G103" s="13" t="n">
        <v>3</v>
      </c>
      <c r="H103" s="13" t="s">
        <v>40</v>
      </c>
      <c r="I103" s="13" t="s">
        <v>41</v>
      </c>
      <c r="J103" s="13" t="s">
        <v>116</v>
      </c>
      <c r="K103" s="13" t="s">
        <v>129</v>
      </c>
      <c r="L103" s="12" t="n">
        <f aca="false">IFERROR(VLOOKUP(CONCATENATE(J103,K103),Ventas!D:H,4,0),0)</f>
        <v>547716.263736264</v>
      </c>
      <c r="M103" s="12" t="n">
        <f aca="false">IF(SUM(C103,F103)&gt;0,L103*0.1,0)</f>
        <v>0</v>
      </c>
      <c r="N103" s="14" t="n">
        <f aca="false">SUM(L103:M103)</f>
        <v>547716.263736264</v>
      </c>
      <c r="O103" s="12" t="n">
        <f aca="false">N103*IFERROR(VLOOKUP(J103,Tabla11[],3,0),0)</f>
        <v>191700.692307692</v>
      </c>
      <c r="P103" s="12" t="n">
        <f aca="false">N103-O103</f>
        <v>356015.571428571</v>
      </c>
      <c r="Q103" s="12" t="n">
        <f aca="false">IFERROR(G103/SUMIF(I:I,I103,G:G),0)*VLOOKUP(H103,Modelos[],14,0)+IFERROR(G103/SUMIF(I:I,I103,G:G),0)*VLOOKUP(I103,Tabla13[],2,0)</f>
        <v>65246.1628400735</v>
      </c>
      <c r="R103" s="12" t="n">
        <f aca="false">IFERROR(VLOOKUP(A103,Modelos[],IF(B103="EST",15,14),0),0)*C103</f>
        <v>0</v>
      </c>
      <c r="S103" s="12" t="n">
        <f aca="false">IFERROR(VLOOKUP(D103,Modelos[],IF(E103="EST",15,14),0),0)*F103</f>
        <v>0</v>
      </c>
      <c r="T103" s="12" t="n">
        <f aca="false">IF($L103&lt;0,0,IFERROR((T$2*IFERROR(VLOOKUP(J103,Tabla11[],2,0),0))*($L103/SUM($L$5:$L$46)),0))</f>
        <v>1825.0311858772</v>
      </c>
      <c r="U103" s="12" t="n">
        <f aca="false">IF($L103&lt;0,0,IFERROR((U$2*IFERROR(VLOOKUP(J103,Tabla11[],2,0),0))*($L103/SUM($L$5:$L$46)),0))</f>
        <v>354.867175031678</v>
      </c>
      <c r="V103" s="12" t="n">
        <f aca="false">IF($L103&lt;0,0,IFERROR((V$2*IFERROR(VLOOKUP(J103,Tabla11[],2,0),0))*($L103/SUM($L$5:$L$46)),0))</f>
        <v>1825.0311858772</v>
      </c>
      <c r="W103" s="12" t="n">
        <f aca="false">IF($L103&lt;0,0,IFERROR((W$2*IFERROR(VLOOKUP(J103,Tabla11[],2,0),0))*($L103/SUM($L$5:$L$46)),0))</f>
        <v>2534.76553594056</v>
      </c>
      <c r="X103" s="12" t="n">
        <f aca="false">P103*$X$2</f>
        <v>142406.228571429</v>
      </c>
      <c r="Y103" s="12" t="n">
        <f aca="false">+X103*IFERROR(VLOOKUP(J103,Tabla11[],4,0),0)</f>
        <v>21360.9342857143</v>
      </c>
      <c r="Z103" s="12" t="n">
        <f aca="false">IF(L103&gt;0,$Z$2/12,0)</f>
        <v>25833.3333333333</v>
      </c>
      <c r="AA103" s="12" t="n">
        <f aca="false">P103-SUM(Q103:Z103)</f>
        <v>94629.2173152951</v>
      </c>
      <c r="AB103" s="12" t="n">
        <f aca="false">IF($L103&lt;0,0,IFERROR((AB$2*IFERROR(VLOOKUP(J103,Tabla11[],2,0),0))*($L103/SUM($L$5:$L$46)),0))</f>
        <v>2911.01545939858</v>
      </c>
      <c r="AC103" s="12" t="n">
        <f aca="false">L103-L103*IFERROR(VLOOKUP(J103,Tabla11[],3,0),0)-Q103-T103-U103-V103-W103-L103*$X$2-(L103*$X$2)*IFERROR(VLOOKUP(J103,Tabla11[],4,0),0)-AB103-Z103</f>
        <v>3535.88339435798</v>
      </c>
      <c r="AD103" s="12" t="n">
        <f aca="false">AA103-AB103</f>
        <v>91718.2018558965</v>
      </c>
      <c r="AE103" s="12" t="n">
        <f aca="false">ROUND(AD103-AC103,9)</f>
        <v>88182.318461539</v>
      </c>
    </row>
    <row r="104" customFormat="false" ht="14.4" hidden="false" customHeight="false" outlineLevel="0" collapsed="false">
      <c r="A104" s="15"/>
      <c r="B104" s="15" t="s">
        <v>30</v>
      </c>
      <c r="C104" s="16"/>
      <c r="D104" s="15"/>
      <c r="E104" s="15" t="s">
        <v>30</v>
      </c>
      <c r="F104" s="16"/>
      <c r="G104" s="16" t="n">
        <v>1</v>
      </c>
      <c r="H104" s="16" t="s">
        <v>50</v>
      </c>
      <c r="I104" s="16" t="s">
        <v>64</v>
      </c>
      <c r="J104" s="16" t="s">
        <v>116</v>
      </c>
      <c r="K104" s="16" t="s">
        <v>130</v>
      </c>
      <c r="L104" s="12" t="n">
        <f aca="false">IFERROR(VLOOKUP(CONCATENATE(J104,K104),Ventas!D:H,4,0),0)</f>
        <v>445859.56043956</v>
      </c>
      <c r="M104" s="15" t="n">
        <f aca="false">IF(SUM(C104,F104)&gt;0,L104*0.1,0)</f>
        <v>0</v>
      </c>
      <c r="N104" s="17" t="n">
        <f aca="false">SUM(L104:M104)</f>
        <v>445859.56043956</v>
      </c>
      <c r="O104" s="15" t="n">
        <f aca="false">N104*IFERROR(VLOOKUP(J104,Tabla11[],3,0),0)</f>
        <v>156050.846153846</v>
      </c>
      <c r="P104" s="15" t="n">
        <f aca="false">N104-O104</f>
        <v>289808.714285714</v>
      </c>
      <c r="Q104" s="12" t="n">
        <f aca="false">IFERROR(G104/SUMIF(I:I,I104,G:G),0)*VLOOKUP(H104,Modelos[],14,0)+IFERROR(G104/SUMIF(I:I,I104,G:G),0)*VLOOKUP(I104,Tabla13[],2,0)</f>
        <v>24420.6713260135</v>
      </c>
      <c r="R104" s="15" t="n">
        <f aca="false">IFERROR(VLOOKUP(A104,Modelos[],IF(B104="EST",15,14),0),0)*C104</f>
        <v>0</v>
      </c>
      <c r="S104" s="15" t="n">
        <f aca="false">IFERROR(VLOOKUP(D104,Modelos[],IF(E104="EST",15,14),0),0)*F104</f>
        <v>0</v>
      </c>
      <c r="T104" s="15" t="n">
        <f aca="false">IF($L104&lt;0,0,IFERROR((T$2*IFERROR(VLOOKUP(J104,Tabla11[],2,0),0))*($L104/SUM($L$5:$L$46)),0))</f>
        <v>1485.63710117528</v>
      </c>
      <c r="U104" s="15" t="n">
        <f aca="false">IF($L104&lt;0,0,IFERROR((U$2*IFERROR(VLOOKUP(J104,Tabla11[],2,0),0))*($L104/SUM($L$5:$L$46)),0))</f>
        <v>288.873880784083</v>
      </c>
      <c r="V104" s="15" t="n">
        <f aca="false">IF($L104&lt;0,0,IFERROR((V$2*IFERROR(VLOOKUP(J104,Tabla11[],2,0),0))*($L104/SUM($L$5:$L$46)),0))</f>
        <v>1485.63710117528</v>
      </c>
      <c r="W104" s="15" t="n">
        <f aca="false">IF($L104&lt;0,0,IFERROR((W$2*IFERROR(VLOOKUP(J104,Tabla11[],2,0),0))*($L104/SUM($L$5:$L$46)),0))</f>
        <v>2063.38486274345</v>
      </c>
      <c r="X104" s="15" t="n">
        <f aca="false">P104*$X$2</f>
        <v>115923.485714286</v>
      </c>
      <c r="Y104" s="15" t="n">
        <f aca="false">+X104*IFERROR(VLOOKUP(J104,Tabla11[],4,0),0)</f>
        <v>17388.5228571429</v>
      </c>
      <c r="Z104" s="15" t="n">
        <f aca="false">IF(L104&gt;0,$Z$2/12,0)</f>
        <v>25833.3333333333</v>
      </c>
      <c r="AA104" s="15" t="n">
        <f aca="false">P104-SUM(Q104:Z104)</f>
        <v>100919.168109061</v>
      </c>
      <c r="AB104" s="15" t="n">
        <f aca="false">IF($L104&lt;0,0,IFERROR((AB$2*IFERROR(VLOOKUP(J104,Tabla11[],2,0),0))*($L104/SUM($L$5:$L$46)),0))</f>
        <v>2369.66502383282</v>
      </c>
      <c r="AC104" s="15" t="n">
        <f aca="false">L104-L104*IFERROR(VLOOKUP(J104,Tabla11[],3,0),0)-Q104-T104-U104-V104-W104-L104*$X$2-(L104*$X$2)*IFERROR(VLOOKUP(J104,Tabla11[],4,0),0)-AB104-Z104</f>
        <v>26766.1138544587</v>
      </c>
      <c r="AD104" s="15" t="n">
        <f aca="false">AA104-AB104</f>
        <v>98549.5030852279</v>
      </c>
      <c r="AE104" s="15" t="n">
        <f aca="false">ROUND(AD104-AC104,9)</f>
        <v>71783.389230769</v>
      </c>
    </row>
    <row r="105" customFormat="false" ht="14.4" hidden="false" customHeight="false" outlineLevel="0" collapsed="false">
      <c r="A105" s="12"/>
      <c r="B105" s="12" t="s">
        <v>30</v>
      </c>
      <c r="C105" s="13"/>
      <c r="D105" s="12"/>
      <c r="E105" s="12" t="s">
        <v>30</v>
      </c>
      <c r="F105" s="13"/>
      <c r="G105" s="13" t="n">
        <v>3</v>
      </c>
      <c r="H105" s="13" t="s">
        <v>40</v>
      </c>
      <c r="I105" s="13" t="s">
        <v>62</v>
      </c>
      <c r="J105" s="13" t="s">
        <v>116</v>
      </c>
      <c r="K105" s="13" t="s">
        <v>131</v>
      </c>
      <c r="L105" s="12" t="n">
        <f aca="false">IFERROR(VLOOKUP(CONCATENATE(J105,K105),Ventas!D:H,4,0),0)</f>
        <v>386915.604395604</v>
      </c>
      <c r="M105" s="12" t="n">
        <f aca="false">IF(SUM(C105,F105)&gt;0,L105*0.1,0)</f>
        <v>0</v>
      </c>
      <c r="N105" s="14" t="n">
        <f aca="false">SUM(L105:M105)</f>
        <v>386915.604395604</v>
      </c>
      <c r="O105" s="12" t="n">
        <f aca="false">N105*IFERROR(VLOOKUP(J105,Tabla11[],3,0),0)</f>
        <v>135420.461538462</v>
      </c>
      <c r="P105" s="12" t="n">
        <f aca="false">N105-O105</f>
        <v>251495.142857143</v>
      </c>
      <c r="Q105" s="12" t="n">
        <f aca="false">IFERROR(G105/SUMIF(I:I,I105,G:G),0)*VLOOKUP(H105,Modelos[],14,0)+IFERROR(G105/SUMIF(I:I,I105,G:G),0)*VLOOKUP(I105,Tabla13[],2,0)</f>
        <v>121576.085364583</v>
      </c>
      <c r="R105" s="12" t="n">
        <f aca="false">IFERROR(VLOOKUP(A105,Modelos[],IF(B105="EST",15,14),0),0)*C105</f>
        <v>0</v>
      </c>
      <c r="S105" s="12" t="n">
        <f aca="false">IFERROR(VLOOKUP(D105,Modelos[],IF(E105="EST",15,14),0),0)*F105</f>
        <v>0</v>
      </c>
      <c r="T105" s="12" t="n">
        <f aca="false">IF($L105&lt;0,0,IFERROR((T$2*IFERROR(VLOOKUP(J105,Tabla11[],2,0),0))*($L105/SUM($L$5:$L$46)),0))</f>
        <v>1289.2314708853</v>
      </c>
      <c r="U105" s="12" t="n">
        <f aca="false">IF($L105&lt;0,0,IFERROR((U$2*IFERROR(VLOOKUP(J105,Tabla11[],2,0),0))*($L105/SUM($L$5:$L$46)),0))</f>
        <v>250.683897116586</v>
      </c>
      <c r="V105" s="12" t="n">
        <f aca="false">IF($L105&lt;0,0,IFERROR((V$2*IFERROR(VLOOKUP(J105,Tabla11[],2,0),0))*($L105/SUM($L$5:$L$46)),0))</f>
        <v>1289.2314708853</v>
      </c>
      <c r="W105" s="12" t="n">
        <f aca="false">IF($L105&lt;0,0,IFERROR((W$2*IFERROR(VLOOKUP(J105,Tabla11[],2,0),0))*($L105/SUM($L$5:$L$46)),0))</f>
        <v>1790.59926511847</v>
      </c>
      <c r="X105" s="12" t="n">
        <f aca="false">P105*$X$2</f>
        <v>100598.057142857</v>
      </c>
      <c r="Y105" s="12" t="n">
        <f aca="false">+X105*IFERROR(VLOOKUP(J105,Tabla11[],4,0),0)</f>
        <v>15089.7085714286</v>
      </c>
      <c r="Z105" s="12" t="n">
        <f aca="false">IF(L105&gt;0,$Z$2/12,0)</f>
        <v>25833.3333333333</v>
      </c>
      <c r="AA105" s="12" t="n">
        <f aca="false">P105-SUM(Q105:Z105)</f>
        <v>-16221.7876590652</v>
      </c>
      <c r="AB105" s="12" t="n">
        <f aca="false">IF($L105&lt;0,0,IFERROR((AB$2*IFERROR(VLOOKUP(J105,Tabla11[],2,0),0))*($L105/SUM($L$5:$L$46)),0))</f>
        <v>2056.38828066733</v>
      </c>
      <c r="AC105" s="12" t="n">
        <f aca="false">L105-L105*IFERROR(VLOOKUP(J105,Tabla11[],3,0),0)-Q105-T105-U105-V105-W105-L105*$X$2-(L105*$X$2)*IFERROR(VLOOKUP(J105,Tabla11[],4,0),0)-AB105-Z105</f>
        <v>-80571.5882474249</v>
      </c>
      <c r="AD105" s="12" t="n">
        <f aca="false">AA105-AB105</f>
        <v>-18278.1759397325</v>
      </c>
      <c r="AE105" s="12" t="n">
        <f aca="false">ROUND(AD105-AC105,9)</f>
        <v>62293.412307692</v>
      </c>
    </row>
    <row r="106" customFormat="false" ht="14.4" hidden="false" customHeight="false" outlineLevel="0" collapsed="false">
      <c r="A106" s="15"/>
      <c r="B106" s="15" t="s">
        <v>30</v>
      </c>
      <c r="C106" s="16"/>
      <c r="D106" s="15"/>
      <c r="E106" s="15" t="s">
        <v>30</v>
      </c>
      <c r="F106" s="16"/>
      <c r="G106" s="16" t="n">
        <v>2</v>
      </c>
      <c r="H106" s="16" t="s">
        <v>32</v>
      </c>
      <c r="I106" s="16" t="s">
        <v>44</v>
      </c>
      <c r="J106" s="16" t="s">
        <v>116</v>
      </c>
      <c r="K106" s="16" t="s">
        <v>132</v>
      </c>
      <c r="L106" s="12" t="n">
        <f aca="false">IFERROR(VLOOKUP(CONCATENATE(J106,K106),Ventas!D:H,4,0),0)</f>
        <v>439370.989010989</v>
      </c>
      <c r="M106" s="15" t="n">
        <f aca="false">IF(SUM(C106,F106)&gt;0,L106*0.1,0)</f>
        <v>0</v>
      </c>
      <c r="N106" s="17" t="n">
        <f aca="false">SUM(L106:M106)</f>
        <v>439370.989010989</v>
      </c>
      <c r="O106" s="15" t="n">
        <f aca="false">N106*IFERROR(VLOOKUP(J106,Tabla11[],3,0),0)</f>
        <v>153779.846153846</v>
      </c>
      <c r="P106" s="15" t="n">
        <f aca="false">N106-O106</f>
        <v>285591.142857143</v>
      </c>
      <c r="Q106" s="12" t="n">
        <f aca="false">IFERROR(G106/SUMIF(I:I,I106,G:G),0)*VLOOKUP(H106,Modelos[],14,0)+IFERROR(G106/SUMIF(I:I,I106,G:G),0)*VLOOKUP(I106,Tabla13[],2,0)</f>
        <v>70667.4496744792</v>
      </c>
      <c r="R106" s="15" t="n">
        <f aca="false">IFERROR(VLOOKUP(A106,Modelos[],IF(B106="EST",15,14),0),0)*C106</f>
        <v>0</v>
      </c>
      <c r="S106" s="15" t="n">
        <f aca="false">IFERROR(VLOOKUP(D106,Modelos[],IF(E106="EST",15,14),0),0)*F106</f>
        <v>0</v>
      </c>
      <c r="T106" s="15" t="n">
        <f aca="false">IF($L106&lt;0,0,IFERROR((T$2*IFERROR(VLOOKUP(J106,Tabla11[],2,0),0))*($L106/SUM($L$5:$L$46)),0))</f>
        <v>1464.01670026158</v>
      </c>
      <c r="U106" s="15" t="n">
        <f aca="false">IF($L106&lt;0,0,IFERROR((U$2*IFERROR(VLOOKUP(J106,Tabla11[],2,0),0))*($L106/SUM($L$5:$L$46)),0))</f>
        <v>284.669913939751</v>
      </c>
      <c r="V106" s="15" t="n">
        <f aca="false">IF($L106&lt;0,0,IFERROR((V$2*IFERROR(VLOOKUP(J106,Tabla11[],2,0),0))*($L106/SUM($L$5:$L$46)),0))</f>
        <v>1464.01670026158</v>
      </c>
      <c r="W106" s="15" t="n">
        <f aca="false">IF($L106&lt;0,0,IFERROR((W$2*IFERROR(VLOOKUP(J106,Tabla11[],2,0),0))*($L106/SUM($L$5:$L$46)),0))</f>
        <v>2033.35652814108</v>
      </c>
      <c r="X106" s="15" t="n">
        <f aca="false">P106*$X$2</f>
        <v>114236.457142857</v>
      </c>
      <c r="Y106" s="15" t="n">
        <f aca="false">+X106*IFERROR(VLOOKUP(J106,Tabla11[],4,0),0)</f>
        <v>17135.4685714286</v>
      </c>
      <c r="Z106" s="15" t="n">
        <f aca="false">IF(L106&gt;0,$Z$2/12,0)</f>
        <v>25833.3333333333</v>
      </c>
      <c r="AA106" s="15" t="n">
        <f aca="false">P106-SUM(Q106:Z106)</f>
        <v>52472.3742924406</v>
      </c>
      <c r="AB106" s="15" t="n">
        <f aca="false">IF($L106&lt;0,0,IFERROR((AB$2*IFERROR(VLOOKUP(J106,Tabla11[],2,0),0))*($L106/SUM($L$5:$L$46)),0))</f>
        <v>2335.17940967717</v>
      </c>
      <c r="AC106" s="15" t="n">
        <f aca="false">L106-L106*IFERROR(VLOOKUP(J106,Tabla11[],3,0),0)-Q106-T106-U106-V106-W106-L106*$X$2-(L106*$X$2)*IFERROR(VLOOKUP(J106,Tabla11[],4,0),0)-AB106-Z106</f>
        <v>-20601.5343480058</v>
      </c>
      <c r="AD106" s="15" t="n">
        <f aca="false">AA106-AB106</f>
        <v>50137.1948827635</v>
      </c>
      <c r="AE106" s="15" t="n">
        <f aca="false">ROUND(AD106-AC106,9)</f>
        <v>70738.729230769</v>
      </c>
    </row>
    <row r="107" customFormat="false" ht="14.4" hidden="false" customHeight="false" outlineLevel="0" collapsed="false">
      <c r="A107" s="12"/>
      <c r="B107" s="12" t="s">
        <v>30</v>
      </c>
      <c r="C107" s="13"/>
      <c r="D107" s="12"/>
      <c r="E107" s="12" t="s">
        <v>30</v>
      </c>
      <c r="F107" s="13"/>
      <c r="G107" s="13" t="n">
        <v>3</v>
      </c>
      <c r="H107" s="13" t="s">
        <v>50</v>
      </c>
      <c r="I107" s="13" t="s">
        <v>53</v>
      </c>
      <c r="J107" s="13" t="s">
        <v>116</v>
      </c>
      <c r="K107" s="13" t="s">
        <v>133</v>
      </c>
      <c r="L107" s="12" t="n">
        <f aca="false">IFERROR(VLOOKUP(CONCATENATE(J107,K107),Ventas!D:H,4,0),0)</f>
        <v>434727.692307692</v>
      </c>
      <c r="M107" s="12" t="n">
        <f aca="false">IF(SUM(C107,F107)&gt;0,L107*0.1,0)</f>
        <v>0</v>
      </c>
      <c r="N107" s="14" t="n">
        <f aca="false">SUM(L107:M107)</f>
        <v>434727.692307692</v>
      </c>
      <c r="O107" s="12" t="n">
        <f aca="false">N107*IFERROR(VLOOKUP(J107,Tabla11[],3,0),0)</f>
        <v>152154.692307692</v>
      </c>
      <c r="P107" s="12" t="n">
        <f aca="false">N107-O107</f>
        <v>282573</v>
      </c>
      <c r="Q107" s="12" t="n">
        <f aca="false">IFERROR(G107/SUMIF(I:I,I107,G:G),0)*VLOOKUP(H107,Modelos[],14,0)+IFERROR(G107/SUMIF(I:I,I107,G:G),0)*VLOOKUP(I107,Tabla13[],2,0)</f>
        <v>69504.9876201923</v>
      </c>
      <c r="R107" s="12" t="n">
        <f aca="false">IFERROR(VLOOKUP(A107,Modelos[],IF(B107="EST",15,14),0),0)*C107</f>
        <v>0</v>
      </c>
      <c r="S107" s="12" t="n">
        <f aca="false">IFERROR(VLOOKUP(D107,Modelos[],IF(E107="EST",15,14),0),0)*F107</f>
        <v>0</v>
      </c>
      <c r="T107" s="12" t="n">
        <f aca="false">IF($L107&lt;0,0,IFERROR((T$2*IFERROR(VLOOKUP(J107,Tabla11[],2,0),0))*($L107/SUM($L$5:$L$46)),0))</f>
        <v>1448.54489149879</v>
      </c>
      <c r="U107" s="12" t="n">
        <f aca="false">IF($L107&lt;0,0,IFERROR((U$2*IFERROR(VLOOKUP(J107,Tabla11[],2,0),0))*($L107/SUM($L$5:$L$46)),0))</f>
        <v>281.66150668032</v>
      </c>
      <c r="V107" s="12" t="n">
        <f aca="false">IF($L107&lt;0,0,IFERROR((V$2*IFERROR(VLOOKUP(J107,Tabla11[],2,0),0))*($L107/SUM($L$5:$L$46)),0))</f>
        <v>1448.54489149879</v>
      </c>
      <c r="W107" s="12" t="n">
        <f aca="false">IF($L107&lt;0,0,IFERROR((W$2*IFERROR(VLOOKUP(J107,Tabla11[],2,0),0))*($L107/SUM($L$5:$L$46)),0))</f>
        <v>2011.86790485943</v>
      </c>
      <c r="X107" s="12" t="n">
        <f aca="false">P107*$X$2</f>
        <v>113029.2</v>
      </c>
      <c r="Y107" s="12" t="n">
        <f aca="false">+X107*IFERROR(VLOOKUP(J107,Tabla11[],4,0),0)</f>
        <v>16954.38</v>
      </c>
      <c r="Z107" s="12" t="n">
        <f aca="false">IF(L107&gt;0,$Z$2/12,0)</f>
        <v>25833.3333333333</v>
      </c>
      <c r="AA107" s="12" t="n">
        <f aca="false">P107-SUM(Q107:Z107)</f>
        <v>52060.4798519371</v>
      </c>
      <c r="AB107" s="12" t="n">
        <f aca="false">IF($L107&lt;0,0,IFERROR((AB$2*IFERROR(VLOOKUP(J107,Tabla11[],2,0),0))*($L107/SUM($L$5:$L$46)),0))</f>
        <v>2310.501105634</v>
      </c>
      <c r="AC107" s="12" t="n">
        <f aca="false">L107-L107*IFERROR(VLOOKUP(J107,Tabla11[],3,0),0)-Q107-T107-U107-V107-W107-L107*$X$2-(L107*$X$2)*IFERROR(VLOOKUP(J107,Tabla11[],4,0),0)-AB107-Z107</f>
        <v>-20241.1797152354</v>
      </c>
      <c r="AD107" s="12" t="n">
        <f aca="false">AA107-AB107</f>
        <v>49749.9787463031</v>
      </c>
      <c r="AE107" s="12" t="n">
        <f aca="false">ROUND(AD107-AC107,9)</f>
        <v>69991.158461538</v>
      </c>
    </row>
    <row r="108" customFormat="false" ht="14.4" hidden="false" customHeight="false" outlineLevel="0" collapsed="false">
      <c r="A108" s="15"/>
      <c r="B108" s="15" t="s">
        <v>30</v>
      </c>
      <c r="C108" s="16"/>
      <c r="D108" s="15"/>
      <c r="E108" s="15" t="s">
        <v>30</v>
      </c>
      <c r="F108" s="16"/>
      <c r="G108" s="16" t="n">
        <v>3</v>
      </c>
      <c r="H108" s="16" t="s">
        <v>32</v>
      </c>
      <c r="I108" s="16" t="s">
        <v>42</v>
      </c>
      <c r="J108" s="16" t="s">
        <v>116</v>
      </c>
      <c r="K108" s="16" t="s">
        <v>134</v>
      </c>
      <c r="L108" s="12" t="n">
        <f aca="false">IFERROR(VLOOKUP(CONCATENATE(J108,K108),Ventas!D:H,4,0),0)</f>
        <v>438881.098901099</v>
      </c>
      <c r="M108" s="15" t="n">
        <f aca="false">IF(SUM(C108,F108)&gt;0,L108*0.1,0)</f>
        <v>0</v>
      </c>
      <c r="N108" s="17" t="n">
        <f aca="false">SUM(L108:M108)</f>
        <v>438881.098901099</v>
      </c>
      <c r="O108" s="15" t="n">
        <f aca="false">N108*IFERROR(VLOOKUP(J108,Tabla11[],3,0),0)</f>
        <v>153608.384615385</v>
      </c>
      <c r="P108" s="15" t="n">
        <f aca="false">N108-O108</f>
        <v>285272.714285714</v>
      </c>
      <c r="Q108" s="12" t="n">
        <f aca="false">IFERROR(G108/SUMIF(I:I,I108,G:G),0)*VLOOKUP(H108,Modelos[],14,0)+IFERROR(G108/SUMIF(I:I,I108,G:G),0)*VLOOKUP(I108,Tabla13[],2,0)</f>
        <v>179573.442020089</v>
      </c>
      <c r="R108" s="15" t="n">
        <f aca="false">IFERROR(VLOOKUP(A108,Modelos[],IF(B108="EST",15,14),0),0)*C108</f>
        <v>0</v>
      </c>
      <c r="S108" s="15" t="n">
        <f aca="false">IFERROR(VLOOKUP(D108,Modelos[],IF(E108="EST",15,14),0),0)*F108</f>
        <v>0</v>
      </c>
      <c r="T108" s="15" t="n">
        <f aca="false">IF($L108&lt;0,0,IFERROR((T$2*IFERROR(VLOOKUP(J108,Tabla11[],2,0),0))*($L108/SUM($L$5:$L$46)),0))</f>
        <v>1462.38435010622</v>
      </c>
      <c r="U108" s="15" t="n">
        <f aca="false">IF($L108&lt;0,0,IFERROR((U$2*IFERROR(VLOOKUP(J108,Tabla11[],2,0),0))*($L108/SUM($L$5:$L$46)),0))</f>
        <v>284.352512520654</v>
      </c>
      <c r="V108" s="15" t="n">
        <f aca="false">IF($L108&lt;0,0,IFERROR((V$2*IFERROR(VLOOKUP(J108,Tabla11[],2,0),0))*($L108/SUM($L$5:$L$46)),0))</f>
        <v>1462.38435010622</v>
      </c>
      <c r="W108" s="15" t="n">
        <f aca="false">IF($L108&lt;0,0,IFERROR((W$2*IFERROR(VLOOKUP(J108,Tabla11[],2,0),0))*($L108/SUM($L$5:$L$46)),0))</f>
        <v>2031.08937514753</v>
      </c>
      <c r="X108" s="15" t="n">
        <f aca="false">P108*$X$2</f>
        <v>114109.085714286</v>
      </c>
      <c r="Y108" s="15" t="n">
        <f aca="false">+X108*IFERROR(VLOOKUP(J108,Tabla11[],4,0),0)</f>
        <v>17116.3628571429</v>
      </c>
      <c r="Z108" s="15" t="n">
        <f aca="false">IF(L108&gt;0,$Z$2/12,0)</f>
        <v>25833.3333333333</v>
      </c>
      <c r="AA108" s="15" t="n">
        <f aca="false">P108-SUM(Q108:Z108)</f>
        <v>-56599.7202270176</v>
      </c>
      <c r="AB108" s="15" t="n">
        <f aca="false">IF($L108&lt;0,0,IFERROR((AB$2*IFERROR(VLOOKUP(J108,Tabla11[],2,0),0))*($L108/SUM($L$5:$L$46)),0))</f>
        <v>2332.57573003916</v>
      </c>
      <c r="AC108" s="15" t="n">
        <f aca="false">L108-L108*IFERROR(VLOOKUP(J108,Tabla11[],3,0),0)-Q108-T108-U108-V108-W108-L108*$X$2-(L108*$X$2)*IFERROR(VLOOKUP(J108,Tabla11[],4,0),0)-AB108-Z108</f>
        <v>-129592.152880134</v>
      </c>
      <c r="AD108" s="15" t="n">
        <f aca="false">AA108-AB108</f>
        <v>-58932.2959570568</v>
      </c>
      <c r="AE108" s="15" t="n">
        <f aca="false">ROUND(AD108-AC108,9)</f>
        <v>70659.856923077</v>
      </c>
    </row>
    <row r="109" customFormat="false" ht="14.4" hidden="false" customHeight="false" outlineLevel="0" collapsed="false">
      <c r="A109" s="12"/>
      <c r="B109" s="12" t="s">
        <v>30</v>
      </c>
      <c r="C109" s="13"/>
      <c r="D109" s="12"/>
      <c r="E109" s="12" t="s">
        <v>30</v>
      </c>
      <c r="F109" s="13"/>
      <c r="G109" s="13" t="n">
        <v>3</v>
      </c>
      <c r="H109" s="13" t="s">
        <v>50</v>
      </c>
      <c r="I109" s="13" t="s">
        <v>64</v>
      </c>
      <c r="J109" s="13" t="s">
        <v>109</v>
      </c>
      <c r="K109" s="13" t="s">
        <v>135</v>
      </c>
      <c r="L109" s="12" t="n">
        <f aca="false">IFERROR(VLOOKUP(CONCATENATE(J109,K109),Ventas!D:H,4,0),0)</f>
        <v>404303.516483517</v>
      </c>
      <c r="M109" s="12" t="n">
        <f aca="false">IF(SUM(C109,F109)&gt;0,L109*0.1,0)</f>
        <v>0</v>
      </c>
      <c r="N109" s="14" t="n">
        <f aca="false">SUM(L109:M109)</f>
        <v>404303.516483517</v>
      </c>
      <c r="O109" s="12" t="n">
        <f aca="false">N109*IFERROR(VLOOKUP(J109,Tabla11[],3,0),0)</f>
        <v>141506.230769231</v>
      </c>
      <c r="P109" s="12" t="n">
        <f aca="false">N109-O109</f>
        <v>262797.285714286</v>
      </c>
      <c r="Q109" s="12" t="n">
        <f aca="false">IFERROR(G109/SUMIF(I:I,I109,G:G),0)*VLOOKUP(H109,Modelos[],14,0)+IFERROR(G109/SUMIF(I:I,I109,G:G),0)*VLOOKUP(I109,Tabla13[],2,0)</f>
        <v>73262.0139780406</v>
      </c>
      <c r="R109" s="12" t="n">
        <f aca="false">IFERROR(VLOOKUP(A109,Modelos[],IF(B109="EST",15,14),0),0)*C109</f>
        <v>0</v>
      </c>
      <c r="S109" s="12" t="n">
        <f aca="false">IFERROR(VLOOKUP(D109,Modelos[],IF(E109="EST",15,14),0),0)*F109</f>
        <v>0</v>
      </c>
      <c r="T109" s="12" t="n">
        <f aca="false">IF($L109&lt;0,0,IFERROR((T$2*IFERROR(VLOOKUP(J109,Tabla11[],2,0),0))*($L109/SUM($L$5:$L$46)),0))</f>
        <v>1347.16928270279</v>
      </c>
      <c r="U109" s="12" t="n">
        <f aca="false">IF($L109&lt;0,0,IFERROR((U$2*IFERROR(VLOOKUP(J109,Tabla11[],2,0),0))*($L109/SUM($L$5:$L$46)),0))</f>
        <v>261.949582747765</v>
      </c>
      <c r="V109" s="12" t="n">
        <f aca="false">IF($L109&lt;0,0,IFERROR((V$2*IFERROR(VLOOKUP(J109,Tabla11[],2,0),0))*($L109/SUM($L$5:$L$46)),0))</f>
        <v>1347.16928270279</v>
      </c>
      <c r="W109" s="12" t="n">
        <f aca="false">IF($L109&lt;0,0,IFERROR((W$2*IFERROR(VLOOKUP(J109,Tabla11[],2,0),0))*($L109/SUM($L$5:$L$46)),0))</f>
        <v>1871.06844819832</v>
      </c>
      <c r="X109" s="12" t="n">
        <f aca="false">P109*$X$2</f>
        <v>105118.914285714</v>
      </c>
      <c r="Y109" s="12" t="n">
        <f aca="false">+X109*IFERROR(VLOOKUP(J109,Tabla11[],4,0),0)</f>
        <v>15767.8371428571</v>
      </c>
      <c r="Z109" s="12" t="n">
        <f aca="false">IF(L109&gt;0,$Z$2/12,0)</f>
        <v>25833.3333333333</v>
      </c>
      <c r="AA109" s="12" t="n">
        <f aca="false">P109-SUM(Q109:Z109)</f>
        <v>37987.8303779887</v>
      </c>
      <c r="AB109" s="12" t="n">
        <f aca="false">IF($L109&lt;0,0,IFERROR((AB$2*IFERROR(VLOOKUP(J109,Tabla11[],2,0),0))*($L109/SUM($L$5:$L$46)),0))</f>
        <v>2148.80197046594</v>
      </c>
      <c r="AC109" s="12" t="n">
        <f aca="false">L109-L109*IFERROR(VLOOKUP(J109,Tabla11[],3,0),0)-Q109-T109-U109-V109-W109-L109*$X$2-(L109*$X$2)*IFERROR(VLOOKUP(J109,Tabla11[],4,0),0)-AB109-Z109</f>
        <v>-29253.8377463234</v>
      </c>
      <c r="AD109" s="12" t="n">
        <f aca="false">AA109-AB109</f>
        <v>35839.0284075228</v>
      </c>
      <c r="AE109" s="12" t="n">
        <f aca="false">ROUND(AD109-AC109,9)</f>
        <v>65092.866153846</v>
      </c>
    </row>
    <row r="110" customFormat="false" ht="14.4" hidden="false" customHeight="false" outlineLevel="0" collapsed="false">
      <c r="A110" s="15"/>
      <c r="B110" s="15" t="s">
        <v>30</v>
      </c>
      <c r="C110" s="16"/>
      <c r="D110" s="15"/>
      <c r="E110" s="15" t="s">
        <v>30</v>
      </c>
      <c r="F110" s="16"/>
      <c r="G110" s="16" t="n">
        <v>0</v>
      </c>
      <c r="H110" s="16" t="s">
        <v>32</v>
      </c>
      <c r="I110" s="16" t="s">
        <v>56</v>
      </c>
      <c r="J110" s="16" t="s">
        <v>116</v>
      </c>
      <c r="K110" s="16" t="s">
        <v>136</v>
      </c>
      <c r="L110" s="12" t="n">
        <f aca="false">IFERROR(VLOOKUP(CONCATENATE(J110,K110),Ventas!D:H,4,0),0)</f>
        <v>294582.637362637</v>
      </c>
      <c r="M110" s="15" t="n">
        <f aca="false">IF(SUM(C110,F110)&gt;0,L110*0.1,0)</f>
        <v>0</v>
      </c>
      <c r="N110" s="17" t="n">
        <f aca="false">SUM(L110:M110)</f>
        <v>294582.637362637</v>
      </c>
      <c r="O110" s="15" t="n">
        <f aca="false">N110*IFERROR(VLOOKUP(J110,Tabla11[],3,0),0)</f>
        <v>103103.923076923</v>
      </c>
      <c r="P110" s="15" t="n">
        <f aca="false">N110-O110</f>
        <v>191478.714285714</v>
      </c>
      <c r="Q110" s="12" t="n">
        <f aca="false">IFERROR(G110/SUMIF(I:I,I110,G:G),0)*VLOOKUP(H110,Modelos[],14,0)+IFERROR(G110/SUMIF(I:I,I110,G:G),0)*VLOOKUP(I110,Tabla13[],2,0)</f>
        <v>0</v>
      </c>
      <c r="R110" s="15" t="n">
        <f aca="false">IFERROR(VLOOKUP(A110,Modelos[],IF(B110="EST",15,14),0),0)*C110</f>
        <v>0</v>
      </c>
      <c r="S110" s="15" t="n">
        <f aca="false">IFERROR(VLOOKUP(D110,Modelos[],IF(E110="EST",15,14),0),0)*F110</f>
        <v>0</v>
      </c>
      <c r="T110" s="15" t="n">
        <f aca="false">IF($L110&lt;0,0,IFERROR((T$2*IFERROR(VLOOKUP(J110,Tabla11[],2,0),0))*($L110/SUM($L$5:$L$46)),0))</f>
        <v>981.571181285287</v>
      </c>
      <c r="U110" s="15" t="n">
        <f aca="false">IF($L110&lt;0,0,IFERROR((U$2*IFERROR(VLOOKUP(J110,Tabla11[],2,0),0))*($L110/SUM($L$5:$L$46)),0))</f>
        <v>190.861063027695</v>
      </c>
      <c r="V110" s="15" t="n">
        <f aca="false">IF($L110&lt;0,0,IFERROR((V$2*IFERROR(VLOOKUP(J110,Tabla11[],2,0),0))*($L110/SUM($L$5:$L$46)),0))</f>
        <v>981.571181285287</v>
      </c>
      <c r="W110" s="15" t="n">
        <f aca="false">IF($L110&lt;0,0,IFERROR((W$2*IFERROR(VLOOKUP(J110,Tabla11[],2,0),0))*($L110/SUM($L$5:$L$46)),0))</f>
        <v>1363.29330734068</v>
      </c>
      <c r="X110" s="15" t="n">
        <f aca="false">P110*$X$2</f>
        <v>76591.4857142857</v>
      </c>
      <c r="Y110" s="15" t="n">
        <f aca="false">+X110*IFERROR(VLOOKUP(J110,Tabla11[],4,0),0)</f>
        <v>11488.7228571429</v>
      </c>
      <c r="Z110" s="15" t="n">
        <f aca="false">IF(L110&gt;0,$Z$2/12,0)</f>
        <v>25833.3333333333</v>
      </c>
      <c r="AA110" s="15" t="n">
        <f aca="false">P110-SUM(Q110:Z110)</f>
        <v>74047.8756480135</v>
      </c>
      <c r="AB110" s="15" t="n">
        <f aca="false">IF($L110&lt;0,0,IFERROR((AB$2*IFERROR(VLOOKUP(J110,Tabla11[],2,0),0))*($L110/SUM($L$5:$L$46)),0))</f>
        <v>1565.65482569998</v>
      </c>
      <c r="AC110" s="15" t="n">
        <f aca="false">L110-L110*IFERROR(VLOOKUP(J110,Tabla11[],3,0),0)-Q110-T110-U110-V110-W110-L110*$X$2-(L110*$X$2)*IFERROR(VLOOKUP(J110,Tabla11[],4,0),0)-AB110-Z110</f>
        <v>25054.4162069288</v>
      </c>
      <c r="AD110" s="15" t="n">
        <f aca="false">AA110-AB110</f>
        <v>72482.2208223135</v>
      </c>
      <c r="AE110" s="15" t="n">
        <f aca="false">ROUND(AD110-AC110,9)</f>
        <v>47427.804615385</v>
      </c>
    </row>
    <row r="111" customFormat="false" ht="14.4" hidden="false" customHeight="false" outlineLevel="0" collapsed="false">
      <c r="A111" s="12"/>
      <c r="B111" s="12" t="s">
        <v>30</v>
      </c>
      <c r="C111" s="13"/>
      <c r="D111" s="12"/>
      <c r="E111" s="12" t="s">
        <v>30</v>
      </c>
      <c r="F111" s="13"/>
      <c r="G111" s="13" t="n">
        <v>1</v>
      </c>
      <c r="H111" s="13" t="s">
        <v>32</v>
      </c>
      <c r="I111" s="13" t="s">
        <v>38</v>
      </c>
      <c r="J111" s="13" t="s">
        <v>116</v>
      </c>
      <c r="K111" s="13" t="s">
        <v>137</v>
      </c>
      <c r="L111" s="12" t="n">
        <f aca="false">IFERROR(VLOOKUP(CONCATENATE(J111,K111),Ventas!D:H,4,0),0)</f>
        <v>261022.417582418</v>
      </c>
      <c r="M111" s="12" t="n">
        <f aca="false">IF(SUM(C111,F111)&gt;0,L111*0.1,0)</f>
        <v>0</v>
      </c>
      <c r="N111" s="14" t="n">
        <f aca="false">SUM(L111:M111)</f>
        <v>261022.417582418</v>
      </c>
      <c r="O111" s="12" t="n">
        <f aca="false">N111*IFERROR(VLOOKUP(J111,Tabla11[],3,0),0)</f>
        <v>91357.8461538461</v>
      </c>
      <c r="P111" s="12" t="n">
        <f aca="false">N111-O111</f>
        <v>169664.571428571</v>
      </c>
      <c r="Q111" s="12" t="n">
        <f aca="false">IFERROR(G111/SUMIF(I:I,I111,G:G),0)*VLOOKUP(H111,Modelos[],14,0)+IFERROR(G111/SUMIF(I:I,I111,G:G),0)*VLOOKUP(I111,Tabla13[],2,0)</f>
        <v>51647.6115349265</v>
      </c>
      <c r="R111" s="12" t="n">
        <f aca="false">IFERROR(VLOOKUP(A111,Modelos[],IF(B111="EST",15,14),0),0)*C111</f>
        <v>0</v>
      </c>
      <c r="S111" s="12" t="n">
        <f aca="false">IFERROR(VLOOKUP(D111,Modelos[],IF(E111="EST",15,14),0),0)*F111</f>
        <v>0</v>
      </c>
      <c r="T111" s="12" t="n">
        <f aca="false">IF($L111&lt;0,0,IFERROR((T$2*IFERROR(VLOOKUP(J111,Tabla11[],2,0),0))*($L111/SUM($L$5:$L$46)),0))</f>
        <v>869.746041593459</v>
      </c>
      <c r="U111" s="12" t="n">
        <f aca="false">IF($L111&lt;0,0,IFERROR((U$2*IFERROR(VLOOKUP(J111,Tabla11[],2,0),0))*($L111/SUM($L$5:$L$46)),0))</f>
        <v>169.117285865395</v>
      </c>
      <c r="V111" s="12" t="n">
        <f aca="false">IF($L111&lt;0,0,IFERROR((V$2*IFERROR(VLOOKUP(J111,Tabla11[],2,0),0))*($L111/SUM($L$5:$L$46)),0))</f>
        <v>869.746041593459</v>
      </c>
      <c r="W111" s="12" t="n">
        <f aca="false">IF($L111&lt;0,0,IFERROR((W$2*IFERROR(VLOOKUP(J111,Tabla11[],2,0),0))*($L111/SUM($L$5:$L$46)),0))</f>
        <v>1207.98061332425</v>
      </c>
      <c r="X111" s="12" t="n">
        <f aca="false">P111*$X$2</f>
        <v>67865.8285714286</v>
      </c>
      <c r="Y111" s="12" t="n">
        <f aca="false">+X111*IFERROR(VLOOKUP(J111,Tabla11[],4,0),0)</f>
        <v>10179.8742857143</v>
      </c>
      <c r="Z111" s="12" t="n">
        <f aca="false">IF(L111&gt;0,$Z$2/12,0)</f>
        <v>25833.3333333333</v>
      </c>
      <c r="AA111" s="12" t="n">
        <f aca="false">P111-SUM(Q111:Z111)</f>
        <v>11021.3337207922</v>
      </c>
      <c r="AB111" s="12" t="n">
        <f aca="false">IF($L111&lt;0,0,IFERROR((AB$2*IFERROR(VLOOKUP(J111,Tabla11[],2,0),0))*($L111/SUM($L$5:$L$46)),0))</f>
        <v>1387.28816933194</v>
      </c>
      <c r="AC111" s="12" t="n">
        <f aca="false">L111-L111*IFERROR(VLOOKUP(J111,Tabla11[],3,0),0)-Q111-T111-U111-V111-W111-L111*$X$2-(L111*$X$2)*IFERROR(VLOOKUP(J111,Tabla11[],4,0),0)-AB111-Z111</f>
        <v>-32390.563679309</v>
      </c>
      <c r="AD111" s="12" t="n">
        <f aca="false">AA111-AB111</f>
        <v>9634.04555146023</v>
      </c>
      <c r="AE111" s="12" t="n">
        <f aca="false">ROUND(AD111-AC111,9)</f>
        <v>42024.609230769</v>
      </c>
    </row>
    <row r="112" customFormat="false" ht="14.4" hidden="false" customHeight="false" outlineLevel="0" collapsed="false">
      <c r="A112" s="15"/>
      <c r="B112" s="15" t="s">
        <v>30</v>
      </c>
      <c r="C112" s="16"/>
      <c r="D112" s="15"/>
      <c r="E112" s="15" t="s">
        <v>30</v>
      </c>
      <c r="F112" s="16"/>
      <c r="G112" s="16" t="n">
        <v>0</v>
      </c>
      <c r="H112" s="16" t="s">
        <v>32</v>
      </c>
      <c r="I112" s="16" t="s">
        <v>68</v>
      </c>
      <c r="J112" s="16" t="s">
        <v>116</v>
      </c>
      <c r="K112" s="16" t="s">
        <v>138</v>
      </c>
      <c r="L112" s="12" t="n">
        <f aca="false">IFERROR(VLOOKUP(CONCATENATE(J112,K112),Ventas!D:H,4,0),0)</f>
        <v>0</v>
      </c>
      <c r="M112" s="15" t="n">
        <f aca="false">IF(SUM(C112,F112)&gt;0,L112*0.1,0)</f>
        <v>0</v>
      </c>
      <c r="N112" s="17" t="n">
        <f aca="false">SUM(L112:M112)</f>
        <v>0</v>
      </c>
      <c r="O112" s="15" t="n">
        <f aca="false">N112*IFERROR(VLOOKUP(J112,Tabla11[],3,0),0)</f>
        <v>0</v>
      </c>
      <c r="P112" s="15" t="n">
        <f aca="false">N112-O112</f>
        <v>0</v>
      </c>
      <c r="Q112" s="12" t="n">
        <f aca="false">IFERROR(G112/SUMIF(I:I,I112,G:G),0)*VLOOKUP(H112,Modelos[],14,0)+IFERROR(G112/SUMIF(I:I,I112,G:G),0)*VLOOKUP(I112,Tabla13[],2,0)</f>
        <v>0</v>
      </c>
      <c r="R112" s="15" t="n">
        <f aca="false">IFERROR(VLOOKUP(A112,Modelos[],IF(B112="EST",15,14),0),0)*C112</f>
        <v>0</v>
      </c>
      <c r="S112" s="15" t="n">
        <f aca="false">IFERROR(VLOOKUP(D112,Modelos[],IF(E112="EST",15,14),0),0)*F112</f>
        <v>0</v>
      </c>
      <c r="T112" s="15" t="n">
        <f aca="false">IF($L112&lt;0,0,IFERROR((T$2*IFERROR(VLOOKUP(J112,Tabla11[],2,0),0))*($L112/SUM($L$5:$L$46)),0))</f>
        <v>0</v>
      </c>
      <c r="U112" s="15" t="n">
        <f aca="false">IF($L112&lt;0,0,IFERROR((U$2*IFERROR(VLOOKUP(J112,Tabla11[],2,0),0))*($L112/SUM($L$5:$L$46)),0))</f>
        <v>0</v>
      </c>
      <c r="V112" s="15" t="n">
        <f aca="false">IF($L112&lt;0,0,IFERROR((V$2*IFERROR(VLOOKUP(J112,Tabla11[],2,0),0))*($L112/SUM($L$5:$L$46)),0))</f>
        <v>0</v>
      </c>
      <c r="W112" s="15" t="n">
        <f aca="false">IF($L112&lt;0,0,IFERROR((W$2*IFERROR(VLOOKUP(J112,Tabla11[],2,0),0))*($L112/SUM($L$5:$L$46)),0))</f>
        <v>0</v>
      </c>
      <c r="X112" s="15" t="n">
        <f aca="false">P112*$X$2</f>
        <v>0</v>
      </c>
      <c r="Y112" s="15" t="n">
        <f aca="false">+X112*IFERROR(VLOOKUP(J112,Tabla11[],4,0),0)</f>
        <v>0</v>
      </c>
      <c r="Z112" s="15" t="n">
        <f aca="false">IF(L112&gt;0,$Z$2/12,0)</f>
        <v>0</v>
      </c>
      <c r="AA112" s="15" t="n">
        <f aca="false">P112-SUM(Q112:Z112)</f>
        <v>0</v>
      </c>
      <c r="AB112" s="15" t="n">
        <f aca="false">IF($L112&lt;0,0,IFERROR((AB$2*IFERROR(VLOOKUP(J112,Tabla11[],2,0),0))*($L112/SUM($L$5:$L$46)),0))</f>
        <v>0</v>
      </c>
      <c r="AC112" s="15" t="n">
        <f aca="false">L112-L112*IFERROR(VLOOKUP(J112,Tabla11[],3,0),0)-Q112-T112-U112-V112-W112-L112*$X$2-(L112*$X$2)*IFERROR(VLOOKUP(J112,Tabla11[],4,0),0)-AB112-Z112</f>
        <v>0</v>
      </c>
      <c r="AD112" s="15" t="n">
        <f aca="false">AA112-AB112</f>
        <v>0</v>
      </c>
      <c r="AE112" s="15" t="n">
        <f aca="false">ROUND(AD112-AC112,9)</f>
        <v>0</v>
      </c>
    </row>
    <row r="113" customFormat="false" ht="14.4" hidden="false" customHeight="false" outlineLevel="0" collapsed="false">
      <c r="A113" s="12"/>
      <c r="B113" s="12" t="s">
        <v>30</v>
      </c>
      <c r="C113" s="13"/>
      <c r="D113" s="12"/>
      <c r="E113" s="12" t="s">
        <v>30</v>
      </c>
      <c r="F113" s="13"/>
      <c r="G113" s="13" t="n">
        <v>0</v>
      </c>
      <c r="H113" s="13" t="s">
        <v>50</v>
      </c>
      <c r="I113" s="13" t="s">
        <v>53</v>
      </c>
      <c r="J113" s="13" t="s">
        <v>116</v>
      </c>
      <c r="K113" s="13" t="s">
        <v>139</v>
      </c>
      <c r="L113" s="12" t="n">
        <f aca="false">IFERROR(VLOOKUP(CONCATENATE(J113,K113),Ventas!D:H,4,0),0)</f>
        <v>-1078.02197802198</v>
      </c>
      <c r="M113" s="12" t="n">
        <f aca="false">IF(SUM(C113,F113)&gt;0,L113*0.1,0)</f>
        <v>0</v>
      </c>
      <c r="N113" s="14" t="n">
        <f aca="false">SUM(L113:M113)</f>
        <v>-1078.02197802198</v>
      </c>
      <c r="O113" s="12" t="n">
        <f aca="false">N113*IFERROR(VLOOKUP(J113,Tabla11[],3,0),0)</f>
        <v>-377.307692307692</v>
      </c>
      <c r="P113" s="12" t="n">
        <f aca="false">N113-O113</f>
        <v>-700.714285714286</v>
      </c>
      <c r="Q113" s="12" t="n">
        <f aca="false">IFERROR(G113/SUMIF(I:I,I113,G:G),0)*VLOOKUP(H113,Modelos[],14,0)+IFERROR(G113/SUMIF(I:I,I113,G:G),0)*VLOOKUP(I113,Tabla13[],2,0)</f>
        <v>0</v>
      </c>
      <c r="R113" s="12" t="n">
        <f aca="false">IFERROR(VLOOKUP(A113,Modelos[],IF(B113="EST",15,14),0),0)*C113</f>
        <v>0</v>
      </c>
      <c r="S113" s="12" t="n">
        <f aca="false">IFERROR(VLOOKUP(D113,Modelos[],IF(E113="EST",15,14),0),0)*F113</f>
        <v>0</v>
      </c>
      <c r="T113" s="12" t="n">
        <f aca="false">IF($L113&lt;0,0,IFERROR((T$2*IFERROR(VLOOKUP(J113,Tabla11[],2,0),0))*($L113/SUM($L$5:$L$46)),0))</f>
        <v>0</v>
      </c>
      <c r="U113" s="12" t="n">
        <f aca="false">IF($L113&lt;0,0,IFERROR((U$2*IFERROR(VLOOKUP(J113,Tabla11[],2,0),0))*($L113/SUM($L$5:$L$46)),0))</f>
        <v>0</v>
      </c>
      <c r="V113" s="12" t="n">
        <f aca="false">IF($L113&lt;0,0,IFERROR((V$2*IFERROR(VLOOKUP(J113,Tabla11[],2,0),0))*($L113/SUM($L$5:$L$46)),0))</f>
        <v>0</v>
      </c>
      <c r="W113" s="12" t="n">
        <f aca="false">IF($L113&lt;0,0,IFERROR((W$2*IFERROR(VLOOKUP(J113,Tabla11[],2,0),0))*($L113/SUM($L$5:$L$46)),0))</f>
        <v>0</v>
      </c>
      <c r="X113" s="12" t="n">
        <f aca="false">P113*$X$2</f>
        <v>-280.285714285714</v>
      </c>
      <c r="Y113" s="12" t="n">
        <f aca="false">+X113*IFERROR(VLOOKUP(J113,Tabla11[],4,0),0)</f>
        <v>-42.0428571428571</v>
      </c>
      <c r="Z113" s="12" t="n">
        <f aca="false">IF(L113&gt;0,$Z$2/12,0)</f>
        <v>0</v>
      </c>
      <c r="AA113" s="12" t="n">
        <f aca="false">P113-SUM(Q113:Z113)</f>
        <v>-378.385714285714</v>
      </c>
      <c r="AB113" s="12" t="n">
        <f aca="false">IF($L113&lt;0,0,IFERROR((AB$2*IFERROR(VLOOKUP(J113,Tabla11[],2,0),0))*($L113/SUM($L$5:$L$46)),0))</f>
        <v>0</v>
      </c>
      <c r="AC113" s="12" t="n">
        <f aca="false">L113-L113*IFERROR(VLOOKUP(J113,Tabla11[],3,0),0)-Q113-T113-U113-V113-W113-L113*$X$2-(L113*$X$2)*IFERROR(VLOOKUP(J113,Tabla11[],4,0),0)-AB113-Z113</f>
        <v>-204.824175824176</v>
      </c>
      <c r="AD113" s="12" t="n">
        <f aca="false">AA113-AB113</f>
        <v>-378.385714285714</v>
      </c>
      <c r="AE113" s="12" t="n">
        <f aca="false">ROUND(AD113-AC113,9)</f>
        <v>-173.561538462</v>
      </c>
    </row>
    <row r="114" customFormat="false" ht="14.4" hidden="false" customHeight="false" outlineLevel="0" collapsed="false">
      <c r="A114" s="15"/>
      <c r="B114" s="15" t="s">
        <v>30</v>
      </c>
      <c r="C114" s="16"/>
      <c r="D114" s="15"/>
      <c r="E114" s="15" t="s">
        <v>30</v>
      </c>
      <c r="F114" s="16"/>
      <c r="G114" s="16" t="n">
        <v>0</v>
      </c>
      <c r="H114" s="16" t="s">
        <v>50</v>
      </c>
      <c r="I114" s="16" t="s">
        <v>51</v>
      </c>
      <c r="J114" s="16" t="s">
        <v>116</v>
      </c>
      <c r="K114" s="16" t="s">
        <v>140</v>
      </c>
      <c r="L114" s="12" t="n">
        <f aca="false">IFERROR(VLOOKUP(CONCATENATE(J114,K114),Ventas!D:H,4,0),0)</f>
        <v>-1438.24175824176</v>
      </c>
      <c r="M114" s="15" t="n">
        <f aca="false">IF(SUM(C114,F114)&gt;0,L114*0.1,0)</f>
        <v>0</v>
      </c>
      <c r="N114" s="17" t="n">
        <f aca="false">SUM(L114:M114)</f>
        <v>-1438.24175824176</v>
      </c>
      <c r="O114" s="15" t="n">
        <f aca="false">N114*IFERROR(VLOOKUP(J114,Tabla11[],3,0),0)</f>
        <v>-503.384615384615</v>
      </c>
      <c r="P114" s="15" t="n">
        <f aca="false">N114-O114</f>
        <v>-934.857142857143</v>
      </c>
      <c r="Q114" s="12" t="n">
        <f aca="false">IFERROR(G114/SUMIF(I:I,I114,G:G),0)*VLOOKUP(H114,Modelos[],14,0)+IFERROR(G114/SUMIF(I:I,I114,G:G),0)*VLOOKUP(I114,Tabla13[],2,0)</f>
        <v>0</v>
      </c>
      <c r="R114" s="15" t="n">
        <f aca="false">IFERROR(VLOOKUP(A114,Modelos[],IF(B114="EST",15,14),0),0)*C114</f>
        <v>0</v>
      </c>
      <c r="S114" s="15" t="n">
        <f aca="false">IFERROR(VLOOKUP(D114,Modelos[],IF(E114="EST",15,14),0),0)*F114</f>
        <v>0</v>
      </c>
      <c r="T114" s="15" t="n">
        <f aca="false">IF($L114&lt;0,0,IFERROR((T$2*IFERROR(VLOOKUP(J114,Tabla11[],2,0),0))*($L114/SUM($L$5:$L$46)),0))</f>
        <v>0</v>
      </c>
      <c r="U114" s="15" t="n">
        <f aca="false">IF($L114&lt;0,0,IFERROR((U$2*IFERROR(VLOOKUP(J114,Tabla11[],2,0),0))*($L114/SUM($L$5:$L$46)),0))</f>
        <v>0</v>
      </c>
      <c r="V114" s="15" t="n">
        <f aca="false">IF($L114&lt;0,0,IFERROR((V$2*IFERROR(VLOOKUP(J114,Tabla11[],2,0),0))*($L114/SUM($L$5:$L$46)),0))</f>
        <v>0</v>
      </c>
      <c r="W114" s="15" t="n">
        <f aca="false">IF($L114&lt;0,0,IFERROR((W$2*IFERROR(VLOOKUP(J114,Tabla11[],2,0),0))*($L114/SUM($L$5:$L$46)),0))</f>
        <v>0</v>
      </c>
      <c r="X114" s="15" t="n">
        <f aca="false">P114*$X$2</f>
        <v>-373.942857142857</v>
      </c>
      <c r="Y114" s="15" t="n">
        <f aca="false">+X114*IFERROR(VLOOKUP(J114,Tabla11[],4,0),0)</f>
        <v>-56.0914285714286</v>
      </c>
      <c r="Z114" s="15" t="n">
        <f aca="false">IF(L114&gt;0,$Z$2/12,0)</f>
        <v>0</v>
      </c>
      <c r="AA114" s="15" t="n">
        <f aca="false">P114-SUM(Q114:Z114)</f>
        <v>-504.822857142857</v>
      </c>
      <c r="AB114" s="15" t="n">
        <f aca="false">IF($L114&lt;0,0,IFERROR((AB$2*IFERROR(VLOOKUP(J114,Tabla11[],2,0),0))*($L114/SUM($L$5:$L$46)),0))</f>
        <v>0</v>
      </c>
      <c r="AC114" s="15" t="n">
        <f aca="false">L114-L114*IFERROR(VLOOKUP(J114,Tabla11[],3,0),0)-Q114-T114-U114-V114-W114-L114*$X$2-(L114*$X$2)*IFERROR(VLOOKUP(J114,Tabla11[],4,0),0)-AB114-Z114</f>
        <v>-273.265934065934</v>
      </c>
      <c r="AD114" s="15" t="n">
        <f aca="false">AA114-AB114</f>
        <v>-504.822857142857</v>
      </c>
      <c r="AE114" s="15" t="n">
        <f aca="false">ROUND(AD114-AC114,9)</f>
        <v>-231.556923077</v>
      </c>
    </row>
    <row r="115" customFormat="false" ht="14.4" hidden="false" customHeight="false" outlineLevel="0" collapsed="false">
      <c r="A115" s="15"/>
      <c r="B115" s="15" t="s">
        <v>30</v>
      </c>
      <c r="C115" s="16"/>
      <c r="D115" s="15"/>
      <c r="E115" s="15" t="s">
        <v>30</v>
      </c>
      <c r="F115" s="16"/>
      <c r="G115" s="16" t="n">
        <v>0</v>
      </c>
      <c r="H115" s="16" t="s">
        <v>50</v>
      </c>
      <c r="I115" s="16" t="s">
        <v>51</v>
      </c>
      <c r="J115" s="16" t="s">
        <v>116</v>
      </c>
      <c r="K115" s="16" t="s">
        <v>140</v>
      </c>
      <c r="L115" s="12" t="n">
        <f aca="false">IFERROR(VLOOKUP(CONCATENATE(J115,K115),Ventas!D:H,4,0),0)</f>
        <v>-1438.24175824176</v>
      </c>
      <c r="M115" s="15" t="n">
        <f aca="false">IF(SUM(C115,F115)&gt;0,L115*0.1,0)</f>
        <v>0</v>
      </c>
      <c r="N115" s="17" t="n">
        <f aca="false">SUM(L115:M115)</f>
        <v>-1438.24175824176</v>
      </c>
      <c r="O115" s="15" t="n">
        <f aca="false">N115*IFERROR(VLOOKUP(J115,Tabla11[],3,0),0)</f>
        <v>-503.384615384615</v>
      </c>
      <c r="P115" s="15" t="n">
        <f aca="false">N115-O115</f>
        <v>-934.857142857143</v>
      </c>
      <c r="Q115" s="12" t="n">
        <f aca="false">IFERROR(G115/SUMIF(I:I,I115,G:G),0)*VLOOKUP(H115,Modelos[],14,0)+IFERROR(G115/SUMIF(I:I,I115,G:G),0)*VLOOKUP(I115,Tabla13[],2,0)</f>
        <v>0</v>
      </c>
      <c r="R115" s="15" t="n">
        <f aca="false">IFERROR(VLOOKUP(A115,Modelos[],IF(B115="EST",15,14),0),0)*C115</f>
        <v>0</v>
      </c>
      <c r="S115" s="15" t="n">
        <f aca="false">IFERROR(VLOOKUP(D115,Modelos[],IF(E115="EST",15,14),0),0)*F115</f>
        <v>0</v>
      </c>
      <c r="T115" s="15" t="n">
        <f aca="false">IF($L115&lt;0,0,IFERROR((T$2*IFERROR(VLOOKUP(J115,Tabla11[],2,0),0))*($L115/SUM($L$5:$L$46)),0))</f>
        <v>0</v>
      </c>
      <c r="U115" s="15" t="n">
        <f aca="false">IF($L115&lt;0,0,IFERROR((U$2*IFERROR(VLOOKUP(J115,Tabla11[],2,0),0))*($L115/SUM($L$5:$L$46)),0))</f>
        <v>0</v>
      </c>
      <c r="V115" s="15" t="n">
        <f aca="false">IF($L115&lt;0,0,IFERROR((V$2*IFERROR(VLOOKUP(J115,Tabla11[],2,0),0))*($L115/SUM($L$5:$L$46)),0))</f>
        <v>0</v>
      </c>
      <c r="W115" s="15" t="n">
        <f aca="false">IF($L115&lt;0,0,IFERROR((W$2*IFERROR(VLOOKUP(J115,Tabla11[],2,0),0))*($L115/SUM($L$5:$L$46)),0))</f>
        <v>0</v>
      </c>
      <c r="X115" s="15" t="n">
        <f aca="false">P115*$X$2</f>
        <v>-373.942857142857</v>
      </c>
      <c r="Y115" s="15" t="n">
        <f aca="false">+X115*IFERROR(VLOOKUP(J115,Tabla11[],4,0),0)</f>
        <v>-56.0914285714286</v>
      </c>
      <c r="Z115" s="15" t="n">
        <f aca="false">IF(L115&gt;0,$Z$2/12,0)</f>
        <v>0</v>
      </c>
      <c r="AA115" s="15" t="n">
        <f aca="false">P115-SUM(Q115:Z115)</f>
        <v>-504.822857142857</v>
      </c>
      <c r="AB115" s="15" t="n">
        <f aca="false">IF($L115&lt;0,0,IFERROR((AB$2*IFERROR(VLOOKUP(J115,Tabla11[],2,0),0))*($L115/SUM($L$5:$L$46)),0))</f>
        <v>0</v>
      </c>
      <c r="AC115" s="15" t="n">
        <f aca="false">L115-L115*IFERROR(VLOOKUP(J115,Tabla11[],3,0),0)-Q115-T115-U115-V115-W115-L115*$X$2-(L115*$X$2)*IFERROR(VLOOKUP(J115,Tabla11[],4,0),0)-AB115-Z115</f>
        <v>-273.265934065934</v>
      </c>
      <c r="AD115" s="15" t="n">
        <f aca="false">AA115-AB115</f>
        <v>-504.822857142857</v>
      </c>
      <c r="AE115" s="15" t="n">
        <f aca="false">ROUND(AD115-AC115,9)</f>
        <v>-231.556923077</v>
      </c>
    </row>
  </sheetData>
  <autoFilter ref="A4:AE114"/>
  <conditionalFormatting sqref="AC5:AD35">
    <cfRule type="cellIs" priority="2" operator="lessThan" aboveAverage="0" equalAverage="0" bottom="0" percent="0" rank="0" text="" dxfId="0">
      <formula>0</formula>
    </cfRule>
  </conditionalFormatting>
  <conditionalFormatting sqref="AE5:AE35">
    <cfRule type="iconSet" priority="3">
      <iconSet iconSet="3Arrows">
        <cfvo type="percent" val="0"/>
        <cfvo type="num" val="0"/>
        <cfvo type="num" val="0"/>
      </iconSet>
    </cfRule>
  </conditionalFormatting>
  <conditionalFormatting sqref="AC36:AD37">
    <cfRule type="cellIs" priority="4" operator="lessThan" aboveAverage="0" equalAverage="0" bottom="0" percent="0" rank="0" text="" dxfId="1">
      <formula>0</formula>
    </cfRule>
  </conditionalFormatting>
  <conditionalFormatting sqref="AE36:AE37">
    <cfRule type="iconSet" priority="5">
      <iconSet iconSet="3Arrows">
        <cfvo type="percent" val="0"/>
        <cfvo type="num" val="0"/>
        <cfvo type="num" val="0"/>
      </iconSet>
    </cfRule>
  </conditionalFormatting>
  <conditionalFormatting sqref="AC38:AD38">
    <cfRule type="cellIs" priority="6" operator="lessThan" aboveAverage="0" equalAverage="0" bottom="0" percent="0" rank="0" text="" dxfId="2">
      <formula>0</formula>
    </cfRule>
  </conditionalFormatting>
  <conditionalFormatting sqref="AE38">
    <cfRule type="iconSet" priority="7">
      <iconSet iconSet="3Arrows">
        <cfvo type="percent" val="0"/>
        <cfvo type="num" val="0"/>
        <cfvo type="num" val="0"/>
      </iconSet>
    </cfRule>
  </conditionalFormatting>
  <conditionalFormatting sqref="AC39:AD39 AC41:AD41 AC43:AD43 AC45:AD45 AC47:AD47 AC49:AD49 AC51:AD51 AC53:AD53 AC55:AD55 AC57:AD57 AC59:AD59 AC61:AD61 AC63:AD63 AC65:AD65 AC67:AD67 AC69:AD69 AC71:AD71 AC73:AD73 AC75:AD75 AC77:AD77 AC79:AD79 AC81:AD81 AC83:AD83 AC85:AD85 AC87:AD87 AC89:AD89 AC91:AD91 AC93:AD93 AC95:AD95 AC97:AD97 AC99:AD99 AC101:AD101 AC103:AD103 AC105:AD105 AC107:AD107 AC109:AD109 AC111:AD111 AC113:AD113">
    <cfRule type="cellIs" priority="8" operator="lessThan" aboveAverage="0" equalAverage="0" bottom="0" percent="0" rank="0" text="" dxfId="3">
      <formula>0</formula>
    </cfRule>
  </conditionalFormatting>
  <conditionalFormatting sqref="AE39 AE41 AE43 AE45 AE47 AE49 AE51 AE53 AE55 AE57 AE59 AE61 AE63 AE65 AE67 AE69 AE71 AE73 AE75 AE77 AE79 AE81 AE83 AE85 AE87 AE89 AE91 AE93 AE95 AE97 AE99 AE101 AE103 AE105 AE107 AE109 AE111 AE113">
    <cfRule type="iconSet" priority="9">
      <iconSet iconSet="3Arrows">
        <cfvo type="percent" val="0"/>
        <cfvo type="num" val="0"/>
        <cfvo type="num" val="0"/>
      </iconSet>
    </cfRule>
  </conditionalFormatting>
  <conditionalFormatting sqref="AC40:AD40 AC42:AD42 AC44:AD44 AC46:AD46 AC48:AD48 AC50:AD50 AC52:AD52 AC54:AD54 AC56:AD56 AC58:AD58 AC60:AD60 AC62:AD62 AC64:AD64 AC66:AD66 AC68:AD68 AC70:AD70 AC72:AD72 AC74:AD74 AC76:AD76 AC78:AD78 AC80:AD80 AC82:AD82 AC84:AD84 AC86:AD86 AC88:AD88 AC90:AD90 AC92:AD92 AC94:AD94 AC96:AD96 AC98:AD98 AC100:AD100 AC102:AD102 AC104:AD104 AC106:AD106 AC108:AD108 AC110:AD110 AC112:AD112 AC114:AD115">
    <cfRule type="cellIs" priority="10" operator="lessThan" aboveAverage="0" equalAverage="0" bottom="0" percent="0" rank="0" text="" dxfId="4">
      <formula>0</formula>
    </cfRule>
  </conditionalFormatting>
  <conditionalFormatting sqref="AE40 AE42 AE44 AE46 AE48 AE50 AE52 AE54 AE56 AE58 AE60 AE62 AE64 AE66 AE68 AE70 AE72 AE74 AE76 AE78 AE80 AE82 AE84 AE86 AE88 AE90 AE92 AE94 AE96 AE98 AE100 AE102 AE104 AE106 AE108 AE110 AE112 AE114">
    <cfRule type="iconSet" priority="11">
      <iconSet iconSet="3Arrows">
        <cfvo type="percent" val="0"/>
        <cfvo type="num" val="0"/>
        <cfvo type="num" val="0"/>
      </iconSet>
    </cfRule>
  </conditionalFormatting>
  <conditionalFormatting sqref="L5:L114">
    <cfRule type="colorScale" priority="12">
      <colorScale>
        <cfvo type="min" val="0"/>
        <cfvo type="percentile" val="50"/>
        <cfvo type="max" val="0"/>
        <color rgb="FFF8696B"/>
        <color rgb="FFFFEB84"/>
        <color rgb="FF63BE7B"/>
      </colorScale>
    </cfRule>
  </conditionalFormatting>
  <conditionalFormatting sqref="L115">
    <cfRule type="colorScale" priority="13">
      <colorScale>
        <cfvo type="min" val="0"/>
        <cfvo type="percentile" val="50"/>
        <cfvo type="max" val="0"/>
        <color rgb="FFF8696B"/>
        <color rgb="FFFFEB84"/>
        <color rgb="FF63BE7B"/>
      </colorScale>
    </cfRule>
  </conditionalFormatting>
  <conditionalFormatting sqref="AE115">
    <cfRule type="iconSet" priority="14">
      <iconSet iconSet="3Arrows">
        <cfvo type="percent" val="0"/>
        <cfvo type="num" val="0"/>
        <cfvo type="num" val="0"/>
      </iconSet>
    </cfRule>
  </conditionalFormatting>
  <dataValidations count="2">
    <dataValidation allowBlank="true" operator="between" showDropDown="false" showErrorMessage="true" showInputMessage="true" sqref="B5:B115 E5:E115" type="list">
      <formula1>"Outsourcing,EST"</formula1>
      <formula2>0</formula2>
    </dataValidation>
    <dataValidation allowBlank="true" operator="between" showDropDown="false" showErrorMessage="true" showInputMessage="true" sqref="A5:A115 D5:D115 H5:H115" type="list">
      <formula1>'Temporada Alta PPT'!Modelo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AD1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F4" activeCellId="0" sqref="F4"/>
    </sheetView>
  </sheetViews>
  <sheetFormatPr defaultColWidth="10.6875" defaultRowHeight="14.4" zeroHeight="false" outlineLevelRow="0" outlineLevelCol="0"/>
  <cols>
    <col collapsed="false" customWidth="true" hidden="false" outlineLevel="0" max="1" min="1" style="2" width="21.66"/>
    <col collapsed="false" customWidth="true" hidden="false" outlineLevel="0" max="2" min="2" style="2" width="11.99"/>
    <col collapsed="false" customWidth="true" hidden="false" outlineLevel="0" max="3" min="3" style="2" width="9.89"/>
    <col collapsed="false" customWidth="true" hidden="false" outlineLevel="0" max="4" min="4" style="2" width="6.34"/>
    <col collapsed="false" customWidth="true" hidden="false" outlineLevel="0" max="5" min="5" style="2" width="8.33"/>
    <col collapsed="false" customWidth="true" hidden="false" outlineLevel="0" max="6" min="6" style="2" width="19.45"/>
    <col collapsed="false" customWidth="true" hidden="false" outlineLevel="0" max="7" min="7" style="3" width="13.33"/>
    <col collapsed="false" customWidth="true" hidden="false" outlineLevel="0" max="8" min="8" style="3" width="11.99"/>
    <col collapsed="false" customWidth="true" hidden="false" outlineLevel="0" max="10" min="9" style="3" width="15"/>
    <col collapsed="false" customWidth="true" hidden="false" outlineLevel="0" max="11" min="11" style="3" width="11.99"/>
    <col collapsed="false" customWidth="true" hidden="false" outlineLevel="0" max="12" min="12" style="3" width="15"/>
    <col collapsed="false" customWidth="true" hidden="false" outlineLevel="0" max="13" min="13" style="3" width="15.11"/>
    <col collapsed="false" customWidth="true" hidden="false" outlineLevel="0" max="14" min="14" style="3" width="13.1"/>
    <col collapsed="false" customWidth="true" hidden="false" outlineLevel="0" max="15" min="15" style="3" width="11.66"/>
    <col collapsed="false" customWidth="true" hidden="false" outlineLevel="0" max="16" min="16" style="3" width="11.33"/>
    <col collapsed="false" customWidth="true" hidden="false" outlineLevel="0" max="17" min="17" style="3" width="14.55"/>
    <col collapsed="false" customWidth="true" hidden="false" outlineLevel="0" max="18" min="18" style="3" width="14.66"/>
    <col collapsed="false" customWidth="true" hidden="false" outlineLevel="0" max="20" min="19" style="3" width="11.66"/>
    <col collapsed="false" customWidth="true" hidden="false" outlineLevel="0" max="21" min="21" style="3" width="14.55"/>
    <col collapsed="false" customWidth="true" hidden="false" outlineLevel="0" max="22" min="22" style="3" width="17.33"/>
    <col collapsed="false" customWidth="true" hidden="false" outlineLevel="0" max="25" min="23" style="3" width="13.66"/>
  </cols>
  <sheetData>
    <row r="1" customFormat="false" ht="14.4" hidden="false" customHeight="false" outlineLevel="0" collapsed="false">
      <c r="A1" s="4"/>
      <c r="B1" s="4"/>
      <c r="C1" s="4"/>
      <c r="D1" s="4"/>
      <c r="E1" s="4"/>
      <c r="F1" s="4"/>
      <c r="G1" s="5"/>
    </row>
    <row r="2" customFormat="false" ht="14.4" hidden="false" customHeight="false" outlineLevel="0" collapsed="false">
      <c r="A2" s="4"/>
      <c r="B2" s="4"/>
      <c r="C2" s="4"/>
      <c r="D2" s="4"/>
      <c r="E2" s="4"/>
      <c r="F2" s="4"/>
      <c r="N2" s="6" t="n">
        <v>1393548.38709677</v>
      </c>
      <c r="O2" s="6" t="n">
        <v>270967.741935484</v>
      </c>
      <c r="P2" s="6" t="n">
        <v>1393548.38709677</v>
      </c>
      <c r="Q2" s="6" t="n">
        <v>1935483.87096774</v>
      </c>
      <c r="R2" s="7" t="n">
        <v>0.4</v>
      </c>
      <c r="S2" s="3" t="n">
        <v>0.15</v>
      </c>
      <c r="T2" s="6" t="n">
        <v>310000</v>
      </c>
      <c r="V2" s="6" t="n">
        <v>3519400</v>
      </c>
    </row>
    <row r="3" customFormat="false" ht="14.4" hidden="false" customHeight="false" outlineLevel="0" collapsed="false">
      <c r="A3" s="4"/>
      <c r="B3" s="4"/>
      <c r="C3" s="4"/>
      <c r="D3" s="4"/>
      <c r="E3" s="4"/>
      <c r="F3" s="4"/>
      <c r="AC3" s="8"/>
      <c r="AD3" s="8"/>
    </row>
    <row r="4" s="11" customFormat="true" ht="44.25" hidden="false" customHeight="true" outlineLevel="0" collapsed="false">
      <c r="A4" s="9" t="s">
        <v>141</v>
      </c>
      <c r="B4" s="9" t="s">
        <v>1</v>
      </c>
      <c r="C4" s="9" t="s">
        <v>142</v>
      </c>
      <c r="D4" s="9" t="s">
        <v>143</v>
      </c>
      <c r="E4" s="9" t="s">
        <v>7</v>
      </c>
      <c r="F4" s="9" t="s">
        <v>8</v>
      </c>
      <c r="G4" s="9" t="s">
        <v>9</v>
      </c>
      <c r="H4" s="9" t="s">
        <v>10</v>
      </c>
      <c r="I4" s="9" t="s">
        <v>11</v>
      </c>
      <c r="J4" s="9" t="s">
        <v>12</v>
      </c>
      <c r="K4" s="9" t="s">
        <v>13</v>
      </c>
      <c r="L4" s="9" t="s">
        <v>14</v>
      </c>
      <c r="M4" s="9" t="s">
        <v>144</v>
      </c>
      <c r="N4" s="9" t="s">
        <v>17</v>
      </c>
      <c r="O4" s="9" t="s">
        <v>18</v>
      </c>
      <c r="P4" s="9" t="s">
        <v>19</v>
      </c>
      <c r="Q4" s="9" t="s">
        <v>20</v>
      </c>
      <c r="R4" s="9" t="s">
        <v>21</v>
      </c>
      <c r="S4" s="9" t="s">
        <v>22</v>
      </c>
      <c r="T4" s="9" t="s">
        <v>23</v>
      </c>
      <c r="U4" s="9" t="s">
        <v>24</v>
      </c>
      <c r="V4" s="9" t="s">
        <v>25</v>
      </c>
      <c r="W4" s="9" t="s">
        <v>26</v>
      </c>
      <c r="X4" s="9" t="s">
        <v>27</v>
      </c>
      <c r="Y4" s="9" t="s">
        <v>28</v>
      </c>
    </row>
    <row r="5" customFormat="false" ht="14.4" hidden="false" customHeight="false" outlineLevel="0" collapsed="false">
      <c r="A5" s="12"/>
      <c r="B5" s="12" t="s">
        <v>145</v>
      </c>
      <c r="C5" s="13" t="n">
        <v>1</v>
      </c>
      <c r="D5" s="13" t="n">
        <v>1</v>
      </c>
      <c r="E5" s="13" t="s">
        <v>34</v>
      </c>
      <c r="F5" s="13" t="s">
        <v>35</v>
      </c>
      <c r="G5" s="12" t="n">
        <f aca="false">IFERROR(VLOOKUP(CONCATENATE(E5,F5),Ventas!D:H,5,0),0)</f>
        <v>1199044.61538462</v>
      </c>
      <c r="H5" s="12" t="n">
        <f aca="false">IFERROR(VLOOKUP(A5,Modelos[],18,0),0)*G5/C5</f>
        <v>0</v>
      </c>
      <c r="I5" s="14" t="n">
        <f aca="false">SUM(G5:H5)</f>
        <v>1199044.61538462</v>
      </c>
      <c r="J5" s="12" t="n">
        <f aca="false">I5*IFERROR(VLOOKUP(E5,Tabla11[],3,0),0)</f>
        <v>419665.615384615</v>
      </c>
      <c r="K5" s="12" t="n">
        <f aca="false">I5-J5</f>
        <v>779379</v>
      </c>
      <c r="L5" s="12" t="n">
        <f aca="false">Sup!$A$2*D5</f>
        <v>6775.44742838542</v>
      </c>
      <c r="M5" s="12" t="n">
        <f aca="false">IFERROR(VLOOKUP(A5,Modelos[],IF(B5="EST",15,14),0),0)/C5</f>
        <v>0</v>
      </c>
      <c r="N5" s="12" t="n">
        <f aca="false">IF($G5&lt;0,0,IFERROR((N$2*IFERROR(VLOOKUP(E5,Tabla11[],2,0),0))*($G5/SUM($G$5:$G$43)),0))</f>
        <v>13546.917568113</v>
      </c>
      <c r="O5" s="12" t="n">
        <f aca="false">IF($G5&lt;0,0,IFERROR((O$2*IFERROR(VLOOKUP(E5,Tabla11[],2,0),0))*($G5/SUM($G$5:$G$43)),0))</f>
        <v>2634.12286046642</v>
      </c>
      <c r="P5" s="12" t="n">
        <f aca="false">IF($G5&lt;0,0,IFERROR((P$2*IFERROR(VLOOKUP(E5,Tabla11[],2,0),0))*($G5/SUM($G$5:$G$43)),0))</f>
        <v>13546.917568113</v>
      </c>
      <c r="Q5" s="12" t="n">
        <f aca="false">IF($G5&lt;0,0,IFERROR((Q$2*IFERROR(VLOOKUP(E5,Tabla11[],2,0),0))*($G5/SUM($G$5:$G$43)),0))</f>
        <v>18815.1632890458</v>
      </c>
      <c r="R5" s="12" t="n">
        <f aca="false">K5*$R$2</f>
        <v>311751.6</v>
      </c>
      <c r="S5" s="12" t="n">
        <f aca="false">+R5*IFERROR(VLOOKUP(E5,Tabla11[],4,0),0)</f>
        <v>46762.74</v>
      </c>
      <c r="T5" s="12" t="n">
        <f aca="false">IF(G5&gt;0,$T$2/12,0)</f>
        <v>25833.3333333333</v>
      </c>
      <c r="U5" s="12" t="n">
        <f aca="false">K5-SUM(L5:T5)</f>
        <v>339712.757952543</v>
      </c>
      <c r="V5" s="12" t="n">
        <f aca="false">IF($G5&lt;0,0,IFERROR((V$2*IFERROR(VLOOKUP(E5,Tabla11[],2,0),0))*($G5/SUM($G$5:$G$43)),0))</f>
        <v>34212.6776010584</v>
      </c>
      <c r="W5" s="12" t="n">
        <f aca="false">G5-G5*IFERROR(VLOOKUP(E5,Tabla11[],3,0),0)-L5-N5-O5-P5-Q5-G5*$R$2-(G5*$R$2)*IFERROR(VLOOKUP(E5,Tabla11[],4,0),0)-V5-T5</f>
        <v>112453.897274562</v>
      </c>
      <c r="X5" s="12" t="n">
        <f aca="false">U5-V5</f>
        <v>305500.080351485</v>
      </c>
      <c r="Y5" s="12" t="n">
        <f aca="false">ROUND(X5-W5,9)</f>
        <v>193046.183076923</v>
      </c>
    </row>
    <row r="6" customFormat="false" ht="14.4" hidden="false" customHeight="false" outlineLevel="0" collapsed="false">
      <c r="A6" s="15"/>
      <c r="B6" s="15" t="s">
        <v>145</v>
      </c>
      <c r="C6" s="16" t="n">
        <v>1</v>
      </c>
      <c r="D6" s="16" t="n">
        <v>1</v>
      </c>
      <c r="E6" s="16" t="s">
        <v>34</v>
      </c>
      <c r="F6" s="16" t="s">
        <v>37</v>
      </c>
      <c r="G6" s="12" t="n">
        <f aca="false">IFERROR(VLOOKUP(CONCATENATE(E6,F6),Ventas!D:H,5,0),0)</f>
        <v>724821.538461538</v>
      </c>
      <c r="H6" s="15" t="n">
        <f aca="false">IFERROR(VLOOKUP(A6,Modelos[],18,0),0)*G6/C6</f>
        <v>0</v>
      </c>
      <c r="I6" s="17" t="n">
        <f aca="false">SUM(G6:H6)</f>
        <v>724821.538461538</v>
      </c>
      <c r="J6" s="15" t="n">
        <f aca="false">I6*IFERROR(VLOOKUP(E6,Tabla11[],3,0),0)</f>
        <v>253687.538461538</v>
      </c>
      <c r="K6" s="15" t="n">
        <f aca="false">I6-J6</f>
        <v>471134</v>
      </c>
      <c r="L6" s="15" t="n">
        <f aca="false">Sup!$A$2*D6</f>
        <v>6775.44742838542</v>
      </c>
      <c r="M6" s="15" t="n">
        <f aca="false">IFERROR(VLOOKUP(A6,Modelos[],IF(B6="EST",15,14),0),0)/C6</f>
        <v>0</v>
      </c>
      <c r="N6" s="15" t="n">
        <f aca="false">IF($G6&lt;0,0,IFERROR((N$2*IFERROR(VLOOKUP(E6,Tabla11[],2,0),0))*($G6/SUM($G$5:$G$43)),0))</f>
        <v>8189.10114531614</v>
      </c>
      <c r="O6" s="15" t="n">
        <f aca="false">IF($G6&lt;0,0,IFERROR((O$2*IFERROR(VLOOKUP(E6,Tabla11[],2,0),0))*($G6/SUM($G$5:$G$43)),0))</f>
        <v>1592.32522270036</v>
      </c>
      <c r="P6" s="15" t="n">
        <f aca="false">IF($G6&lt;0,0,IFERROR((P$2*IFERROR(VLOOKUP(E6,Tabla11[],2,0),0))*($G6/SUM($G$5:$G$43)),0))</f>
        <v>8189.10114531614</v>
      </c>
      <c r="Q6" s="15" t="n">
        <f aca="false">IF($G6&lt;0,0,IFERROR((Q$2*IFERROR(VLOOKUP(E6,Tabla11[],2,0),0))*($G6/SUM($G$5:$G$43)),0))</f>
        <v>11373.7515907169</v>
      </c>
      <c r="R6" s="15" t="n">
        <f aca="false">K6*$R$2</f>
        <v>188453.6</v>
      </c>
      <c r="S6" s="15" t="n">
        <f aca="false">+R6*IFERROR(VLOOKUP(E6,Tabla11[],4,0),0)</f>
        <v>28268.04</v>
      </c>
      <c r="T6" s="15" t="n">
        <f aca="false">IF(G6&gt;0,$T$2/12,0)</f>
        <v>25833.3333333333</v>
      </c>
      <c r="U6" s="15" t="n">
        <f aca="false">K6-SUM(L6:T6)</f>
        <v>192459.300134232</v>
      </c>
      <c r="V6" s="15" t="n">
        <f aca="false">IF($G6&lt;0,0,IFERROR((V$2*IFERROR(VLOOKUP(E6,Tabla11[],2,0),0))*($G6/SUM($G$5:$G$43)),0))</f>
        <v>20681.5370299906</v>
      </c>
      <c r="W6" s="15" t="n">
        <f aca="false">G6-G6*IFERROR(VLOOKUP(E6,Tabla11[],3,0),0)-L6-N6-O6-P6-Q6-G6*$R$2-(G6*$R$2)*IFERROR(VLOOKUP(E6,Tabla11[],4,0),0)-V6-T6</f>
        <v>55081.4954119334</v>
      </c>
      <c r="X6" s="15" t="n">
        <f aca="false">U6-V6</f>
        <v>171777.763104241</v>
      </c>
      <c r="Y6" s="15" t="n">
        <f aca="false">ROUND(X6-W6,9)</f>
        <v>116696.267692308</v>
      </c>
    </row>
    <row r="7" customFormat="false" ht="14.4" hidden="false" customHeight="false" outlineLevel="0" collapsed="false">
      <c r="A7" s="12"/>
      <c r="B7" s="12" t="s">
        <v>145</v>
      </c>
      <c r="C7" s="13" t="n">
        <v>1</v>
      </c>
      <c r="D7" s="13" t="n">
        <v>1</v>
      </c>
      <c r="E7" s="13" t="s">
        <v>34</v>
      </c>
      <c r="F7" s="13" t="s">
        <v>39</v>
      </c>
      <c r="G7" s="12" t="n">
        <f aca="false">IFERROR(VLOOKUP(CONCATENATE(E7,F7),Ventas!D:H,5,0),0)</f>
        <v>812932.307692308</v>
      </c>
      <c r="H7" s="12" t="n">
        <f aca="false">IFERROR(VLOOKUP(A7,Modelos[],18,0),0)*G7/C7</f>
        <v>0</v>
      </c>
      <c r="I7" s="14" t="n">
        <f aca="false">SUM(G7:H7)</f>
        <v>812932.307692308</v>
      </c>
      <c r="J7" s="12" t="n">
        <f aca="false">I7*IFERROR(VLOOKUP(E7,Tabla11[],3,0),0)</f>
        <v>284526.307692308</v>
      </c>
      <c r="K7" s="12" t="n">
        <f aca="false">I7-J7</f>
        <v>528406</v>
      </c>
      <c r="L7" s="12" t="n">
        <f aca="false">Sup!$A$2*D7</f>
        <v>6775.44742838542</v>
      </c>
      <c r="M7" s="12" t="n">
        <f aca="false">IFERROR(VLOOKUP(A7,Modelos[],IF(B7="EST",15,14),0),0)/C7</f>
        <v>0</v>
      </c>
      <c r="N7" s="12" t="n">
        <f aca="false">IF($G7&lt;0,0,IFERROR((N$2*IFERROR(VLOOKUP(E7,Tabla11[],2,0),0))*($G7/SUM($G$5:$G$43)),0))</f>
        <v>9184.58480982464</v>
      </c>
      <c r="O7" s="12" t="n">
        <f aca="false">IF($G7&lt;0,0,IFERROR((O$2*IFERROR(VLOOKUP(E7,Tabla11[],2,0),0))*($G7/SUM($G$5:$G$43)),0))</f>
        <v>1785.89149079924</v>
      </c>
      <c r="P7" s="12" t="n">
        <f aca="false">IF($G7&lt;0,0,IFERROR((P$2*IFERROR(VLOOKUP(E7,Tabla11[],2,0),0))*($G7/SUM($G$5:$G$43)),0))</f>
        <v>9184.58480982464</v>
      </c>
      <c r="Q7" s="12" t="n">
        <f aca="false">IF($G7&lt;0,0,IFERROR((Q$2*IFERROR(VLOOKUP(E7,Tabla11[],2,0),0))*($G7/SUM($G$5:$G$43)),0))</f>
        <v>12756.3677914231</v>
      </c>
      <c r="R7" s="12" t="n">
        <f aca="false">K7*$R$2</f>
        <v>211362.4</v>
      </c>
      <c r="S7" s="12" t="n">
        <f aca="false">+R7*IFERROR(VLOOKUP(E7,Tabla11[],4,0),0)</f>
        <v>31704.36</v>
      </c>
      <c r="T7" s="12" t="n">
        <f aca="false">IF(G7&gt;0,$T$2/12,0)</f>
        <v>25833.3333333333</v>
      </c>
      <c r="U7" s="12" t="n">
        <f aca="false">K7-SUM(L7:T7)</f>
        <v>219819.030336409</v>
      </c>
      <c r="V7" s="12" t="n">
        <f aca="false">IF($G7&lt;0,0,IFERROR((V$2*IFERROR(VLOOKUP(E7,Tabla11[],2,0),0))*($G7/SUM($G$5:$G$43)),0))</f>
        <v>23195.6264159861</v>
      </c>
      <c r="W7" s="12" t="n">
        <f aca="false">G7-G7*IFERROR(VLOOKUP(E7,Tabla11[],3,0),0)-L7-N7-O7-P7-Q7-G7*$R$2-(G7*$R$2)*IFERROR(VLOOKUP(E7,Tabla11[],4,0),0)-V7-T7</f>
        <v>65741.3023819619</v>
      </c>
      <c r="X7" s="12" t="n">
        <f aca="false">U7-V7</f>
        <v>196623.403920423</v>
      </c>
      <c r="Y7" s="12" t="n">
        <f aca="false">ROUND(X7-W7,9)</f>
        <v>130882.101538461</v>
      </c>
    </row>
    <row r="8" customFormat="false" ht="14.4" hidden="false" customHeight="false" outlineLevel="0" collapsed="false">
      <c r="A8" s="15"/>
      <c r="B8" s="15" t="s">
        <v>145</v>
      </c>
      <c r="C8" s="16" t="n">
        <v>1</v>
      </c>
      <c r="D8" s="16" t="n">
        <v>1</v>
      </c>
      <c r="E8" s="16" t="s">
        <v>34</v>
      </c>
      <c r="F8" s="16" t="s">
        <v>41</v>
      </c>
      <c r="G8" s="12" t="n">
        <f aca="false">IFERROR(VLOOKUP(CONCATENATE(E8,F8),Ventas!D:H,5,0),0)</f>
        <v>697984.615384615</v>
      </c>
      <c r="H8" s="15" t="n">
        <f aca="false">IFERROR(VLOOKUP(A8,Modelos[],18,0),0)*G8/C8</f>
        <v>0</v>
      </c>
      <c r="I8" s="17" t="n">
        <f aca="false">SUM(G8:H8)</f>
        <v>697984.615384615</v>
      </c>
      <c r="J8" s="15" t="n">
        <f aca="false">I8*IFERROR(VLOOKUP(E8,Tabla11[],3,0),0)</f>
        <v>244294.615384615</v>
      </c>
      <c r="K8" s="15" t="n">
        <f aca="false">I8-J8</f>
        <v>453690</v>
      </c>
      <c r="L8" s="15" t="n">
        <f aca="false">Sup!$A$2*D8</f>
        <v>6775.44742838542</v>
      </c>
      <c r="M8" s="15" t="n">
        <f aca="false">IFERROR(VLOOKUP(A8,Modelos[],IF(B8="EST",15,14),0),0)/C8</f>
        <v>0</v>
      </c>
      <c r="N8" s="15" t="n">
        <f aca="false">IF($G8&lt;0,0,IFERROR((N$2*IFERROR(VLOOKUP(E8,Tabla11[],2,0),0))*($G8/SUM($G$5:$G$43)),0))</f>
        <v>7885.89509273048</v>
      </c>
      <c r="O8" s="15" t="n">
        <f aca="false">IF($G8&lt;0,0,IFERROR((O$2*IFERROR(VLOOKUP(E8,Tabla11[],2,0),0))*($G8/SUM($G$5:$G$43)),0))</f>
        <v>1533.36849025315</v>
      </c>
      <c r="P8" s="15" t="n">
        <f aca="false">IF($G8&lt;0,0,IFERROR((P$2*IFERROR(VLOOKUP(E8,Tabla11[],2,0),0))*($G8/SUM($G$5:$G$43)),0))</f>
        <v>7885.89509273048</v>
      </c>
      <c r="Q8" s="15" t="n">
        <f aca="false">IF($G8&lt;0,0,IFERROR((Q$2*IFERROR(VLOOKUP(E8,Tabla11[],2,0),0))*($G8/SUM($G$5:$G$43)),0))</f>
        <v>10952.6320732368</v>
      </c>
      <c r="R8" s="15" t="n">
        <f aca="false">K8*$R$2</f>
        <v>181476</v>
      </c>
      <c r="S8" s="15" t="n">
        <f aca="false">+R8*IFERROR(VLOOKUP(E8,Tabla11[],4,0),0)</f>
        <v>27221.4</v>
      </c>
      <c r="T8" s="15" t="n">
        <f aca="false">IF(G8&gt;0,$T$2/12,0)</f>
        <v>25833.3333333333</v>
      </c>
      <c r="U8" s="15" t="n">
        <f aca="false">K8-SUM(L8:T8)</f>
        <v>184126.02848933</v>
      </c>
      <c r="V8" s="15" t="n">
        <f aca="false">IF($G8&lt;0,0,IFERROR((V$2*IFERROR(VLOOKUP(E8,Tabla11[],2,0),0))*($G8/SUM($G$5:$G$43)),0))</f>
        <v>19915.7915479172</v>
      </c>
      <c r="W8" s="15" t="n">
        <f aca="false">G8-G8*IFERROR(VLOOKUP(E8,Tabla11[],3,0),0)-L8-N8-O8-P8-Q8-G8*$R$2-(G8*$R$2)*IFERROR(VLOOKUP(E8,Tabla11[],4,0),0)-V8-T8</f>
        <v>51834.71386449</v>
      </c>
      <c r="X8" s="15" t="n">
        <f aca="false">U8-V8</f>
        <v>164210.236941413</v>
      </c>
      <c r="Y8" s="15" t="n">
        <f aca="false">ROUND(X8-W8,9)</f>
        <v>112375.523076923</v>
      </c>
    </row>
    <row r="9" customFormat="false" ht="14.4" hidden="false" customHeight="false" outlineLevel="0" collapsed="false">
      <c r="A9" s="12"/>
      <c r="B9" s="12" t="s">
        <v>145</v>
      </c>
      <c r="C9" s="13" t="n">
        <v>1</v>
      </c>
      <c r="D9" s="13" t="n">
        <v>1</v>
      </c>
      <c r="E9" s="13" t="s">
        <v>34</v>
      </c>
      <c r="F9" s="13" t="s">
        <v>43</v>
      </c>
      <c r="G9" s="12" t="n">
        <f aca="false">IFERROR(VLOOKUP(CONCATENATE(E9,F9),Ventas!D:H,5,0),0)</f>
        <v>1138507.69230769</v>
      </c>
      <c r="H9" s="12" t="n">
        <f aca="false">IFERROR(VLOOKUP(A9,Modelos[],18,0),0)*G9/C9</f>
        <v>0</v>
      </c>
      <c r="I9" s="14" t="n">
        <f aca="false">SUM(G9:H9)</f>
        <v>1138507.69230769</v>
      </c>
      <c r="J9" s="12" t="n">
        <f aca="false">I9*IFERROR(VLOOKUP(E9,Tabla11[],3,0),0)</f>
        <v>398477.692307692</v>
      </c>
      <c r="K9" s="12" t="n">
        <f aca="false">I9-J9</f>
        <v>740030</v>
      </c>
      <c r="L9" s="12" t="n">
        <f aca="false">Sup!$A$2*D9</f>
        <v>6775.44742838542</v>
      </c>
      <c r="M9" s="12" t="n">
        <f aca="false">IFERROR(VLOOKUP(A9,Modelos[],IF(B9="EST",15,14),0),0)/C9</f>
        <v>0</v>
      </c>
      <c r="N9" s="12" t="n">
        <f aca="false">IF($G9&lt;0,0,IFERROR((N$2*IFERROR(VLOOKUP(E9,Tabla11[],2,0),0))*($G9/SUM($G$5:$G$43)),0))</f>
        <v>12862.9657816424</v>
      </c>
      <c r="O9" s="12" t="n">
        <f aca="false">IF($G9&lt;0,0,IFERROR((O$2*IFERROR(VLOOKUP(E9,Tabla11[],2,0),0))*($G9/SUM($G$5:$G$43)),0))</f>
        <v>2501.13223531935</v>
      </c>
      <c r="P9" s="12" t="n">
        <f aca="false">IF($G9&lt;0,0,IFERROR((P$2*IFERROR(VLOOKUP(E9,Tabla11[],2,0),0))*($G9/SUM($G$5:$G$43)),0))</f>
        <v>12862.9657816424</v>
      </c>
      <c r="Q9" s="12" t="n">
        <f aca="false">IF($G9&lt;0,0,IFERROR((Q$2*IFERROR(VLOOKUP(E9,Tabla11[],2,0),0))*($G9/SUM($G$5:$G$43)),0))</f>
        <v>17865.2302522811</v>
      </c>
      <c r="R9" s="12" t="n">
        <f aca="false">K9*$R$2</f>
        <v>296012</v>
      </c>
      <c r="S9" s="12" t="n">
        <f aca="false">+R9*IFERROR(VLOOKUP(E9,Tabla11[],4,0),0)</f>
        <v>44401.8</v>
      </c>
      <c r="T9" s="12" t="n">
        <f aca="false">IF(G9&gt;0,$T$2/12,0)</f>
        <v>25833.3333333333</v>
      </c>
      <c r="U9" s="12" t="n">
        <f aca="false">K9-SUM(L9:T9)</f>
        <v>320915.125187396</v>
      </c>
      <c r="V9" s="12" t="n">
        <f aca="false">IF($G9&lt;0,0,IFERROR((V$2*IFERROR(VLOOKUP(E9,Tabla11[],2,0),0))*($G9/SUM($G$5:$G$43)),0))</f>
        <v>32485.3605307703</v>
      </c>
      <c r="W9" s="12" t="n">
        <f aca="false">G9-G9*IFERROR(VLOOKUP(E9,Tabla11[],3,0),0)-L9-N9-O9-P9-Q9-G9*$R$2-(G9*$R$2)*IFERROR(VLOOKUP(E9,Tabla11[],4,0),0)-V9-T9</f>
        <v>105130.026195087</v>
      </c>
      <c r="X9" s="12" t="n">
        <f aca="false">U9-V9</f>
        <v>288429.764656626</v>
      </c>
      <c r="Y9" s="12" t="n">
        <f aca="false">ROUND(X9-W9,9)</f>
        <v>183299.738461538</v>
      </c>
    </row>
    <row r="10" customFormat="false" ht="14.4" hidden="false" customHeight="false" outlineLevel="0" collapsed="false">
      <c r="A10" s="15"/>
      <c r="B10" s="15" t="s">
        <v>145</v>
      </c>
      <c r="C10" s="16" t="n">
        <v>1</v>
      </c>
      <c r="D10" s="16" t="n">
        <v>1</v>
      </c>
      <c r="E10" s="16" t="s">
        <v>34</v>
      </c>
      <c r="F10" s="16" t="s">
        <v>45</v>
      </c>
      <c r="G10" s="12" t="n">
        <f aca="false">IFERROR(VLOOKUP(CONCATENATE(E10,F10),Ventas!D:H,5,0),0)</f>
        <v>709386.153846154</v>
      </c>
      <c r="H10" s="15" t="n">
        <f aca="false">IFERROR(VLOOKUP(A10,Modelos[],18,0),0)*G10/C10</f>
        <v>0</v>
      </c>
      <c r="I10" s="17" t="n">
        <f aca="false">SUM(G10:H10)</f>
        <v>709386.153846154</v>
      </c>
      <c r="J10" s="15" t="n">
        <f aca="false">I10*IFERROR(VLOOKUP(E10,Tabla11[],3,0),0)</f>
        <v>248285.153846154</v>
      </c>
      <c r="K10" s="15" t="n">
        <f aca="false">I10-J10</f>
        <v>461101</v>
      </c>
      <c r="L10" s="15" t="n">
        <f aca="false">Sup!$A$2*D10</f>
        <v>6775.44742838542</v>
      </c>
      <c r="M10" s="15" t="n">
        <f aca="false">IFERROR(VLOOKUP(A10,Modelos[],IF(B10="EST",15,14),0),0)/C10</f>
        <v>0</v>
      </c>
      <c r="N10" s="15" t="n">
        <f aca="false">IF($G10&lt;0,0,IFERROR((N$2*IFERROR(VLOOKUP(E10,Tabla11[],2,0),0))*($G10/SUM($G$5:$G$43)),0))</f>
        <v>8014.71073453926</v>
      </c>
      <c r="O10" s="15" t="n">
        <f aca="false">IF($G10&lt;0,0,IFERROR((O$2*IFERROR(VLOOKUP(E10,Tabla11[],2,0),0))*($G10/SUM($G$5:$G$43)),0))</f>
        <v>1558.41597616041</v>
      </c>
      <c r="P10" s="15" t="n">
        <f aca="false">IF($G10&lt;0,0,IFERROR((P$2*IFERROR(VLOOKUP(E10,Tabla11[],2,0),0))*($G10/SUM($G$5:$G$43)),0))</f>
        <v>8014.71073453926</v>
      </c>
      <c r="Q10" s="15" t="n">
        <f aca="false">IF($G10&lt;0,0,IFERROR((Q$2*IFERROR(VLOOKUP(E10,Tabla11[],2,0),0))*($G10/SUM($G$5:$G$43)),0))</f>
        <v>11131.5426868601</v>
      </c>
      <c r="R10" s="15" t="n">
        <f aca="false">K10*$R$2</f>
        <v>184440.4</v>
      </c>
      <c r="S10" s="15" t="n">
        <f aca="false">+R10*IFERROR(VLOOKUP(E10,Tabla11[],4,0),0)</f>
        <v>27666.06</v>
      </c>
      <c r="T10" s="15" t="n">
        <f aca="false">IF(G10&gt;0,$T$2/12,0)</f>
        <v>25833.3333333333</v>
      </c>
      <c r="U10" s="15" t="n">
        <f aca="false">K10-SUM(L10:T10)</f>
        <v>187666.379106182</v>
      </c>
      <c r="V10" s="15" t="n">
        <f aca="false">IF($G10&lt;0,0,IFERROR((V$2*IFERROR(VLOOKUP(E10,Tabla11[],2,0),0))*($G10/SUM($G$5:$G$43)),0))</f>
        <v>20241.1148549366</v>
      </c>
      <c r="W10" s="15" t="n">
        <f aca="false">G10-G10*IFERROR(VLOOKUP(E10,Tabla11[],3,0),0)-L10-N10-O10-P10-Q10-G10*$R$2-(G10*$R$2)*IFERROR(VLOOKUP(E10,Tabla11[],4,0),0)-V10-T10</f>
        <v>53214.0934820148</v>
      </c>
      <c r="X10" s="15" t="n">
        <f aca="false">U10-V10</f>
        <v>167425.264251246</v>
      </c>
      <c r="Y10" s="15" t="n">
        <f aca="false">ROUND(X10-W10,9)</f>
        <v>114211.170769231</v>
      </c>
    </row>
    <row r="11" customFormat="false" ht="14.4" hidden="false" customHeight="false" outlineLevel="0" collapsed="false">
      <c r="A11" s="12"/>
      <c r="B11" s="12" t="s">
        <v>145</v>
      </c>
      <c r="C11" s="13" t="n">
        <v>1</v>
      </c>
      <c r="D11" s="13" t="n">
        <v>1</v>
      </c>
      <c r="E11" s="13" t="s">
        <v>34</v>
      </c>
      <c r="F11" s="13" t="s">
        <v>47</v>
      </c>
      <c r="G11" s="12" t="n">
        <f aca="false">IFERROR(VLOOKUP(CONCATENATE(E11,F11),Ventas!D:H,5,0),0)</f>
        <v>814123.076923077</v>
      </c>
      <c r="H11" s="12" t="n">
        <f aca="false">IFERROR(VLOOKUP(A11,Modelos[],18,0),0)*G11/C11</f>
        <v>0</v>
      </c>
      <c r="I11" s="14" t="n">
        <f aca="false">SUM(G11:H11)</f>
        <v>814123.076923077</v>
      </c>
      <c r="J11" s="12" t="n">
        <f aca="false">I11*IFERROR(VLOOKUP(E11,Tabla11[],3,0),0)</f>
        <v>284943.076923077</v>
      </c>
      <c r="K11" s="12" t="n">
        <f aca="false">I11-J11</f>
        <v>529180</v>
      </c>
      <c r="L11" s="12" t="n">
        <f aca="false">Sup!$A$2*D11</f>
        <v>6775.44742838542</v>
      </c>
      <c r="M11" s="12" t="n">
        <f aca="false">IFERROR(VLOOKUP(A11,Modelos[],IF(B11="EST",15,14),0),0)/C11</f>
        <v>0</v>
      </c>
      <c r="N11" s="12" t="n">
        <f aca="false">IF($G11&lt;0,0,IFERROR((N$2*IFERROR(VLOOKUP(E11,Tabla11[],2,0),0))*($G11/SUM($G$5:$G$43)),0))</f>
        <v>9198.03823132781</v>
      </c>
      <c r="O11" s="12" t="n">
        <f aca="false">IF($G11&lt;0,0,IFERROR((O$2*IFERROR(VLOOKUP(E11,Tabla11[],2,0),0))*($G11/SUM($G$5:$G$43)),0))</f>
        <v>1788.5074338693</v>
      </c>
      <c r="P11" s="12" t="n">
        <f aca="false">IF($G11&lt;0,0,IFERROR((P$2*IFERROR(VLOOKUP(E11,Tabla11[],2,0),0))*($G11/SUM($G$5:$G$43)),0))</f>
        <v>9198.03823132781</v>
      </c>
      <c r="Q11" s="12" t="n">
        <f aca="false">IF($G11&lt;0,0,IFERROR((Q$2*IFERROR(VLOOKUP(E11,Tabla11[],2,0),0))*($G11/SUM($G$5:$G$43)),0))</f>
        <v>12775.0530990664</v>
      </c>
      <c r="R11" s="12" t="n">
        <f aca="false">K11*$R$2</f>
        <v>211672</v>
      </c>
      <c r="S11" s="12" t="n">
        <f aca="false">+R11*IFERROR(VLOOKUP(E11,Tabla11[],4,0),0)</f>
        <v>31750.8</v>
      </c>
      <c r="T11" s="12" t="n">
        <f aca="false">IF(G11&gt;0,$T$2/12,0)</f>
        <v>25833.3333333333</v>
      </c>
      <c r="U11" s="12" t="n">
        <f aca="false">K11-SUM(L11:T11)</f>
        <v>220188.78224269</v>
      </c>
      <c r="V11" s="12" t="n">
        <f aca="false">IF($G11&lt;0,0,IFERROR((V$2*IFERROR(VLOOKUP(E11,Tabla11[],2,0),0))*($G11/SUM($G$5:$G$43)),0))</f>
        <v>23229.602969708</v>
      </c>
      <c r="W11" s="12" t="n">
        <f aca="false">G11-G11*IFERROR(VLOOKUP(E11,Tabla11[],3,0),0)-L11-N11-O11-P11-Q11-G11*$R$2-(G11*$R$2)*IFERROR(VLOOKUP(E11,Tabla11[],4,0),0)-V11-T11</f>
        <v>65885.3638883665</v>
      </c>
      <c r="X11" s="12" t="n">
        <f aca="false">U11-V11</f>
        <v>196959.179272982</v>
      </c>
      <c r="Y11" s="12" t="n">
        <f aca="false">ROUND(X11-W11,9)</f>
        <v>131073.815384615</v>
      </c>
    </row>
    <row r="12" customFormat="false" ht="14.4" hidden="false" customHeight="false" outlineLevel="0" collapsed="false">
      <c r="A12" s="15"/>
      <c r="B12" s="15" t="s">
        <v>145</v>
      </c>
      <c r="C12" s="16" t="n">
        <v>1</v>
      </c>
      <c r="D12" s="16" t="n">
        <v>1</v>
      </c>
      <c r="E12" s="16" t="s">
        <v>34</v>
      </c>
      <c r="F12" s="16" t="s">
        <v>52</v>
      </c>
      <c r="G12" s="12" t="n">
        <f aca="false">IFERROR(VLOOKUP(CONCATENATE(E12,F12),Ventas!D:H,5,0),0)</f>
        <v>1234780</v>
      </c>
      <c r="H12" s="15" t="n">
        <f aca="false">IFERROR(VLOOKUP(A12,Modelos[],18,0),0)*G12/C12</f>
        <v>0</v>
      </c>
      <c r="I12" s="17" t="n">
        <f aca="false">SUM(G12:H12)</f>
        <v>1234780</v>
      </c>
      <c r="J12" s="15" t="n">
        <f aca="false">I12*IFERROR(VLOOKUP(E12,Tabla11[],3,0),0)</f>
        <v>432173</v>
      </c>
      <c r="K12" s="15" t="n">
        <f aca="false">I12-J12</f>
        <v>802607</v>
      </c>
      <c r="L12" s="15" t="n">
        <f aca="false">Sup!$A$2*D12</f>
        <v>6775.44742838542</v>
      </c>
      <c r="M12" s="15" t="n">
        <f aca="false">IFERROR(VLOOKUP(A12,Modelos[],IF(B12="EST",15,14),0),0)/C12</f>
        <v>0</v>
      </c>
      <c r="N12" s="15" t="n">
        <f aca="false">IF($G12&lt;0,0,IFERROR((N$2*IFERROR(VLOOKUP(E12,Tabla11[],2,0),0))*($G12/SUM($G$5:$G$43)),0))</f>
        <v>13950.6592666603</v>
      </c>
      <c r="O12" s="15" t="n">
        <f aca="false">IF($G12&lt;0,0,IFERROR((O$2*IFERROR(VLOOKUP(E12,Tabla11[],2,0),0))*($G12/SUM($G$5:$G$43)),0))</f>
        <v>2712.62819073951</v>
      </c>
      <c r="P12" s="15" t="n">
        <f aca="false">IF($G12&lt;0,0,IFERROR((P$2*IFERROR(VLOOKUP(E12,Tabla11[],2,0),0))*($G12/SUM($G$5:$G$43)),0))</f>
        <v>13950.6592666603</v>
      </c>
      <c r="Q12" s="15" t="n">
        <f aca="false">IF($G12&lt;0,0,IFERROR((Q$2*IFERROR(VLOOKUP(E12,Tabla11[],2,0),0))*($G12/SUM($G$5:$G$43)),0))</f>
        <v>19375.9156481394</v>
      </c>
      <c r="R12" s="15" t="n">
        <f aca="false">K12*$R$2</f>
        <v>321042.8</v>
      </c>
      <c r="S12" s="15" t="n">
        <f aca="false">+R12*IFERROR(VLOOKUP(E12,Tabla11[],4,0),0)</f>
        <v>48156.42</v>
      </c>
      <c r="T12" s="15" t="n">
        <f aca="false">IF(G12&gt;0,$T$2/12,0)</f>
        <v>25833.3333333333</v>
      </c>
      <c r="U12" s="15" t="n">
        <f aca="false">K12-SUM(L12:T12)</f>
        <v>350809.136866082</v>
      </c>
      <c r="V12" s="15" t="n">
        <f aca="false">IF($G12&lt;0,0,IFERROR((V$2*IFERROR(VLOOKUP(E12,Tabla11[],2,0),0))*($G12/SUM($G$5:$G$43)),0))</f>
        <v>35232.3253915652</v>
      </c>
      <c r="W12" s="15" t="n">
        <f aca="false">G12-G12*IFERROR(VLOOKUP(E12,Tabla11[],3,0),0)-L12-N12-O12-P12-Q12-G12*$R$2-(G12*$R$2)*IFERROR(VLOOKUP(E12,Tabla11[],4,0),0)-V12-T12</f>
        <v>116777.231474517</v>
      </c>
      <c r="X12" s="15" t="n">
        <f aca="false">U12-V12</f>
        <v>315576.811474516</v>
      </c>
      <c r="Y12" s="15" t="n">
        <f aca="false">ROUND(X12-W12,9)</f>
        <v>198799.58</v>
      </c>
    </row>
    <row r="13" customFormat="false" ht="14.4" hidden="false" customHeight="false" outlineLevel="0" collapsed="false">
      <c r="A13" s="12"/>
      <c r="B13" s="12" t="s">
        <v>145</v>
      </c>
      <c r="C13" s="13" t="n">
        <v>1</v>
      </c>
      <c r="D13" s="13" t="n">
        <v>1</v>
      </c>
      <c r="E13" s="13" t="s">
        <v>34</v>
      </c>
      <c r="F13" s="13" t="s">
        <v>54</v>
      </c>
      <c r="G13" s="12" t="n">
        <f aca="false">IFERROR(VLOOKUP(CONCATENATE(E13,F13),Ventas!D:H,5,0),0)</f>
        <v>898778.461538462</v>
      </c>
      <c r="H13" s="12" t="n">
        <f aca="false">IFERROR(VLOOKUP(A13,Modelos[],18,0),0)*G13/C13</f>
        <v>0</v>
      </c>
      <c r="I13" s="14" t="n">
        <f aca="false">SUM(G13:H13)</f>
        <v>898778.461538462</v>
      </c>
      <c r="J13" s="12" t="n">
        <f aca="false">I13*IFERROR(VLOOKUP(E13,Tabla11[],3,0),0)</f>
        <v>314572.461538462</v>
      </c>
      <c r="K13" s="12" t="n">
        <f aca="false">I13-J13</f>
        <v>584206</v>
      </c>
      <c r="L13" s="12" t="n">
        <f aca="false">Sup!$A$2*D13</f>
        <v>6775.44742838542</v>
      </c>
      <c r="M13" s="12" t="n">
        <f aca="false">IFERROR(VLOOKUP(A13,Modelos[],IF(B13="EST",15,14),0),0)/C13</f>
        <v>0</v>
      </c>
      <c r="N13" s="12" t="n">
        <f aca="false">IF($G13&lt;0,0,IFERROR((N$2*IFERROR(VLOOKUP(E13,Tabla11[],2,0),0))*($G13/SUM($G$5:$G$43)),0))</f>
        <v>10154.482639123</v>
      </c>
      <c r="O13" s="12" t="n">
        <f aca="false">IF($G13&lt;0,0,IFERROR((O$2*IFERROR(VLOOKUP(E13,Tabla11[],2,0),0))*($G13/SUM($G$5:$G$43)),0))</f>
        <v>1974.48273538502</v>
      </c>
      <c r="P13" s="12" t="n">
        <f aca="false">IF($G13&lt;0,0,IFERROR((P$2*IFERROR(VLOOKUP(E13,Tabla11[],2,0),0))*($G13/SUM($G$5:$G$43)),0))</f>
        <v>10154.482639123</v>
      </c>
      <c r="Q13" s="12" t="n">
        <f aca="false">IF($G13&lt;0,0,IFERROR((Q$2*IFERROR(VLOOKUP(E13,Tabla11[],2,0),0))*($G13/SUM($G$5:$G$43)),0))</f>
        <v>14103.448109893</v>
      </c>
      <c r="R13" s="12" t="n">
        <f aca="false">K13*$R$2</f>
        <v>233682.4</v>
      </c>
      <c r="S13" s="12" t="n">
        <f aca="false">+R13*IFERROR(VLOOKUP(E13,Tabla11[],4,0),0)</f>
        <v>35052.36</v>
      </c>
      <c r="T13" s="12" t="n">
        <f aca="false">IF(G13&gt;0,$T$2/12,0)</f>
        <v>25833.3333333333</v>
      </c>
      <c r="U13" s="12" t="n">
        <f aca="false">K13-SUM(L13:T13)</f>
        <v>246475.563114757</v>
      </c>
      <c r="V13" s="12" t="n">
        <f aca="false">IF($G13&lt;0,0,IFERROR((V$2*IFERROR(VLOOKUP(E13,Tabla11[],2,0),0))*($G13/SUM($G$5:$G$43)),0))</f>
        <v>25645.0988936114</v>
      </c>
      <c r="W13" s="12" t="n">
        <f aca="false">G13-G13*IFERROR(VLOOKUP(E13,Tabla11[],3,0),0)-L13-N13-O13-P13-Q13-G13*$R$2-(G13*$R$2)*IFERROR(VLOOKUP(E13,Tabla11[],4,0),0)-V13-T13</f>
        <v>76127.1319134536</v>
      </c>
      <c r="X13" s="12" t="n">
        <f aca="false">U13-V13</f>
        <v>220830.464221146</v>
      </c>
      <c r="Y13" s="12" t="n">
        <f aca="false">ROUND(X13-W13,9)</f>
        <v>144703.332307692</v>
      </c>
    </row>
    <row r="14" customFormat="false" ht="14.4" hidden="false" customHeight="false" outlineLevel="0" collapsed="false">
      <c r="A14" s="15"/>
      <c r="B14" s="15" t="s">
        <v>145</v>
      </c>
      <c r="C14" s="16" t="n">
        <v>1</v>
      </c>
      <c r="D14" s="16" t="n">
        <v>1</v>
      </c>
      <c r="E14" s="16" t="s">
        <v>34</v>
      </c>
      <c r="F14" s="16" t="s">
        <v>55</v>
      </c>
      <c r="G14" s="12" t="n">
        <f aca="false">IFERROR(VLOOKUP(CONCATENATE(E14,F14),Ventas!D:H,5,0),0)</f>
        <v>667295.384615385</v>
      </c>
      <c r="H14" s="15" t="n">
        <f aca="false">IFERROR(VLOOKUP(A14,Modelos[],18,0),0)*G14/C14</f>
        <v>0</v>
      </c>
      <c r="I14" s="17" t="n">
        <f aca="false">SUM(G14:H14)</f>
        <v>667295.384615385</v>
      </c>
      <c r="J14" s="15" t="n">
        <f aca="false">I14*IFERROR(VLOOKUP(E14,Tabla11[],3,0),0)</f>
        <v>233553.384615385</v>
      </c>
      <c r="K14" s="15" t="n">
        <f aca="false">I14-J14</f>
        <v>433742</v>
      </c>
      <c r="L14" s="15" t="n">
        <f aca="false">Sup!$A$2*D14</f>
        <v>6775.44742838542</v>
      </c>
      <c r="M14" s="15" t="n">
        <f aca="false">IFERROR(VLOOKUP(A14,Modelos[],IF(B14="EST",15,14),0),0)/C14</f>
        <v>0</v>
      </c>
      <c r="N14" s="15" t="n">
        <f aca="false">IF($G14&lt;0,0,IFERROR((N$2*IFERROR(VLOOKUP(E14,Tabla11[],2,0),0))*($G14/SUM($G$5:$G$43)),0))</f>
        <v>7539.16530959709</v>
      </c>
      <c r="O14" s="15" t="n">
        <f aca="false">IF($G14&lt;0,0,IFERROR((O$2*IFERROR(VLOOKUP(E14,Tabla11[],2,0),0))*($G14/SUM($G$5:$G$43)),0))</f>
        <v>1465.94881019943</v>
      </c>
      <c r="P14" s="15" t="n">
        <f aca="false">IF($G14&lt;0,0,IFERROR((P$2*IFERROR(VLOOKUP(E14,Tabla11[],2,0),0))*($G14/SUM($G$5:$G$43)),0))</f>
        <v>7539.16530959709</v>
      </c>
      <c r="Q14" s="15" t="n">
        <f aca="false">IF($G14&lt;0,0,IFERROR((Q$2*IFERROR(VLOOKUP(E14,Tabla11[],2,0),0))*($G14/SUM($G$5:$G$43)),0))</f>
        <v>10471.062929996</v>
      </c>
      <c r="R14" s="15" t="n">
        <f aca="false">K14*$R$2</f>
        <v>173496.8</v>
      </c>
      <c r="S14" s="15" t="n">
        <f aca="false">+R14*IFERROR(VLOOKUP(E14,Tabla11[],4,0),0)</f>
        <v>26024.52</v>
      </c>
      <c r="T14" s="15" t="n">
        <f aca="false">IF(G14&gt;0,$T$2/12,0)</f>
        <v>25833.3333333333</v>
      </c>
      <c r="U14" s="15" t="n">
        <f aca="false">K14-SUM(L14:T14)</f>
        <v>174596.556878892</v>
      </c>
      <c r="V14" s="15" t="n">
        <f aca="false">IF($G14&lt;0,0,IFERROR((V$2*IFERROR(VLOOKUP(E14,Tabla11[],2,0),0))*($G14/SUM($G$5:$G$43)),0))</f>
        <v>19040.1270858443</v>
      </c>
      <c r="W14" s="15" t="n">
        <f aca="false">G14-G14*IFERROR(VLOOKUP(E14,Tabla11[],3,0),0)-L14-N14-O14-P14-Q14-G14*$R$2-(G14*$R$2)*IFERROR(VLOOKUP(E14,Tabla11[],4,0),0)-V14-T14</f>
        <v>48121.8728699704</v>
      </c>
      <c r="X14" s="15" t="n">
        <f aca="false">U14-V14</f>
        <v>155556.429793047</v>
      </c>
      <c r="Y14" s="15" t="n">
        <f aca="false">ROUND(X14-W14,9)</f>
        <v>107434.556923077</v>
      </c>
    </row>
    <row r="15" customFormat="false" ht="14.4" hidden="false" customHeight="false" outlineLevel="0" collapsed="false">
      <c r="A15" s="12"/>
      <c r="B15" s="12" t="s">
        <v>145</v>
      </c>
      <c r="C15" s="13" t="n">
        <v>1</v>
      </c>
      <c r="D15" s="13" t="n">
        <v>1</v>
      </c>
      <c r="E15" s="13" t="s">
        <v>34</v>
      </c>
      <c r="F15" s="13" t="s">
        <v>56</v>
      </c>
      <c r="G15" s="12" t="n">
        <f aca="false">IFERROR(VLOOKUP(CONCATENATE(E15,F15),Ventas!D:H,5,0),0)</f>
        <v>365890.769230769</v>
      </c>
      <c r="H15" s="12" t="n">
        <f aca="false">IFERROR(VLOOKUP(A15,Modelos[],18,0),0)*G15/C15</f>
        <v>0</v>
      </c>
      <c r="I15" s="14" t="n">
        <f aca="false">SUM(G15:H15)</f>
        <v>365890.769230769</v>
      </c>
      <c r="J15" s="12" t="n">
        <f aca="false">I15*IFERROR(VLOOKUP(E15,Tabla11[],3,0),0)</f>
        <v>128061.769230769</v>
      </c>
      <c r="K15" s="12" t="n">
        <f aca="false">I15-J15</f>
        <v>237829</v>
      </c>
      <c r="L15" s="12" t="n">
        <f aca="false">Sup!$A$2*D15</f>
        <v>6775.44742838542</v>
      </c>
      <c r="M15" s="12" t="n">
        <f aca="false">IFERROR(VLOOKUP(A15,Modelos[],IF(B15="EST",15,14),0),0)/C15</f>
        <v>0</v>
      </c>
      <c r="N15" s="12" t="n">
        <f aca="false">IF($G15&lt;0,0,IFERROR((N$2*IFERROR(VLOOKUP(E15,Tabla11[],2,0),0))*($G15/SUM($G$5:$G$43)),0))</f>
        <v>4133.86793627586</v>
      </c>
      <c r="O15" s="12" t="n">
        <f aca="false">IF($G15&lt;0,0,IFERROR((O$2*IFERROR(VLOOKUP(E15,Tabla11[],2,0),0))*($G15/SUM($G$5:$G$43)),0))</f>
        <v>803.807654275862</v>
      </c>
      <c r="P15" s="12" t="n">
        <f aca="false">IF($G15&lt;0,0,IFERROR((P$2*IFERROR(VLOOKUP(E15,Tabla11[],2,0),0))*($G15/SUM($G$5:$G$43)),0))</f>
        <v>4133.86793627586</v>
      </c>
      <c r="Q15" s="12" t="n">
        <f aca="false">IF($G15&lt;0,0,IFERROR((Q$2*IFERROR(VLOOKUP(E15,Tabla11[],2,0),0))*($G15/SUM($G$5:$G$43)),0))</f>
        <v>5741.48324482759</v>
      </c>
      <c r="R15" s="12" t="n">
        <f aca="false">K15*$R$2</f>
        <v>95131.6</v>
      </c>
      <c r="S15" s="12" t="n">
        <f aca="false">+R15*IFERROR(VLOOKUP(E15,Tabla11[],4,0),0)</f>
        <v>14269.74</v>
      </c>
      <c r="T15" s="12" t="n">
        <f aca="false">IF(G15&gt;0,$T$2/12,0)</f>
        <v>25833.3333333333</v>
      </c>
      <c r="U15" s="12" t="n">
        <f aca="false">K15-SUM(L15:T15)</f>
        <v>81005.8524666261</v>
      </c>
      <c r="V15" s="12" t="n">
        <f aca="false">IF($G15&lt;0,0,IFERROR((V$2*IFERROR(VLOOKUP(E15,Tabla11[],2,0),0))*($G15/SUM($G$5:$G$43)),0))</f>
        <v>10440.0643347872</v>
      </c>
      <c r="W15" s="12" t="n">
        <f aca="false">G15-G15*IFERROR(VLOOKUP(E15,Tabla11[],3,0),0)-L15-N15-O15-P15-Q15-G15*$R$2-(G15*$R$2)*IFERROR(VLOOKUP(E15,Tabla11[],4,0),0)-V15-T15</f>
        <v>11657.374285685</v>
      </c>
      <c r="X15" s="12" t="n">
        <f aca="false">U15-V15</f>
        <v>70565.7881318389</v>
      </c>
      <c r="Y15" s="12" t="n">
        <f aca="false">ROUND(X15-W15,9)</f>
        <v>58908.413846154</v>
      </c>
    </row>
    <row r="16" customFormat="false" ht="14.4" hidden="false" customHeight="false" outlineLevel="0" collapsed="false">
      <c r="A16" s="15"/>
      <c r="B16" s="15" t="s">
        <v>145</v>
      </c>
      <c r="C16" s="16" t="n">
        <v>1</v>
      </c>
      <c r="D16" s="16" t="n">
        <v>1</v>
      </c>
      <c r="E16" s="16" t="s">
        <v>34</v>
      </c>
      <c r="F16" s="16" t="s">
        <v>57</v>
      </c>
      <c r="G16" s="12" t="n">
        <f aca="false">IFERROR(VLOOKUP(CONCATENATE(E16,F16),Ventas!D:H,5,0),0)</f>
        <v>379946.153846154</v>
      </c>
      <c r="H16" s="15" t="n">
        <f aca="false">IFERROR(VLOOKUP(A16,Modelos[],18,0),0)*G16/C16</f>
        <v>0</v>
      </c>
      <c r="I16" s="17" t="n">
        <f aca="false">SUM(G16:H16)</f>
        <v>379946.153846154</v>
      </c>
      <c r="J16" s="15" t="n">
        <f aca="false">I16*IFERROR(VLOOKUP(E16,Tabla11[],3,0),0)</f>
        <v>132981.153846154</v>
      </c>
      <c r="K16" s="15" t="n">
        <f aca="false">I16-J16</f>
        <v>246965</v>
      </c>
      <c r="L16" s="15" t="n">
        <f aca="false">Sup!$A$2*D16</f>
        <v>6775.44742838542</v>
      </c>
      <c r="M16" s="15" t="n">
        <f aca="false">IFERROR(VLOOKUP(A16,Modelos[],IF(B16="EST",15,14),0),0)/C16</f>
        <v>0</v>
      </c>
      <c r="N16" s="15" t="n">
        <f aca="false">IF($G16&lt;0,0,IFERROR((N$2*IFERROR(VLOOKUP(E16,Tabla11[],2,0),0))*($G16/SUM($G$5:$G$43)),0))</f>
        <v>4292.66697872155</v>
      </c>
      <c r="O16" s="15" t="n">
        <f aca="false">IF($G16&lt;0,0,IFERROR((O$2*IFERROR(VLOOKUP(E16,Tabla11[],2,0),0))*($G16/SUM($G$5:$G$43)),0))</f>
        <v>834.685245862524</v>
      </c>
      <c r="P16" s="15" t="n">
        <f aca="false">IF($G16&lt;0,0,IFERROR((P$2*IFERROR(VLOOKUP(E16,Tabla11[],2,0),0))*($G16/SUM($G$5:$G$43)),0))</f>
        <v>4292.66697872155</v>
      </c>
      <c r="Q16" s="15" t="n">
        <f aca="false">IF($G16&lt;0,0,IFERROR((Q$2*IFERROR(VLOOKUP(E16,Tabla11[],2,0),0))*($G16/SUM($G$5:$G$43)),0))</f>
        <v>5962.0374704466</v>
      </c>
      <c r="R16" s="15" t="n">
        <f aca="false">K16*$R$2</f>
        <v>98786</v>
      </c>
      <c r="S16" s="15" t="n">
        <f aca="false">+R16*IFERROR(VLOOKUP(E16,Tabla11[],4,0),0)</f>
        <v>14817.9</v>
      </c>
      <c r="T16" s="15" t="n">
        <f aca="false">IF(G16&gt;0,$T$2/12,0)</f>
        <v>25833.3333333333</v>
      </c>
      <c r="U16" s="15" t="n">
        <f aca="false">K16-SUM(L16:T16)</f>
        <v>85370.262564529</v>
      </c>
      <c r="V16" s="15" t="n">
        <f aca="false">IF($G16&lt;0,0,IFERROR((V$2*IFERROR(VLOOKUP(E16,Tabla11[],2,0),0))*($G16/SUM($G$5:$G$43)),0))</f>
        <v>10841.1105813031</v>
      </c>
      <c r="W16" s="15" t="n">
        <f aca="false">G16-G16*IFERROR(VLOOKUP(E16,Tabla11[],3,0),0)-L16-N16-O16-P16-Q16-G16*$R$2-(G16*$R$2)*IFERROR(VLOOKUP(E16,Tabla11[],4,0),0)-V16-T16</f>
        <v>13357.8212139952</v>
      </c>
      <c r="X16" s="15" t="n">
        <f aca="false">U16-V16</f>
        <v>74529.151983226</v>
      </c>
      <c r="Y16" s="15" t="n">
        <f aca="false">ROUND(X16-W16,9)</f>
        <v>61171.330769231</v>
      </c>
    </row>
    <row r="17" customFormat="false" ht="14.4" hidden="false" customHeight="false" outlineLevel="0" collapsed="false">
      <c r="A17" s="12"/>
      <c r="B17" s="12" t="s">
        <v>145</v>
      </c>
      <c r="C17" s="13" t="n">
        <v>1</v>
      </c>
      <c r="D17" s="13" t="n">
        <v>1</v>
      </c>
      <c r="E17" s="13" t="s">
        <v>34</v>
      </c>
      <c r="F17" s="13" t="s">
        <v>58</v>
      </c>
      <c r="G17" s="12" t="n">
        <f aca="false">IFERROR(VLOOKUP(CONCATENATE(E17,F17),Ventas!D:H,5,0),0)</f>
        <v>351910.769230769</v>
      </c>
      <c r="H17" s="12" t="n">
        <f aca="false">IFERROR(VLOOKUP(A17,Modelos[],18,0),0)*G17/C17</f>
        <v>0</v>
      </c>
      <c r="I17" s="14" t="n">
        <f aca="false">SUM(G17:H17)</f>
        <v>351910.769230769</v>
      </c>
      <c r="J17" s="12" t="n">
        <f aca="false">I17*IFERROR(VLOOKUP(E17,Tabla11[],3,0),0)</f>
        <v>123168.769230769</v>
      </c>
      <c r="K17" s="12" t="n">
        <f aca="false">I17-J17</f>
        <v>228742</v>
      </c>
      <c r="L17" s="12" t="n">
        <f aca="false">Sup!$A$2*D17</f>
        <v>6775.44742838542</v>
      </c>
      <c r="M17" s="12" t="n">
        <f aca="false">IFERROR(VLOOKUP(A17,Modelos[],IF(B17="EST",15,14),0),0)/C17</f>
        <v>0</v>
      </c>
      <c r="N17" s="12" t="n">
        <f aca="false">IF($G17&lt;0,0,IFERROR((N$2*IFERROR(VLOOKUP(E17,Tabla11[],2,0),0))*($G17/SUM($G$5:$G$43)),0))</f>
        <v>3975.92059622508</v>
      </c>
      <c r="O17" s="12" t="n">
        <f aca="false">IF($G17&lt;0,0,IFERROR((O$2*IFERROR(VLOOKUP(E17,Tabla11[],2,0),0))*($G17/SUM($G$5:$G$43)),0))</f>
        <v>773.095671488209</v>
      </c>
      <c r="P17" s="12" t="n">
        <f aca="false">IF($G17&lt;0,0,IFERROR((P$2*IFERROR(VLOOKUP(E17,Tabla11[],2,0),0))*($G17/SUM($G$5:$G$43)),0))</f>
        <v>3975.92059622508</v>
      </c>
      <c r="Q17" s="12" t="n">
        <f aca="false">IF($G17&lt;0,0,IFERROR((Q$2*IFERROR(VLOOKUP(E17,Tabla11[],2,0),0))*($G17/SUM($G$5:$G$43)),0))</f>
        <v>5522.11193920149</v>
      </c>
      <c r="R17" s="12" t="n">
        <f aca="false">K17*$R$2</f>
        <v>91496.8</v>
      </c>
      <c r="S17" s="12" t="n">
        <f aca="false">+R17*IFERROR(VLOOKUP(E17,Tabla11[],4,0),0)</f>
        <v>13724.52</v>
      </c>
      <c r="T17" s="12" t="n">
        <f aca="false">IF(G17&gt;0,$T$2/12,0)</f>
        <v>25833.3333333333</v>
      </c>
      <c r="U17" s="12" t="n">
        <f aca="false">K17-SUM(L17:T17)</f>
        <v>76664.8504351414</v>
      </c>
      <c r="V17" s="12" t="n">
        <f aca="false">IF($G17&lt;0,0,IFERROR((V$2*IFERROR(VLOOKUP(E17,Tabla11[],2,0),0))*($G17/SUM($G$5:$G$43)),0))</f>
        <v>10041.1690587266</v>
      </c>
      <c r="W17" s="12" t="n">
        <f aca="false">G17-G17*IFERROR(VLOOKUP(E17,Tabla11[],3,0),0)-L17-N17-O17-P17-Q17-G17*$R$2-(G17*$R$2)*IFERROR(VLOOKUP(E17,Tabla11[],4,0),0)-V17-T17</f>
        <v>9966.04753026097</v>
      </c>
      <c r="X17" s="12" t="n">
        <f aca="false">U17-V17</f>
        <v>66623.6813764148</v>
      </c>
      <c r="Y17" s="12" t="n">
        <f aca="false">ROUND(X17-W17,9)</f>
        <v>56657.633846154</v>
      </c>
    </row>
    <row r="18" customFormat="false" ht="14.4" hidden="false" customHeight="false" outlineLevel="0" collapsed="false">
      <c r="A18" s="15"/>
      <c r="B18" s="15" t="s">
        <v>145</v>
      </c>
      <c r="C18" s="16" t="n">
        <v>1</v>
      </c>
      <c r="D18" s="16" t="n">
        <v>1</v>
      </c>
      <c r="E18" s="16" t="s">
        <v>34</v>
      </c>
      <c r="F18" s="16" t="s">
        <v>59</v>
      </c>
      <c r="G18" s="12" t="n">
        <f aca="false">IFERROR(VLOOKUP(CONCATENATE(E18,F18),Ventas!D:H,5,0),0)</f>
        <v>586800</v>
      </c>
      <c r="H18" s="15" t="n">
        <f aca="false">IFERROR(VLOOKUP(A18,Modelos[],18,0),0)*G18/C18</f>
        <v>0</v>
      </c>
      <c r="I18" s="17" t="n">
        <f aca="false">SUM(G18:H18)</f>
        <v>586800</v>
      </c>
      <c r="J18" s="15" t="n">
        <f aca="false">I18*IFERROR(VLOOKUP(E18,Tabla11[],3,0),0)</f>
        <v>205380</v>
      </c>
      <c r="K18" s="15" t="n">
        <f aca="false">I18-J18</f>
        <v>381420</v>
      </c>
      <c r="L18" s="15" t="n">
        <f aca="false">Sup!$A$2*D18</f>
        <v>6775.44742838542</v>
      </c>
      <c r="M18" s="15" t="n">
        <f aca="false">IFERROR(VLOOKUP(A18,Modelos[],IF(B18="EST",15,14),0),0)/C18</f>
        <v>0</v>
      </c>
      <c r="N18" s="15" t="n">
        <f aca="false">IF($G18&lt;0,0,IFERROR((N$2*IFERROR(VLOOKUP(E18,Tabla11[],2,0),0))*($G18/SUM($G$5:$G$43)),0))</f>
        <v>6629.72096865538</v>
      </c>
      <c r="O18" s="15" t="n">
        <f aca="false">IF($G18&lt;0,0,IFERROR((O$2*IFERROR(VLOOKUP(E18,Tabla11[],2,0),0))*($G18/SUM($G$5:$G$43)),0))</f>
        <v>1289.11241057188</v>
      </c>
      <c r="P18" s="15" t="n">
        <f aca="false">IF($G18&lt;0,0,IFERROR((P$2*IFERROR(VLOOKUP(E18,Tabla11[],2,0),0))*($G18/SUM($G$5:$G$43)),0))</f>
        <v>6629.72096865538</v>
      </c>
      <c r="Q18" s="15" t="n">
        <f aca="false">IF($G18&lt;0,0,IFERROR((Q$2*IFERROR(VLOOKUP(E18,Tabla11[],2,0),0))*($G18/SUM($G$5:$G$43)),0))</f>
        <v>9207.94578979914</v>
      </c>
      <c r="R18" s="15" t="n">
        <f aca="false">K18*$R$2</f>
        <v>152568</v>
      </c>
      <c r="S18" s="15" t="n">
        <f aca="false">+R18*IFERROR(VLOOKUP(E18,Tabla11[],4,0),0)</f>
        <v>22885.2</v>
      </c>
      <c r="T18" s="15" t="n">
        <f aca="false">IF(G18&gt;0,$T$2/12,0)</f>
        <v>25833.3333333333</v>
      </c>
      <c r="U18" s="15" t="n">
        <f aca="false">K18-SUM(L18:T18)</f>
        <v>149601.5191006</v>
      </c>
      <c r="V18" s="15" t="n">
        <f aca="false">IF($G18&lt;0,0,IFERROR((V$2*IFERROR(VLOOKUP(E18,Tabla11[],2,0),0))*($G18/SUM($G$5:$G$43)),0))</f>
        <v>16743.3296131865</v>
      </c>
      <c r="W18" s="15" t="n">
        <f aca="false">G18-G18*IFERROR(VLOOKUP(E18,Tabla11[],3,0),0)-L18-N18-O18-P18-Q18-G18*$R$2-(G18*$R$2)*IFERROR(VLOOKUP(E18,Tabla11[],4,0),0)-V18-T18</f>
        <v>38383.3894874129</v>
      </c>
      <c r="X18" s="15" t="n">
        <f aca="false">U18-V18</f>
        <v>132858.189487413</v>
      </c>
      <c r="Y18" s="15" t="n">
        <f aca="false">ROUND(X18-W18,9)</f>
        <v>94474.8</v>
      </c>
    </row>
    <row r="19" customFormat="false" ht="14.4" hidden="false" customHeight="false" outlineLevel="0" collapsed="false">
      <c r="A19" s="12"/>
      <c r="B19" s="12" t="s">
        <v>145</v>
      </c>
      <c r="C19" s="13" t="n">
        <v>1</v>
      </c>
      <c r="D19" s="13" t="n">
        <v>1</v>
      </c>
      <c r="E19" s="13" t="s">
        <v>34</v>
      </c>
      <c r="F19" s="13" t="s">
        <v>60</v>
      </c>
      <c r="G19" s="12" t="n">
        <f aca="false">IFERROR(VLOOKUP(CONCATENATE(E19,F19),Ventas!D:H,5,0),0)</f>
        <v>843238.461538462</v>
      </c>
      <c r="H19" s="12" t="n">
        <f aca="false">IFERROR(VLOOKUP(A19,Modelos[],18,0),0)*G19/C19</f>
        <v>0</v>
      </c>
      <c r="I19" s="14" t="n">
        <f aca="false">SUM(G19:H19)</f>
        <v>843238.461538462</v>
      </c>
      <c r="J19" s="12" t="n">
        <f aca="false">I19*IFERROR(VLOOKUP(E19,Tabla11[],3,0),0)</f>
        <v>295133.461538461</v>
      </c>
      <c r="K19" s="12" t="n">
        <f aca="false">I19-J19</f>
        <v>548105</v>
      </c>
      <c r="L19" s="12" t="n">
        <f aca="false">Sup!$A$2*D19</f>
        <v>6775.44742838542</v>
      </c>
      <c r="M19" s="12" t="n">
        <f aca="false">IFERROR(VLOOKUP(A19,Modelos[],IF(B19="EST",15,14),0),0)/C19</f>
        <v>0</v>
      </c>
      <c r="N19" s="12" t="n">
        <f aca="false">IF($G19&lt;0,0,IFERROR((N$2*IFERROR(VLOOKUP(E19,Tabla11[],2,0),0))*($G19/SUM($G$5:$G$43)),0))</f>
        <v>9526.98655425739</v>
      </c>
      <c r="O19" s="12" t="n">
        <f aca="false">IF($G19&lt;0,0,IFERROR((O$2*IFERROR(VLOOKUP(E19,Tabla11[],2,0),0))*($G19/SUM($G$5:$G$43)),0))</f>
        <v>1852.46960777227</v>
      </c>
      <c r="P19" s="12" t="n">
        <f aca="false">IF($G19&lt;0,0,IFERROR((P$2*IFERROR(VLOOKUP(E19,Tabla11[],2,0),0))*($G19/SUM($G$5:$G$43)),0))</f>
        <v>9526.98655425739</v>
      </c>
      <c r="Q19" s="12" t="n">
        <f aca="false">IF($G19&lt;0,0,IFERROR((Q$2*IFERROR(VLOOKUP(E19,Tabla11[],2,0),0))*($G19/SUM($G$5:$G$43)),0))</f>
        <v>13231.9257698019</v>
      </c>
      <c r="R19" s="12" t="n">
        <f aca="false">K19*$R$2</f>
        <v>219242</v>
      </c>
      <c r="S19" s="12" t="n">
        <f aca="false">+R19*IFERROR(VLOOKUP(E19,Tabla11[],4,0),0)</f>
        <v>32886.3</v>
      </c>
      <c r="T19" s="12" t="n">
        <f aca="false">IF(G19&gt;0,$T$2/12,0)</f>
        <v>25833.3333333333</v>
      </c>
      <c r="U19" s="12" t="n">
        <f aca="false">K19-SUM(L19:T19)</f>
        <v>229229.550752192</v>
      </c>
      <c r="V19" s="12" t="n">
        <f aca="false">IF($G19&lt;0,0,IFERROR((V$2*IFERROR(VLOOKUP(E19,Tabla11[],2,0),0))*($G19/SUM($G$5:$G$43)),0))</f>
        <v>24060.3604363578</v>
      </c>
      <c r="W19" s="12" t="n">
        <f aca="false">G19-G19*IFERROR(VLOOKUP(E19,Tabla11[],3,0),0)-L19-N19-O19-P19-Q19-G19*$R$2-(G19*$R$2)*IFERROR(VLOOKUP(E19,Tabla11[],4,0),0)-V19-T19</f>
        <v>69407.7980081422</v>
      </c>
      <c r="X19" s="12" t="n">
        <f aca="false">U19-V19</f>
        <v>205169.190315834</v>
      </c>
      <c r="Y19" s="12" t="n">
        <f aca="false">ROUND(X19-W19,9)</f>
        <v>135761.392307692</v>
      </c>
    </row>
    <row r="20" customFormat="false" ht="14.4" hidden="false" customHeight="false" outlineLevel="0" collapsed="false">
      <c r="A20" s="15"/>
      <c r="B20" s="15" t="s">
        <v>145</v>
      </c>
      <c r="C20" s="16" t="n">
        <v>1</v>
      </c>
      <c r="D20" s="16" t="n">
        <v>1</v>
      </c>
      <c r="E20" s="16" t="s">
        <v>34</v>
      </c>
      <c r="F20" s="16" t="s">
        <v>61</v>
      </c>
      <c r="G20" s="12" t="n">
        <f aca="false">IFERROR(VLOOKUP(CONCATENATE(E20,F20),Ventas!D:H,5,0),0)</f>
        <v>244790.769230769</v>
      </c>
      <c r="H20" s="15" t="n">
        <f aca="false">IFERROR(VLOOKUP(A20,Modelos[],18,0),0)*G20/C20</f>
        <v>0</v>
      </c>
      <c r="I20" s="17" t="n">
        <f aca="false">SUM(G20:H20)</f>
        <v>244790.769230769</v>
      </c>
      <c r="J20" s="15" t="n">
        <f aca="false">I20*IFERROR(VLOOKUP(E20,Tabla11[],3,0),0)</f>
        <v>85676.7692307692</v>
      </c>
      <c r="K20" s="15" t="n">
        <f aca="false">I20-J20</f>
        <v>159114</v>
      </c>
      <c r="L20" s="15" t="n">
        <f aca="false">Sup!$A$2*D20</f>
        <v>6775.44742838542</v>
      </c>
      <c r="M20" s="15" t="n">
        <f aca="false">IFERROR(VLOOKUP(A20,Modelos[],IF(B20="EST",15,14),0),0)/C20</f>
        <v>0</v>
      </c>
      <c r="N20" s="15" t="n">
        <f aca="false">IF($G20&lt;0,0,IFERROR((N$2*IFERROR(VLOOKUP(E20,Tabla11[],2,0),0))*($G20/SUM($G$5:$G$43)),0))</f>
        <v>2765.66887474865</v>
      </c>
      <c r="O20" s="15" t="n">
        <f aca="false">IF($G20&lt;0,0,IFERROR((O$2*IFERROR(VLOOKUP(E20,Tabla11[],2,0),0))*($G20/SUM($G$5:$G$43)),0))</f>
        <v>537.768947867794</v>
      </c>
      <c r="P20" s="15" t="n">
        <f aca="false">IF($G20&lt;0,0,IFERROR((P$2*IFERROR(VLOOKUP(E20,Tabla11[],2,0),0))*($G20/SUM($G$5:$G$43)),0))</f>
        <v>2765.66887474865</v>
      </c>
      <c r="Q20" s="15" t="n">
        <f aca="false">IF($G20&lt;0,0,IFERROR((Q$2*IFERROR(VLOOKUP(E20,Tabla11[],2,0),0))*($G20/SUM($G$5:$G$43)),0))</f>
        <v>3841.20677048424</v>
      </c>
      <c r="R20" s="15" t="n">
        <f aca="false">K20*$R$2</f>
        <v>63645.6</v>
      </c>
      <c r="S20" s="15" t="n">
        <f aca="false">+R20*IFERROR(VLOOKUP(E20,Tabla11[],4,0),0)</f>
        <v>9546.84</v>
      </c>
      <c r="T20" s="15" t="n">
        <f aca="false">IF(G20&gt;0,$T$2/12,0)</f>
        <v>25833.3333333333</v>
      </c>
      <c r="U20" s="15" t="n">
        <f aca="false">K20-SUM(L20:T20)</f>
        <v>43402.4657704319</v>
      </c>
      <c r="V20" s="15" t="n">
        <f aca="false">IF($G20&lt;0,0,IFERROR((V$2*IFERROR(VLOOKUP(E20,Tabla11[],2,0),0))*($G20/SUM($G$5:$G$43)),0))</f>
        <v>6984.68393915516</v>
      </c>
      <c r="W20" s="15" t="n">
        <f aca="false">G20-G20*IFERROR(VLOOKUP(E20,Tabla11[],3,0),0)-L20-N20-O20-P20-Q20-G20*$R$2-(G20*$R$2)*IFERROR(VLOOKUP(E20,Tabla11[],4,0),0)-V20-T20</f>
        <v>-2993.53201487711</v>
      </c>
      <c r="X20" s="15" t="n">
        <f aca="false">U20-V20</f>
        <v>36417.7818312767</v>
      </c>
      <c r="Y20" s="15" t="n">
        <f aca="false">ROUND(X20-W20,9)</f>
        <v>39411.313846154</v>
      </c>
    </row>
    <row r="21" customFormat="false" ht="14.4" hidden="false" customHeight="false" outlineLevel="0" collapsed="false">
      <c r="A21" s="12"/>
      <c r="B21" s="12" t="s">
        <v>145</v>
      </c>
      <c r="C21" s="13" t="n">
        <v>1</v>
      </c>
      <c r="D21" s="13" t="n">
        <v>1</v>
      </c>
      <c r="E21" s="13" t="s">
        <v>34</v>
      </c>
      <c r="F21" s="13" t="s">
        <v>62</v>
      </c>
      <c r="G21" s="12" t="n">
        <f aca="false">IFERROR(VLOOKUP(CONCATENATE(E21,F21),Ventas!D:H,5,0),0)</f>
        <v>659349.230769231</v>
      </c>
      <c r="H21" s="12" t="n">
        <f aca="false">IFERROR(VLOOKUP(A21,Modelos[],18,0),0)*G21/C21</f>
        <v>0</v>
      </c>
      <c r="I21" s="14" t="n">
        <f aca="false">SUM(G21:H21)</f>
        <v>659349.230769231</v>
      </c>
      <c r="J21" s="12" t="n">
        <f aca="false">I21*IFERROR(VLOOKUP(E21,Tabla11[],3,0),0)</f>
        <v>230772.230769231</v>
      </c>
      <c r="K21" s="12" t="n">
        <f aca="false">I21-J21</f>
        <v>428577</v>
      </c>
      <c r="L21" s="12" t="n">
        <f aca="false">Sup!$A$2*D21</f>
        <v>6775.44742838542</v>
      </c>
      <c r="M21" s="12" t="n">
        <f aca="false">IFERROR(VLOOKUP(A21,Modelos[],IF(B21="EST",15,14),0),0)/C21</f>
        <v>0</v>
      </c>
      <c r="N21" s="12" t="n">
        <f aca="false">IF($G21&lt;0,0,IFERROR((N$2*IFERROR(VLOOKUP(E21,Tabla11[],2,0),0))*($G21/SUM($G$5:$G$43)),0))</f>
        <v>7449.38892450164</v>
      </c>
      <c r="O21" s="12" t="n">
        <f aca="false">IF($G21&lt;0,0,IFERROR((O$2*IFERROR(VLOOKUP(E21,Tabla11[],2,0),0))*($G21/SUM($G$5:$G$43)),0))</f>
        <v>1448.49229087532</v>
      </c>
      <c r="P21" s="12" t="n">
        <f aca="false">IF($G21&lt;0,0,IFERROR((P$2*IFERROR(VLOOKUP(E21,Tabla11[],2,0),0))*($G21/SUM($G$5:$G$43)),0))</f>
        <v>7449.38892450164</v>
      </c>
      <c r="Q21" s="12" t="n">
        <f aca="false">IF($G21&lt;0,0,IFERROR((Q$2*IFERROR(VLOOKUP(E21,Tabla11[],2,0),0))*($G21/SUM($G$5:$G$43)),0))</f>
        <v>10346.3735062523</v>
      </c>
      <c r="R21" s="12" t="n">
        <f aca="false">K21*$R$2</f>
        <v>171430.8</v>
      </c>
      <c r="S21" s="12" t="n">
        <f aca="false">+R21*IFERROR(VLOOKUP(E21,Tabla11[],4,0),0)</f>
        <v>25714.62</v>
      </c>
      <c r="T21" s="12" t="n">
        <f aca="false">IF(G21&gt;0,$T$2/12,0)</f>
        <v>25833.3333333333</v>
      </c>
      <c r="U21" s="12" t="n">
        <f aca="false">K21-SUM(L21:T21)</f>
        <v>172129.15559215</v>
      </c>
      <c r="V21" s="12" t="n">
        <f aca="false">IF($G21&lt;0,0,IFERROR((V$2*IFERROR(VLOOKUP(E21,Tabla11[],2,0),0))*($G21/SUM($G$5:$G$43)),0))</f>
        <v>18813.3972409172</v>
      </c>
      <c r="W21" s="12" t="n">
        <f aca="false">G21-G21*IFERROR(VLOOKUP(E21,Tabla11[],3,0),0)-L21-N21-O21-P21-Q21-G21*$R$2-(G21*$R$2)*IFERROR(VLOOKUP(E21,Tabla11[],4,0),0)-V21-T21</f>
        <v>47160.5321973869</v>
      </c>
      <c r="X21" s="12" t="n">
        <f aca="false">U21-V21</f>
        <v>153315.758351233</v>
      </c>
      <c r="Y21" s="12" t="n">
        <f aca="false">ROUND(X21-W21,9)</f>
        <v>106155.226153846</v>
      </c>
    </row>
    <row r="22" customFormat="false" ht="14.4" hidden="false" customHeight="false" outlineLevel="0" collapsed="false">
      <c r="A22" s="15"/>
      <c r="B22" s="15" t="s">
        <v>145</v>
      </c>
      <c r="C22" s="16" t="n">
        <v>1</v>
      </c>
      <c r="D22" s="16" t="n">
        <v>1</v>
      </c>
      <c r="E22" s="16" t="s">
        <v>34</v>
      </c>
      <c r="F22" s="16" t="s">
        <v>63</v>
      </c>
      <c r="G22" s="12" t="n">
        <f aca="false">IFERROR(VLOOKUP(CONCATENATE(E22,F22),Ventas!D:H,5,0),0)</f>
        <v>452898.461538462</v>
      </c>
      <c r="H22" s="15" t="n">
        <f aca="false">IFERROR(VLOOKUP(A22,Modelos[],18,0),0)*G22/C22</f>
        <v>0</v>
      </c>
      <c r="I22" s="17" t="n">
        <f aca="false">SUM(G22:H22)</f>
        <v>452898.461538462</v>
      </c>
      <c r="J22" s="15" t="n">
        <f aca="false">I22*IFERROR(VLOOKUP(E22,Tabla11[],3,0),0)</f>
        <v>158514.461538462</v>
      </c>
      <c r="K22" s="15" t="n">
        <f aca="false">I22-J22</f>
        <v>294384</v>
      </c>
      <c r="L22" s="15" t="n">
        <f aca="false">Sup!$A$2*D22</f>
        <v>6775.44742838542</v>
      </c>
      <c r="M22" s="15" t="n">
        <f aca="false">IFERROR(VLOOKUP(A22,Modelos[],IF(B22="EST",15,14),0),0)/C22</f>
        <v>0</v>
      </c>
      <c r="N22" s="15" t="n">
        <f aca="false">IF($G22&lt;0,0,IFERROR((N$2*IFERROR(VLOOKUP(E22,Tabla11[],2,0),0))*($G22/SUM($G$5:$G$43)),0))</f>
        <v>5116.88893512832</v>
      </c>
      <c r="O22" s="15" t="n">
        <f aca="false">IF($G22&lt;0,0,IFERROR((O$2*IFERROR(VLOOKUP(E22,Tabla11[],2,0),0))*($G22/SUM($G$5:$G$43)),0))</f>
        <v>994.950626274952</v>
      </c>
      <c r="P22" s="15" t="n">
        <f aca="false">IF($G22&lt;0,0,IFERROR((P$2*IFERROR(VLOOKUP(E22,Tabla11[],2,0),0))*($G22/SUM($G$5:$G$43)),0))</f>
        <v>5116.88893512832</v>
      </c>
      <c r="Q22" s="15" t="n">
        <f aca="false">IF($G22&lt;0,0,IFERROR((Q$2*IFERROR(VLOOKUP(E22,Tabla11[],2,0),0))*($G22/SUM($G$5:$G$43)),0))</f>
        <v>7106.79018767822</v>
      </c>
      <c r="R22" s="15" t="n">
        <f aca="false">K22*$R$2</f>
        <v>117753.6</v>
      </c>
      <c r="S22" s="15" t="n">
        <f aca="false">+R22*IFERROR(VLOOKUP(E22,Tabla11[],4,0),0)</f>
        <v>17663.04</v>
      </c>
      <c r="T22" s="15" t="n">
        <f aca="false">IF(G22&gt;0,$T$2/12,0)</f>
        <v>25833.3333333333</v>
      </c>
      <c r="U22" s="15" t="n">
        <f aca="false">K22-SUM(L22:T22)</f>
        <v>108023.060554071</v>
      </c>
      <c r="V22" s="15" t="n">
        <f aca="false">IF($G22&lt;0,0,IFERROR((V$2*IFERROR(VLOOKUP(E22,Tabla11[],2,0),0))*($G22/SUM($G$5:$G$43)),0))</f>
        <v>12922.679316366</v>
      </c>
      <c r="W22" s="15" t="n">
        <f aca="false">G22-G22*IFERROR(VLOOKUP(E22,Tabla11[],3,0),0)-L22-N22-O22-P22-Q22-G22*$R$2-(G22*$R$2)*IFERROR(VLOOKUP(E22,Tabla11[],4,0),0)-V22-T22</f>
        <v>22183.7289300131</v>
      </c>
      <c r="X22" s="15" t="n">
        <f aca="false">U22-V22</f>
        <v>95100.3812377055</v>
      </c>
      <c r="Y22" s="15" t="n">
        <f aca="false">ROUND(X22-W22,9)</f>
        <v>72916.652307692</v>
      </c>
    </row>
    <row r="23" customFormat="false" ht="14.4" hidden="false" customHeight="false" outlineLevel="0" collapsed="false">
      <c r="A23" s="12"/>
      <c r="B23" s="12" t="s">
        <v>145</v>
      </c>
      <c r="C23" s="13" t="n">
        <v>1</v>
      </c>
      <c r="D23" s="13" t="n">
        <v>1</v>
      </c>
      <c r="E23" s="13" t="s">
        <v>34</v>
      </c>
      <c r="F23" s="13" t="s">
        <v>65</v>
      </c>
      <c r="G23" s="12" t="n">
        <f aca="false">IFERROR(VLOOKUP(CONCATENATE(E23,F23),Ventas!D:H,5,0),0)</f>
        <v>339444.615384615</v>
      </c>
      <c r="H23" s="12" t="n">
        <f aca="false">IFERROR(VLOOKUP(A23,Modelos[],18,0),0)*G23/C23</f>
        <v>0</v>
      </c>
      <c r="I23" s="14" t="n">
        <f aca="false">SUM(G23:H23)</f>
        <v>339444.615384615</v>
      </c>
      <c r="J23" s="12" t="n">
        <f aca="false">I23*IFERROR(VLOOKUP(E23,Tabla11[],3,0),0)</f>
        <v>118805.615384615</v>
      </c>
      <c r="K23" s="12" t="n">
        <f aca="false">I23-J23</f>
        <v>220639</v>
      </c>
      <c r="L23" s="12" t="n">
        <f aca="false">Sup!$A$2*D23</f>
        <v>6775.44742838542</v>
      </c>
      <c r="M23" s="12" t="n">
        <f aca="false">IFERROR(VLOOKUP(A23,Modelos[],IF(B23="EST",15,14),0),0)/C23</f>
        <v>0</v>
      </c>
      <c r="N23" s="12" t="n">
        <f aca="false">IF($G23&lt;0,0,IFERROR((N$2*IFERROR(VLOOKUP(E23,Tabla11[],2,0),0))*($G23/SUM($G$5:$G$43)),0))</f>
        <v>3835.07683079847</v>
      </c>
      <c r="O23" s="12" t="n">
        <f aca="false">IF($G23&lt;0,0,IFERROR((O$2*IFERROR(VLOOKUP(E23,Tabla11[],2,0),0))*($G23/SUM($G$5:$G$43)),0))</f>
        <v>745.70938376637</v>
      </c>
      <c r="P23" s="12" t="n">
        <f aca="false">IF($G23&lt;0,0,IFERROR((P$2*IFERROR(VLOOKUP(E23,Tabla11[],2,0),0))*($G23/SUM($G$5:$G$43)),0))</f>
        <v>3835.07683079847</v>
      </c>
      <c r="Q23" s="12" t="n">
        <f aca="false">IF($G23&lt;0,0,IFERROR((Q$2*IFERROR(VLOOKUP(E23,Tabla11[],2,0),0))*($G23/SUM($G$5:$G$43)),0))</f>
        <v>5326.49559833121</v>
      </c>
      <c r="R23" s="12" t="n">
        <f aca="false">K23*$R$2</f>
        <v>88255.6</v>
      </c>
      <c r="S23" s="12" t="n">
        <f aca="false">+R23*IFERROR(VLOOKUP(E23,Tabla11[],4,0),0)</f>
        <v>13238.34</v>
      </c>
      <c r="T23" s="12" t="n">
        <f aca="false">IF(G23&gt;0,$T$2/12,0)</f>
        <v>25833.3333333333</v>
      </c>
      <c r="U23" s="12" t="n">
        <f aca="false">K23-SUM(L23:T23)</f>
        <v>72793.9205945867</v>
      </c>
      <c r="V23" s="12" t="n">
        <f aca="false">IF($G23&lt;0,0,IFERROR((V$2*IFERROR(VLOOKUP(E23,Tabla11[],2,0),0))*($G23/SUM($G$5:$G$43)),0))</f>
        <v>9685.46878119622</v>
      </c>
      <c r="W23" s="12" t="n">
        <f aca="false">G23-G23*IFERROR(VLOOKUP(E23,Tabla11[],3,0),0)-L23-N23-O23-P23-Q23-G23*$R$2-(G23*$R$2)*IFERROR(VLOOKUP(E23,Tabla11[],4,0),0)-V23-T23</f>
        <v>8457.86873646744</v>
      </c>
      <c r="X23" s="12" t="n">
        <f aca="false">U23-V23</f>
        <v>63108.4518133905</v>
      </c>
      <c r="Y23" s="12" t="n">
        <f aca="false">ROUND(X23-W23,9)</f>
        <v>54650.583076923</v>
      </c>
    </row>
    <row r="24" customFormat="false" ht="14.4" hidden="false" customHeight="false" outlineLevel="0" collapsed="false">
      <c r="A24" s="15"/>
      <c r="B24" s="15" t="s">
        <v>145</v>
      </c>
      <c r="C24" s="16" t="n">
        <v>1</v>
      </c>
      <c r="D24" s="16" t="n">
        <v>1</v>
      </c>
      <c r="E24" s="16" t="s">
        <v>34</v>
      </c>
      <c r="F24" s="16" t="s">
        <v>66</v>
      </c>
      <c r="G24" s="12" t="n">
        <f aca="false">IFERROR(VLOOKUP(CONCATENATE(E24,F24),Ventas!D:H,5,0),0)</f>
        <v>290849.230769231</v>
      </c>
      <c r="H24" s="15" t="n">
        <f aca="false">IFERROR(VLOOKUP(A24,Modelos[],18,0),0)*G24/C24</f>
        <v>0</v>
      </c>
      <c r="I24" s="17" t="n">
        <f aca="false">SUM(G24:H24)</f>
        <v>290849.230769231</v>
      </c>
      <c r="J24" s="15" t="n">
        <f aca="false">I24*IFERROR(VLOOKUP(E24,Tabla11[],3,0),0)</f>
        <v>101797.230769231</v>
      </c>
      <c r="K24" s="15" t="n">
        <f aca="false">I24-J24</f>
        <v>189052</v>
      </c>
      <c r="L24" s="15" t="n">
        <f aca="false">Sup!$A$2*D24</f>
        <v>6775.44742838542</v>
      </c>
      <c r="M24" s="15" t="n">
        <f aca="false">IFERROR(VLOOKUP(A24,Modelos[],IF(B24="EST",15,14),0),0)/C24</f>
        <v>0</v>
      </c>
      <c r="N24" s="15" t="n">
        <f aca="false">IF($G24&lt;0,0,IFERROR((N$2*IFERROR(VLOOKUP(E24,Tabla11[],2,0),0))*($G24/SUM($G$5:$G$43)),0))</f>
        <v>3286.0416563532</v>
      </c>
      <c r="O24" s="15" t="n">
        <f aca="false">IF($G24&lt;0,0,IFERROR((O$2*IFERROR(VLOOKUP(E24,Tabla11[],2,0),0))*($G24/SUM($G$5:$G$43)),0))</f>
        <v>638.9525442909</v>
      </c>
      <c r="P24" s="15" t="n">
        <f aca="false">IF($G24&lt;0,0,IFERROR((P$2*IFERROR(VLOOKUP(E24,Tabla11[],2,0),0))*($G24/SUM($G$5:$G$43)),0))</f>
        <v>3286.0416563532</v>
      </c>
      <c r="Q24" s="15" t="n">
        <f aca="false">IF($G24&lt;0,0,IFERROR((Q$2*IFERROR(VLOOKUP(E24,Tabla11[],2,0),0))*($G24/SUM($G$5:$G$43)),0))</f>
        <v>4563.946744935</v>
      </c>
      <c r="R24" s="15" t="n">
        <f aca="false">K24*$R$2</f>
        <v>75620.8</v>
      </c>
      <c r="S24" s="15" t="n">
        <f aca="false">+R24*IFERROR(VLOOKUP(E24,Tabla11[],4,0),0)</f>
        <v>11343.12</v>
      </c>
      <c r="T24" s="15" t="n">
        <f aca="false">IF(G24&gt;0,$T$2/12,0)</f>
        <v>25833.3333333333</v>
      </c>
      <c r="U24" s="15" t="n">
        <f aca="false">K24-SUM(L24:T24)</f>
        <v>57704.316636349</v>
      </c>
      <c r="V24" s="15" t="n">
        <f aca="false">IF($G24&lt;0,0,IFERROR((V$2*IFERROR(VLOOKUP(E24,Tabla11[],2,0),0))*($G24/SUM($G$5:$G$43)),0))</f>
        <v>8298.88298996418</v>
      </c>
      <c r="W24" s="15" t="n">
        <f aca="false">G24-G24*IFERROR(VLOOKUP(E24,Tabla11[],3,0),0)-L24-N24-O24-P24-Q24-G24*$R$2-(G24*$R$2)*IFERROR(VLOOKUP(E24,Tabla11[],4,0),0)-V24-T24</f>
        <v>2578.70749253864</v>
      </c>
      <c r="X24" s="15" t="n">
        <f aca="false">U24-V24</f>
        <v>49405.4336463848</v>
      </c>
      <c r="Y24" s="15" t="n">
        <f aca="false">ROUND(X24-W24,9)</f>
        <v>46826.726153846</v>
      </c>
    </row>
    <row r="25" customFormat="false" ht="14.4" hidden="false" customHeight="false" outlineLevel="0" collapsed="false">
      <c r="A25" s="12"/>
      <c r="B25" s="12" t="s">
        <v>145</v>
      </c>
      <c r="C25" s="13" t="n">
        <v>1</v>
      </c>
      <c r="D25" s="13" t="n">
        <v>1</v>
      </c>
      <c r="E25" s="13" t="s">
        <v>34</v>
      </c>
      <c r="F25" s="13" t="s">
        <v>67</v>
      </c>
      <c r="G25" s="12" t="n">
        <f aca="false">IFERROR(VLOOKUP(CONCATENATE(E25,F25),Ventas!D:H,5,0),0)</f>
        <v>522615.384615385</v>
      </c>
      <c r="H25" s="12" t="n">
        <f aca="false">IFERROR(VLOOKUP(A25,Modelos[],18,0),0)*G25/C25</f>
        <v>0</v>
      </c>
      <c r="I25" s="14" t="n">
        <f aca="false">SUM(G25:H25)</f>
        <v>522615.384615385</v>
      </c>
      <c r="J25" s="12" t="n">
        <f aca="false">I25*IFERROR(VLOOKUP(E25,Tabla11[],3,0),0)</f>
        <v>182915.384615385</v>
      </c>
      <c r="K25" s="12" t="n">
        <f aca="false">I25-J25</f>
        <v>339700</v>
      </c>
      <c r="L25" s="12" t="n">
        <f aca="false">Sup!$A$2*D25</f>
        <v>6775.44742838542</v>
      </c>
      <c r="M25" s="12" t="n">
        <f aca="false">IFERROR(VLOOKUP(A25,Modelos[],IF(B25="EST",15,14),0),0)/C25</f>
        <v>0</v>
      </c>
      <c r="N25" s="12" t="n">
        <f aca="false">IF($G25&lt;0,0,IFERROR((N$2*IFERROR(VLOOKUP(E25,Tabla11[],2,0),0))*($G25/SUM($G$5:$G$43)),0))</f>
        <v>5904.55721528035</v>
      </c>
      <c r="O25" s="12" t="n">
        <f aca="false">IF($G25&lt;0,0,IFERROR((O$2*IFERROR(VLOOKUP(E25,Tabla11[],2,0),0))*($G25/SUM($G$5:$G$43)),0))</f>
        <v>1148.10834741562</v>
      </c>
      <c r="P25" s="12" t="n">
        <f aca="false">IF($G25&lt;0,0,IFERROR((P$2*IFERROR(VLOOKUP(E25,Tabla11[],2,0),0))*($G25/SUM($G$5:$G$43)),0))</f>
        <v>5904.55721528035</v>
      </c>
      <c r="Q25" s="12" t="n">
        <f aca="false">IF($G25&lt;0,0,IFERROR((Q$2*IFERROR(VLOOKUP(E25,Tabla11[],2,0),0))*($G25/SUM($G$5:$G$43)),0))</f>
        <v>8200.7739101116</v>
      </c>
      <c r="R25" s="12" t="n">
        <f aca="false">K25*$R$2</f>
        <v>135880</v>
      </c>
      <c r="S25" s="12" t="n">
        <f aca="false">+R25*IFERROR(VLOOKUP(E25,Tabla11[],4,0),0)</f>
        <v>20382</v>
      </c>
      <c r="T25" s="12" t="n">
        <f aca="false">IF(G25&gt;0,$T$2/12,0)</f>
        <v>25833.3333333333</v>
      </c>
      <c r="U25" s="12" t="n">
        <f aca="false">K25-SUM(L25:T25)</f>
        <v>129671.222550193</v>
      </c>
      <c r="V25" s="12" t="n">
        <f aca="false">IF($G25&lt;0,0,IFERROR((V$2*IFERROR(VLOOKUP(E25,Tabla11[],2,0),0))*($G25/SUM($G$5:$G$43)),0))</f>
        <v>14911.9319112775</v>
      </c>
      <c r="W25" s="12" t="n">
        <f aca="false">G25-G25*IFERROR(VLOOKUP(E25,Tabla11[],3,0),0)-L25-N25-O25-P25-Q25-G25*$R$2-(G25*$R$2)*IFERROR(VLOOKUP(E25,Tabla11[],4,0),0)-V25-T25</f>
        <v>30618.2137158388</v>
      </c>
      <c r="X25" s="12" t="n">
        <f aca="false">U25-V25</f>
        <v>114759.290638916</v>
      </c>
      <c r="Y25" s="12" t="n">
        <f aca="false">ROUND(X25-W25,9)</f>
        <v>84141.076923077</v>
      </c>
    </row>
    <row r="26" customFormat="false" ht="14.4" hidden="false" customHeight="false" outlineLevel="0" collapsed="false">
      <c r="A26" s="15"/>
      <c r="B26" s="15" t="s">
        <v>145</v>
      </c>
      <c r="C26" s="16" t="n">
        <v>1</v>
      </c>
      <c r="D26" s="16" t="n">
        <v>1</v>
      </c>
      <c r="E26" s="16" t="s">
        <v>34</v>
      </c>
      <c r="F26" s="16" t="s">
        <v>69</v>
      </c>
      <c r="G26" s="12" t="n">
        <f aca="false">IFERROR(VLOOKUP(CONCATENATE(E26,F26),Ventas!D:H,5,0),0)</f>
        <v>248416.923076923</v>
      </c>
      <c r="H26" s="15" t="n">
        <f aca="false">IFERROR(VLOOKUP(A26,Modelos[],18,0),0)*G26/C26</f>
        <v>0</v>
      </c>
      <c r="I26" s="17" t="n">
        <f aca="false">SUM(G26:H26)</f>
        <v>248416.923076923</v>
      </c>
      <c r="J26" s="15" t="n">
        <f aca="false">I26*IFERROR(VLOOKUP(E26,Tabla11[],3,0),0)</f>
        <v>86945.9230769231</v>
      </c>
      <c r="K26" s="15" t="n">
        <f aca="false">I26-J26</f>
        <v>161471</v>
      </c>
      <c r="L26" s="15" t="n">
        <f aca="false">Sup!$A$2*D26</f>
        <v>6775.44742838542</v>
      </c>
      <c r="M26" s="15" t="n">
        <f aca="false">IFERROR(VLOOKUP(A26,Modelos[],IF(B26="EST",15,14),0),0)/C26</f>
        <v>0</v>
      </c>
      <c r="N26" s="15" t="n">
        <f aca="false">IF($G26&lt;0,0,IFERROR((N$2*IFERROR(VLOOKUP(E26,Tabla11[],2,0),0))*($G26/SUM($G$5:$G$43)),0))</f>
        <v>2806.63749811167</v>
      </c>
      <c r="O26" s="15" t="n">
        <f aca="false">IF($G26&lt;0,0,IFERROR((O$2*IFERROR(VLOOKUP(E26,Tabla11[],2,0),0))*($G26/SUM($G$5:$G$43)),0))</f>
        <v>545.735069077269</v>
      </c>
      <c r="P26" s="15" t="n">
        <f aca="false">IF($G26&lt;0,0,IFERROR((P$2*IFERROR(VLOOKUP(E26,Tabla11[],2,0),0))*($G26/SUM($G$5:$G$43)),0))</f>
        <v>2806.63749811167</v>
      </c>
      <c r="Q26" s="15" t="n">
        <f aca="false">IF($G26&lt;0,0,IFERROR((Q$2*IFERROR(VLOOKUP(E26,Tabla11[],2,0),0))*($G26/SUM($G$5:$G$43)),0))</f>
        <v>3898.10763626621</v>
      </c>
      <c r="R26" s="15" t="n">
        <f aca="false">K26*$R$2</f>
        <v>64588.4</v>
      </c>
      <c r="S26" s="15" t="n">
        <f aca="false">+R26*IFERROR(VLOOKUP(E26,Tabla11[],4,0),0)</f>
        <v>9688.26</v>
      </c>
      <c r="T26" s="15" t="n">
        <f aca="false">IF(G26&gt;0,$T$2/12,0)</f>
        <v>25833.3333333333</v>
      </c>
      <c r="U26" s="15" t="n">
        <f aca="false">K26-SUM(L26:T26)</f>
        <v>44528.4415367144</v>
      </c>
      <c r="V26" s="15" t="n">
        <f aca="false">IF($G26&lt;0,0,IFERROR((V$2*IFERROR(VLOOKUP(E26,Tabla11[],2,0),0))*($G26/SUM($G$5:$G$43)),0))</f>
        <v>7088.1500077889</v>
      </c>
      <c r="W26" s="15" t="n">
        <f aca="false">G26-G26*IFERROR(VLOOKUP(E26,Tabla11[],3,0),0)-L26-N26-O26-P26-Q26-G26*$R$2-(G26*$R$2)*IFERROR(VLOOKUP(E26,Tabla11[],4,0),0)-V26-T26</f>
        <v>-2554.83308645906</v>
      </c>
      <c r="X26" s="15" t="n">
        <f aca="false">U26-V26</f>
        <v>37440.2915289255</v>
      </c>
      <c r="Y26" s="15" t="n">
        <f aca="false">ROUND(X26-W26,9)</f>
        <v>39995.124615385</v>
      </c>
    </row>
    <row r="27" customFormat="false" ht="14.4" hidden="false" customHeight="false" outlineLevel="0" collapsed="false">
      <c r="A27" s="12"/>
      <c r="B27" s="12" t="s">
        <v>145</v>
      </c>
      <c r="C27" s="13" t="n">
        <v>1</v>
      </c>
      <c r="D27" s="13" t="n">
        <v>1</v>
      </c>
      <c r="E27" s="13" t="s">
        <v>34</v>
      </c>
      <c r="F27" s="13" t="s">
        <v>70</v>
      </c>
      <c r="G27" s="12" t="n">
        <f aca="false">IFERROR(VLOOKUP(CONCATENATE(E27,F27),Ventas!D:H,5,0),0)</f>
        <v>342883.076923077</v>
      </c>
      <c r="H27" s="12" t="n">
        <f aca="false">IFERROR(VLOOKUP(A27,Modelos[],18,0),0)*G27/C27</f>
        <v>0</v>
      </c>
      <c r="I27" s="14" t="n">
        <f aca="false">SUM(G27:H27)</f>
        <v>342883.076923077</v>
      </c>
      <c r="J27" s="12" t="n">
        <f aca="false">I27*IFERROR(VLOOKUP(E27,Tabla11[],3,0),0)</f>
        <v>120009.076923077</v>
      </c>
      <c r="K27" s="12" t="n">
        <f aca="false">I27-J27</f>
        <v>222874</v>
      </c>
      <c r="L27" s="12" t="n">
        <f aca="false">Sup!$A$2*D27</f>
        <v>6775.44742838542</v>
      </c>
      <c r="M27" s="12" t="n">
        <f aca="false">IFERROR(VLOOKUP(A27,Modelos[],IF(B27="EST",15,14),0),0)/C27</f>
        <v>0</v>
      </c>
      <c r="N27" s="12" t="n">
        <f aca="false">IF($G27&lt;0,0,IFERROR((N$2*IFERROR(VLOOKUP(E27,Tabla11[],2,0),0))*($G27/SUM($G$5:$G$43)),0))</f>
        <v>3873.92488901499</v>
      </c>
      <c r="O27" s="12" t="n">
        <f aca="false">IF($G27&lt;0,0,IFERROR((O$2*IFERROR(VLOOKUP(E27,Tabla11[],2,0),0))*($G27/SUM($G$5:$G$43)),0))</f>
        <v>753.263172864027</v>
      </c>
      <c r="P27" s="12" t="n">
        <f aca="false">IF($G27&lt;0,0,IFERROR((P$2*IFERROR(VLOOKUP(E27,Tabla11[],2,0),0))*($G27/SUM($G$5:$G$43)),0))</f>
        <v>3873.92488901499</v>
      </c>
      <c r="Q27" s="12" t="n">
        <f aca="false">IF($G27&lt;0,0,IFERROR((Q$2*IFERROR(VLOOKUP(E27,Tabla11[],2,0),0))*($G27/SUM($G$5:$G$43)),0))</f>
        <v>5380.45123474305</v>
      </c>
      <c r="R27" s="12" t="n">
        <f aca="false">K27*$R$2</f>
        <v>89149.6</v>
      </c>
      <c r="S27" s="12" t="n">
        <f aca="false">+R27*IFERROR(VLOOKUP(E27,Tabla11[],4,0),0)</f>
        <v>13372.44</v>
      </c>
      <c r="T27" s="12" t="n">
        <f aca="false">IF(G27&gt;0,$T$2/12,0)</f>
        <v>25833.3333333333</v>
      </c>
      <c r="U27" s="12" t="n">
        <f aca="false">K27-SUM(L27:T27)</f>
        <v>73861.6150526442</v>
      </c>
      <c r="V27" s="12" t="n">
        <f aca="false">IF($G27&lt;0,0,IFERROR((V$2*IFERROR(VLOOKUP(E27,Tabla11[],2,0),0))*($G27/SUM($G$5:$G$43)),0))</f>
        <v>9783.57937236992</v>
      </c>
      <c r="W27" s="12" t="n">
        <f aca="false">G27-G27*IFERROR(VLOOKUP(E27,Tabla11[],3,0),0)-L27-N27-O27-P27-Q27-G27*$R$2-(G27*$R$2)*IFERROR(VLOOKUP(E27,Tabla11[],4,0),0)-V27-T27</f>
        <v>8873.86029565884</v>
      </c>
      <c r="X27" s="12" t="n">
        <f aca="false">U27-V27</f>
        <v>64078.0356802742</v>
      </c>
      <c r="Y27" s="12" t="n">
        <f aca="false">ROUND(X27-W27,9)</f>
        <v>55204.175384615</v>
      </c>
    </row>
    <row r="28" customFormat="false" ht="14.4" hidden="false" customHeight="false" outlineLevel="0" collapsed="false">
      <c r="A28" s="15"/>
      <c r="B28" s="15" t="s">
        <v>145</v>
      </c>
      <c r="C28" s="16" t="n">
        <v>1</v>
      </c>
      <c r="D28" s="16" t="n">
        <v>1</v>
      </c>
      <c r="E28" s="16" t="s">
        <v>34</v>
      </c>
      <c r="F28" s="16" t="s">
        <v>71</v>
      </c>
      <c r="G28" s="12" t="n">
        <f aca="false">IFERROR(VLOOKUP(CONCATENATE(E28,F28),Ventas!D:H,5,0),0)</f>
        <v>265707.692307692</v>
      </c>
      <c r="H28" s="15" t="n">
        <f aca="false">IFERROR(VLOOKUP(A28,Modelos[],18,0),0)*G28/C28</f>
        <v>0</v>
      </c>
      <c r="I28" s="17" t="n">
        <f aca="false">SUM(G28:H28)</f>
        <v>265707.692307692</v>
      </c>
      <c r="J28" s="15" t="n">
        <f aca="false">I28*IFERROR(VLOOKUP(E28,Tabla11[],3,0),0)</f>
        <v>92997.6923076923</v>
      </c>
      <c r="K28" s="15" t="n">
        <f aca="false">I28-J28</f>
        <v>172710</v>
      </c>
      <c r="L28" s="15" t="n">
        <f aca="false">Sup!$A$2*D28</f>
        <v>6775.44742838542</v>
      </c>
      <c r="M28" s="15" t="n">
        <f aca="false">IFERROR(VLOOKUP(A28,Modelos[],IF(B28="EST",15,14),0),0)/C28</f>
        <v>0</v>
      </c>
      <c r="N28" s="15" t="n">
        <f aca="false">IF($G28&lt;0,0,IFERROR((N$2*IFERROR(VLOOKUP(E28,Tabla11[],2,0),0))*($G28/SUM($G$5:$G$43)),0))</f>
        <v>3001.9902168121</v>
      </c>
      <c r="O28" s="15" t="n">
        <f aca="false">IF($G28&lt;0,0,IFERROR((O$2*IFERROR(VLOOKUP(E28,Tabla11[],2,0),0))*($G28/SUM($G$5:$G$43)),0))</f>
        <v>583.720319935686</v>
      </c>
      <c r="P28" s="15" t="n">
        <f aca="false">IF($G28&lt;0,0,IFERROR((P$2*IFERROR(VLOOKUP(E28,Tabla11[],2,0),0))*($G28/SUM($G$5:$G$43)),0))</f>
        <v>3001.9902168121</v>
      </c>
      <c r="Q28" s="15" t="n">
        <f aca="false">IF($G28&lt;0,0,IFERROR((Q$2*IFERROR(VLOOKUP(E28,Tabla11[],2,0),0))*($G28/SUM($G$5:$G$43)),0))</f>
        <v>4169.43085668347</v>
      </c>
      <c r="R28" s="15" t="n">
        <f aca="false">K28*$R$2</f>
        <v>69084</v>
      </c>
      <c r="S28" s="15" t="n">
        <f aca="false">+R28*IFERROR(VLOOKUP(E28,Tabla11[],4,0),0)</f>
        <v>10362.6</v>
      </c>
      <c r="T28" s="15" t="n">
        <f aca="false">IF(G28&gt;0,$T$2/12,0)</f>
        <v>25833.3333333333</v>
      </c>
      <c r="U28" s="15" t="n">
        <f aca="false">K28-SUM(L28:T28)</f>
        <v>49897.4876280379</v>
      </c>
      <c r="V28" s="15" t="n">
        <f aca="false">IF($G28&lt;0,0,IFERROR((V$2*IFERROR(VLOOKUP(E28,Tabla11[],2,0),0))*($G28/SUM($G$5:$G$43)),0))</f>
        <v>7581.5123944561</v>
      </c>
      <c r="W28" s="15" t="n">
        <f aca="false">G28-G28*IFERROR(VLOOKUP(E28,Tabla11[],3,0),0)-L28-N28-O28-P28-Q28-G28*$R$2-(G28*$R$2)*IFERROR(VLOOKUP(E28,Tabla11[],4,0),0)-V28-T28</f>
        <v>-462.963227956632</v>
      </c>
      <c r="X28" s="15" t="n">
        <f aca="false">U28-V28</f>
        <v>42315.9752335818</v>
      </c>
      <c r="Y28" s="15" t="n">
        <f aca="false">ROUND(X28-W28,9)</f>
        <v>42778.938461538</v>
      </c>
    </row>
    <row r="29" customFormat="false" ht="14.4" hidden="false" customHeight="false" outlineLevel="0" collapsed="false">
      <c r="A29" s="12"/>
      <c r="B29" s="12" t="s">
        <v>145</v>
      </c>
      <c r="C29" s="13" t="n">
        <v>1</v>
      </c>
      <c r="D29" s="13" t="n">
        <v>1</v>
      </c>
      <c r="E29" s="13" t="s">
        <v>34</v>
      </c>
      <c r="F29" s="13" t="s">
        <v>72</v>
      </c>
      <c r="G29" s="12" t="n">
        <f aca="false">IFERROR(VLOOKUP(CONCATENATE(E29,F29),Ventas!D:H,5,0),0)</f>
        <v>92615.3846153846</v>
      </c>
      <c r="H29" s="12" t="n">
        <f aca="false">IFERROR(VLOOKUP(A29,Modelos[],18,0),0)*G29/C29</f>
        <v>0</v>
      </c>
      <c r="I29" s="14" t="n">
        <f aca="false">SUM(G29:H29)</f>
        <v>92615.3846153846</v>
      </c>
      <c r="J29" s="12" t="n">
        <f aca="false">I29*IFERROR(VLOOKUP(E29,Tabla11[],3,0),0)</f>
        <v>32415.3846153846</v>
      </c>
      <c r="K29" s="12" t="n">
        <f aca="false">I29-J29</f>
        <v>60200</v>
      </c>
      <c r="L29" s="12" t="n">
        <f aca="false">Sup!$A$2*D29</f>
        <v>6775.44742838542</v>
      </c>
      <c r="M29" s="12" t="n">
        <f aca="false">IFERROR(VLOOKUP(A29,Modelos[],IF(B29="EST",15,14),0),0)/C29</f>
        <v>0</v>
      </c>
      <c r="N29" s="12" t="n">
        <f aca="false">IF($G29&lt;0,0,IFERROR((N$2*IFERROR(VLOOKUP(E29,Tabla11[],2,0),0))*($G29/SUM($G$5:$G$43)),0))</f>
        <v>1046.37722802437</v>
      </c>
      <c r="O29" s="12" t="n">
        <f aca="false">IF($G29&lt;0,0,IFERROR((O$2*IFERROR(VLOOKUP(E29,Tabla11[],2,0),0))*($G29/SUM($G$5:$G$43)),0))</f>
        <v>203.462238782516</v>
      </c>
      <c r="P29" s="12" t="n">
        <f aca="false">IF($G29&lt;0,0,IFERROR((P$2*IFERROR(VLOOKUP(E29,Tabla11[],2,0),0))*($G29/SUM($G$5:$G$43)),0))</f>
        <v>1046.37722802437</v>
      </c>
      <c r="Q29" s="12" t="n">
        <f aca="false">IF($G29&lt;0,0,IFERROR((Q$2*IFERROR(VLOOKUP(E29,Tabla11[],2,0),0))*($G29/SUM($G$5:$G$43)),0))</f>
        <v>1453.3017055894</v>
      </c>
      <c r="R29" s="12" t="n">
        <f aca="false">K29*$R$2</f>
        <v>24080</v>
      </c>
      <c r="S29" s="12" t="n">
        <f aca="false">+R29*IFERROR(VLOOKUP(E29,Tabla11[],4,0),0)</f>
        <v>3612</v>
      </c>
      <c r="T29" s="12" t="n">
        <f aca="false">IF(G29&gt;0,$T$2/12,0)</f>
        <v>25833.3333333333</v>
      </c>
      <c r="U29" s="12" t="n">
        <f aca="false">K29-SUM(L29:T29)</f>
        <v>-3850.29916213939</v>
      </c>
      <c r="V29" s="12" t="n">
        <f aca="false">IF($G29&lt;0,0,IFERROR((V$2*IFERROR(VLOOKUP(E29,Tabla11[],2,0),0))*($G29/SUM($G$5:$G$43)),0))</f>
        <v>2642.62084503652</v>
      </c>
      <c r="W29" s="12" t="n">
        <f aca="false">G29-G29*IFERROR(VLOOKUP(E29,Tabla11[],3,0),0)-L29-N29-O29-P29-Q29-G29*$R$2-(G29*$R$2)*IFERROR(VLOOKUP(E29,Tabla11[],4,0),0)-V29-T29</f>
        <v>-21403.9969302528</v>
      </c>
      <c r="X29" s="12" t="n">
        <f aca="false">U29-V29</f>
        <v>-6492.92000717591</v>
      </c>
      <c r="Y29" s="12" t="n">
        <f aca="false">ROUND(X29-W29,9)</f>
        <v>14911.076923077</v>
      </c>
    </row>
    <row r="30" customFormat="false" ht="14.4" hidden="false" customHeight="false" outlineLevel="0" collapsed="false">
      <c r="A30" s="15"/>
      <c r="B30" s="15" t="s">
        <v>145</v>
      </c>
      <c r="C30" s="16" t="n">
        <v>1</v>
      </c>
      <c r="D30" s="16" t="n">
        <v>1</v>
      </c>
      <c r="E30" s="16" t="s">
        <v>34</v>
      </c>
      <c r="F30" s="16" t="s">
        <v>73</v>
      </c>
      <c r="G30" s="12" t="n">
        <f aca="false">IFERROR(VLOOKUP(CONCATENATE(E30,F30),Ventas!D:H,5,0),0)</f>
        <v>484660</v>
      </c>
      <c r="H30" s="15" t="n">
        <f aca="false">IFERROR(VLOOKUP(A30,Modelos[],18,0),0)*G30/C30</f>
        <v>0</v>
      </c>
      <c r="I30" s="17" t="n">
        <f aca="false">SUM(G30:H30)</f>
        <v>484660</v>
      </c>
      <c r="J30" s="15" t="n">
        <f aca="false">I30*IFERROR(VLOOKUP(E30,Tabla11[],3,0),0)</f>
        <v>169631</v>
      </c>
      <c r="K30" s="15" t="n">
        <f aca="false">I30-J30</f>
        <v>315029</v>
      </c>
      <c r="L30" s="15" t="n">
        <f aca="false">Sup!$A$2*D30</f>
        <v>6775.44742838542</v>
      </c>
      <c r="M30" s="15" t="n">
        <f aca="false">IFERROR(VLOOKUP(A30,Modelos[],IF(B30="EST",15,14),0),0)/C30</f>
        <v>0</v>
      </c>
      <c r="N30" s="15" t="n">
        <f aca="false">IF($G30&lt;0,0,IFERROR((N$2*IFERROR(VLOOKUP(E30,Tabla11[],2,0),0))*($G30/SUM($G$5:$G$43)),0))</f>
        <v>5475.73375028718</v>
      </c>
      <c r="O30" s="15" t="n">
        <f aca="false">IF($G30&lt;0,0,IFERROR((O$2*IFERROR(VLOOKUP(E30,Tabla11[],2,0),0))*($G30/SUM($G$5:$G$43)),0))</f>
        <v>1064.72600700028</v>
      </c>
      <c r="P30" s="15" t="n">
        <f aca="false">IF($G30&lt;0,0,IFERROR((P$2*IFERROR(VLOOKUP(E30,Tabla11[],2,0),0))*($G30/SUM($G$5:$G$43)),0))</f>
        <v>5475.73375028718</v>
      </c>
      <c r="Q30" s="15" t="n">
        <f aca="false">IF($G30&lt;0,0,IFERROR((Q$2*IFERROR(VLOOKUP(E30,Tabla11[],2,0),0))*($G30/SUM($G$5:$G$43)),0))</f>
        <v>7605.18576428775</v>
      </c>
      <c r="R30" s="15" t="n">
        <f aca="false">K30*$R$2</f>
        <v>126011.6</v>
      </c>
      <c r="S30" s="15" t="n">
        <f aca="false">+R30*IFERROR(VLOOKUP(E30,Tabla11[],4,0),0)</f>
        <v>18901.74</v>
      </c>
      <c r="T30" s="15" t="n">
        <f aca="false">IF(G30&gt;0,$T$2/12,0)</f>
        <v>25833.3333333333</v>
      </c>
      <c r="U30" s="15" t="n">
        <f aca="false">K30-SUM(L30:T30)</f>
        <v>117885.499966419</v>
      </c>
      <c r="V30" s="15" t="n">
        <f aca="false">IF($G30&lt;0,0,IFERROR((V$2*IFERROR(VLOOKUP(E30,Tabla11[],2,0),0))*($G30/SUM($G$5:$G$43)),0))</f>
        <v>13828.9402357311</v>
      </c>
      <c r="W30" s="15" t="n">
        <f aca="false">G30-G30*IFERROR(VLOOKUP(E30,Tabla11[],3,0),0)-L30-N30-O30-P30-Q30-G30*$R$2-(G30*$R$2)*IFERROR(VLOOKUP(E30,Tabla11[],4,0),0)-V30-T30</f>
        <v>26026.2997306878</v>
      </c>
      <c r="X30" s="15" t="n">
        <f aca="false">U30-V30</f>
        <v>104056.559730688</v>
      </c>
      <c r="Y30" s="15" t="n">
        <f aca="false">ROUND(X30-W30,9)</f>
        <v>78030.26</v>
      </c>
    </row>
    <row r="31" customFormat="false" ht="14.4" hidden="false" customHeight="false" outlineLevel="0" collapsed="false">
      <c r="A31" s="12"/>
      <c r="B31" s="12" t="s">
        <v>145</v>
      </c>
      <c r="C31" s="13" t="n">
        <v>1</v>
      </c>
      <c r="D31" s="13" t="n">
        <v>1</v>
      </c>
      <c r="E31" s="13" t="s">
        <v>34</v>
      </c>
      <c r="F31" s="13" t="s">
        <v>74</v>
      </c>
      <c r="G31" s="12" t="n">
        <f aca="false">IFERROR(VLOOKUP(CONCATENATE(E31,F31),Ventas!D:H,5,0),0)</f>
        <v>387530.769230769</v>
      </c>
      <c r="H31" s="12" t="n">
        <f aca="false">IFERROR(VLOOKUP(A31,Modelos[],18,0),0)*G31/C31</f>
        <v>0</v>
      </c>
      <c r="I31" s="14" t="n">
        <f aca="false">SUM(G31:H31)</f>
        <v>387530.769230769</v>
      </c>
      <c r="J31" s="12" t="n">
        <f aca="false">I31*IFERROR(VLOOKUP(E31,Tabla11[],3,0),0)</f>
        <v>135635.769230769</v>
      </c>
      <c r="K31" s="12" t="n">
        <f aca="false">I31-J31</f>
        <v>251895</v>
      </c>
      <c r="L31" s="12" t="n">
        <f aca="false">Sup!$A$2*D31</f>
        <v>6775.44742838542</v>
      </c>
      <c r="M31" s="12" t="n">
        <f aca="false">IFERROR(VLOOKUP(A31,Modelos[],IF(B31="EST",15,14),0),0)/C31</f>
        <v>0</v>
      </c>
      <c r="N31" s="12" t="n">
        <f aca="false">IF($G31&lt;0,0,IFERROR((N$2*IFERROR(VLOOKUP(E31,Tabla11[],2,0),0))*($G31/SUM($G$5:$G$43)),0))</f>
        <v>4378.35866865777</v>
      </c>
      <c r="O31" s="12" t="n">
        <f aca="false">IF($G31&lt;0,0,IFERROR((O$2*IFERROR(VLOOKUP(E31,Tabla11[],2,0),0))*($G31/SUM($G$5:$G$43)),0))</f>
        <v>851.347518905677</v>
      </c>
      <c r="P31" s="12" t="n">
        <f aca="false">IF($G31&lt;0,0,IFERROR((P$2*IFERROR(VLOOKUP(E31,Tabla11[],2,0),0))*($G31/SUM($G$5:$G$43)),0))</f>
        <v>4378.35866865777</v>
      </c>
      <c r="Q31" s="12" t="n">
        <f aca="false">IF($G31&lt;0,0,IFERROR((Q$2*IFERROR(VLOOKUP(E31,Tabla11[],2,0),0))*($G31/SUM($G$5:$G$43)),0))</f>
        <v>6081.05370646912</v>
      </c>
      <c r="R31" s="12" t="n">
        <f aca="false">K31*$R$2</f>
        <v>100758</v>
      </c>
      <c r="S31" s="12" t="n">
        <f aca="false">+R31*IFERROR(VLOOKUP(E31,Tabla11[],4,0),0)</f>
        <v>15113.7</v>
      </c>
      <c r="T31" s="12" t="n">
        <f aca="false">IF(G31&gt;0,$T$2/12,0)</f>
        <v>25833.3333333333</v>
      </c>
      <c r="U31" s="12" t="n">
        <f aca="false">K31-SUM(L31:T31)</f>
        <v>87725.4006755909</v>
      </c>
      <c r="V31" s="12" t="n">
        <f aca="false">IF($G31&lt;0,0,IFERROR((V$2*IFERROR(VLOOKUP(E31,Tabla11[],2,0),0))*($G31/SUM($G$5:$G$43)),0))</f>
        <v>11057.5245475162</v>
      </c>
      <c r="W31" s="12" t="n">
        <f aca="false">G31-G31*IFERROR(VLOOKUP(E31,Tabla11[],3,0),0)-L31-N31-O31-P31-Q31-G31*$R$2-(G31*$R$2)*IFERROR(VLOOKUP(E31,Tabla11[],4,0),0)-V31-T31</f>
        <v>14275.4222819209</v>
      </c>
      <c r="X31" s="12" t="n">
        <f aca="false">U31-V31</f>
        <v>76667.8761280747</v>
      </c>
      <c r="Y31" s="12" t="n">
        <f aca="false">ROUND(X31-W31,9)</f>
        <v>62392.453846154</v>
      </c>
    </row>
    <row r="32" customFormat="false" ht="14.4" hidden="false" customHeight="false" outlineLevel="0" collapsed="false">
      <c r="A32" s="15"/>
      <c r="B32" s="15" t="s">
        <v>145</v>
      </c>
      <c r="C32" s="16" t="n">
        <v>1</v>
      </c>
      <c r="D32" s="16" t="n">
        <v>1</v>
      </c>
      <c r="E32" s="16" t="s">
        <v>34</v>
      </c>
      <c r="F32" s="16" t="s">
        <v>75</v>
      </c>
      <c r="G32" s="12" t="n">
        <f aca="false">IFERROR(VLOOKUP(CONCATENATE(E32,F32),Ventas!D:H,5,0),0)</f>
        <v>31726.1538461538</v>
      </c>
      <c r="H32" s="15" t="n">
        <f aca="false">IFERROR(VLOOKUP(A32,Modelos[],18,0),0)*G32/C32</f>
        <v>0</v>
      </c>
      <c r="I32" s="17" t="n">
        <f aca="false">SUM(G32:H32)</f>
        <v>31726.1538461538</v>
      </c>
      <c r="J32" s="15" t="n">
        <f aca="false">I32*IFERROR(VLOOKUP(E32,Tabla11[],3,0),0)</f>
        <v>11104.1538461538</v>
      </c>
      <c r="K32" s="15" t="n">
        <f aca="false">I32-J32</f>
        <v>20622</v>
      </c>
      <c r="L32" s="15" t="n">
        <f aca="false">Sup!$A$2*D32</f>
        <v>6775.44742838542</v>
      </c>
      <c r="M32" s="15" t="n">
        <f aca="false">IFERROR(VLOOKUP(A32,Modelos[],IF(B32="EST",15,14),0),0)/C32</f>
        <v>0</v>
      </c>
      <c r="N32" s="15" t="n">
        <f aca="false">IF($G32&lt;0,0,IFERROR((N$2*IFERROR(VLOOKUP(E32,Tabla11[],2,0),0))*($G32/SUM($G$5:$G$43)),0))</f>
        <v>358.445036483696</v>
      </c>
      <c r="O32" s="15" t="n">
        <f aca="false">IF($G32&lt;0,0,IFERROR((O$2*IFERROR(VLOOKUP(E32,Tabla11[],2,0),0))*($G32/SUM($G$5:$G$43)),0))</f>
        <v>69.6976459829408</v>
      </c>
      <c r="P32" s="15" t="n">
        <f aca="false">IF($G32&lt;0,0,IFERROR((P$2*IFERROR(VLOOKUP(E32,Tabla11[],2,0),0))*($G32/SUM($G$5:$G$43)),0))</f>
        <v>358.445036483696</v>
      </c>
      <c r="Q32" s="15" t="n">
        <f aca="false">IF($G32&lt;0,0,IFERROR((Q$2*IFERROR(VLOOKUP(E32,Tabla11[],2,0),0))*($G32/SUM($G$5:$G$43)),0))</f>
        <v>497.840328449577</v>
      </c>
      <c r="R32" s="15" t="n">
        <f aca="false">K32*$R$2</f>
        <v>8248.8</v>
      </c>
      <c r="S32" s="15" t="n">
        <f aca="false">+R32*IFERROR(VLOOKUP(E32,Tabla11[],4,0),0)</f>
        <v>1237.32</v>
      </c>
      <c r="T32" s="15" t="n">
        <f aca="false">IF(G32&gt;0,$T$2/12,0)</f>
        <v>25833.3333333333</v>
      </c>
      <c r="U32" s="15" t="n">
        <f aca="false">K32-SUM(L32:T32)</f>
        <v>-22757.3288091187</v>
      </c>
      <c r="V32" s="15" t="n">
        <f aca="false">IF($G32&lt;0,0,IFERROR((V$2*IFERROR(VLOOKUP(E32,Tabla11[],2,0),0))*($G32/SUM($G$5:$G$43)),0))</f>
        <v>905.251280171812</v>
      </c>
      <c r="W32" s="15" t="n">
        <f aca="false">G32-G32*IFERROR(VLOOKUP(E32,Tabla11[],3,0),0)-L32-N32-O32-P32-Q32-G32*$R$2-(G32*$R$2)*IFERROR(VLOOKUP(E32,Tabla11[],4,0),0)-V32-T32</f>
        <v>-28770.4908585212</v>
      </c>
      <c r="X32" s="15" t="n">
        <f aca="false">U32-V32</f>
        <v>-23662.5800892905</v>
      </c>
      <c r="Y32" s="15" t="n">
        <f aca="false">ROUND(X32-W32,9)</f>
        <v>5107.910769231</v>
      </c>
    </row>
    <row r="33" customFormat="false" ht="14.4" hidden="false" customHeight="false" outlineLevel="0" collapsed="false">
      <c r="A33" s="12"/>
      <c r="B33" s="12" t="s">
        <v>145</v>
      </c>
      <c r="C33" s="13" t="n">
        <v>1</v>
      </c>
      <c r="D33" s="13" t="n">
        <v>1</v>
      </c>
      <c r="E33" s="13" t="s">
        <v>34</v>
      </c>
      <c r="F33" s="13" t="s">
        <v>77</v>
      </c>
      <c r="G33" s="12" t="n">
        <f aca="false">IFERROR(VLOOKUP(CONCATENATE(E33,F33),Ventas!D:H,5,0),0)</f>
        <v>350227.692307692</v>
      </c>
      <c r="H33" s="12" t="n">
        <f aca="false">IFERROR(VLOOKUP(A33,Modelos[],18,0),0)*G33/C33</f>
        <v>0</v>
      </c>
      <c r="I33" s="14" t="n">
        <f aca="false">SUM(G33:H33)</f>
        <v>350227.692307692</v>
      </c>
      <c r="J33" s="12" t="n">
        <f aca="false">I33*IFERROR(VLOOKUP(E33,Tabla11[],3,0),0)</f>
        <v>122579.692307692</v>
      </c>
      <c r="K33" s="12" t="n">
        <f aca="false">I33-J33</f>
        <v>227648</v>
      </c>
      <c r="L33" s="12" t="n">
        <f aca="false">Sup!$A$2*D33</f>
        <v>6775.44742838542</v>
      </c>
      <c r="M33" s="12" t="n">
        <f aca="false">IFERROR(VLOOKUP(A33,Modelos[],IF(B33="EST",15,14),0),0)/C33</f>
        <v>0</v>
      </c>
      <c r="N33" s="12" t="n">
        <f aca="false">IF($G33&lt;0,0,IFERROR((N$2*IFERROR(VLOOKUP(E33,Tabla11[],2,0),0))*($G33/SUM($G$5:$G$43)),0))</f>
        <v>3956.90503663274</v>
      </c>
      <c r="O33" s="12" t="n">
        <f aca="false">IF($G33&lt;0,0,IFERROR((O$2*IFERROR(VLOOKUP(E33,Tabla11[],2,0),0))*($G33/SUM($G$5:$G$43)),0))</f>
        <v>769.398201567477</v>
      </c>
      <c r="P33" s="12" t="n">
        <f aca="false">IF($G33&lt;0,0,IFERROR((P$2*IFERROR(VLOOKUP(E33,Tabla11[],2,0),0))*($G33/SUM($G$5:$G$43)),0))</f>
        <v>3956.90503663274</v>
      </c>
      <c r="Q33" s="12" t="n">
        <f aca="false">IF($G33&lt;0,0,IFERROR((Q$2*IFERROR(VLOOKUP(E33,Tabla11[],2,0),0))*($G33/SUM($G$5:$G$43)),0))</f>
        <v>5495.70143976769</v>
      </c>
      <c r="R33" s="12" t="n">
        <f aca="false">K33*$R$2</f>
        <v>91059.2</v>
      </c>
      <c r="S33" s="12" t="n">
        <f aca="false">+R33*IFERROR(VLOOKUP(E33,Tabla11[],4,0),0)</f>
        <v>13658.88</v>
      </c>
      <c r="T33" s="12" t="n">
        <f aca="false">IF(G33&gt;0,$T$2/12,0)</f>
        <v>25833.3333333333</v>
      </c>
      <c r="U33" s="12" t="n">
        <f aca="false">K33-SUM(L33:T33)</f>
        <v>76142.2295236806</v>
      </c>
      <c r="V33" s="12" t="n">
        <f aca="false">IF($G33&lt;0,0,IFERROR((V$2*IFERROR(VLOOKUP(E33,Tabla11[],2,0),0))*($G33/SUM($G$5:$G$43)),0))</f>
        <v>9993.14535101119</v>
      </c>
      <c r="W33" s="12" t="n">
        <f aca="false">G33-G33*IFERROR(VLOOKUP(E33,Tabla11[],3,0),0)-L33-N33-O33-P33-Q33-G33*$R$2-(G33*$R$2)*IFERROR(VLOOKUP(E33,Tabla11[],4,0),0)-V33-T33</f>
        <v>9762.42571113098</v>
      </c>
      <c r="X33" s="12" t="n">
        <f aca="false">U33-V33</f>
        <v>66149.0841726695</v>
      </c>
      <c r="Y33" s="12" t="n">
        <f aca="false">ROUND(X33-W33,9)</f>
        <v>56386.658461538</v>
      </c>
    </row>
    <row r="34" customFormat="false" ht="14.4" hidden="false" customHeight="false" outlineLevel="0" collapsed="false">
      <c r="A34" s="15"/>
      <c r="B34" s="15" t="s">
        <v>145</v>
      </c>
      <c r="C34" s="16" t="n">
        <v>1</v>
      </c>
      <c r="D34" s="16" t="n">
        <v>1</v>
      </c>
      <c r="E34" s="16" t="s">
        <v>34</v>
      </c>
      <c r="F34" s="16" t="s">
        <v>78</v>
      </c>
      <c r="G34" s="12" t="n">
        <f aca="false">IFERROR(VLOOKUP(CONCATENATE(E34,F34),Ventas!D:H,5,0),0)</f>
        <v>161516.923076923</v>
      </c>
      <c r="H34" s="15" t="n">
        <f aca="false">IFERROR(VLOOKUP(A34,Modelos[],18,0),0)*G34/C34</f>
        <v>0</v>
      </c>
      <c r="I34" s="17" t="n">
        <f aca="false">SUM(G34:H34)</f>
        <v>161516.923076923</v>
      </c>
      <c r="J34" s="15" t="n">
        <f aca="false">I34*IFERROR(VLOOKUP(E34,Tabla11[],3,0),0)</f>
        <v>56530.9230769231</v>
      </c>
      <c r="K34" s="15" t="n">
        <f aca="false">I34-J34</f>
        <v>104986</v>
      </c>
      <c r="L34" s="15" t="n">
        <f aca="false">Sup!$A$2*D34</f>
        <v>6775.44742838542</v>
      </c>
      <c r="M34" s="15" t="n">
        <f aca="false">IFERROR(VLOOKUP(A34,Modelos[],IF(B34="EST",15,14),0),0)/C34</f>
        <v>0</v>
      </c>
      <c r="N34" s="15" t="n">
        <f aca="false">IF($G34&lt;0,0,IFERROR((N$2*IFERROR(VLOOKUP(E34,Tabla11[],2,0),0))*($G34/SUM($G$5:$G$43)),0))</f>
        <v>1824.83321696621</v>
      </c>
      <c r="O34" s="15" t="n">
        <f aca="false">IF($G34&lt;0,0,IFERROR((O$2*IFERROR(VLOOKUP(E34,Tabla11[],2,0),0))*($G34/SUM($G$5:$G$43)),0))</f>
        <v>354.828681076764</v>
      </c>
      <c r="P34" s="15" t="n">
        <f aca="false">IF($G34&lt;0,0,IFERROR((P$2*IFERROR(VLOOKUP(E34,Tabla11[],2,0),0))*($G34/SUM($G$5:$G$43)),0))</f>
        <v>1824.83321696621</v>
      </c>
      <c r="Q34" s="15" t="n">
        <f aca="false">IF($G34&lt;0,0,IFERROR((Q$2*IFERROR(VLOOKUP(E34,Tabla11[],2,0),0))*($G34/SUM($G$5:$G$43)),0))</f>
        <v>2534.49057911974</v>
      </c>
      <c r="R34" s="15" t="n">
        <f aca="false">K34*$R$2</f>
        <v>41994.4</v>
      </c>
      <c r="S34" s="15" t="n">
        <f aca="false">+R34*IFERROR(VLOOKUP(E34,Tabla11[],4,0),0)</f>
        <v>6299.16</v>
      </c>
      <c r="T34" s="15" t="n">
        <f aca="false">IF(G34&gt;0,$T$2/12,0)</f>
        <v>25833.3333333333</v>
      </c>
      <c r="U34" s="15" t="n">
        <f aca="false">K34-SUM(L34:T34)</f>
        <v>17544.6735441523</v>
      </c>
      <c r="V34" s="15" t="n">
        <f aca="false">IF($G34&lt;0,0,IFERROR((V$2*IFERROR(VLOOKUP(E34,Tabla11[],2,0),0))*($G34/SUM($G$5:$G$43)),0))</f>
        <v>4608.60784114624</v>
      </c>
      <c r="W34" s="15" t="n">
        <f aca="false">G34-G34*IFERROR(VLOOKUP(E34,Tabla11[],3,0),0)-L34-N34-O34-P34-Q34-G34*$R$2-(G34*$R$2)*IFERROR(VLOOKUP(E34,Tabla11[],4,0),0)-V34-T34</f>
        <v>-13068.1589123785</v>
      </c>
      <c r="X34" s="15" t="n">
        <f aca="false">U34-V34</f>
        <v>12936.0657030061</v>
      </c>
      <c r="Y34" s="15" t="n">
        <f aca="false">ROUND(X34-W34,9)</f>
        <v>26004.224615385</v>
      </c>
    </row>
    <row r="35" customFormat="false" ht="14.4" hidden="false" customHeight="false" outlineLevel="0" collapsed="false">
      <c r="A35" s="12"/>
      <c r="B35" s="12" t="s">
        <v>145</v>
      </c>
      <c r="C35" s="13" t="n">
        <v>1</v>
      </c>
      <c r="D35" s="13" t="n">
        <v>1</v>
      </c>
      <c r="E35" s="13" t="s">
        <v>34</v>
      </c>
      <c r="F35" s="13" t="s">
        <v>79</v>
      </c>
      <c r="G35" s="12" t="n">
        <f aca="false">IFERROR(VLOOKUP(CONCATENATE(E35,F35),Ventas!D:H,5,0),0)</f>
        <v>143066.153846154</v>
      </c>
      <c r="H35" s="12" t="n">
        <f aca="false">IFERROR(VLOOKUP(A35,Modelos[],18,0),0)*G35/C35</f>
        <v>0</v>
      </c>
      <c r="I35" s="14" t="n">
        <f aca="false">SUM(G35:H35)</f>
        <v>143066.153846154</v>
      </c>
      <c r="J35" s="12" t="n">
        <f aca="false">I35*IFERROR(VLOOKUP(E35,Tabla11[],3,0),0)</f>
        <v>50073.1538461538</v>
      </c>
      <c r="K35" s="12" t="n">
        <f aca="false">I35-J35</f>
        <v>92993</v>
      </c>
      <c r="L35" s="12" t="n">
        <f aca="false">Sup!$A$2*D35</f>
        <v>6775.44742838542</v>
      </c>
      <c r="M35" s="12" t="n">
        <f aca="false">IFERROR(VLOOKUP(A35,Modelos[],IF(B35="EST",15,14),0),0)/C35</f>
        <v>0</v>
      </c>
      <c r="N35" s="12" t="n">
        <f aca="false">IF($G35&lt;0,0,IFERROR((N$2*IFERROR(VLOOKUP(E35,Tabla11[],2,0),0))*($G35/SUM($G$5:$G$43)),0))</f>
        <v>1616.37471039319</v>
      </c>
      <c r="O35" s="12" t="n">
        <f aca="false">IF($G35&lt;0,0,IFERROR((O$2*IFERROR(VLOOKUP(E35,Tabla11[],2,0),0))*($G35/SUM($G$5:$G$43)),0))</f>
        <v>314.295082576453</v>
      </c>
      <c r="P35" s="12" t="n">
        <f aca="false">IF($G35&lt;0,0,IFERROR((P$2*IFERROR(VLOOKUP(E35,Tabla11[],2,0),0))*($G35/SUM($G$5:$G$43)),0))</f>
        <v>1616.37471039319</v>
      </c>
      <c r="Q35" s="12" t="n">
        <f aca="false">IF($G35&lt;0,0,IFERROR((Q$2*IFERROR(VLOOKUP(E35,Tabla11[],2,0),0))*($G35/SUM($G$5:$G$43)),0))</f>
        <v>2244.96487554609</v>
      </c>
      <c r="R35" s="12" t="n">
        <f aca="false">K35*$R$2</f>
        <v>37197.2</v>
      </c>
      <c r="S35" s="12" t="n">
        <f aca="false">+R35*IFERROR(VLOOKUP(E35,Tabla11[],4,0),0)</f>
        <v>5579.58</v>
      </c>
      <c r="T35" s="12" t="n">
        <f aca="false">IF(G35&gt;0,$T$2/12,0)</f>
        <v>25833.3333333333</v>
      </c>
      <c r="U35" s="12" t="n">
        <f aca="false">K35-SUM(L35:T35)</f>
        <v>11815.4298593723</v>
      </c>
      <c r="V35" s="12" t="n">
        <f aca="false">IF($G35&lt;0,0,IFERROR((V$2*IFERROR(VLOOKUP(E35,Tabla11[],2,0),0))*($G35/SUM($G$5:$G$43)),0))</f>
        <v>4082.14684788174</v>
      </c>
      <c r="W35" s="12" t="n">
        <f aca="false">G35-G35*IFERROR(VLOOKUP(E35,Tabla11[],3,0),0)-L35-N35-O35-P35-Q35-G35*$R$2-(G35*$R$2)*IFERROR(VLOOKUP(E35,Tabla11[],4,0),0)-V35-T35</f>
        <v>-15300.3677577402</v>
      </c>
      <c r="X35" s="12" t="n">
        <f aca="false">U35-V35</f>
        <v>7733.28301149058</v>
      </c>
      <c r="Y35" s="12" t="n">
        <f aca="false">ROUND(X35-W35,9)</f>
        <v>23033.650769231</v>
      </c>
    </row>
    <row r="36" customFormat="false" ht="14.4" hidden="false" customHeight="false" outlineLevel="0" collapsed="false">
      <c r="A36" s="15"/>
      <c r="B36" s="15" t="s">
        <v>145</v>
      </c>
      <c r="C36" s="16" t="n">
        <v>1</v>
      </c>
      <c r="D36" s="16" t="n">
        <v>1</v>
      </c>
      <c r="E36" s="16" t="s">
        <v>34</v>
      </c>
      <c r="F36" s="16" t="s">
        <v>80</v>
      </c>
      <c r="G36" s="12" t="n">
        <f aca="false">IFERROR(VLOOKUP(CONCATENATE(E36,F36),Ventas!D:H,5,0),0)</f>
        <v>13429.2307692308</v>
      </c>
      <c r="H36" s="15" t="n">
        <f aca="false">IFERROR(VLOOKUP(A36,Modelos[],18,0),0)*G36/C36</f>
        <v>0</v>
      </c>
      <c r="I36" s="17" t="n">
        <f aca="false">SUM(G36:H36)</f>
        <v>13429.2307692308</v>
      </c>
      <c r="J36" s="15" t="n">
        <f aca="false">I36*IFERROR(VLOOKUP(E36,Tabla11[],3,0),0)</f>
        <v>4700.23076923077</v>
      </c>
      <c r="K36" s="15" t="n">
        <f aca="false">I36-J36</f>
        <v>8729</v>
      </c>
      <c r="L36" s="15" t="n">
        <f aca="false">Sup!$A$2*D36</f>
        <v>6775.44742838542</v>
      </c>
      <c r="M36" s="15" t="n">
        <f aca="false">IFERROR(VLOOKUP(A36,Modelos[],IF(B36="EST",15,14),0),0)/C36</f>
        <v>0</v>
      </c>
      <c r="N36" s="15" t="n">
        <f aca="false">IF($G36&lt;0,0,IFERROR((N$2*IFERROR(VLOOKUP(E36,Tabla11[],2,0),0))*($G36/SUM($G$5:$G$43)),0))</f>
        <v>151.724698063533</v>
      </c>
      <c r="O36" s="15" t="n">
        <f aca="false">IF($G36&lt;0,0,IFERROR((O$2*IFERROR(VLOOKUP(E36,Tabla11[],2,0),0))*($G36/SUM($G$5:$G$43)),0))</f>
        <v>29.5020246234648</v>
      </c>
      <c r="P36" s="15" t="n">
        <f aca="false">IF($G36&lt;0,0,IFERROR((P$2*IFERROR(VLOOKUP(E36,Tabla11[],2,0),0))*($G36/SUM($G$5:$G$43)),0))</f>
        <v>151.724698063533</v>
      </c>
      <c r="Q36" s="15" t="n">
        <f aca="false">IF($G36&lt;0,0,IFERROR((Q$2*IFERROR(VLOOKUP(E36,Tabla11[],2,0),0))*($G36/SUM($G$5:$G$43)),0))</f>
        <v>210.728747310463</v>
      </c>
      <c r="R36" s="15" t="n">
        <f aca="false">K36*$R$2</f>
        <v>3491.6</v>
      </c>
      <c r="S36" s="15" t="n">
        <f aca="false">+R36*IFERROR(VLOOKUP(E36,Tabla11[],4,0),0)</f>
        <v>523.74</v>
      </c>
      <c r="T36" s="15" t="n">
        <f aca="false">IF(G36&gt;0,$T$2/12,0)</f>
        <v>25833.3333333333</v>
      </c>
      <c r="U36" s="15" t="n">
        <f aca="false">K36-SUM(L36:T36)</f>
        <v>-28438.8009297797</v>
      </c>
      <c r="V36" s="15" t="n">
        <f aca="false">IF($G36&lt;0,0,IFERROR((V$2*IFERROR(VLOOKUP(E36,Tabla11[],2,0),0))*($G36/SUM($G$5:$G$43)),0))</f>
        <v>383.180022530295</v>
      </c>
      <c r="W36" s="15" t="n">
        <f aca="false">G36-G36*IFERROR(VLOOKUP(E36,Tabla11[],3,0),0)-L36-N36-O36-P36-Q36-G36*$R$2-(G36*$R$2)*IFERROR(VLOOKUP(E36,Tabla11[],4,0),0)-V36-T36</f>
        <v>-30984.0871061562</v>
      </c>
      <c r="X36" s="15" t="n">
        <f aca="false">U36-V36</f>
        <v>-28821.98095231</v>
      </c>
      <c r="Y36" s="15" t="n">
        <f aca="false">ROUND(X36-W36,9)</f>
        <v>2162.106153846</v>
      </c>
    </row>
    <row r="37" customFormat="false" ht="14.4" hidden="false" customHeight="false" outlineLevel="0" collapsed="false">
      <c r="A37" s="12"/>
      <c r="B37" s="12" t="s">
        <v>145</v>
      </c>
      <c r="C37" s="13" t="n">
        <v>1</v>
      </c>
      <c r="D37" s="13" t="n">
        <v>1</v>
      </c>
      <c r="E37" s="13" t="s">
        <v>34</v>
      </c>
      <c r="F37" s="13" t="s">
        <v>81</v>
      </c>
      <c r="G37" s="12" t="n">
        <f aca="false">IFERROR(VLOOKUP(CONCATENATE(E37,F37),Ventas!D:H,5,0),0)</f>
        <v>1672.30769230769</v>
      </c>
      <c r="H37" s="12" t="n">
        <f aca="false">IFERROR(VLOOKUP(A37,Modelos[],18,0),0)*G37/C37</f>
        <v>0</v>
      </c>
      <c r="I37" s="14" t="n">
        <f aca="false">SUM(G37:H37)</f>
        <v>1672.30769230769</v>
      </c>
      <c r="J37" s="12" t="n">
        <f aca="false">I37*IFERROR(VLOOKUP(E37,Tabla11[],3,0),0)</f>
        <v>585.307692307692</v>
      </c>
      <c r="K37" s="12" t="n">
        <f aca="false">I37-J37</f>
        <v>1087</v>
      </c>
      <c r="L37" s="12" t="n">
        <f aca="false">Sup!$A$2*D37</f>
        <v>6775.44742838542</v>
      </c>
      <c r="M37" s="12" t="n">
        <f aca="false">IFERROR(VLOOKUP(A37,Modelos[],IF(B37="EST",15,14),0),0)/C37</f>
        <v>0</v>
      </c>
      <c r="N37" s="12" t="n">
        <f aca="false">IF($G37&lt;0,0,IFERROR((N$2*IFERROR(VLOOKUP(E37,Tabla11[],2,0),0))*($G37/SUM($G$5:$G$43)),0))</f>
        <v>18.893887821636</v>
      </c>
      <c r="O37" s="12" t="n">
        <f aca="false">IF($G37&lt;0,0,IFERROR((O$2*IFERROR(VLOOKUP(E37,Tabla11[],2,0),0))*($G37/SUM($G$5:$G$43)),0))</f>
        <v>3.67381152087366</v>
      </c>
      <c r="P37" s="12" t="n">
        <f aca="false">IF($G37&lt;0,0,IFERROR((P$2*IFERROR(VLOOKUP(E37,Tabla11[],2,0),0))*($G37/SUM($G$5:$G$43)),0))</f>
        <v>18.893887821636</v>
      </c>
      <c r="Q37" s="12" t="n">
        <f aca="false">IF($G37&lt;0,0,IFERROR((Q$2*IFERROR(VLOOKUP(E37,Tabla11[],2,0),0))*($G37/SUM($G$5:$G$43)),0))</f>
        <v>26.2415108633833</v>
      </c>
      <c r="R37" s="12" t="n">
        <f aca="false">K37*$R$2</f>
        <v>434.8</v>
      </c>
      <c r="S37" s="12" t="n">
        <f aca="false">+R37*IFERROR(VLOOKUP(E37,Tabla11[],4,0),0)</f>
        <v>65.22</v>
      </c>
      <c r="T37" s="12" t="n">
        <f aca="false">IF(G37&gt;0,$T$2/12,0)</f>
        <v>25833.3333333333</v>
      </c>
      <c r="U37" s="12" t="n">
        <f aca="false">K37-SUM(L37:T37)</f>
        <v>-32089.5038597463</v>
      </c>
      <c r="V37" s="12" t="n">
        <f aca="false">IF($G37&lt;0,0,IFERROR((V$2*IFERROR(VLOOKUP(E37,Tabla11[],2,0),0))*($G37/SUM($G$5:$G$43)),0))</f>
        <v>47.7164262218388</v>
      </c>
      <c r="W37" s="12" t="n">
        <f aca="false">G37-G37*IFERROR(VLOOKUP(E37,Tabla11[],3,0),0)-L37-N37-O37-P37-Q37-G37*$R$2-(G37*$R$2)*IFERROR(VLOOKUP(E37,Tabla11[],4,0),0)-V37-T37</f>
        <v>-32406.4618244297</v>
      </c>
      <c r="X37" s="12" t="n">
        <f aca="false">U37-V37</f>
        <v>-32137.2202859681</v>
      </c>
      <c r="Y37" s="12" t="n">
        <f aca="false">ROUND(X37-W37,9)</f>
        <v>269.241538462</v>
      </c>
    </row>
    <row r="38" customFormat="false" ht="14.4" hidden="false" customHeight="false" outlineLevel="0" collapsed="false">
      <c r="A38" s="15"/>
      <c r="B38" s="15" t="s">
        <v>145</v>
      </c>
      <c r="C38" s="16" t="n">
        <v>1</v>
      </c>
      <c r="D38" s="16" t="n">
        <v>1</v>
      </c>
      <c r="E38" s="16" t="s">
        <v>85</v>
      </c>
      <c r="F38" s="16" t="s">
        <v>52</v>
      </c>
      <c r="G38" s="12" t="n">
        <f aca="false">IFERROR(VLOOKUP(CONCATENATE(E38,F38),Ventas!D:H,5,0),0)</f>
        <v>2141123.33333333</v>
      </c>
      <c r="H38" s="15" t="n">
        <f aca="false">IFERROR(VLOOKUP(A38,Modelos[],18,0),0)*G38/C38</f>
        <v>0</v>
      </c>
      <c r="I38" s="17" t="n">
        <f aca="false">SUM(G38:H38)</f>
        <v>2141123.33333333</v>
      </c>
      <c r="J38" s="15" t="n">
        <f aca="false">I38*IFERROR(VLOOKUP(E38,Tabla11[],3,0),0)</f>
        <v>749393.166666667</v>
      </c>
      <c r="K38" s="15" t="n">
        <f aca="false">I38-J38</f>
        <v>1391730.16666667</v>
      </c>
      <c r="L38" s="15" t="n">
        <f aca="false">Sup!$A$2*D38</f>
        <v>6775.44742838542</v>
      </c>
      <c r="M38" s="15" t="n">
        <f aca="false">IFERROR(VLOOKUP(A38,Modelos[],IF(B38="EST",15,14),0),0)/C38</f>
        <v>0</v>
      </c>
      <c r="N38" s="15" t="n">
        <f aca="false">IF($G38&lt;0,0,IFERROR((N$2*IFERROR(VLOOKUP(E38,Tabla11[],2,0),0))*($G38/SUM($G$5:$G$43)),0))</f>
        <v>39797.4560345527</v>
      </c>
      <c r="O38" s="15" t="n">
        <f aca="false">IF($G38&lt;0,0,IFERROR((O$2*IFERROR(VLOOKUP(E38,Tabla11[],2,0),0))*($G38/SUM($G$5:$G$43)),0))</f>
        <v>7738.39422894081</v>
      </c>
      <c r="P38" s="15" t="n">
        <f aca="false">IF($G38&lt;0,0,IFERROR((P$2*IFERROR(VLOOKUP(E38,Tabla11[],2,0),0))*($G38/SUM($G$5:$G$43)),0))</f>
        <v>39797.4560345527</v>
      </c>
      <c r="Q38" s="15" t="n">
        <f aca="false">IF($G38&lt;0,0,IFERROR((Q$2*IFERROR(VLOOKUP(E38,Tabla11[],2,0),0))*($G38/SUM($G$5:$G$43)),0))</f>
        <v>55274.2444924344</v>
      </c>
      <c r="R38" s="15" t="n">
        <f aca="false">K38*$R$2</f>
        <v>556692.066666667</v>
      </c>
      <c r="S38" s="15" t="n">
        <f aca="false">+R38*IFERROR(VLOOKUP(E38,Tabla11[],4,0),0)</f>
        <v>83503.81</v>
      </c>
      <c r="T38" s="15" t="n">
        <f aca="false">IF(G38&gt;0,$T$2/12,0)</f>
        <v>25833.3333333333</v>
      </c>
      <c r="U38" s="15" t="n">
        <f aca="false">K38-SUM(L38:T38)</f>
        <v>576317.958447801</v>
      </c>
      <c r="V38" s="15" t="n">
        <f aca="false">IF($G38&lt;0,0,IFERROR((V$2*IFERROR(VLOOKUP(E38,Tabla11[],2,0),0))*($G38/SUM($G$5:$G$43)),0))</f>
        <v>100508.290967781</v>
      </c>
      <c r="W38" s="15" t="n">
        <f aca="false">G38-G38*IFERROR(VLOOKUP(E38,Tabla11[],3,0),0)-L38-N38-O38-P38-Q38-G38*$R$2-(G38*$R$2)*IFERROR(VLOOKUP(E38,Tabla11[],4,0),0)-V38-T38</f>
        <v>131088.810813352</v>
      </c>
      <c r="X38" s="15" t="n">
        <f aca="false">U38-V38</f>
        <v>475809.66748002</v>
      </c>
      <c r="Y38" s="15" t="n">
        <f aca="false">ROUND(X38-W38,9)</f>
        <v>344720.856666667</v>
      </c>
    </row>
    <row r="39" customFormat="false" ht="14.4" hidden="false" customHeight="false" outlineLevel="0" collapsed="false">
      <c r="A39" s="12"/>
      <c r="B39" s="12" t="s">
        <v>145</v>
      </c>
      <c r="C39" s="13" t="n">
        <v>1</v>
      </c>
      <c r="D39" s="13" t="n">
        <v>1</v>
      </c>
      <c r="E39" s="13" t="s">
        <v>85</v>
      </c>
      <c r="F39" s="13" t="s">
        <v>86</v>
      </c>
      <c r="G39" s="12" t="n">
        <f aca="false">IFERROR(VLOOKUP(CONCATENATE(E39,F39),Ventas!D:H,5,0),0)</f>
        <v>1116924.1025641</v>
      </c>
      <c r="H39" s="12" t="n">
        <f aca="false">IFERROR(VLOOKUP(A39,Modelos[],18,0),0)*G39/C39</f>
        <v>0</v>
      </c>
      <c r="I39" s="14" t="n">
        <f aca="false">SUM(G39:H39)</f>
        <v>1116924.1025641</v>
      </c>
      <c r="J39" s="12" t="n">
        <f aca="false">I39*IFERROR(VLOOKUP(E39,Tabla11[],3,0),0)</f>
        <v>390923.435897436</v>
      </c>
      <c r="K39" s="12" t="n">
        <f aca="false">I39-J39</f>
        <v>726000.666666667</v>
      </c>
      <c r="L39" s="12" t="n">
        <f aca="false">Sup!$A$2*D39</f>
        <v>6775.44742838542</v>
      </c>
      <c r="M39" s="12" t="n">
        <f aca="false">IFERROR(VLOOKUP(A39,Modelos[],IF(B39="EST",15,14),0),0)/C39</f>
        <v>0</v>
      </c>
      <c r="N39" s="12" t="n">
        <f aca="false">IF($G39&lt;0,0,IFERROR((N$2*IFERROR(VLOOKUP(E39,Tabla11[],2,0),0))*($G39/SUM($G$5:$G$43)),0))</f>
        <v>20760.4752018304</v>
      </c>
      <c r="O39" s="12" t="n">
        <f aca="false">IF($G39&lt;0,0,IFERROR((O$2*IFERROR(VLOOKUP(E39,Tabla11[],2,0),0))*($G39/SUM($G$5:$G$43)),0))</f>
        <v>4036.75906702258</v>
      </c>
      <c r="P39" s="12" t="n">
        <f aca="false">IF($G39&lt;0,0,IFERROR((P$2*IFERROR(VLOOKUP(E39,Tabla11[],2,0),0))*($G39/SUM($G$5:$G$43)),0))</f>
        <v>20760.4752018304</v>
      </c>
      <c r="Q39" s="12" t="n">
        <f aca="false">IF($G39&lt;0,0,IFERROR((Q$2*IFERROR(VLOOKUP(E39,Tabla11[],2,0),0))*($G39/SUM($G$5:$G$43)),0))</f>
        <v>28833.9933358756</v>
      </c>
      <c r="R39" s="12" t="n">
        <f aca="false">K39*$R$2</f>
        <v>290400.266666667</v>
      </c>
      <c r="S39" s="12" t="n">
        <f aca="false">+R39*IFERROR(VLOOKUP(E39,Tabla11[],4,0),0)</f>
        <v>43560.04</v>
      </c>
      <c r="T39" s="12" t="n">
        <f aca="false">IF(G39&gt;0,$T$2/12,0)</f>
        <v>25833.3333333333</v>
      </c>
      <c r="U39" s="12" t="n">
        <f aca="false">K39-SUM(L39:T39)</f>
        <v>285039.876431722</v>
      </c>
      <c r="V39" s="12" t="n">
        <f aca="false">IF($G39&lt;0,0,IFERROR((V$2*IFERROR(VLOOKUP(E39,Tabla11[],2,0),0))*($G39/SUM($G$5:$G$43)),0))</f>
        <v>52430.4840089116</v>
      </c>
      <c r="W39" s="12" t="n">
        <f aca="false">G39-G39*IFERROR(VLOOKUP(E39,Tabla11[],3,0),0)-L39-N39-O39-P39-Q39-G39*$R$2-(G39*$R$2)*IFERROR(VLOOKUP(E39,Tabla11[],4,0),0)-V39-T39</f>
        <v>52784.6119099902</v>
      </c>
      <c r="X39" s="12" t="n">
        <f aca="false">U39-V39</f>
        <v>232609.392422811</v>
      </c>
      <c r="Y39" s="12" t="n">
        <f aca="false">ROUND(X39-W39,9)</f>
        <v>179824.78051282</v>
      </c>
    </row>
    <row r="40" customFormat="false" ht="14.4" hidden="false" customHeight="false" outlineLevel="0" collapsed="false">
      <c r="A40" s="15"/>
      <c r="B40" s="15" t="s">
        <v>145</v>
      </c>
      <c r="C40" s="16" t="n">
        <v>1</v>
      </c>
      <c r="D40" s="16" t="n">
        <v>1</v>
      </c>
      <c r="E40" s="16" t="s">
        <v>85</v>
      </c>
      <c r="F40" s="16" t="s">
        <v>39</v>
      </c>
      <c r="G40" s="12" t="n">
        <f aca="false">IFERROR(VLOOKUP(CONCATENATE(E40,F40),Ventas!D:H,5,0),0)</f>
        <v>1081823.58974359</v>
      </c>
      <c r="H40" s="15" t="n">
        <f aca="false">IFERROR(VLOOKUP(A40,Modelos[],18,0),0)*G40/C40</f>
        <v>0</v>
      </c>
      <c r="I40" s="17" t="n">
        <f aca="false">SUM(G40:H40)</f>
        <v>1081823.58974359</v>
      </c>
      <c r="J40" s="15" t="n">
        <f aca="false">I40*IFERROR(VLOOKUP(E40,Tabla11[],3,0),0)</f>
        <v>378638.256410256</v>
      </c>
      <c r="K40" s="15" t="n">
        <f aca="false">I40-J40</f>
        <v>703185.333333333</v>
      </c>
      <c r="L40" s="15" t="n">
        <f aca="false">Sup!$A$2*D40</f>
        <v>6775.44742838542</v>
      </c>
      <c r="M40" s="15" t="n">
        <f aca="false">IFERROR(VLOOKUP(A40,Modelos[],IF(B40="EST",15,14),0),0)/C40</f>
        <v>0</v>
      </c>
      <c r="N40" s="15" t="n">
        <f aca="false">IF($G40&lt;0,0,IFERROR((N$2*IFERROR(VLOOKUP(E40,Tabla11[],2,0),0))*($G40/SUM($G$5:$G$43)),0))</f>
        <v>20108.055467751</v>
      </c>
      <c r="O40" s="15" t="n">
        <f aca="false">IF($G40&lt;0,0,IFERROR((O$2*IFERROR(VLOOKUP(E40,Tabla11[],2,0),0))*($G40/SUM($G$5:$G$43)),0))</f>
        <v>3909.89967428491</v>
      </c>
      <c r="P40" s="15" t="n">
        <f aca="false">IF($G40&lt;0,0,IFERROR((P$2*IFERROR(VLOOKUP(E40,Tabla11[],2,0),0))*($G40/SUM($G$5:$G$43)),0))</f>
        <v>20108.055467751</v>
      </c>
      <c r="Q40" s="15" t="n">
        <f aca="false">IF($G40&lt;0,0,IFERROR((Q$2*IFERROR(VLOOKUP(E40,Tabla11[],2,0),0))*($G40/SUM($G$5:$G$43)),0))</f>
        <v>27927.8548163208</v>
      </c>
      <c r="R40" s="15" t="n">
        <f aca="false">K40*$R$2</f>
        <v>281274.133333333</v>
      </c>
      <c r="S40" s="15" t="n">
        <f aca="false">+R40*IFERROR(VLOOKUP(E40,Tabla11[],4,0),0)</f>
        <v>42191.12</v>
      </c>
      <c r="T40" s="15" t="n">
        <f aca="false">IF(G40&gt;0,$T$2/12,0)</f>
        <v>25833.3333333333</v>
      </c>
      <c r="U40" s="15" t="n">
        <f aca="false">K40-SUM(L40:T40)</f>
        <v>275057.433812174</v>
      </c>
      <c r="V40" s="15" t="n">
        <f aca="false">IF($G40&lt;0,0,IFERROR((V$2*IFERROR(VLOOKUP(E40,Tabla11[],2,0),0))*($G40/SUM($G$5:$G$43)),0))</f>
        <v>50782.8009909557</v>
      </c>
      <c r="W40" s="15" t="n">
        <f aca="false">G40-G40*IFERROR(VLOOKUP(E40,Tabla11[],3,0),0)-L40-N40-O40-P40-Q40-G40*$R$2-(G40*$R$2)*IFERROR(VLOOKUP(E40,Tabla11[],4,0),0)-V40-T40</f>
        <v>50101.0348724998</v>
      </c>
      <c r="X40" s="15" t="n">
        <f aca="false">U40-V40</f>
        <v>224274.632821218</v>
      </c>
      <c r="Y40" s="15" t="n">
        <f aca="false">ROUND(X40-W40,9)</f>
        <v>174173.597948718</v>
      </c>
    </row>
    <row r="41" customFormat="false" ht="14.4" hidden="false" customHeight="false" outlineLevel="0" collapsed="false">
      <c r="A41" s="12"/>
      <c r="B41" s="12" t="s">
        <v>145</v>
      </c>
      <c r="C41" s="13" t="n">
        <v>1</v>
      </c>
      <c r="D41" s="13" t="n">
        <v>1</v>
      </c>
      <c r="E41" s="13" t="s">
        <v>85</v>
      </c>
      <c r="F41" s="13" t="s">
        <v>87</v>
      </c>
      <c r="G41" s="12" t="n">
        <f aca="false">IFERROR(VLOOKUP(CONCATENATE(E41,F41),Ventas!D:H,5,0),0)</f>
        <v>1083958.20512821</v>
      </c>
      <c r="H41" s="12" t="n">
        <f aca="false">IFERROR(VLOOKUP(A41,Modelos[],18,0),0)*G41/C41</f>
        <v>0</v>
      </c>
      <c r="I41" s="14" t="n">
        <f aca="false">SUM(G41:H41)</f>
        <v>1083958.20512821</v>
      </c>
      <c r="J41" s="12" t="n">
        <f aca="false">I41*IFERROR(VLOOKUP(E41,Tabla11[],3,0),0)</f>
        <v>379385.371794872</v>
      </c>
      <c r="K41" s="12" t="n">
        <f aca="false">I41-J41</f>
        <v>704572.833333334</v>
      </c>
      <c r="L41" s="12" t="n">
        <f aca="false">Sup!$A$2*D41</f>
        <v>6775.44742838542</v>
      </c>
      <c r="M41" s="12" t="n">
        <f aca="false">IFERROR(VLOOKUP(A41,Modelos[],IF(B41="EST",15,14),0),0)/C41</f>
        <v>0</v>
      </c>
      <c r="N41" s="12" t="n">
        <f aca="false">IF($G41&lt;0,0,IFERROR((N$2*IFERROR(VLOOKUP(E41,Tabla11[],2,0),0))*($G41/SUM($G$5:$G$43)),0))</f>
        <v>20147.7319593371</v>
      </c>
      <c r="O41" s="12" t="n">
        <f aca="false">IF($G41&lt;0,0,IFERROR((O$2*IFERROR(VLOOKUP(E41,Tabla11[],2,0),0))*($G41/SUM($G$5:$G$43)),0))</f>
        <v>3917.61454764889</v>
      </c>
      <c r="P41" s="12" t="n">
        <f aca="false">IF($G41&lt;0,0,IFERROR((P$2*IFERROR(VLOOKUP(E41,Tabla11[],2,0),0))*($G41/SUM($G$5:$G$43)),0))</f>
        <v>20147.7319593371</v>
      </c>
      <c r="Q41" s="12" t="n">
        <f aca="false">IF($G41&lt;0,0,IFERROR((Q$2*IFERROR(VLOOKUP(E41,Tabla11[],2,0),0))*($G41/SUM($G$5:$G$43)),0))</f>
        <v>27982.9610546349</v>
      </c>
      <c r="R41" s="12" t="n">
        <f aca="false">K41*$R$2</f>
        <v>281829.133333333</v>
      </c>
      <c r="S41" s="12" t="n">
        <f aca="false">+R41*IFERROR(VLOOKUP(E41,Tabla11[],4,0),0)</f>
        <v>42274.37</v>
      </c>
      <c r="T41" s="12" t="n">
        <f aca="false">IF(G41&gt;0,$T$2/12,0)</f>
        <v>25833.3333333333</v>
      </c>
      <c r="U41" s="12" t="n">
        <f aca="false">K41-SUM(L41:T41)</f>
        <v>275664.509717323</v>
      </c>
      <c r="V41" s="12" t="n">
        <f aca="false">IF($G41&lt;0,0,IFERROR((V$2*IFERROR(VLOOKUP(E41,Tabla11[],2,0),0))*($G41/SUM($G$5:$G$43)),0))</f>
        <v>50883.0037867691</v>
      </c>
      <c r="W41" s="12" t="n">
        <f aca="false">G41-G41*IFERROR(VLOOKUP(E41,Tabla11[],3,0),0)-L41-N41-O41-P41-Q41-G41*$R$2-(G41*$R$2)*IFERROR(VLOOKUP(E41,Tabla11[],4,0),0)-V41-T41</f>
        <v>50264.2349049132</v>
      </c>
      <c r="X41" s="12" t="n">
        <f aca="false">U41-V41</f>
        <v>224781.505930554</v>
      </c>
      <c r="Y41" s="12" t="n">
        <f aca="false">ROUND(X41-W41,9)</f>
        <v>174517.271025641</v>
      </c>
    </row>
    <row r="42" customFormat="false" ht="14.4" hidden="false" customHeight="false" outlineLevel="0" collapsed="false">
      <c r="A42" s="15"/>
      <c r="B42" s="15" t="s">
        <v>145</v>
      </c>
      <c r="C42" s="16" t="n">
        <v>1</v>
      </c>
      <c r="D42" s="16" t="n">
        <v>1</v>
      </c>
      <c r="E42" s="16" t="s">
        <v>85</v>
      </c>
      <c r="F42" s="16" t="s">
        <v>88</v>
      </c>
      <c r="G42" s="12" t="n">
        <f aca="false">IFERROR(VLOOKUP(CONCATENATE(E42,F42),Ventas!D:H,5,0),0)</f>
        <v>832895.128205128</v>
      </c>
      <c r="H42" s="15" t="n">
        <f aca="false">IFERROR(VLOOKUP(A42,Modelos[],18,0),0)*G42/C42</f>
        <v>0</v>
      </c>
      <c r="I42" s="17" t="n">
        <f aca="false">SUM(G42:H42)</f>
        <v>832895.128205128</v>
      </c>
      <c r="J42" s="15" t="n">
        <f aca="false">I42*IFERROR(VLOOKUP(E42,Tabla11[],3,0),0)</f>
        <v>291513.294871795</v>
      </c>
      <c r="K42" s="15" t="n">
        <f aca="false">I42-J42</f>
        <v>541381.833333333</v>
      </c>
      <c r="L42" s="15" t="n">
        <f aca="false">Sup!$A$2*D42</f>
        <v>6775.44742838542</v>
      </c>
      <c r="M42" s="15" t="n">
        <f aca="false">IFERROR(VLOOKUP(A42,Modelos[],IF(B42="EST",15,14),0),0)/C42</f>
        <v>0</v>
      </c>
      <c r="N42" s="15" t="n">
        <f aca="false">IF($G42&lt;0,0,IFERROR((N$2*IFERROR(VLOOKUP(E42,Tabla11[],2,0),0))*($G42/SUM($G$5:$G$43)),0))</f>
        <v>15481.176039744</v>
      </c>
      <c r="O42" s="15" t="n">
        <f aca="false">IF($G42&lt;0,0,IFERROR((O$2*IFERROR(VLOOKUP(E42,Tabla11[],2,0),0))*($G42/SUM($G$5:$G$43)),0))</f>
        <v>3010.22867439466</v>
      </c>
      <c r="P42" s="15" t="n">
        <f aca="false">IF($G42&lt;0,0,IFERROR((P$2*IFERROR(VLOOKUP(E42,Tabla11[],2,0),0))*($G42/SUM($G$5:$G$43)),0))</f>
        <v>15481.176039744</v>
      </c>
      <c r="Q42" s="15" t="n">
        <f aca="false">IF($G42&lt;0,0,IFERROR((Q$2*IFERROR(VLOOKUP(E42,Tabla11[],2,0),0))*($G42/SUM($G$5:$G$43)),0))</f>
        <v>21501.6333885333</v>
      </c>
      <c r="R42" s="15" t="n">
        <f aca="false">K42*$R$2</f>
        <v>216552.733333333</v>
      </c>
      <c r="S42" s="15" t="n">
        <f aca="false">+R42*IFERROR(VLOOKUP(E42,Tabla11[],4,0),0)</f>
        <v>32482.91</v>
      </c>
      <c r="T42" s="15" t="n">
        <f aca="false">IF(G42&gt;0,$T$2/12,0)</f>
        <v>25833.3333333333</v>
      </c>
      <c r="U42" s="15" t="n">
        <f aca="false">K42-SUM(L42:T42)</f>
        <v>204263.195095865</v>
      </c>
      <c r="V42" s="15" t="n">
        <f aca="false">IF($G42&lt;0,0,IFERROR((V$2*IFERROR(VLOOKUP(E42,Tabla11[],2,0),0))*($G42/SUM($G$5:$G$43)),0))</f>
        <v>39097.6384162621</v>
      </c>
      <c r="W42" s="15" t="n">
        <f aca="false">G42-G42*IFERROR(VLOOKUP(E42,Tabla11[],3,0),0)-L42-N42-O42-P42-Q42-G42*$R$2-(G42*$R$2)*IFERROR(VLOOKUP(E42,Tabla11[],4,0),0)-V42-T42</f>
        <v>31069.4410385776</v>
      </c>
      <c r="X42" s="15" t="n">
        <f aca="false">U42-V42</f>
        <v>165165.556679603</v>
      </c>
      <c r="Y42" s="15" t="n">
        <f aca="false">ROUND(X42-W42,9)</f>
        <v>134096.115641026</v>
      </c>
    </row>
    <row r="43" customFormat="false" ht="14.4" hidden="false" customHeight="false" outlineLevel="0" collapsed="false">
      <c r="A43" s="12"/>
      <c r="B43" s="12" t="s">
        <v>145</v>
      </c>
      <c r="C43" s="13" t="n">
        <v>1</v>
      </c>
      <c r="D43" s="13" t="n">
        <v>1</v>
      </c>
      <c r="E43" s="13" t="s">
        <v>85</v>
      </c>
      <c r="F43" s="13" t="s">
        <v>35</v>
      </c>
      <c r="G43" s="12" t="n">
        <f aca="false">IFERROR(VLOOKUP(CONCATENATE(E43,F43),Ventas!D:H,5,0),0)</f>
        <v>991091.282051282</v>
      </c>
      <c r="H43" s="12" t="n">
        <f aca="false">IFERROR(VLOOKUP(A43,Modelos[],18,0),0)*G43/C43</f>
        <v>0</v>
      </c>
      <c r="I43" s="14" t="n">
        <f aca="false">SUM(G43:H43)</f>
        <v>991091.282051282</v>
      </c>
      <c r="J43" s="12" t="n">
        <f aca="false">I43*IFERROR(VLOOKUP(E43,Tabla11[],3,0),0)</f>
        <v>346881.948717949</v>
      </c>
      <c r="K43" s="12" t="n">
        <f aca="false">I43-J43</f>
        <v>644209.333333333</v>
      </c>
      <c r="L43" s="12" t="n">
        <f aca="false">Sup!$A$2*D43</f>
        <v>6775.44742838542</v>
      </c>
      <c r="M43" s="12" t="n">
        <f aca="false">IFERROR(VLOOKUP(A43,Modelos[],IF(B43="EST",15,14),0),0)/C43</f>
        <v>0</v>
      </c>
      <c r="N43" s="12" t="n">
        <f aca="false">IF($G43&lt;0,0,IFERROR((N$2*IFERROR(VLOOKUP(E43,Tabla11[],2,0),0))*($G43/SUM($G$5:$G$43)),0))</f>
        <v>18421.5972567349</v>
      </c>
      <c r="O43" s="12" t="n">
        <f aca="false">IF($G43&lt;0,0,IFERROR((O$2*IFERROR(VLOOKUP(E43,Tabla11[],2,0),0))*($G43/SUM($G$5:$G$43)),0))</f>
        <v>3581.97724436512</v>
      </c>
      <c r="P43" s="12" t="n">
        <f aca="false">IF($G43&lt;0,0,IFERROR((P$2*IFERROR(VLOOKUP(E43,Tabla11[],2,0),0))*($G43/SUM($G$5:$G$43)),0))</f>
        <v>18421.5972567349</v>
      </c>
      <c r="Q43" s="12" t="n">
        <f aca="false">IF($G43&lt;0,0,IFERROR((Q$2*IFERROR(VLOOKUP(E43,Tabla11[],2,0),0))*($G43/SUM($G$5:$G$43)),0))</f>
        <v>25585.5517454651</v>
      </c>
      <c r="R43" s="12" t="n">
        <f aca="false">K43*$R$2</f>
        <v>257683.733333333</v>
      </c>
      <c r="S43" s="12" t="n">
        <f aca="false">+R43*IFERROR(VLOOKUP(E43,Tabla11[],4,0),0)</f>
        <v>38652.56</v>
      </c>
      <c r="T43" s="12" t="n">
        <f aca="false">IF(G43&gt;0,$T$2/12,0)</f>
        <v>25833.3333333333</v>
      </c>
      <c r="U43" s="12" t="n">
        <f aca="false">K43-SUM(L43:T43)</f>
        <v>249253.535734981</v>
      </c>
      <c r="V43" s="12" t="n">
        <f aca="false">IF($G43&lt;0,0,IFERROR((V$2*IFERROR(VLOOKUP(E43,Tabla11[],2,0),0))*($G43/SUM($G$5:$G$43)),0))</f>
        <v>46523.6585867115</v>
      </c>
      <c r="W43" s="12" t="n">
        <f aca="false">G43-G43*IFERROR(VLOOKUP(E43,Tabla11[],3,0),0)-L43-N43-O43-P43-Q43-G43*$R$2-(G43*$R$2)*IFERROR(VLOOKUP(E43,Tabla11[],4,0),0)-V43-T43</f>
        <v>43164.1807380134</v>
      </c>
      <c r="X43" s="12" t="n">
        <f aca="false">U43-V43</f>
        <v>202729.87714827</v>
      </c>
      <c r="Y43" s="12" t="n">
        <f aca="false">ROUND(X43-W43,9)</f>
        <v>159565.696410256</v>
      </c>
    </row>
    <row r="44" customFormat="false" ht="14.4" hidden="false" customHeight="false" outlineLevel="0" collapsed="false">
      <c r="A44" s="15"/>
      <c r="B44" s="15" t="s">
        <v>145</v>
      </c>
      <c r="C44" s="16" t="n">
        <v>1</v>
      </c>
      <c r="D44" s="16" t="n">
        <v>1</v>
      </c>
      <c r="E44" s="16" t="s">
        <v>85</v>
      </c>
      <c r="F44" s="16" t="s">
        <v>89</v>
      </c>
      <c r="G44" s="12" t="n">
        <f aca="false">IFERROR(VLOOKUP(CONCATENATE(E44,F44),Ventas!D:H,5,0),0)</f>
        <v>508285.128205128</v>
      </c>
      <c r="H44" s="15" t="n">
        <f aca="false">IFERROR(VLOOKUP(A44,Modelos[],18,0),0)*G44/C44</f>
        <v>0</v>
      </c>
      <c r="I44" s="17" t="n">
        <f aca="false">SUM(G44:H44)</f>
        <v>508285.128205128</v>
      </c>
      <c r="J44" s="15" t="n">
        <f aca="false">I44*IFERROR(VLOOKUP(E44,Tabla11[],3,0),0)</f>
        <v>177899.794871795</v>
      </c>
      <c r="K44" s="15" t="n">
        <f aca="false">I44-J44</f>
        <v>330385.333333333</v>
      </c>
      <c r="L44" s="15" t="n">
        <f aca="false">Sup!$A$2*D44</f>
        <v>6775.44742838542</v>
      </c>
      <c r="M44" s="15" t="n">
        <f aca="false">IFERROR(VLOOKUP(A44,Modelos[],IF(B44="EST",15,14),0),0)/C44</f>
        <v>0</v>
      </c>
      <c r="N44" s="15" t="n">
        <f aca="false">IF($G44&lt;0,0,IFERROR((N$2*IFERROR(VLOOKUP(E44,Tabla11[],2,0),0))*($G44/SUM($G$5:$G$43)),0))</f>
        <v>9447.58983653157</v>
      </c>
      <c r="O44" s="15" t="n">
        <f aca="false">IF($G44&lt;0,0,IFERROR((O$2*IFERROR(VLOOKUP(E44,Tabla11[],2,0),0))*($G44/SUM($G$5:$G$43)),0))</f>
        <v>1837.03135710336</v>
      </c>
      <c r="P44" s="15" t="n">
        <f aca="false">IF($G44&lt;0,0,IFERROR((P$2*IFERROR(VLOOKUP(E44,Tabla11[],2,0),0))*($G44/SUM($G$5:$G$43)),0))</f>
        <v>9447.58983653157</v>
      </c>
      <c r="Q44" s="15" t="n">
        <f aca="false">IF($G44&lt;0,0,IFERROR((Q$2*IFERROR(VLOOKUP(E44,Tabla11[],2,0),0))*($G44/SUM($G$5:$G$43)),0))</f>
        <v>13121.6525507383</v>
      </c>
      <c r="R44" s="15" t="n">
        <f aca="false">K44*$R$2</f>
        <v>132154.133333333</v>
      </c>
      <c r="S44" s="15" t="n">
        <f aca="false">+R44*IFERROR(VLOOKUP(E44,Tabla11[],4,0),0)</f>
        <v>19823.12</v>
      </c>
      <c r="T44" s="15" t="n">
        <f aca="false">IF(G44&gt;0,$T$2/12,0)</f>
        <v>25833.3333333333</v>
      </c>
      <c r="U44" s="15" t="n">
        <f aca="false">K44-SUM(L44:T44)</f>
        <v>111945.435657376</v>
      </c>
      <c r="V44" s="15" t="n">
        <f aca="false">IF($G44&lt;0,0,IFERROR((V$2*IFERROR(VLOOKUP(E44,Tabla11[],2,0),0))*($G44/SUM($G$5:$G$43)),0))</f>
        <v>23859.8443933186</v>
      </c>
      <c r="W44" s="15" t="n">
        <f aca="false">G44-G44*IFERROR(VLOOKUP(E44,Tabla11[],3,0),0)-L44-N44-O44-P44-Q44-G44*$R$2-(G44*$R$2)*IFERROR(VLOOKUP(E44,Tabla11[],4,0),0)-V44-T44</f>
        <v>6251.68562303212</v>
      </c>
      <c r="X44" s="15" t="n">
        <f aca="false">U44-V44</f>
        <v>88085.5912640578</v>
      </c>
      <c r="Y44" s="15" t="n">
        <f aca="false">ROUND(X44-W44,9)</f>
        <v>81833.905641026</v>
      </c>
    </row>
    <row r="45" customFormat="false" ht="14.4" hidden="false" customHeight="false" outlineLevel="0" collapsed="false">
      <c r="A45" s="12"/>
      <c r="B45" s="12" t="s">
        <v>145</v>
      </c>
      <c r="C45" s="13" t="n">
        <v>1</v>
      </c>
      <c r="D45" s="13" t="n">
        <v>1</v>
      </c>
      <c r="E45" s="13" t="s">
        <v>85</v>
      </c>
      <c r="F45" s="13" t="s">
        <v>90</v>
      </c>
      <c r="G45" s="12" t="n">
        <f aca="false">IFERROR(VLOOKUP(CONCATENATE(E45,F45),Ventas!D:H,5,0),0)</f>
        <v>607589.230769231</v>
      </c>
      <c r="H45" s="12" t="n">
        <f aca="false">IFERROR(VLOOKUP(A45,Modelos[],18,0),0)*G45/C45</f>
        <v>0</v>
      </c>
      <c r="I45" s="14" t="n">
        <f aca="false">SUM(G45:H45)</f>
        <v>607589.230769231</v>
      </c>
      <c r="J45" s="12" t="n">
        <f aca="false">I45*IFERROR(VLOOKUP(E45,Tabla11[],3,0),0)</f>
        <v>212656.230769231</v>
      </c>
      <c r="K45" s="12" t="n">
        <f aca="false">I45-J45</f>
        <v>394933</v>
      </c>
      <c r="L45" s="12" t="n">
        <f aca="false">Sup!$A$2*D45</f>
        <v>6775.44742838542</v>
      </c>
      <c r="M45" s="12" t="n">
        <f aca="false">IFERROR(VLOOKUP(A45,Modelos[],IF(B45="EST",15,14),0),0)/C45</f>
        <v>0</v>
      </c>
      <c r="N45" s="12" t="n">
        <f aca="false">IF($G45&lt;0,0,IFERROR((N$2*IFERROR(VLOOKUP(E45,Tabla11[],2,0),0))*($G45/SUM($G$5:$G$43)),0))</f>
        <v>11293.3735867338</v>
      </c>
      <c r="O45" s="12" t="n">
        <f aca="false">IF($G45&lt;0,0,IFERROR((O$2*IFERROR(VLOOKUP(E45,Tabla11[],2,0),0))*($G45/SUM($G$5:$G$43)),0))</f>
        <v>2195.93375297602</v>
      </c>
      <c r="P45" s="12" t="n">
        <f aca="false">IF($G45&lt;0,0,IFERROR((P$2*IFERROR(VLOOKUP(E45,Tabla11[],2,0),0))*($G45/SUM($G$5:$G$43)),0))</f>
        <v>11293.3735867338</v>
      </c>
      <c r="Q45" s="12" t="n">
        <f aca="false">IF($G45&lt;0,0,IFERROR((Q$2*IFERROR(VLOOKUP(E45,Tabla11[],2,0),0))*($G45/SUM($G$5:$G$43)),0))</f>
        <v>15685.2410926859</v>
      </c>
      <c r="R45" s="12" t="n">
        <f aca="false">K45*$R$2</f>
        <v>157973.2</v>
      </c>
      <c r="S45" s="12" t="n">
        <f aca="false">+R45*IFERROR(VLOOKUP(E45,Tabla11[],4,0),0)</f>
        <v>23695.98</v>
      </c>
      <c r="T45" s="12" t="n">
        <f aca="false">IF(G45&gt;0,$T$2/12,0)</f>
        <v>25833.3333333333</v>
      </c>
      <c r="U45" s="12" t="n">
        <f aca="false">K45-SUM(L45:T45)</f>
        <v>140187.117219152</v>
      </c>
      <c r="V45" s="12" t="n">
        <f aca="false">IF($G45&lt;0,0,IFERROR((V$2*IFERROR(VLOOKUP(E45,Tabla11[],2,0),0))*($G45/SUM($G$5:$G$43)),0))</f>
        <v>28521.3627091593</v>
      </c>
      <c r="W45" s="12" t="n">
        <f aca="false">G45-G45*IFERROR(VLOOKUP(E45,Tabla11[],3,0),0)-L45-N45-O45-P45-Q45-G45*$R$2-(G45*$R$2)*IFERROR(VLOOKUP(E45,Tabla11[],4,0),0)-V45-T45</f>
        <v>13843.8883561462</v>
      </c>
      <c r="X45" s="12" t="n">
        <f aca="false">U45-V45</f>
        <v>111665.754509992</v>
      </c>
      <c r="Y45" s="12" t="n">
        <f aca="false">ROUND(X45-W45,9)</f>
        <v>97821.866153846</v>
      </c>
    </row>
    <row r="46" customFormat="false" ht="14.4" hidden="false" customHeight="false" outlineLevel="0" collapsed="false">
      <c r="A46" s="15"/>
      <c r="B46" s="15" t="s">
        <v>145</v>
      </c>
      <c r="C46" s="16" t="n">
        <v>1</v>
      </c>
      <c r="D46" s="16" t="n">
        <v>1</v>
      </c>
      <c r="E46" s="16" t="s">
        <v>85</v>
      </c>
      <c r="F46" s="16" t="s">
        <v>58</v>
      </c>
      <c r="G46" s="12" t="n">
        <f aca="false">IFERROR(VLOOKUP(CONCATENATE(E46,F46),Ventas!D:H,5,0),0)</f>
        <v>905704.871794872</v>
      </c>
      <c r="H46" s="15" t="n">
        <f aca="false">IFERROR(VLOOKUP(A46,Modelos[],18,0),0)*G46/C46</f>
        <v>0</v>
      </c>
      <c r="I46" s="17" t="n">
        <f aca="false">SUM(G46:H46)</f>
        <v>905704.871794872</v>
      </c>
      <c r="J46" s="15" t="n">
        <f aca="false">I46*IFERROR(VLOOKUP(E46,Tabla11[],3,0),0)</f>
        <v>316996.705128205</v>
      </c>
      <c r="K46" s="15" t="n">
        <f aca="false">I46-J46</f>
        <v>588708.166666667</v>
      </c>
      <c r="L46" s="15" t="n">
        <f aca="false">Sup!$A$2*D46</f>
        <v>6775.44742838542</v>
      </c>
      <c r="M46" s="15" t="n">
        <f aca="false">IFERROR(VLOOKUP(A46,Modelos[],IF(B46="EST",15,14),0),0)/C46</f>
        <v>0</v>
      </c>
      <c r="N46" s="15" t="n">
        <f aca="false">IF($G46&lt;0,0,IFERROR((N$2*IFERROR(VLOOKUP(E46,Tabla11[],2,0),0))*($G46/SUM($G$5:$G$43)),0))</f>
        <v>16834.5042316743</v>
      </c>
      <c r="O46" s="15" t="n">
        <f aca="false">IF($G46&lt;0,0,IFERROR((O$2*IFERROR(VLOOKUP(E46,Tabla11[],2,0),0))*($G46/SUM($G$5:$G$43)),0))</f>
        <v>3273.37582282556</v>
      </c>
      <c r="P46" s="15" t="n">
        <f aca="false">IF($G46&lt;0,0,IFERROR((P$2*IFERROR(VLOOKUP(E46,Tabla11[],2,0),0))*($G46/SUM($G$5:$G$43)),0))</f>
        <v>16834.5042316743</v>
      </c>
      <c r="Q46" s="15" t="n">
        <f aca="false">IF($G46&lt;0,0,IFERROR((Q$2*IFERROR(VLOOKUP(E46,Tabla11[],2,0),0))*($G46/SUM($G$5:$G$43)),0))</f>
        <v>23381.2558773255</v>
      </c>
      <c r="R46" s="15" t="n">
        <f aca="false">K46*$R$2</f>
        <v>235483.266666667</v>
      </c>
      <c r="S46" s="15" t="n">
        <f aca="false">+R46*IFERROR(VLOOKUP(E46,Tabla11[],4,0),0)</f>
        <v>35322.49</v>
      </c>
      <c r="T46" s="15" t="n">
        <f aca="false">IF(G46&gt;0,$T$2/12,0)</f>
        <v>25833.3333333333</v>
      </c>
      <c r="U46" s="15" t="n">
        <f aca="false">K46-SUM(L46:T46)</f>
        <v>224969.989074782</v>
      </c>
      <c r="V46" s="15" t="n">
        <f aca="false">IF($G46&lt;0,0,IFERROR((V$2*IFERROR(VLOOKUP(E46,Tabla11[],2,0),0))*($G46/SUM($G$5:$G$43)),0))</f>
        <v>42515.4624995739</v>
      </c>
      <c r="W46" s="15" t="n">
        <f aca="false">G46-G46*IFERROR(VLOOKUP(E46,Tabla11[],3,0),0)-L46-N46-O46-P46-Q46-G46*$R$2-(G46*$R$2)*IFERROR(VLOOKUP(E46,Tabla11[],4,0),0)-V46-T46</f>
        <v>36636.0422162333</v>
      </c>
      <c r="X46" s="15" t="n">
        <f aca="false">U46-V46</f>
        <v>182454.526575208</v>
      </c>
      <c r="Y46" s="15" t="n">
        <f aca="false">ROUND(X46-W46,9)</f>
        <v>145818.484358974</v>
      </c>
    </row>
    <row r="47" customFormat="false" ht="14.4" hidden="false" customHeight="false" outlineLevel="0" collapsed="false">
      <c r="A47" s="12"/>
      <c r="B47" s="12" t="s">
        <v>145</v>
      </c>
      <c r="C47" s="13" t="n">
        <v>1</v>
      </c>
      <c r="D47" s="13" t="n">
        <v>1</v>
      </c>
      <c r="E47" s="13" t="s">
        <v>85</v>
      </c>
      <c r="F47" s="13" t="s">
        <v>60</v>
      </c>
      <c r="G47" s="12" t="n">
        <f aca="false">IFERROR(VLOOKUP(CONCATENATE(E47,F47),Ventas!D:H,5,0),0)</f>
        <v>590072.564102564</v>
      </c>
      <c r="H47" s="12" t="n">
        <f aca="false">IFERROR(VLOOKUP(A47,Modelos[],18,0),0)*G47/C47</f>
        <v>0</v>
      </c>
      <c r="I47" s="14" t="n">
        <f aca="false">SUM(G47:H47)</f>
        <v>590072.564102564</v>
      </c>
      <c r="J47" s="12" t="n">
        <f aca="false">I47*IFERROR(VLOOKUP(E47,Tabla11[],3,0),0)</f>
        <v>206525.397435897</v>
      </c>
      <c r="K47" s="12" t="n">
        <f aca="false">I47-J47</f>
        <v>383547.166666667</v>
      </c>
      <c r="L47" s="12" t="n">
        <f aca="false">Sup!$A$2*D47</f>
        <v>6775.44742838542</v>
      </c>
      <c r="M47" s="12" t="n">
        <f aca="false">IFERROR(VLOOKUP(A47,Modelos[],IF(B47="EST",15,14),0),0)/C47</f>
        <v>0</v>
      </c>
      <c r="N47" s="12" t="n">
        <f aca="false">IF($G47&lt;0,0,IFERROR((N$2*IFERROR(VLOOKUP(E47,Tabla11[],2,0),0))*($G47/SUM($G$5:$G$43)),0))</f>
        <v>10967.7880584806</v>
      </c>
      <c r="O47" s="12" t="n">
        <f aca="false">IF($G47&lt;0,0,IFERROR((O$2*IFERROR(VLOOKUP(E47,Tabla11[],2,0),0))*($G47/SUM($G$5:$G$43)),0))</f>
        <v>2132.62545581568</v>
      </c>
      <c r="P47" s="12" t="n">
        <f aca="false">IF($G47&lt;0,0,IFERROR((P$2*IFERROR(VLOOKUP(E47,Tabla11[],2,0),0))*($G47/SUM($G$5:$G$43)),0))</f>
        <v>10967.7880584806</v>
      </c>
      <c r="Q47" s="12" t="n">
        <f aca="false">IF($G47&lt;0,0,IFERROR((Q$2*IFERROR(VLOOKUP(E47,Tabla11[],2,0),0))*($G47/SUM($G$5:$G$43)),0))</f>
        <v>15233.038970112</v>
      </c>
      <c r="R47" s="12" t="n">
        <f aca="false">K47*$R$2</f>
        <v>153418.866666667</v>
      </c>
      <c r="S47" s="12" t="n">
        <f aca="false">+R47*IFERROR(VLOOKUP(E47,Tabla11[],4,0),0)</f>
        <v>23012.83</v>
      </c>
      <c r="T47" s="12" t="n">
        <f aca="false">IF(G47&gt;0,$T$2/12,0)</f>
        <v>25833.3333333333</v>
      </c>
      <c r="U47" s="12" t="n">
        <f aca="false">K47-SUM(L47:T47)</f>
        <v>135205.448695392</v>
      </c>
      <c r="V47" s="12" t="n">
        <f aca="false">IF($G47&lt;0,0,IFERROR((V$2*IFERROR(VLOOKUP(E47,Tabla11[],2,0),0))*($G47/SUM($G$5:$G$43)),0))</f>
        <v>27699.0979648963</v>
      </c>
      <c r="W47" s="12" t="n">
        <f aca="false">G47-G47*IFERROR(VLOOKUP(E47,Tabla11[],3,0),0)-L47-N47-O47-P47-Q47-G47*$R$2-(G47*$R$2)*IFERROR(VLOOKUP(E47,Tabla11[],4,0),0)-V47-T47</f>
        <v>12504.6679099831</v>
      </c>
      <c r="X47" s="12" t="n">
        <f aca="false">U47-V47</f>
        <v>107506.350730496</v>
      </c>
      <c r="Y47" s="12" t="n">
        <f aca="false">ROUND(X47-W47,9)</f>
        <v>95001.682820513</v>
      </c>
    </row>
    <row r="48" customFormat="false" ht="14.4" hidden="false" customHeight="false" outlineLevel="0" collapsed="false">
      <c r="A48" s="15"/>
      <c r="B48" s="15" t="s">
        <v>145</v>
      </c>
      <c r="C48" s="16" t="n">
        <v>1</v>
      </c>
      <c r="D48" s="16" t="n">
        <v>1</v>
      </c>
      <c r="E48" s="16" t="s">
        <v>85</v>
      </c>
      <c r="F48" s="16" t="s">
        <v>74</v>
      </c>
      <c r="G48" s="12" t="n">
        <f aca="false">IFERROR(VLOOKUP(CONCATENATE(E48,F48),Ventas!D:H,5,0),0)</f>
        <v>1036356.15384615</v>
      </c>
      <c r="H48" s="15" t="n">
        <f aca="false">IFERROR(VLOOKUP(A48,Modelos[],18,0),0)*G48/C48</f>
        <v>0</v>
      </c>
      <c r="I48" s="17" t="n">
        <f aca="false">SUM(G48:H48)</f>
        <v>1036356.15384615</v>
      </c>
      <c r="J48" s="15" t="n">
        <f aca="false">I48*IFERROR(VLOOKUP(E48,Tabla11[],3,0),0)</f>
        <v>362724.653846154</v>
      </c>
      <c r="K48" s="15" t="n">
        <f aca="false">I48-J48</f>
        <v>673631.5</v>
      </c>
      <c r="L48" s="15" t="n">
        <f aca="false">Sup!$A$2*D48</f>
        <v>6775.44742838542</v>
      </c>
      <c r="M48" s="15" t="n">
        <f aca="false">IFERROR(VLOOKUP(A48,Modelos[],IF(B48="EST",15,14),0),0)/C48</f>
        <v>0</v>
      </c>
      <c r="N48" s="15" t="n">
        <f aca="false">IF($G48&lt;0,0,IFERROR((N$2*IFERROR(VLOOKUP(E48,Tabla11[],2,0),0))*($G48/SUM($G$5:$G$43)),0))</f>
        <v>19262.9438139935</v>
      </c>
      <c r="O48" s="15" t="n">
        <f aca="false">IF($G48&lt;0,0,IFERROR((O$2*IFERROR(VLOOKUP(E48,Tabla11[],2,0),0))*($G48/SUM($G$5:$G$43)),0))</f>
        <v>3745.57240827652</v>
      </c>
      <c r="P48" s="15" t="n">
        <f aca="false">IF($G48&lt;0,0,IFERROR((P$2*IFERROR(VLOOKUP(E48,Tabla11[],2,0),0))*($G48/SUM($G$5:$G$43)),0))</f>
        <v>19262.9438139935</v>
      </c>
      <c r="Q48" s="15" t="n">
        <f aca="false">IF($G48&lt;0,0,IFERROR((Q$2*IFERROR(VLOOKUP(E48,Tabla11[],2,0),0))*($G48/SUM($G$5:$G$43)),0))</f>
        <v>26754.0886305465</v>
      </c>
      <c r="R48" s="15" t="n">
        <f aca="false">K48*$R$2</f>
        <v>269452.6</v>
      </c>
      <c r="S48" s="15" t="n">
        <f aca="false">+R48*IFERROR(VLOOKUP(E48,Tabla11[],4,0),0)</f>
        <v>40417.89</v>
      </c>
      <c r="T48" s="15" t="n">
        <f aca="false">IF(G48&gt;0,$T$2/12,0)</f>
        <v>25833.3333333333</v>
      </c>
      <c r="U48" s="15" t="n">
        <f aca="false">K48-SUM(L48:T48)</f>
        <v>262126.680571471</v>
      </c>
      <c r="V48" s="15" t="n">
        <f aca="false">IF($G48&lt;0,0,IFERROR((V$2*IFERROR(VLOOKUP(E48,Tabla11[],2,0),0))*($G48/SUM($G$5:$G$43)),0))</f>
        <v>48648.4754219452</v>
      </c>
      <c r="W48" s="15" t="n">
        <f aca="false">G48-G48*IFERROR(VLOOKUP(E48,Tabla11[],3,0),0)-L48-N48-O48-P48-Q48-G48*$R$2-(G48*$R$2)*IFERROR(VLOOKUP(E48,Tabla11[],4,0),0)-V48-T48</f>
        <v>46624.8643802954</v>
      </c>
      <c r="X48" s="15" t="n">
        <f aca="false">U48-V48</f>
        <v>213478.205149526</v>
      </c>
      <c r="Y48" s="15" t="n">
        <f aca="false">ROUND(X48-W48,9)</f>
        <v>166853.340769231</v>
      </c>
    </row>
    <row r="49" customFormat="false" ht="14.4" hidden="false" customHeight="false" outlineLevel="0" collapsed="false">
      <c r="A49" s="12"/>
      <c r="B49" s="12" t="s">
        <v>145</v>
      </c>
      <c r="C49" s="13" t="n">
        <v>1</v>
      </c>
      <c r="D49" s="13" t="n">
        <v>1</v>
      </c>
      <c r="E49" s="13" t="s">
        <v>85</v>
      </c>
      <c r="F49" s="13" t="s">
        <v>77</v>
      </c>
      <c r="G49" s="12" t="n">
        <f aca="false">IFERROR(VLOOKUP(CONCATENATE(E49,F49),Ventas!D:H,5,0),0)</f>
        <v>919853.076923077</v>
      </c>
      <c r="H49" s="12" t="n">
        <f aca="false">IFERROR(VLOOKUP(A49,Modelos[],18,0),0)*G49/C49</f>
        <v>0</v>
      </c>
      <c r="I49" s="14" t="n">
        <f aca="false">SUM(G49:H49)</f>
        <v>919853.076923077</v>
      </c>
      <c r="J49" s="12" t="n">
        <f aca="false">I49*IFERROR(VLOOKUP(E49,Tabla11[],3,0),0)</f>
        <v>321948.576923077</v>
      </c>
      <c r="K49" s="12" t="n">
        <f aca="false">I49-J49</f>
        <v>597904.5</v>
      </c>
      <c r="L49" s="12" t="n">
        <f aca="false">Sup!$A$2*D49</f>
        <v>6775.44742838542</v>
      </c>
      <c r="M49" s="12" t="n">
        <f aca="false">IFERROR(VLOOKUP(A49,Modelos[],IF(B49="EST",15,14),0),0)/C49</f>
        <v>0</v>
      </c>
      <c r="N49" s="12" t="n">
        <f aca="false">IF($G49&lt;0,0,IFERROR((N$2*IFERROR(VLOOKUP(E49,Tabla11[],2,0),0))*($G49/SUM($G$5:$G$43)),0))</f>
        <v>17097.4795413128</v>
      </c>
      <c r="O49" s="12" t="n">
        <f aca="false">IF($G49&lt;0,0,IFERROR((O$2*IFERROR(VLOOKUP(E49,Tabla11[],2,0),0))*($G49/SUM($G$5:$G$43)),0))</f>
        <v>3324.50991081083</v>
      </c>
      <c r="P49" s="12" t="n">
        <f aca="false">IF($G49&lt;0,0,IFERROR((P$2*IFERROR(VLOOKUP(E49,Tabla11[],2,0),0))*($G49/SUM($G$5:$G$43)),0))</f>
        <v>17097.4795413128</v>
      </c>
      <c r="Q49" s="12" t="n">
        <f aca="false">IF($G49&lt;0,0,IFERROR((Q$2*IFERROR(VLOOKUP(E49,Tabla11[],2,0),0))*($G49/SUM($G$5:$G$43)),0))</f>
        <v>23746.4993629345</v>
      </c>
      <c r="R49" s="12" t="n">
        <f aca="false">K49*$R$2</f>
        <v>239161.8</v>
      </c>
      <c r="S49" s="12" t="n">
        <f aca="false">+R49*IFERROR(VLOOKUP(E49,Tabla11[],4,0),0)</f>
        <v>35874.27</v>
      </c>
      <c r="T49" s="12" t="n">
        <f aca="false">IF(G49&gt;0,$T$2/12,0)</f>
        <v>25833.3333333333</v>
      </c>
      <c r="U49" s="12" t="n">
        <f aca="false">K49-SUM(L49:T49)</f>
        <v>228993.68088191</v>
      </c>
      <c r="V49" s="12" t="n">
        <f aca="false">IF($G49&lt;0,0,IFERROR((V$2*IFERROR(VLOOKUP(E49,Tabla11[],2,0),0))*($G49/SUM($G$5:$G$43)),0))</f>
        <v>43179.6054265877</v>
      </c>
      <c r="W49" s="12" t="n">
        <f aca="false">G49-G49*IFERROR(VLOOKUP(E49,Tabla11[],3,0),0)-L49-N49-O49-P49-Q49-G49*$R$2-(G49*$R$2)*IFERROR(VLOOKUP(E49,Tabla11[],4,0),0)-V49-T49</f>
        <v>37717.7300707073</v>
      </c>
      <c r="X49" s="12" t="n">
        <f aca="false">U49-V49</f>
        <v>185814.075455323</v>
      </c>
      <c r="Y49" s="12" t="n">
        <f aca="false">ROUND(X49-W49,9)</f>
        <v>148096.345384615</v>
      </c>
    </row>
    <row r="50" customFormat="false" ht="14.4" hidden="false" customHeight="false" outlineLevel="0" collapsed="false">
      <c r="A50" s="15"/>
      <c r="B50" s="15" t="s">
        <v>145</v>
      </c>
      <c r="C50" s="16" t="n">
        <v>1</v>
      </c>
      <c r="D50" s="16" t="n">
        <v>1</v>
      </c>
      <c r="E50" s="16" t="s">
        <v>85</v>
      </c>
      <c r="F50" s="16" t="s">
        <v>91</v>
      </c>
      <c r="G50" s="12" t="n">
        <f aca="false">IFERROR(VLOOKUP(CONCATENATE(E50,F50),Ventas!D:H,5,0),0)</f>
        <v>576196.923076923</v>
      </c>
      <c r="H50" s="15" t="n">
        <f aca="false">IFERROR(VLOOKUP(A50,Modelos[],18,0),0)*G50/C50</f>
        <v>0</v>
      </c>
      <c r="I50" s="17" t="n">
        <f aca="false">SUM(G50:H50)</f>
        <v>576196.923076923</v>
      </c>
      <c r="J50" s="15" t="n">
        <f aca="false">I50*IFERROR(VLOOKUP(E50,Tabla11[],3,0),0)</f>
        <v>201668.923076923</v>
      </c>
      <c r="K50" s="15" t="n">
        <f aca="false">I50-J50</f>
        <v>374528</v>
      </c>
      <c r="L50" s="15" t="n">
        <f aca="false">Sup!$A$2*D50</f>
        <v>6775.44742838542</v>
      </c>
      <c r="M50" s="15" t="n">
        <f aca="false">IFERROR(VLOOKUP(A50,Modelos[],IF(B50="EST",15,14),0),0)/C50</f>
        <v>0</v>
      </c>
      <c r="N50" s="15" t="n">
        <f aca="false">IF($G50&lt;0,0,IFERROR((N$2*IFERROR(VLOOKUP(E50,Tabla11[],2,0),0))*($G50/SUM($G$5:$G$43)),0))</f>
        <v>10709.8789483083</v>
      </c>
      <c r="O50" s="15" t="n">
        <f aca="false">IF($G50&lt;0,0,IFERROR((O$2*IFERROR(VLOOKUP(E50,Tabla11[],2,0),0))*($G50/SUM($G$5:$G$43)),0))</f>
        <v>2082.47646217106</v>
      </c>
      <c r="P50" s="15" t="n">
        <f aca="false">IF($G50&lt;0,0,IFERROR((P$2*IFERROR(VLOOKUP(E50,Tabla11[],2,0),0))*($G50/SUM($G$5:$G$43)),0))</f>
        <v>10709.8789483083</v>
      </c>
      <c r="Q50" s="15" t="n">
        <f aca="false">IF($G50&lt;0,0,IFERROR((Q$2*IFERROR(VLOOKUP(E50,Tabla11[],2,0),0))*($G50/SUM($G$5:$G$43)),0))</f>
        <v>14874.8318726504</v>
      </c>
      <c r="R50" s="15" t="n">
        <f aca="false">K50*$R$2</f>
        <v>149811.2</v>
      </c>
      <c r="S50" s="15" t="n">
        <f aca="false">+R50*IFERROR(VLOOKUP(E50,Tabla11[],4,0),0)</f>
        <v>22471.68</v>
      </c>
      <c r="T50" s="15" t="n">
        <f aca="false">IF(G50&gt;0,$T$2/12,0)</f>
        <v>25833.3333333333</v>
      </c>
      <c r="U50" s="15" t="n">
        <f aca="false">K50-SUM(L50:T50)</f>
        <v>131259.273006843</v>
      </c>
      <c r="V50" s="15" t="n">
        <f aca="false">IF($G50&lt;0,0,IFERROR((V$2*IFERROR(VLOOKUP(E50,Tabla11[],2,0),0))*($G50/SUM($G$5:$G$43)),0))</f>
        <v>27047.7497011798</v>
      </c>
      <c r="W50" s="15" t="n">
        <f aca="false">G50-G50*IFERROR(VLOOKUP(E50,Tabla11[],3,0),0)-L50-N50-O50-P50-Q50-G50*$R$2-(G50*$R$2)*IFERROR(VLOOKUP(E50,Tabla11[],4,0),0)-V50-T50</f>
        <v>11443.8186902787</v>
      </c>
      <c r="X50" s="15" t="n">
        <f aca="false">U50-V50</f>
        <v>104211.523305663</v>
      </c>
      <c r="Y50" s="15" t="n">
        <f aca="false">ROUND(X50-W50,9)</f>
        <v>92767.704615385</v>
      </c>
    </row>
    <row r="51" customFormat="false" ht="14.4" hidden="false" customHeight="false" outlineLevel="0" collapsed="false">
      <c r="A51" s="12"/>
      <c r="B51" s="12" t="s">
        <v>145</v>
      </c>
      <c r="C51" s="13" t="n">
        <v>1</v>
      </c>
      <c r="D51" s="13" t="n">
        <v>1</v>
      </c>
      <c r="E51" s="13" t="s">
        <v>85</v>
      </c>
      <c r="F51" s="13" t="s">
        <v>92</v>
      </c>
      <c r="G51" s="12" t="n">
        <f aca="false">IFERROR(VLOOKUP(CONCATENATE(E51,F51),Ventas!D:H,5,0),0)</f>
        <v>196009.487179487</v>
      </c>
      <c r="H51" s="12" t="n">
        <f aca="false">IFERROR(VLOOKUP(A51,Modelos[],18,0),0)*G51/C51</f>
        <v>0</v>
      </c>
      <c r="I51" s="14" t="n">
        <f aca="false">SUM(G51:H51)</f>
        <v>196009.487179487</v>
      </c>
      <c r="J51" s="12" t="n">
        <f aca="false">I51*IFERROR(VLOOKUP(E51,Tabla11[],3,0),0)</f>
        <v>68603.3205128205</v>
      </c>
      <c r="K51" s="12" t="n">
        <f aca="false">I51-J51</f>
        <v>127406.166666667</v>
      </c>
      <c r="L51" s="12" t="n">
        <f aca="false">Sup!$A$2*D51</f>
        <v>6775.44742838542</v>
      </c>
      <c r="M51" s="12" t="n">
        <f aca="false">IFERROR(VLOOKUP(A51,Modelos[],IF(B51="EST",15,14),0),0)/C51</f>
        <v>0</v>
      </c>
      <c r="N51" s="12" t="n">
        <f aca="false">IF($G51&lt;0,0,IFERROR((N$2*IFERROR(VLOOKUP(E51,Tabla11[],2,0),0))*($G51/SUM($G$5:$G$43)),0))</f>
        <v>3643.26464848555</v>
      </c>
      <c r="O51" s="12" t="n">
        <f aca="false">IF($G51&lt;0,0,IFERROR((O$2*IFERROR(VLOOKUP(E51,Tabla11[],2,0),0))*($G51/SUM($G$5:$G$43)),0))</f>
        <v>708.412570538857</v>
      </c>
      <c r="P51" s="12" t="n">
        <f aca="false">IF($G51&lt;0,0,IFERROR((P$2*IFERROR(VLOOKUP(E51,Tabla11[],2,0),0))*($G51/SUM($G$5:$G$43)),0))</f>
        <v>3643.26464848555</v>
      </c>
      <c r="Q51" s="12" t="n">
        <f aca="false">IF($G51&lt;0,0,IFERROR((Q$2*IFERROR(VLOOKUP(E51,Tabla11[],2,0),0))*($G51/SUM($G$5:$G$43)),0))</f>
        <v>5060.08978956326</v>
      </c>
      <c r="R51" s="12" t="n">
        <f aca="false">K51*$R$2</f>
        <v>50962.4666666667</v>
      </c>
      <c r="S51" s="12" t="n">
        <f aca="false">+R51*IFERROR(VLOOKUP(E51,Tabla11[],4,0),0)</f>
        <v>7644.37</v>
      </c>
      <c r="T51" s="12" t="n">
        <f aca="false">IF(G51&gt;0,$T$2/12,0)</f>
        <v>25833.3333333333</v>
      </c>
      <c r="U51" s="12" t="n">
        <f aca="false">K51-SUM(L51:T51)</f>
        <v>23135.517581208</v>
      </c>
      <c r="V51" s="12" t="n">
        <f aca="false">IF($G51&lt;0,0,IFERROR((V$2*IFERROR(VLOOKUP(E51,Tabla11[],2,0),0))*($G51/SUM($G$5:$G$43)),0))</f>
        <v>9201.04800278429</v>
      </c>
      <c r="W51" s="12" t="n">
        <f aca="false">G51-G51*IFERROR(VLOOKUP(E51,Tabla11[],3,0),0)-L51-N51-O51-P51-Q51-G51*$R$2-(G51*$R$2)*IFERROR(VLOOKUP(E51,Tabla11[],4,0),0)-V51-T51</f>
        <v>-17623.0578574737</v>
      </c>
      <c r="X51" s="12" t="n">
        <f aca="false">U51-V51</f>
        <v>13934.4695784237</v>
      </c>
      <c r="Y51" s="12" t="n">
        <f aca="false">ROUND(X51-W51,9)</f>
        <v>31557.527435897</v>
      </c>
    </row>
    <row r="52" customFormat="false" ht="14.4" hidden="false" customHeight="false" outlineLevel="0" collapsed="false">
      <c r="A52" s="15"/>
      <c r="B52" s="15" t="s">
        <v>145</v>
      </c>
      <c r="C52" s="16" t="n">
        <v>1</v>
      </c>
      <c r="D52" s="16" t="n">
        <v>1</v>
      </c>
      <c r="E52" s="16" t="s">
        <v>85</v>
      </c>
      <c r="F52" s="16" t="s">
        <v>93</v>
      </c>
      <c r="G52" s="12" t="n">
        <f aca="false">IFERROR(VLOOKUP(CONCATENATE(E52,F52),Ventas!D:H,5,0),0)</f>
        <v>916924.871794872</v>
      </c>
      <c r="H52" s="15" t="n">
        <f aca="false">IFERROR(VLOOKUP(A52,Modelos[],18,0),0)*G52/C52</f>
        <v>0</v>
      </c>
      <c r="I52" s="17" t="n">
        <f aca="false">SUM(G52:H52)</f>
        <v>916924.871794872</v>
      </c>
      <c r="J52" s="15" t="n">
        <f aca="false">I52*IFERROR(VLOOKUP(E52,Tabla11[],3,0),0)</f>
        <v>320923.705128205</v>
      </c>
      <c r="K52" s="15" t="n">
        <f aca="false">I52-J52</f>
        <v>596001.166666667</v>
      </c>
      <c r="L52" s="15" t="n">
        <f aca="false">Sup!$A$2*D52</f>
        <v>6775.44742838542</v>
      </c>
      <c r="M52" s="15" t="n">
        <f aca="false">IFERROR(VLOOKUP(A52,Modelos[],IF(B52="EST",15,14),0),0)/C52</f>
        <v>0</v>
      </c>
      <c r="N52" s="15" t="n">
        <f aca="false">IF($G52&lt;0,0,IFERROR((N$2*IFERROR(VLOOKUP(E52,Tabla11[],2,0),0))*($G52/SUM($G$5:$G$43)),0))</f>
        <v>17043.052450152</v>
      </c>
      <c r="O52" s="15" t="n">
        <f aca="false">IF($G52&lt;0,0,IFERROR((O$2*IFERROR(VLOOKUP(E52,Tabla11[],2,0),0))*($G52/SUM($G$5:$G$43)),0))</f>
        <v>3313.92686530734</v>
      </c>
      <c r="P52" s="15" t="n">
        <f aca="false">IF($G52&lt;0,0,IFERROR((P$2*IFERROR(VLOOKUP(E52,Tabla11[],2,0),0))*($G52/SUM($G$5:$G$43)),0))</f>
        <v>17043.052450152</v>
      </c>
      <c r="Q52" s="15" t="n">
        <f aca="false">IF($G52&lt;0,0,IFERROR((Q$2*IFERROR(VLOOKUP(E52,Tabla11[],2,0),0))*($G52/SUM($G$5:$G$43)),0))</f>
        <v>23670.9061807667</v>
      </c>
      <c r="R52" s="15" t="n">
        <f aca="false">K52*$R$2</f>
        <v>238400.466666667</v>
      </c>
      <c r="S52" s="15" t="n">
        <f aca="false">+R52*IFERROR(VLOOKUP(E52,Tabla11[],4,0),0)</f>
        <v>35760.07</v>
      </c>
      <c r="T52" s="15" t="n">
        <f aca="false">IF(G52&gt;0,$T$2/12,0)</f>
        <v>25833.3333333333</v>
      </c>
      <c r="U52" s="15" t="n">
        <f aca="false">K52-SUM(L52:T52)</f>
        <v>228160.911291903</v>
      </c>
      <c r="V52" s="15" t="n">
        <f aca="false">IF($G52&lt;0,0,IFERROR((V$2*IFERROR(VLOOKUP(E52,Tabla11[],2,0),0))*($G52/SUM($G$5:$G$43)),0))</f>
        <v>43042.1500598383</v>
      </c>
      <c r="W52" s="15" t="n">
        <f aca="false">G52-G52*IFERROR(VLOOKUP(E52,Tabla11[],3,0),0)-L52-N52-O52-P52-Q52-G52*$R$2-(G52*$R$2)*IFERROR(VLOOKUP(E52,Tabla11[],4,0),0)-V52-T52</f>
        <v>37493.8568730906</v>
      </c>
      <c r="X52" s="15" t="n">
        <f aca="false">U52-V52</f>
        <v>185118.761232065</v>
      </c>
      <c r="Y52" s="15" t="n">
        <f aca="false">ROUND(X52-W52,9)</f>
        <v>147624.904358974</v>
      </c>
    </row>
    <row r="53" customFormat="false" ht="14.4" hidden="false" customHeight="false" outlineLevel="0" collapsed="false">
      <c r="A53" s="12"/>
      <c r="B53" s="12" t="s">
        <v>145</v>
      </c>
      <c r="C53" s="13" t="n">
        <v>1</v>
      </c>
      <c r="D53" s="13" t="n">
        <v>1</v>
      </c>
      <c r="E53" s="13" t="s">
        <v>85</v>
      </c>
      <c r="F53" s="13" t="s">
        <v>83</v>
      </c>
      <c r="G53" s="12" t="n">
        <f aca="false">IFERROR(VLOOKUP(CONCATENATE(E53,F53),Ventas!D:H,5,0),0)</f>
        <v>1079090.76923077</v>
      </c>
      <c r="H53" s="12" t="n">
        <f aca="false">IFERROR(VLOOKUP(A53,Modelos[],18,0),0)*G53/C53</f>
        <v>0</v>
      </c>
      <c r="I53" s="14" t="n">
        <f aca="false">SUM(G53:H53)</f>
        <v>1079090.76923077</v>
      </c>
      <c r="J53" s="12" t="n">
        <f aca="false">I53*IFERROR(VLOOKUP(E53,Tabla11[],3,0),0)</f>
        <v>377681.769230769</v>
      </c>
      <c r="K53" s="12" t="n">
        <f aca="false">I53-J53</f>
        <v>701409</v>
      </c>
      <c r="L53" s="12" t="n">
        <f aca="false">Sup!$A$2*D53</f>
        <v>6775.44742838542</v>
      </c>
      <c r="M53" s="12" t="n">
        <f aca="false">IFERROR(VLOOKUP(A53,Modelos[],IF(B53="EST",15,14),0),0)/C53</f>
        <v>0</v>
      </c>
      <c r="N53" s="12" t="n">
        <f aca="false">IF($G53&lt;0,0,IFERROR((N$2*IFERROR(VLOOKUP(E53,Tabla11[],2,0),0))*($G53/SUM($G$5:$G$43)),0))</f>
        <v>20057.2600266308</v>
      </c>
      <c r="O53" s="12" t="n">
        <f aca="false">IF($G53&lt;0,0,IFERROR((O$2*IFERROR(VLOOKUP(E53,Tabla11[],2,0),0))*($G53/SUM($G$5:$G$43)),0))</f>
        <v>3900.022782956</v>
      </c>
      <c r="P53" s="12" t="n">
        <f aca="false">IF($G53&lt;0,0,IFERROR((P$2*IFERROR(VLOOKUP(E53,Tabla11[],2,0),0))*($G53/SUM($G$5:$G$43)),0))</f>
        <v>20057.2600266308</v>
      </c>
      <c r="Q53" s="12" t="n">
        <f aca="false">IF($G53&lt;0,0,IFERROR((Q$2*IFERROR(VLOOKUP(E53,Tabla11[],2,0),0))*($G53/SUM($G$5:$G$43)),0))</f>
        <v>27857.3055925428</v>
      </c>
      <c r="R53" s="12" t="n">
        <f aca="false">K53*$R$2</f>
        <v>280563.6</v>
      </c>
      <c r="S53" s="12" t="n">
        <f aca="false">+R53*IFERROR(VLOOKUP(E53,Tabla11[],4,0),0)</f>
        <v>42084.54</v>
      </c>
      <c r="T53" s="12" t="n">
        <f aca="false">IF(G53&gt;0,$T$2/12,0)</f>
        <v>25833.3333333333</v>
      </c>
      <c r="U53" s="12" t="n">
        <f aca="false">K53-SUM(L53:T53)</f>
        <v>274280.230809521</v>
      </c>
      <c r="V53" s="12" t="n">
        <f aca="false">IF($G53&lt;0,0,IFERROR((V$2*IFERROR(VLOOKUP(E53,Tabla11[],2,0),0))*($G53/SUM($G$5:$G$43)),0))</f>
        <v>50654.5173395709</v>
      </c>
      <c r="W53" s="12" t="n">
        <f aca="false">G53-G53*IFERROR(VLOOKUP(E53,Tabla11[],3,0),0)-L53-N53-O53-P53-Q53-G53*$R$2-(G53*$R$2)*IFERROR(VLOOKUP(E53,Tabla11[],4,0),0)-V53-T53</f>
        <v>49892.099623796</v>
      </c>
      <c r="X53" s="12" t="n">
        <f aca="false">U53-V53</f>
        <v>223625.71346995</v>
      </c>
      <c r="Y53" s="12" t="n">
        <f aca="false">ROUND(X53-W53,9)</f>
        <v>173733.613846154</v>
      </c>
    </row>
    <row r="54" customFormat="false" ht="14.4" hidden="false" customHeight="false" outlineLevel="0" collapsed="false">
      <c r="A54" s="15"/>
      <c r="B54" s="15" t="s">
        <v>145</v>
      </c>
      <c r="C54" s="16" t="n">
        <v>1</v>
      </c>
      <c r="D54" s="16" t="n">
        <v>1</v>
      </c>
      <c r="E54" s="16" t="s">
        <v>85</v>
      </c>
      <c r="F54" s="16" t="s">
        <v>94</v>
      </c>
      <c r="G54" s="12" t="n">
        <f aca="false">IFERROR(VLOOKUP(CONCATENATE(E54,F54),Ventas!D:H,5,0),0)</f>
        <v>550670.512820513</v>
      </c>
      <c r="H54" s="15" t="n">
        <f aca="false">IFERROR(VLOOKUP(A54,Modelos[],18,0),0)*G54/C54</f>
        <v>0</v>
      </c>
      <c r="I54" s="17" t="n">
        <f aca="false">SUM(G54:H54)</f>
        <v>550670.512820513</v>
      </c>
      <c r="J54" s="15" t="n">
        <f aca="false">I54*IFERROR(VLOOKUP(E54,Tabla11[],3,0),0)</f>
        <v>192734.679487179</v>
      </c>
      <c r="K54" s="15" t="n">
        <f aca="false">I54-J54</f>
        <v>357935.833333333</v>
      </c>
      <c r="L54" s="15" t="n">
        <f aca="false">Sup!$A$2*D54</f>
        <v>6775.44742838542</v>
      </c>
      <c r="M54" s="15" t="n">
        <f aca="false">IFERROR(VLOOKUP(A54,Modelos[],IF(B54="EST",15,14),0),0)/C54</f>
        <v>0</v>
      </c>
      <c r="N54" s="15" t="n">
        <f aca="false">IF($G54&lt;0,0,IFERROR((N$2*IFERROR(VLOOKUP(E54,Tabla11[],2,0),0))*($G54/SUM($G$5:$G$43)),0))</f>
        <v>10235.4148321671</v>
      </c>
      <c r="O54" s="15" t="n">
        <f aca="false">IF($G54&lt;0,0,IFERROR((O$2*IFERROR(VLOOKUP(E54,Tabla11[],2,0),0))*($G54/SUM($G$5:$G$43)),0))</f>
        <v>1990.21955069915</v>
      </c>
      <c r="P54" s="15" t="n">
        <f aca="false">IF($G54&lt;0,0,IFERROR((P$2*IFERROR(VLOOKUP(E54,Tabla11[],2,0),0))*($G54/SUM($G$5:$G$43)),0))</f>
        <v>10235.4148321671</v>
      </c>
      <c r="Q54" s="15" t="n">
        <f aca="false">IF($G54&lt;0,0,IFERROR((Q$2*IFERROR(VLOOKUP(E54,Tabla11[],2,0),0))*($G54/SUM($G$5:$G$43)),0))</f>
        <v>14215.8539335654</v>
      </c>
      <c r="R54" s="15" t="n">
        <f aca="false">K54*$R$2</f>
        <v>143174.333333333</v>
      </c>
      <c r="S54" s="15" t="n">
        <f aca="false">+R54*IFERROR(VLOOKUP(E54,Tabla11[],4,0),0)</f>
        <v>21476.15</v>
      </c>
      <c r="T54" s="15" t="n">
        <f aca="false">IF(G54&gt;0,$T$2/12,0)</f>
        <v>25833.3333333333</v>
      </c>
      <c r="U54" s="15" t="n">
        <f aca="false">K54-SUM(L54:T54)</f>
        <v>123999.666089683</v>
      </c>
      <c r="V54" s="15" t="n">
        <f aca="false">IF($G54&lt;0,0,IFERROR((V$2*IFERROR(VLOOKUP(E54,Tabla11[],2,0),0))*($G54/SUM($G$5:$G$43)),0))</f>
        <v>25849.4927724581</v>
      </c>
      <c r="W54" s="15" t="n">
        <f aca="false">G54-G54*IFERROR(VLOOKUP(E54,Tabla11[],3,0),0)-L54-N54-O54-P54-Q54-G54*$R$2-(G54*$R$2)*IFERROR(VLOOKUP(E54,Tabla11[],4,0),0)-V54-T54</f>
        <v>9492.22075312191</v>
      </c>
      <c r="X54" s="15" t="n">
        <f aca="false">U54-V54</f>
        <v>98150.1733172245</v>
      </c>
      <c r="Y54" s="15" t="n">
        <f aca="false">ROUND(X54-W54,9)</f>
        <v>88657.952564103</v>
      </c>
    </row>
    <row r="55" customFormat="false" ht="14.4" hidden="false" customHeight="false" outlineLevel="0" collapsed="false">
      <c r="A55" s="12"/>
      <c r="B55" s="12" t="s">
        <v>145</v>
      </c>
      <c r="C55" s="13" t="n">
        <v>1</v>
      </c>
      <c r="D55" s="13" t="n">
        <v>1</v>
      </c>
      <c r="E55" s="13" t="s">
        <v>85</v>
      </c>
      <c r="F55" s="13" t="s">
        <v>70</v>
      </c>
      <c r="G55" s="12" t="n">
        <f aca="false">IFERROR(VLOOKUP(CONCATENATE(E55,F55),Ventas!D:H,5,0),0)</f>
        <v>486099.487179487</v>
      </c>
      <c r="H55" s="12" t="n">
        <f aca="false">IFERROR(VLOOKUP(A55,Modelos[],18,0),0)*G55/C55</f>
        <v>0</v>
      </c>
      <c r="I55" s="14" t="n">
        <f aca="false">SUM(G55:H55)</f>
        <v>486099.487179487</v>
      </c>
      <c r="J55" s="12" t="n">
        <f aca="false">I55*IFERROR(VLOOKUP(E55,Tabla11[],3,0),0)</f>
        <v>170134.820512821</v>
      </c>
      <c r="K55" s="12" t="n">
        <f aca="false">I55-J55</f>
        <v>315964.666666667</v>
      </c>
      <c r="L55" s="12" t="n">
        <f aca="false">Sup!$A$2*D55</f>
        <v>6775.44742838542</v>
      </c>
      <c r="M55" s="12" t="n">
        <f aca="false">IFERROR(VLOOKUP(A55,Modelos[],IF(B55="EST",15,14),0),0)/C55</f>
        <v>0</v>
      </c>
      <c r="N55" s="12" t="n">
        <f aca="false">IF($G55&lt;0,0,IFERROR((N$2*IFERROR(VLOOKUP(E55,Tabla11[],2,0),0))*($G55/SUM($G$5:$G$43)),0))</f>
        <v>9035.22121695198</v>
      </c>
      <c r="O55" s="12" t="n">
        <f aca="false">IF($G55&lt;0,0,IFERROR((O$2*IFERROR(VLOOKUP(E55,Tabla11[],2,0),0))*($G55/SUM($G$5:$G$43)),0))</f>
        <v>1756.84856996289</v>
      </c>
      <c r="P55" s="12" t="n">
        <f aca="false">IF($G55&lt;0,0,IFERROR((P$2*IFERROR(VLOOKUP(E55,Tabla11[],2,0),0))*($G55/SUM($G$5:$G$43)),0))</f>
        <v>9035.22121695198</v>
      </c>
      <c r="Q55" s="12" t="n">
        <f aca="false">IF($G55&lt;0,0,IFERROR((Q$2*IFERROR(VLOOKUP(E55,Tabla11[],2,0),0))*($G55/SUM($G$5:$G$43)),0))</f>
        <v>12548.9183568777</v>
      </c>
      <c r="R55" s="12" t="n">
        <f aca="false">K55*$R$2</f>
        <v>126385.866666667</v>
      </c>
      <c r="S55" s="12" t="n">
        <f aca="false">+R55*IFERROR(VLOOKUP(E55,Tabla11[],4,0),0)</f>
        <v>18957.88</v>
      </c>
      <c r="T55" s="12" t="n">
        <f aca="false">IF(G55&gt;0,$T$2/12,0)</f>
        <v>25833.3333333333</v>
      </c>
      <c r="U55" s="12" t="n">
        <f aca="false">K55-SUM(L55:T55)</f>
        <v>105635.929877537</v>
      </c>
      <c r="V55" s="12" t="n">
        <f aca="false">IF($G55&lt;0,0,IFERROR((V$2*IFERROR(VLOOKUP(E55,Tabla11[],2,0),0))*($G55/SUM($G$5:$G$43)),0))</f>
        <v>22818.4093536844</v>
      </c>
      <c r="W55" s="12" t="n">
        <f aca="false">G55-G55*IFERROR(VLOOKUP(E55,Tabla11[],3,0),0)-L55-N55-O55-P55-Q55-G55*$R$2-(G55*$R$2)*IFERROR(VLOOKUP(E55,Tabla11[],4,0),0)-V55-T55</f>
        <v>4555.50308795487</v>
      </c>
      <c r="X55" s="12" t="n">
        <f aca="false">U55-V55</f>
        <v>82817.5205238523</v>
      </c>
      <c r="Y55" s="12" t="n">
        <f aca="false">ROUND(X55-W55,9)</f>
        <v>78262.017435897</v>
      </c>
    </row>
    <row r="56" customFormat="false" ht="14.4" hidden="false" customHeight="false" outlineLevel="0" collapsed="false">
      <c r="A56" s="15"/>
      <c r="B56" s="15" t="s">
        <v>145</v>
      </c>
      <c r="C56" s="16" t="n">
        <v>1</v>
      </c>
      <c r="D56" s="16" t="n">
        <v>1</v>
      </c>
      <c r="E56" s="16" t="s">
        <v>85</v>
      </c>
      <c r="F56" s="16" t="s">
        <v>36</v>
      </c>
      <c r="G56" s="12" t="n">
        <f aca="false">IFERROR(VLOOKUP(CONCATENATE(E56,F56),Ventas!D:H,5,0),0)</f>
        <v>587750.769230769</v>
      </c>
      <c r="H56" s="15" t="n">
        <f aca="false">IFERROR(VLOOKUP(A56,Modelos[],18,0),0)*G56/C56</f>
        <v>0</v>
      </c>
      <c r="I56" s="17" t="n">
        <f aca="false">SUM(G56:H56)</f>
        <v>587750.769230769</v>
      </c>
      <c r="J56" s="15" t="n">
        <f aca="false">I56*IFERROR(VLOOKUP(E56,Tabla11[],3,0),0)</f>
        <v>205712.769230769</v>
      </c>
      <c r="K56" s="15" t="n">
        <f aca="false">I56-J56</f>
        <v>382038</v>
      </c>
      <c r="L56" s="15" t="n">
        <f aca="false">Sup!$A$2*D56</f>
        <v>6775.44742838542</v>
      </c>
      <c r="M56" s="15" t="n">
        <f aca="false">IFERROR(VLOOKUP(A56,Modelos[],IF(B56="EST",15,14),0),0)/C56</f>
        <v>0</v>
      </c>
      <c r="N56" s="15" t="n">
        <f aca="false">IF($G56&lt;0,0,IFERROR((N$2*IFERROR(VLOOKUP(E56,Tabla11[],2,0),0))*($G56/SUM($G$5:$G$43)),0))</f>
        <v>10924.6324270917</v>
      </c>
      <c r="O56" s="15" t="n">
        <f aca="false">IF($G56&lt;0,0,IFERROR((O$2*IFERROR(VLOOKUP(E56,Tabla11[],2,0),0))*($G56/SUM($G$5:$G$43)),0))</f>
        <v>2124.23408304562</v>
      </c>
      <c r="P56" s="15" t="n">
        <f aca="false">IF($G56&lt;0,0,IFERROR((P$2*IFERROR(VLOOKUP(E56,Tabla11[],2,0),0))*($G56/SUM($G$5:$G$43)),0))</f>
        <v>10924.6324270917</v>
      </c>
      <c r="Q56" s="15" t="n">
        <f aca="false">IF($G56&lt;0,0,IFERROR((Q$2*IFERROR(VLOOKUP(E56,Tabla11[],2,0),0))*($G56/SUM($G$5:$G$43)),0))</f>
        <v>15173.100593183</v>
      </c>
      <c r="R56" s="15" t="n">
        <f aca="false">K56*$R$2</f>
        <v>152815.2</v>
      </c>
      <c r="S56" s="15" t="n">
        <f aca="false">+R56*IFERROR(VLOOKUP(E56,Tabla11[],4,0),0)</f>
        <v>22922.28</v>
      </c>
      <c r="T56" s="15" t="n">
        <f aca="false">IF(G56&gt;0,$T$2/12,0)</f>
        <v>25833.3333333333</v>
      </c>
      <c r="U56" s="15" t="n">
        <f aca="false">K56-SUM(L56:T56)</f>
        <v>134545.139707869</v>
      </c>
      <c r="V56" s="15" t="n">
        <f aca="false">IF($G56&lt;0,0,IFERROR((V$2*IFERROR(VLOOKUP(E56,Tabla11[],2,0),0))*($G56/SUM($G$5:$G$43)),0))</f>
        <v>27590.1086176182</v>
      </c>
      <c r="W56" s="15" t="n">
        <f aca="false">G56-G56*IFERROR(VLOOKUP(E56,Tabla11[],3,0),0)-L56-N56-O56-P56-Q56-G56*$R$2-(G56*$R$2)*IFERROR(VLOOKUP(E56,Tabla11[],4,0),0)-V56-T56</f>
        <v>12327.157244097</v>
      </c>
      <c r="X56" s="15" t="n">
        <f aca="false">U56-V56</f>
        <v>106955.031090251</v>
      </c>
      <c r="Y56" s="15" t="n">
        <f aca="false">ROUND(X56-W56,9)</f>
        <v>94627.873846154</v>
      </c>
    </row>
    <row r="57" customFormat="false" ht="14.4" hidden="false" customHeight="false" outlineLevel="0" collapsed="false">
      <c r="A57" s="12"/>
      <c r="B57" s="12" t="s">
        <v>145</v>
      </c>
      <c r="C57" s="13" t="n">
        <v>1</v>
      </c>
      <c r="D57" s="13" t="n">
        <v>1</v>
      </c>
      <c r="E57" s="13" t="s">
        <v>85</v>
      </c>
      <c r="F57" s="13" t="s">
        <v>62</v>
      </c>
      <c r="G57" s="12" t="n">
        <f aca="false">IFERROR(VLOOKUP(CONCATENATE(E57,F57),Ventas!D:H,5,0),0)</f>
        <v>734164.871794872</v>
      </c>
      <c r="H57" s="12" t="n">
        <f aca="false">IFERROR(VLOOKUP(A57,Modelos[],18,0),0)*G57/C57</f>
        <v>0</v>
      </c>
      <c r="I57" s="14" t="n">
        <f aca="false">SUM(G57:H57)</f>
        <v>734164.871794872</v>
      </c>
      <c r="J57" s="12" t="n">
        <f aca="false">I57*IFERROR(VLOOKUP(E57,Tabla11[],3,0),0)</f>
        <v>256957.705128205</v>
      </c>
      <c r="K57" s="12" t="n">
        <f aca="false">I57-J57</f>
        <v>477207.166666667</v>
      </c>
      <c r="L57" s="12" t="n">
        <f aca="false">Sup!$A$2*D57</f>
        <v>6775.44742838542</v>
      </c>
      <c r="M57" s="12" t="n">
        <f aca="false">IFERROR(VLOOKUP(A57,Modelos[],IF(B57="EST",15,14),0),0)/C57</f>
        <v>0</v>
      </c>
      <c r="N57" s="12" t="n">
        <f aca="false">IF($G57&lt;0,0,IFERROR((N$2*IFERROR(VLOOKUP(E57,Tabla11[],2,0),0))*($G57/SUM($G$5:$G$43)),0))</f>
        <v>13646.0584743068</v>
      </c>
      <c r="O57" s="12" t="n">
        <f aca="false">IF($G57&lt;0,0,IFERROR((O$2*IFERROR(VLOOKUP(E57,Tabla11[],2,0),0))*($G57/SUM($G$5:$G$43)),0))</f>
        <v>2653.400258893</v>
      </c>
      <c r="P57" s="12" t="n">
        <f aca="false">IF($G57&lt;0,0,IFERROR((P$2*IFERROR(VLOOKUP(E57,Tabla11[],2,0),0))*($G57/SUM($G$5:$G$43)),0))</f>
        <v>13646.0584743068</v>
      </c>
      <c r="Q57" s="12" t="n">
        <f aca="false">IF($G57&lt;0,0,IFERROR((Q$2*IFERROR(VLOOKUP(E57,Tabla11[],2,0),0))*($G57/SUM($G$5:$G$43)),0))</f>
        <v>18952.8589920928</v>
      </c>
      <c r="R57" s="12" t="n">
        <f aca="false">K57*$R$2</f>
        <v>190882.866666667</v>
      </c>
      <c r="S57" s="12" t="n">
        <f aca="false">+R57*IFERROR(VLOOKUP(E57,Tabla11[],4,0),0)</f>
        <v>28632.43</v>
      </c>
      <c r="T57" s="12" t="n">
        <f aca="false">IF(G57&gt;0,$T$2/12,0)</f>
        <v>25833.3333333333</v>
      </c>
      <c r="U57" s="12" t="n">
        <f aca="false">K57-SUM(L57:T57)</f>
        <v>176184.713038682</v>
      </c>
      <c r="V57" s="12" t="n">
        <f aca="false">IF($G57&lt;0,0,IFERROR((V$2*IFERROR(VLOOKUP(E57,Tabla11[],2,0),0))*($G57/SUM($G$5:$G$43)),0))</f>
        <v>34463.0575006653</v>
      </c>
      <c r="W57" s="12" t="n">
        <f aca="false">G57-G57*IFERROR(VLOOKUP(E57,Tabla11[],3,0),0)-L57-N57-O57-P57-Q57-G57*$R$2-(G57*$R$2)*IFERROR(VLOOKUP(E57,Tabla11[],4,0),0)-V57-T57</f>
        <v>23521.1111790421</v>
      </c>
      <c r="X57" s="12" t="n">
        <f aca="false">U57-V57</f>
        <v>141721.655538016</v>
      </c>
      <c r="Y57" s="12" t="n">
        <f aca="false">ROUND(X57-W57,9)</f>
        <v>118200.544358974</v>
      </c>
    </row>
    <row r="58" customFormat="false" ht="14.4" hidden="false" customHeight="false" outlineLevel="0" collapsed="false">
      <c r="A58" s="15"/>
      <c r="B58" s="15" t="s">
        <v>145</v>
      </c>
      <c r="C58" s="16" t="n">
        <v>1</v>
      </c>
      <c r="D58" s="16" t="n">
        <v>1</v>
      </c>
      <c r="E58" s="16" t="s">
        <v>85</v>
      </c>
      <c r="F58" s="16" t="s">
        <v>67</v>
      </c>
      <c r="G58" s="12" t="n">
        <f aca="false">IFERROR(VLOOKUP(CONCATENATE(E58,F58),Ventas!D:H,5,0),0)</f>
        <v>629887.948717949</v>
      </c>
      <c r="H58" s="15" t="n">
        <f aca="false">IFERROR(VLOOKUP(A58,Modelos[],18,0),0)*G58/C58</f>
        <v>0</v>
      </c>
      <c r="I58" s="17" t="n">
        <f aca="false">SUM(G58:H58)</f>
        <v>629887.948717949</v>
      </c>
      <c r="J58" s="15" t="n">
        <f aca="false">I58*IFERROR(VLOOKUP(E58,Tabla11[],3,0),0)</f>
        <v>220460.782051282</v>
      </c>
      <c r="K58" s="15" t="n">
        <f aca="false">I58-J58</f>
        <v>409427.166666667</v>
      </c>
      <c r="L58" s="15" t="n">
        <f aca="false">Sup!$A$2*D58</f>
        <v>6775.44742838542</v>
      </c>
      <c r="M58" s="15" t="n">
        <f aca="false">IFERROR(VLOOKUP(A58,Modelos[],IF(B58="EST",15,14),0),0)/C58</f>
        <v>0</v>
      </c>
      <c r="N58" s="15" t="n">
        <f aca="false">IF($G58&lt;0,0,IFERROR((N$2*IFERROR(VLOOKUP(E58,Tabla11[],2,0),0))*($G58/SUM($G$5:$G$43)),0))</f>
        <v>11707.8439880299</v>
      </c>
      <c r="O58" s="15" t="n">
        <f aca="false">IF($G58&lt;0,0,IFERROR((O$2*IFERROR(VLOOKUP(E58,Tabla11[],2,0),0))*($G58/SUM($G$5:$G$43)),0))</f>
        <v>2276.5252198947</v>
      </c>
      <c r="P58" s="15" t="n">
        <f aca="false">IF($G58&lt;0,0,IFERROR((P$2*IFERROR(VLOOKUP(E58,Tabla11[],2,0),0))*($G58/SUM($G$5:$G$43)),0))</f>
        <v>11707.8439880299</v>
      </c>
      <c r="Q58" s="15" t="n">
        <f aca="false">IF($G58&lt;0,0,IFERROR((Q$2*IFERROR(VLOOKUP(E58,Tabla11[],2,0),0))*($G58/SUM($G$5:$G$43)),0))</f>
        <v>16260.8944278193</v>
      </c>
      <c r="R58" s="15" t="n">
        <f aca="false">K58*$R$2</f>
        <v>163770.866666667</v>
      </c>
      <c r="S58" s="15" t="n">
        <f aca="false">+R58*IFERROR(VLOOKUP(E58,Tabla11[],4,0),0)</f>
        <v>24565.63</v>
      </c>
      <c r="T58" s="15" t="n">
        <f aca="false">IF(G58&gt;0,$T$2/12,0)</f>
        <v>25833.3333333333</v>
      </c>
      <c r="U58" s="15" t="n">
        <f aca="false">K58-SUM(L58:T58)</f>
        <v>146528.781614507</v>
      </c>
      <c r="V58" s="15" t="n">
        <f aca="false">IF($G58&lt;0,0,IFERROR((V$2*IFERROR(VLOOKUP(E58,Tabla11[],2,0),0))*($G58/SUM($G$5:$G$43)),0))</f>
        <v>29568.1057887881</v>
      </c>
      <c r="W58" s="15" t="n">
        <f aca="false">G58-G58*IFERROR(VLOOKUP(E58,Tabla11[],3,0),0)-L58-N58-O58-P58-Q58-G58*$R$2-(G58*$R$2)*IFERROR(VLOOKUP(E58,Tabla11[],4,0),0)-V58-T58</f>
        <v>15548.7160821297</v>
      </c>
      <c r="X58" s="15" t="n">
        <f aca="false">U58-V58</f>
        <v>116960.675825719</v>
      </c>
      <c r="Y58" s="15" t="n">
        <f aca="false">ROUND(X58-W58,9)</f>
        <v>101411.95974359</v>
      </c>
    </row>
    <row r="59" customFormat="false" ht="14.4" hidden="false" customHeight="false" outlineLevel="0" collapsed="false">
      <c r="A59" s="12"/>
      <c r="B59" s="12" t="s">
        <v>145</v>
      </c>
      <c r="C59" s="13" t="n">
        <v>1</v>
      </c>
      <c r="D59" s="13" t="n">
        <v>1</v>
      </c>
      <c r="E59" s="13" t="s">
        <v>85</v>
      </c>
      <c r="F59" s="13" t="s">
        <v>61</v>
      </c>
      <c r="G59" s="12" t="n">
        <f aca="false">IFERROR(VLOOKUP(CONCATENATE(E59,F59),Ventas!D:H,5,0),0)</f>
        <v>484760.512820513</v>
      </c>
      <c r="H59" s="12" t="n">
        <f aca="false">IFERROR(VLOOKUP(A59,Modelos[],18,0),0)*G59/C59</f>
        <v>0</v>
      </c>
      <c r="I59" s="14" t="n">
        <f aca="false">SUM(G59:H59)</f>
        <v>484760.512820513</v>
      </c>
      <c r="J59" s="12" t="n">
        <f aca="false">I59*IFERROR(VLOOKUP(E59,Tabla11[],3,0),0)</f>
        <v>169666.17948718</v>
      </c>
      <c r="K59" s="12" t="n">
        <f aca="false">I59-J59</f>
        <v>315094.333333333</v>
      </c>
      <c r="L59" s="12" t="n">
        <f aca="false">Sup!$A$2*D59</f>
        <v>6775.44742838542</v>
      </c>
      <c r="M59" s="12" t="n">
        <f aca="false">IFERROR(VLOOKUP(A59,Modelos[],IF(B59="EST",15,14),0),0)/C59</f>
        <v>0</v>
      </c>
      <c r="N59" s="12" t="n">
        <f aca="false">IF($G59&lt;0,0,IFERROR((N$2*IFERROR(VLOOKUP(E59,Tabla11[],2,0),0))*($G59/SUM($G$5:$G$43)),0))</f>
        <v>9010.33345249998</v>
      </c>
      <c r="O59" s="12" t="n">
        <f aca="false">IF($G59&lt;0,0,IFERROR((O$2*IFERROR(VLOOKUP(E59,Tabla11[],2,0),0))*($G59/SUM($G$5:$G$43)),0))</f>
        <v>1752.00928243055</v>
      </c>
      <c r="P59" s="12" t="n">
        <f aca="false">IF($G59&lt;0,0,IFERROR((P$2*IFERROR(VLOOKUP(E59,Tabla11[],2,0),0))*($G59/SUM($G$5:$G$43)),0))</f>
        <v>9010.33345249998</v>
      </c>
      <c r="Q59" s="12" t="n">
        <f aca="false">IF($G59&lt;0,0,IFERROR((Q$2*IFERROR(VLOOKUP(E59,Tabla11[],2,0),0))*($G59/SUM($G$5:$G$43)),0))</f>
        <v>12514.3520173611</v>
      </c>
      <c r="R59" s="12" t="n">
        <f aca="false">K59*$R$2</f>
        <v>126037.733333333</v>
      </c>
      <c r="S59" s="12" t="n">
        <f aca="false">+R59*IFERROR(VLOOKUP(E59,Tabla11[],4,0),0)</f>
        <v>18905.66</v>
      </c>
      <c r="T59" s="12" t="n">
        <f aca="false">IF(G59&gt;0,$T$2/12,0)</f>
        <v>25833.3333333333</v>
      </c>
      <c r="U59" s="12" t="n">
        <f aca="false">K59-SUM(L59:T59)</f>
        <v>105255.13103349</v>
      </c>
      <c r="V59" s="12" t="n">
        <f aca="false">IF($G59&lt;0,0,IFERROR((V$2*IFERROR(VLOOKUP(E59,Tabla11[],2,0),0))*($G59/SUM($G$5:$G$43)),0))</f>
        <v>22755.555419782</v>
      </c>
      <c r="W59" s="12" t="n">
        <f aca="false">G59-G59*IFERROR(VLOOKUP(E59,Tabla11[],3,0),0)-L59-N59-O59-P59-Q59-G59*$R$2-(G59*$R$2)*IFERROR(VLOOKUP(E59,Tabla11[],4,0),0)-V59-T59</f>
        <v>4453.13304960504</v>
      </c>
      <c r="X59" s="12" t="n">
        <f aca="false">U59-V59</f>
        <v>82499.5756137077</v>
      </c>
      <c r="Y59" s="12" t="n">
        <f aca="false">ROUND(X59-W59,9)</f>
        <v>78046.442564103</v>
      </c>
    </row>
    <row r="60" customFormat="false" ht="14.4" hidden="false" customHeight="false" outlineLevel="0" collapsed="false">
      <c r="A60" s="15"/>
      <c r="B60" s="15" t="s">
        <v>145</v>
      </c>
      <c r="C60" s="16" t="n">
        <v>1</v>
      </c>
      <c r="D60" s="16" t="n">
        <v>1</v>
      </c>
      <c r="E60" s="16" t="s">
        <v>85</v>
      </c>
      <c r="F60" s="16" t="s">
        <v>59</v>
      </c>
      <c r="G60" s="12" t="n">
        <f aca="false">IFERROR(VLOOKUP(CONCATENATE(E60,F60),Ventas!D:H,5,0),0)</f>
        <v>440622.051282051</v>
      </c>
      <c r="H60" s="15" t="n">
        <f aca="false">IFERROR(VLOOKUP(A60,Modelos[],18,0),0)*G60/C60</f>
        <v>0</v>
      </c>
      <c r="I60" s="17" t="n">
        <f aca="false">SUM(G60:H60)</f>
        <v>440622.051282051</v>
      </c>
      <c r="J60" s="15" t="n">
        <f aca="false">I60*IFERROR(VLOOKUP(E60,Tabla11[],3,0),0)</f>
        <v>154217.717948718</v>
      </c>
      <c r="K60" s="15" t="n">
        <f aca="false">I60-J60</f>
        <v>286404.333333333</v>
      </c>
      <c r="L60" s="15" t="n">
        <f aca="false">Sup!$A$2*D60</f>
        <v>6775.44742838542</v>
      </c>
      <c r="M60" s="15" t="n">
        <f aca="false">IFERROR(VLOOKUP(A60,Modelos[],IF(B60="EST",15,14),0),0)/C60</f>
        <v>0</v>
      </c>
      <c r="N60" s="15" t="n">
        <f aca="false">IF($G60&lt;0,0,IFERROR((N$2*IFERROR(VLOOKUP(E60,Tabla11[],2,0),0))*($G60/SUM($G$5:$G$43)),0))</f>
        <v>8189.92369134203</v>
      </c>
      <c r="O60" s="15" t="n">
        <f aca="false">IF($G60&lt;0,0,IFERROR((O$2*IFERROR(VLOOKUP(E60,Tabla11[],2,0),0))*($G60/SUM($G$5:$G$43)),0))</f>
        <v>1592.48516220539</v>
      </c>
      <c r="P60" s="15" t="n">
        <f aca="false">IF($G60&lt;0,0,IFERROR((P$2*IFERROR(VLOOKUP(E60,Tabla11[],2,0),0))*($G60/SUM($G$5:$G$43)),0))</f>
        <v>8189.92369134203</v>
      </c>
      <c r="Q60" s="15" t="n">
        <f aca="false">IF($G60&lt;0,0,IFERROR((Q$2*IFERROR(VLOOKUP(E60,Tabla11[],2,0),0))*($G60/SUM($G$5:$G$43)),0))</f>
        <v>11374.8940157528</v>
      </c>
      <c r="R60" s="15" t="n">
        <f aca="false">K60*$R$2</f>
        <v>114561.733333333</v>
      </c>
      <c r="S60" s="15" t="n">
        <f aca="false">+R60*IFERROR(VLOOKUP(E60,Tabla11[],4,0),0)</f>
        <v>17184.26</v>
      </c>
      <c r="T60" s="15" t="n">
        <f aca="false">IF(G60&gt;0,$T$2/12,0)</f>
        <v>25833.3333333333</v>
      </c>
      <c r="U60" s="15" t="n">
        <f aca="false">K60-SUM(L60:T60)</f>
        <v>92702.332677639</v>
      </c>
      <c r="V60" s="15" t="n">
        <f aca="false">IF($G60&lt;0,0,IFERROR((V$2*IFERROR(VLOOKUP(E60,Tabla11[],2,0),0))*($G60/SUM($G$5:$G$43)),0))</f>
        <v>20683.6143661709</v>
      </c>
      <c r="W60" s="15" t="n">
        <f aca="false">G60-G60*IFERROR(VLOOKUP(E60,Tabla11[],3,0),0)-L60-N60-O60-P60-Q60-G60*$R$2-(G60*$R$2)*IFERROR(VLOOKUP(E60,Tabla11[],4,0),0)-V60-T60</f>
        <v>1078.56805505781</v>
      </c>
      <c r="X60" s="15" t="n">
        <f aca="false">U60-V60</f>
        <v>72018.7183114681</v>
      </c>
      <c r="Y60" s="15" t="n">
        <f aca="false">ROUND(X60-W60,9)</f>
        <v>70940.15025641</v>
      </c>
    </row>
    <row r="61" customFormat="false" ht="14.4" hidden="false" customHeight="false" outlineLevel="0" collapsed="false">
      <c r="A61" s="12"/>
      <c r="B61" s="12" t="s">
        <v>145</v>
      </c>
      <c r="C61" s="13" t="n">
        <v>1</v>
      </c>
      <c r="D61" s="13" t="n">
        <v>1</v>
      </c>
      <c r="E61" s="13" t="s">
        <v>85</v>
      </c>
      <c r="F61" s="13" t="s">
        <v>54</v>
      </c>
      <c r="G61" s="12" t="n">
        <f aca="false">IFERROR(VLOOKUP(CONCATENATE(E61,F61),Ventas!D:H,5,0),0)</f>
        <v>422450.769230769</v>
      </c>
      <c r="H61" s="12" t="n">
        <f aca="false">IFERROR(VLOOKUP(A61,Modelos[],18,0),0)*G61/C61</f>
        <v>0</v>
      </c>
      <c r="I61" s="14" t="n">
        <f aca="false">SUM(G61:H61)</f>
        <v>422450.769230769</v>
      </c>
      <c r="J61" s="12" t="n">
        <f aca="false">I61*IFERROR(VLOOKUP(E61,Tabla11[],3,0),0)</f>
        <v>147857.769230769</v>
      </c>
      <c r="K61" s="12" t="n">
        <f aca="false">I61-J61</f>
        <v>274593</v>
      </c>
      <c r="L61" s="12" t="n">
        <f aca="false">Sup!$A$2*D61</f>
        <v>6775.44742838542</v>
      </c>
      <c r="M61" s="12" t="n">
        <f aca="false">IFERROR(VLOOKUP(A61,Modelos[],IF(B61="EST",15,14),0),0)/C61</f>
        <v>0</v>
      </c>
      <c r="N61" s="12" t="n">
        <f aca="false">IF($G61&lt;0,0,IFERROR((N$2*IFERROR(VLOOKUP(E61,Tabla11[],2,0),0))*($G61/SUM($G$5:$G$43)),0))</f>
        <v>7852.17070566908</v>
      </c>
      <c r="O61" s="12" t="n">
        <f aca="false">IF($G61&lt;0,0,IFERROR((O$2*IFERROR(VLOOKUP(E61,Tabla11[],2,0),0))*($G61/SUM($G$5:$G$43)),0))</f>
        <v>1526.81097054677</v>
      </c>
      <c r="P61" s="12" t="n">
        <f aca="false">IF($G61&lt;0,0,IFERROR((P$2*IFERROR(VLOOKUP(E61,Tabla11[],2,0),0))*($G61/SUM($G$5:$G$43)),0))</f>
        <v>7852.17070566908</v>
      </c>
      <c r="Q61" s="12" t="n">
        <f aca="false">IF($G61&lt;0,0,IFERROR((Q$2*IFERROR(VLOOKUP(E61,Tabla11[],2,0),0))*($G61/SUM($G$5:$G$43)),0))</f>
        <v>10905.7926467626</v>
      </c>
      <c r="R61" s="12" t="n">
        <f aca="false">K61*$R$2</f>
        <v>109837.2</v>
      </c>
      <c r="S61" s="12" t="n">
        <f aca="false">+R61*IFERROR(VLOOKUP(E61,Tabla11[],4,0),0)</f>
        <v>16475.58</v>
      </c>
      <c r="T61" s="12" t="n">
        <f aca="false">IF(G61&gt;0,$T$2/12,0)</f>
        <v>25833.3333333333</v>
      </c>
      <c r="U61" s="12" t="n">
        <f aca="false">K61-SUM(L61:T61)</f>
        <v>87534.4942096338</v>
      </c>
      <c r="V61" s="12" t="n">
        <f aca="false">IF($G61&lt;0,0,IFERROR((V$2*IFERROR(VLOOKUP(E61,Tabla11[],2,0),0))*($G61/SUM($G$5:$G$43)),0))</f>
        <v>19830.6207645251</v>
      </c>
      <c r="W61" s="12" t="n">
        <f aca="false">G61-G61*IFERROR(VLOOKUP(E61,Tabla11[],3,0),0)-L61-N61-O61-P61-Q61-G61*$R$2-(G61*$R$2)*IFERROR(VLOOKUP(E61,Tabla11[],4,0),0)-V61-T61</f>
        <v>-310.700401045196</v>
      </c>
      <c r="X61" s="12" t="n">
        <f aca="false">U61-V61</f>
        <v>67703.8734451087</v>
      </c>
      <c r="Y61" s="12" t="n">
        <f aca="false">ROUND(X61-W61,9)</f>
        <v>68014.573846154</v>
      </c>
    </row>
    <row r="62" customFormat="false" ht="14.4" hidden="false" customHeight="false" outlineLevel="0" collapsed="false">
      <c r="A62" s="15"/>
      <c r="B62" s="15" t="s">
        <v>145</v>
      </c>
      <c r="C62" s="16" t="n">
        <v>1</v>
      </c>
      <c r="D62" s="16" t="n">
        <v>1</v>
      </c>
      <c r="E62" s="16" t="s">
        <v>85</v>
      </c>
      <c r="F62" s="16" t="s">
        <v>80</v>
      </c>
      <c r="G62" s="12" t="n">
        <f aca="false">IFERROR(VLOOKUP(CONCATENATE(E62,F62),Ventas!D:H,5,0),0)</f>
        <v>589583.846153846</v>
      </c>
      <c r="H62" s="15" t="n">
        <f aca="false">IFERROR(VLOOKUP(A62,Modelos[],18,0),0)*G62/C62</f>
        <v>0</v>
      </c>
      <c r="I62" s="17" t="n">
        <f aca="false">SUM(G62:H62)</f>
        <v>589583.846153846</v>
      </c>
      <c r="J62" s="15" t="n">
        <f aca="false">I62*IFERROR(VLOOKUP(E62,Tabla11[],3,0),0)</f>
        <v>206354.346153846</v>
      </c>
      <c r="K62" s="15" t="n">
        <f aca="false">I62-J62</f>
        <v>383229.5</v>
      </c>
      <c r="L62" s="15" t="n">
        <f aca="false">Sup!$A$2*D62</f>
        <v>6775.44742838542</v>
      </c>
      <c r="M62" s="15" t="n">
        <f aca="false">IFERROR(VLOOKUP(A62,Modelos[],IF(B62="EST",15,14),0),0)/C62</f>
        <v>0</v>
      </c>
      <c r="N62" s="15" t="n">
        <f aca="false">IF($G62&lt;0,0,IFERROR((N$2*IFERROR(VLOOKUP(E62,Tabla11[],2,0),0))*($G62/SUM($G$5:$G$43)),0))</f>
        <v>10958.704167434</v>
      </c>
      <c r="O62" s="15" t="n">
        <f aca="false">IF($G62&lt;0,0,IFERROR((O$2*IFERROR(VLOOKUP(E62,Tabla11[],2,0),0))*($G62/SUM($G$5:$G$43)),0))</f>
        <v>2130.85914366772</v>
      </c>
      <c r="P62" s="15" t="n">
        <f aca="false">IF($G62&lt;0,0,IFERROR((P$2*IFERROR(VLOOKUP(E62,Tabla11[],2,0),0))*($G62/SUM($G$5:$G$43)),0))</f>
        <v>10958.704167434</v>
      </c>
      <c r="Q62" s="15" t="n">
        <f aca="false">IF($G62&lt;0,0,IFERROR((Q$2*IFERROR(VLOOKUP(E62,Tabla11[],2,0),0))*($G62/SUM($G$5:$G$43)),0))</f>
        <v>15220.4224547695</v>
      </c>
      <c r="R62" s="15" t="n">
        <f aca="false">K62*$R$2</f>
        <v>153291.8</v>
      </c>
      <c r="S62" s="15" t="n">
        <f aca="false">+R62*IFERROR(VLOOKUP(E62,Tabla11[],4,0),0)</f>
        <v>22993.77</v>
      </c>
      <c r="T62" s="15" t="n">
        <f aca="false">IF(G62&gt;0,$T$2/12,0)</f>
        <v>25833.3333333333</v>
      </c>
      <c r="U62" s="15" t="n">
        <f aca="false">K62-SUM(L62:T62)</f>
        <v>135066.459304976</v>
      </c>
      <c r="V62" s="15" t="n">
        <f aca="false">IF($G62&lt;0,0,IFERROR((V$2*IFERROR(VLOOKUP(E62,Tabla11[],2,0),0))*($G62/SUM($G$5:$G$43)),0))</f>
        <v>27676.1566401131</v>
      </c>
      <c r="W62" s="15" t="n">
        <f aca="false">G62-G62*IFERROR(VLOOKUP(E62,Tabla11[],3,0),0)-L62-N62-O62-P62-Q62-G62*$R$2-(G62*$R$2)*IFERROR(VLOOKUP(E62,Tabla11[],4,0),0)-V62-T62</f>
        <v>12467.3034340937</v>
      </c>
      <c r="X62" s="15" t="n">
        <f aca="false">U62-V62</f>
        <v>107390.302664863</v>
      </c>
      <c r="Y62" s="15" t="n">
        <f aca="false">ROUND(X62-W62,9)</f>
        <v>94922.999230769</v>
      </c>
    </row>
    <row r="63" customFormat="false" ht="14.4" hidden="false" customHeight="false" outlineLevel="0" collapsed="false">
      <c r="A63" s="12"/>
      <c r="B63" s="12" t="s">
        <v>145</v>
      </c>
      <c r="C63" s="13" t="n">
        <v>1</v>
      </c>
      <c r="D63" s="13" t="n">
        <v>1</v>
      </c>
      <c r="E63" s="13" t="s">
        <v>85</v>
      </c>
      <c r="F63" s="13" t="s">
        <v>95</v>
      </c>
      <c r="G63" s="12" t="n">
        <f aca="false">IFERROR(VLOOKUP(CONCATENATE(E63,F63),Ventas!D:H,5,0),0)</f>
        <v>247940.769230769</v>
      </c>
      <c r="H63" s="12" t="n">
        <f aca="false">IFERROR(VLOOKUP(A63,Modelos[],18,0),0)*G63/C63</f>
        <v>0</v>
      </c>
      <c r="I63" s="14" t="n">
        <f aca="false">SUM(G63:H63)</f>
        <v>247940.769230769</v>
      </c>
      <c r="J63" s="12" t="n">
        <f aca="false">I63*IFERROR(VLOOKUP(E63,Tabla11[],3,0),0)</f>
        <v>86779.2692307692</v>
      </c>
      <c r="K63" s="12" t="n">
        <f aca="false">I63-J63</f>
        <v>161161.5</v>
      </c>
      <c r="L63" s="12" t="n">
        <f aca="false">Sup!$A$2*D63</f>
        <v>6775.44742838542</v>
      </c>
      <c r="M63" s="12" t="n">
        <f aca="false">IFERROR(VLOOKUP(A63,Modelos[],IF(B63="EST",15,14),0),0)/C63</f>
        <v>0</v>
      </c>
      <c r="N63" s="12" t="n">
        <f aca="false">IF($G63&lt;0,0,IFERROR((N$2*IFERROR(VLOOKUP(E63,Tabla11[],2,0),0))*($G63/SUM($G$5:$G$43)),0))</f>
        <v>4608.52100811633</v>
      </c>
      <c r="O63" s="12" t="n">
        <f aca="false">IF($G63&lt;0,0,IFERROR((O$2*IFERROR(VLOOKUP(E63,Tabla11[],2,0),0))*($G63/SUM($G$5:$G$43)),0))</f>
        <v>896.101307133731</v>
      </c>
      <c r="P63" s="12" t="n">
        <f aca="false">IF($G63&lt;0,0,IFERROR((P$2*IFERROR(VLOOKUP(E63,Tabla11[],2,0),0))*($G63/SUM($G$5:$G$43)),0))</f>
        <v>4608.52100811633</v>
      </c>
      <c r="Q63" s="12" t="n">
        <f aca="false">IF($G63&lt;0,0,IFERROR((Q$2*IFERROR(VLOOKUP(E63,Tabla11[],2,0),0))*($G63/SUM($G$5:$G$43)),0))</f>
        <v>6400.72362238379</v>
      </c>
      <c r="R63" s="12" t="n">
        <f aca="false">K63*$R$2</f>
        <v>64464.6</v>
      </c>
      <c r="S63" s="12" t="n">
        <f aca="false">+R63*IFERROR(VLOOKUP(E63,Tabla11[],4,0),0)</f>
        <v>9669.69</v>
      </c>
      <c r="T63" s="12" t="n">
        <f aca="false">IF(G63&gt;0,$T$2/12,0)</f>
        <v>25833.3333333333</v>
      </c>
      <c r="U63" s="12" t="n">
        <f aca="false">K63-SUM(L63:T63)</f>
        <v>37904.5622925311</v>
      </c>
      <c r="V63" s="12" t="n">
        <f aca="false">IF($G63&lt;0,0,IFERROR((V$2*IFERROR(VLOOKUP(E63,Tabla11[],2,0),0))*($G63/SUM($G$5:$G$43)),0))</f>
        <v>11638.7984702524</v>
      </c>
      <c r="W63" s="12" t="n">
        <f aca="false">G63-G63*IFERROR(VLOOKUP(E63,Tabla11[],3,0),0)-L63-N63-O63-P63-Q63-G63*$R$2-(G63*$R$2)*IFERROR(VLOOKUP(E63,Tabla11[],4,0),0)-V63-T63</f>
        <v>-13652.7000238752</v>
      </c>
      <c r="X63" s="12" t="n">
        <f aca="false">U63-V63</f>
        <v>26265.7638222787</v>
      </c>
      <c r="Y63" s="12" t="n">
        <f aca="false">ROUND(X63-W63,9)</f>
        <v>39918.463846154</v>
      </c>
    </row>
    <row r="64" customFormat="false" ht="14.4" hidden="false" customHeight="false" outlineLevel="0" collapsed="false">
      <c r="A64" s="15"/>
      <c r="B64" s="15" t="s">
        <v>145</v>
      </c>
      <c r="C64" s="16" t="n">
        <v>1</v>
      </c>
      <c r="D64" s="16" t="n">
        <v>1</v>
      </c>
      <c r="E64" s="16" t="s">
        <v>85</v>
      </c>
      <c r="F64" s="16" t="s">
        <v>57</v>
      </c>
      <c r="G64" s="12" t="n">
        <f aca="false">IFERROR(VLOOKUP(CONCATENATE(E64,F64),Ventas!D:H,5,0),0)</f>
        <v>519437.17948718</v>
      </c>
      <c r="H64" s="15" t="n">
        <f aca="false">IFERROR(VLOOKUP(A64,Modelos[],18,0),0)*G64/C64</f>
        <v>0</v>
      </c>
      <c r="I64" s="17" t="n">
        <f aca="false">SUM(G64:H64)</f>
        <v>519437.17948718</v>
      </c>
      <c r="J64" s="15" t="n">
        <f aca="false">I64*IFERROR(VLOOKUP(E64,Tabla11[],3,0),0)</f>
        <v>181803.012820513</v>
      </c>
      <c r="K64" s="15" t="n">
        <f aca="false">I64-J64</f>
        <v>337634.166666667</v>
      </c>
      <c r="L64" s="15" t="n">
        <f aca="false">Sup!$A$2*D64</f>
        <v>6775.44742838542</v>
      </c>
      <c r="M64" s="15" t="n">
        <f aca="false">IFERROR(VLOOKUP(A64,Modelos[],IF(B64="EST",15,14),0),0)/C64</f>
        <v>0</v>
      </c>
      <c r="N64" s="15" t="n">
        <f aca="false">IF($G64&lt;0,0,IFERROR((N$2*IFERROR(VLOOKUP(E64,Tabla11[],2,0),0))*($G64/SUM($G$5:$G$43)),0))</f>
        <v>9654.87507960141</v>
      </c>
      <c r="O64" s="15" t="n">
        <f aca="false">IF($G64&lt;0,0,IFERROR((O$2*IFERROR(VLOOKUP(E64,Tabla11[],2,0),0))*($G64/SUM($G$5:$G$43)),0))</f>
        <v>1877.33682103361</v>
      </c>
      <c r="P64" s="15" t="n">
        <f aca="false">IF($G64&lt;0,0,IFERROR((P$2*IFERROR(VLOOKUP(E64,Tabla11[],2,0),0))*($G64/SUM($G$5:$G$43)),0))</f>
        <v>9654.87507960141</v>
      </c>
      <c r="Q64" s="15" t="n">
        <f aca="false">IF($G64&lt;0,0,IFERROR((Q$2*IFERROR(VLOOKUP(E64,Tabla11[],2,0),0))*($G64/SUM($G$5:$G$43)),0))</f>
        <v>13409.5487216686</v>
      </c>
      <c r="R64" s="15" t="n">
        <f aca="false">K64*$R$2</f>
        <v>135053.666666667</v>
      </c>
      <c r="S64" s="15" t="n">
        <f aca="false">+R64*IFERROR(VLOOKUP(E64,Tabla11[],4,0),0)</f>
        <v>20258.05</v>
      </c>
      <c r="T64" s="15" t="n">
        <f aca="false">IF(G64&gt;0,$T$2/12,0)</f>
        <v>25833.3333333333</v>
      </c>
      <c r="U64" s="15" t="n">
        <f aca="false">K64-SUM(L64:T64)</f>
        <v>115117.033536376</v>
      </c>
      <c r="V64" s="15" t="n">
        <f aca="false">IF($G64&lt;0,0,IFERROR((V$2*IFERROR(VLOOKUP(E64,Tabla11[],2,0),0))*($G64/SUM($G$5:$G$43)),0))</f>
        <v>24383.3423150376</v>
      </c>
      <c r="W64" s="15" t="n">
        <f aca="false">G64-G64*IFERROR(VLOOKUP(E64,Tabla11[],3,0),0)-L64-N64-O64-P64-Q64-G64*$R$2-(G64*$R$2)*IFERROR(VLOOKUP(E64,Tabla11[],4,0),0)-V64-T64</f>
        <v>7104.30532390265</v>
      </c>
      <c r="X64" s="15" t="n">
        <f aca="false">U64-V64</f>
        <v>90733.6912213385</v>
      </c>
      <c r="Y64" s="15" t="n">
        <f aca="false">ROUND(X64-W64,9)</f>
        <v>83629.385897436</v>
      </c>
    </row>
    <row r="65" customFormat="false" ht="14.4" hidden="false" customHeight="false" outlineLevel="0" collapsed="false">
      <c r="A65" s="12"/>
      <c r="B65" s="12" t="s">
        <v>145</v>
      </c>
      <c r="C65" s="13" t="n">
        <v>1</v>
      </c>
      <c r="D65" s="13" t="n">
        <v>1</v>
      </c>
      <c r="E65" s="13" t="s">
        <v>85</v>
      </c>
      <c r="F65" s="13" t="s">
        <v>73</v>
      </c>
      <c r="G65" s="12" t="n">
        <f aca="false">IFERROR(VLOOKUP(CONCATENATE(E65,F65),Ventas!D:H,5,0),0)</f>
        <v>471880.769230769</v>
      </c>
      <c r="H65" s="12" t="n">
        <f aca="false">IFERROR(VLOOKUP(A65,Modelos[],18,0),0)*G65/C65</f>
        <v>0</v>
      </c>
      <c r="I65" s="14" t="n">
        <f aca="false">SUM(G65:H65)</f>
        <v>471880.769230769</v>
      </c>
      <c r="J65" s="12" t="n">
        <f aca="false">I65*IFERROR(VLOOKUP(E65,Tabla11[],3,0),0)</f>
        <v>165158.269230769</v>
      </c>
      <c r="K65" s="12" t="n">
        <f aca="false">I65-J65</f>
        <v>306722.5</v>
      </c>
      <c r="L65" s="12" t="n">
        <f aca="false">Sup!$A$2*D65</f>
        <v>6775.44742838542</v>
      </c>
      <c r="M65" s="12" t="n">
        <f aca="false">IFERROR(VLOOKUP(A65,Modelos[],IF(B65="EST",15,14),0),0)/C65</f>
        <v>0</v>
      </c>
      <c r="N65" s="12" t="n">
        <f aca="false">IF($G65&lt;0,0,IFERROR((N$2*IFERROR(VLOOKUP(E65,Tabla11[],2,0),0))*($G65/SUM($G$5:$G$43)),0))</f>
        <v>8770.93527245627</v>
      </c>
      <c r="O65" s="12" t="n">
        <f aca="false">IF($G65&lt;0,0,IFERROR((O$2*IFERROR(VLOOKUP(E65,Tabla11[],2,0),0))*($G65/SUM($G$5:$G$43)),0))</f>
        <v>1705.45963631094</v>
      </c>
      <c r="P65" s="12" t="n">
        <f aca="false">IF($G65&lt;0,0,IFERROR((P$2*IFERROR(VLOOKUP(E65,Tabla11[],2,0),0))*($G65/SUM($G$5:$G$43)),0))</f>
        <v>8770.93527245627</v>
      </c>
      <c r="Q65" s="12" t="n">
        <f aca="false">IF($G65&lt;0,0,IFERROR((Q$2*IFERROR(VLOOKUP(E65,Tabla11[],2,0),0))*($G65/SUM($G$5:$G$43)),0))</f>
        <v>12181.8545450781</v>
      </c>
      <c r="R65" s="12" t="n">
        <f aca="false">K65*$R$2</f>
        <v>122689</v>
      </c>
      <c r="S65" s="12" t="n">
        <f aca="false">+R65*IFERROR(VLOOKUP(E65,Tabla11[],4,0),0)</f>
        <v>18403.35</v>
      </c>
      <c r="T65" s="12" t="n">
        <f aca="false">IF(G65&gt;0,$T$2/12,0)</f>
        <v>25833.3333333333</v>
      </c>
      <c r="U65" s="12" t="n">
        <f aca="false">K65-SUM(L65:T65)</f>
        <v>101592.18451198</v>
      </c>
      <c r="V65" s="12" t="n">
        <f aca="false">IF($G65&lt;0,0,IFERROR((V$2*IFERROR(VLOOKUP(E65,Tabla11[],2,0),0))*($G65/SUM($G$5:$G$43)),0))</f>
        <v>22150.9564244065</v>
      </c>
      <c r="W65" s="12" t="n">
        <f aca="false">G65-G65*IFERROR(VLOOKUP(E65,Tabla11[],3,0),0)-L65-N65-O65-P65-Q65-G65*$R$2-(G65*$R$2)*IFERROR(VLOOKUP(E65,Tabla11[],4,0),0)-V65-T65</f>
        <v>3468.42424141932</v>
      </c>
      <c r="X65" s="12" t="n">
        <f aca="false">U65-V65</f>
        <v>79441.2280875732</v>
      </c>
      <c r="Y65" s="12" t="n">
        <f aca="false">ROUND(X65-W65,9)</f>
        <v>75972.803846154</v>
      </c>
    </row>
    <row r="66" customFormat="false" ht="14.4" hidden="false" customHeight="false" outlineLevel="0" collapsed="false">
      <c r="A66" s="15"/>
      <c r="B66" s="15" t="s">
        <v>145</v>
      </c>
      <c r="C66" s="16" t="n">
        <v>1</v>
      </c>
      <c r="D66" s="16" t="n">
        <v>1</v>
      </c>
      <c r="E66" s="16" t="s">
        <v>85</v>
      </c>
      <c r="F66" s="16" t="s">
        <v>96</v>
      </c>
      <c r="G66" s="12" t="n">
        <f aca="false">IFERROR(VLOOKUP(CONCATENATE(E66,F66),Ventas!D:H,5,0),0)</f>
        <v>636560.256410256</v>
      </c>
      <c r="H66" s="15" t="n">
        <f aca="false">IFERROR(VLOOKUP(A66,Modelos[],18,0),0)*G66/C66</f>
        <v>0</v>
      </c>
      <c r="I66" s="17" t="n">
        <f aca="false">SUM(G66:H66)</f>
        <v>636560.256410256</v>
      </c>
      <c r="J66" s="15" t="n">
        <f aca="false">I66*IFERROR(VLOOKUP(E66,Tabla11[],3,0),0)</f>
        <v>222796.08974359</v>
      </c>
      <c r="K66" s="15" t="n">
        <f aca="false">I66-J66</f>
        <v>413764.166666667</v>
      </c>
      <c r="L66" s="15" t="n">
        <f aca="false">Sup!$A$2*D66</f>
        <v>6775.44742838542</v>
      </c>
      <c r="M66" s="15" t="n">
        <f aca="false">IFERROR(VLOOKUP(A66,Modelos[],IF(B66="EST",15,14),0),0)/C66</f>
        <v>0</v>
      </c>
      <c r="N66" s="15" t="n">
        <f aca="false">IF($G66&lt;0,0,IFERROR((N$2*IFERROR(VLOOKUP(E66,Tabla11[],2,0),0))*($G66/SUM($G$5:$G$43)),0))</f>
        <v>11831.8634071356</v>
      </c>
      <c r="O66" s="15" t="n">
        <f aca="false">IF($G66&lt;0,0,IFERROR((O$2*IFERROR(VLOOKUP(E66,Tabla11[],2,0),0))*($G66/SUM($G$5:$G$43)),0))</f>
        <v>2300.64010694303</v>
      </c>
      <c r="P66" s="15" t="n">
        <f aca="false">IF($G66&lt;0,0,IFERROR((P$2*IFERROR(VLOOKUP(E66,Tabla11[],2,0),0))*($G66/SUM($G$5:$G$43)),0))</f>
        <v>11831.8634071356</v>
      </c>
      <c r="Q66" s="15" t="n">
        <f aca="false">IF($G66&lt;0,0,IFERROR((Q$2*IFERROR(VLOOKUP(E66,Tabla11[],2,0),0))*($G66/SUM($G$5:$G$43)),0))</f>
        <v>16433.1436210216</v>
      </c>
      <c r="R66" s="15" t="n">
        <f aca="false">K66*$R$2</f>
        <v>165505.666666667</v>
      </c>
      <c r="S66" s="15" t="n">
        <f aca="false">+R66*IFERROR(VLOOKUP(E66,Tabla11[],4,0),0)</f>
        <v>24825.85</v>
      </c>
      <c r="T66" s="15" t="n">
        <f aca="false">IF(G66&gt;0,$T$2/12,0)</f>
        <v>25833.3333333333</v>
      </c>
      <c r="U66" s="15" t="n">
        <f aca="false">K66-SUM(L66:T66)</f>
        <v>148426.358696045</v>
      </c>
      <c r="V66" s="15" t="n">
        <f aca="false">IF($G66&lt;0,0,IFERROR((V$2*IFERROR(VLOOKUP(E66,Tabla11[],2,0),0))*($G66/SUM($G$5:$G$43)),0))</f>
        <v>29881.3162575755</v>
      </c>
      <c r="W66" s="15" t="n">
        <f aca="false">G66-G66*IFERROR(VLOOKUP(E66,Tabla11[],3,0),0)-L66-N66-O66-P66-Q66-G66*$R$2-(G66*$R$2)*IFERROR(VLOOKUP(E66,Tabla11[],4,0),0)-V66-T66</f>
        <v>16058.8411564186</v>
      </c>
      <c r="X66" s="15" t="n">
        <f aca="false">U66-V66</f>
        <v>118545.04243847</v>
      </c>
      <c r="Y66" s="15" t="n">
        <f aca="false">ROUND(X66-W66,9)</f>
        <v>102486.201282051</v>
      </c>
    </row>
    <row r="67" customFormat="false" ht="14.4" hidden="false" customHeight="false" outlineLevel="0" collapsed="false">
      <c r="A67" s="12"/>
      <c r="B67" s="12" t="s">
        <v>145</v>
      </c>
      <c r="C67" s="13" t="n">
        <v>1</v>
      </c>
      <c r="D67" s="13" t="n">
        <v>1</v>
      </c>
      <c r="E67" s="13" t="s">
        <v>85</v>
      </c>
      <c r="F67" s="13" t="s">
        <v>97</v>
      </c>
      <c r="G67" s="12" t="n">
        <f aca="false">IFERROR(VLOOKUP(CONCATENATE(E67,F67),Ventas!D:H,5,0),0)</f>
        <v>514315.384615385</v>
      </c>
      <c r="H67" s="12" t="n">
        <f aca="false">IFERROR(VLOOKUP(A67,Modelos[],18,0),0)*G67/C67</f>
        <v>0</v>
      </c>
      <c r="I67" s="14" t="n">
        <f aca="false">SUM(G67:H67)</f>
        <v>514315.384615385</v>
      </c>
      <c r="J67" s="12" t="n">
        <f aca="false">I67*IFERROR(VLOOKUP(E67,Tabla11[],3,0),0)</f>
        <v>180010.384615385</v>
      </c>
      <c r="K67" s="12" t="n">
        <f aca="false">I67-J67</f>
        <v>334305</v>
      </c>
      <c r="L67" s="12" t="n">
        <f aca="false">Sup!$A$2*D67</f>
        <v>6775.44742838542</v>
      </c>
      <c r="M67" s="12" t="n">
        <f aca="false">IFERROR(VLOOKUP(A67,Modelos[],IF(B67="EST",15,14),0),0)/C67</f>
        <v>0</v>
      </c>
      <c r="N67" s="12" t="n">
        <f aca="false">IF($G67&lt;0,0,IFERROR((N$2*IFERROR(VLOOKUP(E67,Tabla11[],2,0),0))*($G67/SUM($G$5:$G$43)),0))</f>
        <v>9559.67532951933</v>
      </c>
      <c r="O67" s="12" t="n">
        <f aca="false">IF($G67&lt;0,0,IFERROR((O$2*IFERROR(VLOOKUP(E67,Tabla11[],2,0),0))*($G67/SUM($G$5:$G$43)),0))</f>
        <v>1858.82575851765</v>
      </c>
      <c r="P67" s="12" t="n">
        <f aca="false">IF($G67&lt;0,0,IFERROR((P$2*IFERROR(VLOOKUP(E67,Tabla11[],2,0),0))*($G67/SUM($G$5:$G$43)),0))</f>
        <v>9559.67532951933</v>
      </c>
      <c r="Q67" s="12" t="n">
        <f aca="false">IF($G67&lt;0,0,IFERROR((Q$2*IFERROR(VLOOKUP(E67,Tabla11[],2,0),0))*($G67/SUM($G$5:$G$43)),0))</f>
        <v>13277.3268465546</v>
      </c>
      <c r="R67" s="12" t="n">
        <f aca="false">K67*$R$2</f>
        <v>133722</v>
      </c>
      <c r="S67" s="12" t="n">
        <f aca="false">+R67*IFERROR(VLOOKUP(E67,Tabla11[],4,0),0)</f>
        <v>20058.3</v>
      </c>
      <c r="T67" s="12" t="n">
        <f aca="false">IF(G67&gt;0,$T$2/12,0)</f>
        <v>25833.3333333333</v>
      </c>
      <c r="U67" s="12" t="n">
        <f aca="false">K67-SUM(L67:T67)</f>
        <v>113660.41597417</v>
      </c>
      <c r="V67" s="12" t="n">
        <f aca="false">IF($G67&lt;0,0,IFERROR((V$2*IFERROR(VLOOKUP(E67,Tabla11[],2,0),0))*($G67/SUM($G$5:$G$43)),0))</f>
        <v>24142.9157869449</v>
      </c>
      <c r="W67" s="12" t="n">
        <f aca="false">G67-G67*IFERROR(VLOOKUP(E67,Tabla11[],3,0),0)-L67-N67-O67-P67-Q67-G67*$R$2-(G67*$R$2)*IFERROR(VLOOKUP(E67,Tabla11[],4,0),0)-V67-T67</f>
        <v>6712.72326414848</v>
      </c>
      <c r="X67" s="12" t="n">
        <f aca="false">U67-V67</f>
        <v>89517.5001872255</v>
      </c>
      <c r="Y67" s="12" t="n">
        <f aca="false">ROUND(X67-W67,9)</f>
        <v>82804.776923077</v>
      </c>
    </row>
    <row r="68" customFormat="false" ht="14.4" hidden="false" customHeight="false" outlineLevel="0" collapsed="false">
      <c r="A68" s="15"/>
      <c r="B68" s="15" t="s">
        <v>145</v>
      </c>
      <c r="C68" s="16" t="n">
        <v>1</v>
      </c>
      <c r="D68" s="16" t="n">
        <v>1</v>
      </c>
      <c r="E68" s="16" t="s">
        <v>85</v>
      </c>
      <c r="F68" s="16" t="s">
        <v>98</v>
      </c>
      <c r="G68" s="12" t="n">
        <f aca="false">IFERROR(VLOOKUP(CONCATENATE(E68,F68),Ventas!D:H,5,0),0)</f>
        <v>504607.179487179</v>
      </c>
      <c r="H68" s="15" t="n">
        <f aca="false">IFERROR(VLOOKUP(A68,Modelos[],18,0),0)*G68/C68</f>
        <v>0</v>
      </c>
      <c r="I68" s="17" t="n">
        <f aca="false">SUM(G68:H68)</f>
        <v>504607.179487179</v>
      </c>
      <c r="J68" s="15" t="n">
        <f aca="false">I68*IFERROR(VLOOKUP(E68,Tabla11[],3,0),0)</f>
        <v>176612.512820513</v>
      </c>
      <c r="K68" s="15" t="n">
        <f aca="false">I68-J68</f>
        <v>327994.666666667</v>
      </c>
      <c r="L68" s="15" t="n">
        <f aca="false">Sup!$A$2*D68</f>
        <v>6775.44742838542</v>
      </c>
      <c r="M68" s="15" t="n">
        <f aca="false">IFERROR(VLOOKUP(A68,Modelos[],IF(B68="EST",15,14),0),0)/C68</f>
        <v>0</v>
      </c>
      <c r="N68" s="15" t="n">
        <f aca="false">IF($G68&lt;0,0,IFERROR((N$2*IFERROR(VLOOKUP(E68,Tabla11[],2,0),0))*($G68/SUM($G$5:$G$43)),0))</f>
        <v>9379.22712238001</v>
      </c>
      <c r="O68" s="15" t="n">
        <f aca="false">IF($G68&lt;0,0,IFERROR((O$2*IFERROR(VLOOKUP(E68,Tabla11[],2,0),0))*($G68/SUM($G$5:$G$43)),0))</f>
        <v>1823.73860712945</v>
      </c>
      <c r="P68" s="15" t="n">
        <f aca="false">IF($G68&lt;0,0,IFERROR((P$2*IFERROR(VLOOKUP(E68,Tabla11[],2,0),0))*($G68/SUM($G$5:$G$43)),0))</f>
        <v>9379.22712238001</v>
      </c>
      <c r="Q68" s="15" t="n">
        <f aca="false">IF($G68&lt;0,0,IFERROR((Q$2*IFERROR(VLOOKUP(E68,Tabla11[],2,0),0))*($G68/SUM($G$5:$G$43)),0))</f>
        <v>13026.7043366389</v>
      </c>
      <c r="R68" s="15" t="n">
        <f aca="false">K68*$R$2</f>
        <v>131197.866666667</v>
      </c>
      <c r="S68" s="15" t="n">
        <f aca="false">+R68*IFERROR(VLOOKUP(E68,Tabla11[],4,0),0)</f>
        <v>19679.68</v>
      </c>
      <c r="T68" s="15" t="n">
        <f aca="false">IF(G68&gt;0,$T$2/12,0)</f>
        <v>25833.3333333333</v>
      </c>
      <c r="U68" s="15" t="n">
        <f aca="false">K68-SUM(L68:T68)</f>
        <v>110899.442049753</v>
      </c>
      <c r="V68" s="15" t="n">
        <f aca="false">IF($G68&lt;0,0,IFERROR((V$2*IFERROR(VLOOKUP(E68,Tabla11[],2,0),0))*($G68/SUM($G$5:$G$43)),0))</f>
        <v>23687.1946752229</v>
      </c>
      <c r="W68" s="15" t="n">
        <f aca="false">G68-G68*IFERROR(VLOOKUP(E68,Tabla11[],3,0),0)-L68-N68-O68-P68-Q68-G68*$R$2-(G68*$R$2)*IFERROR(VLOOKUP(E68,Tabla11[],4,0),0)-V68-T68</f>
        <v>5970.49147709409</v>
      </c>
      <c r="X68" s="15" t="n">
        <f aca="false">U68-V68</f>
        <v>87212.2473745299</v>
      </c>
      <c r="Y68" s="15" t="n">
        <f aca="false">ROUND(X68-W68,9)</f>
        <v>81241.755897436</v>
      </c>
    </row>
    <row r="69" customFormat="false" ht="14.4" hidden="false" customHeight="false" outlineLevel="0" collapsed="false">
      <c r="A69" s="12"/>
      <c r="B69" s="12" t="s">
        <v>145</v>
      </c>
      <c r="C69" s="13" t="n">
        <v>1</v>
      </c>
      <c r="D69" s="13" t="n">
        <v>1</v>
      </c>
      <c r="E69" s="13" t="s">
        <v>85</v>
      </c>
      <c r="F69" s="13" t="s">
        <v>65</v>
      </c>
      <c r="G69" s="12" t="n">
        <f aca="false">IFERROR(VLOOKUP(CONCATENATE(E69,F69),Ventas!D:H,5,0),0)</f>
        <v>463705.897435897</v>
      </c>
      <c r="H69" s="12" t="n">
        <f aca="false">IFERROR(VLOOKUP(A69,Modelos[],18,0),0)*G69/C69</f>
        <v>0</v>
      </c>
      <c r="I69" s="14" t="n">
        <f aca="false">SUM(G69:H69)</f>
        <v>463705.897435897</v>
      </c>
      <c r="J69" s="12" t="n">
        <f aca="false">I69*IFERROR(VLOOKUP(E69,Tabla11[],3,0),0)</f>
        <v>162297.064102564</v>
      </c>
      <c r="K69" s="12" t="n">
        <f aca="false">I69-J69</f>
        <v>301408.833333333</v>
      </c>
      <c r="L69" s="12" t="n">
        <f aca="false">Sup!$A$2*D69</f>
        <v>6775.44742838542</v>
      </c>
      <c r="M69" s="12" t="n">
        <f aca="false">IFERROR(VLOOKUP(A69,Modelos[],IF(B69="EST",15,14),0),0)/C69</f>
        <v>0</v>
      </c>
      <c r="N69" s="12" t="n">
        <f aca="false">IF($G69&lt;0,0,IFERROR((N$2*IFERROR(VLOOKUP(E69,Tabla11[],2,0),0))*($G69/SUM($G$5:$G$43)),0))</f>
        <v>8618.98741602988</v>
      </c>
      <c r="O69" s="12" t="n">
        <f aca="false">IF($G69&lt;0,0,IFERROR((O$2*IFERROR(VLOOKUP(E69,Tabla11[],2,0),0))*($G69/SUM($G$5:$G$43)),0))</f>
        <v>1675.91421978359</v>
      </c>
      <c r="P69" s="12" t="n">
        <f aca="false">IF($G69&lt;0,0,IFERROR((P$2*IFERROR(VLOOKUP(E69,Tabla11[],2,0),0))*($G69/SUM($G$5:$G$43)),0))</f>
        <v>8618.98741602988</v>
      </c>
      <c r="Q69" s="12" t="n">
        <f aca="false">IF($G69&lt;0,0,IFERROR((Q$2*IFERROR(VLOOKUP(E69,Tabla11[],2,0),0))*($G69/SUM($G$5:$G$43)),0))</f>
        <v>11970.8158555971</v>
      </c>
      <c r="R69" s="12" t="n">
        <f aca="false">K69*$R$2</f>
        <v>120563.533333333</v>
      </c>
      <c r="S69" s="12" t="n">
        <f aca="false">+R69*IFERROR(VLOOKUP(E69,Tabla11[],4,0),0)</f>
        <v>18084.53</v>
      </c>
      <c r="T69" s="12" t="n">
        <f aca="false">IF(G69&gt;0,$T$2/12,0)</f>
        <v>25833.3333333333</v>
      </c>
      <c r="U69" s="12" t="n">
        <f aca="false">K69-SUM(L69:T69)</f>
        <v>99267.2843308408</v>
      </c>
      <c r="V69" s="12" t="n">
        <f aca="false">IF($G69&lt;0,0,IFERROR((V$2*IFERROR(VLOOKUP(E69,Tabla11[],2,0),0))*($G69/SUM($G$5:$G$43)),0))</f>
        <v>21767.2128164639</v>
      </c>
      <c r="W69" s="12" t="n">
        <f aca="false">G69-G69*IFERROR(VLOOKUP(E69,Tabla11[],3,0),0)-L69-N69-O69-P69-Q69-G69*$R$2-(G69*$R$2)*IFERROR(VLOOKUP(E69,Tabla11[],4,0),0)-V69-T69</f>
        <v>2843.42202719738</v>
      </c>
      <c r="X69" s="12" t="n">
        <f aca="false">U69-V69</f>
        <v>77500.0715143769</v>
      </c>
      <c r="Y69" s="12" t="n">
        <f aca="false">ROUND(X69-W69,9)</f>
        <v>74656.64948718</v>
      </c>
    </row>
    <row r="70" customFormat="false" ht="14.4" hidden="false" customHeight="false" outlineLevel="0" collapsed="false">
      <c r="A70" s="15"/>
      <c r="B70" s="15" t="s">
        <v>145</v>
      </c>
      <c r="C70" s="16" t="n">
        <v>1</v>
      </c>
      <c r="D70" s="16" t="n">
        <v>1</v>
      </c>
      <c r="E70" s="16" t="s">
        <v>85</v>
      </c>
      <c r="F70" s="16" t="s">
        <v>99</v>
      </c>
      <c r="G70" s="12" t="n">
        <f aca="false">IFERROR(VLOOKUP(CONCATENATE(E70,F70),Ventas!D:H,5,0),0)</f>
        <v>458504.615384615</v>
      </c>
      <c r="H70" s="15" t="n">
        <f aca="false">IFERROR(VLOOKUP(A70,Modelos[],18,0),0)*G70/C70</f>
        <v>0</v>
      </c>
      <c r="I70" s="17" t="n">
        <f aca="false">SUM(G70:H70)</f>
        <v>458504.615384615</v>
      </c>
      <c r="J70" s="15" t="n">
        <f aca="false">I70*IFERROR(VLOOKUP(E70,Tabla11[],3,0),0)</f>
        <v>160476.615384615</v>
      </c>
      <c r="K70" s="15" t="n">
        <f aca="false">I70-J70</f>
        <v>298028</v>
      </c>
      <c r="L70" s="15" t="n">
        <f aca="false">Sup!$A$2*D70</f>
        <v>6775.44742838542</v>
      </c>
      <c r="M70" s="15" t="n">
        <f aca="false">IFERROR(VLOOKUP(A70,Modelos[],IF(B70="EST",15,14),0),0)/C70</f>
        <v>0</v>
      </c>
      <c r="N70" s="15" t="n">
        <f aca="false">IF($G70&lt;0,0,IFERROR((N$2*IFERROR(VLOOKUP(E70,Tabla11[],2,0),0))*($G70/SUM($G$5:$G$43)),0))</f>
        <v>8522.31022301786</v>
      </c>
      <c r="O70" s="15" t="n">
        <f aca="false">IF($G70&lt;0,0,IFERROR((O$2*IFERROR(VLOOKUP(E70,Tabla11[],2,0),0))*($G70/SUM($G$5:$G$43)),0))</f>
        <v>1657.11587669792</v>
      </c>
      <c r="P70" s="15" t="n">
        <f aca="false">IF($G70&lt;0,0,IFERROR((P$2*IFERROR(VLOOKUP(E70,Tabla11[],2,0),0))*($G70/SUM($G$5:$G$43)),0))</f>
        <v>8522.31022301786</v>
      </c>
      <c r="Q70" s="15" t="n">
        <f aca="false">IF($G70&lt;0,0,IFERROR((Q$2*IFERROR(VLOOKUP(E70,Tabla11[],2,0),0))*($G70/SUM($G$5:$G$43)),0))</f>
        <v>11836.5419764137</v>
      </c>
      <c r="R70" s="15" t="n">
        <f aca="false">K70*$R$2</f>
        <v>119211.2</v>
      </c>
      <c r="S70" s="15" t="n">
        <f aca="false">+R70*IFERROR(VLOOKUP(E70,Tabla11[],4,0),0)</f>
        <v>17881.68</v>
      </c>
      <c r="T70" s="15" t="n">
        <f aca="false">IF(G70&gt;0,$T$2/12,0)</f>
        <v>25833.3333333333</v>
      </c>
      <c r="U70" s="15" t="n">
        <f aca="false">K70-SUM(L70:T70)</f>
        <v>97788.060939134</v>
      </c>
      <c r="V70" s="15" t="n">
        <f aca="false">IF($G70&lt;0,0,IFERROR((V$2*IFERROR(VLOOKUP(E70,Tabla11[],2,0),0))*($G70/SUM($G$5:$G$43)),0))</f>
        <v>21523.0550130917</v>
      </c>
      <c r="W70" s="15" t="n">
        <f aca="false">G70-G70*IFERROR(VLOOKUP(E70,Tabla11[],3,0),0)-L70-N70-O70-P70-Q70-G70*$R$2-(G70*$R$2)*IFERROR(VLOOKUP(E70,Tabla11[],4,0),0)-V70-T70</f>
        <v>2445.76284911908</v>
      </c>
      <c r="X70" s="15" t="n">
        <f aca="false">U70-V70</f>
        <v>76265.0059260423</v>
      </c>
      <c r="Y70" s="15" t="n">
        <f aca="false">ROUND(X70-W70,9)</f>
        <v>73819.243076923</v>
      </c>
    </row>
    <row r="71" customFormat="false" ht="14.4" hidden="false" customHeight="false" outlineLevel="0" collapsed="false">
      <c r="A71" s="12"/>
      <c r="B71" s="12" t="s">
        <v>145</v>
      </c>
      <c r="C71" s="13" t="n">
        <v>1</v>
      </c>
      <c r="D71" s="13" t="n">
        <v>1</v>
      </c>
      <c r="E71" s="13" t="s">
        <v>85</v>
      </c>
      <c r="F71" s="13" t="s">
        <v>100</v>
      </c>
      <c r="G71" s="12" t="n">
        <f aca="false">IFERROR(VLOOKUP(CONCATENATE(E71,F71),Ventas!D:H,5,0),0)</f>
        <v>529672.307692308</v>
      </c>
      <c r="H71" s="12" t="n">
        <f aca="false">IFERROR(VLOOKUP(A71,Modelos[],18,0),0)*G71/C71</f>
        <v>0</v>
      </c>
      <c r="I71" s="14" t="n">
        <f aca="false">SUM(G71:H71)</f>
        <v>529672.307692308</v>
      </c>
      <c r="J71" s="12" t="n">
        <f aca="false">I71*IFERROR(VLOOKUP(E71,Tabla11[],3,0),0)</f>
        <v>185385.307692308</v>
      </c>
      <c r="K71" s="12" t="n">
        <f aca="false">I71-J71</f>
        <v>344287</v>
      </c>
      <c r="L71" s="12" t="n">
        <f aca="false">Sup!$A$2*D71</f>
        <v>6775.44742838542</v>
      </c>
      <c r="M71" s="12" t="n">
        <f aca="false">IFERROR(VLOOKUP(A71,Modelos[],IF(B71="EST",15,14),0),0)/C71</f>
        <v>0</v>
      </c>
      <c r="N71" s="12" t="n">
        <f aca="false">IF($G71&lt;0,0,IFERROR((N$2*IFERROR(VLOOKUP(E71,Tabla11[],2,0),0))*($G71/SUM($G$5:$G$43)),0))</f>
        <v>9845.11730358272</v>
      </c>
      <c r="O71" s="12" t="n">
        <f aca="false">IF($G71&lt;0,0,IFERROR((O$2*IFERROR(VLOOKUP(E71,Tabla11[],2,0),0))*($G71/SUM($G$5:$G$43)),0))</f>
        <v>1914.32836458553</v>
      </c>
      <c r="P71" s="12" t="n">
        <f aca="false">IF($G71&lt;0,0,IFERROR((P$2*IFERROR(VLOOKUP(E71,Tabla11[],2,0),0))*($G71/SUM($G$5:$G$43)),0))</f>
        <v>9845.11730358272</v>
      </c>
      <c r="Q71" s="12" t="n">
        <f aca="false">IF($G71&lt;0,0,IFERROR((Q$2*IFERROR(VLOOKUP(E71,Tabla11[],2,0),0))*($G71/SUM($G$5:$G$43)),0))</f>
        <v>13673.7740327538</v>
      </c>
      <c r="R71" s="12" t="n">
        <f aca="false">K71*$R$2</f>
        <v>137714.8</v>
      </c>
      <c r="S71" s="12" t="n">
        <f aca="false">+R71*IFERROR(VLOOKUP(E71,Tabla11[],4,0),0)</f>
        <v>20657.22</v>
      </c>
      <c r="T71" s="12" t="n">
        <f aca="false">IF(G71&gt;0,$T$2/12,0)</f>
        <v>25833.3333333333</v>
      </c>
      <c r="U71" s="12" t="n">
        <f aca="false">K71-SUM(L71:T71)</f>
        <v>118027.862233777</v>
      </c>
      <c r="V71" s="12" t="n">
        <f aca="false">IF($G71&lt;0,0,IFERROR((V$2*IFERROR(VLOOKUP(E71,Tabla11[],2,0),0))*($G71/SUM($G$5:$G$43)),0))</f>
        <v>24863.7981709514</v>
      </c>
      <c r="W71" s="12" t="n">
        <f aca="false">G71-G71*IFERROR(VLOOKUP(E71,Tabla11[],3,0),0)-L71-N71-O71-P71-Q71-G71*$R$2-(G71*$R$2)*IFERROR(VLOOKUP(E71,Tabla11[],4,0),0)-V71-T71</f>
        <v>7886.82252436358</v>
      </c>
      <c r="X71" s="12" t="n">
        <f aca="false">U71-V71</f>
        <v>93164.0640628251</v>
      </c>
      <c r="Y71" s="12" t="n">
        <f aca="false">ROUND(X71-W71,9)</f>
        <v>85277.241538462</v>
      </c>
    </row>
    <row r="72" customFormat="false" ht="14.4" hidden="false" customHeight="false" outlineLevel="0" collapsed="false">
      <c r="A72" s="15"/>
      <c r="B72" s="15" t="s">
        <v>145</v>
      </c>
      <c r="C72" s="16" t="n">
        <v>1</v>
      </c>
      <c r="D72" s="16" t="n">
        <v>1</v>
      </c>
      <c r="E72" s="16" t="s">
        <v>85</v>
      </c>
      <c r="F72" s="16" t="s">
        <v>101</v>
      </c>
      <c r="G72" s="12" t="n">
        <f aca="false">IFERROR(VLOOKUP(CONCATENATE(E72,F72),Ventas!D:H,5,0),0)</f>
        <v>148902.051282051</v>
      </c>
      <c r="H72" s="15" t="n">
        <f aca="false">IFERROR(VLOOKUP(A72,Modelos[],18,0),0)*G72/C72</f>
        <v>0</v>
      </c>
      <c r="I72" s="17" t="n">
        <f aca="false">SUM(G72:H72)</f>
        <v>148902.051282051</v>
      </c>
      <c r="J72" s="15" t="n">
        <f aca="false">I72*IFERROR(VLOOKUP(E72,Tabla11[],3,0),0)</f>
        <v>52115.7179487179</v>
      </c>
      <c r="K72" s="15" t="n">
        <f aca="false">I72-J72</f>
        <v>96786.3333333333</v>
      </c>
      <c r="L72" s="15" t="n">
        <f aca="false">Sup!$A$2*D72</f>
        <v>6775.44742838542</v>
      </c>
      <c r="M72" s="15" t="n">
        <f aca="false">IFERROR(VLOOKUP(A72,Modelos[],IF(B72="EST",15,14),0),0)/C72</f>
        <v>0</v>
      </c>
      <c r="N72" s="15" t="n">
        <f aca="false">IF($G72&lt;0,0,IFERROR((N$2*IFERROR(VLOOKUP(E72,Tabla11[],2,0),0))*($G72/SUM($G$5:$G$43)),0))</f>
        <v>2767.67001092206</v>
      </c>
      <c r="O72" s="15" t="n">
        <f aca="false">IF($G72&lt;0,0,IFERROR((O$2*IFERROR(VLOOKUP(E72,Tabla11[],2,0),0))*($G72/SUM($G$5:$G$43)),0))</f>
        <v>538.15805767929</v>
      </c>
      <c r="P72" s="15" t="n">
        <f aca="false">IF($G72&lt;0,0,IFERROR((P$2*IFERROR(VLOOKUP(E72,Tabla11[],2,0),0))*($G72/SUM($G$5:$G$43)),0))</f>
        <v>2767.67001092206</v>
      </c>
      <c r="Q72" s="15" t="n">
        <f aca="false">IF($G72&lt;0,0,IFERROR((Q$2*IFERROR(VLOOKUP(E72,Tabla11[],2,0),0))*($G72/SUM($G$5:$G$43)),0))</f>
        <v>3843.98612628064</v>
      </c>
      <c r="R72" s="15" t="n">
        <f aca="false">K72*$R$2</f>
        <v>38714.5333333333</v>
      </c>
      <c r="S72" s="15" t="n">
        <f aca="false">+R72*IFERROR(VLOOKUP(E72,Tabla11[],4,0),0)</f>
        <v>5807.18</v>
      </c>
      <c r="T72" s="15" t="n">
        <f aca="false">IF(G72&gt;0,$T$2/12,0)</f>
        <v>25833.3333333333</v>
      </c>
      <c r="U72" s="15" t="n">
        <f aca="false">K72-SUM(L72:T72)</f>
        <v>9738.35503247716</v>
      </c>
      <c r="V72" s="15" t="n">
        <f aca="false">IF($G72&lt;0,0,IFERROR((V$2*IFERROR(VLOOKUP(E72,Tabla11[],2,0),0))*($G72/SUM($G$5:$G$43)),0))</f>
        <v>6989.73779929659</v>
      </c>
      <c r="W72" s="15" t="n">
        <f aca="false">G72-G72*IFERROR(VLOOKUP(E72,Tabla11[],3,0),0)-L72-N72-O72-P72-Q72-G72*$R$2-(G72*$R$2)*IFERROR(VLOOKUP(E72,Tabla11[],4,0),0)-V72-T72</f>
        <v>-21224.6130232297</v>
      </c>
      <c r="X72" s="15" t="n">
        <f aca="false">U72-V72</f>
        <v>2748.61723318058</v>
      </c>
      <c r="Y72" s="15" t="n">
        <f aca="false">ROUND(X72-W72,9)</f>
        <v>23973.23025641</v>
      </c>
    </row>
    <row r="73" customFormat="false" ht="14.4" hidden="false" customHeight="false" outlineLevel="0" collapsed="false">
      <c r="A73" s="12"/>
      <c r="B73" s="12" t="s">
        <v>145</v>
      </c>
      <c r="C73" s="13" t="n">
        <v>1</v>
      </c>
      <c r="D73" s="13" t="n">
        <v>1</v>
      </c>
      <c r="E73" s="13" t="s">
        <v>85</v>
      </c>
      <c r="F73" s="13" t="s">
        <v>82</v>
      </c>
      <c r="G73" s="12" t="n">
        <f aca="false">IFERROR(VLOOKUP(CONCATENATE(E73,F73),Ventas!D:H,5,0),0)</f>
        <v>204546.153846154</v>
      </c>
      <c r="H73" s="12" t="n">
        <f aca="false">IFERROR(VLOOKUP(A73,Modelos[],18,0),0)*G73/C73</f>
        <v>0</v>
      </c>
      <c r="I73" s="14" t="n">
        <f aca="false">SUM(G73:H73)</f>
        <v>204546.153846154</v>
      </c>
      <c r="J73" s="12" t="n">
        <f aca="false">I73*IFERROR(VLOOKUP(E73,Tabla11[],3,0),0)</f>
        <v>71591.1538461539</v>
      </c>
      <c r="K73" s="12" t="n">
        <f aca="false">I73-J73</f>
        <v>132955</v>
      </c>
      <c r="L73" s="12" t="n">
        <f aca="false">Sup!$A$2*D73</f>
        <v>6775.44742838542</v>
      </c>
      <c r="M73" s="12" t="n">
        <f aca="false">IFERROR(VLOOKUP(A73,Modelos[],IF(B73="EST",15,14),0),0)/C73</f>
        <v>0</v>
      </c>
      <c r="N73" s="12" t="n">
        <f aca="false">IF($G73&lt;0,0,IFERROR((N$2*IFERROR(VLOOKUP(E73,Tabla11[],2,0),0))*($G73/SUM($G$5:$G$43)),0))</f>
        <v>3801.9372532156</v>
      </c>
      <c r="O73" s="12" t="n">
        <f aca="false">IF($G73&lt;0,0,IFERROR((O$2*IFERROR(VLOOKUP(E73,Tabla11[],2,0),0))*($G73/SUM($G$5:$G$43)),0))</f>
        <v>739.265577014145</v>
      </c>
      <c r="P73" s="12" t="n">
        <f aca="false">IF($G73&lt;0,0,IFERROR((P$2*IFERROR(VLOOKUP(E73,Tabla11[],2,0),0))*($G73/SUM($G$5:$G$43)),0))</f>
        <v>3801.9372532156</v>
      </c>
      <c r="Q73" s="12" t="n">
        <f aca="false">IF($G73&lt;0,0,IFERROR((Q$2*IFERROR(VLOOKUP(E73,Tabla11[],2,0),0))*($G73/SUM($G$5:$G$43)),0))</f>
        <v>5280.46840724389</v>
      </c>
      <c r="R73" s="12" t="n">
        <f aca="false">K73*$R$2</f>
        <v>53182</v>
      </c>
      <c r="S73" s="12" t="n">
        <f aca="false">+R73*IFERROR(VLOOKUP(E73,Tabla11[],4,0),0)</f>
        <v>7977.3</v>
      </c>
      <c r="T73" s="12" t="n">
        <f aca="false">IF(G73&gt;0,$T$2/12,0)</f>
        <v>25833.3333333333</v>
      </c>
      <c r="U73" s="12" t="n">
        <f aca="false">K73-SUM(L73:T73)</f>
        <v>25563.310747592</v>
      </c>
      <c r="V73" s="12" t="n">
        <f aca="false">IF($G73&lt;0,0,IFERROR((V$2*IFERROR(VLOOKUP(E73,Tabla11[],2,0),0))*($G73/SUM($G$5:$G$43)),0))</f>
        <v>9601.77493143465</v>
      </c>
      <c r="W73" s="12" t="n">
        <f aca="false">G73-G73*IFERROR(VLOOKUP(E73,Tabla11[],3,0),0)-L73-N73-O73-P73-Q73-G73*$R$2-(G73*$R$2)*IFERROR(VLOOKUP(E73,Tabla11[],4,0),0)-V73-T73</f>
        <v>-16970.3949530734</v>
      </c>
      <c r="X73" s="12" t="n">
        <f aca="false">U73-V73</f>
        <v>15961.5358161574</v>
      </c>
      <c r="Y73" s="12" t="n">
        <f aca="false">ROUND(X73-W73,9)</f>
        <v>32931.930769231</v>
      </c>
    </row>
    <row r="74" customFormat="false" ht="14.4" hidden="false" customHeight="false" outlineLevel="0" collapsed="false">
      <c r="A74" s="15"/>
      <c r="B74" s="15" t="s">
        <v>145</v>
      </c>
      <c r="C74" s="16" t="n">
        <v>1</v>
      </c>
      <c r="D74" s="16" t="n">
        <v>1</v>
      </c>
      <c r="E74" s="16" t="s">
        <v>85</v>
      </c>
      <c r="F74" s="16" t="s">
        <v>75</v>
      </c>
      <c r="G74" s="12" t="n">
        <f aca="false">IFERROR(VLOOKUP(CONCATENATE(E74,F74),Ventas!D:H,5,0),0)</f>
        <v>392581.282051282</v>
      </c>
      <c r="H74" s="15" t="n">
        <f aca="false">IFERROR(VLOOKUP(A74,Modelos[],18,0),0)*G74/C74</f>
        <v>0</v>
      </c>
      <c r="I74" s="17" t="n">
        <f aca="false">SUM(G74:H74)</f>
        <v>392581.282051282</v>
      </c>
      <c r="J74" s="15" t="n">
        <f aca="false">I74*IFERROR(VLOOKUP(E74,Tabla11[],3,0),0)</f>
        <v>137403.448717949</v>
      </c>
      <c r="K74" s="15" t="n">
        <f aca="false">I74-J74</f>
        <v>255177.833333333</v>
      </c>
      <c r="L74" s="15" t="n">
        <f aca="false">Sup!$A$2*D74</f>
        <v>6775.44742838542</v>
      </c>
      <c r="M74" s="15" t="n">
        <f aca="false">IFERROR(VLOOKUP(A74,Modelos[],IF(B74="EST",15,14),0),0)/C74</f>
        <v>0</v>
      </c>
      <c r="N74" s="15" t="n">
        <f aca="false">IF($G74&lt;0,0,IFERROR((N$2*IFERROR(VLOOKUP(E74,Tabla11[],2,0),0))*($G74/SUM($G$5:$G$43)),0))</f>
        <v>7296.98101421415</v>
      </c>
      <c r="O74" s="15" t="n">
        <f aca="false">IF($G74&lt;0,0,IFERROR((O$2*IFERROR(VLOOKUP(E74,Tabla11[],2,0),0))*($G74/SUM($G$5:$G$43)),0))</f>
        <v>1418.85741943053</v>
      </c>
      <c r="P74" s="15" t="n">
        <f aca="false">IF($G74&lt;0,0,IFERROR((P$2*IFERROR(VLOOKUP(E74,Tabla11[],2,0),0))*($G74/SUM($G$5:$G$43)),0))</f>
        <v>7296.98101421415</v>
      </c>
      <c r="Q74" s="15" t="n">
        <f aca="false">IF($G74&lt;0,0,IFERROR((Q$2*IFERROR(VLOOKUP(E74,Tabla11[],2,0),0))*($G74/SUM($G$5:$G$43)),0))</f>
        <v>10134.6958530752</v>
      </c>
      <c r="R74" s="15" t="n">
        <f aca="false">K74*$R$2</f>
        <v>102071.133333333</v>
      </c>
      <c r="S74" s="15" t="n">
        <f aca="false">+R74*IFERROR(VLOOKUP(E74,Tabla11[],4,0),0)</f>
        <v>15310.67</v>
      </c>
      <c r="T74" s="15" t="n">
        <f aca="false">IF(G74&gt;0,$T$2/12,0)</f>
        <v>25833.3333333333</v>
      </c>
      <c r="U74" s="15" t="n">
        <f aca="false">K74-SUM(L74:T74)</f>
        <v>79039.7339373472</v>
      </c>
      <c r="V74" s="15" t="n">
        <f aca="false">IF($G74&lt;0,0,IFERROR((V$2*IFERROR(VLOOKUP(E74,Tabla11[],2,0),0))*($G74/SUM($G$5:$G$43)),0))</f>
        <v>18428.4917690783</v>
      </c>
      <c r="W74" s="15" t="n">
        <f aca="false">G74-G74*IFERROR(VLOOKUP(E74,Tabla11[],3,0),0)-L74-N74-O74-P74-Q74-G74*$R$2-(G74*$R$2)*IFERROR(VLOOKUP(E74,Tabla11[],4,0),0)-V74-T74</f>
        <v>-2594.34424198755</v>
      </c>
      <c r="X74" s="15" t="n">
        <f aca="false">U74-V74</f>
        <v>60611.2421682689</v>
      </c>
      <c r="Y74" s="15" t="n">
        <f aca="false">ROUND(X74-W74,9)</f>
        <v>63205.586410256</v>
      </c>
    </row>
    <row r="75" customFormat="false" ht="14.4" hidden="false" customHeight="false" outlineLevel="0" collapsed="false">
      <c r="A75" s="12"/>
      <c r="B75" s="12" t="s">
        <v>145</v>
      </c>
      <c r="C75" s="13" t="n">
        <v>1</v>
      </c>
      <c r="D75" s="13" t="n">
        <v>1</v>
      </c>
      <c r="E75" s="13" t="s">
        <v>85</v>
      </c>
      <c r="F75" s="13" t="s">
        <v>102</v>
      </c>
      <c r="G75" s="12" t="n">
        <f aca="false">IFERROR(VLOOKUP(CONCATENATE(E75,F75),Ventas!D:H,5,0),0)</f>
        <v>315021.538461538</v>
      </c>
      <c r="H75" s="12" t="n">
        <f aca="false">IFERROR(VLOOKUP(A75,Modelos[],18,0),0)*G75/C75</f>
        <v>0</v>
      </c>
      <c r="I75" s="14" t="n">
        <f aca="false">SUM(G75:H75)</f>
        <v>315021.538461538</v>
      </c>
      <c r="J75" s="12" t="n">
        <f aca="false">I75*IFERROR(VLOOKUP(E75,Tabla11[],3,0),0)</f>
        <v>110257.538461538</v>
      </c>
      <c r="K75" s="12" t="n">
        <f aca="false">I75-J75</f>
        <v>204764</v>
      </c>
      <c r="L75" s="12" t="n">
        <f aca="false">Sup!$A$2*D75</f>
        <v>6775.44742838542</v>
      </c>
      <c r="M75" s="12" t="n">
        <f aca="false">IFERROR(VLOOKUP(A75,Modelos[],IF(B75="EST",15,14),0),0)/C75</f>
        <v>0</v>
      </c>
      <c r="N75" s="12" t="n">
        <f aca="false">IF($G75&lt;0,0,IFERROR((N$2*IFERROR(VLOOKUP(E75,Tabla11[],2,0),0))*($G75/SUM($G$5:$G$43)),0))</f>
        <v>5855.36369235786</v>
      </c>
      <c r="O75" s="12" t="n">
        <f aca="false">IF($G75&lt;0,0,IFERROR((O$2*IFERROR(VLOOKUP(E75,Tabla11[],2,0),0))*($G75/SUM($G$5:$G$43)),0))</f>
        <v>1138.5429401807</v>
      </c>
      <c r="P75" s="12" t="n">
        <f aca="false">IF($G75&lt;0,0,IFERROR((P$2*IFERROR(VLOOKUP(E75,Tabla11[],2,0),0))*($G75/SUM($G$5:$G$43)),0))</f>
        <v>5855.36369235786</v>
      </c>
      <c r="Q75" s="12" t="n">
        <f aca="false">IF($G75&lt;0,0,IFERROR((Q$2*IFERROR(VLOOKUP(E75,Tabla11[],2,0),0))*($G75/SUM($G$5:$G$43)),0))</f>
        <v>8132.44957271925</v>
      </c>
      <c r="R75" s="12" t="n">
        <f aca="false">K75*$R$2</f>
        <v>81905.6</v>
      </c>
      <c r="S75" s="12" t="n">
        <f aca="false">+R75*IFERROR(VLOOKUP(E75,Tabla11[],4,0),0)</f>
        <v>12285.84</v>
      </c>
      <c r="T75" s="12" t="n">
        <f aca="false">IF(G75&gt;0,$T$2/12,0)</f>
        <v>25833.3333333333</v>
      </c>
      <c r="U75" s="12" t="n">
        <f aca="false">K75-SUM(L75:T75)</f>
        <v>56982.0593406656</v>
      </c>
      <c r="V75" s="12" t="n">
        <f aca="false">IF($G75&lt;0,0,IFERROR((V$2*IFERROR(VLOOKUP(E75,Tabla11[],2,0),0))*($G75/SUM($G$5:$G$43)),0))</f>
        <v>14787.6938968845</v>
      </c>
      <c r="W75" s="12" t="n">
        <f aca="false">G75-G75*IFERROR(VLOOKUP(E75,Tabla11[],3,0),0)-L75-N75-O75-P75-Q75-G75*$R$2-(G75*$R$2)*IFERROR(VLOOKUP(E75,Tabla11[],4,0),0)-V75-T75</f>
        <v>-8524.10224852666</v>
      </c>
      <c r="X75" s="12" t="n">
        <f aca="false">U75-V75</f>
        <v>42194.365443781</v>
      </c>
      <c r="Y75" s="12" t="n">
        <f aca="false">ROUND(X75-W75,9)</f>
        <v>50718.467692308</v>
      </c>
    </row>
    <row r="76" customFormat="false" ht="14.4" hidden="false" customHeight="false" outlineLevel="0" collapsed="false">
      <c r="A76" s="15"/>
      <c r="B76" s="15" t="s">
        <v>145</v>
      </c>
      <c r="C76" s="16" t="n">
        <v>1</v>
      </c>
      <c r="D76" s="16" t="n">
        <v>1</v>
      </c>
      <c r="E76" s="16" t="s">
        <v>85</v>
      </c>
      <c r="F76" s="16" t="s">
        <v>103</v>
      </c>
      <c r="G76" s="12" t="n">
        <f aca="false">IFERROR(VLOOKUP(CONCATENATE(E76,F76),Ventas!D:H,5,0),0)</f>
        <v>118302.307692308</v>
      </c>
      <c r="H76" s="15" t="n">
        <f aca="false">IFERROR(VLOOKUP(A76,Modelos[],18,0),0)*G76/C76</f>
        <v>0</v>
      </c>
      <c r="I76" s="17" t="n">
        <f aca="false">SUM(G76:H76)</f>
        <v>118302.307692308</v>
      </c>
      <c r="J76" s="15" t="n">
        <f aca="false">I76*IFERROR(VLOOKUP(E76,Tabla11[],3,0),0)</f>
        <v>41405.8076923077</v>
      </c>
      <c r="K76" s="15" t="n">
        <f aca="false">I76-J76</f>
        <v>76896.5</v>
      </c>
      <c r="L76" s="15" t="n">
        <f aca="false">Sup!$A$2*D76</f>
        <v>6775.44742838542</v>
      </c>
      <c r="M76" s="15" t="n">
        <f aca="false">IFERROR(VLOOKUP(A76,Modelos[],IF(B76="EST",15,14),0),0)/C76</f>
        <v>0</v>
      </c>
      <c r="N76" s="15" t="n">
        <f aca="false">IF($G76&lt;0,0,IFERROR((N$2*IFERROR(VLOOKUP(E76,Tabla11[],2,0),0))*($G76/SUM($G$5:$G$43)),0))</f>
        <v>2198.90690829148</v>
      </c>
      <c r="O76" s="15" t="n">
        <f aca="false">IF($G76&lt;0,0,IFERROR((O$2*IFERROR(VLOOKUP(E76,Tabla11[],2,0),0))*($G76/SUM($G$5:$G$43)),0))</f>
        <v>427.565232167788</v>
      </c>
      <c r="P76" s="15" t="n">
        <f aca="false">IF($G76&lt;0,0,IFERROR((P$2*IFERROR(VLOOKUP(E76,Tabla11[],2,0),0))*($G76/SUM($G$5:$G$43)),0))</f>
        <v>2198.90690829148</v>
      </c>
      <c r="Q76" s="15" t="n">
        <f aca="false">IF($G76&lt;0,0,IFERROR((Q$2*IFERROR(VLOOKUP(E76,Tabla11[],2,0),0))*($G76/SUM($G$5:$G$43)),0))</f>
        <v>3054.03737262705</v>
      </c>
      <c r="R76" s="15" t="n">
        <f aca="false">K76*$R$2</f>
        <v>30758.6</v>
      </c>
      <c r="S76" s="15" t="n">
        <f aca="false">+R76*IFERROR(VLOOKUP(E76,Tabla11[],4,0),0)</f>
        <v>4613.79</v>
      </c>
      <c r="T76" s="15" t="n">
        <f aca="false">IF(G76&gt;0,$T$2/12,0)</f>
        <v>25833.3333333333</v>
      </c>
      <c r="U76" s="15" t="n">
        <f aca="false">K76-SUM(L76:T76)</f>
        <v>1035.91281690344</v>
      </c>
      <c r="V76" s="15" t="n">
        <f aca="false">IF($G76&lt;0,0,IFERROR((V$2*IFERROR(VLOOKUP(E76,Tabla11[],2,0),0))*($G76/SUM($G$5:$G$43)),0))</f>
        <v>5553.32921676556</v>
      </c>
      <c r="W76" s="15" t="n">
        <f aca="false">G76-G76*IFERROR(VLOOKUP(E76,Tabla11[],3,0),0)-L76-N76-O76-P76-Q76-G76*$R$2-(G76*$R$2)*IFERROR(VLOOKUP(E76,Tabla11[],4,0),0)-V76-T76</f>
        <v>-23564.0879383237</v>
      </c>
      <c r="X76" s="15" t="n">
        <f aca="false">U76-V76</f>
        <v>-4517.41639986212</v>
      </c>
      <c r="Y76" s="15" t="n">
        <f aca="false">ROUND(X76-W76,9)</f>
        <v>19046.671538462</v>
      </c>
    </row>
    <row r="77" customFormat="false" ht="14.4" hidden="false" customHeight="false" outlineLevel="0" collapsed="false">
      <c r="A77" s="12"/>
      <c r="B77" s="12" t="s">
        <v>145</v>
      </c>
      <c r="C77" s="13" t="n">
        <v>1</v>
      </c>
      <c r="D77" s="13" t="n">
        <v>1</v>
      </c>
      <c r="E77" s="13" t="s">
        <v>85</v>
      </c>
      <c r="F77" s="13" t="s">
        <v>104</v>
      </c>
      <c r="G77" s="12" t="n">
        <f aca="false">IFERROR(VLOOKUP(CONCATENATE(E77,F77),Ventas!D:H,5,0),0)</f>
        <v>107577.179487179</v>
      </c>
      <c r="H77" s="12" t="n">
        <f aca="false">IFERROR(VLOOKUP(A77,Modelos[],18,0),0)*G77/C77</f>
        <v>0</v>
      </c>
      <c r="I77" s="14" t="n">
        <f aca="false">SUM(G77:H77)</f>
        <v>107577.179487179</v>
      </c>
      <c r="J77" s="12" t="n">
        <f aca="false">I77*IFERROR(VLOOKUP(E77,Tabla11[],3,0),0)</f>
        <v>37652.0128205128</v>
      </c>
      <c r="K77" s="12" t="n">
        <f aca="false">I77-J77</f>
        <v>69925.1666666667</v>
      </c>
      <c r="L77" s="12" t="n">
        <f aca="false">Sup!$A$2*D77</f>
        <v>6775.44742838542</v>
      </c>
      <c r="M77" s="12" t="n">
        <f aca="false">IFERROR(VLOOKUP(A77,Modelos[],IF(B77="EST",15,14),0),0)/C77</f>
        <v>0</v>
      </c>
      <c r="N77" s="12" t="n">
        <f aca="false">IF($G77&lt;0,0,IFERROR((N$2*IFERROR(VLOOKUP(E77,Tabla11[],2,0),0))*($G77/SUM($G$5:$G$43)),0))</f>
        <v>1999.55696353887</v>
      </c>
      <c r="O77" s="12" t="n">
        <f aca="false">IF($G77&lt;0,0,IFERROR((O$2*IFERROR(VLOOKUP(E77,Tabla11[],2,0),0))*($G77/SUM($G$5:$G$43)),0))</f>
        <v>388.802742910335</v>
      </c>
      <c r="P77" s="12" t="n">
        <f aca="false">IF($G77&lt;0,0,IFERROR((P$2*IFERROR(VLOOKUP(E77,Tabla11[],2,0),0))*($G77/SUM($G$5:$G$43)),0))</f>
        <v>1999.55696353887</v>
      </c>
      <c r="Q77" s="12" t="n">
        <f aca="false">IF($G77&lt;0,0,IFERROR((Q$2*IFERROR(VLOOKUP(E77,Tabla11[],2,0),0))*($G77/SUM($G$5:$G$43)),0))</f>
        <v>2777.16244935954</v>
      </c>
      <c r="R77" s="12" t="n">
        <f aca="false">K77*$R$2</f>
        <v>27970.0666666667</v>
      </c>
      <c r="S77" s="12" t="n">
        <f aca="false">+R77*IFERROR(VLOOKUP(E77,Tabla11[],4,0),0)</f>
        <v>4195.51</v>
      </c>
      <c r="T77" s="12" t="n">
        <f aca="false">IF(G77&gt;0,$T$2/12,0)</f>
        <v>25833.3333333333</v>
      </c>
      <c r="U77" s="12" t="n">
        <f aca="false">K77-SUM(L77:T77)</f>
        <v>-2014.26988106637</v>
      </c>
      <c r="V77" s="12" t="n">
        <f aca="false">IF($G77&lt;0,0,IFERROR((V$2*IFERROR(VLOOKUP(E77,Tabla11[],2,0),0))*($G77/SUM($G$5:$G$43)),0))</f>
        <v>5049.87185420924</v>
      </c>
      <c r="W77" s="12" t="n">
        <f aca="false">G77-G77*IFERROR(VLOOKUP(E77,Tabla11[],3,0),0)-L77-N77-O77-P77-Q77-G77*$R$2-(G77*$R$2)*IFERROR(VLOOKUP(E77,Tabla11[],4,0),0)-V77-T77</f>
        <v>-24384.0676327115</v>
      </c>
      <c r="X77" s="12" t="n">
        <f aca="false">U77-V77</f>
        <v>-7064.14173527561</v>
      </c>
      <c r="Y77" s="12" t="n">
        <f aca="false">ROUND(X77-W77,9)</f>
        <v>17319.925897436</v>
      </c>
    </row>
    <row r="78" customFormat="false" ht="14.4" hidden="false" customHeight="false" outlineLevel="0" collapsed="false">
      <c r="A78" s="15"/>
      <c r="B78" s="15" t="s">
        <v>145</v>
      </c>
      <c r="C78" s="16" t="n">
        <v>1</v>
      </c>
      <c r="D78" s="16" t="n">
        <v>1</v>
      </c>
      <c r="E78" s="16" t="s">
        <v>85</v>
      </c>
      <c r="F78" s="16" t="s">
        <v>105</v>
      </c>
      <c r="G78" s="12" t="n">
        <f aca="false">IFERROR(VLOOKUP(CONCATENATE(E78,F78),Ventas!D:H,5,0),0)</f>
        <v>0</v>
      </c>
      <c r="H78" s="15" t="n">
        <f aca="false">IFERROR(VLOOKUP(A78,Modelos[],18,0),0)*G78/C78</f>
        <v>0</v>
      </c>
      <c r="I78" s="17" t="n">
        <f aca="false">SUM(G78:H78)</f>
        <v>0</v>
      </c>
      <c r="J78" s="15" t="n">
        <f aca="false">I78*IFERROR(VLOOKUP(E78,Tabla11[],3,0),0)</f>
        <v>0</v>
      </c>
      <c r="K78" s="15" t="n">
        <f aca="false">I78-J78</f>
        <v>0</v>
      </c>
      <c r="L78" s="15" t="n">
        <f aca="false">Sup!$A$2*D78</f>
        <v>6775.44742838542</v>
      </c>
      <c r="M78" s="15" t="n">
        <f aca="false">IFERROR(VLOOKUP(A78,Modelos[],IF(B78="EST",15,14),0),0)/C78</f>
        <v>0</v>
      </c>
      <c r="N78" s="15" t="n">
        <f aca="false">IF($G78&lt;0,0,IFERROR((N$2*IFERROR(VLOOKUP(E78,Tabla11[],2,0),0))*($G78/SUM($G$5:$G$43)),0))</f>
        <v>0</v>
      </c>
      <c r="O78" s="15" t="n">
        <f aca="false">IF($G78&lt;0,0,IFERROR((O$2*IFERROR(VLOOKUP(E78,Tabla11[],2,0),0))*($G78/SUM($G$5:$G$43)),0))</f>
        <v>0</v>
      </c>
      <c r="P78" s="15" t="n">
        <f aca="false">IF($G78&lt;0,0,IFERROR((P$2*IFERROR(VLOOKUP(E78,Tabla11[],2,0),0))*($G78/SUM($G$5:$G$43)),0))</f>
        <v>0</v>
      </c>
      <c r="Q78" s="15" t="n">
        <f aca="false">IF($G78&lt;0,0,IFERROR((Q$2*IFERROR(VLOOKUP(E78,Tabla11[],2,0),0))*($G78/SUM($G$5:$G$43)),0))</f>
        <v>0</v>
      </c>
      <c r="R78" s="15" t="n">
        <f aca="false">K78*$R$2</f>
        <v>0</v>
      </c>
      <c r="S78" s="15" t="n">
        <f aca="false">+R78*IFERROR(VLOOKUP(E78,Tabla11[],4,0),0)</f>
        <v>0</v>
      </c>
      <c r="T78" s="15" t="n">
        <f aca="false">IF(G78&gt;0,$T$2/12,0)</f>
        <v>0</v>
      </c>
      <c r="U78" s="15" t="n">
        <f aca="false">K78-SUM(L78:T78)</f>
        <v>-6775.44742838542</v>
      </c>
      <c r="V78" s="15" t="n">
        <f aca="false">IF($G78&lt;0,0,IFERROR((V$2*IFERROR(VLOOKUP(E78,Tabla11[],2,0),0))*($G78/SUM($G$5:$G$43)),0))</f>
        <v>0</v>
      </c>
      <c r="W78" s="15" t="n">
        <f aca="false">G78-G78*IFERROR(VLOOKUP(E78,Tabla11[],3,0),0)-L78-N78-O78-P78-Q78-G78*$R$2-(G78*$R$2)*IFERROR(VLOOKUP(E78,Tabla11[],4,0),0)-V78-T78</f>
        <v>-6775.44742838542</v>
      </c>
      <c r="X78" s="15" t="n">
        <f aca="false">U78-V78</f>
        <v>-6775.44742838542</v>
      </c>
      <c r="Y78" s="15" t="n">
        <f aca="false">ROUND(X78-W78,9)</f>
        <v>0</v>
      </c>
    </row>
    <row r="79" customFormat="false" ht="14.4" hidden="false" customHeight="false" outlineLevel="0" collapsed="false">
      <c r="A79" s="12"/>
      <c r="B79" s="12" t="s">
        <v>145</v>
      </c>
      <c r="C79" s="13" t="n">
        <v>1</v>
      </c>
      <c r="D79" s="13" t="n">
        <v>1</v>
      </c>
      <c r="E79" s="13" t="s">
        <v>85</v>
      </c>
      <c r="F79" s="13" t="s">
        <v>106</v>
      </c>
      <c r="G79" s="12" t="n">
        <f aca="false">IFERROR(VLOOKUP(CONCATENATE(E79,F79),Ventas!D:H,5,0),0)</f>
        <v>0</v>
      </c>
      <c r="H79" s="12" t="n">
        <f aca="false">IFERROR(VLOOKUP(A79,Modelos[],18,0),0)*G79/C79</f>
        <v>0</v>
      </c>
      <c r="I79" s="14" t="n">
        <f aca="false">SUM(G79:H79)</f>
        <v>0</v>
      </c>
      <c r="J79" s="12" t="n">
        <f aca="false">I79*IFERROR(VLOOKUP(E79,Tabla11[],3,0),0)</f>
        <v>0</v>
      </c>
      <c r="K79" s="12" t="n">
        <f aca="false">I79-J79</f>
        <v>0</v>
      </c>
      <c r="L79" s="12" t="n">
        <f aca="false">Sup!$A$2*D79</f>
        <v>6775.44742838542</v>
      </c>
      <c r="M79" s="12" t="n">
        <f aca="false">IFERROR(VLOOKUP(A79,Modelos[],IF(B79="EST",15,14),0),0)/C79</f>
        <v>0</v>
      </c>
      <c r="N79" s="12" t="n">
        <f aca="false">IF($G79&lt;0,0,IFERROR((N$2*IFERROR(VLOOKUP(E79,Tabla11[],2,0),0))*($G79/SUM($G$5:$G$43)),0))</f>
        <v>0</v>
      </c>
      <c r="O79" s="12" t="n">
        <f aca="false">IF($G79&lt;0,0,IFERROR((O$2*IFERROR(VLOOKUP(E79,Tabla11[],2,0),0))*($G79/SUM($G$5:$G$43)),0))</f>
        <v>0</v>
      </c>
      <c r="P79" s="12" t="n">
        <f aca="false">IF($G79&lt;0,0,IFERROR((P$2*IFERROR(VLOOKUP(E79,Tabla11[],2,0),0))*($G79/SUM($G$5:$G$43)),0))</f>
        <v>0</v>
      </c>
      <c r="Q79" s="12" t="n">
        <f aca="false">IF($G79&lt;0,0,IFERROR((Q$2*IFERROR(VLOOKUP(E79,Tabla11[],2,0),0))*($G79/SUM($G$5:$G$43)),0))</f>
        <v>0</v>
      </c>
      <c r="R79" s="12" t="n">
        <f aca="false">K79*$R$2</f>
        <v>0</v>
      </c>
      <c r="S79" s="12" t="n">
        <f aca="false">+R79*IFERROR(VLOOKUP(E79,Tabla11[],4,0),0)</f>
        <v>0</v>
      </c>
      <c r="T79" s="12" t="n">
        <f aca="false">IF(G79&gt;0,$T$2/12,0)</f>
        <v>0</v>
      </c>
      <c r="U79" s="12" t="n">
        <f aca="false">K79-SUM(L79:T79)</f>
        <v>-6775.44742838542</v>
      </c>
      <c r="V79" s="12" t="n">
        <f aca="false">IF($G79&lt;0,0,IFERROR((V$2*IFERROR(VLOOKUP(E79,Tabla11[],2,0),0))*($G79/SUM($G$5:$G$43)),0))</f>
        <v>0</v>
      </c>
      <c r="W79" s="12" t="n">
        <f aca="false">G79-G79*IFERROR(VLOOKUP(E79,Tabla11[],3,0),0)-L79-N79-O79-P79-Q79-G79*$R$2-(G79*$R$2)*IFERROR(VLOOKUP(E79,Tabla11[],4,0),0)-V79-T79</f>
        <v>-6775.44742838542</v>
      </c>
      <c r="X79" s="12" t="n">
        <f aca="false">U79-V79</f>
        <v>-6775.44742838542</v>
      </c>
      <c r="Y79" s="12" t="n">
        <f aca="false">ROUND(X79-W79,9)</f>
        <v>0</v>
      </c>
    </row>
    <row r="80" customFormat="false" ht="14.4" hidden="false" customHeight="false" outlineLevel="0" collapsed="false">
      <c r="A80" s="15"/>
      <c r="B80" s="15" t="s">
        <v>145</v>
      </c>
      <c r="C80" s="16" t="n">
        <v>1</v>
      </c>
      <c r="D80" s="16" t="n">
        <v>1</v>
      </c>
      <c r="E80" s="16" t="s">
        <v>85</v>
      </c>
      <c r="F80" s="16" t="s">
        <v>107</v>
      </c>
      <c r="G80" s="12" t="n">
        <f aca="false">IFERROR(VLOOKUP(CONCATENATE(E80,F80),Ventas!D:H,5,0),0)</f>
        <v>0</v>
      </c>
      <c r="H80" s="15" t="n">
        <f aca="false">IFERROR(VLOOKUP(A80,Modelos[],18,0),0)*G80/C80</f>
        <v>0</v>
      </c>
      <c r="I80" s="17" t="n">
        <f aca="false">SUM(G80:H80)</f>
        <v>0</v>
      </c>
      <c r="J80" s="15" t="n">
        <f aca="false">I80*IFERROR(VLOOKUP(E80,Tabla11[],3,0),0)</f>
        <v>0</v>
      </c>
      <c r="K80" s="15" t="n">
        <f aca="false">I80-J80</f>
        <v>0</v>
      </c>
      <c r="L80" s="15" t="n">
        <f aca="false">Sup!$A$2*D80</f>
        <v>6775.44742838542</v>
      </c>
      <c r="M80" s="15" t="n">
        <f aca="false">IFERROR(VLOOKUP(A80,Modelos[],IF(B80="EST",15,14),0),0)/C80</f>
        <v>0</v>
      </c>
      <c r="N80" s="15" t="n">
        <f aca="false">IF($G80&lt;0,0,IFERROR((N$2*IFERROR(VLOOKUP(E80,Tabla11[],2,0),0))*($G80/SUM($G$5:$G$43)),0))</f>
        <v>0</v>
      </c>
      <c r="O80" s="15" t="n">
        <f aca="false">IF($G80&lt;0,0,IFERROR((O$2*IFERROR(VLOOKUP(E80,Tabla11[],2,0),0))*($G80/SUM($G$5:$G$43)),0))</f>
        <v>0</v>
      </c>
      <c r="P80" s="15" t="n">
        <f aca="false">IF($G80&lt;0,0,IFERROR((P$2*IFERROR(VLOOKUP(E80,Tabla11[],2,0),0))*($G80/SUM($G$5:$G$43)),0))</f>
        <v>0</v>
      </c>
      <c r="Q80" s="15" t="n">
        <f aca="false">IF($G80&lt;0,0,IFERROR((Q$2*IFERROR(VLOOKUP(E80,Tabla11[],2,0),0))*($G80/SUM($G$5:$G$43)),0))</f>
        <v>0</v>
      </c>
      <c r="R80" s="15" t="n">
        <f aca="false">K80*$R$2</f>
        <v>0</v>
      </c>
      <c r="S80" s="15" t="n">
        <f aca="false">+R80*IFERROR(VLOOKUP(E80,Tabla11[],4,0),0)</f>
        <v>0</v>
      </c>
      <c r="T80" s="15" t="n">
        <f aca="false">IF(G80&gt;0,$T$2/12,0)</f>
        <v>0</v>
      </c>
      <c r="U80" s="15" t="n">
        <f aca="false">K80-SUM(L80:T80)</f>
        <v>-6775.44742838542</v>
      </c>
      <c r="V80" s="15" t="n">
        <f aca="false">IF($G80&lt;0,0,IFERROR((V$2*IFERROR(VLOOKUP(E80,Tabla11[],2,0),0))*($G80/SUM($G$5:$G$43)),0))</f>
        <v>0</v>
      </c>
      <c r="W80" s="15" t="n">
        <f aca="false">G80-G80*IFERROR(VLOOKUP(E80,Tabla11[],3,0),0)-L80-N80-O80-P80-Q80-G80*$R$2-(G80*$R$2)*IFERROR(VLOOKUP(E80,Tabla11[],4,0),0)-V80-T80</f>
        <v>-6775.44742838542</v>
      </c>
      <c r="X80" s="15" t="n">
        <f aca="false">U80-V80</f>
        <v>-6775.44742838542</v>
      </c>
      <c r="Y80" s="15" t="n">
        <f aca="false">ROUND(X80-W80,9)</f>
        <v>0</v>
      </c>
    </row>
    <row r="81" customFormat="false" ht="14.4" hidden="false" customHeight="false" outlineLevel="0" collapsed="false">
      <c r="A81" s="12"/>
      <c r="B81" s="12" t="s">
        <v>145</v>
      </c>
      <c r="C81" s="13" t="n">
        <v>1</v>
      </c>
      <c r="D81" s="13" t="n">
        <v>1</v>
      </c>
      <c r="E81" s="13" t="s">
        <v>85</v>
      </c>
      <c r="F81" s="13" t="s">
        <v>108</v>
      </c>
      <c r="G81" s="12" t="n">
        <f aca="false">IFERROR(VLOOKUP(CONCATENATE(E81,F81),Ventas!D:H,5,0),0)</f>
        <v>0</v>
      </c>
      <c r="H81" s="12" t="n">
        <f aca="false">IFERROR(VLOOKUP(A81,Modelos[],18,0),0)*G81/C81</f>
        <v>0</v>
      </c>
      <c r="I81" s="14" t="n">
        <f aca="false">SUM(G81:H81)</f>
        <v>0</v>
      </c>
      <c r="J81" s="12" t="n">
        <f aca="false">I81*IFERROR(VLOOKUP(E81,Tabla11[],3,0),0)</f>
        <v>0</v>
      </c>
      <c r="K81" s="12" t="n">
        <f aca="false">I81-J81</f>
        <v>0</v>
      </c>
      <c r="L81" s="12" t="n">
        <f aca="false">Sup!$A$2*D81</f>
        <v>6775.44742838542</v>
      </c>
      <c r="M81" s="12" t="n">
        <f aca="false">IFERROR(VLOOKUP(A81,Modelos[],IF(B81="EST",15,14),0),0)/C81</f>
        <v>0</v>
      </c>
      <c r="N81" s="12" t="n">
        <f aca="false">IF($G81&lt;0,0,IFERROR((N$2*IFERROR(VLOOKUP(E81,Tabla11[],2,0),0))*($G81/SUM($G$5:$G$43)),0))</f>
        <v>0</v>
      </c>
      <c r="O81" s="12" t="n">
        <f aca="false">IF($G81&lt;0,0,IFERROR((O$2*IFERROR(VLOOKUP(E81,Tabla11[],2,0),0))*($G81/SUM($G$5:$G$43)),0))</f>
        <v>0</v>
      </c>
      <c r="P81" s="12" t="n">
        <f aca="false">IF($G81&lt;0,0,IFERROR((P$2*IFERROR(VLOOKUP(E81,Tabla11[],2,0),0))*($G81/SUM($G$5:$G$43)),0))</f>
        <v>0</v>
      </c>
      <c r="Q81" s="12" t="n">
        <f aca="false">IF($G81&lt;0,0,IFERROR((Q$2*IFERROR(VLOOKUP(E81,Tabla11[],2,0),0))*($G81/SUM($G$5:$G$43)),0))</f>
        <v>0</v>
      </c>
      <c r="R81" s="12" t="n">
        <f aca="false">K81*$R$2</f>
        <v>0</v>
      </c>
      <c r="S81" s="12" t="n">
        <f aca="false">+R81*IFERROR(VLOOKUP(E81,Tabla11[],4,0),0)</f>
        <v>0</v>
      </c>
      <c r="T81" s="12" t="n">
        <f aca="false">IF(G81&gt;0,$T$2/12,0)</f>
        <v>0</v>
      </c>
      <c r="U81" s="12" t="n">
        <f aca="false">K81-SUM(L81:T81)</f>
        <v>-6775.44742838542</v>
      </c>
      <c r="V81" s="12" t="n">
        <f aca="false">IF($G81&lt;0,0,IFERROR((V$2*IFERROR(VLOOKUP(E81,Tabla11[],2,0),0))*($G81/SUM($G$5:$G$43)),0))</f>
        <v>0</v>
      </c>
      <c r="W81" s="12" t="n">
        <f aca="false">G81-G81*IFERROR(VLOOKUP(E81,Tabla11[],3,0),0)-L81-N81-O81-P81-Q81-G81*$R$2-(G81*$R$2)*IFERROR(VLOOKUP(E81,Tabla11[],4,0),0)-V81-T81</f>
        <v>-6775.44742838542</v>
      </c>
      <c r="X81" s="12" t="n">
        <f aca="false">U81-V81</f>
        <v>-6775.44742838542</v>
      </c>
      <c r="Y81" s="12" t="n">
        <f aca="false">ROUND(X81-W81,9)</f>
        <v>0</v>
      </c>
    </row>
    <row r="82" customFormat="false" ht="14.4" hidden="false" customHeight="false" outlineLevel="0" collapsed="false">
      <c r="A82" s="15"/>
      <c r="B82" s="15" t="s">
        <v>145</v>
      </c>
      <c r="C82" s="16" t="n">
        <v>1</v>
      </c>
      <c r="D82" s="16" t="n">
        <v>1</v>
      </c>
      <c r="E82" s="16" t="s">
        <v>109</v>
      </c>
      <c r="F82" s="16" t="s">
        <v>110</v>
      </c>
      <c r="G82" s="12" t="n">
        <f aca="false">IFERROR(VLOOKUP(CONCATENATE(E82,F82),Ventas!D:H,5,0),0)</f>
        <v>508799.384615385</v>
      </c>
      <c r="H82" s="15" t="n">
        <f aca="false">IFERROR(VLOOKUP(A82,Modelos[],18,0),0)*G82/C82</f>
        <v>0</v>
      </c>
      <c r="I82" s="17" t="n">
        <f aca="false">SUM(G82:H82)</f>
        <v>508799.384615385</v>
      </c>
      <c r="J82" s="15" t="n">
        <f aca="false">I82*IFERROR(VLOOKUP(E82,Tabla11[],3,0),0)</f>
        <v>178079.784615385</v>
      </c>
      <c r="K82" s="15" t="n">
        <f aca="false">I82-J82</f>
        <v>330719.6</v>
      </c>
      <c r="L82" s="15" t="n">
        <f aca="false">Sup!$A$2*D82</f>
        <v>6775.44742838542</v>
      </c>
      <c r="M82" s="15" t="n">
        <f aca="false">IFERROR(VLOOKUP(A82,Modelos[],IF(B82="EST",15,14),0),0)/C82</f>
        <v>0</v>
      </c>
      <c r="N82" s="15" t="n">
        <f aca="false">IF($G82&lt;0,0,IFERROR((N$2*IFERROR(VLOOKUP(E82,Tabla11[],2,0),0))*($G82/SUM($G$5:$G$43)),0))</f>
        <v>3337.81708789191</v>
      </c>
      <c r="O82" s="15" t="n">
        <f aca="false">IF($G82&lt;0,0,IFERROR((O$2*IFERROR(VLOOKUP(E82,Tabla11[],2,0),0))*($G82/SUM($G$5:$G$43)),0))</f>
        <v>649.019989312316</v>
      </c>
      <c r="P82" s="15" t="n">
        <f aca="false">IF($G82&lt;0,0,IFERROR((P$2*IFERROR(VLOOKUP(E82,Tabla11[],2,0),0))*($G82/SUM($G$5:$G$43)),0))</f>
        <v>3337.81708789191</v>
      </c>
      <c r="Q82" s="15" t="n">
        <f aca="false">IF($G82&lt;0,0,IFERROR((Q$2*IFERROR(VLOOKUP(E82,Tabla11[],2,0),0))*($G82/SUM($G$5:$G$43)),0))</f>
        <v>4635.85706651655</v>
      </c>
      <c r="R82" s="15" t="n">
        <f aca="false">K82*$R$2</f>
        <v>132287.84</v>
      </c>
      <c r="S82" s="15" t="n">
        <f aca="false">+R82*IFERROR(VLOOKUP(E82,Tabla11[],4,0),0)</f>
        <v>19843.176</v>
      </c>
      <c r="T82" s="15" t="n">
        <f aca="false">IF(G82&gt;0,$T$2/12,0)</f>
        <v>25833.3333333333</v>
      </c>
      <c r="U82" s="15" t="n">
        <f aca="false">K82-SUM(L82:T82)</f>
        <v>134019.292006669</v>
      </c>
      <c r="V82" s="15" t="n">
        <f aca="false">IF($G82&lt;0,0,IFERROR((V$2*IFERROR(VLOOKUP(E82,Tabla11[],2,0),0))*($G82/SUM($G$5:$G$43)),0))</f>
        <v>8429.64160261414</v>
      </c>
      <c r="W82" s="15" t="n">
        <f aca="false">G82-G82*IFERROR(VLOOKUP(E82,Tabla11[],3,0),0)-L82-N82-O82-P82-Q82-G82*$R$2-(G82*$R$2)*IFERROR(VLOOKUP(E82,Tabla11[],4,0),0)-V82-T82</f>
        <v>43672.9494809774</v>
      </c>
      <c r="X82" s="15" t="n">
        <f aca="false">U82-V82</f>
        <v>125589.650404054</v>
      </c>
      <c r="Y82" s="15" t="n">
        <f aca="false">ROUND(X82-W82,9)</f>
        <v>81916.700923077</v>
      </c>
    </row>
    <row r="83" customFormat="false" ht="14.4" hidden="false" customHeight="false" outlineLevel="0" collapsed="false">
      <c r="A83" s="12"/>
      <c r="B83" s="12" t="s">
        <v>145</v>
      </c>
      <c r="C83" s="13" t="n">
        <v>1</v>
      </c>
      <c r="D83" s="13" t="n">
        <v>1</v>
      </c>
      <c r="E83" s="13" t="s">
        <v>109</v>
      </c>
      <c r="F83" s="13" t="s">
        <v>111</v>
      </c>
      <c r="G83" s="12" t="n">
        <f aca="false">IFERROR(VLOOKUP(CONCATENATE(E83,F83),Ventas!D:H,5,0),0)</f>
        <v>436264.615384615</v>
      </c>
      <c r="H83" s="12" t="n">
        <f aca="false">IFERROR(VLOOKUP(A83,Modelos[],18,0),0)*G83/C83</f>
        <v>0</v>
      </c>
      <c r="I83" s="14" t="n">
        <f aca="false">SUM(G83:H83)</f>
        <v>436264.615384615</v>
      </c>
      <c r="J83" s="12" t="n">
        <f aca="false">I83*IFERROR(VLOOKUP(E83,Tabla11[],3,0),0)</f>
        <v>152692.615384615</v>
      </c>
      <c r="K83" s="12" t="n">
        <f aca="false">I83-J83</f>
        <v>283572</v>
      </c>
      <c r="L83" s="12" t="n">
        <f aca="false">Sup!$A$2*D83</f>
        <v>6775.44742838542</v>
      </c>
      <c r="M83" s="12" t="n">
        <f aca="false">IFERROR(VLOOKUP(A83,Modelos[],IF(B83="EST",15,14),0),0)/C83</f>
        <v>0</v>
      </c>
      <c r="N83" s="12" t="n">
        <f aca="false">IF($G83&lt;0,0,IFERROR((N$2*IFERROR(VLOOKUP(E83,Tabla11[],2,0),0))*($G83/SUM($G$5:$G$43)),0))</f>
        <v>2861.97572580423</v>
      </c>
      <c r="O83" s="12" t="n">
        <f aca="false">IF($G83&lt;0,0,IFERROR((O$2*IFERROR(VLOOKUP(E83,Tabla11[],2,0),0))*($G83/SUM($G$5:$G$43)),0))</f>
        <v>556.49528001749</v>
      </c>
      <c r="P83" s="12" t="n">
        <f aca="false">IF($G83&lt;0,0,IFERROR((P$2*IFERROR(VLOOKUP(E83,Tabla11[],2,0),0))*($G83/SUM($G$5:$G$43)),0))</f>
        <v>2861.97572580423</v>
      </c>
      <c r="Q83" s="12" t="n">
        <f aca="false">IF($G83&lt;0,0,IFERROR((Q$2*IFERROR(VLOOKUP(E83,Tabla11[],2,0),0))*($G83/SUM($G$5:$G$43)),0))</f>
        <v>3974.96628583921</v>
      </c>
      <c r="R83" s="12" t="n">
        <f aca="false">K83*$R$2</f>
        <v>113428.8</v>
      </c>
      <c r="S83" s="12" t="n">
        <f aca="false">+R83*IFERROR(VLOOKUP(E83,Tabla11[],4,0),0)</f>
        <v>17014.32</v>
      </c>
      <c r="T83" s="12" t="n">
        <f aca="false">IF(G83&gt;0,$T$2/12,0)</f>
        <v>25833.3333333333</v>
      </c>
      <c r="U83" s="12" t="n">
        <f aca="false">K83-SUM(L83:T83)</f>
        <v>110264.686220816</v>
      </c>
      <c r="V83" s="12" t="n">
        <f aca="false">IF($G83&lt;0,0,IFERROR((V$2*IFERROR(VLOOKUP(E83,Tabla11[],2,0),0))*($G83/SUM($G$5:$G$43)),0))</f>
        <v>7227.90644563097</v>
      </c>
      <c r="W83" s="12" t="n">
        <f aca="false">G83-G83*IFERROR(VLOOKUP(E83,Tabla11[],3,0),0)-L83-N83-O83-P83-Q83-G83*$R$2-(G83*$R$2)*IFERROR(VLOOKUP(E83,Tabla11[],4,0),0)-V83-T83</f>
        <v>32798.176698262</v>
      </c>
      <c r="X83" s="12" t="n">
        <f aca="false">U83-V83</f>
        <v>103036.779775185</v>
      </c>
      <c r="Y83" s="12" t="n">
        <f aca="false">ROUND(X83-W83,9)</f>
        <v>70238.603076923</v>
      </c>
    </row>
    <row r="84" customFormat="false" ht="14.4" hidden="false" customHeight="false" outlineLevel="0" collapsed="false">
      <c r="A84" s="15"/>
      <c r="B84" s="15" t="s">
        <v>145</v>
      </c>
      <c r="C84" s="16" t="n">
        <v>1</v>
      </c>
      <c r="D84" s="16" t="n">
        <v>1</v>
      </c>
      <c r="E84" s="16" t="s">
        <v>109</v>
      </c>
      <c r="F84" s="16" t="s">
        <v>112</v>
      </c>
      <c r="G84" s="12" t="n">
        <f aca="false">IFERROR(VLOOKUP(CONCATENATE(E84,F84),Ventas!D:H,5,0),0)</f>
        <v>422876.923076923</v>
      </c>
      <c r="H84" s="15" t="n">
        <f aca="false">IFERROR(VLOOKUP(A84,Modelos[],18,0),0)*G84/C84</f>
        <v>0</v>
      </c>
      <c r="I84" s="17" t="n">
        <f aca="false">SUM(G84:H84)</f>
        <v>422876.923076923</v>
      </c>
      <c r="J84" s="15" t="n">
        <f aca="false">I84*IFERROR(VLOOKUP(E84,Tabla11[],3,0),0)</f>
        <v>148006.923076923</v>
      </c>
      <c r="K84" s="15" t="n">
        <f aca="false">I84-J84</f>
        <v>274870</v>
      </c>
      <c r="L84" s="15" t="n">
        <f aca="false">Sup!$A$2*D84</f>
        <v>6775.44742838542</v>
      </c>
      <c r="M84" s="15" t="n">
        <f aca="false">IFERROR(VLOOKUP(A84,Modelos[],IF(B84="EST",15,14),0),0)/C84</f>
        <v>0</v>
      </c>
      <c r="N84" s="15" t="n">
        <f aca="false">IF($G84&lt;0,0,IFERROR((N$2*IFERROR(VLOOKUP(E84,Tabla11[],2,0),0))*($G84/SUM($G$5:$G$43)),0))</f>
        <v>2774.15001393582</v>
      </c>
      <c r="O84" s="15" t="n">
        <f aca="false">IF($G84&lt;0,0,IFERROR((O$2*IFERROR(VLOOKUP(E84,Tabla11[],2,0),0))*($G84/SUM($G$5:$G$43)),0))</f>
        <v>539.418058265299</v>
      </c>
      <c r="P84" s="15" t="n">
        <f aca="false">IF($G84&lt;0,0,IFERROR((P$2*IFERROR(VLOOKUP(E84,Tabla11[],2,0),0))*($G84/SUM($G$5:$G$43)),0))</f>
        <v>2774.15001393582</v>
      </c>
      <c r="Q84" s="15" t="n">
        <f aca="false">IF($G84&lt;0,0,IFERROR((Q$2*IFERROR(VLOOKUP(E84,Tabla11[],2,0),0))*($G84/SUM($G$5:$G$43)),0))</f>
        <v>3852.98613046642</v>
      </c>
      <c r="R84" s="15" t="n">
        <f aca="false">K84*$R$2</f>
        <v>109948</v>
      </c>
      <c r="S84" s="15" t="n">
        <f aca="false">+R84*IFERROR(VLOOKUP(E84,Tabla11[],4,0),0)</f>
        <v>16492.2</v>
      </c>
      <c r="T84" s="15" t="n">
        <f aca="false">IF(G84&gt;0,$T$2/12,0)</f>
        <v>25833.3333333333</v>
      </c>
      <c r="U84" s="15" t="n">
        <f aca="false">K84-SUM(L84:T84)</f>
        <v>105880.315021678</v>
      </c>
      <c r="V84" s="15" t="n">
        <f aca="false">IF($G84&lt;0,0,IFERROR((V$2*IFERROR(VLOOKUP(E84,Tabla11[],2,0),0))*($G84/SUM($G$5:$G$43)),0))</f>
        <v>7006.10301690782</v>
      </c>
      <c r="W84" s="15" t="n">
        <f aca="false">G84-G84*IFERROR(VLOOKUP(E84,Tabla11[],3,0),0)-L84-N84-O84-P84-Q84-G84*$R$2-(G84*$R$2)*IFERROR(VLOOKUP(E84,Tabla11[],4,0),0)-V84-T84</f>
        <v>30791.0273893854</v>
      </c>
      <c r="X84" s="15" t="n">
        <f aca="false">U84-V84</f>
        <v>98874.2120047701</v>
      </c>
      <c r="Y84" s="15" t="n">
        <f aca="false">ROUND(X84-W84,9)</f>
        <v>68083.184615385</v>
      </c>
    </row>
    <row r="85" customFormat="false" ht="14.4" hidden="false" customHeight="false" outlineLevel="0" collapsed="false">
      <c r="A85" s="12"/>
      <c r="B85" s="12" t="s">
        <v>145</v>
      </c>
      <c r="C85" s="13" t="n">
        <v>1</v>
      </c>
      <c r="D85" s="13" t="n">
        <v>1</v>
      </c>
      <c r="E85" s="13" t="s">
        <v>109</v>
      </c>
      <c r="F85" s="13" t="s">
        <v>146</v>
      </c>
      <c r="G85" s="12" t="n">
        <f aca="false">IFERROR(VLOOKUP(CONCATENATE(E85,F85),Ventas!D:H,5,0),0)</f>
        <v>0</v>
      </c>
      <c r="H85" s="12" t="n">
        <f aca="false">IFERROR(VLOOKUP(A85,Modelos[],18,0),0)*G85/C85</f>
        <v>0</v>
      </c>
      <c r="I85" s="14" t="n">
        <f aca="false">SUM(G85:H85)</f>
        <v>0</v>
      </c>
      <c r="J85" s="12" t="n">
        <f aca="false">I85*IFERROR(VLOOKUP(E85,Tabla11[],3,0),0)</f>
        <v>0</v>
      </c>
      <c r="K85" s="12" t="n">
        <f aca="false">I85-J85</f>
        <v>0</v>
      </c>
      <c r="L85" s="12" t="n">
        <f aca="false">Sup!$A$2*D85</f>
        <v>6775.44742838542</v>
      </c>
      <c r="M85" s="12" t="n">
        <f aca="false">IFERROR(VLOOKUP(A85,Modelos[],IF(B85="EST",15,14),0),0)/C85</f>
        <v>0</v>
      </c>
      <c r="N85" s="12" t="n">
        <f aca="false">IF($G85&lt;0,0,IFERROR((N$2*IFERROR(VLOOKUP(E85,Tabla11[],2,0),0))*($G85/SUM($G$5:$G$43)),0))</f>
        <v>0</v>
      </c>
      <c r="O85" s="12" t="n">
        <f aca="false">IF($G85&lt;0,0,IFERROR((O$2*IFERROR(VLOOKUP(E85,Tabla11[],2,0),0))*($G85/SUM($G$5:$G$43)),0))</f>
        <v>0</v>
      </c>
      <c r="P85" s="12" t="n">
        <f aca="false">IF($G85&lt;0,0,IFERROR((P$2*IFERROR(VLOOKUP(E85,Tabla11[],2,0),0))*($G85/SUM($G$5:$G$43)),0))</f>
        <v>0</v>
      </c>
      <c r="Q85" s="12" t="n">
        <f aca="false">IF($G85&lt;0,0,IFERROR((Q$2*IFERROR(VLOOKUP(E85,Tabla11[],2,0),0))*($G85/SUM($G$5:$G$43)),0))</f>
        <v>0</v>
      </c>
      <c r="R85" s="12" t="n">
        <f aca="false">K85*$R$2</f>
        <v>0</v>
      </c>
      <c r="S85" s="12" t="n">
        <f aca="false">+R85*IFERROR(VLOOKUP(E85,Tabla11[],4,0),0)</f>
        <v>0</v>
      </c>
      <c r="T85" s="12" t="n">
        <f aca="false">IF(G85&gt;0,$T$2/12,0)</f>
        <v>0</v>
      </c>
      <c r="U85" s="12" t="n">
        <f aca="false">K85-SUM(L85:T85)</f>
        <v>-6775.44742838542</v>
      </c>
      <c r="V85" s="12" t="n">
        <f aca="false">IF($G85&lt;0,0,IFERROR((V$2*IFERROR(VLOOKUP(E85,Tabla11[],2,0),0))*($G85/SUM($G$5:$G$43)),0))</f>
        <v>0</v>
      </c>
      <c r="W85" s="12" t="n">
        <f aca="false">G85-G85*IFERROR(VLOOKUP(E85,Tabla11[],3,0),0)-L85-N85-O85-P85-Q85-G85*$R$2-(G85*$R$2)*IFERROR(VLOOKUP(E85,Tabla11[],4,0),0)-V85-T85</f>
        <v>-6775.44742838542</v>
      </c>
      <c r="X85" s="12" t="n">
        <f aca="false">U85-V85</f>
        <v>-6775.44742838542</v>
      </c>
      <c r="Y85" s="12" t="n">
        <f aca="false">ROUND(X85-W85,9)</f>
        <v>0</v>
      </c>
    </row>
    <row r="86" customFormat="false" ht="14.4" hidden="false" customHeight="false" outlineLevel="0" collapsed="false">
      <c r="A86" s="15"/>
      <c r="B86" s="15" t="s">
        <v>145</v>
      </c>
      <c r="C86" s="16" t="n">
        <v>1</v>
      </c>
      <c r="D86" s="16" t="n">
        <v>1</v>
      </c>
      <c r="E86" s="16" t="s">
        <v>109</v>
      </c>
      <c r="F86" s="16" t="s">
        <v>114</v>
      </c>
      <c r="G86" s="12" t="n">
        <f aca="false">IFERROR(VLOOKUP(CONCATENATE(E86,F86),Ventas!D:H,5,0),0)</f>
        <v>382938.769230769</v>
      </c>
      <c r="H86" s="15" t="n">
        <f aca="false">IFERROR(VLOOKUP(A86,Modelos[],18,0),0)*G86/C86</f>
        <v>0</v>
      </c>
      <c r="I86" s="17" t="n">
        <f aca="false">SUM(G86:H86)</f>
        <v>382938.769230769</v>
      </c>
      <c r="J86" s="15" t="n">
        <f aca="false">I86*IFERROR(VLOOKUP(E86,Tabla11[],3,0),0)</f>
        <v>134028.569230769</v>
      </c>
      <c r="K86" s="15" t="n">
        <f aca="false">I86-J86</f>
        <v>248910.2</v>
      </c>
      <c r="L86" s="15" t="n">
        <f aca="false">Sup!$A$2*D86</f>
        <v>6775.44742838542</v>
      </c>
      <c r="M86" s="15" t="n">
        <f aca="false">IFERROR(VLOOKUP(A86,Modelos[],IF(B86="EST",15,14),0),0)/C86</f>
        <v>0</v>
      </c>
      <c r="N86" s="15" t="n">
        <f aca="false">IF($G86&lt;0,0,IFERROR((N$2*IFERROR(VLOOKUP(E86,Tabla11[],2,0),0))*($G86/SUM($G$5:$G$43)),0))</f>
        <v>2512.14841488256</v>
      </c>
      <c r="O86" s="15" t="n">
        <f aca="false">IF($G86&lt;0,0,IFERROR((O$2*IFERROR(VLOOKUP(E86,Tabla11[],2,0),0))*($G86/SUM($G$5:$G$43)),0))</f>
        <v>488.473302893831</v>
      </c>
      <c r="P86" s="15" t="n">
        <f aca="false">IF($G86&lt;0,0,IFERROR((P$2*IFERROR(VLOOKUP(E86,Tabla11[],2,0),0))*($G86/SUM($G$5:$G$43)),0))</f>
        <v>2512.14841488256</v>
      </c>
      <c r="Q86" s="15" t="n">
        <f aca="false">IF($G86&lt;0,0,IFERROR((Q$2*IFERROR(VLOOKUP(E86,Tabla11[],2,0),0))*($G86/SUM($G$5:$G$43)),0))</f>
        <v>3489.09502067022</v>
      </c>
      <c r="R86" s="15" t="n">
        <f aca="false">K86*$R$2</f>
        <v>99564.08</v>
      </c>
      <c r="S86" s="15" t="n">
        <f aca="false">+R86*IFERROR(VLOOKUP(E86,Tabla11[],4,0),0)</f>
        <v>14934.612</v>
      </c>
      <c r="T86" s="15" t="n">
        <f aca="false">IF(G86&gt;0,$T$2/12,0)</f>
        <v>25833.3333333333</v>
      </c>
      <c r="U86" s="15" t="n">
        <f aca="false">K86-SUM(L86:T86)</f>
        <v>92800.8620849521</v>
      </c>
      <c r="V86" s="15" t="n">
        <f aca="false">IF($G86&lt;0,0,IFERROR((V$2*IFERROR(VLOOKUP(E86,Tabla11[],2,0),0))*($G86/SUM($G$5:$G$43)),0))</f>
        <v>6344.41919146916</v>
      </c>
      <c r="W86" s="15" t="n">
        <f aca="false">G86-G86*IFERROR(VLOOKUP(E86,Tabla11[],3,0),0)-L86-N86-O86-P86-Q86-G86*$R$2-(G86*$R$2)*IFERROR(VLOOKUP(E86,Tabla11[],4,0),0)-V86-T86</f>
        <v>24803.3010473291</v>
      </c>
      <c r="X86" s="15" t="n">
        <f aca="false">U86-V86</f>
        <v>86456.4428934829</v>
      </c>
      <c r="Y86" s="15" t="n">
        <f aca="false">ROUND(X86-W86,9)</f>
        <v>61653.141846154</v>
      </c>
    </row>
    <row r="87" customFormat="false" ht="14.4" hidden="false" customHeight="false" outlineLevel="0" collapsed="false">
      <c r="A87" s="12"/>
      <c r="B87" s="12" t="s">
        <v>145</v>
      </c>
      <c r="C87" s="13" t="n">
        <v>1</v>
      </c>
      <c r="D87" s="13" t="n">
        <v>1</v>
      </c>
      <c r="E87" s="13" t="s">
        <v>109</v>
      </c>
      <c r="F87" s="13" t="s">
        <v>115</v>
      </c>
      <c r="G87" s="12" t="n">
        <f aca="false">IFERROR(VLOOKUP(CONCATENATE(E87,F87),Ventas!D:H,5,0),0)</f>
        <v>262841.846153846</v>
      </c>
      <c r="H87" s="12" t="n">
        <f aca="false">IFERROR(VLOOKUP(A87,Modelos[],18,0),0)*G87/C87</f>
        <v>0</v>
      </c>
      <c r="I87" s="14" t="n">
        <f aca="false">SUM(G87:H87)</f>
        <v>262841.846153846</v>
      </c>
      <c r="J87" s="12" t="n">
        <f aca="false">I87*IFERROR(VLOOKUP(E87,Tabla11[],3,0),0)</f>
        <v>91994.6461538462</v>
      </c>
      <c r="K87" s="12" t="n">
        <f aca="false">I87-J87</f>
        <v>170847.2</v>
      </c>
      <c r="L87" s="12" t="n">
        <f aca="false">Sup!$A$2*D87</f>
        <v>6775.44742838542</v>
      </c>
      <c r="M87" s="12" t="n">
        <f aca="false">IFERROR(VLOOKUP(A87,Modelos[],IF(B87="EST",15,14),0),0)/C87</f>
        <v>0</v>
      </c>
      <c r="N87" s="12" t="n">
        <f aca="false">IF($G87&lt;0,0,IFERROR((N$2*IFERROR(VLOOKUP(E87,Tabla11[],2,0),0))*($G87/SUM($G$5:$G$43)),0))</f>
        <v>1724.29061833193</v>
      </c>
      <c r="O87" s="12" t="n">
        <f aca="false">IF($G87&lt;0,0,IFERROR((O$2*IFERROR(VLOOKUP(E87,Tabla11[],2,0),0))*($G87/SUM($G$5:$G$43)),0))</f>
        <v>335.278731342319</v>
      </c>
      <c r="P87" s="12" t="n">
        <f aca="false">IF($G87&lt;0,0,IFERROR((P$2*IFERROR(VLOOKUP(E87,Tabla11[],2,0),0))*($G87/SUM($G$5:$G$43)),0))</f>
        <v>1724.29061833193</v>
      </c>
      <c r="Q87" s="12" t="n">
        <f aca="false">IF($G87&lt;0,0,IFERROR((Q$2*IFERROR(VLOOKUP(E87,Tabla11[],2,0),0))*($G87/SUM($G$5:$G$43)),0))</f>
        <v>2394.84808101656</v>
      </c>
      <c r="R87" s="12" t="n">
        <f aca="false">K87*$R$2</f>
        <v>68338.88</v>
      </c>
      <c r="S87" s="12" t="n">
        <f aca="false">+R87*IFERROR(VLOOKUP(E87,Tabla11[],4,0),0)</f>
        <v>10250.832</v>
      </c>
      <c r="T87" s="12" t="n">
        <f aca="false">IF(G87&gt;0,$T$2/12,0)</f>
        <v>25833.3333333333</v>
      </c>
      <c r="U87" s="12" t="n">
        <f aca="false">K87-SUM(L87:T87)</f>
        <v>53469.9991892585</v>
      </c>
      <c r="V87" s="12" t="n">
        <f aca="false">IF($G87&lt;0,0,IFERROR((V$2*IFERROR(VLOOKUP(E87,Tabla11[],2,0),0))*($G87/SUM($G$5:$G$43)),0))</f>
        <v>4354.68797377034</v>
      </c>
      <c r="W87" s="12" t="n">
        <f aca="false">G87-G87*IFERROR(VLOOKUP(E87,Tabla11[],3,0),0)-L87-N87-O87-P87-Q87-G87*$R$2-(G87*$R$2)*IFERROR(VLOOKUP(E87,Tabla11[],4,0),0)-V87-T87</f>
        <v>6797.77398471895</v>
      </c>
      <c r="X87" s="12" t="n">
        <f aca="false">U87-V87</f>
        <v>49115.3112154882</v>
      </c>
      <c r="Y87" s="12" t="n">
        <f aca="false">ROUND(X87-W87,9)</f>
        <v>42317.537230769</v>
      </c>
    </row>
    <row r="88" customFormat="false" ht="14.4" hidden="false" customHeight="false" outlineLevel="0" collapsed="false">
      <c r="A88" s="15"/>
      <c r="B88" s="15" t="s">
        <v>145</v>
      </c>
      <c r="C88" s="16" t="n">
        <v>1</v>
      </c>
      <c r="D88" s="16" t="n">
        <v>1</v>
      </c>
      <c r="E88" s="16" t="s">
        <v>116</v>
      </c>
      <c r="F88" s="16" t="s">
        <v>117</v>
      </c>
      <c r="G88" s="12" t="n">
        <f aca="false">IFERROR(VLOOKUP(CONCATENATE(E88,F88),Ventas!D:H,5,0),0)</f>
        <v>396882.153846154</v>
      </c>
      <c r="H88" s="15" t="n">
        <f aca="false">IFERROR(VLOOKUP(A88,Modelos[],18,0),0)*G88/C88</f>
        <v>0</v>
      </c>
      <c r="I88" s="17" t="n">
        <f aca="false">SUM(G88:H88)</f>
        <v>396882.153846154</v>
      </c>
      <c r="J88" s="15" t="n">
        <f aca="false">I88*IFERROR(VLOOKUP(E88,Tabla11[],3,0),0)</f>
        <v>138908.753846154</v>
      </c>
      <c r="K88" s="15" t="n">
        <f aca="false">I88-J88</f>
        <v>257973.4</v>
      </c>
      <c r="L88" s="15" t="n">
        <f aca="false">Sup!$A$2*D88</f>
        <v>6775.44742838542</v>
      </c>
      <c r="M88" s="15" t="n">
        <f aca="false">IFERROR(VLOOKUP(A88,Modelos[],IF(B88="EST",15,14),0),0)/C88</f>
        <v>0</v>
      </c>
      <c r="N88" s="15" t="n">
        <f aca="false">IF($G88&lt;0,0,IFERROR((N$2*IFERROR(VLOOKUP(E88,Tabla11[],2,0),0))*($G88/SUM($G$5:$G$43)),0))</f>
        <v>2603.61956999699</v>
      </c>
      <c r="O88" s="15" t="n">
        <f aca="false">IF($G88&lt;0,0,IFERROR((O$2*IFERROR(VLOOKUP(E88,Tabla11[],2,0),0))*($G88/SUM($G$5:$G$43)),0))</f>
        <v>506.259360832748</v>
      </c>
      <c r="P88" s="15" t="n">
        <f aca="false">IF($G88&lt;0,0,IFERROR((P$2*IFERROR(VLOOKUP(E88,Tabla11[],2,0),0))*($G88/SUM($G$5:$G$43)),0))</f>
        <v>2603.61956999699</v>
      </c>
      <c r="Q88" s="15" t="n">
        <f aca="false">IF($G88&lt;0,0,IFERROR((Q$2*IFERROR(VLOOKUP(E88,Tabla11[],2,0),0))*($G88/SUM($G$5:$G$43)),0))</f>
        <v>3616.13829166248</v>
      </c>
      <c r="R88" s="15" t="n">
        <f aca="false">K88*$R$2</f>
        <v>103189.36</v>
      </c>
      <c r="S88" s="15" t="n">
        <f aca="false">+R88*IFERROR(VLOOKUP(E88,Tabla11[],4,0),0)</f>
        <v>15478.404</v>
      </c>
      <c r="T88" s="15" t="n">
        <f aca="false">IF(G88&gt;0,$T$2/12,0)</f>
        <v>25833.3333333333</v>
      </c>
      <c r="U88" s="15" t="n">
        <f aca="false">K88-SUM(L88:T88)</f>
        <v>97367.2184457921</v>
      </c>
      <c r="V88" s="15" t="n">
        <f aca="false">IF($G88&lt;0,0,IFERROR((V$2*IFERROR(VLOOKUP(E88,Tabla11[],2,0),0))*($G88/SUM($G$5:$G$43)),0))</f>
        <v>6575.42917023309</v>
      </c>
      <c r="W88" s="15" t="n">
        <f aca="false">G88-G88*IFERROR(VLOOKUP(E88,Tabla11[],3,0),0)-L88-N88-O88-P88-Q88-G88*$R$2-(G88*$R$2)*IFERROR(VLOOKUP(E88,Tabla11[],4,0),0)-V88-T88</f>
        <v>26893.7625063282</v>
      </c>
      <c r="X88" s="15" t="n">
        <f aca="false">U88-V88</f>
        <v>90791.789275559</v>
      </c>
      <c r="Y88" s="15" t="n">
        <f aca="false">ROUND(X88-W88,9)</f>
        <v>63898.026769231</v>
      </c>
    </row>
    <row r="89" customFormat="false" ht="14.4" hidden="false" customHeight="false" outlineLevel="0" collapsed="false">
      <c r="A89" s="12"/>
      <c r="B89" s="12" t="s">
        <v>145</v>
      </c>
      <c r="C89" s="13" t="n">
        <v>1</v>
      </c>
      <c r="D89" s="13" t="n">
        <v>1</v>
      </c>
      <c r="E89" s="13" t="s">
        <v>116</v>
      </c>
      <c r="F89" s="13" t="s">
        <v>118</v>
      </c>
      <c r="G89" s="12" t="n">
        <f aca="false">IFERROR(VLOOKUP(CONCATENATE(E89,F89),Ventas!D:H,5,0),0)</f>
        <v>181376.307692308</v>
      </c>
      <c r="H89" s="12" t="n">
        <f aca="false">IFERROR(VLOOKUP(A89,Modelos[],18,0),0)*G89/C89</f>
        <v>0</v>
      </c>
      <c r="I89" s="14" t="n">
        <f aca="false">SUM(G89:H89)</f>
        <v>181376.307692308</v>
      </c>
      <c r="J89" s="12" t="n">
        <f aca="false">I89*IFERROR(VLOOKUP(E89,Tabla11[],3,0),0)</f>
        <v>63481.7076923077</v>
      </c>
      <c r="K89" s="12" t="n">
        <f aca="false">I89-J89</f>
        <v>117894.6</v>
      </c>
      <c r="L89" s="12" t="n">
        <f aca="false">Sup!$A$2*D89</f>
        <v>6775.44742838542</v>
      </c>
      <c r="M89" s="12" t="n">
        <f aca="false">IFERROR(VLOOKUP(A89,Modelos[],IF(B89="EST",15,14),0),0)/C89</f>
        <v>0</v>
      </c>
      <c r="N89" s="12" t="n">
        <f aca="false">IF($G89&lt;0,0,IFERROR((N$2*IFERROR(VLOOKUP(E89,Tabla11[],2,0),0))*($G89/SUM($G$5:$G$43)),0))</f>
        <v>1189.86177550463</v>
      </c>
      <c r="O89" s="12" t="n">
        <f aca="false">IF($G89&lt;0,0,IFERROR((O$2*IFERROR(VLOOKUP(E89,Tabla11[],2,0),0))*($G89/SUM($G$5:$G$43)),0))</f>
        <v>231.362011903679</v>
      </c>
      <c r="P89" s="12" t="n">
        <f aca="false">IF($G89&lt;0,0,IFERROR((P$2*IFERROR(VLOOKUP(E89,Tabla11[],2,0),0))*($G89/SUM($G$5:$G$43)),0))</f>
        <v>1189.86177550463</v>
      </c>
      <c r="Q89" s="12" t="n">
        <f aca="false">IF($G89&lt;0,0,IFERROR((Q$2*IFERROR(VLOOKUP(E89,Tabla11[],2,0),0))*($G89/SUM($G$5:$G$43)),0))</f>
        <v>1652.58579931199</v>
      </c>
      <c r="R89" s="12" t="n">
        <f aca="false">K89*$R$2</f>
        <v>47157.84</v>
      </c>
      <c r="S89" s="12" t="n">
        <f aca="false">+R89*IFERROR(VLOOKUP(E89,Tabla11[],4,0),0)</f>
        <v>7073.676</v>
      </c>
      <c r="T89" s="12" t="n">
        <f aca="false">IF(G89&gt;0,$T$2/12,0)</f>
        <v>25833.3333333333</v>
      </c>
      <c r="U89" s="12" t="n">
        <f aca="false">K89-SUM(L89:T89)</f>
        <v>26790.6318760563</v>
      </c>
      <c r="V89" s="12" t="n">
        <f aca="false">IF($G89&lt;0,0,IFERROR((V$2*IFERROR(VLOOKUP(E89,Tabla11[],2,0),0))*($G89/SUM($G$5:$G$43)),0))</f>
        <v>3004.99040541762</v>
      </c>
      <c r="W89" s="12" t="n">
        <f aca="false">G89-G89*IFERROR(VLOOKUP(E89,Tabla11[],3,0),0)-L89-N89-O89-P89-Q89-G89*$R$2-(G89*$R$2)*IFERROR(VLOOKUP(E89,Tabla11[],4,0),0)-V89-T89</f>
        <v>-5415.94406782285</v>
      </c>
      <c r="X89" s="12" t="n">
        <f aca="false">U89-V89</f>
        <v>23785.6414706387</v>
      </c>
      <c r="Y89" s="12" t="n">
        <f aca="false">ROUND(X89-W89,9)</f>
        <v>29201.585538462</v>
      </c>
    </row>
    <row r="90" customFormat="false" ht="14.4" hidden="false" customHeight="false" outlineLevel="0" collapsed="false">
      <c r="A90" s="15"/>
      <c r="B90" s="15" t="s">
        <v>145</v>
      </c>
      <c r="C90" s="16" t="n">
        <v>1</v>
      </c>
      <c r="D90" s="16" t="n">
        <v>1</v>
      </c>
      <c r="E90" s="16" t="s">
        <v>116</v>
      </c>
      <c r="F90" s="16" t="s">
        <v>119</v>
      </c>
      <c r="G90" s="12" t="n">
        <f aca="false">IFERROR(VLOOKUP(CONCATENATE(E90,F90),Ventas!D:H,5,0),0)</f>
        <v>306109.846153846</v>
      </c>
      <c r="H90" s="15" t="n">
        <f aca="false">IFERROR(VLOOKUP(A90,Modelos[],18,0),0)*G90/C90</f>
        <v>0</v>
      </c>
      <c r="I90" s="17" t="n">
        <f aca="false">SUM(G90:H90)</f>
        <v>306109.846153846</v>
      </c>
      <c r="J90" s="15" t="n">
        <f aca="false">I90*IFERROR(VLOOKUP(E90,Tabla11[],3,0),0)</f>
        <v>107138.446153846</v>
      </c>
      <c r="K90" s="15" t="n">
        <f aca="false">I90-J90</f>
        <v>198971.4</v>
      </c>
      <c r="L90" s="15" t="n">
        <f aca="false">Sup!$A$2*D90</f>
        <v>6775.44742838542</v>
      </c>
      <c r="M90" s="15" t="n">
        <f aca="false">IFERROR(VLOOKUP(A90,Modelos[],IF(B90="EST",15,14),0),0)/C90</f>
        <v>0</v>
      </c>
      <c r="N90" s="15" t="n">
        <f aca="false">IF($G90&lt;0,0,IFERROR((N$2*IFERROR(VLOOKUP(E90,Tabla11[],2,0),0))*($G90/SUM($G$5:$G$43)),0))</f>
        <v>2008.13661761134</v>
      </c>
      <c r="O90" s="15" t="n">
        <f aca="false">IF($G90&lt;0,0,IFERROR((O$2*IFERROR(VLOOKUP(E90,Tabla11[],2,0),0))*($G90/SUM($G$5:$G$43)),0))</f>
        <v>390.471008979984</v>
      </c>
      <c r="P90" s="15" t="n">
        <f aca="false">IF($G90&lt;0,0,IFERROR((P$2*IFERROR(VLOOKUP(E90,Tabla11[],2,0),0))*($G90/SUM($G$5:$G$43)),0))</f>
        <v>2008.13661761134</v>
      </c>
      <c r="Q90" s="15" t="n">
        <f aca="false">IF($G90&lt;0,0,IFERROR((Q$2*IFERROR(VLOOKUP(E90,Tabla11[],2,0),0))*($G90/SUM($G$5:$G$43)),0))</f>
        <v>2789.07863557131</v>
      </c>
      <c r="R90" s="15" t="n">
        <f aca="false">K90*$R$2</f>
        <v>79588.56</v>
      </c>
      <c r="S90" s="15" t="n">
        <f aca="false">+R90*IFERROR(VLOOKUP(E90,Tabla11[],4,0),0)</f>
        <v>11938.284</v>
      </c>
      <c r="T90" s="15" t="n">
        <f aca="false">IF(G90&gt;0,$T$2/12,0)</f>
        <v>25833.3333333333</v>
      </c>
      <c r="U90" s="15" t="n">
        <f aca="false">K90-SUM(L90:T90)</f>
        <v>67639.9523585073</v>
      </c>
      <c r="V90" s="15" t="n">
        <f aca="false">IF($G90&lt;0,0,IFERROR((V$2*IFERROR(VLOOKUP(E90,Tabla11[],2,0),0))*($G90/SUM($G$5:$G$43)),0))</f>
        <v>5071.53973084867</v>
      </c>
      <c r="W90" s="15" t="n">
        <f aca="false">G90-G90*IFERROR(VLOOKUP(E90,Tabla11[],3,0),0)-L90-N90-O90-P90-Q90-G90*$R$2-(G90*$R$2)*IFERROR(VLOOKUP(E90,Tabla11[],4,0),0)-V90-T90</f>
        <v>13284.7273968894</v>
      </c>
      <c r="X90" s="15" t="n">
        <f aca="false">U90-V90</f>
        <v>62568.4126276586</v>
      </c>
      <c r="Y90" s="15" t="n">
        <f aca="false">ROUND(X90-W90,9)</f>
        <v>49283.685230769</v>
      </c>
    </row>
    <row r="91" customFormat="false" ht="14.4" hidden="false" customHeight="false" outlineLevel="0" collapsed="false">
      <c r="A91" s="12"/>
      <c r="B91" s="12" t="s">
        <v>145</v>
      </c>
      <c r="C91" s="13" t="n">
        <v>1</v>
      </c>
      <c r="D91" s="13" t="n">
        <v>1</v>
      </c>
      <c r="E91" s="13" t="s">
        <v>116</v>
      </c>
      <c r="F91" s="13" t="s">
        <v>120</v>
      </c>
      <c r="G91" s="12" t="n">
        <f aca="false">IFERROR(VLOOKUP(CONCATENATE(E91,F91),Ventas!D:H,5,0),0)</f>
        <v>244883.384615385</v>
      </c>
      <c r="H91" s="12" t="n">
        <f aca="false">IFERROR(VLOOKUP(A91,Modelos[],18,0),0)*G91/C91</f>
        <v>0</v>
      </c>
      <c r="I91" s="14" t="n">
        <f aca="false">SUM(G91:H91)</f>
        <v>244883.384615385</v>
      </c>
      <c r="J91" s="12" t="n">
        <f aca="false">I91*IFERROR(VLOOKUP(E91,Tabla11[],3,0),0)</f>
        <v>85709.1846153846</v>
      </c>
      <c r="K91" s="12" t="n">
        <f aca="false">I91-J91</f>
        <v>159174.2</v>
      </c>
      <c r="L91" s="12" t="n">
        <f aca="false">Sup!$A$2*D91</f>
        <v>6775.44742838542</v>
      </c>
      <c r="M91" s="12" t="n">
        <f aca="false">IFERROR(VLOOKUP(A91,Modelos[],IF(B91="EST",15,14),0),0)/C91</f>
        <v>0</v>
      </c>
      <c r="N91" s="12" t="n">
        <f aca="false">IF($G91&lt;0,0,IFERROR((N$2*IFERROR(VLOOKUP(E91,Tabla11[],2,0),0))*($G91/SUM($G$5:$G$43)),0))</f>
        <v>1606.47982372839</v>
      </c>
      <c r="O91" s="12" t="n">
        <f aca="false">IF($G91&lt;0,0,IFERROR((O$2*IFERROR(VLOOKUP(E91,Tabla11[],2,0),0))*($G91/SUM($G$5:$G$43)),0))</f>
        <v>312.371076836077</v>
      </c>
      <c r="P91" s="12" t="n">
        <f aca="false">IF($G91&lt;0,0,IFERROR((P$2*IFERROR(VLOOKUP(E91,Tabla11[],2,0),0))*($G91/SUM($G$5:$G$43)),0))</f>
        <v>1606.47982372839</v>
      </c>
      <c r="Q91" s="12" t="n">
        <f aca="false">IF($G91&lt;0,0,IFERROR((Q$2*IFERROR(VLOOKUP(E91,Tabla11[],2,0),0))*($G91/SUM($G$5:$G$43)),0))</f>
        <v>2231.22197740055</v>
      </c>
      <c r="R91" s="12" t="n">
        <f aca="false">K91*$R$2</f>
        <v>63669.68</v>
      </c>
      <c r="S91" s="12" t="n">
        <f aca="false">+R91*IFERROR(VLOOKUP(E91,Tabla11[],4,0),0)</f>
        <v>9550.452</v>
      </c>
      <c r="T91" s="12" t="n">
        <f aca="false">IF(G91&gt;0,$T$2/12,0)</f>
        <v>25833.3333333333</v>
      </c>
      <c r="U91" s="12" t="n">
        <f aca="false">K91-SUM(L91:T91)</f>
        <v>47588.7345365878</v>
      </c>
      <c r="V91" s="12" t="n">
        <f aca="false">IF($G91&lt;0,0,IFERROR((V$2*IFERROR(VLOOKUP(E91,Tabla11[],2,0),0))*($G91/SUM($G$5:$G$43)),0))</f>
        <v>4057.15735741947</v>
      </c>
      <c r="W91" s="12" t="n">
        <f aca="false">G91-G91*IFERROR(VLOOKUP(E91,Tabla11[],3,0),0)-L91-N91-O91-P91-Q91-G91*$R$2-(G91*$R$2)*IFERROR(VLOOKUP(E91,Tabla11[],4,0),0)-V91-T91</f>
        <v>4105.35225609147</v>
      </c>
      <c r="X91" s="12" t="n">
        <f aca="false">U91-V91</f>
        <v>43531.5771791683</v>
      </c>
      <c r="Y91" s="12" t="n">
        <f aca="false">ROUND(X91-W91,9)</f>
        <v>39426.224923077</v>
      </c>
    </row>
    <row r="92" customFormat="false" ht="14.4" hidden="false" customHeight="false" outlineLevel="0" collapsed="false">
      <c r="A92" s="15"/>
      <c r="B92" s="15" t="s">
        <v>145</v>
      </c>
      <c r="C92" s="16" t="n">
        <v>1</v>
      </c>
      <c r="D92" s="16" t="n">
        <v>1</v>
      </c>
      <c r="E92" s="16" t="s">
        <v>116</v>
      </c>
      <c r="F92" s="16" t="s">
        <v>121</v>
      </c>
      <c r="G92" s="12" t="n">
        <f aca="false">IFERROR(VLOOKUP(CONCATENATE(E92,F92),Ventas!D:H,5,0),0)</f>
        <v>274051.384615385</v>
      </c>
      <c r="H92" s="15" t="n">
        <f aca="false">IFERROR(VLOOKUP(A92,Modelos[],18,0),0)*G92/C92</f>
        <v>0</v>
      </c>
      <c r="I92" s="17" t="n">
        <f aca="false">SUM(G92:H92)</f>
        <v>274051.384615385</v>
      </c>
      <c r="J92" s="15" t="n">
        <f aca="false">I92*IFERROR(VLOOKUP(E92,Tabla11[],3,0),0)</f>
        <v>95917.9846153846</v>
      </c>
      <c r="K92" s="15" t="n">
        <f aca="false">I92-J92</f>
        <v>178133.4</v>
      </c>
      <c r="L92" s="15" t="n">
        <f aca="false">Sup!$A$2*D92</f>
        <v>6775.44742838542</v>
      </c>
      <c r="M92" s="15" t="n">
        <f aca="false">IFERROR(VLOOKUP(A92,Modelos[],IF(B92="EST",15,14),0),0)/C92</f>
        <v>0</v>
      </c>
      <c r="N92" s="15" t="n">
        <f aca="false">IF($G92&lt;0,0,IFERROR((N$2*IFERROR(VLOOKUP(E92,Tabla11[],2,0),0))*($G92/SUM($G$5:$G$43)),0))</f>
        <v>1797.82724230522</v>
      </c>
      <c r="O92" s="15" t="n">
        <f aca="false">IF($G92&lt;0,0,IFERROR((O$2*IFERROR(VLOOKUP(E92,Tabla11[],2,0),0))*($G92/SUM($G$5:$G$43)),0))</f>
        <v>349.577519337126</v>
      </c>
      <c r="P92" s="15" t="n">
        <f aca="false">IF($G92&lt;0,0,IFERROR((P$2*IFERROR(VLOOKUP(E92,Tabla11[],2,0),0))*($G92/SUM($G$5:$G$43)),0))</f>
        <v>1797.82724230522</v>
      </c>
      <c r="Q92" s="15" t="n">
        <f aca="false">IF($G92&lt;0,0,IFERROR((Q$2*IFERROR(VLOOKUP(E92,Tabla11[],2,0),0))*($G92/SUM($G$5:$G$43)),0))</f>
        <v>2496.98228097947</v>
      </c>
      <c r="R92" s="15" t="n">
        <f aca="false">K92*$R$2</f>
        <v>71253.36</v>
      </c>
      <c r="S92" s="15" t="n">
        <f aca="false">+R92*IFERROR(VLOOKUP(E92,Tabla11[],4,0),0)</f>
        <v>10688.004</v>
      </c>
      <c r="T92" s="15" t="n">
        <f aca="false">IF(G92&gt;0,$T$2/12,0)</f>
        <v>25833.3333333333</v>
      </c>
      <c r="U92" s="15" t="n">
        <f aca="false">K92-SUM(L92:T92)</f>
        <v>57141.0409533542</v>
      </c>
      <c r="V92" s="15" t="n">
        <f aca="false">IF($G92&lt;0,0,IFERROR((V$2*IFERROR(VLOOKUP(E92,Tabla11[],2,0),0))*($G92/SUM($G$5:$G$43)),0))</f>
        <v>4540.40437716756</v>
      </c>
      <c r="W92" s="15" t="n">
        <f aca="false">G92-G92*IFERROR(VLOOKUP(E92,Tabla11[],3,0),0)-L92-N92-O92-P92-Q92-G92*$R$2-(G92*$R$2)*IFERROR(VLOOKUP(E92,Tabla11[],4,0),0)-V92-T92</f>
        <v>8478.36365310975</v>
      </c>
      <c r="X92" s="15" t="n">
        <f aca="false">U92-V92</f>
        <v>52600.6365761867</v>
      </c>
      <c r="Y92" s="15" t="n">
        <f aca="false">ROUND(X92-W92,9)</f>
        <v>44122.272923077</v>
      </c>
    </row>
    <row r="93" customFormat="false" ht="14.4" hidden="false" customHeight="false" outlineLevel="0" collapsed="false">
      <c r="A93" s="12"/>
      <c r="B93" s="12" t="s">
        <v>145</v>
      </c>
      <c r="C93" s="13" t="n">
        <v>1</v>
      </c>
      <c r="D93" s="13" t="n">
        <v>1</v>
      </c>
      <c r="E93" s="13" t="s">
        <v>109</v>
      </c>
      <c r="F93" s="13" t="s">
        <v>122</v>
      </c>
      <c r="G93" s="12" t="n">
        <f aca="false">IFERROR(VLOOKUP(CONCATENATE(E93,F93),Ventas!D:H,5,0),0)</f>
        <v>170183.076923077</v>
      </c>
      <c r="H93" s="12" t="n">
        <f aca="false">IFERROR(VLOOKUP(A93,Modelos[],18,0),0)*G93/C93</f>
        <v>0</v>
      </c>
      <c r="I93" s="14" t="n">
        <f aca="false">SUM(G93:H93)</f>
        <v>170183.076923077</v>
      </c>
      <c r="J93" s="12" t="n">
        <f aca="false">I93*IFERROR(VLOOKUP(E93,Tabla11[],3,0),0)</f>
        <v>59564.0769230769</v>
      </c>
      <c r="K93" s="12" t="n">
        <f aca="false">I93-J93</f>
        <v>110619</v>
      </c>
      <c r="L93" s="12" t="n">
        <f aca="false">Sup!$A$2*D93</f>
        <v>6775.44742838542</v>
      </c>
      <c r="M93" s="12" t="n">
        <f aca="false">IFERROR(VLOOKUP(A93,Modelos[],IF(B93="EST",15,14),0),0)/C93</f>
        <v>0</v>
      </c>
      <c r="N93" s="12" t="n">
        <f aca="false">IF($G93&lt;0,0,IFERROR((N$2*IFERROR(VLOOKUP(E93,Tabla11[],2,0),0))*($G93/SUM($G$5:$G$43)),0))</f>
        <v>1116.43213297765</v>
      </c>
      <c r="O93" s="12" t="n">
        <f aca="false">IF($G93&lt;0,0,IFERROR((O$2*IFERROR(VLOOKUP(E93,Tabla11[],2,0),0))*($G93/SUM($G$5:$G$43)),0))</f>
        <v>217.084025856765</v>
      </c>
      <c r="P93" s="12" t="n">
        <f aca="false">IF($G93&lt;0,0,IFERROR((P$2*IFERROR(VLOOKUP(E93,Tabla11[],2,0),0))*($G93/SUM($G$5:$G$43)),0))</f>
        <v>1116.43213297765</v>
      </c>
      <c r="Q93" s="12" t="n">
        <f aca="false">IF($G93&lt;0,0,IFERROR((Q$2*IFERROR(VLOOKUP(E93,Tabla11[],2,0),0))*($G93/SUM($G$5:$G$43)),0))</f>
        <v>1550.60018469118</v>
      </c>
      <c r="R93" s="12" t="n">
        <f aca="false">K93*$R$2</f>
        <v>44247.6</v>
      </c>
      <c r="S93" s="12" t="n">
        <f aca="false">+R93*IFERROR(VLOOKUP(E93,Tabla11[],4,0),0)</f>
        <v>6637.14</v>
      </c>
      <c r="T93" s="12" t="n">
        <f aca="false">IF(G93&gt;0,$T$2/12,0)</f>
        <v>25833.3333333333</v>
      </c>
      <c r="U93" s="12" t="n">
        <f aca="false">K93-SUM(L93:T93)</f>
        <v>23124.930761778</v>
      </c>
      <c r="V93" s="12" t="n">
        <f aca="false">IF($G93&lt;0,0,IFERROR((V$2*IFERROR(VLOOKUP(E93,Tabla11[],2,0),0))*($G93/SUM($G$5:$G$43)),0))</f>
        <v>2819.54418316777</v>
      </c>
      <c r="W93" s="12" t="n">
        <f aca="false">G93-G93*IFERROR(VLOOKUP(E93,Tabla11[],3,0),0)-L93-N93-O93-P93-Q93-G93*$R$2-(G93*$R$2)*IFERROR(VLOOKUP(E93,Tabla11[],4,0),0)-V93-T93</f>
        <v>-7094.08880600517</v>
      </c>
      <c r="X93" s="12" t="n">
        <f aca="false">U93-V93</f>
        <v>20305.3865786102</v>
      </c>
      <c r="Y93" s="12" t="n">
        <f aca="false">ROUND(X93-W93,9)</f>
        <v>27399.475384615</v>
      </c>
    </row>
    <row r="94" customFormat="false" ht="14.4" hidden="false" customHeight="false" outlineLevel="0" collapsed="false">
      <c r="A94" s="15"/>
      <c r="B94" s="15" t="s">
        <v>145</v>
      </c>
      <c r="C94" s="16" t="n">
        <v>1</v>
      </c>
      <c r="D94" s="16" t="n">
        <v>1</v>
      </c>
      <c r="E94" s="16" t="s">
        <v>109</v>
      </c>
      <c r="F94" s="16" t="s">
        <v>123</v>
      </c>
      <c r="G94" s="12" t="n">
        <f aca="false">IFERROR(VLOOKUP(CONCATENATE(E94,F94),Ventas!D:H,5,0),0)</f>
        <v>288595.076923077</v>
      </c>
      <c r="H94" s="15" t="n">
        <f aca="false">IFERROR(VLOOKUP(A94,Modelos[],18,0),0)*G94/C94</f>
        <v>0</v>
      </c>
      <c r="I94" s="17" t="n">
        <f aca="false">SUM(G94:H94)</f>
        <v>288595.076923077</v>
      </c>
      <c r="J94" s="15" t="n">
        <f aca="false">I94*IFERROR(VLOOKUP(E94,Tabla11[],3,0),0)</f>
        <v>101008.276923077</v>
      </c>
      <c r="K94" s="15" t="n">
        <f aca="false">I94-J94</f>
        <v>187586.8</v>
      </c>
      <c r="L94" s="15" t="n">
        <f aca="false">Sup!$A$2*D94</f>
        <v>6775.44742838542</v>
      </c>
      <c r="M94" s="15" t="n">
        <f aca="false">IFERROR(VLOOKUP(A94,Modelos[],IF(B94="EST",15,14),0),0)/C94</f>
        <v>0</v>
      </c>
      <c r="N94" s="15" t="n">
        <f aca="false">IF($G94&lt;0,0,IFERROR((N$2*IFERROR(VLOOKUP(E94,Tabla11[],2,0),0))*($G94/SUM($G$5:$G$43)),0))</f>
        <v>1893.23652575464</v>
      </c>
      <c r="O94" s="15" t="n">
        <f aca="false">IF($G94&lt;0,0,IFERROR((O$2*IFERROR(VLOOKUP(E94,Tabla11[],2,0),0))*($G94/SUM($G$5:$G$43)),0))</f>
        <v>368.12932445229</v>
      </c>
      <c r="P94" s="15" t="n">
        <f aca="false">IF($G94&lt;0,0,IFERROR((P$2*IFERROR(VLOOKUP(E94,Tabla11[],2,0),0))*($G94/SUM($G$5:$G$43)),0))</f>
        <v>1893.23652575464</v>
      </c>
      <c r="Q94" s="15" t="n">
        <f aca="false">IF($G94&lt;0,0,IFERROR((Q$2*IFERROR(VLOOKUP(E94,Tabla11[],2,0),0))*($G94/SUM($G$5:$G$43)),0))</f>
        <v>2629.49517465922</v>
      </c>
      <c r="R94" s="15" t="n">
        <f aca="false">K94*$R$2</f>
        <v>75034.72</v>
      </c>
      <c r="S94" s="15" t="n">
        <f aca="false">+R94*IFERROR(VLOOKUP(E94,Tabla11[],4,0),0)</f>
        <v>11255.208</v>
      </c>
      <c r="T94" s="15" t="n">
        <f aca="false">IF(G94&gt;0,$T$2/12,0)</f>
        <v>25833.3333333333</v>
      </c>
      <c r="U94" s="15" t="n">
        <f aca="false">K94-SUM(L94:T94)</f>
        <v>61903.9936876605</v>
      </c>
      <c r="V94" s="15" t="n">
        <f aca="false">IF($G94&lt;0,0,IFERROR((V$2*IFERROR(VLOOKUP(E94,Tabla11[],2,0),0))*($G94/SUM($G$5:$G$43)),0))</f>
        <v>4781.36008080942</v>
      </c>
      <c r="W94" s="15" t="n">
        <f aca="false">G94-G94*IFERROR(VLOOKUP(E94,Tabla11[],3,0),0)-L94-N94-O94-P94-Q94-G94*$R$2-(G94*$R$2)*IFERROR(VLOOKUP(E94,Tabla11[],4,0),0)-V94-T94</f>
        <v>10658.8262222357</v>
      </c>
      <c r="X94" s="15" t="n">
        <f aca="false">U94-V94</f>
        <v>57122.633606851</v>
      </c>
      <c r="Y94" s="15" t="n">
        <f aca="false">ROUND(X94-W94,9)</f>
        <v>46463.807384615</v>
      </c>
    </row>
    <row r="95" customFormat="false" ht="14.4" hidden="false" customHeight="false" outlineLevel="0" collapsed="false">
      <c r="A95" s="12"/>
      <c r="B95" s="12" t="s">
        <v>145</v>
      </c>
      <c r="C95" s="13" t="n">
        <v>1</v>
      </c>
      <c r="D95" s="13" t="n">
        <v>1</v>
      </c>
      <c r="E95" s="13" t="s">
        <v>116</v>
      </c>
      <c r="F95" s="13" t="s">
        <v>124</v>
      </c>
      <c r="G95" s="12" t="n">
        <f aca="false">IFERROR(VLOOKUP(CONCATENATE(E95,F95),Ventas!D:H,5,0),0)</f>
        <v>212972</v>
      </c>
      <c r="H95" s="12" t="n">
        <f aca="false">IFERROR(VLOOKUP(A95,Modelos[],18,0),0)*G95/C95</f>
        <v>0</v>
      </c>
      <c r="I95" s="14" t="n">
        <f aca="false">SUM(G95:H95)</f>
        <v>212972</v>
      </c>
      <c r="J95" s="12" t="n">
        <f aca="false">I95*IFERROR(VLOOKUP(E95,Tabla11[],3,0),0)</f>
        <v>74540.2</v>
      </c>
      <c r="K95" s="12" t="n">
        <f aca="false">I95-J95</f>
        <v>138431.8</v>
      </c>
      <c r="L95" s="12" t="n">
        <f aca="false">Sup!$A$2*D95</f>
        <v>6775.44742838542</v>
      </c>
      <c r="M95" s="12" t="n">
        <f aca="false">IFERROR(VLOOKUP(A95,Modelos[],IF(B95="EST",15,14),0),0)/C95</f>
        <v>0</v>
      </c>
      <c r="N95" s="12" t="n">
        <f aca="false">IF($G95&lt;0,0,IFERROR((N$2*IFERROR(VLOOKUP(E95,Tabla11[],2,0),0))*($G95/SUM($G$5:$G$43)),0))</f>
        <v>1397.13529995693</v>
      </c>
      <c r="O95" s="12" t="n">
        <f aca="false">IF($G95&lt;0,0,IFERROR((O$2*IFERROR(VLOOKUP(E95,Tabla11[],2,0),0))*($G95/SUM($G$5:$G$43)),0))</f>
        <v>271.665197213847</v>
      </c>
      <c r="P95" s="12" t="n">
        <f aca="false">IF($G95&lt;0,0,IFERROR((P$2*IFERROR(VLOOKUP(E95,Tabla11[],2,0),0))*($G95/SUM($G$5:$G$43)),0))</f>
        <v>1397.13529995693</v>
      </c>
      <c r="Q95" s="12" t="n">
        <f aca="false">IF($G95&lt;0,0,IFERROR((Q$2*IFERROR(VLOOKUP(E95,Tabla11[],2,0),0))*($G95/SUM($G$5:$G$43)),0))</f>
        <v>1940.46569438462</v>
      </c>
      <c r="R95" s="12" t="n">
        <f aca="false">K95*$R$2</f>
        <v>55372.72</v>
      </c>
      <c r="S95" s="12" t="n">
        <f aca="false">+R95*IFERROR(VLOOKUP(E95,Tabla11[],4,0),0)</f>
        <v>8305.908</v>
      </c>
      <c r="T95" s="12" t="n">
        <f aca="false">IF(G95&gt;0,$T$2/12,0)</f>
        <v>25833.3333333333</v>
      </c>
      <c r="U95" s="12" t="n">
        <f aca="false">K95-SUM(L95:T95)</f>
        <v>37137.9897467689</v>
      </c>
      <c r="V95" s="12" t="n">
        <f aca="false">IF($G95&lt;0,0,IFERROR((V$2*IFERROR(VLOOKUP(E95,Tabla11[],2,0),0))*($G95/SUM($G$5:$G$43)),0))</f>
        <v>3528.45873182224</v>
      </c>
      <c r="W95" s="12" t="n">
        <f aca="false">G95-G95*IFERROR(VLOOKUP(E95,Tabla11[],3,0),0)-L95-N95-O95-P95-Q95-G95*$R$2-(G95*$R$2)*IFERROR(VLOOKUP(E95,Tabla11[],4,0),0)-V95-T95</f>
        <v>-678.960985053323</v>
      </c>
      <c r="X95" s="12" t="n">
        <f aca="false">U95-V95</f>
        <v>33609.5310149466</v>
      </c>
      <c r="Y95" s="12" t="n">
        <f aca="false">ROUND(X95-W95,9)</f>
        <v>34288.492</v>
      </c>
    </row>
    <row r="96" customFormat="false" ht="14.4" hidden="false" customHeight="false" outlineLevel="0" collapsed="false">
      <c r="A96" s="15"/>
      <c r="B96" s="15" t="s">
        <v>145</v>
      </c>
      <c r="C96" s="16" t="n">
        <v>1</v>
      </c>
      <c r="D96" s="16" t="n">
        <v>1</v>
      </c>
      <c r="E96" s="16" t="s">
        <v>116</v>
      </c>
      <c r="F96" s="16" t="s">
        <v>125</v>
      </c>
      <c r="G96" s="12" t="n">
        <f aca="false">IFERROR(VLOOKUP(CONCATENATE(E96,F96),Ventas!D:H,5,0),0)</f>
        <v>106624.923076923</v>
      </c>
      <c r="H96" s="15" t="n">
        <f aca="false">IFERROR(VLOOKUP(A96,Modelos[],18,0),0)*G96/C96</f>
        <v>0</v>
      </c>
      <c r="I96" s="17" t="n">
        <f aca="false">SUM(G96:H96)</f>
        <v>106624.923076923</v>
      </c>
      <c r="J96" s="15" t="n">
        <f aca="false">I96*IFERROR(VLOOKUP(E96,Tabla11[],3,0),0)</f>
        <v>37318.7230769231</v>
      </c>
      <c r="K96" s="15" t="n">
        <f aca="false">I96-J96</f>
        <v>69306.2</v>
      </c>
      <c r="L96" s="15" t="n">
        <f aca="false">Sup!$A$2*D96</f>
        <v>6775.44742838542</v>
      </c>
      <c r="M96" s="15" t="n">
        <f aca="false">IFERROR(VLOOKUP(A96,Modelos[],IF(B96="EST",15,14),0),0)/C96</f>
        <v>0</v>
      </c>
      <c r="N96" s="15" t="n">
        <f aca="false">IF($G96&lt;0,0,IFERROR((N$2*IFERROR(VLOOKUP(E96,Tabla11[],2,0),0))*($G96/SUM($G$5:$G$43)),0))</f>
        <v>699.47901078997</v>
      </c>
      <c r="O96" s="15" t="n">
        <f aca="false">IF($G96&lt;0,0,IFERROR((O$2*IFERROR(VLOOKUP(E96,Tabla11[],2,0),0))*($G96/SUM($G$5:$G$43)),0))</f>
        <v>136.009807653605</v>
      </c>
      <c r="P96" s="15" t="n">
        <f aca="false">IF($G96&lt;0,0,IFERROR((P$2*IFERROR(VLOOKUP(E96,Tabla11[],2,0),0))*($G96/SUM($G$5:$G$43)),0))</f>
        <v>699.47901078997</v>
      </c>
      <c r="Q96" s="15" t="n">
        <f aca="false">IF($G96&lt;0,0,IFERROR((Q$2*IFERROR(VLOOKUP(E96,Tabla11[],2,0),0))*($G96/SUM($G$5:$G$43)),0))</f>
        <v>971.49862609718</v>
      </c>
      <c r="R96" s="15" t="n">
        <f aca="false">K96*$R$2</f>
        <v>27722.48</v>
      </c>
      <c r="S96" s="15" t="n">
        <f aca="false">+R96*IFERROR(VLOOKUP(E96,Tabla11[],4,0),0)</f>
        <v>4158.372</v>
      </c>
      <c r="T96" s="15" t="n">
        <f aca="false">IF(G96&gt;0,$T$2/12,0)</f>
        <v>25833.3333333333</v>
      </c>
      <c r="U96" s="15" t="n">
        <f aca="false">K96-SUM(L96:T96)</f>
        <v>2310.10078295053</v>
      </c>
      <c r="V96" s="15" t="n">
        <f aca="false">IF($G96&lt;0,0,IFERROR((V$2*IFERROR(VLOOKUP(E96,Tabla11[],2,0),0))*($G96/SUM($G$5:$G$43)),0))</f>
        <v>1766.53100342131</v>
      </c>
      <c r="W96" s="15" t="n">
        <f aca="false">G96-G96*IFERROR(VLOOKUP(E96,Tabla11[],3,0),0)-L96-N96-O96-P96-Q96-G96*$R$2-(G96*$R$2)*IFERROR(VLOOKUP(E96,Tabla11[],4,0),0)-V96-T96</f>
        <v>-16623.0428358554</v>
      </c>
      <c r="X96" s="15" t="n">
        <f aca="false">U96-V96</f>
        <v>543.56977952921</v>
      </c>
      <c r="Y96" s="15" t="n">
        <f aca="false">ROUND(X96-W96,9)</f>
        <v>17166.612615385</v>
      </c>
    </row>
    <row r="97" customFormat="false" ht="14.4" hidden="false" customHeight="false" outlineLevel="0" collapsed="false">
      <c r="A97" s="12"/>
      <c r="B97" s="12" t="s">
        <v>145</v>
      </c>
      <c r="C97" s="13" t="n">
        <v>1</v>
      </c>
      <c r="D97" s="13" t="n">
        <v>1</v>
      </c>
      <c r="E97" s="13" t="s">
        <v>116</v>
      </c>
      <c r="F97" s="13" t="s">
        <v>126</v>
      </c>
      <c r="G97" s="12" t="n">
        <f aca="false">IFERROR(VLOOKUP(CONCATENATE(E97,F97),Ventas!D:H,5,0),0)</f>
        <v>90416</v>
      </c>
      <c r="H97" s="12" t="n">
        <f aca="false">IFERROR(VLOOKUP(A97,Modelos[],18,0),0)*G97/C97</f>
        <v>0</v>
      </c>
      <c r="I97" s="14" t="n">
        <f aca="false">SUM(G97:H97)</f>
        <v>90416</v>
      </c>
      <c r="J97" s="12" t="n">
        <f aca="false">I97*IFERROR(VLOOKUP(E97,Tabla11[],3,0),0)</f>
        <v>31645.6</v>
      </c>
      <c r="K97" s="12" t="n">
        <f aca="false">I97-J97</f>
        <v>58770.4</v>
      </c>
      <c r="L97" s="12" t="n">
        <f aca="false">Sup!$A$2*D97</f>
        <v>6775.44742838542</v>
      </c>
      <c r="M97" s="12" t="n">
        <f aca="false">IFERROR(VLOOKUP(A97,Modelos[],IF(B97="EST",15,14),0),0)/C97</f>
        <v>0</v>
      </c>
      <c r="N97" s="12" t="n">
        <f aca="false">IF($G97&lt;0,0,IFERROR((N$2*IFERROR(VLOOKUP(E97,Tabla11[],2,0),0))*($G97/SUM($G$5:$G$43)),0))</f>
        <v>593.145508709623</v>
      </c>
      <c r="O97" s="12" t="n">
        <f aca="false">IF($G97&lt;0,0,IFERROR((O$2*IFERROR(VLOOKUP(E97,Tabla11[],2,0),0))*($G97/SUM($G$5:$G$43)),0))</f>
        <v>115.33384891576</v>
      </c>
      <c r="P97" s="12" t="n">
        <f aca="false">IF($G97&lt;0,0,IFERROR((P$2*IFERROR(VLOOKUP(E97,Tabla11[],2,0),0))*($G97/SUM($G$5:$G$43)),0))</f>
        <v>593.145508709623</v>
      </c>
      <c r="Q97" s="12" t="n">
        <f aca="false">IF($G97&lt;0,0,IFERROR((Q$2*IFERROR(VLOOKUP(E97,Tabla11[],2,0),0))*($G97/SUM($G$5:$G$43)),0))</f>
        <v>823.813206541142</v>
      </c>
      <c r="R97" s="12" t="n">
        <f aca="false">K97*$R$2</f>
        <v>23508.16</v>
      </c>
      <c r="S97" s="12" t="n">
        <f aca="false">+R97*IFERROR(VLOOKUP(E97,Tabla11[],4,0),0)</f>
        <v>3526.224</v>
      </c>
      <c r="T97" s="12" t="n">
        <f aca="false">IF(G97&gt;0,$T$2/12,0)</f>
        <v>25833.3333333333</v>
      </c>
      <c r="U97" s="12" t="n">
        <f aca="false">K97-SUM(L97:T97)</f>
        <v>-2998.2028345949</v>
      </c>
      <c r="V97" s="12" t="n">
        <f aca="false">IF($G97&lt;0,0,IFERROR((V$2*IFERROR(VLOOKUP(E97,Tabla11[],2,0),0))*($G97/SUM($G$5:$G$43)),0))</f>
        <v>1497.98623620213</v>
      </c>
      <c r="W97" s="12" t="n">
        <f aca="false">G97-G97*IFERROR(VLOOKUP(E97,Tabla11[],3,0),0)-L97-N97-O97-P97-Q97-G97*$R$2-(G97*$R$2)*IFERROR(VLOOKUP(E97,Tabla11[],4,0),0)-V97-T97</f>
        <v>-19053.165070797</v>
      </c>
      <c r="X97" s="12" t="n">
        <f aca="false">U97-V97</f>
        <v>-4496.18907079703</v>
      </c>
      <c r="Y97" s="12" t="n">
        <f aca="false">ROUND(X97-W97,9)</f>
        <v>14556.976</v>
      </c>
    </row>
    <row r="98" customFormat="false" ht="14.4" hidden="false" customHeight="false" outlineLevel="0" collapsed="false">
      <c r="A98" s="15"/>
      <c r="B98" s="15" t="s">
        <v>145</v>
      </c>
      <c r="C98" s="16" t="n">
        <v>1</v>
      </c>
      <c r="D98" s="16" t="n">
        <v>1</v>
      </c>
      <c r="E98" s="16" t="s">
        <v>116</v>
      </c>
      <c r="F98" s="16" t="s">
        <v>127</v>
      </c>
      <c r="G98" s="12" t="n">
        <f aca="false">IFERROR(VLOOKUP(CONCATENATE(E98,F98),Ventas!D:H,5,0),0)</f>
        <v>30027.3846153846</v>
      </c>
      <c r="H98" s="15" t="n">
        <f aca="false">IFERROR(VLOOKUP(A98,Modelos[],18,0),0)*G98/C98</f>
        <v>0</v>
      </c>
      <c r="I98" s="17" t="n">
        <f aca="false">SUM(G98:H98)</f>
        <v>30027.3846153846</v>
      </c>
      <c r="J98" s="15" t="n">
        <f aca="false">I98*IFERROR(VLOOKUP(E98,Tabla11[],3,0),0)</f>
        <v>10509.5846153846</v>
      </c>
      <c r="K98" s="15" t="n">
        <f aca="false">I98-J98</f>
        <v>19517.8</v>
      </c>
      <c r="L98" s="15" t="n">
        <f aca="false">Sup!$A$2*D98</f>
        <v>6775.44742838542</v>
      </c>
      <c r="M98" s="15" t="n">
        <f aca="false">IFERROR(VLOOKUP(A98,Modelos[],IF(B98="EST",15,14),0),0)/C98</f>
        <v>0</v>
      </c>
      <c r="N98" s="15" t="n">
        <f aca="false">IF($G98&lt;0,0,IFERROR((N$2*IFERROR(VLOOKUP(E98,Tabla11[],2,0),0))*($G98/SUM($G$5:$G$43)),0))</f>
        <v>196.985138945671</v>
      </c>
      <c r="O98" s="15" t="n">
        <f aca="false">IF($G98&lt;0,0,IFERROR((O$2*IFERROR(VLOOKUP(E98,Tabla11[],2,0),0))*($G98/SUM($G$5:$G$43)),0))</f>
        <v>38.3026659061027</v>
      </c>
      <c r="P98" s="15" t="n">
        <f aca="false">IF($G98&lt;0,0,IFERROR((P$2*IFERROR(VLOOKUP(E98,Tabla11[],2,0),0))*($G98/SUM($G$5:$G$43)),0))</f>
        <v>196.985138945671</v>
      </c>
      <c r="Q98" s="15" t="n">
        <f aca="false">IF($G98&lt;0,0,IFERROR((Q$2*IFERROR(VLOOKUP(E98,Tabla11[],2,0),0))*($G98/SUM($G$5:$G$43)),0))</f>
        <v>273.590470757876</v>
      </c>
      <c r="R98" s="15" t="n">
        <f aca="false">K98*$R$2</f>
        <v>7807.12</v>
      </c>
      <c r="S98" s="15" t="n">
        <f aca="false">+R98*IFERROR(VLOOKUP(E98,Tabla11[],4,0),0)</f>
        <v>1171.068</v>
      </c>
      <c r="T98" s="15" t="n">
        <f aca="false">IF(G98&gt;0,$T$2/12,0)</f>
        <v>25833.3333333333</v>
      </c>
      <c r="U98" s="15" t="n">
        <f aca="false">K98-SUM(L98:T98)</f>
        <v>-22775.0321762741</v>
      </c>
      <c r="V98" s="15" t="n">
        <f aca="false">IF($G98&lt;0,0,IFERROR((V$2*IFERROR(VLOOKUP(E98,Tabla11[],2,0),0))*($G98/SUM($G$5:$G$43)),0))</f>
        <v>497.485056439057</v>
      </c>
      <c r="W98" s="15" t="n">
        <f aca="false">G98-G98*IFERROR(VLOOKUP(E98,Tabla11[],3,0),0)-L98-N98-O98-P98-Q98-G98*$R$2-(G98*$R$2)*IFERROR(VLOOKUP(E98,Tabla11[],4,0),0)-V98-T98</f>
        <v>-28106.9261557901</v>
      </c>
      <c r="X98" s="15" t="n">
        <f aca="false">U98-V98</f>
        <v>-23272.5172327131</v>
      </c>
      <c r="Y98" s="15" t="n">
        <f aca="false">ROUND(X98-W98,9)</f>
        <v>4834.408923077</v>
      </c>
    </row>
    <row r="99" customFormat="false" ht="14.4" hidden="false" customHeight="false" outlineLevel="0" collapsed="false">
      <c r="A99" s="12"/>
      <c r="B99" s="12" t="s">
        <v>145</v>
      </c>
      <c r="C99" s="13" t="n">
        <v>1</v>
      </c>
      <c r="D99" s="13" t="n">
        <v>1</v>
      </c>
      <c r="E99" s="13" t="s">
        <v>116</v>
      </c>
      <c r="F99" s="13" t="s">
        <v>128</v>
      </c>
      <c r="G99" s="12" t="n">
        <f aca="false">IFERROR(VLOOKUP(CONCATENATE(E99,F99),Ventas!D:H,5,0),0)</f>
        <v>123269.538461538</v>
      </c>
      <c r="H99" s="12" t="n">
        <f aca="false">IFERROR(VLOOKUP(A99,Modelos[],18,0),0)*G99/C99</f>
        <v>0</v>
      </c>
      <c r="I99" s="14" t="n">
        <f aca="false">SUM(G99:H99)</f>
        <v>123269.538461538</v>
      </c>
      <c r="J99" s="12" t="n">
        <f aca="false">I99*IFERROR(VLOOKUP(E99,Tabla11[],3,0),0)</f>
        <v>43144.3384615385</v>
      </c>
      <c r="K99" s="12" t="n">
        <f aca="false">I99-J99</f>
        <v>80125.2</v>
      </c>
      <c r="L99" s="12" t="n">
        <f aca="false">Sup!$A$2*D99</f>
        <v>6775.44742838542</v>
      </c>
      <c r="M99" s="12" t="n">
        <f aca="false">IFERROR(VLOOKUP(A99,Modelos[],IF(B99="EST",15,14),0),0)/C99</f>
        <v>0</v>
      </c>
      <c r="N99" s="12" t="n">
        <f aca="false">IF($G99&lt;0,0,IFERROR((N$2*IFERROR(VLOOKUP(E99,Tabla11[],2,0),0))*($G99/SUM($G$5:$G$43)),0))</f>
        <v>808.670734152911</v>
      </c>
      <c r="O99" s="12" t="n">
        <f aca="false">IF($G99&lt;0,0,IFERROR((O$2*IFERROR(VLOOKUP(E99,Tabla11[],2,0),0))*($G99/SUM($G$5:$G$43)),0))</f>
        <v>157.241531640844</v>
      </c>
      <c r="P99" s="12" t="n">
        <f aca="false">IF($G99&lt;0,0,IFERROR((P$2*IFERROR(VLOOKUP(E99,Tabla11[],2,0),0))*($G99/SUM($G$5:$G$43)),0))</f>
        <v>808.670734152911</v>
      </c>
      <c r="Q99" s="12" t="n">
        <f aca="false">IF($G99&lt;0,0,IFERROR((Q$2*IFERROR(VLOOKUP(E99,Tabla11[],2,0),0))*($G99/SUM($G$5:$G$43)),0))</f>
        <v>1123.1537974346</v>
      </c>
      <c r="R99" s="12" t="n">
        <f aca="false">K99*$R$2</f>
        <v>32050.08</v>
      </c>
      <c r="S99" s="12" t="n">
        <f aca="false">+R99*IFERROR(VLOOKUP(E99,Tabla11[],4,0),0)</f>
        <v>4807.512</v>
      </c>
      <c r="T99" s="12" t="n">
        <f aca="false">IF(G99&gt;0,$T$2/12,0)</f>
        <v>25833.3333333333</v>
      </c>
      <c r="U99" s="12" t="n">
        <f aca="false">K99-SUM(L99:T99)</f>
        <v>7761.09044089998</v>
      </c>
      <c r="V99" s="12" t="n">
        <f aca="false">IF($G99&lt;0,0,IFERROR((V$2*IFERROR(VLOOKUP(E99,Tabla11[],2,0),0))*($G99/SUM($G$5:$G$43)),0))</f>
        <v>2042.29419525719</v>
      </c>
      <c r="W99" s="12" t="n">
        <f aca="false">G99-G99*IFERROR(VLOOKUP(E99,Tabla11[],3,0),0)-L99-N99-O99-P99-Q99-G99*$R$2-(G99*$R$2)*IFERROR(VLOOKUP(E99,Tabla11[],4,0),0)-V99-T99</f>
        <v>-14127.5994466649</v>
      </c>
      <c r="X99" s="12" t="n">
        <f aca="false">U99-V99</f>
        <v>5718.79624564279</v>
      </c>
      <c r="Y99" s="12" t="n">
        <f aca="false">ROUND(X99-W99,9)</f>
        <v>19846.395692308</v>
      </c>
    </row>
    <row r="100" customFormat="false" ht="14.4" hidden="false" customHeight="false" outlineLevel="0" collapsed="false">
      <c r="A100" s="15"/>
      <c r="B100" s="15" t="s">
        <v>145</v>
      </c>
      <c r="C100" s="16" t="n">
        <v>1</v>
      </c>
      <c r="D100" s="16" t="n">
        <v>1</v>
      </c>
      <c r="E100" s="16" t="s">
        <v>116</v>
      </c>
      <c r="F100" s="16" t="s">
        <v>129</v>
      </c>
      <c r="G100" s="12" t="n">
        <f aca="false">IFERROR(VLOOKUP(CONCATENATE(E100,F100),Ventas!D:H,5,0),0)</f>
        <v>75645.8461538462</v>
      </c>
      <c r="H100" s="15" t="n">
        <f aca="false">IFERROR(VLOOKUP(A100,Modelos[],18,0),0)*G100/C100</f>
        <v>0</v>
      </c>
      <c r="I100" s="17" t="n">
        <f aca="false">SUM(G100:H100)</f>
        <v>75645.8461538462</v>
      </c>
      <c r="J100" s="15" t="n">
        <f aca="false">I100*IFERROR(VLOOKUP(E100,Tabla11[],3,0),0)</f>
        <v>26476.0461538461</v>
      </c>
      <c r="K100" s="15" t="n">
        <f aca="false">I100-J100</f>
        <v>49169.8</v>
      </c>
      <c r="L100" s="15" t="n">
        <f aca="false">Sup!$A$2*D100</f>
        <v>6775.44742838542</v>
      </c>
      <c r="M100" s="15" t="n">
        <f aca="false">IFERROR(VLOOKUP(A100,Modelos[],IF(B100="EST",15,14),0),0)/C100</f>
        <v>0</v>
      </c>
      <c r="N100" s="15" t="n">
        <f aca="false">IF($G100&lt;0,0,IFERROR((N$2*IFERROR(VLOOKUP(E100,Tabla11[],2,0),0))*($G100/SUM($G$5:$G$43)),0))</f>
        <v>496.250596118971</v>
      </c>
      <c r="O100" s="15" t="n">
        <f aca="false">IF($G100&lt;0,0,IFERROR((O$2*IFERROR(VLOOKUP(E100,Tabla11[],2,0),0))*($G100/SUM($G$5:$G$43)),0))</f>
        <v>96.4931714675778</v>
      </c>
      <c r="P100" s="15" t="n">
        <f aca="false">IF($G100&lt;0,0,IFERROR((P$2*IFERROR(VLOOKUP(E100,Tabla11[],2,0),0))*($G100/SUM($G$5:$G$43)),0))</f>
        <v>496.250596118971</v>
      </c>
      <c r="Q100" s="15" t="n">
        <f aca="false">IF($G100&lt;0,0,IFERROR((Q$2*IFERROR(VLOOKUP(E100,Tabla11[],2,0),0))*($G100/SUM($G$5:$G$43)),0))</f>
        <v>689.236939054127</v>
      </c>
      <c r="R100" s="15" t="n">
        <f aca="false">K100*$R$2</f>
        <v>19667.92</v>
      </c>
      <c r="S100" s="15" t="n">
        <f aca="false">+R100*IFERROR(VLOOKUP(E100,Tabla11[],4,0),0)</f>
        <v>2950.188</v>
      </c>
      <c r="T100" s="15" t="n">
        <f aca="false">IF(G100&gt;0,$T$2/12,0)</f>
        <v>25833.3333333333</v>
      </c>
      <c r="U100" s="15" t="n">
        <f aca="false">K100-SUM(L100:T100)</f>
        <v>-7835.32006447841</v>
      </c>
      <c r="V100" s="15" t="n">
        <f aca="false">IF($G100&lt;0,0,IFERROR((V$2*IFERROR(VLOOKUP(E100,Tabla11[],2,0),0))*($G100/SUM($G$5:$G$43)),0))</f>
        <v>1253.278583042</v>
      </c>
      <c r="W100" s="15" t="n">
        <f aca="false">G100-G100*IFERROR(VLOOKUP(E100,Tabla11[],3,0),0)-L100-N100-O100-P100-Q100-G100*$R$2-(G100*$R$2)*IFERROR(VLOOKUP(E100,Tabla11[],4,0),0)-V100-T100</f>
        <v>-21267.5798782896</v>
      </c>
      <c r="X100" s="15" t="n">
        <f aca="false">U100-V100</f>
        <v>-9088.59864752041</v>
      </c>
      <c r="Y100" s="15" t="n">
        <f aca="false">ROUND(X100-W100,9)</f>
        <v>12178.981230769</v>
      </c>
    </row>
    <row r="101" customFormat="false" ht="14.4" hidden="false" customHeight="false" outlineLevel="0" collapsed="false">
      <c r="A101" s="12"/>
      <c r="B101" s="12" t="s">
        <v>145</v>
      </c>
      <c r="C101" s="13" t="n">
        <v>1</v>
      </c>
      <c r="D101" s="13" t="n">
        <v>1</v>
      </c>
      <c r="E101" s="13" t="s">
        <v>116</v>
      </c>
      <c r="F101" s="13" t="s">
        <v>130</v>
      </c>
      <c r="G101" s="12" t="n">
        <f aca="false">IFERROR(VLOOKUP(CONCATENATE(E101,F101),Ventas!D:H,5,0),0)</f>
        <v>56028</v>
      </c>
      <c r="H101" s="12" t="n">
        <f aca="false">IFERROR(VLOOKUP(A101,Modelos[],18,0),0)*G101/C101</f>
        <v>0</v>
      </c>
      <c r="I101" s="14" t="n">
        <f aca="false">SUM(G101:H101)</f>
        <v>56028</v>
      </c>
      <c r="J101" s="12" t="n">
        <f aca="false">I101*IFERROR(VLOOKUP(E101,Tabla11[],3,0),0)</f>
        <v>19609.8</v>
      </c>
      <c r="K101" s="12" t="n">
        <f aca="false">I101-J101</f>
        <v>36418.2</v>
      </c>
      <c r="L101" s="12" t="n">
        <f aca="false">Sup!$A$2*D101</f>
        <v>6775.44742838542</v>
      </c>
      <c r="M101" s="12" t="n">
        <f aca="false">IFERROR(VLOOKUP(A101,Modelos[],IF(B101="EST",15,14),0),0)/C101</f>
        <v>0</v>
      </c>
      <c r="N101" s="12" t="n">
        <f aca="false">IF($G101&lt;0,0,IFERROR((N$2*IFERROR(VLOOKUP(E101,Tabla11[],2,0),0))*($G101/SUM($G$5:$G$43)),0))</f>
        <v>367.553934723752</v>
      </c>
      <c r="O101" s="12" t="n">
        <f aca="false">IF($G101&lt;0,0,IFERROR((O$2*IFERROR(VLOOKUP(E101,Tabla11[],2,0),0))*($G101/SUM($G$5:$G$43)),0))</f>
        <v>71.4688206407295</v>
      </c>
      <c r="P101" s="12" t="n">
        <f aca="false">IF($G101&lt;0,0,IFERROR((P$2*IFERROR(VLOOKUP(E101,Tabla11[],2,0),0))*($G101/SUM($G$5:$G$43)),0))</f>
        <v>367.553934723752</v>
      </c>
      <c r="Q101" s="12" t="n">
        <f aca="false">IF($G101&lt;0,0,IFERROR((Q$2*IFERROR(VLOOKUP(E101,Tabla11[],2,0),0))*($G101/SUM($G$5:$G$43)),0))</f>
        <v>510.491576005211</v>
      </c>
      <c r="R101" s="12" t="n">
        <f aca="false">K101*$R$2</f>
        <v>14567.28</v>
      </c>
      <c r="S101" s="12" t="n">
        <f aca="false">+R101*IFERROR(VLOOKUP(E101,Tabla11[],4,0),0)</f>
        <v>2185.092</v>
      </c>
      <c r="T101" s="12" t="n">
        <f aca="false">IF(G101&gt;0,$T$2/12,0)</f>
        <v>25833.3333333333</v>
      </c>
      <c r="U101" s="12" t="n">
        <f aca="false">K101-SUM(L101:T101)</f>
        <v>-14260.0210278122</v>
      </c>
      <c r="V101" s="12" t="n">
        <f aca="false">IF($G101&lt;0,0,IFERROR((V$2*IFERROR(VLOOKUP(E101,Tabla11[],2,0),0))*($G101/SUM($G$5:$G$43)),0))</f>
        <v>928.255760506248</v>
      </c>
      <c r="W101" s="12" t="n">
        <f aca="false">G101-G101*IFERROR(VLOOKUP(E101,Tabla11[],3,0),0)-L101-N101-O101-P101-Q101-G101*$R$2-(G101*$R$2)*IFERROR(VLOOKUP(E101,Tabla11[],4,0),0)-V101-T101</f>
        <v>-24208.7847883184</v>
      </c>
      <c r="X101" s="12" t="n">
        <f aca="false">U101-V101</f>
        <v>-15188.2767883184</v>
      </c>
      <c r="Y101" s="12" t="n">
        <f aca="false">ROUND(X101-W101,9)</f>
        <v>9020.508</v>
      </c>
    </row>
    <row r="102" customFormat="false" ht="14.4" hidden="false" customHeight="false" outlineLevel="0" collapsed="false">
      <c r="A102" s="15"/>
      <c r="B102" s="15" t="s">
        <v>145</v>
      </c>
      <c r="C102" s="16" t="n">
        <v>1</v>
      </c>
      <c r="D102" s="16" t="n">
        <v>1</v>
      </c>
      <c r="E102" s="16" t="s">
        <v>116</v>
      </c>
      <c r="F102" s="16" t="s">
        <v>131</v>
      </c>
      <c r="G102" s="12" t="n">
        <f aca="false">IFERROR(VLOOKUP(CONCATENATE(E102,F102),Ventas!D:H,5,0),0)</f>
        <v>133662.153846154</v>
      </c>
      <c r="H102" s="15" t="n">
        <f aca="false">IFERROR(VLOOKUP(A102,Modelos[],18,0),0)*G102/C102</f>
        <v>0</v>
      </c>
      <c r="I102" s="17" t="n">
        <f aca="false">SUM(G102:H102)</f>
        <v>133662.153846154</v>
      </c>
      <c r="J102" s="15" t="n">
        <f aca="false">I102*IFERROR(VLOOKUP(E102,Tabla11[],3,0),0)</f>
        <v>46781.7538461538</v>
      </c>
      <c r="K102" s="15" t="n">
        <f aca="false">I102-J102</f>
        <v>86880.4</v>
      </c>
      <c r="L102" s="15" t="n">
        <f aca="false">Sup!$A$2*D102</f>
        <v>6775.44742838542</v>
      </c>
      <c r="M102" s="15" t="n">
        <f aca="false">IFERROR(VLOOKUP(A102,Modelos[],IF(B102="EST",15,14),0),0)/C102</f>
        <v>0</v>
      </c>
      <c r="N102" s="15" t="n">
        <f aca="false">IF($G102&lt;0,0,IFERROR((N$2*IFERROR(VLOOKUP(E102,Tabla11[],2,0),0))*($G102/SUM($G$5:$G$43)),0))</f>
        <v>876.848193221341</v>
      </c>
      <c r="O102" s="15" t="n">
        <f aca="false">IF($G102&lt;0,0,IFERROR((O$2*IFERROR(VLOOKUP(E102,Tabla11[],2,0),0))*($G102/SUM($G$5:$G$43)),0))</f>
        <v>170.498259793039</v>
      </c>
      <c r="P102" s="15" t="n">
        <f aca="false">IF($G102&lt;0,0,IFERROR((P$2*IFERROR(VLOOKUP(E102,Tabla11[],2,0),0))*($G102/SUM($G$5:$G$43)),0))</f>
        <v>876.848193221341</v>
      </c>
      <c r="Q102" s="15" t="n">
        <f aca="false">IF($G102&lt;0,0,IFERROR((Q$2*IFERROR(VLOOKUP(E102,Tabla11[],2,0),0))*($G102/SUM($G$5:$G$43)),0))</f>
        <v>1217.84471280742</v>
      </c>
      <c r="R102" s="15" t="n">
        <f aca="false">K102*$R$2</f>
        <v>34752.16</v>
      </c>
      <c r="S102" s="15" t="n">
        <f aca="false">+R102*IFERROR(VLOOKUP(E102,Tabla11[],4,0),0)</f>
        <v>5212.824</v>
      </c>
      <c r="T102" s="15" t="n">
        <f aca="false">IF(G102&gt;0,$T$2/12,0)</f>
        <v>25833.3333333333</v>
      </c>
      <c r="U102" s="15" t="n">
        <f aca="false">K102-SUM(L102:T102)</f>
        <v>11164.5958792381</v>
      </c>
      <c r="V102" s="15" t="n">
        <f aca="false">IF($G102&lt;0,0,IFERROR((V$2*IFERROR(VLOOKUP(E102,Tabla11[],2,0),0))*($G102/SUM($G$5:$G$43)),0))</f>
        <v>2214.47605249812</v>
      </c>
      <c r="W102" s="15" t="n">
        <f aca="false">G102-G102*IFERROR(VLOOKUP(E102,Tabla11[],3,0),0)-L102-N102-O102-P102-Q102-G102*$R$2-(G102*$R$2)*IFERROR(VLOOKUP(E102,Tabla11[],4,0),0)-V102-T102</f>
        <v>-12569.4869424908</v>
      </c>
      <c r="X102" s="15" t="n">
        <f aca="false">U102-V102</f>
        <v>8950.11982673998</v>
      </c>
      <c r="Y102" s="15" t="n">
        <f aca="false">ROUND(X102-W102,9)</f>
        <v>21519.606769231</v>
      </c>
    </row>
    <row r="103" customFormat="false" ht="14.4" hidden="false" customHeight="false" outlineLevel="0" collapsed="false">
      <c r="A103" s="12"/>
      <c r="B103" s="12" t="s">
        <v>145</v>
      </c>
      <c r="C103" s="13" t="n">
        <v>1</v>
      </c>
      <c r="D103" s="13" t="n">
        <v>1</v>
      </c>
      <c r="E103" s="13" t="s">
        <v>116</v>
      </c>
      <c r="F103" s="13" t="s">
        <v>132</v>
      </c>
      <c r="G103" s="12" t="n">
        <f aca="false">IFERROR(VLOOKUP(CONCATENATE(E103,F103),Ventas!D:H,5,0),0)</f>
        <v>59716</v>
      </c>
      <c r="H103" s="12" t="n">
        <f aca="false">IFERROR(VLOOKUP(A103,Modelos[],18,0),0)*G103/C103</f>
        <v>0</v>
      </c>
      <c r="I103" s="14" t="n">
        <f aca="false">SUM(G103:H103)</f>
        <v>59716</v>
      </c>
      <c r="J103" s="12" t="n">
        <f aca="false">I103*IFERROR(VLOOKUP(E103,Tabla11[],3,0),0)</f>
        <v>20900.6</v>
      </c>
      <c r="K103" s="12" t="n">
        <f aca="false">I103-J103</f>
        <v>38815.4</v>
      </c>
      <c r="L103" s="12" t="n">
        <f aca="false">Sup!$A$2*D103</f>
        <v>6775.44742838542</v>
      </c>
      <c r="M103" s="12" t="n">
        <f aca="false">IFERROR(VLOOKUP(A103,Modelos[],IF(B103="EST",15,14),0),0)/C103</f>
        <v>0</v>
      </c>
      <c r="N103" s="12" t="n">
        <f aca="false">IF($G103&lt;0,0,IFERROR((N$2*IFERROR(VLOOKUP(E103,Tabla11[],2,0),0))*($G103/SUM($G$5:$G$43)),0))</f>
        <v>391.747889733054</v>
      </c>
      <c r="O103" s="12" t="n">
        <f aca="false">IF($G103&lt;0,0,IFERROR((O$2*IFERROR(VLOOKUP(E103,Tabla11[],2,0),0))*($G103/SUM($G$5:$G$43)),0))</f>
        <v>76.1732007814272</v>
      </c>
      <c r="P103" s="12" t="n">
        <f aca="false">IF($G103&lt;0,0,IFERROR((P$2*IFERROR(VLOOKUP(E103,Tabla11[],2,0),0))*($G103/SUM($G$5:$G$43)),0))</f>
        <v>391.747889733054</v>
      </c>
      <c r="Q103" s="12" t="n">
        <f aca="false">IF($G103&lt;0,0,IFERROR((Q$2*IFERROR(VLOOKUP(E103,Tabla11[],2,0),0))*($G103/SUM($G$5:$G$43)),0))</f>
        <v>544.094291295908</v>
      </c>
      <c r="R103" s="12" t="n">
        <f aca="false">K103*$R$2</f>
        <v>15526.16</v>
      </c>
      <c r="S103" s="12" t="n">
        <f aca="false">+R103*IFERROR(VLOOKUP(E103,Tabla11[],4,0),0)</f>
        <v>2328.924</v>
      </c>
      <c r="T103" s="12" t="n">
        <f aca="false">IF(G103&gt;0,$T$2/12,0)</f>
        <v>25833.3333333333</v>
      </c>
      <c r="U103" s="12" t="n">
        <f aca="false">K103-SUM(L103:T103)</f>
        <v>-13052.2280332622</v>
      </c>
      <c r="V103" s="12" t="n">
        <f aca="false">IF($G103&lt;0,0,IFERROR((V$2*IFERROR(VLOOKUP(E103,Tabla11[],2,0),0))*($G103/SUM($G$5:$G$43)),0))</f>
        <v>989.35748187319</v>
      </c>
      <c r="W103" s="12" t="n">
        <f aca="false">G103-G103*IFERROR(VLOOKUP(E103,Tabla11[],3,0),0)-L103-N103-O103-P103-Q103-G103*$R$2-(G103*$R$2)*IFERROR(VLOOKUP(E103,Tabla11[],4,0),0)-V103-T103</f>
        <v>-23655.8615151354</v>
      </c>
      <c r="X103" s="12" t="n">
        <f aca="false">U103-V103</f>
        <v>-14041.5855151354</v>
      </c>
      <c r="Y103" s="12" t="n">
        <f aca="false">ROUND(X103-W103,9)</f>
        <v>9614.276</v>
      </c>
    </row>
    <row r="104" customFormat="false" ht="14.4" hidden="false" customHeight="false" outlineLevel="0" collapsed="false">
      <c r="A104" s="15"/>
      <c r="B104" s="15" t="s">
        <v>145</v>
      </c>
      <c r="C104" s="16" t="n">
        <v>1</v>
      </c>
      <c r="D104" s="16" t="n">
        <v>1</v>
      </c>
      <c r="E104" s="16" t="s">
        <v>116</v>
      </c>
      <c r="F104" s="16" t="s">
        <v>114</v>
      </c>
      <c r="G104" s="12" t="n">
        <f aca="false">IFERROR(VLOOKUP(CONCATENATE(E104,F104),Ventas!D:H,5,0),0)</f>
        <v>0</v>
      </c>
      <c r="H104" s="15" t="n">
        <f aca="false">IFERROR(VLOOKUP(A104,Modelos[],18,0),0)*G104/C104</f>
        <v>0</v>
      </c>
      <c r="I104" s="17" t="n">
        <f aca="false">SUM(G104:H104)</f>
        <v>0</v>
      </c>
      <c r="J104" s="15" t="n">
        <f aca="false">I104*IFERROR(VLOOKUP(E104,Tabla11[],3,0),0)</f>
        <v>0</v>
      </c>
      <c r="K104" s="15" t="n">
        <f aca="false">I104-J104</f>
        <v>0</v>
      </c>
      <c r="L104" s="15" t="n">
        <f aca="false">Sup!$A$2*D104</f>
        <v>6775.44742838542</v>
      </c>
      <c r="M104" s="15" t="n">
        <f aca="false">IFERROR(VLOOKUP(A104,Modelos[],IF(B104="EST",15,14),0),0)/C104</f>
        <v>0</v>
      </c>
      <c r="N104" s="15" t="n">
        <f aca="false">IF($G104&lt;0,0,IFERROR((N$2*IFERROR(VLOOKUP(E104,Tabla11[],2,0),0))*($G104/SUM($G$5:$G$43)),0))</f>
        <v>0</v>
      </c>
      <c r="O104" s="15" t="n">
        <f aca="false">IF($G104&lt;0,0,IFERROR((O$2*IFERROR(VLOOKUP(E104,Tabla11[],2,0),0))*($G104/SUM($G$5:$G$43)),0))</f>
        <v>0</v>
      </c>
      <c r="P104" s="15" t="n">
        <f aca="false">IF($G104&lt;0,0,IFERROR((P$2*IFERROR(VLOOKUP(E104,Tabla11[],2,0),0))*($G104/SUM($G$5:$G$43)),0))</f>
        <v>0</v>
      </c>
      <c r="Q104" s="15" t="n">
        <f aca="false">IF($G104&lt;0,0,IFERROR((Q$2*IFERROR(VLOOKUP(E104,Tabla11[],2,0),0))*($G104/SUM($G$5:$G$43)),0))</f>
        <v>0</v>
      </c>
      <c r="R104" s="15" t="n">
        <f aca="false">K104*$R$2</f>
        <v>0</v>
      </c>
      <c r="S104" s="15" t="n">
        <f aca="false">+R104*IFERROR(VLOOKUP(E104,Tabla11[],4,0),0)</f>
        <v>0</v>
      </c>
      <c r="T104" s="15" t="n">
        <f aca="false">IF(G104&gt;0,$T$2/12,0)</f>
        <v>0</v>
      </c>
      <c r="U104" s="15" t="n">
        <f aca="false">K104-SUM(L104:T104)</f>
        <v>-6775.44742838542</v>
      </c>
      <c r="V104" s="15" t="n">
        <f aca="false">IF($G104&lt;0,0,IFERROR((V$2*IFERROR(VLOOKUP(E104,Tabla11[],2,0),0))*($G104/SUM($G$5:$G$43)),0))</f>
        <v>0</v>
      </c>
      <c r="W104" s="15" t="n">
        <f aca="false">G104-G104*IFERROR(VLOOKUP(E104,Tabla11[],3,0),0)-L104-N104-O104-P104-Q104-G104*$R$2-(G104*$R$2)*IFERROR(VLOOKUP(E104,Tabla11[],4,0),0)-V104-T104</f>
        <v>-6775.44742838542</v>
      </c>
      <c r="X104" s="15" t="n">
        <f aca="false">U104-V104</f>
        <v>-6775.44742838542</v>
      </c>
      <c r="Y104" s="15" t="n">
        <f aca="false">ROUND(X104-W104,9)</f>
        <v>0</v>
      </c>
    </row>
    <row r="105" customFormat="false" ht="14.4" hidden="false" customHeight="false" outlineLevel="0" collapsed="false">
      <c r="A105" s="12"/>
      <c r="B105" s="12" t="s">
        <v>145</v>
      </c>
      <c r="C105" s="13" t="n">
        <v>1</v>
      </c>
      <c r="D105" s="13" t="n">
        <v>1</v>
      </c>
      <c r="E105" s="13" t="s">
        <v>116</v>
      </c>
      <c r="F105" s="13" t="s">
        <v>134</v>
      </c>
      <c r="G105" s="12" t="n">
        <f aca="false">IFERROR(VLOOKUP(CONCATENATE(E105,F105),Ventas!D:H,5,0),0)</f>
        <v>35228.3076923077</v>
      </c>
      <c r="H105" s="12" t="n">
        <f aca="false">IFERROR(VLOOKUP(A105,Modelos[],18,0),0)*G105/C105</f>
        <v>0</v>
      </c>
      <c r="I105" s="14" t="n">
        <f aca="false">SUM(G105:H105)</f>
        <v>35228.3076923077</v>
      </c>
      <c r="J105" s="12" t="n">
        <f aca="false">I105*IFERROR(VLOOKUP(E105,Tabla11[],3,0),0)</f>
        <v>12329.9076923077</v>
      </c>
      <c r="K105" s="12" t="n">
        <f aca="false">I105-J105</f>
        <v>22898.4</v>
      </c>
      <c r="L105" s="12" t="n">
        <f aca="false">Sup!$A$2*D105</f>
        <v>6775.44742838542</v>
      </c>
      <c r="M105" s="12" t="n">
        <f aca="false">IFERROR(VLOOKUP(A105,Modelos[],IF(B105="EST",15,14),0),0)/C105</f>
        <v>0</v>
      </c>
      <c r="N105" s="12" t="n">
        <f aca="false">IF($G105&lt;0,0,IFERROR((N$2*IFERROR(VLOOKUP(E105,Tabla11[],2,0),0))*($G105/SUM($G$5:$G$43)),0))</f>
        <v>231.10414624771</v>
      </c>
      <c r="O105" s="12" t="n">
        <f aca="false">IF($G105&lt;0,0,IFERROR((O$2*IFERROR(VLOOKUP(E105,Tabla11[],2,0),0))*($G105/SUM($G$5:$G$43)),0))</f>
        <v>44.9369173259436</v>
      </c>
      <c r="P105" s="12" t="n">
        <f aca="false">IF($G105&lt;0,0,IFERROR((P$2*IFERROR(VLOOKUP(E105,Tabla11[],2,0),0))*($G105/SUM($G$5:$G$43)),0))</f>
        <v>231.10414624771</v>
      </c>
      <c r="Q105" s="12" t="n">
        <f aca="false">IF($G105&lt;0,0,IFERROR((Q$2*IFERROR(VLOOKUP(E105,Tabla11[],2,0),0))*($G105/SUM($G$5:$G$43)),0))</f>
        <v>320.977980899597</v>
      </c>
      <c r="R105" s="12" t="n">
        <f aca="false">K105*$R$2</f>
        <v>9159.36</v>
      </c>
      <c r="S105" s="12" t="n">
        <f aca="false">+R105*IFERROR(VLOOKUP(E105,Tabla11[],4,0),0)</f>
        <v>1373.904</v>
      </c>
      <c r="T105" s="12" t="n">
        <f aca="false">IF(G105&gt;0,$T$2/12,0)</f>
        <v>25833.3333333333</v>
      </c>
      <c r="U105" s="12" t="n">
        <f aca="false">K105-SUM(L105:T105)</f>
        <v>-21071.7679524397</v>
      </c>
      <c r="V105" s="12" t="n">
        <f aca="false">IF($G105&lt;0,0,IFERROR((V$2*IFERROR(VLOOKUP(E105,Tabla11[],2,0),0))*($G105/SUM($G$5:$G$43)),0))</f>
        <v>583.652451421989</v>
      </c>
      <c r="W105" s="12" t="n">
        <f aca="false">G105-G105*IFERROR(VLOOKUP(E105,Tabla11[],3,0),0)-L105-N105-O105-P105-Q105-G105*$R$2-(G105*$R$2)*IFERROR(VLOOKUP(E105,Tabla11[],4,0),0)-V105-T105</f>
        <v>-27327.1779423232</v>
      </c>
      <c r="X105" s="12" t="n">
        <f aca="false">U105-V105</f>
        <v>-21655.4204038617</v>
      </c>
      <c r="Y105" s="12" t="n">
        <f aca="false">ROUND(X105-W105,9)</f>
        <v>5671.757538462</v>
      </c>
    </row>
    <row r="106" customFormat="false" ht="14.4" hidden="false" customHeight="false" outlineLevel="0" collapsed="false">
      <c r="A106" s="15"/>
      <c r="B106" s="15" t="s">
        <v>145</v>
      </c>
      <c r="C106" s="16" t="n">
        <v>1</v>
      </c>
      <c r="D106" s="16" t="n">
        <v>1</v>
      </c>
      <c r="E106" s="16" t="s">
        <v>109</v>
      </c>
      <c r="F106" s="16" t="s">
        <v>135</v>
      </c>
      <c r="G106" s="12" t="n">
        <f aca="false">IFERROR(VLOOKUP(CONCATENATE(E106,F106),Ventas!D:H,5,0),0)</f>
        <v>81024.3076923077</v>
      </c>
      <c r="H106" s="15" t="n">
        <f aca="false">IFERROR(VLOOKUP(A106,Modelos[],18,0),0)*G106/C106</f>
        <v>0</v>
      </c>
      <c r="I106" s="17" t="n">
        <f aca="false">SUM(G106:H106)</f>
        <v>81024.3076923077</v>
      </c>
      <c r="J106" s="15" t="n">
        <f aca="false">I106*IFERROR(VLOOKUP(E106,Tabla11[],3,0),0)</f>
        <v>28358.5076923077</v>
      </c>
      <c r="K106" s="15" t="n">
        <f aca="false">I106-J106</f>
        <v>52665.8</v>
      </c>
      <c r="L106" s="15" t="n">
        <f aca="false">Sup!$A$2*D106</f>
        <v>6775.44742838542</v>
      </c>
      <c r="M106" s="15" t="n">
        <f aca="false">IFERROR(VLOOKUP(A106,Modelos[],IF(B106="EST",15,14),0),0)/C106</f>
        <v>0</v>
      </c>
      <c r="N106" s="15" t="n">
        <f aca="false">IF($G106&lt;0,0,IFERROR((N$2*IFERROR(VLOOKUP(E106,Tabla11[],2,0),0))*($G106/SUM($G$5:$G$43)),0))</f>
        <v>531.53428822331</v>
      </c>
      <c r="O106" s="15" t="n">
        <f aca="false">IF($G106&lt;0,0,IFERROR((O$2*IFERROR(VLOOKUP(E106,Tabla11[],2,0),0))*($G106/SUM($G$5:$G$43)),0))</f>
        <v>103.353889376755</v>
      </c>
      <c r="P106" s="15" t="n">
        <f aca="false">IF($G106&lt;0,0,IFERROR((P$2*IFERROR(VLOOKUP(E106,Tabla11[],2,0),0))*($G106/SUM($G$5:$G$43)),0))</f>
        <v>531.53428822331</v>
      </c>
      <c r="Q106" s="15" t="n">
        <f aca="false">IF($G106&lt;0,0,IFERROR((Q$2*IFERROR(VLOOKUP(E106,Tabla11[],2,0),0))*($G106/SUM($G$5:$G$43)),0))</f>
        <v>738.24206697682</v>
      </c>
      <c r="R106" s="15" t="n">
        <f aca="false">K106*$R$2</f>
        <v>21066.32</v>
      </c>
      <c r="S106" s="15" t="n">
        <f aca="false">+R106*IFERROR(VLOOKUP(E106,Tabla11[],4,0),0)</f>
        <v>3159.948</v>
      </c>
      <c r="T106" s="15" t="n">
        <f aca="false">IF(G106&gt;0,$T$2/12,0)</f>
        <v>25833.3333333333</v>
      </c>
      <c r="U106" s="15" t="n">
        <f aca="false">K106-SUM(L106:T106)</f>
        <v>-6073.91329451895</v>
      </c>
      <c r="V106" s="15" t="n">
        <f aca="false">IF($G106&lt;0,0,IFERROR((V$2*IFERROR(VLOOKUP(E106,Tabla11[],2,0),0))*($G106/SUM($G$5:$G$43)),0))</f>
        <v>1342.38738410108</v>
      </c>
      <c r="W106" s="15" t="n">
        <f aca="false">G106-G106*IFERROR(VLOOKUP(E106,Tabla11[],3,0),0)-L106-N106-O106-P106-Q106-G106*$R$2-(G106*$R$2)*IFERROR(VLOOKUP(E106,Tabla11[],4,0),0)-V106-T106</f>
        <v>-20461.2142170816</v>
      </c>
      <c r="X106" s="15" t="n">
        <f aca="false">U106-V106</f>
        <v>-7416.30067862003</v>
      </c>
      <c r="Y106" s="15" t="n">
        <f aca="false">ROUND(X106-W106,9)</f>
        <v>13044.913538462</v>
      </c>
    </row>
    <row r="107" customFormat="false" ht="14.4" hidden="false" customHeight="false" outlineLevel="0" collapsed="false">
      <c r="A107" s="12"/>
      <c r="B107" s="12" t="s">
        <v>145</v>
      </c>
      <c r="C107" s="13" t="n">
        <v>1</v>
      </c>
      <c r="D107" s="13" t="n">
        <v>1</v>
      </c>
      <c r="E107" s="13" t="s">
        <v>116</v>
      </c>
      <c r="F107" s="13" t="s">
        <v>136</v>
      </c>
      <c r="G107" s="12" t="n">
        <f aca="false">IFERROR(VLOOKUP(CONCATENATE(E107,F107),Ventas!D:H,5,0),0)</f>
        <v>0</v>
      </c>
      <c r="H107" s="12" t="n">
        <f aca="false">IFERROR(VLOOKUP(A107,Modelos[],18,0),0)*G107/C107</f>
        <v>0</v>
      </c>
      <c r="I107" s="14" t="n">
        <f aca="false">SUM(G107:H107)</f>
        <v>0</v>
      </c>
      <c r="J107" s="12" t="n">
        <f aca="false">I107*IFERROR(VLOOKUP(E107,Tabla11[],3,0),0)</f>
        <v>0</v>
      </c>
      <c r="K107" s="12" t="n">
        <f aca="false">I107-J107</f>
        <v>0</v>
      </c>
      <c r="L107" s="12" t="n">
        <f aca="false">Sup!$A$2*D107</f>
        <v>6775.44742838542</v>
      </c>
      <c r="M107" s="12" t="n">
        <f aca="false">IFERROR(VLOOKUP(A107,Modelos[],IF(B107="EST",15,14),0),0)/C107</f>
        <v>0</v>
      </c>
      <c r="N107" s="12" t="n">
        <f aca="false">IF($G107&lt;0,0,IFERROR((N$2*IFERROR(VLOOKUP(E107,Tabla11[],2,0),0))*($G107/SUM($G$5:$G$43)),0))</f>
        <v>0</v>
      </c>
      <c r="O107" s="12" t="n">
        <f aca="false">IF($G107&lt;0,0,IFERROR((O$2*IFERROR(VLOOKUP(E107,Tabla11[],2,0),0))*($G107/SUM($G$5:$G$43)),0))</f>
        <v>0</v>
      </c>
      <c r="P107" s="12" t="n">
        <f aca="false">IF($G107&lt;0,0,IFERROR((P$2*IFERROR(VLOOKUP(E107,Tabla11[],2,0),0))*($G107/SUM($G$5:$G$43)),0))</f>
        <v>0</v>
      </c>
      <c r="Q107" s="12" t="n">
        <f aca="false">IF($G107&lt;0,0,IFERROR((Q$2*IFERROR(VLOOKUP(E107,Tabla11[],2,0),0))*($G107/SUM($G$5:$G$43)),0))</f>
        <v>0</v>
      </c>
      <c r="R107" s="12" t="n">
        <f aca="false">K107*$R$2</f>
        <v>0</v>
      </c>
      <c r="S107" s="12" t="n">
        <f aca="false">+R107*IFERROR(VLOOKUP(E107,Tabla11[],4,0),0)</f>
        <v>0</v>
      </c>
      <c r="T107" s="12" t="n">
        <f aca="false">IF(G107&gt;0,$T$2/12,0)</f>
        <v>0</v>
      </c>
      <c r="U107" s="12" t="n">
        <f aca="false">K107-SUM(L107:T107)</f>
        <v>-6775.44742838542</v>
      </c>
      <c r="V107" s="12" t="n">
        <f aca="false">IF($G107&lt;0,0,IFERROR((V$2*IFERROR(VLOOKUP(E107,Tabla11[],2,0),0))*($G107/SUM($G$5:$G$43)),0))</f>
        <v>0</v>
      </c>
      <c r="W107" s="12" t="n">
        <f aca="false">G107-G107*IFERROR(VLOOKUP(E107,Tabla11[],3,0),0)-L107-N107-O107-P107-Q107-G107*$R$2-(G107*$R$2)*IFERROR(VLOOKUP(E107,Tabla11[],4,0),0)-V107-T107</f>
        <v>-6775.44742838542</v>
      </c>
      <c r="X107" s="12" t="n">
        <f aca="false">U107-V107</f>
        <v>-6775.44742838542</v>
      </c>
      <c r="Y107" s="12" t="n">
        <f aca="false">ROUND(X107-W107,9)</f>
        <v>0</v>
      </c>
    </row>
    <row r="108" customFormat="false" ht="14.4" hidden="false" customHeight="false" outlineLevel="0" collapsed="false">
      <c r="A108" s="15"/>
      <c r="B108" s="15" t="s">
        <v>145</v>
      </c>
      <c r="C108" s="16" t="n">
        <v>1</v>
      </c>
      <c r="D108" s="16" t="n">
        <v>1</v>
      </c>
      <c r="E108" s="16" t="s">
        <v>116</v>
      </c>
      <c r="F108" s="16" t="s">
        <v>137</v>
      </c>
      <c r="G108" s="12" t="n">
        <f aca="false">IFERROR(VLOOKUP(CONCATENATE(E108,F108),Ventas!D:H,5,0),0)</f>
        <v>0</v>
      </c>
      <c r="H108" s="15" t="n">
        <f aca="false">IFERROR(VLOOKUP(A108,Modelos[],18,0),0)*G108/C108</f>
        <v>0</v>
      </c>
      <c r="I108" s="17" t="n">
        <f aca="false">SUM(G108:H108)</f>
        <v>0</v>
      </c>
      <c r="J108" s="15" t="n">
        <f aca="false">I108*IFERROR(VLOOKUP(E108,Tabla11[],3,0),0)</f>
        <v>0</v>
      </c>
      <c r="K108" s="15" t="n">
        <f aca="false">I108-J108</f>
        <v>0</v>
      </c>
      <c r="L108" s="15" t="n">
        <f aca="false">Sup!$A$2*D108</f>
        <v>6775.44742838542</v>
      </c>
      <c r="M108" s="15" t="n">
        <f aca="false">IFERROR(VLOOKUP(A108,Modelos[],IF(B108="EST",15,14),0),0)/C108</f>
        <v>0</v>
      </c>
      <c r="N108" s="15" t="n">
        <f aca="false">IF($G108&lt;0,0,IFERROR((N$2*IFERROR(VLOOKUP(E108,Tabla11[],2,0),0))*($G108/SUM($G$5:$G$43)),0))</f>
        <v>0</v>
      </c>
      <c r="O108" s="15" t="n">
        <f aca="false">IF($G108&lt;0,0,IFERROR((O$2*IFERROR(VLOOKUP(E108,Tabla11[],2,0),0))*($G108/SUM($G$5:$G$43)),0))</f>
        <v>0</v>
      </c>
      <c r="P108" s="15" t="n">
        <f aca="false">IF($G108&lt;0,0,IFERROR((P$2*IFERROR(VLOOKUP(E108,Tabla11[],2,0),0))*($G108/SUM($G$5:$G$43)),0))</f>
        <v>0</v>
      </c>
      <c r="Q108" s="15" t="n">
        <f aca="false">IF($G108&lt;0,0,IFERROR((Q$2*IFERROR(VLOOKUP(E108,Tabla11[],2,0),0))*($G108/SUM($G$5:$G$43)),0))</f>
        <v>0</v>
      </c>
      <c r="R108" s="15" t="n">
        <f aca="false">K108*$R$2</f>
        <v>0</v>
      </c>
      <c r="S108" s="15" t="n">
        <f aca="false">+R108*IFERROR(VLOOKUP(E108,Tabla11[],4,0),0)</f>
        <v>0</v>
      </c>
      <c r="T108" s="15" t="n">
        <f aca="false">IF(G108&gt;0,$T$2/12,0)</f>
        <v>0</v>
      </c>
      <c r="U108" s="15" t="n">
        <f aca="false">K108-SUM(L108:T108)</f>
        <v>-6775.44742838542</v>
      </c>
      <c r="V108" s="15" t="n">
        <f aca="false">IF($G108&lt;0,0,IFERROR((V$2*IFERROR(VLOOKUP(E108,Tabla11[],2,0),0))*($G108/SUM($G$5:$G$43)),0))</f>
        <v>0</v>
      </c>
      <c r="W108" s="15" t="n">
        <f aca="false">G108-G108*IFERROR(VLOOKUP(E108,Tabla11[],3,0),0)-L108-N108-O108-P108-Q108-G108*$R$2-(G108*$R$2)*IFERROR(VLOOKUP(E108,Tabla11[],4,0),0)-V108-T108</f>
        <v>-6775.44742838542</v>
      </c>
      <c r="X108" s="15" t="n">
        <f aca="false">U108-V108</f>
        <v>-6775.44742838542</v>
      </c>
      <c r="Y108" s="15" t="n">
        <f aca="false">ROUND(X108-W108,9)</f>
        <v>0</v>
      </c>
    </row>
    <row r="109" customFormat="false" ht="14.4" hidden="false" customHeight="false" outlineLevel="0" collapsed="false">
      <c r="A109" s="12"/>
      <c r="B109" s="12" t="s">
        <v>145</v>
      </c>
      <c r="C109" s="13" t="n">
        <v>1</v>
      </c>
      <c r="D109" s="13" t="n">
        <v>1</v>
      </c>
      <c r="E109" s="13" t="s">
        <v>116</v>
      </c>
      <c r="F109" s="13" t="s">
        <v>138</v>
      </c>
      <c r="G109" s="12" t="n">
        <f aca="false">IFERROR(VLOOKUP(CONCATENATE(E109,F109),Ventas!D:H,5,0),0)</f>
        <v>670.461538461538</v>
      </c>
      <c r="H109" s="12" t="n">
        <f aca="false">IFERROR(VLOOKUP(A109,Modelos[],18,0),0)*G109/C109</f>
        <v>0</v>
      </c>
      <c r="I109" s="14" t="n">
        <f aca="false">SUM(G109:H109)</f>
        <v>670.461538461538</v>
      </c>
      <c r="J109" s="12" t="n">
        <f aca="false">I109*IFERROR(VLOOKUP(E109,Tabla11[],3,0),0)</f>
        <v>234.661538461538</v>
      </c>
      <c r="K109" s="12" t="n">
        <f aca="false">I109-J109</f>
        <v>435.8</v>
      </c>
      <c r="L109" s="12" t="n">
        <f aca="false">Sup!$A$2*D109</f>
        <v>6775.44742838542</v>
      </c>
      <c r="M109" s="12" t="n">
        <f aca="false">IFERROR(VLOOKUP(A109,Modelos[],IF(B109="EST",15,14),0),0)/C109</f>
        <v>0</v>
      </c>
      <c r="N109" s="12" t="n">
        <f aca="false">IF($G109&lt;0,0,IFERROR((N$2*IFERROR(VLOOKUP(E109,Tabla11[],2,0),0))*($G109/SUM($G$5:$G$43)),0))</f>
        <v>4.39835040591273</v>
      </c>
      <c r="O109" s="12" t="n">
        <f aca="false">IF($G109&lt;0,0,IFERROR((O$2*IFERROR(VLOOKUP(E109,Tabla11[],2,0),0))*($G109/SUM($G$5:$G$43)),0))</f>
        <v>0.855234801149698</v>
      </c>
      <c r="P109" s="12" t="n">
        <f aca="false">IF($G109&lt;0,0,IFERROR((P$2*IFERROR(VLOOKUP(E109,Tabla11[],2,0),0))*($G109/SUM($G$5:$G$43)),0))</f>
        <v>4.39835040591273</v>
      </c>
      <c r="Q109" s="12" t="n">
        <f aca="false">IF($G109&lt;0,0,IFERROR((Q$2*IFERROR(VLOOKUP(E109,Tabla11[],2,0),0))*($G109/SUM($G$5:$G$43)),0))</f>
        <v>6.10882000821213</v>
      </c>
      <c r="R109" s="12" t="n">
        <f aca="false">K109*$R$2</f>
        <v>174.32</v>
      </c>
      <c r="S109" s="12" t="n">
        <f aca="false">+R109*IFERROR(VLOOKUP(E109,Tabla11[],4,0),0)</f>
        <v>26.148</v>
      </c>
      <c r="T109" s="12" t="n">
        <f aca="false">IF(G109&gt;0,$T$2/12,0)</f>
        <v>25833.3333333333</v>
      </c>
      <c r="U109" s="12" t="n">
        <f aca="false">K109-SUM(L109:T109)</f>
        <v>-32389.2095173399</v>
      </c>
      <c r="V109" s="12" t="n">
        <f aca="false">IF($G109&lt;0,0,IFERROR((V$2*IFERROR(VLOOKUP(E109,Tabla11[],2,0),0))*($G109/SUM($G$5:$G$43)),0))</f>
        <v>11.1080135873992</v>
      </c>
      <c r="W109" s="12" t="n">
        <f aca="false">G109-G109*IFERROR(VLOOKUP(E109,Tabla11[],3,0),0)-L109-N109-O109-P109-Q109-G109*$R$2-(G109*$R$2)*IFERROR(VLOOKUP(E109,Tabla11[],4,0),0)-V109-T109</f>
        <v>-32508.2618386196</v>
      </c>
      <c r="X109" s="12" t="n">
        <f aca="false">U109-V109</f>
        <v>-32400.3175309273</v>
      </c>
      <c r="Y109" s="12" t="n">
        <f aca="false">ROUND(X109-W109,9)</f>
        <v>107.944307692</v>
      </c>
    </row>
    <row r="110" customFormat="false" ht="14.4" hidden="false" customHeight="false" outlineLevel="0" collapsed="false">
      <c r="A110" s="15"/>
      <c r="B110" s="15" t="s">
        <v>145</v>
      </c>
      <c r="C110" s="16" t="n">
        <v>1</v>
      </c>
      <c r="D110" s="16" t="n">
        <v>1</v>
      </c>
      <c r="E110" s="16" t="s">
        <v>116</v>
      </c>
      <c r="F110" s="16" t="s">
        <v>139</v>
      </c>
      <c r="G110" s="12" t="n">
        <f aca="false">IFERROR(VLOOKUP(CONCATENATE(E110,F110),Ventas!D:H,5,0),0)</f>
        <v>0</v>
      </c>
      <c r="H110" s="15" t="n">
        <f aca="false">IFERROR(VLOOKUP(A110,Modelos[],18,0),0)*G110/C110</f>
        <v>0</v>
      </c>
      <c r="I110" s="17" t="n">
        <f aca="false">SUM(G110:H110)</f>
        <v>0</v>
      </c>
      <c r="J110" s="15" t="n">
        <f aca="false">I110*IFERROR(VLOOKUP(E110,Tabla11[],3,0),0)</f>
        <v>0</v>
      </c>
      <c r="K110" s="15" t="n">
        <f aca="false">I110-J110</f>
        <v>0</v>
      </c>
      <c r="L110" s="15" t="n">
        <f aca="false">Sup!$A$2*D110</f>
        <v>6775.44742838542</v>
      </c>
      <c r="M110" s="15" t="n">
        <f aca="false">IFERROR(VLOOKUP(A110,Modelos[],IF(B110="EST",15,14),0),0)/C110</f>
        <v>0</v>
      </c>
      <c r="N110" s="15" t="n">
        <f aca="false">IF($G110&lt;0,0,IFERROR((N$2*IFERROR(VLOOKUP(E110,Tabla11[],2,0),0))*($G110/SUM($G$5:$G$43)),0))</f>
        <v>0</v>
      </c>
      <c r="O110" s="15" t="n">
        <f aca="false">IF($G110&lt;0,0,IFERROR((O$2*IFERROR(VLOOKUP(E110,Tabla11[],2,0),0))*($G110/SUM($G$5:$G$43)),0))</f>
        <v>0</v>
      </c>
      <c r="P110" s="15" t="n">
        <f aca="false">IF($G110&lt;0,0,IFERROR((P$2*IFERROR(VLOOKUP(E110,Tabla11[],2,0),0))*($G110/SUM($G$5:$G$43)),0))</f>
        <v>0</v>
      </c>
      <c r="Q110" s="15" t="n">
        <f aca="false">IF($G110&lt;0,0,IFERROR((Q$2*IFERROR(VLOOKUP(E110,Tabla11[],2,0),0))*($G110/SUM($G$5:$G$43)),0))</f>
        <v>0</v>
      </c>
      <c r="R110" s="15" t="n">
        <f aca="false">K110*$R$2</f>
        <v>0</v>
      </c>
      <c r="S110" s="15" t="n">
        <f aca="false">+R110*IFERROR(VLOOKUP(E110,Tabla11[],4,0),0)</f>
        <v>0</v>
      </c>
      <c r="T110" s="15" t="n">
        <f aca="false">IF(G110&gt;0,$T$2/12,0)</f>
        <v>0</v>
      </c>
      <c r="U110" s="15" t="n">
        <f aca="false">K110-SUM(L110:T110)</f>
        <v>-6775.44742838542</v>
      </c>
      <c r="V110" s="15" t="n">
        <f aca="false">IF($G110&lt;0,0,IFERROR((V$2*IFERROR(VLOOKUP(E110,Tabla11[],2,0),0))*($G110/SUM($G$5:$G$43)),0))</f>
        <v>0</v>
      </c>
      <c r="W110" s="15" t="n">
        <f aca="false">G110-G110*IFERROR(VLOOKUP(E110,Tabla11[],3,0),0)-L110-N110-O110-P110-Q110-G110*$R$2-(G110*$R$2)*IFERROR(VLOOKUP(E110,Tabla11[],4,0),0)-V110-T110</f>
        <v>-6775.44742838542</v>
      </c>
      <c r="X110" s="15" t="n">
        <f aca="false">U110-V110</f>
        <v>-6775.44742838542</v>
      </c>
      <c r="Y110" s="15" t="n">
        <f aca="false">ROUND(X110-W110,9)</f>
        <v>0</v>
      </c>
    </row>
    <row r="111" customFormat="false" ht="14.4" hidden="false" customHeight="false" outlineLevel="0" collapsed="false">
      <c r="A111" s="12"/>
      <c r="B111" s="12" t="s">
        <v>145</v>
      </c>
      <c r="C111" s="13" t="n">
        <v>1</v>
      </c>
      <c r="D111" s="13" t="n">
        <v>1</v>
      </c>
      <c r="E111" s="13" t="s">
        <v>116</v>
      </c>
      <c r="F111" s="13" t="s">
        <v>140</v>
      </c>
      <c r="G111" s="12" t="n">
        <f aca="false">IFERROR(VLOOKUP(CONCATENATE(E111,F111),Ventas!D:H,5,0),0)</f>
        <v>-838.769230769231</v>
      </c>
      <c r="H111" s="12" t="n">
        <f aca="false">IFERROR(VLOOKUP(A111,Modelos[],18,0),0)*G111/C111</f>
        <v>0</v>
      </c>
      <c r="I111" s="14" t="n">
        <f aca="false">SUM(G111:H111)</f>
        <v>-838.769230769231</v>
      </c>
      <c r="J111" s="12" t="n">
        <f aca="false">I111*IFERROR(VLOOKUP(E111,Tabla11[],3,0),0)</f>
        <v>-293.569230769231</v>
      </c>
      <c r="K111" s="12" t="n">
        <f aca="false">I111-J111</f>
        <v>-545.2</v>
      </c>
      <c r="L111" s="12" t="n">
        <f aca="false">Sup!$A$2*D111</f>
        <v>6775.44742838542</v>
      </c>
      <c r="M111" s="12" t="n">
        <f aca="false">IFERROR(VLOOKUP(A111,Modelos[],IF(B111="EST",15,14),0),0)/C111</f>
        <v>0</v>
      </c>
      <c r="N111" s="12" t="n">
        <f aca="false">IF($G111&lt;0,0,IFERROR((N$2*IFERROR(VLOOKUP(E111,Tabla11[],2,0),0))*($G111/SUM($G$5:$G$43)),0))</f>
        <v>0</v>
      </c>
      <c r="O111" s="12" t="n">
        <f aca="false">IF($G111&lt;0,0,IFERROR((O$2*IFERROR(VLOOKUP(E111,Tabla11[],2,0),0))*($G111/SUM($G$5:$G$43)),0))</f>
        <v>0</v>
      </c>
      <c r="P111" s="12" t="n">
        <f aca="false">IF($G111&lt;0,0,IFERROR((P$2*IFERROR(VLOOKUP(E111,Tabla11[],2,0),0))*($G111/SUM($G$5:$G$43)),0))</f>
        <v>0</v>
      </c>
      <c r="Q111" s="12" t="n">
        <f aca="false">IF($G111&lt;0,0,IFERROR((Q$2*IFERROR(VLOOKUP(E111,Tabla11[],2,0),0))*($G111/SUM($G$5:$G$43)),0))</f>
        <v>0</v>
      </c>
      <c r="R111" s="12" t="n">
        <f aca="false">K111*$R$2</f>
        <v>-218.08</v>
      </c>
      <c r="S111" s="12" t="n">
        <f aca="false">+R111*IFERROR(VLOOKUP(E111,Tabla11[],4,0),0)</f>
        <v>-32.712</v>
      </c>
      <c r="T111" s="12" t="n">
        <f aca="false">IF(G111&gt;0,$T$2/12,0)</f>
        <v>0</v>
      </c>
      <c r="U111" s="12" t="n">
        <f aca="false">K111-SUM(L111:T111)</f>
        <v>-7069.85542838542</v>
      </c>
      <c r="V111" s="12" t="n">
        <f aca="false">IF($G111&lt;0,0,IFERROR((V$2*IFERROR(VLOOKUP(E111,Tabla11[],2,0),0))*($G111/SUM($G$5:$G$43)),0))</f>
        <v>0</v>
      </c>
      <c r="W111" s="12" t="n">
        <f aca="false">G111-G111*IFERROR(VLOOKUP(E111,Tabla11[],3,0),0)-L111-N111-O111-P111-Q111-G111*$R$2-(G111*$R$2)*IFERROR(VLOOKUP(E111,Tabla11[],4,0),0)-V111-T111</f>
        <v>-6934.81358223157</v>
      </c>
      <c r="X111" s="12" t="n">
        <f aca="false">U111-V111</f>
        <v>-7069.85542838542</v>
      </c>
      <c r="Y111" s="12" t="n">
        <f aca="false">ROUND(X111-W111,9)</f>
        <v>-135.041846154</v>
      </c>
    </row>
  </sheetData>
  <autoFilter ref="A4:W4"/>
  <conditionalFormatting sqref="G5:G130">
    <cfRule type="colorScale" priority="2">
      <colorScale>
        <cfvo type="min" val="0"/>
        <cfvo type="percentile" val="50"/>
        <cfvo type="max" val="0"/>
        <color rgb="FFF8696B"/>
        <color rgb="FFFFEB84"/>
        <color rgb="FF63BE7B"/>
      </colorScale>
    </cfRule>
  </conditionalFormatting>
  <conditionalFormatting sqref="W5:X35">
    <cfRule type="cellIs" priority="3" operator="lessThan" aboveAverage="0" equalAverage="0" bottom="0" percent="0" rank="0" text="" dxfId="5">
      <formula>0</formula>
    </cfRule>
  </conditionalFormatting>
  <conditionalFormatting sqref="Y5:Y35">
    <cfRule type="iconSet" priority="4">
      <iconSet iconSet="3Arrows">
        <cfvo type="percent" val="0"/>
        <cfvo type="num" val="0"/>
        <cfvo type="num" val="0"/>
      </iconSet>
    </cfRule>
  </conditionalFormatting>
  <conditionalFormatting sqref="W36:X92">
    <cfRule type="cellIs" priority="5" operator="lessThan" aboveAverage="0" equalAverage="0" bottom="0" percent="0" rank="0" text="" dxfId="6">
      <formula>0</formula>
    </cfRule>
  </conditionalFormatting>
  <conditionalFormatting sqref="Y36:Y92">
    <cfRule type="iconSet" priority="6">
      <iconSet iconSet="3Arrows">
        <cfvo type="percent" val="0"/>
        <cfvo type="num" val="0"/>
        <cfvo type="num" val="0"/>
      </iconSet>
    </cfRule>
  </conditionalFormatting>
  <conditionalFormatting sqref="W93:X111">
    <cfRule type="cellIs" priority="7" operator="lessThan" aboveAverage="0" equalAverage="0" bottom="0" percent="0" rank="0" text="" dxfId="7">
      <formula>0</formula>
    </cfRule>
  </conditionalFormatting>
  <conditionalFormatting sqref="Y93:Y111">
    <cfRule type="iconSet" priority="8">
      <iconSet iconSet="3Arrows">
        <cfvo type="percent" val="0"/>
        <cfvo type="num" val="0"/>
        <cfvo type="num" val="0"/>
      </iconSet>
    </cfRule>
  </conditionalFormatting>
  <dataValidations count="2">
    <dataValidation allowBlank="true" operator="between" showDropDown="false" showErrorMessage="true" showInputMessage="true" sqref="A5:A111" type="list">
      <formula1>'Temporada Baja PPT'!Modelo</formula1>
      <formula2>0</formula2>
    </dataValidation>
    <dataValidation allowBlank="true" operator="between" showDropDown="false" showErrorMessage="true" showInputMessage="true" sqref="B5:B111" type="list">
      <formula1>"Outsourcing,EST"</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AE44"/>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H24" activeCellId="0" sqref="H24"/>
    </sheetView>
  </sheetViews>
  <sheetFormatPr defaultColWidth="10.6875" defaultRowHeight="14.4" zeroHeight="false" outlineLevelRow="0" outlineLevelCol="0"/>
  <cols>
    <col collapsed="false" customWidth="true" hidden="false" outlineLevel="0" max="1" min="1" style="2" width="19.56"/>
    <col collapsed="false" customWidth="true" hidden="false" outlineLevel="0" max="2" min="2" style="2" width="11.99"/>
    <col collapsed="false" customWidth="true" hidden="false" outlineLevel="0" max="3" min="3" style="2" width="9.56"/>
    <col collapsed="false" customWidth="true" hidden="false" outlineLevel="0" max="4" min="4" style="2" width="6.34"/>
    <col collapsed="false" customWidth="true" hidden="false" outlineLevel="0" max="5" min="5" style="2" width="7.88"/>
    <col collapsed="false" customWidth="true" hidden="false" outlineLevel="0" max="6" min="6" style="2" width="20.56"/>
    <col collapsed="false" customWidth="true" hidden="false" outlineLevel="0" max="7" min="7" style="3" width="17.44"/>
    <col collapsed="false" customWidth="true" hidden="false" outlineLevel="0" max="8" min="8" style="3" width="12.56"/>
    <col collapsed="false" customWidth="true" hidden="false" outlineLevel="0" max="10" min="9" style="3" width="15"/>
    <col collapsed="false" customWidth="true" hidden="false" outlineLevel="0" max="11" min="11" style="3" width="12.33"/>
    <col collapsed="false" customWidth="true" hidden="false" outlineLevel="0" max="12" min="12" style="3" width="12.66"/>
    <col collapsed="false" customWidth="true" hidden="false" outlineLevel="0" max="13" min="13" style="3" width="15.11"/>
    <col collapsed="false" customWidth="true" hidden="true" outlineLevel="0" max="14" min="14" style="3" width="13.1"/>
    <col collapsed="false" customWidth="true" hidden="true" outlineLevel="0" max="15" min="15" style="3" width="11.66"/>
    <col collapsed="false" customWidth="true" hidden="true" outlineLevel="0" max="16" min="16" style="3" width="11.33"/>
    <col collapsed="false" customWidth="true" hidden="true" outlineLevel="0" max="17" min="17" style="3" width="14.55"/>
    <col collapsed="false" customWidth="true" hidden="false" outlineLevel="0" max="18" min="18" style="3" width="14.66"/>
    <col collapsed="false" customWidth="true" hidden="false" outlineLevel="0" max="20" min="19" style="3" width="11.66"/>
    <col collapsed="false" customWidth="true" hidden="false" outlineLevel="0" max="21" min="21" style="3" width="15"/>
    <col collapsed="false" customWidth="true" hidden="false" outlineLevel="0" max="22" min="22" style="3" width="17.33"/>
    <col collapsed="false" customWidth="true" hidden="false" outlineLevel="0" max="23" min="23" style="3" width="15.56"/>
    <col collapsed="false" customWidth="true" hidden="false" outlineLevel="0" max="25" min="24" style="3" width="13.66"/>
    <col collapsed="false" customWidth="true" hidden="false" outlineLevel="0" max="28" min="28" style="0" width="11.99"/>
  </cols>
  <sheetData>
    <row r="1" customFormat="false" ht="14.4" hidden="false" customHeight="false" outlineLevel="0" collapsed="false">
      <c r="A1" s="4"/>
      <c r="B1" s="4"/>
      <c r="C1" s="4"/>
      <c r="D1" s="4"/>
      <c r="E1" s="4"/>
      <c r="F1" s="4"/>
      <c r="G1" s="5"/>
      <c r="N1" s="18" t="s">
        <v>147</v>
      </c>
      <c r="O1" s="18"/>
      <c r="P1" s="7" t="n">
        <v>0.21</v>
      </c>
    </row>
    <row r="2" customFormat="false" ht="14.4" hidden="false" customHeight="false" outlineLevel="0" collapsed="false">
      <c r="A2" s="4"/>
      <c r="B2" s="4"/>
      <c r="C2" s="4"/>
      <c r="D2" s="4"/>
      <c r="E2" s="4"/>
      <c r="F2" s="4"/>
      <c r="N2" s="6" t="n">
        <v>2206451.61290323</v>
      </c>
      <c r="O2" s="6" t="n">
        <v>429032.258064516</v>
      </c>
      <c r="P2" s="6" t="n">
        <v>2206451.61290323</v>
      </c>
      <c r="Q2" s="6" t="n">
        <v>3064516.12903226</v>
      </c>
      <c r="R2" s="19" t="n">
        <v>0.4</v>
      </c>
      <c r="S2" s="20" t="n">
        <v>0.15</v>
      </c>
      <c r="T2" s="21" t="n">
        <v>310000</v>
      </c>
      <c r="V2" s="21" t="n">
        <v>3519400</v>
      </c>
    </row>
    <row r="3" customFormat="false" ht="14.4" hidden="false" customHeight="false" outlineLevel="0" collapsed="false">
      <c r="A3" s="4"/>
      <c r="B3" s="4"/>
      <c r="C3" s="4"/>
      <c r="D3" s="4"/>
      <c r="E3" s="4"/>
      <c r="F3" s="4"/>
      <c r="J3" s="20" t="n">
        <v>0.35</v>
      </c>
      <c r="AC3" s="8" t="n">
        <v>1</v>
      </c>
      <c r="AD3" s="8" t="n">
        <v>0.65</v>
      </c>
      <c r="AE3" s="0" t="n">
        <f aca="false">35*65%</f>
        <v>22.75</v>
      </c>
    </row>
    <row r="4" s="11" customFormat="true" ht="33" hidden="false" customHeight="true" outlineLevel="0" collapsed="false">
      <c r="A4" s="9" t="s">
        <v>141</v>
      </c>
      <c r="B4" s="9" t="s">
        <v>1</v>
      </c>
      <c r="C4" s="9" t="s">
        <v>142</v>
      </c>
      <c r="D4" s="9" t="s">
        <v>143</v>
      </c>
      <c r="E4" s="9" t="s">
        <v>7</v>
      </c>
      <c r="F4" s="9" t="s">
        <v>8</v>
      </c>
      <c r="G4" s="9" t="s">
        <v>148</v>
      </c>
      <c r="H4" s="9" t="s">
        <v>10</v>
      </c>
      <c r="I4" s="9" t="s">
        <v>11</v>
      </c>
      <c r="J4" s="9" t="s">
        <v>149</v>
      </c>
      <c r="K4" s="9" t="s">
        <v>13</v>
      </c>
      <c r="L4" s="9" t="s">
        <v>14</v>
      </c>
      <c r="M4" s="9" t="s">
        <v>144</v>
      </c>
      <c r="N4" s="9" t="s">
        <v>17</v>
      </c>
      <c r="O4" s="9" t="s">
        <v>18</v>
      </c>
      <c r="P4" s="9" t="s">
        <v>19</v>
      </c>
      <c r="Q4" s="9" t="s">
        <v>20</v>
      </c>
      <c r="R4" s="9" t="s">
        <v>21</v>
      </c>
      <c r="S4" s="9" t="s">
        <v>22</v>
      </c>
      <c r="T4" s="9" t="s">
        <v>23</v>
      </c>
      <c r="U4" s="9" t="s">
        <v>24</v>
      </c>
      <c r="V4" s="9" t="s">
        <v>25</v>
      </c>
      <c r="W4" s="9" t="s">
        <v>26</v>
      </c>
      <c r="X4" s="9" t="s">
        <v>27</v>
      </c>
      <c r="Y4" s="9" t="s">
        <v>28</v>
      </c>
    </row>
    <row r="5" customFormat="false" ht="14.4" hidden="false" customHeight="false" outlineLevel="0" collapsed="false">
      <c r="A5" s="12" t="s">
        <v>150</v>
      </c>
      <c r="B5" s="12" t="s">
        <v>145</v>
      </c>
      <c r="C5" s="13" t="n">
        <v>1</v>
      </c>
      <c r="D5" s="13" t="n">
        <v>1</v>
      </c>
      <c r="E5" s="13" t="s">
        <v>34</v>
      </c>
      <c r="F5" s="13" t="s">
        <v>35</v>
      </c>
      <c r="G5" s="12" t="n">
        <f aca="false">VLOOKUP(F5,Ventas!C:H,4,0)</f>
        <v>779379</v>
      </c>
      <c r="H5" s="12" t="n">
        <f aca="false">IFERROR(VLOOKUP(A5,Modelos[],18,0),0)*G5/C5</f>
        <v>0</v>
      </c>
      <c r="I5" s="14" t="n">
        <f aca="false">SUM(G5:H5)</f>
        <v>779379</v>
      </c>
      <c r="J5" s="12" t="n">
        <f aca="false">I5*$J$3</f>
        <v>272782.65</v>
      </c>
      <c r="K5" s="12" t="n">
        <f aca="false">I5-J5</f>
        <v>506596.35</v>
      </c>
      <c r="L5" s="12" t="n">
        <f aca="false">Sup!$A$2*D5</f>
        <v>6775.44742838542</v>
      </c>
      <c r="M5" s="12" t="n">
        <f aca="false">IFERROR(VLOOKUP(A5,Modelos[],IF(B5="EST",15,14),0),0)/C5</f>
        <v>0</v>
      </c>
      <c r="N5" s="12" t="n">
        <f aca="false">IF($G5&lt;0,0,IFERROR((N$2*$P$1)*($G5/SUM($G$5:$G$43)),0))</f>
        <v>33755.9101593579</v>
      </c>
      <c r="O5" s="12" t="n">
        <f aca="false">IF($G5&lt;0,0,IFERROR((O$2*$P$1)*($G5/SUM($G$5:$G$43)),0))</f>
        <v>6563.64919765292</v>
      </c>
      <c r="P5" s="12" t="n">
        <f aca="false">IF($G5&lt;0,0,IFERROR((P$2*$P$1)*($G5/SUM($G$5:$G$43)),0))</f>
        <v>33755.9101593579</v>
      </c>
      <c r="Q5" s="12" t="n">
        <f aca="false">IF($G5&lt;0,0,IFERROR((Q$2*$P$1)*($G5/SUM($G$5:$G$43)),0))</f>
        <v>46883.2085546637</v>
      </c>
      <c r="R5" s="12" t="n">
        <f aca="false">K5*$R$2</f>
        <v>202638.54</v>
      </c>
      <c r="S5" s="12" t="n">
        <f aca="false">+R5*$S$2</f>
        <v>30395.781</v>
      </c>
      <c r="T5" s="12" t="n">
        <f aca="false">IF(G5&gt;0,$T$2/12,0)</f>
        <v>25833.3333333333</v>
      </c>
      <c r="U5" s="12" t="n">
        <f aca="false">K5-SUM(L5:T5)</f>
        <v>119994.570167249</v>
      </c>
      <c r="V5" s="12" t="n">
        <f aca="false">IF($G5&lt;0,0,IFERROR((V$2*$P$1)*($G5/SUM($G$5:$G$43)),0))</f>
        <v>53842.3546295346</v>
      </c>
      <c r="W5" s="12" t="n">
        <f aca="false">G5-G5*$J$3-L5-N5-O5-P5-Q5-(G5-G5*$J$3)*$R$2-((G5-G5*$J$3)*$R$2)*$S$2-T5-V5</f>
        <v>66152.2155377142</v>
      </c>
      <c r="X5" s="12" t="n">
        <f aca="false">U5-V5</f>
        <v>66152.2155377143</v>
      </c>
      <c r="Y5" s="12" t="n">
        <f aca="false">ROUND(X5-W5,9)</f>
        <v>0</v>
      </c>
      <c r="AB5" s="22"/>
    </row>
    <row r="6" customFormat="false" ht="14.4" hidden="false" customHeight="false" outlineLevel="0" collapsed="false">
      <c r="A6" s="15" t="s">
        <v>151</v>
      </c>
      <c r="B6" s="15" t="s">
        <v>145</v>
      </c>
      <c r="C6" s="16" t="n">
        <v>1</v>
      </c>
      <c r="D6" s="16" t="n">
        <v>1</v>
      </c>
      <c r="E6" s="16" t="s">
        <v>34</v>
      </c>
      <c r="F6" s="16" t="s">
        <v>37</v>
      </c>
      <c r="G6" s="12" t="n">
        <f aca="false">VLOOKUP(F6,Ventas!C:H,4,0)</f>
        <v>471134</v>
      </c>
      <c r="H6" s="15" t="n">
        <f aca="false">IFERROR(VLOOKUP(A6,Modelos[],18,0),0)*G6/C6</f>
        <v>0</v>
      </c>
      <c r="I6" s="17" t="n">
        <f aca="false">SUM(G6:H6)</f>
        <v>471134</v>
      </c>
      <c r="J6" s="15" t="n">
        <f aca="false">I6*$J$3</f>
        <v>164896.9</v>
      </c>
      <c r="K6" s="15" t="n">
        <f aca="false">I6-J6</f>
        <v>306237.1</v>
      </c>
      <c r="L6" s="15" t="n">
        <f aca="false">Sup!$A$2*D6</f>
        <v>6775.44742838542</v>
      </c>
      <c r="M6" s="15" t="n">
        <f aca="false">IFERROR(VLOOKUP(A6,Modelos[],IF(B6="EST",15,14),0),0)/C6</f>
        <v>0</v>
      </c>
      <c r="N6" s="15" t="n">
        <f aca="false">IF($G6&lt;0,0,IFERROR((N$2*$P$1)*($G6/SUM($G$5:$G$43)),0))</f>
        <v>20405.4214663455</v>
      </c>
      <c r="O6" s="15" t="n">
        <f aca="false">IF($G6&lt;0,0,IFERROR((O$2*$P$1)*($G6/SUM($G$5:$G$43)),0))</f>
        <v>3967.7208406783</v>
      </c>
      <c r="P6" s="15" t="n">
        <f aca="false">IF($G6&lt;0,0,IFERROR((P$2*$P$1)*($G6/SUM($G$5:$G$43)),0))</f>
        <v>20405.4214663455</v>
      </c>
      <c r="Q6" s="15" t="n">
        <f aca="false">IF($G6&lt;0,0,IFERROR((Q$2*$P$1)*($G6/SUM($G$5:$G$43)),0))</f>
        <v>28340.8631477021</v>
      </c>
      <c r="R6" s="15" t="n">
        <f aca="false">K6*$R$2</f>
        <v>122494.84</v>
      </c>
      <c r="S6" s="15" t="n">
        <f aca="false">+R6*$S$2</f>
        <v>18374.226</v>
      </c>
      <c r="T6" s="15" t="n">
        <f aca="false">IF(G6&gt;0,$T$2/12,0)</f>
        <v>25833.3333333333</v>
      </c>
      <c r="U6" s="15" t="n">
        <f aca="false">K6-SUM(L6:T6)</f>
        <v>59639.8263172098</v>
      </c>
      <c r="V6" s="15" t="n">
        <f aca="false">IF($G6&lt;0,0,IFERROR((V$2*$P$1)*($G6/SUM($G$5:$G$43)),0))</f>
        <v>32547.6615433969</v>
      </c>
      <c r="W6" s="15" t="n">
        <f aca="false">G6-G6*$J$3-L6-N6-O6-P6-Q6-(G6-G6*$J$3)*$R$2-((G6-G6*$J$3)*$R$2)*$S$2-T6-V6</f>
        <v>27092.1647738128</v>
      </c>
      <c r="X6" s="15" t="n">
        <f aca="false">U6-V6</f>
        <v>27092.1647738129</v>
      </c>
      <c r="Y6" s="15" t="n">
        <f aca="false">ROUND(X6-W6,9)</f>
        <v>0</v>
      </c>
    </row>
    <row r="7" customFormat="false" ht="14.4" hidden="false" customHeight="false" outlineLevel="0" collapsed="false">
      <c r="A7" s="12" t="s">
        <v>152</v>
      </c>
      <c r="B7" s="12" t="s">
        <v>145</v>
      </c>
      <c r="C7" s="13" t="n">
        <v>1</v>
      </c>
      <c r="D7" s="13" t="n">
        <v>1</v>
      </c>
      <c r="E7" s="13" t="s">
        <v>34</v>
      </c>
      <c r="F7" s="13" t="s">
        <v>39</v>
      </c>
      <c r="G7" s="12" t="n">
        <f aca="false">VLOOKUP(F7,Ventas!C:H,4,0)</f>
        <v>528406</v>
      </c>
      <c r="H7" s="12" t="n">
        <f aca="false">IFERROR(VLOOKUP(A7,Modelos[],18,0),0)*G7/C7</f>
        <v>0</v>
      </c>
      <c r="I7" s="14" t="n">
        <f aca="false">SUM(G7:H7)</f>
        <v>528406</v>
      </c>
      <c r="J7" s="12" t="n">
        <f aca="false">I7*$J$3</f>
        <v>184942.1</v>
      </c>
      <c r="K7" s="12" t="n">
        <f aca="false">I7-J7</f>
        <v>343463.9</v>
      </c>
      <c r="L7" s="12" t="n">
        <f aca="false">Sup!$A$2*D7</f>
        <v>6775.44742838542</v>
      </c>
      <c r="M7" s="12" t="n">
        <f aca="false">IFERROR(VLOOKUP(A7,Modelos[],IF(B7="EST",15,14),0),0)/C7</f>
        <v>0</v>
      </c>
      <c r="N7" s="12" t="n">
        <f aca="false">IF($G7&lt;0,0,IFERROR((N$2*$P$1)*($G7/SUM($G$5:$G$43)),0))</f>
        <v>22885.9456870992</v>
      </c>
      <c r="O7" s="12" t="n">
        <f aca="false">IF($G7&lt;0,0,IFERROR((O$2*$P$1)*($G7/SUM($G$5:$G$43)),0))</f>
        <v>4450.04499471373</v>
      </c>
      <c r="P7" s="12" t="n">
        <f aca="false">IF($G7&lt;0,0,IFERROR((P$2*$P$1)*($G7/SUM($G$5:$G$43)),0))</f>
        <v>22885.9456870992</v>
      </c>
      <c r="Q7" s="12" t="n">
        <f aca="false">IF($G7&lt;0,0,IFERROR((Q$2*$P$1)*($G7/SUM($G$5:$G$43)),0))</f>
        <v>31786.0356765266</v>
      </c>
      <c r="R7" s="12" t="n">
        <f aca="false">K7*$R$2</f>
        <v>137385.56</v>
      </c>
      <c r="S7" s="12" t="n">
        <f aca="false">+R7*$S$2</f>
        <v>20607.834</v>
      </c>
      <c r="T7" s="12" t="n">
        <f aca="false">IF(G7&gt;0,$T$2/12,0)</f>
        <v>25833.3333333333</v>
      </c>
      <c r="U7" s="12" t="n">
        <f aca="false">K7-SUM(L7:T7)</f>
        <v>70853.7531928426</v>
      </c>
      <c r="V7" s="12" t="n">
        <f aca="false">IF($G7&lt;0,0,IFERROR((V$2*$P$1)*($G7/SUM($G$5:$G$43)),0))</f>
        <v>36504.2209764105</v>
      </c>
      <c r="W7" s="12" t="n">
        <f aca="false">G7-G7*$J$3-L7-N7-O7-P7-Q7-(G7-G7*$J$3)*$R$2-((G7-G7*$J$3)*$R$2)*$S$2-T7-V7</f>
        <v>34349.532216432</v>
      </c>
      <c r="X7" s="12" t="n">
        <f aca="false">U7-V7</f>
        <v>34349.5322164321</v>
      </c>
      <c r="Y7" s="12" t="n">
        <f aca="false">ROUND(X7-W7,9)</f>
        <v>0</v>
      </c>
    </row>
    <row r="8" customFormat="false" ht="14.4" hidden="false" customHeight="false" outlineLevel="0" collapsed="false">
      <c r="A8" s="15" t="s">
        <v>152</v>
      </c>
      <c r="B8" s="15" t="s">
        <v>145</v>
      </c>
      <c r="C8" s="16" t="n">
        <v>1</v>
      </c>
      <c r="D8" s="16" t="n">
        <v>1</v>
      </c>
      <c r="E8" s="16" t="s">
        <v>34</v>
      </c>
      <c r="F8" s="16" t="s">
        <v>41</v>
      </c>
      <c r="G8" s="12" t="n">
        <f aca="false">VLOOKUP(F8,Ventas!C:H,4,0)</f>
        <v>453690</v>
      </c>
      <c r="H8" s="15" t="n">
        <f aca="false">IFERROR(VLOOKUP(A8,Modelos[],18,0),0)*G8/C8</f>
        <v>0</v>
      </c>
      <c r="I8" s="17" t="n">
        <f aca="false">SUM(G8:H8)</f>
        <v>453690</v>
      </c>
      <c r="J8" s="15" t="n">
        <f aca="false">I8*$J$3</f>
        <v>158791.5</v>
      </c>
      <c r="K8" s="15" t="n">
        <f aca="false">I8-J8</f>
        <v>294898.5</v>
      </c>
      <c r="L8" s="15" t="n">
        <f aca="false">Sup!$A$2*D8</f>
        <v>6775.44742838542</v>
      </c>
      <c r="M8" s="15" t="n">
        <f aca="false">IFERROR(VLOOKUP(A8,Modelos[],IF(B8="EST",15,14),0),0)/C8</f>
        <v>0</v>
      </c>
      <c r="N8" s="15" t="n">
        <f aca="false">IF($G8&lt;0,0,IFERROR((N$2*$P$1)*($G8/SUM($G$5:$G$43)),0))</f>
        <v>19649.8993175324</v>
      </c>
      <c r="O8" s="15" t="n">
        <f aca="false">IF($G8&lt;0,0,IFERROR((O$2*$P$1)*($G8/SUM($G$5:$G$43)),0))</f>
        <v>3820.81375618685</v>
      </c>
      <c r="P8" s="15" t="n">
        <f aca="false">IF($G8&lt;0,0,IFERROR((P$2*$P$1)*($G8/SUM($G$5:$G$43)),0))</f>
        <v>19649.8993175324</v>
      </c>
      <c r="Q8" s="15" t="n">
        <f aca="false">IF($G8&lt;0,0,IFERROR((Q$2*$P$1)*($G8/SUM($G$5:$G$43)),0))</f>
        <v>27291.5268299061</v>
      </c>
      <c r="R8" s="15" t="n">
        <f aca="false">K8*$R$2</f>
        <v>117959.4</v>
      </c>
      <c r="S8" s="15" t="n">
        <f aca="false">+R8*$S$2</f>
        <v>17693.91</v>
      </c>
      <c r="T8" s="15" t="n">
        <f aca="false">IF(G8&gt;0,$T$2/12,0)</f>
        <v>25833.3333333333</v>
      </c>
      <c r="U8" s="15" t="n">
        <f aca="false">K8-SUM(L8:T8)</f>
        <v>56224.2700171235</v>
      </c>
      <c r="V8" s="15" t="n">
        <f aca="false">IF($G8&lt;0,0,IFERROR((V$2*$P$1)*($G8/SUM($G$5:$G$43)),0))</f>
        <v>31342.5661608454</v>
      </c>
      <c r="W8" s="15" t="n">
        <f aca="false">G8-G8*$J$3-L8-N8-O8-P8-Q8-(G8-G8*$J$3)*$R$2-((G8-G8*$J$3)*$R$2)*$S$2-T8-V8</f>
        <v>24881.7038562781</v>
      </c>
      <c r="X8" s="15" t="n">
        <f aca="false">U8-V8</f>
        <v>24881.7038562781</v>
      </c>
      <c r="Y8" s="15" t="n">
        <f aca="false">ROUND(X8-W8,9)</f>
        <v>0</v>
      </c>
    </row>
    <row r="9" customFormat="false" ht="14.4" hidden="false" customHeight="false" outlineLevel="0" collapsed="false">
      <c r="A9" s="12" t="s">
        <v>151</v>
      </c>
      <c r="B9" s="12" t="s">
        <v>145</v>
      </c>
      <c r="C9" s="13" t="n">
        <v>1</v>
      </c>
      <c r="D9" s="13" t="n">
        <v>1</v>
      </c>
      <c r="E9" s="13" t="s">
        <v>34</v>
      </c>
      <c r="F9" s="13" t="s">
        <v>43</v>
      </c>
      <c r="G9" s="12" t="n">
        <f aca="false">VLOOKUP(F9,Ventas!C:H,4,0)</f>
        <v>740030</v>
      </c>
      <c r="H9" s="12" t="n">
        <f aca="false">IFERROR(VLOOKUP(A9,Modelos[],18,0),0)*G9/C9</f>
        <v>0</v>
      </c>
      <c r="I9" s="14" t="n">
        <f aca="false">SUM(G9:H9)</f>
        <v>740030</v>
      </c>
      <c r="J9" s="12" t="n">
        <f aca="false">I9*$J$3</f>
        <v>259010.5</v>
      </c>
      <c r="K9" s="12" t="n">
        <f aca="false">I9-J9</f>
        <v>481019.5</v>
      </c>
      <c r="L9" s="12" t="n">
        <f aca="false">Sup!$A$2*D9</f>
        <v>6775.44742838542</v>
      </c>
      <c r="M9" s="12" t="n">
        <f aca="false">IFERROR(VLOOKUP(A9,Modelos[],IF(B9="EST",15,14),0),0)/C9</f>
        <v>0</v>
      </c>
      <c r="N9" s="12" t="n">
        <f aca="false">IF($G9&lt;0,0,IFERROR((N$2*$P$1)*($G9/SUM($G$5:$G$43)),0))</f>
        <v>32051.6541954936</v>
      </c>
      <c r="O9" s="12" t="n">
        <f aca="false">IF($G9&lt;0,0,IFERROR((O$2*$P$1)*($G9/SUM($G$5:$G$43)),0))</f>
        <v>6232.2660935682</v>
      </c>
      <c r="P9" s="12" t="n">
        <f aca="false">IF($G9&lt;0,0,IFERROR((P$2*$P$1)*($G9/SUM($G$5:$G$43)),0))</f>
        <v>32051.6541954936</v>
      </c>
      <c r="Q9" s="12" t="n">
        <f aca="false">IF($G9&lt;0,0,IFERROR((Q$2*$P$1)*($G9/SUM($G$5:$G$43)),0))</f>
        <v>44516.18638263</v>
      </c>
      <c r="R9" s="12" t="n">
        <f aca="false">K9*$R$2</f>
        <v>192407.8</v>
      </c>
      <c r="S9" s="12" t="n">
        <f aca="false">+R9*$S$2</f>
        <v>28861.17</v>
      </c>
      <c r="T9" s="12" t="n">
        <f aca="false">IF(G9&gt;0,$T$2/12,0)</f>
        <v>25833.3333333333</v>
      </c>
      <c r="U9" s="12" t="n">
        <f aca="false">K9-SUM(L9:T9)</f>
        <v>112289.988371096</v>
      </c>
      <c r="V9" s="12" t="n">
        <f aca="false">IF($G9&lt;0,0,IFERROR((V$2*$P$1)*($G9/SUM($G$5:$G$43)),0))</f>
        <v>51123.9816526934</v>
      </c>
      <c r="W9" s="12" t="n">
        <f aca="false">G9-G9*$J$3-L9-N9-O9-P9-Q9-(G9-G9*$J$3)*$R$2-((G9-G9*$J$3)*$R$2)*$S$2-T9-V9</f>
        <v>61166.0067184025</v>
      </c>
      <c r="X9" s="12" t="n">
        <f aca="false">U9-V9</f>
        <v>61166.0067184025</v>
      </c>
      <c r="Y9" s="12" t="n">
        <f aca="false">ROUND(X9-W9,9)</f>
        <v>0</v>
      </c>
    </row>
    <row r="10" customFormat="false" ht="14.4" hidden="false" customHeight="false" outlineLevel="0" collapsed="false">
      <c r="A10" s="15" t="s">
        <v>151</v>
      </c>
      <c r="B10" s="15" t="s">
        <v>145</v>
      </c>
      <c r="C10" s="16" t="n">
        <v>1</v>
      </c>
      <c r="D10" s="16" t="n">
        <v>1</v>
      </c>
      <c r="E10" s="16" t="s">
        <v>34</v>
      </c>
      <c r="F10" s="16" t="s">
        <v>45</v>
      </c>
      <c r="G10" s="12" t="n">
        <f aca="false">VLOOKUP(F10,Ventas!C:H,4,0)</f>
        <v>461101</v>
      </c>
      <c r="H10" s="15" t="n">
        <f aca="false">IFERROR(VLOOKUP(A10,Modelos[],18,0),0)*G10/C10</f>
        <v>0</v>
      </c>
      <c r="I10" s="17" t="n">
        <f aca="false">SUM(G10:H10)</f>
        <v>461101</v>
      </c>
      <c r="J10" s="15" t="n">
        <f aca="false">I10*$J$3</f>
        <v>161385.35</v>
      </c>
      <c r="K10" s="15" t="n">
        <f aca="false">I10-J10</f>
        <v>299715.65</v>
      </c>
      <c r="L10" s="15" t="n">
        <f aca="false">Sup!$A$2*D10</f>
        <v>6775.44742838542</v>
      </c>
      <c r="M10" s="15" t="n">
        <f aca="false">IFERROR(VLOOKUP(A10,Modelos[],IF(B10="EST",15,14),0),0)/C10</f>
        <v>0</v>
      </c>
      <c r="N10" s="15" t="n">
        <f aca="false">IF($G10&lt;0,0,IFERROR((N$2*$P$1)*($G10/SUM($G$5:$G$43)),0))</f>
        <v>19970.879290294</v>
      </c>
      <c r="O10" s="15" t="n">
        <f aca="false">IF($G10&lt;0,0,IFERROR((O$2*$P$1)*($G10/SUM($G$5:$G$43)),0))</f>
        <v>3883.22652866828</v>
      </c>
      <c r="P10" s="15" t="n">
        <f aca="false">IF($G10&lt;0,0,IFERROR((P$2*$P$1)*($G10/SUM($G$5:$G$43)),0))</f>
        <v>19970.879290294</v>
      </c>
      <c r="Q10" s="15" t="n">
        <f aca="false">IF($G10&lt;0,0,IFERROR((Q$2*$P$1)*($G10/SUM($G$5:$G$43)),0))</f>
        <v>27737.3323476306</v>
      </c>
      <c r="R10" s="15" t="n">
        <f aca="false">K10*$R$2</f>
        <v>119886.26</v>
      </c>
      <c r="S10" s="15" t="n">
        <f aca="false">+R10*$S$2</f>
        <v>17982.939</v>
      </c>
      <c r="T10" s="15" t="n">
        <f aca="false">IF(G10&gt;0,$T$2/12,0)</f>
        <v>25833.3333333333</v>
      </c>
      <c r="U10" s="15" t="n">
        <f aca="false">K10-SUM(L10:T10)</f>
        <v>57675.3527813943</v>
      </c>
      <c r="V10" s="15" t="n">
        <f aca="false">IF($G10&lt;0,0,IFERROR((V$2*$P$1)*($G10/SUM($G$5:$G$43)),0))</f>
        <v>31854.5451725451</v>
      </c>
      <c r="W10" s="15" t="n">
        <f aca="false">G10-G10*$J$3-L10-N10-O10-P10-Q10-(G10-G10*$J$3)*$R$2-((G10-G10*$J$3)*$R$2)*$S$2-T10-V10</f>
        <v>25820.8076088492</v>
      </c>
      <c r="X10" s="15" t="n">
        <f aca="false">U10-V10</f>
        <v>25820.8076088492</v>
      </c>
      <c r="Y10" s="15" t="n">
        <f aca="false">ROUND(X10-W10,9)</f>
        <v>0</v>
      </c>
    </row>
    <row r="11" customFormat="false" ht="14.4" hidden="false" customHeight="false" outlineLevel="0" collapsed="false">
      <c r="A11" s="12" t="s">
        <v>153</v>
      </c>
      <c r="B11" s="12" t="s">
        <v>145</v>
      </c>
      <c r="C11" s="13" t="n">
        <v>1</v>
      </c>
      <c r="D11" s="13" t="n">
        <v>1</v>
      </c>
      <c r="E11" s="13" t="s">
        <v>34</v>
      </c>
      <c r="F11" s="13" t="s">
        <v>47</v>
      </c>
      <c r="G11" s="12" t="n">
        <f aca="false">VLOOKUP(F11,Ventas!C:H,4,0)</f>
        <v>529180</v>
      </c>
      <c r="H11" s="12" t="n">
        <f aca="false">IFERROR(VLOOKUP(A11,Modelos[],18,0),0)*G11/C11</f>
        <v>0</v>
      </c>
      <c r="I11" s="14" t="n">
        <f aca="false">SUM(G11:H11)</f>
        <v>529180</v>
      </c>
      <c r="J11" s="12" t="n">
        <f aca="false">I11*$J$3</f>
        <v>185213</v>
      </c>
      <c r="K11" s="12" t="n">
        <f aca="false">I11-J11</f>
        <v>343967</v>
      </c>
      <c r="L11" s="12" t="n">
        <f aca="false">Sup!$A$2*D11</f>
        <v>6775.44742838542</v>
      </c>
      <c r="M11" s="12" t="n">
        <f aca="false">IFERROR(VLOOKUP(A11,Modelos[],IF(B11="EST",15,14),0),0)/C11</f>
        <v>0</v>
      </c>
      <c r="N11" s="12" t="n">
        <f aca="false">IF($G11&lt;0,0,IFERROR((N$2*$P$1)*($G11/SUM($G$5:$G$43)),0))</f>
        <v>22919.4686258277</v>
      </c>
      <c r="O11" s="12" t="n">
        <f aca="false">IF($G11&lt;0,0,IFERROR((O$2*$P$1)*($G11/SUM($G$5:$G$43)),0))</f>
        <v>4456.56334391095</v>
      </c>
      <c r="P11" s="12" t="n">
        <f aca="false">IF($G11&lt;0,0,IFERROR((P$2*$P$1)*($G11/SUM($G$5:$G$43)),0))</f>
        <v>22919.4686258277</v>
      </c>
      <c r="Q11" s="12" t="n">
        <f aca="false">IF($G11&lt;0,0,IFERROR((Q$2*$P$1)*($G11/SUM($G$5:$G$43)),0))</f>
        <v>31832.5953136496</v>
      </c>
      <c r="R11" s="12" t="n">
        <f aca="false">K11*$R$2</f>
        <v>137586.8</v>
      </c>
      <c r="S11" s="12" t="n">
        <f aca="false">+R11*$S$2</f>
        <v>20638.02</v>
      </c>
      <c r="T11" s="12" t="n">
        <f aca="false">IF(G11&gt;0,$T$2/12,0)</f>
        <v>25833.3333333333</v>
      </c>
      <c r="U11" s="12" t="n">
        <f aca="false">K11-SUM(L11:T11)</f>
        <v>71005.3033290652</v>
      </c>
      <c r="V11" s="12" t="n">
        <f aca="false">IF($G11&lt;0,0,IFERROR((V$2*$P$1)*($G11/SUM($G$5:$G$43)),0))</f>
        <v>36557.6917300275</v>
      </c>
      <c r="W11" s="12" t="n">
        <f aca="false">G11-G11*$J$3-L11-N11-O11-P11-Q11-(G11-G11*$J$3)*$R$2-((G11-G11*$J$3)*$R$2)*$S$2-T11-V11</f>
        <v>34447.6115990376</v>
      </c>
      <c r="X11" s="12" t="n">
        <f aca="false">U11-V11</f>
        <v>34447.6115990376</v>
      </c>
      <c r="Y11" s="12" t="n">
        <f aca="false">ROUND(X11-W11,9)</f>
        <v>0</v>
      </c>
    </row>
    <row r="12" customFormat="false" ht="14.4" hidden="false" customHeight="false" outlineLevel="0" collapsed="false">
      <c r="A12" s="15" t="s">
        <v>150</v>
      </c>
      <c r="B12" s="15" t="s">
        <v>30</v>
      </c>
      <c r="C12" s="16" t="n">
        <v>1</v>
      </c>
      <c r="D12" s="16" t="n">
        <v>1</v>
      </c>
      <c r="E12" s="16" t="s">
        <v>34</v>
      </c>
      <c r="F12" s="16" t="s">
        <v>52</v>
      </c>
      <c r="G12" s="12" t="n">
        <f aca="false">VLOOKUP(F12,Ventas!C:H,4,0)</f>
        <v>802607</v>
      </c>
      <c r="H12" s="15" t="n">
        <f aca="false">IFERROR(VLOOKUP(A12,Modelos[],18,0),0)*G12/C12</f>
        <v>0</v>
      </c>
      <c r="I12" s="17" t="n">
        <f aca="false">SUM(G12:H12)</f>
        <v>802607</v>
      </c>
      <c r="J12" s="15" t="n">
        <f aca="false">I12*$J$3</f>
        <v>280912.45</v>
      </c>
      <c r="K12" s="15" t="n">
        <f aca="false">I12-J12</f>
        <v>521694.55</v>
      </c>
      <c r="L12" s="15" t="n">
        <f aca="false">Sup!$A$2*D12</f>
        <v>6775.44742838542</v>
      </c>
      <c r="M12" s="15" t="n">
        <f aca="false">IFERROR(VLOOKUP(A12,Modelos[],IF(B12="EST",15,14),0),0)/C12</f>
        <v>0</v>
      </c>
      <c r="N12" s="15" t="n">
        <f aca="false">IF($G12&lt;0,0,IFERROR((N$2*$P$1)*($G12/SUM($G$5:$G$43)),0))</f>
        <v>34761.9448115381</v>
      </c>
      <c r="O12" s="15" t="n">
        <f aca="false">IF($G12&lt;0,0,IFERROR((O$2*$P$1)*($G12/SUM($G$5:$G$43)),0))</f>
        <v>6759.26704668796</v>
      </c>
      <c r="P12" s="15" t="n">
        <f aca="false">IF($G12&lt;0,0,IFERROR((P$2*$P$1)*($G12/SUM($G$5:$G$43)),0))</f>
        <v>34761.9448115381</v>
      </c>
      <c r="Q12" s="15" t="n">
        <f aca="false">IF($G12&lt;0,0,IFERROR((Q$2*$P$1)*($G12/SUM($G$5:$G$43)),0))</f>
        <v>48280.478904914</v>
      </c>
      <c r="R12" s="15" t="n">
        <f aca="false">K12*$R$2</f>
        <v>208677.82</v>
      </c>
      <c r="S12" s="15" t="n">
        <f aca="false">+R12*$S$2</f>
        <v>31301.673</v>
      </c>
      <c r="T12" s="15" t="n">
        <f aca="false">IF(G12&gt;0,$T$2/12,0)</f>
        <v>25833.3333333333</v>
      </c>
      <c r="U12" s="15" t="n">
        <f aca="false">K12-SUM(L12:T12)</f>
        <v>124542.640663603</v>
      </c>
      <c r="V12" s="15" t="n">
        <f aca="false">IF($G12&lt;0,0,IFERROR((V$2*$P$1)*($G12/SUM($G$5:$G$43)),0))</f>
        <v>55447.0299073325</v>
      </c>
      <c r="W12" s="15" t="n">
        <f aca="false">U12-V12</f>
        <v>69095.6107562706</v>
      </c>
      <c r="X12" s="15" t="n">
        <f aca="false">U12-V12</f>
        <v>69095.6107562706</v>
      </c>
      <c r="Y12" s="15" t="n">
        <f aca="false">ROUND(X12-W12,9)</f>
        <v>0</v>
      </c>
    </row>
    <row r="13" customFormat="false" ht="14.4" hidden="false" customHeight="false" outlineLevel="0" collapsed="false">
      <c r="A13" s="12" t="s">
        <v>154</v>
      </c>
      <c r="B13" s="12" t="s">
        <v>145</v>
      </c>
      <c r="C13" s="13" t="n">
        <v>1</v>
      </c>
      <c r="D13" s="13" t="n">
        <v>1</v>
      </c>
      <c r="E13" s="13" t="s">
        <v>34</v>
      </c>
      <c r="F13" s="13" t="s">
        <v>54</v>
      </c>
      <c r="G13" s="12" t="n">
        <f aca="false">VLOOKUP(F13,Ventas!C:H,4,0)</f>
        <v>584206</v>
      </c>
      <c r="H13" s="12" t="n">
        <f aca="false">IFERROR(VLOOKUP(A13,Modelos[],18,0),0)*G13/C13</f>
        <v>0</v>
      </c>
      <c r="I13" s="14" t="n">
        <f aca="false">SUM(G13:H13)</f>
        <v>584206</v>
      </c>
      <c r="J13" s="12" t="n">
        <f aca="false">I13*$J$3</f>
        <v>204472.1</v>
      </c>
      <c r="K13" s="12" t="n">
        <f aca="false">I13-J13</f>
        <v>379733.9</v>
      </c>
      <c r="L13" s="12" t="n">
        <f aca="false">Sup!$A$2*D13</f>
        <v>6775.44742838542</v>
      </c>
      <c r="M13" s="12" t="n">
        <f aca="false">IFERROR(VLOOKUP(A13,Modelos[],IF(B13="EST",15,14),0),0)/C13</f>
        <v>0</v>
      </c>
      <c r="N13" s="12" t="n">
        <f aca="false">IF($G13&lt;0,0,IFERROR((N$2*$P$1)*($G13/SUM($G$5:$G$43)),0))</f>
        <v>25302.715688462</v>
      </c>
      <c r="O13" s="12" t="n">
        <f aca="false">IF($G13&lt;0,0,IFERROR((O$2*$P$1)*($G13/SUM($G$5:$G$43)),0))</f>
        <v>4919.97249497872</v>
      </c>
      <c r="P13" s="12" t="n">
        <f aca="false">IF($G13&lt;0,0,IFERROR((P$2*$P$1)*($G13/SUM($G$5:$G$43)),0))</f>
        <v>25302.715688462</v>
      </c>
      <c r="Q13" s="12" t="n">
        <f aca="false">IF($G13&lt;0,0,IFERROR((Q$2*$P$1)*($G13/SUM($G$5:$G$43)),0))</f>
        <v>35142.6606784194</v>
      </c>
      <c r="R13" s="12" t="n">
        <f aca="false">K13*$R$2</f>
        <v>151893.56</v>
      </c>
      <c r="S13" s="12" t="n">
        <f aca="false">+R13*$S$2</f>
        <v>22784.034</v>
      </c>
      <c r="T13" s="12" t="n">
        <f aca="false">IF(G13&gt;0,$T$2/12,0)</f>
        <v>25833.3333333333</v>
      </c>
      <c r="U13" s="12" t="n">
        <f aca="false">K13-SUM(L13:T13)</f>
        <v>81779.4606879591</v>
      </c>
      <c r="V13" s="12" t="n">
        <f aca="false">IF($G13&lt;0,0,IFERROR((V$2*$P$1)*($G13/SUM($G$5:$G$43)),0))</f>
        <v>40359.0892604264</v>
      </c>
      <c r="W13" s="12" t="n">
        <f aca="false">G13-G13*$J$3-L13-N13-O13-P13-Q13-(G13-G13*$J$3)*$R$2-((G13-G13*$J$3)*$R$2)*$S$2-T13-V13</f>
        <v>41420.3714275326</v>
      </c>
      <c r="X13" s="12" t="n">
        <f aca="false">U13-V13</f>
        <v>41420.3714275327</v>
      </c>
      <c r="Y13" s="12" t="n">
        <f aca="false">ROUND(X13-W13,9)</f>
        <v>0</v>
      </c>
    </row>
    <row r="14" customFormat="false" ht="14.4" hidden="false" customHeight="false" outlineLevel="0" collapsed="false">
      <c r="A14" s="15" t="s">
        <v>154</v>
      </c>
      <c r="B14" s="15" t="s">
        <v>145</v>
      </c>
      <c r="C14" s="16" t="n">
        <v>1</v>
      </c>
      <c r="D14" s="16" t="n">
        <v>1</v>
      </c>
      <c r="E14" s="16" t="s">
        <v>34</v>
      </c>
      <c r="F14" s="16" t="s">
        <v>55</v>
      </c>
      <c r="G14" s="12" t="n">
        <f aca="false">VLOOKUP(F14,Ventas!C:H,4,0)</f>
        <v>433742</v>
      </c>
      <c r="H14" s="15" t="n">
        <f aca="false">IFERROR(VLOOKUP(A14,Modelos[],18,0),0)*G14/C14</f>
        <v>0</v>
      </c>
      <c r="I14" s="17" t="n">
        <f aca="false">SUM(G14:H14)</f>
        <v>433742</v>
      </c>
      <c r="J14" s="15" t="n">
        <f aca="false">I14*$J$3</f>
        <v>151809.7</v>
      </c>
      <c r="K14" s="15" t="n">
        <f aca="false">I14-J14</f>
        <v>281932.3</v>
      </c>
      <c r="L14" s="15" t="n">
        <f aca="false">Sup!$A$2*D14</f>
        <v>6775.44742838542</v>
      </c>
      <c r="M14" s="15" t="n">
        <f aca="false">IFERROR(VLOOKUP(A14,Modelos[],IF(B14="EST",15,14),0),0)/C14</f>
        <v>0</v>
      </c>
      <c r="N14" s="15" t="n">
        <f aca="false">IF($G14&lt;0,0,IFERROR((N$2*$P$1)*($G14/SUM($G$5:$G$43)),0))</f>
        <v>18785.9256976903</v>
      </c>
      <c r="O14" s="15" t="n">
        <f aca="false">IF($G14&lt;0,0,IFERROR((O$2*$P$1)*($G14/SUM($G$5:$G$43)),0))</f>
        <v>3652.81888566201</v>
      </c>
      <c r="P14" s="15" t="n">
        <f aca="false">IF($G14&lt;0,0,IFERROR((P$2*$P$1)*($G14/SUM($G$5:$G$43)),0))</f>
        <v>18785.9256976903</v>
      </c>
      <c r="Q14" s="15" t="n">
        <f aca="false">IF($G14&lt;0,0,IFERROR((Q$2*$P$1)*($G14/SUM($G$5:$G$43)),0))</f>
        <v>26091.5634690144</v>
      </c>
      <c r="R14" s="15" t="n">
        <f aca="false">K14*$R$2</f>
        <v>112772.92</v>
      </c>
      <c r="S14" s="15" t="n">
        <f aca="false">+R14*$S$2</f>
        <v>16915.938</v>
      </c>
      <c r="T14" s="15" t="n">
        <f aca="false">IF(G14&gt;0,$T$2/12,0)</f>
        <v>25833.3333333333</v>
      </c>
      <c r="U14" s="15" t="n">
        <f aca="false">K14-SUM(L14:T14)</f>
        <v>52318.4274882242</v>
      </c>
      <c r="V14" s="15" t="n">
        <f aca="false">IF($G14&lt;0,0,IFERROR((V$2*$P$1)*($G14/SUM($G$5:$G$43)),0))</f>
        <v>29964.4852911402</v>
      </c>
      <c r="W14" s="15" t="n">
        <f aca="false">G14-G14*$J$3-L14-N14-O14-P14-Q14-(G14-G14*$J$3)*$R$2-((G14-G14*$J$3)*$R$2)*$S$2-T14-V14</f>
        <v>22353.9421970839</v>
      </c>
      <c r="X14" s="15" t="n">
        <f aca="false">U14-V14</f>
        <v>22353.942197084</v>
      </c>
      <c r="Y14" s="15" t="n">
        <f aca="false">ROUND(X14-W14,9)</f>
        <v>0</v>
      </c>
    </row>
    <row r="15" customFormat="false" ht="14.4" hidden="false" customHeight="false" outlineLevel="0" collapsed="false">
      <c r="A15" s="12" t="s">
        <v>154</v>
      </c>
      <c r="B15" s="12" t="s">
        <v>145</v>
      </c>
      <c r="C15" s="13" t="n">
        <v>1</v>
      </c>
      <c r="D15" s="13" t="n">
        <v>1</v>
      </c>
      <c r="E15" s="13" t="s">
        <v>34</v>
      </c>
      <c r="F15" s="13" t="s">
        <v>56</v>
      </c>
      <c r="G15" s="12" t="n">
        <f aca="false">VLOOKUP(F15,Ventas!C:H,4,0)</f>
        <v>237829</v>
      </c>
      <c r="H15" s="12" t="n">
        <f aca="false">IFERROR(VLOOKUP(A15,Modelos[],18,0),0)*G15/C15</f>
        <v>0</v>
      </c>
      <c r="I15" s="14" t="n">
        <f aca="false">SUM(G15:H15)</f>
        <v>237829</v>
      </c>
      <c r="J15" s="12" t="n">
        <f aca="false">I15*$J$3</f>
        <v>83240.15</v>
      </c>
      <c r="K15" s="12" t="n">
        <f aca="false">I15-J15</f>
        <v>154588.85</v>
      </c>
      <c r="L15" s="12" t="n">
        <f aca="false">Sup!$A$2*D15</f>
        <v>6775.44742838542</v>
      </c>
      <c r="M15" s="12" t="n">
        <f aca="false">IFERROR(VLOOKUP(A15,Modelos[],IF(B15="EST",15,14),0),0)/C15</f>
        <v>0</v>
      </c>
      <c r="N15" s="12" t="n">
        <f aca="false">IF($G15&lt;0,0,IFERROR((N$2*$P$1)*($G15/SUM($G$5:$G$43)),0))</f>
        <v>10300.6808719377</v>
      </c>
      <c r="O15" s="12" t="n">
        <f aca="false">IF($G15&lt;0,0,IFERROR((O$2*$P$1)*($G15/SUM($G$5:$G$43)),0))</f>
        <v>2002.91016954344</v>
      </c>
      <c r="P15" s="12" t="n">
        <f aca="false">IF($G15&lt;0,0,IFERROR((P$2*$P$1)*($G15/SUM($G$5:$G$43)),0))</f>
        <v>10300.6808719377</v>
      </c>
      <c r="Q15" s="12" t="n">
        <f aca="false">IF($G15&lt;0,0,IFERROR((Q$2*$P$1)*($G15/SUM($G$5:$G$43)),0))</f>
        <v>14306.5012110246</v>
      </c>
      <c r="R15" s="12" t="n">
        <f aca="false">K15*$R$2</f>
        <v>61835.54</v>
      </c>
      <c r="S15" s="12" t="n">
        <f aca="false">+R15*$S$2</f>
        <v>9275.331</v>
      </c>
      <c r="T15" s="12" t="n">
        <f aca="false">IF(G15&gt;0,$T$2/12,0)</f>
        <v>25833.3333333333</v>
      </c>
      <c r="U15" s="12" t="n">
        <f aca="false">K15-SUM(L15:T15)</f>
        <v>13958.4251138378</v>
      </c>
      <c r="V15" s="12" t="n">
        <f aca="false">IF($G15&lt;0,0,IFERROR((V$2*$P$1)*($G15/SUM($G$5:$G$43)),0))</f>
        <v>16430.0980128892</v>
      </c>
      <c r="W15" s="12" t="n">
        <f aca="false">G15-G15*$J$3-L15-N15-O15-P15-Q15-(G15-G15*$J$3)*$R$2-((G15-G15*$J$3)*$R$2)*$S$2-T15-V15</f>
        <v>-2471.67289905134</v>
      </c>
      <c r="X15" s="12" t="n">
        <f aca="false">U15-V15</f>
        <v>-2471.67289905137</v>
      </c>
      <c r="Y15" s="12" t="n">
        <f aca="false">ROUND(X15-W15,9)</f>
        <v>-0</v>
      </c>
    </row>
    <row r="16" customFormat="false" ht="14.4" hidden="false" customHeight="false" outlineLevel="0" collapsed="false">
      <c r="A16" s="15" t="s">
        <v>154</v>
      </c>
      <c r="B16" s="15" t="s">
        <v>145</v>
      </c>
      <c r="C16" s="16" t="n">
        <v>1</v>
      </c>
      <c r="D16" s="16" t="n">
        <v>1</v>
      </c>
      <c r="E16" s="16" t="s">
        <v>34</v>
      </c>
      <c r="F16" s="16" t="s">
        <v>57</v>
      </c>
      <c r="G16" s="12" t="n">
        <f aca="false">VLOOKUP(F16,Ventas!C:H,4,0)</f>
        <v>246965</v>
      </c>
      <c r="H16" s="15" t="n">
        <f aca="false">IFERROR(VLOOKUP(A16,Modelos[],18,0),0)*G16/C16</f>
        <v>0</v>
      </c>
      <c r="I16" s="17" t="n">
        <f aca="false">SUM(G16:H16)</f>
        <v>246965</v>
      </c>
      <c r="J16" s="15" t="n">
        <f aca="false">I16*$J$3</f>
        <v>86437.75</v>
      </c>
      <c r="K16" s="15" t="n">
        <f aca="false">I16-J16</f>
        <v>160527.25</v>
      </c>
      <c r="L16" s="15" t="n">
        <f aca="false">Sup!$A$2*D16</f>
        <v>6775.44742838542</v>
      </c>
      <c r="M16" s="15" t="n">
        <f aca="false">IFERROR(VLOOKUP(A16,Modelos[],IF(B16="EST",15,14),0),0)/C16</f>
        <v>0</v>
      </c>
      <c r="N16" s="15" t="n">
        <f aca="false">IF($G16&lt;0,0,IFERROR((N$2*$P$1)*($G16/SUM($G$5:$G$43)),0))</f>
        <v>10696.3728205479</v>
      </c>
      <c r="O16" s="15" t="n">
        <f aca="false">IF($G16&lt;0,0,IFERROR((O$2*$P$1)*($G16/SUM($G$5:$G$43)),0))</f>
        <v>2079.8502706621</v>
      </c>
      <c r="P16" s="15" t="n">
        <f aca="false">IF($G16&lt;0,0,IFERROR((P$2*$P$1)*($G16/SUM($G$5:$G$43)),0))</f>
        <v>10696.3728205479</v>
      </c>
      <c r="Q16" s="15" t="n">
        <f aca="false">IF($G16&lt;0,0,IFERROR((Q$2*$P$1)*($G16/SUM($G$5:$G$43)),0))</f>
        <v>14856.0733618721</v>
      </c>
      <c r="R16" s="15" t="n">
        <f aca="false">K16*$R$2</f>
        <v>64210.9</v>
      </c>
      <c r="S16" s="15" t="n">
        <f aca="false">+R16*$S$2</f>
        <v>9631.635</v>
      </c>
      <c r="T16" s="15" t="n">
        <f aca="false">IF(G16&gt;0,$T$2/12,0)</f>
        <v>25833.3333333333</v>
      </c>
      <c r="U16" s="15" t="n">
        <f aca="false">K16-SUM(L16:T16)</f>
        <v>15747.2649646512</v>
      </c>
      <c r="V16" s="15" t="n">
        <f aca="false">IF($G16&lt;0,0,IFERROR((V$2*$P$1)*($G16/SUM($G$5:$G$43)),0))</f>
        <v>17061.2463398206</v>
      </c>
      <c r="W16" s="15" t="n">
        <f aca="false">G16-G16*$J$3-L16-N16-O16-P16-Q16-(G16-G16*$J$3)*$R$2-((G16-G16*$J$3)*$R$2)*$S$2-T16-V16</f>
        <v>-1313.98137516937</v>
      </c>
      <c r="X16" s="15" t="n">
        <f aca="false">U16-V16</f>
        <v>-1313.98137516934</v>
      </c>
      <c r="Y16" s="15" t="n">
        <f aca="false">ROUND(X16-W16,9)</f>
        <v>0</v>
      </c>
    </row>
    <row r="17" customFormat="false" ht="14.4" hidden="false" customHeight="false" outlineLevel="0" collapsed="false">
      <c r="A17" s="12" t="s">
        <v>154</v>
      </c>
      <c r="B17" s="12" t="s">
        <v>145</v>
      </c>
      <c r="C17" s="13" t="n">
        <v>1</v>
      </c>
      <c r="D17" s="13" t="n">
        <v>1</v>
      </c>
      <c r="E17" s="13" t="s">
        <v>34</v>
      </c>
      <c r="F17" s="13" t="s">
        <v>58</v>
      </c>
      <c r="G17" s="12" t="n">
        <f aca="false">VLOOKUP(F17,Ventas!C:H,4,0)</f>
        <v>228742</v>
      </c>
      <c r="H17" s="12" t="n">
        <f aca="false">IFERROR(VLOOKUP(A17,Modelos[],18,0),0)*G17/C17</f>
        <v>0</v>
      </c>
      <c r="I17" s="14" t="n">
        <f aca="false">SUM(G17:H17)</f>
        <v>228742</v>
      </c>
      <c r="J17" s="12" t="n">
        <f aca="false">I17*$J$3</f>
        <v>80059.7</v>
      </c>
      <c r="K17" s="12" t="n">
        <f aca="false">I17-J17</f>
        <v>148682.3</v>
      </c>
      <c r="L17" s="12" t="n">
        <f aca="false">Sup!$A$2*D17</f>
        <v>6775.44742838542</v>
      </c>
      <c r="M17" s="12" t="n">
        <f aca="false">IFERROR(VLOOKUP(A17,Modelos[],IF(B17="EST",15,14),0),0)/C17</f>
        <v>0</v>
      </c>
      <c r="N17" s="12" t="n">
        <f aca="false">IF($G17&lt;0,0,IFERROR((N$2*$P$1)*($G17/SUM($G$5:$G$43)),0))</f>
        <v>9907.11117655446</v>
      </c>
      <c r="O17" s="12" t="n">
        <f aca="false">IF($G17&lt;0,0,IFERROR((O$2*$P$1)*($G17/SUM($G$5:$G$43)),0))</f>
        <v>1926.38272877448</v>
      </c>
      <c r="P17" s="12" t="n">
        <f aca="false">IF($G17&lt;0,0,IFERROR((P$2*$P$1)*($G17/SUM($G$5:$G$43)),0))</f>
        <v>9907.11117655446</v>
      </c>
      <c r="Q17" s="12" t="n">
        <f aca="false">IF($G17&lt;0,0,IFERROR((Q$2*$P$1)*($G17/SUM($G$5:$G$43)),0))</f>
        <v>13759.8766341034</v>
      </c>
      <c r="R17" s="12" t="n">
        <f aca="false">K17*$R$2</f>
        <v>59472.92</v>
      </c>
      <c r="S17" s="12" t="n">
        <f aca="false">+R17*$S$2</f>
        <v>8920.938</v>
      </c>
      <c r="T17" s="12" t="n">
        <f aca="false">IF(G17&gt;0,$T$2/12,0)</f>
        <v>25833.3333333333</v>
      </c>
      <c r="U17" s="12" t="n">
        <f aca="false">K17-SUM(L17:T17)</f>
        <v>12179.1795222944</v>
      </c>
      <c r="V17" s="12" t="n">
        <f aca="false">IF($G17&lt;0,0,IFERROR((V$2*$P$1)*($G17/SUM($G$5:$G$43)),0))</f>
        <v>15802.3347853471</v>
      </c>
      <c r="W17" s="12" t="n">
        <f aca="false">G17-G17*$J$3-L17-N17-O17-P17-Q17-(G17-G17*$J$3)*$R$2-((G17-G17*$J$3)*$R$2)*$S$2-T17-V17</f>
        <v>-3623.15526305263</v>
      </c>
      <c r="X17" s="12" t="n">
        <f aca="false">U17-V17</f>
        <v>-3623.15526305262</v>
      </c>
      <c r="Y17" s="12" t="n">
        <f aca="false">ROUND(X17-W17,9)</f>
        <v>0</v>
      </c>
    </row>
    <row r="18" customFormat="false" ht="14.4" hidden="false" customHeight="false" outlineLevel="0" collapsed="false">
      <c r="A18" s="15" t="s">
        <v>154</v>
      </c>
      <c r="B18" s="15" t="s">
        <v>145</v>
      </c>
      <c r="C18" s="16" t="n">
        <v>1</v>
      </c>
      <c r="D18" s="16" t="n">
        <v>1</v>
      </c>
      <c r="E18" s="16" t="s">
        <v>34</v>
      </c>
      <c r="F18" s="16" t="s">
        <v>59</v>
      </c>
      <c r="G18" s="12" t="n">
        <f aca="false">VLOOKUP(F18,Ventas!C:H,4,0)</f>
        <v>381420</v>
      </c>
      <c r="H18" s="15" t="n">
        <f aca="false">IFERROR(VLOOKUP(A18,Modelos[],18,0),0)*G18/C18</f>
        <v>0</v>
      </c>
      <c r="I18" s="17" t="n">
        <f aca="false">SUM(G18:H18)</f>
        <v>381420</v>
      </c>
      <c r="J18" s="15" t="n">
        <f aca="false">I18*$J$3</f>
        <v>133497</v>
      </c>
      <c r="K18" s="15" t="n">
        <f aca="false">I18-J18</f>
        <v>247923</v>
      </c>
      <c r="L18" s="15" t="n">
        <f aca="false">Sup!$A$2*D18</f>
        <v>6775.44742838542</v>
      </c>
      <c r="M18" s="15" t="n">
        <f aca="false">IFERROR(VLOOKUP(A18,Modelos[],IF(B18="EST",15,14),0),0)/C18</f>
        <v>0</v>
      </c>
      <c r="N18" s="15" t="n">
        <f aca="false">IF($G18&lt;0,0,IFERROR((N$2*$P$1)*($G18/SUM($G$5:$G$43)),0))</f>
        <v>16519.7923641544</v>
      </c>
      <c r="O18" s="15" t="n">
        <f aca="false">IF($G18&lt;0,0,IFERROR((O$2*$P$1)*($G18/SUM($G$5:$G$43)),0))</f>
        <v>3212.18184858557</v>
      </c>
      <c r="P18" s="15" t="n">
        <f aca="false">IF($G18&lt;0,0,IFERROR((P$2*$P$1)*($G18/SUM($G$5:$G$43)),0))</f>
        <v>16519.7923641544</v>
      </c>
      <c r="Q18" s="15" t="n">
        <f aca="false">IF($G18&lt;0,0,IFERROR((Q$2*$P$1)*($G18/SUM($G$5:$G$43)),0))</f>
        <v>22944.1560613255</v>
      </c>
      <c r="R18" s="15" t="n">
        <f aca="false">K18*$R$2</f>
        <v>99169.2</v>
      </c>
      <c r="S18" s="15" t="n">
        <f aca="false">+R18*$S$2</f>
        <v>14875.38</v>
      </c>
      <c r="T18" s="15" t="n">
        <f aca="false">IF(G18&gt;0,$T$2/12,0)</f>
        <v>25833.3333333333</v>
      </c>
      <c r="U18" s="15" t="n">
        <f aca="false">K18-SUM(L18:T18)</f>
        <v>42073.7166000614</v>
      </c>
      <c r="V18" s="15" t="n">
        <f aca="false">IF($G18&lt;0,0,IFERROR((V$2*$P$1)*($G18/SUM($G$5:$G$43)),0))</f>
        <v>26349.8899800958</v>
      </c>
      <c r="W18" s="15" t="n">
        <f aca="false">G18-G18*$J$3-L18-N18-O18-P18-Q18-(G18-G18*$J$3)*$R$2-((G18-G18*$J$3)*$R$2)*$S$2-T18-V18</f>
        <v>15723.8266199655</v>
      </c>
      <c r="X18" s="15" t="n">
        <f aca="false">U18-V18</f>
        <v>15723.8266199656</v>
      </c>
      <c r="Y18" s="15" t="n">
        <f aca="false">ROUND(X18-W18,9)</f>
        <v>0</v>
      </c>
    </row>
    <row r="19" customFormat="false" ht="14.4" hidden="false" customHeight="false" outlineLevel="0" collapsed="false">
      <c r="A19" s="12" t="s">
        <v>154</v>
      </c>
      <c r="B19" s="12" t="s">
        <v>145</v>
      </c>
      <c r="C19" s="13" t="n">
        <v>1</v>
      </c>
      <c r="D19" s="13" t="n">
        <v>1</v>
      </c>
      <c r="E19" s="13" t="s">
        <v>34</v>
      </c>
      <c r="F19" s="13" t="s">
        <v>60</v>
      </c>
      <c r="G19" s="12" t="n">
        <f aca="false">VLOOKUP(F19,Ventas!C:H,4,0)</f>
        <v>548105</v>
      </c>
      <c r="H19" s="12" t="n">
        <f aca="false">IFERROR(VLOOKUP(A19,Modelos[],18,0),0)*G19/C19</f>
        <v>0</v>
      </c>
      <c r="I19" s="14" t="n">
        <f aca="false">SUM(G19:H19)</f>
        <v>548105</v>
      </c>
      <c r="J19" s="12" t="n">
        <f aca="false">I19*$J$3</f>
        <v>191836.75</v>
      </c>
      <c r="K19" s="12" t="n">
        <f aca="false">I19-J19</f>
        <v>356268.25</v>
      </c>
      <c r="L19" s="12" t="n">
        <f aca="false">Sup!$A$2*D19</f>
        <v>6775.44742838542</v>
      </c>
      <c r="M19" s="12" t="n">
        <f aca="false">IFERROR(VLOOKUP(A19,Modelos[],IF(B19="EST",15,14),0),0)/C19</f>
        <v>0</v>
      </c>
      <c r="N19" s="12" t="n">
        <f aca="false">IF($G19&lt;0,0,IFERROR((N$2*$P$1)*($G19/SUM($G$5:$G$43)),0))</f>
        <v>23739.1347956448</v>
      </c>
      <c r="O19" s="12" t="n">
        <f aca="false">IF($G19&lt;0,0,IFERROR((O$2*$P$1)*($G19/SUM($G$5:$G$43)),0))</f>
        <v>4615.94287693093</v>
      </c>
      <c r="P19" s="12" t="n">
        <f aca="false">IF($G19&lt;0,0,IFERROR((P$2*$P$1)*($G19/SUM($G$5:$G$43)),0))</f>
        <v>23739.1347956448</v>
      </c>
      <c r="Q19" s="12" t="n">
        <f aca="false">IF($G19&lt;0,0,IFERROR((Q$2*$P$1)*($G19/SUM($G$5:$G$43)),0))</f>
        <v>32971.0205495067</v>
      </c>
      <c r="R19" s="12" t="n">
        <f aca="false">K19*$R$2</f>
        <v>142507.3</v>
      </c>
      <c r="S19" s="12" t="n">
        <f aca="false">+R19*$S$2</f>
        <v>21376.095</v>
      </c>
      <c r="T19" s="12" t="n">
        <f aca="false">IF(G19&gt;0,$T$2/12,0)</f>
        <v>25833.3333333333</v>
      </c>
      <c r="U19" s="12" t="n">
        <f aca="false">K19-SUM(L19:T19)</f>
        <v>74710.841220554</v>
      </c>
      <c r="V19" s="12" t="n">
        <f aca="false">IF($G19&lt;0,0,IFERROR((V$2*$P$1)*($G19/SUM($G$5:$G$43)),0))</f>
        <v>37865.1000145257</v>
      </c>
      <c r="W19" s="12" t="n">
        <f aca="false">G19-G19*$J$3-L19-N19-O19-P19-Q19-(G19-G19*$J$3)*$R$2-((G19-G19*$J$3)*$R$2)*$S$2-T19-V19</f>
        <v>36845.7412060283</v>
      </c>
      <c r="X19" s="12" t="n">
        <f aca="false">U19-V19</f>
        <v>36845.7412060283</v>
      </c>
      <c r="Y19" s="12" t="n">
        <f aca="false">ROUND(X19-W19,9)</f>
        <v>0</v>
      </c>
    </row>
    <row r="20" customFormat="false" ht="14.4" hidden="false" customHeight="false" outlineLevel="0" collapsed="false">
      <c r="A20" s="15" t="s">
        <v>155</v>
      </c>
      <c r="B20" s="15" t="s">
        <v>145</v>
      </c>
      <c r="C20" s="16" t="n">
        <v>1</v>
      </c>
      <c r="D20" s="16" t="n">
        <v>1</v>
      </c>
      <c r="E20" s="16" t="s">
        <v>34</v>
      </c>
      <c r="F20" s="16" t="s">
        <v>61</v>
      </c>
      <c r="G20" s="12" t="n">
        <f aca="false">VLOOKUP(F20,Ventas!C:H,4,0)</f>
        <v>159114</v>
      </c>
      <c r="H20" s="15" t="n">
        <f aca="false">IFERROR(VLOOKUP(A20,Modelos[],18,0),0)*G20/C20</f>
        <v>0</v>
      </c>
      <c r="I20" s="17" t="n">
        <f aca="false">SUM(G20:H20)</f>
        <v>159114</v>
      </c>
      <c r="J20" s="15" t="n">
        <f aca="false">I20*$J$3</f>
        <v>55689.9</v>
      </c>
      <c r="K20" s="15" t="n">
        <f aca="false">I20-J20</f>
        <v>103424.1</v>
      </c>
      <c r="L20" s="15" t="n">
        <f aca="false">Sup!$A$2*D20</f>
        <v>6775.44742838542</v>
      </c>
      <c r="M20" s="15" t="n">
        <f aca="false">IFERROR(VLOOKUP(A20,Modelos[],IF(B20="EST",15,14),0),0)/C20</f>
        <v>0</v>
      </c>
      <c r="N20" s="15" t="n">
        <f aca="false">IF($G20&lt;0,0,IFERROR((N$2*$P$1)*($G20/SUM($G$5:$G$43)),0))</f>
        <v>6891.43265227324</v>
      </c>
      <c r="O20" s="15" t="n">
        <f aca="false">IF($G20&lt;0,0,IFERROR((O$2*$P$1)*($G20/SUM($G$5:$G$43)),0))</f>
        <v>1340.00079349757</v>
      </c>
      <c r="P20" s="15" t="n">
        <f aca="false">IF($G20&lt;0,0,IFERROR((P$2*$P$1)*($G20/SUM($G$5:$G$43)),0))</f>
        <v>6891.43265227324</v>
      </c>
      <c r="Q20" s="15" t="n">
        <f aca="false">IF($G20&lt;0,0,IFERROR((Q$2*$P$1)*($G20/SUM($G$5:$G$43)),0))</f>
        <v>9571.43423926839</v>
      </c>
      <c r="R20" s="15" t="n">
        <f aca="false">K20*$R$2</f>
        <v>41369.64</v>
      </c>
      <c r="S20" s="15" t="n">
        <f aca="false">+R20*$S$2</f>
        <v>6205.446</v>
      </c>
      <c r="T20" s="15" t="n">
        <f aca="false">IF(G20&gt;0,$T$2/12,0)</f>
        <v>25833.3333333333</v>
      </c>
      <c r="U20" s="15" t="n">
        <f aca="false">K20-SUM(L20:T20)</f>
        <v>-1454.06709903121</v>
      </c>
      <c r="V20" s="15" t="n">
        <f aca="false">IF($G20&lt;0,0,IFERROR((V$2*$P$1)*($G20/SUM($G$5:$G$43)),0))</f>
        <v>10992.1776369696</v>
      </c>
      <c r="W20" s="15" t="n">
        <f aca="false">G20-G20*$J$3-L20-N20-O20-P20-Q20-(G20-G20*$J$3)*$R$2-((G20-G20*$J$3)*$R$2)*$S$2-T20-V20</f>
        <v>-12446.2447360009</v>
      </c>
      <c r="X20" s="15" t="n">
        <f aca="false">U20-V20</f>
        <v>-12446.2447360009</v>
      </c>
      <c r="Y20" s="15" t="n">
        <f aca="false">ROUND(X20-W20,9)</f>
        <v>0</v>
      </c>
    </row>
    <row r="21" customFormat="false" ht="14.4" hidden="false" customHeight="false" outlineLevel="0" collapsed="false">
      <c r="A21" s="12" t="s">
        <v>154</v>
      </c>
      <c r="B21" s="12" t="s">
        <v>145</v>
      </c>
      <c r="C21" s="13" t="n">
        <v>1</v>
      </c>
      <c r="D21" s="13" t="n">
        <v>1</v>
      </c>
      <c r="E21" s="13" t="s">
        <v>34</v>
      </c>
      <c r="F21" s="13" t="s">
        <v>62</v>
      </c>
      <c r="G21" s="12" t="n">
        <f aca="false">VLOOKUP(F21,Ventas!C:H,4,0)</f>
        <v>428577</v>
      </c>
      <c r="H21" s="12" t="n">
        <f aca="false">IFERROR(VLOOKUP(A21,Modelos[],18,0),0)*G21/C21</f>
        <v>0</v>
      </c>
      <c r="I21" s="14" t="n">
        <f aca="false">SUM(G21:H21)</f>
        <v>428577</v>
      </c>
      <c r="J21" s="12" t="n">
        <f aca="false">I21*$J$3</f>
        <v>150001.95</v>
      </c>
      <c r="K21" s="12" t="n">
        <f aca="false">I21-J21</f>
        <v>278575.05</v>
      </c>
      <c r="L21" s="12" t="n">
        <f aca="false">Sup!$A$2*D21</f>
        <v>6775.44742838542</v>
      </c>
      <c r="M21" s="12" t="n">
        <f aca="false">IFERROR(VLOOKUP(A21,Modelos[],IF(B21="EST",15,14),0),0)/C21</f>
        <v>0</v>
      </c>
      <c r="N21" s="12" t="n">
        <f aca="false">IF($G21&lt;0,0,IFERROR((N$2*$P$1)*($G21/SUM($G$5:$G$43)),0))</f>
        <v>18562.2228830481</v>
      </c>
      <c r="O21" s="12" t="n">
        <f aca="false">IF($G21&lt;0,0,IFERROR((O$2*$P$1)*($G21/SUM($G$5:$G$43)),0))</f>
        <v>3609.32111614823</v>
      </c>
      <c r="P21" s="12" t="n">
        <f aca="false">IF($G21&lt;0,0,IFERROR((P$2*$P$1)*($G21/SUM($G$5:$G$43)),0))</f>
        <v>18562.2228830481</v>
      </c>
      <c r="Q21" s="12" t="n">
        <f aca="false">IF($G21&lt;0,0,IFERROR((Q$2*$P$1)*($G21/SUM($G$5:$G$43)),0))</f>
        <v>25780.8651153445</v>
      </c>
      <c r="R21" s="12" t="n">
        <f aca="false">K21*$R$2</f>
        <v>111430.02</v>
      </c>
      <c r="S21" s="12" t="n">
        <f aca="false">+R21*$S$2</f>
        <v>16714.503</v>
      </c>
      <c r="T21" s="12" t="n">
        <f aca="false">IF(G21&gt;0,$T$2/12,0)</f>
        <v>25833.3333333333</v>
      </c>
      <c r="U21" s="12" t="n">
        <f aca="false">K21-SUM(L21:T21)</f>
        <v>51307.1142406923</v>
      </c>
      <c r="V21" s="12" t="n">
        <f aca="false">IF($G21&lt;0,0,IFERROR((V$2*$P$1)*($G21/SUM($G$5:$G$43)),0))</f>
        <v>29607.6681820553</v>
      </c>
      <c r="W21" s="12" t="n">
        <f aca="false">G21-G21*$J$3-L21-N21-O21-P21-Q21-(G21-G21*$J$3)*$R$2-((G21-G21*$J$3)*$R$2)*$S$2-T21-V21</f>
        <v>21699.4460586371</v>
      </c>
      <c r="X21" s="12" t="n">
        <f aca="false">U21-V21</f>
        <v>21699.446058637</v>
      </c>
      <c r="Y21" s="12" t="n">
        <f aca="false">ROUND(X21-W21,9)</f>
        <v>0</v>
      </c>
    </row>
    <row r="22" customFormat="false" ht="14.4" hidden="false" customHeight="false" outlineLevel="0" collapsed="false">
      <c r="A22" s="15" t="s">
        <v>154</v>
      </c>
      <c r="B22" s="15" t="s">
        <v>145</v>
      </c>
      <c r="C22" s="16" t="n">
        <v>1</v>
      </c>
      <c r="D22" s="16" t="n">
        <v>1</v>
      </c>
      <c r="E22" s="16" t="s">
        <v>34</v>
      </c>
      <c r="F22" s="16" t="s">
        <v>63</v>
      </c>
      <c r="G22" s="12" t="n">
        <f aca="false">VLOOKUP(F22,Ventas!C:H,4,0)</f>
        <v>294384</v>
      </c>
      <c r="H22" s="15" t="n">
        <f aca="false">IFERROR(VLOOKUP(A22,Modelos[],18,0),0)*G22/C22</f>
        <v>0</v>
      </c>
      <c r="I22" s="17" t="n">
        <f aca="false">SUM(G22:H22)</f>
        <v>294384</v>
      </c>
      <c r="J22" s="15" t="n">
        <f aca="false">I22*$J$3</f>
        <v>103034.4</v>
      </c>
      <c r="K22" s="15" t="n">
        <f aca="false">I22-J22</f>
        <v>191349.6</v>
      </c>
      <c r="L22" s="15" t="n">
        <f aca="false">Sup!$A$2*D22</f>
        <v>6775.44742838542</v>
      </c>
      <c r="M22" s="15" t="n">
        <f aca="false">IFERROR(VLOOKUP(A22,Modelos[],IF(B22="EST",15,14),0),0)/C22</f>
        <v>0</v>
      </c>
      <c r="N22" s="15" t="n">
        <f aca="false">IF($G22&lt;0,0,IFERROR((N$2*$P$1)*($G22/SUM($G$5:$G$43)),0))</f>
        <v>12750.1508975125</v>
      </c>
      <c r="O22" s="15" t="n">
        <f aca="false">IF($G22&lt;0,0,IFERROR((O$2*$P$1)*($G22/SUM($G$5:$G$43)),0))</f>
        <v>2479.19600784966</v>
      </c>
      <c r="P22" s="15" t="n">
        <f aca="false">IF($G22&lt;0,0,IFERROR((P$2*$P$1)*($G22/SUM($G$5:$G$43)),0))</f>
        <v>12750.1508975125</v>
      </c>
      <c r="Q22" s="15" t="n">
        <f aca="false">IF($G22&lt;0,0,IFERROR((Q$2*$P$1)*($G22/SUM($G$5:$G$43)),0))</f>
        <v>17708.5429132118</v>
      </c>
      <c r="R22" s="15" t="n">
        <f aca="false">K22*$R$2</f>
        <v>76539.84</v>
      </c>
      <c r="S22" s="15" t="n">
        <f aca="false">+R22*$S$2</f>
        <v>11480.976</v>
      </c>
      <c r="T22" s="15" t="n">
        <f aca="false">IF(G22&gt;0,$T$2/12,0)</f>
        <v>25833.3333333333</v>
      </c>
      <c r="U22" s="15" t="n">
        <f aca="false">K22-SUM(L22:T22)</f>
        <v>25031.9625221947</v>
      </c>
      <c r="V22" s="15" t="n">
        <f aca="false">IF($G22&lt;0,0,IFERROR((V$2*$P$1)*($G22/SUM($G$5:$G$43)),0))</f>
        <v>20337.124460963</v>
      </c>
      <c r="W22" s="15" t="n">
        <f aca="false">G22-G22*$J$3-L22-N22-O22-P22-Q22-(G22-G22*$J$3)*$R$2-((G22-G22*$J$3)*$R$2)*$S$2-T22-V22</f>
        <v>4694.83806123172</v>
      </c>
      <c r="X22" s="15" t="n">
        <f aca="false">U22-V22</f>
        <v>4694.83806123168</v>
      </c>
      <c r="Y22" s="15" t="n">
        <f aca="false">ROUND(X22-W22,9)</f>
        <v>-0</v>
      </c>
    </row>
    <row r="23" customFormat="false" ht="14.4" hidden="false" customHeight="false" outlineLevel="0" collapsed="false">
      <c r="A23" s="12"/>
      <c r="B23" s="12"/>
      <c r="C23" s="13" t="n">
        <v>1</v>
      </c>
      <c r="D23" s="13" t="n">
        <v>1</v>
      </c>
      <c r="E23" s="13" t="s">
        <v>34</v>
      </c>
      <c r="F23" s="13" t="s">
        <v>65</v>
      </c>
      <c r="G23" s="12" t="n">
        <f aca="false">VLOOKUP(F23,Ventas!C:H,4,0)</f>
        <v>220639</v>
      </c>
      <c r="H23" s="12" t="n">
        <f aca="false">IFERROR(VLOOKUP(A23,Modelos[],18,0),0)*G23/C23</f>
        <v>0</v>
      </c>
      <c r="I23" s="14" t="n">
        <f aca="false">SUM(G23:H23)</f>
        <v>220639</v>
      </c>
      <c r="J23" s="12" t="n">
        <f aca="false">I23*$J$3</f>
        <v>77223.65</v>
      </c>
      <c r="K23" s="12" t="n">
        <f aca="false">I23-J23</f>
        <v>143415.35</v>
      </c>
      <c r="L23" s="12" t="n">
        <f aca="false">Sup!$A$2*D23</f>
        <v>6775.44742838542</v>
      </c>
      <c r="M23" s="12" t="n">
        <f aca="false">IFERROR(VLOOKUP(A23,Modelos[],IF(B23="EST",15,14),0),0)/C23</f>
        <v>0</v>
      </c>
      <c r="N23" s="12" t="n">
        <f aca="false">IF($G23&lt;0,0,IFERROR((N$2*$P$1)*($G23/SUM($G$5:$G$43)),0))</f>
        <v>9556.15979087268</v>
      </c>
      <c r="O23" s="12" t="n">
        <f aca="false">IF($G23&lt;0,0,IFERROR((O$2*$P$1)*($G23/SUM($G$5:$G$43)),0))</f>
        <v>1858.14218155858</v>
      </c>
      <c r="P23" s="12" t="n">
        <f aca="false">IF($G23&lt;0,0,IFERROR((P$2*$P$1)*($G23/SUM($G$5:$G$43)),0))</f>
        <v>9556.15979087268</v>
      </c>
      <c r="Q23" s="12" t="n">
        <f aca="false">IF($G23&lt;0,0,IFERROR((Q$2*$P$1)*($G23/SUM($G$5:$G$43)),0))</f>
        <v>13272.4441539898</v>
      </c>
      <c r="R23" s="12" t="n">
        <f aca="false">K23*$R$2</f>
        <v>57366.14</v>
      </c>
      <c r="S23" s="12" t="n">
        <f aca="false">+R23*$S$2</f>
        <v>8604.921</v>
      </c>
      <c r="T23" s="12" t="n">
        <f aca="false">IF(G23&gt;0,$T$2/12,0)</f>
        <v>25833.3333333333</v>
      </c>
      <c r="U23" s="12" t="n">
        <f aca="false">K23-SUM(L23:T23)</f>
        <v>10592.6023209875</v>
      </c>
      <c r="V23" s="12" t="n">
        <f aca="false">IF($G23&lt;0,0,IFERROR((V$2*$P$1)*($G23/SUM($G$5:$G$43)),0))</f>
        <v>15242.5498802327</v>
      </c>
      <c r="W23" s="12" t="n">
        <f aca="false">G23-G23*$J$3-L23-N23-O23-P23-Q23-(G23-G23*$J$3)*$R$2-((G23-G23*$J$3)*$R$2)*$S$2-T23-V23</f>
        <v>-4649.94755924524</v>
      </c>
      <c r="X23" s="12" t="n">
        <f aca="false">U23-V23</f>
        <v>-4649.94755924523</v>
      </c>
      <c r="Y23" s="12" t="n">
        <f aca="false">ROUND(X23-W23,9)</f>
        <v>0</v>
      </c>
    </row>
    <row r="24" customFormat="false" ht="14.4" hidden="false" customHeight="false" outlineLevel="0" collapsed="false">
      <c r="A24" s="15"/>
      <c r="B24" s="15"/>
      <c r="C24" s="16" t="n">
        <v>1</v>
      </c>
      <c r="D24" s="16" t="n">
        <v>1</v>
      </c>
      <c r="E24" s="16" t="s">
        <v>34</v>
      </c>
      <c r="F24" s="16" t="s">
        <v>66</v>
      </c>
      <c r="G24" s="12" t="n">
        <f aca="false">VLOOKUP(F24,Ventas!C:H,4,0)</f>
        <v>189052</v>
      </c>
      <c r="H24" s="15" t="n">
        <f aca="false">IFERROR(VLOOKUP(A24,Modelos[],18,0),0)*G24/C24</f>
        <v>0</v>
      </c>
      <c r="I24" s="17" t="n">
        <f aca="false">SUM(G24:H24)</f>
        <v>189052</v>
      </c>
      <c r="J24" s="15" t="n">
        <f aca="false">I24*$J$3</f>
        <v>66168.2</v>
      </c>
      <c r="K24" s="15" t="n">
        <f aca="false">I24-J24</f>
        <v>122883.8</v>
      </c>
      <c r="L24" s="15" t="n">
        <f aca="false">Sup!$A$2*D24</f>
        <v>6775.44742838542</v>
      </c>
      <c r="M24" s="15" t="n">
        <f aca="false">IFERROR(VLOOKUP(A24,Modelos[],IF(B24="EST",15,14),0),0)/C24</f>
        <v>0</v>
      </c>
      <c r="N24" s="15" t="n">
        <f aca="false">IF($G24&lt;0,0,IFERROR((N$2*$P$1)*($G24/SUM($G$5:$G$43)),0))</f>
        <v>8188.08606268186</v>
      </c>
      <c r="O24" s="15" t="n">
        <f aca="false">IF($G24&lt;0,0,IFERROR((O$2*$P$1)*($G24/SUM($G$5:$G$43)),0))</f>
        <v>1592.12784552147</v>
      </c>
      <c r="P24" s="15" t="n">
        <f aca="false">IF($G24&lt;0,0,IFERROR((P$2*$P$1)*($G24/SUM($G$5:$G$43)),0))</f>
        <v>8188.08606268186</v>
      </c>
      <c r="Q24" s="15" t="n">
        <f aca="false">IF($G24&lt;0,0,IFERROR((Q$2*$P$1)*($G24/SUM($G$5:$G$43)),0))</f>
        <v>11372.3417537248</v>
      </c>
      <c r="R24" s="15" t="n">
        <f aca="false">K24*$R$2</f>
        <v>49153.52</v>
      </c>
      <c r="S24" s="15" t="n">
        <f aca="false">+R24*$S$2</f>
        <v>7373.028</v>
      </c>
      <c r="T24" s="15" t="n">
        <f aca="false">IF(G24&gt;0,$T$2/12,0)</f>
        <v>25833.3333333333</v>
      </c>
      <c r="U24" s="15" t="n">
        <f aca="false">K24-SUM(L24:T24)</f>
        <v>4407.82951367124</v>
      </c>
      <c r="V24" s="15" t="n">
        <f aca="false">IF($G24&lt;0,0,IFERROR((V$2*$P$1)*($G24/SUM($G$5:$G$43)),0))</f>
        <v>13060.4042801035</v>
      </c>
      <c r="W24" s="15" t="n">
        <f aca="false">G24-G24*$J$3-L24-N24-O24-P24-Q24-(G24-G24*$J$3)*$R$2-((G24-G24*$J$3)*$R$2)*$S$2-T24-V24</f>
        <v>-8652.57476643225</v>
      </c>
      <c r="X24" s="15" t="n">
        <f aca="false">U24-V24</f>
        <v>-8652.57476643225</v>
      </c>
      <c r="Y24" s="15" t="n">
        <f aca="false">ROUND(X24-W24,9)</f>
        <v>0</v>
      </c>
    </row>
    <row r="25" customFormat="false" ht="14.4" hidden="false" customHeight="false" outlineLevel="0" collapsed="false">
      <c r="A25" s="12"/>
      <c r="B25" s="12"/>
      <c r="C25" s="13" t="n">
        <v>1</v>
      </c>
      <c r="D25" s="13" t="n">
        <v>1</v>
      </c>
      <c r="E25" s="13" t="s">
        <v>34</v>
      </c>
      <c r="F25" s="13" t="s">
        <v>67</v>
      </c>
      <c r="G25" s="12" t="n">
        <f aca="false">VLOOKUP(F25,Ventas!C:H,4,0)</f>
        <v>339700</v>
      </c>
      <c r="H25" s="12" t="n">
        <f aca="false">IFERROR(VLOOKUP(A25,Modelos[],18,0),0)*G25/C25</f>
        <v>0</v>
      </c>
      <c r="I25" s="14" t="n">
        <f aca="false">SUM(G25:H25)</f>
        <v>339700</v>
      </c>
      <c r="J25" s="12" t="n">
        <f aca="false">I25*$J$3</f>
        <v>118895</v>
      </c>
      <c r="K25" s="12" t="n">
        <f aca="false">I25-J25</f>
        <v>220805</v>
      </c>
      <c r="L25" s="12" t="n">
        <f aca="false">Sup!$A$2*D25</f>
        <v>6775.44742838542</v>
      </c>
      <c r="M25" s="12" t="n">
        <f aca="false">IFERROR(VLOOKUP(A25,Modelos[],IF(B25="EST",15,14),0),0)/C25</f>
        <v>0</v>
      </c>
      <c r="N25" s="12" t="n">
        <f aca="false">IF($G25&lt;0,0,IFERROR((N$2*$P$1)*($G25/SUM($G$5:$G$43)),0))</f>
        <v>14712.8453308774</v>
      </c>
      <c r="O25" s="12" t="n">
        <f aca="false">IF($G25&lt;0,0,IFERROR((O$2*$P$1)*($G25/SUM($G$5:$G$43)),0))</f>
        <v>2860.83103655949</v>
      </c>
      <c r="P25" s="12" t="n">
        <f aca="false">IF($G25&lt;0,0,IFERROR((P$2*$P$1)*($G25/SUM($G$5:$G$43)),0))</f>
        <v>14712.8453308774</v>
      </c>
      <c r="Q25" s="12" t="n">
        <f aca="false">IF($G25&lt;0,0,IFERROR((Q$2*$P$1)*($G25/SUM($G$5:$G$43)),0))</f>
        <v>20434.5074039963</v>
      </c>
      <c r="R25" s="12" t="n">
        <f aca="false">K25*$R$2</f>
        <v>88322</v>
      </c>
      <c r="S25" s="12" t="n">
        <f aca="false">+R25*$S$2</f>
        <v>13248.3</v>
      </c>
      <c r="T25" s="12" t="n">
        <f aca="false">IF(G25&gt;0,$T$2/12,0)</f>
        <v>25833.3333333333</v>
      </c>
      <c r="U25" s="12" t="n">
        <f aca="false">K25-SUM(L25:T25)</f>
        <v>33904.8901359707</v>
      </c>
      <c r="V25" s="12" t="n">
        <f aca="false">IF($G25&lt;0,0,IFERROR((V$2*$P$1)*($G25/SUM($G$5:$G$43)),0))</f>
        <v>23467.7196430144</v>
      </c>
      <c r="W25" s="12" t="n">
        <f aca="false">G25-G25*$J$3-L25-N25-O25-P25-Q25-(G25-G25*$J$3)*$R$2-((G25-G25*$J$3)*$R$2)*$S$2-T25-V25</f>
        <v>10437.1704929563</v>
      </c>
      <c r="X25" s="12" t="n">
        <f aca="false">U25-V25</f>
        <v>10437.1704929563</v>
      </c>
      <c r="Y25" s="12" t="n">
        <f aca="false">ROUND(X25-W25,9)</f>
        <v>0</v>
      </c>
    </row>
    <row r="26" customFormat="false" ht="14.4" hidden="false" customHeight="false" outlineLevel="0" collapsed="false">
      <c r="A26" s="15"/>
      <c r="B26" s="15"/>
      <c r="C26" s="16" t="n">
        <v>1</v>
      </c>
      <c r="D26" s="16" t="n">
        <v>1</v>
      </c>
      <c r="E26" s="16" t="s">
        <v>34</v>
      </c>
      <c r="F26" s="16" t="s">
        <v>69</v>
      </c>
      <c r="G26" s="12" t="n">
        <f aca="false">VLOOKUP(F26,Ventas!C:H,4,0)</f>
        <v>161471</v>
      </c>
      <c r="H26" s="15" t="n">
        <f aca="false">IFERROR(VLOOKUP(A26,Modelos[],18,0),0)*G26/C26</f>
        <v>0</v>
      </c>
      <c r="I26" s="17" t="n">
        <f aca="false">SUM(G26:H26)</f>
        <v>161471</v>
      </c>
      <c r="J26" s="15" t="n">
        <f aca="false">I26*$J$3</f>
        <v>56514.85</v>
      </c>
      <c r="K26" s="15" t="n">
        <f aca="false">I26-J26</f>
        <v>104956.15</v>
      </c>
      <c r="L26" s="15" t="n">
        <f aca="false">Sup!$A$2*D26</f>
        <v>6775.44742838542</v>
      </c>
      <c r="M26" s="15" t="n">
        <f aca="false">IFERROR(VLOOKUP(A26,Modelos[],IF(B26="EST",15,14),0),0)/C26</f>
        <v>0</v>
      </c>
      <c r="N26" s="15" t="n">
        <f aca="false">IF($G26&lt;0,0,IFERROR((N$2*$P$1)*($G26/SUM($G$5:$G$43)),0))</f>
        <v>6993.51736362113</v>
      </c>
      <c r="O26" s="15" t="n">
        <f aca="false">IF($G26&lt;0,0,IFERROR((O$2*$P$1)*($G26/SUM($G$5:$G$43)),0))</f>
        <v>1359.85059848189</v>
      </c>
      <c r="P26" s="15" t="n">
        <f aca="false">IF($G26&lt;0,0,IFERROR((P$2*$P$1)*($G26/SUM($G$5:$G$43)),0))</f>
        <v>6993.51736362113</v>
      </c>
      <c r="Q26" s="15" t="n">
        <f aca="false">IF($G26&lt;0,0,IFERROR((Q$2*$P$1)*($G26/SUM($G$5:$G$43)),0))</f>
        <v>9713.21856058491</v>
      </c>
      <c r="R26" s="15" t="n">
        <f aca="false">K26*$R$2</f>
        <v>41982.46</v>
      </c>
      <c r="S26" s="15" t="n">
        <f aca="false">+R26*$S$2</f>
        <v>6297.369</v>
      </c>
      <c r="T26" s="15" t="n">
        <f aca="false">IF(G26&gt;0,$T$2/12,0)</f>
        <v>25833.3333333333</v>
      </c>
      <c r="U26" s="15" t="n">
        <f aca="false">K26-SUM(L26:T26)</f>
        <v>-992.563648027819</v>
      </c>
      <c r="V26" s="15" t="n">
        <f aca="false">IF($G26&lt;0,0,IFERROR((V$2*$P$1)*($G26/SUM($G$5:$G$43)),0))</f>
        <v>11155.0078259558</v>
      </c>
      <c r="W26" s="15" t="n">
        <f aca="false">G26-G26*$J$3-L26-N26-O26-P26-Q26-(G26-G26*$J$3)*$R$2-((G26-G26*$J$3)*$R$2)*$S$2-T26-V26</f>
        <v>-12147.5714739836</v>
      </c>
      <c r="X26" s="15" t="n">
        <f aca="false">U26-V26</f>
        <v>-12147.5714739836</v>
      </c>
      <c r="Y26" s="15" t="n">
        <f aca="false">ROUND(X26-W26,9)</f>
        <v>0</v>
      </c>
    </row>
    <row r="27" customFormat="false" ht="14.4" hidden="false" customHeight="false" outlineLevel="0" collapsed="false">
      <c r="A27" s="12"/>
      <c r="B27" s="12"/>
      <c r="C27" s="13" t="n">
        <v>1</v>
      </c>
      <c r="D27" s="13" t="n">
        <v>1</v>
      </c>
      <c r="E27" s="13" t="s">
        <v>34</v>
      </c>
      <c r="F27" s="13" t="s">
        <v>70</v>
      </c>
      <c r="G27" s="12" t="n">
        <f aca="false">VLOOKUP(F27,Ventas!C:H,4,0)</f>
        <v>222874</v>
      </c>
      <c r="H27" s="12" t="n">
        <f aca="false">IFERROR(VLOOKUP(A27,Modelos[],18,0),0)*G27/C27</f>
        <v>0</v>
      </c>
      <c r="I27" s="14" t="n">
        <f aca="false">SUM(G27:H27)</f>
        <v>222874</v>
      </c>
      <c r="J27" s="12" t="n">
        <f aca="false">I27*$J$3</f>
        <v>78005.9</v>
      </c>
      <c r="K27" s="12" t="n">
        <f aca="false">I27-J27</f>
        <v>144868.1</v>
      </c>
      <c r="L27" s="12" t="n">
        <f aca="false">Sup!$A$2*D27</f>
        <v>6775.44742838542</v>
      </c>
      <c r="M27" s="12" t="n">
        <f aca="false">IFERROR(VLOOKUP(A27,Modelos[],IF(B27="EST",15,14),0),0)/C27</f>
        <v>0</v>
      </c>
      <c r="N27" s="12" t="n">
        <f aca="false">IF($G27&lt;0,0,IFERROR((N$2*$P$1)*($G27/SUM($G$5:$G$43)),0))</f>
        <v>9652.96052479824</v>
      </c>
      <c r="O27" s="12" t="n">
        <f aca="false">IF($G27&lt;0,0,IFERROR((O$2*$P$1)*($G27/SUM($G$5:$G$43)),0))</f>
        <v>1876.96454648855</v>
      </c>
      <c r="P27" s="12" t="n">
        <f aca="false">IF($G27&lt;0,0,IFERROR((P$2*$P$1)*($G27/SUM($G$5:$G$43)),0))</f>
        <v>9652.96052479824</v>
      </c>
      <c r="Q27" s="12" t="n">
        <f aca="false">IF($G27&lt;0,0,IFERROR((Q$2*$P$1)*($G27/SUM($G$5:$G$43)),0))</f>
        <v>13406.8896177753</v>
      </c>
      <c r="R27" s="12" t="n">
        <f aca="false">K27*$R$2</f>
        <v>57947.24</v>
      </c>
      <c r="S27" s="12" t="n">
        <f aca="false">+R27*$S$2</f>
        <v>8692.086</v>
      </c>
      <c r="T27" s="12" t="n">
        <f aca="false">IF(G27&gt;0,$T$2/12,0)</f>
        <v>25833.3333333333</v>
      </c>
      <c r="U27" s="12" t="n">
        <f aca="false">K27-SUM(L27:T27)</f>
        <v>11030.2180244209</v>
      </c>
      <c r="V27" s="12" t="n">
        <f aca="false">IF($G27&lt;0,0,IFERROR((V$2*$P$1)*($G27/SUM($G$5:$G$43)),0))</f>
        <v>15396.9518625764</v>
      </c>
      <c r="W27" s="12" t="n">
        <f aca="false">G27-G27*$J$3-L27-N27-O27-P27-Q27-(G27-G27*$J$3)*$R$2-((G27-G27*$J$3)*$R$2)*$S$2-T27-V27</f>
        <v>-4366.73383815545</v>
      </c>
      <c r="X27" s="12" t="n">
        <f aca="false">U27-V27</f>
        <v>-4366.73383815545</v>
      </c>
      <c r="Y27" s="12" t="n">
        <f aca="false">ROUND(X27-W27,9)</f>
        <v>0</v>
      </c>
    </row>
    <row r="28" customFormat="false" ht="14.4" hidden="false" customHeight="false" outlineLevel="0" collapsed="false">
      <c r="A28" s="15"/>
      <c r="B28" s="15"/>
      <c r="C28" s="16" t="n">
        <v>1</v>
      </c>
      <c r="D28" s="16" t="n">
        <v>1</v>
      </c>
      <c r="E28" s="16" t="s">
        <v>34</v>
      </c>
      <c r="F28" s="16" t="s">
        <v>71</v>
      </c>
      <c r="G28" s="12" t="n">
        <f aca="false">VLOOKUP(F28,Ventas!C:H,4,0)</f>
        <v>172710</v>
      </c>
      <c r="H28" s="15" t="n">
        <f aca="false">IFERROR(VLOOKUP(A28,Modelos[],18,0),0)*G28/C28</f>
        <v>0</v>
      </c>
      <c r="I28" s="17" t="n">
        <f aca="false">SUM(G28:H28)</f>
        <v>172710</v>
      </c>
      <c r="J28" s="15" t="n">
        <f aca="false">I28*$J$3</f>
        <v>60448.5</v>
      </c>
      <c r="K28" s="15" t="n">
        <f aca="false">I28-J28</f>
        <v>112261.5</v>
      </c>
      <c r="L28" s="15" t="n">
        <f aca="false">Sup!$A$2*D28</f>
        <v>6775.44742838542</v>
      </c>
      <c r="M28" s="15" t="n">
        <f aca="false">IFERROR(VLOOKUP(A28,Modelos[],IF(B28="EST",15,14),0),0)/C28</f>
        <v>0</v>
      </c>
      <c r="N28" s="15" t="n">
        <f aca="false">IF($G28&lt;0,0,IFERROR((N$2*$P$1)*($G28/SUM($G$5:$G$43)),0))</f>
        <v>7480.29295583111</v>
      </c>
      <c r="O28" s="15" t="n">
        <f aca="false">IF($G28&lt;0,0,IFERROR((O$2*$P$1)*($G28/SUM($G$5:$G$43)),0))</f>
        <v>1454.50140807827</v>
      </c>
      <c r="P28" s="15" t="n">
        <f aca="false">IF($G28&lt;0,0,IFERROR((P$2*$P$1)*($G28/SUM($G$5:$G$43)),0))</f>
        <v>7480.29295583111</v>
      </c>
      <c r="Q28" s="15" t="n">
        <f aca="false">IF($G28&lt;0,0,IFERROR((Q$2*$P$1)*($G28/SUM($G$5:$G$43)),0))</f>
        <v>10389.2957719877</v>
      </c>
      <c r="R28" s="15" t="n">
        <f aca="false">K28*$R$2</f>
        <v>44904.6</v>
      </c>
      <c r="S28" s="15" t="n">
        <f aca="false">+R28*$S$2</f>
        <v>6735.69</v>
      </c>
      <c r="T28" s="15" t="n">
        <f aca="false">IF(G28&gt;0,$T$2/12,0)</f>
        <v>25833.3333333333</v>
      </c>
      <c r="U28" s="15" t="n">
        <f aca="false">K28-SUM(L28:T28)</f>
        <v>1208.0461465531</v>
      </c>
      <c r="V28" s="15" t="n">
        <f aca="false">IF($G28&lt;0,0,IFERROR((V$2*$P$1)*($G28/SUM($G$5:$G$43)),0))</f>
        <v>11931.4390919783</v>
      </c>
      <c r="W28" s="15" t="n">
        <f aca="false">G28-G28*$J$3-L28-N28-O28-P28-Q28-(G28-G28*$J$3)*$R$2-((G28-G28*$J$3)*$R$2)*$S$2-T28-V28</f>
        <v>-10723.3929454252</v>
      </c>
      <c r="X28" s="15" t="n">
        <f aca="false">U28-V28</f>
        <v>-10723.3929454252</v>
      </c>
      <c r="Y28" s="15" t="n">
        <f aca="false">ROUND(X28-W28,9)</f>
        <v>0</v>
      </c>
    </row>
    <row r="29" customFormat="false" ht="14.4" hidden="false" customHeight="false" outlineLevel="0" collapsed="false">
      <c r="A29" s="12"/>
      <c r="B29" s="12"/>
      <c r="C29" s="13" t="n">
        <v>1</v>
      </c>
      <c r="D29" s="13" t="n">
        <v>1</v>
      </c>
      <c r="E29" s="13" t="s">
        <v>34</v>
      </c>
      <c r="F29" s="13" t="s">
        <v>72</v>
      </c>
      <c r="G29" s="12" t="n">
        <f aca="false">VLOOKUP(F29,Ventas!C:H,4,0)</f>
        <v>60200</v>
      </c>
      <c r="H29" s="12" t="n">
        <f aca="false">IFERROR(VLOOKUP(A29,Modelos[],18,0),0)*G29/C29</f>
        <v>0</v>
      </c>
      <c r="I29" s="14" t="n">
        <f aca="false">SUM(G29:H29)</f>
        <v>60200</v>
      </c>
      <c r="J29" s="12" t="n">
        <f aca="false">I29*$J$3</f>
        <v>21070</v>
      </c>
      <c r="K29" s="12" t="n">
        <f aca="false">I29-J29</f>
        <v>39130</v>
      </c>
      <c r="L29" s="12" t="n">
        <f aca="false">Sup!$A$2*D29</f>
        <v>6775.44742838542</v>
      </c>
      <c r="M29" s="12" t="n">
        <f aca="false">IFERROR(VLOOKUP(A29,Modelos[],IF(B29="EST",15,14),0),0)/C29</f>
        <v>0</v>
      </c>
      <c r="N29" s="12" t="n">
        <f aca="false">IF($G29&lt;0,0,IFERROR((N$2*$P$1)*($G29/SUM($G$5:$G$43)),0))</f>
        <v>2607.33967888966</v>
      </c>
      <c r="O29" s="12" t="n">
        <f aca="false">IF($G29&lt;0,0,IFERROR((O$2*$P$1)*($G29/SUM($G$5:$G$43)),0))</f>
        <v>506.982715339656</v>
      </c>
      <c r="P29" s="12" t="n">
        <f aca="false">IF($G29&lt;0,0,IFERROR((P$2*$P$1)*($G29/SUM($G$5:$G$43)),0))</f>
        <v>2607.33967888966</v>
      </c>
      <c r="Q29" s="12" t="n">
        <f aca="false">IF($G29&lt;0,0,IFERROR((Q$2*$P$1)*($G29/SUM($G$5:$G$43)),0))</f>
        <v>3621.30510956897</v>
      </c>
      <c r="R29" s="12" t="n">
        <f aca="false">K29*$R$2</f>
        <v>15652</v>
      </c>
      <c r="S29" s="12" t="n">
        <f aca="false">+R29*$S$2</f>
        <v>2347.8</v>
      </c>
      <c r="T29" s="12" t="n">
        <f aca="false">IF(G29&gt;0,$T$2/12,0)</f>
        <v>25833.3333333333</v>
      </c>
      <c r="U29" s="12" t="n">
        <f aca="false">K29-SUM(L29:T29)</f>
        <v>-20821.5479444067</v>
      </c>
      <c r="V29" s="12" t="n">
        <f aca="false">IF($G29&lt;0,0,IFERROR((V$2*$P$1)*($G29/SUM($G$5:$G$43)),0))</f>
        <v>4158.83639243293</v>
      </c>
      <c r="W29" s="12" t="n">
        <f aca="false">G29-G29*$J$3-L29-N29-O29-P29-Q29-(G29-G29*$J$3)*$R$2-((G29-G29*$J$3)*$R$2)*$S$2-T29-V29</f>
        <v>-24980.3843368396</v>
      </c>
      <c r="X29" s="12" t="n">
        <f aca="false">U29-V29</f>
        <v>-24980.3843368396</v>
      </c>
      <c r="Y29" s="12" t="n">
        <f aca="false">ROUND(X29-W29,9)</f>
        <v>0</v>
      </c>
    </row>
    <row r="30" customFormat="false" ht="14.4" hidden="false" customHeight="false" outlineLevel="0" collapsed="false">
      <c r="A30" s="15"/>
      <c r="B30" s="15"/>
      <c r="C30" s="16" t="n">
        <v>1</v>
      </c>
      <c r="D30" s="16" t="n">
        <v>1</v>
      </c>
      <c r="E30" s="16" t="s">
        <v>34</v>
      </c>
      <c r="F30" s="16" t="s">
        <v>73</v>
      </c>
      <c r="G30" s="12" t="n">
        <f aca="false">VLOOKUP(F30,Ventas!C:H,4,0)</f>
        <v>315029</v>
      </c>
      <c r="H30" s="15" t="n">
        <f aca="false">IFERROR(VLOOKUP(A30,Modelos[],18,0),0)*G30/C30</f>
        <v>0</v>
      </c>
      <c r="I30" s="17" t="n">
        <f aca="false">SUM(G30:H30)</f>
        <v>315029</v>
      </c>
      <c r="J30" s="15" t="n">
        <f aca="false">I30*$J$3</f>
        <v>110260.15</v>
      </c>
      <c r="K30" s="15" t="n">
        <f aca="false">I30-J30</f>
        <v>204768.85</v>
      </c>
      <c r="L30" s="15" t="n">
        <f aca="false">Sup!$A$2*D30</f>
        <v>6775.44742838542</v>
      </c>
      <c r="M30" s="15" t="n">
        <f aca="false">IFERROR(VLOOKUP(A30,Modelos[],IF(B30="EST",15,14),0),0)/C30</f>
        <v>0</v>
      </c>
      <c r="N30" s="15" t="n">
        <f aca="false">IF($G30&lt;0,0,IFERROR((N$2*$P$1)*($G30/SUM($G$5:$G$43)),0))</f>
        <v>13644.3124867264</v>
      </c>
      <c r="O30" s="15" t="n">
        <f aca="false">IF($G30&lt;0,0,IFERROR((O$2*$P$1)*($G30/SUM($G$5:$G$43)),0))</f>
        <v>2653.06076130791</v>
      </c>
      <c r="P30" s="15" t="n">
        <f aca="false">IF($G30&lt;0,0,IFERROR((P$2*$P$1)*($G30/SUM($G$5:$G$43)),0))</f>
        <v>13644.3124867264</v>
      </c>
      <c r="Q30" s="15" t="n">
        <f aca="false">IF($G30&lt;0,0,IFERROR((Q$2*$P$1)*($G30/SUM($G$5:$G$43)),0))</f>
        <v>18950.4340093423</v>
      </c>
      <c r="R30" s="15" t="n">
        <f aca="false">K30*$R$2</f>
        <v>81907.54</v>
      </c>
      <c r="S30" s="15" t="n">
        <f aca="false">+R30*$S$2</f>
        <v>12286.131</v>
      </c>
      <c r="T30" s="15" t="n">
        <f aca="false">IF(G30&gt;0,$T$2/12,0)</f>
        <v>25833.3333333333</v>
      </c>
      <c r="U30" s="15" t="n">
        <f aca="false">K30-SUM(L30:T30)</f>
        <v>29074.2784941782</v>
      </c>
      <c r="V30" s="15" t="n">
        <f aca="false">IF($G30&lt;0,0,IFERROR((V$2*$P$1)*($G30/SUM($G$5:$G$43)),0))</f>
        <v>21763.3566423879</v>
      </c>
      <c r="W30" s="15" t="n">
        <f aca="false">G30-G30*$J$3-L30-N30-O30-P30-Q30-(G30-G30*$J$3)*$R$2-((G30-G30*$J$3)*$R$2)*$S$2-T30-V30</f>
        <v>7310.92185179033</v>
      </c>
      <c r="X30" s="15" t="n">
        <f aca="false">U30-V30</f>
        <v>7310.92185179031</v>
      </c>
      <c r="Y30" s="15" t="n">
        <f aca="false">ROUND(X30-W30,9)</f>
        <v>0</v>
      </c>
    </row>
    <row r="31" customFormat="false" ht="14.4" hidden="false" customHeight="false" outlineLevel="0" collapsed="false">
      <c r="A31" s="12"/>
      <c r="B31" s="12"/>
      <c r="C31" s="13" t="n">
        <v>1</v>
      </c>
      <c r="D31" s="13" t="n">
        <v>1</v>
      </c>
      <c r="E31" s="13" t="s">
        <v>34</v>
      </c>
      <c r="F31" s="13" t="s">
        <v>74</v>
      </c>
      <c r="G31" s="12" t="n">
        <f aca="false">VLOOKUP(F31,Ventas!C:H,4,0)</f>
        <v>251895</v>
      </c>
      <c r="H31" s="12" t="n">
        <f aca="false">IFERROR(VLOOKUP(A31,Modelos[],18,0),0)*G31/C31</f>
        <v>0</v>
      </c>
      <c r="I31" s="14" t="n">
        <f aca="false">SUM(G31:H31)</f>
        <v>251895</v>
      </c>
      <c r="J31" s="12" t="n">
        <f aca="false">I31*$J$3</f>
        <v>88163.25</v>
      </c>
      <c r="K31" s="12" t="n">
        <f aca="false">I31-J31</f>
        <v>163731.75</v>
      </c>
      <c r="L31" s="12" t="n">
        <f aca="false">Sup!$A$2*D31</f>
        <v>6775.44742838542</v>
      </c>
      <c r="M31" s="12" t="n">
        <f aca="false">IFERROR(VLOOKUP(A31,Modelos[],IF(B31="EST",15,14),0),0)/C31</f>
        <v>0</v>
      </c>
      <c r="N31" s="12" t="n">
        <f aca="false">IF($G31&lt;0,0,IFERROR((N$2*$P$1)*($G31/SUM($G$5:$G$43)),0))</f>
        <v>10909.8974819587</v>
      </c>
      <c r="O31" s="12" t="n">
        <f aca="false">IF($G31&lt;0,0,IFERROR((O$2*$P$1)*($G31/SUM($G$5:$G$43)),0))</f>
        <v>2121.36895482529</v>
      </c>
      <c r="P31" s="12" t="n">
        <f aca="false">IF($G31&lt;0,0,IFERROR((P$2*$P$1)*($G31/SUM($G$5:$G$43)),0))</f>
        <v>10909.8974819587</v>
      </c>
      <c r="Q31" s="12" t="n">
        <f aca="false">IF($G31&lt;0,0,IFERROR((Q$2*$P$1)*($G31/SUM($G$5:$G$43)),0))</f>
        <v>15152.6353916092</v>
      </c>
      <c r="R31" s="12" t="n">
        <f aca="false">K31*$R$2</f>
        <v>65492.7</v>
      </c>
      <c r="S31" s="12" t="n">
        <f aca="false">+R31*$S$2</f>
        <v>9823.905</v>
      </c>
      <c r="T31" s="12" t="n">
        <f aca="false">IF(G31&gt;0,$T$2/12,0)</f>
        <v>25833.3333333333</v>
      </c>
      <c r="U31" s="12" t="n">
        <f aca="false">K31-SUM(L31:T31)</f>
        <v>16712.5649279294</v>
      </c>
      <c r="V31" s="12" t="n">
        <f aca="false">IF($G31&lt;0,0,IFERROR((V$2*$P$1)*($G31/SUM($G$5:$G$43)),0))</f>
        <v>17401.8287885696</v>
      </c>
      <c r="W31" s="12" t="n">
        <f aca="false">G31-G31*$J$3-L31-N31-O31-P31-Q31-(G31-G31*$J$3)*$R$2-((G31-G31*$J$3)*$R$2)*$S$2-T31-V31</f>
        <v>-689.263860640207</v>
      </c>
      <c r="X31" s="12" t="n">
        <f aca="false">U31-V31</f>
        <v>-689.263860640211</v>
      </c>
      <c r="Y31" s="12" t="n">
        <f aca="false">ROUND(X31-W31,9)</f>
        <v>-0</v>
      </c>
    </row>
    <row r="32" customFormat="false" ht="14.4" hidden="false" customHeight="false" outlineLevel="0" collapsed="false">
      <c r="A32" s="15"/>
      <c r="B32" s="15"/>
      <c r="C32" s="16" t="n">
        <v>1</v>
      </c>
      <c r="D32" s="16" t="n">
        <v>1</v>
      </c>
      <c r="E32" s="16" t="s">
        <v>34</v>
      </c>
      <c r="F32" s="16" t="s">
        <v>75</v>
      </c>
      <c r="G32" s="12" t="n">
        <f aca="false">VLOOKUP(F32,Ventas!C:H,4,0)</f>
        <v>20622</v>
      </c>
      <c r="H32" s="15" t="n">
        <f aca="false">IFERROR(VLOOKUP(A32,Modelos[],18,0),0)*G32/C32</f>
        <v>0</v>
      </c>
      <c r="I32" s="17" t="n">
        <f aca="false">SUM(G32:H32)</f>
        <v>20622</v>
      </c>
      <c r="J32" s="15" t="n">
        <f aca="false">I32*$J$3</f>
        <v>7217.7</v>
      </c>
      <c r="K32" s="15" t="n">
        <f aca="false">I32-J32</f>
        <v>13404.3</v>
      </c>
      <c r="L32" s="15" t="n">
        <f aca="false">Sup!$A$2*D32</f>
        <v>6775.44742838542</v>
      </c>
      <c r="M32" s="15" t="n">
        <f aca="false">IFERROR(VLOOKUP(A32,Modelos[],IF(B32="EST",15,14),0),0)/C32</f>
        <v>0</v>
      </c>
      <c r="N32" s="15" t="n">
        <f aca="false">IF($G32&lt;0,0,IFERROR((N$2*$P$1)*($G32/SUM($G$5:$G$43)),0))</f>
        <v>893.165429535923</v>
      </c>
      <c r="O32" s="15" t="n">
        <f aca="false">IF($G32&lt;0,0,IFERROR((O$2*$P$1)*($G32/SUM($G$5:$G$43)),0))</f>
        <v>173.671055743096</v>
      </c>
      <c r="P32" s="15" t="n">
        <f aca="false">IF($G32&lt;0,0,IFERROR((P$2*$P$1)*($G32/SUM($G$5:$G$43)),0))</f>
        <v>893.165429535923</v>
      </c>
      <c r="Q32" s="15" t="n">
        <f aca="false">IF($G32&lt;0,0,IFERROR((Q$2*$P$1)*($G32/SUM($G$5:$G$43)),0))</f>
        <v>1240.50754102212</v>
      </c>
      <c r="R32" s="15" t="n">
        <f aca="false">K32*$R$2</f>
        <v>5361.72</v>
      </c>
      <c r="S32" s="15" t="n">
        <f aca="false">+R32*$S$2</f>
        <v>804.258</v>
      </c>
      <c r="T32" s="15" t="n">
        <f aca="false">IF(G32&gt;0,$T$2/12,0)</f>
        <v>25833.3333333333</v>
      </c>
      <c r="U32" s="15" t="n">
        <f aca="false">K32-SUM(L32:T32)</f>
        <v>-28570.9682175558</v>
      </c>
      <c r="V32" s="15" t="n">
        <f aca="false">IF($G32&lt;0,0,IFERROR((V$2*$P$1)*($G32/SUM($G$5:$G$43)),0))</f>
        <v>1424.64325722179</v>
      </c>
      <c r="W32" s="15" t="n">
        <f aca="false">G32-G32*$J$3-L32-N32-O32-P32-Q32-(G32-G32*$J$3)*$R$2-((G32-G32*$J$3)*$R$2)*$S$2-T32-V32</f>
        <v>-29995.6114747776</v>
      </c>
      <c r="X32" s="15" t="n">
        <f aca="false">U32-V32</f>
        <v>-29995.6114747776</v>
      </c>
      <c r="Y32" s="15" t="n">
        <f aca="false">ROUND(X32-W32,9)</f>
        <v>0</v>
      </c>
    </row>
    <row r="33" customFormat="false" ht="14.4" hidden="false" customHeight="false" outlineLevel="0" collapsed="false">
      <c r="A33" s="12"/>
      <c r="B33" s="12"/>
      <c r="C33" s="13" t="n">
        <v>1</v>
      </c>
      <c r="D33" s="13" t="n">
        <v>1</v>
      </c>
      <c r="E33" s="13" t="s">
        <v>34</v>
      </c>
      <c r="F33" s="13" t="s">
        <v>77</v>
      </c>
      <c r="G33" s="12" t="n">
        <f aca="false">VLOOKUP(F33,Ventas!C:H,4,0)</f>
        <v>227648</v>
      </c>
      <c r="H33" s="12" t="n">
        <f aca="false">IFERROR(VLOOKUP(A33,Modelos[],18,0),0)*G33/C33</f>
        <v>0</v>
      </c>
      <c r="I33" s="14" t="n">
        <f aca="false">SUM(G33:H33)</f>
        <v>227648</v>
      </c>
      <c r="J33" s="12" t="n">
        <f aca="false">I33*$J$3</f>
        <v>79676.8</v>
      </c>
      <c r="K33" s="12" t="n">
        <f aca="false">I33-J33</f>
        <v>147971.2</v>
      </c>
      <c r="L33" s="12" t="n">
        <f aca="false">Sup!$A$2*D33</f>
        <v>6775.44742838542</v>
      </c>
      <c r="M33" s="12" t="n">
        <f aca="false">IFERROR(VLOOKUP(A33,Modelos[],IF(B33="EST",15,14),0),0)/C33</f>
        <v>0</v>
      </c>
      <c r="N33" s="12" t="n">
        <f aca="false">IF($G33&lt;0,0,IFERROR((N$2*$P$1)*($G33/SUM($G$5:$G$43)),0))</f>
        <v>9859.72862491484</v>
      </c>
      <c r="O33" s="12" t="n">
        <f aca="false">IF($G33&lt;0,0,IFERROR((O$2*$P$1)*($G33/SUM($G$5:$G$43)),0))</f>
        <v>1917.16945484455</v>
      </c>
      <c r="P33" s="12" t="n">
        <f aca="false">IF($G33&lt;0,0,IFERROR((P$2*$P$1)*($G33/SUM($G$5:$G$43)),0))</f>
        <v>9859.72862491484</v>
      </c>
      <c r="Q33" s="12" t="n">
        <f aca="false">IF($G33&lt;0,0,IFERROR((Q$2*$P$1)*($G33/SUM($G$5:$G$43)),0))</f>
        <v>13694.0675346039</v>
      </c>
      <c r="R33" s="12" t="n">
        <f aca="false">K33*$R$2</f>
        <v>59188.48</v>
      </c>
      <c r="S33" s="12" t="n">
        <f aca="false">+R33*$S$2</f>
        <v>8878.272</v>
      </c>
      <c r="T33" s="12" t="n">
        <f aca="false">IF(G33&gt;0,$T$2/12,0)</f>
        <v>25833.3333333333</v>
      </c>
      <c r="U33" s="12" t="n">
        <f aca="false">K33-SUM(L33:T33)</f>
        <v>11964.9729990031</v>
      </c>
      <c r="V33" s="12" t="n">
        <f aca="false">IF($G33&lt;0,0,IFERROR((V$2*$P$1)*($G33/SUM($G$5:$G$43)),0))</f>
        <v>15726.7572602088</v>
      </c>
      <c r="W33" s="12" t="n">
        <f aca="false">G33-G33*$J$3-L33-N33-O33-P33-Q33-(G33-G33*$J$3)*$R$2-((G33-G33*$J$3)*$R$2)*$S$2-T33-V33</f>
        <v>-3761.78426120571</v>
      </c>
      <c r="X33" s="12" t="n">
        <f aca="false">U33-V33</f>
        <v>-3761.78426120572</v>
      </c>
      <c r="Y33" s="12" t="n">
        <f aca="false">ROUND(X33-W33,9)</f>
        <v>0</v>
      </c>
    </row>
    <row r="34" customFormat="false" ht="14.4" hidden="false" customHeight="false" outlineLevel="0" collapsed="false">
      <c r="A34" s="15"/>
      <c r="B34" s="15"/>
      <c r="C34" s="16" t="n">
        <v>1</v>
      </c>
      <c r="D34" s="16" t="n">
        <v>1</v>
      </c>
      <c r="E34" s="16" t="s">
        <v>34</v>
      </c>
      <c r="F34" s="16" t="s">
        <v>78</v>
      </c>
      <c r="G34" s="12" t="n">
        <f aca="false">VLOOKUP(F34,Ventas!C:H,4,0)</f>
        <v>104986</v>
      </c>
      <c r="H34" s="15" t="n">
        <f aca="false">IFERROR(VLOOKUP(A34,Modelos[],18,0),0)*G34/C34</f>
        <v>0</v>
      </c>
      <c r="I34" s="17" t="n">
        <f aca="false">SUM(G34:H34)</f>
        <v>104986</v>
      </c>
      <c r="J34" s="15" t="n">
        <f aca="false">I34*$J$3</f>
        <v>36745.1</v>
      </c>
      <c r="K34" s="15" t="n">
        <f aca="false">I34-J34</f>
        <v>68240.9</v>
      </c>
      <c r="L34" s="15" t="n">
        <f aca="false">Sup!$A$2*D34</f>
        <v>6775.44742838542</v>
      </c>
      <c r="M34" s="15" t="n">
        <f aca="false">IFERROR(VLOOKUP(A34,Modelos[],IF(B34="EST",15,14),0),0)/C34</f>
        <v>0</v>
      </c>
      <c r="N34" s="15" t="n">
        <f aca="false">IF($G34&lt;0,0,IFERROR((N$2*$P$1)*($G34/SUM($G$5:$G$43)),0))</f>
        <v>4547.07912837059</v>
      </c>
      <c r="O34" s="15" t="n">
        <f aca="false">IF($G34&lt;0,0,IFERROR((O$2*$P$1)*($G34/SUM($G$5:$G$43)),0))</f>
        <v>884.154274960949</v>
      </c>
      <c r="P34" s="15" t="n">
        <f aca="false">IF($G34&lt;0,0,IFERROR((P$2*$P$1)*($G34/SUM($G$5:$G$43)),0))</f>
        <v>4547.07912837059</v>
      </c>
      <c r="Q34" s="15" t="n">
        <f aca="false">IF($G34&lt;0,0,IFERROR((Q$2*$P$1)*($G34/SUM($G$5:$G$43)),0))</f>
        <v>6315.38767829249</v>
      </c>
      <c r="R34" s="15" t="n">
        <f aca="false">K34*$R$2</f>
        <v>27296.36</v>
      </c>
      <c r="S34" s="15" t="n">
        <f aca="false">+R34*$S$2</f>
        <v>4094.454</v>
      </c>
      <c r="T34" s="15" t="n">
        <f aca="false">IF(G34&gt;0,$T$2/12,0)</f>
        <v>25833.3333333333</v>
      </c>
      <c r="U34" s="15" t="n">
        <f aca="false">K34-SUM(L34:T34)</f>
        <v>-12052.3949717134</v>
      </c>
      <c r="V34" s="15" t="n">
        <f aca="false">IF($G34&lt;0,0,IFERROR((V$2*$P$1)*($G34/SUM($G$5:$G$43)),0))</f>
        <v>7252.81723415222</v>
      </c>
      <c r="W34" s="15" t="n">
        <f aca="false">G34-G34*$J$3-L34-N34-O34-P34-Q34-(G34-G34*$J$3)*$R$2-((G34-G34*$J$3)*$R$2)*$S$2-T34-V34</f>
        <v>-19305.2122058656</v>
      </c>
      <c r="X34" s="15" t="n">
        <f aca="false">U34-V34</f>
        <v>-19305.2122058656</v>
      </c>
      <c r="Y34" s="15" t="n">
        <f aca="false">ROUND(X34-W34,9)</f>
        <v>0</v>
      </c>
    </row>
    <row r="35" customFormat="false" ht="14.4" hidden="false" customHeight="false" outlineLevel="0" collapsed="false">
      <c r="A35" s="12"/>
      <c r="B35" s="12"/>
      <c r="C35" s="13" t="n">
        <v>1</v>
      </c>
      <c r="D35" s="13" t="n">
        <v>1</v>
      </c>
      <c r="E35" s="13" t="s">
        <v>34</v>
      </c>
      <c r="F35" s="13" t="s">
        <v>79</v>
      </c>
      <c r="G35" s="12" t="n">
        <f aca="false">VLOOKUP(F35,Ventas!C:H,4,0)</f>
        <v>92993</v>
      </c>
      <c r="H35" s="12" t="n">
        <f aca="false">IFERROR(VLOOKUP(A35,Modelos[],18,0),0)*G35/C35</f>
        <v>0</v>
      </c>
      <c r="I35" s="14" t="n">
        <f aca="false">SUM(G35:H35)</f>
        <v>92993</v>
      </c>
      <c r="J35" s="12" t="n">
        <f aca="false">I35*$J$3</f>
        <v>32547.55</v>
      </c>
      <c r="K35" s="12" t="n">
        <f aca="false">I35-J35</f>
        <v>60445.45</v>
      </c>
      <c r="L35" s="12" t="n">
        <f aca="false">Sup!$A$2*D35</f>
        <v>6775.44742838542</v>
      </c>
      <c r="M35" s="12" t="n">
        <f aca="false">IFERROR(VLOOKUP(A35,Modelos[],IF(B35="EST",15,14),0),0)/C35</f>
        <v>0</v>
      </c>
      <c r="N35" s="12" t="n">
        <f aca="false">IF($G35&lt;0,0,IFERROR((N$2*$P$1)*($G35/SUM($G$5:$G$43)),0))</f>
        <v>4027.64682323897</v>
      </c>
      <c r="O35" s="12" t="n">
        <f aca="false">IF($G35&lt;0,0,IFERROR((O$2*$P$1)*($G35/SUM($G$5:$G$43)),0))</f>
        <v>783.153548963133</v>
      </c>
      <c r="P35" s="12" t="n">
        <f aca="false">IF($G35&lt;0,0,IFERROR((P$2*$P$1)*($G35/SUM($G$5:$G$43)),0))</f>
        <v>4027.64682323897</v>
      </c>
      <c r="Q35" s="12" t="n">
        <f aca="false">IF($G35&lt;0,0,IFERROR((Q$2*$P$1)*($G35/SUM($G$5:$G$43)),0))</f>
        <v>5593.95392116524</v>
      </c>
      <c r="R35" s="12" t="n">
        <f aca="false">K35*$R$2</f>
        <v>24178.18</v>
      </c>
      <c r="S35" s="12" t="n">
        <f aca="false">+R35*$S$2</f>
        <v>3626.727</v>
      </c>
      <c r="T35" s="12" t="n">
        <f aca="false">IF(G35&gt;0,$T$2/12,0)</f>
        <v>25833.3333333333</v>
      </c>
      <c r="U35" s="12" t="n">
        <f aca="false">K35-SUM(L35:T35)</f>
        <v>-14400.6388783251</v>
      </c>
      <c r="V35" s="12" t="n">
        <f aca="false">IF($G35&lt;0,0,IFERROR((V$2*$P$1)*($G35/SUM($G$5:$G$43)),0))</f>
        <v>6424.29688773281</v>
      </c>
      <c r="W35" s="12" t="n">
        <f aca="false">G35-G35*$J$3-L35-N35-O35-P35-Q35-(G35-G35*$J$3)*$R$2-((G35-G35*$J$3)*$R$2)*$S$2-T35-V35</f>
        <v>-20824.9357660579</v>
      </c>
      <c r="X35" s="12" t="n">
        <f aca="false">U35-V35</f>
        <v>-20824.9357660579</v>
      </c>
      <c r="Y35" s="12" t="n">
        <f aca="false">ROUND(X35-W35,9)</f>
        <v>0</v>
      </c>
    </row>
    <row r="36" customFormat="false" ht="14.4" hidden="false" customHeight="false" outlineLevel="0" collapsed="false">
      <c r="A36" s="15"/>
      <c r="B36" s="15"/>
      <c r="C36" s="16" t="n">
        <v>1</v>
      </c>
      <c r="D36" s="16" t="n">
        <v>1</v>
      </c>
      <c r="E36" s="16" t="s">
        <v>34</v>
      </c>
      <c r="F36" s="16" t="s">
        <v>80</v>
      </c>
      <c r="G36" s="12" t="n">
        <f aca="false">VLOOKUP(F36,Ventas!C:H,4,0)</f>
        <v>8729</v>
      </c>
      <c r="H36" s="15" t="n">
        <f aca="false">IFERROR(VLOOKUP(A36,Modelos[],18,0),0)*G36/C36</f>
        <v>0</v>
      </c>
      <c r="I36" s="17" t="n">
        <f aca="false">SUM(G36:H36)</f>
        <v>8729</v>
      </c>
      <c r="J36" s="15" t="n">
        <f aca="false">I36*$J$3</f>
        <v>3055.15</v>
      </c>
      <c r="K36" s="15" t="n">
        <f aca="false">I36-J36</f>
        <v>5673.85</v>
      </c>
      <c r="L36" s="15" t="n">
        <f aca="false">Sup!$A$2*D36</f>
        <v>6775.44742838542</v>
      </c>
      <c r="M36" s="15" t="n">
        <f aca="false">IFERROR(VLOOKUP(A36,Modelos[],IF(B36="EST",15,14),0),0)/C36</f>
        <v>0</v>
      </c>
      <c r="N36" s="15" t="n">
        <f aca="false">IF($G36&lt;0,0,IFERROR((N$2*$P$1)*($G36/SUM($G$5:$G$43)),0))</f>
        <v>378.064253439001</v>
      </c>
      <c r="O36" s="15" t="n">
        <f aca="false">IF($G36&lt;0,0,IFERROR((O$2*$P$1)*($G36/SUM($G$5:$G$43)),0))</f>
        <v>73.5124937242501</v>
      </c>
      <c r="P36" s="15" t="n">
        <f aca="false">IF($G36&lt;0,0,IFERROR((P$2*$P$1)*($G36/SUM($G$5:$G$43)),0))</f>
        <v>378.064253439001</v>
      </c>
      <c r="Q36" s="15" t="n">
        <f aca="false">IF($G36&lt;0,0,IFERROR((Q$2*$P$1)*($G36/SUM($G$5:$G$43)),0))</f>
        <v>525.089240887501</v>
      </c>
      <c r="R36" s="15" t="n">
        <f aca="false">K36*$R$2</f>
        <v>2269.54</v>
      </c>
      <c r="S36" s="15" t="n">
        <f aca="false">+R36*$S$2</f>
        <v>340.431</v>
      </c>
      <c r="T36" s="15" t="n">
        <f aca="false">IF(G36&gt;0,$T$2/12,0)</f>
        <v>25833.3333333333</v>
      </c>
      <c r="U36" s="15" t="n">
        <f aca="false">K36-SUM(L36:T36)</f>
        <v>-30899.6320032085</v>
      </c>
      <c r="V36" s="15" t="n">
        <f aca="false">IF($G36&lt;0,0,IFERROR((V$2*$P$1)*($G36/SUM($G$5:$G$43)),0))</f>
        <v>603.031276902775</v>
      </c>
      <c r="W36" s="15" t="n">
        <f aca="false">G36-G36*$J$3-L36-N36-O36-P36-Q36-(G36-G36*$J$3)*$R$2-((G36-G36*$J$3)*$R$2)*$S$2-T36-V36</f>
        <v>-31502.6632801113</v>
      </c>
      <c r="X36" s="15" t="n">
        <f aca="false">U36-V36</f>
        <v>-31502.6632801113</v>
      </c>
      <c r="Y36" s="15" t="n">
        <f aca="false">ROUND(X36-W36,9)</f>
        <v>0</v>
      </c>
    </row>
    <row r="37" customFormat="false" ht="14.4" hidden="false" customHeight="false" outlineLevel="0" collapsed="false">
      <c r="A37" s="12"/>
      <c r="B37" s="12"/>
      <c r="C37" s="13" t="n">
        <v>1</v>
      </c>
      <c r="D37" s="13" t="n">
        <v>1</v>
      </c>
      <c r="E37" s="13" t="s">
        <v>34</v>
      </c>
      <c r="F37" s="13" t="s">
        <v>81</v>
      </c>
      <c r="G37" s="12" t="n">
        <f aca="false">VLOOKUP(F37,Ventas!C:H,4,0)</f>
        <v>1087</v>
      </c>
      <c r="H37" s="12" t="n">
        <f aca="false">IFERROR(VLOOKUP(A37,Modelos[],18,0),0)*G37/C37</f>
        <v>0</v>
      </c>
      <c r="I37" s="14" t="n">
        <f aca="false">SUM(G37:H37)</f>
        <v>1087</v>
      </c>
      <c r="J37" s="12" t="n">
        <f aca="false">I37*$J$3</f>
        <v>380.45</v>
      </c>
      <c r="K37" s="12" t="n">
        <f aca="false">I37-J37</f>
        <v>706.55</v>
      </c>
      <c r="L37" s="12" t="n">
        <f aca="false">Sup!$A$2*D37</f>
        <v>6775.44742838542</v>
      </c>
      <c r="M37" s="12" t="n">
        <f aca="false">IFERROR(VLOOKUP(A37,Modelos[],IF(B37="EST",15,14),0),0)/C37</f>
        <v>0</v>
      </c>
      <c r="N37" s="12" t="n">
        <f aca="false">IF($G37&lt;0,0,IFERROR((N$2*$P$1)*($G37/SUM($G$5:$G$43)),0))</f>
        <v>47.0793726071937</v>
      </c>
      <c r="O37" s="12" t="n">
        <f aca="false">IF($G37&lt;0,0,IFERROR((O$2*$P$1)*($G37/SUM($G$5:$G$43)),0))</f>
        <v>9.15432245139877</v>
      </c>
      <c r="P37" s="12" t="n">
        <f aca="false">IF($G37&lt;0,0,IFERROR((P$2*$P$1)*($G37/SUM($G$5:$G$43)),0))</f>
        <v>47.0793726071937</v>
      </c>
      <c r="Q37" s="12" t="n">
        <f aca="false">IF($G37&lt;0,0,IFERROR((Q$2*$P$1)*($G37/SUM($G$5:$G$43)),0))</f>
        <v>65.3880175099912</v>
      </c>
      <c r="R37" s="12" t="n">
        <f aca="false">K37*$R$2</f>
        <v>282.62</v>
      </c>
      <c r="S37" s="12" t="n">
        <f aca="false">+R37*$S$2</f>
        <v>42.393</v>
      </c>
      <c r="T37" s="12" t="n">
        <f aca="false">IF(G37&gt;0,$T$2/12,0)</f>
        <v>25833.3333333333</v>
      </c>
      <c r="U37" s="12" t="n">
        <f aca="false">K37-SUM(L37:T37)</f>
        <v>-32395.9448468945</v>
      </c>
      <c r="V37" s="12" t="n">
        <f aca="false">IF($G37&lt;0,0,IFERROR((V$2*$P$1)*($G37/SUM($G$5:$G$43)),0))</f>
        <v>75.0939395112059</v>
      </c>
      <c r="W37" s="12" t="n">
        <f aca="false">G37-G37*$J$3-L37-N37-O37-P37-Q37-(G37-G37*$J$3)*$R$2-((G37-G37*$J$3)*$R$2)*$S$2-T37-V37</f>
        <v>-32471.0387864057</v>
      </c>
      <c r="X37" s="12" t="n">
        <f aca="false">U37-V37</f>
        <v>-32471.0387864057</v>
      </c>
      <c r="Y37" s="12" t="n">
        <f aca="false">ROUND(X37-W37,9)</f>
        <v>0</v>
      </c>
    </row>
    <row r="38" customFormat="false" ht="14.4" hidden="false" customHeight="false" outlineLevel="0" collapsed="false">
      <c r="A38" s="15"/>
      <c r="B38" s="15"/>
      <c r="C38" s="16" t="n">
        <v>1</v>
      </c>
      <c r="D38" s="16" t="n">
        <v>1</v>
      </c>
      <c r="E38" s="16" t="s">
        <v>34</v>
      </c>
      <c r="F38" s="16" t="s">
        <v>156</v>
      </c>
      <c r="G38" s="12" t="n">
        <f aca="false">VLOOKUP(F38,Ventas!C:H,4,0)</f>
        <v>0</v>
      </c>
      <c r="H38" s="15" t="n">
        <f aca="false">IFERROR(VLOOKUP(A38,Modelos[],18,0),0)*G38/C38</f>
        <v>0</v>
      </c>
      <c r="I38" s="17" t="n">
        <f aca="false">SUM(G38:H38)</f>
        <v>0</v>
      </c>
      <c r="J38" s="15" t="n">
        <f aca="false">I38*$J$3</f>
        <v>0</v>
      </c>
      <c r="K38" s="15" t="n">
        <f aca="false">I38-J38</f>
        <v>0</v>
      </c>
      <c r="L38" s="15" t="n">
        <f aca="false">Sup!$A$2*D38</f>
        <v>6775.44742838542</v>
      </c>
      <c r="M38" s="15" t="n">
        <f aca="false">IFERROR(VLOOKUP(A38,Modelos[],IF(B38="EST",15,14),0),0)/C38</f>
        <v>0</v>
      </c>
      <c r="N38" s="15" t="n">
        <f aca="false">IF($G38&lt;0,0,IFERROR((N$2*$P$1)*($G38/SUM($G$5:$G$43)),0))</f>
        <v>0</v>
      </c>
      <c r="O38" s="15" t="n">
        <f aca="false">IF($G38&lt;0,0,IFERROR((O$2*$P$1)*($G38/SUM($G$5:$G$43)),0))</f>
        <v>0</v>
      </c>
      <c r="P38" s="15" t="n">
        <f aca="false">IF($G38&lt;0,0,IFERROR((P$2*$P$1)*($G38/SUM($G$5:$G$43)),0))</f>
        <v>0</v>
      </c>
      <c r="Q38" s="15" t="n">
        <f aca="false">IF($G38&lt;0,0,IFERROR((Q$2*$P$1)*($G38/SUM($G$5:$G$43)),0))</f>
        <v>0</v>
      </c>
      <c r="R38" s="15" t="n">
        <f aca="false">K38*$R$2</f>
        <v>0</v>
      </c>
      <c r="S38" s="15" t="n">
        <f aca="false">+R38*$S$2</f>
        <v>0</v>
      </c>
      <c r="T38" s="15" t="n">
        <f aca="false">IF(G38&gt;0,$T$2/12,0)</f>
        <v>0</v>
      </c>
      <c r="U38" s="15" t="n">
        <f aca="false">K38-SUM(L38:T38)</f>
        <v>-6775.44742838542</v>
      </c>
      <c r="V38" s="15" t="n">
        <f aca="false">IF($G38&lt;0,0,IFERROR((V$2*$P$1)*($G38/SUM($G$5:$G$43)),0))</f>
        <v>0</v>
      </c>
      <c r="W38" s="15" t="n">
        <f aca="false">G38-G38*$J$3-L38-N38-O38-P38-Q38-(G38-G38*$J$3)*$R$2-((G38-G38*$J$3)*$R$2)*$S$2-T38-V38</f>
        <v>-6775.44742838542</v>
      </c>
      <c r="X38" s="15" t="n">
        <f aca="false">U38-V38</f>
        <v>-6775.44742838542</v>
      </c>
      <c r="Y38" s="15" t="n">
        <f aca="false">ROUND(X38-W38,9)</f>
        <v>0</v>
      </c>
    </row>
    <row r="39" customFormat="false" ht="14.4" hidden="false" customHeight="false" outlineLevel="0" collapsed="false">
      <c r="A39" s="12"/>
      <c r="B39" s="12"/>
      <c r="C39" s="13" t="n">
        <v>1</v>
      </c>
      <c r="D39" s="13"/>
      <c r="E39" s="13" t="s">
        <v>34</v>
      </c>
      <c r="F39" s="13" t="s">
        <v>157</v>
      </c>
      <c r="G39" s="12" t="n">
        <v>0</v>
      </c>
      <c r="H39" s="12" t="n">
        <f aca="false">IFERROR(VLOOKUP(A39,Modelos[],18,0),0)*G39/C39</f>
        <v>0</v>
      </c>
      <c r="I39" s="14" t="n">
        <f aca="false">SUM(G39:H39)</f>
        <v>0</v>
      </c>
      <c r="J39" s="12" t="n">
        <f aca="false">I39*$J$3</f>
        <v>0</v>
      </c>
      <c r="K39" s="12" t="n">
        <f aca="false">I39-J39</f>
        <v>0</v>
      </c>
      <c r="L39" s="12" t="n">
        <f aca="false">Sup!$A$2*D39</f>
        <v>0</v>
      </c>
      <c r="M39" s="12" t="n">
        <f aca="false">IFERROR(VLOOKUP(A39,Modelos[],IF(B39="EST",15,14),0),0)/C39</f>
        <v>0</v>
      </c>
      <c r="N39" s="12" t="n">
        <f aca="false">IF($G39&lt;0,0,IFERROR((N$2*$P$1)*($G39/SUM($G$5:$G$43)),0))</f>
        <v>0</v>
      </c>
      <c r="O39" s="12" t="n">
        <f aca="false">IF($G39&lt;0,0,IFERROR((O$2*$P$1)*($G39/SUM($G$5:$G$43)),0))</f>
        <v>0</v>
      </c>
      <c r="P39" s="12" t="n">
        <f aca="false">IF($G39&lt;0,0,IFERROR((P$2*$P$1)*($G39/SUM($G$5:$G$43)),0))</f>
        <v>0</v>
      </c>
      <c r="Q39" s="12" t="n">
        <f aca="false">IF($G39&lt;0,0,IFERROR((Q$2*$P$1)*($G39/SUM($G$5:$G$43)),0))</f>
        <v>0</v>
      </c>
      <c r="R39" s="12" t="n">
        <f aca="false">K39*$R$2</f>
        <v>0</v>
      </c>
      <c r="S39" s="12" t="n">
        <f aca="false">+R39*$S$2</f>
        <v>0</v>
      </c>
      <c r="T39" s="12" t="n">
        <f aca="false">IF(G39&gt;0,$T$2/12,0)</f>
        <v>0</v>
      </c>
      <c r="U39" s="12" t="n">
        <f aca="false">K39-SUM(L39:T39)</f>
        <v>0</v>
      </c>
      <c r="V39" s="12" t="n">
        <f aca="false">IF($G39&lt;0,0,IFERROR((V$2*$P$1)*($G39/SUM($G$5:$G$43)),0))</f>
        <v>0</v>
      </c>
      <c r="W39" s="12" t="n">
        <f aca="false">G39-G39*$J$3-L39-N39-O39-P39-Q39-(G39-G39*$J$3)*$R$2-((G39-G39*$J$3)*$R$2)*$S$2-T39-V39</f>
        <v>0</v>
      </c>
      <c r="X39" s="12" t="n">
        <f aca="false">U39-V39</f>
        <v>0</v>
      </c>
      <c r="Y39" s="12" t="n">
        <f aca="false">ROUND(X39-W39,9)</f>
        <v>0</v>
      </c>
    </row>
    <row r="40" customFormat="false" ht="14.4" hidden="false" customHeight="false" outlineLevel="0" collapsed="false">
      <c r="A40" s="15"/>
      <c r="B40" s="15"/>
      <c r="C40" s="16" t="n">
        <v>1</v>
      </c>
      <c r="D40" s="16"/>
      <c r="E40" s="16" t="s">
        <v>34</v>
      </c>
      <c r="F40" s="16" t="s">
        <v>158</v>
      </c>
      <c r="G40" s="12" t="n">
        <v>0</v>
      </c>
      <c r="H40" s="15" t="n">
        <f aca="false">IFERROR(VLOOKUP(A40,Modelos[],18,0),0)*G40/C40</f>
        <v>0</v>
      </c>
      <c r="I40" s="17" t="n">
        <f aca="false">SUM(G40:H40)</f>
        <v>0</v>
      </c>
      <c r="J40" s="15" t="n">
        <f aca="false">I40*$J$3</f>
        <v>0</v>
      </c>
      <c r="K40" s="15" t="n">
        <f aca="false">I40-J40</f>
        <v>0</v>
      </c>
      <c r="L40" s="15" t="n">
        <f aca="false">Sup!$A$2*D40</f>
        <v>0</v>
      </c>
      <c r="M40" s="15" t="n">
        <f aca="false">IFERROR(VLOOKUP(A40,Modelos[],IF(B40="EST",15,14),0),0)/C40</f>
        <v>0</v>
      </c>
      <c r="N40" s="15" t="n">
        <f aca="false">IF($G40&lt;0,0,IFERROR((N$2*$P$1)*($G40/SUM($G$5:$G$43)),0))</f>
        <v>0</v>
      </c>
      <c r="O40" s="15" t="n">
        <f aca="false">IF($G40&lt;0,0,IFERROR((O$2*$P$1)*($G40/SUM($G$5:$G$43)),0))</f>
        <v>0</v>
      </c>
      <c r="P40" s="15" t="n">
        <f aca="false">IF($G40&lt;0,0,IFERROR((P$2*$P$1)*($G40/SUM($G$5:$G$43)),0))</f>
        <v>0</v>
      </c>
      <c r="Q40" s="15" t="n">
        <f aca="false">IF($G40&lt;0,0,IFERROR((Q$2*$P$1)*($G40/SUM($G$5:$G$43)),0))</f>
        <v>0</v>
      </c>
      <c r="R40" s="15" t="n">
        <f aca="false">K40*$R$2</f>
        <v>0</v>
      </c>
      <c r="S40" s="15" t="n">
        <f aca="false">+R40*$S$2</f>
        <v>0</v>
      </c>
      <c r="T40" s="15" t="n">
        <f aca="false">IF(G40&gt;0,$T$2/12,0)</f>
        <v>0</v>
      </c>
      <c r="U40" s="15" t="n">
        <f aca="false">K40-SUM(L40:T40)</f>
        <v>0</v>
      </c>
      <c r="V40" s="15" t="n">
        <f aca="false">IF($G40&lt;0,0,IFERROR((V$2*$P$1)*($G40/SUM($G$5:$G$43)),0))</f>
        <v>0</v>
      </c>
      <c r="W40" s="15" t="n">
        <f aca="false">G40-G40*$J$3-L40-N40-O40-P40-Q40-(G40-G40*$J$3)*$R$2-((G40-G40*$J$3)*$R$2)*$S$2-T40-V40</f>
        <v>0</v>
      </c>
      <c r="X40" s="15" t="n">
        <f aca="false">U40-V40</f>
        <v>0</v>
      </c>
      <c r="Y40" s="15" t="n">
        <f aca="false">ROUND(X40-W40,9)</f>
        <v>0</v>
      </c>
    </row>
    <row r="41" customFormat="false" ht="14.4" hidden="false" customHeight="false" outlineLevel="0" collapsed="false">
      <c r="A41" s="12"/>
      <c r="B41" s="12"/>
      <c r="C41" s="13" t="n">
        <v>1</v>
      </c>
      <c r="D41" s="13"/>
      <c r="E41" s="13" t="s">
        <v>34</v>
      </c>
      <c r="F41" s="13" t="s">
        <v>159</v>
      </c>
      <c r="G41" s="12" t="n">
        <v>0</v>
      </c>
      <c r="H41" s="12" t="n">
        <f aca="false">IFERROR(VLOOKUP(A41,Modelos[],18,0),0)*G41/C41</f>
        <v>0</v>
      </c>
      <c r="I41" s="14" t="n">
        <f aca="false">SUM(G41:H41)</f>
        <v>0</v>
      </c>
      <c r="J41" s="12" t="n">
        <f aca="false">I41*$J$3</f>
        <v>0</v>
      </c>
      <c r="K41" s="12" t="n">
        <f aca="false">I41-J41</f>
        <v>0</v>
      </c>
      <c r="L41" s="12" t="n">
        <f aca="false">Sup!$A$2*D41</f>
        <v>0</v>
      </c>
      <c r="M41" s="12" t="n">
        <f aca="false">IFERROR(VLOOKUP(A41,Modelos[],IF(B41="EST",15,14),0),0)/C41</f>
        <v>0</v>
      </c>
      <c r="N41" s="12" t="n">
        <f aca="false">IF($G41&lt;0,0,IFERROR((N$2*$P$1)*($G41/SUM($G$5:$G$43)),0))</f>
        <v>0</v>
      </c>
      <c r="O41" s="12" t="n">
        <f aca="false">IF($G41&lt;0,0,IFERROR((O$2*$P$1)*($G41/SUM($G$5:$G$43)),0))</f>
        <v>0</v>
      </c>
      <c r="P41" s="12" t="n">
        <f aca="false">IF($G41&lt;0,0,IFERROR((P$2*$P$1)*($G41/SUM($G$5:$G$43)),0))</f>
        <v>0</v>
      </c>
      <c r="Q41" s="12" t="n">
        <f aca="false">IF($G41&lt;0,0,IFERROR((Q$2*$P$1)*($G41/SUM($G$5:$G$43)),0))</f>
        <v>0</v>
      </c>
      <c r="R41" s="12" t="n">
        <f aca="false">K41*$R$2</f>
        <v>0</v>
      </c>
      <c r="S41" s="12" t="n">
        <f aca="false">+R41*$S$2</f>
        <v>0</v>
      </c>
      <c r="T41" s="12" t="n">
        <f aca="false">IF(G41&gt;0,$T$2/12,0)</f>
        <v>0</v>
      </c>
      <c r="U41" s="12" t="n">
        <f aca="false">K41-SUM(L41:T41)</f>
        <v>0</v>
      </c>
      <c r="V41" s="12" t="n">
        <f aca="false">IF($G41&lt;0,0,IFERROR((V$2*$P$1)*($G41/SUM($G$5:$G$43)),0))</f>
        <v>0</v>
      </c>
      <c r="W41" s="12" t="n">
        <f aca="false">G41-G41*$J$3-L41-N41-O41-P41-Q41-(G41-G41*$J$3)*$R$2-((G41-G41*$J$3)*$R$2)*$S$2-T41-V41</f>
        <v>0</v>
      </c>
      <c r="X41" s="12" t="n">
        <f aca="false">U41-V41</f>
        <v>0</v>
      </c>
      <c r="Y41" s="12" t="n">
        <f aca="false">ROUND(X41-W41,9)</f>
        <v>0</v>
      </c>
    </row>
    <row r="42" customFormat="false" ht="14.4" hidden="false" customHeight="false" outlineLevel="0" collapsed="false">
      <c r="A42" s="15"/>
      <c r="B42" s="15"/>
      <c r="C42" s="16" t="n">
        <v>1</v>
      </c>
      <c r="D42" s="16"/>
      <c r="E42" s="16" t="s">
        <v>34</v>
      </c>
      <c r="F42" s="16" t="s">
        <v>160</v>
      </c>
      <c r="G42" s="12" t="n">
        <v>0</v>
      </c>
      <c r="H42" s="15" t="n">
        <f aca="false">IFERROR(VLOOKUP(A42,Modelos[],18,0),0)*G42/C42</f>
        <v>0</v>
      </c>
      <c r="I42" s="17" t="n">
        <f aca="false">SUM(G42:H42)</f>
        <v>0</v>
      </c>
      <c r="J42" s="15" t="n">
        <f aca="false">I42*$J$3</f>
        <v>0</v>
      </c>
      <c r="K42" s="15" t="n">
        <f aca="false">I42-J42</f>
        <v>0</v>
      </c>
      <c r="L42" s="15" t="n">
        <f aca="false">Sup!$A$2*D42</f>
        <v>0</v>
      </c>
      <c r="M42" s="15" t="n">
        <f aca="false">IFERROR(VLOOKUP(A42,Modelos[],IF(B42="EST",15,14),0),0)/C42</f>
        <v>0</v>
      </c>
      <c r="N42" s="15" t="n">
        <f aca="false">IF($G42&lt;0,0,IFERROR((N$2*$P$1)*($G42/SUM($G$5:$G$43)),0))</f>
        <v>0</v>
      </c>
      <c r="O42" s="15" t="n">
        <f aca="false">IF($G42&lt;0,0,IFERROR((O$2*$P$1)*($G42/SUM($G$5:$G$43)),0))</f>
        <v>0</v>
      </c>
      <c r="P42" s="15" t="n">
        <f aca="false">IF($G42&lt;0,0,IFERROR((P$2*$P$1)*($G42/SUM($G$5:$G$43)),0))</f>
        <v>0</v>
      </c>
      <c r="Q42" s="15" t="n">
        <f aca="false">IF($G42&lt;0,0,IFERROR((Q$2*$P$1)*($G42/SUM($G$5:$G$43)),0))</f>
        <v>0</v>
      </c>
      <c r="R42" s="15" t="n">
        <f aca="false">K42*$R$2</f>
        <v>0</v>
      </c>
      <c r="S42" s="15" t="n">
        <f aca="false">+R42*$S$2</f>
        <v>0</v>
      </c>
      <c r="T42" s="15" t="n">
        <f aca="false">IF(G42&gt;0,$T$2/12,0)</f>
        <v>0</v>
      </c>
      <c r="U42" s="15" t="n">
        <f aca="false">K42-SUM(L42:T42)</f>
        <v>0</v>
      </c>
      <c r="V42" s="15" t="n">
        <f aca="false">IF($G42&lt;0,0,IFERROR((V$2*$P$1)*($G42/SUM($G$5:$G$43)),0))</f>
        <v>0</v>
      </c>
      <c r="W42" s="15" t="n">
        <f aca="false">G42-G42*$J$3-L42-N42-O42-P42-Q42-(G42-G42*$J$3)*$R$2-((G42-G42*$J$3)*$R$2)*$S$2-T42-V42</f>
        <v>0</v>
      </c>
      <c r="X42" s="15" t="n">
        <f aca="false">U42-V42</f>
        <v>0</v>
      </c>
      <c r="Y42" s="15" t="n">
        <f aca="false">ROUND(X42-W42,9)</f>
        <v>0</v>
      </c>
    </row>
    <row r="43" customFormat="false" ht="14.4" hidden="false" customHeight="false" outlineLevel="0" collapsed="false">
      <c r="A43" s="13"/>
      <c r="B43" s="13"/>
      <c r="C43" s="13" t="n">
        <v>1</v>
      </c>
      <c r="D43" s="13"/>
      <c r="E43" s="13" t="s">
        <v>34</v>
      </c>
      <c r="F43" s="13" t="s">
        <v>161</v>
      </c>
      <c r="G43" s="12" t="n">
        <v>0</v>
      </c>
      <c r="H43" s="12" t="n">
        <f aca="false">IFERROR(VLOOKUP(A43,Modelos[],18,0),0)*G43/C43</f>
        <v>0</v>
      </c>
      <c r="I43" s="14" t="n">
        <f aca="false">SUM(G43:H43)</f>
        <v>0</v>
      </c>
      <c r="J43" s="12" t="n">
        <f aca="false">I43*$J$3</f>
        <v>0</v>
      </c>
      <c r="K43" s="12" t="n">
        <f aca="false">I43-J43</f>
        <v>0</v>
      </c>
      <c r="L43" s="12" t="n">
        <f aca="false">Sup!$A$2*D43</f>
        <v>0</v>
      </c>
      <c r="M43" s="12" t="n">
        <f aca="false">IFERROR(VLOOKUP(A43,Modelos[],IF(B43="EST",15,14),0),0)/C43</f>
        <v>0</v>
      </c>
      <c r="N43" s="12" t="n">
        <f aca="false">IF($G43&lt;0,0,IFERROR((N$2*$P$1)*($G43/SUM($G$5:$G$43)),0))</f>
        <v>0</v>
      </c>
      <c r="O43" s="12" t="n">
        <f aca="false">IF($G43&lt;0,0,IFERROR((O$2*$P$1)*($G43/SUM($G$5:$G$43)),0))</f>
        <v>0</v>
      </c>
      <c r="P43" s="12" t="n">
        <f aca="false">IF($G43&lt;0,0,IFERROR((P$2*$P$1)*($G43/SUM($G$5:$G$43)),0))</f>
        <v>0</v>
      </c>
      <c r="Q43" s="12" t="n">
        <f aca="false">IF($G43&lt;0,0,IFERROR((Q$2*$P$1)*($G43/SUM($G$5:$G$43)),0))</f>
        <v>0</v>
      </c>
      <c r="R43" s="12" t="n">
        <f aca="false">K43*$R$2</f>
        <v>0</v>
      </c>
      <c r="S43" s="12" t="n">
        <f aca="false">+R43*$S$2</f>
        <v>0</v>
      </c>
      <c r="T43" s="12" t="n">
        <f aca="false">IF(G43&gt;0,$T$2/12,0)</f>
        <v>0</v>
      </c>
      <c r="U43" s="12" t="n">
        <f aca="false">K43-SUM(L43:T43)</f>
        <v>0</v>
      </c>
      <c r="V43" s="12" t="n">
        <f aca="false">IF($G43&lt;0,0,IFERROR((V$2*$P$1)*($G43/SUM($G$5:$G$43)),0))</f>
        <v>0</v>
      </c>
      <c r="W43" s="12" t="n">
        <f aca="false">G43-G43*$J$3-L43-N43-O43-P43-Q43-(G43-G43*$J$3)*$R$2-((G43-G43*$J$3)*$R$2)*$S$2-T43-V43</f>
        <v>0</v>
      </c>
      <c r="X43" s="12" t="n">
        <f aca="false">U43-V43</f>
        <v>0</v>
      </c>
      <c r="Y43" s="12" t="n">
        <f aca="false">ROUND(X43-W43,9)</f>
        <v>0</v>
      </c>
    </row>
    <row r="44" customFormat="false" ht="14.4" hidden="false" customHeight="false" outlineLevel="0" collapsed="false">
      <c r="F44" s="6" t="s">
        <v>162</v>
      </c>
      <c r="G44" s="6" t="n">
        <f aca="false">SUM(G5:G43)</f>
        <v>10698246</v>
      </c>
      <c r="H44" s="6" t="n">
        <f aca="false">SUM(H5:H43)</f>
        <v>0</v>
      </c>
      <c r="I44" s="6" t="n">
        <f aca="false">SUM(I5:I43)</f>
        <v>10698246</v>
      </c>
      <c r="J44" s="6" t="n">
        <f aca="false">SUM(J5:J43)</f>
        <v>3744386.1</v>
      </c>
      <c r="K44" s="6" t="n">
        <f aca="false">SUM(K5:K43)</f>
        <v>6953859.9</v>
      </c>
      <c r="L44" s="6" t="n">
        <f aca="false">SUM(L5:L43)</f>
        <v>230365.212565104</v>
      </c>
      <c r="M44" s="6" t="n">
        <f aca="false">SUM(M5:M43)</f>
        <v>0</v>
      </c>
      <c r="N44" s="6" t="n">
        <f aca="false">SUM(N5:N43)</f>
        <v>463354.838709677</v>
      </c>
      <c r="O44" s="6" t="n">
        <f aca="false">SUM(O5:O43)</f>
        <v>90096.7741935484</v>
      </c>
      <c r="P44" s="6" t="n">
        <f aca="false">SUM(P5:P43)</f>
        <v>463354.838709677</v>
      </c>
      <c r="Q44" s="6" t="n">
        <f aca="false">SUM(Q5:Q43)</f>
        <v>643548.387096774</v>
      </c>
      <c r="R44" s="6" t="n">
        <f aca="false">SUM(R5:R43)</f>
        <v>2781543.96</v>
      </c>
      <c r="S44" s="6" t="n">
        <f aca="false">SUM(S5:S43)</f>
        <v>417231.594</v>
      </c>
      <c r="T44" s="6" t="n">
        <f aca="false">SUM(T5:T43)</f>
        <v>852500</v>
      </c>
      <c r="U44" s="6" t="n">
        <f aca="false">SUM(U5:U43)</f>
        <v>1011864.29472522</v>
      </c>
      <c r="V44" s="6" t="n">
        <f aca="false">SUM(V5:V43)</f>
        <v>739074</v>
      </c>
      <c r="W44" s="6" t="n">
        <f aca="false">SUM(W5:W43)</f>
        <v>272790.294725218</v>
      </c>
      <c r="X44" s="6" t="n">
        <f aca="false">SUM(X5:X43)</f>
        <v>272790.294725218</v>
      </c>
      <c r="Y44" s="6" t="n">
        <f aca="false">SUM(Y5:Y43)</f>
        <v>0</v>
      </c>
    </row>
  </sheetData>
  <mergeCells count="1">
    <mergeCell ref="N1:O1"/>
  </mergeCells>
  <conditionalFormatting sqref="G5:G43">
    <cfRule type="colorScale" priority="2">
      <colorScale>
        <cfvo type="min" val="0"/>
        <cfvo type="percentile" val="50"/>
        <cfvo type="max" val="0"/>
        <color rgb="FFF8696B"/>
        <color rgb="FFFFEB84"/>
        <color rgb="FF63BE7B"/>
      </colorScale>
    </cfRule>
  </conditionalFormatting>
  <conditionalFormatting sqref="W5:X43">
    <cfRule type="cellIs" priority="3" operator="lessThan" aboveAverage="0" equalAverage="0" bottom="0" percent="0" rank="0" text="" dxfId="8">
      <formula>0</formula>
    </cfRule>
  </conditionalFormatting>
  <conditionalFormatting sqref="Y5:Y43">
    <cfRule type="iconSet" priority="4">
      <iconSet iconSet="3Arrows">
        <cfvo type="percent" val="0"/>
        <cfvo type="num" val="0"/>
        <cfvo type="num" val="0"/>
      </iconSet>
    </cfRule>
  </conditionalFormatting>
  <dataValidations count="2">
    <dataValidation allowBlank="true" operator="between" showDropDown="false" showErrorMessage="true" showInputMessage="true" sqref="B5:B43" type="list">
      <formula1>"Outsourcing,EST"</formula1>
      <formula2>0</formula2>
    </dataValidation>
    <dataValidation allowBlank="true" operator="between" showDropDown="false" showErrorMessage="true" showInputMessage="true" sqref="A5:A43" type="list">
      <formula1>Modelo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AD4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J4" activeCellId="0" sqref="J4"/>
    </sheetView>
  </sheetViews>
  <sheetFormatPr defaultColWidth="10.6875" defaultRowHeight="14.4" zeroHeight="false" outlineLevelRow="0" outlineLevelCol="0"/>
  <cols>
    <col collapsed="false" customWidth="true" hidden="false" outlineLevel="0" max="1" min="1" style="2" width="21.66"/>
    <col collapsed="false" customWidth="true" hidden="false" outlineLevel="0" max="2" min="2" style="2" width="11.99"/>
    <col collapsed="false" customWidth="true" hidden="false" outlineLevel="0" max="3" min="3" style="2" width="9.89"/>
    <col collapsed="false" customWidth="true" hidden="false" outlineLevel="0" max="4" min="4" style="2" width="6.34"/>
    <col collapsed="false" customWidth="true" hidden="false" outlineLevel="0" max="5" min="5" style="2" width="19.45"/>
    <col collapsed="false" customWidth="true" hidden="false" outlineLevel="0" max="6" min="6" style="3" width="13.33"/>
    <col collapsed="false" customWidth="true" hidden="false" outlineLevel="0" max="7" min="7" style="3" width="11.99"/>
    <col collapsed="false" customWidth="true" hidden="false" outlineLevel="0" max="9" min="8" style="3" width="15"/>
    <col collapsed="false" customWidth="true" hidden="false" outlineLevel="0" max="10" min="10" style="3" width="13.44"/>
    <col collapsed="false" customWidth="true" hidden="false" outlineLevel="0" max="11" min="11" style="3" width="15"/>
    <col collapsed="false" customWidth="true" hidden="false" outlineLevel="0" max="12" min="12" style="3" width="15.11"/>
    <col collapsed="false" customWidth="true" hidden="false" outlineLevel="0" max="13" min="13" style="3" width="13.1"/>
    <col collapsed="false" customWidth="true" hidden="false" outlineLevel="0" max="14" min="14" style="3" width="11.66"/>
    <col collapsed="false" customWidth="true" hidden="false" outlineLevel="0" max="15" min="15" style="3" width="11.33"/>
    <col collapsed="false" customWidth="true" hidden="false" outlineLevel="0" max="16" min="16" style="3" width="14.55"/>
    <col collapsed="false" customWidth="true" hidden="false" outlineLevel="0" max="17" min="17" style="3" width="14.66"/>
    <col collapsed="false" customWidth="true" hidden="false" outlineLevel="0" max="19" min="18" style="3" width="11.66"/>
    <col collapsed="false" customWidth="true" hidden="false" outlineLevel="0" max="20" min="20" style="3" width="15"/>
    <col collapsed="false" customWidth="true" hidden="false" outlineLevel="0" max="21" min="21" style="3" width="17.33"/>
    <col collapsed="false" customWidth="true" hidden="false" outlineLevel="0" max="24" min="22" style="3" width="13.66"/>
  </cols>
  <sheetData>
    <row r="1" customFormat="false" ht="14.4" hidden="false" customHeight="false" outlineLevel="0" collapsed="false">
      <c r="A1" s="4"/>
      <c r="B1" s="4"/>
      <c r="C1" s="4"/>
      <c r="D1" s="4"/>
      <c r="E1" s="4"/>
      <c r="F1" s="5"/>
      <c r="M1" s="18" t="s">
        <v>147</v>
      </c>
      <c r="N1" s="18"/>
      <c r="O1" s="7" t="n">
        <v>0.21</v>
      </c>
    </row>
    <row r="2" customFormat="false" ht="14.4" hidden="false" customHeight="false" outlineLevel="0" collapsed="false">
      <c r="A2" s="4"/>
      <c r="B2" s="4"/>
      <c r="C2" s="4"/>
      <c r="D2" s="4"/>
      <c r="E2" s="4"/>
      <c r="M2" s="6" t="n">
        <v>1393548.38709677</v>
      </c>
      <c r="N2" s="6" t="n">
        <v>270967.741935484</v>
      </c>
      <c r="O2" s="6" t="n">
        <v>1393548.38709677</v>
      </c>
      <c r="P2" s="6" t="n">
        <v>1935483.87096774</v>
      </c>
      <c r="Q2" s="19" t="n">
        <v>0.4</v>
      </c>
      <c r="R2" s="20" t="n">
        <v>0.15</v>
      </c>
      <c r="S2" s="21" t="n">
        <v>310000</v>
      </c>
      <c r="U2" s="21" t="n">
        <v>3519400</v>
      </c>
    </row>
    <row r="3" customFormat="false" ht="14.4" hidden="false" customHeight="false" outlineLevel="0" collapsed="false">
      <c r="A3" s="4"/>
      <c r="B3" s="4"/>
      <c r="C3" s="4"/>
      <c r="D3" s="4"/>
      <c r="E3" s="4"/>
      <c r="I3" s="20" t="n">
        <v>0.35</v>
      </c>
      <c r="AB3" s="8" t="n">
        <v>1</v>
      </c>
      <c r="AC3" s="8" t="n">
        <v>0.65</v>
      </c>
      <c r="AD3" s="0" t="n">
        <f aca="false">35*65%</f>
        <v>22.75</v>
      </c>
    </row>
    <row r="4" s="11" customFormat="true" ht="44.25" hidden="false" customHeight="true" outlineLevel="0" collapsed="false">
      <c r="A4" s="9" t="s">
        <v>141</v>
      </c>
      <c r="B4" s="9" t="s">
        <v>1</v>
      </c>
      <c r="C4" s="9" t="s">
        <v>142</v>
      </c>
      <c r="D4" s="9" t="s">
        <v>143</v>
      </c>
      <c r="E4" s="9" t="s">
        <v>8</v>
      </c>
      <c r="F4" s="9" t="s">
        <v>9</v>
      </c>
      <c r="G4" s="9" t="s">
        <v>10</v>
      </c>
      <c r="H4" s="9" t="s">
        <v>11</v>
      </c>
      <c r="I4" s="9" t="s">
        <v>149</v>
      </c>
      <c r="J4" s="9" t="s">
        <v>13</v>
      </c>
      <c r="K4" s="9" t="s">
        <v>14</v>
      </c>
      <c r="L4" s="9" t="s">
        <v>144</v>
      </c>
      <c r="M4" s="9" t="s">
        <v>17</v>
      </c>
      <c r="N4" s="9" t="s">
        <v>18</v>
      </c>
      <c r="O4" s="9" t="s">
        <v>19</v>
      </c>
      <c r="P4" s="9" t="s">
        <v>20</v>
      </c>
      <c r="Q4" s="9" t="s">
        <v>21</v>
      </c>
      <c r="R4" s="9" t="s">
        <v>22</v>
      </c>
      <c r="S4" s="9" t="s">
        <v>23</v>
      </c>
      <c r="T4" s="9" t="s">
        <v>24</v>
      </c>
      <c r="U4" s="9" t="s">
        <v>25</v>
      </c>
      <c r="V4" s="9" t="s">
        <v>26</v>
      </c>
      <c r="W4" s="9" t="s">
        <v>27</v>
      </c>
      <c r="X4" s="9" t="s">
        <v>28</v>
      </c>
    </row>
    <row r="5" customFormat="false" ht="14.4" hidden="false" customHeight="false" outlineLevel="0" collapsed="false">
      <c r="A5" s="12" t="s">
        <v>150</v>
      </c>
      <c r="B5" s="12" t="s">
        <v>30</v>
      </c>
      <c r="C5" s="13" t="n">
        <v>1</v>
      </c>
      <c r="D5" s="13" t="n">
        <v>1</v>
      </c>
      <c r="E5" s="13" t="s">
        <v>52</v>
      </c>
      <c r="F5" s="12" t="n">
        <f aca="false">VLOOKUP(E5,Ventas!C:H,5,0)</f>
        <v>2331083.07692308</v>
      </c>
      <c r="G5" s="12" t="n">
        <f aca="false">IFERROR(VLOOKUP(A5,Modelos[],18,0),0)*F5</f>
        <v>0</v>
      </c>
      <c r="H5" s="14" t="n">
        <f aca="false">SUM(F5:G5)</f>
        <v>2331083.07692308</v>
      </c>
      <c r="I5" s="12" t="n">
        <f aca="false">H5*$I$3</f>
        <v>815879.076923077</v>
      </c>
      <c r="J5" s="12" t="n">
        <f aca="false">H5-I5</f>
        <v>1515204</v>
      </c>
      <c r="K5" s="12" t="n">
        <f aca="false">Sup!$A$2*D5</f>
        <v>6775.44742838542</v>
      </c>
      <c r="L5" s="12" t="n">
        <f aca="false">IFERROR(VLOOKUP(A5,Modelos[],IF(B5="EST",15,14),0),0)/C5</f>
        <v>0</v>
      </c>
      <c r="M5" s="12" t="n">
        <f aca="false">IF($F5&lt;0,0,IFERROR((M$2*$O$1)*($F5/SUM($F$5:$F$43)),0))</f>
        <v>13487.339346873</v>
      </c>
      <c r="N5" s="12" t="n">
        <f aca="false">IF($F5&lt;0,0,IFERROR((N$2*$O$1)*($F5/SUM($F$5:$F$43)),0))</f>
        <v>2622.53820633642</v>
      </c>
      <c r="O5" s="12" t="n">
        <f aca="false">IF($F5&lt;0,0,IFERROR((O$2*$O$1)*($F5/SUM($F$5:$F$43)),0))</f>
        <v>13487.339346873</v>
      </c>
      <c r="P5" s="12" t="n">
        <f aca="false">IF($F5&lt;0,0,IFERROR((P$2*$O$1)*($F5/SUM($F$5:$F$43)),0))</f>
        <v>18732.4157595459</v>
      </c>
      <c r="Q5" s="12" t="n">
        <f aca="false">J5*$Q$2</f>
        <v>606081.6</v>
      </c>
      <c r="R5" s="12" t="n">
        <f aca="false">+Q5*$R$2</f>
        <v>90912.24</v>
      </c>
      <c r="S5" s="12" t="n">
        <f aca="false">IF(F5&gt;0,$S$2/12,0)</f>
        <v>25833.3333333333</v>
      </c>
      <c r="T5" s="12" t="n">
        <f aca="false">J5-SUM(K5:S5)</f>
        <v>737271.746578653</v>
      </c>
      <c r="U5" s="12" t="n">
        <f aca="false">IF($F5&lt;0,0,IFERROR((U$2*$O$1)*($F5/SUM($F$5:$F$43)),0))</f>
        <v>34062.213079142</v>
      </c>
      <c r="V5" s="12" t="n">
        <f aca="false">T5-U5</f>
        <v>703209.533499511</v>
      </c>
      <c r="W5" s="12" t="n">
        <f aca="false">T5-U5</f>
        <v>703209.533499511</v>
      </c>
      <c r="X5" s="12" t="n">
        <f aca="false">ROUND(W5-V5,9)</f>
        <v>0</v>
      </c>
      <c r="Z5" s="22"/>
    </row>
    <row r="6" customFormat="false" ht="14.4" hidden="false" customHeight="false" outlineLevel="0" collapsed="false">
      <c r="A6" s="15" t="s">
        <v>163</v>
      </c>
      <c r="B6" s="15" t="s">
        <v>145</v>
      </c>
      <c r="C6" s="16" t="n">
        <v>1</v>
      </c>
      <c r="D6" s="16" t="n">
        <v>1</v>
      </c>
      <c r="E6" s="16" t="s">
        <v>35</v>
      </c>
      <c r="F6" s="12" t="n">
        <f aca="false">VLOOKUP(E6,Ventas!C:H,5,0)</f>
        <v>3692307.69230769</v>
      </c>
      <c r="G6" s="15" t="n">
        <f aca="false">IFERROR(VLOOKUP(A6,Modelos[],18,0),0)*F6</f>
        <v>0</v>
      </c>
      <c r="H6" s="17" t="n">
        <f aca="false">SUM(F6:G6)</f>
        <v>3692307.69230769</v>
      </c>
      <c r="I6" s="15" t="n">
        <f aca="false">H6*$I$3</f>
        <v>1292307.69230769</v>
      </c>
      <c r="J6" s="15" t="n">
        <f aca="false">H6-I6</f>
        <v>2400000</v>
      </c>
      <c r="K6" s="15" t="n">
        <f aca="false">Sup!$A$2*D6</f>
        <v>6775.44742838542</v>
      </c>
      <c r="L6" s="15" t="n">
        <f aca="false">IFERROR(VLOOKUP(A6,Modelos[],IF(B6="EST",15,14),0),0)/C6</f>
        <v>0</v>
      </c>
      <c r="M6" s="15" t="n">
        <f aca="false">IF($F6&lt;0,0,IFERROR((M$2*$O$1)*($F6/SUM($F$5:$F$43)),0))</f>
        <v>21363.2055040082</v>
      </c>
      <c r="N6" s="15" t="n">
        <f aca="false">IF($F6&lt;0,0,IFERROR((N$2*$O$1)*($F6/SUM($F$5:$F$43)),0))</f>
        <v>4153.95662577938</v>
      </c>
      <c r="O6" s="15" t="n">
        <f aca="false">IF($F6&lt;0,0,IFERROR((O$2*$O$1)*($F6/SUM($F$5:$F$43)),0))</f>
        <v>21363.2055040082</v>
      </c>
      <c r="P6" s="15" t="n">
        <f aca="false">IF($F6&lt;0,0,IFERROR((P$2*$O$1)*($F6/SUM($F$5:$F$43)),0))</f>
        <v>29671.118755567</v>
      </c>
      <c r="Q6" s="15" t="n">
        <f aca="false">J6*$Q$2</f>
        <v>960000</v>
      </c>
      <c r="R6" s="15" t="n">
        <f aca="false">+Q6*$R$2</f>
        <v>144000</v>
      </c>
      <c r="S6" s="15" t="n">
        <f aca="false">IF(F6&gt;0,$S$2/12,0)</f>
        <v>25833.3333333333</v>
      </c>
      <c r="T6" s="15" t="n">
        <f aca="false">J6-SUM(K6:S6)</f>
        <v>1186839.73284892</v>
      </c>
      <c r="U6" s="15" t="n">
        <f aca="false">IF($F6&lt;0,0,IFERROR((U$2*$O$1)*($F6/SUM($F$5:$F$43)),0))</f>
        <v>53952.6765966436</v>
      </c>
      <c r="V6" s="15" t="n">
        <f aca="false">F6-F6*$I$3-K6-M6-N6-O6-P6-(F6-F6*$I$3)*$Q$2-((F6-F6*$I$3)*$Q$2)*$R$2-S6-U6</f>
        <v>1132887.05625228</v>
      </c>
      <c r="W6" s="15" t="n">
        <f aca="false">T6-U6</f>
        <v>1132887.05625227</v>
      </c>
      <c r="X6" s="15" t="n">
        <f aca="false">ROUND(W6-V6,9)</f>
        <v>0</v>
      </c>
    </row>
    <row r="7" customFormat="false" ht="14.4" hidden="false" customHeight="false" outlineLevel="0" collapsed="false">
      <c r="A7" s="12" t="s">
        <v>163</v>
      </c>
      <c r="B7" s="12" t="s">
        <v>145</v>
      </c>
      <c r="C7" s="13" t="n">
        <v>1</v>
      </c>
      <c r="D7" s="13" t="n">
        <v>1</v>
      </c>
      <c r="E7" s="13" t="s">
        <v>43</v>
      </c>
      <c r="F7" s="12" t="n">
        <f aca="false">VLOOKUP(E7,Ventas!C:H,5,0)</f>
        <v>2704320</v>
      </c>
      <c r="G7" s="12" t="n">
        <f aca="false">IFERROR(VLOOKUP(A7,Modelos[],18,0),0)*F7</f>
        <v>0</v>
      </c>
      <c r="H7" s="14" t="n">
        <f aca="false">SUM(F7:G7)</f>
        <v>2704320</v>
      </c>
      <c r="I7" s="12" t="n">
        <f aca="false">H7*$I$3</f>
        <v>946512</v>
      </c>
      <c r="J7" s="12" t="n">
        <f aca="false">H7-I7</f>
        <v>1757808</v>
      </c>
      <c r="K7" s="12" t="n">
        <f aca="false">Sup!$A$2*D7</f>
        <v>6775.44742838542</v>
      </c>
      <c r="L7" s="12" t="n">
        <f aca="false">IFERROR(VLOOKUP(A7,Modelos[],IF(B7="EST",15,14),0),0)/C7</f>
        <v>0</v>
      </c>
      <c r="M7" s="12" t="n">
        <f aca="false">IF($F7&lt;0,0,IFERROR((M$2*$O$1)*($F7/SUM($F$5:$F$43)),0))</f>
        <v>15646.8389752457</v>
      </c>
      <c r="N7" s="12" t="n">
        <f aca="false">IF($F7&lt;0,0,IFERROR((N$2*$O$1)*($F7/SUM($F$5:$F$43)),0))</f>
        <v>3042.44091185333</v>
      </c>
      <c r="O7" s="12" t="n">
        <f aca="false">IF($F7&lt;0,0,IFERROR((O$2*$O$1)*($F7/SUM($F$5:$F$43)),0))</f>
        <v>15646.8389752457</v>
      </c>
      <c r="P7" s="12" t="n">
        <f aca="false">IF($F7&lt;0,0,IFERROR((P$2*$O$1)*($F7/SUM($F$5:$F$43)),0))</f>
        <v>21731.7207989524</v>
      </c>
      <c r="Q7" s="12" t="n">
        <f aca="false">J7*$Q$2</f>
        <v>703123.2</v>
      </c>
      <c r="R7" s="12" t="n">
        <f aca="false">+Q7*$R$2</f>
        <v>105468.48</v>
      </c>
      <c r="S7" s="12" t="n">
        <f aca="false">IF(F7&gt;0,$S$2/12,0)</f>
        <v>25833.3333333333</v>
      </c>
      <c r="T7" s="12" t="n">
        <f aca="false">J7-SUM(K7:S7)</f>
        <v>860539.699576984</v>
      </c>
      <c r="U7" s="12" t="n">
        <f aca="false">IF($F7&lt;0,0,IFERROR((U$2*$O$1)*($F7/SUM($F$5:$F$43)),0))</f>
        <v>39516.0193929137</v>
      </c>
      <c r="V7" s="12" t="n">
        <f aca="false">F7-F7*$I$3-K7-M7-N7-O7-P7-(F7-F7*$I$3)*$Q$2-((F7-F7*$I$3)*$Q$2)*$R$2-S7-U7</f>
        <v>821023.680184071</v>
      </c>
      <c r="W7" s="12" t="n">
        <f aca="false">T7-U7</f>
        <v>821023.68018407</v>
      </c>
      <c r="X7" s="12" t="n">
        <f aca="false">ROUND(W7-V7,9)</f>
        <v>0</v>
      </c>
    </row>
    <row r="8" customFormat="false" ht="14.4" hidden="false" customHeight="false" outlineLevel="0" collapsed="false">
      <c r="A8" s="15" t="s">
        <v>163</v>
      </c>
      <c r="B8" s="12" t="s">
        <v>145</v>
      </c>
      <c r="C8" s="16" t="n">
        <v>1</v>
      </c>
      <c r="D8" s="16" t="n">
        <v>1</v>
      </c>
      <c r="E8" s="16" t="s">
        <v>54</v>
      </c>
      <c r="F8" s="12" t="n">
        <f aca="false">VLOOKUP(E8,Ventas!C:H,5,0)</f>
        <v>2069249.23076923</v>
      </c>
      <c r="G8" s="15" t="n">
        <f aca="false">IFERROR(VLOOKUP(A8,Modelos[],18,0),0)*F8</f>
        <v>0</v>
      </c>
      <c r="H8" s="17" t="n">
        <f aca="false">SUM(F8:G8)</f>
        <v>2069249.23076923</v>
      </c>
      <c r="I8" s="15" t="n">
        <f aca="false">H8*$I$3</f>
        <v>724237.230769231</v>
      </c>
      <c r="J8" s="15" t="n">
        <f aca="false">H8-I8</f>
        <v>1345012</v>
      </c>
      <c r="K8" s="15" t="n">
        <f aca="false">Sup!$A$2*D8</f>
        <v>6775.44742838542</v>
      </c>
      <c r="L8" s="15" t="n">
        <f aca="false">IFERROR(VLOOKUP(A8,Modelos[],IF(B8="EST",15,14),0),0)/C8</f>
        <v>0</v>
      </c>
      <c r="M8" s="15" t="n">
        <f aca="false">IF($F8&lt;0,0,IFERROR((M$2*$O$1)*($F8/SUM($F$5:$F$43)),0))</f>
        <v>11972.4032338988</v>
      </c>
      <c r="N8" s="15" t="n">
        <f aca="false">IF($F8&lt;0,0,IFERROR((N$2*$O$1)*($F8/SUM($F$5:$F$43)),0))</f>
        <v>2327.96729548032</v>
      </c>
      <c r="O8" s="15" t="n">
        <f aca="false">IF($F8&lt;0,0,IFERROR((O$2*$O$1)*($F8/SUM($F$5:$F$43)),0))</f>
        <v>11972.4032338988</v>
      </c>
      <c r="P8" s="15" t="n">
        <f aca="false">IF($F8&lt;0,0,IFERROR((P$2*$O$1)*($F8/SUM($F$5:$F$43)),0))</f>
        <v>16628.3378248594</v>
      </c>
      <c r="Q8" s="15" t="n">
        <f aca="false">J8*$Q$2</f>
        <v>538004.8</v>
      </c>
      <c r="R8" s="15" t="n">
        <f aca="false">+Q8*$R$2</f>
        <v>80700.72</v>
      </c>
      <c r="S8" s="15" t="n">
        <f aca="false">IF(F8&gt;0,$S$2/12,0)</f>
        <v>25833.3333333333</v>
      </c>
      <c r="T8" s="15" t="n">
        <f aca="false">J8-SUM(K8:S8)</f>
        <v>650796.587650144</v>
      </c>
      <c r="U8" s="15" t="n">
        <f aca="false">IF($F8&lt;0,0,IFERROR((U$2*$O$1)*($F8/SUM($F$5:$F$43)),0))</f>
        <v>30236.2489394187</v>
      </c>
      <c r="V8" s="15" t="n">
        <f aca="false">F8-F8*$I$3-K8-M8-N8-O8-P8-(F8-F8*$I$3)*$Q$2-((F8-F8*$I$3)*$Q$2)*$R$2-S8-U8</f>
        <v>620560.338710725</v>
      </c>
      <c r="W8" s="15" t="n">
        <f aca="false">T8-U8</f>
        <v>620560.338710725</v>
      </c>
      <c r="X8" s="15" t="n">
        <f aca="false">ROUND(W8-V8,9)</f>
        <v>0</v>
      </c>
    </row>
    <row r="9" customFormat="false" ht="14.4" hidden="false" customHeight="false" outlineLevel="0" collapsed="false">
      <c r="A9" s="12" t="s">
        <v>163</v>
      </c>
      <c r="B9" s="12" t="s">
        <v>145</v>
      </c>
      <c r="C9" s="13" t="n">
        <v>1</v>
      </c>
      <c r="D9" s="13" t="n">
        <v>1</v>
      </c>
      <c r="E9" s="13" t="s">
        <v>60</v>
      </c>
      <c r="F9" s="12" t="n">
        <f aca="false">VLOOKUP(E9,Ventas!C:H,5,0)</f>
        <v>1504930.76923077</v>
      </c>
      <c r="G9" s="12" t="n">
        <f aca="false">IFERROR(VLOOKUP(A9,Modelos[],18,0),0)*F9</f>
        <v>0</v>
      </c>
      <c r="H9" s="14" t="n">
        <f aca="false">SUM(F9:G9)</f>
        <v>1504930.76923077</v>
      </c>
      <c r="I9" s="12" t="n">
        <f aca="false">H9*$I$3</f>
        <v>526725.769230769</v>
      </c>
      <c r="J9" s="12" t="n">
        <f aca="false">H9-I9</f>
        <v>978205</v>
      </c>
      <c r="K9" s="12" t="n">
        <f aca="false">Sup!$A$2*D9</f>
        <v>6775.44742838542</v>
      </c>
      <c r="L9" s="12" t="n">
        <f aca="false">IFERROR(VLOOKUP(A9,Modelos[],IF(B9="EST",15,14),0),0)/C9</f>
        <v>0</v>
      </c>
      <c r="M9" s="12" t="n">
        <f aca="false">IF($F9&lt;0,0,IFERROR((M$2*$O$1)*($F9/SUM($F$5:$F$43)),0))</f>
        <v>8707.33101668682</v>
      </c>
      <c r="N9" s="12" t="n">
        <f aca="false">IF($F9&lt;0,0,IFERROR((N$2*$O$1)*($F9/SUM($F$5:$F$43)),0))</f>
        <v>1693.09214213355</v>
      </c>
      <c r="O9" s="12" t="n">
        <f aca="false">IF($F9&lt;0,0,IFERROR((O$2*$O$1)*($F9/SUM($F$5:$F$43)),0))</f>
        <v>8707.33101668682</v>
      </c>
      <c r="P9" s="12" t="n">
        <f aca="false">IF($F9&lt;0,0,IFERROR((P$2*$O$1)*($F9/SUM($F$5:$F$43)),0))</f>
        <v>12093.5153009539</v>
      </c>
      <c r="Q9" s="12" t="n">
        <f aca="false">J9*$Q$2</f>
        <v>391282</v>
      </c>
      <c r="R9" s="12" t="n">
        <f aca="false">+Q9*$R$2</f>
        <v>58692.3</v>
      </c>
      <c r="S9" s="12" t="n">
        <f aca="false">IF(F9&gt;0,$S$2/12,0)</f>
        <v>25833.3333333333</v>
      </c>
      <c r="T9" s="12" t="n">
        <f aca="false">J9-SUM(K9:S9)</f>
        <v>464420.64976182</v>
      </c>
      <c r="U9" s="12" t="n">
        <f aca="false">IF($F9&lt;0,0,IFERROR((U$2*$O$1)*($F9/SUM($F$5:$F$43)),0))</f>
        <v>21990.3241709249</v>
      </c>
      <c r="V9" s="12" t="n">
        <f aca="false">F9-F9*$I$3-K9-M9-N9-O9-P9-(F9-F9*$I$3)*$Q$2-((F9-F9*$I$3)*$Q$2)*$R$2-S9-U9</f>
        <v>442430.325590895</v>
      </c>
      <c r="W9" s="12" t="n">
        <f aca="false">T9-U9</f>
        <v>442430.325590895</v>
      </c>
      <c r="X9" s="12" t="n">
        <f aca="false">ROUND(W9-V9,9)</f>
        <v>0</v>
      </c>
    </row>
    <row r="10" customFormat="false" ht="14.4" hidden="false" customHeight="false" outlineLevel="0" collapsed="false">
      <c r="A10" s="15" t="s">
        <v>163</v>
      </c>
      <c r="B10" s="12" t="s">
        <v>145</v>
      </c>
      <c r="C10" s="16" t="n">
        <v>1</v>
      </c>
      <c r="D10" s="16" t="n">
        <v>1</v>
      </c>
      <c r="E10" s="16" t="s">
        <v>47</v>
      </c>
      <c r="F10" s="12" t="n">
        <f aca="false">VLOOKUP(E10,Ventas!C:H,5,0)</f>
        <v>2542166.15384615</v>
      </c>
      <c r="G10" s="15" t="n">
        <f aca="false">IFERROR(VLOOKUP(A10,Modelos[],18,0),0)*F10/C10</f>
        <v>0</v>
      </c>
      <c r="H10" s="17" t="n">
        <f aca="false">SUM(F10:G10)</f>
        <v>2542166.15384615</v>
      </c>
      <c r="I10" s="15" t="n">
        <f aca="false">H10*$I$3</f>
        <v>889758.153846154</v>
      </c>
      <c r="J10" s="15" t="n">
        <f aca="false">H10-I10</f>
        <v>1652408</v>
      </c>
      <c r="K10" s="15" t="n">
        <f aca="false">Sup!$A$2*D10</f>
        <v>6775.44742838542</v>
      </c>
      <c r="L10" s="15" t="n">
        <f aca="false">IFERROR(VLOOKUP(A10,Modelos[],IF(B10="EST",15,14),0),0)/C10</f>
        <v>0</v>
      </c>
      <c r="M10" s="15" t="n">
        <f aca="false">IF($F10&lt;0,0,IFERROR((M$2*$O$1)*($F10/SUM($F$5:$F$43)),0))</f>
        <v>14708.6382001947</v>
      </c>
      <c r="N10" s="15" t="n">
        <f aca="false">IF($F10&lt;0,0,IFERROR((N$2*$O$1)*($F10/SUM($F$5:$F$43)),0))</f>
        <v>2860.01298337119</v>
      </c>
      <c r="O10" s="15" t="n">
        <f aca="false">IF($F10&lt;0,0,IFERROR((O$2*$O$1)*($F10/SUM($F$5:$F$43)),0))</f>
        <v>14708.6382001947</v>
      </c>
      <c r="P10" s="15" t="n">
        <f aca="false">IF($F10&lt;0,0,IFERROR((P$2*$O$1)*($F10/SUM($F$5:$F$43)),0))</f>
        <v>20428.6641669371</v>
      </c>
      <c r="Q10" s="15" t="n">
        <f aca="false">J10*$Q$2</f>
        <v>660963.2</v>
      </c>
      <c r="R10" s="15" t="n">
        <f aca="false">+Q10*$R$2</f>
        <v>99144.48</v>
      </c>
      <c r="S10" s="15" t="n">
        <f aca="false">IF(F10&gt;0,$S$2/12,0)</f>
        <v>25833.3333333333</v>
      </c>
      <c r="T10" s="15" t="n">
        <f aca="false">J10-SUM(K10:S10)</f>
        <v>806985.585687584</v>
      </c>
      <c r="U10" s="15" t="n">
        <f aca="false">IF($F10&lt;0,0,IFERROR((U$2*$O$1)*($F10/SUM($F$5:$F$43)),0))</f>
        <v>37146.5976790444</v>
      </c>
      <c r="V10" s="15" t="n">
        <f aca="false">F10-F10*$I$3-K10-M10-N10-O10-P10-(F10-F10*$I$3)*$Q$2-((F10-F10*$I$3)*$Q$2)*$R$2-S10-U10</f>
        <v>769838.988008539</v>
      </c>
      <c r="W10" s="15" t="n">
        <f aca="false">T10-U10</f>
        <v>769838.988008539</v>
      </c>
      <c r="X10" s="15" t="n">
        <f aca="false">ROUND(W10-V10,9)</f>
        <v>0</v>
      </c>
    </row>
    <row r="11" customFormat="false" ht="14.4" hidden="false" customHeight="false" outlineLevel="0" collapsed="false">
      <c r="A11" s="12" t="s">
        <v>163</v>
      </c>
      <c r="B11" s="12" t="s">
        <v>145</v>
      </c>
      <c r="C11" s="13" t="n">
        <v>1</v>
      </c>
      <c r="D11" s="13" t="n">
        <v>1</v>
      </c>
      <c r="E11" s="13" t="s">
        <v>39</v>
      </c>
      <c r="F11" s="12" t="n">
        <f aca="false">VLOOKUP(E11,Ventas!C:H,5,0)</f>
        <v>2875784.61538462</v>
      </c>
      <c r="G11" s="12" t="n">
        <f aca="false">IFERROR(VLOOKUP(A11,Modelos[],18,0),0)*F11/C11</f>
        <v>0</v>
      </c>
      <c r="H11" s="14" t="n">
        <f aca="false">SUM(F11:G11)</f>
        <v>2875784.61538462</v>
      </c>
      <c r="I11" s="12" t="n">
        <f aca="false">H11*$I$3</f>
        <v>1006524.61538462</v>
      </c>
      <c r="J11" s="12" t="n">
        <f aca="false">H11-I11</f>
        <v>1869260</v>
      </c>
      <c r="K11" s="12" t="n">
        <f aca="false">Sup!$A$2*D11</f>
        <v>6775.44742838542</v>
      </c>
      <c r="L11" s="12" t="n">
        <f aca="false">IFERROR(VLOOKUP(A11,Modelos[],IF(B11="EST",15,14),0),0)/C11</f>
        <v>0</v>
      </c>
      <c r="M11" s="12" t="n">
        <f aca="false">IF($F11&lt;0,0,IFERROR((M$2*$O$1)*($F11/SUM($F$5:$F$43)),0))</f>
        <v>16638.9106335093</v>
      </c>
      <c r="N11" s="12" t="n">
        <f aca="false">IF($F11&lt;0,0,IFERROR((N$2*$O$1)*($F11/SUM($F$5:$F$43)),0))</f>
        <v>3235.34373429348</v>
      </c>
      <c r="O11" s="12" t="n">
        <f aca="false">IF($F11&lt;0,0,IFERROR((O$2*$O$1)*($F11/SUM($F$5:$F$43)),0))</f>
        <v>16638.9106335093</v>
      </c>
      <c r="P11" s="12" t="n">
        <f aca="false">IF($F11&lt;0,0,IFERROR((P$2*$O$1)*($F11/SUM($F$5:$F$43)),0))</f>
        <v>23109.5981020963</v>
      </c>
      <c r="Q11" s="12" t="n">
        <f aca="false">J11*$Q$2</f>
        <v>747704</v>
      </c>
      <c r="R11" s="12" t="n">
        <f aca="false">+Q11*$R$2</f>
        <v>112155.6</v>
      </c>
      <c r="S11" s="12" t="n">
        <f aca="false">IF(F11&gt;0,$S$2/12,0)</f>
        <v>25833.3333333333</v>
      </c>
      <c r="T11" s="12" t="n">
        <f aca="false">J11-SUM(K11:S11)</f>
        <v>917168.856134873</v>
      </c>
      <c r="U11" s="12" t="n">
        <f aca="false">IF($F11&lt;0,0,IFERROR((U$2*$O$1)*($F11/SUM($F$5:$F$43)),0))</f>
        <v>42021.4917729342</v>
      </c>
      <c r="V11" s="12" t="n">
        <f aca="false">F11-F11*$I$3-K11-M11-N11-O11-P11-(F11-F11*$I$3)*$Q$2-((F11-F11*$I$3)*$Q$2)*$R$2-S11-U11</f>
        <v>875147.364361939</v>
      </c>
      <c r="W11" s="12" t="n">
        <f aca="false">T11-U11</f>
        <v>875147.364361939</v>
      </c>
      <c r="X11" s="12" t="n">
        <f aca="false">ROUND(W11-V11,9)</f>
        <v>0</v>
      </c>
    </row>
    <row r="12" customFormat="false" ht="14.4" hidden="false" customHeight="false" outlineLevel="0" collapsed="false">
      <c r="A12" s="15" t="s">
        <v>163</v>
      </c>
      <c r="B12" s="12" t="s">
        <v>145</v>
      </c>
      <c r="C12" s="16" t="n">
        <v>1</v>
      </c>
      <c r="D12" s="16" t="n">
        <v>1</v>
      </c>
      <c r="E12" s="16" t="s">
        <v>37</v>
      </c>
      <c r="F12" s="12" t="n">
        <f aca="false">VLOOKUP(E12,Ventas!C:H,5,0)</f>
        <v>2895783.07692308</v>
      </c>
      <c r="G12" s="15" t="n">
        <f aca="false">IFERROR(VLOOKUP(A12,Modelos[],18,0),0)*F12/C12</f>
        <v>0</v>
      </c>
      <c r="H12" s="17" t="n">
        <f aca="false">SUM(F12:G12)</f>
        <v>2895783.07692308</v>
      </c>
      <c r="I12" s="15" t="n">
        <f aca="false">H12*$I$3</f>
        <v>1013524.07692308</v>
      </c>
      <c r="J12" s="15" t="n">
        <f aca="false">H12-I12</f>
        <v>1882259</v>
      </c>
      <c r="K12" s="15" t="n">
        <f aca="false">Sup!$A$2*D12</f>
        <v>6775.44742838542</v>
      </c>
      <c r="L12" s="15" t="n">
        <f aca="false">IFERROR(VLOOKUP(A12,Modelos[],IF(B12="EST",15,14),0),0)/C12</f>
        <v>0</v>
      </c>
      <c r="M12" s="15" t="n">
        <f aca="false">IF($F12&lt;0,0,IFERROR((M$2*$O$1)*($F12/SUM($F$5:$F$43)),0))</f>
        <v>16754.6190953204</v>
      </c>
      <c r="N12" s="15" t="n">
        <f aca="false">IF($F12&lt;0,0,IFERROR((N$2*$O$1)*($F12/SUM($F$5:$F$43)),0))</f>
        <v>3257.84260186786</v>
      </c>
      <c r="O12" s="15" t="n">
        <f aca="false">IF($F12&lt;0,0,IFERROR((O$2*$O$1)*($F12/SUM($F$5:$F$43)),0))</f>
        <v>16754.6190953204</v>
      </c>
      <c r="P12" s="15" t="n">
        <f aca="false">IF($F12&lt;0,0,IFERROR((P$2*$O$1)*($F12/SUM($F$5:$F$43)),0))</f>
        <v>23270.3042990561</v>
      </c>
      <c r="Q12" s="15" t="n">
        <f aca="false">J12*$Q$2</f>
        <v>752903.6</v>
      </c>
      <c r="R12" s="15" t="n">
        <f aca="false">+Q12*$R$2</f>
        <v>112935.54</v>
      </c>
      <c r="S12" s="15" t="n">
        <f aca="false">IF(F12&gt;0,$S$2/12,0)</f>
        <v>25833.3333333333</v>
      </c>
      <c r="T12" s="15" t="n">
        <f aca="false">J12-SUM(K12:S12)</f>
        <v>923773.694146716</v>
      </c>
      <c r="U12" s="15" t="n">
        <f aca="false">IF($F12&lt;0,0,IFERROR((U$2*$O$1)*($F12/SUM($F$5:$F$43)),0))</f>
        <v>42313.7129575507</v>
      </c>
      <c r="V12" s="15" t="n">
        <f aca="false">F12-F12*$I$3-K12-M12-N12-O12-P12-(F12-F12*$I$3)*$Q$2-((F12-F12*$I$3)*$Q$2)*$R$2-S12-U12</f>
        <v>881459.981189166</v>
      </c>
      <c r="W12" s="15" t="n">
        <f aca="false">T12-U12</f>
        <v>881459.981189166</v>
      </c>
      <c r="X12" s="15" t="n">
        <f aca="false">ROUND(W12-V12,9)</f>
        <v>0</v>
      </c>
    </row>
    <row r="13" customFormat="false" ht="14.4" hidden="false" customHeight="false" outlineLevel="0" collapsed="false">
      <c r="A13" s="12" t="s">
        <v>163</v>
      </c>
      <c r="B13" s="12" t="s">
        <v>145</v>
      </c>
      <c r="C13" s="13" t="n">
        <v>1</v>
      </c>
      <c r="D13" s="13" t="n">
        <v>1</v>
      </c>
      <c r="E13" s="13" t="s">
        <v>45</v>
      </c>
      <c r="F13" s="12" t="n">
        <f aca="false">VLOOKUP(E13,Ventas!C:H,5,0)</f>
        <v>2604672.30769231</v>
      </c>
      <c r="G13" s="12" t="n">
        <f aca="false">IFERROR(VLOOKUP(A13,Modelos[],18,0),0)*F13/C13</f>
        <v>0</v>
      </c>
      <c r="H13" s="14" t="n">
        <f aca="false">SUM(F13:G13)</f>
        <v>2604672.30769231</v>
      </c>
      <c r="I13" s="12" t="n">
        <f aca="false">H13*$I$3</f>
        <v>911635.307692308</v>
      </c>
      <c r="J13" s="12" t="n">
        <f aca="false">H13-I13</f>
        <v>1693037</v>
      </c>
      <c r="K13" s="12" t="n">
        <f aca="false">Sup!$A$2*D13</f>
        <v>6775.44742838542</v>
      </c>
      <c r="L13" s="12" t="n">
        <f aca="false">IFERROR(VLOOKUP(A13,Modelos[],IF(B13="EST",15,14),0),0)/C13</f>
        <v>0</v>
      </c>
      <c r="M13" s="12" t="n">
        <f aca="false">IF($F13&lt;0,0,IFERROR((M$2*$O$1)*($F13/SUM($F$5:$F$43)),0))</f>
        <v>15070.2905653707</v>
      </c>
      <c r="N13" s="12" t="n">
        <f aca="false">IF($F13&lt;0,0,IFERROR((N$2*$O$1)*($F13/SUM($F$5:$F$43)),0))</f>
        <v>2930.33427659985</v>
      </c>
      <c r="O13" s="12" t="n">
        <f aca="false">IF($F13&lt;0,0,IFERROR((O$2*$O$1)*($F13/SUM($F$5:$F$43)),0))</f>
        <v>15070.2905653707</v>
      </c>
      <c r="P13" s="12" t="n">
        <f aca="false">IF($F13&lt;0,0,IFERROR((P$2*$O$1)*($F13/SUM($F$5:$F$43)),0))</f>
        <v>20930.9591185704</v>
      </c>
      <c r="Q13" s="12" t="n">
        <f aca="false">J13*$Q$2</f>
        <v>677214.8</v>
      </c>
      <c r="R13" s="12" t="n">
        <f aca="false">+Q13*$R$2</f>
        <v>101582.22</v>
      </c>
      <c r="S13" s="12" t="n">
        <f aca="false">IF(F13&gt;0,$S$2/12,0)</f>
        <v>25833.3333333333</v>
      </c>
      <c r="T13" s="12" t="n">
        <f aca="false">J13-SUM(K13:S13)</f>
        <v>827629.32471237</v>
      </c>
      <c r="U13" s="12" t="n">
        <f aca="false">IF($F13&lt;0,0,IFERROR((U$2*$O$1)*($F13/SUM($F$5:$F$43)),0))</f>
        <v>38059.9490529799</v>
      </c>
      <c r="V13" s="12" t="n">
        <f aca="false">F13-F13*$I$3-K13-M13-N13-O13-P13-(F13-F13*$I$3)*$Q$2-((F13-F13*$I$3)*$Q$2)*$R$2-S13-U13</f>
        <v>789569.37565939</v>
      </c>
      <c r="W13" s="12" t="n">
        <f aca="false">T13-U13</f>
        <v>789569.37565939</v>
      </c>
      <c r="X13" s="12" t="n">
        <f aca="false">ROUND(W13-V13,9)</f>
        <v>0</v>
      </c>
    </row>
    <row r="14" customFormat="false" ht="14.4" hidden="false" customHeight="false" outlineLevel="0" collapsed="false">
      <c r="A14" s="15" t="s">
        <v>163</v>
      </c>
      <c r="B14" s="12" t="s">
        <v>145</v>
      </c>
      <c r="C14" s="16" t="n">
        <v>1</v>
      </c>
      <c r="D14" s="16" t="n">
        <v>1</v>
      </c>
      <c r="E14" s="16" t="s">
        <v>41</v>
      </c>
      <c r="F14" s="12" t="n">
        <f aca="false">VLOOKUP(E14,Ventas!C:H,5,0)</f>
        <v>2814513.84615385</v>
      </c>
      <c r="G14" s="15" t="n">
        <f aca="false">IFERROR(VLOOKUP(A14,Modelos[],18,0),0)*F14/C14</f>
        <v>0</v>
      </c>
      <c r="H14" s="17" t="n">
        <f aca="false">SUM(F14:G14)</f>
        <v>2814513.84615385</v>
      </c>
      <c r="I14" s="15" t="n">
        <f aca="false">H14*$I$3</f>
        <v>985079.846153846</v>
      </c>
      <c r="J14" s="15" t="n">
        <f aca="false">H14-I14</f>
        <v>1829434</v>
      </c>
      <c r="K14" s="15" t="n">
        <f aca="false">Sup!$A$2*D14</f>
        <v>6775.44742838542</v>
      </c>
      <c r="L14" s="15" t="n">
        <f aca="false">IFERROR(VLOOKUP(A14,Modelos[],IF(B14="EST",15,14),0),0)/C14</f>
        <v>0</v>
      </c>
      <c r="M14" s="15" t="n">
        <f aca="false">IF($F14&lt;0,0,IFERROR((M$2*$O$1)*($F14/SUM($F$5:$F$43)),0))</f>
        <v>16284.4060408416</v>
      </c>
      <c r="N14" s="15" t="n">
        <f aca="false">IF($F14&lt;0,0,IFERROR((N$2*$O$1)*($F14/SUM($F$5:$F$43)),0))</f>
        <v>3166.4122857192</v>
      </c>
      <c r="O14" s="15" t="n">
        <f aca="false">IF($F14&lt;0,0,IFERROR((O$2*$O$1)*($F14/SUM($F$5:$F$43)),0))</f>
        <v>16284.4060408416</v>
      </c>
      <c r="P14" s="15" t="n">
        <f aca="false">IF($F14&lt;0,0,IFERROR((P$2*$O$1)*($F14/SUM($F$5:$F$43)),0))</f>
        <v>22617.23061228</v>
      </c>
      <c r="Q14" s="15" t="n">
        <f aca="false">J14*$Q$2</f>
        <v>731773.6</v>
      </c>
      <c r="R14" s="15" t="n">
        <f aca="false">+Q14*$R$2</f>
        <v>109766.04</v>
      </c>
      <c r="S14" s="15" t="n">
        <f aca="false">IF(F14&gt;0,$S$2/12,0)</f>
        <v>25833.3333333333</v>
      </c>
      <c r="T14" s="15" t="n">
        <f aca="false">J14-SUM(K14:S14)</f>
        <v>896933.124258599</v>
      </c>
      <c r="U14" s="15" t="n">
        <f aca="false">IF($F14&lt;0,0,IFERROR((U$2*$O$1)*($F14/SUM($F$5:$F$43)),0))</f>
        <v>41126.1920653767</v>
      </c>
      <c r="V14" s="15" t="n">
        <f aca="false">F14-F14*$I$3-K14-M14-N14-O14-P14-(F14-F14*$I$3)*$Q$2-((F14-F14*$I$3)*$Q$2)*$R$2-S14-U14</f>
        <v>855806.932193222</v>
      </c>
      <c r="W14" s="15" t="n">
        <f aca="false">T14-U14</f>
        <v>855806.932193222</v>
      </c>
      <c r="X14" s="15" t="n">
        <f aca="false">ROUND(W14-V14,9)</f>
        <v>0</v>
      </c>
    </row>
    <row r="15" customFormat="false" ht="14.4" hidden="false" customHeight="false" outlineLevel="0" collapsed="false">
      <c r="A15" s="12" t="s">
        <v>163</v>
      </c>
      <c r="B15" s="12" t="s">
        <v>145</v>
      </c>
      <c r="C15" s="13" t="n">
        <v>1</v>
      </c>
      <c r="D15" s="13" t="n">
        <v>1</v>
      </c>
      <c r="E15" s="13" t="s">
        <v>55</v>
      </c>
      <c r="F15" s="12" t="n">
        <f aca="false">VLOOKUP(E15,Ventas!C:H,5,0)</f>
        <v>1873333.84615385</v>
      </c>
      <c r="G15" s="12" t="n">
        <f aca="false">IFERROR(VLOOKUP(A15,Modelos[],18,0),0)*F15/C15</f>
        <v>0</v>
      </c>
      <c r="H15" s="14" t="n">
        <f aca="false">SUM(F15:G15)</f>
        <v>1873333.84615385</v>
      </c>
      <c r="I15" s="12" t="n">
        <f aca="false">H15*$I$3</f>
        <v>655666.846153846</v>
      </c>
      <c r="J15" s="12" t="n">
        <f aca="false">H15-I15</f>
        <v>1217667</v>
      </c>
      <c r="K15" s="12" t="n">
        <f aca="false">Sup!$A$2*D15</f>
        <v>6775.44742838542</v>
      </c>
      <c r="L15" s="12" t="n">
        <f aca="false">IFERROR(VLOOKUP(A15,Modelos[],IF(B15="EST",15,14),0),0)/C15</f>
        <v>0</v>
      </c>
      <c r="M15" s="12" t="n">
        <f aca="false">IF($F15&lt;0,0,IFERROR((M$2*$O$1)*($F15/SUM($F$5:$F$43)),0))</f>
        <v>10838.8626485205</v>
      </c>
      <c r="N15" s="12" t="n">
        <f aca="false">IF($F15&lt;0,0,IFERROR((N$2*$O$1)*($F15/SUM($F$5:$F$43)),0))</f>
        <v>2107.55662610121</v>
      </c>
      <c r="O15" s="12" t="n">
        <f aca="false">IF($F15&lt;0,0,IFERROR((O$2*$O$1)*($F15/SUM($F$5:$F$43)),0))</f>
        <v>10838.8626485205</v>
      </c>
      <c r="P15" s="12" t="n">
        <f aca="false">IF($F15&lt;0,0,IFERROR((P$2*$O$1)*($F15/SUM($F$5:$F$43)),0))</f>
        <v>15053.9759007229</v>
      </c>
      <c r="Q15" s="12" t="n">
        <f aca="false">J15*$Q$2</f>
        <v>487066.8</v>
      </c>
      <c r="R15" s="12" t="n">
        <f aca="false">+Q15*$R$2</f>
        <v>73060.02</v>
      </c>
      <c r="S15" s="12" t="n">
        <f aca="false">IF(F15&gt;0,$S$2/12,0)</f>
        <v>25833.3333333333</v>
      </c>
      <c r="T15" s="12" t="n">
        <f aca="false">J15-SUM(K15:S15)</f>
        <v>586092.141414416</v>
      </c>
      <c r="U15" s="12" t="n">
        <f aca="false">IF($F15&lt;0,0,IFERROR((U$2*$O$1)*($F15/SUM($F$5:$F$43)),0))</f>
        <v>27373.4974389188</v>
      </c>
      <c r="V15" s="12" t="n">
        <f aca="false">F15-F15*$I$3-K15-M15-N15-O15-P15-(F15-F15*$I$3)*$Q$2-((F15-F15*$I$3)*$Q$2)*$R$2-S15-U15</f>
        <v>558718.643975497</v>
      </c>
      <c r="W15" s="12" t="n">
        <f aca="false">T15-U15</f>
        <v>558718.643975497</v>
      </c>
      <c r="X15" s="12" t="n">
        <f aca="false">ROUND(W15-V15,9)</f>
        <v>0</v>
      </c>
    </row>
    <row r="16" customFormat="false" ht="14.4" hidden="false" customHeight="false" outlineLevel="0" collapsed="false">
      <c r="A16" s="15"/>
      <c r="B16" s="15"/>
      <c r="C16" s="16" t="n">
        <v>1</v>
      </c>
      <c r="D16" s="16" t="n">
        <v>1</v>
      </c>
      <c r="E16" s="16" t="s">
        <v>62</v>
      </c>
      <c r="F16" s="12" t="n">
        <f aca="false">VLOOKUP(E16,Ventas!C:H,5,0)</f>
        <v>1413012.30769231</v>
      </c>
      <c r="G16" s="15" t="n">
        <f aca="false">IFERROR(VLOOKUP(A16,Modelos[],18,0),0)*F16/C16</f>
        <v>0</v>
      </c>
      <c r="H16" s="17" t="n">
        <f aca="false">SUM(F16:G16)</f>
        <v>1413012.30769231</v>
      </c>
      <c r="I16" s="15" t="n">
        <f aca="false">H16*$I$3</f>
        <v>494554.307692308</v>
      </c>
      <c r="J16" s="15" t="n">
        <f aca="false">H16-I16</f>
        <v>918458</v>
      </c>
      <c r="K16" s="15" t="n">
        <f aca="false">Sup!$A$2*D16</f>
        <v>6775.44742838542</v>
      </c>
      <c r="L16" s="15" t="n">
        <f aca="false">IFERROR(VLOOKUP(A16,Modelos[],IF(B16="EST",15,14),0),0)/C16</f>
        <v>0</v>
      </c>
      <c r="M16" s="15" t="n">
        <f aca="false">IF($F16&lt;0,0,IFERROR((M$2*$O$1)*($F16/SUM($F$5:$F$43)),0))</f>
        <v>8175.50291700016</v>
      </c>
      <c r="N16" s="15" t="n">
        <f aca="false">IF($F16&lt;0,0,IFERROR((N$2*$O$1)*($F16/SUM($F$5:$F$43)),0))</f>
        <v>1589.68112275003</v>
      </c>
      <c r="O16" s="15" t="n">
        <f aca="false">IF($F16&lt;0,0,IFERROR((O$2*$O$1)*($F16/SUM($F$5:$F$43)),0))</f>
        <v>8175.50291700016</v>
      </c>
      <c r="P16" s="15" t="n">
        <f aca="false">IF($F16&lt;0,0,IFERROR((P$2*$O$1)*($F16/SUM($F$5:$F$43)),0))</f>
        <v>11354.8651625002</v>
      </c>
      <c r="Q16" s="15" t="n">
        <f aca="false">J16*$Q$2</f>
        <v>367383.2</v>
      </c>
      <c r="R16" s="15" t="n">
        <f aca="false">+Q16*$R$2</f>
        <v>55107.48</v>
      </c>
      <c r="S16" s="15" t="n">
        <f aca="false">IF(F16&gt;0,$S$2/12,0)</f>
        <v>25833.3333333333</v>
      </c>
      <c r="T16" s="15" t="n">
        <f aca="false">J16-SUM(K16:S16)</f>
        <v>434062.987119031</v>
      </c>
      <c r="U16" s="15" t="n">
        <f aca="false">IF($F16&lt;0,0,IFERROR((U$2*$O$1)*($F16/SUM($F$5:$F$43)),0))</f>
        <v>20647.1947673334</v>
      </c>
      <c r="V16" s="15" t="n">
        <f aca="false">F16-F16*$I$3-K16-M16-N16-O16-P16-(F16-F16*$I$3)*$Q$2-((F16-F16*$I$3)*$Q$2)*$R$2-S16-U16</f>
        <v>413415.792351697</v>
      </c>
      <c r="W16" s="15" t="n">
        <f aca="false">T16-U16</f>
        <v>413415.792351697</v>
      </c>
      <c r="X16" s="15" t="n">
        <f aca="false">ROUND(W16-V16,9)</f>
        <v>0</v>
      </c>
    </row>
    <row r="17" customFormat="false" ht="14.4" hidden="false" customHeight="false" outlineLevel="0" collapsed="false">
      <c r="A17" s="12"/>
      <c r="B17" s="12"/>
      <c r="C17" s="13" t="n">
        <v>1</v>
      </c>
      <c r="D17" s="13" t="n">
        <v>1</v>
      </c>
      <c r="E17" s="13" t="s">
        <v>59</v>
      </c>
      <c r="F17" s="12" t="n">
        <f aca="false">VLOOKUP(E17,Ventas!C:H,5,0)</f>
        <v>1610832.30769231</v>
      </c>
      <c r="G17" s="12" t="n">
        <f aca="false">IFERROR(VLOOKUP(A17,Modelos[],18,0),0)*F17/C17</f>
        <v>0</v>
      </c>
      <c r="H17" s="14" t="n">
        <f aca="false">SUM(F17:G17)</f>
        <v>1610832.30769231</v>
      </c>
      <c r="I17" s="12" t="n">
        <f aca="false">H17*$I$3</f>
        <v>563791.307692308</v>
      </c>
      <c r="J17" s="12" t="n">
        <f aca="false">H17-I17</f>
        <v>1047041</v>
      </c>
      <c r="K17" s="12" t="n">
        <f aca="false">Sup!$A$2*D17</f>
        <v>6775.44742838542</v>
      </c>
      <c r="L17" s="12" t="n">
        <f aca="false">IFERROR(VLOOKUP(A17,Modelos[],IF(B17="EST",15,14),0),0)/C17</f>
        <v>0</v>
      </c>
      <c r="M17" s="12" t="n">
        <f aca="false">IF($F17&lt;0,0,IFERROR((M$2*$O$1)*($F17/SUM($F$5:$F$43)),0))</f>
        <v>9320.06335588428</v>
      </c>
      <c r="N17" s="12" t="n">
        <f aca="false">IF($F17&lt;0,0,IFERROR((N$2*$O$1)*($F17/SUM($F$5:$F$43)),0))</f>
        <v>1812.23454142194</v>
      </c>
      <c r="O17" s="12" t="n">
        <f aca="false">IF($F17&lt;0,0,IFERROR((O$2*$O$1)*($F17/SUM($F$5:$F$43)),0))</f>
        <v>9320.06335588428</v>
      </c>
      <c r="P17" s="12" t="n">
        <f aca="false">IF($F17&lt;0,0,IFERROR((P$2*$O$1)*($F17/SUM($F$5:$F$43)),0))</f>
        <v>12944.5324387282</v>
      </c>
      <c r="Q17" s="12" t="n">
        <f aca="false">J17*$Q$2</f>
        <v>418816.4</v>
      </c>
      <c r="R17" s="12" t="n">
        <f aca="false">+Q17*$R$2</f>
        <v>62822.46</v>
      </c>
      <c r="S17" s="12" t="n">
        <f aca="false">IF(F17&gt;0,$S$2/12,0)</f>
        <v>25833.3333333333</v>
      </c>
      <c r="T17" s="12" t="n">
        <f aca="false">J17-SUM(K17:S17)</f>
        <v>499396.465546363</v>
      </c>
      <c r="U17" s="12" t="n">
        <f aca="false">IF($F17&lt;0,0,IFERROR((U$2*$O$1)*($F17/SUM($F$5:$F$43)),0))</f>
        <v>23537.7768568443</v>
      </c>
      <c r="V17" s="12" t="n">
        <f aca="false">F17-F17*$I$3-K17-M17-N17-O17-P17-(F17-F17*$I$3)*$Q$2-((F17-F17*$I$3)*$Q$2)*$R$2-S17-U17</f>
        <v>475858.688689518</v>
      </c>
      <c r="W17" s="12" t="n">
        <f aca="false">T17-U17</f>
        <v>475858.688689518</v>
      </c>
      <c r="X17" s="12" t="n">
        <f aca="false">ROUND(W17-V17,9)</f>
        <v>0</v>
      </c>
    </row>
    <row r="18" customFormat="false" ht="14.4" hidden="false" customHeight="false" outlineLevel="0" collapsed="false">
      <c r="A18" s="15"/>
      <c r="B18" s="15"/>
      <c r="C18" s="16" t="n">
        <v>1</v>
      </c>
      <c r="D18" s="16" t="n">
        <v>1</v>
      </c>
      <c r="E18" s="16" t="s">
        <v>67</v>
      </c>
      <c r="F18" s="12" t="n">
        <f aca="false">VLOOKUP(E18,Ventas!C:H,5,0)</f>
        <v>1109549.23076923</v>
      </c>
      <c r="G18" s="15" t="n">
        <f aca="false">IFERROR(VLOOKUP(A18,Modelos[],18,0),0)*F18/C18</f>
        <v>0</v>
      </c>
      <c r="H18" s="17" t="n">
        <f aca="false">SUM(F18:G18)</f>
        <v>1109549.23076923</v>
      </c>
      <c r="I18" s="15" t="n">
        <f aca="false">H18*$I$3</f>
        <v>388342.230769231</v>
      </c>
      <c r="J18" s="15" t="n">
        <f aca="false">H18-I18</f>
        <v>721207</v>
      </c>
      <c r="K18" s="15" t="n">
        <f aca="false">Sup!$A$2*D18</f>
        <v>6775.44742838542</v>
      </c>
      <c r="L18" s="15" t="n">
        <f aca="false">IFERROR(VLOOKUP(A18,Modelos[],IF(B18="EST",15,14),0),0)/C18</f>
        <v>0</v>
      </c>
      <c r="M18" s="15" t="n">
        <f aca="false">IF($F18&lt;0,0,IFERROR((M$2*$O$1)*($F18/SUM($F$5:$F$43)),0))</f>
        <v>6419.70556330386</v>
      </c>
      <c r="N18" s="15" t="n">
        <f aca="false">IF($F18&lt;0,0,IFERROR((N$2*$O$1)*($F18/SUM($F$5:$F$43)),0))</f>
        <v>1248.27608175353</v>
      </c>
      <c r="O18" s="15" t="n">
        <f aca="false">IF($F18&lt;0,0,IFERROR((O$2*$O$1)*($F18/SUM($F$5:$F$43)),0))</f>
        <v>6419.70556330386</v>
      </c>
      <c r="P18" s="15" t="n">
        <f aca="false">IF($F18&lt;0,0,IFERROR((P$2*$O$1)*($F18/SUM($F$5:$F$43)),0))</f>
        <v>8916.25772681092</v>
      </c>
      <c r="Q18" s="15" t="n">
        <f aca="false">J18*$Q$2</f>
        <v>288482.8</v>
      </c>
      <c r="R18" s="15" t="n">
        <f aca="false">+Q18*$R$2</f>
        <v>43272.42</v>
      </c>
      <c r="S18" s="15" t="n">
        <f aca="false">IF(F18&gt;0,$S$2/12,0)</f>
        <v>25833.3333333333</v>
      </c>
      <c r="T18" s="15" t="n">
        <f aca="false">J18-SUM(K18:S18)</f>
        <v>333839.054303109</v>
      </c>
      <c r="U18" s="15" t="n">
        <f aca="false">IF($F18&lt;0,0,IFERROR((U$2*$O$1)*($F18/SUM($F$5:$F$43)),0))</f>
        <v>16212.9366792648</v>
      </c>
      <c r="V18" s="15" t="n">
        <f aca="false">F18-F18*$I$3-K18-M18-N18-O18-P18-(F18-F18*$I$3)*$Q$2-((F18-F18*$I$3)*$Q$2)*$R$2-S18-U18</f>
        <v>317626.117623844</v>
      </c>
      <c r="W18" s="15" t="n">
        <f aca="false">T18-U18</f>
        <v>317626.117623844</v>
      </c>
      <c r="X18" s="15" t="n">
        <f aca="false">ROUND(W18-V18,9)</f>
        <v>0</v>
      </c>
    </row>
    <row r="19" customFormat="false" ht="14.4" hidden="false" customHeight="false" outlineLevel="0" collapsed="false">
      <c r="A19" s="12"/>
      <c r="B19" s="12"/>
      <c r="C19" s="13" t="n">
        <v>1</v>
      </c>
      <c r="D19" s="13" t="n">
        <v>1</v>
      </c>
      <c r="E19" s="13" t="s">
        <v>73</v>
      </c>
      <c r="F19" s="12" t="n">
        <f aca="false">VLOOKUP(E19,Ventas!C:H,5,0)</f>
        <v>928841.538461538</v>
      </c>
      <c r="G19" s="12" t="n">
        <f aca="false">IFERROR(VLOOKUP(A19,Modelos[],18,0),0)*F19/C19</f>
        <v>0</v>
      </c>
      <c r="H19" s="14" t="n">
        <f aca="false">SUM(F19:G19)</f>
        <v>928841.538461538</v>
      </c>
      <c r="I19" s="12" t="n">
        <f aca="false">H19*$I$3</f>
        <v>325094.538461538</v>
      </c>
      <c r="J19" s="12" t="n">
        <f aca="false">H19-I19</f>
        <v>603747</v>
      </c>
      <c r="K19" s="12" t="n">
        <f aca="false">Sup!$A$2*D19</f>
        <v>6775.44742838542</v>
      </c>
      <c r="L19" s="12" t="n">
        <f aca="false">IFERROR(VLOOKUP(A19,Modelos[],IF(B19="EST",15,14),0),0)/C19</f>
        <v>0</v>
      </c>
      <c r="M19" s="12" t="n">
        <f aca="false">IF($F19&lt;0,0,IFERROR((M$2*$O$1)*($F19/SUM($F$5:$F$43)),0))</f>
        <v>5374.15468059519</v>
      </c>
      <c r="N19" s="12" t="n">
        <f aca="false">IF($F19&lt;0,0,IFERROR((N$2*$O$1)*($F19/SUM($F$5:$F$43)),0))</f>
        <v>1044.97452122684</v>
      </c>
      <c r="O19" s="12" t="n">
        <f aca="false">IF($F19&lt;0,0,IFERROR((O$2*$O$1)*($F19/SUM($F$5:$F$43)),0))</f>
        <v>5374.15468059519</v>
      </c>
      <c r="P19" s="12" t="n">
        <f aca="false">IF($F19&lt;0,0,IFERROR((P$2*$O$1)*($F19/SUM($F$5:$F$43)),0))</f>
        <v>7464.10372304888</v>
      </c>
      <c r="Q19" s="12" t="n">
        <f aca="false">J19*$Q$2</f>
        <v>241498.8</v>
      </c>
      <c r="R19" s="12" t="n">
        <f aca="false">+Q19*$R$2</f>
        <v>36224.82</v>
      </c>
      <c r="S19" s="12" t="n">
        <f aca="false">IF(F19&gt;0,$S$2/12,0)</f>
        <v>25833.3333333333</v>
      </c>
      <c r="T19" s="12" t="n">
        <f aca="false">J19-SUM(K19:S19)</f>
        <v>274157.211632815</v>
      </c>
      <c r="U19" s="12" t="n">
        <f aca="false">IF($F19&lt;0,0,IFERROR((U$2*$O$1)*($F19/SUM($F$5:$F$43)),0))</f>
        <v>13572.4027654974</v>
      </c>
      <c r="V19" s="12" t="n">
        <f aca="false">F19-F19*$I$3-K19-M19-N19-O19-P19-(F19-F19*$I$3)*$Q$2-((F19-F19*$I$3)*$Q$2)*$R$2-S19-U19</f>
        <v>260584.808867318</v>
      </c>
      <c r="W19" s="12" t="n">
        <f aca="false">T19-U19</f>
        <v>260584.808867318</v>
      </c>
      <c r="X19" s="12" t="n">
        <f aca="false">ROUND(W19-V19,9)</f>
        <v>0</v>
      </c>
    </row>
    <row r="20" customFormat="false" ht="14.4" hidden="false" customHeight="false" outlineLevel="0" collapsed="false">
      <c r="A20" s="15"/>
      <c r="B20" s="15"/>
      <c r="C20" s="16" t="n">
        <v>1</v>
      </c>
      <c r="D20" s="16" t="n">
        <v>1</v>
      </c>
      <c r="E20" s="16" t="s">
        <v>63</v>
      </c>
      <c r="F20" s="12" t="n">
        <f aca="false">VLOOKUP(E20,Ventas!C:H,5,0)</f>
        <v>1302190.76923077</v>
      </c>
      <c r="G20" s="15" t="n">
        <f aca="false">IFERROR(VLOOKUP(A20,Modelos[],18,0),0)*F20/C20</f>
        <v>0</v>
      </c>
      <c r="H20" s="17" t="n">
        <f aca="false">SUM(F20:G20)</f>
        <v>1302190.76923077</v>
      </c>
      <c r="I20" s="15" t="n">
        <f aca="false">H20*$I$3</f>
        <v>455766.769230769</v>
      </c>
      <c r="J20" s="15" t="n">
        <f aca="false">H20-I20</f>
        <v>846424</v>
      </c>
      <c r="K20" s="15" t="n">
        <f aca="false">Sup!$A$2*D20</f>
        <v>6775.44742838542</v>
      </c>
      <c r="L20" s="15" t="n">
        <f aca="false">IFERROR(VLOOKUP(A20,Modelos[],IF(B20="EST",15,14),0),0)/C20</f>
        <v>0</v>
      </c>
      <c r="M20" s="15" t="n">
        <f aca="false">IF($F20&lt;0,0,IFERROR((M$2*$O$1)*($F20/SUM($F$5:$F$43)),0))</f>
        <v>7534.30410646861</v>
      </c>
      <c r="N20" s="15" t="n">
        <f aca="false">IF($F20&lt;0,0,IFERROR((N$2*$O$1)*($F20/SUM($F$5:$F$43)),0))</f>
        <v>1465.00357625779</v>
      </c>
      <c r="O20" s="15" t="n">
        <f aca="false">IF($F20&lt;0,0,IFERROR((O$2*$O$1)*($F20/SUM($F$5:$F$43)),0))</f>
        <v>7534.30410646861</v>
      </c>
      <c r="P20" s="15" t="n">
        <f aca="false">IF($F20&lt;0,0,IFERROR((P$2*$O$1)*($F20/SUM($F$5:$F$43)),0))</f>
        <v>10464.3112589842</v>
      </c>
      <c r="Q20" s="15" t="n">
        <f aca="false">J20*$Q$2</f>
        <v>338569.6</v>
      </c>
      <c r="R20" s="12" t="n">
        <f aca="false">+Q20*$R$2</f>
        <v>50785.44</v>
      </c>
      <c r="S20" s="15" t="n">
        <f aca="false">IF(F20&gt;0,$S$2/12,0)</f>
        <v>25833.3333333333</v>
      </c>
      <c r="T20" s="15" t="n">
        <f aca="false">J20-SUM(K20:S20)</f>
        <v>397462.256190102</v>
      </c>
      <c r="U20" s="15" t="n">
        <f aca="false">IF($F20&lt;0,0,IFERROR((U$2*$O$1)*($F20/SUM($F$5:$F$43)),0))</f>
        <v>19027.8501398489</v>
      </c>
      <c r="V20" s="15" t="n">
        <f aca="false">F20-F20*$I$3-K20-M20-N20-O20-P20-(F20-F20*$I$3)*$Q$2-((F20-F20*$I$3)*$Q$2)*$R$2-S20-U20</f>
        <v>378434.406050253</v>
      </c>
      <c r="W20" s="15" t="n">
        <f aca="false">T20-U20</f>
        <v>378434.406050253</v>
      </c>
      <c r="X20" s="15" t="n">
        <f aca="false">ROUND(W20-V20,9)</f>
        <v>0</v>
      </c>
    </row>
    <row r="21" customFormat="false" ht="14.4" hidden="false" customHeight="false" outlineLevel="0" collapsed="false">
      <c r="A21" s="12"/>
      <c r="B21" s="12"/>
      <c r="C21" s="13" t="n">
        <v>1</v>
      </c>
      <c r="D21" s="13" t="n">
        <v>1</v>
      </c>
      <c r="E21" s="13" t="s">
        <v>74</v>
      </c>
      <c r="F21" s="12" t="n">
        <f aca="false">VLOOKUP(E21,Ventas!C:H,5,0)</f>
        <v>877984.615384615</v>
      </c>
      <c r="G21" s="12" t="n">
        <f aca="false">IFERROR(VLOOKUP(A21,Modelos[],18,0),0)*F21/C21</f>
        <v>0</v>
      </c>
      <c r="H21" s="14" t="n">
        <f aca="false">SUM(F21:G21)</f>
        <v>877984.615384615</v>
      </c>
      <c r="I21" s="12" t="n">
        <f aca="false">H21*$I$3</f>
        <v>307294.615384615</v>
      </c>
      <c r="J21" s="12" t="n">
        <f aca="false">H21-I21</f>
        <v>570690</v>
      </c>
      <c r="K21" s="12" t="n">
        <f aca="false">Sup!$A$2*D21</f>
        <v>6775.44742838542</v>
      </c>
      <c r="L21" s="12" t="n">
        <f aca="false">IFERROR(VLOOKUP(A21,Modelos[],IF(B21="EST",15,14),0),0)/C21</f>
        <v>0</v>
      </c>
      <c r="M21" s="12" t="n">
        <f aca="false">IF($F21&lt;0,0,IFERROR((M$2*$O$1)*($F21/SUM($F$5:$F$43)),0))</f>
        <v>5079.90322878436</v>
      </c>
      <c r="N21" s="12" t="n">
        <f aca="false">IF($F21&lt;0,0,IFERROR((N$2*$O$1)*($F21/SUM($F$5:$F$43)),0))</f>
        <v>987.758961152514</v>
      </c>
      <c r="O21" s="12" t="n">
        <f aca="false">IF($F21&lt;0,0,IFERROR((O$2*$O$1)*($F21/SUM($F$5:$F$43)),0))</f>
        <v>5079.90322878436</v>
      </c>
      <c r="P21" s="12" t="n">
        <f aca="false">IF($F21&lt;0,0,IFERROR((P$2*$O$1)*($F21/SUM($F$5:$F$43)),0))</f>
        <v>7055.42115108938</v>
      </c>
      <c r="Q21" s="12" t="n">
        <f aca="false">J21*$Q$2</f>
        <v>228276</v>
      </c>
      <c r="R21" s="12" t="n">
        <f aca="false">+Q21*$R$2</f>
        <v>34241.4</v>
      </c>
      <c r="S21" s="12" t="n">
        <f aca="false">IF(F21&gt;0,$S$2/12,0)</f>
        <v>25833.3333333333</v>
      </c>
      <c r="T21" s="12" t="n">
        <f aca="false">J21-SUM(K21:S21)</f>
        <v>257360.832668471</v>
      </c>
      <c r="U21" s="12" t="n">
        <f aca="false">IF($F21&lt;0,0,IFERROR((U$2*$O$1)*($F21/SUM($F$5:$F$43)),0))</f>
        <v>12829.2720862244</v>
      </c>
      <c r="V21" s="12" t="n">
        <f aca="false">F21-F21*$I$3-K21-M21-N21-O21-P21-(F21-F21*$I$3)*$Q$2-((F21-F21*$I$3)*$Q$2)*$R$2-S21-U21</f>
        <v>244531.560582246</v>
      </c>
      <c r="W21" s="12" t="n">
        <f aca="false">T21-U21</f>
        <v>244531.560582246</v>
      </c>
      <c r="X21" s="12" t="n">
        <f aca="false">ROUND(W21-V21,9)</f>
        <v>0</v>
      </c>
    </row>
    <row r="22" customFormat="false" ht="14.4" hidden="false" customHeight="false" outlineLevel="0" collapsed="false">
      <c r="A22" s="15"/>
      <c r="B22" s="15"/>
      <c r="C22" s="16" t="n">
        <v>1</v>
      </c>
      <c r="D22" s="16" t="n">
        <v>1</v>
      </c>
      <c r="E22" s="16" t="s">
        <v>57</v>
      </c>
      <c r="F22" s="12" t="n">
        <f aca="false">VLOOKUP(E22,Ventas!C:H,5,0)</f>
        <v>1667378.46153846</v>
      </c>
      <c r="G22" s="15" t="n">
        <f aca="false">IFERROR(VLOOKUP(A22,Modelos[],18,0),0)*F22/C22</f>
        <v>0</v>
      </c>
      <c r="H22" s="17" t="n">
        <f aca="false">SUM(F22:G22)</f>
        <v>1667378.46153846</v>
      </c>
      <c r="I22" s="15" t="n">
        <f aca="false">H22*$I$3</f>
        <v>583582.461538462</v>
      </c>
      <c r="J22" s="15" t="n">
        <f aca="false">H22-I22</f>
        <v>1083796</v>
      </c>
      <c r="K22" s="15" t="n">
        <f aca="false">Sup!$A$2*D22</f>
        <v>6775.44742838542</v>
      </c>
      <c r="L22" s="15" t="n">
        <f aca="false">IFERROR(VLOOKUP(A22,Modelos[],IF(B22="EST",15,14),0),0)/C22</f>
        <v>0</v>
      </c>
      <c r="M22" s="15" t="n">
        <f aca="false">IF($F22&lt;0,0,IFERROR((M$2*$O$1)*($F22/SUM($F$5:$F$43)),0))</f>
        <v>9647.23194684254</v>
      </c>
      <c r="N22" s="15" t="n">
        <f aca="false">IF($F22&lt;0,0,IFERROR((N$2*$O$1)*($F22/SUM($F$5:$F$43)),0))</f>
        <v>1875.85065633049</v>
      </c>
      <c r="O22" s="15" t="n">
        <f aca="false">IF($F22&lt;0,0,IFERROR((O$2*$O$1)*($F22/SUM($F$5:$F$43)),0))</f>
        <v>9647.23194684254</v>
      </c>
      <c r="P22" s="15" t="n">
        <f aca="false">IF($F22&lt;0,0,IFERROR((P$2*$O$1)*($F22/SUM($F$5:$F$43)),0))</f>
        <v>13398.9332595035</v>
      </c>
      <c r="Q22" s="15" t="n">
        <f aca="false">J22*$Q$2</f>
        <v>433518.4</v>
      </c>
      <c r="R22" s="15" t="n">
        <f aca="false">+Q22*$R$2</f>
        <v>65027.76</v>
      </c>
      <c r="S22" s="15" t="n">
        <f aca="false">IF(F22&gt;0,$S$2/12,0)</f>
        <v>25833.3333333333</v>
      </c>
      <c r="T22" s="15" t="n">
        <f aca="false">J22-SUM(K22:S22)</f>
        <v>518071.811428762</v>
      </c>
      <c r="U22" s="15" t="n">
        <f aca="false">IF($F22&lt;0,0,IFERROR((U$2*$O$1)*($F22/SUM($F$5:$F$43)),0))</f>
        <v>24364.03961864</v>
      </c>
      <c r="V22" s="15" t="n">
        <f aca="false">F22-F22*$I$3-K22-M22-N22-O22-P22-(F22-F22*$I$3)*$Q$2-((F22-F22*$I$3)*$Q$2)*$R$2-S22-U22</f>
        <v>493707.771810122</v>
      </c>
      <c r="W22" s="15" t="n">
        <f aca="false">T22-U22</f>
        <v>493707.771810122</v>
      </c>
      <c r="X22" s="15" t="n">
        <f aca="false">ROUND(W22-V22,9)</f>
        <v>0</v>
      </c>
    </row>
    <row r="23" customFormat="false" ht="14.4" hidden="false" customHeight="false" outlineLevel="0" collapsed="false">
      <c r="A23" s="12"/>
      <c r="B23" s="12"/>
      <c r="C23" s="13" t="n">
        <v>1</v>
      </c>
      <c r="D23" s="13" t="n">
        <v>1</v>
      </c>
      <c r="E23" s="13" t="s">
        <v>56</v>
      </c>
      <c r="F23" s="12" t="n">
        <f aca="false">VLOOKUP(E23,Ventas!C:H,5,0)</f>
        <v>1668596.92307692</v>
      </c>
      <c r="G23" s="12" t="n">
        <f aca="false">IFERROR(VLOOKUP(A23,Modelos[],18,0),0)*F23/C23</f>
        <v>0</v>
      </c>
      <c r="H23" s="14" t="n">
        <f aca="false">SUM(F23:G23)</f>
        <v>1668596.92307692</v>
      </c>
      <c r="I23" s="12" t="n">
        <f aca="false">H23*$I$3</f>
        <v>584008.923076923</v>
      </c>
      <c r="J23" s="12" t="n">
        <f aca="false">H23-I23</f>
        <v>1084588</v>
      </c>
      <c r="K23" s="12" t="n">
        <f aca="false">Sup!$A$2*D23</f>
        <v>6775.44742838542</v>
      </c>
      <c r="L23" s="12" t="n">
        <f aca="false">IFERROR(VLOOKUP(A23,Modelos[],IF(B23="EST",15,14),0),0)/C23</f>
        <v>0</v>
      </c>
      <c r="M23" s="12" t="n">
        <f aca="false">IF($F23&lt;0,0,IFERROR((M$2*$O$1)*($F23/SUM($F$5:$F$43)),0))</f>
        <v>9654.28180465886</v>
      </c>
      <c r="N23" s="12" t="n">
        <f aca="false">IF($F23&lt;0,0,IFERROR((N$2*$O$1)*($F23/SUM($F$5:$F$43)),0))</f>
        <v>1877.221462017</v>
      </c>
      <c r="O23" s="12" t="n">
        <f aca="false">IF($F23&lt;0,0,IFERROR((O$2*$O$1)*($F23/SUM($F$5:$F$43)),0))</f>
        <v>9654.28180465886</v>
      </c>
      <c r="P23" s="12" t="n">
        <f aca="false">IF($F23&lt;0,0,IFERROR((P$2*$O$1)*($F23/SUM($F$5:$F$43)),0))</f>
        <v>13408.7247286929</v>
      </c>
      <c r="Q23" s="12" t="n">
        <f aca="false">J23*$Q$2</f>
        <v>433835.2</v>
      </c>
      <c r="R23" s="12" t="n">
        <f aca="false">+Q23*$R$2</f>
        <v>65075.28</v>
      </c>
      <c r="S23" s="12" t="n">
        <f aca="false">IF(F23&gt;0,$S$2/12,0)</f>
        <v>25833.3333333333</v>
      </c>
      <c r="T23" s="12" t="n">
        <f aca="false">J23-SUM(K23:S23)</f>
        <v>518474.229438254</v>
      </c>
      <c r="U23" s="12" t="n">
        <f aca="false">IF($F23&lt;0,0,IFERROR((U$2*$O$1)*($F23/SUM($F$5:$F$43)),0))</f>
        <v>24381.8440019169</v>
      </c>
      <c r="V23" s="12" t="n">
        <f aca="false">F23-F23*$I$3-K23-M23-N23-O23-P23-(F23-F23*$I$3)*$Q$2-((F23-F23*$I$3)*$Q$2)*$R$2-S23-U23</f>
        <v>494092.385436337</v>
      </c>
      <c r="W23" s="12" t="n">
        <f aca="false">T23-U23</f>
        <v>494092.385436337</v>
      </c>
      <c r="X23" s="12" t="n">
        <f aca="false">ROUND(W23-V23,9)</f>
        <v>0</v>
      </c>
    </row>
    <row r="24" customFormat="false" ht="14.4" hidden="false" customHeight="false" outlineLevel="0" collapsed="false">
      <c r="A24" s="15"/>
      <c r="B24" s="15"/>
      <c r="C24" s="16" t="n">
        <v>1</v>
      </c>
      <c r="D24" s="16" t="n">
        <v>1</v>
      </c>
      <c r="E24" s="16" t="s">
        <v>58</v>
      </c>
      <c r="F24" s="12" t="n">
        <f aca="false">VLOOKUP(E24,Ventas!C:H,5,0)</f>
        <v>1665920</v>
      </c>
      <c r="G24" s="15" t="n">
        <f aca="false">IFERROR(VLOOKUP(A24,Modelos[],18,0),0)*F24/C24</f>
        <v>0</v>
      </c>
      <c r="H24" s="17" t="n">
        <f aca="false">SUM(F24:G24)</f>
        <v>1665920</v>
      </c>
      <c r="I24" s="15" t="n">
        <f aca="false">H24*$I$3</f>
        <v>583072</v>
      </c>
      <c r="J24" s="15" t="n">
        <f aca="false">H24-I24</f>
        <v>1082848</v>
      </c>
      <c r="K24" s="15" t="n">
        <f aca="false">Sup!$A$2*D24</f>
        <v>6775.44742838542</v>
      </c>
      <c r="L24" s="15" t="n">
        <f aca="false">IFERROR(VLOOKUP(A24,Modelos[],IF(B24="EST",15,14),0),0)/C24</f>
        <v>0</v>
      </c>
      <c r="M24" s="15" t="n">
        <f aca="false">IF($F24&lt;0,0,IFERROR((M$2*$O$1)*($F24/SUM($F$5:$F$43)),0))</f>
        <v>9638.79348066846</v>
      </c>
      <c r="N24" s="15" t="n">
        <f aca="false">IF($F24&lt;0,0,IFERROR((N$2*$O$1)*($F24/SUM($F$5:$F$43)),0))</f>
        <v>1874.20984346331</v>
      </c>
      <c r="O24" s="15" t="n">
        <f aca="false">IF($F24&lt;0,0,IFERROR((O$2*$O$1)*($F24/SUM($F$5:$F$43)),0))</f>
        <v>9638.79348066846</v>
      </c>
      <c r="P24" s="15" t="n">
        <f aca="false">IF($F24&lt;0,0,IFERROR((P$2*$O$1)*($F24/SUM($F$5:$F$43)),0))</f>
        <v>13387.2131675951</v>
      </c>
      <c r="Q24" s="15" t="n">
        <f aca="false">J24*$Q$2</f>
        <v>433139.2</v>
      </c>
      <c r="R24" s="15" t="n">
        <f aca="false">+Q24*$R$2</f>
        <v>64970.88</v>
      </c>
      <c r="S24" s="15" t="n">
        <f aca="false">IF(F24&gt;0,$S$2/12,0)</f>
        <v>25833.3333333333</v>
      </c>
      <c r="T24" s="15" t="n">
        <f aca="false">J24-SUM(K24:S24)</f>
        <v>517590.129265886</v>
      </c>
      <c r="U24" s="15" t="n">
        <f aca="false">IF($F24&lt;0,0,IFERROR((U$2*$O$1)*($F24/SUM($F$5:$F$43)),0))</f>
        <v>24342.7283113843</v>
      </c>
      <c r="V24" s="15" t="n">
        <f aca="false">F24-F24*$I$3-K24-M24-N24-O24-P24-(F24-F24*$I$3)*$Q$2-((F24-F24*$I$3)*$Q$2)*$R$2-S24-U24</f>
        <v>493247.400954502</v>
      </c>
      <c r="W24" s="15" t="n">
        <f aca="false">T24-U24</f>
        <v>493247.400954502</v>
      </c>
      <c r="X24" s="15" t="n">
        <f aca="false">ROUND(W24-V24,9)</f>
        <v>0</v>
      </c>
    </row>
    <row r="25" customFormat="false" ht="14.4" hidden="false" customHeight="false" outlineLevel="0" collapsed="false">
      <c r="A25" s="12"/>
      <c r="B25" s="12"/>
      <c r="C25" s="13" t="n">
        <v>1</v>
      </c>
      <c r="D25" s="13" t="n">
        <v>1</v>
      </c>
      <c r="E25" s="13" t="s">
        <v>77</v>
      </c>
      <c r="F25" s="12" t="n">
        <f aca="false">VLOOKUP(E25,Ventas!C:H,5,0)</f>
        <v>827649.230769231</v>
      </c>
      <c r="G25" s="12" t="n">
        <f aca="false">IFERROR(VLOOKUP(A25,Modelos[],18,0),0)*F25/C25</f>
        <v>0</v>
      </c>
      <c r="H25" s="14" t="n">
        <f aca="false">SUM(F25:G25)</f>
        <v>827649.230769231</v>
      </c>
      <c r="I25" s="12" t="n">
        <f aca="false">H25*$I$3</f>
        <v>289677.230769231</v>
      </c>
      <c r="J25" s="12" t="n">
        <f aca="false">H25-I25</f>
        <v>537972</v>
      </c>
      <c r="K25" s="12" t="n">
        <f aca="false">Sup!$A$2*D25</f>
        <v>6775.44742838542</v>
      </c>
      <c r="L25" s="12" t="n">
        <f aca="false">IFERROR(VLOOKUP(A25,Modelos[],IF(B25="EST",15,14),0),0)/C25</f>
        <v>0</v>
      </c>
      <c r="M25" s="12" t="n">
        <f aca="false">IF($F25&lt;0,0,IFERROR((M$2*$O$1)*($F25/SUM($F$5:$F$43)),0))</f>
        <v>4788.66932975097</v>
      </c>
      <c r="N25" s="12" t="n">
        <f aca="false">IF($F25&lt;0,0,IFERROR((N$2*$O$1)*($F25/SUM($F$5:$F$43)),0))</f>
        <v>931.130147451577</v>
      </c>
      <c r="O25" s="12" t="n">
        <f aca="false">IF($F25&lt;0,0,IFERROR((O$2*$O$1)*($F25/SUM($F$5:$F$43)),0))</f>
        <v>4788.66932975097</v>
      </c>
      <c r="P25" s="12" t="n">
        <f aca="false">IF($F25&lt;0,0,IFERROR((P$2*$O$1)*($F25/SUM($F$5:$F$43)),0))</f>
        <v>6650.92962465412</v>
      </c>
      <c r="Q25" s="12" t="n">
        <f aca="false">J25*$Q$2</f>
        <v>215188.8</v>
      </c>
      <c r="R25" s="12" t="n">
        <f aca="false">+Q25*$R$2</f>
        <v>32278.32</v>
      </c>
      <c r="S25" s="12" t="n">
        <f aca="false">IF(F25&gt;0,$S$2/12,0)</f>
        <v>25833.3333333333</v>
      </c>
      <c r="T25" s="12" t="n">
        <f aca="false">J25-SUM(K25:S25)</f>
        <v>240736.700806674</v>
      </c>
      <c r="U25" s="12" t="n">
        <f aca="false">IF($F25&lt;0,0,IFERROR((U$2*$O$1)*($F25/SUM($F$5:$F$43)),0))</f>
        <v>12093.7622225206</v>
      </c>
      <c r="V25" s="12" t="n">
        <f aca="false">F25-F25*$I$3-K25-M25-N25-O25-P25-(F25-F25*$I$3)*$Q$2-((F25-F25*$I$3)*$Q$2)*$R$2-S25-U25</f>
        <v>228642.938584153</v>
      </c>
      <c r="W25" s="12" t="n">
        <f aca="false">T25-U25</f>
        <v>228642.938584153</v>
      </c>
      <c r="X25" s="12" t="n">
        <f aca="false">ROUND(W25-V25,9)</f>
        <v>0</v>
      </c>
    </row>
    <row r="26" customFormat="false" ht="14.4" hidden="false" customHeight="false" outlineLevel="0" collapsed="false">
      <c r="A26" s="15"/>
      <c r="B26" s="15"/>
      <c r="C26" s="16" t="n">
        <v>1</v>
      </c>
      <c r="D26" s="16" t="n">
        <v>1</v>
      </c>
      <c r="E26" s="16" t="s">
        <v>70</v>
      </c>
      <c r="F26" s="12" t="n">
        <f aca="false">VLOOKUP(E26,Ventas!C:H,5,0)</f>
        <v>1027076.92307692</v>
      </c>
      <c r="G26" s="15" t="n">
        <f aca="false">IFERROR(VLOOKUP(A26,Modelos[],18,0),0)*F26/C26</f>
        <v>0</v>
      </c>
      <c r="H26" s="17" t="n">
        <f aca="false">SUM(F26:G26)</f>
        <v>1027076.92307692</v>
      </c>
      <c r="I26" s="15" t="n">
        <f aca="false">H26*$I$3</f>
        <v>359476.923076923</v>
      </c>
      <c r="J26" s="15" t="n">
        <f aca="false">H26-I26</f>
        <v>667600</v>
      </c>
      <c r="K26" s="15" t="n">
        <f aca="false">Sup!$A$2*D26</f>
        <v>6775.44742838542</v>
      </c>
      <c r="L26" s="15" t="n">
        <f aca="false">IFERROR(VLOOKUP(A26,Modelos[],IF(B26="EST",15,14),0),0)/C26</f>
        <v>0</v>
      </c>
      <c r="M26" s="15" t="n">
        <f aca="false">IF($F26&lt;0,0,IFERROR((M$2*$O$1)*($F26/SUM($F$5:$F$43)),0))</f>
        <v>5942.53166436496</v>
      </c>
      <c r="N26" s="15" t="n">
        <f aca="false">IF($F26&lt;0,0,IFERROR((N$2*$O$1)*($F26/SUM($F$5:$F$43)),0))</f>
        <v>1155.49226807096</v>
      </c>
      <c r="O26" s="15" t="n">
        <f aca="false">IF($F26&lt;0,0,IFERROR((O$2*$O$1)*($F26/SUM($F$5:$F$43)),0))</f>
        <v>5942.53166436496</v>
      </c>
      <c r="P26" s="15" t="n">
        <f aca="false">IF($F26&lt;0,0,IFERROR((P$2*$O$1)*($F26/SUM($F$5:$F$43)),0))</f>
        <v>8253.51620050688</v>
      </c>
      <c r="Q26" s="15" t="n">
        <f aca="false">J26*$Q$2</f>
        <v>267040</v>
      </c>
      <c r="R26" s="15" t="n">
        <f aca="false">+Q26*$R$2</f>
        <v>40056</v>
      </c>
      <c r="S26" s="15" t="n">
        <f aca="false">IF(F26&gt;0,$S$2/12,0)</f>
        <v>25833.3333333333</v>
      </c>
      <c r="T26" s="15" t="n">
        <f aca="false">J26-SUM(K26:S26)</f>
        <v>306601.147440973</v>
      </c>
      <c r="U26" s="15" t="n">
        <f aca="false">IF($F26&lt;0,0,IFERROR((U$2*$O$1)*($F26/SUM($F$5:$F$43)),0))</f>
        <v>15007.836206633</v>
      </c>
      <c r="V26" s="15" t="n">
        <f aca="false">F26-F26*$I$3-K26-M26-N26-O26-P26-(F26-F26*$I$3)*$Q$2-((F26-F26*$I$3)*$Q$2)*$R$2-S26-U26</f>
        <v>291593.311234341</v>
      </c>
      <c r="W26" s="15" t="n">
        <f aca="false">T26-U26</f>
        <v>291593.31123434</v>
      </c>
      <c r="X26" s="15" t="n">
        <f aca="false">ROUND(W26-V26,9)</f>
        <v>0</v>
      </c>
    </row>
    <row r="27" customFormat="false" ht="14.4" hidden="false" customHeight="false" outlineLevel="0" collapsed="false">
      <c r="A27" s="12"/>
      <c r="B27" s="12"/>
      <c r="C27" s="13" t="n">
        <v>1</v>
      </c>
      <c r="D27" s="13" t="n">
        <v>1</v>
      </c>
      <c r="E27" s="13" t="s">
        <v>65</v>
      </c>
      <c r="F27" s="12" t="n">
        <f aca="false">VLOOKUP(E27,Ventas!C:H,5,0)</f>
        <v>1170487.69230769</v>
      </c>
      <c r="G27" s="12" t="n">
        <f aca="false">IFERROR(VLOOKUP(A27,Modelos[],18,0),0)*F27/C27</f>
        <v>0</v>
      </c>
      <c r="H27" s="14" t="n">
        <f aca="false">SUM(F27:G27)</f>
        <v>1170487.69230769</v>
      </c>
      <c r="I27" s="12" t="n">
        <f aca="false">H27*$I$3</f>
        <v>409670.692307692</v>
      </c>
      <c r="J27" s="12" t="n">
        <f aca="false">H27-I27</f>
        <v>760817</v>
      </c>
      <c r="K27" s="12" t="n">
        <f aca="false">Sup!$A$2*D27</f>
        <v>6775.44742838542</v>
      </c>
      <c r="L27" s="12" t="n">
        <f aca="false">IFERROR(VLOOKUP(A27,Modelos[],IF(B27="EST",15,14),0),0)/C27</f>
        <v>0</v>
      </c>
      <c r="M27" s="12" t="n">
        <f aca="false">IF($F27&lt;0,0,IFERROR((M$2*$O$1)*($F27/SUM($F$5:$F$43)),0))</f>
        <v>6772.28746747626</v>
      </c>
      <c r="N27" s="12" t="n">
        <f aca="false">IF($F27&lt;0,0,IFERROR((N$2*$O$1)*($F27/SUM($F$5:$F$43)),0))</f>
        <v>1316.8336742315</v>
      </c>
      <c r="O27" s="12" t="n">
        <f aca="false">IF($F27&lt;0,0,IFERROR((O$2*$O$1)*($F27/SUM($F$5:$F$43)),0))</f>
        <v>6772.28746747626</v>
      </c>
      <c r="P27" s="12" t="n">
        <f aca="false">IF($F27&lt;0,0,IFERROR((P$2*$O$1)*($F27/SUM($F$5:$F$43)),0))</f>
        <v>9405.95481593925</v>
      </c>
      <c r="Q27" s="12" t="n">
        <f aca="false">J27*$Q$2</f>
        <v>304326.8</v>
      </c>
      <c r="R27" s="12" t="n">
        <f aca="false">+Q27*$R$2</f>
        <v>45649.02</v>
      </c>
      <c r="S27" s="12" t="n">
        <f aca="false">IF(F27&gt;0,$S$2/12,0)</f>
        <v>25833.3333333333</v>
      </c>
      <c r="T27" s="12" t="n">
        <f aca="false">J27-SUM(K27:S27)</f>
        <v>353965.035813158</v>
      </c>
      <c r="U27" s="12" t="n">
        <f aca="false">IF($F27&lt;0,0,IFERROR((U$2*$O$1)*($F27/SUM($F$5:$F$43)),0))</f>
        <v>17103.3806459286</v>
      </c>
      <c r="V27" s="12" t="n">
        <f aca="false">F27-F27*$I$3-K27-M27-N27-O27-P27-(F27-F27*$I$3)*$Q$2-((F27-F27*$I$3)*$Q$2)*$R$2-S27-U27</f>
        <v>336861.655167229</v>
      </c>
      <c r="W27" s="12" t="n">
        <f aca="false">T27-U27</f>
        <v>336861.655167229</v>
      </c>
      <c r="X27" s="12" t="n">
        <f aca="false">ROUND(W27-V27,9)</f>
        <v>0</v>
      </c>
    </row>
    <row r="28" customFormat="false" ht="14.4" hidden="false" customHeight="false" outlineLevel="0" collapsed="false">
      <c r="A28" s="15"/>
      <c r="B28" s="15"/>
      <c r="C28" s="16" t="n">
        <v>1</v>
      </c>
      <c r="D28" s="16" t="n">
        <v>1</v>
      </c>
      <c r="E28" s="16" t="s">
        <v>66</v>
      </c>
      <c r="F28" s="12" t="n">
        <f aca="false">VLOOKUP(E28,Ventas!C:H,5,0)</f>
        <v>1122784.61538462</v>
      </c>
      <c r="G28" s="15" t="n">
        <f aca="false">IFERROR(VLOOKUP(A28,Modelos[],18,0),0)*F28/C28</f>
        <v>0</v>
      </c>
      <c r="H28" s="17" t="n">
        <f aca="false">SUM(F28:G28)</f>
        <v>1122784.61538462</v>
      </c>
      <c r="I28" s="15" t="n">
        <f aca="false">H28*$I$3</f>
        <v>392974.615384615</v>
      </c>
      <c r="J28" s="15" t="n">
        <f aca="false">H28-I28</f>
        <v>729810</v>
      </c>
      <c r="K28" s="15" t="n">
        <f aca="false">Sup!$A$2*D28</f>
        <v>6775.44742838542</v>
      </c>
      <c r="L28" s="15" t="n">
        <f aca="false">IFERROR(VLOOKUP(A28,Modelos[],IF(B28="EST",15,14),0),0)/C28</f>
        <v>0</v>
      </c>
      <c r="M28" s="15" t="n">
        <f aca="false">IF($F28&lt;0,0,IFERROR((M$2*$O$1)*($F28/SUM($F$5:$F$43)),0))</f>
        <v>6496.2837537001</v>
      </c>
      <c r="N28" s="15" t="n">
        <f aca="false">IF($F28&lt;0,0,IFERROR((N$2*$O$1)*($F28/SUM($F$5:$F$43)),0))</f>
        <v>1263.16628544169</v>
      </c>
      <c r="O28" s="15" t="n">
        <f aca="false">IF($F28&lt;0,0,IFERROR((O$2*$O$1)*($F28/SUM($F$5:$F$43)),0))</f>
        <v>6496.2837537001</v>
      </c>
      <c r="P28" s="15" t="n">
        <f aca="false">IF($F28&lt;0,0,IFERROR((P$2*$O$1)*($F28/SUM($F$5:$F$43)),0))</f>
        <v>9022.61632458347</v>
      </c>
      <c r="Q28" s="15" t="n">
        <f aca="false">J28*$Q$2</f>
        <v>291924</v>
      </c>
      <c r="R28" s="15" t="n">
        <f aca="false">+Q28*$R$2</f>
        <v>43788.6</v>
      </c>
      <c r="S28" s="15" t="n">
        <f aca="false">IF(F28&gt;0,$S$2/12,0)</f>
        <v>25833.3333333333</v>
      </c>
      <c r="T28" s="15" t="n">
        <f aca="false">J28-SUM(K28:S28)</f>
        <v>338210.269120856</v>
      </c>
      <c r="U28" s="15" t="n">
        <f aca="false">IF($F28&lt;0,0,IFERROR((U$2*$O$1)*($F28/SUM($F$5:$F$43)),0))</f>
        <v>16406.3345445819</v>
      </c>
      <c r="V28" s="15" t="n">
        <f aca="false">F28-F28*$I$3-K28-M28-N28-O28-P28-(F28-F28*$I$3)*$Q$2-((F28-F28*$I$3)*$Q$2)*$R$2-S28-U28</f>
        <v>321803.934576274</v>
      </c>
      <c r="W28" s="15" t="n">
        <f aca="false">T28-U28</f>
        <v>321803.934576274</v>
      </c>
      <c r="X28" s="15" t="n">
        <f aca="false">ROUND(W28-V28,9)</f>
        <v>0</v>
      </c>
    </row>
    <row r="29" customFormat="false" ht="14.4" hidden="false" customHeight="false" outlineLevel="0" collapsed="false">
      <c r="A29" s="12"/>
      <c r="B29" s="12"/>
      <c r="C29" s="13" t="n">
        <v>1</v>
      </c>
      <c r="D29" s="13" t="n">
        <v>1</v>
      </c>
      <c r="E29" s="13" t="s">
        <v>71</v>
      </c>
      <c r="F29" s="12" t="n">
        <f aca="false">VLOOKUP(E29,Ventas!C:H,5,0)</f>
        <v>977453.846153846</v>
      </c>
      <c r="G29" s="12" t="n">
        <f aca="false">IFERROR(VLOOKUP(A29,Modelos[],18,0),0)*F29/C29</f>
        <v>0</v>
      </c>
      <c r="H29" s="14" t="n">
        <f aca="false">SUM(F29:G29)</f>
        <v>977453.846153846</v>
      </c>
      <c r="I29" s="12" t="n">
        <f aca="false">H29*$I$3</f>
        <v>342108.846153846</v>
      </c>
      <c r="J29" s="12" t="n">
        <f aca="false">H29-I29</f>
        <v>635345</v>
      </c>
      <c r="K29" s="12" t="n">
        <f aca="false">Sup!$A$2*D29</f>
        <v>6775.44742838542</v>
      </c>
      <c r="L29" s="12" t="n">
        <f aca="false">IFERROR(VLOOKUP(A29,Modelos[],IF(B29="EST",15,14),0),0)/C29</f>
        <v>0</v>
      </c>
      <c r="M29" s="12" t="n">
        <f aca="false">IF($F29&lt;0,0,IFERROR((M$2*$O$1)*($F29/SUM($F$5:$F$43)),0))</f>
        <v>5655.41908372671</v>
      </c>
      <c r="N29" s="12" t="n">
        <f aca="false">IF($F29&lt;0,0,IFERROR((N$2*$O$1)*($F29/SUM($F$5:$F$43)),0))</f>
        <v>1099.66482183575</v>
      </c>
      <c r="O29" s="12" t="n">
        <f aca="false">IF($F29&lt;0,0,IFERROR((O$2*$O$1)*($F29/SUM($F$5:$F$43)),0))</f>
        <v>5655.41908372671</v>
      </c>
      <c r="P29" s="12" t="n">
        <f aca="false">IF($F29&lt;0,0,IFERROR((P$2*$O$1)*($F29/SUM($F$5:$F$43)),0))</f>
        <v>7854.74872739821</v>
      </c>
      <c r="Q29" s="12" t="n">
        <f aca="false">J29*$Q$2</f>
        <v>254138</v>
      </c>
      <c r="R29" s="12" t="n">
        <f aca="false">+Q29*$R$2</f>
        <v>38120.7</v>
      </c>
      <c r="S29" s="12" t="n">
        <f aca="false">IF(F29&gt;0,$S$2/12,0)</f>
        <v>25833.3333333333</v>
      </c>
      <c r="T29" s="12" t="n">
        <f aca="false">J29-SUM(K29:S29)</f>
        <v>290212.267521594</v>
      </c>
      <c r="U29" s="12" t="n">
        <f aca="false">IF($F29&lt;0,0,IFERROR((U$2*$O$1)*($F29/SUM($F$5:$F$43)),0))</f>
        <v>14282.7347134561</v>
      </c>
      <c r="V29" s="12" t="n">
        <f aca="false">F29-F29*$I$3-K29-M29-N29-O29-P29-(F29-F29*$I$3)*$Q$2-((F29-F29*$I$3)*$Q$2)*$R$2-S29-U29</f>
        <v>275929.532808138</v>
      </c>
      <c r="W29" s="12" t="n">
        <f aca="false">T29-U29</f>
        <v>275929.532808138</v>
      </c>
      <c r="X29" s="12" t="n">
        <f aca="false">ROUND(W29-V29,9)</f>
        <v>0</v>
      </c>
    </row>
    <row r="30" customFormat="false" ht="14.4" hidden="false" customHeight="false" outlineLevel="0" collapsed="false">
      <c r="A30" s="15"/>
      <c r="B30" s="15"/>
      <c r="C30" s="16" t="n">
        <v>1</v>
      </c>
      <c r="D30" s="16" t="n">
        <v>1</v>
      </c>
      <c r="E30" s="16" t="s">
        <v>69</v>
      </c>
      <c r="F30" s="12" t="n">
        <f aca="false">VLOOKUP(E30,Ventas!C:H,5,0)</f>
        <v>1106101.53846154</v>
      </c>
      <c r="G30" s="15" t="n">
        <f aca="false">IFERROR(VLOOKUP(A30,Modelos[],18,0),0)*F30/C30</f>
        <v>0</v>
      </c>
      <c r="H30" s="17" t="n">
        <f aca="false">SUM(F30:G30)</f>
        <v>1106101.53846154</v>
      </c>
      <c r="I30" s="15" t="n">
        <f aca="false">H30*$I$3</f>
        <v>387135.538461538</v>
      </c>
      <c r="J30" s="15" t="n">
        <f aca="false">H30-I30</f>
        <v>718966</v>
      </c>
      <c r="K30" s="15" t="n">
        <f aca="false">Sup!$A$2*D30</f>
        <v>6775.44742838542</v>
      </c>
      <c r="L30" s="15" t="n">
        <f aca="false">IFERROR(VLOOKUP(A30,Modelos[],IF(B30="EST",15,14),0),0)/C30</f>
        <v>0</v>
      </c>
      <c r="M30" s="15" t="n">
        <f aca="false">IF($F30&lt;0,0,IFERROR((M$2*$O$1)*($F30/SUM($F$5:$F$43)),0))</f>
        <v>6399.75767016449</v>
      </c>
      <c r="N30" s="15" t="n">
        <f aca="false">IF($F30&lt;0,0,IFERROR((N$2*$O$1)*($F30/SUM($F$5:$F$43)),0))</f>
        <v>1244.39732475421</v>
      </c>
      <c r="O30" s="15" t="n">
        <f aca="false">IF($F30&lt;0,0,IFERROR((O$2*$O$1)*($F30/SUM($F$5:$F$43)),0))</f>
        <v>6399.75767016449</v>
      </c>
      <c r="P30" s="15" t="n">
        <f aca="false">IF($F30&lt;0,0,IFERROR((P$2*$O$1)*($F30/SUM($F$5:$F$43)),0))</f>
        <v>8888.55231967291</v>
      </c>
      <c r="Q30" s="15" t="n">
        <f aca="false">J30*$Q$2</f>
        <v>287586.4</v>
      </c>
      <c r="R30" s="15" t="n">
        <f aca="false">+Q30*$R$2</f>
        <v>43137.96</v>
      </c>
      <c r="S30" s="15" t="n">
        <f aca="false">IF(F30&gt;0,$S$2/12,0)</f>
        <v>25833.3333333333</v>
      </c>
      <c r="T30" s="15" t="n">
        <f aca="false">J30-SUM(K30:S30)</f>
        <v>332700.394253525</v>
      </c>
      <c r="U30" s="15" t="n">
        <f aca="false">IF($F30&lt;0,0,IFERROR((U$2*$O$1)*($F30/SUM($F$5:$F$43)),0))</f>
        <v>16162.5583674927</v>
      </c>
      <c r="V30" s="15" t="n">
        <f aca="false">F30-F30*$I$3-K30-M30-N30-O30-P30-(F30-F30*$I$3)*$Q$2-((F30-F30*$I$3)*$Q$2)*$R$2-S30-U30</f>
        <v>316537.835886033</v>
      </c>
      <c r="W30" s="15" t="n">
        <f aca="false">T30-U30</f>
        <v>316537.835886032</v>
      </c>
      <c r="X30" s="15" t="n">
        <f aca="false">ROUND(W30-V30,9)</f>
        <v>0</v>
      </c>
    </row>
    <row r="31" customFormat="false" ht="14.4" hidden="false" customHeight="false" outlineLevel="0" collapsed="false">
      <c r="A31" s="12"/>
      <c r="B31" s="12"/>
      <c r="C31" s="13" t="n">
        <v>1</v>
      </c>
      <c r="D31" s="13" t="n">
        <v>1</v>
      </c>
      <c r="E31" s="13" t="s">
        <v>61</v>
      </c>
      <c r="F31" s="12" t="n">
        <f aca="false">VLOOKUP(E31,Ventas!C:H,5,0)</f>
        <v>1466126.15384615</v>
      </c>
      <c r="G31" s="12" t="n">
        <f aca="false">IFERROR(VLOOKUP(A31,Modelos[],18,0),0)*F31/C31</f>
        <v>0</v>
      </c>
      <c r="H31" s="14" t="n">
        <f aca="false">SUM(F31:G31)</f>
        <v>1466126.15384615</v>
      </c>
      <c r="I31" s="12" t="n">
        <f aca="false">H31*$I$3</f>
        <v>513144.153846154</v>
      </c>
      <c r="J31" s="12" t="n">
        <f aca="false">H31-I31</f>
        <v>952982</v>
      </c>
      <c r="K31" s="12" t="n">
        <f aca="false">Sup!$A$2*D31</f>
        <v>6775.44742838542</v>
      </c>
      <c r="L31" s="12" t="n">
        <f aca="false">IFERROR(VLOOKUP(A31,Modelos[],IF(B31="EST",15,14),0),0)/C31</f>
        <v>0</v>
      </c>
      <c r="M31" s="12" t="n">
        <f aca="false">IF($F31&lt;0,0,IFERROR((M$2*$O$1)*($F31/SUM($F$5:$F$43)),0))</f>
        <v>8482.81262817532</v>
      </c>
      <c r="N31" s="12" t="n">
        <f aca="false">IF($F31&lt;0,0,IFERROR((N$2*$O$1)*($F31/SUM($F$5:$F$43)),0))</f>
        <v>1649.43578881187</v>
      </c>
      <c r="O31" s="12" t="n">
        <f aca="false">IF($F31&lt;0,0,IFERROR((O$2*$O$1)*($F31/SUM($F$5:$F$43)),0))</f>
        <v>8482.81262817532</v>
      </c>
      <c r="P31" s="12" t="n">
        <f aca="false">IF($F31&lt;0,0,IFERROR((P$2*$O$1)*($F31/SUM($F$5:$F$43)),0))</f>
        <v>11781.6842057991</v>
      </c>
      <c r="Q31" s="12" t="n">
        <f aca="false">J31*$Q$2</f>
        <v>381192.8</v>
      </c>
      <c r="R31" s="12" t="n">
        <f aca="false">+Q31*$R$2</f>
        <v>57178.92</v>
      </c>
      <c r="S31" s="12" t="n">
        <f aca="false">IF(F31&gt;0,$S$2/12,0)</f>
        <v>25833.3333333333</v>
      </c>
      <c r="T31" s="12" t="n">
        <f aca="false">J31-SUM(K31:S31)</f>
        <v>451604.75398732</v>
      </c>
      <c r="U31" s="12" t="n">
        <f aca="false">IF($F31&lt;0,0,IFERROR((U$2*$O$1)*($F31/SUM($F$5:$F$43)),0))</f>
        <v>21423.3040201761</v>
      </c>
      <c r="V31" s="12" t="n">
        <f aca="false">F31-F31*$I$3-K31-M31-N31-O31-P31-(F31-F31*$I$3)*$Q$2-((F31-F31*$I$3)*$Q$2)*$R$2-S31-U31</f>
        <v>430181.449967144</v>
      </c>
      <c r="W31" s="12" t="n">
        <f aca="false">T31-U31</f>
        <v>430181.449967144</v>
      </c>
      <c r="X31" s="12" t="n">
        <f aca="false">ROUND(W31-V31,9)</f>
        <v>0</v>
      </c>
    </row>
    <row r="32" customFormat="false" ht="14.4" hidden="false" customHeight="false" outlineLevel="0" collapsed="false">
      <c r="A32" s="15"/>
      <c r="B32" s="15"/>
      <c r="C32" s="16" t="n">
        <v>1</v>
      </c>
      <c r="D32" s="16" t="n">
        <v>1</v>
      </c>
      <c r="E32" s="16" t="s">
        <v>78</v>
      </c>
      <c r="F32" s="12" t="n">
        <f aca="false">VLOOKUP(E32,Ventas!C:H,5,0)</f>
        <v>459901.538461538</v>
      </c>
      <c r="G32" s="15" t="n">
        <f aca="false">IFERROR(VLOOKUP(A32,Modelos[],18,0),0)*F32/C32</f>
        <v>0</v>
      </c>
      <c r="H32" s="17" t="n">
        <f aca="false">SUM(F32:G32)</f>
        <v>459901.538461538</v>
      </c>
      <c r="I32" s="15" t="n">
        <f aca="false">H32*$I$3</f>
        <v>160965.538461538</v>
      </c>
      <c r="J32" s="15" t="n">
        <f aca="false">H32-I32</f>
        <v>298936</v>
      </c>
      <c r="K32" s="15" t="n">
        <f aca="false">Sup!$A$2*D32</f>
        <v>6775.44742838542</v>
      </c>
      <c r="L32" s="15" t="n">
        <f aca="false">IFERROR(VLOOKUP(A32,Modelos[],IF(B32="EST",15,14),0),0)/C32</f>
        <v>0</v>
      </c>
      <c r="M32" s="15" t="n">
        <f aca="false">IF($F32&lt;0,0,IFERROR((M$2*$O$1)*($F32/SUM($F$5:$F$43)),0))</f>
        <v>2660.92966689425</v>
      </c>
      <c r="N32" s="15" t="n">
        <f aca="false">IF($F32&lt;0,0,IFERROR((N$2*$O$1)*($F32/SUM($F$5:$F$43)),0))</f>
        <v>517.402990784994</v>
      </c>
      <c r="O32" s="15" t="n">
        <f aca="false">IF($F32&lt;0,0,IFERROR((O$2*$O$1)*($F32/SUM($F$5:$F$43)),0))</f>
        <v>2660.92966689425</v>
      </c>
      <c r="P32" s="15" t="n">
        <f aca="false">IF($F32&lt;0,0,IFERROR((P$2*$O$1)*($F32/SUM($F$5:$F$43)),0))</f>
        <v>3695.73564846424</v>
      </c>
      <c r="Q32" s="15" t="n">
        <f aca="false">J32*$Q$2</f>
        <v>119574.4</v>
      </c>
      <c r="R32" s="15" t="n">
        <f aca="false">+Q32*$R$2</f>
        <v>17936.16</v>
      </c>
      <c r="S32" s="15" t="n">
        <f aca="false">IF(F32&gt;0,$S$2/12,0)</f>
        <v>25833.3333333333</v>
      </c>
      <c r="T32" s="15" t="n">
        <f aca="false">J32-SUM(K32:S32)</f>
        <v>119281.661265244</v>
      </c>
      <c r="U32" s="15" t="n">
        <f aca="false">IF($F32&lt;0,0,IFERROR((U$2*$O$1)*($F32/SUM($F$5:$F$43)),0))</f>
        <v>6720.1655546226</v>
      </c>
      <c r="V32" s="15" t="n">
        <f aca="false">F32-F32*$I$3-K32-M32-N32-O32-P32-(F32-F32*$I$3)*$Q$2-((F32-F32*$I$3)*$Q$2)*$R$2-S32-U32</f>
        <v>112561.495710621</v>
      </c>
      <c r="W32" s="15" t="n">
        <f aca="false">T32-U32</f>
        <v>112561.495710621</v>
      </c>
      <c r="X32" s="15" t="n">
        <f aca="false">ROUND(W32-V32,9)</f>
        <v>0</v>
      </c>
    </row>
    <row r="33" customFormat="false" ht="14.4" hidden="false" customHeight="false" outlineLevel="0" collapsed="false">
      <c r="A33" s="12"/>
      <c r="B33" s="12"/>
      <c r="C33" s="13" t="n">
        <v>1</v>
      </c>
      <c r="D33" s="13" t="n">
        <v>1</v>
      </c>
      <c r="E33" s="13" t="s">
        <v>79</v>
      </c>
      <c r="F33" s="12" t="n">
        <f aca="false">VLOOKUP(E33,Ventas!C:H,5,0)</f>
        <v>375944.615384615</v>
      </c>
      <c r="G33" s="12" t="n">
        <f aca="false">IFERROR(VLOOKUP(A33,Modelos[],18,0),0)*F33/C33</f>
        <v>0</v>
      </c>
      <c r="H33" s="14" t="n">
        <f aca="false">SUM(F33:G33)</f>
        <v>375944.615384615</v>
      </c>
      <c r="I33" s="12" t="n">
        <f aca="false">H33*$I$3</f>
        <v>131580.615384615</v>
      </c>
      <c r="J33" s="12" t="n">
        <f aca="false">H33-I33</f>
        <v>244364</v>
      </c>
      <c r="K33" s="12" t="n">
        <f aca="false">Sup!$A$2*D33</f>
        <v>6775.44742838542</v>
      </c>
      <c r="L33" s="12" t="n">
        <f aca="false">IFERROR(VLOOKUP(A33,Modelos[],IF(B33="EST",15,14),0),0)/C33</f>
        <v>0</v>
      </c>
      <c r="M33" s="12" t="n">
        <f aca="false">IF($F33&lt;0,0,IFERROR((M$2*$O$1)*($F33/SUM($F$5:$F$43)),0))</f>
        <v>2175.16597907561</v>
      </c>
      <c r="N33" s="12" t="n">
        <f aca="false">IF($F33&lt;0,0,IFERROR((N$2*$O$1)*($F33/SUM($F$5:$F$43)),0))</f>
        <v>422.948940375813</v>
      </c>
      <c r="O33" s="12" t="n">
        <f aca="false">IF($F33&lt;0,0,IFERROR((O$2*$O$1)*($F33/SUM($F$5:$F$43)),0))</f>
        <v>2175.16597907561</v>
      </c>
      <c r="P33" s="12" t="n">
        <f aca="false">IF($F33&lt;0,0,IFERROR((P$2*$O$1)*($F33/SUM($F$5:$F$43)),0))</f>
        <v>3021.06385982724</v>
      </c>
      <c r="Q33" s="12" t="n">
        <f aca="false">J33*$Q$2</f>
        <v>97745.6</v>
      </c>
      <c r="R33" s="12" t="n">
        <f aca="false">+Q33*$R$2</f>
        <v>14661.84</v>
      </c>
      <c r="S33" s="12" t="n">
        <f aca="false">IF(F33&gt;0,$S$2/12,0)</f>
        <v>25833.3333333333</v>
      </c>
      <c r="T33" s="12" t="n">
        <f aca="false">J33-SUM(K33:S33)</f>
        <v>91553.434479927</v>
      </c>
      <c r="U33" s="12" t="n">
        <f aca="false">IF($F33&lt;0,0,IFERROR((U$2*$O$1)*($F33/SUM($F$5:$F$43)),0))</f>
        <v>5493.37160994259</v>
      </c>
      <c r="V33" s="12" t="n">
        <f aca="false">F33-F33*$I$3-K33-M33-N33-O33-P33-(F33-F33*$I$3)*$Q$2-((F33-F33*$I$3)*$Q$2)*$R$2-S33-U33</f>
        <v>86060.0628699844</v>
      </c>
      <c r="W33" s="12" t="n">
        <f aca="false">T33-U33</f>
        <v>86060.0628699844</v>
      </c>
      <c r="X33" s="12" t="n">
        <f aca="false">ROUND(W33-V33,9)</f>
        <v>0</v>
      </c>
    </row>
    <row r="34" customFormat="false" ht="14.4" hidden="false" customHeight="false" outlineLevel="0" collapsed="false">
      <c r="A34" s="15"/>
      <c r="B34" s="15"/>
      <c r="C34" s="16" t="n">
        <v>1</v>
      </c>
      <c r="D34" s="16" t="n">
        <v>1</v>
      </c>
      <c r="E34" s="16" t="s">
        <v>72</v>
      </c>
      <c r="F34" s="12" t="n">
        <f aca="false">VLOOKUP(E34,Ventas!C:H,5,0)</f>
        <v>965001.538461538</v>
      </c>
      <c r="G34" s="15" t="n">
        <f aca="false">IFERROR(VLOOKUP(A34,Modelos[],18,0),0)*F34/C34</f>
        <v>0</v>
      </c>
      <c r="H34" s="17" t="n">
        <f aca="false">SUM(F34:G34)</f>
        <v>965001.538461538</v>
      </c>
      <c r="I34" s="15" t="n">
        <f aca="false">H34*$I$3</f>
        <v>337750.538461538</v>
      </c>
      <c r="J34" s="15" t="n">
        <f aca="false">H34-I34</f>
        <v>627251</v>
      </c>
      <c r="K34" s="15" t="n">
        <f aca="false">Sup!$A$2*D34</f>
        <v>6775.44742838542</v>
      </c>
      <c r="L34" s="15" t="n">
        <f aca="false">IFERROR(VLOOKUP(A34,Modelos[],IF(B34="EST",15,14),0),0)/C34</f>
        <v>0</v>
      </c>
      <c r="M34" s="15" t="n">
        <f aca="false">IF($F34&lt;0,0,IFERROR((M$2*$O$1)*($F34/SUM($F$5:$F$43)),0))</f>
        <v>5583.37167316444</v>
      </c>
      <c r="N34" s="15" t="n">
        <f aca="false">IF($F34&lt;0,0,IFERROR((N$2*$O$1)*($F34/SUM($F$5:$F$43)),0))</f>
        <v>1085.65560311531</v>
      </c>
      <c r="O34" s="15" t="n">
        <f aca="false">IF($F34&lt;0,0,IFERROR((O$2*$O$1)*($F34/SUM($F$5:$F$43)),0))</f>
        <v>5583.37167316444</v>
      </c>
      <c r="P34" s="15" t="n">
        <f aca="false">IF($F34&lt;0,0,IFERROR((P$2*$O$1)*($F34/SUM($F$5:$F$43)),0))</f>
        <v>7754.68287939506</v>
      </c>
      <c r="Q34" s="15" t="n">
        <f aca="false">J34*$Q$2</f>
        <v>250900.4</v>
      </c>
      <c r="R34" s="15" t="n">
        <f aca="false">+Q34*$R$2</f>
        <v>37635.06</v>
      </c>
      <c r="S34" s="15" t="n">
        <f aca="false">IF(F34&gt;0,$S$2/12,0)</f>
        <v>25833.3333333333</v>
      </c>
      <c r="T34" s="15" t="n">
        <f aca="false">J34-SUM(K34:S34)</f>
        <v>286099.677409442</v>
      </c>
      <c r="U34" s="15" t="n">
        <f aca="false">IF($F34&lt;0,0,IFERROR((U$2*$O$1)*($F34/SUM($F$5:$F$43)),0))</f>
        <v>14100.7793116339</v>
      </c>
      <c r="V34" s="15" t="n">
        <f aca="false">F34-F34*$I$3-K34-M34-N34-O34-P34-(F34-F34*$I$3)*$Q$2-((F34-F34*$I$3)*$Q$2)*$R$2-S34-U34</f>
        <v>271998.898097808</v>
      </c>
      <c r="W34" s="15" t="n">
        <f aca="false">T34-U34</f>
        <v>271998.898097808</v>
      </c>
      <c r="X34" s="15" t="n">
        <f aca="false">ROUND(W34-V34,9)</f>
        <v>0</v>
      </c>
    </row>
    <row r="35" customFormat="false" ht="14.4" hidden="false" customHeight="false" outlineLevel="0" collapsed="false">
      <c r="A35" s="12"/>
      <c r="B35" s="12"/>
      <c r="C35" s="13" t="n">
        <v>1</v>
      </c>
      <c r="D35" s="13" t="n">
        <v>1</v>
      </c>
      <c r="E35" s="13" t="s">
        <v>75</v>
      </c>
      <c r="F35" s="12" t="n">
        <f aca="false">VLOOKUP(E35,Ventas!C:H,5,0)</f>
        <v>850635.384615385</v>
      </c>
      <c r="G35" s="12" t="n">
        <f aca="false">IFERROR(VLOOKUP(A35,Modelos[],18,0),0)*F35/C35</f>
        <v>0</v>
      </c>
      <c r="H35" s="14" t="n">
        <f aca="false">SUM(F35:G35)</f>
        <v>850635.384615385</v>
      </c>
      <c r="I35" s="12" t="n">
        <f aca="false">H35*$I$3</f>
        <v>297722.384615385</v>
      </c>
      <c r="J35" s="12" t="n">
        <f aca="false">H35-I35</f>
        <v>552913</v>
      </c>
      <c r="K35" s="12" t="n">
        <f aca="false">Sup!$A$2*D35</f>
        <v>6775.44742838542</v>
      </c>
      <c r="L35" s="12" t="n">
        <f aca="false">IFERROR(VLOOKUP(A35,Modelos[],IF(B35="EST",15,14),0),0)/C35</f>
        <v>0</v>
      </c>
      <c r="M35" s="12" t="n">
        <f aca="false">IF($F35&lt;0,0,IFERROR((M$2*$O$1)*($F35/SUM($F$5:$F$43)),0))</f>
        <v>4921.66418534904</v>
      </c>
      <c r="N35" s="12" t="n">
        <f aca="false">IF($F35&lt;0,0,IFERROR((N$2*$O$1)*($F35/SUM($F$5:$F$43)),0))</f>
        <v>956.990258262314</v>
      </c>
      <c r="O35" s="12" t="n">
        <f aca="false">IF($F35&lt;0,0,IFERROR((O$2*$O$1)*($F35/SUM($F$5:$F$43)),0))</f>
        <v>4921.66418534904</v>
      </c>
      <c r="P35" s="12" t="n">
        <f aca="false">IF($F35&lt;0,0,IFERROR((P$2*$O$1)*($F35/SUM($F$5:$F$43)),0))</f>
        <v>6835.64470187367</v>
      </c>
      <c r="Q35" s="12" t="n">
        <f aca="false">J35*$Q$2</f>
        <v>221165.2</v>
      </c>
      <c r="R35" s="12" t="n">
        <f aca="false">+Q35*$R$2</f>
        <v>33174.78</v>
      </c>
      <c r="S35" s="12" t="n">
        <f aca="false">IF(F35&gt;0,$S$2/12,0)</f>
        <v>25833.3333333333</v>
      </c>
      <c r="T35" s="12" t="n">
        <f aca="false">J35-SUM(K35:S35)</f>
        <v>248328.275907447</v>
      </c>
      <c r="U35" s="12" t="n">
        <f aca="false">IF($F35&lt;0,0,IFERROR((U$2*$O$1)*($F35/SUM($F$5:$F$43)),0))</f>
        <v>12429.6401146167</v>
      </c>
      <c r="V35" s="12" t="n">
        <f aca="false">F35-F35*$I$3-K35-M35-N35-O35-P35-(F35-F35*$I$3)*$Q$2-((F35-F35*$I$3)*$Q$2)*$R$2-S35-U35</f>
        <v>235898.635792831</v>
      </c>
      <c r="W35" s="12" t="n">
        <f aca="false">T35-U35</f>
        <v>235898.635792831</v>
      </c>
      <c r="X35" s="12" t="n">
        <f aca="false">ROUND(W35-V35,9)</f>
        <v>0</v>
      </c>
    </row>
    <row r="36" customFormat="false" ht="14.4" hidden="false" customHeight="false" outlineLevel="0" collapsed="false">
      <c r="A36" s="15"/>
      <c r="B36" s="15"/>
      <c r="C36" s="16" t="n">
        <v>1</v>
      </c>
      <c r="D36" s="16" t="n">
        <v>1</v>
      </c>
      <c r="E36" s="16" t="s">
        <v>80</v>
      </c>
      <c r="F36" s="12" t="n">
        <f aca="false">VLOOKUP(E36,Ventas!C:H,5,0)</f>
        <v>61570.7692307692</v>
      </c>
      <c r="G36" s="15" t="n">
        <f aca="false">IFERROR(VLOOKUP(A36,Modelos[],18,0),0)*F36/C36</f>
        <v>0</v>
      </c>
      <c r="H36" s="17" t="n">
        <f aca="false">SUM(F36:G36)</f>
        <v>61570.7692307692</v>
      </c>
      <c r="I36" s="15" t="n">
        <f aca="false">H36*$I$3</f>
        <v>21549.7692307692</v>
      </c>
      <c r="J36" s="15" t="n">
        <f aca="false">H36-I36</f>
        <v>40021</v>
      </c>
      <c r="K36" s="15" t="n">
        <f aca="false">Sup!$A$2*D36</f>
        <v>6775.44742838542</v>
      </c>
      <c r="L36" s="15" t="n">
        <f aca="false">IFERROR(VLOOKUP(A36,Modelos[],IF(B36="EST",15,14),0),0)/C36</f>
        <v>0</v>
      </c>
      <c r="M36" s="15" t="n">
        <f aca="false">IF($F36&lt;0,0,IFERROR((M$2*$O$1)*($F36/SUM($F$5:$F$43)),0))</f>
        <v>356.240353114964</v>
      </c>
      <c r="N36" s="15" t="n">
        <f aca="false">IF($F36&lt;0,0,IFERROR((N$2*$O$1)*($F36/SUM($F$5:$F$43)),0))</f>
        <v>69.2689575501319</v>
      </c>
      <c r="O36" s="15" t="n">
        <f aca="false">IF($F36&lt;0,0,IFERROR((O$2*$O$1)*($F36/SUM($F$5:$F$43)),0))</f>
        <v>356.240353114964</v>
      </c>
      <c r="P36" s="15" t="n">
        <f aca="false">IF($F36&lt;0,0,IFERROR((P$2*$O$1)*($F36/SUM($F$5:$F$43)),0))</f>
        <v>494.778268215228</v>
      </c>
      <c r="Q36" s="15" t="n">
        <f aca="false">J36*$Q$2</f>
        <v>16008.4</v>
      </c>
      <c r="R36" s="15" t="n">
        <f aca="false">+Q36*$R$2</f>
        <v>2401.26</v>
      </c>
      <c r="S36" s="15" t="n">
        <f aca="false">IF(F36&gt;0,$S$2/12,0)</f>
        <v>25833.3333333333</v>
      </c>
      <c r="T36" s="15" t="n">
        <f aca="false">J36-SUM(K36:S36)</f>
        <v>-12273.968693714</v>
      </c>
      <c r="U36" s="15" t="n">
        <f aca="false">IF($F36&lt;0,0,IFERROR((U$2*$O$1)*($F36/SUM($F$5:$F$43)),0))</f>
        <v>899.683362530947</v>
      </c>
      <c r="V36" s="15" t="n">
        <f aca="false">F36-F36*$I$3-K36-M36-N36-O36-P36-(F36-F36*$I$3)*$Q$2-((F36-F36*$I$3)*$Q$2)*$R$2-S36-U36</f>
        <v>-13173.652056245</v>
      </c>
      <c r="W36" s="15" t="n">
        <f aca="false">T36-U36</f>
        <v>-13173.652056245</v>
      </c>
      <c r="X36" s="15" t="n">
        <f aca="false">ROUND(W36-V36,9)</f>
        <v>0</v>
      </c>
    </row>
    <row r="37" customFormat="false" ht="14.4" hidden="false" customHeight="false" outlineLevel="0" collapsed="false">
      <c r="A37" s="12"/>
      <c r="B37" s="12"/>
      <c r="C37" s="13" t="n">
        <v>1</v>
      </c>
      <c r="D37" s="13" t="n">
        <v>1</v>
      </c>
      <c r="E37" s="13" t="s">
        <v>81</v>
      </c>
      <c r="F37" s="12" t="n">
        <f aca="false">VLOOKUP(E37,Ventas!C:H,5,0)</f>
        <v>27861.5384615385</v>
      </c>
      <c r="G37" s="12" t="n">
        <f aca="false">IFERROR(VLOOKUP(A37,Modelos[],18,0),0)*F37/C37</f>
        <v>0</v>
      </c>
      <c r="H37" s="14" t="n">
        <f aca="false">SUM(F37:G37)</f>
        <v>27861.5384615385</v>
      </c>
      <c r="I37" s="12" t="n">
        <f aca="false">H37*$I$3</f>
        <v>9751.53846153846</v>
      </c>
      <c r="J37" s="12" t="n">
        <f aca="false">H37-I37</f>
        <v>18110</v>
      </c>
      <c r="K37" s="12" t="n">
        <f aca="false">Sup!$A$2*D37</f>
        <v>6775.44742838542</v>
      </c>
      <c r="L37" s="12" t="n">
        <f aca="false">IFERROR(VLOOKUP(A37,Modelos[],IF(B37="EST",15,14),0),0)/C37</f>
        <v>0</v>
      </c>
      <c r="M37" s="12" t="n">
        <f aca="false">IF($F37&lt;0,0,IFERROR((M$2*$O$1)*($F37/SUM($F$5:$F$43)),0))</f>
        <v>161.203188198995</v>
      </c>
      <c r="N37" s="12" t="n">
        <f aca="false">IF($F37&lt;0,0,IFERROR((N$2*$O$1)*($F37/SUM($F$5:$F$43)),0))</f>
        <v>31.3450643720269</v>
      </c>
      <c r="O37" s="12" t="n">
        <f aca="false">IF($F37&lt;0,0,IFERROR((O$2*$O$1)*($F37/SUM($F$5:$F$43)),0))</f>
        <v>161.203188198995</v>
      </c>
      <c r="P37" s="12" t="n">
        <f aca="false">IF($F37&lt;0,0,IFERROR((P$2*$O$1)*($F37/SUM($F$5:$F$43)),0))</f>
        <v>223.893316943049</v>
      </c>
      <c r="Q37" s="12" t="n">
        <f aca="false">J37*$Q$2</f>
        <v>7244</v>
      </c>
      <c r="R37" s="12" t="n">
        <f aca="false">+Q37*$R$2</f>
        <v>1086.6</v>
      </c>
      <c r="S37" s="12" t="n">
        <f aca="false">IF(F37&gt;0,$S$2/12,0)</f>
        <v>25833.3333333333</v>
      </c>
      <c r="T37" s="12" t="n">
        <f aca="false">J37-SUM(K37:S37)</f>
        <v>-23407.0255194318</v>
      </c>
      <c r="U37" s="12" t="n">
        <f aca="false">IF($F37&lt;0,0,IFERROR((U$2*$O$1)*($F37/SUM($F$5:$F$43)),0))</f>
        <v>407.117905485507</v>
      </c>
      <c r="V37" s="12" t="n">
        <f aca="false">F37-F37*$I$3-K37-M37-N37-O37-P37-(F37-F37*$I$3)*$Q$2-((F37-F37*$I$3)*$Q$2)*$R$2-S37-U37</f>
        <v>-23814.1434249173</v>
      </c>
      <c r="W37" s="12" t="n">
        <f aca="false">T37-U37</f>
        <v>-23814.1434249173</v>
      </c>
      <c r="X37" s="12" t="n">
        <f aca="false">ROUND(W37-V37,9)</f>
        <v>0</v>
      </c>
    </row>
    <row r="38" customFormat="false" ht="14.4" hidden="false" customHeight="false" outlineLevel="0" collapsed="false">
      <c r="A38" s="15"/>
      <c r="B38" s="15"/>
      <c r="C38" s="16" t="n">
        <v>1</v>
      </c>
      <c r="D38" s="16" t="n">
        <v>1</v>
      </c>
      <c r="E38" s="16" t="s">
        <v>156</v>
      </c>
      <c r="F38" s="12" t="n">
        <f aca="false">VLOOKUP(E38,Ventas!C:H,5,0)</f>
        <v>1681.53846153846</v>
      </c>
      <c r="G38" s="15" t="n">
        <f aca="false">IFERROR(VLOOKUP(A38,Modelos[],18,0),0)*F38/C38</f>
        <v>0</v>
      </c>
      <c r="H38" s="17" t="n">
        <f aca="false">SUM(F38:G38)</f>
        <v>1681.53846153846</v>
      </c>
      <c r="I38" s="15" t="n">
        <f aca="false">H38*$I$3</f>
        <v>588.538461538462</v>
      </c>
      <c r="J38" s="15" t="n">
        <f aca="false">H38-I38</f>
        <v>1093</v>
      </c>
      <c r="K38" s="15" t="n">
        <f aca="false">Sup!$A$2*D38</f>
        <v>6775.44742838542</v>
      </c>
      <c r="L38" s="15" t="n">
        <f aca="false">IFERROR(VLOOKUP(A38,Modelos[],IF(B38="EST",15,14),0),0)/C38</f>
        <v>0</v>
      </c>
      <c r="M38" s="15" t="n">
        <f aca="false">IF($F38&lt;0,0,IFERROR((M$2*$O$1)*($F38/SUM($F$5:$F$43)),0))</f>
        <v>9.72915983995041</v>
      </c>
      <c r="N38" s="15" t="n">
        <f aca="false">IF($F38&lt;0,0,IFERROR((N$2*$O$1)*($F38/SUM($F$5:$F$43)),0))</f>
        <v>1.89178107999036</v>
      </c>
      <c r="O38" s="15" t="n">
        <f aca="false">IF($F38&lt;0,0,IFERROR((O$2*$O$1)*($F38/SUM($F$5:$F$43)),0))</f>
        <v>9.72915983995041</v>
      </c>
      <c r="P38" s="15" t="n">
        <f aca="false">IF($F38&lt;0,0,IFERROR((P$2*$O$1)*($F38/SUM($F$5:$F$43)),0))</f>
        <v>13.5127219999311</v>
      </c>
      <c r="Q38" s="15" t="n">
        <f aca="false">J38*$Q$2</f>
        <v>437.2</v>
      </c>
      <c r="R38" s="15" t="n">
        <f aca="false">+Q38*$R$2</f>
        <v>65.58</v>
      </c>
      <c r="S38" s="15" t="n">
        <f aca="false">IF(F38&gt;0,$S$2/12,0)</f>
        <v>25833.3333333333</v>
      </c>
      <c r="T38" s="15" t="n">
        <f aca="false">J38-SUM(K38:S38)</f>
        <v>-32053.4235844786</v>
      </c>
      <c r="U38" s="15" t="n">
        <f aca="false">IF($F38&lt;0,0,IFERROR((U$2*$O$1)*($F38/SUM($F$5:$F$43)),0))</f>
        <v>24.5709481333881</v>
      </c>
      <c r="V38" s="15" t="n">
        <f aca="false">F38-F38*$I$3-K38-M38-N38-O38-P38-(F38-F38*$I$3)*$Q$2-((F38-F38*$I$3)*$Q$2)*$R$2-S38-U38</f>
        <v>-32077.994532612</v>
      </c>
      <c r="W38" s="15" t="n">
        <f aca="false">T38-U38</f>
        <v>-32077.994532612</v>
      </c>
      <c r="X38" s="15" t="n">
        <f aca="false">ROUND(W38-V38,9)</f>
        <v>0</v>
      </c>
    </row>
    <row r="39" customFormat="false" ht="14.4" hidden="false" customHeight="false" outlineLevel="0" collapsed="false">
      <c r="A39" s="12"/>
      <c r="B39" s="12"/>
      <c r="C39" s="13" t="n">
        <v>1</v>
      </c>
      <c r="D39" s="13"/>
      <c r="E39" s="13" t="s">
        <v>157</v>
      </c>
      <c r="F39" s="12" t="n">
        <v>0</v>
      </c>
      <c r="G39" s="12" t="n">
        <f aca="false">IFERROR(VLOOKUP(A39,Modelos[],18,0),0)*F39/C39</f>
        <v>0</v>
      </c>
      <c r="H39" s="14" t="n">
        <f aca="false">SUM(F39:G39)</f>
        <v>0</v>
      </c>
      <c r="I39" s="12" t="n">
        <f aca="false">H39*$I$3</f>
        <v>0</v>
      </c>
      <c r="J39" s="12" t="n">
        <f aca="false">H39-I39</f>
        <v>0</v>
      </c>
      <c r="K39" s="12" t="n">
        <f aca="false">Sup!$A$2*D39</f>
        <v>0</v>
      </c>
      <c r="L39" s="12" t="n">
        <f aca="false">IFERROR(VLOOKUP(A39,Modelos[],IF(B39="EST",15,14),0),0)/C39</f>
        <v>0</v>
      </c>
      <c r="M39" s="12" t="n">
        <f aca="false">IF($F39&lt;0,0,IFERROR((M$2*$O$1)*($F39/SUM($F$5:$F$43)),0))</f>
        <v>0</v>
      </c>
      <c r="N39" s="12" t="n">
        <f aca="false">IF($F39&lt;0,0,IFERROR((N$2*$O$1)*($F39/SUM($F$5:$F$43)),0))</f>
        <v>0</v>
      </c>
      <c r="O39" s="12" t="n">
        <f aca="false">IF($F39&lt;0,0,IFERROR((O$2*$O$1)*($F39/SUM($F$5:$F$43)),0))</f>
        <v>0</v>
      </c>
      <c r="P39" s="12" t="n">
        <f aca="false">IF($F39&lt;0,0,IFERROR((P$2*$O$1)*($F39/SUM($F$5:$F$43)),0))</f>
        <v>0</v>
      </c>
      <c r="Q39" s="12" t="n">
        <f aca="false">J39*$Q$2</f>
        <v>0</v>
      </c>
      <c r="R39" s="12" t="n">
        <f aca="false">+Q39*$R$2</f>
        <v>0</v>
      </c>
      <c r="S39" s="12" t="n">
        <f aca="false">IF(F39&gt;0,$S$2/12,0)</f>
        <v>0</v>
      </c>
      <c r="T39" s="12" t="n">
        <f aca="false">J39-SUM(K39:S39)</f>
        <v>0</v>
      </c>
      <c r="U39" s="12" t="n">
        <f aca="false">IF($F39&lt;0,0,IFERROR((U$2*$O$1)*($F39/SUM($F$5:$F$43)),0))</f>
        <v>0</v>
      </c>
      <c r="V39" s="12" t="n">
        <f aca="false">F39-F39*$I$3-K39-M39-N39-O39-P39-(F39-F39*$I$3)*$Q$2-((F39-F39*$I$3)*$Q$2)*$R$2-S39-U39</f>
        <v>0</v>
      </c>
      <c r="W39" s="12" t="n">
        <f aca="false">T39-U39</f>
        <v>0</v>
      </c>
      <c r="X39" s="12" t="n">
        <f aca="false">ROUND(W39-V39,9)</f>
        <v>0</v>
      </c>
    </row>
    <row r="40" customFormat="false" ht="14.4" hidden="false" customHeight="false" outlineLevel="0" collapsed="false">
      <c r="A40" s="15"/>
      <c r="B40" s="15"/>
      <c r="C40" s="16" t="n">
        <v>1</v>
      </c>
      <c r="D40" s="16"/>
      <c r="E40" s="16" t="s">
        <v>158</v>
      </c>
      <c r="F40" s="12" t="n">
        <f aca="false">VLOOKUP(E40,Ventas!C:H,5,0)</f>
        <v>-6713.84615384615</v>
      </c>
      <c r="G40" s="15" t="n">
        <f aca="false">IFERROR(VLOOKUP(A40,Modelos[],18,0),0)*F40/C40</f>
        <v>0</v>
      </c>
      <c r="H40" s="17" t="n">
        <f aca="false">SUM(F40:G40)</f>
        <v>-6713.84615384615</v>
      </c>
      <c r="I40" s="15" t="n">
        <f aca="false">H40*$I$3</f>
        <v>-2349.84615384615</v>
      </c>
      <c r="J40" s="15" t="n">
        <f aca="false">H40-I40</f>
        <v>-4364</v>
      </c>
      <c r="K40" s="15" t="n">
        <f aca="false">Sup!$A$2*D40</f>
        <v>0</v>
      </c>
      <c r="L40" s="15" t="n">
        <f aca="false">IFERROR(VLOOKUP(A40,Modelos[],IF(B40="EST",15,14),0),0)/C40</f>
        <v>0</v>
      </c>
      <c r="M40" s="15" t="n">
        <f aca="false">IF($F40&lt;0,0,IFERROR((M$2*$O$1)*($F40/SUM($F$5:$F$43)),0))</f>
        <v>0</v>
      </c>
      <c r="N40" s="15" t="n">
        <f aca="false">IF($F40&lt;0,0,IFERROR((N$2*$O$1)*($F40/SUM($F$5:$F$43)),0))</f>
        <v>0</v>
      </c>
      <c r="O40" s="15" t="n">
        <f aca="false">IF($F40&lt;0,0,IFERROR((O$2*$O$1)*($F40/SUM($F$5:$F$43)),0))</f>
        <v>0</v>
      </c>
      <c r="P40" s="15" t="n">
        <f aca="false">IF($F40&lt;0,0,IFERROR((P$2*$O$1)*($F40/SUM($F$5:$F$43)),0))</f>
        <v>0</v>
      </c>
      <c r="Q40" s="15" t="n">
        <f aca="false">J40*$Q$2</f>
        <v>-1745.6</v>
      </c>
      <c r="R40" s="15" t="n">
        <f aca="false">+Q40*$R$2</f>
        <v>-261.84</v>
      </c>
      <c r="S40" s="15" t="n">
        <f aca="false">IF(F40&gt;0,$S$2/12,0)</f>
        <v>0</v>
      </c>
      <c r="T40" s="15" t="n">
        <f aca="false">J40-SUM(K40:S40)</f>
        <v>-2356.56</v>
      </c>
      <c r="U40" s="15" t="n">
        <f aca="false">IF($F40&lt;0,0,IFERROR((U$2*$O$1)*($F40/SUM($F$5:$F$43)),0))</f>
        <v>0</v>
      </c>
      <c r="V40" s="15" t="n">
        <f aca="false">F40-F40*$I$3-K40-M40-N40-O40-P40-(F40-F40*$I$3)*$Q$2-((F40-F40*$I$3)*$Q$2)*$R$2-S40-U40</f>
        <v>-2356.56</v>
      </c>
      <c r="W40" s="15" t="n">
        <f aca="false">T40-U40</f>
        <v>-2356.56</v>
      </c>
      <c r="X40" s="15" t="n">
        <f aca="false">ROUND(W40-V40,9)</f>
        <v>0</v>
      </c>
    </row>
    <row r="41" customFormat="false" ht="14.4" hidden="false" customHeight="false" outlineLevel="0" collapsed="false">
      <c r="A41" s="12"/>
      <c r="B41" s="12"/>
      <c r="C41" s="13" t="n">
        <v>1</v>
      </c>
      <c r="D41" s="13"/>
      <c r="E41" s="13" t="s">
        <v>159</v>
      </c>
      <c r="F41" s="12" t="n">
        <v>0</v>
      </c>
      <c r="G41" s="12" t="n">
        <f aca="false">IFERROR(VLOOKUP(A41,Modelos[],18,0),0)*F41/C41</f>
        <v>0</v>
      </c>
      <c r="H41" s="14" t="n">
        <f aca="false">SUM(F41:G41)</f>
        <v>0</v>
      </c>
      <c r="I41" s="12" t="n">
        <f aca="false">H41*$I$3</f>
        <v>0</v>
      </c>
      <c r="J41" s="12" t="n">
        <f aca="false">H41-I41</f>
        <v>0</v>
      </c>
      <c r="K41" s="12" t="n">
        <f aca="false">Sup!$A$2*D41</f>
        <v>0</v>
      </c>
      <c r="L41" s="12" t="n">
        <f aca="false">IFERROR(VLOOKUP(A41,Modelos[],IF(B41="EST",15,14),0),0)/C41</f>
        <v>0</v>
      </c>
      <c r="M41" s="12" t="n">
        <f aca="false">IF($F41&lt;0,0,IFERROR((M$2*$O$1)*($F41/SUM($F$5:$F$43)),0))</f>
        <v>0</v>
      </c>
      <c r="N41" s="12" t="n">
        <f aca="false">IF($F41&lt;0,0,IFERROR((N$2*$O$1)*($F41/SUM($F$5:$F$43)),0))</f>
        <v>0</v>
      </c>
      <c r="O41" s="12" t="n">
        <f aca="false">IF($F41&lt;0,0,IFERROR((O$2*$O$1)*($F41/SUM($F$5:$F$43)),0))</f>
        <v>0</v>
      </c>
      <c r="P41" s="12" t="n">
        <f aca="false">IF($F41&lt;0,0,IFERROR((P$2*$O$1)*($F41/SUM($F$5:$F$43)),0))</f>
        <v>0</v>
      </c>
      <c r="Q41" s="12" t="n">
        <f aca="false">J41*$Q$2</f>
        <v>0</v>
      </c>
      <c r="R41" s="12" t="n">
        <f aca="false">+Q41*$R$2</f>
        <v>0</v>
      </c>
      <c r="S41" s="12" t="n">
        <f aca="false">IF(F41&gt;0,$S$2/12,0)</f>
        <v>0</v>
      </c>
      <c r="T41" s="12" t="n">
        <f aca="false">J41-SUM(K41:S41)</f>
        <v>0</v>
      </c>
      <c r="U41" s="12" t="n">
        <f aca="false">IF($F41&lt;0,0,IFERROR((U$2*$O$1)*($F41/SUM($F$5:$F$43)),0))</f>
        <v>0</v>
      </c>
      <c r="V41" s="12" t="n">
        <f aca="false">F41-F41*$I$3-K41-M41-N41-O41-P41-(F41-F41*$I$3)*$Q$2-((F41-F41*$I$3)*$Q$2)*$R$2-S41-U41</f>
        <v>0</v>
      </c>
      <c r="W41" s="12" t="n">
        <f aca="false">T41-U41</f>
        <v>0</v>
      </c>
      <c r="X41" s="12" t="n">
        <f aca="false">ROUND(W41-V41,9)</f>
        <v>0</v>
      </c>
    </row>
    <row r="42" customFormat="false" ht="14.4" hidden="false" customHeight="false" outlineLevel="0" collapsed="false">
      <c r="A42" s="15"/>
      <c r="B42" s="15"/>
      <c r="C42" s="16" t="n">
        <v>1</v>
      </c>
      <c r="D42" s="16"/>
      <c r="E42" s="16" t="s">
        <v>160</v>
      </c>
      <c r="F42" s="12" t="n">
        <v>0</v>
      </c>
      <c r="G42" s="15" t="n">
        <f aca="false">IFERROR(VLOOKUP(A42,Modelos[],18,0),0)*F42/C42</f>
        <v>0</v>
      </c>
      <c r="H42" s="17" t="n">
        <f aca="false">SUM(F42:G42)</f>
        <v>0</v>
      </c>
      <c r="I42" s="15" t="n">
        <f aca="false">H42*$I$3</f>
        <v>0</v>
      </c>
      <c r="J42" s="15" t="n">
        <f aca="false">H42-I42</f>
        <v>0</v>
      </c>
      <c r="K42" s="15" t="n">
        <f aca="false">Sup!$A$2*D42</f>
        <v>0</v>
      </c>
      <c r="L42" s="15" t="n">
        <f aca="false">IFERROR(VLOOKUP(A42,Modelos[],IF(B42="EST",15,14),0),0)/C42</f>
        <v>0</v>
      </c>
      <c r="M42" s="15" t="n">
        <f aca="false">IF($F42&lt;0,0,IFERROR((M$2*$O$1)*($F42/SUM($F$5:$F$43)),0))</f>
        <v>0</v>
      </c>
      <c r="N42" s="15" t="n">
        <f aca="false">IF($F42&lt;0,0,IFERROR((N$2*$O$1)*($F42/SUM($F$5:$F$43)),0))</f>
        <v>0</v>
      </c>
      <c r="O42" s="15" t="n">
        <f aca="false">IF($F42&lt;0,0,IFERROR((O$2*$O$1)*($F42/SUM($F$5:$F$43)),0))</f>
        <v>0</v>
      </c>
      <c r="P42" s="15" t="n">
        <f aca="false">IF($F42&lt;0,0,IFERROR((P$2*$O$1)*($F42/SUM($F$5:$F$43)),0))</f>
        <v>0</v>
      </c>
      <c r="Q42" s="15" t="n">
        <f aca="false">J42*$Q$2</f>
        <v>0</v>
      </c>
      <c r="R42" s="15" t="n">
        <f aca="false">+Q42*$R$2</f>
        <v>0</v>
      </c>
      <c r="S42" s="15" t="n">
        <f aca="false">IF(F42&gt;0,$S$2/12,0)</f>
        <v>0</v>
      </c>
      <c r="T42" s="15" t="n">
        <f aca="false">J42-SUM(K42:S42)</f>
        <v>0</v>
      </c>
      <c r="U42" s="15" t="n">
        <f aca="false">IF($F42&lt;0,0,IFERROR((U$2*$O$1)*($F42/SUM($F$5:$F$43)),0))</f>
        <v>0</v>
      </c>
      <c r="V42" s="15" t="n">
        <f aca="false">F42-F42*$I$3-K42-M42-N42-O42-P42-(F42-F42*$I$3)*$Q$2-((F42-F42*$I$3)*$Q$2)*$R$2-S42-U42</f>
        <v>0</v>
      </c>
      <c r="W42" s="15" t="n">
        <f aca="false">T42-U42</f>
        <v>0</v>
      </c>
      <c r="X42" s="15" t="n">
        <f aca="false">ROUND(W42-V42,9)</f>
        <v>0</v>
      </c>
    </row>
    <row r="43" customFormat="false" ht="14.4" hidden="false" customHeight="false" outlineLevel="0" collapsed="false">
      <c r="A43" s="13"/>
      <c r="B43" s="13"/>
      <c r="C43" s="13" t="n">
        <v>1</v>
      </c>
      <c r="D43" s="13"/>
      <c r="E43" s="13" t="s">
        <v>161</v>
      </c>
      <c r="F43" s="12" t="n">
        <f aca="false">VLOOKUP(E43,Ventas!C:H,5,0)</f>
        <v>-6713.84615384615</v>
      </c>
      <c r="G43" s="12" t="n">
        <f aca="false">IFERROR(VLOOKUP(A43,Modelos[],18,0),0)*F43/C43</f>
        <v>0</v>
      </c>
      <c r="H43" s="14" t="n">
        <f aca="false">SUM(F43:G43)</f>
        <v>-6713.84615384615</v>
      </c>
      <c r="I43" s="12" t="n">
        <f aca="false">H43*$I$3</f>
        <v>-2349.84615384615</v>
      </c>
      <c r="J43" s="12" t="n">
        <f aca="false">H43-I43</f>
        <v>-4364</v>
      </c>
      <c r="K43" s="12" t="n">
        <f aca="false">Sup!$A$2*D43</f>
        <v>0</v>
      </c>
      <c r="L43" s="12" t="n">
        <f aca="false">IFERROR(VLOOKUP(A43,Modelos[],IF(B43="EST",15,14),0),0)/C43</f>
        <v>0</v>
      </c>
      <c r="M43" s="12" t="n">
        <f aca="false">IF($F43&lt;0,0,IFERROR((M$2*$O$1)*($F43/SUM($F$5:$F$43)),0))</f>
        <v>0</v>
      </c>
      <c r="N43" s="12" t="n">
        <f aca="false">IF($F43&lt;0,0,IFERROR((N$2*$O$1)*($F43/SUM($F$5:$F$43)),0))</f>
        <v>0</v>
      </c>
      <c r="O43" s="12" t="n">
        <f aca="false">IF($F43&lt;0,0,IFERROR((O$2*$O$1)*($F43/SUM($F$5:$F$43)),0))</f>
        <v>0</v>
      </c>
      <c r="P43" s="12" t="n">
        <f aca="false">IF($F43&lt;0,0,IFERROR((P$2*$O$1)*($F43/SUM($F$5:$F$43)),0))</f>
        <v>0</v>
      </c>
      <c r="Q43" s="12" t="n">
        <f aca="false">J43*$Q$2</f>
        <v>-1745.6</v>
      </c>
      <c r="R43" s="12" t="n">
        <f aca="false">+Q43*$R$2</f>
        <v>-261.84</v>
      </c>
      <c r="S43" s="12" t="n">
        <f aca="false">IF(F43&gt;0,$S$2/12,0)</f>
        <v>0</v>
      </c>
      <c r="T43" s="12" t="n">
        <f aca="false">J43-SUM(K43:S43)</f>
        <v>-2356.56</v>
      </c>
      <c r="U43" s="12" t="n">
        <f aca="false">IF($F43&lt;0,0,IFERROR((U$2*$O$1)*($F43/SUM($F$5:$F$43)),0))</f>
        <v>0</v>
      </c>
      <c r="V43" s="12" t="n">
        <f aca="false">F43-F43*$I$3-K43-M43-N43-O43-P43-(F43-F43*$I$3)*$Q$2-((F43-F43*$I$3)*$Q$2)*$R$2-S43-U43</f>
        <v>-2356.56</v>
      </c>
      <c r="W43" s="12" t="n">
        <f aca="false">T43-U43</f>
        <v>-2356.56</v>
      </c>
      <c r="X43" s="12" t="n">
        <f aca="false">ROUND(W43-V43,9)</f>
        <v>0</v>
      </c>
    </row>
    <row r="44" customFormat="false" ht="14.4" hidden="false" customHeight="false" outlineLevel="0" collapsed="false">
      <c r="E44" s="2" t="s">
        <v>162</v>
      </c>
      <c r="F44" s="6" t="n">
        <f aca="false">SUM(F5:F43)</f>
        <v>50579300</v>
      </c>
      <c r="G44" s="6" t="n">
        <f aca="false">SUM(G5:G43)</f>
        <v>0</v>
      </c>
      <c r="H44" s="6" t="n">
        <f aca="false">SUM(H5:H43)</f>
        <v>50579300</v>
      </c>
      <c r="I44" s="6" t="n">
        <f aca="false">SUM(I5:I43)</f>
        <v>17702755</v>
      </c>
      <c r="J44" s="6" t="n">
        <f aca="false">SUM(J5:J43)</f>
        <v>32876545</v>
      </c>
      <c r="K44" s="6" t="n">
        <f aca="false">SUM(K5:K43)</f>
        <v>230365.212565104</v>
      </c>
      <c r="L44" s="6" t="n">
        <f aca="false">SUM(L5:L43)</f>
        <v>0</v>
      </c>
      <c r="M44" s="6" t="n">
        <f aca="false">SUM(M5:M43)</f>
        <v>292722.852147672</v>
      </c>
      <c r="N44" s="6" t="n">
        <f aca="false">SUM(N5:N43)</f>
        <v>56918.3323620474</v>
      </c>
      <c r="O44" s="6" t="n">
        <f aca="false">SUM(O5:O43)</f>
        <v>292722.852147672</v>
      </c>
      <c r="P44" s="6" t="n">
        <f aca="false">SUM(P5:P43)</f>
        <v>406559.516871767</v>
      </c>
      <c r="Q44" s="6" t="n">
        <f aca="false">SUM(Q5:Q43)</f>
        <v>13150618</v>
      </c>
      <c r="R44" s="6" t="n">
        <f aca="false">SUM(R5:R43)</f>
        <v>1972592.7</v>
      </c>
      <c r="S44" s="6" t="n">
        <f aca="false">SUM(S5:S43)</f>
        <v>878333.333333334</v>
      </c>
      <c r="T44" s="6" t="n">
        <f aca="false">SUM(T5:T43)</f>
        <v>15595712.2005724</v>
      </c>
      <c r="U44" s="6" t="n">
        <f aca="false">SUM(U5:U43)</f>
        <v>739270.207900557</v>
      </c>
      <c r="V44" s="6" t="n">
        <f aca="false">SUM(V5:V43)</f>
        <v>14856441.9926719</v>
      </c>
      <c r="W44" s="6" t="n">
        <f aca="false">SUM(W5:W43)</f>
        <v>14856441.9926719</v>
      </c>
      <c r="X44" s="6" t="n">
        <f aca="false">SUM(X5:X43)</f>
        <v>0</v>
      </c>
    </row>
  </sheetData>
  <autoFilter ref="A4:V4"/>
  <mergeCells count="1">
    <mergeCell ref="M1:N1"/>
  </mergeCells>
  <conditionalFormatting sqref="F5:F43">
    <cfRule type="colorScale" priority="2">
      <colorScale>
        <cfvo type="min" val="0"/>
        <cfvo type="percentile" val="50"/>
        <cfvo type="max" val="0"/>
        <color rgb="FFF8696B"/>
        <color rgb="FFFFEB84"/>
        <color rgb="FF63BE7B"/>
      </colorScale>
    </cfRule>
  </conditionalFormatting>
  <conditionalFormatting sqref="V5:W43">
    <cfRule type="cellIs" priority="3" operator="lessThan" aboveAverage="0" equalAverage="0" bottom="0" percent="0" rank="0" text="" dxfId="9">
      <formula>0</formula>
    </cfRule>
  </conditionalFormatting>
  <conditionalFormatting sqref="X5:X43">
    <cfRule type="iconSet" priority="4">
      <iconSet iconSet="3Arrows">
        <cfvo type="percent" val="0"/>
        <cfvo type="num" val="0"/>
        <cfvo type="num" val="0"/>
      </iconSet>
    </cfRule>
  </conditionalFormatting>
  <dataValidations count="2">
    <dataValidation allowBlank="true" operator="between" showDropDown="false" showErrorMessage="true" showInputMessage="true" sqref="B5:B43" type="list">
      <formula1>"Outsourcing,EST"</formula1>
      <formula2>0</formula2>
    </dataValidation>
    <dataValidation allowBlank="true" operator="between" showDropDown="false" showErrorMessage="true" showInputMessage="true" sqref="A5:A43" type="list">
      <formula1>'Temporada Baja'!Modelo</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sheetPr filterMode="false">
    <pageSetUpPr fitToPage="false"/>
  </sheetPr>
  <dimension ref="A3:W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T10" activeCellId="0" sqref="T10"/>
    </sheetView>
  </sheetViews>
  <sheetFormatPr defaultColWidth="10.6875" defaultRowHeight="14.4" zeroHeight="false" outlineLevelRow="0" outlineLevelCol="0"/>
  <cols>
    <col collapsed="false" customWidth="true" hidden="false" outlineLevel="0" max="1" min="1" style="0" width="15.66"/>
    <col collapsed="false" customWidth="true" hidden="false" outlineLevel="0" max="2" min="2" style="0" width="13.66"/>
    <col collapsed="false" customWidth="true" hidden="false" outlineLevel="0" max="3" min="3" style="0" width="9.33"/>
    <col collapsed="false" customWidth="true" hidden="false" outlineLevel="0" max="5" min="4" style="0" width="4.66"/>
    <col collapsed="false" customWidth="true" hidden="false" outlineLevel="0" max="6" min="6" style="0" width="23.88"/>
    <col collapsed="false" customWidth="true" hidden="false" outlineLevel="0" max="7" min="7" style="0" width="27.11"/>
    <col collapsed="false" customWidth="true" hidden="false" outlineLevel="0" max="8" min="8" style="0" width="9.33"/>
    <col collapsed="false" customWidth="true" hidden="false" outlineLevel="0" max="9" min="9" style="0" width="16.67"/>
    <col collapsed="false" customWidth="true" hidden="false" outlineLevel="0" max="10" min="10" style="0" width="11.45"/>
    <col collapsed="false" customWidth="true" hidden="false" outlineLevel="0" max="11" min="11" style="0" width="4.33"/>
    <col collapsed="false" customWidth="true" hidden="false" outlineLevel="0" max="12" min="12" style="0" width="4.89"/>
    <col collapsed="false" customWidth="true" hidden="false" outlineLevel="0" max="13" min="13" style="0" width="4.56"/>
    <col collapsed="false" customWidth="true" hidden="false" outlineLevel="0" max="15" min="14" style="0" width="4.1"/>
    <col collapsed="false" customWidth="true" hidden="false" outlineLevel="0" max="16" min="16" style="0" width="4.44"/>
    <col collapsed="false" customWidth="true" hidden="false" outlineLevel="0" max="17" min="17" style="0" width="5.55"/>
    <col collapsed="false" customWidth="true" hidden="false" outlineLevel="0" max="18" min="18" style="0" width="27.33"/>
    <col collapsed="false" customWidth="true" hidden="false" outlineLevel="0" max="19" min="19" style="0" width="17.44"/>
    <col collapsed="false" customWidth="true" hidden="false" outlineLevel="0" max="20" min="20" style="0" width="10.33"/>
    <col collapsed="false" customWidth="true" hidden="false" outlineLevel="0" max="21" min="21" style="0" width="19.89"/>
    <col collapsed="false" customWidth="true" hidden="false" outlineLevel="0" max="22" min="22" style="0" width="37.11"/>
    <col collapsed="false" customWidth="true" hidden="false" outlineLevel="0" max="23" min="23" style="0" width="14.88"/>
  </cols>
  <sheetData>
    <row r="3" customFormat="false" ht="14.4" hidden="false" customHeight="false" outlineLevel="0" collapsed="false">
      <c r="A3" s="0" t="s">
        <v>164</v>
      </c>
      <c r="B3" s="4" t="s">
        <v>165</v>
      </c>
      <c r="C3" s="4" t="s">
        <v>166</v>
      </c>
      <c r="F3" s="23" t="s">
        <v>167</v>
      </c>
      <c r="G3" s="4" t="s">
        <v>168</v>
      </c>
      <c r="H3" s="4" t="s">
        <v>169</v>
      </c>
      <c r="I3" s="0" t="s">
        <v>170</v>
      </c>
      <c r="J3" s="4" t="s">
        <v>171</v>
      </c>
      <c r="K3" s="4" t="s">
        <v>172</v>
      </c>
      <c r="L3" s="4" t="s">
        <v>173</v>
      </c>
      <c r="M3" s="4" t="s">
        <v>174</v>
      </c>
      <c r="N3" s="4" t="s">
        <v>175</v>
      </c>
      <c r="O3" s="4" t="s">
        <v>176</v>
      </c>
      <c r="P3" s="4" t="s">
        <v>177</v>
      </c>
      <c r="Q3" s="4" t="s">
        <v>178</v>
      </c>
      <c r="R3" s="4" t="s">
        <v>164</v>
      </c>
      <c r="S3" s="4" t="s">
        <v>179</v>
      </c>
      <c r="T3" s="4" t="s">
        <v>180</v>
      </c>
      <c r="U3" s="4" t="s">
        <v>181</v>
      </c>
      <c r="V3" s="4" t="s">
        <v>182</v>
      </c>
      <c r="W3" s="4" t="s">
        <v>183</v>
      </c>
    </row>
    <row r="4" customFormat="false" ht="14.4" hidden="false" customHeight="false" outlineLevel="0" collapsed="false">
      <c r="A4" s="0" t="s">
        <v>184</v>
      </c>
      <c r="B4" s="24" t="n">
        <v>0.458333333333333</v>
      </c>
      <c r="C4" s="24" t="n">
        <v>0.541666666666667</v>
      </c>
      <c r="F4" s="23" t="s">
        <v>32</v>
      </c>
      <c r="G4" s="4" t="n">
        <v>28</v>
      </c>
      <c r="H4" s="4" t="s">
        <v>185</v>
      </c>
      <c r="I4" s="0" t="s">
        <v>186</v>
      </c>
      <c r="J4" s="4"/>
      <c r="K4" s="4" t="n">
        <v>1</v>
      </c>
      <c r="L4" s="4" t="n">
        <v>1</v>
      </c>
      <c r="M4" s="4" t="n">
        <v>1</v>
      </c>
      <c r="N4" s="4" t="n">
        <v>1</v>
      </c>
      <c r="O4" s="4" t="n">
        <v>1</v>
      </c>
      <c r="P4" s="4" t="n">
        <v>1</v>
      </c>
      <c r="Q4" s="4"/>
      <c r="R4" s="4" t="s">
        <v>187</v>
      </c>
      <c r="S4" s="3" t="n">
        <f aca="false">Estructuras!D$50</f>
        <v>748009.39609375</v>
      </c>
      <c r="T4" s="3" t="n">
        <f aca="false">(Estructuras!D$48-Estructuras!D$55)*1.15</f>
        <v>700103.870052084</v>
      </c>
      <c r="U4" s="4" t="s">
        <v>14</v>
      </c>
      <c r="V4" s="4" t="s">
        <v>188</v>
      </c>
      <c r="W4" s="25" t="n">
        <v>0</v>
      </c>
    </row>
    <row r="5" customFormat="false" ht="14.4" hidden="false" customHeight="false" outlineLevel="0" collapsed="false">
      <c r="A5" s="0" t="s">
        <v>189</v>
      </c>
      <c r="B5" s="24" t="n">
        <v>0.541666666666667</v>
      </c>
      <c r="C5" s="24" t="n">
        <v>0.625</v>
      </c>
      <c r="F5" s="23" t="s">
        <v>50</v>
      </c>
      <c r="G5" s="4" t="n">
        <v>28</v>
      </c>
      <c r="H5" s="4" t="s">
        <v>185</v>
      </c>
      <c r="I5" s="0" t="s">
        <v>186</v>
      </c>
      <c r="J5" s="4"/>
      <c r="K5" s="4" t="n">
        <v>1</v>
      </c>
      <c r="L5" s="4" t="n">
        <v>1</v>
      </c>
      <c r="M5" s="4" t="n">
        <v>1</v>
      </c>
      <c r="N5" s="4" t="n">
        <v>1</v>
      </c>
      <c r="O5" s="4" t="n">
        <v>1</v>
      </c>
      <c r="P5" s="4" t="n">
        <v>1</v>
      </c>
      <c r="Q5" s="4"/>
      <c r="R5" s="4" t="s">
        <v>187</v>
      </c>
      <c r="S5" s="3" t="n">
        <f aca="false">Estructuras!E$50</f>
        <v>848564.8390625</v>
      </c>
      <c r="T5" s="3" t="n">
        <f aca="false">(Estructuras!E$48-Estructuras!E$55)*1.15</f>
        <v>796331.599479167</v>
      </c>
      <c r="U5" s="4" t="s">
        <v>14</v>
      </c>
      <c r="V5" s="4" t="s">
        <v>188</v>
      </c>
      <c r="W5" s="25" t="n">
        <v>0</v>
      </c>
    </row>
    <row r="6" customFormat="false" ht="14.4" hidden="false" customHeight="false" outlineLevel="0" collapsed="false">
      <c r="A6" s="0" t="s">
        <v>190</v>
      </c>
      <c r="B6" s="24" t="n">
        <v>0.625</v>
      </c>
      <c r="C6" s="24" t="n">
        <v>0.708333333333333</v>
      </c>
      <c r="F6" s="23" t="s">
        <v>40</v>
      </c>
      <c r="G6" s="4" t="n">
        <v>14</v>
      </c>
      <c r="H6" s="4" t="s">
        <v>185</v>
      </c>
      <c r="I6" s="0" t="s">
        <v>191</v>
      </c>
      <c r="J6" s="4"/>
      <c r="K6" s="4" t="n">
        <v>1</v>
      </c>
      <c r="L6" s="4"/>
      <c r="M6" s="4" t="n">
        <v>1</v>
      </c>
      <c r="N6" s="4"/>
      <c r="O6" s="4" t="n">
        <v>1</v>
      </c>
      <c r="P6" s="4"/>
      <c r="Q6" s="4"/>
      <c r="R6" s="4" t="s">
        <v>187</v>
      </c>
      <c r="S6" s="3" t="n">
        <f aca="false">Estructuras!F$50</f>
        <v>354728.25609375</v>
      </c>
      <c r="T6" s="3" t="n">
        <f aca="false">(Estructuras!F$48-Estructuras!F$55)*1.15</f>
        <v>328418.19671875</v>
      </c>
      <c r="U6" s="4" t="s">
        <v>14</v>
      </c>
      <c r="V6" s="4" t="s">
        <v>188</v>
      </c>
      <c r="W6" s="25" t="n">
        <v>0</v>
      </c>
    </row>
    <row r="7" customFormat="false" ht="14.4" hidden="false" customHeight="false" outlineLevel="0" collapsed="false">
      <c r="A7" s="0" t="s">
        <v>192</v>
      </c>
      <c r="B7" s="24" t="n">
        <v>0.708333333333333</v>
      </c>
      <c r="C7" s="24" t="n">
        <v>0.791666666666667</v>
      </c>
      <c r="F7" s="23" t="s">
        <v>48</v>
      </c>
      <c r="G7" s="4" t="n">
        <v>28</v>
      </c>
      <c r="H7" s="4" t="s">
        <v>185</v>
      </c>
      <c r="I7" s="0" t="s">
        <v>193</v>
      </c>
      <c r="J7" s="4" t="n">
        <v>9</v>
      </c>
      <c r="K7" s="4" t="n">
        <v>1</v>
      </c>
      <c r="L7" s="4" t="n">
        <v>1</v>
      </c>
      <c r="M7" s="4" t="n">
        <v>1</v>
      </c>
      <c r="N7" s="4" t="n">
        <v>1</v>
      </c>
      <c r="O7" s="4" t="n">
        <v>1</v>
      </c>
      <c r="P7" s="4"/>
      <c r="Q7" s="4"/>
      <c r="R7" s="4" t="s">
        <v>187</v>
      </c>
      <c r="S7" s="3" t="n">
        <f aca="false">Estructuras!G$50</f>
        <v>598680.58796875</v>
      </c>
      <c r="T7" s="3" t="n">
        <f aca="false">(Estructuras!G$48-Estructuras!G$55)*1.15</f>
        <v>559374.474427083</v>
      </c>
      <c r="U7" s="4" t="s">
        <v>194</v>
      </c>
      <c r="V7" s="4" t="s">
        <v>195</v>
      </c>
      <c r="W7" s="25" t="n">
        <v>0.1</v>
      </c>
    </row>
    <row r="8" customFormat="false" ht="14.4" hidden="false" customHeight="false" outlineLevel="0" collapsed="false">
      <c r="A8" s="0" t="s">
        <v>196</v>
      </c>
      <c r="B8" s="24" t="n">
        <v>0.791666666666667</v>
      </c>
      <c r="C8" s="24" t="n">
        <v>0.875</v>
      </c>
      <c r="F8" s="23" t="s">
        <v>49</v>
      </c>
      <c r="G8" s="4" t="n">
        <v>8</v>
      </c>
      <c r="H8" s="4" t="s">
        <v>185</v>
      </c>
      <c r="I8" s="0" t="s">
        <v>197</v>
      </c>
      <c r="J8" s="4" t="n">
        <v>9</v>
      </c>
      <c r="K8" s="4"/>
      <c r="L8" s="4"/>
      <c r="M8" s="4"/>
      <c r="N8" s="4"/>
      <c r="O8" s="4"/>
      <c r="P8" s="4" t="n">
        <v>1</v>
      </c>
      <c r="Q8" s="4" t="n">
        <v>1</v>
      </c>
      <c r="R8" s="4" t="s">
        <v>187</v>
      </c>
      <c r="S8" s="3" t="n">
        <f aca="false">Estructuras!H$50</f>
        <v>281148.89140625</v>
      </c>
      <c r="T8" s="3" t="n">
        <f aca="false">(Estructuras!H$48-Estructuras!H$55)*1.15</f>
        <v>263038.667447917</v>
      </c>
      <c r="U8" s="4" t="s">
        <v>194</v>
      </c>
      <c r="V8" s="4" t="s">
        <v>195</v>
      </c>
      <c r="W8" s="25" t="n">
        <v>0.1</v>
      </c>
    </row>
    <row r="9" customFormat="false" ht="14.4" hidden="false" customHeight="false" outlineLevel="0" collapsed="false">
      <c r="B9" s="4"/>
      <c r="C9" s="4"/>
      <c r="F9" s="23" t="s">
        <v>198</v>
      </c>
      <c r="G9" s="4" t="n">
        <v>12</v>
      </c>
      <c r="H9" s="4" t="s">
        <v>185</v>
      </c>
      <c r="I9" s="0" t="s">
        <v>199</v>
      </c>
      <c r="J9" s="4" t="n">
        <v>9</v>
      </c>
      <c r="K9" s="4"/>
      <c r="L9" s="4"/>
      <c r="M9" s="4"/>
      <c r="N9" s="4"/>
      <c r="O9" s="4" t="n">
        <v>1</v>
      </c>
      <c r="P9" s="4" t="n">
        <v>1</v>
      </c>
      <c r="Q9" s="4" t="n">
        <v>1</v>
      </c>
      <c r="R9" s="4" t="s">
        <v>187</v>
      </c>
      <c r="S9" s="3" t="n">
        <f aca="false">Estructuras!I$50</f>
        <v>374102.8703125</v>
      </c>
      <c r="T9" s="3" t="n">
        <f aca="false">(Estructuras!I$48-Estructuras!I$55)*1.15</f>
        <v>351113.172395833</v>
      </c>
      <c r="U9" s="4" t="s">
        <v>194</v>
      </c>
      <c r="V9" s="4" t="s">
        <v>195</v>
      </c>
      <c r="W9" s="25" t="n">
        <v>0.1</v>
      </c>
    </row>
    <row r="10" customFormat="false" ht="14.4" hidden="false" customHeight="false" outlineLevel="0" collapsed="false">
      <c r="B10" s="4"/>
      <c r="C10" s="4"/>
      <c r="F10" s="23" t="s">
        <v>29</v>
      </c>
      <c r="G10" s="4" t="n">
        <v>28</v>
      </c>
      <c r="H10" s="4" t="s">
        <v>185</v>
      </c>
      <c r="I10" s="0" t="s">
        <v>200</v>
      </c>
      <c r="J10" s="4" t="n">
        <v>4.5</v>
      </c>
      <c r="K10" s="4" t="n">
        <v>1</v>
      </c>
      <c r="L10" s="4" t="n">
        <v>1</v>
      </c>
      <c r="M10" s="4" t="n">
        <v>1</v>
      </c>
      <c r="N10" s="4" t="n">
        <v>1</v>
      </c>
      <c r="O10" s="4" t="n">
        <v>1</v>
      </c>
      <c r="P10" s="4"/>
      <c r="Q10" s="4"/>
      <c r="R10" s="4" t="s">
        <v>201</v>
      </c>
      <c r="S10" s="3" t="n">
        <f aca="false">Estructuras!J$50</f>
        <v>310333.7890625</v>
      </c>
      <c r="T10" s="3" t="n">
        <f aca="false">(Estructuras!J$48-Estructuras!J$55)*1.15</f>
        <v>290691.549479167</v>
      </c>
      <c r="U10" s="4" t="s">
        <v>194</v>
      </c>
      <c r="V10" s="4" t="s">
        <v>202</v>
      </c>
      <c r="W10" s="25" t="n">
        <v>0.1</v>
      </c>
    </row>
    <row r="11" customFormat="false" ht="14.4" hidden="false" customHeight="false" outlineLevel="0" collapsed="false">
      <c r="B11" s="4"/>
      <c r="C11" s="4"/>
      <c r="F11" s="23" t="s">
        <v>46</v>
      </c>
      <c r="G11" s="4" t="n">
        <v>8</v>
      </c>
      <c r="H11" s="4" t="s">
        <v>185</v>
      </c>
      <c r="I11" s="0" t="s">
        <v>203</v>
      </c>
      <c r="J11" s="4" t="n">
        <v>4.5</v>
      </c>
      <c r="K11" s="4"/>
      <c r="L11" s="4"/>
      <c r="M11" s="4"/>
      <c r="N11" s="4"/>
      <c r="O11" s="4"/>
      <c r="P11" s="4" t="n">
        <v>1</v>
      </c>
      <c r="Q11" s="4" t="n">
        <v>1</v>
      </c>
      <c r="R11" s="4" t="s">
        <v>201</v>
      </c>
      <c r="S11" s="3" t="n">
        <f aca="false">Estructuras!K$50</f>
        <v>154393.465625</v>
      </c>
      <c r="T11" s="3" t="n">
        <f aca="false">(Estructuras!K$48-Estructuras!K$55)*1.15</f>
        <v>142937.069791667</v>
      </c>
      <c r="U11" s="4" t="s">
        <v>194</v>
      </c>
      <c r="V11" s="4" t="s">
        <v>202</v>
      </c>
      <c r="W11" s="25" t="n">
        <v>0.1</v>
      </c>
    </row>
    <row r="12" customFormat="false" ht="14.4" hidden="false" customHeight="false" outlineLevel="0" collapsed="false">
      <c r="B12" s="4"/>
      <c r="C12" s="4"/>
      <c r="F12" s="23" t="s">
        <v>31</v>
      </c>
      <c r="G12" s="4" t="n">
        <v>12</v>
      </c>
      <c r="H12" s="4" t="s">
        <v>185</v>
      </c>
      <c r="I12" s="0" t="s">
        <v>204</v>
      </c>
      <c r="J12" s="4" t="n">
        <v>4.5</v>
      </c>
      <c r="K12" s="4"/>
      <c r="L12" s="4"/>
      <c r="M12" s="4"/>
      <c r="N12" s="4"/>
      <c r="O12" s="4" t="n">
        <v>1</v>
      </c>
      <c r="P12" s="4" t="n">
        <v>1</v>
      </c>
      <c r="Q12" s="4" t="n">
        <v>1</v>
      </c>
      <c r="R12" s="4" t="s">
        <v>201</v>
      </c>
      <c r="S12" s="3" t="n">
        <f aca="false">Estructuras!L$50</f>
        <v>204526.8003975</v>
      </c>
      <c r="T12" s="3" t="n">
        <f aca="false">(Estructuras!L$48-Estructuras!L$55)*1.15</f>
        <v>190438.7334475</v>
      </c>
      <c r="U12" s="4" t="s">
        <v>194</v>
      </c>
      <c r="V12" s="4" t="s">
        <v>202</v>
      </c>
      <c r="W12" s="25" t="n">
        <v>0.1</v>
      </c>
    </row>
    <row r="13" customFormat="false" ht="14.4" hidden="false" customHeight="false" outlineLevel="0" collapsed="false">
      <c r="B13" s="4"/>
      <c r="C13" s="4"/>
    </row>
    <row r="14" customFormat="false" ht="14.4" hidden="false" customHeight="false" outlineLevel="0" collapsed="false">
      <c r="B14" s="4"/>
      <c r="C14" s="4"/>
    </row>
    <row r="15" customFormat="false" ht="14.4" hidden="false" customHeight="false" outlineLevel="0" collapsed="false">
      <c r="A15" s="26" t="s">
        <v>6</v>
      </c>
      <c r="B15" s="27" t="s">
        <v>205</v>
      </c>
      <c r="C15" s="4"/>
    </row>
    <row r="16" customFormat="false" ht="14.4" hidden="false" customHeight="false" outlineLevel="0" collapsed="false">
      <c r="A16" s="0" t="s">
        <v>62</v>
      </c>
      <c r="B16" s="27" t="n">
        <v>10000</v>
      </c>
      <c r="C16" s="4"/>
    </row>
    <row r="17" customFormat="false" ht="14.4" hidden="false" customHeight="false" outlineLevel="0" collapsed="false">
      <c r="A17" s="0" t="s">
        <v>83</v>
      </c>
      <c r="B17" s="27" t="n">
        <v>10000</v>
      </c>
      <c r="C17" s="4"/>
    </row>
    <row r="18" customFormat="false" ht="14.4" hidden="false" customHeight="false" outlineLevel="0" collapsed="false">
      <c r="A18" s="0" t="s">
        <v>44</v>
      </c>
      <c r="B18" s="27" t="n">
        <v>100000</v>
      </c>
      <c r="C18" s="4"/>
    </row>
    <row r="19" customFormat="false" ht="14.4" hidden="false" customHeight="false" outlineLevel="0" collapsed="false">
      <c r="A19" s="0" t="s">
        <v>76</v>
      </c>
      <c r="B19" s="27" t="n">
        <v>30000</v>
      </c>
      <c r="C19" s="4"/>
    </row>
    <row r="20" customFormat="false" ht="14.4" hidden="false" customHeight="false" outlineLevel="0" collapsed="false">
      <c r="A20" s="0" t="s">
        <v>57</v>
      </c>
      <c r="B20" s="27" t="n">
        <v>50000</v>
      </c>
      <c r="C20" s="4"/>
    </row>
    <row r="21" customFormat="false" ht="14.4" hidden="false" customHeight="false" outlineLevel="0" collapsed="false">
      <c r="A21" s="0" t="s">
        <v>56</v>
      </c>
      <c r="B21" s="27" t="n">
        <v>60000</v>
      </c>
      <c r="C21" s="4"/>
    </row>
    <row r="22" customFormat="false" ht="14.4" hidden="false" customHeight="false" outlineLevel="0" collapsed="false">
      <c r="A22" s="0" t="s">
        <v>36</v>
      </c>
      <c r="B22" s="3" t="n">
        <v>0</v>
      </c>
    </row>
    <row r="23" customFormat="false" ht="14.4" hidden="false" customHeight="false" outlineLevel="0" collapsed="false">
      <c r="A23" s="0" t="s">
        <v>51</v>
      </c>
      <c r="B23" s="3" t="n">
        <v>55000</v>
      </c>
    </row>
    <row r="24" customFormat="false" ht="14.4" hidden="false" customHeight="false" outlineLevel="0" collapsed="false">
      <c r="A24" s="0" t="s">
        <v>53</v>
      </c>
      <c r="B24" s="3" t="n">
        <v>55000</v>
      </c>
    </row>
    <row r="25" customFormat="false" ht="14.4" hidden="false" customHeight="false" outlineLevel="0" collapsed="false">
      <c r="A25" s="0" t="s">
        <v>64</v>
      </c>
      <c r="B25" s="3" t="n">
        <v>55000</v>
      </c>
    </row>
    <row r="26" customFormat="false" ht="14.4" hidden="false" customHeight="false" outlineLevel="0" collapsed="false">
      <c r="A26" s="0" t="s">
        <v>41</v>
      </c>
      <c r="B26" s="3" t="n">
        <v>15000</v>
      </c>
    </row>
    <row r="27" customFormat="false" ht="14.4" hidden="false" customHeight="false" outlineLevel="0" collapsed="false">
      <c r="A27" s="0" t="s">
        <v>42</v>
      </c>
      <c r="B27" s="3" t="n">
        <v>90000</v>
      </c>
    </row>
    <row r="28" customFormat="false" ht="14.4" hidden="false" customHeight="false" outlineLevel="0" collapsed="false">
      <c r="A28" s="0" t="s">
        <v>68</v>
      </c>
      <c r="B28" s="3" t="n">
        <v>0</v>
      </c>
    </row>
    <row r="29" customFormat="false" ht="14.4" hidden="false" customHeight="false" outlineLevel="0" collapsed="false">
      <c r="A29" s="0" t="s">
        <v>33</v>
      </c>
      <c r="B29" s="3" t="n">
        <v>35000</v>
      </c>
    </row>
    <row r="30" customFormat="false" ht="14.4" hidden="false" customHeight="false" outlineLevel="0" collapsed="false">
      <c r="A30" s="0" t="s">
        <v>38</v>
      </c>
      <c r="B30" s="3" t="n">
        <v>130000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sheetPr filterMode="false">
    <pageSetUpPr fitToPage="false"/>
  </sheetPr>
  <dimension ref="A1:M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33" activePane="bottomRight" state="frozen"/>
      <selection pane="topLeft" activeCell="A1" activeCellId="0" sqref="A1"/>
      <selection pane="topRight" activeCell="C1" activeCellId="0" sqref="C1"/>
      <selection pane="bottomLeft" activeCell="A33" activeCellId="0" sqref="A33"/>
      <selection pane="bottomRight" activeCell="C31" activeCellId="0" sqref="C31"/>
    </sheetView>
  </sheetViews>
  <sheetFormatPr defaultColWidth="10.6875" defaultRowHeight="14.4" zeroHeight="false" outlineLevelRow="0" outlineLevelCol="0"/>
  <cols>
    <col collapsed="false" customWidth="true" hidden="false" outlineLevel="0" max="1" min="1" style="0" width="25.11"/>
    <col collapsed="false" customWidth="true" hidden="false" outlineLevel="0" max="2" min="2" style="0" width="8.56"/>
    <col collapsed="false" customWidth="true" hidden="false" outlineLevel="0" max="8" min="3" style="0" width="16.11"/>
    <col collapsed="false" customWidth="true" hidden="true" outlineLevel="0" max="9" min="9" style="0" width="16.11"/>
    <col collapsed="false" customWidth="true" hidden="false" outlineLevel="0" max="12" min="10" style="0" width="16.11"/>
    <col collapsed="false" customWidth="true" hidden="false" outlineLevel="0" max="14" min="13" style="0" width="12.44"/>
  </cols>
  <sheetData>
    <row r="1" customFormat="false" ht="15" hidden="false" customHeight="false" outlineLevel="0" collapsed="false">
      <c r="A1" s="28" t="s">
        <v>206</v>
      </c>
      <c r="B1" s="28"/>
      <c r="C1" s="28" t="s">
        <v>207</v>
      </c>
      <c r="D1" s="28" t="s">
        <v>32</v>
      </c>
      <c r="E1" s="28" t="s">
        <v>50</v>
      </c>
      <c r="F1" s="28" t="s">
        <v>40</v>
      </c>
      <c r="G1" s="28" t="s">
        <v>48</v>
      </c>
      <c r="H1" s="28" t="s">
        <v>49</v>
      </c>
      <c r="I1" s="28" t="s">
        <v>198</v>
      </c>
      <c r="J1" s="28" t="s">
        <v>29</v>
      </c>
      <c r="K1" s="28" t="s">
        <v>46</v>
      </c>
      <c r="L1" s="28" t="s">
        <v>31</v>
      </c>
    </row>
    <row r="2" customFormat="false" ht="16.2" hidden="false" customHeight="false" outlineLevel="0" collapsed="false">
      <c r="A2" s="29" t="s">
        <v>208</v>
      </c>
      <c r="B2" s="29"/>
      <c r="C2" s="29" t="n">
        <f aca="false">C26</f>
        <v>1547394.904768</v>
      </c>
      <c r="D2" s="29" t="n">
        <f aca="false">D26</f>
        <v>467460.625</v>
      </c>
      <c r="E2" s="29" t="n">
        <f aca="false">E26</f>
        <v>518433.75</v>
      </c>
      <c r="F2" s="29" t="n">
        <f aca="false">F26</f>
        <v>203308.625</v>
      </c>
      <c r="G2" s="29" t="n">
        <f aca="false">G26</f>
        <v>352509.125</v>
      </c>
      <c r="H2" s="29" t="n">
        <f aca="false">H26</f>
        <v>157919.375</v>
      </c>
      <c r="I2" s="29" t="n">
        <f aca="false">I26</f>
        <v>214108.75</v>
      </c>
      <c r="J2" s="29" t="n">
        <f aca="false">J26</f>
        <v>176243.75</v>
      </c>
      <c r="K2" s="29" t="n">
        <f aca="false">K26</f>
        <v>81297.5</v>
      </c>
      <c r="L2" s="29" t="n">
        <f aca="false">L26</f>
        <v>110692.378</v>
      </c>
    </row>
    <row r="3" customFormat="false" ht="14.4" hidden="false" customHeight="false" outlineLevel="0" collapsed="false">
      <c r="A3" s="30" t="s">
        <v>209</v>
      </c>
      <c r="B3" s="30"/>
      <c r="C3" s="30" t="n">
        <f aca="false">C48</f>
        <v>2139630.72029</v>
      </c>
      <c r="D3" s="30" t="n">
        <f aca="false">D48</f>
        <v>650442.953125</v>
      </c>
      <c r="E3" s="30" t="n">
        <f aca="false">E48</f>
        <v>737882.46875</v>
      </c>
      <c r="F3" s="30" t="n">
        <f aca="false">F48</f>
        <v>308459.353125</v>
      </c>
      <c r="G3" s="30" t="n">
        <f aca="false">G48</f>
        <v>520591.815625</v>
      </c>
      <c r="H3" s="30" t="n">
        <f aca="false">H48</f>
        <v>244477.296875</v>
      </c>
      <c r="I3" s="30" t="n">
        <f aca="false">I48</f>
        <v>325306.84375</v>
      </c>
      <c r="J3" s="30" t="n">
        <f aca="false">J48</f>
        <v>269855.46875</v>
      </c>
      <c r="K3" s="30" t="n">
        <f aca="false">K48</f>
        <v>134255.1875</v>
      </c>
      <c r="L3" s="30" t="n">
        <f aca="false">L48</f>
        <v>177849.39165</v>
      </c>
    </row>
    <row r="4" customFormat="false" ht="14.4" hidden="false" customHeight="false" outlineLevel="0" collapsed="false">
      <c r="A4" s="31" t="s">
        <v>210</v>
      </c>
      <c r="B4" s="31"/>
      <c r="C4" s="31" t="s">
        <v>211</v>
      </c>
      <c r="D4" s="31" t="s">
        <v>211</v>
      </c>
      <c r="E4" s="31" t="s">
        <v>211</v>
      </c>
      <c r="F4" s="31" t="s">
        <v>211</v>
      </c>
      <c r="G4" s="31" t="s">
        <v>211</v>
      </c>
      <c r="H4" s="31" t="s">
        <v>211</v>
      </c>
      <c r="I4" s="31" t="s">
        <v>211</v>
      </c>
      <c r="J4" s="31" t="s">
        <v>211</v>
      </c>
      <c r="K4" s="31" t="s">
        <v>211</v>
      </c>
      <c r="L4" s="31" t="s">
        <v>211</v>
      </c>
    </row>
    <row r="5" customFormat="false" ht="14.4" hidden="false" customHeight="false" outlineLevel="0" collapsed="false">
      <c r="A5" s="32" t="s">
        <v>212</v>
      </c>
      <c r="B5" s="32"/>
      <c r="C5" s="32" t="n">
        <v>1500000</v>
      </c>
      <c r="D5" s="32" t="n">
        <v>315000</v>
      </c>
      <c r="E5" s="32" t="n">
        <v>340000</v>
      </c>
      <c r="F5" s="32" t="n">
        <v>153000</v>
      </c>
      <c r="G5" s="32" t="n">
        <v>301000</v>
      </c>
      <c r="H5" s="32" t="n">
        <v>135000</v>
      </c>
      <c r="I5" s="32" t="n">
        <v>190000</v>
      </c>
      <c r="J5" s="32" t="n">
        <v>150000</v>
      </c>
      <c r="K5" s="32" t="n">
        <v>60000</v>
      </c>
      <c r="L5" s="32" t="n">
        <v>92688</v>
      </c>
    </row>
    <row r="6" customFormat="false" ht="14.4" hidden="false" customHeight="false" outlineLevel="0" collapsed="false">
      <c r="A6" s="31" t="s">
        <v>213</v>
      </c>
      <c r="B6" s="33" t="n">
        <v>0</v>
      </c>
      <c r="C6" s="31" t="n">
        <f aca="false">$B6*ROUND(ROUND((C5/180)*(28/30)*1.5,0)*130%,0)</f>
        <v>0</v>
      </c>
      <c r="D6" s="31" t="n">
        <f aca="false">$B6*ROUND(ROUND((D5/180)*(28/30)*1.5,0)*130%,0)</f>
        <v>0</v>
      </c>
      <c r="E6" s="31" t="n">
        <f aca="false">$B6*ROUND(ROUND((E5/180)*(28/30)*1.5,0)*130%,0)</f>
        <v>0</v>
      </c>
      <c r="F6" s="31" t="n">
        <f aca="false">$B6*ROUND(ROUND((F5/180)*(28/30)*1.5,0)*130%,0)</f>
        <v>0</v>
      </c>
      <c r="G6" s="31" t="n">
        <f aca="false">$B6*ROUND(ROUND((G5/180)*(28/30)*1.5,0)*130%,0)</f>
        <v>0</v>
      </c>
      <c r="H6" s="31" t="n">
        <f aca="false">$B6*ROUND(ROUND((H5/180)*(28/30)*1.5,0)*130%,0)</f>
        <v>0</v>
      </c>
      <c r="I6" s="31" t="n">
        <f aca="false">$B6*ROUND(ROUND((I5/180)*(28/30)*1.5,0)*130%,0)</f>
        <v>0</v>
      </c>
      <c r="J6" s="31" t="n">
        <f aca="false">$B6*ROUND(ROUND((J5/180)*(28/30)*1.5,0)*130%,0)</f>
        <v>0</v>
      </c>
      <c r="K6" s="31" t="n">
        <f aca="false">$B6*ROUND(ROUND((K5/180)*(28/30)*1.5,0)*130%,0)</f>
        <v>0</v>
      </c>
      <c r="L6" s="31" t="n">
        <f aca="false">$B6*ROUND(ROUND((L5/180)*(28/30)*1.5,0)*130%,0)</f>
        <v>0</v>
      </c>
    </row>
    <row r="7" customFormat="false" ht="14.4" hidden="false" customHeight="false" outlineLevel="0" collapsed="false">
      <c r="A7" s="32" t="s">
        <v>214</v>
      </c>
      <c r="B7" s="34" t="n">
        <v>0</v>
      </c>
      <c r="C7" s="32" t="n">
        <f aca="false">$B7*ROUND((C5/180)*(28/30)*1.5,0)</f>
        <v>0</v>
      </c>
      <c r="D7" s="32" t="n">
        <f aca="false">$B7*ROUND((D5/180)*(28/30)*1.5,0)</f>
        <v>0</v>
      </c>
      <c r="E7" s="32" t="n">
        <f aca="false">$B7*ROUND((E5/180)*(28/30)*1.5,0)</f>
        <v>0</v>
      </c>
      <c r="F7" s="32" t="n">
        <f aca="false">$B7*ROUND((F5/180)*(28/30)*1.5,0)</f>
        <v>0</v>
      </c>
      <c r="G7" s="32" t="n">
        <f aca="false">$B7*ROUND((G5/180)*(28/30)*1.5,0)</f>
        <v>0</v>
      </c>
      <c r="H7" s="32" t="n">
        <f aca="false">$B7*ROUND((H5/180)*(28/30)*1.5,0)</f>
        <v>0</v>
      </c>
      <c r="I7" s="32" t="n">
        <f aca="false">$B7*ROUND((I5/180)*(28/30)*1.5,0)</f>
        <v>0</v>
      </c>
      <c r="J7" s="32" t="n">
        <f aca="false">$B7*ROUND((J5/180)*(28/30)*1.5,0)</f>
        <v>0</v>
      </c>
      <c r="K7" s="32" t="n">
        <f aca="false">$B7*ROUND((K5/180)*(28/30)*1.5,0)</f>
        <v>0</v>
      </c>
      <c r="L7" s="32" t="n">
        <f aca="false">$B7*ROUND((L5/180)*(28/30)*1.5,0)</f>
        <v>0</v>
      </c>
    </row>
    <row r="8" customFormat="false" ht="14.4" hidden="false" customHeight="false" outlineLevel="0" collapsed="false">
      <c r="A8" s="33" t="s">
        <v>215</v>
      </c>
      <c r="B8" s="33"/>
      <c r="C8" s="31" t="n">
        <f aca="false">MIN(Valores!$C$3,25%*SUM(Estructuras!C5:C7,Estructuras!C9:C13))</f>
        <v>119146</v>
      </c>
      <c r="D8" s="31" t="n">
        <f aca="false">MIN(Valores!$C$3,25%*SUM(Estructuras!D5:D7,Estructuras!D9:D13))</f>
        <v>86250</v>
      </c>
      <c r="E8" s="31" t="n">
        <f aca="false">MIN(Valores!$C$3,25%*SUM(Estructuras!E5:E7,Estructuras!E9:E13))</f>
        <v>97500</v>
      </c>
      <c r="F8" s="31" t="n">
        <f aca="false">MIN(Valores!$C$3,25%*SUM(Estructuras!F5:F7,Estructuras!F9:F13))</f>
        <v>38250</v>
      </c>
      <c r="G8" s="31" t="n">
        <f aca="false">MIN(Valores!$C$3,25%*SUM(Estructuras!G5:G7,Estructuras!G9:G13))</f>
        <v>75250</v>
      </c>
      <c r="H8" s="31" t="n">
        <f aca="false">MIN(Valores!$C$3,25%*SUM(Estructuras!H5:H7,Estructuras!H9:H13))</f>
        <v>33750</v>
      </c>
      <c r="I8" s="31" t="n">
        <f aca="false">MIN(Valores!$C$3,25%*SUM(Estructuras!I5:I7,Estructuras!I9:I13))</f>
        <v>47500</v>
      </c>
      <c r="J8" s="31" t="n">
        <f aca="false">MIN(Valores!$C$3,25%*SUM(Estructuras!J5:J7,Estructuras!J9:J13))</f>
        <v>37500</v>
      </c>
      <c r="K8" s="31" t="n">
        <f aca="false">MIN(Valores!$C$3,25%*SUM(Estructuras!K5:K7,Estructuras!K9:K13))</f>
        <v>15000</v>
      </c>
      <c r="L8" s="31" t="n">
        <f aca="false">MIN(Valores!$C$3,25%*SUM(Estructuras!L5:L7,Estructuras!L9:L13))</f>
        <v>23172</v>
      </c>
    </row>
    <row r="9" customFormat="false" ht="14.4" hidden="false" customHeight="false" outlineLevel="0" collapsed="false">
      <c r="A9" s="32" t="s">
        <v>216</v>
      </c>
      <c r="B9" s="32"/>
      <c r="C9" s="32"/>
      <c r="D9" s="32"/>
      <c r="E9" s="32"/>
      <c r="F9" s="32"/>
      <c r="G9" s="32"/>
      <c r="H9" s="32"/>
      <c r="I9" s="32"/>
      <c r="J9" s="32"/>
      <c r="K9" s="32"/>
      <c r="L9" s="32"/>
    </row>
    <row r="10" customFormat="false" ht="14.4" hidden="false" customHeight="false" outlineLevel="0" collapsed="false">
      <c r="A10" s="33" t="s">
        <v>217</v>
      </c>
      <c r="B10" s="33"/>
      <c r="C10" s="31"/>
      <c r="D10" s="31"/>
      <c r="E10" s="31"/>
      <c r="F10" s="31"/>
      <c r="G10" s="31"/>
      <c r="H10" s="31"/>
      <c r="I10" s="31"/>
      <c r="J10" s="31"/>
      <c r="K10" s="31"/>
      <c r="L10" s="31"/>
    </row>
    <row r="11" customFormat="false" ht="14.4" hidden="false" customHeight="false" outlineLevel="0" collapsed="false">
      <c r="A11" s="32" t="s">
        <v>218</v>
      </c>
      <c r="B11" s="32"/>
      <c r="C11" s="32"/>
      <c r="D11" s="32" t="n">
        <v>30000</v>
      </c>
      <c r="E11" s="32" t="n">
        <v>50000</v>
      </c>
      <c r="F11" s="32"/>
      <c r="G11" s="32"/>
      <c r="H11" s="32"/>
      <c r="I11" s="32"/>
      <c r="J11" s="32"/>
      <c r="K11" s="32"/>
      <c r="L11" s="32"/>
    </row>
    <row r="12" customFormat="false" ht="14.4" hidden="false" customHeight="false" outlineLevel="0" collapsed="false">
      <c r="A12" s="33" t="s">
        <v>219</v>
      </c>
      <c r="B12" s="33"/>
      <c r="C12" s="31"/>
      <c r="D12" s="31"/>
      <c r="E12" s="31"/>
      <c r="F12" s="31"/>
      <c r="G12" s="31"/>
      <c r="H12" s="31"/>
      <c r="I12" s="31"/>
      <c r="J12" s="31"/>
      <c r="K12" s="31"/>
      <c r="L12" s="31"/>
    </row>
    <row r="13" customFormat="false" ht="14.4" hidden="false" customHeight="false" outlineLevel="0" collapsed="false">
      <c r="A13" s="32"/>
      <c r="B13" s="32"/>
      <c r="C13" s="32"/>
      <c r="D13" s="32"/>
      <c r="E13" s="32"/>
      <c r="F13" s="32"/>
      <c r="G13" s="32"/>
      <c r="H13" s="32"/>
      <c r="I13" s="32"/>
      <c r="J13" s="32"/>
      <c r="K13" s="32"/>
      <c r="L13" s="32"/>
    </row>
    <row r="14" customFormat="false" ht="14.4" hidden="false" customHeight="false" outlineLevel="0" collapsed="false">
      <c r="A14" s="35" t="s">
        <v>220</v>
      </c>
      <c r="B14" s="35"/>
      <c r="C14" s="35" t="n">
        <f aca="false">SUM(C5:C13)</f>
        <v>1619146</v>
      </c>
      <c r="D14" s="35" t="n">
        <f aca="false">SUM(D5:D13)</f>
        <v>431250</v>
      </c>
      <c r="E14" s="35" t="n">
        <f aca="false">SUM(E5:E13)</f>
        <v>487500</v>
      </c>
      <c r="F14" s="35" t="n">
        <f aca="false">SUM(F5:F13)</f>
        <v>191250</v>
      </c>
      <c r="G14" s="35" t="n">
        <f aca="false">SUM(G5:G13)</f>
        <v>376250</v>
      </c>
      <c r="H14" s="35" t="n">
        <f aca="false">SUM(H5:H13)</f>
        <v>168750</v>
      </c>
      <c r="I14" s="35" t="n">
        <f aca="false">SUM(I5:I13)</f>
        <v>237500</v>
      </c>
      <c r="J14" s="35" t="n">
        <f aca="false">SUM(J5:J13)</f>
        <v>187500</v>
      </c>
      <c r="K14" s="35" t="n">
        <f aca="false">SUM(K5:K13)</f>
        <v>75000</v>
      </c>
      <c r="L14" s="35" t="n">
        <f aca="false">SUM(L5:L13)</f>
        <v>115860</v>
      </c>
    </row>
    <row r="15" customFormat="false" ht="14.4" hidden="false" customHeight="false" outlineLevel="0" collapsed="false">
      <c r="A15" s="32" t="s">
        <v>221</v>
      </c>
      <c r="B15" s="32"/>
      <c r="C15" s="32" t="n">
        <v>75000</v>
      </c>
      <c r="D15" s="32" t="n">
        <v>60000</v>
      </c>
      <c r="E15" s="32" t="n">
        <v>60000</v>
      </c>
      <c r="F15" s="32" t="n">
        <v>13500</v>
      </c>
      <c r="G15" s="32" t="n">
        <v>10000</v>
      </c>
      <c r="H15" s="32" t="n">
        <v>10000</v>
      </c>
      <c r="I15" s="32" t="n">
        <v>10000</v>
      </c>
      <c r="J15" s="32" t="n">
        <v>13000</v>
      </c>
      <c r="K15" s="32" t="n">
        <v>10000</v>
      </c>
      <c r="L15" s="32" t="n">
        <v>8000</v>
      </c>
    </row>
    <row r="16" customFormat="false" ht="14.4" hidden="false" customHeight="false" outlineLevel="0" collapsed="false">
      <c r="A16" s="31" t="s">
        <v>222</v>
      </c>
      <c r="B16" s="31"/>
      <c r="C16" s="31" t="n">
        <v>75000</v>
      </c>
      <c r="D16" s="31" t="n">
        <v>15000</v>
      </c>
      <c r="E16" s="31" t="n">
        <v>20000</v>
      </c>
      <c r="F16" s="31" t="n">
        <v>13500</v>
      </c>
      <c r="G16" s="31" t="n">
        <v>15000</v>
      </c>
      <c r="H16" s="31" t="n">
        <v>0</v>
      </c>
      <c r="I16" s="31" t="n">
        <v>0</v>
      </c>
      <c r="J16" s="31" t="n">
        <v>0</v>
      </c>
      <c r="K16" s="31" t="n">
        <v>0</v>
      </c>
      <c r="L16" s="31" t="n">
        <v>0</v>
      </c>
    </row>
    <row r="17" customFormat="false" ht="14.4" hidden="false" customHeight="false" outlineLevel="0" collapsed="false">
      <c r="A17" s="32" t="s">
        <v>223</v>
      </c>
      <c r="B17" s="32"/>
      <c r="C17" s="32" t="n">
        <v>100000</v>
      </c>
      <c r="D17" s="32" t="n">
        <v>20000</v>
      </c>
      <c r="E17" s="32" t="n">
        <v>20000</v>
      </c>
      <c r="F17" s="32" t="n">
        <v>20000</v>
      </c>
      <c r="G17" s="32" t="n">
        <v>20000</v>
      </c>
      <c r="H17" s="32" t="n">
        <v>10000</v>
      </c>
      <c r="I17" s="32" t="n">
        <v>10000</v>
      </c>
      <c r="J17" s="32" t="n">
        <v>10000</v>
      </c>
      <c r="K17" s="32" t="n">
        <v>10000</v>
      </c>
      <c r="L17" s="32" t="n">
        <v>8000</v>
      </c>
    </row>
    <row r="18" customFormat="false" ht="14.4" hidden="false" customHeight="false" outlineLevel="0" collapsed="false">
      <c r="A18" s="31" t="s">
        <v>224</v>
      </c>
      <c r="B18" s="31"/>
      <c r="C18" s="31"/>
      <c r="D18" s="31" t="n">
        <v>20000</v>
      </c>
      <c r="E18" s="31" t="n">
        <v>20000</v>
      </c>
      <c r="F18" s="31" t="n">
        <v>0</v>
      </c>
      <c r="G18" s="31" t="n">
        <v>0</v>
      </c>
      <c r="H18" s="31" t="n">
        <v>0</v>
      </c>
      <c r="I18" s="31" t="n">
        <v>0</v>
      </c>
      <c r="J18" s="31" t="n">
        <v>0</v>
      </c>
      <c r="K18" s="31" t="n">
        <v>0</v>
      </c>
      <c r="L18" s="31" t="n">
        <v>0</v>
      </c>
    </row>
    <row r="19" customFormat="false" ht="14.4" hidden="false" customHeight="false" outlineLevel="0" collapsed="false">
      <c r="A19" s="32"/>
      <c r="B19" s="32"/>
      <c r="C19" s="32"/>
      <c r="D19" s="32"/>
      <c r="E19" s="32"/>
      <c r="F19" s="32"/>
      <c r="G19" s="32"/>
      <c r="H19" s="32"/>
      <c r="I19" s="32"/>
      <c r="J19" s="32"/>
      <c r="K19" s="32"/>
      <c r="L19" s="32"/>
    </row>
    <row r="20" customFormat="false" ht="14.4" hidden="false" customHeight="false" outlineLevel="0" collapsed="false">
      <c r="A20" s="35" t="s">
        <v>225</v>
      </c>
      <c r="B20" s="35"/>
      <c r="C20" s="35" t="n">
        <f aca="false">SUM(C15:C19)</f>
        <v>250000</v>
      </c>
      <c r="D20" s="35" t="n">
        <f aca="false">SUM(D15:D19)</f>
        <v>115000</v>
      </c>
      <c r="E20" s="35" t="n">
        <f aca="false">SUM(E15:E19)</f>
        <v>120000</v>
      </c>
      <c r="F20" s="35" t="n">
        <f aca="false">SUM(F15:F19)</f>
        <v>47000</v>
      </c>
      <c r="G20" s="35" t="n">
        <f aca="false">SUM(G15:G19)</f>
        <v>45000</v>
      </c>
      <c r="H20" s="35" t="n">
        <f aca="false">SUM(H15:H19)</f>
        <v>20000</v>
      </c>
      <c r="I20" s="35" t="n">
        <f aca="false">SUM(I15:I19)</f>
        <v>20000</v>
      </c>
      <c r="J20" s="35" t="n">
        <f aca="false">SUM(J15:J19)</f>
        <v>23000</v>
      </c>
      <c r="K20" s="35" t="n">
        <f aca="false">SUM(K15:K19)</f>
        <v>20000</v>
      </c>
      <c r="L20" s="35" t="n">
        <f aca="false">SUM(L15:L19)</f>
        <v>16000</v>
      </c>
    </row>
    <row r="21" customFormat="false" ht="14.4" hidden="false" customHeight="false" outlineLevel="0" collapsed="false">
      <c r="A21" s="35" t="s">
        <v>226</v>
      </c>
      <c r="B21" s="35"/>
      <c r="C21" s="35" t="n">
        <f aca="false">SUM(C14,C20)</f>
        <v>1869146</v>
      </c>
      <c r="D21" s="35" t="n">
        <f aca="false">SUM(D14,D20)</f>
        <v>546250</v>
      </c>
      <c r="E21" s="35" t="n">
        <f aca="false">SUM(E14,E20)</f>
        <v>607500</v>
      </c>
      <c r="F21" s="35" t="n">
        <f aca="false">SUM(F14,F20)</f>
        <v>238250</v>
      </c>
      <c r="G21" s="35" t="n">
        <f aca="false">SUM(G14,G20)</f>
        <v>421250</v>
      </c>
      <c r="H21" s="35" t="n">
        <f aca="false">SUM(H14,H20)</f>
        <v>188750</v>
      </c>
      <c r="I21" s="35" t="n">
        <f aca="false">SUM(I14,I20)</f>
        <v>257500</v>
      </c>
      <c r="J21" s="35" t="n">
        <f aca="false">SUM(J14,J20)</f>
        <v>210500</v>
      </c>
      <c r="K21" s="35" t="n">
        <f aca="false">SUM(K14,K20)</f>
        <v>95000</v>
      </c>
      <c r="L21" s="35" t="n">
        <f aca="false">SUM(L14,L20)</f>
        <v>131860</v>
      </c>
    </row>
    <row r="22" customFormat="false" ht="14.4" hidden="false" customHeight="false" outlineLevel="0" collapsed="false">
      <c r="A22" s="32" t="s">
        <v>227</v>
      </c>
      <c r="B22" s="36" t="n">
        <v>0.07</v>
      </c>
      <c r="C22" s="32" t="n">
        <f aca="false">MIN(C14,Valores!$C$9)*$B$22</f>
        <v>113340.22</v>
      </c>
      <c r="D22" s="32" t="n">
        <f aca="false">MIN(D14,Valores!$C$9)*$B$22</f>
        <v>30187.5</v>
      </c>
      <c r="E22" s="32" t="n">
        <f aca="false">MIN(E14,Valores!$C$9)*$B$22</f>
        <v>34125</v>
      </c>
      <c r="F22" s="32" t="n">
        <f aca="false">MIN(F14,Valores!$C$9)*$B$22</f>
        <v>13387.5</v>
      </c>
      <c r="G22" s="32" t="n">
        <f aca="false">MIN(G14,Valores!$C$9)*$B$22</f>
        <v>26337.5</v>
      </c>
      <c r="H22" s="32" t="n">
        <f aca="false">MIN(H14,Valores!$C$9)*$B$22</f>
        <v>11812.5</v>
      </c>
      <c r="I22" s="32" t="n">
        <f aca="false">MIN(I14,Valores!$C$9)*$B$22</f>
        <v>16625</v>
      </c>
      <c r="J22" s="32" t="n">
        <f aca="false">MIN(J14,Valores!$C$9)*$B$22</f>
        <v>13125</v>
      </c>
      <c r="K22" s="32" t="n">
        <f aca="false">MIN(K14,Valores!$C$9)*$B$22</f>
        <v>5250</v>
      </c>
      <c r="L22" s="32" t="n">
        <f aca="false">MIN(L14,Valores!$C$9)*$B$22</f>
        <v>8110.2</v>
      </c>
    </row>
    <row r="23" customFormat="false" ht="14.4" hidden="false" customHeight="false" outlineLevel="0" collapsed="false">
      <c r="A23" s="31" t="s">
        <v>228</v>
      </c>
      <c r="B23" s="37" t="n">
        <v>0.1127</v>
      </c>
      <c r="C23" s="31" t="n">
        <f aca="false">MIN(C14,Valores!$C$9)*$B$23</f>
        <v>182477.7542</v>
      </c>
      <c r="D23" s="31" t="n">
        <f aca="false">MIN(D14,Valores!$C$9)*$B$23</f>
        <v>48601.875</v>
      </c>
      <c r="E23" s="31" t="n">
        <f aca="false">MIN(E14,Valores!$C$9)*$B$23</f>
        <v>54941.25</v>
      </c>
      <c r="F23" s="31" t="n">
        <f aca="false">MIN(F14,Valores!$C$9)*$B$23</f>
        <v>21553.875</v>
      </c>
      <c r="G23" s="31" t="n">
        <f aca="false">MIN(G14,Valores!$C$9)*$B$23</f>
        <v>42403.375</v>
      </c>
      <c r="H23" s="31" t="n">
        <f aca="false">MIN(H14,Valores!$C$9)*$B$23</f>
        <v>19018.125</v>
      </c>
      <c r="I23" s="31" t="n">
        <f aca="false">MIN(I14,Valores!$C$9)*$B$23</f>
        <v>26766.25</v>
      </c>
      <c r="J23" s="31" t="n">
        <f aca="false">MIN(J14,Valores!$C$9)*$B$23</f>
        <v>21131.25</v>
      </c>
      <c r="K23" s="31" t="n">
        <f aca="false">MIN(K14,Valores!$C$9)*$B$23</f>
        <v>8452.5</v>
      </c>
      <c r="L23" s="31" t="n">
        <f aca="false">MIN(L14,Valores!$C$9)*$B$23</f>
        <v>13057.422</v>
      </c>
    </row>
    <row r="24" customFormat="false" ht="14.4" hidden="false" customHeight="false" outlineLevel="0" collapsed="false">
      <c r="A24" s="32" t="s">
        <v>229</v>
      </c>
      <c r="B24" s="36"/>
      <c r="C24" s="32" t="n">
        <v>0</v>
      </c>
      <c r="D24" s="32" t="n">
        <v>0</v>
      </c>
      <c r="E24" s="32" t="n">
        <v>0</v>
      </c>
      <c r="F24" s="32" t="n">
        <v>0</v>
      </c>
      <c r="G24" s="32" t="n">
        <v>0</v>
      </c>
      <c r="H24" s="32" t="n">
        <v>0</v>
      </c>
      <c r="I24" s="32" t="n">
        <v>0</v>
      </c>
      <c r="J24" s="32" t="n">
        <v>0</v>
      </c>
      <c r="K24" s="32" t="n">
        <v>0</v>
      </c>
      <c r="L24" s="32" t="n">
        <v>0</v>
      </c>
    </row>
    <row r="25" customFormat="false" ht="14.4" hidden="false" customHeight="false" outlineLevel="0" collapsed="false">
      <c r="A25" s="31" t="s">
        <v>230</v>
      </c>
      <c r="B25" s="37"/>
      <c r="C25" s="31" t="n">
        <f aca="false">(C14-SUM(C22:C24))*VLOOKUP((C14-SUM(C22:C24)),Impuesto[#data],3)-VLOOKUP((C14-SUM(C22:C24)),Impuesto[#data],4)</f>
        <v>25933.121032</v>
      </c>
      <c r="D25" s="31" t="n">
        <f aca="false">(D14-SUM(D22:D24))*VLOOKUP((D14-SUM(D22:D24)),Impuesto[#data],3)-VLOOKUP((D14-SUM(D22:D24)),Impuesto[#data],4)</f>
        <v>0</v>
      </c>
      <c r="E25" s="31" t="n">
        <f aca="false">(E14-SUM(E22:E24))*VLOOKUP((E14-SUM(E22:E24)),Impuesto[#data],3)-VLOOKUP((E14-SUM(E22:E24)),Impuesto[#data],4)</f>
        <v>0</v>
      </c>
      <c r="F25" s="31" t="n">
        <f aca="false">(F14-SUM(F22:F24))*VLOOKUP((F14-SUM(F22:F24)),Impuesto[#data],3)-VLOOKUP((F14-SUM(F22:F24)),Impuesto[#data],4)</f>
        <v>0</v>
      </c>
      <c r="G25" s="31" t="n">
        <f aca="false">(G14-SUM(G22:G24))*VLOOKUP((G14-SUM(G22:G24)),Impuesto[#data],3)-VLOOKUP((G14-SUM(G22:G24)),Impuesto[#data],4)</f>
        <v>0</v>
      </c>
      <c r="H25" s="31" t="n">
        <f aca="false">(H14-SUM(H22:H24))*VLOOKUP((H14-SUM(H22:H24)),Impuesto[#data],3)-VLOOKUP((H14-SUM(H22:H24)),Impuesto[#data],4)</f>
        <v>0</v>
      </c>
      <c r="I25" s="31" t="n">
        <f aca="false">(I14-SUM(I22:I24))*VLOOKUP((I14-SUM(I22:I24)),Impuesto[#data],3)-VLOOKUP((I14-SUM(I22:I24)),Impuesto[#data],4)</f>
        <v>0</v>
      </c>
      <c r="J25" s="31" t="n">
        <f aca="false">(J14-SUM(J22:J24))*VLOOKUP((J14-SUM(J22:J24)),Impuesto[#data],3)-VLOOKUP((J14-SUM(J22:J24)),Impuesto[#data],4)</f>
        <v>0</v>
      </c>
      <c r="K25" s="31" t="n">
        <f aca="false">(K14-SUM(K22:K24))*VLOOKUP((K14-SUM(K22:K24)),Impuesto[#data],3)-VLOOKUP((K14-SUM(K22:K24)),Impuesto[#data],4)</f>
        <v>0</v>
      </c>
      <c r="L25" s="31" t="n">
        <f aca="false">(L14-SUM(L22:L24))*VLOOKUP((L14-SUM(L22:L24)),Impuesto[#data],3)-VLOOKUP((L14-SUM(L22:L24)),Impuesto[#data],4)</f>
        <v>0</v>
      </c>
    </row>
    <row r="26" customFormat="false" ht="14.4" hidden="false" customHeight="false" outlineLevel="0" collapsed="false">
      <c r="A26" s="35" t="s">
        <v>208</v>
      </c>
      <c r="B26" s="35"/>
      <c r="C26" s="35" t="n">
        <f aca="false">C21-SUM(C22:C25)</f>
        <v>1547394.904768</v>
      </c>
      <c r="D26" s="35" t="n">
        <f aca="false">D21-SUM(D22:D25)</f>
        <v>467460.625</v>
      </c>
      <c r="E26" s="35" t="n">
        <f aca="false">E21-SUM(E22:E25)</f>
        <v>518433.75</v>
      </c>
      <c r="F26" s="35" t="n">
        <f aca="false">F21-SUM(F22:F25)</f>
        <v>203308.625</v>
      </c>
      <c r="G26" s="35" t="n">
        <f aca="false">G21-SUM(G22:G25)</f>
        <v>352509.125</v>
      </c>
      <c r="H26" s="35" t="n">
        <f aca="false">H21-SUM(H22:H25)</f>
        <v>157919.375</v>
      </c>
      <c r="I26" s="35" t="n">
        <f aca="false">I21-SUM(I22:I25)</f>
        <v>214108.75</v>
      </c>
      <c r="J26" s="35" t="n">
        <f aca="false">J21-SUM(J22:J25)</f>
        <v>176243.75</v>
      </c>
      <c r="K26" s="35" t="n">
        <f aca="false">K21-SUM(K22:K25)</f>
        <v>81297.5</v>
      </c>
      <c r="L26" s="35" t="n">
        <f aca="false">L21-SUM(L22:L25)</f>
        <v>110692.378</v>
      </c>
    </row>
    <row r="27" customFormat="false" ht="14.4" hidden="false" customHeight="false" outlineLevel="0" collapsed="false">
      <c r="A27" s="31" t="s">
        <v>231</v>
      </c>
      <c r="B27" s="37" t="n">
        <f aca="false">Valores!C6</f>
        <v>0.0127</v>
      </c>
      <c r="C27" s="31" t="n">
        <f aca="false">MIN(C14,Valores!$C$9)*$B$27</f>
        <v>20563.1542</v>
      </c>
      <c r="D27" s="31" t="n">
        <f aca="false">MIN(D14,Valores!$C$9)*$B$27</f>
        <v>5476.875</v>
      </c>
      <c r="E27" s="31" t="n">
        <f aca="false">MIN(E14,Valores!$C$9)*$B$27</f>
        <v>6191.25</v>
      </c>
      <c r="F27" s="31" t="n">
        <f aca="false">MIN(F14,Valores!$C$9)*$B$27</f>
        <v>2428.875</v>
      </c>
      <c r="G27" s="31" t="n">
        <f aca="false">MIN(G14,Valores!$C$9)*$B$27</f>
        <v>4778.375</v>
      </c>
      <c r="H27" s="31" t="n">
        <f aca="false">MIN(H14,Valores!$C$9)*$B$27</f>
        <v>2143.125</v>
      </c>
      <c r="I27" s="31" t="n">
        <f aca="false">MIN(I14,Valores!$C$9)*$B$27</f>
        <v>3016.25</v>
      </c>
      <c r="J27" s="31" t="n">
        <f aca="false">MIN(J14,Valores!$C$9)*$B$27</f>
        <v>2381.25</v>
      </c>
      <c r="K27" s="31" t="n">
        <f aca="false">MIN(K14,Valores!$C$9)*$B$27</f>
        <v>952.5</v>
      </c>
      <c r="L27" s="31" t="n">
        <f aca="false">MIN(L14,Valores!$C$9)*$B$27</f>
        <v>1471.422</v>
      </c>
    </row>
    <row r="28" customFormat="false" ht="14.4" hidden="false" customHeight="false" outlineLevel="0" collapsed="false">
      <c r="A28" s="32" t="s">
        <v>232</v>
      </c>
      <c r="B28" s="36" t="n">
        <f aca="false">Valores!C7</f>
        <v>0.0153</v>
      </c>
      <c r="C28" s="32" t="n">
        <f aca="false">MIN(C14,Valores!$C$9)*$B$28</f>
        <v>24772.9338</v>
      </c>
      <c r="D28" s="32" t="n">
        <f aca="false">MIN(D14,Valores!$C$9)*$B$28</f>
        <v>6598.125</v>
      </c>
      <c r="E28" s="32" t="n">
        <f aca="false">MIN(E14,Valores!$C$9)*$B$28</f>
        <v>7458.75</v>
      </c>
      <c r="F28" s="32" t="n">
        <f aca="false">MIN(F14,Valores!$C$9)*$B$28</f>
        <v>2926.125</v>
      </c>
      <c r="G28" s="32" t="n">
        <f aca="false">MIN(G14,Valores!$C$9)*$B$28</f>
        <v>5756.625</v>
      </c>
      <c r="H28" s="32" t="n">
        <f aca="false">MIN(H14,Valores!$C$9)*$B$28</f>
        <v>2581.875</v>
      </c>
      <c r="I28" s="32" t="n">
        <f aca="false">MIN(I14,Valores!$C$9)*$B$28</f>
        <v>3633.75</v>
      </c>
      <c r="J28" s="32" t="n">
        <f aca="false">MIN(J14,Valores!$C$9)*$B$28</f>
        <v>2868.75</v>
      </c>
      <c r="K28" s="32" t="n">
        <f aca="false">MIN(K14,Valores!$C$9)*$B$28</f>
        <v>1147.5</v>
      </c>
      <c r="L28" s="32" t="n">
        <f aca="false">MIN(L14,Valores!$C$9)*$B$28</f>
        <v>1772.658</v>
      </c>
    </row>
    <row r="29" customFormat="false" ht="14.4" hidden="false" customHeight="false" outlineLevel="0" collapsed="false">
      <c r="A29" s="31" t="s">
        <v>229</v>
      </c>
      <c r="B29" s="37"/>
      <c r="C29" s="31" t="n">
        <f aca="false">IF(C4&lt;&gt;"Plazo Fijo",2.4%,0%)*MIN(C14,Valores!$C$10)</f>
        <v>0</v>
      </c>
      <c r="D29" s="31" t="n">
        <f aca="false">IF(D4="Plazo Fijo",3%,0%)*MIN(D14,Valores!$C$10)</f>
        <v>12937.5</v>
      </c>
      <c r="E29" s="31" t="n">
        <f aca="false">IF(E4="Plazo Fijo",3%,0%)*MIN(E14,Valores!$C$10)</f>
        <v>14625</v>
      </c>
      <c r="F29" s="31" t="n">
        <f aca="false">IF(F4="Plazo Fijo",3%,0%)*MIN(F14,Valores!$C$10)</f>
        <v>5737.5</v>
      </c>
      <c r="G29" s="31" t="n">
        <f aca="false">IF(G4="Plazo Fijo",3%,0%)*MIN(G14,Valores!$C$10)</f>
        <v>11287.5</v>
      </c>
      <c r="H29" s="31" t="n">
        <f aca="false">IF(H4="Plazo Fijo",3%,0%)*MIN(H14,Valores!$C$10)</f>
        <v>5062.5</v>
      </c>
      <c r="I29" s="31" t="n">
        <f aca="false">IF(I4="Plazo Fijo",3%,0%)*MIN(I14,Valores!$C$10)</f>
        <v>7125</v>
      </c>
      <c r="J29" s="31" t="n">
        <f aca="false">IF(J4="Plazo Fijo",3%,0%)*MIN(J14,Valores!$C$10)</f>
        <v>5625</v>
      </c>
      <c r="K29" s="31" t="n">
        <f aca="false">IF(K4="Plazo Fijo",3%,0%)*MIN(K14,Valores!$C$10)</f>
        <v>2250</v>
      </c>
      <c r="L29" s="31" t="n">
        <f aca="false">IF(L4="Plazo Fijo",3%,0%)*MIN(L14,Valores!$C$10)</f>
        <v>3475.8</v>
      </c>
    </row>
    <row r="30" customFormat="false" ht="14.4" hidden="false" customHeight="false" outlineLevel="0" collapsed="false">
      <c r="A30" s="32" t="s">
        <v>233</v>
      </c>
      <c r="B30" s="36" t="n">
        <v>1</v>
      </c>
      <c r="C30" s="32" t="n">
        <f aca="false">((SUM(C21,C27:C29)/30*21)/12)*$B$30</f>
        <v>111678.1218</v>
      </c>
      <c r="D30" s="32" t="n">
        <f aca="false">((SUM(D21,D27:D29)/30*21)/12)*$B$30</f>
        <v>33323.6458333333</v>
      </c>
      <c r="E30" s="32" t="n">
        <f aca="false">((SUM(E21,E27:E29)/30*21)/12)*$B$30</f>
        <v>37086.875</v>
      </c>
      <c r="F30" s="32" t="n">
        <f aca="false">((SUM(F21,F27:F29)/30*21)/12)*$B$30</f>
        <v>14544.9791666667</v>
      </c>
      <c r="G30" s="32" t="n">
        <f aca="false">((SUM(G21,G27:G29)/30*21)/12)*$B$30</f>
        <v>25845.8958333333</v>
      </c>
      <c r="H30" s="32" t="n">
        <f aca="false">((SUM(H21,H27:H29)/30*21)/12)*$B$30</f>
        <v>11581.3541666667</v>
      </c>
      <c r="I30" s="32" t="n">
        <f aca="false">((SUM(I21,I27:I29)/30*21)/12)*$B$30</f>
        <v>15824.375</v>
      </c>
      <c r="J30" s="32" t="n">
        <f aca="false">((SUM(J21,J27:J29)/30*21)/12)*$B$30</f>
        <v>12913.5416666667</v>
      </c>
      <c r="K30" s="32" t="n">
        <f aca="false">((SUM(K21,K27:K29)/30*21)/12)*$B$30</f>
        <v>5795.41666666667</v>
      </c>
      <c r="L30" s="32" t="n">
        <f aca="false">((SUM(L21,L27:L29)/30*21)/12)*$B$30</f>
        <v>8083.82633333333</v>
      </c>
    </row>
    <row r="31" customFormat="false" ht="14.4" hidden="false" customHeight="false" outlineLevel="0" collapsed="false">
      <c r="A31" s="31" t="s">
        <v>234</v>
      </c>
      <c r="B31" s="37" t="n">
        <v>0.5</v>
      </c>
      <c r="C31" s="31"/>
      <c r="D31" s="31"/>
      <c r="E31" s="31"/>
      <c r="F31" s="31"/>
      <c r="G31" s="31"/>
      <c r="H31" s="31"/>
      <c r="I31" s="31"/>
      <c r="J31" s="31"/>
      <c r="K31" s="31"/>
      <c r="L31" s="31"/>
    </row>
    <row r="32" customFormat="false" ht="14.4" hidden="false" customHeight="false" outlineLevel="0" collapsed="false">
      <c r="A32" s="32" t="s">
        <v>235</v>
      </c>
      <c r="B32" s="36" t="n">
        <v>0.5</v>
      </c>
      <c r="C32" s="32"/>
      <c r="D32" s="32"/>
      <c r="E32" s="32"/>
      <c r="F32" s="32"/>
      <c r="G32" s="32"/>
      <c r="H32" s="32"/>
      <c r="I32" s="32"/>
      <c r="J32" s="32"/>
      <c r="K32" s="32"/>
      <c r="L32" s="32"/>
    </row>
    <row r="33" customFormat="false" ht="14.4" hidden="false" customHeight="false" outlineLevel="0" collapsed="false">
      <c r="A33" s="31" t="s">
        <v>236</v>
      </c>
      <c r="B33" s="38" t="n">
        <v>100000</v>
      </c>
      <c r="C33" s="31" t="n">
        <f aca="false">IF(C21&lt;&gt;0,$B$33/12,0)</f>
        <v>8333.33333333333</v>
      </c>
      <c r="D33" s="31" t="n">
        <v>8333.33333333333</v>
      </c>
      <c r="E33" s="31" t="n">
        <v>8333.33333333333</v>
      </c>
      <c r="F33" s="31" t="n">
        <v>8333.33333333333</v>
      </c>
      <c r="G33" s="31" t="n">
        <v>8333.33333333333</v>
      </c>
      <c r="H33" s="31" t="n">
        <v>4166.66666666667</v>
      </c>
      <c r="I33" s="31" t="n">
        <v>4166.66666666667</v>
      </c>
      <c r="J33" s="31" t="n">
        <v>4166.66666666667</v>
      </c>
      <c r="K33" s="31" t="n">
        <v>4166.66666666667</v>
      </c>
      <c r="L33" s="31" t="n">
        <v>4166.66666666667</v>
      </c>
    </row>
    <row r="34" customFormat="false" ht="14.4" hidden="false" customHeight="false" outlineLevel="0" collapsed="false">
      <c r="A34" s="32" t="s">
        <v>237</v>
      </c>
      <c r="B34" s="39"/>
      <c r="C34" s="32" t="n">
        <v>250</v>
      </c>
      <c r="D34" s="32" t="n">
        <v>250</v>
      </c>
      <c r="E34" s="32" t="n">
        <v>250</v>
      </c>
      <c r="F34" s="32" t="n">
        <v>250</v>
      </c>
      <c r="G34" s="32" t="n">
        <v>250</v>
      </c>
      <c r="H34" s="32" t="n">
        <v>250</v>
      </c>
      <c r="I34" s="32" t="n">
        <v>250</v>
      </c>
      <c r="J34" s="32" t="n">
        <v>250</v>
      </c>
      <c r="K34" s="32" t="n">
        <v>250</v>
      </c>
      <c r="L34" s="32" t="n">
        <v>250</v>
      </c>
    </row>
    <row r="35" customFormat="false" ht="14.4" hidden="false" customHeight="false" outlineLevel="0" collapsed="false">
      <c r="A35" s="31" t="s">
        <v>238</v>
      </c>
      <c r="B35" s="38"/>
      <c r="C35" s="31"/>
      <c r="D35" s="31"/>
      <c r="E35" s="31"/>
      <c r="F35" s="31"/>
      <c r="G35" s="31"/>
      <c r="H35" s="31"/>
      <c r="I35" s="31"/>
      <c r="J35" s="31"/>
      <c r="K35" s="31"/>
      <c r="L35" s="31"/>
    </row>
    <row r="36" customFormat="false" ht="14.4" hidden="false" customHeight="false" outlineLevel="0" collapsed="false">
      <c r="A36" s="32" t="s">
        <v>239</v>
      </c>
      <c r="B36" s="39"/>
      <c r="C36" s="32"/>
      <c r="D36" s="32"/>
      <c r="E36" s="32"/>
      <c r="F36" s="32"/>
      <c r="G36" s="32"/>
      <c r="H36" s="32"/>
      <c r="I36" s="32"/>
      <c r="J36" s="32"/>
      <c r="K36" s="32"/>
      <c r="L36" s="32"/>
    </row>
    <row r="37" customFormat="false" ht="14.4" hidden="false" customHeight="false" outlineLevel="0" collapsed="false">
      <c r="A37" s="31" t="s">
        <v>240</v>
      </c>
      <c r="B37" s="38"/>
      <c r="C37" s="31" t="n">
        <v>0</v>
      </c>
      <c r="D37" s="31" t="n">
        <v>3000</v>
      </c>
      <c r="E37" s="31" t="n">
        <v>3000</v>
      </c>
      <c r="F37" s="31" t="n">
        <v>3000</v>
      </c>
      <c r="G37" s="31" t="n">
        <v>0</v>
      </c>
      <c r="H37" s="31"/>
      <c r="I37" s="31"/>
      <c r="J37" s="31"/>
      <c r="K37" s="31"/>
      <c r="L37" s="31"/>
    </row>
    <row r="38" customFormat="false" ht="14.4" hidden="false" customHeight="false" outlineLevel="0" collapsed="false">
      <c r="A38" s="32" t="s">
        <v>241</v>
      </c>
      <c r="B38" s="39"/>
      <c r="C38" s="32" t="n">
        <v>0</v>
      </c>
      <c r="D38" s="32" t="n">
        <v>0</v>
      </c>
      <c r="E38" s="32" t="n">
        <v>0</v>
      </c>
      <c r="F38" s="32"/>
      <c r="G38" s="32" t="n">
        <v>0</v>
      </c>
      <c r="H38" s="32" t="n">
        <v>0</v>
      </c>
      <c r="I38" s="32"/>
      <c r="J38" s="32"/>
      <c r="K38" s="32"/>
      <c r="L38" s="32"/>
    </row>
    <row r="39" customFormat="false" ht="14.4" hidden="false" customHeight="false" outlineLevel="0" collapsed="false">
      <c r="A39" s="31" t="s">
        <v>242</v>
      </c>
      <c r="B39" s="38" t="n">
        <v>6000</v>
      </c>
      <c r="C39" s="31"/>
      <c r="D39" s="31" t="n">
        <v>300</v>
      </c>
      <c r="E39" s="31" t="n">
        <v>300</v>
      </c>
      <c r="F39" s="31" t="n">
        <v>300</v>
      </c>
      <c r="G39" s="31" t="n">
        <v>300</v>
      </c>
      <c r="H39" s="31" t="n">
        <v>300</v>
      </c>
      <c r="I39" s="31" t="n">
        <v>300</v>
      </c>
      <c r="J39" s="31" t="n">
        <v>300</v>
      </c>
      <c r="K39" s="31" t="n">
        <v>300</v>
      </c>
      <c r="L39" s="31" t="n">
        <v>300</v>
      </c>
    </row>
    <row r="40" customFormat="false" ht="14.4" hidden="false" customHeight="false" outlineLevel="0" collapsed="false">
      <c r="A40" s="32" t="s">
        <v>243</v>
      </c>
      <c r="B40" s="39"/>
      <c r="C40" s="32"/>
      <c r="D40" s="32"/>
      <c r="E40" s="32"/>
      <c r="F40" s="32"/>
      <c r="G40" s="32"/>
      <c r="H40" s="32"/>
      <c r="I40" s="32"/>
      <c r="J40" s="32"/>
      <c r="K40" s="32"/>
      <c r="L40" s="32"/>
    </row>
    <row r="41" customFormat="false" ht="14.4" hidden="false" customHeight="false" outlineLevel="0" collapsed="false">
      <c r="A41" s="31" t="s">
        <v>244</v>
      </c>
      <c r="B41" s="38"/>
      <c r="C41" s="31"/>
      <c r="D41" s="31"/>
      <c r="E41" s="31" t="n">
        <v>5000</v>
      </c>
      <c r="F41" s="31" t="n">
        <v>5000</v>
      </c>
      <c r="G41" s="31" t="n">
        <v>5000</v>
      </c>
      <c r="H41" s="31" t="n">
        <v>5000</v>
      </c>
      <c r="I41" s="31" t="n">
        <v>5000</v>
      </c>
      <c r="J41" s="31" t="n">
        <v>5000</v>
      </c>
      <c r="K41" s="31" t="n">
        <v>5000</v>
      </c>
      <c r="L41" s="31" t="n">
        <v>5000</v>
      </c>
    </row>
    <row r="42" customFormat="false" ht="14.4" hidden="false" customHeight="false" outlineLevel="0" collapsed="false">
      <c r="A42" s="32" t="s">
        <v>245</v>
      </c>
      <c r="B42" s="39"/>
      <c r="C42" s="32"/>
      <c r="D42" s="32"/>
      <c r="E42" s="32"/>
      <c r="F42" s="32"/>
      <c r="G42" s="32"/>
      <c r="H42" s="32"/>
      <c r="I42" s="32"/>
      <c r="J42" s="32"/>
      <c r="K42" s="32"/>
      <c r="L42" s="32"/>
    </row>
    <row r="43" customFormat="false" ht="14.4" hidden="false" customHeight="false" outlineLevel="0" collapsed="false">
      <c r="A43" s="31" t="s">
        <v>246</v>
      </c>
      <c r="B43" s="37"/>
      <c r="C43" s="31"/>
      <c r="D43" s="31"/>
      <c r="E43" s="31"/>
      <c r="F43" s="31"/>
      <c r="G43" s="31"/>
      <c r="H43" s="31"/>
      <c r="I43" s="31"/>
      <c r="J43" s="31"/>
      <c r="K43" s="31"/>
      <c r="L43" s="31"/>
    </row>
    <row r="44" customFormat="false" ht="14.4" hidden="false" customHeight="false" outlineLevel="0" collapsed="false">
      <c r="A44" s="32" t="s">
        <v>247</v>
      </c>
      <c r="B44" s="36"/>
      <c r="C44" s="32" t="n">
        <v>3000</v>
      </c>
      <c r="D44" s="32" t="n">
        <v>3000</v>
      </c>
      <c r="E44" s="32" t="n">
        <v>3000</v>
      </c>
      <c r="F44" s="32" t="n">
        <v>3000</v>
      </c>
      <c r="G44" s="32" t="n">
        <v>3000</v>
      </c>
      <c r="H44" s="32" t="n">
        <v>3000</v>
      </c>
      <c r="I44" s="32" t="n">
        <v>3000</v>
      </c>
      <c r="J44" s="32" t="n">
        <v>3000</v>
      </c>
      <c r="K44" s="32" t="n">
        <v>3000</v>
      </c>
      <c r="L44" s="32" t="n">
        <v>3000</v>
      </c>
    </row>
    <row r="45" customFormat="false" ht="14.4" hidden="false" customHeight="false" outlineLevel="0" collapsed="false">
      <c r="A45" s="31" t="s">
        <v>248</v>
      </c>
      <c r="B45" s="37"/>
      <c r="C45" s="31"/>
      <c r="D45" s="31"/>
      <c r="E45" s="31" t="n">
        <v>10000</v>
      </c>
      <c r="F45" s="31" t="n">
        <v>10000</v>
      </c>
      <c r="G45" s="31" t="n">
        <v>10000</v>
      </c>
      <c r="H45" s="31" t="n">
        <v>10000</v>
      </c>
      <c r="I45" s="31" t="n">
        <v>10000</v>
      </c>
      <c r="J45" s="31" t="n">
        <v>10000</v>
      </c>
      <c r="K45" s="31" t="n">
        <v>10000</v>
      </c>
      <c r="L45" s="31" t="n">
        <v>10000</v>
      </c>
    </row>
    <row r="46" customFormat="false" ht="14.4" hidden="false" customHeight="false" outlineLevel="0" collapsed="false">
      <c r="A46" s="35" t="s">
        <v>249</v>
      </c>
      <c r="B46" s="35"/>
      <c r="C46" s="35" t="n">
        <f aca="false">SUM(C21,C27:C45)</f>
        <v>2037743.54313333</v>
      </c>
      <c r="D46" s="35" t="n">
        <f aca="false">SUM(D21,D27:D45)</f>
        <v>619469.479166667</v>
      </c>
      <c r="E46" s="35" t="n">
        <f aca="false">SUM(E21,E27:E45)</f>
        <v>702745.208333333</v>
      </c>
      <c r="F46" s="35" t="n">
        <f aca="false">SUM(F21,F27:F45)</f>
        <v>293770.8125</v>
      </c>
      <c r="G46" s="35" t="n">
        <f aca="false">SUM(G21,G27:G45)</f>
        <v>495801.729166667</v>
      </c>
      <c r="H46" s="35" t="n">
        <f aca="false">SUM(H21,H27:H45)</f>
        <v>232835.520833333</v>
      </c>
      <c r="I46" s="35" t="n">
        <f aca="false">SUM(I21,I27:I45)</f>
        <v>309816.041666667</v>
      </c>
      <c r="J46" s="35" t="n">
        <f aca="false">SUM(J21,J27:J45)</f>
        <v>257005.208333333</v>
      </c>
      <c r="K46" s="35" t="n">
        <f aca="false">SUM(K21,K27:K45)</f>
        <v>127862.083333333</v>
      </c>
      <c r="L46" s="35" t="n">
        <f aca="false">SUM(L21,L27:L45)</f>
        <v>169380.373</v>
      </c>
    </row>
    <row r="47" customFormat="false" ht="14.4" hidden="false" customHeight="false" outlineLevel="0" collapsed="false">
      <c r="A47" s="32" t="s">
        <v>250</v>
      </c>
      <c r="B47" s="36" t="n">
        <v>0.05</v>
      </c>
      <c r="C47" s="32" t="n">
        <f aca="false">C46*$B$47</f>
        <v>101887.177156667</v>
      </c>
      <c r="D47" s="32" t="n">
        <f aca="false">D46*$B$47</f>
        <v>30973.4739583333</v>
      </c>
      <c r="E47" s="32" t="n">
        <f aca="false">E46*$B$47</f>
        <v>35137.2604166667</v>
      </c>
      <c r="F47" s="32" t="n">
        <f aca="false">F46*$B$47</f>
        <v>14688.540625</v>
      </c>
      <c r="G47" s="32" t="n">
        <f aca="false">G46*$B$47</f>
        <v>24790.0864583333</v>
      </c>
      <c r="H47" s="32" t="n">
        <f aca="false">H46*$B$47</f>
        <v>11641.7760416667</v>
      </c>
      <c r="I47" s="32" t="n">
        <f aca="false">I46*$B$47</f>
        <v>15490.8020833333</v>
      </c>
      <c r="J47" s="32" t="n">
        <f aca="false">J46*$B$47</f>
        <v>12850.2604166667</v>
      </c>
      <c r="K47" s="32" t="n">
        <f aca="false">K46*$B$47</f>
        <v>6393.10416666667</v>
      </c>
      <c r="L47" s="32" t="n">
        <f aca="false">L46*$B$47</f>
        <v>8469.01865</v>
      </c>
    </row>
    <row r="48" customFormat="false" ht="14.4" hidden="false" customHeight="false" outlineLevel="0" collapsed="false">
      <c r="A48" s="35" t="s">
        <v>251</v>
      </c>
      <c r="B48" s="35"/>
      <c r="C48" s="35" t="n">
        <f aca="false">SUM(C46:C47)</f>
        <v>2139630.72029</v>
      </c>
      <c r="D48" s="35" t="n">
        <f aca="false">SUM(D46:D47)</f>
        <v>650442.953125</v>
      </c>
      <c r="E48" s="35" t="n">
        <f aca="false">SUM(E46:E47)</f>
        <v>737882.46875</v>
      </c>
      <c r="F48" s="35" t="n">
        <f aca="false">SUM(F46:F47)</f>
        <v>308459.353125</v>
      </c>
      <c r="G48" s="35" t="n">
        <f aca="false">SUM(G46:G47)</f>
        <v>520591.815625</v>
      </c>
      <c r="H48" s="35" t="n">
        <f aca="false">SUM(H46:H47)</f>
        <v>244477.296875</v>
      </c>
      <c r="I48" s="35" t="n">
        <f aca="false">SUM(I46:I47)</f>
        <v>325306.84375</v>
      </c>
      <c r="J48" s="35" t="n">
        <f aca="false">SUM(J46:J47)</f>
        <v>269855.46875</v>
      </c>
      <c r="K48" s="35" t="n">
        <f aca="false">SUM(K46:K47)</f>
        <v>134255.1875</v>
      </c>
      <c r="L48" s="35" t="n">
        <f aca="false">SUM(L46:L47)</f>
        <v>177849.39165</v>
      </c>
    </row>
    <row r="49" customFormat="false" ht="14.4" hidden="false" customHeight="false" outlineLevel="0" collapsed="false">
      <c r="A49" s="32" t="s">
        <v>219</v>
      </c>
      <c r="B49" s="36" t="n">
        <v>0.15</v>
      </c>
      <c r="C49" s="32" t="n">
        <f aca="false">C48*$B$49</f>
        <v>320944.6080435</v>
      </c>
      <c r="D49" s="32" t="n">
        <f aca="false">D48*$B$49</f>
        <v>97566.44296875</v>
      </c>
      <c r="E49" s="32" t="n">
        <f aca="false">E48*$B$49</f>
        <v>110682.3703125</v>
      </c>
      <c r="F49" s="32" t="n">
        <f aca="false">F48*$B$49</f>
        <v>46268.90296875</v>
      </c>
      <c r="G49" s="32" t="n">
        <f aca="false">G48*$B$49</f>
        <v>78088.77234375</v>
      </c>
      <c r="H49" s="32" t="n">
        <f aca="false">H48*$B$49</f>
        <v>36671.59453125</v>
      </c>
      <c r="I49" s="32" t="n">
        <f aca="false">I48*$B$49</f>
        <v>48796.0265625</v>
      </c>
      <c r="J49" s="32" t="n">
        <f aca="false">J48*$B$49</f>
        <v>40478.3203125</v>
      </c>
      <c r="K49" s="32" t="n">
        <f aca="false">K48*$B$49</f>
        <v>20138.278125</v>
      </c>
      <c r="L49" s="32" t="n">
        <f aca="false">L48*$B$49</f>
        <v>26677.4087475</v>
      </c>
    </row>
    <row r="50" customFormat="false" ht="14.4" hidden="false" customHeight="false" outlineLevel="0" collapsed="false">
      <c r="A50" s="35" t="s">
        <v>252</v>
      </c>
      <c r="B50" s="35"/>
      <c r="C50" s="35" t="n">
        <f aca="false">SUM(C48:C49)</f>
        <v>2460575.3283335</v>
      </c>
      <c r="D50" s="35" t="n">
        <f aca="false">SUM(D48:D49)</f>
        <v>748009.39609375</v>
      </c>
      <c r="E50" s="35" t="n">
        <f aca="false">SUM(E48:E49)</f>
        <v>848564.8390625</v>
      </c>
      <c r="F50" s="35" t="n">
        <f aca="false">SUM(F48:F49)</f>
        <v>354728.25609375</v>
      </c>
      <c r="G50" s="35" t="n">
        <f aca="false">SUM(G48:G49)</f>
        <v>598680.58796875</v>
      </c>
      <c r="H50" s="35" t="n">
        <f aca="false">SUM(H48:H49)</f>
        <v>281148.89140625</v>
      </c>
      <c r="I50" s="35" t="n">
        <f aca="false">SUM(I48:I49)</f>
        <v>374102.8703125</v>
      </c>
      <c r="J50" s="35" t="n">
        <f aca="false">SUM(J48:J49)</f>
        <v>310333.7890625</v>
      </c>
      <c r="K50" s="35" t="n">
        <f aca="false">SUM(K48:K49)</f>
        <v>154393.465625</v>
      </c>
      <c r="L50" s="35" t="n">
        <f aca="false">SUM(L48:L49)</f>
        <v>204526.8003975</v>
      </c>
    </row>
    <row r="51" customFormat="false" ht="14.4" hidden="false" customHeight="false" outlineLevel="0" collapsed="false">
      <c r="A51" s="35"/>
      <c r="B51" s="35"/>
      <c r="C51" s="40"/>
      <c r="D51" s="40"/>
      <c r="E51" s="40"/>
      <c r="F51" s="40"/>
      <c r="G51" s="40"/>
      <c r="H51" s="40"/>
      <c r="I51" s="40"/>
      <c r="J51" s="40"/>
      <c r="K51" s="40"/>
      <c r="L51" s="40"/>
    </row>
    <row r="53" customFormat="false" ht="14.4" hidden="false" customHeight="false" outlineLevel="0" collapsed="false">
      <c r="A53" s="35" t="s">
        <v>253</v>
      </c>
      <c r="B53" s="35"/>
      <c r="C53" s="35" t="n">
        <f aca="false">C46-C55-C54</f>
        <v>1917732.088</v>
      </c>
      <c r="D53" s="35" t="n">
        <f aca="false">D46-D55-D54</f>
        <v>547812.5</v>
      </c>
      <c r="E53" s="35" t="n">
        <f aca="false">E46-E55-E54</f>
        <v>607325</v>
      </c>
      <c r="F53" s="35" t="n">
        <f aca="false">F46-F55-F54</f>
        <v>270892.5</v>
      </c>
      <c r="G53" s="35" t="n">
        <f aca="false">G46-G55-G54</f>
        <v>461622.5</v>
      </c>
      <c r="H53" s="35" t="n">
        <f aca="false">H46-H55-H54</f>
        <v>217087.5</v>
      </c>
      <c r="I53" s="35" t="n">
        <f aca="false">I46-I55-I54</f>
        <v>289825</v>
      </c>
      <c r="J53" s="35" t="n">
        <f aca="false">J46-J55-J54</f>
        <v>239925</v>
      </c>
      <c r="K53" s="35" t="n">
        <f aca="false">K46-K55-K54</f>
        <v>117900</v>
      </c>
      <c r="L53" s="35" t="n">
        <f aca="false">L46-L55-L54</f>
        <v>157129.88</v>
      </c>
    </row>
    <row r="54" customFormat="false" ht="14.4" hidden="false" customHeight="false" outlineLevel="0" collapsed="false">
      <c r="A54" s="35" t="s">
        <v>254</v>
      </c>
      <c r="B54" s="35"/>
      <c r="C54" s="35" t="n">
        <f aca="false">SUM(C9:C13)</f>
        <v>0</v>
      </c>
      <c r="D54" s="35" t="n">
        <f aca="false">SUM(D9:D13)</f>
        <v>30000</v>
      </c>
      <c r="E54" s="35" t="n">
        <f aca="false">SUM(E9:E13)</f>
        <v>50000</v>
      </c>
      <c r="F54" s="35" t="n">
        <f aca="false">SUM(F9:F13)</f>
        <v>0</v>
      </c>
      <c r="G54" s="35" t="n">
        <f aca="false">SUM(G9:G13)</f>
        <v>0</v>
      </c>
      <c r="H54" s="35" t="n">
        <f aca="false">SUM(H9:H13)</f>
        <v>0</v>
      </c>
      <c r="I54" s="35" t="n">
        <f aca="false">SUM(I9:I13)</f>
        <v>0</v>
      </c>
      <c r="J54" s="35" t="n">
        <f aca="false">SUM(J9:J13)</f>
        <v>0</v>
      </c>
      <c r="K54" s="35" t="n">
        <f aca="false">SUM(K9:K13)</f>
        <v>0</v>
      </c>
      <c r="L54" s="35" t="n">
        <f aca="false">SUM(L9:L13)</f>
        <v>0</v>
      </c>
    </row>
    <row r="55" customFormat="false" ht="14.4" hidden="false" customHeight="false" outlineLevel="0" collapsed="false">
      <c r="A55" s="35" t="s">
        <v>255</v>
      </c>
      <c r="B55" s="35"/>
      <c r="C55" s="35" t="n">
        <f aca="false">SUM(C30:C33)</f>
        <v>120011.455133333</v>
      </c>
      <c r="D55" s="35" t="n">
        <f aca="false">SUM(D30:D33)</f>
        <v>41656.9791666667</v>
      </c>
      <c r="E55" s="35" t="n">
        <f aca="false">SUM(E30:E33)</f>
        <v>45420.2083333333</v>
      </c>
      <c r="F55" s="35" t="n">
        <f aca="false">SUM(F30:F33)</f>
        <v>22878.3125</v>
      </c>
      <c r="G55" s="35" t="n">
        <f aca="false">SUM(G30:G33)</f>
        <v>34179.2291666667</v>
      </c>
      <c r="H55" s="35" t="n">
        <f aca="false">SUM(H30:H33)</f>
        <v>15748.0208333333</v>
      </c>
      <c r="I55" s="35" t="n">
        <f aca="false">SUM(I30:I33)</f>
        <v>19991.0416666667</v>
      </c>
      <c r="J55" s="35" t="n">
        <f aca="false">SUM(J30:J33)</f>
        <v>17080.2083333333</v>
      </c>
      <c r="K55" s="35" t="n">
        <f aca="false">SUM(K30:K33)</f>
        <v>9962.08333333333</v>
      </c>
      <c r="L55" s="35" t="n">
        <f aca="false">SUM(L30:L33)</f>
        <v>12250.493</v>
      </c>
    </row>
    <row r="57" s="42" customFormat="true" ht="14.4" hidden="false" customHeight="false" outlineLevel="0" collapsed="false">
      <c r="A57" s="35" t="s">
        <v>2</v>
      </c>
      <c r="B57" s="41"/>
      <c r="C57" s="41" t="n">
        <v>0</v>
      </c>
      <c r="D57" s="41" t="n">
        <v>0</v>
      </c>
      <c r="E57" s="41" t="n">
        <v>0</v>
      </c>
      <c r="F57" s="41" t="n">
        <v>0</v>
      </c>
      <c r="G57" s="41" t="n">
        <v>2</v>
      </c>
      <c r="H57" s="41" t="n">
        <v>2</v>
      </c>
      <c r="I57" s="41" t="n">
        <v>0</v>
      </c>
      <c r="J57" s="41" t="n">
        <v>9</v>
      </c>
      <c r="K57" s="41" t="n">
        <v>13</v>
      </c>
      <c r="L57" s="41" t="n">
        <v>24</v>
      </c>
    </row>
    <row r="58" customFormat="false" ht="15.6" hidden="false" customHeight="false" outlineLevel="0" collapsed="false">
      <c r="A58" s="43" t="s">
        <v>256</v>
      </c>
      <c r="B58" s="43"/>
      <c r="C58" s="43" t="n">
        <f aca="false">C57*C50</f>
        <v>0</v>
      </c>
      <c r="D58" s="43" t="n">
        <f aca="false">D57*D50</f>
        <v>0</v>
      </c>
      <c r="E58" s="43" t="n">
        <f aca="false">E57*E50</f>
        <v>0</v>
      </c>
      <c r="F58" s="43" t="n">
        <f aca="false">F57*F50</f>
        <v>0</v>
      </c>
      <c r="G58" s="43" t="n">
        <f aca="false">G57*G50</f>
        <v>1197361.1759375</v>
      </c>
      <c r="H58" s="43" t="n">
        <f aca="false">H57*H50</f>
        <v>562297.7828125</v>
      </c>
      <c r="I58" s="43" t="n">
        <f aca="false">I57*I50</f>
        <v>0</v>
      </c>
      <c r="J58" s="43" t="n">
        <f aca="false">J57*J50</f>
        <v>2793004.1015625</v>
      </c>
      <c r="K58" s="43" t="n">
        <f aca="false">K57*K50</f>
        <v>2007115.053125</v>
      </c>
      <c r="L58" s="43" t="n">
        <f aca="false">L57*L50</f>
        <v>4908643.20954</v>
      </c>
      <c r="M58" s="43" t="n">
        <f aca="false">+SUM(C58:L58)</f>
        <v>11468421.3229775</v>
      </c>
    </row>
    <row r="60" customFormat="false" ht="15.6" hidden="false" customHeight="false" outlineLevel="0" collapsed="false">
      <c r="D60" s="0" t="s">
        <v>255</v>
      </c>
      <c r="E60" s="43" t="n">
        <f aca="false">+E55*E57</f>
        <v>0</v>
      </c>
      <c r="F60" s="43" t="n">
        <f aca="false">+F55*F57</f>
        <v>0</v>
      </c>
      <c r="G60" s="43" t="n">
        <f aca="false">+G55*G57</f>
        <v>68358.4583333333</v>
      </c>
      <c r="H60" s="43" t="n">
        <f aca="false">+H55*H57</f>
        <v>31496.0416666667</v>
      </c>
      <c r="I60" s="43" t="n">
        <f aca="false">+I55*I57</f>
        <v>0</v>
      </c>
      <c r="J60" s="43" t="n">
        <f aca="false">+J55*J57</f>
        <v>153721.875</v>
      </c>
      <c r="K60" s="43" t="n">
        <f aca="false">+K55*K57</f>
        <v>129507.083333333</v>
      </c>
      <c r="L60" s="43" t="n">
        <f aca="false">+L55*L57</f>
        <v>294011.832</v>
      </c>
      <c r="M60" s="43" t="n">
        <f aca="false">+SUM(C60:L60)</f>
        <v>677095.290333333</v>
      </c>
    </row>
    <row r="61" customFormat="false" ht="15.6" hidden="false" customHeight="false" outlineLevel="0" collapsed="false">
      <c r="D61" s="0" t="s">
        <v>250</v>
      </c>
      <c r="E61" s="43" t="n">
        <f aca="false">E47*E57</f>
        <v>0</v>
      </c>
      <c r="F61" s="43" t="n">
        <f aca="false">F47*F57</f>
        <v>0</v>
      </c>
      <c r="G61" s="43" t="n">
        <f aca="false">G47*G57</f>
        <v>49580.1729166667</v>
      </c>
      <c r="H61" s="43" t="n">
        <f aca="false">H47*H57</f>
        <v>23283.5520833333</v>
      </c>
      <c r="I61" s="43" t="n">
        <f aca="false">I47*I57</f>
        <v>0</v>
      </c>
      <c r="J61" s="43" t="n">
        <f aca="false">J47*J57</f>
        <v>115652.34375</v>
      </c>
      <c r="K61" s="43" t="n">
        <f aca="false">K47*K57</f>
        <v>83110.3541666667</v>
      </c>
      <c r="L61" s="43" t="n">
        <f aca="false">L47*L57</f>
        <v>203256.4476</v>
      </c>
      <c r="M61" s="43" t="n">
        <f aca="false">+SUM(C61:L61)</f>
        <v>474882.870516667</v>
      </c>
    </row>
    <row r="62" customFormat="false" ht="15.6" hidden="false" customHeight="false" outlineLevel="0" collapsed="false">
      <c r="D62" s="0" t="s">
        <v>257</v>
      </c>
      <c r="E62" s="43" t="n">
        <f aca="false">E49*E57</f>
        <v>0</v>
      </c>
      <c r="F62" s="43" t="n">
        <f aca="false">F49*F57</f>
        <v>0</v>
      </c>
      <c r="G62" s="43" t="n">
        <f aca="false">G49*G57</f>
        <v>156177.5446875</v>
      </c>
      <c r="H62" s="43" t="n">
        <f aca="false">H49*H57</f>
        <v>73343.1890625</v>
      </c>
      <c r="I62" s="43" t="n">
        <f aca="false">I49*I57</f>
        <v>0</v>
      </c>
      <c r="J62" s="43" t="n">
        <f aca="false">J49*J57</f>
        <v>364304.8828125</v>
      </c>
      <c r="K62" s="43" t="n">
        <f aca="false">K49*K57</f>
        <v>261797.615625</v>
      </c>
      <c r="L62" s="43" t="n">
        <f aca="false">L49*L57</f>
        <v>640257.80994</v>
      </c>
      <c r="M62" s="43" t="n">
        <f aca="false">+SUM(C62:L62)</f>
        <v>1495881.0421275</v>
      </c>
    </row>
    <row r="63" customFormat="false" ht="15.6" hidden="false" customHeight="false" outlineLevel="0" collapsed="false">
      <c r="D63" s="0" t="s">
        <v>258</v>
      </c>
      <c r="E63" s="43" t="n">
        <f aca="false">E45*E57</f>
        <v>0</v>
      </c>
      <c r="F63" s="43" t="n">
        <f aca="false">F45*F57</f>
        <v>0</v>
      </c>
      <c r="G63" s="43" t="n">
        <f aca="false">G45*G57</f>
        <v>20000</v>
      </c>
      <c r="H63" s="43" t="n">
        <f aca="false">H45*H57</f>
        <v>20000</v>
      </c>
      <c r="I63" s="43" t="n">
        <f aca="false">I45*I57</f>
        <v>0</v>
      </c>
      <c r="J63" s="43" t="n">
        <f aca="false">J45*J57</f>
        <v>90000</v>
      </c>
      <c r="K63" s="43" t="n">
        <f aca="false">K45*K57</f>
        <v>130000</v>
      </c>
      <c r="L63" s="43" t="n">
        <f aca="false">L45*L57</f>
        <v>240000</v>
      </c>
      <c r="M63" s="43" t="n">
        <f aca="false">+SUM(C63:L63)</f>
        <v>500000</v>
      </c>
    </row>
    <row r="66" customFormat="false" ht="14.4" hidden="false" customHeight="false" outlineLevel="0" collapsed="false">
      <c r="G66" s="0" t="n">
        <v>2</v>
      </c>
      <c r="H66" s="0" t="n">
        <v>2</v>
      </c>
      <c r="J66" s="0" t="n">
        <v>9</v>
      </c>
      <c r="K66" s="0" t="n">
        <v>18</v>
      </c>
      <c r="L66" s="0" t="n">
        <v>19</v>
      </c>
    </row>
  </sheetData>
  <dataValidations count="1">
    <dataValidation allowBlank="true" operator="between" showDropDown="false" showErrorMessage="true" showInputMessage="true" sqref="C4:L4" type="list">
      <formula1>"Plazo Fijo,Indefinido"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875" defaultRowHeight="14.4" zeroHeight="false" outlineLevelRow="0" outlineLevelCol="0"/>
  <cols>
    <col collapsed="false" customWidth="true" hidden="false" outlineLevel="0" max="1" min="1" style="0" width="14.44"/>
  </cols>
  <sheetData>
    <row r="1" customFormat="false" ht="14.4" hidden="false" customHeight="false" outlineLevel="0" collapsed="false">
      <c r="A1" s="6" t="s">
        <v>259</v>
      </c>
    </row>
    <row r="2" customFormat="false" ht="14.4" hidden="false" customHeight="false" outlineLevel="0" collapsed="false">
      <c r="A2" s="3" t="n">
        <f aca="false">Estructuras!D3*(1/24)/4</f>
        <v>6775.44742838542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B1:H117"/>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C22" activeCellId="0" sqref="C22"/>
    </sheetView>
  </sheetViews>
  <sheetFormatPr defaultColWidth="10.6875" defaultRowHeight="14.4" zeroHeight="false" outlineLevelRow="0" outlineLevelCol="0"/>
  <cols>
    <col collapsed="false" customWidth="true" hidden="false" outlineLevel="0" max="4" min="3" style="0" width="19.89"/>
    <col collapsed="false" customWidth="true" hidden="false" outlineLevel="0" max="5" min="5" style="3" width="18"/>
    <col collapsed="false" customWidth="true" hidden="false" outlineLevel="0" max="6" min="6" style="3" width="18.11"/>
    <col collapsed="false" customWidth="true" hidden="false" outlineLevel="0" max="7" min="7" style="3" width="23.11"/>
    <col collapsed="false" customWidth="true" hidden="false" outlineLevel="0" max="8" min="8" style="3" width="23.34"/>
  </cols>
  <sheetData>
    <row r="1" customFormat="false" ht="14.4" hidden="false" customHeight="false" outlineLevel="0" collapsed="false">
      <c r="G1" s="44" t="n">
        <v>4</v>
      </c>
      <c r="H1" s="44" t="n">
        <v>5</v>
      </c>
    </row>
    <row r="2" customFormat="false" ht="14.4" hidden="false" customHeight="false" outlineLevel="0" collapsed="false">
      <c r="B2" s="26" t="s">
        <v>7</v>
      </c>
      <c r="C2" s="26" t="s">
        <v>260</v>
      </c>
      <c r="D2" s="26" t="s">
        <v>167</v>
      </c>
      <c r="E2" s="3" t="s">
        <v>261</v>
      </c>
      <c r="F2" s="3" t="s">
        <v>262</v>
      </c>
      <c r="G2" s="3" t="s">
        <v>263</v>
      </c>
      <c r="H2" s="3" t="s">
        <v>264</v>
      </c>
    </row>
    <row r="3" customFormat="false" ht="14.4" hidden="false" customHeight="false" outlineLevel="0" collapsed="false">
      <c r="B3" s="0" t="s">
        <v>34</v>
      </c>
      <c r="C3" s="0" t="s">
        <v>81</v>
      </c>
      <c r="D3" s="0" t="str">
        <f aca="false">CONCATENATE(Tabla12[[#This Row],[Cadena]],Tabla12[[#This Row],[Etiquetas de fila]])</f>
        <v>RipleyAlto las Condes</v>
      </c>
      <c r="E3" s="3" t="n">
        <v>18110</v>
      </c>
      <c r="F3" s="3" t="n">
        <v>1087</v>
      </c>
      <c r="G3" s="3" t="n">
        <f aca="false">+E3/0.65</f>
        <v>27861.5384615385</v>
      </c>
      <c r="H3" s="3" t="n">
        <f aca="false">+F3/0.65</f>
        <v>1672.30769230769</v>
      </c>
    </row>
    <row r="4" customFormat="false" ht="14.4" hidden="false" customHeight="false" outlineLevel="0" collapsed="false">
      <c r="B4" s="0" t="s">
        <v>34</v>
      </c>
      <c r="C4" s="0" t="s">
        <v>62</v>
      </c>
      <c r="D4" s="0" t="str">
        <f aca="false">CONCATENATE(Tabla12[[#This Row],[Cadena]],Tabla12[[#This Row],[Etiquetas de fila]])</f>
        <v>RipleyAntofagasta</v>
      </c>
      <c r="E4" s="3" t="n">
        <v>918458</v>
      </c>
      <c r="F4" s="3" t="n">
        <v>428577</v>
      </c>
      <c r="G4" s="3" t="n">
        <f aca="false">+E4/0.65</f>
        <v>1413012.30769231</v>
      </c>
      <c r="H4" s="3" t="n">
        <f aca="false">+F4/0.65</f>
        <v>659349.230769231</v>
      </c>
    </row>
    <row r="5" customFormat="false" ht="14.4" hidden="false" customHeight="false" outlineLevel="0" collapsed="false">
      <c r="B5" s="0" t="s">
        <v>34</v>
      </c>
      <c r="C5" s="0" t="s">
        <v>83</v>
      </c>
      <c r="D5" s="0" t="str">
        <f aca="false">CONCATENATE(Tabla12[[#This Row],[Cadena]],Tabla12[[#This Row],[Etiquetas de fila]])</f>
        <v>RipleyArica</v>
      </c>
      <c r="F5" s="3" t="n">
        <v>498532</v>
      </c>
      <c r="G5" s="3" t="n">
        <f aca="false">+E5/0.65</f>
        <v>0</v>
      </c>
      <c r="H5" s="3" t="n">
        <f aca="false">+F5/0.65</f>
        <v>766972.307692308</v>
      </c>
    </row>
    <row r="6" customFormat="false" ht="14.4" hidden="false" customHeight="false" outlineLevel="0" collapsed="false">
      <c r="B6" s="0" t="s">
        <v>34</v>
      </c>
      <c r="C6" s="0" t="s">
        <v>158</v>
      </c>
      <c r="D6" s="0" t="str">
        <f aca="false">CONCATENATE(Tabla12[[#This Row],[Cadena]],Tabla12[[#This Row],[Etiquetas de fila]])</f>
        <v>RipleyChillan</v>
      </c>
      <c r="E6" s="3" t="n">
        <v>-4364</v>
      </c>
      <c r="G6" s="3" t="n">
        <f aca="false">+E6/0.65</f>
        <v>-6713.84615384615</v>
      </c>
      <c r="H6" s="3" t="n">
        <f aca="false">+F6/0.65</f>
        <v>0</v>
      </c>
    </row>
    <row r="7" customFormat="false" ht="14.4" hidden="false" customHeight="false" outlineLevel="0" collapsed="false">
      <c r="B7" s="0" t="s">
        <v>34</v>
      </c>
      <c r="C7" s="0" t="s">
        <v>161</v>
      </c>
      <c r="D7" s="0" t="str">
        <f aca="false">CONCATENATE(Tabla12[[#This Row],[Cadena]],Tabla12[[#This Row],[Etiquetas de fila]])</f>
        <v>RipleyConcepcion</v>
      </c>
      <c r="E7" s="3" t="n">
        <v>-4364</v>
      </c>
      <c r="G7" s="3" t="n">
        <f aca="false">+E7/0.65</f>
        <v>-6713.84615384615</v>
      </c>
      <c r="H7" s="3" t="n">
        <f aca="false">+F7/0.65</f>
        <v>0</v>
      </c>
    </row>
    <row r="8" customFormat="false" ht="14.4" hidden="false" customHeight="false" outlineLevel="0" collapsed="false">
      <c r="B8" s="0" t="s">
        <v>34</v>
      </c>
      <c r="C8" s="0" t="s">
        <v>78</v>
      </c>
      <c r="D8" s="0" t="str">
        <f aca="false">CONCATENATE(Tabla12[[#This Row],[Cadena]],Tabla12[[#This Row],[Etiquetas de fila]])</f>
        <v>RipleyConcepcion 2</v>
      </c>
      <c r="E8" s="3" t="n">
        <v>298936</v>
      </c>
      <c r="F8" s="3" t="n">
        <v>104986</v>
      </c>
      <c r="G8" s="3" t="n">
        <f aca="false">+E8/0.65</f>
        <v>459901.538461538</v>
      </c>
      <c r="H8" s="3" t="n">
        <f aca="false">+F8/0.65</f>
        <v>161516.923076923</v>
      </c>
    </row>
    <row r="9" customFormat="false" ht="14.4" hidden="false" customHeight="false" outlineLevel="0" collapsed="false">
      <c r="B9" s="0" t="s">
        <v>34</v>
      </c>
      <c r="C9" s="0" t="s">
        <v>77</v>
      </c>
      <c r="D9" s="0" t="str">
        <f aca="false">CONCATENATE(Tabla12[[#This Row],[Cadena]],Tabla12[[#This Row],[Etiquetas de fila]])</f>
        <v>RipleyCopiapo</v>
      </c>
      <c r="E9" s="3" t="n">
        <v>537972</v>
      </c>
      <c r="F9" s="3" t="n">
        <v>227648</v>
      </c>
      <c r="G9" s="3" t="n">
        <f aca="false">+E9/0.65</f>
        <v>827649.230769231</v>
      </c>
      <c r="H9" s="3" t="n">
        <f aca="false">+F9/0.65</f>
        <v>350227.692307692</v>
      </c>
    </row>
    <row r="10" customFormat="false" ht="14.4" hidden="false" customHeight="false" outlineLevel="0" collapsed="false">
      <c r="B10" s="0" t="s">
        <v>34</v>
      </c>
      <c r="C10" s="0" t="s">
        <v>82</v>
      </c>
      <c r="D10" s="0" t="str">
        <f aca="false">CONCATENATE(Tabla12[[#This Row],[Cadena]],Tabla12[[#This Row],[Etiquetas de fila]])</f>
        <v>RipleyCoquimbo</v>
      </c>
      <c r="E10" s="3" t="n">
        <v>1423792</v>
      </c>
      <c r="F10" s="3" t="n">
        <v>212514</v>
      </c>
      <c r="G10" s="3" t="n">
        <f aca="false">+E10/0.65</f>
        <v>2190449.23076923</v>
      </c>
      <c r="H10" s="3" t="n">
        <f aca="false">+F10/0.65</f>
        <v>326944.615384615</v>
      </c>
    </row>
    <row r="11" customFormat="false" ht="14.4" hidden="false" customHeight="false" outlineLevel="0" collapsed="false">
      <c r="B11" s="0" t="s">
        <v>34</v>
      </c>
      <c r="C11" s="0" t="s">
        <v>52</v>
      </c>
      <c r="D11" s="0" t="str">
        <f aca="false">CONCATENATE(Tabla12[[#This Row],[Cadena]],Tabla12[[#This Row],[Etiquetas de fila]])</f>
        <v>RipleyCostanera Center</v>
      </c>
      <c r="E11" s="3" t="n">
        <v>1515204</v>
      </c>
      <c r="F11" s="3" t="n">
        <v>802607</v>
      </c>
      <c r="G11" s="3" t="n">
        <f aca="false">+E11/0.65</f>
        <v>2331083.07692308</v>
      </c>
      <c r="H11" s="3" t="n">
        <f aca="false">+F11/0.65</f>
        <v>1234780</v>
      </c>
    </row>
    <row r="12" customFormat="false" ht="14.4" hidden="false" customHeight="false" outlineLevel="0" collapsed="false">
      <c r="B12" s="0" t="s">
        <v>34</v>
      </c>
      <c r="C12" s="0" t="s">
        <v>156</v>
      </c>
      <c r="D12" s="0" t="str">
        <f aca="false">CONCATENATE(Tabla12[[#This Row],[Cadena]],Tabla12[[#This Row],[Etiquetas de fila]])</f>
        <v>RipleyCrillon</v>
      </c>
      <c r="E12" s="3" t="n">
        <v>1093</v>
      </c>
      <c r="G12" s="3" t="n">
        <f aca="false">+E12/0.65</f>
        <v>1681.53846153846</v>
      </c>
      <c r="H12" s="3" t="n">
        <f aca="false">+F12/0.65</f>
        <v>0</v>
      </c>
    </row>
    <row r="13" customFormat="false" ht="14.4" hidden="false" customHeight="false" outlineLevel="0" collapsed="false">
      <c r="B13" s="0" t="s">
        <v>34</v>
      </c>
      <c r="C13" s="0" t="s">
        <v>67</v>
      </c>
      <c r="D13" s="0" t="str">
        <f aca="false">CONCATENATE(Tabla12[[#This Row],[Cadena]],Tabla12[[#This Row],[Etiquetas de fila]])</f>
        <v>RipleyCurico</v>
      </c>
      <c r="E13" s="3" t="n">
        <v>721207</v>
      </c>
      <c r="F13" s="3" t="n">
        <v>339700</v>
      </c>
      <c r="G13" s="3" t="n">
        <f aca="false">+E13/0.65</f>
        <v>1109549.23076923</v>
      </c>
      <c r="H13" s="3" t="n">
        <f aca="false">+F13/0.65</f>
        <v>522615.384615385</v>
      </c>
    </row>
    <row r="14" customFormat="false" ht="14.4" hidden="false" customHeight="false" outlineLevel="0" collapsed="false">
      <c r="B14" s="0" t="s">
        <v>34</v>
      </c>
      <c r="C14" s="0" t="s">
        <v>63</v>
      </c>
      <c r="D14" s="0" t="str">
        <f aca="false">CONCATENATE(Tabla12[[#This Row],[Cadena]],Tabla12[[#This Row],[Etiquetas de fila]])</f>
        <v>RipleyEl Trebol</v>
      </c>
      <c r="E14" s="3" t="n">
        <v>846424</v>
      </c>
      <c r="F14" s="3" t="n">
        <v>294384</v>
      </c>
      <c r="G14" s="3" t="n">
        <f aca="false">+E14/0.65</f>
        <v>1302190.76923077</v>
      </c>
      <c r="H14" s="3" t="n">
        <f aca="false">+F14/0.65</f>
        <v>452898.461538462</v>
      </c>
    </row>
    <row r="15" customFormat="false" ht="14.4" hidden="false" customHeight="false" outlineLevel="0" collapsed="false">
      <c r="B15" s="0" t="s">
        <v>34</v>
      </c>
      <c r="C15" s="0" t="s">
        <v>54</v>
      </c>
      <c r="D15" s="0" t="str">
        <f aca="false">CONCATENATE(Tabla12[[#This Row],[Cadena]],Tabla12[[#This Row],[Etiquetas de fila]])</f>
        <v>RipleyFlorida Center</v>
      </c>
      <c r="E15" s="3" t="n">
        <v>1345012</v>
      </c>
      <c r="F15" s="3" t="n">
        <v>584206</v>
      </c>
      <c r="G15" s="3" t="n">
        <f aca="false">+E15/0.65</f>
        <v>2069249.23076923</v>
      </c>
      <c r="H15" s="3" t="n">
        <f aca="false">+F15/0.65</f>
        <v>898778.461538462</v>
      </c>
    </row>
    <row r="16" customFormat="false" ht="14.4" hidden="false" customHeight="false" outlineLevel="0" collapsed="false">
      <c r="B16" s="0" t="s">
        <v>34</v>
      </c>
      <c r="C16" s="0" t="s">
        <v>75</v>
      </c>
      <c r="D16" s="0" t="str">
        <f aca="false">CONCATENATE(Tabla12[[#This Row],[Cadena]],Tabla12[[#This Row],[Etiquetas de fila]])</f>
        <v>RipleyHuechuraba</v>
      </c>
      <c r="E16" s="3" t="n">
        <v>552913</v>
      </c>
      <c r="F16" s="3" t="n">
        <v>20622</v>
      </c>
      <c r="G16" s="3" t="n">
        <f aca="false">+E16/0.65</f>
        <v>850635.384615385</v>
      </c>
      <c r="H16" s="3" t="n">
        <f aca="false">+F16/0.65</f>
        <v>31726.1538461538</v>
      </c>
    </row>
    <row r="17" customFormat="false" ht="14.4" hidden="false" customHeight="false" outlineLevel="0" collapsed="false">
      <c r="B17" s="0" t="s">
        <v>34</v>
      </c>
      <c r="C17" s="0" t="s">
        <v>57</v>
      </c>
      <c r="D17" s="0" t="str">
        <f aca="false">CONCATENATE(Tabla12[[#This Row],[Cadena]],Tabla12[[#This Row],[Etiquetas de fila]])</f>
        <v>RipleyIquique</v>
      </c>
      <c r="E17" s="3" t="n">
        <v>1083796</v>
      </c>
      <c r="F17" s="3" t="n">
        <v>246965</v>
      </c>
      <c r="G17" s="3" t="n">
        <f aca="false">+E17/0.65</f>
        <v>1667378.46153846</v>
      </c>
      <c r="H17" s="3" t="n">
        <f aca="false">+F17/0.65</f>
        <v>379946.153846154</v>
      </c>
    </row>
    <row r="18" customFormat="false" ht="14.4" hidden="false" customHeight="false" outlineLevel="0" collapsed="false">
      <c r="B18" s="0" t="s">
        <v>34</v>
      </c>
      <c r="C18" s="0" t="s">
        <v>43</v>
      </c>
      <c r="D18" s="0" t="str">
        <f aca="false">CONCATENATE(Tabla12[[#This Row],[Cadena]],Tabla12[[#This Row],[Etiquetas de fila]])</f>
        <v>RipleyLa Calera</v>
      </c>
      <c r="E18" s="3" t="n">
        <v>1757808</v>
      </c>
      <c r="F18" s="3" t="n">
        <v>740030</v>
      </c>
      <c r="G18" s="3" t="n">
        <f aca="false">+E18/0.65</f>
        <v>2704320</v>
      </c>
      <c r="H18" s="3" t="n">
        <f aca="false">+F18/0.65</f>
        <v>1138507.69230769</v>
      </c>
    </row>
    <row r="19" customFormat="false" ht="14.4" hidden="false" customHeight="false" outlineLevel="0" collapsed="false">
      <c r="B19" s="0" t="s">
        <v>34</v>
      </c>
      <c r="C19" s="0" t="s">
        <v>56</v>
      </c>
      <c r="D19" s="0" t="str">
        <f aca="false">CONCATENATE(Tabla12[[#This Row],[Cadena]],Tabla12[[#This Row],[Etiquetas de fila]])</f>
        <v>RipleyLa Serena</v>
      </c>
      <c r="E19" s="3" t="n">
        <v>1084588</v>
      </c>
      <c r="F19" s="3" t="n">
        <v>237829</v>
      </c>
      <c r="G19" s="3" t="n">
        <f aca="false">+E19/0.65</f>
        <v>1668596.92307692</v>
      </c>
      <c r="H19" s="3" t="n">
        <f aca="false">+F19/0.65</f>
        <v>365890.769230769</v>
      </c>
    </row>
    <row r="20" customFormat="false" ht="14.4" hidden="false" customHeight="false" outlineLevel="0" collapsed="false">
      <c r="B20" s="0" t="s">
        <v>34</v>
      </c>
      <c r="C20" s="0" t="s">
        <v>47</v>
      </c>
      <c r="D20" s="0" t="str">
        <f aca="false">CONCATENATE(Tabla12[[#This Row],[Cadena]],Tabla12[[#This Row],[Etiquetas de fila]])</f>
        <v>RipleyLos Andes</v>
      </c>
      <c r="E20" s="3" t="n">
        <v>1652408</v>
      </c>
      <c r="F20" s="3" t="n">
        <v>529180</v>
      </c>
      <c r="G20" s="3" t="n">
        <f aca="false">+E20/0.65</f>
        <v>2542166.15384615</v>
      </c>
      <c r="H20" s="3" t="n">
        <f aca="false">+F20/0.65</f>
        <v>814123.076923077</v>
      </c>
    </row>
    <row r="21" customFormat="false" ht="14.4" hidden="false" customHeight="false" outlineLevel="0" collapsed="false">
      <c r="B21" s="0" t="s">
        <v>34</v>
      </c>
      <c r="C21" s="0" t="s">
        <v>70</v>
      </c>
      <c r="D21" s="0" t="str">
        <f aca="false">CONCATENATE(Tabla12[[#This Row],[Cadena]],Tabla12[[#This Row],[Etiquetas de fila]])</f>
        <v>RipleyLos Angeles</v>
      </c>
      <c r="E21" s="3" t="n">
        <v>667600</v>
      </c>
      <c r="F21" s="3" t="n">
        <v>222874</v>
      </c>
      <c r="G21" s="3" t="n">
        <f aca="false">+E21/0.65</f>
        <v>1027076.92307692</v>
      </c>
      <c r="H21" s="3" t="n">
        <f aca="false">+F21/0.65</f>
        <v>342883.076923077</v>
      </c>
    </row>
    <row r="22" customFormat="false" ht="14.4" hidden="false" customHeight="false" outlineLevel="0" collapsed="false">
      <c r="B22" s="0" t="s">
        <v>34</v>
      </c>
      <c r="C22" s="0" t="s">
        <v>84</v>
      </c>
      <c r="D22" s="0" t="str">
        <f aca="false">CONCATENATE(Tabla12[[#This Row],[Cadena]],Tabla12[[#This Row],[Etiquetas de fila]])</f>
        <v>RipleyLos Dominicos</v>
      </c>
      <c r="G22" s="3" t="n">
        <f aca="false">+E22/0.65</f>
        <v>0</v>
      </c>
      <c r="H22" s="3" t="n">
        <f aca="false">+F22/0.65</f>
        <v>0</v>
      </c>
    </row>
    <row r="23" customFormat="false" ht="14.4" hidden="false" customHeight="false" outlineLevel="0" collapsed="false">
      <c r="B23" s="0" t="s">
        <v>34</v>
      </c>
      <c r="C23" s="0" t="s">
        <v>37</v>
      </c>
      <c r="D23" s="0" t="str">
        <f aca="false">CONCATENATE(Tabla12[[#This Row],[Cadena]],Tabla12[[#This Row],[Etiquetas de fila]])</f>
        <v>RipleyM.Costanera P.Montt</v>
      </c>
      <c r="E23" s="3" t="n">
        <v>1882259</v>
      </c>
      <c r="F23" s="3" t="n">
        <v>471134</v>
      </c>
      <c r="G23" s="3" t="n">
        <f aca="false">+E23/0.65</f>
        <v>2895783.07692308</v>
      </c>
      <c r="H23" s="3" t="n">
        <f aca="false">+F23/0.65</f>
        <v>724821.538461538</v>
      </c>
    </row>
    <row r="24" customFormat="false" ht="14.4" hidden="false" customHeight="false" outlineLevel="0" collapsed="false">
      <c r="B24" s="0" t="s">
        <v>34</v>
      </c>
      <c r="C24" s="0" t="s">
        <v>71</v>
      </c>
      <c r="D24" s="0" t="str">
        <f aca="false">CONCATENATE(Tabla12[[#This Row],[Cadena]],Tabla12[[#This Row],[Etiquetas de fila]])</f>
        <v>RipleyMaipu</v>
      </c>
      <c r="E24" s="3" t="n">
        <v>635345</v>
      </c>
      <c r="F24" s="3" t="n">
        <v>172710</v>
      </c>
      <c r="G24" s="3" t="n">
        <f aca="false">+E24/0.65</f>
        <v>977453.846153846</v>
      </c>
      <c r="H24" s="3" t="n">
        <f aca="false">+F24/0.65</f>
        <v>265707.692307692</v>
      </c>
    </row>
    <row r="25" customFormat="false" ht="14.4" hidden="false" customHeight="false" outlineLevel="0" collapsed="false">
      <c r="B25" s="0" t="s">
        <v>34</v>
      </c>
      <c r="C25" s="0" t="s">
        <v>45</v>
      </c>
      <c r="D25" s="0" t="str">
        <f aca="false">CONCATENATE(Tabla12[[#This Row],[Cadena]],Tabla12[[#This Row],[Etiquetas de fila]])</f>
        <v>RipleyMall Concepcion</v>
      </c>
      <c r="E25" s="3" t="n">
        <v>1693037</v>
      </c>
      <c r="F25" s="3" t="n">
        <v>461101</v>
      </c>
      <c r="G25" s="3" t="n">
        <f aca="false">+E25/0.65</f>
        <v>2604672.30769231</v>
      </c>
      <c r="H25" s="3" t="n">
        <f aca="false">+F25/0.65</f>
        <v>709386.153846154</v>
      </c>
    </row>
    <row r="26" customFormat="false" ht="14.4" hidden="false" customHeight="false" outlineLevel="0" collapsed="false">
      <c r="B26" s="0" t="s">
        <v>34</v>
      </c>
      <c r="C26" s="0" t="s">
        <v>35</v>
      </c>
      <c r="D26" s="0" t="str">
        <f aca="false">CONCATENATE(Tabla12[[#This Row],[Cadena]],Tabla12[[#This Row],[Etiquetas de fila]])</f>
        <v>RipleyMarina Arauco</v>
      </c>
      <c r="E26" s="3" t="n">
        <v>2400000</v>
      </c>
      <c r="F26" s="3" t="n">
        <v>779379</v>
      </c>
      <c r="G26" s="3" t="n">
        <f aca="false">+E26/0.65</f>
        <v>3692307.69230769</v>
      </c>
      <c r="H26" s="3" t="n">
        <f aca="false">+F26/0.65</f>
        <v>1199044.61538462</v>
      </c>
    </row>
    <row r="27" customFormat="false" ht="14.4" hidden="false" customHeight="false" outlineLevel="0" collapsed="false">
      <c r="B27" s="0" t="s">
        <v>34</v>
      </c>
      <c r="C27" s="0" t="s">
        <v>72</v>
      </c>
      <c r="D27" s="0" t="str">
        <f aca="false">CONCATENATE(Tabla12[[#This Row],[Cadena]],Tabla12[[#This Row],[Etiquetas de fila]])</f>
        <v>RipleyNueva Alameda</v>
      </c>
      <c r="E27" s="3" t="n">
        <v>627251</v>
      </c>
      <c r="F27" s="3" t="n">
        <v>60200</v>
      </c>
      <c r="G27" s="3" t="n">
        <f aca="false">+E27/0.65</f>
        <v>965001.538461538</v>
      </c>
      <c r="H27" s="3" t="n">
        <f aca="false">+F27/0.65</f>
        <v>92615.3846153846</v>
      </c>
    </row>
    <row r="28" customFormat="false" ht="14.4" hidden="false" customHeight="false" outlineLevel="0" collapsed="false">
      <c r="B28" s="0" t="s">
        <v>34</v>
      </c>
      <c r="C28" s="0" t="s">
        <v>69</v>
      </c>
      <c r="D28" s="0" t="str">
        <f aca="false">CONCATENATE(Tabla12[[#This Row],[Cadena]],Tabla12[[#This Row],[Etiquetas de fila]])</f>
        <v>RipleyNueva Valdivia Store</v>
      </c>
      <c r="E28" s="3" t="n">
        <v>718966</v>
      </c>
      <c r="F28" s="3" t="n">
        <v>161471</v>
      </c>
      <c r="G28" s="3" t="n">
        <f aca="false">+E28/0.65</f>
        <v>1106101.53846154</v>
      </c>
      <c r="H28" s="3" t="n">
        <f aca="false">+F28/0.65</f>
        <v>248416.923076923</v>
      </c>
    </row>
    <row r="29" customFormat="false" ht="14.4" hidden="false" customHeight="false" outlineLevel="0" collapsed="false">
      <c r="B29" s="0" t="s">
        <v>34</v>
      </c>
      <c r="C29" s="0" t="s">
        <v>74</v>
      </c>
      <c r="D29" s="0" t="str">
        <f aca="false">CONCATENATE(Tabla12[[#This Row],[Cadena]],Tabla12[[#This Row],[Etiquetas de fila]])</f>
        <v>RipleyParque Arauco</v>
      </c>
      <c r="E29" s="3" t="n">
        <v>570690</v>
      </c>
      <c r="F29" s="3" t="n">
        <v>251895</v>
      </c>
      <c r="G29" s="3" t="n">
        <f aca="false">+E29/0.65</f>
        <v>877984.615384615</v>
      </c>
      <c r="H29" s="3" t="n">
        <f aca="false">+F29/0.65</f>
        <v>387530.769230769</v>
      </c>
    </row>
    <row r="30" customFormat="false" ht="14.4" hidden="false" customHeight="false" outlineLevel="0" collapsed="false">
      <c r="B30" s="0" t="s">
        <v>34</v>
      </c>
      <c r="C30" s="0" t="s">
        <v>55</v>
      </c>
      <c r="D30" s="0" t="str">
        <f aca="false">CONCATENATE(Tabla12[[#This Row],[Cadena]],Tabla12[[#This Row],[Etiquetas de fila]])</f>
        <v>RipleyPlaza Egana</v>
      </c>
      <c r="E30" s="3" t="n">
        <v>1217667</v>
      </c>
      <c r="F30" s="3" t="n">
        <v>433742</v>
      </c>
      <c r="G30" s="3" t="n">
        <f aca="false">+E30/0.65</f>
        <v>1873333.84615385</v>
      </c>
      <c r="H30" s="3" t="n">
        <f aca="false">+F30/0.65</f>
        <v>667295.384615385</v>
      </c>
    </row>
    <row r="31" customFormat="false" ht="14.4" hidden="false" customHeight="false" outlineLevel="0" collapsed="false">
      <c r="B31" s="0" t="s">
        <v>34</v>
      </c>
      <c r="C31" s="0" t="s">
        <v>58</v>
      </c>
      <c r="D31" s="0" t="str">
        <f aca="false">CONCATENATE(Tabla12[[#This Row],[Cadena]],Tabla12[[#This Row],[Etiquetas de fila]])</f>
        <v>RipleyPlaza Oeste</v>
      </c>
      <c r="E31" s="3" t="n">
        <v>1082848</v>
      </c>
      <c r="F31" s="3" t="n">
        <v>228742</v>
      </c>
      <c r="G31" s="3" t="n">
        <f aca="false">+E31/0.65</f>
        <v>1665920</v>
      </c>
      <c r="H31" s="3" t="n">
        <f aca="false">+F31/0.65</f>
        <v>351910.769230769</v>
      </c>
    </row>
    <row r="32" customFormat="false" ht="14.4" hidden="false" customHeight="false" outlineLevel="0" collapsed="false">
      <c r="B32" s="0" t="s">
        <v>34</v>
      </c>
      <c r="C32" s="0" t="s">
        <v>80</v>
      </c>
      <c r="D32" s="0" t="str">
        <f aca="false">CONCATENATE(Tabla12[[#This Row],[Cadena]],Tabla12[[#This Row],[Etiquetas de fila]])</f>
        <v>RipleyPlaza Tobalaba</v>
      </c>
      <c r="E32" s="3" t="n">
        <v>40021</v>
      </c>
      <c r="F32" s="3" t="n">
        <v>8729</v>
      </c>
      <c r="G32" s="3" t="n">
        <f aca="false">+E32/0.65</f>
        <v>61570.7692307692</v>
      </c>
      <c r="H32" s="3" t="n">
        <f aca="false">+F32/0.65</f>
        <v>13429.2307692308</v>
      </c>
    </row>
    <row r="33" customFormat="false" ht="14.4" hidden="false" customHeight="false" outlineLevel="0" collapsed="false">
      <c r="B33" s="0" t="s">
        <v>34</v>
      </c>
      <c r="C33" s="0" t="s">
        <v>59</v>
      </c>
      <c r="D33" s="0" t="str">
        <f aca="false">CONCATENATE(Tabla12[[#This Row],[Cadena]],Tabla12[[#This Row],[Etiquetas de fila]])</f>
        <v>RipleyPlaza Vespucio</v>
      </c>
      <c r="E33" s="3" t="n">
        <v>1047041</v>
      </c>
      <c r="F33" s="3" t="n">
        <v>381420</v>
      </c>
      <c r="G33" s="3" t="n">
        <f aca="false">+E33/0.65</f>
        <v>1610832.30769231</v>
      </c>
      <c r="H33" s="3" t="n">
        <f aca="false">+F33/0.65</f>
        <v>586800</v>
      </c>
    </row>
    <row r="34" customFormat="false" ht="14.4" hidden="false" customHeight="false" outlineLevel="0" collapsed="false">
      <c r="B34" s="0" t="s">
        <v>34</v>
      </c>
      <c r="C34" s="0" t="s">
        <v>61</v>
      </c>
      <c r="D34" s="0" t="str">
        <f aca="false">CONCATENATE(Tabla12[[#This Row],[Cadena]],Tabla12[[#This Row],[Etiquetas de fila]])</f>
        <v>RipleyPortal Temuco</v>
      </c>
      <c r="E34" s="3" t="n">
        <v>952982</v>
      </c>
      <c r="F34" s="3" t="n">
        <v>159114</v>
      </c>
      <c r="G34" s="3" t="n">
        <f aca="false">+E34/0.65</f>
        <v>1466126.15384615</v>
      </c>
      <c r="H34" s="3" t="n">
        <f aca="false">+F34/0.65</f>
        <v>244790.769230769</v>
      </c>
    </row>
    <row r="35" customFormat="false" ht="14.4" hidden="false" customHeight="false" outlineLevel="0" collapsed="false">
      <c r="B35" s="0" t="s">
        <v>34</v>
      </c>
      <c r="C35" s="0" t="s">
        <v>66</v>
      </c>
      <c r="D35" s="0" t="str">
        <f aca="false">CONCATENATE(Tabla12[[#This Row],[Cadena]],Tabla12[[#This Row],[Etiquetas de fila]])</f>
        <v>RipleyPuente</v>
      </c>
      <c r="E35" s="3" t="n">
        <v>729810</v>
      </c>
      <c r="F35" s="3" t="n">
        <v>189052</v>
      </c>
      <c r="G35" s="3" t="n">
        <f aca="false">+E35/0.65</f>
        <v>1122784.61538462</v>
      </c>
      <c r="H35" s="3" t="n">
        <f aca="false">+F35/0.65</f>
        <v>290849.230769231</v>
      </c>
    </row>
    <row r="36" customFormat="false" ht="14.4" hidden="false" customHeight="false" outlineLevel="0" collapsed="false">
      <c r="B36" s="0" t="s">
        <v>34</v>
      </c>
      <c r="C36" s="0" t="s">
        <v>79</v>
      </c>
      <c r="D36" s="0" t="str">
        <f aca="false">CONCATENATE(Tabla12[[#This Row],[Cadena]],Tabla12[[#This Row],[Etiquetas de fila]])</f>
        <v>RipleyQuilpue</v>
      </c>
      <c r="E36" s="3" t="n">
        <v>244364</v>
      </c>
      <c r="F36" s="3" t="n">
        <v>92993</v>
      </c>
      <c r="G36" s="3" t="n">
        <f aca="false">+E36/0.65</f>
        <v>375944.615384615</v>
      </c>
      <c r="H36" s="3" t="n">
        <f aca="false">+F36/0.65</f>
        <v>143066.153846154</v>
      </c>
    </row>
    <row r="37" customFormat="false" ht="14.4" hidden="false" customHeight="false" outlineLevel="0" collapsed="false">
      <c r="B37" s="0" t="s">
        <v>34</v>
      </c>
      <c r="C37" s="0" t="s">
        <v>60</v>
      </c>
      <c r="D37" s="0" t="str">
        <f aca="false">CONCATENATE(Tabla12[[#This Row],[Cadena]],Tabla12[[#This Row],[Etiquetas de fila]])</f>
        <v>RipleyRancagua</v>
      </c>
      <c r="E37" s="3" t="n">
        <v>978205</v>
      </c>
      <c r="F37" s="3" t="n">
        <v>548105</v>
      </c>
      <c r="G37" s="3" t="n">
        <f aca="false">+E37/0.65</f>
        <v>1504930.76923077</v>
      </c>
      <c r="H37" s="3" t="n">
        <f aca="false">+F37/0.65</f>
        <v>843238.461538462</v>
      </c>
    </row>
    <row r="38" customFormat="false" ht="14.4" hidden="false" customHeight="false" outlineLevel="0" collapsed="false">
      <c r="B38" s="0" t="s">
        <v>34</v>
      </c>
      <c r="C38" s="0" t="s">
        <v>65</v>
      </c>
      <c r="D38" s="0" t="str">
        <f aca="false">CONCATENATE(Tabla12[[#This Row],[Cadena]],Tabla12[[#This Row],[Etiquetas de fila]])</f>
        <v>RipleySan Bernardo</v>
      </c>
      <c r="E38" s="3" t="n">
        <v>760817</v>
      </c>
      <c r="F38" s="3" t="n">
        <v>220639</v>
      </c>
      <c r="G38" s="3" t="n">
        <f aca="false">+E38/0.65</f>
        <v>1170487.69230769</v>
      </c>
      <c r="H38" s="3" t="n">
        <f aca="false">+F38/0.65</f>
        <v>339444.615384615</v>
      </c>
    </row>
    <row r="39" customFormat="false" ht="14.4" hidden="false" customHeight="false" outlineLevel="0" collapsed="false">
      <c r="B39" s="0" t="s">
        <v>34</v>
      </c>
      <c r="C39" s="0" t="s">
        <v>265</v>
      </c>
      <c r="D39" s="0" t="str">
        <f aca="false">CONCATENATE(Tabla12[[#This Row],[Cadena]],Tabla12[[#This Row],[Etiquetas de fila]])</f>
        <v>RipleySan Fernando</v>
      </c>
      <c r="G39" s="3" t="n">
        <f aca="false">+E39/0.65</f>
        <v>0</v>
      </c>
      <c r="H39" s="3" t="n">
        <f aca="false">+F39/0.65</f>
        <v>0</v>
      </c>
    </row>
    <row r="40" customFormat="false" ht="14.4" hidden="false" customHeight="false" outlineLevel="0" collapsed="false">
      <c r="B40" s="0" t="s">
        <v>34</v>
      </c>
      <c r="C40" s="0" t="s">
        <v>39</v>
      </c>
      <c r="D40" s="0" t="str">
        <f aca="false">CONCATENATE(Tabla12[[#This Row],[Cadena]],Tabla12[[#This Row],[Etiquetas de fila]])</f>
        <v>RipleyTalca</v>
      </c>
      <c r="E40" s="3" t="n">
        <v>1869260</v>
      </c>
      <c r="F40" s="3" t="n">
        <v>528406</v>
      </c>
      <c r="G40" s="3" t="n">
        <f aca="false">+E40/0.65</f>
        <v>2875784.61538462</v>
      </c>
      <c r="H40" s="3" t="n">
        <f aca="false">+F40/0.65</f>
        <v>812932.307692308</v>
      </c>
    </row>
    <row r="41" customFormat="false" ht="14.4" hidden="false" customHeight="false" outlineLevel="0" collapsed="false">
      <c r="B41" s="0" t="s">
        <v>34</v>
      </c>
      <c r="C41" s="0" t="s">
        <v>41</v>
      </c>
      <c r="D41" s="0" t="str">
        <f aca="false">CONCATENATE(Tabla12[[#This Row],[Cadena]],Tabla12[[#This Row],[Etiquetas de fila]])</f>
        <v>RipleyTemuco</v>
      </c>
      <c r="E41" s="3" t="n">
        <v>1829434</v>
      </c>
      <c r="F41" s="3" t="n">
        <v>453690</v>
      </c>
      <c r="G41" s="3" t="n">
        <f aca="false">+E41/0.65</f>
        <v>2814513.84615385</v>
      </c>
      <c r="H41" s="3" t="n">
        <f aca="false">+F41/0.65</f>
        <v>697984.615384615</v>
      </c>
    </row>
    <row r="42" customFormat="false" ht="14.4" hidden="false" customHeight="false" outlineLevel="0" collapsed="false">
      <c r="B42" s="0" t="s">
        <v>34</v>
      </c>
      <c r="C42" s="0" t="s">
        <v>73</v>
      </c>
      <c r="D42" s="0" t="str">
        <f aca="false">CONCATENATE(Tabla12[[#This Row],[Cadena]],Tabla12[[#This Row],[Etiquetas de fila]])</f>
        <v>RipleyValparaiso</v>
      </c>
      <c r="E42" s="3" t="n">
        <v>603747</v>
      </c>
      <c r="F42" s="3" t="n">
        <v>315029</v>
      </c>
      <c r="G42" s="3" t="n">
        <f aca="false">+E42/0.65</f>
        <v>928841.538461538</v>
      </c>
      <c r="H42" s="3" t="n">
        <f aca="false">+F42/0.65</f>
        <v>484660</v>
      </c>
    </row>
    <row r="43" customFormat="false" ht="14.4" hidden="false" customHeight="false" outlineLevel="0" collapsed="false">
      <c r="B43" s="0" t="s">
        <v>34</v>
      </c>
      <c r="C43" s="0" t="s">
        <v>266</v>
      </c>
      <c r="D43" s="0" t="str">
        <f aca="false">CONCATENATE(Tabla12[[#This Row],[Cadena]],Tabla12[[#This Row],[Etiquetas de fila]])</f>
        <v>RipleyVina</v>
      </c>
      <c r="F43" s="3" t="n">
        <v>-4364</v>
      </c>
      <c r="G43" s="3" t="n">
        <f aca="false">+E43/0.65</f>
        <v>0</v>
      </c>
      <c r="H43" s="3" t="n">
        <f aca="false">+F43/0.65</f>
        <v>-6713.84615384615</v>
      </c>
    </row>
    <row r="44" customFormat="false" ht="14.4" hidden="false" customHeight="false" outlineLevel="0" collapsed="false">
      <c r="B44" s="0" t="s">
        <v>85</v>
      </c>
      <c r="C44" s="0" t="s">
        <v>52</v>
      </c>
      <c r="D44" s="42" t="str">
        <f aca="false">CONCATENATE(Tabla12[[#This Row],[Cadena]],Tabla12[[#This Row],[Etiquetas de fila]])</f>
        <v>ParísCostanera Center</v>
      </c>
      <c r="E44" s="3" t="n">
        <v>2969047.5</v>
      </c>
      <c r="F44" s="3" t="n">
        <v>1391730.16666667</v>
      </c>
      <c r="G44" s="3" t="n">
        <f aca="false">+E44/0.65</f>
        <v>4567765.38461538</v>
      </c>
      <c r="H44" s="3" t="n">
        <f aca="false">+F44/0.65</f>
        <v>2141123.33333333</v>
      </c>
    </row>
    <row r="45" customFormat="false" ht="14.4" hidden="false" customHeight="false" outlineLevel="0" collapsed="false">
      <c r="B45" s="0" t="s">
        <v>85</v>
      </c>
      <c r="C45" s="0" t="s">
        <v>86</v>
      </c>
      <c r="D45" s="42" t="str">
        <f aca="false">CONCATENATE(Tabla12[[#This Row],[Cadena]],Tabla12[[#This Row],[Etiquetas de fila]])</f>
        <v>ParísTemuco Centro</v>
      </c>
      <c r="E45" s="3" t="n">
        <v>2237858.13220672</v>
      </c>
      <c r="F45" s="3" t="n">
        <v>726000.666666667</v>
      </c>
      <c r="G45" s="3" t="n">
        <f aca="false">+E45/0.65</f>
        <v>3442858.66493342</v>
      </c>
      <c r="H45" s="3" t="n">
        <f aca="false">+F45/0.65</f>
        <v>1116924.1025641</v>
      </c>
    </row>
    <row r="46" customFormat="false" ht="14.4" hidden="false" customHeight="false" outlineLevel="0" collapsed="false">
      <c r="B46" s="0" t="s">
        <v>85</v>
      </c>
      <c r="C46" s="0" t="s">
        <v>39</v>
      </c>
      <c r="D46" s="42" t="str">
        <f aca="false">CONCATENATE(Tabla12[[#This Row],[Cadena]],Tabla12[[#This Row],[Etiquetas de fila]])</f>
        <v>ParísTalca</v>
      </c>
      <c r="E46" s="3" t="n">
        <v>2167531.09039637</v>
      </c>
      <c r="F46" s="3" t="n">
        <v>703185.333333333</v>
      </c>
      <c r="G46" s="3" t="n">
        <f aca="false">+E46/0.65</f>
        <v>3334663.21599442</v>
      </c>
      <c r="H46" s="3" t="n">
        <f aca="false">+F46/0.65</f>
        <v>1081823.58974359</v>
      </c>
    </row>
    <row r="47" customFormat="false" ht="14.4" hidden="false" customHeight="false" outlineLevel="0" collapsed="false">
      <c r="B47" s="0" t="s">
        <v>85</v>
      </c>
      <c r="C47" s="0" t="s">
        <v>87</v>
      </c>
      <c r="D47" s="42" t="str">
        <f aca="false">CONCATENATE(Tabla12[[#This Row],[Cadena]],Tabla12[[#This Row],[Etiquetas de fila]])</f>
        <v>ParísPortal Belloto</v>
      </c>
      <c r="E47" s="3" t="n">
        <v>2171807.98475887</v>
      </c>
      <c r="F47" s="3" t="n">
        <v>704572.833333333</v>
      </c>
      <c r="G47" s="3" t="n">
        <f aca="false">+E47/0.65</f>
        <v>3341243.05347519</v>
      </c>
      <c r="H47" s="3" t="n">
        <f aca="false">+F47/0.65</f>
        <v>1083958.20512821</v>
      </c>
    </row>
    <row r="48" customFormat="false" ht="14.4" hidden="false" customHeight="false" outlineLevel="0" collapsed="false">
      <c r="B48" s="0" t="s">
        <v>85</v>
      </c>
      <c r="C48" s="0" t="s">
        <v>88</v>
      </c>
      <c r="D48" s="42" t="str">
        <f aca="false">CONCATENATE(Tabla12[[#This Row],[Cadena]],Tabla12[[#This Row],[Etiquetas de fila]])</f>
        <v>ParísPlaza La Serena</v>
      </c>
      <c r="E48" s="3" t="n">
        <v>1668780.47635491</v>
      </c>
      <c r="F48" s="3" t="n">
        <v>541381.833333333</v>
      </c>
      <c r="G48" s="3" t="n">
        <f aca="false">+E48/0.65</f>
        <v>2567354.57900756</v>
      </c>
      <c r="H48" s="3" t="n">
        <f aca="false">+F48/0.65</f>
        <v>832895.128205128</v>
      </c>
    </row>
    <row r="49" customFormat="false" ht="14.4" hidden="false" customHeight="false" outlineLevel="0" collapsed="false">
      <c r="B49" s="0" t="s">
        <v>85</v>
      </c>
      <c r="C49" s="0" t="s">
        <v>35</v>
      </c>
      <c r="D49" s="42" t="str">
        <f aca="false">CONCATENATE(Tabla12[[#This Row],[Cadena]],Tabla12[[#This Row],[Etiquetas de fila]])</f>
        <v>ParísMarina Arauco</v>
      </c>
      <c r="E49" s="3" t="n">
        <v>1985740.73225388</v>
      </c>
      <c r="F49" s="3" t="n">
        <v>644209.333333333</v>
      </c>
      <c r="G49" s="3" t="n">
        <f aca="false">+E49/0.65</f>
        <v>3054985.74192904</v>
      </c>
      <c r="H49" s="3" t="n">
        <f aca="false">+F49/0.65</f>
        <v>991091.282051282</v>
      </c>
    </row>
    <row r="50" customFormat="false" ht="14.4" hidden="false" customHeight="false" outlineLevel="0" collapsed="false">
      <c r="B50" s="0" t="s">
        <v>85</v>
      </c>
      <c r="C50" s="0" t="s">
        <v>89</v>
      </c>
      <c r="D50" s="42" t="str">
        <f aca="false">CONCATENATE(Tabla12[[#This Row],[Cadena]],Tabla12[[#This Row],[Etiquetas de fila]])</f>
        <v>ParísBarros Arana</v>
      </c>
      <c r="E50" s="3" t="n">
        <v>1018395.07717876</v>
      </c>
      <c r="F50" s="3" t="n">
        <v>330385.333333333</v>
      </c>
      <c r="G50" s="3" t="n">
        <f aca="false">+E50/0.65</f>
        <v>1566761.65719809</v>
      </c>
      <c r="H50" s="3" t="n">
        <f aca="false">+F50/0.65</f>
        <v>508285.128205128</v>
      </c>
    </row>
    <row r="51" customFormat="false" ht="14.4" hidden="false" customHeight="false" outlineLevel="0" collapsed="false">
      <c r="B51" s="0" t="s">
        <v>85</v>
      </c>
      <c r="C51" s="0" t="s">
        <v>90</v>
      </c>
      <c r="D51" s="42" t="str">
        <f aca="false">CONCATENATE(Tabla12[[#This Row],[Cadena]],Tabla12[[#This Row],[Etiquetas de fila]])</f>
        <v>ParísArauco Maipu</v>
      </c>
      <c r="E51" s="3" t="n">
        <v>1217359.79910964</v>
      </c>
      <c r="F51" s="3" t="n">
        <v>394933</v>
      </c>
      <c r="G51" s="3" t="n">
        <f aca="false">+E51/0.65</f>
        <v>1872861.22939944</v>
      </c>
      <c r="H51" s="3" t="n">
        <f aca="false">+F51/0.65</f>
        <v>607589.230769231</v>
      </c>
    </row>
    <row r="52" customFormat="false" ht="14.4" hidden="false" customHeight="false" outlineLevel="0" collapsed="false">
      <c r="B52" s="0" t="s">
        <v>85</v>
      </c>
      <c r="C52" s="0" t="s">
        <v>58</v>
      </c>
      <c r="D52" s="42" t="str">
        <f aca="false">CONCATENATE(Tabla12[[#This Row],[Cadena]],Tabla12[[#This Row],[Etiquetas de fila]])</f>
        <v>ParísPlaza Oeste</v>
      </c>
      <c r="E52" s="3" t="n">
        <v>1814661.36156648</v>
      </c>
      <c r="F52" s="3" t="n">
        <v>588708.166666667</v>
      </c>
      <c r="G52" s="3" t="n">
        <f aca="false">+E52/0.65</f>
        <v>2791786.71010228</v>
      </c>
      <c r="H52" s="3" t="n">
        <f aca="false">+F52/0.65</f>
        <v>905704.871794872</v>
      </c>
    </row>
    <row r="53" customFormat="false" ht="14.4" hidden="false" customHeight="false" outlineLevel="0" collapsed="false">
      <c r="B53" s="0" t="s">
        <v>85</v>
      </c>
      <c r="C53" s="0" t="s">
        <v>60</v>
      </c>
      <c r="D53" s="42" t="str">
        <f aca="false">CONCATENATE(Tabla12[[#This Row],[Cadena]],Tabla12[[#This Row],[Etiquetas de fila]])</f>
        <v>ParísRancagua</v>
      </c>
      <c r="E53" s="3" t="n">
        <v>1182263.57828392</v>
      </c>
      <c r="F53" s="3" t="n">
        <v>383547.166666667</v>
      </c>
      <c r="G53" s="3" t="n">
        <f aca="false">+E53/0.65</f>
        <v>1818867.04351373</v>
      </c>
      <c r="H53" s="3" t="n">
        <f aca="false">+F53/0.65</f>
        <v>590072.564102564</v>
      </c>
    </row>
    <row r="54" customFormat="false" ht="14.4" hidden="false" customHeight="false" outlineLevel="0" collapsed="false">
      <c r="B54" s="0" t="s">
        <v>85</v>
      </c>
      <c r="C54" s="0" t="s">
        <v>74</v>
      </c>
      <c r="D54" s="42" t="str">
        <f aca="false">CONCATENATE(Tabla12[[#This Row],[Cadena]],Tabla12[[#This Row],[Etiquetas de fila]])</f>
        <v>ParísParque Arauco</v>
      </c>
      <c r="E54" s="3" t="n">
        <v>2076432.98360462</v>
      </c>
      <c r="F54" s="3" t="n">
        <v>673631.5</v>
      </c>
      <c r="G54" s="3" t="n">
        <f aca="false">+E54/0.65</f>
        <v>3194512.28246865</v>
      </c>
      <c r="H54" s="3" t="n">
        <f aca="false">+F54/0.65</f>
        <v>1036356.15384615</v>
      </c>
    </row>
    <row r="55" customFormat="false" ht="14.4" hidden="false" customHeight="false" outlineLevel="0" collapsed="false">
      <c r="B55" s="0" t="s">
        <v>85</v>
      </c>
      <c r="C55" s="0" t="s">
        <v>77</v>
      </c>
      <c r="D55" s="42" t="str">
        <f aca="false">CONCATENATE(Tabla12[[#This Row],[Cadena]],Tabla12[[#This Row],[Etiquetas de fila]])</f>
        <v>ParísCopiapo</v>
      </c>
      <c r="E55" s="3" t="n">
        <v>1843008.56602702</v>
      </c>
      <c r="F55" s="3" t="n">
        <v>597904.5</v>
      </c>
      <c r="G55" s="3" t="n">
        <f aca="false">+E55/0.65</f>
        <v>2835397.79388772</v>
      </c>
      <c r="H55" s="3" t="n">
        <f aca="false">+F55/0.65</f>
        <v>919853.076923077</v>
      </c>
    </row>
    <row r="56" customFormat="false" ht="14.4" hidden="false" customHeight="false" outlineLevel="0" collapsed="false">
      <c r="B56" s="0" t="s">
        <v>85</v>
      </c>
      <c r="C56" s="0" t="s">
        <v>91</v>
      </c>
      <c r="D56" s="42" t="str">
        <f aca="false">CONCATENATE(Tabla12[[#This Row],[Cadena]],Tabla12[[#This Row],[Etiquetas de fila]])</f>
        <v>ParísEl Roble</v>
      </c>
      <c r="E56" s="3" t="n">
        <v>1154462.48057502</v>
      </c>
      <c r="F56" s="3" t="n">
        <v>374528</v>
      </c>
      <c r="G56" s="3" t="n">
        <f aca="false">+E56/0.65</f>
        <v>1776096.12396157</v>
      </c>
      <c r="H56" s="3" t="n">
        <f aca="false">+F56/0.65</f>
        <v>576196.923076923</v>
      </c>
    </row>
    <row r="57" customFormat="false" ht="14.4" hidden="false" customHeight="false" outlineLevel="0" collapsed="false">
      <c r="B57" s="0" t="s">
        <v>85</v>
      </c>
      <c r="C57" s="0" t="s">
        <v>92</v>
      </c>
      <c r="D57" s="42" t="str">
        <f aca="false">CONCATENATE(Tabla12[[#This Row],[Cadena]],Tabla12[[#This Row],[Etiquetas de fila]])</f>
        <v>ParísPortal Osorno</v>
      </c>
      <c r="E57" s="3" t="n">
        <v>392722.678172405</v>
      </c>
      <c r="F57" s="3" t="n">
        <v>127406.166666667</v>
      </c>
      <c r="G57" s="3" t="n">
        <f aca="false">+E57/0.65</f>
        <v>604188.735649854</v>
      </c>
      <c r="H57" s="3" t="n">
        <f aca="false">+F57/0.65</f>
        <v>196009.487179487</v>
      </c>
    </row>
    <row r="58" customFormat="false" ht="14.4" hidden="false" customHeight="false" outlineLevel="0" collapsed="false">
      <c r="B58" s="0" t="s">
        <v>85</v>
      </c>
      <c r="C58" s="0" t="s">
        <v>93</v>
      </c>
      <c r="D58" s="42" t="str">
        <f aca="false">CONCATENATE(Tabla12[[#This Row],[Cadena]],Tabla12[[#This Row],[Etiquetas de fila]])</f>
        <v>ParísAlto Las Condes</v>
      </c>
      <c r="E58" s="3" t="n">
        <v>1837141.64306969</v>
      </c>
      <c r="F58" s="3" t="n">
        <v>596001.166666667</v>
      </c>
      <c r="G58" s="3" t="n">
        <f aca="false">+E58/0.65</f>
        <v>2826371.75856876</v>
      </c>
      <c r="H58" s="3" t="n">
        <f aca="false">+F58/0.65</f>
        <v>916924.871794872</v>
      </c>
    </row>
    <row r="59" customFormat="false" ht="14.4" hidden="false" customHeight="false" outlineLevel="0" collapsed="false">
      <c r="B59" s="0" t="s">
        <v>85</v>
      </c>
      <c r="C59" s="0" t="s">
        <v>83</v>
      </c>
      <c r="D59" s="42" t="str">
        <f aca="false">CONCATENATE(Tabla12[[#This Row],[Cadena]],Tabla12[[#This Row],[Etiquetas de fila]])</f>
        <v>ParísArica</v>
      </c>
      <c r="E59" s="3" t="n">
        <v>2162055.63813024</v>
      </c>
      <c r="F59" s="3" t="n">
        <v>701409</v>
      </c>
      <c r="G59" s="3" t="n">
        <f aca="false">+E59/0.65</f>
        <v>3326239.4432773</v>
      </c>
      <c r="H59" s="3" t="n">
        <f aca="false">+F59/0.65</f>
        <v>1079090.76923077</v>
      </c>
    </row>
    <row r="60" customFormat="false" ht="14.4" hidden="false" customHeight="false" outlineLevel="0" collapsed="false">
      <c r="B60" s="0" t="s">
        <v>85</v>
      </c>
      <c r="C60" s="0" t="s">
        <v>94</v>
      </c>
      <c r="D60" s="42" t="str">
        <f aca="false">CONCATENATE(Tabla12[[#This Row],[Cadena]],Tabla12[[#This Row],[Etiquetas de fila]])</f>
        <v>ParísPlaza Del Trebol</v>
      </c>
      <c r="E60" s="3" t="n">
        <v>1103318.01637444</v>
      </c>
      <c r="F60" s="3" t="n">
        <v>357935.833333333</v>
      </c>
      <c r="G60" s="3" t="n">
        <f aca="false">+E60/0.65</f>
        <v>1697412.33288376</v>
      </c>
      <c r="H60" s="3" t="n">
        <f aca="false">+F60/0.65</f>
        <v>550670.512820513</v>
      </c>
    </row>
    <row r="61" customFormat="false" ht="14.4" hidden="false" customHeight="false" outlineLevel="0" collapsed="false">
      <c r="B61" s="0" t="s">
        <v>85</v>
      </c>
      <c r="C61" s="0" t="s">
        <v>70</v>
      </c>
      <c r="D61" s="42" t="str">
        <f aca="false">CONCATENATE(Tabla12[[#This Row],[Cadena]],Tabla12[[#This Row],[Etiquetas de fila]])</f>
        <v>ParísLos Angeles</v>
      </c>
      <c r="E61" s="3" t="n">
        <v>973944.145308387</v>
      </c>
      <c r="F61" s="3" t="n">
        <v>315964.666666667</v>
      </c>
      <c r="G61" s="3" t="n">
        <f aca="false">+E61/0.65</f>
        <v>1498375.60816675</v>
      </c>
      <c r="H61" s="3" t="n">
        <f aca="false">+F61/0.65</f>
        <v>486099.487179487</v>
      </c>
    </row>
    <row r="62" customFormat="false" ht="14.4" hidden="false" customHeight="false" outlineLevel="0" collapsed="false">
      <c r="B62" s="0" t="s">
        <v>85</v>
      </c>
      <c r="C62" s="0" t="s">
        <v>36</v>
      </c>
      <c r="D62" s="42" t="str">
        <f aca="false">CONCATENATE(Tabla12[[#This Row],[Cadena]],Tabla12[[#This Row],[Etiquetas de fila]])</f>
        <v>ParísPuerto Montt</v>
      </c>
      <c r="E62" s="3" t="n">
        <v>1177611.65294429</v>
      </c>
      <c r="F62" s="3" t="n">
        <v>382038</v>
      </c>
      <c r="G62" s="3" t="n">
        <f aca="false">+E62/0.65</f>
        <v>1811710.23529891</v>
      </c>
      <c r="H62" s="3" t="n">
        <f aca="false">+F62/0.65</f>
        <v>587750.769230769</v>
      </c>
    </row>
    <row r="63" customFormat="false" ht="14.4" hidden="false" customHeight="false" outlineLevel="0" collapsed="false">
      <c r="B63" s="0" t="s">
        <v>85</v>
      </c>
      <c r="C63" s="0" t="s">
        <v>62</v>
      </c>
      <c r="D63" s="42" t="str">
        <f aca="false">CONCATENATE(Tabla12[[#This Row],[Cadena]],Tabla12[[#This Row],[Etiquetas de fila]])</f>
        <v>ParísAntofagasta</v>
      </c>
      <c r="E63" s="3" t="n">
        <v>1470965.50692652</v>
      </c>
      <c r="F63" s="3" t="n">
        <v>477207.166666667</v>
      </c>
      <c r="G63" s="3" t="n">
        <f aca="false">+E63/0.65</f>
        <v>2263023.85681004</v>
      </c>
      <c r="H63" s="3" t="n">
        <f aca="false">+F63/0.65</f>
        <v>734164.871794872</v>
      </c>
    </row>
    <row r="64" customFormat="false" ht="14.4" hidden="false" customHeight="false" outlineLevel="0" collapsed="false">
      <c r="B64" s="0" t="s">
        <v>85</v>
      </c>
      <c r="C64" s="0" t="s">
        <v>67</v>
      </c>
      <c r="D64" s="42" t="str">
        <f aca="false">CONCATENATE(Tabla12[[#This Row],[Cadena]],Tabla12[[#This Row],[Etiquetas de fila]])</f>
        <v>ParísCurico</v>
      </c>
      <c r="E64" s="3" t="n">
        <v>1262037.29078948</v>
      </c>
      <c r="F64" s="3" t="n">
        <v>409427.166666667</v>
      </c>
      <c r="G64" s="3" t="n">
        <f aca="false">+E64/0.65</f>
        <v>1941595.83198381</v>
      </c>
      <c r="H64" s="3" t="n">
        <f aca="false">+F64/0.65</f>
        <v>629887.948717949</v>
      </c>
    </row>
    <row r="65" customFormat="false" ht="14.4" hidden="false" customHeight="false" outlineLevel="0" collapsed="false">
      <c r="B65" s="0" t="s">
        <v>85</v>
      </c>
      <c r="C65" s="0" t="s">
        <v>61</v>
      </c>
      <c r="D65" s="42" t="str">
        <f aca="false">CONCATENATE(Tabla12[[#This Row],[Cadena]],Tabla12[[#This Row],[Etiquetas de fila]])</f>
        <v>ParísPortal Temuco</v>
      </c>
      <c r="E65" s="3" t="n">
        <v>971261.389469231</v>
      </c>
      <c r="F65" s="3" t="n">
        <v>315094.333333333</v>
      </c>
      <c r="G65" s="3" t="n">
        <f aca="false">+E65/0.65</f>
        <v>1494248.29149113</v>
      </c>
      <c r="H65" s="3" t="n">
        <f aca="false">+F65/0.65</f>
        <v>484760.512820513</v>
      </c>
    </row>
    <row r="66" customFormat="false" ht="14.4" hidden="false" customHeight="false" outlineLevel="0" collapsed="false">
      <c r="B66" s="0" t="s">
        <v>85</v>
      </c>
      <c r="C66" s="0" t="s">
        <v>59</v>
      </c>
      <c r="D66" s="42" t="str">
        <f aca="false">CONCATENATE(Tabla12[[#This Row],[Cadena]],Tabla12[[#This Row],[Etiquetas de fila]])</f>
        <v>ParísPlaza Vespucio</v>
      </c>
      <c r="E66" s="3" t="n">
        <v>882826.002615118</v>
      </c>
      <c r="F66" s="3" t="n">
        <v>286404.333333333</v>
      </c>
      <c r="G66" s="3" t="n">
        <f aca="false">+E66/0.65</f>
        <v>1358193.85017711</v>
      </c>
      <c r="H66" s="3" t="n">
        <f aca="false">+F66/0.65</f>
        <v>440622.051282051</v>
      </c>
    </row>
    <row r="67" customFormat="false" ht="14.4" hidden="false" customHeight="false" outlineLevel="0" collapsed="false">
      <c r="B67" s="0" t="s">
        <v>85</v>
      </c>
      <c r="C67" s="0" t="s">
        <v>54</v>
      </c>
      <c r="D67" s="42" t="str">
        <f aca="false">CONCATENATE(Tabla12[[#This Row],[Cadena]],Tabla12[[#This Row],[Etiquetas de fila]])</f>
        <v>ParísFlorida Center</v>
      </c>
      <c r="E67" s="3" t="n">
        <v>846418.200851569</v>
      </c>
      <c r="F67" s="3" t="n">
        <v>274593</v>
      </c>
      <c r="G67" s="3" t="n">
        <f aca="false">+E67/0.65</f>
        <v>1302181.84746395</v>
      </c>
      <c r="H67" s="3" t="n">
        <f aca="false">+F67/0.65</f>
        <v>422450.769230769</v>
      </c>
    </row>
    <row r="68" customFormat="false" ht="14.4" hidden="false" customHeight="false" outlineLevel="0" collapsed="false">
      <c r="B68" s="0" t="s">
        <v>85</v>
      </c>
      <c r="C68" s="0" t="s">
        <v>80</v>
      </c>
      <c r="D68" s="42" t="str">
        <f aca="false">CONCATENATE(Tabla12[[#This Row],[Cadena]],Tabla12[[#This Row],[Etiquetas de fila]])</f>
        <v>ParísPlaza Tobalaba</v>
      </c>
      <c r="E68" s="3" t="n">
        <v>1181284.38781486</v>
      </c>
      <c r="F68" s="3" t="n">
        <v>383229.5</v>
      </c>
      <c r="G68" s="3" t="n">
        <f aca="false">+E68/0.65</f>
        <v>1817360.59663825</v>
      </c>
      <c r="H68" s="3" t="n">
        <f aca="false">+F68/0.65</f>
        <v>589583.846153846</v>
      </c>
    </row>
    <row r="69" customFormat="false" ht="14.4" hidden="false" customHeight="false" outlineLevel="0" collapsed="false">
      <c r="B69" s="0" t="s">
        <v>85</v>
      </c>
      <c r="C69" s="0" t="s">
        <v>95</v>
      </c>
      <c r="D69" s="42" t="str">
        <f aca="false">CONCATENATE(Tabla12[[#This Row],[Cadena]],Tabla12[[#This Row],[Etiquetas de fila]])</f>
        <v>ParísOvalle</v>
      </c>
      <c r="E69" s="3" t="n">
        <v>496771.683460759</v>
      </c>
      <c r="F69" s="3" t="n">
        <v>161161.5</v>
      </c>
      <c r="G69" s="3" t="n">
        <f aca="false">+E69/0.65</f>
        <v>764264.128401168</v>
      </c>
      <c r="H69" s="3" t="n">
        <f aca="false">+F69/0.65</f>
        <v>247940.769230769</v>
      </c>
    </row>
    <row r="70" customFormat="false" ht="14.4" hidden="false" customHeight="false" outlineLevel="0" collapsed="false">
      <c r="B70" s="0" t="s">
        <v>85</v>
      </c>
      <c r="C70" s="0" t="s">
        <v>57</v>
      </c>
      <c r="D70" s="42" t="str">
        <f aca="false">CONCATENATE(Tabla12[[#This Row],[Cadena]],Tabla12[[#This Row],[Etiquetas de fila]])</f>
        <v>ParísIquique</v>
      </c>
      <c r="E70" s="3" t="n">
        <v>1040739.21729985</v>
      </c>
      <c r="F70" s="3" t="n">
        <v>337634.166666667</v>
      </c>
      <c r="G70" s="3" t="n">
        <f aca="false">+E70/0.65</f>
        <v>1601137.25738439</v>
      </c>
      <c r="H70" s="3" t="n">
        <f aca="false">+F70/0.65</f>
        <v>519437.17948718</v>
      </c>
    </row>
    <row r="71" customFormat="false" ht="14.4" hidden="false" customHeight="false" outlineLevel="0" collapsed="false">
      <c r="B71" s="0" t="s">
        <v>85</v>
      </c>
      <c r="C71" s="0" t="s">
        <v>73</v>
      </c>
      <c r="D71" s="42" t="str">
        <f aca="false">CONCATENATE(Tabla12[[#This Row],[Cadena]],Tabla12[[#This Row],[Etiquetas de fila]])</f>
        <v>ParísValparaiso</v>
      </c>
      <c r="E71" s="3" t="n">
        <v>945455.662055098</v>
      </c>
      <c r="F71" s="3" t="n">
        <v>306722.5</v>
      </c>
      <c r="G71" s="3" t="n">
        <f aca="false">+E71/0.65</f>
        <v>1454547.17239246</v>
      </c>
      <c r="H71" s="3" t="n">
        <f aca="false">+F71/0.65</f>
        <v>471880.769230769</v>
      </c>
    </row>
    <row r="72" customFormat="false" ht="14.4" hidden="false" customHeight="false" outlineLevel="0" collapsed="false">
      <c r="B72" s="0" t="s">
        <v>85</v>
      </c>
      <c r="C72" s="0" t="s">
        <v>96</v>
      </c>
      <c r="D72" s="42" t="str">
        <f aca="false">CONCATENATE(Tabla12[[#This Row],[Cadena]],Tabla12[[#This Row],[Etiquetas de fila]])</f>
        <v>ParísQuilicura</v>
      </c>
      <c r="E72" s="3" t="n">
        <v>1275405.86077157</v>
      </c>
      <c r="F72" s="3" t="n">
        <v>413764.166666667</v>
      </c>
      <c r="G72" s="3" t="n">
        <f aca="false">+E72/0.65</f>
        <v>1962162.8627255</v>
      </c>
      <c r="H72" s="3" t="n">
        <f aca="false">+F72/0.65</f>
        <v>636560.256410256</v>
      </c>
    </row>
    <row r="73" customFormat="false" ht="14.4" hidden="false" customHeight="false" outlineLevel="0" collapsed="false">
      <c r="B73" s="0" t="s">
        <v>85</v>
      </c>
      <c r="C73" s="0" t="s">
        <v>97</v>
      </c>
      <c r="D73" s="42" t="str">
        <f aca="false">CONCATENATE(Tabla12[[#This Row],[Cadena]],Tabla12[[#This Row],[Etiquetas de fila]])</f>
        <v>ParísQuilin</v>
      </c>
      <c r="E73" s="3" t="n">
        <v>1030477.23953518</v>
      </c>
      <c r="F73" s="3" t="n">
        <v>334305</v>
      </c>
      <c r="G73" s="3" t="n">
        <f aca="false">+E73/0.65</f>
        <v>1585349.59928489</v>
      </c>
      <c r="H73" s="3" t="n">
        <f aca="false">+F73/0.65</f>
        <v>514315.384615385</v>
      </c>
    </row>
    <row r="74" customFormat="false" ht="14.4" hidden="false" customHeight="false" outlineLevel="0" collapsed="false">
      <c r="B74" s="0" t="s">
        <v>85</v>
      </c>
      <c r="C74" s="0" t="s">
        <v>98</v>
      </c>
      <c r="D74" s="42" t="str">
        <f aca="false">CONCATENATE(Tabla12[[#This Row],[Cadena]],Tabla12[[#This Row],[Etiquetas de fila]])</f>
        <v>ParísPortal Nunoa</v>
      </c>
      <c r="E74" s="3" t="n">
        <v>1011025.97534864</v>
      </c>
      <c r="F74" s="3" t="n">
        <v>327994.666666667</v>
      </c>
      <c r="G74" s="3" t="n">
        <f aca="false">+E74/0.65</f>
        <v>1555424.57745945</v>
      </c>
      <c r="H74" s="3" t="n">
        <f aca="false">+F74/0.65</f>
        <v>504607.179487179</v>
      </c>
    </row>
    <row r="75" customFormat="false" ht="14.4" hidden="false" customHeight="false" outlineLevel="0" collapsed="false">
      <c r="B75" s="0" t="s">
        <v>85</v>
      </c>
      <c r="C75" s="0" t="s">
        <v>65</v>
      </c>
      <c r="D75" s="42" t="str">
        <f aca="false">CONCATENATE(Tabla12[[#This Row],[Cadena]],Tabla12[[#This Row],[Etiquetas de fila]])</f>
        <v>ParísSan Bernardo</v>
      </c>
      <c r="E75" s="3" t="n">
        <v>929076.569434656</v>
      </c>
      <c r="F75" s="3" t="n">
        <v>301408.833333333</v>
      </c>
      <c r="G75" s="3" t="n">
        <f aca="false">+E75/0.65</f>
        <v>1429348.56836101</v>
      </c>
      <c r="H75" s="3" t="n">
        <f aca="false">+F75/0.65</f>
        <v>463705.897435897</v>
      </c>
    </row>
    <row r="76" customFormat="false" ht="14.4" hidden="false" customHeight="false" outlineLevel="0" collapsed="false">
      <c r="B76" s="0" t="s">
        <v>85</v>
      </c>
      <c r="C76" s="0" t="s">
        <v>99</v>
      </c>
      <c r="D76" s="42" t="str">
        <f aca="false">CONCATENATE(Tabla12[[#This Row],[Cadena]],Tabla12[[#This Row],[Etiquetas de fila]])</f>
        <v>ParísMall Paseo Estacion</v>
      </c>
      <c r="E76" s="3" t="n">
        <v>918655.331939967</v>
      </c>
      <c r="F76" s="3" t="n">
        <v>298028</v>
      </c>
      <c r="G76" s="3" t="n">
        <f aca="false">+E76/0.65</f>
        <v>1413315.89529226</v>
      </c>
      <c r="H76" s="3" t="n">
        <f aca="false">+F76/0.65</f>
        <v>458504.615384615</v>
      </c>
    </row>
    <row r="77" customFormat="false" ht="14.4" hidden="false" customHeight="false" outlineLevel="0" collapsed="false">
      <c r="B77" s="0" t="s">
        <v>85</v>
      </c>
      <c r="C77" s="0" t="s">
        <v>100</v>
      </c>
      <c r="D77" s="42" t="str">
        <f aca="false">CONCATENATE(Tabla12[[#This Row],[Cadena]],Tabla12[[#This Row],[Etiquetas de fila]])</f>
        <v>ParísLa Dehesa</v>
      </c>
      <c r="E77" s="3" t="n">
        <v>1061246.21937407</v>
      </c>
      <c r="F77" s="3" t="n">
        <v>344287</v>
      </c>
      <c r="G77" s="3" t="n">
        <f aca="false">+E77/0.65</f>
        <v>1632686.49134472</v>
      </c>
      <c r="H77" s="3" t="n">
        <f aca="false">+F77/0.65</f>
        <v>529672.307692308</v>
      </c>
    </row>
    <row r="78" customFormat="false" ht="14.4" hidden="false" customHeight="false" outlineLevel="0" collapsed="false">
      <c r="B78" s="0" t="s">
        <v>85</v>
      </c>
      <c r="C78" s="0" t="s">
        <v>101</v>
      </c>
      <c r="D78" s="42" t="str">
        <f aca="false">CONCATENATE(Tabla12[[#This Row],[Cadena]],Tabla12[[#This Row],[Etiquetas de fila]])</f>
        <v>ParísCentrorex Rancagua</v>
      </c>
      <c r="E78" s="3" t="n">
        <v>298338.683531701</v>
      </c>
      <c r="F78" s="3" t="n">
        <v>96786.3333333333</v>
      </c>
      <c r="G78" s="3" t="n">
        <f aca="false">+E78/0.65</f>
        <v>458982.59004877</v>
      </c>
      <c r="H78" s="3" t="n">
        <f aca="false">+F78/0.65</f>
        <v>148902.051282051</v>
      </c>
    </row>
    <row r="79" customFormat="false" ht="14.4" hidden="false" customHeight="false" outlineLevel="0" collapsed="false">
      <c r="B79" s="0" t="s">
        <v>85</v>
      </c>
      <c r="C79" s="0" t="s">
        <v>82</v>
      </c>
      <c r="D79" s="42" t="str">
        <f aca="false">CONCATENATE(Tabla12[[#This Row],[Cadena]],Tabla12[[#This Row],[Etiquetas de fila]])</f>
        <v>ParísCoquimbo</v>
      </c>
      <c r="E79" s="3" t="n">
        <v>409826.659434947</v>
      </c>
      <c r="F79" s="3" t="n">
        <v>132955</v>
      </c>
      <c r="G79" s="3" t="n">
        <f aca="false">+E79/0.65</f>
        <v>630502.552976842</v>
      </c>
      <c r="H79" s="3" t="n">
        <f aca="false">+F79/0.65</f>
        <v>204546.153846154</v>
      </c>
    </row>
    <row r="80" customFormat="false" ht="14.4" hidden="false" customHeight="false" outlineLevel="0" collapsed="false">
      <c r="B80" s="0" t="s">
        <v>85</v>
      </c>
      <c r="C80" s="0" t="s">
        <v>75</v>
      </c>
      <c r="D80" s="42" t="str">
        <f aca="false">CONCATENATE(Tabla12[[#This Row],[Cadena]],Tabla12[[#This Row],[Etiquetas de fila]])</f>
        <v>ParísHuechuraba</v>
      </c>
      <c r="E80" s="3" t="n">
        <v>786571.9904994</v>
      </c>
      <c r="F80" s="3" t="n">
        <v>255177.833333333</v>
      </c>
      <c r="G80" s="3" t="n">
        <f aca="false">+E80/0.65</f>
        <v>1210110.75461446</v>
      </c>
      <c r="H80" s="3" t="n">
        <f aca="false">+F80/0.65</f>
        <v>392581.282051282</v>
      </c>
    </row>
    <row r="81" customFormat="false" ht="14.4" hidden="false" customHeight="false" outlineLevel="0" collapsed="false">
      <c r="B81" s="0" t="s">
        <v>85</v>
      </c>
      <c r="C81" s="0" t="s">
        <v>102</v>
      </c>
      <c r="D81" s="42" t="str">
        <f aca="false">CONCATENATE(Tabla12[[#This Row],[Cadena]],Tabla12[[#This Row],[Etiquetas de fila]])</f>
        <v>ParísLyon</v>
      </c>
      <c r="E81" s="3" t="n">
        <v>631174.052066771</v>
      </c>
      <c r="F81" s="3" t="n">
        <v>204764</v>
      </c>
      <c r="G81" s="3" t="n">
        <f aca="false">+E81/0.65</f>
        <v>971037.003179647</v>
      </c>
      <c r="H81" s="3" t="n">
        <f aca="false">+F81/0.65</f>
        <v>315021.538461538</v>
      </c>
    </row>
    <row r="82" customFormat="false" ht="14.4" hidden="false" customHeight="false" outlineLevel="0" collapsed="false">
      <c r="B82" s="0" t="s">
        <v>85</v>
      </c>
      <c r="C82" s="0" t="s">
        <v>103</v>
      </c>
      <c r="D82" s="42" t="str">
        <f aca="false">CONCATENATE(Tabla12[[#This Row],[Cadena]],Tabla12[[#This Row],[Etiquetas de fila]])</f>
        <v>ParísAlameda</v>
      </c>
      <c r="E82" s="3" t="n">
        <v>237029.338627651</v>
      </c>
      <c r="F82" s="3" t="n">
        <v>76896.5</v>
      </c>
      <c r="G82" s="3" t="n">
        <f aca="false">+E82/0.65</f>
        <v>364660.520965618</v>
      </c>
      <c r="H82" s="3" t="n">
        <f aca="false">+F82/0.65</f>
        <v>118302.307692308</v>
      </c>
    </row>
    <row r="83" customFormat="false" ht="14.4" hidden="false" customHeight="false" outlineLevel="0" collapsed="false">
      <c r="B83" s="0" t="s">
        <v>85</v>
      </c>
      <c r="C83" s="0" t="s">
        <v>104</v>
      </c>
      <c r="D83" s="42" t="str">
        <f aca="false">CONCATENATE(Tabla12[[#This Row],[Cadena]],Tabla12[[#This Row],[Etiquetas de fila]])</f>
        <v>ParísBandera</v>
      </c>
      <c r="E83" s="3" t="n">
        <v>215540.577379052</v>
      </c>
      <c r="F83" s="3" t="n">
        <v>69925.1666666667</v>
      </c>
      <c r="G83" s="3" t="n">
        <f aca="false">+E83/0.65</f>
        <v>331600.888275465</v>
      </c>
      <c r="H83" s="3" t="n">
        <f aca="false">+F83/0.65</f>
        <v>107577.179487179</v>
      </c>
    </row>
    <row r="84" customFormat="false" ht="14.4" hidden="false" customHeight="false" outlineLevel="0" collapsed="false">
      <c r="B84" s="0" t="s">
        <v>85</v>
      </c>
      <c r="C84" s="0" t="s">
        <v>105</v>
      </c>
      <c r="D84" s="42" t="str">
        <f aca="false">CONCATENATE(Tabla12[[#This Row],[Cadena]],Tabla12[[#This Row],[Etiquetas de fila]])</f>
        <v>ParísIndependencia</v>
      </c>
      <c r="E84" s="3" t="n">
        <v>0</v>
      </c>
      <c r="F84" s="3" t="n">
        <v>0</v>
      </c>
      <c r="G84" s="3" t="n">
        <f aca="false">+E84/0.65</f>
        <v>0</v>
      </c>
      <c r="H84" s="3" t="n">
        <f aca="false">+F84/0.65</f>
        <v>0</v>
      </c>
    </row>
    <row r="85" customFormat="false" ht="14.4" hidden="false" customHeight="false" outlineLevel="0" collapsed="false">
      <c r="B85" s="0" t="s">
        <v>85</v>
      </c>
      <c r="C85" s="0" t="s">
        <v>106</v>
      </c>
      <c r="D85" s="42" t="str">
        <f aca="false">CONCATENATE(Tabla12[[#This Row],[Cadena]],Tabla12[[#This Row],[Etiquetas de fila]])</f>
        <v>ParísSan Antonio</v>
      </c>
      <c r="E85" s="3" t="n">
        <v>0</v>
      </c>
      <c r="F85" s="3" t="n">
        <v>0</v>
      </c>
      <c r="G85" s="3" t="n">
        <f aca="false">+E85/0.65</f>
        <v>0</v>
      </c>
      <c r="H85" s="3" t="n">
        <f aca="false">+F85/0.65</f>
        <v>0</v>
      </c>
    </row>
    <row r="86" customFormat="false" ht="14.4" hidden="false" customHeight="false" outlineLevel="0" collapsed="false">
      <c r="B86" s="0" t="s">
        <v>85</v>
      </c>
      <c r="C86" s="0" t="s">
        <v>107</v>
      </c>
      <c r="D86" s="42" t="str">
        <f aca="false">CONCATENATE(Tabla12[[#This Row],[Cadena]],Tabla12[[#This Row],[Etiquetas de fila]])</f>
        <v>ParísAhumada</v>
      </c>
      <c r="E86" s="3" t="n">
        <v>0</v>
      </c>
      <c r="F86" s="3" t="n">
        <v>0</v>
      </c>
      <c r="G86" s="3" t="n">
        <f aca="false">+E86/0.65</f>
        <v>0</v>
      </c>
      <c r="H86" s="3" t="n">
        <f aca="false">+F86/0.65</f>
        <v>0</v>
      </c>
    </row>
    <row r="87" customFormat="false" ht="14.4" hidden="false" customHeight="false" outlineLevel="0" collapsed="false">
      <c r="B87" s="0" t="s">
        <v>85</v>
      </c>
      <c r="C87" s="0" t="s">
        <v>108</v>
      </c>
      <c r="D87" s="42" t="str">
        <f aca="false">CONCATENATE(Tabla12[[#This Row],[Cadena]],Tabla12[[#This Row],[Etiquetas de fila]])</f>
        <v>ParísCalama</v>
      </c>
      <c r="E87" s="3" t="n">
        <v>0</v>
      </c>
      <c r="F87" s="3" t="n">
        <v>0</v>
      </c>
      <c r="G87" s="3" t="n">
        <f aca="false">+E87/0.65</f>
        <v>0</v>
      </c>
      <c r="H87" s="3" t="n">
        <f aca="false">+F87/0.65</f>
        <v>0</v>
      </c>
    </row>
    <row r="88" customFormat="false" ht="14.4" hidden="false" customHeight="false" outlineLevel="0" collapsed="false">
      <c r="B88" s="0" t="s">
        <v>109</v>
      </c>
      <c r="C88" s="0" t="s">
        <v>110</v>
      </c>
      <c r="D88" s="42" t="str">
        <f aca="false">CONCATENATE(Tabla12[[#This Row],[Cadena]],Tabla12[[#This Row],[Etiquetas de fila]])</f>
        <v>Mega Johnson La Serena</v>
      </c>
      <c r="E88" s="3" t="n">
        <v>1042803.14285714</v>
      </c>
      <c r="F88" s="3" t="n">
        <v>330719.6</v>
      </c>
      <c r="G88" s="3" t="n">
        <f aca="false">+E88/0.65</f>
        <v>1604312.52747253</v>
      </c>
      <c r="H88" s="3" t="n">
        <f aca="false">+F88/0.65</f>
        <v>508799.384615385</v>
      </c>
    </row>
    <row r="89" customFormat="false" ht="14.4" hidden="false" customHeight="false" outlineLevel="0" collapsed="false">
      <c r="B89" s="0" t="s">
        <v>109</v>
      </c>
      <c r="C89" s="0" t="s">
        <v>111</v>
      </c>
      <c r="D89" s="42" t="str">
        <f aca="false">CONCATENATE(Tabla12[[#This Row],[Cadena]],Tabla12[[#This Row],[Etiquetas de fila]])</f>
        <v>Mega Johnson Quilin</v>
      </c>
      <c r="E89" s="3" t="n">
        <v>773831.571428571</v>
      </c>
      <c r="F89" s="3" t="n">
        <v>283572</v>
      </c>
      <c r="G89" s="3" t="n">
        <f aca="false">+E89/0.65</f>
        <v>1190510.10989011</v>
      </c>
      <c r="H89" s="3" t="n">
        <f aca="false">+F89/0.65</f>
        <v>436264.615384615</v>
      </c>
    </row>
    <row r="90" customFormat="false" ht="14.4" hidden="false" customHeight="false" outlineLevel="0" collapsed="false">
      <c r="B90" s="0" t="s">
        <v>109</v>
      </c>
      <c r="C90" s="0" t="s">
        <v>112</v>
      </c>
      <c r="D90" s="42" t="str">
        <f aca="false">CONCATENATE(Tabla12[[#This Row],[Cadena]],Tabla12[[#This Row],[Etiquetas de fila]])</f>
        <v>Mega Johnson Quillota</v>
      </c>
      <c r="E90" s="3" t="n">
        <v>763319.285714286</v>
      </c>
      <c r="F90" s="3" t="n">
        <v>274870</v>
      </c>
      <c r="G90" s="3" t="n">
        <f aca="false">+E90/0.65</f>
        <v>1174337.36263736</v>
      </c>
      <c r="H90" s="3" t="n">
        <f aca="false">+F90/0.65</f>
        <v>422876.923076923</v>
      </c>
    </row>
    <row r="91" customFormat="false" ht="14.4" hidden="false" customHeight="false" outlineLevel="0" collapsed="false">
      <c r="B91" s="0" t="s">
        <v>109</v>
      </c>
      <c r="C91" s="0" t="s">
        <v>113</v>
      </c>
      <c r="D91" s="42" t="str">
        <f aca="false">CONCATENATE(Tabla12[[#This Row],[Cadena]],Tabla12[[#This Row],[Etiquetas de fila]])</f>
        <v>Mega Johnson Viña Del Mar</v>
      </c>
      <c r="E91" s="3" t="n">
        <v>697571.142857143</v>
      </c>
      <c r="F91" s="3" t="n">
        <v>304712.8</v>
      </c>
      <c r="G91" s="3" t="n">
        <f aca="false">+E91/0.65</f>
        <v>1073186.37362637</v>
      </c>
      <c r="H91" s="3" t="n">
        <f aca="false">+F91/0.65</f>
        <v>468788.923076923</v>
      </c>
    </row>
    <row r="92" customFormat="false" ht="14.4" hidden="false" customHeight="false" outlineLevel="0" collapsed="false">
      <c r="B92" s="0" t="s">
        <v>109</v>
      </c>
      <c r="C92" s="0" t="s">
        <v>114</v>
      </c>
      <c r="D92" s="42" t="str">
        <f aca="false">CONCATENATE(Tabla12[[#This Row],[Cadena]],Tabla12[[#This Row],[Etiquetas de fila]])</f>
        <v>Mega Johnson Maipu</v>
      </c>
      <c r="E92" s="3" t="n">
        <v>688128.857142857</v>
      </c>
      <c r="F92" s="3" t="n">
        <v>248910.2</v>
      </c>
      <c r="G92" s="3" t="n">
        <f aca="false">+E92/0.65</f>
        <v>1058659.78021978</v>
      </c>
      <c r="H92" s="3" t="n">
        <f aca="false">+F92/0.65</f>
        <v>382938.769230769</v>
      </c>
    </row>
    <row r="93" customFormat="false" ht="14.4" hidden="false" customHeight="false" outlineLevel="0" collapsed="false">
      <c r="B93" s="0" t="s">
        <v>109</v>
      </c>
      <c r="C93" s="0" t="s">
        <v>115</v>
      </c>
      <c r="D93" s="42" t="str">
        <f aca="false">CONCATENATE(Tabla12[[#This Row],[Cadena]],Tabla12[[#This Row],[Etiquetas de fila]])</f>
        <v>Mega Johnson Florida Center</v>
      </c>
      <c r="E93" s="3" t="n">
        <v>682505.857142857</v>
      </c>
      <c r="F93" s="3" t="n">
        <v>170847.2</v>
      </c>
      <c r="G93" s="3" t="n">
        <f aca="false">+E93/0.65</f>
        <v>1050009.01098901</v>
      </c>
      <c r="H93" s="3" t="n">
        <f aca="false">+F93/0.65</f>
        <v>262841.846153846</v>
      </c>
    </row>
    <row r="94" customFormat="false" ht="14.4" hidden="false" customHeight="false" outlineLevel="0" collapsed="false">
      <c r="B94" s="0" t="s">
        <v>116</v>
      </c>
      <c r="C94" s="0" t="s">
        <v>117</v>
      </c>
      <c r="D94" s="42" t="str">
        <f aca="false">CONCATENATE(Tabla12[[#This Row],[Cadena]],Tabla12[[#This Row],[Etiquetas de fila]])</f>
        <v>Johnson Iquique</v>
      </c>
      <c r="E94" s="3" t="n">
        <v>602468.142857143</v>
      </c>
      <c r="F94" s="3" t="n">
        <v>257973.4</v>
      </c>
      <c r="G94" s="3" t="n">
        <f aca="false">+E94/0.65</f>
        <v>926874.065934066</v>
      </c>
      <c r="H94" s="3" t="n">
        <f aca="false">+F94/0.65</f>
        <v>396882.153846154</v>
      </c>
    </row>
    <row r="95" customFormat="false" ht="14.4" hidden="false" customHeight="false" outlineLevel="0" collapsed="false">
      <c r="B95" s="0" t="s">
        <v>116</v>
      </c>
      <c r="C95" s="0" t="s">
        <v>118</v>
      </c>
      <c r="D95" s="42" t="str">
        <f aca="false">CONCATENATE(Tabla12[[#This Row],[Cadena]],Tabla12[[#This Row],[Etiquetas de fila]])</f>
        <v>Johnson Chillan</v>
      </c>
      <c r="E95" s="3" t="n">
        <v>559004.571428571</v>
      </c>
      <c r="F95" s="3" t="n">
        <v>117894.6</v>
      </c>
      <c r="G95" s="3" t="n">
        <f aca="false">+E95/0.65</f>
        <v>860007.032967033</v>
      </c>
      <c r="H95" s="3" t="n">
        <f aca="false">+F95/0.65</f>
        <v>181376.307692308</v>
      </c>
    </row>
    <row r="96" customFormat="false" ht="14.4" hidden="false" customHeight="false" outlineLevel="0" collapsed="false">
      <c r="B96" s="0" t="s">
        <v>116</v>
      </c>
      <c r="C96" s="0" t="s">
        <v>119</v>
      </c>
      <c r="D96" s="42" t="str">
        <f aca="false">CONCATENATE(Tabla12[[#This Row],[Cadena]],Tabla12[[#This Row],[Etiquetas de fila]])</f>
        <v>Johnson Arica</v>
      </c>
      <c r="E96" s="3" t="n">
        <v>492090.142857143</v>
      </c>
      <c r="F96" s="3" t="n">
        <v>198971.4</v>
      </c>
      <c r="G96" s="3" t="n">
        <f aca="false">+E96/0.65</f>
        <v>757061.758241758</v>
      </c>
      <c r="H96" s="3" t="n">
        <f aca="false">+F96/0.65</f>
        <v>306109.846153846</v>
      </c>
    </row>
    <row r="97" customFormat="false" ht="14.4" hidden="false" customHeight="false" outlineLevel="0" collapsed="false">
      <c r="B97" s="0" t="s">
        <v>116</v>
      </c>
      <c r="C97" s="0" t="s">
        <v>120</v>
      </c>
      <c r="D97" s="42" t="str">
        <f aca="false">CONCATENATE(Tabla12[[#This Row],[Cadena]],Tabla12[[#This Row],[Etiquetas de fila]])</f>
        <v>Johnson Copiapo</v>
      </c>
      <c r="E97" s="3" t="n">
        <v>477547.142857143</v>
      </c>
      <c r="F97" s="3" t="n">
        <v>159174.2</v>
      </c>
      <c r="G97" s="3" t="n">
        <f aca="false">+E97/0.65</f>
        <v>734687.912087912</v>
      </c>
      <c r="H97" s="3" t="n">
        <f aca="false">+F97/0.65</f>
        <v>244883.384615385</v>
      </c>
    </row>
    <row r="98" customFormat="false" ht="14.4" hidden="false" customHeight="false" outlineLevel="0" collapsed="false">
      <c r="B98" s="0" t="s">
        <v>116</v>
      </c>
      <c r="C98" s="0" t="s">
        <v>121</v>
      </c>
      <c r="D98" s="42" t="str">
        <f aca="false">CONCATENATE(Tabla12[[#This Row],[Cadena]],Tabla12[[#This Row],[Etiquetas de fila]])</f>
        <v>Johnson San Felipe</v>
      </c>
      <c r="E98" s="3" t="n">
        <v>443482.285714286</v>
      </c>
      <c r="F98" s="3" t="n">
        <v>178133.4</v>
      </c>
      <c r="G98" s="3" t="n">
        <f aca="false">+E98/0.65</f>
        <v>682280.43956044</v>
      </c>
      <c r="H98" s="3" t="n">
        <f aca="false">+F98/0.65</f>
        <v>274051.384615385</v>
      </c>
    </row>
    <row r="99" customFormat="false" ht="14.4" hidden="false" customHeight="false" outlineLevel="0" collapsed="false">
      <c r="B99" s="0" t="s">
        <v>109</v>
      </c>
      <c r="C99" s="0" t="s">
        <v>122</v>
      </c>
      <c r="D99" s="42" t="str">
        <f aca="false">CONCATENATE(Tabla12[[#This Row],[Cadena]],Tabla12[[#This Row],[Etiquetas de fila]])</f>
        <v>Mega Johnson San Bernardo</v>
      </c>
      <c r="E99" s="3" t="n">
        <v>471929.714285714</v>
      </c>
      <c r="F99" s="3" t="n">
        <v>110619</v>
      </c>
      <c r="G99" s="3" t="n">
        <f aca="false">+E99/0.65</f>
        <v>726045.714285714</v>
      </c>
      <c r="H99" s="3" t="n">
        <f aca="false">+F99/0.65</f>
        <v>170183.076923077</v>
      </c>
    </row>
    <row r="100" customFormat="false" ht="14.4" hidden="false" customHeight="false" outlineLevel="0" collapsed="false">
      <c r="B100" s="0" t="s">
        <v>109</v>
      </c>
      <c r="C100" s="0" t="s">
        <v>123</v>
      </c>
      <c r="D100" s="42" t="str">
        <f aca="false">CONCATENATE(Tabla12[[#This Row],[Cadena]],Tabla12[[#This Row],[Etiquetas de fila]])</f>
        <v>Mega Johnson Puente Alto</v>
      </c>
      <c r="E100" s="3" t="n">
        <v>393143.428571429</v>
      </c>
      <c r="F100" s="3" t="n">
        <v>187586.8</v>
      </c>
      <c r="G100" s="3" t="n">
        <f aca="false">+E100/0.65</f>
        <v>604836.043956044</v>
      </c>
      <c r="H100" s="3" t="n">
        <f aca="false">+F100/0.65</f>
        <v>288595.076923077</v>
      </c>
    </row>
    <row r="101" customFormat="false" ht="14.4" hidden="false" customHeight="false" outlineLevel="0" collapsed="false">
      <c r="B101" s="0" t="s">
        <v>116</v>
      </c>
      <c r="C101" s="0" t="s">
        <v>124</v>
      </c>
      <c r="D101" s="42" t="str">
        <f aca="false">CONCATENATE(Tabla12[[#This Row],[Cadena]],Tabla12[[#This Row],[Etiquetas de fila]])</f>
        <v>Johnson Talca</v>
      </c>
      <c r="E101" s="3" t="n">
        <v>413870.285714286</v>
      </c>
      <c r="F101" s="3" t="n">
        <v>138431.8</v>
      </c>
      <c r="G101" s="3" t="n">
        <f aca="false">+E101/0.65</f>
        <v>636723.516483517</v>
      </c>
      <c r="H101" s="3" t="n">
        <f aca="false">+F101/0.65</f>
        <v>212972</v>
      </c>
    </row>
    <row r="102" customFormat="false" ht="14.4" hidden="false" customHeight="false" outlineLevel="0" collapsed="false">
      <c r="B102" s="0" t="s">
        <v>116</v>
      </c>
      <c r="C102" s="0" t="s">
        <v>125</v>
      </c>
      <c r="D102" s="42" t="str">
        <f aca="false">CONCATENATE(Tabla12[[#This Row],[Cadena]],Tabla12[[#This Row],[Etiquetas de fila]])</f>
        <v>Johnson Concepcion</v>
      </c>
      <c r="E102" s="3" t="n">
        <v>449465.571428571</v>
      </c>
      <c r="F102" s="3" t="n">
        <v>69306.2</v>
      </c>
      <c r="G102" s="3" t="n">
        <f aca="false">+E102/0.65</f>
        <v>691485.494505494</v>
      </c>
      <c r="H102" s="3" t="n">
        <f aca="false">+F102/0.65</f>
        <v>106624.923076923</v>
      </c>
    </row>
    <row r="103" customFormat="false" ht="14.4" hidden="false" customHeight="false" outlineLevel="0" collapsed="false">
      <c r="B103" s="0" t="s">
        <v>116</v>
      </c>
      <c r="C103" s="0" t="s">
        <v>126</v>
      </c>
      <c r="D103" s="42" t="str">
        <f aca="false">CONCATENATE(Tabla12[[#This Row],[Cadena]],Tabla12[[#This Row],[Etiquetas de fila]])</f>
        <v>Johnson Puente</v>
      </c>
      <c r="E103" s="3" t="n">
        <v>425049.428571429</v>
      </c>
      <c r="F103" s="3" t="n">
        <v>58770.4</v>
      </c>
      <c r="G103" s="3" t="n">
        <f aca="false">+E103/0.65</f>
        <v>653922.197802198</v>
      </c>
      <c r="H103" s="3" t="n">
        <f aca="false">+F103/0.65</f>
        <v>90416</v>
      </c>
    </row>
    <row r="104" customFormat="false" ht="14.4" hidden="false" customHeight="false" outlineLevel="0" collapsed="false">
      <c r="B104" s="0" t="s">
        <v>116</v>
      </c>
      <c r="C104" s="0" t="s">
        <v>127</v>
      </c>
      <c r="D104" s="42" t="str">
        <f aca="false">CONCATENATE(Tabla12[[#This Row],[Cadena]],Tabla12[[#This Row],[Etiquetas de fila]])</f>
        <v>Johnson Rancagua</v>
      </c>
      <c r="E104" s="3" t="n">
        <v>430446.714285714</v>
      </c>
      <c r="F104" s="3" t="n">
        <v>19517.8</v>
      </c>
      <c r="G104" s="3" t="n">
        <f aca="false">+E104/0.65</f>
        <v>662225.714285714</v>
      </c>
      <c r="H104" s="3" t="n">
        <f aca="false">+F104/0.65</f>
        <v>30027.3846153846</v>
      </c>
    </row>
    <row r="105" customFormat="false" ht="14.4" hidden="false" customHeight="false" outlineLevel="0" collapsed="false">
      <c r="B105" s="0" t="s">
        <v>116</v>
      </c>
      <c r="C105" s="0" t="s">
        <v>128</v>
      </c>
      <c r="D105" s="42" t="str">
        <f aca="false">CONCATENATE(Tabla12[[#This Row],[Cadena]],Tabla12[[#This Row],[Etiquetas de fila]])</f>
        <v>Johnson Coronel</v>
      </c>
      <c r="E105" s="3" t="n">
        <v>362070</v>
      </c>
      <c r="F105" s="3" t="n">
        <v>80125.2</v>
      </c>
      <c r="G105" s="3" t="n">
        <f aca="false">+E105/0.65</f>
        <v>557030.769230769</v>
      </c>
      <c r="H105" s="3" t="n">
        <f aca="false">+F105/0.65</f>
        <v>123269.538461538</v>
      </c>
    </row>
    <row r="106" customFormat="false" ht="14.4" hidden="false" customHeight="false" outlineLevel="0" collapsed="false">
      <c r="B106" s="0" t="s">
        <v>116</v>
      </c>
      <c r="C106" s="0" t="s">
        <v>129</v>
      </c>
      <c r="D106" s="42" t="str">
        <f aca="false">CONCATENATE(Tabla12[[#This Row],[Cadena]],Tabla12[[#This Row],[Etiquetas de fila]])</f>
        <v>Johnson Temuco</v>
      </c>
      <c r="E106" s="3" t="n">
        <v>356015.571428571</v>
      </c>
      <c r="F106" s="3" t="n">
        <v>49169.8</v>
      </c>
      <c r="G106" s="3" t="n">
        <f aca="false">+E106/0.65</f>
        <v>547716.263736264</v>
      </c>
      <c r="H106" s="3" t="n">
        <f aca="false">+F106/0.65</f>
        <v>75645.8461538462</v>
      </c>
    </row>
    <row r="107" customFormat="false" ht="14.4" hidden="false" customHeight="false" outlineLevel="0" collapsed="false">
      <c r="B107" s="0" t="s">
        <v>116</v>
      </c>
      <c r="C107" s="0" t="s">
        <v>130</v>
      </c>
      <c r="D107" s="42" t="str">
        <f aca="false">CONCATENATE(Tabla12[[#This Row],[Cadena]],Tabla12[[#This Row],[Etiquetas de fila]])</f>
        <v>Johnson Melipilla</v>
      </c>
      <c r="E107" s="3" t="n">
        <v>289808.714285714</v>
      </c>
      <c r="F107" s="3" t="n">
        <v>36418.2</v>
      </c>
      <c r="G107" s="3" t="n">
        <f aca="false">+E107/0.65</f>
        <v>445859.56043956</v>
      </c>
      <c r="H107" s="3" t="n">
        <f aca="false">+F107/0.65</f>
        <v>56028</v>
      </c>
    </row>
    <row r="108" customFormat="false" ht="14.4" hidden="false" customHeight="false" outlineLevel="0" collapsed="false">
      <c r="B108" s="0" t="s">
        <v>116</v>
      </c>
      <c r="C108" s="0" t="s">
        <v>131</v>
      </c>
      <c r="D108" s="42" t="str">
        <f aca="false">CONCATENATE(Tabla12[[#This Row],[Cadena]],Tabla12[[#This Row],[Etiquetas de fila]])</f>
        <v>Johnson Antofagasta</v>
      </c>
      <c r="E108" s="3" t="n">
        <v>251495.142857143</v>
      </c>
      <c r="F108" s="3" t="n">
        <v>86880.4</v>
      </c>
      <c r="G108" s="3" t="n">
        <f aca="false">+E108/0.65</f>
        <v>386915.604395604</v>
      </c>
      <c r="H108" s="3" t="n">
        <f aca="false">+F108/0.65</f>
        <v>133662.153846154</v>
      </c>
    </row>
    <row r="109" customFormat="false" ht="14.4" hidden="false" customHeight="false" outlineLevel="0" collapsed="false">
      <c r="B109" s="0" t="s">
        <v>116</v>
      </c>
      <c r="C109" s="0" t="s">
        <v>132</v>
      </c>
      <c r="D109" s="42" t="str">
        <f aca="false">CONCATENATE(Tabla12[[#This Row],[Cadena]],Tabla12[[#This Row],[Etiquetas de fila]])</f>
        <v>Johnson Talcahuano</v>
      </c>
      <c r="E109" s="3" t="n">
        <v>285591.142857143</v>
      </c>
      <c r="F109" s="3" t="n">
        <v>38815.4</v>
      </c>
      <c r="G109" s="3" t="n">
        <f aca="false">+E109/0.65</f>
        <v>439370.989010989</v>
      </c>
      <c r="H109" s="3" t="n">
        <f aca="false">+F109/0.65</f>
        <v>59716</v>
      </c>
    </row>
    <row r="110" customFormat="false" ht="14.4" hidden="false" customHeight="false" outlineLevel="0" collapsed="false">
      <c r="B110" s="0" t="s">
        <v>116</v>
      </c>
      <c r="C110" s="0" t="s">
        <v>133</v>
      </c>
      <c r="D110" s="42" t="str">
        <f aca="false">CONCATENATE(Tabla12[[#This Row],[Cadena]],Tabla12[[#This Row],[Etiquetas de fila]])</f>
        <v>Johnson Maipu Plaza</v>
      </c>
      <c r="E110" s="3" t="n">
        <v>282573</v>
      </c>
      <c r="F110" s="3" t="n">
        <v>27147.2</v>
      </c>
      <c r="G110" s="3" t="n">
        <f aca="false">+E110/0.65</f>
        <v>434727.692307692</v>
      </c>
      <c r="H110" s="3" t="n">
        <f aca="false">+F110/0.65</f>
        <v>41764.9230769231</v>
      </c>
    </row>
    <row r="111" customFormat="false" ht="14.4" hidden="false" customHeight="false" outlineLevel="0" collapsed="false">
      <c r="B111" s="0" t="s">
        <v>116</v>
      </c>
      <c r="C111" s="0" t="s">
        <v>134</v>
      </c>
      <c r="D111" s="42" t="str">
        <f aca="false">CONCATENATE(Tabla12[[#This Row],[Cadena]],Tabla12[[#This Row],[Etiquetas de fila]])</f>
        <v>Johnson Los Andes</v>
      </c>
      <c r="E111" s="3" t="n">
        <v>285272.714285714</v>
      </c>
      <c r="F111" s="3" t="n">
        <v>22898.4</v>
      </c>
      <c r="G111" s="3" t="n">
        <f aca="false">+E111/0.65</f>
        <v>438881.098901099</v>
      </c>
      <c r="H111" s="3" t="n">
        <f aca="false">+F111/0.65</f>
        <v>35228.3076923077</v>
      </c>
    </row>
    <row r="112" customFormat="false" ht="14.4" hidden="false" customHeight="false" outlineLevel="0" collapsed="false">
      <c r="B112" s="0" t="s">
        <v>109</v>
      </c>
      <c r="C112" s="0" t="s">
        <v>135</v>
      </c>
      <c r="D112" s="42" t="str">
        <f aca="false">CONCATENATE(Tabla12[[#This Row],[Cadena]],Tabla12[[#This Row],[Etiquetas de fila]])</f>
        <v>Mega Johnson Mall Plaza Alam</v>
      </c>
      <c r="E112" s="3" t="n">
        <v>262797.285714286</v>
      </c>
      <c r="F112" s="3" t="n">
        <v>52665.8</v>
      </c>
      <c r="G112" s="3" t="n">
        <f aca="false">+E112/0.65</f>
        <v>404303.516483517</v>
      </c>
      <c r="H112" s="3" t="n">
        <f aca="false">+F112/0.65</f>
        <v>81024.3076923077</v>
      </c>
    </row>
    <row r="113" customFormat="false" ht="14.4" hidden="false" customHeight="false" outlineLevel="0" collapsed="false">
      <c r="B113" s="0" t="s">
        <v>116</v>
      </c>
      <c r="C113" s="0" t="s">
        <v>136</v>
      </c>
      <c r="D113" s="42" t="str">
        <f aca="false">CONCATENATE(Tabla12[[#This Row],[Cadena]],Tabla12[[#This Row],[Etiquetas de fila]])</f>
        <v>Johnson Ovalle</v>
      </c>
      <c r="E113" s="3" t="n">
        <v>191478.714285714</v>
      </c>
      <c r="F113" s="3" t="n">
        <v>0</v>
      </c>
      <c r="G113" s="3" t="n">
        <f aca="false">+E113/0.65</f>
        <v>294582.637362637</v>
      </c>
      <c r="H113" s="3" t="n">
        <f aca="false">+F113/0.65</f>
        <v>0</v>
      </c>
    </row>
    <row r="114" customFormat="false" ht="14.4" hidden="false" customHeight="false" outlineLevel="0" collapsed="false">
      <c r="B114" s="0" t="s">
        <v>116</v>
      </c>
      <c r="C114" s="0" t="s">
        <v>137</v>
      </c>
      <c r="D114" s="42" t="str">
        <f aca="false">CONCATENATE(Tabla12[[#This Row],[Cadena]],Tabla12[[#This Row],[Etiquetas de fila]])</f>
        <v>Johnson Linares</v>
      </c>
      <c r="E114" s="3" t="n">
        <v>169664.571428571</v>
      </c>
      <c r="F114" s="3" t="n">
        <v>0</v>
      </c>
      <c r="G114" s="3" t="n">
        <f aca="false">+E114/0.65</f>
        <v>261022.417582418</v>
      </c>
      <c r="H114" s="3" t="n">
        <f aca="false">+F114/0.65</f>
        <v>0</v>
      </c>
    </row>
    <row r="115" customFormat="false" ht="14.4" hidden="false" customHeight="false" outlineLevel="0" collapsed="false">
      <c r="B115" s="0" t="s">
        <v>116</v>
      </c>
      <c r="C115" s="0" t="s">
        <v>138</v>
      </c>
      <c r="D115" s="42" t="str">
        <f aca="false">CONCATENATE(Tabla12[[#This Row],[Cadena]],Tabla12[[#This Row],[Etiquetas de fila]])</f>
        <v>Johnson Valdivia</v>
      </c>
      <c r="E115" s="3" t="n">
        <v>0</v>
      </c>
      <c r="F115" s="3" t="n">
        <v>435.8</v>
      </c>
      <c r="G115" s="3" t="n">
        <f aca="false">+E115/0.65</f>
        <v>0</v>
      </c>
      <c r="H115" s="3" t="n">
        <f aca="false">+F115/0.65</f>
        <v>670.461538461538</v>
      </c>
    </row>
    <row r="116" customFormat="false" ht="14.4" hidden="false" customHeight="false" outlineLevel="0" collapsed="false">
      <c r="B116" s="0" t="s">
        <v>116</v>
      </c>
      <c r="C116" s="0" t="s">
        <v>139</v>
      </c>
      <c r="D116" s="42" t="str">
        <f aca="false">CONCATENATE(Tabla12[[#This Row],[Cadena]],Tabla12[[#This Row],[Etiquetas de fila]])</f>
        <v>Johnson Plaza Vespucio</v>
      </c>
      <c r="E116" s="3" t="n">
        <v>-700.714285714286</v>
      </c>
      <c r="F116" s="3" t="n">
        <v>0</v>
      </c>
      <c r="G116" s="3" t="n">
        <f aca="false">+E116/0.65</f>
        <v>-1078.02197802198</v>
      </c>
      <c r="H116" s="3" t="n">
        <f aca="false">+F116/0.65</f>
        <v>0</v>
      </c>
    </row>
    <row r="117" customFormat="false" ht="14.4" hidden="false" customHeight="false" outlineLevel="0" collapsed="false">
      <c r="B117" s="0" t="s">
        <v>116</v>
      </c>
      <c r="C117" s="0" t="s">
        <v>140</v>
      </c>
      <c r="D117" s="42" t="str">
        <f aca="false">CONCATENATE(Tabla12[[#This Row],[Cadena]],Tabla12[[#This Row],[Etiquetas de fila]])</f>
        <v>Johnson San Antonio</v>
      </c>
      <c r="E117" s="3" t="n">
        <v>-934.857142857143</v>
      </c>
      <c r="F117" s="3" t="n">
        <v>-545.2</v>
      </c>
      <c r="G117" s="3" t="n">
        <f aca="false">+E117/0.65</f>
        <v>-1438.24175824176</v>
      </c>
      <c r="H117" s="3" t="n">
        <f aca="false">+F117/0.65</f>
        <v>-838.769230769231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sheetPr filterMode="false">
    <pageSetUpPr fitToPage="false"/>
  </sheetPr>
  <dimension ref="A1:S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0.6875" defaultRowHeight="14.4" zeroHeight="false" outlineLevelRow="0" outlineLevelCol="0"/>
  <cols>
    <col collapsed="false" customWidth="true" hidden="false" outlineLevel="0" max="1" min="1" style="0" width="14.01"/>
    <col collapsed="false" customWidth="true" hidden="false" outlineLevel="0" max="3" min="2" style="0" width="10.99"/>
    <col collapsed="false" customWidth="true" hidden="false" outlineLevel="0" max="5" min="5" style="0" width="36.66"/>
    <col collapsed="false" customWidth="true" hidden="false" outlineLevel="0" max="6" min="6" style="0" width="11.99"/>
    <col collapsed="false" customWidth="true" hidden="false" outlineLevel="0" max="7" min="7" style="0" width="7.88"/>
    <col collapsed="false" customWidth="true" hidden="false" outlineLevel="0" max="8" min="8" style="0" width="14.55"/>
    <col collapsed="false" customWidth="true" hidden="false" outlineLevel="0" max="9" min="9" style="0" width="10.89"/>
    <col collapsed="false" customWidth="true" hidden="false" outlineLevel="0" max="10" min="10" style="0" width="12.44"/>
    <col collapsed="false" customWidth="true" hidden="false" outlineLevel="0" max="11" min="11" style="0" width="9.44"/>
    <col collapsed="false" customWidth="true" hidden="false" outlineLevel="0" max="12" min="12" style="0" width="11.33"/>
    <col collapsed="false" customWidth="true" hidden="false" outlineLevel="0" max="13" min="13" style="0" width="2.66"/>
    <col collapsed="false" customWidth="true" hidden="false" outlineLevel="0" max="14" min="14" style="0" width="18"/>
    <col collapsed="false" customWidth="true" hidden="false" outlineLevel="0" max="15" min="15" style="0" width="17.56"/>
    <col collapsed="false" customWidth="true" hidden="false" outlineLevel="0" max="16" min="16" style="0" width="12.1"/>
    <col collapsed="false" customWidth="true" hidden="false" outlineLevel="0" max="17" min="17" style="0" width="13.1"/>
    <col collapsed="false" customWidth="true" hidden="false" outlineLevel="0" max="18" min="18" style="0" width="2"/>
  </cols>
  <sheetData>
    <row r="1" customFormat="false" ht="14.4" hidden="false" customHeight="false" outlineLevel="0" collapsed="false">
      <c r="A1" s="26" t="s">
        <v>267</v>
      </c>
      <c r="B1" s="26" t="s">
        <v>268</v>
      </c>
      <c r="C1" s="26" t="s">
        <v>205</v>
      </c>
      <c r="E1" s="26" t="s">
        <v>206</v>
      </c>
      <c r="F1" s="26" t="s">
        <v>269</v>
      </c>
      <c r="G1" s="26" t="s">
        <v>270</v>
      </c>
      <c r="H1" s="26" t="s">
        <v>221</v>
      </c>
      <c r="I1" s="26" t="s">
        <v>222</v>
      </c>
      <c r="J1" s="26" t="s">
        <v>271</v>
      </c>
      <c r="K1" s="26" t="s">
        <v>272</v>
      </c>
      <c r="L1" s="26" t="s">
        <v>273</v>
      </c>
      <c r="N1" s="45" t="s">
        <v>274</v>
      </c>
      <c r="O1" s="45" t="s">
        <v>275</v>
      </c>
      <c r="P1" s="45" t="s">
        <v>276</v>
      </c>
      <c r="Q1" s="45" t="s">
        <v>277</v>
      </c>
      <c r="S1" s="45" t="s">
        <v>278</v>
      </c>
    </row>
    <row r="2" customFormat="false" ht="14.4" hidden="false" customHeight="false" outlineLevel="0" collapsed="false">
      <c r="A2" s="0" t="s">
        <v>279</v>
      </c>
      <c r="B2" s="46" t="n">
        <v>43496</v>
      </c>
      <c r="C2" s="3" t="n">
        <v>301000</v>
      </c>
      <c r="E2" s="26" t="s">
        <v>280</v>
      </c>
      <c r="F2" s="47" t="n">
        <f aca="false">Estructuras!C5</f>
        <v>1500000</v>
      </c>
      <c r="G2" s="47"/>
      <c r="H2" s="47"/>
      <c r="I2" s="47"/>
      <c r="J2" s="4" t="n">
        <v>1</v>
      </c>
      <c r="K2" s="47" t="n">
        <f aca="false">(F2/180)*(28/30)*1.5</f>
        <v>11666.6666666667</v>
      </c>
      <c r="L2" s="47" t="n">
        <f aca="false">ROUND(Cargos[[#This Row],[Hora]]*130%,0)</f>
        <v>15167</v>
      </c>
      <c r="N2" s="48" t="n">
        <v>-100</v>
      </c>
      <c r="O2" s="48" t="n">
        <v>13.5</v>
      </c>
      <c r="P2" s="49" t="n">
        <v>0</v>
      </c>
      <c r="Q2" s="48" t="n">
        <v>0</v>
      </c>
      <c r="S2" s="45" t="n">
        <v>43466</v>
      </c>
    </row>
    <row r="3" customFormat="false" ht="14.4" hidden="false" customHeight="false" outlineLevel="0" collapsed="false">
      <c r="A3" s="0" t="s">
        <v>281</v>
      </c>
      <c r="B3" s="46" t="n">
        <v>43496</v>
      </c>
      <c r="C3" s="3" t="n">
        <f aca="false">ROUND(C2*4.75/12,0)</f>
        <v>119146</v>
      </c>
      <c r="E3" s="26" t="s">
        <v>32</v>
      </c>
      <c r="F3" s="47" t="n">
        <f aca="false">Estructuras!D5</f>
        <v>315000</v>
      </c>
      <c r="G3" s="47"/>
      <c r="H3" s="47"/>
      <c r="I3" s="47"/>
      <c r="J3" s="4" t="n">
        <v>2</v>
      </c>
      <c r="K3" s="47" t="n">
        <f aca="false">(F3/180)*(28/30)*1.5</f>
        <v>2450</v>
      </c>
      <c r="L3" s="47" t="n">
        <f aca="false">ROUND(Cargos[[#This Row],[Hora]]*130%,0)</f>
        <v>3185</v>
      </c>
      <c r="N3" s="48" t="n">
        <v>13.5</v>
      </c>
      <c r="O3" s="48" t="n">
        <v>30</v>
      </c>
      <c r="P3" s="49" t="n">
        <v>0.04</v>
      </c>
      <c r="Q3" s="48" t="n">
        <v>0.54</v>
      </c>
      <c r="S3" s="45" t="n">
        <v>43574</v>
      </c>
    </row>
    <row r="4" customFormat="false" ht="14.4" hidden="false" customHeight="false" outlineLevel="0" collapsed="false">
      <c r="A4" s="0" t="s">
        <v>282</v>
      </c>
      <c r="B4" s="46" t="n">
        <v>43496</v>
      </c>
      <c r="C4" s="50" t="n">
        <v>30000</v>
      </c>
      <c r="E4" s="26" t="s">
        <v>50</v>
      </c>
      <c r="F4" s="47" t="n">
        <f aca="false">Estructuras!E5</f>
        <v>340000</v>
      </c>
      <c r="G4" s="47"/>
      <c r="H4" s="47"/>
      <c r="I4" s="47"/>
      <c r="J4" s="4" t="n">
        <v>3</v>
      </c>
      <c r="K4" s="47" t="n">
        <f aca="false">(F4/180)*(28/30)*1.5</f>
        <v>2644.44444444444</v>
      </c>
      <c r="L4" s="47" t="n">
        <f aca="false">ROUND(Cargos[[#This Row],[Hora]]*130%,0)</f>
        <v>3438</v>
      </c>
      <c r="N4" s="48" t="n">
        <v>30</v>
      </c>
      <c r="O4" s="48" t="n">
        <v>50</v>
      </c>
      <c r="P4" s="49" t="n">
        <v>0.08</v>
      </c>
      <c r="Q4" s="48" t="n">
        <v>1.74</v>
      </c>
      <c r="S4" s="45" t="n">
        <v>43575</v>
      </c>
    </row>
    <row r="5" customFormat="false" ht="14.4" hidden="false" customHeight="false" outlineLevel="0" collapsed="false">
      <c r="A5" s="0" t="s">
        <v>283</v>
      </c>
      <c r="B5" s="46" t="n">
        <v>43496</v>
      </c>
      <c r="C5" s="51" t="n">
        <v>50000</v>
      </c>
      <c r="E5" s="26" t="s">
        <v>40</v>
      </c>
      <c r="F5" s="47" t="n">
        <f aca="false">Estructuras!F5</f>
        <v>153000</v>
      </c>
      <c r="G5" s="47"/>
      <c r="H5" s="47"/>
      <c r="I5" s="47"/>
      <c r="J5" s="4" t="n">
        <v>4</v>
      </c>
      <c r="K5" s="47" t="n">
        <f aca="false">(F5/180)*(28/30)*1.5</f>
        <v>1190</v>
      </c>
      <c r="L5" s="47" t="n">
        <f aca="false">ROUND(Cargos[[#This Row],[Hora]]*130%,0)</f>
        <v>1547</v>
      </c>
      <c r="N5" s="48" t="n">
        <v>50</v>
      </c>
      <c r="O5" s="48" t="n">
        <v>70</v>
      </c>
      <c r="P5" s="49" t="n">
        <v>0.135</v>
      </c>
      <c r="Q5" s="48" t="n">
        <v>4.49</v>
      </c>
      <c r="S5" s="45" t="n">
        <v>43586</v>
      </c>
    </row>
    <row r="6" customFormat="false" ht="14.4" hidden="false" customHeight="false" outlineLevel="0" collapsed="false">
      <c r="A6" s="0" t="s">
        <v>231</v>
      </c>
      <c r="B6" s="46" t="n">
        <v>43131</v>
      </c>
      <c r="C6" s="5" t="n">
        <v>0.0127</v>
      </c>
      <c r="E6" s="26" t="s">
        <v>48</v>
      </c>
      <c r="F6" s="47" t="n">
        <f aca="false">Estructuras!G5</f>
        <v>301000</v>
      </c>
      <c r="G6" s="47"/>
      <c r="H6" s="47"/>
      <c r="I6" s="47"/>
      <c r="J6" s="4" t="n">
        <v>5</v>
      </c>
      <c r="K6" s="47" t="n">
        <f aca="false">(F6/180)*(28/30)*1.5</f>
        <v>2341.11111111111</v>
      </c>
      <c r="L6" s="47" t="n">
        <f aca="false">ROUND(Cargos[[#This Row],[Hora]]*130%,0)</f>
        <v>3043</v>
      </c>
      <c r="N6" s="48" t="n">
        <v>70</v>
      </c>
      <c r="O6" s="48" t="n">
        <v>90</v>
      </c>
      <c r="P6" s="49" t="n">
        <v>0.23</v>
      </c>
      <c r="Q6" s="48" t="n">
        <v>11.14</v>
      </c>
      <c r="S6" s="45" t="n">
        <v>43606</v>
      </c>
    </row>
    <row r="7" customFormat="false" ht="14.4" hidden="false" customHeight="false" outlineLevel="0" collapsed="false">
      <c r="A7" s="0" t="s">
        <v>232</v>
      </c>
      <c r="B7" s="46" t="n">
        <v>42582</v>
      </c>
      <c r="C7" s="5" t="n">
        <v>0.0153</v>
      </c>
      <c r="E7" s="26" t="s">
        <v>49</v>
      </c>
      <c r="F7" s="47" t="n">
        <f aca="false">Estructuras!H5</f>
        <v>135000</v>
      </c>
      <c r="G7" s="47"/>
      <c r="H7" s="47"/>
      <c r="I7" s="47"/>
      <c r="J7" s="4" t="n">
        <v>6</v>
      </c>
      <c r="K7" s="47" t="n">
        <f aca="false">(F7/180)*(28/30)*1.5</f>
        <v>1050</v>
      </c>
      <c r="L7" s="47" t="n">
        <f aca="false">ROUND(Cargos[[#This Row],[Hora]]*130%,0)</f>
        <v>1365</v>
      </c>
      <c r="N7" s="48" t="n">
        <v>90</v>
      </c>
      <c r="O7" s="48" t="n">
        <v>120</v>
      </c>
      <c r="P7" s="49" t="n">
        <v>0.304</v>
      </c>
      <c r="Q7" s="48" t="n">
        <v>17.8</v>
      </c>
      <c r="S7" s="45" t="n">
        <v>43645</v>
      </c>
    </row>
    <row r="8" customFormat="false" ht="14.4" hidden="false" customHeight="false" outlineLevel="0" collapsed="false">
      <c r="A8" s="0" t="s">
        <v>284</v>
      </c>
      <c r="B8" s="46" t="n">
        <v>42400</v>
      </c>
      <c r="C8" s="5" t="n">
        <v>0.024</v>
      </c>
      <c r="E8" s="26" t="s">
        <v>198</v>
      </c>
      <c r="F8" s="47" t="n">
        <f aca="false">Estructuras!I5</f>
        <v>190000</v>
      </c>
      <c r="G8" s="47"/>
      <c r="H8" s="47"/>
      <c r="I8" s="47"/>
      <c r="J8" s="4" t="n">
        <v>7</v>
      </c>
      <c r="K8" s="47" t="n">
        <f aca="false">(F8/180)*(28/30)*1.5</f>
        <v>1477.77777777778</v>
      </c>
      <c r="L8" s="47" t="n">
        <f aca="false">ROUND(Cargos[[#This Row],[Hora]]*130%,0)</f>
        <v>1921</v>
      </c>
      <c r="N8" s="48" t="n">
        <v>120</v>
      </c>
      <c r="O8" s="48" t="n">
        <v>150</v>
      </c>
      <c r="P8" s="49" t="n">
        <v>0.355</v>
      </c>
      <c r="Q8" s="48" t="n">
        <v>23.92</v>
      </c>
      <c r="S8" s="45" t="n">
        <v>43662</v>
      </c>
    </row>
    <row r="9" customFormat="false" ht="14.4" hidden="false" customHeight="false" outlineLevel="0" collapsed="false">
      <c r="A9" s="0" t="s">
        <v>285</v>
      </c>
      <c r="B9" s="46" t="n">
        <v>43466</v>
      </c>
      <c r="C9" s="3" t="n">
        <f aca="false">ROUND(79.2*C4,0)</f>
        <v>2376000</v>
      </c>
      <c r="E9" s="26" t="s">
        <v>29</v>
      </c>
      <c r="F9" s="47" t="n">
        <f aca="false">Estructuras!J5</f>
        <v>150000</v>
      </c>
      <c r="G9" s="47"/>
      <c r="H9" s="47"/>
      <c r="I9" s="47"/>
      <c r="J9" s="4" t="n">
        <v>8</v>
      </c>
      <c r="K9" s="47" t="n">
        <f aca="false">(F9/180)*(28/30)*1.5</f>
        <v>1166.66666666667</v>
      </c>
      <c r="L9" s="47" t="n">
        <f aca="false">ROUND(Cargos[[#This Row],[Hora]]*130%,0)</f>
        <v>1517</v>
      </c>
      <c r="N9" s="48" t="n">
        <v>150</v>
      </c>
      <c r="O9" s="48" t="n">
        <v>20000</v>
      </c>
      <c r="P9" s="49" t="n">
        <v>0.4</v>
      </c>
      <c r="Q9" s="48" t="n">
        <v>30.67</v>
      </c>
      <c r="S9" s="45" t="n">
        <v>43692</v>
      </c>
    </row>
    <row r="10" customFormat="false" ht="14.4" hidden="false" customHeight="false" outlineLevel="0" collapsed="false">
      <c r="A10" s="0" t="s">
        <v>286</v>
      </c>
      <c r="B10" s="46" t="n">
        <v>43466</v>
      </c>
      <c r="C10" s="3" t="n">
        <f aca="false">ROUND(118.9*C4,0)</f>
        <v>3567000</v>
      </c>
      <c r="E10" s="26" t="s">
        <v>46</v>
      </c>
      <c r="F10" s="47" t="n">
        <f aca="false">Estructuras!K5</f>
        <v>60000</v>
      </c>
      <c r="G10" s="47"/>
      <c r="H10" s="47"/>
      <c r="I10" s="47"/>
      <c r="J10" s="4" t="n">
        <v>9</v>
      </c>
      <c r="K10" s="47" t="n">
        <f aca="false">(F10/180)*(28/30)*1.5</f>
        <v>466.666666666667</v>
      </c>
      <c r="L10" s="47" t="n">
        <f aca="false">ROUND(Cargos[[#This Row],[Hora]]*130%,0)</f>
        <v>607</v>
      </c>
      <c r="N10" s="45" t="s">
        <v>274</v>
      </c>
      <c r="O10" s="45" t="s">
        <v>275</v>
      </c>
      <c r="P10" s="45" t="s">
        <v>276</v>
      </c>
      <c r="Q10" s="45" t="s">
        <v>277</v>
      </c>
      <c r="S10" s="45" t="n">
        <v>43726</v>
      </c>
    </row>
    <row r="11" customFormat="false" ht="14.4" hidden="false" customHeight="false" outlineLevel="0" collapsed="false">
      <c r="E11" s="26" t="s">
        <v>31</v>
      </c>
      <c r="F11" s="47" t="n">
        <f aca="false">Estructuras!L5</f>
        <v>92688</v>
      </c>
      <c r="G11" s="47"/>
      <c r="H11" s="47"/>
      <c r="I11" s="47"/>
      <c r="J11" s="4" t="n">
        <v>10</v>
      </c>
      <c r="K11" s="47" t="n">
        <f aca="false">(F11/180)*(28/30)*1.5</f>
        <v>720.906666666667</v>
      </c>
      <c r="L11" s="47" t="n">
        <f aca="false">ROUND(Cargos[[#This Row],[Hora]]*130%,0)</f>
        <v>937</v>
      </c>
      <c r="N11" s="52" t="n">
        <f aca="false">N2*$C$5</f>
        <v>-5000000</v>
      </c>
      <c r="O11" s="52" t="n">
        <f aca="false">O2*$C$5</f>
        <v>675000</v>
      </c>
      <c r="P11" s="49" t="n">
        <v>0</v>
      </c>
      <c r="Q11" s="52" t="n">
        <f aca="false">ROUND(Q2*$C$5,0)</f>
        <v>0</v>
      </c>
      <c r="S11" s="45" t="n">
        <v>43727</v>
      </c>
    </row>
    <row r="12" customFormat="false" ht="14.4" hidden="false" customHeight="false" outlineLevel="0" collapsed="false">
      <c r="A12" s="26" t="s">
        <v>228</v>
      </c>
      <c r="B12" s="26" t="s">
        <v>287</v>
      </c>
      <c r="C12" s="26" t="s">
        <v>288</v>
      </c>
      <c r="N12" s="52" t="n">
        <f aca="false">N3*$C$5</f>
        <v>675000</v>
      </c>
      <c r="O12" s="52" t="n">
        <f aca="false">O3*$C$5</f>
        <v>1500000</v>
      </c>
      <c r="P12" s="49" t="n">
        <v>0.04</v>
      </c>
      <c r="Q12" s="52" t="n">
        <f aca="false">ROUND(Q3*$C$5,0)</f>
        <v>27000</v>
      </c>
      <c r="S12" s="45" t="n">
        <v>43728</v>
      </c>
    </row>
    <row r="13" customFormat="false" ht="14.4" hidden="false" customHeight="false" outlineLevel="0" collapsed="false">
      <c r="A13" s="0" t="s">
        <v>289</v>
      </c>
      <c r="B13" s="53" t="n">
        <v>0.1144</v>
      </c>
      <c r="C13" s="54" t="n">
        <v>33</v>
      </c>
      <c r="N13" s="52" t="n">
        <f aca="false">N4*$C$5</f>
        <v>1500000</v>
      </c>
      <c r="O13" s="52" t="n">
        <f aca="false">O4*$C$5</f>
        <v>2500000</v>
      </c>
      <c r="P13" s="49" t="n">
        <v>0.08</v>
      </c>
      <c r="Q13" s="52" t="n">
        <f aca="false">ROUND(Q4*$C$5,0)</f>
        <v>87000</v>
      </c>
      <c r="S13" s="45" t="n">
        <v>43750</v>
      </c>
    </row>
    <row r="14" customFormat="false" ht="14.4" hidden="false" customHeight="false" outlineLevel="0" collapsed="false">
      <c r="A14" s="0" t="s">
        <v>290</v>
      </c>
      <c r="B14" s="53" t="n">
        <v>0.1144</v>
      </c>
      <c r="C14" s="54" t="n">
        <v>3</v>
      </c>
      <c r="N14" s="52" t="n">
        <f aca="false">N5*$C$5</f>
        <v>2500000</v>
      </c>
      <c r="O14" s="52" t="n">
        <f aca="false">O5*$C$5</f>
        <v>3500000</v>
      </c>
      <c r="P14" s="49" t="n">
        <v>0.135</v>
      </c>
      <c r="Q14" s="52" t="n">
        <f aca="false">ROUND(Q5*$C$5,0)</f>
        <v>224500</v>
      </c>
      <c r="S14" s="45" t="n">
        <v>43769</v>
      </c>
    </row>
    <row r="15" customFormat="false" ht="14.4" hidden="false" customHeight="false" outlineLevel="0" collapsed="false">
      <c r="A15" s="0" t="s">
        <v>291</v>
      </c>
      <c r="B15" s="53" t="n">
        <v>0.1127</v>
      </c>
      <c r="C15" s="54" t="n">
        <v>5</v>
      </c>
      <c r="N15" s="52" t="n">
        <f aca="false">N6*$C$5</f>
        <v>3500000</v>
      </c>
      <c r="O15" s="52" t="n">
        <f aca="false">O6*$C$5</f>
        <v>4500000</v>
      </c>
      <c r="P15" s="49" t="n">
        <v>0.23</v>
      </c>
      <c r="Q15" s="52" t="n">
        <f aca="false">ROUND(Q6*$C$5,0)</f>
        <v>557000</v>
      </c>
      <c r="S15" s="45" t="n">
        <v>43770</v>
      </c>
    </row>
    <row r="16" customFormat="false" ht="14.4" hidden="false" customHeight="false" outlineLevel="0" collapsed="false">
      <c r="A16" s="0" t="s">
        <v>292</v>
      </c>
      <c r="B16" s="53" t="n">
        <v>0.1116</v>
      </c>
      <c r="C16" s="54" t="n">
        <v>29</v>
      </c>
      <c r="N16" s="52" t="n">
        <f aca="false">N7*$C$5</f>
        <v>4500000</v>
      </c>
      <c r="O16" s="52" t="n">
        <f aca="false">O7*$C$5</f>
        <v>6000000</v>
      </c>
      <c r="P16" s="49" t="n">
        <v>0.304</v>
      </c>
      <c r="Q16" s="52" t="n">
        <f aca="false">ROUND(Q7*$C$5,0)</f>
        <v>890000</v>
      </c>
      <c r="S16" s="45" t="n">
        <v>43807</v>
      </c>
    </row>
    <row r="17" customFormat="false" ht="14.4" hidden="false" customHeight="false" outlineLevel="0" collapsed="false">
      <c r="A17" s="0" t="s">
        <v>293</v>
      </c>
      <c r="B17" s="53" t="n">
        <v>0.1145</v>
      </c>
      <c r="C17" s="54" t="n">
        <v>8</v>
      </c>
      <c r="N17" s="52" t="n">
        <f aca="false">N8*$C$5</f>
        <v>6000000</v>
      </c>
      <c r="O17" s="52" t="n">
        <f aca="false">O8*$C$5</f>
        <v>7500000</v>
      </c>
      <c r="P17" s="49" t="n">
        <v>0.355</v>
      </c>
      <c r="Q17" s="52" t="n">
        <f aca="false">ROUND(Q8*$C$5,0)</f>
        <v>1196000</v>
      </c>
      <c r="S17" s="45" t="n">
        <v>43824</v>
      </c>
    </row>
    <row r="18" customFormat="false" ht="14.4" hidden="false" customHeight="false" outlineLevel="0" collapsed="false">
      <c r="A18" s="0" t="s">
        <v>294</v>
      </c>
      <c r="B18" s="53" t="n">
        <v>0.1077</v>
      </c>
      <c r="C18" s="54" t="n">
        <v>34</v>
      </c>
      <c r="N18" s="52" t="n">
        <f aca="false">N9*$C$5</f>
        <v>7500000</v>
      </c>
      <c r="O18" s="52" t="n">
        <f aca="false">O9*$C$5</f>
        <v>1000000000</v>
      </c>
      <c r="P18" s="49" t="n">
        <v>0.4</v>
      </c>
      <c r="Q18" s="52" t="n">
        <f aca="false">ROUND(Q9*$C$5,0)</f>
        <v>1533500</v>
      </c>
      <c r="S18" s="45" t="n">
        <v>43831</v>
      </c>
    </row>
    <row r="24" customFormat="false" ht="14.4" hidden="false" customHeight="false" outlineLevel="0" collapsed="false">
      <c r="A24" s="0" t="s">
        <v>209</v>
      </c>
      <c r="B24" s="0" t="s">
        <v>295</v>
      </c>
      <c r="C24" s="0" t="s">
        <v>296</v>
      </c>
    </row>
    <row r="25" customFormat="false" ht="14.4" hidden="false" customHeight="false" outlineLevel="0" collapsed="false">
      <c r="A25" s="0" t="s">
        <v>297</v>
      </c>
      <c r="B25" s="3" t="n">
        <v>2000000</v>
      </c>
      <c r="C25" s="0" t="n">
        <f aca="false">+B25*80%</f>
        <v>1600000</v>
      </c>
    </row>
    <row r="26" customFormat="false" ht="14.4" hidden="false" customHeight="false" outlineLevel="0" collapsed="false">
      <c r="A26" s="0" t="s">
        <v>298</v>
      </c>
      <c r="B26" s="3" t="n">
        <v>2400000</v>
      </c>
      <c r="C26" s="0" t="n">
        <f aca="false">+B26*60%</f>
        <v>1440000</v>
      </c>
    </row>
    <row r="27" customFormat="false" ht="14.4" hidden="false" customHeight="false" outlineLevel="0" collapsed="false">
      <c r="A27" s="0" t="s">
        <v>299</v>
      </c>
      <c r="B27" s="3" t="n">
        <v>799000</v>
      </c>
      <c r="C27" s="0" t="n">
        <f aca="false">+B27*60%</f>
        <v>479400</v>
      </c>
    </row>
    <row r="28" customFormat="false" ht="14.4" hidden="false" customHeight="false" outlineLevel="0" collapsed="false">
      <c r="A28" s="0" t="s">
        <v>300</v>
      </c>
      <c r="B28" s="3" t="n">
        <f aca="false">SUM(B25:B27)</f>
        <v>5199000</v>
      </c>
      <c r="C28" s="0" t="n">
        <f aca="false">SUM(C25:C27)</f>
        <v>3519400</v>
      </c>
    </row>
  </sheetData>
  <conditionalFormatting sqref="E2:E11">
    <cfRule type="duplicateValues" priority="2" aboveAverage="0" equalAverage="0" bottom="0" percent="0" rank="0" text="" dxfId="10"/>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tableParts>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sheetPr filterMode="false">
    <pageSetUpPr fitToPage="false"/>
  </sheetPr>
  <dimension ref="B3:S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3" activeCellId="0" sqref="J13"/>
    </sheetView>
  </sheetViews>
  <sheetFormatPr defaultColWidth="10.6875" defaultRowHeight="14.4" zeroHeight="false" outlineLevelRow="0" outlineLevelCol="0"/>
  <cols>
    <col collapsed="false" customWidth="true" hidden="false" outlineLevel="0" max="2" min="2" style="0" width="29.1"/>
    <col collapsed="false" customWidth="true" hidden="false" outlineLevel="0" max="15" min="15" style="0" width="13.89"/>
    <col collapsed="false" customWidth="true" hidden="false" outlineLevel="0" max="19" min="19" style="0" width="12.66"/>
  </cols>
  <sheetData>
    <row r="3" customFormat="false" ht="14.4" hidden="false" customHeight="false" outlineLevel="0" collapsed="false">
      <c r="B3" s="0" t="s">
        <v>301</v>
      </c>
      <c r="C3" s="8" t="n">
        <v>0.7</v>
      </c>
    </row>
    <row r="4" customFormat="false" ht="14.4" hidden="false" customHeight="false" outlineLevel="0" collapsed="false">
      <c r="G4" s="0" t="s">
        <v>17</v>
      </c>
      <c r="H4" s="0" t="s">
        <v>18</v>
      </c>
      <c r="I4" s="0" t="s">
        <v>19</v>
      </c>
      <c r="J4" s="0" t="s">
        <v>20</v>
      </c>
    </row>
    <row r="5" customFormat="false" ht="14.4" hidden="false" customHeight="false" outlineLevel="0" collapsed="false">
      <c r="G5" s="0" t="n">
        <v>1800000</v>
      </c>
      <c r="H5" s="0" t="n">
        <v>350000</v>
      </c>
      <c r="I5" s="0" t="n">
        <v>1800000</v>
      </c>
      <c r="J5" s="0" t="n">
        <v>2500000</v>
      </c>
    </row>
    <row r="6" customFormat="false" ht="14.4" hidden="false" customHeight="false" outlineLevel="0" collapsed="false">
      <c r="G6" s="0" t="n">
        <f aca="false">+G5*12</f>
        <v>21600000</v>
      </c>
      <c r="H6" s="0" t="n">
        <f aca="false">+H5*12</f>
        <v>4200000</v>
      </c>
      <c r="I6" s="0" t="n">
        <f aca="false">+I5*12</f>
        <v>21600000</v>
      </c>
      <c r="J6" s="0" t="n">
        <f aca="false">+J5*12</f>
        <v>30000000</v>
      </c>
    </row>
    <row r="8" customFormat="false" ht="14.4" hidden="false" customHeight="false" outlineLevel="0" collapsed="false">
      <c r="G8" s="26" t="s">
        <v>302</v>
      </c>
      <c r="H8" s="26" t="s">
        <v>303</v>
      </c>
      <c r="I8" s="26" t="s">
        <v>304</v>
      </c>
      <c r="J8" s="26" t="s">
        <v>17</v>
      </c>
      <c r="K8" s="26" t="s">
        <v>18</v>
      </c>
      <c r="L8" s="26" t="s">
        <v>19</v>
      </c>
      <c r="M8" s="26" t="s">
        <v>20</v>
      </c>
      <c r="O8" s="26" t="s">
        <v>305</v>
      </c>
      <c r="P8" s="26" t="s">
        <v>17</v>
      </c>
      <c r="Q8" s="26" t="s">
        <v>18</v>
      </c>
      <c r="R8" s="26" t="s">
        <v>19</v>
      </c>
      <c r="S8" s="26" t="s">
        <v>20</v>
      </c>
    </row>
    <row r="9" customFormat="false" ht="14.4" hidden="false" customHeight="false" outlineLevel="0" collapsed="false">
      <c r="G9" s="0" t="s">
        <v>306</v>
      </c>
      <c r="H9" s="0" t="n">
        <v>1.5</v>
      </c>
      <c r="I9" s="55" t="n">
        <f aca="false">Tabla9[[#This Row],[Peso]]/Tabla9[[#Totals],[Peso]]</f>
        <v>0.0967741935483871</v>
      </c>
      <c r="J9" s="3" t="n">
        <f aca="false">+$G$6*Tabla9[[#This Row],[Normalizado]]</f>
        <v>2090322.58064516</v>
      </c>
      <c r="K9" s="3" t="n">
        <f aca="false">$H$6*Tabla9[[#This Row],[Normalizado]]</f>
        <v>406451.612903226</v>
      </c>
      <c r="L9" s="3" t="n">
        <f aca="false">$I$6*Tabla9[[#This Row],[Normalizado]]</f>
        <v>2090322.58064516</v>
      </c>
      <c r="M9" s="3" t="n">
        <f aca="false">$J$6*Tabla9[[#This Row],[Normalizado]]</f>
        <v>2903225.80645161</v>
      </c>
      <c r="O9" s="0" t="s">
        <v>307</v>
      </c>
      <c r="P9" s="22" t="n">
        <f aca="false">AVERAGE(J9:J10,J17:J20)</f>
        <v>2206451.61290323</v>
      </c>
      <c r="Q9" s="22" t="n">
        <f aca="false">AVERAGE(K9:K10,K17:K20)</f>
        <v>429032.258064516</v>
      </c>
      <c r="R9" s="22" t="n">
        <f aca="false">AVERAGE(L9:L10,L17:L20)</f>
        <v>2206451.61290323</v>
      </c>
      <c r="S9" s="22" t="n">
        <f aca="false">AVERAGE(M9:M10,M17:M20)</f>
        <v>3064516.12903226</v>
      </c>
    </row>
    <row r="10" customFormat="false" ht="14.4" hidden="false" customHeight="false" outlineLevel="0" collapsed="false">
      <c r="G10" s="0" t="s">
        <v>308</v>
      </c>
      <c r="H10" s="0" t="n">
        <v>1.5</v>
      </c>
      <c r="I10" s="55" t="n">
        <f aca="false">Tabla9[[#This Row],[Peso]]/Tabla9[[#Totals],[Peso]]</f>
        <v>0.0967741935483871</v>
      </c>
      <c r="J10" s="3" t="n">
        <f aca="false">+$G$6*Tabla9[[#This Row],[Normalizado]]</f>
        <v>2090322.58064516</v>
      </c>
      <c r="K10" s="3" t="n">
        <f aca="false">$H$6*Tabla9[[#This Row],[Normalizado]]</f>
        <v>406451.612903226</v>
      </c>
      <c r="L10" s="3" t="n">
        <f aca="false">$I$6*Tabla9[[#This Row],[Normalizado]]</f>
        <v>2090322.58064516</v>
      </c>
      <c r="M10" s="3" t="n">
        <f aca="false">$J$6*Tabla9[[#This Row],[Normalizado]]</f>
        <v>2903225.80645161</v>
      </c>
      <c r="O10" s="0" t="s">
        <v>309</v>
      </c>
      <c r="P10" s="22" t="n">
        <f aca="false">AVERAGE(J11:J16)</f>
        <v>1393548.38709677</v>
      </c>
      <c r="Q10" s="22" t="n">
        <f aca="false">AVERAGE(K11:K16)</f>
        <v>270967.741935484</v>
      </c>
      <c r="R10" s="22" t="n">
        <f aca="false">AVERAGE(L11:L16)</f>
        <v>1393548.38709677</v>
      </c>
      <c r="S10" s="22" t="n">
        <f aca="false">AVERAGE(M11:M16)</f>
        <v>1935483.87096774</v>
      </c>
    </row>
    <row r="11" customFormat="false" ht="14.4" hidden="false" customHeight="false" outlineLevel="0" collapsed="false">
      <c r="G11" s="0" t="s">
        <v>310</v>
      </c>
      <c r="H11" s="0" t="n">
        <v>1</v>
      </c>
      <c r="I11" s="55" t="n">
        <f aca="false">Tabla9[[#This Row],[Peso]]/Tabla9[[#Totals],[Peso]]</f>
        <v>0.0645161290322581</v>
      </c>
      <c r="J11" s="3" t="n">
        <f aca="false">+$G$6*Tabla9[[#This Row],[Normalizado]]</f>
        <v>1393548.38709677</v>
      </c>
      <c r="K11" s="3" t="n">
        <f aca="false">$H$6*Tabla9[[#This Row],[Normalizado]]</f>
        <v>270967.741935484</v>
      </c>
      <c r="L11" s="3" t="n">
        <f aca="false">$I$6*Tabla9[[#This Row],[Normalizado]]</f>
        <v>1393548.38709677</v>
      </c>
      <c r="M11" s="3" t="n">
        <f aca="false">$J$6*Tabla9[[#This Row],[Normalizado]]</f>
        <v>1935483.87096774</v>
      </c>
    </row>
    <row r="12" customFormat="false" ht="14.4" hidden="false" customHeight="false" outlineLevel="0" collapsed="false">
      <c r="G12" s="0" t="s">
        <v>311</v>
      </c>
      <c r="H12" s="0" t="n">
        <v>1</v>
      </c>
      <c r="I12" s="55" t="n">
        <f aca="false">Tabla9[[#This Row],[Peso]]/Tabla9[[#Totals],[Peso]]</f>
        <v>0.0645161290322581</v>
      </c>
      <c r="J12" s="3" t="n">
        <f aca="false">+$G$6*Tabla9[[#This Row],[Normalizado]]</f>
        <v>1393548.38709677</v>
      </c>
      <c r="K12" s="3" t="n">
        <f aca="false">$H$6*Tabla9[[#This Row],[Normalizado]]</f>
        <v>270967.741935484</v>
      </c>
      <c r="L12" s="3" t="n">
        <f aca="false">$I$6*Tabla9[[#This Row],[Normalizado]]</f>
        <v>1393548.38709677</v>
      </c>
      <c r="M12" s="3" t="n">
        <f aca="false">$J$6*Tabla9[[#This Row],[Normalizado]]</f>
        <v>1935483.87096774</v>
      </c>
    </row>
    <row r="13" customFormat="false" ht="14.4" hidden="false" customHeight="false" outlineLevel="0" collapsed="false">
      <c r="G13" s="0" t="s">
        <v>312</v>
      </c>
      <c r="H13" s="0" t="n">
        <v>1</v>
      </c>
      <c r="I13" s="55" t="n">
        <f aca="false">Tabla9[[#This Row],[Peso]]/Tabla9[[#Totals],[Peso]]</f>
        <v>0.0645161290322581</v>
      </c>
      <c r="J13" s="3" t="n">
        <f aca="false">+$G$6*Tabla9[[#This Row],[Normalizado]]</f>
        <v>1393548.38709677</v>
      </c>
      <c r="K13" s="3" t="n">
        <f aca="false">$H$6*Tabla9[[#This Row],[Normalizado]]</f>
        <v>270967.741935484</v>
      </c>
      <c r="L13" s="3" t="n">
        <f aca="false">$I$6*Tabla9[[#This Row],[Normalizado]]</f>
        <v>1393548.38709677</v>
      </c>
      <c r="M13" s="3" t="n">
        <f aca="false">$J$6*Tabla9[[#This Row],[Normalizado]]</f>
        <v>1935483.87096774</v>
      </c>
    </row>
    <row r="14" customFormat="false" ht="14.4" hidden="false" customHeight="false" outlineLevel="0" collapsed="false">
      <c r="G14" s="0" t="s">
        <v>313</v>
      </c>
      <c r="H14" s="0" t="n">
        <v>1</v>
      </c>
      <c r="I14" s="55" t="n">
        <f aca="false">Tabla9[[#This Row],[Peso]]/Tabla9[[#Totals],[Peso]]</f>
        <v>0.0645161290322581</v>
      </c>
      <c r="J14" s="3" t="n">
        <f aca="false">+$G$6*Tabla9[[#This Row],[Normalizado]]</f>
        <v>1393548.38709677</v>
      </c>
      <c r="K14" s="3" t="n">
        <f aca="false">$H$6*Tabla9[[#This Row],[Normalizado]]</f>
        <v>270967.741935484</v>
      </c>
      <c r="L14" s="3" t="n">
        <f aca="false">$I$6*Tabla9[[#This Row],[Normalizado]]</f>
        <v>1393548.38709677</v>
      </c>
      <c r="M14" s="3" t="n">
        <f aca="false">$J$6*Tabla9[[#This Row],[Normalizado]]</f>
        <v>1935483.87096774</v>
      </c>
    </row>
    <row r="15" customFormat="false" ht="14.4" hidden="false" customHeight="false" outlineLevel="0" collapsed="false">
      <c r="G15" s="0" t="s">
        <v>314</v>
      </c>
      <c r="H15" s="0" t="n">
        <v>1</v>
      </c>
      <c r="I15" s="55" t="n">
        <f aca="false">Tabla9[[#This Row],[Peso]]/Tabla9[[#Totals],[Peso]]</f>
        <v>0.0645161290322581</v>
      </c>
      <c r="J15" s="3" t="n">
        <f aca="false">+$G$6*Tabla9[[#This Row],[Normalizado]]</f>
        <v>1393548.38709677</v>
      </c>
      <c r="K15" s="3" t="n">
        <f aca="false">$H$6*Tabla9[[#This Row],[Normalizado]]</f>
        <v>270967.741935484</v>
      </c>
      <c r="L15" s="3" t="n">
        <f aca="false">$I$6*Tabla9[[#This Row],[Normalizado]]</f>
        <v>1393548.38709677</v>
      </c>
      <c r="M15" s="3" t="n">
        <f aca="false">$J$6*Tabla9[[#This Row],[Normalizado]]</f>
        <v>1935483.87096774</v>
      </c>
    </row>
    <row r="16" customFormat="false" ht="14.4" hidden="false" customHeight="false" outlineLevel="0" collapsed="false">
      <c r="G16" s="0" t="s">
        <v>315</v>
      </c>
      <c r="H16" s="0" t="n">
        <v>1</v>
      </c>
      <c r="I16" s="55" t="n">
        <f aca="false">Tabla9[[#This Row],[Peso]]/Tabla9[[#Totals],[Peso]]</f>
        <v>0.0645161290322581</v>
      </c>
      <c r="J16" s="3" t="n">
        <f aca="false">+$G$6*Tabla9[[#This Row],[Normalizado]]</f>
        <v>1393548.38709677</v>
      </c>
      <c r="K16" s="3" t="n">
        <f aca="false">$H$6*Tabla9[[#This Row],[Normalizado]]</f>
        <v>270967.741935484</v>
      </c>
      <c r="L16" s="3" t="n">
        <f aca="false">$I$6*Tabla9[[#This Row],[Normalizado]]</f>
        <v>1393548.38709677</v>
      </c>
      <c r="M16" s="3" t="n">
        <f aca="false">$J$6*Tabla9[[#This Row],[Normalizado]]</f>
        <v>1935483.87096774</v>
      </c>
    </row>
    <row r="17" customFormat="false" ht="14.4" hidden="false" customHeight="false" outlineLevel="0" collapsed="false">
      <c r="G17" s="0" t="s">
        <v>316</v>
      </c>
      <c r="H17" s="0" t="n">
        <v>1.5</v>
      </c>
      <c r="I17" s="55" t="n">
        <f aca="false">Tabla9[[#This Row],[Peso]]/Tabla9[[#Totals],[Peso]]</f>
        <v>0.0967741935483871</v>
      </c>
      <c r="J17" s="3" t="n">
        <f aca="false">+$G$6*Tabla9[[#This Row],[Normalizado]]</f>
        <v>2090322.58064516</v>
      </c>
      <c r="K17" s="3" t="n">
        <f aca="false">$H$6*Tabla9[[#This Row],[Normalizado]]</f>
        <v>406451.612903226</v>
      </c>
      <c r="L17" s="3" t="n">
        <f aca="false">$I$6*Tabla9[[#This Row],[Normalizado]]</f>
        <v>2090322.58064516</v>
      </c>
      <c r="M17" s="3" t="n">
        <f aca="false">$J$6*Tabla9[[#This Row],[Normalizado]]</f>
        <v>2903225.80645161</v>
      </c>
    </row>
    <row r="18" customFormat="false" ht="14.4" hidden="false" customHeight="false" outlineLevel="0" collapsed="false">
      <c r="G18" s="0" t="s">
        <v>317</v>
      </c>
      <c r="H18" s="0" t="n">
        <v>1.5</v>
      </c>
      <c r="I18" s="55" t="n">
        <f aca="false">Tabla9[[#This Row],[Peso]]/Tabla9[[#Totals],[Peso]]</f>
        <v>0.0967741935483871</v>
      </c>
      <c r="J18" s="3" t="n">
        <f aca="false">+$G$6*Tabla9[[#This Row],[Normalizado]]</f>
        <v>2090322.58064516</v>
      </c>
      <c r="K18" s="3" t="n">
        <f aca="false">$H$6*Tabla9[[#This Row],[Normalizado]]</f>
        <v>406451.612903226</v>
      </c>
      <c r="L18" s="3" t="n">
        <f aca="false">$I$6*Tabla9[[#This Row],[Normalizado]]</f>
        <v>2090322.58064516</v>
      </c>
      <c r="M18" s="3" t="n">
        <f aca="false">$J$6*Tabla9[[#This Row],[Normalizado]]</f>
        <v>2903225.80645161</v>
      </c>
    </row>
    <row r="19" customFormat="false" ht="14.4" hidden="false" customHeight="false" outlineLevel="0" collapsed="false">
      <c r="G19" s="0" t="s">
        <v>318</v>
      </c>
      <c r="H19" s="0" t="n">
        <v>1.5</v>
      </c>
      <c r="I19" s="55" t="n">
        <f aca="false">Tabla9[[#This Row],[Peso]]/Tabla9[[#Totals],[Peso]]</f>
        <v>0.0967741935483871</v>
      </c>
      <c r="J19" s="3" t="n">
        <f aca="false">+$G$6*Tabla9[[#This Row],[Normalizado]]</f>
        <v>2090322.58064516</v>
      </c>
      <c r="K19" s="3" t="n">
        <f aca="false">$H$6*Tabla9[[#This Row],[Normalizado]]</f>
        <v>406451.612903226</v>
      </c>
      <c r="L19" s="3" t="n">
        <f aca="false">$I$6*Tabla9[[#This Row],[Normalizado]]</f>
        <v>2090322.58064516</v>
      </c>
      <c r="M19" s="3" t="n">
        <f aca="false">$J$6*Tabla9[[#This Row],[Normalizado]]</f>
        <v>2903225.80645161</v>
      </c>
    </row>
    <row r="20" customFormat="false" ht="14.4" hidden="false" customHeight="false" outlineLevel="0" collapsed="false">
      <c r="G20" s="0" t="s">
        <v>319</v>
      </c>
      <c r="H20" s="0" t="n">
        <v>2</v>
      </c>
      <c r="I20" s="55" t="n">
        <f aca="false">Tabla9[[#This Row],[Peso]]/Tabla9[[#Totals],[Peso]]</f>
        <v>0.129032258064516</v>
      </c>
      <c r="J20" s="3" t="n">
        <f aca="false">+$G$6*Tabla9[[#This Row],[Normalizado]]</f>
        <v>2787096.77419355</v>
      </c>
      <c r="K20" s="3" t="n">
        <f aca="false">$H$6*Tabla9[[#This Row],[Normalizado]]</f>
        <v>541935.483870968</v>
      </c>
      <c r="L20" s="3" t="n">
        <f aca="false">$I$6*Tabla9[[#This Row],[Normalizado]]</f>
        <v>2787096.77419355</v>
      </c>
      <c r="M20" s="3" t="n">
        <f aca="false">$J$6*Tabla9[[#This Row],[Normalizado]]</f>
        <v>3870967.74193548</v>
      </c>
    </row>
    <row r="21" customFormat="false" ht="14.4" hidden="false" customHeight="false" outlineLevel="0" collapsed="false">
      <c r="G21" s="0" t="s">
        <v>300</v>
      </c>
      <c r="H21" s="0" t="n">
        <f aca="false">SUBTOTAL(109,Tabla9[Peso])</f>
        <v>15.5</v>
      </c>
      <c r="I21" s="0" t="n">
        <f aca="false">SUBTOTAL(103,Tabla9[Normalizado])</f>
        <v>12</v>
      </c>
      <c r="J21" s="3"/>
      <c r="K21" s="3"/>
      <c r="L21" s="3"/>
      <c r="M21" s="3"/>
    </row>
    <row r="25" customFormat="false" ht="14.4" hidden="false" customHeight="false" outlineLevel="0" collapsed="false">
      <c r="M25" s="0" t="n">
        <v>100</v>
      </c>
      <c r="N25" s="56" t="n">
        <f aca="false">35*60%</f>
        <v>21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 r:id="rId2"/>
  </tableParts>
</worksheet>
</file>

<file path=xl/worksheets/sheet11.xml><?xml version="1.0" encoding="utf-8"?>
<worksheet xmlns="http://schemas.openxmlformats.org/spreadsheetml/2006/main" xmlns:r="http://schemas.openxmlformats.org/officeDocument/2006/relationships">
  <sheetPr filterMode="false">
    <pageSetUpPr fitToPage="false"/>
  </sheetPr>
  <dimension ref="B4:U9"/>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D5" activeCellId="0" sqref="D5"/>
    </sheetView>
  </sheetViews>
  <sheetFormatPr defaultColWidth="10.6875" defaultRowHeight="14.4" zeroHeight="false" outlineLevelRow="0" outlineLevelCol="0"/>
  <cols>
    <col collapsed="false" customWidth="true" hidden="false" outlineLevel="0" max="2" min="2" style="0" width="12.1"/>
    <col collapsed="false" customWidth="true" hidden="false" outlineLevel="0" max="3" min="3" style="0" width="21.1"/>
    <col collapsed="false" customWidth="true" hidden="false" outlineLevel="0" max="4" min="4" style="0" width="22.44"/>
    <col collapsed="false" customWidth="true" hidden="false" outlineLevel="0" max="5" min="5" style="0" width="11.99"/>
    <col collapsed="false" customWidth="true" hidden="false" outlineLevel="0" max="7" min="6" style="0" width="8.89"/>
    <col collapsed="false" customWidth="true" hidden="false" outlineLevel="0" max="8" min="8" style="0" width="9.11"/>
    <col collapsed="false" customWidth="true" hidden="false" outlineLevel="0" max="9" min="9" style="0" width="8.67"/>
    <col collapsed="false" customWidth="true" hidden="false" outlineLevel="0" max="10" min="10" style="0" width="9.44"/>
    <col collapsed="false" customWidth="true" hidden="false" outlineLevel="0" max="11" min="11" style="0" width="8.56"/>
    <col collapsed="false" customWidth="true" hidden="false" outlineLevel="0" max="12" min="12" style="0" width="8"/>
    <col collapsed="false" customWidth="true" hidden="false" outlineLevel="0" max="13" min="13" style="0" width="9"/>
    <col collapsed="false" customWidth="true" hidden="false" outlineLevel="0" max="14" min="14" style="0" width="8.89"/>
    <col collapsed="false" customWidth="true" hidden="false" outlineLevel="0" max="15" min="15" style="0" width="8.56"/>
    <col collapsed="false" customWidth="true" hidden="false" outlineLevel="0" max="16" min="16" style="0" width="9.11"/>
    <col collapsed="false" customWidth="true" hidden="false" outlineLevel="0" max="17" min="17" style="0" width="8.33"/>
  </cols>
  <sheetData>
    <row r="4" customFormat="false" ht="14.4" hidden="false" customHeight="false" outlineLevel="0" collapsed="false">
      <c r="B4" s="57" t="s">
        <v>7</v>
      </c>
      <c r="C4" s="57" t="s">
        <v>320</v>
      </c>
      <c r="D4" s="57" t="s">
        <v>321</v>
      </c>
      <c r="E4" s="57" t="s">
        <v>22</v>
      </c>
      <c r="F4" s="57" t="s">
        <v>322</v>
      </c>
      <c r="G4" s="57" t="s">
        <v>323</v>
      </c>
      <c r="H4" s="57" t="s">
        <v>173</v>
      </c>
      <c r="I4" s="57" t="s">
        <v>324</v>
      </c>
      <c r="J4" s="57" t="s">
        <v>325</v>
      </c>
      <c r="K4" s="57" t="s">
        <v>326</v>
      </c>
      <c r="L4" s="57" t="s">
        <v>327</v>
      </c>
      <c r="M4" s="57" t="s">
        <v>328</v>
      </c>
      <c r="N4" s="57" t="s">
        <v>329</v>
      </c>
      <c r="O4" s="57" t="s">
        <v>330</v>
      </c>
      <c r="P4" s="57" t="s">
        <v>331</v>
      </c>
      <c r="Q4" s="57" t="s">
        <v>332</v>
      </c>
    </row>
    <row r="5" customFormat="false" ht="14.4" hidden="false" customHeight="false" outlineLevel="0" collapsed="false">
      <c r="B5" s="0" t="s">
        <v>34</v>
      </c>
      <c r="C5" s="58" t="n">
        <v>0.1922</v>
      </c>
      <c r="D5" s="58" t="n">
        <v>0.35</v>
      </c>
      <c r="E5" s="58" t="n">
        <v>0.15</v>
      </c>
      <c r="F5" s="58" t="s">
        <v>333</v>
      </c>
      <c r="G5" s="58" t="s">
        <v>333</v>
      </c>
      <c r="H5" s="58" t="s">
        <v>334</v>
      </c>
      <c r="I5" s="58" t="s">
        <v>334</v>
      </c>
      <c r="J5" s="58" t="s">
        <v>334</v>
      </c>
      <c r="K5" s="58" t="s">
        <v>334</v>
      </c>
      <c r="L5" s="58" t="s">
        <v>334</v>
      </c>
      <c r="M5" s="58" t="s">
        <v>334</v>
      </c>
      <c r="N5" s="58" t="s">
        <v>333</v>
      </c>
      <c r="O5" s="58" t="s">
        <v>333</v>
      </c>
      <c r="P5" s="58" t="s">
        <v>333</v>
      </c>
      <c r="Q5" s="58" t="s">
        <v>333</v>
      </c>
      <c r="S5" s="8" t="n">
        <v>0.31</v>
      </c>
      <c r="T5" s="8" t="n">
        <v>0.62</v>
      </c>
      <c r="U5" s="0" t="n">
        <f aca="false">+S5*T5</f>
        <v>0.1922</v>
      </c>
    </row>
    <row r="6" customFormat="false" ht="14.4" hidden="false" customHeight="false" outlineLevel="0" collapsed="false">
      <c r="B6" s="0" t="s">
        <v>85</v>
      </c>
      <c r="C6" s="59" t="n">
        <v>0.3162</v>
      </c>
      <c r="D6" s="59" t="n">
        <v>0.35</v>
      </c>
      <c r="E6" s="60" t="n">
        <v>0.15</v>
      </c>
      <c r="F6" s="58" t="s">
        <v>333</v>
      </c>
      <c r="G6" s="58" t="s">
        <v>333</v>
      </c>
      <c r="H6" s="58" t="s">
        <v>334</v>
      </c>
      <c r="I6" s="58" t="s">
        <v>334</v>
      </c>
      <c r="J6" s="58" t="s">
        <v>334</v>
      </c>
      <c r="K6" s="58" t="s">
        <v>334</v>
      </c>
      <c r="L6" s="58" t="s">
        <v>334</v>
      </c>
      <c r="M6" s="58" t="s">
        <v>334</v>
      </c>
      <c r="N6" s="58" t="s">
        <v>333</v>
      </c>
      <c r="O6" s="58" t="s">
        <v>333</v>
      </c>
      <c r="P6" s="58" t="s">
        <v>333</v>
      </c>
      <c r="Q6" s="58" t="s">
        <v>333</v>
      </c>
      <c r="S6" s="8" t="n">
        <v>0.18</v>
      </c>
      <c r="T6" s="8" t="n">
        <v>0.62</v>
      </c>
      <c r="U6" s="0" t="n">
        <f aca="false">+S6*T6</f>
        <v>0.1116</v>
      </c>
    </row>
    <row r="7" customFormat="false" ht="14.4" hidden="false" customHeight="false" outlineLevel="0" collapsed="false">
      <c r="B7" s="0" t="s">
        <v>116</v>
      </c>
      <c r="C7" s="59" t="n">
        <v>0.1116</v>
      </c>
      <c r="D7" s="59" t="n">
        <v>0.35</v>
      </c>
      <c r="E7" s="60" t="n">
        <v>0.15</v>
      </c>
      <c r="F7" s="58" t="s">
        <v>333</v>
      </c>
      <c r="G7" s="58" t="s">
        <v>333</v>
      </c>
      <c r="H7" s="58" t="s">
        <v>334</v>
      </c>
      <c r="I7" s="58" t="s">
        <v>334</v>
      </c>
      <c r="J7" s="58" t="s">
        <v>334</v>
      </c>
      <c r="K7" s="58" t="s">
        <v>334</v>
      </c>
      <c r="L7" s="58" t="s">
        <v>334</v>
      </c>
      <c r="M7" s="58" t="s">
        <v>333</v>
      </c>
      <c r="N7" s="58" t="s">
        <v>333</v>
      </c>
      <c r="O7" s="58" t="s">
        <v>333</v>
      </c>
      <c r="P7" s="58" t="s">
        <v>333</v>
      </c>
      <c r="Q7" s="58" t="s">
        <v>333</v>
      </c>
      <c r="S7" s="8" t="n">
        <v>0.51</v>
      </c>
      <c r="T7" s="8" t="n">
        <v>0.62</v>
      </c>
      <c r="U7" s="0" t="n">
        <f aca="false">+S7*T7</f>
        <v>0.3162</v>
      </c>
    </row>
    <row r="8" customFormat="false" ht="14.4" hidden="false" customHeight="false" outlineLevel="0" collapsed="false">
      <c r="B8" s="0" t="s">
        <v>109</v>
      </c>
      <c r="C8" s="59" t="n">
        <v>0.1116</v>
      </c>
      <c r="D8" s="59" t="n">
        <v>0.35</v>
      </c>
      <c r="E8" s="60" t="n">
        <v>0.15</v>
      </c>
      <c r="F8" s="58" t="s">
        <v>333</v>
      </c>
      <c r="G8" s="58" t="s">
        <v>333</v>
      </c>
      <c r="H8" s="58" t="s">
        <v>334</v>
      </c>
      <c r="I8" s="58" t="s">
        <v>334</v>
      </c>
      <c r="J8" s="58" t="s">
        <v>334</v>
      </c>
      <c r="K8" s="58" t="s">
        <v>334</v>
      </c>
      <c r="L8" s="58" t="s">
        <v>334</v>
      </c>
      <c r="M8" s="58" t="s">
        <v>333</v>
      </c>
      <c r="N8" s="58" t="s">
        <v>333</v>
      </c>
      <c r="O8" s="58" t="s">
        <v>333</v>
      </c>
      <c r="P8" s="58" t="s">
        <v>333</v>
      </c>
      <c r="Q8" s="58" t="s">
        <v>333</v>
      </c>
    </row>
    <row r="9" customFormat="false" ht="14.4" hidden="false" customHeight="false" outlineLevel="0" collapsed="false">
      <c r="B9" s="0" t="s">
        <v>335</v>
      </c>
      <c r="C9" s="60" t="n">
        <v>0.38</v>
      </c>
      <c r="D9" s="60" t="n">
        <v>0.35</v>
      </c>
      <c r="E9" s="60" t="n">
        <v>0.15</v>
      </c>
      <c r="F9" s="58"/>
      <c r="G9" s="58"/>
      <c r="H9" s="58"/>
      <c r="I9" s="58"/>
      <c r="J9" s="58"/>
      <c r="K9" s="58"/>
      <c r="L9" s="58"/>
      <c r="M9" s="58"/>
      <c r="N9" s="58"/>
      <c r="O9" s="58"/>
      <c r="P9" s="58"/>
      <c r="Q9" s="58"/>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LibreOffice/6.3.2.2$Windows_X86_64 LibreOffice_project/98b30e735bda24bc04ab42594c85f7fd8be07b9c</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2019-04-24T15:12:13Z</dcterms:created>
  <dc:creator>Mauricio Bassi G.</dc:creator>
  <dc:description/>
  <dc:language>es-CL</dc:language>
  <cp:lastModifiedBy/>
  <dcterms:modified xsi:type="dcterms:W3CDTF">2019-10-31T10:07:54Z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y fmtid="{D5CDD505-2E9C-101B-9397-08002B2CF9AE}" pid="8" name="Workbook id">
    <vt:lpwstr>279c798a-96d1-4dae-9e0e-d514487b8e51</vt:lpwstr>
  </property>
  <property fmtid="{D5CDD505-2E9C-101B-9397-08002B2CF9AE}" pid="9" name="Workbook type">
    <vt:lpwstr>Custom</vt:lpwstr>
  </property>
  <property fmtid="{D5CDD505-2E9C-101B-9397-08002B2CF9AE}" pid="10" name="Workbook version">
    <vt:lpwstr>Custom</vt:lpwstr>
  </property>
</Properties>
</file>